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sa\Documents\frm_project\excel_models\"/>
    </mc:Choice>
  </mc:AlternateContent>
  <xr:revisionPtr revIDLastSave="0" documentId="13_ncr:1_{C5E05D4A-902A-4315-8BD7-C4B2EAA85AF6}" xr6:coauthVersionLast="47" xr6:coauthVersionMax="47" xr10:uidLastSave="{00000000-0000-0000-0000-000000000000}"/>
  <bookViews>
    <workbookView xWindow="-120" yWindow="-120" windowWidth="29040" windowHeight="15720" xr2:uid="{ECF69F75-2137-4D55-89AF-FF1ED5BD7C36}"/>
  </bookViews>
  <sheets>
    <sheet name="GK Pricer" sheetId="6" r:id="rId1"/>
    <sheet name="MonteCarlo" sheetId="4" r:id="rId2"/>
    <sheet name="GK Bulk" sheetId="5" r:id="rId3"/>
    <sheet name="Data Validation" sheetId="3" state="hidden" r:id="rId4"/>
  </sheets>
  <definedNames>
    <definedName name="CP">'GK Pricer'!$G$4</definedName>
    <definedName name="d1_">'GK Pricer'!$G$22</definedName>
    <definedName name="d2_">'GK Pricer'!$G$23</definedName>
    <definedName name="Domestic_Ccy_Notional">'GK Pricer'!$G$14</definedName>
    <definedName name="F">'GK Pricer'!$G$11</definedName>
    <definedName name="Foreign_Ccy_Notional">'GK Pricer'!$G$13</definedName>
    <definedName name="H">'GK Pricer'!$G$18</definedName>
    <definedName name="K">'GK Pricer'!$G$6</definedName>
    <definedName name="Methodology">'GK Pricer'!$C$17</definedName>
    <definedName name="Monte_Carlo_Runtime">MonteCarlo!$P$5</definedName>
    <definedName name="Notional_amount">'GK Pricer'!$C$14</definedName>
    <definedName name="Notional_Ccy">'GK Pricer'!$C$15</definedName>
    <definedName name="Number_Of_Refreshes">MonteCarlo!$P$3</definedName>
    <definedName name="q_">'GK Pricer'!$G$16</definedName>
    <definedName name="r_">'GK Pricer'!$G$15</definedName>
    <definedName name="r_d">'GK Pricer'!$G$7</definedName>
    <definedName name="r_d_basis_adj">'GK Pricer'!$G$12</definedName>
    <definedName name="r_f">'GK Pricer'!$G$8</definedName>
    <definedName name="ResultCurrency">'GK Pricer'!$L$3</definedName>
    <definedName name="ResultDomesticFXSpotRate">'GK Pricer'!$L$6</definedName>
    <definedName name="ResultNotionalFXSpotRate">'GK Pricer'!$L$7</definedName>
    <definedName name="S0">'GK Pricer'!$G$5</definedName>
    <definedName name="T">'GK Pricer'!$G$10</definedName>
    <definedName name="μ">'GK Pricer'!$G$17</definedName>
    <definedName name="σ">'GK Pricer'!$G$9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6" l="1"/>
  <c r="M7" i="6"/>
  <c r="M6" i="6"/>
  <c r="L7" i="6"/>
  <c r="G4" i="6" l="1" a="1"/>
  <c r="G4" i="6" s="1"/>
  <c r="L6" i="6" a="1"/>
  <c r="L6" i="6" s="1"/>
  <c r="G5" i="6"/>
  <c r="G6" i="6"/>
  <c r="G7" i="6"/>
  <c r="G8" i="6"/>
  <c r="G12" i="6" s="1"/>
  <c r="G9" i="6"/>
  <c r="M11" i="6"/>
  <c r="G10" i="6"/>
  <c r="M12" i="6"/>
  <c r="G11" i="6"/>
  <c r="M13" i="6"/>
  <c r="M14" i="6"/>
  <c r="G13" i="6"/>
  <c r="M15" i="6"/>
  <c r="G14" i="6"/>
  <c r="M16" i="6"/>
  <c r="M17" i="6"/>
  <c r="G16" i="6"/>
  <c r="M18" i="6"/>
  <c r="M19" i="6"/>
  <c r="M23" i="6"/>
  <c r="M24" i="6"/>
  <c r="H40" i="6"/>
  <c r="AL2" i="5"/>
  <c r="Q5" i="5" a="1"/>
  <c r="Q5" i="5"/>
  <c r="R5" i="5"/>
  <c r="S5" i="5"/>
  <c r="T5" i="5"/>
  <c r="U5" i="5" s="1"/>
  <c r="Y5" i="5" s="1" a="1"/>
  <c r="Y5" i="5" s="1"/>
  <c r="V5" i="5" a="1"/>
  <c r="V5" i="5" s="1"/>
  <c r="W5" i="5" a="1"/>
  <c r="W5" i="5"/>
  <c r="X5" i="5"/>
  <c r="Z5" i="5"/>
  <c r="Q6" i="5" a="1"/>
  <c r="Q6" i="5" s="1"/>
  <c r="R6" i="5"/>
  <c r="S6" i="5"/>
  <c r="T6" i="5"/>
  <c r="U6" i="5" s="1"/>
  <c r="Y6" i="5" s="1" a="1"/>
  <c r="Y6" i="5" s="1"/>
  <c r="V6" i="5" a="1"/>
  <c r="V6" i="5"/>
  <c r="W6" i="5" a="1"/>
  <c r="W6" i="5" s="1"/>
  <c r="X6" i="5"/>
  <c r="Z6" i="5"/>
  <c r="M3" i="4"/>
  <c r="P4" i="4"/>
  <c r="M5" i="4"/>
  <c r="K6" i="4"/>
  <c r="M6" i="4"/>
  <c r="P6" i="4"/>
  <c r="K8" i="4"/>
  <c r="M8" i="4"/>
  <c r="K9" i="4"/>
  <c r="M9" i="4"/>
  <c r="K10" i="4"/>
  <c r="M10" i="4"/>
  <c r="I15" i="4"/>
  <c r="J15" i="4"/>
  <c r="L15" i="4"/>
  <c r="L3" i="4" s="1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B4016" i="4"/>
  <c r="B4017" i="4"/>
  <c r="B4018" i="4" s="1"/>
  <c r="B4019" i="4" s="1"/>
  <c r="B4020" i="4" s="1"/>
  <c r="B4021" i="4" s="1"/>
  <c r="B4022" i="4" s="1"/>
  <c r="B4023" i="4" s="1"/>
  <c r="B4024" i="4" s="1"/>
  <c r="B4025" i="4" s="1"/>
  <c r="B4026" i="4" s="1"/>
  <c r="B4027" i="4" s="1"/>
  <c r="B4028" i="4" s="1"/>
  <c r="B4029" i="4"/>
  <c r="B4030" i="4" s="1"/>
  <c r="B4031" i="4" s="1"/>
  <c r="B4032" i="4" s="1"/>
  <c r="B4033" i="4" s="1"/>
  <c r="B4034" i="4" s="1"/>
  <c r="B4035" i="4" s="1"/>
  <c r="B4036" i="4" s="1"/>
  <c r="B4037" i="4" s="1"/>
  <c r="B4038" i="4" s="1"/>
  <c r="B4039" i="4" s="1"/>
  <c r="B4040" i="4" s="1"/>
  <c r="B4041" i="4" s="1"/>
  <c r="B4042" i="4" s="1"/>
  <c r="B4043" i="4" s="1"/>
  <c r="B4044" i="4" s="1"/>
  <c r="B4045" i="4" s="1"/>
  <c r="B4046" i="4" s="1"/>
  <c r="B4047" i="4" s="1"/>
  <c r="B4048" i="4" s="1"/>
  <c r="B4049" i="4" s="1"/>
  <c r="B4050" i="4" s="1"/>
  <c r="B4051" i="4" s="1"/>
  <c r="B4052" i="4" s="1"/>
  <c r="B4053" i="4" s="1"/>
  <c r="B4054" i="4" s="1"/>
  <c r="B4055" i="4" s="1"/>
  <c r="B4056" i="4" s="1"/>
  <c r="B4057" i="4" s="1"/>
  <c r="B4058" i="4" s="1"/>
  <c r="B4059" i="4" s="1"/>
  <c r="B4060" i="4" s="1"/>
  <c r="B4061" i="4" s="1"/>
  <c r="B4062" i="4" s="1"/>
  <c r="B4063" i="4" s="1"/>
  <c r="B4064" i="4" s="1"/>
  <c r="B4065" i="4" s="1"/>
  <c r="B4066" i="4" s="1"/>
  <c r="B4067" i="4" s="1"/>
  <c r="B4068" i="4" s="1"/>
  <c r="B4069" i="4" s="1"/>
  <c r="B4070" i="4" s="1"/>
  <c r="B4071" i="4" s="1"/>
  <c r="B4072" i="4" s="1"/>
  <c r="B4073" i="4" s="1"/>
  <c r="B4074" i="4" s="1"/>
  <c r="B4075" i="4" s="1"/>
  <c r="B4076" i="4" s="1"/>
  <c r="B4077" i="4" s="1"/>
  <c r="B4078" i="4" s="1"/>
  <c r="B4079" i="4" s="1"/>
  <c r="B4080" i="4" s="1"/>
  <c r="B4081" i="4" s="1"/>
  <c r="B4082" i="4" s="1"/>
  <c r="B4083" i="4" s="1"/>
  <c r="B4084" i="4" s="1"/>
  <c r="B4085" i="4" s="1"/>
  <c r="B4086" i="4" s="1"/>
  <c r="B4087" i="4" s="1"/>
  <c r="B4088" i="4" s="1"/>
  <c r="B4089" i="4" s="1"/>
  <c r="B4090" i="4" s="1"/>
  <c r="B4091" i="4" s="1"/>
  <c r="B4092" i="4" s="1"/>
  <c r="B4093" i="4" s="1"/>
  <c r="B4094" i="4" s="1"/>
  <c r="B4095" i="4" s="1"/>
  <c r="B4096" i="4" s="1"/>
  <c r="B4097" i="4" s="1"/>
  <c r="B4098" i="4" s="1"/>
  <c r="B4099" i="4" s="1"/>
  <c r="B4100" i="4" s="1"/>
  <c r="B4101" i="4" s="1"/>
  <c r="B4102" i="4" s="1"/>
  <c r="B4103" i="4" s="1"/>
  <c r="B4104" i="4" s="1"/>
  <c r="B4105" i="4" s="1"/>
  <c r="B4106" i="4" s="1"/>
  <c r="B4107" i="4" s="1"/>
  <c r="B4108" i="4" s="1"/>
  <c r="B4109" i="4" s="1"/>
  <c r="B4110" i="4" s="1"/>
  <c r="B4111" i="4" s="1"/>
  <c r="B4112" i="4" s="1"/>
  <c r="B4113" i="4" s="1"/>
  <c r="B4114" i="4" s="1"/>
  <c r="B4115" i="4" s="1"/>
  <c r="B4116" i="4" s="1"/>
  <c r="B4117" i="4" s="1"/>
  <c r="B4118" i="4" s="1"/>
  <c r="B4119" i="4" s="1"/>
  <c r="B4120" i="4" s="1"/>
  <c r="B4121" i="4" s="1"/>
  <c r="B4122" i="4" s="1"/>
  <c r="B4123" i="4" s="1"/>
  <c r="B4124" i="4" s="1"/>
  <c r="B4125" i="4" s="1"/>
  <c r="B4126" i="4" s="1"/>
  <c r="B4127" i="4" s="1"/>
  <c r="B4128" i="4" s="1"/>
  <c r="B4129" i="4" s="1"/>
  <c r="B4130" i="4" s="1"/>
  <c r="B4131" i="4" s="1"/>
  <c r="B4132" i="4" s="1"/>
  <c r="B4133" i="4" s="1"/>
  <c r="B4134" i="4" s="1"/>
  <c r="B4135" i="4" s="1"/>
  <c r="B4136" i="4" s="1"/>
  <c r="B4137" i="4" s="1"/>
  <c r="B4138" i="4" s="1"/>
  <c r="B4139" i="4" s="1"/>
  <c r="B4140" i="4" s="1"/>
  <c r="B4141" i="4" s="1"/>
  <c r="B4142" i="4" s="1"/>
  <c r="B4143" i="4" s="1"/>
  <c r="B4144" i="4" s="1"/>
  <c r="B4145" i="4" s="1"/>
  <c r="B4146" i="4" s="1"/>
  <c r="B4147" i="4" s="1"/>
  <c r="B4148" i="4" s="1"/>
  <c r="B4149" i="4" s="1"/>
  <c r="B4150" i="4" s="1"/>
  <c r="B4151" i="4" s="1"/>
  <c r="B4152" i="4" s="1"/>
  <c r="B4153" i="4" s="1"/>
  <c r="B4154" i="4" s="1"/>
  <c r="B4155" i="4" s="1"/>
  <c r="B4156" i="4" s="1"/>
  <c r="B4157" i="4" s="1"/>
  <c r="B4158" i="4" s="1"/>
  <c r="B4159" i="4" s="1"/>
  <c r="B4160" i="4" s="1"/>
  <c r="B4161" i="4" s="1"/>
  <c r="B4162" i="4" s="1"/>
  <c r="B4163" i="4" s="1"/>
  <c r="B4164" i="4" s="1"/>
  <c r="B4165" i="4" s="1"/>
  <c r="B4166" i="4" s="1"/>
  <c r="B4167" i="4" s="1"/>
  <c r="B4168" i="4" s="1"/>
  <c r="B4169" i="4" s="1"/>
  <c r="B4170" i="4" s="1"/>
  <c r="B4171" i="4" s="1"/>
  <c r="B4172" i="4" s="1"/>
  <c r="B4173" i="4" s="1"/>
  <c r="B4174" i="4" s="1"/>
  <c r="B4175" i="4" s="1"/>
  <c r="B4176" i="4" s="1"/>
  <c r="B4177" i="4" s="1"/>
  <c r="B4178" i="4" s="1"/>
  <c r="B4179" i="4" s="1"/>
  <c r="B4180" i="4" s="1"/>
  <c r="B4181" i="4" s="1"/>
  <c r="B4182" i="4" s="1"/>
  <c r="B4183" i="4" s="1"/>
  <c r="B4184" i="4" s="1"/>
  <c r="B4185" i="4" s="1"/>
  <c r="B4186" i="4" s="1"/>
  <c r="B4187" i="4" s="1"/>
  <c r="B4188" i="4" s="1"/>
  <c r="B4189" i="4" s="1"/>
  <c r="B4190" i="4" s="1"/>
  <c r="B4191" i="4" s="1"/>
  <c r="B4192" i="4" s="1"/>
  <c r="B4193" i="4" s="1"/>
  <c r="B4194" i="4" s="1"/>
  <c r="B4195" i="4" s="1"/>
  <c r="B4196" i="4" s="1"/>
  <c r="B4197" i="4" s="1"/>
  <c r="B4198" i="4" s="1"/>
  <c r="B4199" i="4" s="1"/>
  <c r="B4200" i="4" s="1"/>
  <c r="B4201" i="4" s="1"/>
  <c r="B4202" i="4" s="1"/>
  <c r="B4203" i="4" s="1"/>
  <c r="B4204" i="4" s="1"/>
  <c r="B4205" i="4" s="1"/>
  <c r="B4206" i="4" s="1"/>
  <c r="B4207" i="4" s="1"/>
  <c r="B4208" i="4" s="1"/>
  <c r="B4209" i="4" s="1"/>
  <c r="B4210" i="4" s="1"/>
  <c r="B4211" i="4" s="1"/>
  <c r="B4212" i="4" s="1"/>
  <c r="B4213" i="4" s="1"/>
  <c r="B4214" i="4" s="1"/>
  <c r="B4215" i="4" s="1"/>
  <c r="B4216" i="4" s="1"/>
  <c r="B4217" i="4" s="1"/>
  <c r="B4218" i="4" s="1"/>
  <c r="B4219" i="4" s="1"/>
  <c r="B4220" i="4" s="1"/>
  <c r="B4221" i="4" s="1"/>
  <c r="B4222" i="4" s="1"/>
  <c r="B4223" i="4" s="1"/>
  <c r="B4224" i="4" s="1"/>
  <c r="B4225" i="4" s="1"/>
  <c r="B4226" i="4" s="1"/>
  <c r="B4227" i="4" s="1"/>
  <c r="B4228" i="4" s="1"/>
  <c r="B4229" i="4" s="1"/>
  <c r="B4230" i="4" s="1"/>
  <c r="B4231" i="4" s="1"/>
  <c r="B4232" i="4" s="1"/>
  <c r="B4233" i="4" s="1"/>
  <c r="B4234" i="4" s="1"/>
  <c r="B4235" i="4" s="1"/>
  <c r="B4236" i="4" s="1"/>
  <c r="B4237" i="4" s="1"/>
  <c r="B4238" i="4" s="1"/>
  <c r="B4239" i="4" s="1"/>
  <c r="B4240" i="4" s="1"/>
  <c r="B4241" i="4" s="1"/>
  <c r="B4242" i="4" s="1"/>
  <c r="B4243" i="4" s="1"/>
  <c r="B4244" i="4" s="1"/>
  <c r="B4245" i="4" s="1"/>
  <c r="B4246" i="4" s="1"/>
  <c r="B4247" i="4" s="1"/>
  <c r="B4248" i="4" s="1"/>
  <c r="B4249" i="4" s="1"/>
  <c r="B4250" i="4" s="1"/>
  <c r="B4251" i="4" s="1"/>
  <c r="B4252" i="4" s="1"/>
  <c r="B4253" i="4" s="1"/>
  <c r="B4254" i="4" s="1"/>
  <c r="B4255" i="4" s="1"/>
  <c r="B4256" i="4" s="1"/>
  <c r="B4257" i="4" s="1"/>
  <c r="B4258" i="4" s="1"/>
  <c r="B4259" i="4" s="1"/>
  <c r="B4260" i="4" s="1"/>
  <c r="B4261" i="4" s="1"/>
  <c r="B4262" i="4" s="1"/>
  <c r="B4263" i="4" s="1"/>
  <c r="B4264" i="4" s="1"/>
  <c r="B4265" i="4" s="1"/>
  <c r="B4266" i="4" s="1"/>
  <c r="B4267" i="4" s="1"/>
  <c r="B4268" i="4" s="1"/>
  <c r="B4269" i="4" s="1"/>
  <c r="B4270" i="4" s="1"/>
  <c r="B4271" i="4" s="1"/>
  <c r="B4272" i="4" s="1"/>
  <c r="B4273" i="4" s="1"/>
  <c r="B4274" i="4" s="1"/>
  <c r="B4275" i="4" s="1"/>
  <c r="B4276" i="4" s="1"/>
  <c r="B4277" i="4" s="1"/>
  <c r="B4278" i="4" s="1"/>
  <c r="B4279" i="4" s="1"/>
  <c r="B4280" i="4" s="1"/>
  <c r="B4281" i="4" s="1"/>
  <c r="B4282" i="4" s="1"/>
  <c r="B4283" i="4" s="1"/>
  <c r="B4284" i="4" s="1"/>
  <c r="B4285" i="4" s="1"/>
  <c r="B4286" i="4" s="1"/>
  <c r="B4287" i="4" s="1"/>
  <c r="B4288" i="4" s="1"/>
  <c r="B4289" i="4" s="1"/>
  <c r="B4290" i="4" s="1"/>
  <c r="B4291" i="4" s="1"/>
  <c r="B4292" i="4" s="1"/>
  <c r="B4293" i="4" s="1"/>
  <c r="B4294" i="4" s="1"/>
  <c r="B4295" i="4" s="1"/>
  <c r="B4296" i="4" s="1"/>
  <c r="B4297" i="4" s="1"/>
  <c r="B4298" i="4" s="1"/>
  <c r="B4299" i="4" s="1"/>
  <c r="B4300" i="4" s="1"/>
  <c r="B4301" i="4" s="1"/>
  <c r="B4302" i="4" s="1"/>
  <c r="B4303" i="4" s="1"/>
  <c r="B4304" i="4" s="1"/>
  <c r="B4305" i="4" s="1"/>
  <c r="B4306" i="4" s="1"/>
  <c r="B4307" i="4" s="1"/>
  <c r="B4308" i="4" s="1"/>
  <c r="B4309" i="4" s="1"/>
  <c r="B4310" i="4" s="1"/>
  <c r="B4311" i="4" s="1"/>
  <c r="B4312" i="4" s="1"/>
  <c r="B4313" i="4" s="1"/>
  <c r="B4314" i="4" s="1"/>
  <c r="B4315" i="4" s="1"/>
  <c r="B4316" i="4" s="1"/>
  <c r="B4317" i="4" s="1"/>
  <c r="B4318" i="4" s="1"/>
  <c r="B4319" i="4" s="1"/>
  <c r="B4320" i="4" s="1"/>
  <c r="B4321" i="4" s="1"/>
  <c r="B4322" i="4" s="1"/>
  <c r="B4323" i="4" s="1"/>
  <c r="B4324" i="4" s="1"/>
  <c r="B4325" i="4" s="1"/>
  <c r="B4326" i="4" s="1"/>
  <c r="B4327" i="4" s="1"/>
  <c r="B4328" i="4" s="1"/>
  <c r="B4329" i="4" s="1"/>
  <c r="B4330" i="4" s="1"/>
  <c r="B4331" i="4" s="1"/>
  <c r="B4332" i="4" s="1"/>
  <c r="B4333" i="4" s="1"/>
  <c r="B4334" i="4" s="1"/>
  <c r="B4335" i="4" s="1"/>
  <c r="B4336" i="4" s="1"/>
  <c r="B4337" i="4" s="1"/>
  <c r="B4338" i="4" s="1"/>
  <c r="B4339" i="4" s="1"/>
  <c r="B4340" i="4" s="1"/>
  <c r="B4341" i="4" s="1"/>
  <c r="B4342" i="4" s="1"/>
  <c r="B4343" i="4" s="1"/>
  <c r="B4344" i="4" s="1"/>
  <c r="B4345" i="4" s="1"/>
  <c r="B4346" i="4" s="1"/>
  <c r="B4347" i="4" s="1"/>
  <c r="B4348" i="4" s="1"/>
  <c r="B4349" i="4" s="1"/>
  <c r="B4350" i="4" s="1"/>
  <c r="B4351" i="4" s="1"/>
  <c r="B4352" i="4" s="1"/>
  <c r="B4353" i="4" s="1"/>
  <c r="B4354" i="4" s="1"/>
  <c r="B4355" i="4" s="1"/>
  <c r="B4356" i="4" s="1"/>
  <c r="B4357" i="4" s="1"/>
  <c r="B4358" i="4" s="1"/>
  <c r="B4359" i="4" s="1"/>
  <c r="B4360" i="4" s="1"/>
  <c r="B4361" i="4" s="1"/>
  <c r="B4362" i="4" s="1"/>
  <c r="B4363" i="4" s="1"/>
  <c r="B4364" i="4" s="1"/>
  <c r="B4365" i="4" s="1"/>
  <c r="B4366" i="4" s="1"/>
  <c r="B4367" i="4" s="1"/>
  <c r="B4368" i="4" s="1"/>
  <c r="B4369" i="4" s="1"/>
  <c r="B4370" i="4" s="1"/>
  <c r="B4371" i="4" s="1"/>
  <c r="B4372" i="4" s="1"/>
  <c r="B4373" i="4" s="1"/>
  <c r="B4374" i="4" s="1"/>
  <c r="B4375" i="4" s="1"/>
  <c r="B4376" i="4" s="1"/>
  <c r="B4377" i="4" s="1"/>
  <c r="B4378" i="4" s="1"/>
  <c r="B4379" i="4" s="1"/>
  <c r="B4380" i="4" s="1"/>
  <c r="B4381" i="4" s="1"/>
  <c r="B4382" i="4" s="1"/>
  <c r="B4383" i="4" s="1"/>
  <c r="B4384" i="4" s="1"/>
  <c r="B4385" i="4" s="1"/>
  <c r="B4386" i="4" s="1"/>
  <c r="B4387" i="4" s="1"/>
  <c r="B4388" i="4" s="1"/>
  <c r="B4389" i="4" s="1"/>
  <c r="B4390" i="4" s="1"/>
  <c r="B4391" i="4" s="1"/>
  <c r="B4392" i="4" s="1"/>
  <c r="B4393" i="4" s="1"/>
  <c r="B4394" i="4" s="1"/>
  <c r="B4395" i="4" s="1"/>
  <c r="B4396" i="4" s="1"/>
  <c r="B4397" i="4" s="1"/>
  <c r="B4398" i="4" s="1"/>
  <c r="B4399" i="4" s="1"/>
  <c r="B4400" i="4" s="1"/>
  <c r="B4401" i="4" s="1"/>
  <c r="B4402" i="4" s="1"/>
  <c r="B4403" i="4" s="1"/>
  <c r="B4404" i="4" s="1"/>
  <c r="B4405" i="4" s="1"/>
  <c r="B4406" i="4" s="1"/>
  <c r="B4407" i="4" s="1"/>
  <c r="B4408" i="4" s="1"/>
  <c r="B4409" i="4" s="1"/>
  <c r="B4410" i="4" s="1"/>
  <c r="B4411" i="4" s="1"/>
  <c r="B4412" i="4" s="1"/>
  <c r="B4413" i="4" s="1"/>
  <c r="B4414" i="4" s="1"/>
  <c r="B4415" i="4" s="1"/>
  <c r="B4416" i="4" s="1"/>
  <c r="B4417" i="4" s="1"/>
  <c r="B4418" i="4" s="1"/>
  <c r="B4419" i="4" s="1"/>
  <c r="B4420" i="4" s="1"/>
  <c r="B4421" i="4" s="1"/>
  <c r="B4422" i="4" s="1"/>
  <c r="B4423" i="4" s="1"/>
  <c r="B4424" i="4" s="1"/>
  <c r="B4425" i="4" s="1"/>
  <c r="B4426" i="4" s="1"/>
  <c r="B4427" i="4" s="1"/>
  <c r="B4428" i="4" s="1"/>
  <c r="B4429" i="4" s="1"/>
  <c r="B4430" i="4" s="1"/>
  <c r="B4431" i="4" s="1"/>
  <c r="B4432" i="4" s="1"/>
  <c r="B4433" i="4" s="1"/>
  <c r="B4434" i="4" s="1"/>
  <c r="B4435" i="4" s="1"/>
  <c r="B4436" i="4" s="1"/>
  <c r="B4437" i="4" s="1"/>
  <c r="B4438" i="4" s="1"/>
  <c r="B4439" i="4" s="1"/>
  <c r="B4440" i="4" s="1"/>
  <c r="B4441" i="4" s="1"/>
  <c r="B4442" i="4" s="1"/>
  <c r="B4443" i="4" s="1"/>
  <c r="B4444" i="4" s="1"/>
  <c r="B4445" i="4" s="1"/>
  <c r="B4446" i="4" s="1"/>
  <c r="B4447" i="4" s="1"/>
  <c r="B4448" i="4" s="1"/>
  <c r="B4449" i="4" s="1"/>
  <c r="B4450" i="4" s="1"/>
  <c r="B4451" i="4" s="1"/>
  <c r="B4452" i="4" s="1"/>
  <c r="B4453" i="4" s="1"/>
  <c r="B4454" i="4" s="1"/>
  <c r="B4455" i="4" s="1"/>
  <c r="B4456" i="4" s="1"/>
  <c r="B4457" i="4" s="1"/>
  <c r="B4458" i="4" s="1"/>
  <c r="B4459" i="4" s="1"/>
  <c r="B4460" i="4" s="1"/>
  <c r="B4461" i="4" s="1"/>
  <c r="B4462" i="4" s="1"/>
  <c r="B4463" i="4" s="1"/>
  <c r="B4464" i="4" s="1"/>
  <c r="B4465" i="4" s="1"/>
  <c r="B4466" i="4" s="1"/>
  <c r="B4467" i="4" s="1"/>
  <c r="B4468" i="4" s="1"/>
  <c r="B4469" i="4" s="1"/>
  <c r="B4470" i="4" s="1"/>
  <c r="B4471" i="4" s="1"/>
  <c r="B4472" i="4" s="1"/>
  <c r="B4473" i="4" s="1"/>
  <c r="B4474" i="4" s="1"/>
  <c r="B4475" i="4" s="1"/>
  <c r="B4476" i="4" s="1"/>
  <c r="B4477" i="4" s="1"/>
  <c r="B4478" i="4" s="1"/>
  <c r="B4479" i="4" s="1"/>
  <c r="B4480" i="4" s="1"/>
  <c r="B4481" i="4" s="1"/>
  <c r="B4482" i="4" s="1"/>
  <c r="B4483" i="4" s="1"/>
  <c r="B4484" i="4" s="1"/>
  <c r="B4485" i="4" s="1"/>
  <c r="B4486" i="4" s="1"/>
  <c r="B4487" i="4" s="1"/>
  <c r="B4488" i="4" s="1"/>
  <c r="B4489" i="4" s="1"/>
  <c r="B4490" i="4" s="1"/>
  <c r="B4491" i="4" s="1"/>
  <c r="B4492" i="4" s="1"/>
  <c r="B4493" i="4" s="1"/>
  <c r="B4494" i="4" s="1"/>
  <c r="B4495" i="4" s="1"/>
  <c r="B4496" i="4" s="1"/>
  <c r="B4497" i="4" s="1"/>
  <c r="B4498" i="4" s="1"/>
  <c r="B4499" i="4" s="1"/>
  <c r="B4500" i="4" s="1"/>
  <c r="B4501" i="4" s="1"/>
  <c r="B4502" i="4" s="1"/>
  <c r="B4503" i="4" s="1"/>
  <c r="B4504" i="4" s="1"/>
  <c r="B4505" i="4" s="1"/>
  <c r="B4506" i="4" s="1"/>
  <c r="B4507" i="4" s="1"/>
  <c r="B4508" i="4" s="1"/>
  <c r="B4509" i="4" s="1"/>
  <c r="B4510" i="4" s="1"/>
  <c r="B4511" i="4" s="1"/>
  <c r="B4512" i="4" s="1"/>
  <c r="B4513" i="4" s="1"/>
  <c r="B4514" i="4" s="1"/>
  <c r="B4515" i="4" s="1"/>
  <c r="B4516" i="4" s="1"/>
  <c r="B4517" i="4" s="1"/>
  <c r="B4518" i="4" s="1"/>
  <c r="B4519" i="4" s="1"/>
  <c r="B4520" i="4" s="1"/>
  <c r="B4521" i="4" s="1"/>
  <c r="B4522" i="4" s="1"/>
  <c r="B4523" i="4" s="1"/>
  <c r="B4524" i="4" s="1"/>
  <c r="B4525" i="4" s="1"/>
  <c r="B4526" i="4" s="1"/>
  <c r="B4527" i="4" s="1"/>
  <c r="B4528" i="4" s="1"/>
  <c r="B4529" i="4" s="1"/>
  <c r="B4530" i="4" s="1"/>
  <c r="B4531" i="4" s="1"/>
  <c r="B4532" i="4" s="1"/>
  <c r="B4533" i="4" s="1"/>
  <c r="B4534" i="4" s="1"/>
  <c r="B4535" i="4" s="1"/>
  <c r="B4536" i="4" s="1"/>
  <c r="B4537" i="4" s="1"/>
  <c r="B4538" i="4" s="1"/>
  <c r="B4539" i="4" s="1"/>
  <c r="B4540" i="4" s="1"/>
  <c r="B4541" i="4" s="1"/>
  <c r="B4542" i="4" s="1"/>
  <c r="B4543" i="4" s="1"/>
  <c r="B4544" i="4" s="1"/>
  <c r="B4545" i="4" s="1"/>
  <c r="B4546" i="4" s="1"/>
  <c r="B4547" i="4" s="1"/>
  <c r="B4548" i="4" s="1"/>
  <c r="B4549" i="4" s="1"/>
  <c r="B4550" i="4" s="1"/>
  <c r="B4551" i="4" s="1"/>
  <c r="B4552" i="4" s="1"/>
  <c r="B4553" i="4" s="1"/>
  <c r="B4554" i="4" s="1"/>
  <c r="B4555" i="4" s="1"/>
  <c r="B4556" i="4" s="1"/>
  <c r="B4557" i="4" s="1"/>
  <c r="B4558" i="4" s="1"/>
  <c r="B4559" i="4" s="1"/>
  <c r="B4560" i="4" s="1"/>
  <c r="B4561" i="4" s="1"/>
  <c r="B4562" i="4" s="1"/>
  <c r="B4563" i="4" s="1"/>
  <c r="B4564" i="4" s="1"/>
  <c r="B4565" i="4" s="1"/>
  <c r="B4566" i="4" s="1"/>
  <c r="B4567" i="4" s="1"/>
  <c r="B4568" i="4" s="1"/>
  <c r="B4569" i="4" s="1"/>
  <c r="B4570" i="4" s="1"/>
  <c r="B4571" i="4" s="1"/>
  <c r="B4572" i="4" s="1"/>
  <c r="B4573" i="4" s="1"/>
  <c r="B4574" i="4" s="1"/>
  <c r="B4575" i="4" s="1"/>
  <c r="B4576" i="4" s="1"/>
  <c r="B4577" i="4" s="1"/>
  <c r="B4578" i="4" s="1"/>
  <c r="B4579" i="4" s="1"/>
  <c r="B4580" i="4" s="1"/>
  <c r="B4581" i="4" s="1"/>
  <c r="B4582" i="4" s="1"/>
  <c r="B4583" i="4" s="1"/>
  <c r="B4584" i="4" s="1"/>
  <c r="B4585" i="4" s="1"/>
  <c r="B4586" i="4" s="1"/>
  <c r="B4587" i="4" s="1"/>
  <c r="B4588" i="4" s="1"/>
  <c r="B4589" i="4" s="1"/>
  <c r="B4590" i="4" s="1"/>
  <c r="B4591" i="4" s="1"/>
  <c r="B4592" i="4" s="1"/>
  <c r="B4593" i="4" s="1"/>
  <c r="B4594" i="4" s="1"/>
  <c r="B4595" i="4" s="1"/>
  <c r="B4596" i="4" s="1"/>
  <c r="B4597" i="4" s="1"/>
  <c r="B4598" i="4" s="1"/>
  <c r="B4599" i="4" s="1"/>
  <c r="B4600" i="4" s="1"/>
  <c r="B4601" i="4" s="1"/>
  <c r="B4602" i="4" s="1"/>
  <c r="B4603" i="4" s="1"/>
  <c r="B4604" i="4" s="1"/>
  <c r="B4605" i="4" s="1"/>
  <c r="B4606" i="4" s="1"/>
  <c r="B4607" i="4" s="1"/>
  <c r="B4608" i="4" s="1"/>
  <c r="B4609" i="4" s="1"/>
  <c r="B4610" i="4" s="1"/>
  <c r="B4611" i="4" s="1"/>
  <c r="B4612" i="4" s="1"/>
  <c r="B4613" i="4" s="1"/>
  <c r="B4614" i="4" s="1"/>
  <c r="B4615" i="4" s="1"/>
  <c r="B4616" i="4" s="1"/>
  <c r="B4617" i="4" s="1"/>
  <c r="B4618" i="4" s="1"/>
  <c r="B4619" i="4" s="1"/>
  <c r="B4620" i="4" s="1"/>
  <c r="B4621" i="4" s="1"/>
  <c r="B4622" i="4" s="1"/>
  <c r="B4623" i="4" s="1"/>
  <c r="B4624" i="4" s="1"/>
  <c r="B4625" i="4" s="1"/>
  <c r="B4626" i="4" s="1"/>
  <c r="B4627" i="4" s="1"/>
  <c r="B4628" i="4" s="1"/>
  <c r="B4629" i="4" s="1"/>
  <c r="B4630" i="4" s="1"/>
  <c r="B4631" i="4" s="1"/>
  <c r="B4632" i="4" s="1"/>
  <c r="B4633" i="4" s="1"/>
  <c r="B4634" i="4" s="1"/>
  <c r="B4635" i="4" s="1"/>
  <c r="B4636" i="4" s="1"/>
  <c r="B4637" i="4" s="1"/>
  <c r="B4638" i="4" s="1"/>
  <c r="B4639" i="4" s="1"/>
  <c r="B4640" i="4" s="1"/>
  <c r="B4641" i="4" s="1"/>
  <c r="B4642" i="4" s="1"/>
  <c r="B4643" i="4" s="1"/>
  <c r="B4644" i="4" s="1"/>
  <c r="B4645" i="4" s="1"/>
  <c r="B4646" i="4" s="1"/>
  <c r="B4647" i="4" s="1"/>
  <c r="B4648" i="4" s="1"/>
  <c r="B4649" i="4" s="1"/>
  <c r="B4650" i="4" s="1"/>
  <c r="B4651" i="4" s="1"/>
  <c r="B4652" i="4" s="1"/>
  <c r="B4653" i="4" s="1"/>
  <c r="B4654" i="4" s="1"/>
  <c r="B4655" i="4" s="1"/>
  <c r="B4656" i="4" s="1"/>
  <c r="B4657" i="4" s="1"/>
  <c r="B4658" i="4" s="1"/>
  <c r="B4659" i="4" s="1"/>
  <c r="B4660" i="4" s="1"/>
  <c r="B4661" i="4" s="1"/>
  <c r="B4662" i="4" s="1"/>
  <c r="B4663" i="4" s="1"/>
  <c r="B4664" i="4" s="1"/>
  <c r="B4665" i="4" s="1"/>
  <c r="B4666" i="4" s="1"/>
  <c r="B4667" i="4" s="1"/>
  <c r="B4668" i="4" s="1"/>
  <c r="B4669" i="4" s="1"/>
  <c r="B4670" i="4" s="1"/>
  <c r="B4671" i="4" s="1"/>
  <c r="B4672" i="4" s="1"/>
  <c r="B4673" i="4" s="1"/>
  <c r="B4674" i="4" s="1"/>
  <c r="B4675" i="4" s="1"/>
  <c r="B4676" i="4" s="1"/>
  <c r="B4677" i="4" s="1"/>
  <c r="B4678" i="4" s="1"/>
  <c r="B4679" i="4" s="1"/>
  <c r="B4680" i="4" s="1"/>
  <c r="B4681" i="4" s="1"/>
  <c r="B4682" i="4" s="1"/>
  <c r="B4683" i="4" s="1"/>
  <c r="B4684" i="4" s="1"/>
  <c r="B4685" i="4" s="1"/>
  <c r="B4686" i="4" s="1"/>
  <c r="B4687" i="4" s="1"/>
  <c r="B4688" i="4" s="1"/>
  <c r="B4689" i="4" s="1"/>
  <c r="B4690" i="4" s="1"/>
  <c r="B4691" i="4" s="1"/>
  <c r="B4692" i="4" s="1"/>
  <c r="B4693" i="4" s="1"/>
  <c r="B4694" i="4" s="1"/>
  <c r="B4695" i="4" s="1"/>
  <c r="B4696" i="4" s="1"/>
  <c r="B4697" i="4" s="1"/>
  <c r="B4698" i="4" s="1"/>
  <c r="B4699" i="4" s="1"/>
  <c r="B4700" i="4" s="1"/>
  <c r="B4701" i="4" s="1"/>
  <c r="B4702" i="4" s="1"/>
  <c r="B4703" i="4" s="1"/>
  <c r="B4704" i="4" s="1"/>
  <c r="B4705" i="4" s="1"/>
  <c r="B4706" i="4" s="1"/>
  <c r="B4707" i="4" s="1"/>
  <c r="B4708" i="4" s="1"/>
  <c r="B4709" i="4" s="1"/>
  <c r="B4710" i="4" s="1"/>
  <c r="B4711" i="4" s="1"/>
  <c r="B4712" i="4" s="1"/>
  <c r="B4713" i="4" s="1"/>
  <c r="B4714" i="4" s="1"/>
  <c r="B4715" i="4" s="1"/>
  <c r="B4716" i="4" s="1"/>
  <c r="B4717" i="4" s="1"/>
  <c r="B4718" i="4" s="1"/>
  <c r="B4719" i="4" s="1"/>
  <c r="B4720" i="4" s="1"/>
  <c r="B4721" i="4" s="1"/>
  <c r="B4722" i="4" s="1"/>
  <c r="B4723" i="4" s="1"/>
  <c r="B4724" i="4" s="1"/>
  <c r="B4725" i="4" s="1"/>
  <c r="B4726" i="4" s="1"/>
  <c r="B4727" i="4" s="1"/>
  <c r="B4728" i="4" s="1"/>
  <c r="B4729" i="4" s="1"/>
  <c r="B4730" i="4" s="1"/>
  <c r="B4731" i="4" s="1"/>
  <c r="B4732" i="4" s="1"/>
  <c r="B4733" i="4" s="1"/>
  <c r="B4734" i="4" s="1"/>
  <c r="B4735" i="4" s="1"/>
  <c r="B4736" i="4" s="1"/>
  <c r="B4737" i="4" s="1"/>
  <c r="B4738" i="4" s="1"/>
  <c r="B4739" i="4" s="1"/>
  <c r="B4740" i="4" s="1"/>
  <c r="B4741" i="4" s="1"/>
  <c r="B4742" i="4" s="1"/>
  <c r="B4743" i="4" s="1"/>
  <c r="B4744" i="4" s="1"/>
  <c r="B4745" i="4" s="1"/>
  <c r="B4746" i="4" s="1"/>
  <c r="B4747" i="4" s="1"/>
  <c r="B4748" i="4" s="1"/>
  <c r="B4749" i="4" s="1"/>
  <c r="B4750" i="4" s="1"/>
  <c r="B4751" i="4" s="1"/>
  <c r="B4752" i="4" s="1"/>
  <c r="B4753" i="4" s="1"/>
  <c r="B4754" i="4" s="1"/>
  <c r="B4755" i="4" s="1"/>
  <c r="B4756" i="4" s="1"/>
  <c r="B4757" i="4" s="1"/>
  <c r="B4758" i="4" s="1"/>
  <c r="B4759" i="4" s="1"/>
  <c r="B4760" i="4" s="1"/>
  <c r="B4761" i="4" s="1"/>
  <c r="B4762" i="4" s="1"/>
  <c r="B4763" i="4" s="1"/>
  <c r="B4764" i="4" s="1"/>
  <c r="B4765" i="4" s="1"/>
  <c r="B4766" i="4" s="1"/>
  <c r="B4767" i="4" s="1"/>
  <c r="B4768" i="4" s="1"/>
  <c r="B4769" i="4" s="1"/>
  <c r="B4770" i="4" s="1"/>
  <c r="B4771" i="4" s="1"/>
  <c r="B4772" i="4" s="1"/>
  <c r="B4773" i="4" s="1"/>
  <c r="B4774" i="4" s="1"/>
  <c r="B4775" i="4" s="1"/>
  <c r="B4776" i="4" s="1"/>
  <c r="B4777" i="4" s="1"/>
  <c r="B4778" i="4" s="1"/>
  <c r="B4779" i="4" s="1"/>
  <c r="B4780" i="4" s="1"/>
  <c r="B4781" i="4" s="1"/>
  <c r="B4782" i="4" s="1"/>
  <c r="B4783" i="4" s="1"/>
  <c r="B4784" i="4" s="1"/>
  <c r="B4785" i="4" s="1"/>
  <c r="B4786" i="4" s="1"/>
  <c r="B4787" i="4" s="1"/>
  <c r="B4788" i="4" s="1"/>
  <c r="B4789" i="4" s="1"/>
  <c r="B4790" i="4" s="1"/>
  <c r="B4791" i="4" s="1"/>
  <c r="B4792" i="4" s="1"/>
  <c r="B4793" i="4" s="1"/>
  <c r="B4794" i="4" s="1"/>
  <c r="B4795" i="4" s="1"/>
  <c r="B4796" i="4" s="1"/>
  <c r="B4797" i="4" s="1"/>
  <c r="B4798" i="4" s="1"/>
  <c r="B4799" i="4" s="1"/>
  <c r="B4800" i="4" s="1"/>
  <c r="B4801" i="4" s="1"/>
  <c r="B4802" i="4" s="1"/>
  <c r="B4803" i="4" s="1"/>
  <c r="B4804" i="4" s="1"/>
  <c r="B4805" i="4" s="1"/>
  <c r="B4806" i="4" s="1"/>
  <c r="B4807" i="4" s="1"/>
  <c r="B4808" i="4" s="1"/>
  <c r="B4809" i="4" s="1"/>
  <c r="B4810" i="4" s="1"/>
  <c r="B4811" i="4" s="1"/>
  <c r="B4812" i="4" s="1"/>
  <c r="B4813" i="4" s="1"/>
  <c r="B4814" i="4" s="1"/>
  <c r="B4815" i="4" s="1"/>
  <c r="B4816" i="4" s="1"/>
  <c r="B4817" i="4" s="1"/>
  <c r="B4818" i="4" s="1"/>
  <c r="B4819" i="4" s="1"/>
  <c r="B4820" i="4" s="1"/>
  <c r="B4821" i="4" s="1"/>
  <c r="B4822" i="4" s="1"/>
  <c r="B4823" i="4" s="1"/>
  <c r="B4824" i="4" s="1"/>
  <c r="B4825" i="4" s="1"/>
  <c r="B4826" i="4" s="1"/>
  <c r="B4827" i="4" s="1"/>
  <c r="B4828" i="4" s="1"/>
  <c r="B4829" i="4" s="1"/>
  <c r="B4830" i="4" s="1"/>
  <c r="B4831" i="4" s="1"/>
  <c r="B4832" i="4" s="1"/>
  <c r="B4833" i="4" s="1"/>
  <c r="B4834" i="4" s="1"/>
  <c r="B4835" i="4" s="1"/>
  <c r="B4836" i="4" s="1"/>
  <c r="B4837" i="4" s="1"/>
  <c r="B4838" i="4" s="1"/>
  <c r="B4839" i="4" s="1"/>
  <c r="B4840" i="4" s="1"/>
  <c r="B4841" i="4" s="1"/>
  <c r="B4842" i="4" s="1"/>
  <c r="B4843" i="4" s="1"/>
  <c r="B4844" i="4" s="1"/>
  <c r="B4845" i="4" s="1"/>
  <c r="B4846" i="4" s="1"/>
  <c r="B4847" i="4" s="1"/>
  <c r="B4848" i="4" s="1"/>
  <c r="B4849" i="4" s="1"/>
  <c r="B4850" i="4" s="1"/>
  <c r="B4851" i="4" s="1"/>
  <c r="B4852" i="4" s="1"/>
  <c r="B4853" i="4" s="1"/>
  <c r="B4854" i="4" s="1"/>
  <c r="B4855" i="4" s="1"/>
  <c r="B4856" i="4" s="1"/>
  <c r="B4857" i="4" s="1"/>
  <c r="B4858" i="4" s="1"/>
  <c r="B4859" i="4" s="1"/>
  <c r="B4860" i="4" s="1"/>
  <c r="B4861" i="4" s="1"/>
  <c r="B4862" i="4" s="1"/>
  <c r="B4863" i="4" s="1"/>
  <c r="B4864" i="4" s="1"/>
  <c r="B4865" i="4" s="1"/>
  <c r="B4866" i="4" s="1"/>
  <c r="B4867" i="4" s="1"/>
  <c r="B4868" i="4" s="1"/>
  <c r="B4869" i="4" s="1"/>
  <c r="B4870" i="4" s="1"/>
  <c r="B4871" i="4" s="1"/>
  <c r="B4872" i="4" s="1"/>
  <c r="B4873" i="4" s="1"/>
  <c r="B4874" i="4" s="1"/>
  <c r="B4875" i="4" s="1"/>
  <c r="B4876" i="4" s="1"/>
  <c r="B4877" i="4" s="1"/>
  <c r="B4878" i="4" s="1"/>
  <c r="B4879" i="4" s="1"/>
  <c r="B4880" i="4" s="1"/>
  <c r="B4881" i="4" s="1"/>
  <c r="B4882" i="4" s="1"/>
  <c r="B4883" i="4" s="1"/>
  <c r="B4884" i="4" s="1"/>
  <c r="B4885" i="4" s="1"/>
  <c r="B4886" i="4" s="1"/>
  <c r="B4887" i="4" s="1"/>
  <c r="B4888" i="4" s="1"/>
  <c r="B4889" i="4" s="1"/>
  <c r="B4890" i="4" s="1"/>
  <c r="B4891" i="4" s="1"/>
  <c r="B4892" i="4" s="1"/>
  <c r="B4893" i="4" s="1"/>
  <c r="B4894" i="4" s="1"/>
  <c r="B4895" i="4" s="1"/>
  <c r="B4896" i="4" s="1"/>
  <c r="B4897" i="4" s="1"/>
  <c r="B4898" i="4" s="1"/>
  <c r="B4899" i="4" s="1"/>
  <c r="B4900" i="4" s="1"/>
  <c r="B4901" i="4" s="1"/>
  <c r="B4902" i="4" s="1"/>
  <c r="B4903" i="4" s="1"/>
  <c r="B4904" i="4" s="1"/>
  <c r="B4905" i="4" s="1"/>
  <c r="B4906" i="4" s="1"/>
  <c r="B4907" i="4" s="1"/>
  <c r="B4908" i="4" s="1"/>
  <c r="B4909" i="4" s="1"/>
  <c r="B4910" i="4" s="1"/>
  <c r="B4911" i="4" s="1"/>
  <c r="B4912" i="4" s="1"/>
  <c r="B4913" i="4" s="1"/>
  <c r="B4914" i="4" s="1"/>
  <c r="B4915" i="4" s="1"/>
  <c r="B4916" i="4" s="1"/>
  <c r="B4917" i="4" s="1"/>
  <c r="B4918" i="4" s="1"/>
  <c r="B4919" i="4" s="1"/>
  <c r="B4920" i="4" s="1"/>
  <c r="B4921" i="4" s="1"/>
  <c r="B4922" i="4" s="1"/>
  <c r="B4923" i="4" s="1"/>
  <c r="B4924" i="4" s="1"/>
  <c r="B4925" i="4" s="1"/>
  <c r="B4926" i="4" s="1"/>
  <c r="B4927" i="4" s="1"/>
  <c r="B4928" i="4" s="1"/>
  <c r="B4929" i="4" s="1"/>
  <c r="B4930" i="4" s="1"/>
  <c r="B4931" i="4" s="1"/>
  <c r="B4932" i="4" s="1"/>
  <c r="B4933" i="4" s="1"/>
  <c r="B4934" i="4" s="1"/>
  <c r="B4935" i="4" s="1"/>
  <c r="B4936" i="4" s="1"/>
  <c r="B4937" i="4" s="1"/>
  <c r="B4938" i="4" s="1"/>
  <c r="B4939" i="4" s="1"/>
  <c r="B4940" i="4" s="1"/>
  <c r="B4941" i="4" s="1"/>
  <c r="B4942" i="4" s="1"/>
  <c r="B4943" i="4" s="1"/>
  <c r="B4944" i="4" s="1"/>
  <c r="B4945" i="4" s="1"/>
  <c r="B4946" i="4" s="1"/>
  <c r="B4947" i="4" s="1"/>
  <c r="B4948" i="4" s="1"/>
  <c r="B4949" i="4" s="1"/>
  <c r="B4950" i="4" s="1"/>
  <c r="B4951" i="4" s="1"/>
  <c r="B4952" i="4" s="1"/>
  <c r="B4953" i="4" s="1"/>
  <c r="B4954" i="4" s="1"/>
  <c r="B4955" i="4" s="1"/>
  <c r="B4956" i="4" s="1"/>
  <c r="B4957" i="4" s="1"/>
  <c r="B4958" i="4" s="1"/>
  <c r="B4959" i="4" s="1"/>
  <c r="B4960" i="4" s="1"/>
  <c r="B4961" i="4" s="1"/>
  <c r="B4962" i="4" s="1"/>
  <c r="B4963" i="4" s="1"/>
  <c r="B4964" i="4" s="1"/>
  <c r="B4965" i="4" s="1"/>
  <c r="B4966" i="4" s="1"/>
  <c r="B4967" i="4" s="1"/>
  <c r="B4968" i="4" s="1"/>
  <c r="B4969" i="4" s="1"/>
  <c r="B4970" i="4" s="1"/>
  <c r="B4971" i="4" s="1"/>
  <c r="B4972" i="4" s="1"/>
  <c r="B4973" i="4" s="1"/>
  <c r="B4974" i="4" s="1"/>
  <c r="B4975" i="4" s="1"/>
  <c r="B4976" i="4" s="1"/>
  <c r="B4977" i="4" s="1"/>
  <c r="B4978" i="4" s="1"/>
  <c r="B4979" i="4" s="1"/>
  <c r="B4980" i="4" s="1"/>
  <c r="B4981" i="4" s="1"/>
  <c r="B4982" i="4" s="1"/>
  <c r="B4983" i="4" s="1"/>
  <c r="B4984" i="4" s="1"/>
  <c r="B4985" i="4" s="1"/>
  <c r="B4986" i="4" s="1"/>
  <c r="B4987" i="4" s="1"/>
  <c r="B4988" i="4" s="1"/>
  <c r="B4989" i="4" s="1"/>
  <c r="B4990" i="4" s="1"/>
  <c r="B4991" i="4" s="1"/>
  <c r="B4992" i="4" s="1"/>
  <c r="B4993" i="4" s="1"/>
  <c r="B4994" i="4" s="1"/>
  <c r="B4995" i="4" s="1"/>
  <c r="B4996" i="4" s="1"/>
  <c r="B4997" i="4" s="1"/>
  <c r="B4998" i="4" s="1"/>
  <c r="B4999" i="4" s="1"/>
  <c r="B5000" i="4" s="1"/>
  <c r="B5001" i="4" s="1"/>
  <c r="B5002" i="4" s="1"/>
  <c r="B5003" i="4" s="1"/>
  <c r="B5004" i="4" s="1"/>
  <c r="B5005" i="4" s="1"/>
  <c r="B5006" i="4" s="1"/>
  <c r="B5007" i="4" s="1"/>
  <c r="B5008" i="4" s="1"/>
  <c r="B5009" i="4" s="1"/>
  <c r="B5010" i="4" s="1"/>
  <c r="B5011" i="4" s="1"/>
  <c r="B5012" i="4" s="1"/>
  <c r="B5013" i="4" s="1"/>
  <c r="B5014" i="4" s="1"/>
  <c r="B5015" i="4" s="1"/>
  <c r="G15" i="6" l="1" a="1"/>
  <c r="G15" i="6" s="1"/>
  <c r="G39" i="6" s="1" a="1"/>
  <c r="G39" i="6" s="1"/>
  <c r="L4" i="4" s="1"/>
  <c r="L5" i="4" s="1"/>
  <c r="J3" i="4"/>
  <c r="AI6" i="5"/>
  <c r="AQ6" i="5" s="1"/>
  <c r="AE6" i="5"/>
  <c r="AM6" i="5" s="1"/>
  <c r="AA5" i="5" a="1"/>
  <c r="AA5" i="5" s="1"/>
  <c r="AB5" i="5" s="1"/>
  <c r="AE5" i="5"/>
  <c r="AM5" i="5" s="1"/>
  <c r="AA6" i="5" a="1"/>
  <c r="AA6" i="5" s="1"/>
  <c r="AB6" i="5" s="1"/>
  <c r="AC6" i="5" s="1"/>
  <c r="AK6" i="5" s="1"/>
  <c r="AS6" i="5" s="1"/>
  <c r="C2516" i="4" a="1"/>
  <c r="J4" i="4" l="1"/>
  <c r="J5" i="4" s="1"/>
  <c r="G17" i="6"/>
  <c r="D104" i="4" s="1"/>
  <c r="F104" i="4" s="1"/>
  <c r="D42" i="4"/>
  <c r="E42" i="4" s="1"/>
  <c r="D178" i="4"/>
  <c r="F178" i="4" s="1"/>
  <c r="D155" i="4"/>
  <c r="E155" i="4" s="1"/>
  <c r="D657" i="4"/>
  <c r="E657" i="4" s="1"/>
  <c r="D28" i="4"/>
  <c r="E28" i="4" s="1"/>
  <c r="D328" i="4"/>
  <c r="F328" i="4" s="1"/>
  <c r="D437" i="4"/>
  <c r="F437" i="4" s="1"/>
  <c r="D69" i="4"/>
  <c r="E69" i="4" s="1"/>
  <c r="D370" i="4"/>
  <c r="E370" i="4" s="1"/>
  <c r="D242" i="4"/>
  <c r="F242" i="4" s="1"/>
  <c r="D444" i="4"/>
  <c r="F444" i="4" s="1"/>
  <c r="D564" i="4"/>
  <c r="E564" i="4" s="1"/>
  <c r="D44" i="4"/>
  <c r="F44" i="4" s="1"/>
  <c r="D137" i="4"/>
  <c r="E137" i="4" s="1"/>
  <c r="D90" i="4"/>
  <c r="F90" i="4" s="1"/>
  <c r="D218" i="4"/>
  <c r="F218" i="4" s="1"/>
  <c r="D180" i="4"/>
  <c r="F180" i="4" s="1"/>
  <c r="D377" i="4"/>
  <c r="E377" i="4" s="1"/>
  <c r="D739" i="4"/>
  <c r="E739" i="4" s="1"/>
  <c r="D613" i="4"/>
  <c r="E613" i="4" s="1"/>
  <c r="D662" i="4"/>
  <c r="E662" i="4" s="1"/>
  <c r="D433" i="4"/>
  <c r="E433" i="4" s="1"/>
  <c r="D611" i="4"/>
  <c r="F611" i="4" s="1"/>
  <c r="D295" i="4"/>
  <c r="E295" i="4" s="1"/>
  <c r="D169" i="4"/>
  <c r="F169" i="4" s="1"/>
  <c r="D264" i="4"/>
  <c r="E264" i="4" s="1"/>
  <c r="D367" i="4"/>
  <c r="F367" i="4" s="1"/>
  <c r="D114" i="4"/>
  <c r="E114" i="4" s="1"/>
  <c r="D455" i="4"/>
  <c r="E455" i="4" s="1"/>
  <c r="D383" i="4"/>
  <c r="F383" i="4" s="1"/>
  <c r="D810" i="4"/>
  <c r="E810" i="4" s="1"/>
  <c r="D676" i="4"/>
  <c r="F676" i="4" s="1"/>
  <c r="D805" i="4"/>
  <c r="F805" i="4" s="1"/>
  <c r="D204" i="4"/>
  <c r="E204" i="4" s="1"/>
  <c r="D401" i="4"/>
  <c r="F401" i="4" s="1"/>
  <c r="D653" i="4"/>
  <c r="E653" i="4" s="1"/>
  <c r="D627" i="4"/>
  <c r="F627" i="4" s="1"/>
  <c r="D25" i="4"/>
  <c r="F25" i="4" s="1"/>
  <c r="D158" i="4"/>
  <c r="F158" i="4" s="1"/>
  <c r="D143" i="4"/>
  <c r="F143" i="4" s="1"/>
  <c r="D286" i="4"/>
  <c r="F286" i="4" s="1"/>
  <c r="D443" i="4"/>
  <c r="E443" i="4" s="1"/>
  <c r="D112" i="4"/>
  <c r="F112" i="4" s="1"/>
  <c r="D200" i="4"/>
  <c r="E200" i="4" s="1"/>
  <c r="D374" i="4"/>
  <c r="E374" i="4" s="1"/>
  <c r="D33" i="4"/>
  <c r="E33" i="4" s="1"/>
  <c r="D102" i="4"/>
  <c r="F102" i="4" s="1"/>
  <c r="D74" i="4"/>
  <c r="E74" i="4" s="1"/>
  <c r="D151" i="4"/>
  <c r="E151" i="4" s="1"/>
  <c r="D302" i="4"/>
  <c r="F302" i="4" s="1"/>
  <c r="D450" i="4"/>
  <c r="F450" i="4" s="1"/>
  <c r="D35" i="4"/>
  <c r="F35" i="4" s="1"/>
  <c r="D128" i="4"/>
  <c r="F128" i="4" s="1"/>
  <c r="D216" i="4"/>
  <c r="E216" i="4" s="1"/>
  <c r="D303" i="4"/>
  <c r="F303" i="4" s="1"/>
  <c r="D480" i="4"/>
  <c r="F480" i="4" s="1"/>
  <c r="D177" i="4"/>
  <c r="F177" i="4" s="1"/>
  <c r="D390" i="4"/>
  <c r="E390" i="4" s="1"/>
  <c r="D497" i="4"/>
  <c r="E497" i="4" s="1"/>
  <c r="D130" i="4"/>
  <c r="F130" i="4" s="1"/>
  <c r="D47" i="4"/>
  <c r="F47" i="4" s="1"/>
  <c r="D461" i="4"/>
  <c r="F461" i="4" s="1"/>
  <c r="D407" i="4"/>
  <c r="E407" i="4" s="1"/>
  <c r="D273" i="4"/>
  <c r="E273" i="4" s="1"/>
  <c r="D893" i="4"/>
  <c r="F893" i="4" s="1"/>
  <c r="D77" i="4"/>
  <c r="E77" i="4" s="1"/>
  <c r="D194" i="4"/>
  <c r="F194" i="4" s="1"/>
  <c r="D100" i="4"/>
  <c r="E100" i="4" s="1"/>
  <c r="D267" i="4"/>
  <c r="E267" i="4" s="1"/>
  <c r="D432" i="4"/>
  <c r="F432" i="4" s="1"/>
  <c r="D600" i="4"/>
  <c r="F600" i="4" s="1"/>
  <c r="D392" i="4"/>
  <c r="F392" i="4" s="1"/>
  <c r="D732" i="4"/>
  <c r="F732" i="4" s="1"/>
  <c r="D274" i="4"/>
  <c r="F274" i="4" s="1"/>
  <c r="D131" i="4"/>
  <c r="F131" i="4" s="1"/>
  <c r="D789" i="4"/>
  <c r="E789" i="4" s="1"/>
  <c r="D148" i="4"/>
  <c r="F148" i="4" s="1"/>
  <c r="D484" i="4"/>
  <c r="E484" i="4" s="1"/>
  <c r="D628" i="4"/>
  <c r="F628" i="4" s="1"/>
  <c r="D842" i="4"/>
  <c r="F842" i="4" s="1"/>
  <c r="D493" i="4"/>
  <c r="E493" i="4" s="1"/>
  <c r="D843" i="4"/>
  <c r="F843" i="4" s="1"/>
  <c r="D463" i="4"/>
  <c r="E463" i="4" s="1"/>
  <c r="D394" i="4"/>
  <c r="F394" i="4" s="1"/>
  <c r="D332" i="4"/>
  <c r="F332" i="4" s="1"/>
  <c r="D538" i="4"/>
  <c r="E538" i="4" s="1"/>
  <c r="D80" i="4"/>
  <c r="F80" i="4" s="1"/>
  <c r="D691" i="4"/>
  <c r="E691" i="4" s="1"/>
  <c r="D321" i="4"/>
  <c r="F321" i="4" s="1"/>
  <c r="D629" i="4"/>
  <c r="E629" i="4" s="1"/>
  <c r="D875" i="4"/>
  <c r="E875" i="4" s="1"/>
  <c r="D590" i="4"/>
  <c r="F590" i="4" s="1"/>
  <c r="D616" i="4"/>
  <c r="E616" i="4" s="1"/>
  <c r="D1168" i="4"/>
  <c r="E1168" i="4" s="1"/>
  <c r="D925" i="4"/>
  <c r="F925" i="4" s="1"/>
  <c r="D806" i="4"/>
  <c r="E806" i="4" s="1"/>
  <c r="D1476" i="4"/>
  <c r="F1476" i="4" s="1"/>
  <c r="D575" i="4"/>
  <c r="E575" i="4" s="1"/>
  <c r="D933" i="4"/>
  <c r="E933" i="4" s="1"/>
  <c r="D1172" i="4"/>
  <c r="E1172" i="4" s="1"/>
  <c r="D316" i="4"/>
  <c r="E316" i="4" s="1"/>
  <c r="D966" i="4"/>
  <c r="F966" i="4" s="1"/>
  <c r="D1377" i="4"/>
  <c r="F1377" i="4" s="1"/>
  <c r="D496" i="4"/>
  <c r="F496" i="4" s="1"/>
  <c r="D580" i="4"/>
  <c r="E580" i="4" s="1"/>
  <c r="D20" i="4"/>
  <c r="F20" i="4" s="1"/>
  <c r="D145" i="4"/>
  <c r="E145" i="4" s="1"/>
  <c r="D209" i="4"/>
  <c r="E209" i="4" s="1"/>
  <c r="D272" i="4"/>
  <c r="E272" i="4" s="1"/>
  <c r="D336" i="4"/>
  <c r="F336" i="4" s="1"/>
  <c r="D406" i="4"/>
  <c r="E406" i="4" s="1"/>
  <c r="D474" i="4"/>
  <c r="F474" i="4" s="1"/>
  <c r="D542" i="4"/>
  <c r="F542" i="4" s="1"/>
  <c r="D84" i="4"/>
  <c r="F84" i="4" s="1"/>
  <c r="D146" i="4"/>
  <c r="F146" i="4" s="1"/>
  <c r="D210" i="4"/>
  <c r="F210" i="4" s="1"/>
  <c r="D63" i="4"/>
  <c r="F63" i="4" s="1"/>
  <c r="D140" i="4"/>
  <c r="E140" i="4" s="1"/>
  <c r="D228" i="4"/>
  <c r="F228" i="4" s="1"/>
  <c r="D307" i="4"/>
  <c r="E307" i="4" s="1"/>
  <c r="D476" i="4"/>
  <c r="F476" i="4" s="1"/>
  <c r="D552" i="4"/>
  <c r="F552" i="4" s="1"/>
  <c r="D16" i="4"/>
  <c r="E16" i="4" s="1"/>
  <c r="D391" i="4"/>
  <c r="E391" i="4" s="1"/>
  <c r="D620" i="4"/>
  <c r="F620" i="4" s="1"/>
  <c r="D731" i="4"/>
  <c r="E731" i="4" s="1"/>
  <c r="D818" i="4"/>
  <c r="F818" i="4" s="1"/>
  <c r="D485" i="4"/>
  <c r="F485" i="4" s="1"/>
  <c r="D668" i="4"/>
  <c r="F668" i="4" s="1"/>
  <c r="D779" i="4"/>
  <c r="F779" i="4" s="1"/>
  <c r="D883" i="4"/>
  <c r="E883" i="4" s="1"/>
  <c r="D290" i="4"/>
  <c r="E290" i="4" s="1"/>
  <c r="D478" i="4"/>
  <c r="F478" i="4" s="1"/>
  <c r="D638" i="4"/>
  <c r="F638" i="4" s="1"/>
  <c r="D410" i="4"/>
  <c r="F410" i="4" s="1"/>
  <c r="D678" i="4"/>
  <c r="E678" i="4" s="1"/>
  <c r="D829" i="4"/>
  <c r="F829" i="4" s="1"/>
  <c r="D957" i="4"/>
  <c r="E957" i="4" s="1"/>
  <c r="D387" i="4"/>
  <c r="F387" i="4" s="1"/>
  <c r="D695" i="4"/>
  <c r="F695" i="4" s="1"/>
  <c r="D894" i="4"/>
  <c r="F894" i="4" s="1"/>
  <c r="D728" i="4"/>
  <c r="F728" i="4" s="1"/>
  <c r="D1253" i="4"/>
  <c r="E1253" i="4" s="1"/>
  <c r="D1077" i="4"/>
  <c r="F1077" i="4" s="1"/>
  <c r="D974" i="4"/>
  <c r="F974" i="4" s="1"/>
  <c r="D460" i="4"/>
  <c r="E460" i="4" s="1"/>
  <c r="D1274" i="4"/>
  <c r="F1274" i="4" s="1"/>
  <c r="D795" i="4"/>
  <c r="E795" i="4" s="1"/>
  <c r="D298" i="4"/>
  <c r="F298" i="4" s="1"/>
  <c r="D486" i="4"/>
  <c r="F486" i="4" s="1"/>
  <c r="D661" i="4"/>
  <c r="F661" i="4" s="1"/>
  <c r="D171" i="4"/>
  <c r="E171" i="4" s="1"/>
  <c r="D418" i="4"/>
  <c r="F418" i="4" s="1"/>
  <c r="D718" i="4"/>
  <c r="E718" i="4" s="1"/>
  <c r="D845" i="4"/>
  <c r="E845" i="4" s="1"/>
  <c r="D403" i="4"/>
  <c r="F403" i="4" s="1"/>
  <c r="D751" i="4"/>
  <c r="F751" i="4" s="1"/>
  <c r="D950" i="4"/>
  <c r="F950" i="4" s="1"/>
  <c r="D285" i="4"/>
  <c r="E285" i="4" s="1"/>
  <c r="D780" i="4"/>
  <c r="F780" i="4" s="1"/>
  <c r="D1269" i="4"/>
  <c r="F1269" i="4" s="1"/>
  <c r="D1116" i="4"/>
  <c r="F1116" i="4" s="1"/>
  <c r="D515" i="4"/>
  <c r="E515" i="4" s="1"/>
  <c r="D1141" i="4"/>
  <c r="F1141" i="4" s="1"/>
  <c r="D34" i="4"/>
  <c r="E34" i="4" s="1"/>
  <c r="D103" i="4"/>
  <c r="F103" i="4" s="1"/>
  <c r="D167" i="4"/>
  <c r="F167" i="4" s="1"/>
  <c r="D231" i="4"/>
  <c r="E231" i="4" s="1"/>
  <c r="D294" i="4"/>
  <c r="E294" i="4" s="1"/>
  <c r="D420" i="4"/>
  <c r="F420" i="4" s="1"/>
  <c r="D495" i="4"/>
  <c r="E495" i="4" s="1"/>
  <c r="D579" i="4"/>
  <c r="F579" i="4" s="1"/>
  <c r="D642" i="4"/>
  <c r="F642" i="4" s="1"/>
  <c r="D51" i="4"/>
  <c r="E51" i="4" s="1"/>
  <c r="D120" i="4"/>
  <c r="E120" i="4" s="1"/>
  <c r="D184" i="4"/>
  <c r="E184" i="4" s="1"/>
  <c r="D319" i="4"/>
  <c r="F319" i="4" s="1"/>
  <c r="D381" i="4"/>
  <c r="F381" i="4" s="1"/>
  <c r="D451" i="4"/>
  <c r="F451" i="4" s="1"/>
  <c r="D512" i="4"/>
  <c r="E512" i="4" s="1"/>
  <c r="D596" i="4"/>
  <c r="F596" i="4" s="1"/>
  <c r="D36" i="4"/>
  <c r="F36" i="4" s="1"/>
  <c r="D97" i="4"/>
  <c r="F97" i="4" s="1"/>
  <c r="D225" i="4"/>
  <c r="F225" i="4" s="1"/>
  <c r="D288" i="4"/>
  <c r="F288" i="4" s="1"/>
  <c r="D351" i="4"/>
  <c r="F351" i="4" s="1"/>
  <c r="D422" i="4"/>
  <c r="F422" i="4" s="1"/>
  <c r="D489" i="4"/>
  <c r="E489" i="4" s="1"/>
  <c r="D557" i="4"/>
  <c r="F557" i="4" s="1"/>
  <c r="D37" i="4"/>
  <c r="F37" i="4" s="1"/>
  <c r="D162" i="4"/>
  <c r="F162" i="4" s="1"/>
  <c r="D226" i="4"/>
  <c r="F226" i="4" s="1"/>
  <c r="D79" i="4"/>
  <c r="F79" i="4" s="1"/>
  <c r="D164" i="4"/>
  <c r="E164" i="4" s="1"/>
  <c r="D244" i="4"/>
  <c r="E244" i="4" s="1"/>
  <c r="D331" i="4"/>
  <c r="F331" i="4" s="1"/>
  <c r="D417" i="4"/>
  <c r="F417" i="4" s="1"/>
  <c r="D576" i="4"/>
  <c r="F576" i="4" s="1"/>
  <c r="D40" i="4"/>
  <c r="F40" i="4" s="1"/>
  <c r="D415" i="4"/>
  <c r="F415" i="4" s="1"/>
  <c r="D652" i="4"/>
  <c r="F652" i="4" s="1"/>
  <c r="D747" i="4"/>
  <c r="E747" i="4" s="1"/>
  <c r="D257" i="4"/>
  <c r="F257" i="4" s="1"/>
  <c r="D368" i="4"/>
  <c r="F368" i="4" s="1"/>
  <c r="D684" i="4"/>
  <c r="F684" i="4" s="1"/>
  <c r="D811" i="4"/>
  <c r="E811" i="4" s="1"/>
  <c r="D931" i="4"/>
  <c r="F931" i="4" s="1"/>
  <c r="D306" i="4"/>
  <c r="E306" i="4" s="1"/>
  <c r="D502" i="4"/>
  <c r="F502" i="4" s="1"/>
  <c r="D685" i="4"/>
  <c r="E685" i="4" s="1"/>
  <c r="D195" i="4"/>
  <c r="E195" i="4" s="1"/>
  <c r="D726" i="4"/>
  <c r="E726" i="4" s="1"/>
  <c r="D853" i="4"/>
  <c r="F853" i="4" s="1"/>
  <c r="D268" i="4"/>
  <c r="E268" i="4" s="1"/>
  <c r="D411" i="4"/>
  <c r="E411" i="4" s="1"/>
  <c r="D767" i="4"/>
  <c r="F767" i="4" s="1"/>
  <c r="D293" i="4"/>
  <c r="E293" i="4" s="1"/>
  <c r="D844" i="4"/>
  <c r="F844" i="4" s="1"/>
  <c r="D1202" i="4"/>
  <c r="F1202" i="4" s="1"/>
  <c r="D1264" i="4"/>
  <c r="F1264" i="4" s="1"/>
  <c r="D1291" i="4"/>
  <c r="F1291" i="4" s="1"/>
  <c r="D2136" i="4"/>
  <c r="F2136" i="4" s="1"/>
  <c r="D170" i="4"/>
  <c r="D86" i="4"/>
  <c r="F86" i="4" s="1"/>
  <c r="D172" i="4"/>
  <c r="F172" i="4" s="1"/>
  <c r="D339" i="4"/>
  <c r="F339" i="4" s="1"/>
  <c r="D425" i="4"/>
  <c r="E425" i="4" s="1"/>
  <c r="D500" i="4"/>
  <c r="F500" i="4" s="1"/>
  <c r="D584" i="4"/>
  <c r="E584" i="4" s="1"/>
  <c r="D56" i="4"/>
  <c r="F56" i="4" s="1"/>
  <c r="D423" i="4"/>
  <c r="E423" i="4" s="1"/>
  <c r="D667" i="4"/>
  <c r="F667" i="4" s="1"/>
  <c r="D265" i="4"/>
  <c r="E265" i="4" s="1"/>
  <c r="D384" i="4"/>
  <c r="F384" i="4" s="1"/>
  <c r="D525" i="4"/>
  <c r="E525" i="4" s="1"/>
  <c r="D716" i="4"/>
  <c r="F716" i="4" s="1"/>
  <c r="D819" i="4"/>
  <c r="E819" i="4" s="1"/>
  <c r="D939" i="4"/>
  <c r="F939" i="4" s="1"/>
  <c r="D314" i="4"/>
  <c r="E314" i="4" s="1"/>
  <c r="D701" i="4"/>
  <c r="F701" i="4" s="1"/>
  <c r="D211" i="4"/>
  <c r="F211" i="4" s="1"/>
  <c r="D567" i="4"/>
  <c r="F567" i="4" s="1"/>
  <c r="D734" i="4"/>
  <c r="E734" i="4" s="1"/>
  <c r="D861" i="4"/>
  <c r="F861" i="4" s="1"/>
  <c r="D300" i="4"/>
  <c r="F300" i="4" s="1"/>
  <c r="D536" i="4"/>
  <c r="E536" i="4" s="1"/>
  <c r="D372" i="4"/>
  <c r="F372" i="4" s="1"/>
  <c r="D852" i="4"/>
  <c r="E852" i="4" s="1"/>
  <c r="D1099" i="4"/>
  <c r="F1099" i="4" s="1"/>
  <c r="D1367" i="4"/>
  <c r="F1367" i="4" s="1"/>
  <c r="D1352" i="4"/>
  <c r="F1352" i="4" s="1"/>
  <c r="D1650" i="4"/>
  <c r="F1650" i="4" s="1"/>
  <c r="D2378" i="4"/>
  <c r="F2378" i="4" s="1"/>
  <c r="D940" i="4"/>
  <c r="F940" i="4" s="1"/>
  <c r="D1130" i="4"/>
  <c r="F1130" i="4" s="1"/>
  <c r="D1462" i="4"/>
  <c r="F1462" i="4" s="1"/>
  <c r="D816" i="4"/>
  <c r="E816" i="4" s="1"/>
  <c r="D849" i="4"/>
  <c r="F849" i="4" s="1"/>
  <c r="D2139" i="4"/>
  <c r="F2139" i="4" s="1"/>
  <c r="D75" i="4"/>
  <c r="F75" i="4" s="1"/>
  <c r="D208" i="4"/>
  <c r="F208" i="4" s="1"/>
  <c r="D279" i="4"/>
  <c r="E279" i="4" s="1"/>
  <c r="D342" i="4"/>
  <c r="F342" i="4" s="1"/>
  <c r="D405" i="4"/>
  <c r="F405" i="4" s="1"/>
  <c r="D473" i="4"/>
  <c r="F473" i="4" s="1"/>
  <c r="D556" i="4"/>
  <c r="F556" i="4" s="1"/>
  <c r="D619" i="4"/>
  <c r="E619" i="4" s="1"/>
  <c r="D121" i="4"/>
  <c r="F121" i="4" s="1"/>
  <c r="D185" i="4"/>
  <c r="F185" i="4" s="1"/>
  <c r="D249" i="4"/>
  <c r="E249" i="4" s="1"/>
  <c r="D312" i="4"/>
  <c r="F312" i="4" s="1"/>
  <c r="D382" i="4"/>
  <c r="F382" i="4" s="1"/>
  <c r="D445" i="4"/>
  <c r="F445" i="4" s="1"/>
  <c r="D513" i="4"/>
  <c r="E513" i="4" s="1"/>
  <c r="D61" i="4"/>
  <c r="F61" i="4" s="1"/>
  <c r="D122" i="4"/>
  <c r="F122" i="4" s="1"/>
  <c r="D186" i="4"/>
  <c r="F186" i="4" s="1"/>
  <c r="D39" i="4"/>
  <c r="F39" i="4" s="1"/>
  <c r="D108" i="4"/>
  <c r="E108" i="4" s="1"/>
  <c r="D188" i="4"/>
  <c r="E188" i="4" s="1"/>
  <c r="D275" i="4"/>
  <c r="F275" i="4" s="1"/>
  <c r="D440" i="4"/>
  <c r="F440" i="4" s="1"/>
  <c r="D523" i="4"/>
  <c r="F523" i="4" s="1"/>
  <c r="D608" i="4"/>
  <c r="F608" i="4" s="1"/>
  <c r="D72" i="4"/>
  <c r="E72" i="4" s="1"/>
  <c r="D454" i="4"/>
  <c r="F454" i="4" s="1"/>
  <c r="D683" i="4"/>
  <c r="E683" i="4" s="1"/>
  <c r="D794" i="4"/>
  <c r="E794" i="4" s="1"/>
  <c r="D408" i="4"/>
  <c r="F408" i="4" s="1"/>
  <c r="D621" i="4"/>
  <c r="E621" i="4" s="1"/>
  <c r="D740" i="4"/>
  <c r="F740" i="4" s="1"/>
  <c r="D859" i="4"/>
  <c r="E859" i="4" s="1"/>
  <c r="D969" i="4"/>
  <c r="E969" i="4" s="1"/>
  <c r="D369" i="4"/>
  <c r="E369" i="4" s="1"/>
  <c r="D582" i="4"/>
  <c r="F582" i="4" s="1"/>
  <c r="D378" i="4"/>
  <c r="F378" i="4" s="1"/>
  <c r="D599" i="4"/>
  <c r="F599" i="4" s="1"/>
  <c r="D766" i="4"/>
  <c r="E766" i="4" s="1"/>
  <c r="D917" i="4"/>
  <c r="F917" i="4" s="1"/>
  <c r="D324" i="4"/>
  <c r="F324" i="4" s="1"/>
  <c r="D640" i="4"/>
  <c r="F640" i="4" s="1"/>
  <c r="D854" i="4"/>
  <c r="F854" i="4" s="1"/>
  <c r="D585" i="4"/>
  <c r="F585" i="4" s="1"/>
  <c r="D1039" i="4"/>
  <c r="E1039" i="4" s="1"/>
  <c r="D1350" i="4"/>
  <c r="F1350" i="4" s="1"/>
  <c r="D1492" i="4"/>
  <c r="F1492" i="4" s="1"/>
  <c r="D912" i="4"/>
  <c r="F912" i="4" s="1"/>
  <c r="D490" i="4"/>
  <c r="E490" i="4" s="1"/>
  <c r="D2351" i="4"/>
  <c r="F2351" i="4" s="1"/>
  <c r="D157" i="4"/>
  <c r="F157" i="4" s="1"/>
  <c r="D664" i="4"/>
  <c r="F664" i="4" s="1"/>
  <c r="D1053" i="4"/>
  <c r="F1053" i="4" s="1"/>
  <c r="D1468" i="4"/>
  <c r="F1468" i="4" s="1"/>
  <c r="D847" i="4"/>
  <c r="F847" i="4" s="1"/>
  <c r="D944" i="4"/>
  <c r="E944" i="4" s="1"/>
  <c r="D1485" i="4"/>
  <c r="E1485" i="4" s="1"/>
  <c r="D301" i="4"/>
  <c r="F301" i="4" s="1"/>
  <c r="D593" i="4"/>
  <c r="F593" i="4" s="1"/>
  <c r="D736" i="4"/>
  <c r="F736" i="4" s="1"/>
  <c r="D860" i="4"/>
  <c r="F860" i="4" s="1"/>
  <c r="D1067" i="4"/>
  <c r="F1067" i="4" s="1"/>
  <c r="D1277" i="4"/>
  <c r="F1277" i="4" s="1"/>
  <c r="D1217" i="4"/>
  <c r="F1217" i="4" s="1"/>
  <c r="D1210" i="4"/>
  <c r="F1210" i="4" s="1"/>
  <c r="D1580" i="4"/>
  <c r="F1580" i="4" s="1"/>
  <c r="D1005" i="4"/>
  <c r="F1005" i="4" s="1"/>
  <c r="D1360" i="4"/>
  <c r="F1360" i="4" s="1"/>
  <c r="D1028" i="4"/>
  <c r="F1028" i="4" s="1"/>
  <c r="D539" i="4"/>
  <c r="F539" i="4" s="1"/>
  <c r="D1339" i="4"/>
  <c r="F1339" i="4" s="1"/>
  <c r="D857" i="4"/>
  <c r="F857" i="4" s="1"/>
  <c r="D498" i="4"/>
  <c r="F498" i="4" s="1"/>
  <c r="D1613" i="4"/>
  <c r="F1613" i="4" s="1"/>
  <c r="D1424" i="4"/>
  <c r="F1424" i="4" s="1"/>
  <c r="D1282" i="4"/>
  <c r="F1282" i="4" s="1"/>
  <c r="D1356" i="4"/>
  <c r="F1356" i="4" s="1"/>
  <c r="D2190" i="4"/>
  <c r="F2190" i="4" s="1"/>
  <c r="D1578" i="4"/>
  <c r="F1578" i="4" s="1"/>
  <c r="D2025" i="4"/>
  <c r="F2025" i="4" s="1"/>
  <c r="D703" i="4"/>
  <c r="F703" i="4" s="1"/>
  <c r="D814" i="4"/>
  <c r="F814" i="4" s="1"/>
  <c r="D918" i="4"/>
  <c r="F918" i="4" s="1"/>
  <c r="D85" i="4"/>
  <c r="F85" i="4" s="1"/>
  <c r="D213" i="4"/>
  <c r="F213" i="4" s="1"/>
  <c r="D641" i="4"/>
  <c r="F641" i="4" s="1"/>
  <c r="D741" i="4"/>
  <c r="F741" i="4" s="1"/>
  <c r="D916" i="4"/>
  <c r="F916" i="4" s="1"/>
  <c r="D1129" i="4"/>
  <c r="F1129" i="4" s="1"/>
  <c r="D1341" i="4"/>
  <c r="F1341" i="4" s="1"/>
  <c r="D1225" i="4"/>
  <c r="F1225" i="4" s="1"/>
  <c r="D1595" i="4"/>
  <c r="F1595" i="4" s="1"/>
  <c r="D1588" i="4"/>
  <c r="F1588" i="4" s="1"/>
  <c r="D1093" i="4"/>
  <c r="F1093" i="4" s="1"/>
  <c r="D681" i="4"/>
  <c r="F681" i="4" s="1"/>
  <c r="D1035" i="4"/>
  <c r="F1035" i="4" s="1"/>
  <c r="D954" i="4"/>
  <c r="F954" i="4" s="1"/>
  <c r="D1347" i="4"/>
  <c r="F1347" i="4" s="1"/>
  <c r="D1824" i="4"/>
  <c r="F1824" i="4" s="1"/>
  <c r="D506" i="4"/>
  <c r="F506" i="4" s="1"/>
  <c r="D1621" i="4"/>
  <c r="F1621" i="4" s="1"/>
  <c r="D1550" i="4"/>
  <c r="F1550" i="4" s="1"/>
  <c r="D1338" i="4"/>
  <c r="F1338" i="4" s="1"/>
  <c r="D1364" i="4"/>
  <c r="D2385" i="4"/>
  <c r="F2385" i="4" s="1"/>
  <c r="D1616" i="4"/>
  <c r="F1616" i="4" s="1"/>
  <c r="D2242" i="4"/>
  <c r="F2242" i="4" s="1"/>
  <c r="D624" i="4"/>
  <c r="F624" i="4" s="1"/>
  <c r="D727" i="4"/>
  <c r="F727" i="4" s="1"/>
  <c r="D822" i="4"/>
  <c r="F822" i="4" s="1"/>
  <c r="D934" i="4"/>
  <c r="F934" i="4" s="1"/>
  <c r="D93" i="4"/>
  <c r="F93" i="4" s="1"/>
  <c r="D221" i="4"/>
  <c r="F221" i="4" s="1"/>
  <c r="D649" i="4"/>
  <c r="F649" i="4" s="1"/>
  <c r="D749" i="4"/>
  <c r="F749" i="4" s="1"/>
  <c r="D924" i="4"/>
  <c r="F924" i="4" s="1"/>
  <c r="D1144" i="4"/>
  <c r="F1144" i="4" s="1"/>
  <c r="D1349" i="4"/>
  <c r="F1349" i="4" s="1"/>
  <c r="D1254" i="4"/>
  <c r="D1603" i="4"/>
  <c r="F1603" i="4" s="1"/>
  <c r="D744" i="4"/>
  <c r="F744" i="4" s="1"/>
  <c r="D1101" i="4"/>
  <c r="F1101" i="4" s="1"/>
  <c r="D776" i="4"/>
  <c r="F776" i="4" s="1"/>
  <c r="D1079" i="4"/>
  <c r="F1079" i="4" s="1"/>
  <c r="D961" i="4"/>
  <c r="F961" i="4" s="1"/>
  <c r="D1473" i="4"/>
  <c r="F1473" i="4" s="1"/>
  <c r="D1832" i="4"/>
  <c r="F1832" i="4" s="1"/>
  <c r="D682" i="4"/>
  <c r="F682" i="4" s="1"/>
  <c r="D1628" i="4"/>
  <c r="F1628" i="4" s="1"/>
  <c r="D1558" i="4"/>
  <c r="F1558" i="4" s="1"/>
  <c r="D1527" i="4"/>
  <c r="F1527" i="4" s="1"/>
  <c r="D1420" i="4"/>
  <c r="F1420" i="4" s="1"/>
  <c r="D2393" i="4"/>
  <c r="F2393" i="4" s="1"/>
  <c r="D2161" i="4"/>
  <c r="F2161" i="4" s="1"/>
  <c r="D2250" i="4"/>
  <c r="F2250" i="4" s="1"/>
  <c r="D234" i="4"/>
  <c r="F234" i="4" s="1"/>
  <c r="D338" i="4"/>
  <c r="F338" i="4" s="1"/>
  <c r="D494" i="4"/>
  <c r="F494" i="4" s="1"/>
  <c r="D630" i="4"/>
  <c r="F630" i="4" s="1"/>
  <c r="D107" i="4"/>
  <c r="F107" i="4" s="1"/>
  <c r="D219" i="4"/>
  <c r="F219" i="4" s="1"/>
  <c r="D670" i="4"/>
  <c r="F670" i="4" s="1"/>
  <c r="D781" i="4"/>
  <c r="F781" i="4" s="1"/>
  <c r="D869" i="4"/>
  <c r="F869" i="4" s="1"/>
  <c r="D260" i="4"/>
  <c r="F260" i="4" s="1"/>
  <c r="D371" i="4"/>
  <c r="F371" i="4" s="1"/>
  <c r="D632" i="4"/>
  <c r="F632" i="4" s="1"/>
  <c r="D743" i="4"/>
  <c r="F743" i="4" s="1"/>
  <c r="D942" i="4"/>
  <c r="F942" i="4" s="1"/>
  <c r="D101" i="4"/>
  <c r="F101" i="4" s="1"/>
  <c r="D229" i="4"/>
  <c r="F229" i="4" s="1"/>
  <c r="D364" i="4"/>
  <c r="F364" i="4" s="1"/>
  <c r="D656" i="4"/>
  <c r="F656" i="4" s="1"/>
  <c r="D765" i="4"/>
  <c r="F765" i="4" s="1"/>
  <c r="D932" i="4"/>
  <c r="F932" i="4" s="1"/>
  <c r="D964" i="4"/>
  <c r="F964" i="4" s="1"/>
  <c r="D1342" i="4"/>
  <c r="D965" i="4"/>
  <c r="F965" i="4" s="1"/>
  <c r="D1335" i="4"/>
  <c r="F1335" i="4" s="1"/>
  <c r="D839" i="4"/>
  <c r="F839" i="4" s="1"/>
  <c r="D1132" i="4"/>
  <c r="F1132" i="4" s="1"/>
  <c r="D784" i="4"/>
  <c r="F784" i="4" s="1"/>
  <c r="D1024" i="4"/>
  <c r="F1024" i="4" s="1"/>
  <c r="D1481" i="4"/>
  <c r="F1481" i="4" s="1"/>
  <c r="D1958" i="4"/>
  <c r="F1958" i="4" s="1"/>
  <c r="D1120" i="4"/>
  <c r="F1120" i="4" s="1"/>
  <c r="D730" i="4"/>
  <c r="F730" i="4" s="1"/>
  <c r="D1755" i="4"/>
  <c r="F1755" i="4" s="1"/>
  <c r="D1566" i="4"/>
  <c r="F1566" i="4" s="1"/>
  <c r="D1860" i="4"/>
  <c r="F1860" i="4" s="1"/>
  <c r="D2448" i="4"/>
  <c r="F2448" i="4" s="1"/>
  <c r="D2184" i="4"/>
  <c r="F2184" i="4" s="1"/>
  <c r="D2226" i="4"/>
  <c r="F2226" i="4" s="1"/>
  <c r="D2477" i="4"/>
  <c r="F2477" i="4" s="1"/>
  <c r="D1150" i="4"/>
  <c r="F1150" i="4" s="1"/>
  <c r="D1023" i="4"/>
  <c r="F1023" i="4" s="1"/>
  <c r="D1731" i="4"/>
  <c r="F1731" i="4" s="1"/>
  <c r="D738" i="4"/>
  <c r="F738" i="4" s="1"/>
  <c r="D1002" i="4"/>
  <c r="F1002" i="4" s="1"/>
  <c r="D1748" i="4"/>
  <c r="F1748" i="4" s="1"/>
  <c r="D1591" i="4"/>
  <c r="F1591" i="4" s="1"/>
  <c r="D1868" i="4"/>
  <c r="F1868" i="4" s="1"/>
  <c r="D1965" i="4"/>
  <c r="F1965" i="4" s="1"/>
  <c r="D1763" i="4"/>
  <c r="F1763" i="4" s="1"/>
  <c r="D2487" i="4"/>
  <c r="F2487" i="4" s="1"/>
  <c r="D305" i="4"/>
  <c r="F305" i="4" s="1"/>
  <c r="D400" i="4"/>
  <c r="F400" i="4" s="1"/>
  <c r="D605" i="4"/>
  <c r="F605" i="4" s="1"/>
  <c r="D692" i="4"/>
  <c r="D803" i="4"/>
  <c r="F803" i="4" s="1"/>
  <c r="D250" i="4"/>
  <c r="F250" i="4" s="1"/>
  <c r="D361" i="4"/>
  <c r="F361" i="4" s="1"/>
  <c r="D550" i="4"/>
  <c r="F550" i="4" s="1"/>
  <c r="D646" i="4"/>
  <c r="F646" i="4" s="1"/>
  <c r="D147" i="4"/>
  <c r="F147" i="4" s="1"/>
  <c r="D235" i="4"/>
  <c r="F235" i="4" s="1"/>
  <c r="D559" i="4"/>
  <c r="F559" i="4" s="1"/>
  <c r="D797" i="4"/>
  <c r="D909" i="4"/>
  <c r="F909" i="4" s="1"/>
  <c r="D276" i="4"/>
  <c r="F276" i="4" s="1"/>
  <c r="D395" i="4"/>
  <c r="F395" i="4" s="1"/>
  <c r="D663" i="4"/>
  <c r="F663" i="4" s="1"/>
  <c r="D759" i="4"/>
  <c r="F759" i="4" s="1"/>
  <c r="D870" i="4"/>
  <c r="F870" i="4" s="1"/>
  <c r="D149" i="4"/>
  <c r="F149" i="4" s="1"/>
  <c r="D277" i="4"/>
  <c r="F277" i="4" s="1"/>
  <c r="D561" i="4"/>
  <c r="F561" i="4" s="1"/>
  <c r="D712" i="4"/>
  <c r="F712" i="4" s="1"/>
  <c r="D828" i="4"/>
  <c r="F828" i="4" s="1"/>
  <c r="D1026" i="4"/>
  <c r="D1230" i="4"/>
  <c r="F1230" i="4" s="1"/>
  <c r="D1382" i="4"/>
  <c r="F1382" i="4" s="1"/>
  <c r="D1085" i="4"/>
  <c r="F1085" i="4" s="1"/>
  <c r="D1454" i="4"/>
  <c r="F1454" i="4" s="1"/>
  <c r="D879" i="4"/>
  <c r="F879" i="4" s="1"/>
  <c r="D1233" i="4"/>
  <c r="F1233" i="4" s="1"/>
  <c r="D904" i="4"/>
  <c r="F904" i="4" s="1"/>
  <c r="D1204" i="4"/>
  <c r="F1204" i="4" s="1"/>
  <c r="D1634" i="4"/>
  <c r="F1634" i="4" s="1"/>
  <c r="D2012" i="4"/>
  <c r="F2012" i="4" s="1"/>
  <c r="D1739" i="4"/>
  <c r="F1739" i="4" s="1"/>
  <c r="D1431" i="4"/>
  <c r="F1431" i="4" s="1"/>
  <c r="D1050" i="4"/>
  <c r="F1050" i="4" s="1"/>
  <c r="D1756" i="4"/>
  <c r="F1756" i="4" s="1"/>
  <c r="D1789" i="4"/>
  <c r="F1789" i="4" s="1"/>
  <c r="D1973" i="4"/>
  <c r="F1973" i="4" s="1"/>
  <c r="D2005" i="4"/>
  <c r="F2005" i="4" s="1"/>
  <c r="D1954" i="4"/>
  <c r="F1954" i="4" s="1"/>
  <c r="D2494" i="4"/>
  <c r="F2494" i="4" s="1"/>
  <c r="D1166" i="4"/>
  <c r="F1166" i="4" s="1"/>
  <c r="D1642" i="4"/>
  <c r="F1642" i="4" s="1"/>
  <c r="D841" i="4"/>
  <c r="F841" i="4" s="1"/>
  <c r="D1439" i="4"/>
  <c r="F1439" i="4" s="1"/>
  <c r="D1369" i="4"/>
  <c r="F1369" i="4" s="1"/>
  <c r="D1819" i="4"/>
  <c r="F1819" i="4" s="1"/>
  <c r="D1797" i="4"/>
  <c r="F1797" i="4" s="1"/>
  <c r="D2128" i="4"/>
  <c r="F2128" i="4" s="1"/>
  <c r="D2083" i="4"/>
  <c r="F2083" i="4" s="1"/>
  <c r="D2021" i="4"/>
  <c r="F2021" i="4" s="1"/>
  <c r="D2506" i="4"/>
  <c r="F2506" i="4" s="1"/>
  <c r="D132" i="4"/>
  <c r="F132" i="4" s="1"/>
  <c r="D196" i="4"/>
  <c r="F196" i="4" s="1"/>
  <c r="D259" i="4"/>
  <c r="F259" i="4" s="1"/>
  <c r="D323" i="4"/>
  <c r="F323" i="4" s="1"/>
  <c r="D385" i="4"/>
  <c r="F385" i="4" s="1"/>
  <c r="D448" i="4"/>
  <c r="F448" i="4" s="1"/>
  <c r="D568" i="4"/>
  <c r="F568" i="4" s="1"/>
  <c r="D639" i="4"/>
  <c r="F639" i="4" s="1"/>
  <c r="D24" i="4"/>
  <c r="F24" i="4" s="1"/>
  <c r="D375" i="4"/>
  <c r="F375" i="4" s="1"/>
  <c r="D439" i="4"/>
  <c r="F439" i="4" s="1"/>
  <c r="D636" i="4"/>
  <c r="F636" i="4" s="1"/>
  <c r="D699" i="4"/>
  <c r="F699" i="4" s="1"/>
  <c r="D826" i="4"/>
  <c r="F826" i="4" s="1"/>
  <c r="D289" i="4"/>
  <c r="F289" i="4" s="1"/>
  <c r="D352" i="4"/>
  <c r="F352" i="4" s="1"/>
  <c r="D416" i="4"/>
  <c r="F416" i="4" s="1"/>
  <c r="D509" i="4"/>
  <c r="F509" i="4" s="1"/>
  <c r="D637" i="4"/>
  <c r="F637" i="4" s="1"/>
  <c r="D700" i="4"/>
  <c r="F700" i="4" s="1"/>
  <c r="D827" i="4"/>
  <c r="F827" i="4" s="1"/>
  <c r="D891" i="4"/>
  <c r="F891" i="4" s="1"/>
  <c r="D955" i="4"/>
  <c r="F955" i="4" s="1"/>
  <c r="D258" i="4"/>
  <c r="F258" i="4" s="1"/>
  <c r="D322" i="4"/>
  <c r="F322" i="4" s="1"/>
  <c r="D441" i="4"/>
  <c r="F441" i="4" s="1"/>
  <c r="D510" i="4"/>
  <c r="F510" i="4" s="1"/>
  <c r="D669" i="4"/>
  <c r="F669" i="4" s="1"/>
  <c r="D115" i="4"/>
  <c r="F115" i="4" s="1"/>
  <c r="D179" i="4"/>
  <c r="F179" i="4" s="1"/>
  <c r="D243" i="4"/>
  <c r="F243" i="4" s="1"/>
  <c r="D426" i="4"/>
  <c r="F426" i="4" s="1"/>
  <c r="D583" i="4"/>
  <c r="F583" i="4" s="1"/>
  <c r="D686" i="4"/>
  <c r="F686" i="4" s="1"/>
  <c r="D813" i="4"/>
  <c r="F813" i="4" s="1"/>
  <c r="D877" i="4"/>
  <c r="F877" i="4" s="1"/>
  <c r="D941" i="4"/>
  <c r="F941" i="4" s="1"/>
  <c r="D284" i="4"/>
  <c r="F284" i="4" s="1"/>
  <c r="D355" i="4"/>
  <c r="F355" i="4" s="1"/>
  <c r="D419" i="4"/>
  <c r="F419" i="4" s="1"/>
  <c r="D648" i="4"/>
  <c r="F648" i="4" s="1"/>
  <c r="D774" i="4"/>
  <c r="F774" i="4" s="1"/>
  <c r="D838" i="4"/>
  <c r="F838" i="4" s="1"/>
  <c r="D902" i="4"/>
  <c r="F902" i="4" s="1"/>
  <c r="D117" i="4"/>
  <c r="F117" i="4" s="1"/>
  <c r="D181" i="4"/>
  <c r="F181" i="4" s="1"/>
  <c r="D245" i="4"/>
  <c r="F245" i="4" s="1"/>
  <c r="D309" i="4"/>
  <c r="F309" i="4" s="1"/>
  <c r="D601" i="4"/>
  <c r="F601" i="4" s="1"/>
  <c r="D672" i="4"/>
  <c r="F672" i="4" s="1"/>
  <c r="D87" i="4"/>
  <c r="F87" i="4" s="1"/>
  <c r="D788" i="4"/>
  <c r="F788" i="4" s="1"/>
  <c r="D868" i="4"/>
  <c r="F868" i="4" s="1"/>
  <c r="D956" i="4"/>
  <c r="F956" i="4" s="1"/>
  <c r="D1075" i="4"/>
  <c r="F1075" i="4" s="1"/>
  <c r="D1285" i="4"/>
  <c r="F1285" i="4" s="1"/>
  <c r="D996" i="4"/>
  <c r="F996" i="4" s="1"/>
  <c r="D1145" i="4"/>
  <c r="F1145" i="4" s="1"/>
  <c r="D1270" i="4"/>
  <c r="F1270" i="4" s="1"/>
  <c r="D1398" i="4"/>
  <c r="F1398" i="4" s="1"/>
  <c r="D1523" i="4"/>
  <c r="F1523" i="4" s="1"/>
  <c r="D981" i="4"/>
  <c r="F981" i="4" s="1"/>
  <c r="D1255" i="4"/>
  <c r="F1255" i="4" s="1"/>
  <c r="D1383" i="4"/>
  <c r="F1383" i="4" s="1"/>
  <c r="D1508" i="4"/>
  <c r="F1508" i="4" s="1"/>
  <c r="D760" i="4"/>
  <c r="F760" i="4" s="1"/>
  <c r="D895" i="4"/>
  <c r="F895" i="4" s="1"/>
  <c r="D1021" i="4"/>
  <c r="F1021" i="4" s="1"/>
  <c r="D1147" i="4"/>
  <c r="F1147" i="4" s="1"/>
  <c r="D697" i="4"/>
  <c r="F697" i="4" s="1"/>
  <c r="D832" i="4"/>
  <c r="F832" i="4" s="1"/>
  <c r="D960" i="4"/>
  <c r="F960" i="4" s="1"/>
  <c r="D1094" i="4"/>
  <c r="F1094" i="4" s="1"/>
  <c r="D1220" i="4"/>
  <c r="F1220" i="4" s="1"/>
  <c r="D547" i="4"/>
  <c r="F547" i="4" s="1"/>
  <c r="D1030" i="4"/>
  <c r="F1030" i="4" s="1"/>
  <c r="D1355" i="4"/>
  <c r="F1355" i="4" s="1"/>
  <c r="D1031" i="4"/>
  <c r="F1031" i="4" s="1"/>
  <c r="D1698" i="4"/>
  <c r="F1698" i="4" s="1"/>
  <c r="D1839" i="4"/>
  <c r="F1839" i="4" s="1"/>
  <c r="D2020" i="4"/>
  <c r="F2020" i="4" s="1"/>
  <c r="D905" i="4"/>
  <c r="F905" i="4" s="1"/>
  <c r="D1128" i="4"/>
  <c r="F1128" i="4" s="1"/>
  <c r="D1802" i="4"/>
  <c r="F1802" i="4" s="1"/>
  <c r="D562" i="4"/>
  <c r="F562" i="4" s="1"/>
  <c r="D746" i="4"/>
  <c r="F746" i="4" s="1"/>
  <c r="D1493" i="4"/>
  <c r="F1493" i="4" s="1"/>
  <c r="D1676" i="4"/>
  <c r="F1676" i="4" s="1"/>
  <c r="D1058" i="4"/>
  <c r="F1058" i="4" s="1"/>
  <c r="D1432" i="4"/>
  <c r="F1432" i="4" s="1"/>
  <c r="D1614" i="4"/>
  <c r="F1614" i="4" s="1"/>
  <c r="D1827" i="4"/>
  <c r="F1827" i="4" s="1"/>
  <c r="D1346" i="4"/>
  <c r="F1346" i="4" s="1"/>
  <c r="D1599" i="4"/>
  <c r="F1599" i="4" s="1"/>
  <c r="D1149" i="4"/>
  <c r="F1149" i="4" s="1"/>
  <c r="D1427" i="4"/>
  <c r="F1427" i="4" s="1"/>
  <c r="D1932" i="4"/>
  <c r="F1932" i="4" s="1"/>
  <c r="D2198" i="4"/>
  <c r="F2198" i="4" s="1"/>
  <c r="D2455" i="4"/>
  <c r="F2455" i="4" s="1"/>
  <c r="D2091" i="4"/>
  <c r="F2091" i="4" s="1"/>
  <c r="D1631" i="4"/>
  <c r="F1631" i="4" s="1"/>
  <c r="D2316" i="4"/>
  <c r="F2316" i="4" s="1"/>
  <c r="D2155" i="4"/>
  <c r="F2155" i="4" s="1"/>
  <c r="D1721" i="4"/>
  <c r="F1721" i="4" s="1"/>
  <c r="D1970" i="4"/>
  <c r="F1970" i="4" s="1"/>
  <c r="D2041" i="4"/>
  <c r="F2041" i="4" s="1"/>
  <c r="D2305" i="4"/>
  <c r="F2305" i="4" s="1"/>
  <c r="D1229" i="4"/>
  <c r="F1229" i="4" s="1"/>
  <c r="L6" i="4"/>
  <c r="L24" i="6" s="1"/>
  <c r="D447" i="4"/>
  <c r="F447" i="4" s="1"/>
  <c r="D644" i="4"/>
  <c r="F644" i="4" s="1"/>
  <c r="D707" i="4"/>
  <c r="F707" i="4" s="1"/>
  <c r="D770" i="4"/>
  <c r="F770" i="4" s="1"/>
  <c r="D834" i="4"/>
  <c r="F834" i="4" s="1"/>
  <c r="D297" i="4"/>
  <c r="F297" i="4" s="1"/>
  <c r="D360" i="4"/>
  <c r="F360" i="4" s="1"/>
  <c r="D424" i="4"/>
  <c r="F424" i="4" s="1"/>
  <c r="D517" i="4"/>
  <c r="F517" i="4" s="1"/>
  <c r="D645" i="4"/>
  <c r="F645" i="4" s="1"/>
  <c r="D708" i="4"/>
  <c r="F708" i="4" s="1"/>
  <c r="D771" i="4"/>
  <c r="F771" i="4" s="1"/>
  <c r="D835" i="4"/>
  <c r="F835" i="4" s="1"/>
  <c r="D899" i="4"/>
  <c r="F899" i="4" s="1"/>
  <c r="D962" i="4"/>
  <c r="F962" i="4" s="1"/>
  <c r="D266" i="4"/>
  <c r="F266" i="4" s="1"/>
  <c r="D330" i="4"/>
  <c r="F330" i="4" s="1"/>
  <c r="D456" i="4"/>
  <c r="F456" i="4" s="1"/>
  <c r="D518" i="4"/>
  <c r="F518" i="4" s="1"/>
  <c r="D606" i="4"/>
  <c r="F606" i="4" s="1"/>
  <c r="D677" i="4"/>
  <c r="F677" i="4" s="1"/>
  <c r="D123" i="4"/>
  <c r="F123" i="4" s="1"/>
  <c r="D187" i="4"/>
  <c r="F187" i="4" s="1"/>
  <c r="D251" i="4"/>
  <c r="F251" i="4" s="1"/>
  <c r="D434" i="4"/>
  <c r="F434" i="4" s="1"/>
  <c r="D591" i="4"/>
  <c r="F591" i="4" s="1"/>
  <c r="D694" i="4"/>
  <c r="F694" i="4" s="1"/>
  <c r="D758" i="4"/>
  <c r="F758" i="4" s="1"/>
  <c r="D821" i="4"/>
  <c r="F821" i="4" s="1"/>
  <c r="D885" i="4"/>
  <c r="F885" i="4" s="1"/>
  <c r="D949" i="4"/>
  <c r="F949" i="4" s="1"/>
  <c r="D292" i="4"/>
  <c r="F292" i="4" s="1"/>
  <c r="D363" i="4"/>
  <c r="F363" i="4" s="1"/>
  <c r="D427" i="4"/>
  <c r="F427" i="4" s="1"/>
  <c r="D655" i="4"/>
  <c r="F655" i="4" s="1"/>
  <c r="D719" i="4"/>
  <c r="F719" i="4" s="1"/>
  <c r="D782" i="4"/>
  <c r="F782" i="4" s="1"/>
  <c r="D846" i="4"/>
  <c r="F846" i="4" s="1"/>
  <c r="D910" i="4"/>
  <c r="F910" i="4" s="1"/>
  <c r="D125" i="4"/>
  <c r="F125" i="4" s="1"/>
  <c r="D189" i="4"/>
  <c r="F189" i="4" s="1"/>
  <c r="D253" i="4"/>
  <c r="F253" i="4" s="1"/>
  <c r="D317" i="4"/>
  <c r="F317" i="4" s="1"/>
  <c r="D529" i="4"/>
  <c r="F529" i="4" s="1"/>
  <c r="D609" i="4"/>
  <c r="F609" i="4" s="1"/>
  <c r="D680" i="4"/>
  <c r="F680" i="4" s="1"/>
  <c r="D717" i="4"/>
  <c r="F717" i="4" s="1"/>
  <c r="D796" i="4"/>
  <c r="F796" i="4" s="1"/>
  <c r="D876" i="4"/>
  <c r="F876" i="4" s="1"/>
  <c r="D987" i="4"/>
  <c r="F987" i="4" s="1"/>
  <c r="D1083" i="4"/>
  <c r="F1083" i="4" s="1"/>
  <c r="D1200" i="4"/>
  <c r="F1200" i="4" s="1"/>
  <c r="D1301" i="4"/>
  <c r="F1301" i="4" s="1"/>
  <c r="D1003" i="4"/>
  <c r="F1003" i="4" s="1"/>
  <c r="D1153" i="4"/>
  <c r="F1153" i="4" s="1"/>
  <c r="D1278" i="4"/>
  <c r="F1278" i="4" s="1"/>
  <c r="D1406" i="4"/>
  <c r="F1406" i="4" s="1"/>
  <c r="D1531" i="4"/>
  <c r="F1531" i="4" s="1"/>
  <c r="D989" i="4"/>
  <c r="F989" i="4" s="1"/>
  <c r="D1138" i="4"/>
  <c r="F1138" i="4" s="1"/>
  <c r="D1263" i="4"/>
  <c r="F1263" i="4" s="1"/>
  <c r="D1391" i="4"/>
  <c r="F1391" i="4" s="1"/>
  <c r="D1516" i="4"/>
  <c r="F1516" i="4" s="1"/>
  <c r="D775" i="4"/>
  <c r="F775" i="4" s="1"/>
  <c r="D903" i="4"/>
  <c r="F903" i="4" s="1"/>
  <c r="D1027" i="4"/>
  <c r="F1027" i="4" s="1"/>
  <c r="D1155" i="4"/>
  <c r="F1155" i="4" s="1"/>
  <c r="D1288" i="4"/>
  <c r="F1288" i="4" s="1"/>
  <c r="D705" i="4"/>
  <c r="F705" i="4" s="1"/>
  <c r="D840" i="4"/>
  <c r="F840" i="4" s="1"/>
  <c r="D967" i="4"/>
  <c r="F967" i="4" s="1"/>
  <c r="D1102" i="4"/>
  <c r="F1102" i="4" s="1"/>
  <c r="D1227" i="4"/>
  <c r="F1227" i="4" s="1"/>
  <c r="D882" i="4"/>
  <c r="F882" i="4" s="1"/>
  <c r="D1037" i="4"/>
  <c r="F1037" i="4" s="1"/>
  <c r="D1222" i="4"/>
  <c r="F1222" i="4" s="1"/>
  <c r="D1403" i="4"/>
  <c r="F1403" i="4" s="1"/>
  <c r="D1095" i="4"/>
  <c r="F1095" i="4" s="1"/>
  <c r="D1706" i="4"/>
  <c r="F1706" i="4" s="1"/>
  <c r="D1887" i="4"/>
  <c r="F1887" i="4" s="1"/>
  <c r="D2028" i="4"/>
  <c r="F2028" i="4" s="1"/>
  <c r="D913" i="4"/>
  <c r="F913" i="4" s="1"/>
  <c r="D1659" i="4"/>
  <c r="F1659" i="4" s="1"/>
  <c r="D1810" i="4"/>
  <c r="F1810" i="4" s="1"/>
  <c r="D570" i="4"/>
  <c r="F570" i="4" s="1"/>
  <c r="D1097" i="4"/>
  <c r="F1097" i="4" s="1"/>
  <c r="D1501" i="4"/>
  <c r="F1501" i="4" s="1"/>
  <c r="D1684" i="4"/>
  <c r="F1684" i="4" s="1"/>
  <c r="D1297" i="4"/>
  <c r="F1297" i="4" s="1"/>
  <c r="D1440" i="4"/>
  <c r="F1440" i="4" s="1"/>
  <c r="D1622" i="4"/>
  <c r="F1622" i="4" s="1"/>
  <c r="D1882" i="4"/>
  <c r="F1882" i="4" s="1"/>
  <c r="D1402" i="4"/>
  <c r="F1402" i="4" s="1"/>
  <c r="D1662" i="4"/>
  <c r="F1662" i="4" s="1"/>
  <c r="D1205" i="4"/>
  <c r="F1205" i="4" s="1"/>
  <c r="D1497" i="4"/>
  <c r="F1497" i="4" s="1"/>
  <c r="D1988" i="4"/>
  <c r="F1988" i="4" s="1"/>
  <c r="D2261" i="4"/>
  <c r="F2261" i="4" s="1"/>
  <c r="D1790" i="4"/>
  <c r="F1790" i="4" s="1"/>
  <c r="D2176" i="4"/>
  <c r="F2176" i="4" s="1"/>
  <c r="D1735" i="4"/>
  <c r="F1735" i="4" s="1"/>
  <c r="D1648" i="4"/>
  <c r="F1648" i="4" s="1"/>
  <c r="D2272" i="4"/>
  <c r="F2272" i="4" s="1"/>
  <c r="D1976" i="4"/>
  <c r="F1976" i="4" s="1"/>
  <c r="D2080" i="4"/>
  <c r="F2080" i="4" s="1"/>
  <c r="D2319" i="4"/>
  <c r="F2319" i="4" s="1"/>
  <c r="D2357" i="4"/>
  <c r="F2357" i="4" s="1"/>
  <c r="D457" i="4"/>
  <c r="F457" i="4" s="1"/>
  <c r="D428" i="4"/>
  <c r="F428" i="4" s="1"/>
  <c r="D534" i="4"/>
  <c r="F534" i="4" s="1"/>
  <c r="D541" i="4"/>
  <c r="F541" i="4" s="1"/>
  <c r="D548" i="4"/>
  <c r="F548" i="4" s="1"/>
  <c r="D615" i="4"/>
  <c r="F615" i="4" s="1"/>
  <c r="G22" i="6"/>
  <c r="G23" i="6" s="1"/>
  <c r="G38" i="6" s="1"/>
  <c r="D449" i="4"/>
  <c r="F449" i="4" s="1"/>
  <c r="D654" i="4"/>
  <c r="F654" i="4" s="1"/>
  <c r="D340" i="4"/>
  <c r="F340" i="4" s="1"/>
  <c r="D1136" i="4"/>
  <c r="F1136" i="4" s="1"/>
  <c r="D1245" i="4"/>
  <c r="F1245" i="4" s="1"/>
  <c r="D1033" i="4"/>
  <c r="F1033" i="4" s="1"/>
  <c r="D1048" i="4"/>
  <c r="F1048" i="4" s="1"/>
  <c r="D768" i="4"/>
  <c r="F768" i="4" s="1"/>
  <c r="D1049" i="4"/>
  <c r="F1049" i="4" s="1"/>
  <c r="D475" i="4"/>
  <c r="F475" i="4" s="1"/>
  <c r="D1119" i="4"/>
  <c r="F1119" i="4" s="1"/>
  <c r="D459" i="4"/>
  <c r="F459" i="4" s="1"/>
  <c r="D1812" i="4"/>
  <c r="F1812" i="4" s="1"/>
  <c r="D1836" i="4"/>
  <c r="F1836" i="4" s="1"/>
  <c r="D2105" i="4"/>
  <c r="F2105" i="4" s="1"/>
  <c r="D2253" i="4"/>
  <c r="F2253" i="4" s="1"/>
  <c r="D2003" i="4"/>
  <c r="F2003" i="4" s="1"/>
  <c r="D1623" i="4"/>
  <c r="F1623" i="4" s="1"/>
  <c r="D2123" i="4"/>
  <c r="F2123" i="4" s="1"/>
  <c r="D2177" i="4"/>
  <c r="F2177" i="4" s="1"/>
  <c r="D1467" i="4"/>
  <c r="F1467" i="4" s="1"/>
  <c r="D1482" i="4"/>
  <c r="F1482" i="4" s="1"/>
  <c r="D2157" i="4"/>
  <c r="F2157" i="4" s="1"/>
  <c r="D2303" i="4"/>
  <c r="F2303" i="4" s="1"/>
  <c r="D2515" i="4"/>
  <c r="F2515" i="4" s="1"/>
  <c r="D2297" i="4"/>
  <c r="F2297" i="4" s="1"/>
  <c r="D2453" i="4"/>
  <c r="F2453" i="4" s="1"/>
  <c r="D2331" i="4"/>
  <c r="F2331" i="4" s="1"/>
  <c r="D2439" i="4"/>
  <c r="F2439" i="4" s="1"/>
  <c r="D2498" i="4"/>
  <c r="F2498" i="4" s="1"/>
  <c r="D2318" i="4"/>
  <c r="F2318" i="4" s="1"/>
  <c r="D2490" i="4"/>
  <c r="F2490" i="4" s="1"/>
  <c r="D2428" i="4"/>
  <c r="F2428" i="4" s="1"/>
  <c r="D2135" i="4"/>
  <c r="F2135" i="4" s="1"/>
  <c r="D2055" i="4"/>
  <c r="F2055" i="4" s="1"/>
  <c r="D2457" i="4"/>
  <c r="F2457" i="4" s="1"/>
  <c r="D206" i="4"/>
  <c r="F206" i="4" s="1"/>
  <c r="D2449" i="4"/>
  <c r="F2449" i="4" s="1"/>
  <c r="D2245" i="4"/>
  <c r="F2245" i="4" s="1"/>
  <c r="D2181" i="4"/>
  <c r="F2181" i="4" s="1"/>
  <c r="D1397" i="4"/>
  <c r="F1397" i="4" s="1"/>
  <c r="D2467" i="4"/>
  <c r="F2467" i="4" s="1"/>
  <c r="D2411" i="4"/>
  <c r="F2411" i="4" s="1"/>
  <c r="D198" i="4"/>
  <c r="F198" i="4" s="1"/>
  <c r="D2480" i="4"/>
  <c r="F2480" i="4" s="1"/>
  <c r="D2479" i="4"/>
  <c r="F2479" i="4" s="1"/>
  <c r="D2164" i="4"/>
  <c r="F2164" i="4" s="1"/>
  <c r="D2395" i="4"/>
  <c r="F2395" i="4" s="1"/>
  <c r="D2447" i="4"/>
  <c r="F2447" i="4" s="1"/>
  <c r="D2251" i="4"/>
  <c r="F2251" i="4" s="1"/>
  <c r="D2179" i="4"/>
  <c r="F2179" i="4" s="1"/>
  <c r="D1939" i="4"/>
  <c r="F1939" i="4" s="1"/>
  <c r="D1875" i="4"/>
  <c r="F1875" i="4" s="1"/>
  <c r="D2459" i="4"/>
  <c r="F2459" i="4" s="1"/>
  <c r="D2310" i="4"/>
  <c r="F2310" i="4" s="1"/>
  <c r="D2482" i="4"/>
  <c r="F2482" i="4" s="1"/>
  <c r="D2420" i="4"/>
  <c r="F2420" i="4" s="1"/>
  <c r="D2127" i="4"/>
  <c r="F2127" i="4" s="1"/>
  <c r="D2047" i="4"/>
  <c r="F2047" i="4" s="1"/>
  <c r="D2419" i="4"/>
  <c r="F2419" i="4" s="1"/>
  <c r="D190" i="4"/>
  <c r="F190" i="4" s="1"/>
  <c r="D2434" i="4"/>
  <c r="F2434" i="4" s="1"/>
  <c r="D2237" i="4"/>
  <c r="F2237" i="4" s="1"/>
  <c r="D2149" i="4"/>
  <c r="F2149" i="4" s="1"/>
  <c r="D1389" i="4"/>
  <c r="F1389" i="4" s="1"/>
  <c r="D2437" i="4"/>
  <c r="F2437" i="4" s="1"/>
  <c r="D2379" i="4"/>
  <c r="F2379" i="4" s="1"/>
  <c r="D182" i="4"/>
  <c r="F182" i="4" s="1"/>
  <c r="D2472" i="4"/>
  <c r="F2472" i="4" s="1"/>
  <c r="D2299" i="4"/>
  <c r="F2299" i="4" s="1"/>
  <c r="D2491" i="4"/>
  <c r="F2491" i="4" s="1"/>
  <c r="D2339" i="4"/>
  <c r="F2339" i="4" s="1"/>
  <c r="D2424" i="4"/>
  <c r="F2424" i="4" s="1"/>
  <c r="D2243" i="4"/>
  <c r="F2243" i="4" s="1"/>
  <c r="D1995" i="4"/>
  <c r="F1995" i="4" s="1"/>
  <c r="D1931" i="4"/>
  <c r="F1931" i="4" s="1"/>
  <c r="D1867" i="4"/>
  <c r="F1867" i="4" s="1"/>
  <c r="D2465" i="4"/>
  <c r="F2465" i="4" s="1"/>
  <c r="D2408" i="4"/>
  <c r="F2408" i="4" s="1"/>
  <c r="D2227" i="4"/>
  <c r="F2227" i="4" s="1"/>
  <c r="D2446" i="4"/>
  <c r="F2446" i="4" s="1"/>
  <c r="D2375" i="4"/>
  <c r="F2375" i="4" s="1"/>
  <c r="D2002" i="4"/>
  <c r="F2002" i="4" s="1"/>
  <c r="D2355" i="4"/>
  <c r="F2355" i="4" s="1"/>
  <c r="D2470" i="4"/>
  <c r="F2470" i="4" s="1"/>
  <c r="D2460" i="4"/>
  <c r="F2460" i="4" s="1"/>
  <c r="D2390" i="4"/>
  <c r="F2390" i="4" s="1"/>
  <c r="D2327" i="4"/>
  <c r="F2327" i="4" s="1"/>
  <c r="D2097" i="4"/>
  <c r="F2097" i="4" s="1"/>
  <c r="D2033" i="4"/>
  <c r="F2033" i="4" s="1"/>
  <c r="D1873" i="4"/>
  <c r="F1873" i="4" s="1"/>
  <c r="D2343" i="4"/>
  <c r="F2343" i="4" s="1"/>
  <c r="D2283" i="4"/>
  <c r="F2283" i="4" s="1"/>
  <c r="D2220" i="4"/>
  <c r="F2220" i="4" s="1"/>
  <c r="D2150" i="4"/>
  <c r="F2150" i="4" s="1"/>
  <c r="D2088" i="4"/>
  <c r="F2088" i="4" s="1"/>
  <c r="D2024" i="4"/>
  <c r="F2024" i="4" s="1"/>
  <c r="D1962" i="4"/>
  <c r="F1962" i="4" s="1"/>
  <c r="D1898" i="4"/>
  <c r="F1898" i="4" s="1"/>
  <c r="D2234" i="4"/>
  <c r="F2234" i="4" s="1"/>
  <c r="D2171" i="4"/>
  <c r="F2171" i="4" s="1"/>
  <c r="D2109" i="4"/>
  <c r="F2109" i="4" s="1"/>
  <c r="D2046" i="4"/>
  <c r="F2046" i="4" s="1"/>
  <c r="D1984" i="4"/>
  <c r="F1984" i="4" s="1"/>
  <c r="D1920" i="4"/>
  <c r="F1920" i="4" s="1"/>
  <c r="D1713" i="4"/>
  <c r="F1713" i="4" s="1"/>
  <c r="D1649" i="4"/>
  <c r="F1649" i="4" s="1"/>
  <c r="D1586" i="4"/>
  <c r="F1586" i="4" s="1"/>
  <c r="D1522" i="4"/>
  <c r="F1522" i="4" s="1"/>
  <c r="D1444" i="4"/>
  <c r="F1444" i="4" s="1"/>
  <c r="D2340" i="4"/>
  <c r="F2340" i="4" s="1"/>
  <c r="D2280" i="4"/>
  <c r="F2280" i="4" s="1"/>
  <c r="D2217" i="4"/>
  <c r="F2217" i="4" s="1"/>
  <c r="D2147" i="4"/>
  <c r="F2147" i="4" s="1"/>
  <c r="D2077" i="4"/>
  <c r="F2077" i="4" s="1"/>
  <c r="D2013" i="4"/>
  <c r="F2013" i="4" s="1"/>
  <c r="D1951" i="4"/>
  <c r="F1951" i="4" s="1"/>
  <c r="D1784" i="4"/>
  <c r="F1784" i="4" s="1"/>
  <c r="D1720" i="4"/>
  <c r="F1720" i="4" s="1"/>
  <c r="D1656" i="4"/>
  <c r="F1656" i="4" s="1"/>
  <c r="D1593" i="4"/>
  <c r="F1593" i="4" s="1"/>
  <c r="D2308" i="4"/>
  <c r="F2308" i="4" s="1"/>
  <c r="D2240" i="4"/>
  <c r="F2240" i="4" s="1"/>
  <c r="D2169" i="4"/>
  <c r="F2169" i="4" s="1"/>
  <c r="D2100" i="4"/>
  <c r="F2100" i="4" s="1"/>
  <c r="D1870" i="4"/>
  <c r="F1870" i="4" s="1"/>
  <c r="D1807" i="4"/>
  <c r="F1807" i="4" s="1"/>
  <c r="D1743" i="4"/>
  <c r="F1743" i="4" s="1"/>
  <c r="D1679" i="4"/>
  <c r="F1679" i="4" s="1"/>
  <c r="D1608" i="4"/>
  <c r="F1608" i="4" s="1"/>
  <c r="D1544" i="4"/>
  <c r="F1544" i="4" s="1"/>
  <c r="D2354" i="4"/>
  <c r="F2354" i="4" s="1"/>
  <c r="D2286" i="4"/>
  <c r="F2286" i="4" s="1"/>
  <c r="D2223" i="4"/>
  <c r="F2223" i="4" s="1"/>
  <c r="D2160" i="4"/>
  <c r="F2160" i="4" s="1"/>
  <c r="D2099" i="4"/>
  <c r="F2099" i="4" s="1"/>
  <c r="D2035" i="4"/>
  <c r="F2035" i="4" s="1"/>
  <c r="D1957" i="4"/>
  <c r="F1957" i="4" s="1"/>
  <c r="D1893" i="4"/>
  <c r="F1893" i="4" s="1"/>
  <c r="D1830" i="4"/>
  <c r="F1830" i="4" s="1"/>
  <c r="D1766" i="4"/>
  <c r="F1766" i="4" s="1"/>
  <c r="D2421" i="4"/>
  <c r="F2421" i="4" s="1"/>
  <c r="D2120" i="4"/>
  <c r="F2120" i="4" s="1"/>
  <c r="D2474" i="4"/>
  <c r="F2474" i="4" s="1"/>
  <c r="D2412" i="4"/>
  <c r="F2412" i="4" s="1"/>
  <c r="D2103" i="4"/>
  <c r="F2103" i="4" s="1"/>
  <c r="D2039" i="4"/>
  <c r="F2039" i="4" s="1"/>
  <c r="D2371" i="4"/>
  <c r="F2371" i="4" s="1"/>
  <c r="D78" i="4"/>
  <c r="F78" i="4" s="1"/>
  <c r="D2426" i="4"/>
  <c r="F2426" i="4" s="1"/>
  <c r="D2229" i="4"/>
  <c r="F2229" i="4" s="1"/>
  <c r="D2141" i="4"/>
  <c r="F2141" i="4" s="1"/>
  <c r="D1381" i="4"/>
  <c r="F1381" i="4" s="1"/>
  <c r="D2405" i="4"/>
  <c r="F2405" i="4" s="1"/>
  <c r="D2347" i="4"/>
  <c r="F2347" i="4" s="1"/>
  <c r="D70" i="4"/>
  <c r="F70" i="4" s="1"/>
  <c r="D2456" i="4"/>
  <c r="F2456" i="4" s="1"/>
  <c r="D2292" i="4"/>
  <c r="F2292" i="4" s="1"/>
  <c r="D2444" i="4"/>
  <c r="F2444" i="4" s="1"/>
  <c r="D2166" i="4"/>
  <c r="F2166" i="4" s="1"/>
  <c r="D2400" i="4"/>
  <c r="F2400" i="4" s="1"/>
  <c r="D2235" i="4"/>
  <c r="F2235" i="4" s="1"/>
  <c r="D1987" i="4"/>
  <c r="F1987" i="4" s="1"/>
  <c r="D1923" i="4"/>
  <c r="F1923" i="4" s="1"/>
  <c r="D1859" i="4"/>
  <c r="F1859" i="4" s="1"/>
  <c r="D2435" i="4"/>
  <c r="F2435" i="4" s="1"/>
  <c r="D2392" i="4"/>
  <c r="F2392" i="4" s="1"/>
  <c r="D2508" i="4"/>
  <c r="F2508" i="4" s="1"/>
  <c r="D2431" i="4"/>
  <c r="F2431" i="4" s="1"/>
  <c r="D2290" i="4"/>
  <c r="F2290" i="4" s="1"/>
  <c r="D1834" i="4"/>
  <c r="F1834" i="4" s="1"/>
  <c r="D2324" i="4"/>
  <c r="F2324" i="4" s="1"/>
  <c r="D2514" i="4"/>
  <c r="F2514" i="4" s="1"/>
  <c r="D2445" i="4"/>
  <c r="F2445" i="4" s="1"/>
  <c r="D2382" i="4"/>
  <c r="F2382" i="4" s="1"/>
  <c r="D2389" i="4"/>
  <c r="F2389" i="4" s="1"/>
  <c r="D2112" i="4"/>
  <c r="F2112" i="4" s="1"/>
  <c r="D2466" i="4"/>
  <c r="F2466" i="4" s="1"/>
  <c r="D2404" i="4"/>
  <c r="F2404" i="4" s="1"/>
  <c r="D2095" i="4"/>
  <c r="F2095" i="4" s="1"/>
  <c r="D2031" i="4"/>
  <c r="F2031" i="4" s="1"/>
  <c r="D2174" i="4"/>
  <c r="F2174" i="4" s="1"/>
  <c r="D62" i="4"/>
  <c r="F62" i="4" s="1"/>
  <c r="D2418" i="4"/>
  <c r="F2418" i="4" s="1"/>
  <c r="D2221" i="4"/>
  <c r="F2221" i="4" s="1"/>
  <c r="D2133" i="4"/>
  <c r="F2133" i="4" s="1"/>
  <c r="D1373" i="4"/>
  <c r="F1373" i="4" s="1"/>
  <c r="D2381" i="4"/>
  <c r="F2381" i="4" s="1"/>
  <c r="D2158" i="4"/>
  <c r="F2158" i="4" s="1"/>
  <c r="D54" i="4"/>
  <c r="F54" i="4" s="1"/>
  <c r="D2441" i="4"/>
  <c r="F2441" i="4" s="1"/>
  <c r="D2284" i="4"/>
  <c r="F2284" i="4" s="1"/>
  <c r="D2413" i="4"/>
  <c r="F2413" i="4" s="1"/>
  <c r="D1134" i="4"/>
  <c r="F1134" i="4" s="1"/>
  <c r="D2384" i="4"/>
  <c r="F2384" i="4" s="1"/>
  <c r="D2219" i="4"/>
  <c r="F2219" i="4" s="1"/>
  <c r="D1979" i="4"/>
  <c r="F1979" i="4" s="1"/>
  <c r="D1915" i="4"/>
  <c r="F1915" i="4" s="1"/>
  <c r="D2483" i="4"/>
  <c r="F2483" i="4" s="1"/>
  <c r="D2403" i="4"/>
  <c r="F2403" i="4" s="1"/>
  <c r="D2376" i="4"/>
  <c r="F2376" i="4" s="1"/>
  <c r="D2500" i="4"/>
  <c r="F2500" i="4" s="1"/>
  <c r="D2423" i="4"/>
  <c r="F2423" i="4" s="1"/>
  <c r="D2282" i="4"/>
  <c r="F2282" i="4" s="1"/>
  <c r="D1826" i="4"/>
  <c r="F1826" i="4" s="1"/>
  <c r="D2118" i="4"/>
  <c r="F2118" i="4" s="1"/>
  <c r="D2507" i="4"/>
  <c r="F2507" i="4" s="1"/>
  <c r="D2438" i="4"/>
  <c r="F2438" i="4" s="1"/>
  <c r="D2374" i="4"/>
  <c r="F2374" i="4" s="1"/>
  <c r="D2311" i="4"/>
  <c r="F2311" i="4" s="1"/>
  <c r="D2081" i="4"/>
  <c r="F2081" i="4" s="1"/>
  <c r="D2017" i="4"/>
  <c r="F2017" i="4" s="1"/>
  <c r="D1857" i="4"/>
  <c r="F1857" i="4" s="1"/>
  <c r="D2328" i="4"/>
  <c r="F2328" i="4" s="1"/>
  <c r="D2267" i="4"/>
  <c r="F2267" i="4" s="1"/>
  <c r="D2204" i="4"/>
  <c r="F2204" i="4" s="1"/>
  <c r="D2134" i="4"/>
  <c r="F2134" i="4" s="1"/>
  <c r="D2072" i="4"/>
  <c r="F2072" i="4" s="1"/>
  <c r="D2008" i="4"/>
  <c r="F2008" i="4" s="1"/>
  <c r="D1946" i="4"/>
  <c r="F1946" i="4" s="1"/>
  <c r="D1803" i="4"/>
  <c r="F1803" i="4" s="1"/>
  <c r="D2218" i="4"/>
  <c r="F2218" i="4" s="1"/>
  <c r="D2156" i="4"/>
  <c r="F2156" i="4" s="1"/>
  <c r="D2094" i="4"/>
  <c r="F2094" i="4" s="1"/>
  <c r="D2030" i="4"/>
  <c r="F2030" i="4" s="1"/>
  <c r="D1968" i="4"/>
  <c r="F1968" i="4" s="1"/>
  <c r="D1904" i="4"/>
  <c r="F1904" i="4" s="1"/>
  <c r="D1697" i="4"/>
  <c r="F1697" i="4" s="1"/>
  <c r="D1633" i="4"/>
  <c r="F1633" i="4" s="1"/>
  <c r="D1570" i="4"/>
  <c r="F1570" i="4" s="1"/>
  <c r="D1506" i="4"/>
  <c r="F1506" i="4" s="1"/>
  <c r="D1428" i="4"/>
  <c r="F1428" i="4" s="1"/>
  <c r="D2325" i="4"/>
  <c r="F2325" i="4" s="1"/>
  <c r="D2264" i="4"/>
  <c r="F2264" i="4" s="1"/>
  <c r="D2201" i="4"/>
  <c r="F2201" i="4" s="1"/>
  <c r="D2131" i="4"/>
  <c r="F2131" i="4" s="1"/>
  <c r="D2061" i="4"/>
  <c r="F2061" i="4" s="1"/>
  <c r="D1998" i="4"/>
  <c r="F1998" i="4" s="1"/>
  <c r="D1935" i="4"/>
  <c r="F1935" i="4" s="1"/>
  <c r="D1768" i="4"/>
  <c r="F1768" i="4" s="1"/>
  <c r="D1704" i="4"/>
  <c r="F1704" i="4" s="1"/>
  <c r="D1640" i="4"/>
  <c r="F1640" i="4" s="1"/>
  <c r="D1243" i="4"/>
  <c r="F1243" i="4" s="1"/>
  <c r="D2287" i="4"/>
  <c r="F2287" i="4" s="1"/>
  <c r="D2224" i="4"/>
  <c r="F2224" i="4" s="1"/>
  <c r="D2154" i="4"/>
  <c r="F2154" i="4" s="1"/>
  <c r="D2084" i="4"/>
  <c r="F2084" i="4" s="1"/>
  <c r="D1854" i="4"/>
  <c r="F1854" i="4" s="1"/>
  <c r="D1791" i="4"/>
  <c r="F1791" i="4" s="1"/>
  <c r="D1727" i="4"/>
  <c r="F1727" i="4" s="1"/>
  <c r="D2365" i="4"/>
  <c r="F2365" i="4" s="1"/>
  <c r="D2000" i="4"/>
  <c r="F2000" i="4" s="1"/>
  <c r="D2458" i="4"/>
  <c r="F2458" i="4" s="1"/>
  <c r="D2396" i="4"/>
  <c r="F2396" i="4" s="1"/>
  <c r="D2087" i="4"/>
  <c r="F2087" i="4" s="1"/>
  <c r="D2023" i="4"/>
  <c r="F2023" i="4" s="1"/>
  <c r="D2110" i="4"/>
  <c r="F2110" i="4" s="1"/>
  <c r="D46" i="4"/>
  <c r="F46" i="4" s="1"/>
  <c r="D2410" i="4"/>
  <c r="F2410" i="4" s="1"/>
  <c r="D2213" i="4"/>
  <c r="F2213" i="4" s="1"/>
  <c r="D2125" i="4"/>
  <c r="F2125" i="4" s="1"/>
  <c r="D1365" i="4"/>
  <c r="F1365" i="4" s="1"/>
  <c r="D2349" i="4"/>
  <c r="F2349" i="4" s="1"/>
  <c r="D1126" i="4"/>
  <c r="F1126" i="4" s="1"/>
  <c r="D38" i="4"/>
  <c r="F38" i="4" s="1"/>
  <c r="D2509" i="4"/>
  <c r="F2509" i="4" s="1"/>
  <c r="D2276" i="4"/>
  <c r="F2276" i="4" s="1"/>
  <c r="D2373" i="4"/>
  <c r="F2373" i="4" s="1"/>
  <c r="D254" i="4"/>
  <c r="F254" i="4" s="1"/>
  <c r="D2368" i="4"/>
  <c r="F2368" i="4" s="1"/>
  <c r="D2211" i="4"/>
  <c r="F2211" i="4" s="1"/>
  <c r="D1971" i="4"/>
  <c r="F1971" i="4" s="1"/>
  <c r="D1907" i="4"/>
  <c r="F1907" i="4" s="1"/>
  <c r="D2452" i="4"/>
  <c r="F2452" i="4" s="1"/>
  <c r="D2363" i="4"/>
  <c r="F2363" i="4" s="1"/>
  <c r="D2360" i="4"/>
  <c r="F2360" i="4" s="1"/>
  <c r="D2493" i="4"/>
  <c r="F2493" i="4" s="1"/>
  <c r="D2415" i="4"/>
  <c r="F2415" i="4" s="1"/>
  <c r="D2274" i="4"/>
  <c r="F2274" i="4" s="1"/>
  <c r="D1818" i="4"/>
  <c r="F1818" i="4" s="1"/>
  <c r="D1046" i="4"/>
  <c r="F1046" i="4" s="1"/>
  <c r="D2499" i="4"/>
  <c r="F2499" i="4" s="1"/>
  <c r="D2430" i="4"/>
  <c r="F2430" i="4" s="1"/>
  <c r="D2366" i="4"/>
  <c r="F2366" i="4" s="1"/>
  <c r="D2289" i="4"/>
  <c r="F2289" i="4" s="1"/>
  <c r="D2073" i="4"/>
  <c r="F2073" i="4" s="1"/>
  <c r="D2009" i="4"/>
  <c r="F2009" i="4" s="1"/>
  <c r="D1849" i="4"/>
  <c r="F1849" i="4" s="1"/>
  <c r="D2320" i="4"/>
  <c r="F2320" i="4" s="1"/>
  <c r="D2259" i="4"/>
  <c r="F2259" i="4" s="1"/>
  <c r="D2196" i="4"/>
  <c r="F2196" i="4" s="1"/>
  <c r="D2126" i="4"/>
  <c r="F2126" i="4" s="1"/>
  <c r="D2064" i="4"/>
  <c r="F2064" i="4" s="1"/>
  <c r="D2001" i="4"/>
  <c r="F2001" i="4" s="1"/>
  <c r="D1938" i="4"/>
  <c r="F1938" i="4" s="1"/>
  <c r="D1795" i="4"/>
  <c r="F1795" i="4" s="1"/>
  <c r="D2210" i="4"/>
  <c r="F2210" i="4" s="1"/>
  <c r="D2148" i="4"/>
  <c r="F2148" i="4" s="1"/>
  <c r="D2086" i="4"/>
  <c r="F2086" i="4" s="1"/>
  <c r="D2022" i="4"/>
  <c r="F2022" i="4" s="1"/>
  <c r="D1960" i="4"/>
  <c r="F1960" i="4" s="1"/>
  <c r="D1896" i="4"/>
  <c r="F1896" i="4" s="1"/>
  <c r="D1689" i="4"/>
  <c r="F1689" i="4" s="1"/>
  <c r="D1625" i="4"/>
  <c r="F1625" i="4" s="1"/>
  <c r="D1562" i="4"/>
  <c r="F1562" i="4" s="1"/>
  <c r="D1498" i="4"/>
  <c r="F1498" i="4" s="1"/>
  <c r="D2380" i="4"/>
  <c r="F2380" i="4" s="1"/>
  <c r="D2317" i="4"/>
  <c r="F2317" i="4" s="1"/>
  <c r="D2256" i="4"/>
  <c r="F2256" i="4" s="1"/>
  <c r="D2193" i="4"/>
  <c r="F2193" i="4" s="1"/>
  <c r="D2116" i="4"/>
  <c r="F2116" i="4" s="1"/>
  <c r="D2053" i="4"/>
  <c r="F2053" i="4" s="1"/>
  <c r="D1991" i="4"/>
  <c r="F1991" i="4" s="1"/>
  <c r="D1927" i="4"/>
  <c r="F1927" i="4" s="1"/>
  <c r="D1760" i="4"/>
  <c r="F1760" i="4" s="1"/>
  <c r="D1696" i="4"/>
  <c r="F1696" i="4" s="1"/>
  <c r="D1632" i="4"/>
  <c r="F1632" i="4" s="1"/>
  <c r="D1235" i="4"/>
  <c r="F1235" i="4" s="1"/>
  <c r="D2279" i="4"/>
  <c r="F2279" i="4" s="1"/>
  <c r="D2216" i="4"/>
  <c r="F2216" i="4" s="1"/>
  <c r="D2146" i="4"/>
  <c r="F2146" i="4" s="1"/>
  <c r="D2076" i="4"/>
  <c r="F2076" i="4" s="1"/>
  <c r="D1846" i="4"/>
  <c r="F1846" i="4" s="1"/>
  <c r="D1783" i="4"/>
  <c r="F1783" i="4" s="1"/>
  <c r="D1719" i="4"/>
  <c r="F1719" i="4" s="1"/>
  <c r="D1655" i="4"/>
  <c r="F1655" i="4" s="1"/>
  <c r="D1584" i="4"/>
  <c r="F1584" i="4" s="1"/>
  <c r="D1520" i="4"/>
  <c r="F1520" i="4" s="1"/>
  <c r="D2323" i="4"/>
  <c r="F2323" i="4" s="1"/>
  <c r="D2262" i="4"/>
  <c r="F2262" i="4" s="1"/>
  <c r="D2199" i="4"/>
  <c r="F2199" i="4" s="1"/>
  <c r="D2137" i="4"/>
  <c r="F2137" i="4" s="1"/>
  <c r="D2075" i="4"/>
  <c r="F2075" i="4" s="1"/>
  <c r="D2011" i="4"/>
  <c r="F2011" i="4" s="1"/>
  <c r="D1933" i="4"/>
  <c r="F1933" i="4" s="1"/>
  <c r="D1869" i="4"/>
  <c r="F1869" i="4" s="1"/>
  <c r="D2341" i="4"/>
  <c r="F2341" i="4" s="1"/>
  <c r="D2512" i="4"/>
  <c r="F2512" i="4" s="1"/>
  <c r="D2451" i="4"/>
  <c r="F2451" i="4" s="1"/>
  <c r="D2388" i="4"/>
  <c r="F2388" i="4" s="1"/>
  <c r="D2079" i="4"/>
  <c r="F2079" i="4" s="1"/>
  <c r="D2015" i="4"/>
  <c r="F2015" i="4" s="1"/>
  <c r="D1038" i="4"/>
  <c r="F1038" i="4" s="1"/>
  <c r="D2503" i="4"/>
  <c r="F2503" i="4" s="1"/>
  <c r="D2402" i="4"/>
  <c r="F2402" i="4" s="1"/>
  <c r="D2205" i="4"/>
  <c r="F2205" i="4" s="1"/>
  <c r="D1421" i="4"/>
  <c r="F1421" i="4" s="1"/>
  <c r="D1237" i="4"/>
  <c r="F1237" i="4" s="1"/>
  <c r="D2496" i="4"/>
  <c r="F2496" i="4" s="1"/>
  <c r="D430" i="4"/>
  <c r="F430" i="4" s="1"/>
  <c r="D30" i="4"/>
  <c r="F30" i="4" s="1"/>
  <c r="D2502" i="4"/>
  <c r="F2502" i="4" s="1"/>
  <c r="D2268" i="4"/>
  <c r="F2268" i="4" s="1"/>
  <c r="D2511" i="4"/>
  <c r="F2511" i="4" s="1"/>
  <c r="D22" i="4"/>
  <c r="F22" i="4" s="1"/>
  <c r="D2352" i="4"/>
  <c r="F2352" i="4" s="1"/>
  <c r="D2203" i="4"/>
  <c r="F2203" i="4" s="1"/>
  <c r="D1963" i="4"/>
  <c r="F1963" i="4" s="1"/>
  <c r="D1899" i="4"/>
  <c r="F1899" i="4" s="1"/>
  <c r="D2429" i="4"/>
  <c r="F2429" i="4" s="1"/>
  <c r="D2478" i="4"/>
  <c r="F2478" i="4" s="1"/>
  <c r="D2344" i="4"/>
  <c r="F2344" i="4" s="1"/>
  <c r="D2485" i="4"/>
  <c r="F2485" i="4" s="1"/>
  <c r="D2407" i="4"/>
  <c r="F2407" i="4" s="1"/>
  <c r="D2266" i="4"/>
  <c r="F2266" i="4" s="1"/>
  <c r="D2513" i="4"/>
  <c r="F2513" i="4" s="1"/>
  <c r="D446" i="4"/>
  <c r="F446" i="4" s="1"/>
  <c r="D2492" i="4"/>
  <c r="F2492" i="4" s="1"/>
  <c r="D2422" i="4"/>
  <c r="F2422" i="4" s="1"/>
  <c r="D2358" i="4"/>
  <c r="F2358" i="4" s="1"/>
  <c r="D2281" i="4"/>
  <c r="F2281" i="4" s="1"/>
  <c r="D2065" i="4"/>
  <c r="F2065" i="4" s="1"/>
  <c r="D1993" i="4"/>
  <c r="F1993" i="4" s="1"/>
  <c r="D1841" i="4"/>
  <c r="F1841" i="4" s="1"/>
  <c r="D2312" i="4"/>
  <c r="F2312" i="4" s="1"/>
  <c r="D2252" i="4"/>
  <c r="F2252" i="4" s="1"/>
  <c r="D2188" i="4"/>
  <c r="F2188" i="4" s="1"/>
  <c r="D2119" i="4"/>
  <c r="F2119" i="4" s="1"/>
  <c r="D2056" i="4"/>
  <c r="F2056" i="4" s="1"/>
  <c r="D1994" i="4"/>
  <c r="F1994" i="4" s="1"/>
  <c r="D1930" i="4"/>
  <c r="F1930" i="4" s="1"/>
  <c r="D1787" i="4"/>
  <c r="F1787" i="4" s="1"/>
  <c r="D2202" i="4"/>
  <c r="F2202" i="4" s="1"/>
  <c r="D2140" i="4"/>
  <c r="F2140" i="4" s="1"/>
  <c r="D2078" i="4"/>
  <c r="F2078" i="4" s="1"/>
  <c r="D2014" i="4"/>
  <c r="F2014" i="4" s="1"/>
  <c r="D1952" i="4"/>
  <c r="F1952" i="4" s="1"/>
  <c r="D1745" i="4"/>
  <c r="F1745" i="4" s="1"/>
  <c r="D1681" i="4"/>
  <c r="F1681" i="4" s="1"/>
  <c r="D1618" i="4"/>
  <c r="F1618" i="4" s="1"/>
  <c r="D1554" i="4"/>
  <c r="F1554" i="4" s="1"/>
  <c r="D1490" i="4"/>
  <c r="F1490" i="4" s="1"/>
  <c r="D2372" i="4"/>
  <c r="F2372" i="4" s="1"/>
  <c r="D2309" i="4"/>
  <c r="F2309" i="4" s="1"/>
  <c r="D2249" i="4"/>
  <c r="F2249" i="4" s="1"/>
  <c r="D2185" i="4"/>
  <c r="F2185" i="4" s="1"/>
  <c r="D2108" i="4"/>
  <c r="F2108" i="4" s="1"/>
  <c r="D2045" i="4"/>
  <c r="F2045" i="4" s="1"/>
  <c r="D1983" i="4"/>
  <c r="F1983" i="4" s="1"/>
  <c r="D1919" i="4"/>
  <c r="F1919" i="4" s="1"/>
  <c r="D1752" i="4"/>
  <c r="F1752" i="4" s="1"/>
  <c r="D1688" i="4"/>
  <c r="F1688" i="4" s="1"/>
  <c r="D1624" i="4"/>
  <c r="F1624" i="4" s="1"/>
  <c r="D1052" i="4"/>
  <c r="F1052" i="4" s="1"/>
  <c r="D2271" i="4"/>
  <c r="F2271" i="4" s="1"/>
  <c r="D2208" i="4"/>
  <c r="F2208" i="4" s="1"/>
  <c r="D2138" i="4"/>
  <c r="F2138" i="4" s="1"/>
  <c r="D2068" i="4"/>
  <c r="F2068" i="4" s="1"/>
  <c r="D1838" i="4"/>
  <c r="F1838" i="4" s="1"/>
  <c r="D1775" i="4"/>
  <c r="F1775" i="4" s="1"/>
  <c r="D1711" i="4"/>
  <c r="F1711" i="4" s="1"/>
  <c r="D1647" i="4"/>
  <c r="F1647" i="4" s="1"/>
  <c r="D1576" i="4"/>
  <c r="F1576" i="4" s="1"/>
  <c r="D1512" i="4"/>
  <c r="F1512" i="4" s="1"/>
  <c r="D2315" i="4"/>
  <c r="F2315" i="4" s="1"/>
  <c r="D2254" i="4"/>
  <c r="F2254" i="4" s="1"/>
  <c r="D2191" i="4"/>
  <c r="F2191" i="4" s="1"/>
  <c r="D2129" i="4"/>
  <c r="F2129" i="4" s="1"/>
  <c r="D2067" i="4"/>
  <c r="F2067" i="4" s="1"/>
  <c r="D1989" i="4"/>
  <c r="F1989" i="4" s="1"/>
  <c r="D1925" i="4"/>
  <c r="F1925" i="4" s="1"/>
  <c r="D2333" i="4"/>
  <c r="F2333" i="4" s="1"/>
  <c r="D2071" i="4"/>
  <c r="F2071" i="4" s="1"/>
  <c r="D2394" i="4"/>
  <c r="F2394" i="4" s="1"/>
  <c r="D2473" i="4"/>
  <c r="F2473" i="4" s="1"/>
  <c r="D2260" i="4"/>
  <c r="F2260" i="4" s="1"/>
  <c r="D2195" i="4"/>
  <c r="F2195" i="4" s="1"/>
  <c r="D2504" i="4"/>
  <c r="F2504" i="4" s="1"/>
  <c r="D2469" i="4"/>
  <c r="F2469" i="4" s="1"/>
  <c r="D2475" i="4"/>
  <c r="F2475" i="4" s="1"/>
  <c r="D2468" i="4"/>
  <c r="F2468" i="4" s="1"/>
  <c r="D2273" i="4"/>
  <c r="F2273" i="4" s="1"/>
  <c r="D1985" i="4"/>
  <c r="F1985" i="4" s="1"/>
  <c r="D2304" i="4"/>
  <c r="F2304" i="4" s="1"/>
  <c r="D2180" i="4"/>
  <c r="F2180" i="4" s="1"/>
  <c r="D2048" i="4"/>
  <c r="F2048" i="4" s="1"/>
  <c r="D1922" i="4"/>
  <c r="F1922" i="4" s="1"/>
  <c r="D2194" i="4"/>
  <c r="F2194" i="4" s="1"/>
  <c r="D2070" i="4"/>
  <c r="F2070" i="4" s="1"/>
  <c r="D1944" i="4"/>
  <c r="F1944" i="4" s="1"/>
  <c r="D1673" i="4"/>
  <c r="F1673" i="4" s="1"/>
  <c r="D1546" i="4"/>
  <c r="F1546" i="4" s="1"/>
  <c r="D2364" i="4"/>
  <c r="F2364" i="4" s="1"/>
  <c r="D2241" i="4"/>
  <c r="F2241" i="4" s="1"/>
  <c r="D2101" i="4"/>
  <c r="F2101" i="4" s="1"/>
  <c r="D1975" i="4"/>
  <c r="F1975" i="4" s="1"/>
  <c r="D1744" i="4"/>
  <c r="F1744" i="4" s="1"/>
  <c r="D1617" i="4"/>
  <c r="F1617" i="4" s="1"/>
  <c r="D2263" i="4"/>
  <c r="F2263" i="4" s="1"/>
  <c r="D2130" i="4"/>
  <c r="F2130" i="4" s="1"/>
  <c r="D1831" i="4"/>
  <c r="F1831" i="4" s="1"/>
  <c r="D1703" i="4"/>
  <c r="F1703" i="4" s="1"/>
  <c r="D1600" i="4"/>
  <c r="F1600" i="4" s="1"/>
  <c r="D2370" i="4"/>
  <c r="F2370" i="4" s="1"/>
  <c r="D2270" i="4"/>
  <c r="F2270" i="4" s="1"/>
  <c r="D2168" i="4"/>
  <c r="F2168" i="4" s="1"/>
  <c r="D2059" i="4"/>
  <c r="F2059" i="4" s="1"/>
  <c r="D1949" i="4"/>
  <c r="F1949" i="4" s="1"/>
  <c r="D1853" i="4"/>
  <c r="F1853" i="4" s="1"/>
  <c r="D1782" i="4"/>
  <c r="F1782" i="4" s="1"/>
  <c r="D2440" i="4"/>
  <c r="F2440" i="4" s="1"/>
  <c r="D2377" i="4"/>
  <c r="F2377" i="4" s="1"/>
  <c r="D2314" i="4"/>
  <c r="F2314" i="4" s="1"/>
  <c r="D2246" i="4"/>
  <c r="F2246" i="4" s="1"/>
  <c r="D2182" i="4"/>
  <c r="F2182" i="4" s="1"/>
  <c r="D2121" i="4"/>
  <c r="F2121" i="4" s="1"/>
  <c r="D2050" i="4"/>
  <c r="F2050" i="4" s="1"/>
  <c r="D1980" i="4"/>
  <c r="F1980" i="4" s="1"/>
  <c r="D1916" i="4"/>
  <c r="F1916" i="4" s="1"/>
  <c r="D1852" i="4"/>
  <c r="F1852" i="4" s="1"/>
  <c r="D1553" i="4"/>
  <c r="F1553" i="4" s="1"/>
  <c r="D1489" i="4"/>
  <c r="F1489" i="4" s="1"/>
  <c r="D1412" i="4"/>
  <c r="F1412" i="4" s="1"/>
  <c r="D1348" i="4"/>
  <c r="F1348" i="4" s="1"/>
  <c r="D1284" i="4"/>
  <c r="F1284" i="4" s="1"/>
  <c r="D1197" i="4"/>
  <c r="F1197" i="4" s="1"/>
  <c r="D1029" i="4"/>
  <c r="F1029" i="4" s="1"/>
  <c r="D1781" i="4"/>
  <c r="F1781" i="4" s="1"/>
  <c r="D1718" i="4"/>
  <c r="F1718" i="4" s="1"/>
  <c r="D1654" i="4"/>
  <c r="F1654" i="4" s="1"/>
  <c r="D1583" i="4"/>
  <c r="F1583" i="4" s="1"/>
  <c r="D1519" i="4"/>
  <c r="F1519" i="4" s="1"/>
  <c r="D1457" i="4"/>
  <c r="F1457" i="4" s="1"/>
  <c r="D1394" i="4"/>
  <c r="F1394" i="4" s="1"/>
  <c r="D1330" i="4"/>
  <c r="F1330" i="4" s="1"/>
  <c r="D1266" i="4"/>
  <c r="F1266" i="4" s="1"/>
  <c r="D1937" i="4"/>
  <c r="F1937" i="4" s="1"/>
  <c r="D1874" i="4"/>
  <c r="F1874" i="4" s="1"/>
  <c r="D1804" i="4"/>
  <c r="F1804" i="4" s="1"/>
  <c r="D1741" i="4"/>
  <c r="F1741" i="4" s="1"/>
  <c r="D1677" i="4"/>
  <c r="F1677" i="4" s="1"/>
  <c r="D2326" i="4"/>
  <c r="F2326" i="4" s="1"/>
  <c r="D2063" i="4"/>
  <c r="F2063" i="4" s="1"/>
  <c r="D2386" i="4"/>
  <c r="F2386" i="4" s="1"/>
  <c r="D2450" i="4"/>
  <c r="F2450" i="4" s="1"/>
  <c r="D2172" i="4"/>
  <c r="F2172" i="4" s="1"/>
  <c r="D2187" i="4"/>
  <c r="F2187" i="4" s="1"/>
  <c r="D2454" i="4"/>
  <c r="F2454" i="4" s="1"/>
  <c r="D2461" i="4"/>
  <c r="F2461" i="4" s="1"/>
  <c r="D2427" i="4"/>
  <c r="F2427" i="4" s="1"/>
  <c r="D2414" i="4"/>
  <c r="F2414" i="4" s="1"/>
  <c r="D2265" i="4"/>
  <c r="F2265" i="4" s="1"/>
  <c r="D1889" i="4"/>
  <c r="F1889" i="4" s="1"/>
  <c r="D2298" i="4"/>
  <c r="F2298" i="4" s="1"/>
  <c r="D2173" i="4"/>
  <c r="F2173" i="4" s="1"/>
  <c r="D2040" i="4"/>
  <c r="F2040" i="4" s="1"/>
  <c r="D1914" i="4"/>
  <c r="F1914" i="4" s="1"/>
  <c r="D2186" i="4"/>
  <c r="F2186" i="4" s="1"/>
  <c r="D2062" i="4"/>
  <c r="F2062" i="4" s="1"/>
  <c r="D1936" i="4"/>
  <c r="F1936" i="4" s="1"/>
  <c r="D1665" i="4"/>
  <c r="F1665" i="4" s="1"/>
  <c r="D1538" i="4"/>
  <c r="F1538" i="4" s="1"/>
  <c r="D2356" i="4"/>
  <c r="F2356" i="4" s="1"/>
  <c r="D2233" i="4"/>
  <c r="F2233" i="4" s="1"/>
  <c r="D2093" i="4"/>
  <c r="F2093" i="4" s="1"/>
  <c r="D1967" i="4"/>
  <c r="F1967" i="4" s="1"/>
  <c r="D1736" i="4"/>
  <c r="F1736" i="4" s="1"/>
  <c r="D1609" i="4"/>
  <c r="F1609" i="4" s="1"/>
  <c r="D2255" i="4"/>
  <c r="F2255" i="4" s="1"/>
  <c r="D2115" i="4"/>
  <c r="F2115" i="4" s="1"/>
  <c r="D1823" i="4"/>
  <c r="F1823" i="4" s="1"/>
  <c r="D1695" i="4"/>
  <c r="F1695" i="4" s="1"/>
  <c r="D1592" i="4"/>
  <c r="F1592" i="4" s="1"/>
  <c r="D2362" i="4"/>
  <c r="F2362" i="4" s="1"/>
  <c r="D2247" i="4"/>
  <c r="F2247" i="4" s="1"/>
  <c r="D2153" i="4"/>
  <c r="F2153" i="4" s="1"/>
  <c r="D2051" i="4"/>
  <c r="F2051" i="4" s="1"/>
  <c r="D1941" i="4"/>
  <c r="F1941" i="4" s="1"/>
  <c r="D1845" i="4"/>
  <c r="F1845" i="4" s="1"/>
  <c r="D1774" i="4"/>
  <c r="F1774" i="4" s="1"/>
  <c r="D2433" i="4"/>
  <c r="F2433" i="4" s="1"/>
  <c r="D2369" i="4"/>
  <c r="F2369" i="4" s="1"/>
  <c r="D2306" i="4"/>
  <c r="F2306" i="4" s="1"/>
  <c r="D2238" i="4"/>
  <c r="F2238" i="4" s="1"/>
  <c r="D2175" i="4"/>
  <c r="F2175" i="4" s="1"/>
  <c r="D2113" i="4"/>
  <c r="F2113" i="4" s="1"/>
  <c r="D2042" i="4"/>
  <c r="F2042" i="4" s="1"/>
  <c r="D1972" i="4"/>
  <c r="F1972" i="4" s="1"/>
  <c r="D1908" i="4"/>
  <c r="F1908" i="4" s="1"/>
  <c r="D1844" i="4"/>
  <c r="F1844" i="4" s="1"/>
  <c r="D1545" i="4"/>
  <c r="F1545" i="4" s="1"/>
  <c r="D1474" i="4"/>
  <c r="F1474" i="4" s="1"/>
  <c r="D1404" i="4"/>
  <c r="F1404" i="4" s="1"/>
  <c r="D1340" i="4"/>
  <c r="F1340" i="4" s="1"/>
  <c r="D1276" i="4"/>
  <c r="F1276" i="4" s="1"/>
  <c r="D1189" i="4"/>
  <c r="F1189" i="4" s="1"/>
  <c r="D1851" i="4"/>
  <c r="F1851" i="4" s="1"/>
  <c r="D1773" i="4"/>
  <c r="F1773" i="4" s="1"/>
  <c r="D1710" i="4"/>
  <c r="F1710" i="4" s="1"/>
  <c r="D1646" i="4"/>
  <c r="F1646" i="4" s="1"/>
  <c r="D1575" i="4"/>
  <c r="F1575" i="4" s="1"/>
  <c r="D1511" i="4"/>
  <c r="F1511" i="4" s="1"/>
  <c r="D1449" i="4"/>
  <c r="F1449" i="4" s="1"/>
  <c r="D1386" i="4"/>
  <c r="F1386" i="4" s="1"/>
  <c r="D1322" i="4"/>
  <c r="F1322" i="4" s="1"/>
  <c r="D1258" i="4"/>
  <c r="F1258" i="4" s="1"/>
  <c r="D1929" i="4"/>
  <c r="F1929" i="4" s="1"/>
  <c r="D1866" i="4"/>
  <c r="F1866" i="4" s="1"/>
  <c r="D1796" i="4"/>
  <c r="F1796" i="4" s="1"/>
  <c r="D1733" i="4"/>
  <c r="F1733" i="4" s="1"/>
  <c r="D1669" i="4"/>
  <c r="F1669" i="4" s="1"/>
  <c r="D1606" i="4"/>
  <c r="F1606" i="4" s="1"/>
  <c r="D1542" i="4"/>
  <c r="F1542" i="4" s="1"/>
  <c r="D1479" i="4"/>
  <c r="F1479" i="4" s="1"/>
  <c r="D1417" i="4"/>
  <c r="F1417" i="4" s="1"/>
  <c r="D1353" i="4"/>
  <c r="F1353" i="4" s="1"/>
  <c r="D1289" i="4"/>
  <c r="F1289" i="4" s="1"/>
  <c r="D994" i="4"/>
  <c r="F994" i="4" s="1"/>
  <c r="D1732" i="4"/>
  <c r="F1732" i="4" s="1"/>
  <c r="D1668" i="4"/>
  <c r="F1668" i="4" s="1"/>
  <c r="D1605" i="4"/>
  <c r="F1605" i="4" s="1"/>
  <c r="D1541" i="4"/>
  <c r="F1541" i="4" s="1"/>
  <c r="D1478" i="4"/>
  <c r="F1478" i="4" s="1"/>
  <c r="D1408" i="4"/>
  <c r="F1408" i="4" s="1"/>
  <c r="D1025" i="4"/>
  <c r="F1025" i="4" s="1"/>
  <c r="D722" i="4"/>
  <c r="F722" i="4" s="1"/>
  <c r="D658" i="4"/>
  <c r="F658" i="4" s="1"/>
  <c r="D554" i="4"/>
  <c r="F554" i="4" s="1"/>
  <c r="D482" i="4"/>
  <c r="F482" i="4" s="1"/>
  <c r="D1848" i="4"/>
  <c r="F1848" i="4" s="1"/>
  <c r="D1786" i="4"/>
  <c r="F1786" i="4" s="1"/>
  <c r="D1715" i="4"/>
  <c r="F1715" i="4" s="1"/>
  <c r="D1651" i="4"/>
  <c r="F1651" i="4" s="1"/>
  <c r="D1080" i="4"/>
  <c r="F1080" i="4" s="1"/>
  <c r="D968" i="4"/>
  <c r="F968" i="4" s="1"/>
  <c r="D897" i="4"/>
  <c r="F897" i="4" s="1"/>
  <c r="D833" i="4"/>
  <c r="F833" i="4" s="1"/>
  <c r="D769" i="4"/>
  <c r="F769" i="4" s="1"/>
  <c r="D2004" i="4"/>
  <c r="F2004" i="4" s="1"/>
  <c r="D1942" i="4"/>
  <c r="F1942" i="4" s="1"/>
  <c r="D1879" i="4"/>
  <c r="F1879" i="4" s="1"/>
  <c r="D1816" i="4"/>
  <c r="F1816" i="4" s="1"/>
  <c r="D1753" i="4"/>
  <c r="F1753" i="4" s="1"/>
  <c r="D1690" i="4"/>
  <c r="F1690" i="4" s="1"/>
  <c r="D1223" i="4"/>
  <c r="F1223" i="4" s="1"/>
  <c r="D1159" i="4"/>
  <c r="F1159" i="4" s="1"/>
  <c r="D1015" i="4"/>
  <c r="F1015" i="4" s="1"/>
  <c r="D1458" i="4"/>
  <c r="F1458" i="4" s="1"/>
  <c r="D1395" i="4"/>
  <c r="F1395" i="4" s="1"/>
  <c r="D1331" i="4"/>
  <c r="F1331" i="4" s="1"/>
  <c r="D1267" i="4"/>
  <c r="F1267" i="4" s="1"/>
  <c r="D1206" i="4"/>
  <c r="F1206" i="4" s="1"/>
  <c r="D1142" i="4"/>
  <c r="F1142" i="4" s="1"/>
  <c r="D1073" i="4"/>
  <c r="F1073" i="4" s="1"/>
  <c r="D1016" i="4"/>
  <c r="F1016" i="4" s="1"/>
  <c r="D938" i="4"/>
  <c r="F938" i="4" s="1"/>
  <c r="D874" i="4"/>
  <c r="F874" i="4" s="1"/>
  <c r="D507" i="4"/>
  <c r="F507" i="4" s="1"/>
  <c r="D1273" i="4"/>
  <c r="F1273" i="4" s="1"/>
  <c r="D1212" i="4"/>
  <c r="F1212" i="4" s="1"/>
  <c r="D1148" i="4"/>
  <c r="F1148" i="4" s="1"/>
  <c r="D1087" i="4"/>
  <c r="F1087" i="4" s="1"/>
  <c r="D1014" i="4"/>
  <c r="F1014" i="4" s="1"/>
  <c r="D952" i="4"/>
  <c r="F952" i="4" s="1"/>
  <c r="D888" i="4"/>
  <c r="F888" i="4" s="1"/>
  <c r="D824" i="4"/>
  <c r="F824" i="4" s="1"/>
  <c r="D753" i="4"/>
  <c r="F753" i="4" s="1"/>
  <c r="D689" i="4"/>
  <c r="F689" i="4" s="1"/>
  <c r="D1336" i="4"/>
  <c r="F1336" i="4" s="1"/>
  <c r="D1272" i="4"/>
  <c r="F1272" i="4" s="1"/>
  <c r="D1203" i="4"/>
  <c r="F1203" i="4" s="1"/>
  <c r="D1139" i="4"/>
  <c r="F1139" i="4" s="1"/>
  <c r="D1078" i="4"/>
  <c r="F1078" i="4" s="1"/>
  <c r="D1013" i="4"/>
  <c r="F1013" i="4" s="1"/>
  <c r="D951" i="4"/>
  <c r="F951" i="4" s="1"/>
  <c r="D887" i="4"/>
  <c r="F887" i="4" s="1"/>
  <c r="D823" i="4"/>
  <c r="F823" i="4" s="1"/>
  <c r="D752" i="4"/>
  <c r="F752" i="4" s="1"/>
  <c r="D1564" i="4"/>
  <c r="F1564" i="4" s="1"/>
  <c r="D1500" i="4"/>
  <c r="F1500" i="4" s="1"/>
  <c r="D1438" i="4"/>
  <c r="F1438" i="4" s="1"/>
  <c r="D1375" i="4"/>
  <c r="F1375" i="4" s="1"/>
  <c r="D1311" i="4"/>
  <c r="F1311" i="4" s="1"/>
  <c r="D1247" i="4"/>
  <c r="F1247" i="4" s="1"/>
  <c r="D1186" i="4"/>
  <c r="F1186" i="4" s="1"/>
  <c r="D1123" i="4"/>
  <c r="F1123" i="4" s="1"/>
  <c r="D1061" i="4"/>
  <c r="F1061" i="4" s="1"/>
  <c r="D973" i="4"/>
  <c r="F973" i="4" s="1"/>
  <c r="D1579" i="4"/>
  <c r="F1579" i="4" s="1"/>
  <c r="D1515" i="4"/>
  <c r="F1515" i="4" s="1"/>
  <c r="D1453" i="4"/>
  <c r="F1453" i="4" s="1"/>
  <c r="D1390" i="4"/>
  <c r="F1390" i="4" s="1"/>
  <c r="D1326" i="4"/>
  <c r="F1326" i="4" s="1"/>
  <c r="D1262" i="4"/>
  <c r="F1262" i="4" s="1"/>
  <c r="D1201" i="4"/>
  <c r="F1201" i="4" s="1"/>
  <c r="D1137" i="4"/>
  <c r="F1137" i="4" s="1"/>
  <c r="D1068" i="4"/>
  <c r="F1068" i="4" s="1"/>
  <c r="D988" i="4"/>
  <c r="F988" i="4" s="1"/>
  <c r="D1325" i="4"/>
  <c r="F1325" i="4" s="1"/>
  <c r="D1261" i="4"/>
  <c r="F1261" i="4" s="1"/>
  <c r="D1192" i="4"/>
  <c r="F1192" i="4" s="1"/>
  <c r="D1121" i="4"/>
  <c r="F1121" i="4" s="1"/>
  <c r="D1059" i="4"/>
  <c r="F1059" i="4" s="1"/>
  <c r="D995" i="4"/>
  <c r="F995" i="4" s="1"/>
  <c r="D2505" i="4"/>
  <c r="F2505" i="4" s="1"/>
  <c r="D2007" i="4"/>
  <c r="F2007" i="4" s="1"/>
  <c r="D2197" i="4"/>
  <c r="F2197" i="4" s="1"/>
  <c r="D238" i="4"/>
  <c r="F238" i="4" s="1"/>
  <c r="D2481" i="4"/>
  <c r="F2481" i="4" s="1"/>
  <c r="D1955" i="4"/>
  <c r="F1955" i="4" s="1"/>
  <c r="D2432" i="4"/>
  <c r="F2432" i="4" s="1"/>
  <c r="D2399" i="4"/>
  <c r="F2399" i="4" s="1"/>
  <c r="D2387" i="4"/>
  <c r="F2387" i="4" s="1"/>
  <c r="D2406" i="4"/>
  <c r="F2406" i="4" s="1"/>
  <c r="D2257" i="4"/>
  <c r="F2257" i="4" s="1"/>
  <c r="D1881" i="4"/>
  <c r="F1881" i="4" s="1"/>
  <c r="D2291" i="4"/>
  <c r="F2291" i="4" s="1"/>
  <c r="D2165" i="4"/>
  <c r="F2165" i="4" s="1"/>
  <c r="D2032" i="4"/>
  <c r="F2032" i="4" s="1"/>
  <c r="D1906" i="4"/>
  <c r="F1906" i="4" s="1"/>
  <c r="D2178" i="4"/>
  <c r="F2178" i="4" s="1"/>
  <c r="D2054" i="4"/>
  <c r="F2054" i="4" s="1"/>
  <c r="D1928" i="4"/>
  <c r="F1928" i="4" s="1"/>
  <c r="D1657" i="4"/>
  <c r="F1657" i="4" s="1"/>
  <c r="D1530" i="4"/>
  <c r="F1530" i="4" s="1"/>
  <c r="D2348" i="4"/>
  <c r="F2348" i="4" s="1"/>
  <c r="D2225" i="4"/>
  <c r="F2225" i="4" s="1"/>
  <c r="D2085" i="4"/>
  <c r="F2085" i="4" s="1"/>
  <c r="D1959" i="4"/>
  <c r="F1959" i="4" s="1"/>
  <c r="D1728" i="4"/>
  <c r="F1728" i="4" s="1"/>
  <c r="D1601" i="4"/>
  <c r="F1601" i="4" s="1"/>
  <c r="D2248" i="4"/>
  <c r="F2248" i="4" s="1"/>
  <c r="D2107" i="4"/>
  <c r="F2107" i="4" s="1"/>
  <c r="D1815" i="4"/>
  <c r="F1815" i="4" s="1"/>
  <c r="D1687" i="4"/>
  <c r="F1687" i="4" s="1"/>
  <c r="D1568" i="4"/>
  <c r="F1568" i="4" s="1"/>
  <c r="D2346" i="4"/>
  <c r="F2346" i="4" s="1"/>
  <c r="D2239" i="4"/>
  <c r="F2239" i="4" s="1"/>
  <c r="D2145" i="4"/>
  <c r="F2145" i="4" s="1"/>
  <c r="D2043" i="4"/>
  <c r="F2043" i="4" s="1"/>
  <c r="D1917" i="4"/>
  <c r="F1917" i="4" s="1"/>
  <c r="D1837" i="4"/>
  <c r="F1837" i="4" s="1"/>
  <c r="D1758" i="4"/>
  <c r="F1758" i="4" s="1"/>
  <c r="D2425" i="4"/>
  <c r="F2425" i="4" s="1"/>
  <c r="D2361" i="4"/>
  <c r="F2361" i="4" s="1"/>
  <c r="D2300" i="4"/>
  <c r="F2300" i="4" s="1"/>
  <c r="D2230" i="4"/>
  <c r="F2230" i="4" s="1"/>
  <c r="D2167" i="4"/>
  <c r="F2167" i="4" s="1"/>
  <c r="D2098" i="4"/>
  <c r="F2098" i="4" s="1"/>
  <c r="D2034" i="4"/>
  <c r="F2034" i="4" s="1"/>
  <c r="D1964" i="4"/>
  <c r="F1964" i="4" s="1"/>
  <c r="D1900" i="4"/>
  <c r="F1900" i="4" s="1"/>
  <c r="D1829" i="4"/>
  <c r="F1829" i="4" s="1"/>
  <c r="D1537" i="4"/>
  <c r="F1537" i="4" s="1"/>
  <c r="D1459" i="4"/>
  <c r="F1459" i="4" s="1"/>
  <c r="D1396" i="4"/>
  <c r="F1396" i="4" s="1"/>
  <c r="D1332" i="4"/>
  <c r="F1332" i="4" s="1"/>
  <c r="D1268" i="4"/>
  <c r="F1268" i="4" s="1"/>
  <c r="D1181" i="4"/>
  <c r="F1181" i="4" s="1"/>
  <c r="D1843" i="4"/>
  <c r="F1843" i="4" s="1"/>
  <c r="D1765" i="4"/>
  <c r="F1765" i="4" s="1"/>
  <c r="D1702" i="4"/>
  <c r="F1702" i="4" s="1"/>
  <c r="D1638" i="4"/>
  <c r="F1638" i="4" s="1"/>
  <c r="D1567" i="4"/>
  <c r="F1567" i="4" s="1"/>
  <c r="D1503" i="4"/>
  <c r="F1503" i="4" s="1"/>
  <c r="D1441" i="4"/>
  <c r="F1441" i="4" s="1"/>
  <c r="D1378" i="4"/>
  <c r="F1378" i="4" s="1"/>
  <c r="D1314" i="4"/>
  <c r="F1314" i="4" s="1"/>
  <c r="D1250" i="4"/>
  <c r="F1250" i="4" s="1"/>
  <c r="D1921" i="4"/>
  <c r="F1921" i="4" s="1"/>
  <c r="D1858" i="4"/>
  <c r="F1858" i="4" s="1"/>
  <c r="D1788" i="4"/>
  <c r="F1788" i="4" s="1"/>
  <c r="D1725" i="4"/>
  <c r="F1725" i="4" s="1"/>
  <c r="D1661" i="4"/>
  <c r="F1661" i="4" s="1"/>
  <c r="D1598" i="4"/>
  <c r="F1598" i="4" s="1"/>
  <c r="D1534" i="4"/>
  <c r="F1534" i="4" s="1"/>
  <c r="D1471" i="4"/>
  <c r="F1471" i="4" s="1"/>
  <c r="D1409" i="4"/>
  <c r="F1409" i="4" s="1"/>
  <c r="D1345" i="4"/>
  <c r="F1345" i="4" s="1"/>
  <c r="D1090" i="4"/>
  <c r="F1090" i="4" s="1"/>
  <c r="D986" i="4"/>
  <c r="F986" i="4" s="1"/>
  <c r="D1724" i="4"/>
  <c r="F1724" i="4" s="1"/>
  <c r="D1660" i="4"/>
  <c r="F1660" i="4" s="1"/>
  <c r="D1597" i="4"/>
  <c r="F1597" i="4" s="1"/>
  <c r="D1533" i="4"/>
  <c r="F1533" i="4" s="1"/>
  <c r="D1470" i="4"/>
  <c r="F1470" i="4" s="1"/>
  <c r="D1400" i="4"/>
  <c r="F1400" i="4" s="1"/>
  <c r="D1017" i="4"/>
  <c r="F1017" i="4" s="1"/>
  <c r="D714" i="4"/>
  <c r="F714" i="4" s="1"/>
  <c r="D610" i="4"/>
  <c r="F610" i="4" s="1"/>
  <c r="D546" i="4"/>
  <c r="F546" i="4" s="1"/>
  <c r="D1911" i="4"/>
  <c r="F1911" i="4" s="1"/>
  <c r="D1840" i="4"/>
  <c r="F1840" i="4" s="1"/>
  <c r="D1778" i="4"/>
  <c r="F1778" i="4" s="1"/>
  <c r="D1707" i="4"/>
  <c r="F1707" i="4" s="1"/>
  <c r="D1643" i="4"/>
  <c r="F1643" i="4" s="1"/>
  <c r="D1072" i="4"/>
  <c r="F1072" i="4" s="1"/>
  <c r="D953" i="4"/>
  <c r="F953" i="4" s="1"/>
  <c r="D889" i="4"/>
  <c r="F889" i="4" s="1"/>
  <c r="D825" i="4"/>
  <c r="F825" i="4" s="1"/>
  <c r="D2060" i="4"/>
  <c r="F2060" i="4" s="1"/>
  <c r="D1997" i="4"/>
  <c r="F1997" i="4" s="1"/>
  <c r="D1934" i="4"/>
  <c r="F1934" i="4" s="1"/>
  <c r="D1871" i="4"/>
  <c r="F1871" i="4" s="1"/>
  <c r="D1809" i="4"/>
  <c r="F1809" i="4" s="1"/>
  <c r="D1746" i="4"/>
  <c r="F1746" i="4" s="1"/>
  <c r="D1682" i="4"/>
  <c r="F1682" i="4" s="1"/>
  <c r="D1215" i="4"/>
  <c r="F1215" i="4" s="1"/>
  <c r="D1151" i="4"/>
  <c r="F1151" i="4" s="1"/>
  <c r="D1007" i="4"/>
  <c r="F1007" i="4" s="1"/>
  <c r="D1450" i="4"/>
  <c r="F1450" i="4" s="1"/>
  <c r="D1387" i="4"/>
  <c r="F1387" i="4" s="1"/>
  <c r="D1323" i="4"/>
  <c r="F1323" i="4" s="1"/>
  <c r="D1259" i="4"/>
  <c r="F1259" i="4" s="1"/>
  <c r="D1198" i="4"/>
  <c r="F1198" i="4" s="1"/>
  <c r="D1135" i="4"/>
  <c r="F1135" i="4" s="1"/>
  <c r="D1065" i="4"/>
  <c r="F1065" i="4" s="1"/>
  <c r="D1008" i="4"/>
  <c r="F1008" i="4" s="1"/>
  <c r="D930" i="4"/>
  <c r="F930" i="4" s="1"/>
  <c r="D866" i="4"/>
  <c r="F866" i="4" s="1"/>
  <c r="D499" i="4"/>
  <c r="F499" i="4" s="1"/>
  <c r="D1265" i="4"/>
  <c r="F1265" i="4" s="1"/>
  <c r="D2497" i="4"/>
  <c r="F2497" i="4" s="1"/>
  <c r="D2489" i="4"/>
  <c r="F2489" i="4" s="1"/>
  <c r="D2189" i="4"/>
  <c r="F2189" i="4" s="1"/>
  <c r="D214" i="4"/>
  <c r="F214" i="4" s="1"/>
  <c r="D2442" i="4"/>
  <c r="F2442" i="4" s="1"/>
  <c r="D1947" i="4"/>
  <c r="F1947" i="4" s="1"/>
  <c r="D2416" i="4"/>
  <c r="F2416" i="4" s="1"/>
  <c r="D2391" i="4"/>
  <c r="F2391" i="4" s="1"/>
  <c r="D246" i="4"/>
  <c r="F246" i="4" s="1"/>
  <c r="D2398" i="4"/>
  <c r="F2398" i="4" s="1"/>
  <c r="D2089" i="4"/>
  <c r="F2089" i="4" s="1"/>
  <c r="D1865" i="4"/>
  <c r="F1865" i="4" s="1"/>
  <c r="D2275" i="4"/>
  <c r="F2275" i="4" s="1"/>
  <c r="D2142" i="4"/>
  <c r="F2142" i="4" s="1"/>
  <c r="D2016" i="4"/>
  <c r="F2016" i="4" s="1"/>
  <c r="D1811" i="4"/>
  <c r="F1811" i="4" s="1"/>
  <c r="D2163" i="4"/>
  <c r="F2163" i="4" s="1"/>
  <c r="D2038" i="4"/>
  <c r="F2038" i="4" s="1"/>
  <c r="D1912" i="4"/>
  <c r="F1912" i="4" s="1"/>
  <c r="D1641" i="4"/>
  <c r="F1641" i="4" s="1"/>
  <c r="D1514" i="4"/>
  <c r="F1514" i="4" s="1"/>
  <c r="D2332" i="4"/>
  <c r="F2332" i="4" s="1"/>
  <c r="D2209" i="4"/>
  <c r="F2209" i="4" s="1"/>
  <c r="D2069" i="4"/>
  <c r="F2069" i="4" s="1"/>
  <c r="D1943" i="4"/>
  <c r="F1943" i="4" s="1"/>
  <c r="D1712" i="4"/>
  <c r="F1712" i="4" s="1"/>
  <c r="D1585" i="4"/>
  <c r="F1585" i="4" s="1"/>
  <c r="D2232" i="4"/>
  <c r="F2232" i="4" s="1"/>
  <c r="D2092" i="4"/>
  <c r="F2092" i="4" s="1"/>
  <c r="D1799" i="4"/>
  <c r="F1799" i="4" s="1"/>
  <c r="D1671" i="4"/>
  <c r="F1671" i="4" s="1"/>
  <c r="D1560" i="4"/>
  <c r="F1560" i="4" s="1"/>
  <c r="D2338" i="4"/>
  <c r="F2338" i="4" s="1"/>
  <c r="D2231" i="4"/>
  <c r="F2231" i="4" s="1"/>
  <c r="D2122" i="4"/>
  <c r="F2122" i="4" s="1"/>
  <c r="D2027" i="4"/>
  <c r="F2027" i="4" s="1"/>
  <c r="D1909" i="4"/>
  <c r="F1909" i="4" s="1"/>
  <c r="D1822" i="4"/>
  <c r="F1822" i="4" s="1"/>
  <c r="D1750" i="4"/>
  <c r="F1750" i="4" s="1"/>
  <c r="D2417" i="4"/>
  <c r="F2417" i="4" s="1"/>
  <c r="D2353" i="4"/>
  <c r="F2353" i="4" s="1"/>
  <c r="D2293" i="4"/>
  <c r="F2293" i="4" s="1"/>
  <c r="D2222" i="4"/>
  <c r="F2222" i="4" s="1"/>
  <c r="D2159" i="4"/>
  <c r="F2159" i="4" s="1"/>
  <c r="D2090" i="4"/>
  <c r="F2090" i="4" s="1"/>
  <c r="D2026" i="4"/>
  <c r="F2026" i="4" s="1"/>
  <c r="D1956" i="4"/>
  <c r="F1956" i="4" s="1"/>
  <c r="D1892" i="4"/>
  <c r="F1892" i="4" s="1"/>
  <c r="D1821" i="4"/>
  <c r="F1821" i="4" s="1"/>
  <c r="D1529" i="4"/>
  <c r="F1529" i="4" s="1"/>
  <c r="D1451" i="4"/>
  <c r="F1451" i="4" s="1"/>
  <c r="D1388" i="4"/>
  <c r="F1388" i="4" s="1"/>
  <c r="D1324" i="4"/>
  <c r="F1324" i="4" s="1"/>
  <c r="D1260" i="4"/>
  <c r="F1260" i="4" s="1"/>
  <c r="D1173" i="4"/>
  <c r="F1173" i="4" s="1"/>
  <c r="D1828" i="4"/>
  <c r="F1828" i="4" s="1"/>
  <c r="D1757" i="4"/>
  <c r="F1757" i="4" s="1"/>
  <c r="D1694" i="4"/>
  <c r="F1694" i="4" s="1"/>
  <c r="D1630" i="4"/>
  <c r="F1630" i="4" s="1"/>
  <c r="D1559" i="4"/>
  <c r="F1559" i="4" s="1"/>
  <c r="D1495" i="4"/>
  <c r="F1495" i="4" s="1"/>
  <c r="D1433" i="4"/>
  <c r="F1433" i="4" s="1"/>
  <c r="D1370" i="4"/>
  <c r="F1370" i="4" s="1"/>
  <c r="D1306" i="4"/>
  <c r="F1306" i="4" s="1"/>
  <c r="D1977" i="4"/>
  <c r="F1977" i="4" s="1"/>
  <c r="D1913" i="4"/>
  <c r="F1913" i="4" s="1"/>
  <c r="D1850" i="4"/>
  <c r="F1850" i="4" s="1"/>
  <c r="D1780" i="4"/>
  <c r="F1780" i="4" s="1"/>
  <c r="D1717" i="4"/>
  <c r="F1717" i="4" s="1"/>
  <c r="D1653" i="4"/>
  <c r="F1653" i="4" s="1"/>
  <c r="D1590" i="4"/>
  <c r="F1590" i="4" s="1"/>
  <c r="D1526" i="4"/>
  <c r="F1526" i="4" s="1"/>
  <c r="D1464" i="4"/>
  <c r="F1464" i="4" s="1"/>
  <c r="D1401" i="4"/>
  <c r="F1401" i="4" s="1"/>
  <c r="D1337" i="4"/>
  <c r="F1337" i="4" s="1"/>
  <c r="D1082" i="4"/>
  <c r="F1082" i="4" s="1"/>
  <c r="D978" i="4"/>
  <c r="F978" i="4" s="1"/>
  <c r="D1716" i="4"/>
  <c r="F1716" i="4" s="1"/>
  <c r="D1652" i="4"/>
  <c r="F1652" i="4" s="1"/>
  <c r="D1589" i="4"/>
  <c r="F1589" i="4" s="1"/>
  <c r="D1525" i="4"/>
  <c r="F1525" i="4" s="1"/>
  <c r="D1463" i="4"/>
  <c r="F1463" i="4" s="1"/>
  <c r="D1392" i="4"/>
  <c r="F1392" i="4" s="1"/>
  <c r="D1009" i="4"/>
  <c r="F1009" i="4" s="1"/>
  <c r="D706" i="4"/>
  <c r="F706" i="4" s="1"/>
  <c r="D602" i="4"/>
  <c r="F602" i="4" s="1"/>
  <c r="D530" i="4"/>
  <c r="F530" i="4" s="1"/>
  <c r="D1903" i="4"/>
  <c r="F1903" i="4" s="1"/>
  <c r="D1833" i="4"/>
  <c r="F1833" i="4" s="1"/>
  <c r="D1770" i="4"/>
  <c r="F1770" i="4" s="1"/>
  <c r="D1699" i="4"/>
  <c r="F1699" i="4" s="1"/>
  <c r="D1635" i="4"/>
  <c r="F1635" i="4" s="1"/>
  <c r="D1064" i="4"/>
  <c r="F1064" i="4" s="1"/>
  <c r="D945" i="4"/>
  <c r="F945" i="4" s="1"/>
  <c r="D881" i="4"/>
  <c r="F881" i="4" s="1"/>
  <c r="D817" i="4"/>
  <c r="F817" i="4" s="1"/>
  <c r="D2052" i="4"/>
  <c r="F2052" i="4" s="1"/>
  <c r="D1990" i="4"/>
  <c r="F1990" i="4" s="1"/>
  <c r="D1926" i="4"/>
  <c r="F1926" i="4" s="1"/>
  <c r="D1863" i="4"/>
  <c r="F1863" i="4" s="1"/>
  <c r="D1801" i="4"/>
  <c r="F1801" i="4" s="1"/>
  <c r="D1738" i="4"/>
  <c r="F1738" i="4" s="1"/>
  <c r="D1674" i="4"/>
  <c r="F1674" i="4" s="1"/>
  <c r="D1207" i="4"/>
  <c r="F1207" i="4" s="1"/>
  <c r="D1143" i="4"/>
  <c r="F1143" i="4" s="1"/>
  <c r="D1504" i="4"/>
  <c r="F1504" i="4" s="1"/>
  <c r="D1442" i="4"/>
  <c r="F1442" i="4" s="1"/>
  <c r="D1379" i="4"/>
  <c r="F1379" i="4" s="1"/>
  <c r="D1315" i="4"/>
  <c r="F1315" i="4" s="1"/>
  <c r="D1251" i="4"/>
  <c r="F1251" i="4" s="1"/>
  <c r="D1190" i="4"/>
  <c r="F1190" i="4" s="1"/>
  <c r="D1127" i="4"/>
  <c r="F1127" i="4" s="1"/>
  <c r="D1057" i="4"/>
  <c r="F1057" i="4" s="1"/>
  <c r="D1001" i="4"/>
  <c r="F1001" i="4" s="1"/>
  <c r="D922" i="4"/>
  <c r="F922" i="4" s="1"/>
  <c r="D858" i="4"/>
  <c r="F858" i="4" s="1"/>
  <c r="D491" i="4"/>
  <c r="F491" i="4" s="1"/>
  <c r="D1257" i="4"/>
  <c r="F1257" i="4" s="1"/>
  <c r="D1196" i="4"/>
  <c r="F1196" i="4" s="1"/>
  <c r="D1133" i="4"/>
  <c r="F1133" i="4" s="1"/>
  <c r="D1071" i="4"/>
  <c r="F1071" i="4" s="1"/>
  <c r="D999" i="4"/>
  <c r="F999" i="4" s="1"/>
  <c r="D936" i="4"/>
  <c r="F936" i="4" s="1"/>
  <c r="D872" i="4"/>
  <c r="F872" i="4" s="1"/>
  <c r="D808" i="4"/>
  <c r="F808" i="4" s="1"/>
  <c r="D737" i="4"/>
  <c r="F737" i="4" s="1"/>
  <c r="D673" i="4"/>
  <c r="F673" i="4" s="1"/>
  <c r="D1320" i="4"/>
  <c r="F1320" i="4" s="1"/>
  <c r="D1256" i="4"/>
  <c r="F1256" i="4" s="1"/>
  <c r="D1187" i="4"/>
  <c r="F1187" i="4" s="1"/>
  <c r="D1124" i="4"/>
  <c r="F1124" i="4" s="1"/>
  <c r="D1062" i="4"/>
  <c r="F1062" i="4" s="1"/>
  <c r="D998" i="4"/>
  <c r="F998" i="4" s="1"/>
  <c r="D935" i="4"/>
  <c r="F935" i="4" s="1"/>
  <c r="D871" i="4"/>
  <c r="F871" i="4" s="1"/>
  <c r="D807" i="4"/>
  <c r="F807" i="4" s="1"/>
  <c r="D1612" i="4"/>
  <c r="F1612" i="4" s="1"/>
  <c r="D1548" i="4"/>
  <c r="F1548" i="4" s="1"/>
  <c r="D1484" i="4"/>
  <c r="F1484" i="4" s="1"/>
  <c r="D1423" i="4"/>
  <c r="F1423" i="4" s="1"/>
  <c r="D1359" i="4"/>
  <c r="F1359" i="4" s="1"/>
  <c r="D1295" i="4"/>
  <c r="F1295" i="4" s="1"/>
  <c r="D1232" i="4"/>
  <c r="F1232" i="4" s="1"/>
  <c r="D1170" i="4"/>
  <c r="F1170" i="4" s="1"/>
  <c r="D1108" i="4"/>
  <c r="F1108" i="4" s="1"/>
  <c r="D1020" i="4"/>
  <c r="F1020" i="4" s="1"/>
  <c r="D1626" i="4"/>
  <c r="F1626" i="4" s="1"/>
  <c r="D1563" i="4"/>
  <c r="F1563" i="4" s="1"/>
  <c r="D1499" i="4"/>
  <c r="F1499" i="4" s="1"/>
  <c r="D1437" i="4"/>
  <c r="F1437" i="4" s="1"/>
  <c r="D1374" i="4"/>
  <c r="F1374" i="4" s="1"/>
  <c r="D1310" i="4"/>
  <c r="F1310" i="4" s="1"/>
  <c r="D1246" i="4"/>
  <c r="F1246" i="4" s="1"/>
  <c r="D1185" i="4"/>
  <c r="F1185" i="4" s="1"/>
  <c r="D1122" i="4"/>
  <c r="F1122" i="4" s="1"/>
  <c r="D1054" i="4"/>
  <c r="F1054" i="4" s="1"/>
  <c r="D972" i="4"/>
  <c r="F972" i="4" s="1"/>
  <c r="D1309" i="4"/>
  <c r="F1309" i="4" s="1"/>
  <c r="D1238" i="4"/>
  <c r="F1238" i="4" s="1"/>
  <c r="D1176" i="4"/>
  <c r="F1176" i="4" s="1"/>
  <c r="D1106" i="4"/>
  <c r="F1106" i="4" s="1"/>
  <c r="D1047" i="4"/>
  <c r="F1047" i="4" s="1"/>
  <c r="D963" i="4"/>
  <c r="F963" i="4" s="1"/>
  <c r="D900" i="4"/>
  <c r="F900" i="4" s="1"/>
  <c r="D836" i="4"/>
  <c r="F836" i="4" s="1"/>
  <c r="D772" i="4"/>
  <c r="F772" i="4" s="1"/>
  <c r="D709" i="4"/>
  <c r="F709" i="4" s="1"/>
  <c r="D696" i="4"/>
  <c r="F696" i="4" s="1"/>
  <c r="D633" i="4"/>
  <c r="F633" i="4" s="1"/>
  <c r="D569" i="4"/>
  <c r="F569" i="4" s="1"/>
  <c r="D2443" i="4"/>
  <c r="F2443" i="4" s="1"/>
  <c r="D438" i="4"/>
  <c r="F438" i="4" s="1"/>
  <c r="D1413" i="4"/>
  <c r="F1413" i="4" s="1"/>
  <c r="D2510" i="4"/>
  <c r="F2510" i="4" s="1"/>
  <c r="D2486" i="4"/>
  <c r="F2486" i="4" s="1"/>
  <c r="D1891" i="4"/>
  <c r="F1891" i="4" s="1"/>
  <c r="D2336" i="4"/>
  <c r="F2336" i="4" s="1"/>
  <c r="D2383" i="4"/>
  <c r="F2383" i="4" s="1"/>
  <c r="D222" i="4"/>
  <c r="F222" i="4" s="1"/>
  <c r="D2350" i="4"/>
  <c r="F2350" i="4" s="1"/>
  <c r="D2057" i="4"/>
  <c r="F2057" i="4" s="1"/>
  <c r="D2367" i="4"/>
  <c r="F2367" i="4" s="1"/>
  <c r="D2244" i="4"/>
  <c r="F2244" i="4" s="1"/>
  <c r="D2111" i="4"/>
  <c r="F2111" i="4" s="1"/>
  <c r="D1986" i="4"/>
  <c r="F1986" i="4" s="1"/>
  <c r="D1779" i="4"/>
  <c r="F1779" i="4" s="1"/>
  <c r="D2132" i="4"/>
  <c r="F2132" i="4" s="1"/>
  <c r="D2006" i="4"/>
  <c r="F2006" i="4" s="1"/>
  <c r="D1737" i="4"/>
  <c r="F1737" i="4" s="1"/>
  <c r="D1610" i="4"/>
  <c r="F1610" i="4" s="1"/>
  <c r="D1475" i="4"/>
  <c r="F1475" i="4" s="1"/>
  <c r="D2302" i="4"/>
  <c r="F2302" i="4" s="1"/>
  <c r="D2170" i="4"/>
  <c r="F2170" i="4" s="1"/>
  <c r="D2037" i="4"/>
  <c r="F2037" i="4" s="1"/>
  <c r="D1808" i="4"/>
  <c r="F1808" i="4" s="1"/>
  <c r="D1680" i="4"/>
  <c r="F1680" i="4" s="1"/>
  <c r="D1044" i="4"/>
  <c r="F1044" i="4" s="1"/>
  <c r="D2200" i="4"/>
  <c r="F2200" i="4" s="1"/>
  <c r="D1894" i="4"/>
  <c r="F1894" i="4" s="1"/>
  <c r="D1767" i="4"/>
  <c r="F1767" i="4" s="1"/>
  <c r="D1663" i="4"/>
  <c r="F1663" i="4" s="1"/>
  <c r="D1552" i="4"/>
  <c r="F1552" i="4" s="1"/>
  <c r="D2307" i="4"/>
  <c r="F2307" i="4" s="1"/>
  <c r="D2215" i="4"/>
  <c r="F2215" i="4" s="1"/>
  <c r="D2114" i="4"/>
  <c r="F2114" i="4" s="1"/>
  <c r="D2019" i="4"/>
  <c r="F2019" i="4" s="1"/>
  <c r="D1901" i="4"/>
  <c r="F1901" i="4" s="1"/>
  <c r="D1814" i="4"/>
  <c r="F1814" i="4" s="1"/>
  <c r="D2471" i="4"/>
  <c r="F2471" i="4" s="1"/>
  <c r="D2409" i="4"/>
  <c r="F2409" i="4" s="1"/>
  <c r="D2345" i="4"/>
  <c r="F2345" i="4" s="1"/>
  <c r="D2285" i="4"/>
  <c r="F2285" i="4" s="1"/>
  <c r="D2214" i="4"/>
  <c r="F2214" i="4" s="1"/>
  <c r="D2152" i="4"/>
  <c r="F2152" i="4" s="1"/>
  <c r="D2082" i="4"/>
  <c r="F2082" i="4" s="1"/>
  <c r="D2018" i="4"/>
  <c r="F2018" i="4" s="1"/>
  <c r="D1948" i="4"/>
  <c r="F1948" i="4" s="1"/>
  <c r="D1884" i="4"/>
  <c r="F1884" i="4" s="1"/>
  <c r="D1813" i="4"/>
  <c r="F1813" i="4" s="1"/>
  <c r="D1521" i="4"/>
  <c r="F1521" i="4" s="1"/>
  <c r="D1443" i="4"/>
  <c r="F1443" i="4" s="1"/>
  <c r="D1380" i="4"/>
  <c r="F1380" i="4" s="1"/>
  <c r="D1316" i="4"/>
  <c r="F1316" i="4" s="1"/>
  <c r="D1252" i="4"/>
  <c r="F1252" i="4" s="1"/>
  <c r="D1165" i="4"/>
  <c r="F1165" i="4" s="1"/>
  <c r="D1820" i="4"/>
  <c r="F1820" i="4" s="1"/>
  <c r="D1749" i="4"/>
  <c r="F1749" i="4" s="1"/>
  <c r="D1686" i="4"/>
  <c r="F1686" i="4" s="1"/>
  <c r="D1615" i="4"/>
  <c r="F1615" i="4" s="1"/>
  <c r="D1551" i="4"/>
  <c r="F1551" i="4" s="1"/>
  <c r="D1487" i="4"/>
  <c r="F1487" i="4" s="1"/>
  <c r="D1425" i="4"/>
  <c r="F1425" i="4" s="1"/>
  <c r="D1362" i="4"/>
  <c r="F1362" i="4" s="1"/>
  <c r="D1298" i="4"/>
  <c r="F1298" i="4" s="1"/>
  <c r="D1969" i="4"/>
  <c r="F1969" i="4" s="1"/>
  <c r="D1905" i="4"/>
  <c r="F1905" i="4" s="1"/>
  <c r="D1842" i="4"/>
  <c r="F1842" i="4" s="1"/>
  <c r="D1772" i="4"/>
  <c r="F1772" i="4" s="1"/>
  <c r="D1709" i="4"/>
  <c r="F1709" i="4" s="1"/>
  <c r="D1645" i="4"/>
  <c r="F1645" i="4" s="1"/>
  <c r="D1582" i="4"/>
  <c r="F1582" i="4" s="1"/>
  <c r="D1518" i="4"/>
  <c r="F1518" i="4" s="1"/>
  <c r="D1456" i="4"/>
  <c r="F1456" i="4" s="1"/>
  <c r="D1393" i="4"/>
  <c r="F1393" i="4" s="1"/>
  <c r="D1329" i="4"/>
  <c r="F1329" i="4" s="1"/>
  <c r="D1074" i="4"/>
  <c r="F1074" i="4" s="1"/>
  <c r="D970" i="4"/>
  <c r="F970" i="4" s="1"/>
  <c r="D1708" i="4"/>
  <c r="F1708" i="4" s="1"/>
  <c r="D1644" i="4"/>
  <c r="F1644" i="4" s="1"/>
  <c r="D1581" i="4"/>
  <c r="F1581" i="4" s="1"/>
  <c r="D1517" i="4"/>
  <c r="F1517" i="4" s="1"/>
  <c r="D1455" i="4"/>
  <c r="F1455" i="4" s="1"/>
  <c r="D1384" i="4"/>
  <c r="F1384" i="4" s="1"/>
  <c r="D762" i="4"/>
  <c r="F762" i="4" s="1"/>
  <c r="D698" i="4"/>
  <c r="F698" i="4" s="1"/>
  <c r="D594" i="4"/>
  <c r="F594" i="4" s="1"/>
  <c r="D522" i="4"/>
  <c r="F522" i="4" s="1"/>
  <c r="D1888" i="4"/>
  <c r="F1888" i="4" s="1"/>
  <c r="D1825" i="4"/>
  <c r="F1825" i="4" s="1"/>
  <c r="D1762" i="4"/>
  <c r="F1762" i="4" s="1"/>
  <c r="D1691" i="4"/>
  <c r="F1691" i="4" s="1"/>
  <c r="D1627" i="4"/>
  <c r="F1627" i="4" s="1"/>
  <c r="D1056" i="4"/>
  <c r="F1056" i="4" s="1"/>
  <c r="D937" i="4"/>
  <c r="F937" i="4" s="1"/>
  <c r="D873" i="4"/>
  <c r="F873" i="4" s="1"/>
  <c r="D809" i="4"/>
  <c r="F809" i="4" s="1"/>
  <c r="D2044" i="4"/>
  <c r="F2044" i="4" s="1"/>
  <c r="D1982" i="4"/>
  <c r="F1982" i="4" s="1"/>
  <c r="D1918" i="4"/>
  <c r="F1918" i="4" s="1"/>
  <c r="D1855" i="4"/>
  <c r="F1855" i="4" s="1"/>
  <c r="D1793" i="4"/>
  <c r="F1793" i="4" s="1"/>
  <c r="D1730" i="4"/>
  <c r="F1730" i="4" s="1"/>
  <c r="D1666" i="4"/>
  <c r="F1666" i="4" s="1"/>
  <c r="D1199" i="4"/>
  <c r="F1199" i="4" s="1"/>
  <c r="D1111" i="4"/>
  <c r="F1111" i="4" s="1"/>
  <c r="D1496" i="4"/>
  <c r="F1496" i="4" s="1"/>
  <c r="D1434" i="4"/>
  <c r="F1434" i="4" s="1"/>
  <c r="D1371" i="4"/>
  <c r="F1371" i="4" s="1"/>
  <c r="D1307" i="4"/>
  <c r="F1307" i="4" s="1"/>
  <c r="D1244" i="4"/>
  <c r="F1244" i="4" s="1"/>
  <c r="D1182" i="4"/>
  <c r="F1182" i="4" s="1"/>
  <c r="D1112" i="4"/>
  <c r="F1112" i="4" s="1"/>
  <c r="D1051" i="4"/>
  <c r="F1051" i="4" s="1"/>
  <c r="D993" i="4"/>
  <c r="F993" i="4" s="1"/>
  <c r="D914" i="4"/>
  <c r="F914" i="4" s="1"/>
  <c r="D850" i="4"/>
  <c r="F850" i="4" s="1"/>
  <c r="D483" i="4"/>
  <c r="F483" i="4" s="1"/>
  <c r="D1249" i="4"/>
  <c r="F1249" i="4" s="1"/>
  <c r="D1188" i="4"/>
  <c r="F1188" i="4" s="1"/>
  <c r="D1125" i="4"/>
  <c r="F1125" i="4" s="1"/>
  <c r="D1063" i="4"/>
  <c r="F1063" i="4" s="1"/>
  <c r="D991" i="4"/>
  <c r="F991" i="4" s="1"/>
  <c r="D928" i="4"/>
  <c r="F928" i="4" s="1"/>
  <c r="D864" i="4"/>
  <c r="F864" i="4" s="1"/>
  <c r="D800" i="4"/>
  <c r="F800" i="4" s="1"/>
  <c r="D729" i="4"/>
  <c r="F729" i="4" s="1"/>
  <c r="D665" i="4"/>
  <c r="F665" i="4" s="1"/>
  <c r="D1312" i="4"/>
  <c r="F1312" i="4" s="1"/>
  <c r="D1248" i="4"/>
  <c r="F1248" i="4" s="1"/>
  <c r="D1179" i="4"/>
  <c r="F1179" i="4" s="1"/>
  <c r="D1117" i="4"/>
  <c r="F1117" i="4" s="1"/>
  <c r="D1055" i="4"/>
  <c r="F1055" i="4" s="1"/>
  <c r="D990" i="4"/>
  <c r="F990" i="4" s="1"/>
  <c r="D927" i="4"/>
  <c r="F927" i="4" s="1"/>
  <c r="D863" i="4"/>
  <c r="F863" i="4" s="1"/>
  <c r="D799" i="4"/>
  <c r="F799" i="4" s="1"/>
  <c r="D1604" i="4"/>
  <c r="F1604" i="4" s="1"/>
  <c r="D1540" i="4"/>
  <c r="F1540" i="4" s="1"/>
  <c r="D1477" i="4"/>
  <c r="F1477" i="4" s="1"/>
  <c r="D1415" i="4"/>
  <c r="F1415" i="4" s="1"/>
  <c r="D1351" i="4"/>
  <c r="F1351" i="4" s="1"/>
  <c r="D1287" i="4"/>
  <c r="F1287" i="4" s="1"/>
  <c r="D1226" i="4"/>
  <c r="F1226" i="4" s="1"/>
  <c r="D1162" i="4"/>
  <c r="F1162" i="4" s="1"/>
  <c r="D1100" i="4"/>
  <c r="F1100" i="4" s="1"/>
  <c r="D1012" i="4"/>
  <c r="F1012" i="4" s="1"/>
  <c r="D1619" i="4"/>
  <c r="F1619" i="4" s="1"/>
  <c r="D1555" i="4"/>
  <c r="F1555" i="4" s="1"/>
  <c r="D1491" i="4"/>
  <c r="F1491" i="4" s="1"/>
  <c r="D1429" i="4"/>
  <c r="F1429" i="4" s="1"/>
  <c r="D1366" i="4"/>
  <c r="F1366" i="4" s="1"/>
  <c r="D1302" i="4"/>
  <c r="F1302" i="4" s="1"/>
  <c r="D1239" i="4"/>
  <c r="F1239" i="4" s="1"/>
  <c r="D1177" i="4"/>
  <c r="F1177" i="4" s="1"/>
  <c r="D1115" i="4"/>
  <c r="F1115" i="4" s="1"/>
  <c r="D1040" i="4"/>
  <c r="F1040" i="4" s="1"/>
  <c r="D2436" i="4"/>
  <c r="F2436" i="4" s="1"/>
  <c r="D230" i="4"/>
  <c r="F230" i="4" s="1"/>
  <c r="D1405" i="4"/>
  <c r="F1405" i="4" s="1"/>
  <c r="D2495" i="4"/>
  <c r="F2495" i="4" s="1"/>
  <c r="D2462" i="4"/>
  <c r="F2462" i="4" s="1"/>
  <c r="D1883" i="4"/>
  <c r="F1883" i="4" s="1"/>
  <c r="D2321" i="4"/>
  <c r="F2321" i="4" s="1"/>
  <c r="D2258" i="4"/>
  <c r="F2258" i="4" s="1"/>
  <c r="D2501" i="4"/>
  <c r="F2501" i="4" s="1"/>
  <c r="D2342" i="4"/>
  <c r="F2342" i="4" s="1"/>
  <c r="D2049" i="4"/>
  <c r="F2049" i="4" s="1"/>
  <c r="D2359" i="4"/>
  <c r="F2359" i="4" s="1"/>
  <c r="D2236" i="4"/>
  <c r="F2236" i="4" s="1"/>
  <c r="D2104" i="4"/>
  <c r="F2104" i="4" s="1"/>
  <c r="D1978" i="4"/>
  <c r="F1978" i="4" s="1"/>
  <c r="D1771" i="4"/>
  <c r="F1771" i="4" s="1"/>
  <c r="D2124" i="4"/>
  <c r="F2124" i="4" s="1"/>
  <c r="D1999" i="4"/>
  <c r="F1999" i="4" s="1"/>
  <c r="D1729" i="4"/>
  <c r="F1729" i="4" s="1"/>
  <c r="D1602" i="4"/>
  <c r="F1602" i="4" s="1"/>
  <c r="D1460" i="4"/>
  <c r="F1460" i="4" s="1"/>
  <c r="D2296" i="4"/>
  <c r="F2296" i="4" s="1"/>
  <c r="D2162" i="4"/>
  <c r="F2162" i="4" s="1"/>
  <c r="D2029" i="4"/>
  <c r="F2029" i="4" s="1"/>
  <c r="D1800" i="4"/>
  <c r="F1800" i="4" s="1"/>
  <c r="D1672" i="4"/>
  <c r="F1672" i="4" s="1"/>
  <c r="D1036" i="4"/>
  <c r="F1036" i="4" s="1"/>
  <c r="D2192" i="4"/>
  <c r="F2192" i="4" s="1"/>
  <c r="D1886" i="4"/>
  <c r="F1886" i="4" s="1"/>
  <c r="D1759" i="4"/>
  <c r="F1759" i="4" s="1"/>
  <c r="D1639" i="4"/>
  <c r="F1639" i="4" s="1"/>
  <c r="D1536" i="4"/>
  <c r="F1536" i="4" s="1"/>
  <c r="D2301" i="4"/>
  <c r="F2301" i="4" s="1"/>
  <c r="D2207" i="4"/>
  <c r="F2207" i="4" s="1"/>
  <c r="D2106" i="4"/>
  <c r="F2106" i="4" s="1"/>
  <c r="D1981" i="4"/>
  <c r="F1981" i="4" s="1"/>
  <c r="D1885" i="4"/>
  <c r="F1885" i="4" s="1"/>
  <c r="D1806" i="4"/>
  <c r="F1806" i="4" s="1"/>
  <c r="D2463" i="4"/>
  <c r="F2463" i="4" s="1"/>
  <c r="D2401" i="4"/>
  <c r="F2401" i="4" s="1"/>
  <c r="D2337" i="4"/>
  <c r="F2337" i="4" s="1"/>
  <c r="D2277" i="4"/>
  <c r="F2277" i="4" s="1"/>
  <c r="D2206" i="4"/>
  <c r="F2206" i="4" s="1"/>
  <c r="D2144" i="4"/>
  <c r="F2144" i="4" s="1"/>
  <c r="D2074" i="4"/>
  <c r="F2074" i="4" s="1"/>
  <c r="D2010" i="4"/>
  <c r="F2010" i="4" s="1"/>
  <c r="D1940" i="4"/>
  <c r="F1940" i="4" s="1"/>
  <c r="D1876" i="4"/>
  <c r="F1876" i="4" s="1"/>
  <c r="D1577" i="4"/>
  <c r="F1577" i="4" s="1"/>
  <c r="D1513" i="4"/>
  <c r="F1513" i="4" s="1"/>
  <c r="D1435" i="4"/>
  <c r="F1435" i="4" s="1"/>
  <c r="D1372" i="4"/>
  <c r="F1372" i="4" s="1"/>
  <c r="D1308" i="4"/>
  <c r="F1308" i="4" s="1"/>
  <c r="D1221" i="4"/>
  <c r="F1221" i="4" s="1"/>
  <c r="D1157" i="4"/>
  <c r="F1157" i="4" s="1"/>
  <c r="D1805" i="4"/>
  <c r="F1805" i="4" s="1"/>
  <c r="D1742" i="4"/>
  <c r="F1742" i="4" s="1"/>
  <c r="D1678" i="4"/>
  <c r="F1678" i="4" s="1"/>
  <c r="D1607" i="4"/>
  <c r="F1607" i="4" s="1"/>
  <c r="D1543" i="4"/>
  <c r="F1543" i="4" s="1"/>
  <c r="D1480" i="4"/>
  <c r="F1480" i="4" s="1"/>
  <c r="D1418" i="4"/>
  <c r="F1418" i="4" s="1"/>
  <c r="D1354" i="4"/>
  <c r="F1354" i="4" s="1"/>
  <c r="D1290" i="4"/>
  <c r="F1290" i="4" s="1"/>
  <c r="D1961" i="4"/>
  <c r="F1961" i="4" s="1"/>
  <c r="D1897" i="4"/>
  <c r="F1897" i="4" s="1"/>
  <c r="D1835" i="4"/>
  <c r="F1835" i="4" s="1"/>
  <c r="D1764" i="4"/>
  <c r="F1764" i="4" s="1"/>
  <c r="D1701" i="4"/>
  <c r="F1701" i="4" s="1"/>
  <c r="D1637" i="4"/>
  <c r="F1637" i="4" s="1"/>
  <c r="D1574" i="4"/>
  <c r="F1574" i="4" s="1"/>
  <c r="D1510" i="4"/>
  <c r="F1510" i="4" s="1"/>
  <c r="D1448" i="4"/>
  <c r="F1448" i="4" s="1"/>
  <c r="D1385" i="4"/>
  <c r="F1385" i="4" s="1"/>
  <c r="D1321" i="4"/>
  <c r="F1321" i="4" s="1"/>
  <c r="D1066" i="4"/>
  <c r="F1066" i="4" s="1"/>
  <c r="D467" i="4"/>
  <c r="F467" i="4" s="1"/>
  <c r="D1700" i="4"/>
  <c r="F1700" i="4" s="1"/>
  <c r="D1636" i="4"/>
  <c r="F1636" i="4" s="1"/>
  <c r="D1573" i="4"/>
  <c r="F1573" i="4" s="1"/>
  <c r="D1509" i="4"/>
  <c r="F1509" i="4" s="1"/>
  <c r="D1447" i="4"/>
  <c r="F1447" i="4" s="1"/>
  <c r="D1376" i="4"/>
  <c r="F1376" i="4" s="1"/>
  <c r="D754" i="4"/>
  <c r="F754" i="4" s="1"/>
  <c r="D690" i="4"/>
  <c r="F690" i="4" s="1"/>
  <c r="D586" i="4"/>
  <c r="F586" i="4" s="1"/>
  <c r="D514" i="4"/>
  <c r="F514" i="4" s="1"/>
  <c r="D1880" i="4"/>
  <c r="F1880" i="4" s="1"/>
  <c r="D1817" i="4"/>
  <c r="F1817" i="4" s="1"/>
  <c r="D1754" i="4"/>
  <c r="F1754" i="4" s="1"/>
  <c r="D1683" i="4"/>
  <c r="F1683" i="4" s="1"/>
  <c r="D1620" i="4"/>
  <c r="F1620" i="4" s="1"/>
  <c r="D1000" i="4"/>
  <c r="F1000" i="4" s="1"/>
  <c r="D929" i="4"/>
  <c r="F929" i="4" s="1"/>
  <c r="D865" i="4"/>
  <c r="F865" i="4" s="1"/>
  <c r="D801" i="4"/>
  <c r="F801" i="4" s="1"/>
  <c r="D2036" i="4"/>
  <c r="F2036" i="4" s="1"/>
  <c r="D1974" i="4"/>
  <c r="F1974" i="4" s="1"/>
  <c r="D1910" i="4"/>
  <c r="F1910" i="4" s="1"/>
  <c r="D1847" i="4"/>
  <c r="F1847" i="4" s="1"/>
  <c r="D1785" i="4"/>
  <c r="F1785" i="4" s="1"/>
  <c r="D1722" i="4"/>
  <c r="F1722" i="4" s="1"/>
  <c r="D1658" i="4"/>
  <c r="F1658" i="4" s="1"/>
  <c r="D1191" i="4"/>
  <c r="F1191" i="4" s="1"/>
  <c r="D1103" i="4"/>
  <c r="F1103" i="4" s="1"/>
  <c r="D1488" i="4"/>
  <c r="F1488" i="4" s="1"/>
  <c r="D1426" i="4"/>
  <c r="F1426" i="4" s="1"/>
  <c r="D1363" i="4"/>
  <c r="F1363" i="4" s="1"/>
  <c r="D1299" i="4"/>
  <c r="F1299" i="4" s="1"/>
  <c r="D1236" i="4"/>
  <c r="F1236" i="4" s="1"/>
  <c r="D1174" i="4"/>
  <c r="F1174" i="4" s="1"/>
  <c r="D1104" i="4"/>
  <c r="F1104" i="4" s="1"/>
  <c r="D1045" i="4"/>
  <c r="F1045" i="4" s="1"/>
  <c r="D985" i="4"/>
  <c r="F985" i="4" s="1"/>
  <c r="D906" i="4"/>
  <c r="F906" i="4" s="1"/>
  <c r="D651" i="4"/>
  <c r="F651" i="4" s="1"/>
  <c r="D468" i="4"/>
  <c r="F468" i="4" s="1"/>
  <c r="D1242" i="4"/>
  <c r="F1242" i="4" s="1"/>
  <c r="D1180" i="4"/>
  <c r="F1180" i="4" s="1"/>
  <c r="D1118" i="4"/>
  <c r="F1118" i="4" s="1"/>
  <c r="D1043" i="4"/>
  <c r="F1043" i="4" s="1"/>
  <c r="D983" i="4"/>
  <c r="F983" i="4" s="1"/>
  <c r="D920" i="4"/>
  <c r="F920" i="4" s="1"/>
  <c r="D856" i="4"/>
  <c r="F856" i="4" s="1"/>
  <c r="D792" i="4"/>
  <c r="F792" i="4" s="1"/>
  <c r="D721" i="4"/>
  <c r="F721" i="4" s="1"/>
  <c r="D1368" i="4"/>
  <c r="F1368" i="4" s="1"/>
  <c r="D1304" i="4"/>
  <c r="F1304" i="4" s="1"/>
  <c r="D1241" i="4"/>
  <c r="F1241" i="4" s="1"/>
  <c r="D1171" i="4"/>
  <c r="F1171" i="4" s="1"/>
  <c r="D1109" i="4"/>
  <c r="F1109" i="4" s="1"/>
  <c r="D1042" i="4"/>
  <c r="F1042" i="4" s="1"/>
  <c r="D982" i="4"/>
  <c r="F982" i="4" s="1"/>
  <c r="D919" i="4"/>
  <c r="F919" i="4" s="1"/>
  <c r="D855" i="4"/>
  <c r="F855" i="4" s="1"/>
  <c r="D791" i="4"/>
  <c r="F791" i="4" s="1"/>
  <c r="D1596" i="4"/>
  <c r="F1596" i="4" s="1"/>
  <c r="D1532" i="4"/>
  <c r="F1532" i="4" s="1"/>
  <c r="D1469" i="4"/>
  <c r="F1469" i="4" s="1"/>
  <c r="D1407" i="4"/>
  <c r="F1407" i="4" s="1"/>
  <c r="D1343" i="4"/>
  <c r="F1343" i="4" s="1"/>
  <c r="D1279" i="4"/>
  <c r="F1279" i="4" s="1"/>
  <c r="D1218" i="4"/>
  <c r="F1218" i="4" s="1"/>
  <c r="D1154" i="4"/>
  <c r="F1154" i="4" s="1"/>
  <c r="D1092" i="4"/>
  <c r="F1092" i="4" s="1"/>
  <c r="D1004" i="4"/>
  <c r="F1004" i="4" s="1"/>
  <c r="D1611" i="4"/>
  <c r="F1611" i="4" s="1"/>
  <c r="D1547" i="4"/>
  <c r="F1547" i="4" s="1"/>
  <c r="D1483" i="4"/>
  <c r="F1483" i="4" s="1"/>
  <c r="D1422" i="4"/>
  <c r="F1422" i="4" s="1"/>
  <c r="D1358" i="4"/>
  <c r="F1358" i="4" s="1"/>
  <c r="D1294" i="4"/>
  <c r="F1294" i="4" s="1"/>
  <c r="D1231" i="4"/>
  <c r="F1231" i="4" s="1"/>
  <c r="D1169" i="4"/>
  <c r="F1169" i="4" s="1"/>
  <c r="D1107" i="4"/>
  <c r="F1107" i="4" s="1"/>
  <c r="D1019" i="4"/>
  <c r="F1019" i="4" s="1"/>
  <c r="D1357" i="4"/>
  <c r="F1357" i="4" s="1"/>
  <c r="D1293" i="4"/>
  <c r="F1293" i="4" s="1"/>
  <c r="D1224" i="4"/>
  <c r="F1224" i="4" s="1"/>
  <c r="D1160" i="4"/>
  <c r="F1160" i="4" s="1"/>
  <c r="D1091" i="4"/>
  <c r="F1091" i="4" s="1"/>
  <c r="D1032" i="4"/>
  <c r="F1032" i="4" s="1"/>
  <c r="D948" i="4"/>
  <c r="F948" i="4" s="1"/>
  <c r="D884" i="4"/>
  <c r="F884" i="4" s="1"/>
  <c r="D820" i="4"/>
  <c r="F820" i="4" s="1"/>
  <c r="D757" i="4"/>
  <c r="F757" i="4" s="1"/>
  <c r="D133" i="4"/>
  <c r="F133" i="4" s="1"/>
  <c r="D197" i="4"/>
  <c r="F197" i="4" s="1"/>
  <c r="D261" i="4"/>
  <c r="F261" i="4" s="1"/>
  <c r="D325" i="4"/>
  <c r="F325" i="4" s="1"/>
  <c r="D537" i="4"/>
  <c r="F537" i="4" s="1"/>
  <c r="D617" i="4"/>
  <c r="F617" i="4" s="1"/>
  <c r="D688" i="4"/>
  <c r="F688" i="4" s="1"/>
  <c r="D725" i="4"/>
  <c r="F725" i="4" s="1"/>
  <c r="D804" i="4"/>
  <c r="F804" i="4" s="1"/>
  <c r="D892" i="4"/>
  <c r="F892" i="4" s="1"/>
  <c r="D1010" i="4"/>
  <c r="F1010" i="4" s="1"/>
  <c r="D1098" i="4"/>
  <c r="F1098" i="4" s="1"/>
  <c r="D1208" i="4"/>
  <c r="F1208" i="4" s="1"/>
  <c r="D1317" i="4"/>
  <c r="F1317" i="4" s="1"/>
  <c r="D1011" i="4"/>
  <c r="F1011" i="4" s="1"/>
  <c r="D1161" i="4"/>
  <c r="F1161" i="4" s="1"/>
  <c r="D1286" i="4"/>
  <c r="F1286" i="4" s="1"/>
  <c r="D1414" i="4"/>
  <c r="F1414" i="4" s="1"/>
  <c r="D1539" i="4"/>
  <c r="F1539" i="4" s="1"/>
  <c r="D997" i="4"/>
  <c r="F997" i="4" s="1"/>
  <c r="D1146" i="4"/>
  <c r="F1146" i="4" s="1"/>
  <c r="D1271" i="4"/>
  <c r="F1271" i="4" s="1"/>
  <c r="D1399" i="4"/>
  <c r="F1399" i="4" s="1"/>
  <c r="D1524" i="4"/>
  <c r="F1524" i="4" s="1"/>
  <c r="D783" i="4"/>
  <c r="F783" i="4" s="1"/>
  <c r="D911" i="4"/>
  <c r="F911" i="4" s="1"/>
  <c r="D1034" i="4"/>
  <c r="F1034" i="4" s="1"/>
  <c r="D1163" i="4"/>
  <c r="F1163" i="4" s="1"/>
  <c r="D1296" i="4"/>
  <c r="F1296" i="4" s="1"/>
  <c r="D713" i="4"/>
  <c r="F713" i="4" s="1"/>
  <c r="D848" i="4"/>
  <c r="F848" i="4" s="1"/>
  <c r="D975" i="4"/>
  <c r="F975" i="4" s="1"/>
  <c r="D1110" i="4"/>
  <c r="F1110" i="4" s="1"/>
  <c r="D1234" i="4"/>
  <c r="F1234" i="4" s="1"/>
  <c r="D890" i="4"/>
  <c r="F890" i="4" s="1"/>
  <c r="D1081" i="4"/>
  <c r="F1081" i="4" s="1"/>
  <c r="D1228" i="4"/>
  <c r="F1228" i="4" s="1"/>
  <c r="D1411" i="4"/>
  <c r="F1411" i="4" s="1"/>
  <c r="D1167" i="4"/>
  <c r="F1167" i="4" s="1"/>
  <c r="D1714" i="4"/>
  <c r="F1714" i="4" s="1"/>
  <c r="D1895" i="4"/>
  <c r="F1895" i="4" s="1"/>
  <c r="D777" i="4"/>
  <c r="F777" i="4" s="1"/>
  <c r="D921" i="4"/>
  <c r="F921" i="4" s="1"/>
  <c r="D1667" i="4"/>
  <c r="F1667" i="4" s="1"/>
  <c r="D1856" i="4"/>
  <c r="F1856" i="4" s="1"/>
  <c r="D578" i="4"/>
  <c r="F578" i="4" s="1"/>
  <c r="D1105" i="4"/>
  <c r="F1105" i="4" s="1"/>
  <c r="D1549" i="4"/>
  <c r="F1549" i="4" s="1"/>
  <c r="D1692" i="4"/>
  <c r="F1692" i="4" s="1"/>
  <c r="D1305" i="4"/>
  <c r="F1305" i="4" s="1"/>
  <c r="D1486" i="4"/>
  <c r="F1486" i="4" s="1"/>
  <c r="D1629" i="4"/>
  <c r="F1629" i="4" s="1"/>
  <c r="D1890" i="4"/>
  <c r="F1890" i="4" s="1"/>
  <c r="D1410" i="4"/>
  <c r="F1410" i="4" s="1"/>
  <c r="D1670" i="4"/>
  <c r="F1670" i="4" s="1"/>
  <c r="D1213" i="4"/>
  <c r="F1213" i="4" s="1"/>
  <c r="D1505" i="4"/>
  <c r="F1505" i="4" s="1"/>
  <c r="D1996" i="4"/>
  <c r="F1996" i="4" s="1"/>
  <c r="D2269" i="4"/>
  <c r="F2269" i="4" s="1"/>
  <c r="D1798" i="4"/>
  <c r="F1798" i="4" s="1"/>
  <c r="D2183" i="4"/>
  <c r="F2183" i="4" s="1"/>
  <c r="D1751" i="4"/>
  <c r="F1751" i="4" s="1"/>
  <c r="D1664" i="4"/>
  <c r="F1664" i="4" s="1"/>
  <c r="D2288" i="4"/>
  <c r="F2288" i="4" s="1"/>
  <c r="D1992" i="4"/>
  <c r="F1992" i="4" s="1"/>
  <c r="D2096" i="4"/>
  <c r="F2096" i="4" s="1"/>
  <c r="D2334" i="4"/>
  <c r="F2334" i="4" s="1"/>
  <c r="D2397" i="4"/>
  <c r="F2397" i="4" s="1"/>
  <c r="D2488" i="4"/>
  <c r="F2488" i="4" s="1"/>
  <c r="D31" i="4"/>
  <c r="F31" i="4" s="1"/>
  <c r="D92" i="4"/>
  <c r="F92" i="4" s="1"/>
  <c r="D156" i="4"/>
  <c r="F156" i="4" s="1"/>
  <c r="D220" i="4"/>
  <c r="F220" i="4" s="1"/>
  <c r="D283" i="4"/>
  <c r="F283" i="4" s="1"/>
  <c r="D346" i="4"/>
  <c r="F346" i="4" s="1"/>
  <c r="D409" i="4"/>
  <c r="F409" i="4" s="1"/>
  <c r="D469" i="4"/>
  <c r="F469" i="4" s="1"/>
  <c r="D531" i="4"/>
  <c r="F531" i="4" s="1"/>
  <c r="D592" i="4"/>
  <c r="F592" i="4" s="1"/>
  <c r="D48" i="4"/>
  <c r="F48" i="4" s="1"/>
  <c r="D399" i="4"/>
  <c r="F399" i="4" s="1"/>
  <c r="D524" i="4"/>
  <c r="F524" i="4" s="1"/>
  <c r="D659" i="4"/>
  <c r="F659" i="4" s="1"/>
  <c r="D723" i="4"/>
  <c r="F723" i="4" s="1"/>
  <c r="D786" i="4"/>
  <c r="F786" i="4" s="1"/>
  <c r="D313" i="4"/>
  <c r="F313" i="4" s="1"/>
  <c r="D376" i="4"/>
  <c r="F376" i="4" s="1"/>
  <c r="D470" i="4"/>
  <c r="F470" i="4" s="1"/>
  <c r="D533" i="4"/>
  <c r="F533" i="4" s="1"/>
  <c r="D660" i="4"/>
  <c r="F660" i="4" s="1"/>
  <c r="D724" i="4"/>
  <c r="F724" i="4" s="1"/>
  <c r="D787" i="4"/>
  <c r="F787" i="4" s="1"/>
  <c r="D851" i="4"/>
  <c r="F851" i="4" s="1"/>
  <c r="D915" i="4"/>
  <c r="F915" i="4" s="1"/>
  <c r="D977" i="4"/>
  <c r="F977" i="4" s="1"/>
  <c r="D282" i="4"/>
  <c r="F282" i="4" s="1"/>
  <c r="D345" i="4"/>
  <c r="F345" i="4" s="1"/>
  <c r="D471" i="4"/>
  <c r="F471" i="4" s="1"/>
  <c r="D558" i="4"/>
  <c r="F558" i="4" s="1"/>
  <c r="D622" i="4"/>
  <c r="F622" i="4" s="1"/>
  <c r="D693" i="4"/>
  <c r="F693" i="4" s="1"/>
  <c r="D139" i="4"/>
  <c r="F139" i="4" s="1"/>
  <c r="D203" i="4"/>
  <c r="F203" i="4" s="1"/>
  <c r="D386" i="4"/>
  <c r="F386" i="4" s="1"/>
  <c r="D543" i="4"/>
  <c r="F543" i="4" s="1"/>
  <c r="D607" i="4"/>
  <c r="F607" i="4" s="1"/>
  <c r="D710" i="4"/>
  <c r="F710" i="4" s="1"/>
  <c r="D773" i="4"/>
  <c r="F773" i="4" s="1"/>
  <c r="D837" i="4"/>
  <c r="F837" i="4" s="1"/>
  <c r="D901" i="4"/>
  <c r="F901" i="4" s="1"/>
  <c r="D971" i="4"/>
  <c r="F971" i="4" s="1"/>
  <c r="D308" i="4"/>
  <c r="F308" i="4" s="1"/>
  <c r="D379" i="4"/>
  <c r="F379" i="4" s="1"/>
  <c r="D544" i="4"/>
  <c r="F544" i="4" s="1"/>
  <c r="D671" i="4"/>
  <c r="F671" i="4" s="1"/>
  <c r="D735" i="4"/>
  <c r="F735" i="4" s="1"/>
  <c r="D798" i="4"/>
  <c r="F798" i="4" s="1"/>
  <c r="D862" i="4"/>
  <c r="F862" i="4" s="1"/>
  <c r="D926" i="4"/>
  <c r="F926" i="4" s="1"/>
  <c r="D141" i="4"/>
  <c r="F141" i="4" s="1"/>
  <c r="D205" i="4"/>
  <c r="F205" i="4" s="1"/>
  <c r="D269" i="4"/>
  <c r="F269" i="4" s="1"/>
  <c r="D333" i="4"/>
  <c r="F333" i="4" s="1"/>
  <c r="D553" i="4"/>
  <c r="F553" i="4" s="1"/>
  <c r="D625" i="4"/>
  <c r="F625" i="4" s="1"/>
  <c r="D704" i="4"/>
  <c r="F704" i="4" s="1"/>
  <c r="D733" i="4"/>
  <c r="F733" i="4" s="1"/>
  <c r="D812" i="4"/>
  <c r="F812" i="4" s="1"/>
  <c r="D908" i="4"/>
  <c r="F908" i="4" s="1"/>
  <c r="D1018" i="4"/>
  <c r="F1018" i="4" s="1"/>
  <c r="D1114" i="4"/>
  <c r="F1114" i="4" s="1"/>
  <c r="D1216" i="4"/>
  <c r="F1216" i="4" s="1"/>
  <c r="D1333" i="4"/>
  <c r="F1333" i="4" s="1"/>
  <c r="D1060" i="4"/>
  <c r="F1060" i="4" s="1"/>
  <c r="D1193" i="4"/>
  <c r="F1193" i="4" s="1"/>
  <c r="D1318" i="4"/>
  <c r="F1318" i="4" s="1"/>
  <c r="D1445" i="4"/>
  <c r="F1445" i="4" s="1"/>
  <c r="D1571" i="4"/>
  <c r="F1571" i="4" s="1"/>
  <c r="D1041" i="4"/>
  <c r="F1041" i="4" s="1"/>
  <c r="D1178" i="4"/>
  <c r="F1178" i="4" s="1"/>
  <c r="D1303" i="4"/>
  <c r="F1303" i="4" s="1"/>
  <c r="D1430" i="4"/>
  <c r="F1430" i="4" s="1"/>
  <c r="D1556" i="4"/>
  <c r="F1556" i="4" s="1"/>
  <c r="D815" i="4"/>
  <c r="F815" i="4" s="1"/>
  <c r="D943" i="4"/>
  <c r="F943" i="4" s="1"/>
  <c r="D1070" i="4"/>
  <c r="F1070" i="4" s="1"/>
  <c r="D1195" i="4"/>
  <c r="F1195" i="4" s="1"/>
  <c r="D1328" i="4"/>
  <c r="F1328" i="4" s="1"/>
  <c r="D745" i="4"/>
  <c r="F745" i="4" s="1"/>
  <c r="D880" i="4"/>
  <c r="F880" i="4" s="1"/>
  <c r="D1006" i="4"/>
  <c r="F1006" i="4" s="1"/>
  <c r="D1140" i="4"/>
  <c r="F1140" i="4" s="1"/>
  <c r="D1281" i="4"/>
  <c r="F1281" i="4" s="1"/>
  <c r="D898" i="4"/>
  <c r="F898" i="4" s="1"/>
  <c r="D1089" i="4"/>
  <c r="F1089" i="4" s="1"/>
  <c r="D1275" i="4"/>
  <c r="F1275" i="4" s="1"/>
  <c r="D1419" i="4"/>
  <c r="F1419" i="4" s="1"/>
  <c r="D1175" i="4"/>
  <c r="F1175" i="4" s="1"/>
  <c r="D1761" i="4"/>
  <c r="F1761" i="4" s="1"/>
  <c r="D1902" i="4"/>
  <c r="F1902" i="4" s="1"/>
  <c r="D785" i="4"/>
  <c r="F785" i="4" s="1"/>
  <c r="D976" i="4"/>
  <c r="F976" i="4" s="1"/>
  <c r="D1675" i="4"/>
  <c r="F1675" i="4" s="1"/>
  <c r="D1864" i="4"/>
  <c r="F1864" i="4" s="1"/>
  <c r="D666" i="4"/>
  <c r="F666" i="4" s="1"/>
  <c r="D1113" i="4"/>
  <c r="F1113" i="4" s="1"/>
  <c r="D1557" i="4"/>
  <c r="F1557" i="4" s="1"/>
  <c r="D1740" i="4"/>
  <c r="F1740" i="4" s="1"/>
  <c r="D1313" i="4"/>
  <c r="F1313" i="4" s="1"/>
  <c r="D1494" i="4"/>
  <c r="F1494" i="4" s="1"/>
  <c r="D1685" i="4"/>
  <c r="F1685" i="4" s="1"/>
  <c r="D1945" i="4"/>
  <c r="F1945" i="4" s="1"/>
  <c r="D1465" i="4"/>
  <c r="F1465" i="4" s="1"/>
  <c r="D1726" i="4"/>
  <c r="F1726" i="4" s="1"/>
  <c r="D1292" i="4"/>
  <c r="F1292" i="4" s="1"/>
  <c r="D1561" i="4"/>
  <c r="F1561" i="4" s="1"/>
  <c r="D2058" i="4"/>
  <c r="F2058" i="4" s="1"/>
  <c r="D2322" i="4"/>
  <c r="F2322" i="4" s="1"/>
  <c r="D1861" i="4"/>
  <c r="F1861" i="4" s="1"/>
  <c r="D2278" i="4"/>
  <c r="F2278" i="4" s="1"/>
  <c r="D1862" i="4"/>
  <c r="F1862" i="4" s="1"/>
  <c r="D1776" i="4"/>
  <c r="F1776" i="4" s="1"/>
  <c r="D1436" i="4"/>
  <c r="F1436" i="4" s="1"/>
  <c r="D2102" i="4"/>
  <c r="F2102" i="4" s="1"/>
  <c r="D2212" i="4"/>
  <c r="F2212" i="4" s="1"/>
  <c r="D2476" i="4"/>
  <c r="F2476" i="4" s="1"/>
  <c r="D2313" i="4"/>
  <c r="F2313" i="4" s="1"/>
  <c r="D2143" i="4"/>
  <c r="F2143" i="4" s="1"/>
  <c r="D1076" i="4"/>
  <c r="F1076" i="4" s="1"/>
  <c r="D1209" i="4"/>
  <c r="F1209" i="4" s="1"/>
  <c r="D1334" i="4"/>
  <c r="F1334" i="4" s="1"/>
  <c r="D1461" i="4"/>
  <c r="F1461" i="4" s="1"/>
  <c r="D1587" i="4"/>
  <c r="F1587" i="4" s="1"/>
  <c r="D1069" i="4"/>
  <c r="F1069" i="4" s="1"/>
  <c r="D1194" i="4"/>
  <c r="F1194" i="4" s="1"/>
  <c r="D1319" i="4"/>
  <c r="F1319" i="4" s="1"/>
  <c r="D1446" i="4"/>
  <c r="F1446" i="4" s="1"/>
  <c r="D1572" i="4"/>
  <c r="F1572" i="4" s="1"/>
  <c r="D831" i="4"/>
  <c r="F831" i="4" s="1"/>
  <c r="D959" i="4"/>
  <c r="F959" i="4" s="1"/>
  <c r="D1086" i="4"/>
  <c r="F1086" i="4" s="1"/>
  <c r="D1211" i="4"/>
  <c r="F1211" i="4" s="1"/>
  <c r="D1344" i="4"/>
  <c r="F1344" i="4" s="1"/>
  <c r="D761" i="4"/>
  <c r="F761" i="4" s="1"/>
  <c r="D896" i="4"/>
  <c r="F896" i="4" s="1"/>
  <c r="D1022" i="4"/>
  <c r="F1022" i="4" s="1"/>
  <c r="D1156" i="4"/>
  <c r="F1156" i="4" s="1"/>
  <c r="D453" i="4"/>
  <c r="F453" i="4" s="1"/>
  <c r="D946" i="4"/>
  <c r="F946" i="4" s="1"/>
  <c r="D1096" i="4"/>
  <c r="F1096" i="4" s="1"/>
  <c r="D1283" i="4"/>
  <c r="F1283" i="4" s="1"/>
  <c r="D1466" i="4"/>
  <c r="F1466" i="4" s="1"/>
  <c r="D1183" i="4"/>
  <c r="F1183" i="4" s="1"/>
  <c r="D1769" i="4"/>
  <c r="F1769" i="4" s="1"/>
  <c r="D1950" i="4"/>
  <c r="F1950" i="4" s="1"/>
  <c r="D793" i="4"/>
  <c r="F793" i="4" s="1"/>
  <c r="D984" i="4"/>
  <c r="F984" i="4" s="1"/>
  <c r="D1723" i="4"/>
  <c r="F1723" i="4" s="1"/>
  <c r="D1872" i="4"/>
  <c r="F1872" i="4" s="1"/>
  <c r="D674" i="4"/>
  <c r="F674" i="4" s="1"/>
  <c r="D1416" i="4"/>
  <c r="F1416" i="4" s="1"/>
  <c r="D1565" i="4"/>
  <c r="F1565" i="4" s="1"/>
  <c r="D1747" i="4"/>
  <c r="F1747" i="4" s="1"/>
  <c r="D1361" i="4"/>
  <c r="F1361" i="4" s="1"/>
  <c r="D1502" i="4"/>
  <c r="F1502" i="4" s="1"/>
  <c r="D1693" i="4"/>
  <c r="F1693" i="4" s="1"/>
  <c r="D1953" i="4"/>
  <c r="F1953" i="4" s="1"/>
  <c r="D1472" i="4"/>
  <c r="F1472" i="4" s="1"/>
  <c r="D1734" i="4"/>
  <c r="F1734" i="4" s="1"/>
  <c r="D1300" i="4"/>
  <c r="F1300" i="4" s="1"/>
  <c r="D1569" i="4"/>
  <c r="F1569" i="4" s="1"/>
  <c r="D2066" i="4"/>
  <c r="F2066" i="4" s="1"/>
  <c r="D2330" i="4"/>
  <c r="F2330" i="4" s="1"/>
  <c r="D1877" i="4"/>
  <c r="F1877" i="4" s="1"/>
  <c r="D2294" i="4"/>
  <c r="F2294" i="4" s="1"/>
  <c r="D1878" i="4"/>
  <c r="F1878" i="4" s="1"/>
  <c r="D1792" i="4"/>
  <c r="F1792" i="4" s="1"/>
  <c r="D1452" i="4"/>
  <c r="F1452" i="4" s="1"/>
  <c r="D2117" i="4"/>
  <c r="F2117" i="4" s="1"/>
  <c r="D2228" i="4"/>
  <c r="F2228" i="4" s="1"/>
  <c r="D2484" i="4"/>
  <c r="F2484" i="4" s="1"/>
  <c r="D2329" i="4"/>
  <c r="F2329" i="4" s="1"/>
  <c r="D2151" i="4"/>
  <c r="F2151" i="4" s="1"/>
  <c r="AG6" i="5"/>
  <c r="AO6" i="5" s="1"/>
  <c r="AD6" i="5"/>
  <c r="AL6" i="5" s="1"/>
  <c r="AJ6" i="5"/>
  <c r="AR6" i="5" s="1"/>
  <c r="AI5" i="5"/>
  <c r="AQ5" i="5" s="1"/>
  <c r="AJ5" i="5"/>
  <c r="AR5" i="5" s="1"/>
  <c r="AC5" i="5"/>
  <c r="AF5" i="5"/>
  <c r="AN5" i="5" s="1"/>
  <c r="AH6" i="5"/>
  <c r="AP6" i="5" s="1"/>
  <c r="AG5" i="5"/>
  <c r="AO5" i="5" s="1"/>
  <c r="AF6" i="5"/>
  <c r="AN6" i="5" s="1"/>
  <c r="D2523" i="4"/>
  <c r="F2523" i="4" s="1"/>
  <c r="D2531" i="4"/>
  <c r="F2531" i="4" s="1"/>
  <c r="D2539" i="4"/>
  <c r="F2539" i="4" s="1"/>
  <c r="D2547" i="4"/>
  <c r="F2547" i="4" s="1"/>
  <c r="D2555" i="4"/>
  <c r="F2555" i="4" s="1"/>
  <c r="D2563" i="4"/>
  <c r="F2563" i="4" s="1"/>
  <c r="D2571" i="4"/>
  <c r="F2571" i="4" s="1"/>
  <c r="D2579" i="4"/>
  <c r="F2579" i="4" s="1"/>
  <c r="D2587" i="4"/>
  <c r="F2587" i="4" s="1"/>
  <c r="D2595" i="4"/>
  <c r="F2595" i="4" s="1"/>
  <c r="D2603" i="4"/>
  <c r="F2603" i="4" s="1"/>
  <c r="D2611" i="4"/>
  <c r="F2611" i="4" s="1"/>
  <c r="D2619" i="4"/>
  <c r="F2619" i="4" s="1"/>
  <c r="D2627" i="4"/>
  <c r="F2627" i="4" s="1"/>
  <c r="D2635" i="4"/>
  <c r="F2635" i="4" s="1"/>
  <c r="D2643" i="4"/>
  <c r="F2643" i="4" s="1"/>
  <c r="D2651" i="4"/>
  <c r="F2651" i="4" s="1"/>
  <c r="D2659" i="4"/>
  <c r="F2659" i="4" s="1"/>
  <c r="D2667" i="4"/>
  <c r="F2667" i="4" s="1"/>
  <c r="D2675" i="4"/>
  <c r="F2675" i="4" s="1"/>
  <c r="C2516" i="4"/>
  <c r="D2521" i="4"/>
  <c r="F2521" i="4" s="1"/>
  <c r="D2529" i="4"/>
  <c r="F2529" i="4" s="1"/>
  <c r="D2537" i="4"/>
  <c r="F2537" i="4" s="1"/>
  <c r="D2519" i="4"/>
  <c r="F2519" i="4" s="1"/>
  <c r="D2527" i="4"/>
  <c r="F2527" i="4" s="1"/>
  <c r="D2535" i="4"/>
  <c r="F2535" i="4" s="1"/>
  <c r="D2543" i="4"/>
  <c r="F2543" i="4" s="1"/>
  <c r="D2551" i="4"/>
  <c r="F2551" i="4" s="1"/>
  <c r="D2559" i="4"/>
  <c r="F2559" i="4" s="1"/>
  <c r="D2567" i="4"/>
  <c r="F2567" i="4" s="1"/>
  <c r="D2575" i="4"/>
  <c r="F2575" i="4" s="1"/>
  <c r="D2583" i="4"/>
  <c r="F2583" i="4" s="1"/>
  <c r="D2591" i="4"/>
  <c r="F2591" i="4" s="1"/>
  <c r="D2525" i="4"/>
  <c r="F2525" i="4" s="1"/>
  <c r="D2538" i="4"/>
  <c r="F2538" i="4" s="1"/>
  <c r="D2545" i="4"/>
  <c r="F2545" i="4" s="1"/>
  <c r="D2552" i="4"/>
  <c r="F2552" i="4" s="1"/>
  <c r="D2570" i="4"/>
  <c r="F2570" i="4" s="1"/>
  <c r="D2577" i="4"/>
  <c r="F2577" i="4" s="1"/>
  <c r="D2584" i="4"/>
  <c r="F2584" i="4" s="1"/>
  <c r="D2638" i="4"/>
  <c r="F2638" i="4" s="1"/>
  <c r="D2641" i="4"/>
  <c r="F2641" i="4" s="1"/>
  <c r="D2644" i="4"/>
  <c r="F2644" i="4" s="1"/>
  <c r="D2647" i="4"/>
  <c r="F2647" i="4" s="1"/>
  <c r="D2650" i="4"/>
  <c r="F2650" i="4" s="1"/>
  <c r="D2653" i="4"/>
  <c r="F2653" i="4" s="1"/>
  <c r="D2656" i="4"/>
  <c r="F2656" i="4" s="1"/>
  <c r="D2686" i="4"/>
  <c r="F2686" i="4" s="1"/>
  <c r="D2694" i="4"/>
  <c r="F2694" i="4" s="1"/>
  <c r="D2702" i="4"/>
  <c r="F2702" i="4" s="1"/>
  <c r="D2710" i="4"/>
  <c r="F2710" i="4" s="1"/>
  <c r="D2718" i="4"/>
  <c r="F2718" i="4" s="1"/>
  <c r="D2726" i="4"/>
  <c r="F2726" i="4" s="1"/>
  <c r="D2522" i="4"/>
  <c r="F2522" i="4" s="1"/>
  <c r="D2526" i="4"/>
  <c r="F2526" i="4" s="1"/>
  <c r="D2546" i="4"/>
  <c r="F2546" i="4" s="1"/>
  <c r="D2553" i="4"/>
  <c r="F2553" i="4" s="1"/>
  <c r="D2560" i="4"/>
  <c r="F2560" i="4" s="1"/>
  <c r="D2578" i="4"/>
  <c r="F2578" i="4" s="1"/>
  <c r="D2585" i="4"/>
  <c r="F2585" i="4" s="1"/>
  <c r="D2592" i="4"/>
  <c r="F2592" i="4" s="1"/>
  <c r="D2599" i="4"/>
  <c r="F2599" i="4" s="1"/>
  <c r="D2602" i="4"/>
  <c r="F2602" i="4" s="1"/>
  <c r="D2605" i="4"/>
  <c r="F2605" i="4" s="1"/>
  <c r="D2608" i="4"/>
  <c r="F2608" i="4" s="1"/>
  <c r="D2654" i="4"/>
  <c r="F2654" i="4" s="1"/>
  <c r="D2657" i="4"/>
  <c r="F2657" i="4" s="1"/>
  <c r="D2660" i="4"/>
  <c r="F2660" i="4" s="1"/>
  <c r="D2663" i="4"/>
  <c r="F2663" i="4" s="1"/>
  <c r="D2666" i="4"/>
  <c r="F2666" i="4" s="1"/>
  <c r="D2669" i="4"/>
  <c r="F2669" i="4" s="1"/>
  <c r="D2672" i="4"/>
  <c r="F2672" i="4" s="1"/>
  <c r="D2684" i="4"/>
  <c r="F2684" i="4" s="1"/>
  <c r="D2692" i="4"/>
  <c r="F2692" i="4" s="1"/>
  <c r="D2700" i="4"/>
  <c r="F2700" i="4" s="1"/>
  <c r="D2708" i="4"/>
  <c r="F2708" i="4" s="1"/>
  <c r="D2716" i="4"/>
  <c r="F2716" i="4" s="1"/>
  <c r="D2724" i="4"/>
  <c r="F2724" i="4" s="1"/>
  <c r="D2732" i="4"/>
  <c r="F2732" i="4" s="1"/>
  <c r="D2740" i="4"/>
  <c r="F2740" i="4" s="1"/>
  <c r="D2748" i="4"/>
  <c r="F2748" i="4" s="1"/>
  <c r="D2756" i="4"/>
  <c r="F2756" i="4" s="1"/>
  <c r="D2764" i="4"/>
  <c r="F2764" i="4" s="1"/>
  <c r="D2772" i="4"/>
  <c r="F2772" i="4" s="1"/>
  <c r="D2780" i="4"/>
  <c r="F2780" i="4" s="1"/>
  <c r="D2788" i="4"/>
  <c r="F2788" i="4" s="1"/>
  <c r="D2796" i="4"/>
  <c r="F2796" i="4" s="1"/>
  <c r="D2804" i="4"/>
  <c r="F2804" i="4" s="1"/>
  <c r="D2812" i="4"/>
  <c r="F2812" i="4" s="1"/>
  <c r="D2820" i="4"/>
  <c r="F2820" i="4" s="1"/>
  <c r="D2828" i="4"/>
  <c r="F2828" i="4" s="1"/>
  <c r="D2836" i="4"/>
  <c r="F2836" i="4" s="1"/>
  <c r="D2844" i="4"/>
  <c r="F2844" i="4" s="1"/>
  <c r="D2852" i="4"/>
  <c r="F2852" i="4" s="1"/>
  <c r="D2860" i="4"/>
  <c r="F2860" i="4" s="1"/>
  <c r="D2868" i="4"/>
  <c r="F2868" i="4" s="1"/>
  <c r="D2876" i="4"/>
  <c r="F2876" i="4" s="1"/>
  <c r="D2884" i="4"/>
  <c r="F2884" i="4" s="1"/>
  <c r="D2892" i="4"/>
  <c r="F2892" i="4" s="1"/>
  <c r="D2900" i="4"/>
  <c r="F2900" i="4" s="1"/>
  <c r="D2908" i="4"/>
  <c r="F2908" i="4" s="1"/>
  <c r="D2916" i="4"/>
  <c r="F2916" i="4" s="1"/>
  <c r="D2924" i="4"/>
  <c r="F2924" i="4" s="1"/>
  <c r="D2932" i="4"/>
  <c r="F2932" i="4" s="1"/>
  <c r="D2940" i="4"/>
  <c r="F2940" i="4" s="1"/>
  <c r="D2948" i="4"/>
  <c r="F2948" i="4" s="1"/>
  <c r="D2956" i="4"/>
  <c r="F2956" i="4" s="1"/>
  <c r="D2964" i="4"/>
  <c r="F2964" i="4" s="1"/>
  <c r="D2972" i="4"/>
  <c r="F2972" i="4" s="1"/>
  <c r="D2980" i="4"/>
  <c r="F2980" i="4" s="1"/>
  <c r="D2988" i="4"/>
  <c r="F2988" i="4" s="1"/>
  <c r="D2996" i="4"/>
  <c r="F2996" i="4" s="1"/>
  <c r="D3004" i="4"/>
  <c r="F3004" i="4" s="1"/>
  <c r="D3012" i="4"/>
  <c r="F3012" i="4" s="1"/>
  <c r="D3020" i="4"/>
  <c r="F3020" i="4" s="1"/>
  <c r="D3028" i="4"/>
  <c r="F3028" i="4" s="1"/>
  <c r="D3036" i="4"/>
  <c r="F3036" i="4" s="1"/>
  <c r="D3044" i="4"/>
  <c r="F3044" i="4" s="1"/>
  <c r="D3052" i="4"/>
  <c r="F3052" i="4" s="1"/>
  <c r="D3060" i="4"/>
  <c r="F3060" i="4" s="1"/>
  <c r="D3068" i="4"/>
  <c r="F3068" i="4" s="1"/>
  <c r="D3076" i="4"/>
  <c r="F3076" i="4" s="1"/>
  <c r="D3084" i="4"/>
  <c r="F3084" i="4" s="1"/>
  <c r="D3092" i="4"/>
  <c r="F3092" i="4" s="1"/>
  <c r="D3100" i="4"/>
  <c r="F3100" i="4" s="1"/>
  <c r="D3108" i="4"/>
  <c r="F3108" i="4" s="1"/>
  <c r="D2518" i="4"/>
  <c r="F2518" i="4" s="1"/>
  <c r="D2540" i="4"/>
  <c r="F2540" i="4" s="1"/>
  <c r="D2550" i="4"/>
  <c r="F2550" i="4" s="1"/>
  <c r="D2564" i="4"/>
  <c r="F2564" i="4" s="1"/>
  <c r="D2573" i="4"/>
  <c r="F2573" i="4" s="1"/>
  <c r="D2597" i="4"/>
  <c r="F2597" i="4" s="1"/>
  <c r="D2601" i="4"/>
  <c r="F2601" i="4" s="1"/>
  <c r="D2613" i="4"/>
  <c r="F2613" i="4" s="1"/>
  <c r="D2630" i="4"/>
  <c r="F2630" i="4" s="1"/>
  <c r="D2642" i="4"/>
  <c r="F2642" i="4" s="1"/>
  <c r="D2646" i="4"/>
  <c r="F2646" i="4" s="1"/>
  <c r="D2658" i="4"/>
  <c r="F2658" i="4" s="1"/>
  <c r="D2662" i="4"/>
  <c r="F2662" i="4" s="1"/>
  <c r="D2674" i="4"/>
  <c r="F2674" i="4" s="1"/>
  <c r="D2693" i="4"/>
  <c r="F2693" i="4" s="1"/>
  <c r="D2707" i="4"/>
  <c r="F2707" i="4" s="1"/>
  <c r="D2711" i="4"/>
  <c r="F2711" i="4" s="1"/>
  <c r="D2725" i="4"/>
  <c r="F2725" i="4" s="1"/>
  <c r="D2735" i="4"/>
  <c r="F2735" i="4" s="1"/>
  <c r="D2738" i="4"/>
  <c r="F2738" i="4" s="1"/>
  <c r="D2741" i="4"/>
  <c r="F2741" i="4" s="1"/>
  <c r="D2744" i="4"/>
  <c r="F2744" i="4" s="1"/>
  <c r="D2747" i="4"/>
  <c r="F2747" i="4" s="1"/>
  <c r="D2750" i="4"/>
  <c r="F2750" i="4" s="1"/>
  <c r="D2753" i="4"/>
  <c r="F2753" i="4" s="1"/>
  <c r="D2799" i="4"/>
  <c r="F2799" i="4" s="1"/>
  <c r="D2802" i="4"/>
  <c r="F2802" i="4" s="1"/>
  <c r="D2805" i="4"/>
  <c r="F2805" i="4" s="1"/>
  <c r="D2808" i="4"/>
  <c r="F2808" i="4" s="1"/>
  <c r="D2811" i="4"/>
  <c r="F2811" i="4" s="1"/>
  <c r="D2814" i="4"/>
  <c r="F2814" i="4" s="1"/>
  <c r="D2817" i="4"/>
  <c r="F2817" i="4" s="1"/>
  <c r="D2863" i="4"/>
  <c r="F2863" i="4" s="1"/>
  <c r="D2866" i="4"/>
  <c r="F2866" i="4" s="1"/>
  <c r="D2869" i="4"/>
  <c r="F2869" i="4" s="1"/>
  <c r="D2872" i="4"/>
  <c r="F2872" i="4" s="1"/>
  <c r="D2875" i="4"/>
  <c r="F2875" i="4" s="1"/>
  <c r="D2878" i="4"/>
  <c r="F2878" i="4" s="1"/>
  <c r="D2881" i="4"/>
  <c r="F2881" i="4" s="1"/>
  <c r="D2517" i="4"/>
  <c r="F2517" i="4" s="1"/>
  <c r="D2524" i="4"/>
  <c r="F2524" i="4" s="1"/>
  <c r="D2580" i="4"/>
  <c r="F2580" i="4" s="1"/>
  <c r="D2586" i="4"/>
  <c r="F2586" i="4" s="1"/>
  <c r="D2620" i="4"/>
  <c r="F2620" i="4" s="1"/>
  <c r="D2629" i="4"/>
  <c r="F2629" i="4" s="1"/>
  <c r="D2634" i="4"/>
  <c r="F2634" i="4" s="1"/>
  <c r="D2639" i="4"/>
  <c r="F2639" i="4" s="1"/>
  <c r="D2648" i="4"/>
  <c r="F2648" i="4" s="1"/>
  <c r="D2671" i="4"/>
  <c r="F2671" i="4" s="1"/>
  <c r="D2676" i="4"/>
  <c r="F2676" i="4" s="1"/>
  <c r="D2680" i="4"/>
  <c r="F2680" i="4" s="1"/>
  <c r="D2697" i="4"/>
  <c r="F2697" i="4" s="1"/>
  <c r="D2701" i="4"/>
  <c r="F2701" i="4" s="1"/>
  <c r="D2705" i="4"/>
  <c r="F2705" i="4" s="1"/>
  <c r="D2709" i="4"/>
  <c r="F2709" i="4" s="1"/>
  <c r="D2713" i="4"/>
  <c r="F2713" i="4" s="1"/>
  <c r="D2717" i="4"/>
  <c r="F2717" i="4" s="1"/>
  <c r="D2721" i="4"/>
  <c r="F2721" i="4" s="1"/>
  <c r="D2733" i="4"/>
  <c r="F2733" i="4" s="1"/>
  <c r="D2754" i="4"/>
  <c r="F2754" i="4" s="1"/>
  <c r="D2771" i="4"/>
  <c r="F2771" i="4" s="1"/>
  <c r="D2775" i="4"/>
  <c r="F2775" i="4" s="1"/>
  <c r="D2785" i="4"/>
  <c r="F2785" i="4" s="1"/>
  <c r="D2792" i="4"/>
  <c r="F2792" i="4" s="1"/>
  <c r="D2806" i="4"/>
  <c r="F2806" i="4" s="1"/>
  <c r="D2813" i="4"/>
  <c r="F2813" i="4" s="1"/>
  <c r="D2827" i="4"/>
  <c r="F2827" i="4" s="1"/>
  <c r="D2834" i="4"/>
  <c r="F2834" i="4" s="1"/>
  <c r="D2848" i="4"/>
  <c r="F2848" i="4" s="1"/>
  <c r="D2855" i="4"/>
  <c r="F2855" i="4" s="1"/>
  <c r="D2865" i="4"/>
  <c r="F2865" i="4" s="1"/>
  <c r="D2886" i="4"/>
  <c r="F2886" i="4" s="1"/>
  <c r="D2893" i="4"/>
  <c r="F2893" i="4" s="1"/>
  <c r="D2907" i="4"/>
  <c r="F2907" i="4" s="1"/>
  <c r="D2910" i="4"/>
  <c r="F2910" i="4" s="1"/>
  <c r="D2913" i="4"/>
  <c r="F2913" i="4" s="1"/>
  <c r="D2959" i="4"/>
  <c r="F2959" i="4" s="1"/>
  <c r="D2962" i="4"/>
  <c r="F2962" i="4" s="1"/>
  <c r="D2965" i="4"/>
  <c r="F2965" i="4" s="1"/>
  <c r="D2968" i="4"/>
  <c r="F2968" i="4" s="1"/>
  <c r="D2971" i="4"/>
  <c r="F2971" i="4" s="1"/>
  <c r="D2974" i="4"/>
  <c r="F2974" i="4" s="1"/>
  <c r="D2977" i="4"/>
  <c r="F2977" i="4" s="1"/>
  <c r="D3023" i="4"/>
  <c r="F3023" i="4" s="1"/>
  <c r="D3026" i="4"/>
  <c r="F3026" i="4" s="1"/>
  <c r="D3029" i="4"/>
  <c r="F3029" i="4" s="1"/>
  <c r="D3032" i="4"/>
  <c r="F3032" i="4" s="1"/>
  <c r="D3035" i="4"/>
  <c r="F3035" i="4" s="1"/>
  <c r="D3038" i="4"/>
  <c r="F3038" i="4" s="1"/>
  <c r="D3041" i="4"/>
  <c r="F3041" i="4" s="1"/>
  <c r="D3087" i="4"/>
  <c r="F3087" i="4" s="1"/>
  <c r="D3090" i="4"/>
  <c r="F3090" i="4" s="1"/>
  <c r="D3093" i="4"/>
  <c r="F3093" i="4" s="1"/>
  <c r="D3096" i="4"/>
  <c r="F3096" i="4" s="1"/>
  <c r="D3099" i="4"/>
  <c r="F3099" i="4" s="1"/>
  <c r="D3102" i="4"/>
  <c r="F3102" i="4" s="1"/>
  <c r="D3105" i="4"/>
  <c r="F3105" i="4" s="1"/>
  <c r="D3114" i="4"/>
  <c r="F3114" i="4" s="1"/>
  <c r="D3122" i="4"/>
  <c r="F3122" i="4" s="1"/>
  <c r="D3130" i="4"/>
  <c r="F3130" i="4" s="1"/>
  <c r="D3138" i="4"/>
  <c r="F3138" i="4" s="1"/>
  <c r="D3146" i="4"/>
  <c r="F3146" i="4" s="1"/>
  <c r="D3154" i="4"/>
  <c r="F3154" i="4" s="1"/>
  <c r="D3162" i="4"/>
  <c r="F3162" i="4" s="1"/>
  <c r="D3170" i="4"/>
  <c r="F3170" i="4" s="1"/>
  <c r="D3178" i="4"/>
  <c r="F3178" i="4" s="1"/>
  <c r="D3186" i="4"/>
  <c r="F3186" i="4" s="1"/>
  <c r="D3194" i="4"/>
  <c r="F3194" i="4" s="1"/>
  <c r="D3202" i="4"/>
  <c r="F3202" i="4" s="1"/>
  <c r="D3210" i="4"/>
  <c r="F3210" i="4" s="1"/>
  <c r="D3218" i="4"/>
  <c r="F3218" i="4" s="1"/>
  <c r="D3226" i="4"/>
  <c r="F3226" i="4" s="1"/>
  <c r="D3234" i="4"/>
  <c r="F3234" i="4" s="1"/>
  <c r="D3242" i="4"/>
  <c r="F3242" i="4" s="1"/>
  <c r="D3250" i="4"/>
  <c r="F3250" i="4" s="1"/>
  <c r="D3258" i="4"/>
  <c r="F3258" i="4" s="1"/>
  <c r="D3266" i="4"/>
  <c r="F3266" i="4" s="1"/>
  <c r="D3274" i="4"/>
  <c r="F3274" i="4" s="1"/>
  <c r="D3282" i="4"/>
  <c r="F3282" i="4" s="1"/>
  <c r="D3290" i="4"/>
  <c r="F3290" i="4" s="1"/>
  <c r="D3298" i="4"/>
  <c r="F3298" i="4" s="1"/>
  <c r="D3306" i="4"/>
  <c r="F3306" i="4" s="1"/>
  <c r="D3314" i="4"/>
  <c r="F3314" i="4" s="1"/>
  <c r="D3322" i="4"/>
  <c r="F3322" i="4" s="1"/>
  <c r="D3330" i="4"/>
  <c r="F3330" i="4" s="1"/>
  <c r="D3338" i="4"/>
  <c r="F3338" i="4" s="1"/>
  <c r="D3346" i="4"/>
  <c r="F3346" i="4" s="1"/>
  <c r="D3354" i="4"/>
  <c r="F3354" i="4" s="1"/>
  <c r="D3362" i="4"/>
  <c r="F3362" i="4" s="1"/>
  <c r="D3370" i="4"/>
  <c r="F3370" i="4" s="1"/>
  <c r="D3378" i="4"/>
  <c r="F3378" i="4" s="1"/>
  <c r="D3386" i="4"/>
  <c r="F3386" i="4" s="1"/>
  <c r="D3394" i="4"/>
  <c r="F3394" i="4" s="1"/>
  <c r="D3402" i="4"/>
  <c r="F3402" i="4" s="1"/>
  <c r="D3410" i="4"/>
  <c r="F3410" i="4" s="1"/>
  <c r="D3418" i="4"/>
  <c r="F3418" i="4" s="1"/>
  <c r="D3426" i="4"/>
  <c r="F3426" i="4" s="1"/>
  <c r="D3434" i="4"/>
  <c r="F3434" i="4" s="1"/>
  <c r="D3442" i="4"/>
  <c r="F3442" i="4" s="1"/>
  <c r="D3450" i="4"/>
  <c r="F3450" i="4" s="1"/>
  <c r="D3458" i="4"/>
  <c r="F3458" i="4" s="1"/>
  <c r="D3466" i="4"/>
  <c r="F3466" i="4" s="1"/>
  <c r="D3474" i="4"/>
  <c r="F3474" i="4" s="1"/>
  <c r="D3482" i="4"/>
  <c r="F3482" i="4" s="1"/>
  <c r="D3490" i="4"/>
  <c r="F3490" i="4" s="1"/>
  <c r="D3498" i="4"/>
  <c r="F3498" i="4" s="1"/>
  <c r="D3506" i="4"/>
  <c r="F3506" i="4" s="1"/>
  <c r="D2548" i="4"/>
  <c r="F2548" i="4" s="1"/>
  <c r="D2554" i="4"/>
  <c r="F2554" i="4" s="1"/>
  <c r="D2565" i="4"/>
  <c r="F2565" i="4" s="1"/>
  <c r="D2581" i="4"/>
  <c r="F2581" i="4" s="1"/>
  <c r="D2625" i="4"/>
  <c r="F2625" i="4" s="1"/>
  <c r="D2681" i="4"/>
  <c r="F2681" i="4" s="1"/>
  <c r="D2685" i="4"/>
  <c r="F2685" i="4" s="1"/>
  <c r="D2689" i="4"/>
  <c r="F2689" i="4" s="1"/>
  <c r="D2722" i="4"/>
  <c r="F2722" i="4" s="1"/>
  <c r="D2730" i="4"/>
  <c r="F2730" i="4" s="1"/>
  <c r="D2751" i="4"/>
  <c r="F2751" i="4" s="1"/>
  <c r="D2761" i="4"/>
  <c r="F2761" i="4" s="1"/>
  <c r="D2768" i="4"/>
  <c r="F2768" i="4" s="1"/>
  <c r="D2782" i="4"/>
  <c r="F2782" i="4" s="1"/>
  <c r="D2789" i="4"/>
  <c r="F2789" i="4" s="1"/>
  <c r="D2803" i="4"/>
  <c r="F2803" i="4" s="1"/>
  <c r="D2810" i="4"/>
  <c r="F2810" i="4" s="1"/>
  <c r="D2824" i="4"/>
  <c r="F2824" i="4" s="1"/>
  <c r="D2831" i="4"/>
  <c r="F2831" i="4" s="1"/>
  <c r="D2841" i="4"/>
  <c r="F2841" i="4" s="1"/>
  <c r="D2845" i="4"/>
  <c r="F2845" i="4" s="1"/>
  <c r="D2862" i="4"/>
  <c r="F2862" i="4" s="1"/>
  <c r="D2883" i="4"/>
  <c r="F2883" i="4" s="1"/>
  <c r="D2890" i="4"/>
  <c r="F2890" i="4" s="1"/>
  <c r="D2897" i="4"/>
  <c r="F2897" i="4" s="1"/>
  <c r="D2904" i="4"/>
  <c r="F2904" i="4" s="1"/>
  <c r="D2935" i="4"/>
  <c r="F2935" i="4" s="1"/>
  <c r="D2938" i="4"/>
  <c r="F2938" i="4" s="1"/>
  <c r="D2941" i="4"/>
  <c r="F2941" i="4" s="1"/>
  <c r="D2944" i="4"/>
  <c r="F2944" i="4" s="1"/>
  <c r="D2947" i="4"/>
  <c r="F2947" i="4" s="1"/>
  <c r="D2950" i="4"/>
  <c r="F2950" i="4" s="1"/>
  <c r="D2953" i="4"/>
  <c r="F2953" i="4" s="1"/>
  <c r="D2999" i="4"/>
  <c r="F2999" i="4" s="1"/>
  <c r="D3002" i="4"/>
  <c r="F3002" i="4" s="1"/>
  <c r="D3005" i="4"/>
  <c r="F3005" i="4" s="1"/>
  <c r="D3008" i="4"/>
  <c r="F3008" i="4" s="1"/>
  <c r="D3011" i="4"/>
  <c r="F3011" i="4" s="1"/>
  <c r="D3014" i="4"/>
  <c r="F3014" i="4" s="1"/>
  <c r="D3017" i="4"/>
  <c r="F3017" i="4" s="1"/>
  <c r="D3063" i="4"/>
  <c r="F3063" i="4" s="1"/>
  <c r="D3066" i="4"/>
  <c r="F3066" i="4" s="1"/>
  <c r="D3069" i="4"/>
  <c r="F3069" i="4" s="1"/>
  <c r="D3072" i="4"/>
  <c r="F3072" i="4" s="1"/>
  <c r="D3075" i="4"/>
  <c r="F3075" i="4" s="1"/>
  <c r="D3078" i="4"/>
  <c r="F3078" i="4" s="1"/>
  <c r="D3081" i="4"/>
  <c r="F3081" i="4" s="1"/>
  <c r="D3117" i="4"/>
  <c r="F3117" i="4" s="1"/>
  <c r="D3125" i="4"/>
  <c r="F3125" i="4" s="1"/>
  <c r="D3133" i="4"/>
  <c r="F3133" i="4" s="1"/>
  <c r="D3141" i="4"/>
  <c r="F3141" i="4" s="1"/>
  <c r="D3149" i="4"/>
  <c r="F3149" i="4" s="1"/>
  <c r="D3157" i="4"/>
  <c r="F3157" i="4" s="1"/>
  <c r="D3165" i="4"/>
  <c r="F3165" i="4" s="1"/>
  <c r="D3173" i="4"/>
  <c r="F3173" i="4" s="1"/>
  <c r="D3181" i="4"/>
  <c r="F3181" i="4" s="1"/>
  <c r="D3189" i="4"/>
  <c r="F3189" i="4" s="1"/>
  <c r="D3197" i="4"/>
  <c r="F3197" i="4" s="1"/>
  <c r="D3205" i="4"/>
  <c r="F3205" i="4" s="1"/>
  <c r="D3213" i="4"/>
  <c r="F3213" i="4" s="1"/>
  <c r="D3221" i="4"/>
  <c r="F3221" i="4" s="1"/>
  <c r="D3229" i="4"/>
  <c r="F3229" i="4" s="1"/>
  <c r="D3237" i="4"/>
  <c r="F3237" i="4" s="1"/>
  <c r="D3245" i="4"/>
  <c r="F3245" i="4" s="1"/>
  <c r="D3253" i="4"/>
  <c r="F3253" i="4" s="1"/>
  <c r="D2532" i="4"/>
  <c r="F2532" i="4" s="1"/>
  <c r="D2549" i="4"/>
  <c r="F2549" i="4" s="1"/>
  <c r="D2576" i="4"/>
  <c r="F2576" i="4" s="1"/>
  <c r="D2582" i="4"/>
  <c r="F2582" i="4" s="1"/>
  <c r="D2593" i="4"/>
  <c r="F2593" i="4" s="1"/>
  <c r="D2598" i="4"/>
  <c r="F2598" i="4" s="1"/>
  <c r="D2607" i="4"/>
  <c r="F2607" i="4" s="1"/>
  <c r="D2612" i="4"/>
  <c r="F2612" i="4" s="1"/>
  <c r="D2616" i="4"/>
  <c r="F2616" i="4" s="1"/>
  <c r="D2621" i="4"/>
  <c r="F2621" i="4" s="1"/>
  <c r="D2626" i="4"/>
  <c r="F2626" i="4" s="1"/>
  <c r="D2649" i="4"/>
  <c r="F2649" i="4" s="1"/>
  <c r="D2690" i="4"/>
  <c r="F2690" i="4" s="1"/>
  <c r="D2698" i="4"/>
  <c r="F2698" i="4" s="1"/>
  <c r="D2706" i="4"/>
  <c r="F2706" i="4" s="1"/>
  <c r="D2714" i="4"/>
  <c r="F2714" i="4" s="1"/>
  <c r="D2737" i="4"/>
  <c r="F2737" i="4" s="1"/>
  <c r="D2758" i="4"/>
  <c r="F2758" i="4" s="1"/>
  <c r="D2765" i="4"/>
  <c r="F2765" i="4" s="1"/>
  <c r="D2779" i="4"/>
  <c r="F2779" i="4" s="1"/>
  <c r="D2786" i="4"/>
  <c r="F2786" i="4" s="1"/>
  <c r="D2793" i="4"/>
  <c r="F2793" i="4" s="1"/>
  <c r="D2800" i="4"/>
  <c r="F2800" i="4" s="1"/>
  <c r="D2807" i="4"/>
  <c r="F2807" i="4" s="1"/>
  <c r="D2821" i="4"/>
  <c r="F2821" i="4" s="1"/>
  <c r="D2838" i="4"/>
  <c r="F2838" i="4" s="1"/>
  <c r="D2842" i="4"/>
  <c r="F2842" i="4" s="1"/>
  <c r="D2859" i="4"/>
  <c r="F2859" i="4" s="1"/>
  <c r="D2873" i="4"/>
  <c r="F2873" i="4" s="1"/>
  <c r="D2880" i="4"/>
  <c r="F2880" i="4" s="1"/>
  <c r="D2887" i="4"/>
  <c r="F2887" i="4" s="1"/>
  <c r="D2894" i="4"/>
  <c r="F2894" i="4" s="1"/>
  <c r="D2901" i="4"/>
  <c r="F2901" i="4" s="1"/>
  <c r="D2911" i="4"/>
  <c r="F2911" i="4" s="1"/>
  <c r="D2914" i="4"/>
  <c r="F2914" i="4" s="1"/>
  <c r="D2917" i="4"/>
  <c r="F2917" i="4" s="1"/>
  <c r="D2920" i="4"/>
  <c r="F2920" i="4" s="1"/>
  <c r="D2923" i="4"/>
  <c r="F2923" i="4" s="1"/>
  <c r="D2926" i="4"/>
  <c r="F2926" i="4" s="1"/>
  <c r="D2929" i="4"/>
  <c r="F2929" i="4" s="1"/>
  <c r="D2975" i="4"/>
  <c r="F2975" i="4" s="1"/>
  <c r="D2978" i="4"/>
  <c r="F2978" i="4" s="1"/>
  <c r="D2981" i="4"/>
  <c r="F2981" i="4" s="1"/>
  <c r="D2984" i="4"/>
  <c r="F2984" i="4" s="1"/>
  <c r="D2987" i="4"/>
  <c r="F2987" i="4" s="1"/>
  <c r="D2990" i="4"/>
  <c r="F2990" i="4" s="1"/>
  <c r="D2993" i="4"/>
  <c r="F2993" i="4" s="1"/>
  <c r="D3039" i="4"/>
  <c r="F3039" i="4" s="1"/>
  <c r="D3042" i="4"/>
  <c r="F3042" i="4" s="1"/>
  <c r="D3045" i="4"/>
  <c r="F3045" i="4" s="1"/>
  <c r="D3048" i="4"/>
  <c r="F3048" i="4" s="1"/>
  <c r="D3051" i="4"/>
  <c r="F3051" i="4" s="1"/>
  <c r="D3054" i="4"/>
  <c r="F3054" i="4" s="1"/>
  <c r="D3057" i="4"/>
  <c r="F3057" i="4" s="1"/>
  <c r="D3103" i="4"/>
  <c r="F3103" i="4" s="1"/>
  <c r="D3106" i="4"/>
  <c r="F3106" i="4" s="1"/>
  <c r="D3109" i="4"/>
  <c r="F3109" i="4" s="1"/>
  <c r="D3112" i="4"/>
  <c r="F3112" i="4" s="1"/>
  <c r="D3120" i="4"/>
  <c r="F3120" i="4" s="1"/>
  <c r="D3128" i="4"/>
  <c r="F3128" i="4" s="1"/>
  <c r="D3136" i="4"/>
  <c r="F3136" i="4" s="1"/>
  <c r="D3144" i="4"/>
  <c r="F3144" i="4" s="1"/>
  <c r="D3152" i="4"/>
  <c r="F3152" i="4" s="1"/>
  <c r="D3160" i="4"/>
  <c r="F3160" i="4" s="1"/>
  <c r="D3168" i="4"/>
  <c r="F3168" i="4" s="1"/>
  <c r="D3176" i="4"/>
  <c r="F3176" i="4" s="1"/>
  <c r="D3184" i="4"/>
  <c r="F3184" i="4" s="1"/>
  <c r="D3192" i="4"/>
  <c r="F3192" i="4" s="1"/>
  <c r="D3200" i="4"/>
  <c r="F3200" i="4" s="1"/>
  <c r="D3208" i="4"/>
  <c r="F3208" i="4" s="1"/>
  <c r="D3216" i="4"/>
  <c r="F3216" i="4" s="1"/>
  <c r="D3224" i="4"/>
  <c r="F3224" i="4" s="1"/>
  <c r="D3232" i="4"/>
  <c r="F3232" i="4" s="1"/>
  <c r="D3240" i="4"/>
  <c r="F3240" i="4" s="1"/>
  <c r="D3248" i="4"/>
  <c r="F3248" i="4" s="1"/>
  <c r="D3256" i="4"/>
  <c r="F3256" i="4" s="1"/>
  <c r="D3264" i="4"/>
  <c r="F3264" i="4" s="1"/>
  <c r="D3272" i="4"/>
  <c r="F3272" i="4" s="1"/>
  <c r="D3280" i="4"/>
  <c r="F3280" i="4" s="1"/>
  <c r="D3288" i="4"/>
  <c r="F3288" i="4" s="1"/>
  <c r="D3296" i="4"/>
  <c r="F3296" i="4" s="1"/>
  <c r="D3304" i="4"/>
  <c r="F3304" i="4" s="1"/>
  <c r="D3312" i="4"/>
  <c r="F3312" i="4" s="1"/>
  <c r="D3320" i="4"/>
  <c r="F3320" i="4" s="1"/>
  <c r="D3328" i="4"/>
  <c r="F3328" i="4" s="1"/>
  <c r="D3336" i="4"/>
  <c r="F3336" i="4" s="1"/>
  <c r="D3344" i="4"/>
  <c r="F3344" i="4" s="1"/>
  <c r="D3352" i="4"/>
  <c r="F3352" i="4" s="1"/>
  <c r="D3360" i="4"/>
  <c r="F3360" i="4" s="1"/>
  <c r="D3368" i="4"/>
  <c r="F3368" i="4" s="1"/>
  <c r="D3376" i="4"/>
  <c r="F3376" i="4" s="1"/>
  <c r="D3384" i="4"/>
  <c r="F3384" i="4" s="1"/>
  <c r="D3392" i="4"/>
  <c r="F3392" i="4" s="1"/>
  <c r="D3400" i="4"/>
  <c r="F3400" i="4" s="1"/>
  <c r="D3408" i="4"/>
  <c r="F3408" i="4" s="1"/>
  <c r="D3416" i="4"/>
  <c r="F3416" i="4" s="1"/>
  <c r="D3424" i="4"/>
  <c r="F3424" i="4" s="1"/>
  <c r="D3432" i="4"/>
  <c r="F3432" i="4" s="1"/>
  <c r="D3440" i="4"/>
  <c r="F3440" i="4" s="1"/>
  <c r="D3448" i="4"/>
  <c r="F3448" i="4" s="1"/>
  <c r="D3456" i="4"/>
  <c r="F3456" i="4" s="1"/>
  <c r="D3464" i="4"/>
  <c r="F3464" i="4" s="1"/>
  <c r="D3472" i="4"/>
  <c r="F3472" i="4" s="1"/>
  <c r="D3480" i="4"/>
  <c r="F3480" i="4" s="1"/>
  <c r="D3488" i="4"/>
  <c r="F3488" i="4" s="1"/>
  <c r="D3496" i="4"/>
  <c r="F3496" i="4" s="1"/>
  <c r="D3504" i="4"/>
  <c r="F3504" i="4" s="1"/>
  <c r="D3512" i="4"/>
  <c r="F3512" i="4" s="1"/>
  <c r="D3520" i="4"/>
  <c r="F3520" i="4" s="1"/>
  <c r="D3528" i="4"/>
  <c r="F3528" i="4" s="1"/>
  <c r="D2544" i="4"/>
  <c r="F2544" i="4" s="1"/>
  <c r="D2561" i="4"/>
  <c r="F2561" i="4" s="1"/>
  <c r="D2566" i="4"/>
  <c r="F2566" i="4" s="1"/>
  <c r="D2588" i="4"/>
  <c r="F2588" i="4" s="1"/>
  <c r="D2617" i="4"/>
  <c r="F2617" i="4" s="1"/>
  <c r="D2622" i="4"/>
  <c r="F2622" i="4" s="1"/>
  <c r="D2631" i="4"/>
  <c r="F2631" i="4" s="1"/>
  <c r="D2636" i="4"/>
  <c r="F2636" i="4" s="1"/>
  <c r="D2640" i="4"/>
  <c r="F2640" i="4" s="1"/>
  <c r="D2645" i="4"/>
  <c r="F2645" i="4" s="1"/>
  <c r="D2668" i="4"/>
  <c r="F2668" i="4" s="1"/>
  <c r="D2673" i="4"/>
  <c r="F2673" i="4" s="1"/>
  <c r="D2677" i="4"/>
  <c r="F2677" i="4" s="1"/>
  <c r="D2682" i="4"/>
  <c r="F2682" i="4" s="1"/>
  <c r="D2719" i="4"/>
  <c r="F2719" i="4" s="1"/>
  <c r="D2727" i="4"/>
  <c r="F2727" i="4" s="1"/>
  <c r="D2734" i="4"/>
  <c r="F2734" i="4" s="1"/>
  <c r="D2755" i="4"/>
  <c r="F2755" i="4" s="1"/>
  <c r="D2762" i="4"/>
  <c r="F2762" i="4" s="1"/>
  <c r="D2769" i="4"/>
  <c r="F2769" i="4" s="1"/>
  <c r="D2776" i="4"/>
  <c r="F2776" i="4" s="1"/>
  <c r="D2783" i="4"/>
  <c r="F2783" i="4" s="1"/>
  <c r="D2790" i="4"/>
  <c r="F2790" i="4" s="1"/>
  <c r="D2797" i="4"/>
  <c r="F2797" i="4" s="1"/>
  <c r="D2818" i="4"/>
  <c r="F2818" i="4" s="1"/>
  <c r="D2835" i="4"/>
  <c r="F2835" i="4" s="1"/>
  <c r="D2839" i="4"/>
  <c r="F2839" i="4" s="1"/>
  <c r="D2849" i="4"/>
  <c r="F2849" i="4" s="1"/>
  <c r="D2856" i="4"/>
  <c r="F2856" i="4" s="1"/>
  <c r="D2870" i="4"/>
  <c r="F2870" i="4" s="1"/>
  <c r="D2877" i="4"/>
  <c r="F2877" i="4" s="1"/>
  <c r="D2891" i="4"/>
  <c r="F2891" i="4" s="1"/>
  <c r="D2898" i="4"/>
  <c r="F2898" i="4" s="1"/>
  <c r="D2951" i="4"/>
  <c r="F2951" i="4" s="1"/>
  <c r="D2954" i="4"/>
  <c r="F2954" i="4" s="1"/>
  <c r="D2957" i="4"/>
  <c r="F2957" i="4" s="1"/>
  <c r="D2960" i="4"/>
  <c r="F2960" i="4" s="1"/>
  <c r="D2963" i="4"/>
  <c r="F2963" i="4" s="1"/>
  <c r="D2966" i="4"/>
  <c r="F2966" i="4" s="1"/>
  <c r="D2969" i="4"/>
  <c r="F2969" i="4" s="1"/>
  <c r="D3015" i="4"/>
  <c r="F3015" i="4" s="1"/>
  <c r="D3018" i="4"/>
  <c r="F3018" i="4" s="1"/>
  <c r="D3021" i="4"/>
  <c r="F3021" i="4" s="1"/>
  <c r="D3024" i="4"/>
  <c r="F3024" i="4" s="1"/>
  <c r="D3027" i="4"/>
  <c r="F3027" i="4" s="1"/>
  <c r="D3030" i="4"/>
  <c r="F3030" i="4" s="1"/>
  <c r="D3033" i="4"/>
  <c r="F3033" i="4" s="1"/>
  <c r="D3079" i="4"/>
  <c r="F3079" i="4" s="1"/>
  <c r="D3082" i="4"/>
  <c r="F3082" i="4" s="1"/>
  <c r="D3085" i="4"/>
  <c r="F3085" i="4" s="1"/>
  <c r="D3088" i="4"/>
  <c r="F3088" i="4" s="1"/>
  <c r="D3091" i="4"/>
  <c r="F3091" i="4" s="1"/>
  <c r="D3094" i="4"/>
  <c r="F3094" i="4" s="1"/>
  <c r="D3097" i="4"/>
  <c r="F3097" i="4" s="1"/>
  <c r="D3115" i="4"/>
  <c r="F3115" i="4" s="1"/>
  <c r="D3123" i="4"/>
  <c r="F3123" i="4" s="1"/>
  <c r="D3131" i="4"/>
  <c r="F3131" i="4" s="1"/>
  <c r="D3139" i="4"/>
  <c r="F3139" i="4" s="1"/>
  <c r="D3147" i="4"/>
  <c r="F3147" i="4" s="1"/>
  <c r="D3155" i="4"/>
  <c r="F3155" i="4" s="1"/>
  <c r="D3163" i="4"/>
  <c r="F3163" i="4" s="1"/>
  <c r="D3171" i="4"/>
  <c r="F3171" i="4" s="1"/>
  <c r="D3179" i="4"/>
  <c r="F3179" i="4" s="1"/>
  <c r="D3187" i="4"/>
  <c r="F3187" i="4" s="1"/>
  <c r="D3195" i="4"/>
  <c r="F3195" i="4" s="1"/>
  <c r="D3203" i="4"/>
  <c r="F3203" i="4" s="1"/>
  <c r="D3211" i="4"/>
  <c r="F3211" i="4" s="1"/>
  <c r="D3219" i="4"/>
  <c r="F3219" i="4" s="1"/>
  <c r="D3227" i="4"/>
  <c r="F3227" i="4" s="1"/>
  <c r="D3235" i="4"/>
  <c r="F3235" i="4" s="1"/>
  <c r="D3243" i="4"/>
  <c r="F3243" i="4" s="1"/>
  <c r="D3251" i="4"/>
  <c r="F3251" i="4" s="1"/>
  <c r="D3259" i="4"/>
  <c r="F3259" i="4" s="1"/>
  <c r="D3267" i="4"/>
  <c r="F3267" i="4" s="1"/>
  <c r="D3275" i="4"/>
  <c r="F3275" i="4" s="1"/>
  <c r="D3283" i="4"/>
  <c r="F3283" i="4" s="1"/>
  <c r="D3291" i="4"/>
  <c r="F3291" i="4" s="1"/>
  <c r="D3299" i="4"/>
  <c r="F3299" i="4" s="1"/>
  <c r="D3307" i="4"/>
  <c r="F3307" i="4" s="1"/>
  <c r="D3315" i="4"/>
  <c r="F3315" i="4" s="1"/>
  <c r="D3323" i="4"/>
  <c r="F3323" i="4" s="1"/>
  <c r="D3331" i="4"/>
  <c r="F3331" i="4" s="1"/>
  <c r="D3339" i="4"/>
  <c r="F3339" i="4" s="1"/>
  <c r="D3347" i="4"/>
  <c r="F3347" i="4" s="1"/>
  <c r="D3355" i="4"/>
  <c r="F3355" i="4" s="1"/>
  <c r="D3363" i="4"/>
  <c r="F3363" i="4" s="1"/>
  <c r="D3371" i="4"/>
  <c r="F3371" i="4" s="1"/>
  <c r="D3379" i="4"/>
  <c r="F3379" i="4" s="1"/>
  <c r="D3387" i="4"/>
  <c r="F3387" i="4" s="1"/>
  <c r="D3395" i="4"/>
  <c r="F3395" i="4" s="1"/>
  <c r="D3403" i="4"/>
  <c r="F3403" i="4" s="1"/>
  <c r="D3411" i="4"/>
  <c r="F3411" i="4" s="1"/>
  <c r="D3419" i="4"/>
  <c r="F3419" i="4" s="1"/>
  <c r="D3427" i="4"/>
  <c r="F3427" i="4" s="1"/>
  <c r="D3435" i="4"/>
  <c r="F3435" i="4" s="1"/>
  <c r="D3443" i="4"/>
  <c r="F3443" i="4" s="1"/>
  <c r="D3451" i="4"/>
  <c r="F3451" i="4" s="1"/>
  <c r="D3459" i="4"/>
  <c r="F3459" i="4" s="1"/>
  <c r="D3467" i="4"/>
  <c r="F3467" i="4" s="1"/>
  <c r="D3475" i="4"/>
  <c r="F3475" i="4" s="1"/>
  <c r="D3483" i="4"/>
  <c r="F3483" i="4" s="1"/>
  <c r="D3491" i="4"/>
  <c r="F3491" i="4" s="1"/>
  <c r="D3499" i="4"/>
  <c r="F3499" i="4" s="1"/>
  <c r="D3507" i="4"/>
  <c r="F3507" i="4" s="1"/>
  <c r="D2568" i="4"/>
  <c r="F2568" i="4" s="1"/>
  <c r="D2590" i="4"/>
  <c r="F2590" i="4" s="1"/>
  <c r="D2600" i="4"/>
  <c r="F2600" i="4" s="1"/>
  <c r="D2628" i="4"/>
  <c r="F2628" i="4" s="1"/>
  <c r="D2637" i="4"/>
  <c r="F2637" i="4" s="1"/>
  <c r="D2665" i="4"/>
  <c r="F2665" i="4" s="1"/>
  <c r="D2739" i="4"/>
  <c r="F2739" i="4" s="1"/>
  <c r="D2746" i="4"/>
  <c r="F2746" i="4" s="1"/>
  <c r="D2760" i="4"/>
  <c r="F2760" i="4" s="1"/>
  <c r="D2767" i="4"/>
  <c r="F2767" i="4" s="1"/>
  <c r="D2781" i="4"/>
  <c r="F2781" i="4" s="1"/>
  <c r="D2899" i="4"/>
  <c r="F2899" i="4" s="1"/>
  <c r="D2943" i="4"/>
  <c r="F2943" i="4" s="1"/>
  <c r="D2949" i="4"/>
  <c r="F2949" i="4" s="1"/>
  <c r="D2955" i="4"/>
  <c r="F2955" i="4" s="1"/>
  <c r="D2961" i="4"/>
  <c r="F2961" i="4" s="1"/>
  <c r="D3010" i="4"/>
  <c r="F3010" i="4" s="1"/>
  <c r="D3016" i="4"/>
  <c r="F3016" i="4" s="1"/>
  <c r="D3022" i="4"/>
  <c r="F3022" i="4" s="1"/>
  <c r="D3071" i="4"/>
  <c r="F3071" i="4" s="1"/>
  <c r="D3077" i="4"/>
  <c r="F3077" i="4" s="1"/>
  <c r="D3083" i="4"/>
  <c r="F3083" i="4" s="1"/>
  <c r="D3089" i="4"/>
  <c r="F3089" i="4" s="1"/>
  <c r="D3124" i="4"/>
  <c r="F3124" i="4" s="1"/>
  <c r="D3140" i="4"/>
  <c r="F3140" i="4" s="1"/>
  <c r="D3156" i="4"/>
  <c r="F3156" i="4" s="1"/>
  <c r="D3172" i="4"/>
  <c r="F3172" i="4" s="1"/>
  <c r="D3188" i="4"/>
  <c r="F3188" i="4" s="1"/>
  <c r="D3204" i="4"/>
  <c r="F3204" i="4" s="1"/>
  <c r="D3220" i="4"/>
  <c r="F3220" i="4" s="1"/>
  <c r="D3236" i="4"/>
  <c r="F3236" i="4" s="1"/>
  <c r="D3252" i="4"/>
  <c r="F3252" i="4" s="1"/>
  <c r="D3262" i="4"/>
  <c r="F3262" i="4" s="1"/>
  <c r="D3287" i="4"/>
  <c r="F3287" i="4" s="1"/>
  <c r="D3300" i="4"/>
  <c r="F3300" i="4" s="1"/>
  <c r="D3313" i="4"/>
  <c r="F3313" i="4" s="1"/>
  <c r="D3317" i="4"/>
  <c r="F3317" i="4" s="1"/>
  <c r="D3326" i="4"/>
  <c r="F3326" i="4" s="1"/>
  <c r="D3351" i="4"/>
  <c r="F3351" i="4" s="1"/>
  <c r="D3364" i="4"/>
  <c r="F3364" i="4" s="1"/>
  <c r="D3377" i="4"/>
  <c r="F3377" i="4" s="1"/>
  <c r="D3381" i="4"/>
  <c r="F3381" i="4" s="1"/>
  <c r="D3390" i="4"/>
  <c r="F3390" i="4" s="1"/>
  <c r="D3415" i="4"/>
  <c r="F3415" i="4" s="1"/>
  <c r="D3428" i="4"/>
  <c r="F3428" i="4" s="1"/>
  <c r="D3441" i="4"/>
  <c r="F3441" i="4" s="1"/>
  <c r="D3445" i="4"/>
  <c r="F3445" i="4" s="1"/>
  <c r="D3454" i="4"/>
  <c r="F3454" i="4" s="1"/>
  <c r="D3479" i="4"/>
  <c r="F3479" i="4" s="1"/>
  <c r="D3492" i="4"/>
  <c r="F3492" i="4" s="1"/>
  <c r="D3505" i="4"/>
  <c r="F3505" i="4" s="1"/>
  <c r="D3539" i="4"/>
  <c r="F3539" i="4" s="1"/>
  <c r="D3547" i="4"/>
  <c r="F3547" i="4" s="1"/>
  <c r="D3555" i="4"/>
  <c r="F3555" i="4" s="1"/>
  <c r="D3563" i="4"/>
  <c r="F3563" i="4" s="1"/>
  <c r="D3571" i="4"/>
  <c r="F3571" i="4" s="1"/>
  <c r="D3579" i="4"/>
  <c r="F3579" i="4" s="1"/>
  <c r="D3587" i="4"/>
  <c r="F3587" i="4" s="1"/>
  <c r="D3595" i="4"/>
  <c r="F3595" i="4" s="1"/>
  <c r="D3603" i="4"/>
  <c r="F3603" i="4" s="1"/>
  <c r="D3611" i="4"/>
  <c r="F3611" i="4" s="1"/>
  <c r="D3619" i="4"/>
  <c r="F3619" i="4" s="1"/>
  <c r="D3627" i="4"/>
  <c r="F3627" i="4" s="1"/>
  <c r="D3635" i="4"/>
  <c r="F3635" i="4" s="1"/>
  <c r="D3643" i="4"/>
  <c r="F3643" i="4" s="1"/>
  <c r="D3651" i="4"/>
  <c r="F3651" i="4" s="1"/>
  <c r="D3659" i="4"/>
  <c r="F3659" i="4" s="1"/>
  <c r="D3667" i="4"/>
  <c r="F3667" i="4" s="1"/>
  <c r="D3675" i="4"/>
  <c r="F3675" i="4" s="1"/>
  <c r="D3683" i="4"/>
  <c r="F3683" i="4" s="1"/>
  <c r="D3691" i="4"/>
  <c r="F3691" i="4" s="1"/>
  <c r="D3699" i="4"/>
  <c r="F3699" i="4" s="1"/>
  <c r="D3707" i="4"/>
  <c r="F3707" i="4" s="1"/>
  <c r="D3715" i="4"/>
  <c r="F3715" i="4" s="1"/>
  <c r="D3723" i="4"/>
  <c r="F3723" i="4" s="1"/>
  <c r="D3731" i="4"/>
  <c r="F3731" i="4" s="1"/>
  <c r="D3739" i="4"/>
  <c r="F3739" i="4" s="1"/>
  <c r="D3747" i="4"/>
  <c r="F3747" i="4" s="1"/>
  <c r="D3755" i="4"/>
  <c r="F3755" i="4" s="1"/>
  <c r="D3763" i="4"/>
  <c r="F3763" i="4" s="1"/>
  <c r="D3771" i="4"/>
  <c r="F3771" i="4" s="1"/>
  <c r="D3779" i="4"/>
  <c r="F3779" i="4" s="1"/>
  <c r="D3787" i="4"/>
  <c r="F3787" i="4" s="1"/>
  <c r="D3795" i="4"/>
  <c r="F3795" i="4" s="1"/>
  <c r="D3803" i="4"/>
  <c r="F3803" i="4" s="1"/>
  <c r="D3811" i="4"/>
  <c r="F3811" i="4" s="1"/>
  <c r="D3819" i="4"/>
  <c r="F3819" i="4" s="1"/>
  <c r="D2536" i="4"/>
  <c r="F2536" i="4" s="1"/>
  <c r="D2558" i="4"/>
  <c r="F2558" i="4" s="1"/>
  <c r="D2569" i="4"/>
  <c r="F2569" i="4" s="1"/>
  <c r="D2610" i="4"/>
  <c r="F2610" i="4" s="1"/>
  <c r="D2774" i="4"/>
  <c r="F2774" i="4" s="1"/>
  <c r="D2795" i="4"/>
  <c r="F2795" i="4" s="1"/>
  <c r="D2809" i="4"/>
  <c r="F2809" i="4" s="1"/>
  <c r="D2816" i="4"/>
  <c r="F2816" i="4" s="1"/>
  <c r="D2823" i="4"/>
  <c r="F2823" i="4" s="1"/>
  <c r="D2830" i="4"/>
  <c r="F2830" i="4" s="1"/>
  <c r="D2837" i="4"/>
  <c r="F2837" i="4" s="1"/>
  <c r="D2851" i="4"/>
  <c r="F2851" i="4" s="1"/>
  <c r="D2858" i="4"/>
  <c r="F2858" i="4" s="1"/>
  <c r="D2879" i="4"/>
  <c r="F2879" i="4" s="1"/>
  <c r="D2919" i="4"/>
  <c r="F2919" i="4" s="1"/>
  <c r="D2925" i="4"/>
  <c r="F2925" i="4" s="1"/>
  <c r="D2931" i="4"/>
  <c r="F2931" i="4" s="1"/>
  <c r="D2937" i="4"/>
  <c r="F2937" i="4" s="1"/>
  <c r="D2986" i="4"/>
  <c r="F2986" i="4" s="1"/>
  <c r="D2992" i="4"/>
  <c r="F2992" i="4" s="1"/>
  <c r="D2998" i="4"/>
  <c r="F2998" i="4" s="1"/>
  <c r="D3047" i="4"/>
  <c r="F3047" i="4" s="1"/>
  <c r="D3053" i="4"/>
  <c r="F3053" i="4" s="1"/>
  <c r="D3059" i="4"/>
  <c r="F3059" i="4" s="1"/>
  <c r="D3065" i="4"/>
  <c r="F3065" i="4" s="1"/>
  <c r="D3119" i="4"/>
  <c r="F3119" i="4" s="1"/>
  <c r="D3135" i="4"/>
  <c r="F3135" i="4" s="1"/>
  <c r="D3151" i="4"/>
  <c r="F3151" i="4" s="1"/>
  <c r="D3167" i="4"/>
  <c r="F3167" i="4" s="1"/>
  <c r="D3183" i="4"/>
  <c r="F3183" i="4" s="1"/>
  <c r="D3199" i="4"/>
  <c r="F3199" i="4" s="1"/>
  <c r="D3215" i="4"/>
  <c r="F3215" i="4" s="1"/>
  <c r="D3231" i="4"/>
  <c r="F3231" i="4" s="1"/>
  <c r="D3247" i="4"/>
  <c r="F3247" i="4" s="1"/>
  <c r="D3279" i="4"/>
  <c r="F3279" i="4" s="1"/>
  <c r="D3292" i="4"/>
  <c r="F3292" i="4" s="1"/>
  <c r="D3305" i="4"/>
  <c r="F3305" i="4" s="1"/>
  <c r="D3309" i="4"/>
  <c r="F3309" i="4" s="1"/>
  <c r="D3318" i="4"/>
  <c r="F3318" i="4" s="1"/>
  <c r="D3343" i="4"/>
  <c r="F3343" i="4" s="1"/>
  <c r="D3356" i="4"/>
  <c r="F3356" i="4" s="1"/>
  <c r="D3369" i="4"/>
  <c r="F3369" i="4" s="1"/>
  <c r="D3373" i="4"/>
  <c r="F3373" i="4" s="1"/>
  <c r="D3382" i="4"/>
  <c r="F3382" i="4" s="1"/>
  <c r="D3407" i="4"/>
  <c r="F3407" i="4" s="1"/>
  <c r="D3420" i="4"/>
  <c r="F3420" i="4" s="1"/>
  <c r="D3433" i="4"/>
  <c r="F3433" i="4" s="1"/>
  <c r="D3437" i="4"/>
  <c r="F3437" i="4" s="1"/>
  <c r="D3446" i="4"/>
  <c r="F3446" i="4" s="1"/>
  <c r="D3471" i="4"/>
  <c r="F3471" i="4" s="1"/>
  <c r="D3484" i="4"/>
  <c r="F3484" i="4" s="1"/>
  <c r="D3497" i="4"/>
  <c r="F3497" i="4" s="1"/>
  <c r="D3501" i="4"/>
  <c r="F3501" i="4" s="1"/>
  <c r="D3509" i="4"/>
  <c r="F3509" i="4" s="1"/>
  <c r="D3531" i="4"/>
  <c r="F3531" i="4" s="1"/>
  <c r="D3534" i="4"/>
  <c r="F3534" i="4" s="1"/>
  <c r="D3542" i="4"/>
  <c r="F3542" i="4" s="1"/>
  <c r="D3550" i="4"/>
  <c r="F3550" i="4" s="1"/>
  <c r="D3558" i="4"/>
  <c r="F3558" i="4" s="1"/>
  <c r="D3566" i="4"/>
  <c r="F3566" i="4" s="1"/>
  <c r="D3574" i="4"/>
  <c r="F3574" i="4" s="1"/>
  <c r="D3582" i="4"/>
  <c r="F3582" i="4" s="1"/>
  <c r="D3590" i="4"/>
  <c r="F3590" i="4" s="1"/>
  <c r="D3598" i="4"/>
  <c r="F3598" i="4" s="1"/>
  <c r="D3606" i="4"/>
  <c r="F3606" i="4" s="1"/>
  <c r="D3614" i="4"/>
  <c r="F3614" i="4" s="1"/>
  <c r="D3622" i="4"/>
  <c r="F3622" i="4" s="1"/>
  <c r="D3630" i="4"/>
  <c r="F3630" i="4" s="1"/>
  <c r="D3638" i="4"/>
  <c r="F3638" i="4" s="1"/>
  <c r="D3646" i="4"/>
  <c r="F3646" i="4" s="1"/>
  <c r="D3654" i="4"/>
  <c r="F3654" i="4" s="1"/>
  <c r="D3662" i="4"/>
  <c r="F3662" i="4" s="1"/>
  <c r="D2572" i="4"/>
  <c r="F2572" i="4" s="1"/>
  <c r="D2594" i="4"/>
  <c r="F2594" i="4" s="1"/>
  <c r="D2678" i="4"/>
  <c r="F2678" i="4" s="1"/>
  <c r="D2687" i="4"/>
  <c r="F2687" i="4" s="1"/>
  <c r="D2695" i="4"/>
  <c r="F2695" i="4" s="1"/>
  <c r="D2703" i="4"/>
  <c r="F2703" i="4" s="1"/>
  <c r="D2825" i="4"/>
  <c r="F2825" i="4" s="1"/>
  <c r="D2832" i="4"/>
  <c r="F2832" i="4" s="1"/>
  <c r="D2846" i="4"/>
  <c r="F2846" i="4" s="1"/>
  <c r="D2853" i="4"/>
  <c r="F2853" i="4" s="1"/>
  <c r="D2867" i="4"/>
  <c r="F2867" i="4" s="1"/>
  <c r="D2874" i="4"/>
  <c r="F2874" i="4" s="1"/>
  <c r="D2888" i="4"/>
  <c r="F2888" i="4" s="1"/>
  <c r="D2895" i="4"/>
  <c r="F2895" i="4" s="1"/>
  <c r="D2927" i="4"/>
  <c r="F2927" i="4" s="1"/>
  <c r="D2933" i="4"/>
  <c r="F2933" i="4" s="1"/>
  <c r="D2939" i="4"/>
  <c r="F2939" i="4" s="1"/>
  <c r="D2945" i="4"/>
  <c r="F2945" i="4" s="1"/>
  <c r="D2994" i="4"/>
  <c r="F2994" i="4" s="1"/>
  <c r="D3000" i="4"/>
  <c r="F3000" i="4" s="1"/>
  <c r="D3006" i="4"/>
  <c r="F3006" i="4" s="1"/>
  <c r="D3055" i="4"/>
  <c r="F3055" i="4" s="1"/>
  <c r="D3061" i="4"/>
  <c r="F3061" i="4" s="1"/>
  <c r="D3067" i="4"/>
  <c r="F3067" i="4" s="1"/>
  <c r="D3073" i="4"/>
  <c r="F3073" i="4" s="1"/>
  <c r="D3126" i="4"/>
  <c r="F3126" i="4" s="1"/>
  <c r="D3142" i="4"/>
  <c r="F3142" i="4" s="1"/>
  <c r="D3158" i="4"/>
  <c r="F3158" i="4" s="1"/>
  <c r="D3174" i="4"/>
  <c r="F3174" i="4" s="1"/>
  <c r="D3190" i="4"/>
  <c r="F3190" i="4" s="1"/>
  <c r="D3206" i="4"/>
  <c r="F3206" i="4" s="1"/>
  <c r="D3222" i="4"/>
  <c r="F3222" i="4" s="1"/>
  <c r="D3238" i="4"/>
  <c r="F3238" i="4" s="1"/>
  <c r="D3254" i="4"/>
  <c r="F3254" i="4" s="1"/>
  <c r="D3271" i="4"/>
  <c r="F3271" i="4" s="1"/>
  <c r="D3284" i="4"/>
  <c r="F3284" i="4" s="1"/>
  <c r="D3297" i="4"/>
  <c r="F3297" i="4" s="1"/>
  <c r="D3301" i="4"/>
  <c r="F3301" i="4" s="1"/>
  <c r="D3310" i="4"/>
  <c r="F3310" i="4" s="1"/>
  <c r="D3335" i="4"/>
  <c r="F3335" i="4" s="1"/>
  <c r="D3348" i="4"/>
  <c r="F3348" i="4" s="1"/>
  <c r="D3361" i="4"/>
  <c r="F3361" i="4" s="1"/>
  <c r="D3365" i="4"/>
  <c r="F3365" i="4" s="1"/>
  <c r="D3374" i="4"/>
  <c r="F3374" i="4" s="1"/>
  <c r="D3399" i="4"/>
  <c r="F3399" i="4" s="1"/>
  <c r="D3412" i="4"/>
  <c r="F3412" i="4" s="1"/>
  <c r="D3425" i="4"/>
  <c r="F3425" i="4" s="1"/>
  <c r="D3429" i="4"/>
  <c r="F3429" i="4" s="1"/>
  <c r="D3438" i="4"/>
  <c r="F3438" i="4" s="1"/>
  <c r="D3463" i="4"/>
  <c r="F3463" i="4" s="1"/>
  <c r="D3476" i="4"/>
  <c r="F3476" i="4" s="1"/>
  <c r="D3489" i="4"/>
  <c r="F3489" i="4" s="1"/>
  <c r="D3493" i="4"/>
  <c r="F3493" i="4" s="1"/>
  <c r="D3502" i="4"/>
  <c r="F3502" i="4" s="1"/>
  <c r="D3510" i="4"/>
  <c r="F3510" i="4" s="1"/>
  <c r="D3513" i="4"/>
  <c r="F3513" i="4" s="1"/>
  <c r="D3516" i="4"/>
  <c r="F3516" i="4" s="1"/>
  <c r="D3519" i="4"/>
  <c r="F3519" i="4" s="1"/>
  <c r="D3522" i="4"/>
  <c r="F3522" i="4" s="1"/>
  <c r="D3525" i="4"/>
  <c r="F3525" i="4" s="1"/>
  <c r="D3537" i="4"/>
  <c r="F3537" i="4" s="1"/>
  <c r="D3545" i="4"/>
  <c r="F3545" i="4" s="1"/>
  <c r="D3553" i="4"/>
  <c r="F3553" i="4" s="1"/>
  <c r="D3561" i="4"/>
  <c r="F3561" i="4" s="1"/>
  <c r="D3569" i="4"/>
  <c r="F3569" i="4" s="1"/>
  <c r="D3577" i="4"/>
  <c r="F3577" i="4" s="1"/>
  <c r="D3585" i="4"/>
  <c r="F3585" i="4" s="1"/>
  <c r="D3593" i="4"/>
  <c r="F3593" i="4" s="1"/>
  <c r="D3601" i="4"/>
  <c r="F3601" i="4" s="1"/>
  <c r="D3609" i="4"/>
  <c r="F3609" i="4" s="1"/>
  <c r="D3617" i="4"/>
  <c r="F3617" i="4" s="1"/>
  <c r="D3625" i="4"/>
  <c r="F3625" i="4" s="1"/>
  <c r="D3633" i="4"/>
  <c r="F3633" i="4" s="1"/>
  <c r="D3641" i="4"/>
  <c r="F3641" i="4" s="1"/>
  <c r="D3649" i="4"/>
  <c r="F3649" i="4" s="1"/>
  <c r="D3657" i="4"/>
  <c r="F3657" i="4" s="1"/>
  <c r="D3665" i="4"/>
  <c r="F3665" i="4" s="1"/>
  <c r="D3673" i="4"/>
  <c r="F3673" i="4" s="1"/>
  <c r="D3681" i="4"/>
  <c r="F3681" i="4" s="1"/>
  <c r="D3689" i="4"/>
  <c r="F3689" i="4" s="1"/>
  <c r="D3697" i="4"/>
  <c r="F3697" i="4" s="1"/>
  <c r="D3705" i="4"/>
  <c r="F3705" i="4" s="1"/>
  <c r="D3713" i="4"/>
  <c r="F3713" i="4" s="1"/>
  <c r="D3721" i="4"/>
  <c r="F3721" i="4" s="1"/>
  <c r="D3729" i="4"/>
  <c r="F3729" i="4" s="1"/>
  <c r="D3737" i="4"/>
  <c r="F3737" i="4" s="1"/>
  <c r="D3745" i="4"/>
  <c r="F3745" i="4" s="1"/>
  <c r="D3753" i="4"/>
  <c r="F3753" i="4" s="1"/>
  <c r="D3761" i="4"/>
  <c r="F3761" i="4" s="1"/>
  <c r="D3769" i="4"/>
  <c r="F3769" i="4" s="1"/>
  <c r="D3777" i="4"/>
  <c r="F3777" i="4" s="1"/>
  <c r="D3785" i="4"/>
  <c r="F3785" i="4" s="1"/>
  <c r="D3793" i="4"/>
  <c r="F3793" i="4" s="1"/>
  <c r="D3801" i="4"/>
  <c r="F3801" i="4" s="1"/>
  <c r="D3809" i="4"/>
  <c r="F3809" i="4" s="1"/>
  <c r="D3817" i="4"/>
  <c r="F3817" i="4" s="1"/>
  <c r="D2562" i="4"/>
  <c r="F2562" i="4" s="1"/>
  <c r="D2604" i="4"/>
  <c r="F2604" i="4" s="1"/>
  <c r="D2614" i="4"/>
  <c r="F2614" i="4" s="1"/>
  <c r="D2623" i="4"/>
  <c r="F2623" i="4" s="1"/>
  <c r="D2632" i="4"/>
  <c r="F2632" i="4" s="1"/>
  <c r="D2679" i="4"/>
  <c r="F2679" i="4" s="1"/>
  <c r="D2742" i="4"/>
  <c r="F2742" i="4" s="1"/>
  <c r="D2749" i="4"/>
  <c r="F2749" i="4" s="1"/>
  <c r="D2763" i="4"/>
  <c r="F2763" i="4" s="1"/>
  <c r="D2770" i="4"/>
  <c r="F2770" i="4" s="1"/>
  <c r="D2784" i="4"/>
  <c r="F2784" i="4" s="1"/>
  <c r="D2791" i="4"/>
  <c r="F2791" i="4" s="1"/>
  <c r="D2902" i="4"/>
  <c r="F2902" i="4" s="1"/>
  <c r="D2909" i="4"/>
  <c r="F2909" i="4" s="1"/>
  <c r="D2915" i="4"/>
  <c r="F2915" i="4" s="1"/>
  <c r="D2921" i="4"/>
  <c r="F2921" i="4" s="1"/>
  <c r="D2970" i="4"/>
  <c r="F2970" i="4" s="1"/>
  <c r="D2976" i="4"/>
  <c r="F2976" i="4" s="1"/>
  <c r="D2982" i="4"/>
  <c r="F2982" i="4" s="1"/>
  <c r="D3031" i="4"/>
  <c r="F3031" i="4" s="1"/>
  <c r="D3037" i="4"/>
  <c r="F3037" i="4" s="1"/>
  <c r="D3043" i="4"/>
  <c r="F3043" i="4" s="1"/>
  <c r="D3049" i="4"/>
  <c r="F3049" i="4" s="1"/>
  <c r="D3098" i="4"/>
  <c r="F3098" i="4" s="1"/>
  <c r="D3104" i="4"/>
  <c r="F3104" i="4" s="1"/>
  <c r="D3110" i="4"/>
  <c r="F3110" i="4" s="1"/>
  <c r="D3121" i="4"/>
  <c r="F3121" i="4" s="1"/>
  <c r="D3137" i="4"/>
  <c r="F3137" i="4" s="1"/>
  <c r="D3153" i="4"/>
  <c r="F3153" i="4" s="1"/>
  <c r="D3169" i="4"/>
  <c r="F3169" i="4" s="1"/>
  <c r="D3185" i="4"/>
  <c r="F3185" i="4" s="1"/>
  <c r="D3201" i="4"/>
  <c r="F3201" i="4" s="1"/>
  <c r="D3217" i="4"/>
  <c r="F3217" i="4" s="1"/>
  <c r="D3233" i="4"/>
  <c r="F3233" i="4" s="1"/>
  <c r="D3249" i="4"/>
  <c r="F3249" i="4" s="1"/>
  <c r="D3263" i="4"/>
  <c r="F3263" i="4" s="1"/>
  <c r="D3276" i="4"/>
  <c r="F3276" i="4" s="1"/>
  <c r="D3289" i="4"/>
  <c r="F3289" i="4" s="1"/>
  <c r="D3293" i="4"/>
  <c r="F3293" i="4" s="1"/>
  <c r="D3302" i="4"/>
  <c r="F3302" i="4" s="1"/>
  <c r="D3327" i="4"/>
  <c r="F3327" i="4" s="1"/>
  <c r="D3340" i="4"/>
  <c r="F3340" i="4" s="1"/>
  <c r="D3353" i="4"/>
  <c r="F3353" i="4" s="1"/>
  <c r="D3357" i="4"/>
  <c r="F3357" i="4" s="1"/>
  <c r="D3366" i="4"/>
  <c r="F3366" i="4" s="1"/>
  <c r="D3391" i="4"/>
  <c r="F3391" i="4" s="1"/>
  <c r="D3404" i="4"/>
  <c r="F3404" i="4" s="1"/>
  <c r="D3417" i="4"/>
  <c r="F3417" i="4" s="1"/>
  <c r="D3421" i="4"/>
  <c r="F3421" i="4" s="1"/>
  <c r="D3430" i="4"/>
  <c r="F3430" i="4" s="1"/>
  <c r="D3455" i="4"/>
  <c r="F3455" i="4" s="1"/>
  <c r="D3468" i="4"/>
  <c r="F3468" i="4" s="1"/>
  <c r="D3481" i="4"/>
  <c r="F3481" i="4" s="1"/>
  <c r="D3485" i="4"/>
  <c r="F3485" i="4" s="1"/>
  <c r="D3494" i="4"/>
  <c r="F3494" i="4" s="1"/>
  <c r="D3540" i="4"/>
  <c r="F3540" i="4" s="1"/>
  <c r="D3548" i="4"/>
  <c r="F3548" i="4" s="1"/>
  <c r="D3556" i="4"/>
  <c r="F3556" i="4" s="1"/>
  <c r="D3564" i="4"/>
  <c r="F3564" i="4" s="1"/>
  <c r="D3572" i="4"/>
  <c r="F3572" i="4" s="1"/>
  <c r="D3580" i="4"/>
  <c r="F3580" i="4" s="1"/>
  <c r="D3588" i="4"/>
  <c r="F3588" i="4" s="1"/>
  <c r="D3596" i="4"/>
  <c r="F3596" i="4" s="1"/>
  <c r="D3604" i="4"/>
  <c r="F3604" i="4" s="1"/>
  <c r="D3612" i="4"/>
  <c r="F3612" i="4" s="1"/>
  <c r="D3620" i="4"/>
  <c r="F3620" i="4" s="1"/>
  <c r="D3628" i="4"/>
  <c r="F3628" i="4" s="1"/>
  <c r="D3636" i="4"/>
  <c r="F3636" i="4" s="1"/>
  <c r="D3644" i="4"/>
  <c r="F3644" i="4" s="1"/>
  <c r="D3652" i="4"/>
  <c r="F3652" i="4" s="1"/>
  <c r="D3660" i="4"/>
  <c r="F3660" i="4" s="1"/>
  <c r="D3668" i="4"/>
  <c r="F3668" i="4" s="1"/>
  <c r="D3676" i="4"/>
  <c r="F3676" i="4" s="1"/>
  <c r="D3684" i="4"/>
  <c r="F3684" i="4" s="1"/>
  <c r="D3692" i="4"/>
  <c r="F3692" i="4" s="1"/>
  <c r="D3700" i="4"/>
  <c r="F3700" i="4" s="1"/>
  <c r="D3708" i="4"/>
  <c r="F3708" i="4" s="1"/>
  <c r="D3716" i="4"/>
  <c r="F3716" i="4" s="1"/>
  <c r="D3724" i="4"/>
  <c r="F3724" i="4" s="1"/>
  <c r="D3732" i="4"/>
  <c r="F3732" i="4" s="1"/>
  <c r="D3740" i="4"/>
  <c r="F3740" i="4" s="1"/>
  <c r="D3748" i="4"/>
  <c r="F3748" i="4" s="1"/>
  <c r="D3756" i="4"/>
  <c r="F3756" i="4" s="1"/>
  <c r="D3764" i="4"/>
  <c r="F3764" i="4" s="1"/>
  <c r="D3772" i="4"/>
  <c r="F3772" i="4" s="1"/>
  <c r="D3780" i="4"/>
  <c r="F3780" i="4" s="1"/>
  <c r="D3788" i="4"/>
  <c r="F3788" i="4" s="1"/>
  <c r="D3796" i="4"/>
  <c r="F3796" i="4" s="1"/>
  <c r="D3804" i="4"/>
  <c r="F3804" i="4" s="1"/>
  <c r="D3812" i="4"/>
  <c r="F3812" i="4" s="1"/>
  <c r="D3820" i="4"/>
  <c r="F3820" i="4" s="1"/>
  <c r="D2520" i="4"/>
  <c r="F2520" i="4" s="1"/>
  <c r="D2533" i="4"/>
  <c r="F2533" i="4" s="1"/>
  <c r="D2556" i="4"/>
  <c r="F2556" i="4" s="1"/>
  <c r="D2589" i="4"/>
  <c r="F2589" i="4" s="1"/>
  <c r="D2618" i="4"/>
  <c r="F2618" i="4" s="1"/>
  <c r="D2655" i="4"/>
  <c r="F2655" i="4" s="1"/>
  <c r="D2664" i="4"/>
  <c r="F2664" i="4" s="1"/>
  <c r="D2715" i="4"/>
  <c r="F2715" i="4" s="1"/>
  <c r="D2723" i="4"/>
  <c r="F2723" i="4" s="1"/>
  <c r="D2731" i="4"/>
  <c r="F2731" i="4" s="1"/>
  <c r="D2745" i="4"/>
  <c r="F2745" i="4" s="1"/>
  <c r="D2752" i="4"/>
  <c r="F2752" i="4" s="1"/>
  <c r="D2759" i="4"/>
  <c r="F2759" i="4" s="1"/>
  <c r="D2766" i="4"/>
  <c r="F2766" i="4" s="1"/>
  <c r="D2773" i="4"/>
  <c r="F2773" i="4" s="1"/>
  <c r="D2787" i="4"/>
  <c r="F2787" i="4" s="1"/>
  <c r="D2794" i="4"/>
  <c r="F2794" i="4" s="1"/>
  <c r="D2815" i="4"/>
  <c r="F2815" i="4" s="1"/>
  <c r="D2905" i="4"/>
  <c r="F2905" i="4" s="1"/>
  <c r="D2930" i="4"/>
  <c r="F2930" i="4" s="1"/>
  <c r="D2936" i="4"/>
  <c r="F2936" i="4" s="1"/>
  <c r="D2942" i="4"/>
  <c r="F2942" i="4" s="1"/>
  <c r="D2991" i="4"/>
  <c r="F2991" i="4" s="1"/>
  <c r="D2997" i="4"/>
  <c r="F2997" i="4" s="1"/>
  <c r="D3003" i="4"/>
  <c r="F3003" i="4" s="1"/>
  <c r="D3009" i="4"/>
  <c r="F3009" i="4" s="1"/>
  <c r="D3058" i="4"/>
  <c r="F3058" i="4" s="1"/>
  <c r="D3064" i="4"/>
  <c r="F3064" i="4" s="1"/>
  <c r="D3070" i="4"/>
  <c r="F3070" i="4" s="1"/>
  <c r="D3118" i="4"/>
  <c r="F3118" i="4" s="1"/>
  <c r="D3134" i="4"/>
  <c r="F3134" i="4" s="1"/>
  <c r="D3150" i="4"/>
  <c r="F3150" i="4" s="1"/>
  <c r="D3166" i="4"/>
  <c r="F3166" i="4" s="1"/>
  <c r="D3182" i="4"/>
  <c r="F3182" i="4" s="1"/>
  <c r="D3198" i="4"/>
  <c r="F3198" i="4" s="1"/>
  <c r="D3214" i="4"/>
  <c r="F3214" i="4" s="1"/>
  <c r="D3230" i="4"/>
  <c r="F3230" i="4" s="1"/>
  <c r="D3246" i="4"/>
  <c r="F3246" i="4" s="1"/>
  <c r="D3265" i="4"/>
  <c r="F3265" i="4" s="1"/>
  <c r="D3269" i="4"/>
  <c r="F3269" i="4" s="1"/>
  <c r="D3278" i="4"/>
  <c r="F3278" i="4" s="1"/>
  <c r="D3303" i="4"/>
  <c r="F3303" i="4" s="1"/>
  <c r="D3316" i="4"/>
  <c r="F3316" i="4" s="1"/>
  <c r="D3329" i="4"/>
  <c r="F3329" i="4" s="1"/>
  <c r="D3333" i="4"/>
  <c r="F3333" i="4" s="1"/>
  <c r="D3342" i="4"/>
  <c r="F3342" i="4" s="1"/>
  <c r="D3367" i="4"/>
  <c r="F3367" i="4" s="1"/>
  <c r="D3380" i="4"/>
  <c r="F3380" i="4" s="1"/>
  <c r="D3393" i="4"/>
  <c r="F3393" i="4" s="1"/>
  <c r="D3397" i="4"/>
  <c r="F3397" i="4" s="1"/>
  <c r="D3406" i="4"/>
  <c r="F3406" i="4" s="1"/>
  <c r="D3431" i="4"/>
  <c r="F3431" i="4" s="1"/>
  <c r="D3444" i="4"/>
  <c r="F3444" i="4" s="1"/>
  <c r="D3457" i="4"/>
  <c r="F3457" i="4" s="1"/>
  <c r="D3461" i="4"/>
  <c r="F3461" i="4" s="1"/>
  <c r="D3470" i="4"/>
  <c r="F3470" i="4" s="1"/>
  <c r="D3495" i="4"/>
  <c r="F3495" i="4" s="1"/>
  <c r="D3508" i="4"/>
  <c r="F3508" i="4" s="1"/>
  <c r="D3541" i="4"/>
  <c r="F3541" i="4" s="1"/>
  <c r="D3549" i="4"/>
  <c r="F3549" i="4" s="1"/>
  <c r="D3557" i="4"/>
  <c r="F3557" i="4" s="1"/>
  <c r="D3565" i="4"/>
  <c r="F3565" i="4" s="1"/>
  <c r="D3573" i="4"/>
  <c r="F3573" i="4" s="1"/>
  <c r="D3581" i="4"/>
  <c r="F3581" i="4" s="1"/>
  <c r="D3589" i="4"/>
  <c r="F3589" i="4" s="1"/>
  <c r="D3597" i="4"/>
  <c r="F3597" i="4" s="1"/>
  <c r="D3605" i="4"/>
  <c r="F3605" i="4" s="1"/>
  <c r="D3613" i="4"/>
  <c r="F3613" i="4" s="1"/>
  <c r="D3621" i="4"/>
  <c r="F3621" i="4" s="1"/>
  <c r="D3629" i="4"/>
  <c r="F3629" i="4" s="1"/>
  <c r="D3637" i="4"/>
  <c r="F3637" i="4" s="1"/>
  <c r="D3645" i="4"/>
  <c r="F3645" i="4" s="1"/>
  <c r="D3653" i="4"/>
  <c r="F3653" i="4" s="1"/>
  <c r="D3661" i="4"/>
  <c r="F3661" i="4" s="1"/>
  <c r="D3669" i="4"/>
  <c r="F3669" i="4" s="1"/>
  <c r="D3677" i="4"/>
  <c r="F3677" i="4" s="1"/>
  <c r="D3685" i="4"/>
  <c r="F3685" i="4" s="1"/>
  <c r="D3693" i="4"/>
  <c r="F3693" i="4" s="1"/>
  <c r="D3701" i="4"/>
  <c r="F3701" i="4" s="1"/>
  <c r="D3709" i="4"/>
  <c r="F3709" i="4" s="1"/>
  <c r="D3717" i="4"/>
  <c r="F3717" i="4" s="1"/>
  <c r="D3725" i="4"/>
  <c r="F3725" i="4" s="1"/>
  <c r="D3733" i="4"/>
  <c r="F3733" i="4" s="1"/>
  <c r="D3741" i="4"/>
  <c r="F3741" i="4" s="1"/>
  <c r="D3749" i="4"/>
  <c r="F3749" i="4" s="1"/>
  <c r="D3757" i="4"/>
  <c r="F3757" i="4" s="1"/>
  <c r="D3765" i="4"/>
  <c r="F3765" i="4" s="1"/>
  <c r="D3773" i="4"/>
  <c r="F3773" i="4" s="1"/>
  <c r="D3781" i="4"/>
  <c r="F3781" i="4" s="1"/>
  <c r="D3789" i="4"/>
  <c r="F3789" i="4" s="1"/>
  <c r="D3797" i="4"/>
  <c r="F3797" i="4" s="1"/>
  <c r="D3805" i="4"/>
  <c r="F3805" i="4" s="1"/>
  <c r="D3813" i="4"/>
  <c r="F3813" i="4" s="1"/>
  <c r="D3821" i="4"/>
  <c r="F3821" i="4" s="1"/>
  <c r="D3829" i="4"/>
  <c r="F3829" i="4" s="1"/>
  <c r="D3837" i="4"/>
  <c r="F3837" i="4" s="1"/>
  <c r="D3845" i="4"/>
  <c r="F3845" i="4" s="1"/>
  <c r="D3853" i="4"/>
  <c r="F3853" i="4" s="1"/>
  <c r="D3861" i="4"/>
  <c r="F3861" i="4" s="1"/>
  <c r="D3869" i="4"/>
  <c r="F3869" i="4" s="1"/>
  <c r="D3877" i="4"/>
  <c r="F3877" i="4" s="1"/>
  <c r="D3885" i="4"/>
  <c r="F3885" i="4" s="1"/>
  <c r="D3893" i="4"/>
  <c r="F3893" i="4" s="1"/>
  <c r="D3901" i="4"/>
  <c r="F3901" i="4" s="1"/>
  <c r="D3909" i="4"/>
  <c r="F3909" i="4" s="1"/>
  <c r="D3917" i="4"/>
  <c r="F3917" i="4" s="1"/>
  <c r="D3925" i="4"/>
  <c r="F3925" i="4" s="1"/>
  <c r="D3933" i="4"/>
  <c r="F3933" i="4" s="1"/>
  <c r="D3941" i="4"/>
  <c r="F3941" i="4" s="1"/>
  <c r="D3949" i="4"/>
  <c r="F3949" i="4" s="1"/>
  <c r="D3957" i="4"/>
  <c r="F3957" i="4" s="1"/>
  <c r="D3965" i="4"/>
  <c r="F3965" i="4" s="1"/>
  <c r="D2606" i="4"/>
  <c r="F2606" i="4" s="1"/>
  <c r="D2633" i="4"/>
  <c r="F2633" i="4" s="1"/>
  <c r="D2704" i="4"/>
  <c r="F2704" i="4" s="1"/>
  <c r="D2743" i="4"/>
  <c r="F2743" i="4" s="1"/>
  <c r="D2819" i="4"/>
  <c r="F2819" i="4" s="1"/>
  <c r="D3025" i="4"/>
  <c r="F3025" i="4" s="1"/>
  <c r="D3040" i="4"/>
  <c r="F3040" i="4" s="1"/>
  <c r="D3056" i="4"/>
  <c r="F3056" i="4" s="1"/>
  <c r="D3074" i="4"/>
  <c r="F3074" i="4" s="1"/>
  <c r="D3164" i="4"/>
  <c r="F3164" i="4" s="1"/>
  <c r="D3177" i="4"/>
  <c r="F3177" i="4" s="1"/>
  <c r="D3191" i="4"/>
  <c r="F3191" i="4" s="1"/>
  <c r="D3261" i="4"/>
  <c r="F3261" i="4" s="1"/>
  <c r="D3273" i="4"/>
  <c r="F3273" i="4" s="1"/>
  <c r="D3285" i="4"/>
  <c r="F3285" i="4" s="1"/>
  <c r="D3295" i="4"/>
  <c r="F3295" i="4" s="1"/>
  <c r="D3319" i="4"/>
  <c r="F3319" i="4" s="1"/>
  <c r="D3341" i="4"/>
  <c r="F3341" i="4" s="1"/>
  <c r="D3375" i="4"/>
  <c r="F3375" i="4" s="1"/>
  <c r="D3398" i="4"/>
  <c r="F3398" i="4" s="1"/>
  <c r="D3422" i="4"/>
  <c r="F3422" i="4" s="1"/>
  <c r="D3478" i="4"/>
  <c r="F3478" i="4" s="1"/>
  <c r="D3500" i="4"/>
  <c r="F3500" i="4" s="1"/>
  <c r="D3511" i="4"/>
  <c r="F3511" i="4" s="1"/>
  <c r="D3527" i="4"/>
  <c r="F3527" i="4" s="1"/>
  <c r="D3543" i="4"/>
  <c r="F3543" i="4" s="1"/>
  <c r="D3578" i="4"/>
  <c r="F3578" i="4" s="1"/>
  <c r="D3592" i="4"/>
  <c r="F3592" i="4" s="1"/>
  <c r="D3607" i="4"/>
  <c r="F3607" i="4" s="1"/>
  <c r="D3642" i="4"/>
  <c r="F3642" i="4" s="1"/>
  <c r="D3656" i="4"/>
  <c r="F3656" i="4" s="1"/>
  <c r="D3674" i="4"/>
  <c r="F3674" i="4" s="1"/>
  <c r="D3690" i="4"/>
  <c r="F3690" i="4" s="1"/>
  <c r="D3706" i="4"/>
  <c r="F3706" i="4" s="1"/>
  <c r="D3722" i="4"/>
  <c r="F3722" i="4" s="1"/>
  <c r="D3738" i="4"/>
  <c r="F3738" i="4" s="1"/>
  <c r="D3754" i="4"/>
  <c r="F3754" i="4" s="1"/>
  <c r="D3770" i="4"/>
  <c r="F3770" i="4" s="1"/>
  <c r="D3786" i="4"/>
  <c r="F3786" i="4" s="1"/>
  <c r="D3802" i="4"/>
  <c r="F3802" i="4" s="1"/>
  <c r="D3818" i="4"/>
  <c r="F3818" i="4" s="1"/>
  <c r="D3822" i="4"/>
  <c r="F3822" i="4" s="1"/>
  <c r="D3825" i="4"/>
  <c r="F3825" i="4" s="1"/>
  <c r="D3828" i="4"/>
  <c r="F3828" i="4" s="1"/>
  <c r="D3831" i="4"/>
  <c r="F3831" i="4" s="1"/>
  <c r="D3834" i="4"/>
  <c r="F3834" i="4" s="1"/>
  <c r="D3880" i="4"/>
  <c r="F3880" i="4" s="1"/>
  <c r="D3883" i="4"/>
  <c r="F3883" i="4" s="1"/>
  <c r="D3886" i="4"/>
  <c r="F3886" i="4" s="1"/>
  <c r="D3889" i="4"/>
  <c r="F3889" i="4" s="1"/>
  <c r="D3892" i="4"/>
  <c r="F3892" i="4" s="1"/>
  <c r="D3895" i="4"/>
  <c r="F3895" i="4" s="1"/>
  <c r="D3898" i="4"/>
  <c r="F3898" i="4" s="1"/>
  <c r="D3944" i="4"/>
  <c r="F3944" i="4" s="1"/>
  <c r="D3947" i="4"/>
  <c r="F3947" i="4" s="1"/>
  <c r="D3950" i="4"/>
  <c r="F3950" i="4" s="1"/>
  <c r="D3953" i="4"/>
  <c r="F3953" i="4" s="1"/>
  <c r="D3956" i="4"/>
  <c r="F3956" i="4" s="1"/>
  <c r="D3959" i="4"/>
  <c r="F3959" i="4" s="1"/>
  <c r="D3962" i="4"/>
  <c r="F3962" i="4" s="1"/>
  <c r="D3968" i="4"/>
  <c r="F3968" i="4" s="1"/>
  <c r="D3976" i="4"/>
  <c r="F3976" i="4" s="1"/>
  <c r="D3984" i="4"/>
  <c r="F3984" i="4" s="1"/>
  <c r="D3992" i="4"/>
  <c r="F3992" i="4" s="1"/>
  <c r="D4000" i="4"/>
  <c r="F4000" i="4" s="1"/>
  <c r="D4008" i="4"/>
  <c r="F4008" i="4" s="1"/>
  <c r="D2609" i="4"/>
  <c r="F2609" i="4" s="1"/>
  <c r="D2683" i="4"/>
  <c r="F2683" i="4" s="1"/>
  <c r="D2728" i="4"/>
  <c r="F2728" i="4" s="1"/>
  <c r="D2801" i="4"/>
  <c r="F2801" i="4" s="1"/>
  <c r="D2840" i="4"/>
  <c r="F2840" i="4" s="1"/>
  <c r="D2857" i="4"/>
  <c r="F2857" i="4" s="1"/>
  <c r="D2912" i="4"/>
  <c r="F2912" i="4" s="1"/>
  <c r="D2928" i="4"/>
  <c r="F2928" i="4" s="1"/>
  <c r="D2946" i="4"/>
  <c r="F2946" i="4" s="1"/>
  <c r="D3107" i="4"/>
  <c r="F3107" i="4" s="1"/>
  <c r="D3180" i="4"/>
  <c r="F3180" i="4" s="1"/>
  <c r="D3193" i="4"/>
  <c r="F3193" i="4" s="1"/>
  <c r="D3207" i="4"/>
  <c r="F3207" i="4" s="1"/>
  <c r="D3286" i="4"/>
  <c r="F3286" i="4" s="1"/>
  <c r="D3308" i="4"/>
  <c r="F3308" i="4" s="1"/>
  <c r="D3332" i="4"/>
  <c r="F3332" i="4" s="1"/>
  <c r="D3388" i="4"/>
  <c r="F3388" i="4" s="1"/>
  <c r="D3529" i="4"/>
  <c r="F3529" i="4" s="1"/>
  <c r="D3536" i="4"/>
  <c r="F3536" i="4" s="1"/>
  <c r="D3551" i="4"/>
  <c r="F3551" i="4" s="1"/>
  <c r="D3586" i="4"/>
  <c r="F3586" i="4" s="1"/>
  <c r="D3600" i="4"/>
  <c r="F3600" i="4" s="1"/>
  <c r="D3615" i="4"/>
  <c r="F3615" i="4" s="1"/>
  <c r="D3650" i="4"/>
  <c r="F3650" i="4" s="1"/>
  <c r="D3664" i="4"/>
  <c r="F3664" i="4" s="1"/>
  <c r="D3680" i="4"/>
  <c r="F3680" i="4" s="1"/>
  <c r="D3696" i="4"/>
  <c r="F3696" i="4" s="1"/>
  <c r="D3712" i="4"/>
  <c r="F3712" i="4" s="1"/>
  <c r="D3728" i="4"/>
  <c r="F3728" i="4" s="1"/>
  <c r="D3744" i="4"/>
  <c r="F3744" i="4" s="1"/>
  <c r="D3760" i="4"/>
  <c r="F3760" i="4" s="1"/>
  <c r="D3776" i="4"/>
  <c r="F3776" i="4" s="1"/>
  <c r="D3792" i="4"/>
  <c r="F3792" i="4" s="1"/>
  <c r="D3808" i="4"/>
  <c r="F3808" i="4" s="1"/>
  <c r="D3856" i="4"/>
  <c r="F3856" i="4" s="1"/>
  <c r="D3859" i="4"/>
  <c r="F3859" i="4" s="1"/>
  <c r="D3862" i="4"/>
  <c r="F3862" i="4" s="1"/>
  <c r="D3865" i="4"/>
  <c r="F3865" i="4" s="1"/>
  <c r="D3868" i="4"/>
  <c r="F3868" i="4" s="1"/>
  <c r="D3871" i="4"/>
  <c r="F3871" i="4" s="1"/>
  <c r="D3874" i="4"/>
  <c r="F3874" i="4" s="1"/>
  <c r="D3920" i="4"/>
  <c r="F3920" i="4" s="1"/>
  <c r="D3923" i="4"/>
  <c r="F3923" i="4" s="1"/>
  <c r="D3926" i="4"/>
  <c r="F3926" i="4" s="1"/>
  <c r="D3929" i="4"/>
  <c r="F3929" i="4" s="1"/>
  <c r="D3932" i="4"/>
  <c r="F3932" i="4" s="1"/>
  <c r="D3935" i="4"/>
  <c r="F3935" i="4" s="1"/>
  <c r="D3938" i="4"/>
  <c r="F3938" i="4" s="1"/>
  <c r="D3971" i="4"/>
  <c r="F3971" i="4" s="1"/>
  <c r="D3979" i="4"/>
  <c r="F3979" i="4" s="1"/>
  <c r="D3987" i="4"/>
  <c r="F3987" i="4" s="1"/>
  <c r="D3995" i="4"/>
  <c r="F3995" i="4" s="1"/>
  <c r="D4003" i="4"/>
  <c r="F4003" i="4" s="1"/>
  <c r="D4011" i="4"/>
  <c r="F4011" i="4" s="1"/>
  <c r="D4016" i="4"/>
  <c r="F4016" i="4" s="1"/>
  <c r="D4018" i="4"/>
  <c r="F4018" i="4" s="1"/>
  <c r="D4020" i="4"/>
  <c r="F4020" i="4" s="1"/>
  <c r="D4022" i="4"/>
  <c r="F4022" i="4" s="1"/>
  <c r="D4024" i="4"/>
  <c r="F4024" i="4" s="1"/>
  <c r="D4026" i="4"/>
  <c r="F4026" i="4" s="1"/>
  <c r="D4028" i="4"/>
  <c r="F4028" i="4" s="1"/>
  <c r="D4030" i="4"/>
  <c r="F4030" i="4" s="1"/>
  <c r="D4032" i="4"/>
  <c r="F4032" i="4" s="1"/>
  <c r="D4034" i="4"/>
  <c r="F4034" i="4" s="1"/>
  <c r="D4036" i="4"/>
  <c r="F4036" i="4" s="1"/>
  <c r="D4038" i="4"/>
  <c r="F4038" i="4" s="1"/>
  <c r="D4040" i="4"/>
  <c r="F4040" i="4" s="1"/>
  <c r="D4042" i="4"/>
  <c r="F4042" i="4" s="1"/>
  <c r="D4044" i="4"/>
  <c r="F4044" i="4" s="1"/>
  <c r="D4046" i="4"/>
  <c r="F4046" i="4" s="1"/>
  <c r="D4048" i="4"/>
  <c r="F4048" i="4" s="1"/>
  <c r="D4050" i="4"/>
  <c r="F4050" i="4" s="1"/>
  <c r="D4052" i="4"/>
  <c r="F4052" i="4" s="1"/>
  <c r="D4054" i="4"/>
  <c r="F4054" i="4" s="1"/>
  <c r="D4056" i="4"/>
  <c r="F4056" i="4" s="1"/>
  <c r="D4058" i="4"/>
  <c r="F4058" i="4" s="1"/>
  <c r="D4060" i="4"/>
  <c r="F4060" i="4" s="1"/>
  <c r="D4062" i="4"/>
  <c r="F4062" i="4" s="1"/>
  <c r="D4064" i="4"/>
  <c r="F4064" i="4" s="1"/>
  <c r="D4066" i="4"/>
  <c r="F4066" i="4" s="1"/>
  <c r="D4068" i="4"/>
  <c r="F4068" i="4" s="1"/>
  <c r="D4070" i="4"/>
  <c r="F4070" i="4" s="1"/>
  <c r="D4072" i="4"/>
  <c r="F4072" i="4" s="1"/>
  <c r="D4074" i="4"/>
  <c r="F4074" i="4" s="1"/>
  <c r="D4076" i="4"/>
  <c r="F4076" i="4" s="1"/>
  <c r="D4078" i="4"/>
  <c r="F4078" i="4" s="1"/>
  <c r="D4080" i="4"/>
  <c r="F4080" i="4" s="1"/>
  <c r="D4082" i="4"/>
  <c r="F4082" i="4" s="1"/>
  <c r="D4084" i="4"/>
  <c r="F4084" i="4" s="1"/>
  <c r="D4086" i="4"/>
  <c r="F4086" i="4" s="1"/>
  <c r="D4088" i="4"/>
  <c r="F4088" i="4" s="1"/>
  <c r="D4090" i="4"/>
  <c r="F4090" i="4" s="1"/>
  <c r="D4092" i="4"/>
  <c r="F4092" i="4" s="1"/>
  <c r="D4094" i="4"/>
  <c r="F4094" i="4" s="1"/>
  <c r="D4096" i="4"/>
  <c r="F4096" i="4" s="1"/>
  <c r="D4098" i="4"/>
  <c r="F4098" i="4" s="1"/>
  <c r="D4100" i="4"/>
  <c r="F4100" i="4" s="1"/>
  <c r="D4102" i="4"/>
  <c r="F4102" i="4" s="1"/>
  <c r="D4104" i="4"/>
  <c r="F4104" i="4" s="1"/>
  <c r="D4106" i="4"/>
  <c r="F4106" i="4" s="1"/>
  <c r="D4108" i="4"/>
  <c r="F4108" i="4" s="1"/>
  <c r="D4110" i="4"/>
  <c r="F4110" i="4" s="1"/>
  <c r="D4112" i="4"/>
  <c r="F4112" i="4" s="1"/>
  <c r="D4114" i="4"/>
  <c r="F4114" i="4" s="1"/>
  <c r="D4116" i="4"/>
  <c r="F4116" i="4" s="1"/>
  <c r="D4118" i="4"/>
  <c r="F4118" i="4" s="1"/>
  <c r="D4120" i="4"/>
  <c r="F4120" i="4" s="1"/>
  <c r="D4122" i="4"/>
  <c r="F4122" i="4" s="1"/>
  <c r="D4124" i="4"/>
  <c r="F4124" i="4" s="1"/>
  <c r="D4126" i="4"/>
  <c r="F4126" i="4" s="1"/>
  <c r="D4128" i="4"/>
  <c r="F4128" i="4" s="1"/>
  <c r="D4130" i="4"/>
  <c r="F4130" i="4" s="1"/>
  <c r="D4132" i="4"/>
  <c r="F4132" i="4" s="1"/>
  <c r="D4134" i="4"/>
  <c r="F4134" i="4" s="1"/>
  <c r="D4136" i="4"/>
  <c r="F4136" i="4" s="1"/>
  <c r="D4138" i="4"/>
  <c r="F4138" i="4" s="1"/>
  <c r="D4140" i="4"/>
  <c r="F4140" i="4" s="1"/>
  <c r="D4142" i="4"/>
  <c r="F4142" i="4" s="1"/>
  <c r="D4144" i="4"/>
  <c r="F4144" i="4" s="1"/>
  <c r="D4146" i="4"/>
  <c r="F4146" i="4" s="1"/>
  <c r="D4148" i="4"/>
  <c r="F4148" i="4" s="1"/>
  <c r="D4150" i="4"/>
  <c r="F4150" i="4" s="1"/>
  <c r="D4152" i="4"/>
  <c r="F4152" i="4" s="1"/>
  <c r="D4154" i="4"/>
  <c r="F4154" i="4" s="1"/>
  <c r="D4156" i="4"/>
  <c r="F4156" i="4" s="1"/>
  <c r="D4158" i="4"/>
  <c r="F4158" i="4" s="1"/>
  <c r="D4160" i="4"/>
  <c r="F4160" i="4" s="1"/>
  <c r="D4162" i="4"/>
  <c r="F4162" i="4" s="1"/>
  <c r="D4164" i="4"/>
  <c r="F4164" i="4" s="1"/>
  <c r="D4166" i="4"/>
  <c r="F4166" i="4" s="1"/>
  <c r="D4168" i="4"/>
  <c r="F4168" i="4" s="1"/>
  <c r="D4170" i="4"/>
  <c r="F4170" i="4" s="1"/>
  <c r="D4172" i="4"/>
  <c r="F4172" i="4" s="1"/>
  <c r="D4174" i="4"/>
  <c r="F4174" i="4" s="1"/>
  <c r="D4176" i="4"/>
  <c r="F4176" i="4" s="1"/>
  <c r="D4178" i="4"/>
  <c r="F4178" i="4" s="1"/>
  <c r="D4180" i="4"/>
  <c r="F4180" i="4" s="1"/>
  <c r="D4182" i="4"/>
  <c r="F4182" i="4" s="1"/>
  <c r="D4184" i="4"/>
  <c r="F4184" i="4" s="1"/>
  <c r="D4186" i="4"/>
  <c r="F4186" i="4" s="1"/>
  <c r="D4188" i="4"/>
  <c r="F4188" i="4" s="1"/>
  <c r="D4190" i="4"/>
  <c r="F4190" i="4" s="1"/>
  <c r="D4192" i="4"/>
  <c r="F4192" i="4" s="1"/>
  <c r="D4194" i="4"/>
  <c r="F4194" i="4" s="1"/>
  <c r="D4196" i="4"/>
  <c r="F4196" i="4" s="1"/>
  <c r="D4198" i="4"/>
  <c r="F4198" i="4" s="1"/>
  <c r="D4200" i="4"/>
  <c r="F4200" i="4" s="1"/>
  <c r="D4202" i="4"/>
  <c r="F4202" i="4" s="1"/>
  <c r="D4204" i="4"/>
  <c r="F4204" i="4" s="1"/>
  <c r="D4206" i="4"/>
  <c r="F4206" i="4" s="1"/>
  <c r="D4208" i="4"/>
  <c r="F4208" i="4" s="1"/>
  <c r="D4210" i="4"/>
  <c r="F4210" i="4" s="1"/>
  <c r="D4212" i="4"/>
  <c r="F4212" i="4" s="1"/>
  <c r="D4214" i="4"/>
  <c r="F4214" i="4" s="1"/>
  <c r="D4216" i="4"/>
  <c r="F4216" i="4" s="1"/>
  <c r="D4218" i="4"/>
  <c r="F4218" i="4" s="1"/>
  <c r="D4220" i="4"/>
  <c r="F4220" i="4" s="1"/>
  <c r="D4222" i="4"/>
  <c r="F4222" i="4" s="1"/>
  <c r="D4224" i="4"/>
  <c r="F4224" i="4" s="1"/>
  <c r="D4226" i="4"/>
  <c r="F4226" i="4" s="1"/>
  <c r="D4228" i="4"/>
  <c r="F4228" i="4" s="1"/>
  <c r="D4230" i="4"/>
  <c r="F4230" i="4" s="1"/>
  <c r="D4232" i="4"/>
  <c r="F4232" i="4" s="1"/>
  <c r="D4234" i="4"/>
  <c r="F4234" i="4" s="1"/>
  <c r="D4236" i="4"/>
  <c r="F4236" i="4" s="1"/>
  <c r="D4238" i="4"/>
  <c r="F4238" i="4" s="1"/>
  <c r="D4240" i="4"/>
  <c r="F4240" i="4" s="1"/>
  <c r="D4242" i="4"/>
  <c r="F4242" i="4" s="1"/>
  <c r="D4244" i="4"/>
  <c r="F4244" i="4" s="1"/>
  <c r="D4246" i="4"/>
  <c r="F4246" i="4" s="1"/>
  <c r="D4248" i="4"/>
  <c r="F4248" i="4" s="1"/>
  <c r="D4250" i="4"/>
  <c r="F4250" i="4" s="1"/>
  <c r="D4252" i="4"/>
  <c r="F4252" i="4" s="1"/>
  <c r="D4254" i="4"/>
  <c r="F4254" i="4" s="1"/>
  <c r="D4256" i="4"/>
  <c r="F4256" i="4" s="1"/>
  <c r="D4258" i="4"/>
  <c r="F4258" i="4" s="1"/>
  <c r="D4260" i="4"/>
  <c r="F4260" i="4" s="1"/>
  <c r="D4262" i="4"/>
  <c r="F4262" i="4" s="1"/>
  <c r="D4264" i="4"/>
  <c r="F4264" i="4" s="1"/>
  <c r="D4266" i="4"/>
  <c r="F4266" i="4" s="1"/>
  <c r="D4268" i="4"/>
  <c r="F4268" i="4" s="1"/>
  <c r="D4270" i="4"/>
  <c r="F4270" i="4" s="1"/>
  <c r="D4272" i="4"/>
  <c r="F4272" i="4" s="1"/>
  <c r="D4274" i="4"/>
  <c r="F4274" i="4" s="1"/>
  <c r="D4276" i="4"/>
  <c r="F4276" i="4" s="1"/>
  <c r="D4278" i="4"/>
  <c r="F4278" i="4" s="1"/>
  <c r="D4280" i="4"/>
  <c r="F4280" i="4" s="1"/>
  <c r="D4282" i="4"/>
  <c r="F4282" i="4" s="1"/>
  <c r="D4284" i="4"/>
  <c r="F4284" i="4" s="1"/>
  <c r="D4286" i="4"/>
  <c r="F4286" i="4" s="1"/>
  <c r="D4288" i="4"/>
  <c r="F4288" i="4" s="1"/>
  <c r="D4290" i="4"/>
  <c r="F4290" i="4" s="1"/>
  <c r="D4292" i="4"/>
  <c r="F4292" i="4" s="1"/>
  <c r="D4294" i="4"/>
  <c r="F4294" i="4" s="1"/>
  <c r="D4296" i="4"/>
  <c r="F4296" i="4" s="1"/>
  <c r="D4298" i="4"/>
  <c r="F4298" i="4" s="1"/>
  <c r="D4300" i="4"/>
  <c r="F4300" i="4" s="1"/>
  <c r="D4302" i="4"/>
  <c r="F4302" i="4" s="1"/>
  <c r="D4304" i="4"/>
  <c r="F4304" i="4" s="1"/>
  <c r="D4306" i="4"/>
  <c r="F4306" i="4" s="1"/>
  <c r="D4308" i="4"/>
  <c r="F4308" i="4" s="1"/>
  <c r="D4310" i="4"/>
  <c r="F4310" i="4" s="1"/>
  <c r="D4312" i="4"/>
  <c r="F4312" i="4" s="1"/>
  <c r="D4314" i="4"/>
  <c r="F4314" i="4" s="1"/>
  <c r="D4316" i="4"/>
  <c r="F4316" i="4" s="1"/>
  <c r="D4318" i="4"/>
  <c r="F4318" i="4" s="1"/>
  <c r="D4320" i="4"/>
  <c r="F4320" i="4" s="1"/>
  <c r="D4322" i="4"/>
  <c r="F4322" i="4" s="1"/>
  <c r="D4324" i="4"/>
  <c r="F4324" i="4" s="1"/>
  <c r="D4326" i="4"/>
  <c r="F4326" i="4" s="1"/>
  <c r="D4328" i="4"/>
  <c r="F4328" i="4" s="1"/>
  <c r="D4330" i="4"/>
  <c r="F4330" i="4" s="1"/>
  <c r="D4332" i="4"/>
  <c r="F4332" i="4" s="1"/>
  <c r="D4334" i="4"/>
  <c r="F4334" i="4" s="1"/>
  <c r="D4336" i="4"/>
  <c r="F4336" i="4" s="1"/>
  <c r="D2528" i="4"/>
  <c r="F2528" i="4" s="1"/>
  <c r="D2557" i="4"/>
  <c r="F2557" i="4" s="1"/>
  <c r="D2661" i="4"/>
  <c r="F2661" i="4" s="1"/>
  <c r="D2729" i="4"/>
  <c r="F2729" i="4" s="1"/>
  <c r="D2822" i="4"/>
  <c r="F2822" i="4" s="1"/>
  <c r="D2861" i="4"/>
  <c r="F2861" i="4" s="1"/>
  <c r="D2896" i="4"/>
  <c r="F2896" i="4" s="1"/>
  <c r="D2979" i="4"/>
  <c r="F2979" i="4" s="1"/>
  <c r="D2995" i="4"/>
  <c r="F2995" i="4" s="1"/>
  <c r="D3013" i="4"/>
  <c r="F3013" i="4" s="1"/>
  <c r="D3196" i="4"/>
  <c r="F3196" i="4" s="1"/>
  <c r="D3209" i="4"/>
  <c r="F3209" i="4" s="1"/>
  <c r="D3223" i="4"/>
  <c r="F3223" i="4" s="1"/>
  <c r="D3321" i="4"/>
  <c r="F3321" i="4" s="1"/>
  <c r="D3345" i="4"/>
  <c r="F3345" i="4" s="1"/>
  <c r="D3389" i="4"/>
  <c r="F3389" i="4" s="1"/>
  <c r="D3401" i="4"/>
  <c r="F3401" i="4" s="1"/>
  <c r="D3413" i="4"/>
  <c r="F3413" i="4" s="1"/>
  <c r="D3423" i="4"/>
  <c r="F3423" i="4" s="1"/>
  <c r="D3447" i="4"/>
  <c r="F3447" i="4" s="1"/>
  <c r="D3469" i="4"/>
  <c r="F3469" i="4" s="1"/>
  <c r="D3503" i="4"/>
  <c r="F3503" i="4" s="1"/>
  <c r="D3521" i="4"/>
  <c r="F3521" i="4" s="1"/>
  <c r="D3544" i="4"/>
  <c r="F3544" i="4" s="1"/>
  <c r="D3559" i="4"/>
  <c r="F3559" i="4" s="1"/>
  <c r="D3594" i="4"/>
  <c r="F3594" i="4" s="1"/>
  <c r="D3608" i="4"/>
  <c r="F3608" i="4" s="1"/>
  <c r="D3623" i="4"/>
  <c r="F3623" i="4" s="1"/>
  <c r="D3658" i="4"/>
  <c r="F3658" i="4" s="1"/>
  <c r="D3670" i="4"/>
  <c r="F3670" i="4" s="1"/>
  <c r="D3686" i="4"/>
  <c r="F3686" i="4" s="1"/>
  <c r="D3702" i="4"/>
  <c r="F3702" i="4" s="1"/>
  <c r="D3718" i="4"/>
  <c r="F3718" i="4" s="1"/>
  <c r="D3734" i="4"/>
  <c r="F3734" i="4" s="1"/>
  <c r="D3750" i="4"/>
  <c r="F3750" i="4" s="1"/>
  <c r="D3766" i="4"/>
  <c r="F3766" i="4" s="1"/>
  <c r="D3782" i="4"/>
  <c r="F3782" i="4" s="1"/>
  <c r="D3798" i="4"/>
  <c r="F3798" i="4" s="1"/>
  <c r="D3814" i="4"/>
  <c r="F3814" i="4" s="1"/>
  <c r="D3832" i="4"/>
  <c r="F3832" i="4" s="1"/>
  <c r="D3835" i="4"/>
  <c r="F3835" i="4" s="1"/>
  <c r="D3838" i="4"/>
  <c r="F3838" i="4" s="1"/>
  <c r="D3841" i="4"/>
  <c r="F3841" i="4" s="1"/>
  <c r="D3844" i="4"/>
  <c r="F3844" i="4" s="1"/>
  <c r="D3847" i="4"/>
  <c r="F3847" i="4" s="1"/>
  <c r="D3850" i="4"/>
  <c r="F3850" i="4" s="1"/>
  <c r="D3896" i="4"/>
  <c r="F3896" i="4" s="1"/>
  <c r="D3899" i="4"/>
  <c r="F3899" i="4" s="1"/>
  <c r="D3902" i="4"/>
  <c r="F3902" i="4" s="1"/>
  <c r="D3905" i="4"/>
  <c r="F3905" i="4" s="1"/>
  <c r="D3908" i="4"/>
  <c r="F3908" i="4" s="1"/>
  <c r="D3911" i="4"/>
  <c r="F3911" i="4" s="1"/>
  <c r="D3914" i="4"/>
  <c r="F3914" i="4" s="1"/>
  <c r="D3960" i="4"/>
  <c r="F3960" i="4" s="1"/>
  <c r="D3963" i="4"/>
  <c r="F3963" i="4" s="1"/>
  <c r="D3966" i="4"/>
  <c r="F3966" i="4" s="1"/>
  <c r="D3974" i="4"/>
  <c r="F3974" i="4" s="1"/>
  <c r="D3982" i="4"/>
  <c r="F3982" i="4" s="1"/>
  <c r="D3990" i="4"/>
  <c r="F3990" i="4" s="1"/>
  <c r="D3998" i="4"/>
  <c r="F3998" i="4" s="1"/>
  <c r="D4006" i="4"/>
  <c r="F4006" i="4" s="1"/>
  <c r="D4014" i="4"/>
  <c r="F4014" i="4" s="1"/>
  <c r="D2530" i="4"/>
  <c r="F2530" i="4" s="1"/>
  <c r="D2615" i="4"/>
  <c r="F2615" i="4" s="1"/>
  <c r="D2688" i="4"/>
  <c r="F2688" i="4" s="1"/>
  <c r="D2712" i="4"/>
  <c r="F2712" i="4" s="1"/>
  <c r="D2826" i="4"/>
  <c r="F2826" i="4" s="1"/>
  <c r="D2843" i="4"/>
  <c r="F2843" i="4" s="1"/>
  <c r="D2882" i="4"/>
  <c r="F2882" i="4" s="1"/>
  <c r="D3046" i="4"/>
  <c r="F3046" i="4" s="1"/>
  <c r="D3062" i="4"/>
  <c r="F3062" i="4" s="1"/>
  <c r="D3080" i="4"/>
  <c r="F3080" i="4" s="1"/>
  <c r="D3095" i="4"/>
  <c r="F3095" i="4" s="1"/>
  <c r="D3111" i="4"/>
  <c r="F3111" i="4" s="1"/>
  <c r="D3212" i="4"/>
  <c r="F3212" i="4" s="1"/>
  <c r="D3225" i="4"/>
  <c r="F3225" i="4" s="1"/>
  <c r="D3239" i="4"/>
  <c r="F3239" i="4" s="1"/>
  <c r="D3277" i="4"/>
  <c r="F3277" i="4" s="1"/>
  <c r="D3311" i="4"/>
  <c r="F3311" i="4" s="1"/>
  <c r="D3334" i="4"/>
  <c r="F3334" i="4" s="1"/>
  <c r="D3358" i="4"/>
  <c r="F3358" i="4" s="1"/>
  <c r="D3414" i="4"/>
  <c r="F3414" i="4" s="1"/>
  <c r="D3436" i="4"/>
  <c r="F3436" i="4" s="1"/>
  <c r="D3460" i="4"/>
  <c r="F3460" i="4" s="1"/>
  <c r="D3514" i="4"/>
  <c r="F3514" i="4" s="1"/>
  <c r="D3523" i="4"/>
  <c r="F3523" i="4" s="1"/>
  <c r="D3530" i="4"/>
  <c r="F3530" i="4" s="1"/>
  <c r="D3538" i="4"/>
  <c r="F3538" i="4" s="1"/>
  <c r="D3552" i="4"/>
  <c r="F3552" i="4" s="1"/>
  <c r="D3567" i="4"/>
  <c r="F3567" i="4" s="1"/>
  <c r="D3602" i="4"/>
  <c r="F3602" i="4" s="1"/>
  <c r="D3616" i="4"/>
  <c r="F3616" i="4" s="1"/>
  <c r="D3631" i="4"/>
  <c r="F3631" i="4" s="1"/>
  <c r="D3671" i="4"/>
  <c r="F3671" i="4" s="1"/>
  <c r="D3687" i="4"/>
  <c r="F3687" i="4" s="1"/>
  <c r="D3703" i="4"/>
  <c r="F3703" i="4" s="1"/>
  <c r="D3719" i="4"/>
  <c r="F3719" i="4" s="1"/>
  <c r="D3735" i="4"/>
  <c r="F3735" i="4" s="1"/>
  <c r="D3751" i="4"/>
  <c r="F3751" i="4" s="1"/>
  <c r="D3767" i="4"/>
  <c r="F3767" i="4" s="1"/>
  <c r="D3783" i="4"/>
  <c r="F3783" i="4" s="1"/>
  <c r="D3799" i="4"/>
  <c r="F3799" i="4" s="1"/>
  <c r="D3815" i="4"/>
  <c r="F3815" i="4" s="1"/>
  <c r="D3823" i="4"/>
  <c r="F3823" i="4" s="1"/>
  <c r="D3826" i="4"/>
  <c r="F3826" i="4" s="1"/>
  <c r="D3872" i="4"/>
  <c r="F3872" i="4" s="1"/>
  <c r="D3875" i="4"/>
  <c r="F3875" i="4" s="1"/>
  <c r="D3878" i="4"/>
  <c r="F3878" i="4" s="1"/>
  <c r="D3881" i="4"/>
  <c r="F3881" i="4" s="1"/>
  <c r="D3884" i="4"/>
  <c r="F3884" i="4" s="1"/>
  <c r="D3887" i="4"/>
  <c r="F3887" i="4" s="1"/>
  <c r="D3890" i="4"/>
  <c r="F3890" i="4" s="1"/>
  <c r="D3936" i="4"/>
  <c r="F3936" i="4" s="1"/>
  <c r="D3939" i="4"/>
  <c r="F3939" i="4" s="1"/>
  <c r="D3942" i="4"/>
  <c r="F3942" i="4" s="1"/>
  <c r="D3945" i="4"/>
  <c r="F3945" i="4" s="1"/>
  <c r="D3948" i="4"/>
  <c r="F3948" i="4" s="1"/>
  <c r="D3951" i="4"/>
  <c r="F3951" i="4" s="1"/>
  <c r="D3954" i="4"/>
  <c r="F3954" i="4" s="1"/>
  <c r="D3969" i="4"/>
  <c r="F3969" i="4" s="1"/>
  <c r="D3977" i="4"/>
  <c r="F3977" i="4" s="1"/>
  <c r="D3985" i="4"/>
  <c r="F3985" i="4" s="1"/>
  <c r="D3993" i="4"/>
  <c r="F3993" i="4" s="1"/>
  <c r="D4001" i="4"/>
  <c r="F4001" i="4" s="1"/>
  <c r="D4009" i="4"/>
  <c r="F4009" i="4" s="1"/>
  <c r="D2542" i="4"/>
  <c r="F2542" i="4" s="1"/>
  <c r="D2574" i="4"/>
  <c r="F2574" i="4" s="1"/>
  <c r="D2624" i="4"/>
  <c r="F2624" i="4" s="1"/>
  <c r="D2696" i="4"/>
  <c r="F2696" i="4" s="1"/>
  <c r="D2720" i="4"/>
  <c r="F2720" i="4" s="1"/>
  <c r="D2757" i="4"/>
  <c r="F2757" i="4" s="1"/>
  <c r="D2777" i="4"/>
  <c r="F2777" i="4" s="1"/>
  <c r="D2833" i="4"/>
  <c r="F2833" i="4" s="1"/>
  <c r="D2850" i="4"/>
  <c r="F2850" i="4" s="1"/>
  <c r="D2906" i="4"/>
  <c r="F2906" i="4" s="1"/>
  <c r="D2922" i="4"/>
  <c r="F2922" i="4" s="1"/>
  <c r="D3086" i="4"/>
  <c r="F3086" i="4" s="1"/>
  <c r="D3101" i="4"/>
  <c r="F3101" i="4" s="1"/>
  <c r="D3132" i="4"/>
  <c r="F3132" i="4" s="1"/>
  <c r="D3145" i="4"/>
  <c r="F3145" i="4" s="1"/>
  <c r="D3159" i="4"/>
  <c r="F3159" i="4" s="1"/>
  <c r="D3270" i="4"/>
  <c r="F3270" i="4" s="1"/>
  <c r="D3294" i="4"/>
  <c r="F3294" i="4" s="1"/>
  <c r="D3350" i="4"/>
  <c r="F3350" i="4" s="1"/>
  <c r="D3372" i="4"/>
  <c r="F3372" i="4" s="1"/>
  <c r="D3396" i="4"/>
  <c r="F3396" i="4" s="1"/>
  <c r="D3452" i="4"/>
  <c r="F3452" i="4" s="1"/>
  <c r="D3517" i="4"/>
  <c r="F3517" i="4" s="1"/>
  <c r="D3526" i="4"/>
  <c r="F3526" i="4" s="1"/>
  <c r="D3533" i="4"/>
  <c r="F3533" i="4" s="1"/>
  <c r="D3562" i="4"/>
  <c r="F3562" i="4" s="1"/>
  <c r="D3576" i="4"/>
  <c r="F3576" i="4" s="1"/>
  <c r="D3591" i="4"/>
  <c r="F3591" i="4" s="1"/>
  <c r="D3626" i="4"/>
  <c r="F3626" i="4" s="1"/>
  <c r="D3640" i="4"/>
  <c r="F3640" i="4" s="1"/>
  <c r="D3655" i="4"/>
  <c r="F3655" i="4" s="1"/>
  <c r="D3678" i="4"/>
  <c r="F3678" i="4" s="1"/>
  <c r="D3694" i="4"/>
  <c r="F3694" i="4" s="1"/>
  <c r="D3710" i="4"/>
  <c r="F3710" i="4" s="1"/>
  <c r="D3726" i="4"/>
  <c r="F3726" i="4" s="1"/>
  <c r="D3742" i="4"/>
  <c r="F3742" i="4" s="1"/>
  <c r="D3758" i="4"/>
  <c r="F3758" i="4" s="1"/>
  <c r="D3774" i="4"/>
  <c r="F3774" i="4" s="1"/>
  <c r="D3790" i="4"/>
  <c r="F3790" i="4" s="1"/>
  <c r="D3806" i="4"/>
  <c r="F3806" i="4" s="1"/>
  <c r="D3864" i="4"/>
  <c r="F3864" i="4" s="1"/>
  <c r="D3867" i="4"/>
  <c r="F3867" i="4" s="1"/>
  <c r="D3870" i="4"/>
  <c r="F3870" i="4" s="1"/>
  <c r="D3873" i="4"/>
  <c r="F3873" i="4" s="1"/>
  <c r="D3876" i="4"/>
  <c r="F3876" i="4" s="1"/>
  <c r="D3879" i="4"/>
  <c r="F3879" i="4" s="1"/>
  <c r="D3882" i="4"/>
  <c r="F3882" i="4" s="1"/>
  <c r="D3928" i="4"/>
  <c r="F3928" i="4" s="1"/>
  <c r="D3931" i="4"/>
  <c r="F3931" i="4" s="1"/>
  <c r="D3934" i="4"/>
  <c r="F3934" i="4" s="1"/>
  <c r="D3937" i="4"/>
  <c r="F3937" i="4" s="1"/>
  <c r="D3940" i="4"/>
  <c r="F3940" i="4" s="1"/>
  <c r="D3943" i="4"/>
  <c r="F3943" i="4" s="1"/>
  <c r="D3946" i="4"/>
  <c r="F3946" i="4" s="1"/>
  <c r="D3970" i="4"/>
  <c r="F3970" i="4" s="1"/>
  <c r="D3978" i="4"/>
  <c r="F3978" i="4" s="1"/>
  <c r="D3986" i="4"/>
  <c r="F3986" i="4" s="1"/>
  <c r="D3994" i="4"/>
  <c r="F3994" i="4" s="1"/>
  <c r="D4002" i="4"/>
  <c r="F4002" i="4" s="1"/>
  <c r="D4010" i="4"/>
  <c r="F4010" i="4" s="1"/>
  <c r="D2534" i="4"/>
  <c r="F2534" i="4" s="1"/>
  <c r="D2778" i="4"/>
  <c r="F2778" i="4" s="1"/>
  <c r="D2829" i="4"/>
  <c r="F2829" i="4" s="1"/>
  <c r="D3175" i="4"/>
  <c r="F3175" i="4" s="1"/>
  <c r="D3255" i="4"/>
  <c r="F3255" i="4" s="1"/>
  <c r="D3405" i="4"/>
  <c r="F3405" i="4" s="1"/>
  <c r="D3465" i="4"/>
  <c r="F3465" i="4" s="1"/>
  <c r="D3599" i="4"/>
  <c r="F3599" i="4" s="1"/>
  <c r="D3618" i="4"/>
  <c r="F3618" i="4" s="1"/>
  <c r="D3639" i="4"/>
  <c r="F3639" i="4" s="1"/>
  <c r="D3672" i="4"/>
  <c r="F3672" i="4" s="1"/>
  <c r="D3730" i="4"/>
  <c r="F3730" i="4" s="1"/>
  <c r="D3743" i="4"/>
  <c r="F3743" i="4" s="1"/>
  <c r="D3800" i="4"/>
  <c r="F3800" i="4" s="1"/>
  <c r="D3833" i="4"/>
  <c r="F3833" i="4" s="1"/>
  <c r="D3849" i="4"/>
  <c r="F3849" i="4" s="1"/>
  <c r="D3866" i="4"/>
  <c r="F3866" i="4" s="1"/>
  <c r="D3906" i="4"/>
  <c r="F3906" i="4" s="1"/>
  <c r="D3915" i="4"/>
  <c r="F3915" i="4" s="1"/>
  <c r="D3922" i="4"/>
  <c r="F3922" i="4" s="1"/>
  <c r="D3955" i="4"/>
  <c r="F3955" i="4" s="1"/>
  <c r="D3999" i="4"/>
  <c r="F3999" i="4" s="1"/>
  <c r="D4013" i="4"/>
  <c r="F4013" i="4" s="1"/>
  <c r="D4029" i="4"/>
  <c r="F4029" i="4" s="1"/>
  <c r="D4045" i="4"/>
  <c r="F4045" i="4" s="1"/>
  <c r="D4061" i="4"/>
  <c r="F4061" i="4" s="1"/>
  <c r="D4077" i="4"/>
  <c r="F4077" i="4" s="1"/>
  <c r="D4093" i="4"/>
  <c r="F4093" i="4" s="1"/>
  <c r="D4109" i="4"/>
  <c r="F4109" i="4" s="1"/>
  <c r="D4125" i="4"/>
  <c r="F4125" i="4" s="1"/>
  <c r="D4141" i="4"/>
  <c r="F4141" i="4" s="1"/>
  <c r="D4157" i="4"/>
  <c r="F4157" i="4" s="1"/>
  <c r="D4173" i="4"/>
  <c r="F4173" i="4" s="1"/>
  <c r="D4189" i="4"/>
  <c r="F4189" i="4" s="1"/>
  <c r="D4205" i="4"/>
  <c r="F4205" i="4" s="1"/>
  <c r="D4221" i="4"/>
  <c r="F4221" i="4" s="1"/>
  <c r="D4237" i="4"/>
  <c r="F4237" i="4" s="1"/>
  <c r="D4253" i="4"/>
  <c r="F4253" i="4" s="1"/>
  <c r="D4269" i="4"/>
  <c r="F4269" i="4" s="1"/>
  <c r="D4285" i="4"/>
  <c r="F4285" i="4" s="1"/>
  <c r="D4301" i="4"/>
  <c r="F4301" i="4" s="1"/>
  <c r="D4317" i="4"/>
  <c r="F4317" i="4" s="1"/>
  <c r="D4333" i="4"/>
  <c r="F4333" i="4" s="1"/>
  <c r="D4338" i="4"/>
  <c r="F4338" i="4" s="1"/>
  <c r="D4342" i="4"/>
  <c r="F4342" i="4" s="1"/>
  <c r="D4346" i="4"/>
  <c r="F4346" i="4" s="1"/>
  <c r="D4350" i="4"/>
  <c r="F4350" i="4" s="1"/>
  <c r="D4354" i="4"/>
  <c r="F4354" i="4" s="1"/>
  <c r="D4358" i="4"/>
  <c r="F4358" i="4" s="1"/>
  <c r="D4362" i="4"/>
  <c r="F4362" i="4" s="1"/>
  <c r="D4366" i="4"/>
  <c r="F4366" i="4" s="1"/>
  <c r="D4370" i="4"/>
  <c r="F4370" i="4" s="1"/>
  <c r="D4374" i="4"/>
  <c r="F4374" i="4" s="1"/>
  <c r="D4378" i="4"/>
  <c r="F4378" i="4" s="1"/>
  <c r="D4382" i="4"/>
  <c r="F4382" i="4" s="1"/>
  <c r="D4385" i="4"/>
  <c r="F4385" i="4" s="1"/>
  <c r="D4398" i="4"/>
  <c r="F4398" i="4" s="1"/>
  <c r="D4401" i="4"/>
  <c r="F4401" i="4" s="1"/>
  <c r="D4414" i="4"/>
  <c r="F4414" i="4" s="1"/>
  <c r="D4417" i="4"/>
  <c r="F4417" i="4" s="1"/>
  <c r="D4430" i="4"/>
  <c r="F4430" i="4" s="1"/>
  <c r="D4433" i="4"/>
  <c r="F4433" i="4" s="1"/>
  <c r="D4446" i="4"/>
  <c r="F4446" i="4" s="1"/>
  <c r="D4449" i="4"/>
  <c r="F4449" i="4" s="1"/>
  <c r="D4462" i="4"/>
  <c r="F4462" i="4" s="1"/>
  <c r="D4465" i="4"/>
  <c r="F4465" i="4" s="1"/>
  <c r="D4478" i="4"/>
  <c r="F4478" i="4" s="1"/>
  <c r="D4481" i="4"/>
  <c r="F4481" i="4" s="1"/>
  <c r="D4494" i="4"/>
  <c r="F4494" i="4" s="1"/>
  <c r="D4497" i="4"/>
  <c r="F4497" i="4" s="1"/>
  <c r="D4509" i="4"/>
  <c r="F4509" i="4" s="1"/>
  <c r="D4512" i="4"/>
  <c r="F4512" i="4" s="1"/>
  <c r="D4517" i="4"/>
  <c r="F4517" i="4" s="1"/>
  <c r="D4520" i="4"/>
  <c r="F4520" i="4" s="1"/>
  <c r="D4525" i="4"/>
  <c r="F4525" i="4" s="1"/>
  <c r="D4528" i="4"/>
  <c r="F4528" i="4" s="1"/>
  <c r="D4533" i="4"/>
  <c r="F4533" i="4" s="1"/>
  <c r="D4536" i="4"/>
  <c r="F4536" i="4" s="1"/>
  <c r="D4541" i="4"/>
  <c r="F4541" i="4" s="1"/>
  <c r="D4548" i="4"/>
  <c r="F4548" i="4" s="1"/>
  <c r="D4557" i="4"/>
  <c r="F4557" i="4" s="1"/>
  <c r="D4564" i="4"/>
  <c r="F4564" i="4" s="1"/>
  <c r="D4573" i="4"/>
  <c r="F4573" i="4" s="1"/>
  <c r="D4580" i="4"/>
  <c r="F4580" i="4" s="1"/>
  <c r="D4589" i="4"/>
  <c r="F4589" i="4" s="1"/>
  <c r="D4596" i="4"/>
  <c r="F4596" i="4" s="1"/>
  <c r="D4605" i="4"/>
  <c r="F4605" i="4" s="1"/>
  <c r="D4612" i="4"/>
  <c r="F4612" i="4" s="1"/>
  <c r="D4621" i="4"/>
  <c r="F4621" i="4" s="1"/>
  <c r="D4628" i="4"/>
  <c r="F4628" i="4" s="1"/>
  <c r="D4637" i="4"/>
  <c r="F4637" i="4" s="1"/>
  <c r="D4644" i="4"/>
  <c r="F4644" i="4" s="1"/>
  <c r="D4787" i="4"/>
  <c r="F4787" i="4" s="1"/>
  <c r="D4805" i="4"/>
  <c r="F4805" i="4" s="1"/>
  <c r="D4809" i="4"/>
  <c r="F4809" i="4" s="1"/>
  <c r="D4813" i="4"/>
  <c r="F4813" i="4" s="1"/>
  <c r="D4817" i="4"/>
  <c r="F4817" i="4" s="1"/>
  <c r="D4821" i="4"/>
  <c r="F4821" i="4" s="1"/>
  <c r="D4825" i="4"/>
  <c r="F4825" i="4" s="1"/>
  <c r="D4829" i="4"/>
  <c r="F4829" i="4" s="1"/>
  <c r="D4833" i="4"/>
  <c r="F4833" i="4" s="1"/>
  <c r="D4837" i="4"/>
  <c r="F4837" i="4" s="1"/>
  <c r="D4841" i="4"/>
  <c r="F4841" i="4" s="1"/>
  <c r="D4843" i="4"/>
  <c r="F4843" i="4" s="1"/>
  <c r="D4847" i="4"/>
  <c r="F4847" i="4" s="1"/>
  <c r="D4851" i="4"/>
  <c r="F4851" i="4" s="1"/>
  <c r="D4855" i="4"/>
  <c r="F4855" i="4" s="1"/>
  <c r="D4859" i="4"/>
  <c r="F4859" i="4" s="1"/>
  <c r="D4863" i="4"/>
  <c r="F4863" i="4" s="1"/>
  <c r="D4867" i="4"/>
  <c r="F4867" i="4" s="1"/>
  <c r="D4871" i="4"/>
  <c r="F4871" i="4" s="1"/>
  <c r="D4873" i="4"/>
  <c r="F4873" i="4" s="1"/>
  <c r="D4877" i="4"/>
  <c r="F4877" i="4" s="1"/>
  <c r="D4881" i="4"/>
  <c r="F4881" i="4" s="1"/>
  <c r="D4885" i="4"/>
  <c r="F4885" i="4" s="1"/>
  <c r="D4889" i="4"/>
  <c r="F4889" i="4" s="1"/>
  <c r="D4891" i="4"/>
  <c r="F4891" i="4" s="1"/>
  <c r="D4895" i="4"/>
  <c r="F4895" i="4" s="1"/>
  <c r="D4899" i="4"/>
  <c r="F4899" i="4" s="1"/>
  <c r="D4903" i="4"/>
  <c r="F4903" i="4" s="1"/>
  <c r="D4907" i="4"/>
  <c r="F4907" i="4" s="1"/>
  <c r="D4911" i="4"/>
  <c r="F4911" i="4" s="1"/>
  <c r="D4915" i="4"/>
  <c r="F4915" i="4" s="1"/>
  <c r="D4919" i="4"/>
  <c r="F4919" i="4" s="1"/>
  <c r="D4923" i="4"/>
  <c r="F4923" i="4" s="1"/>
  <c r="D4927" i="4"/>
  <c r="F4927" i="4" s="1"/>
  <c r="D4931" i="4"/>
  <c r="F4931" i="4" s="1"/>
  <c r="D4933" i="4"/>
  <c r="F4933" i="4" s="1"/>
  <c r="D4937" i="4"/>
  <c r="F4937" i="4" s="1"/>
  <c r="D4941" i="4"/>
  <c r="F4941" i="4" s="1"/>
  <c r="D4945" i="4"/>
  <c r="F4945" i="4" s="1"/>
  <c r="D4949" i="4"/>
  <c r="F4949" i="4" s="1"/>
  <c r="D4953" i="4"/>
  <c r="F4953" i="4" s="1"/>
  <c r="D4959" i="4"/>
  <c r="F4959" i="4" s="1"/>
  <c r="D4963" i="4"/>
  <c r="F4963" i="4" s="1"/>
  <c r="D4967" i="4"/>
  <c r="F4967" i="4" s="1"/>
  <c r="D4971" i="4"/>
  <c r="F4971" i="4" s="1"/>
  <c r="D4975" i="4"/>
  <c r="F4975" i="4" s="1"/>
  <c r="D4979" i="4"/>
  <c r="F4979" i="4" s="1"/>
  <c r="D4983" i="4"/>
  <c r="F4983" i="4" s="1"/>
  <c r="D4987" i="4"/>
  <c r="F4987" i="4" s="1"/>
  <c r="D4991" i="4"/>
  <c r="F4991" i="4" s="1"/>
  <c r="D4995" i="4"/>
  <c r="F4995" i="4" s="1"/>
  <c r="D4997" i="4"/>
  <c r="F4997" i="4" s="1"/>
  <c r="D5001" i="4"/>
  <c r="F5001" i="4" s="1"/>
  <c r="D5005" i="4"/>
  <c r="F5005" i="4" s="1"/>
  <c r="D5009" i="4"/>
  <c r="F5009" i="4" s="1"/>
  <c r="D5013" i="4"/>
  <c r="F5013" i="4" s="1"/>
  <c r="D3161" i="4"/>
  <c r="F3161" i="4" s="1"/>
  <c r="D3453" i="4"/>
  <c r="F3453" i="4" s="1"/>
  <c r="D3535" i="4"/>
  <c r="F3535" i="4" s="1"/>
  <c r="D3682" i="4"/>
  <c r="F3682" i="4" s="1"/>
  <c r="D3912" i="4"/>
  <c r="F3912" i="4" s="1"/>
  <c r="D4004" i="4"/>
  <c r="F4004" i="4" s="1"/>
  <c r="D4107" i="4"/>
  <c r="F4107" i="4" s="1"/>
  <c r="D4171" i="4"/>
  <c r="F4171" i="4" s="1"/>
  <c r="D4187" i="4"/>
  <c r="F4187" i="4" s="1"/>
  <c r="D4267" i="4"/>
  <c r="F4267" i="4" s="1"/>
  <c r="D4299" i="4"/>
  <c r="F4299" i="4" s="1"/>
  <c r="D4387" i="4"/>
  <c r="F4387" i="4" s="1"/>
  <c r="D4400" i="4"/>
  <c r="F4400" i="4" s="1"/>
  <c r="D4419" i="4"/>
  <c r="F4419" i="4" s="1"/>
  <c r="D4451" i="4"/>
  <c r="F4451" i="4" s="1"/>
  <c r="D4467" i="4"/>
  <c r="F4467" i="4" s="1"/>
  <c r="D4499" i="4"/>
  <c r="F4499" i="4" s="1"/>
  <c r="D4554" i="4"/>
  <c r="F4554" i="4" s="1"/>
  <c r="D4570" i="4"/>
  <c r="F4570" i="4" s="1"/>
  <c r="D4586" i="4"/>
  <c r="F4586" i="4" s="1"/>
  <c r="D4634" i="4"/>
  <c r="F4634" i="4" s="1"/>
  <c r="D4652" i="4"/>
  <c r="F4652" i="4" s="1"/>
  <c r="D4660" i="4"/>
  <c r="F4660" i="4" s="1"/>
  <c r="D4670" i="4"/>
  <c r="F4670" i="4" s="1"/>
  <c r="D4682" i="4"/>
  <c r="F4682" i="4" s="1"/>
  <c r="D4692" i="4"/>
  <c r="F4692" i="4" s="1"/>
  <c r="D4706" i="4"/>
  <c r="F4706" i="4" s="1"/>
  <c r="D4716" i="4"/>
  <c r="F4716" i="4" s="1"/>
  <c r="D4724" i="4"/>
  <c r="F4724" i="4" s="1"/>
  <c r="D4736" i="4"/>
  <c r="F4736" i="4" s="1"/>
  <c r="D4746" i="4"/>
  <c r="F4746" i="4" s="1"/>
  <c r="D4758" i="4"/>
  <c r="F4758" i="4" s="1"/>
  <c r="D4768" i="4"/>
  <c r="F4768" i="4" s="1"/>
  <c r="D4778" i="4"/>
  <c r="F4778" i="4" s="1"/>
  <c r="D4792" i="4"/>
  <c r="F4792" i="4" s="1"/>
  <c r="D4802" i="4"/>
  <c r="F4802" i="4" s="1"/>
  <c r="D4812" i="4"/>
  <c r="F4812" i="4" s="1"/>
  <c r="D4822" i="4"/>
  <c r="F4822" i="4" s="1"/>
  <c r="D4830" i="4"/>
  <c r="F4830" i="4" s="1"/>
  <c r="D4840" i="4"/>
  <c r="F4840" i="4" s="1"/>
  <c r="D4852" i="4"/>
  <c r="F4852" i="4" s="1"/>
  <c r="D4864" i="4"/>
  <c r="F4864" i="4" s="1"/>
  <c r="D4872" i="4"/>
  <c r="F4872" i="4" s="1"/>
  <c r="D4882" i="4"/>
  <c r="F4882" i="4" s="1"/>
  <c r="D4892" i="4"/>
  <c r="F4892" i="4" s="1"/>
  <c r="D4904" i="4"/>
  <c r="F4904" i="4" s="1"/>
  <c r="D4914" i="4"/>
  <c r="F4914" i="4" s="1"/>
  <c r="D4922" i="4"/>
  <c r="F4922" i="4" s="1"/>
  <c r="D4932" i="4"/>
  <c r="F4932" i="4" s="1"/>
  <c r="D4942" i="4"/>
  <c r="F4942" i="4" s="1"/>
  <c r="D4952" i="4"/>
  <c r="F4952" i="4" s="1"/>
  <c r="D4962" i="4"/>
  <c r="F4962" i="4" s="1"/>
  <c r="D4974" i="4"/>
  <c r="F4974" i="4" s="1"/>
  <c r="D4982" i="4"/>
  <c r="F4982" i="4" s="1"/>
  <c r="D4994" i="4"/>
  <c r="F4994" i="4" s="1"/>
  <c r="D5004" i="4"/>
  <c r="F5004" i="4" s="1"/>
  <c r="D5014" i="4"/>
  <c r="F5014" i="4" s="1"/>
  <c r="D2918" i="4"/>
  <c r="F2918" i="4" s="1"/>
  <c r="D3698" i="4"/>
  <c r="F3698" i="4" s="1"/>
  <c r="D3855" i="4"/>
  <c r="F3855" i="4" s="1"/>
  <c r="D3921" i="4"/>
  <c r="F3921" i="4" s="1"/>
  <c r="D4012" i="4"/>
  <c r="F4012" i="4" s="1"/>
  <c r="D4033" i="4"/>
  <c r="F4033" i="4" s="1"/>
  <c r="D4177" i="4"/>
  <c r="F4177" i="4" s="1"/>
  <c r="D4209" i="4"/>
  <c r="F4209" i="4" s="1"/>
  <c r="D4289" i="4"/>
  <c r="F4289" i="4" s="1"/>
  <c r="D4341" i="4"/>
  <c r="F4341" i="4" s="1"/>
  <c r="D4361" i="4"/>
  <c r="F4361" i="4" s="1"/>
  <c r="D4381" i="4"/>
  <c r="F4381" i="4" s="1"/>
  <c r="D4397" i="4"/>
  <c r="F4397" i="4" s="1"/>
  <c r="D4413" i="4"/>
  <c r="F4413" i="4" s="1"/>
  <c r="D4445" i="4"/>
  <c r="F4445" i="4" s="1"/>
  <c r="D4461" i="4"/>
  <c r="F4461" i="4" s="1"/>
  <c r="D4511" i="4"/>
  <c r="F4511" i="4" s="1"/>
  <c r="D4535" i="4"/>
  <c r="F4535" i="4" s="1"/>
  <c r="D4584" i="4"/>
  <c r="F4584" i="4" s="1"/>
  <c r="D2541" i="4"/>
  <c r="F2541" i="4" s="1"/>
  <c r="D2736" i="4"/>
  <c r="F2736" i="4" s="1"/>
  <c r="D2885" i="4"/>
  <c r="F2885" i="4" s="1"/>
  <c r="D2934" i="4"/>
  <c r="F2934" i="4" s="1"/>
  <c r="D2973" i="4"/>
  <c r="F2973" i="4" s="1"/>
  <c r="D3019" i="4"/>
  <c r="F3019" i="4" s="1"/>
  <c r="D3143" i="4"/>
  <c r="F3143" i="4" s="1"/>
  <c r="D3257" i="4"/>
  <c r="F3257" i="4" s="1"/>
  <c r="D3349" i="4"/>
  <c r="F3349" i="4" s="1"/>
  <c r="D3409" i="4"/>
  <c r="F3409" i="4" s="1"/>
  <c r="D3439" i="4"/>
  <c r="F3439" i="4" s="1"/>
  <c r="D3473" i="4"/>
  <c r="F3473" i="4" s="1"/>
  <c r="D3524" i="4"/>
  <c r="F3524" i="4" s="1"/>
  <c r="D3546" i="4"/>
  <c r="F3546" i="4" s="1"/>
  <c r="D3583" i="4"/>
  <c r="F3583" i="4" s="1"/>
  <c r="D3688" i="4"/>
  <c r="F3688" i="4" s="1"/>
  <c r="D3746" i="4"/>
  <c r="F3746" i="4" s="1"/>
  <c r="D3759" i="4"/>
  <c r="F3759" i="4" s="1"/>
  <c r="D3816" i="4"/>
  <c r="F3816" i="4" s="1"/>
  <c r="D3842" i="4"/>
  <c r="F3842" i="4" s="1"/>
  <c r="D3851" i="4"/>
  <c r="F3851" i="4" s="1"/>
  <c r="D3858" i="4"/>
  <c r="F3858" i="4" s="1"/>
  <c r="D3891" i="4"/>
  <c r="F3891" i="4" s="1"/>
  <c r="D3907" i="4"/>
  <c r="F3907" i="4" s="1"/>
  <c r="D3924" i="4"/>
  <c r="F3924" i="4" s="1"/>
  <c r="D3964" i="4"/>
  <c r="F3964" i="4" s="1"/>
  <c r="D3972" i="4"/>
  <c r="F3972" i="4" s="1"/>
  <c r="D4007" i="4"/>
  <c r="F4007" i="4" s="1"/>
  <c r="D4019" i="4"/>
  <c r="F4019" i="4" s="1"/>
  <c r="D4035" i="4"/>
  <c r="F4035" i="4" s="1"/>
  <c r="D4051" i="4"/>
  <c r="F4051" i="4" s="1"/>
  <c r="D4067" i="4"/>
  <c r="F4067" i="4" s="1"/>
  <c r="D4083" i="4"/>
  <c r="F4083" i="4" s="1"/>
  <c r="D4099" i="4"/>
  <c r="F4099" i="4" s="1"/>
  <c r="D4115" i="4"/>
  <c r="F4115" i="4" s="1"/>
  <c r="D4131" i="4"/>
  <c r="F4131" i="4" s="1"/>
  <c r="D4147" i="4"/>
  <c r="F4147" i="4" s="1"/>
  <c r="D4163" i="4"/>
  <c r="F4163" i="4" s="1"/>
  <c r="D4179" i="4"/>
  <c r="F4179" i="4" s="1"/>
  <c r="D4195" i="4"/>
  <c r="F4195" i="4" s="1"/>
  <c r="D4211" i="4"/>
  <c r="F4211" i="4" s="1"/>
  <c r="D4227" i="4"/>
  <c r="F4227" i="4" s="1"/>
  <c r="D4243" i="4"/>
  <c r="F4243" i="4" s="1"/>
  <c r="D4259" i="4"/>
  <c r="F4259" i="4" s="1"/>
  <c r="D4275" i="4"/>
  <c r="F4275" i="4" s="1"/>
  <c r="D4291" i="4"/>
  <c r="F4291" i="4" s="1"/>
  <c r="D4307" i="4"/>
  <c r="F4307" i="4" s="1"/>
  <c r="D4323" i="4"/>
  <c r="F4323" i="4" s="1"/>
  <c r="D4392" i="4"/>
  <c r="F4392" i="4" s="1"/>
  <c r="D4395" i="4"/>
  <c r="F4395" i="4" s="1"/>
  <c r="D4408" i="4"/>
  <c r="F4408" i="4" s="1"/>
  <c r="D4411" i="4"/>
  <c r="F4411" i="4" s="1"/>
  <c r="D4424" i="4"/>
  <c r="F4424" i="4" s="1"/>
  <c r="D4427" i="4"/>
  <c r="F4427" i="4" s="1"/>
  <c r="D4440" i="4"/>
  <c r="F4440" i="4" s="1"/>
  <c r="D4443" i="4"/>
  <c r="F4443" i="4" s="1"/>
  <c r="D4456" i="4"/>
  <c r="F4456" i="4" s="1"/>
  <c r="D4459" i="4"/>
  <c r="F4459" i="4" s="1"/>
  <c r="D4472" i="4"/>
  <c r="F4472" i="4" s="1"/>
  <c r="D4475" i="4"/>
  <c r="F4475" i="4" s="1"/>
  <c r="D4488" i="4"/>
  <c r="F4488" i="4" s="1"/>
  <c r="D4491" i="4"/>
  <c r="F4491" i="4" s="1"/>
  <c r="D4504" i="4"/>
  <c r="F4504" i="4" s="1"/>
  <c r="D4546" i="4"/>
  <c r="F4546" i="4" s="1"/>
  <c r="D4555" i="4"/>
  <c r="F4555" i="4" s="1"/>
  <c r="D4562" i="4"/>
  <c r="F4562" i="4" s="1"/>
  <c r="D4571" i="4"/>
  <c r="F4571" i="4" s="1"/>
  <c r="D4578" i="4"/>
  <c r="F4578" i="4" s="1"/>
  <c r="D4587" i="4"/>
  <c r="F4587" i="4" s="1"/>
  <c r="D4594" i="4"/>
  <c r="F4594" i="4" s="1"/>
  <c r="D4603" i="4"/>
  <c r="F4603" i="4" s="1"/>
  <c r="D4610" i="4"/>
  <c r="F4610" i="4" s="1"/>
  <c r="D4619" i="4"/>
  <c r="F4619" i="4" s="1"/>
  <c r="D4626" i="4"/>
  <c r="F4626" i="4" s="1"/>
  <c r="D4635" i="4"/>
  <c r="F4635" i="4" s="1"/>
  <c r="D4642" i="4"/>
  <c r="F4642" i="4" s="1"/>
  <c r="D4651" i="4"/>
  <c r="F4651" i="4" s="1"/>
  <c r="D4653" i="4"/>
  <c r="F4653" i="4" s="1"/>
  <c r="D4655" i="4"/>
  <c r="F4655" i="4" s="1"/>
  <c r="D4657" i="4"/>
  <c r="F4657" i="4" s="1"/>
  <c r="D4659" i="4"/>
  <c r="F4659" i="4" s="1"/>
  <c r="D4661" i="4"/>
  <c r="F4661" i="4" s="1"/>
  <c r="D4663" i="4"/>
  <c r="F4663" i="4" s="1"/>
  <c r="D4665" i="4"/>
  <c r="F4665" i="4" s="1"/>
  <c r="D4667" i="4"/>
  <c r="F4667" i="4" s="1"/>
  <c r="D4669" i="4"/>
  <c r="F4669" i="4" s="1"/>
  <c r="D4671" i="4"/>
  <c r="F4671" i="4" s="1"/>
  <c r="D4673" i="4"/>
  <c r="F4673" i="4" s="1"/>
  <c r="D4675" i="4"/>
  <c r="F4675" i="4" s="1"/>
  <c r="D4677" i="4"/>
  <c r="F4677" i="4" s="1"/>
  <c r="D4679" i="4"/>
  <c r="F4679" i="4" s="1"/>
  <c r="D4681" i="4"/>
  <c r="F4681" i="4" s="1"/>
  <c r="D4683" i="4"/>
  <c r="F4683" i="4" s="1"/>
  <c r="D4685" i="4"/>
  <c r="F4685" i="4" s="1"/>
  <c r="D4687" i="4"/>
  <c r="F4687" i="4" s="1"/>
  <c r="D4689" i="4"/>
  <c r="F4689" i="4" s="1"/>
  <c r="D4691" i="4"/>
  <c r="F4691" i="4" s="1"/>
  <c r="D4693" i="4"/>
  <c r="F4693" i="4" s="1"/>
  <c r="D4695" i="4"/>
  <c r="F4695" i="4" s="1"/>
  <c r="D4697" i="4"/>
  <c r="F4697" i="4" s="1"/>
  <c r="D4699" i="4"/>
  <c r="F4699" i="4" s="1"/>
  <c r="D4701" i="4"/>
  <c r="F4701" i="4" s="1"/>
  <c r="D4703" i="4"/>
  <c r="F4703" i="4" s="1"/>
  <c r="D4705" i="4"/>
  <c r="F4705" i="4" s="1"/>
  <c r="D4707" i="4"/>
  <c r="F4707" i="4" s="1"/>
  <c r="D4709" i="4"/>
  <c r="F4709" i="4" s="1"/>
  <c r="D4711" i="4"/>
  <c r="F4711" i="4" s="1"/>
  <c r="D4713" i="4"/>
  <c r="F4713" i="4" s="1"/>
  <c r="D4715" i="4"/>
  <c r="F4715" i="4" s="1"/>
  <c r="D4717" i="4"/>
  <c r="F4717" i="4" s="1"/>
  <c r="D4719" i="4"/>
  <c r="F4719" i="4" s="1"/>
  <c r="D4721" i="4"/>
  <c r="F4721" i="4" s="1"/>
  <c r="D4723" i="4"/>
  <c r="F4723" i="4" s="1"/>
  <c r="D4725" i="4"/>
  <c r="F4725" i="4" s="1"/>
  <c r="D4727" i="4"/>
  <c r="F4727" i="4" s="1"/>
  <c r="D4729" i="4"/>
  <c r="F4729" i="4" s="1"/>
  <c r="D4731" i="4"/>
  <c r="F4731" i="4" s="1"/>
  <c r="D4733" i="4"/>
  <c r="F4733" i="4" s="1"/>
  <c r="D4735" i="4"/>
  <c r="F4735" i="4" s="1"/>
  <c r="D4737" i="4"/>
  <c r="F4737" i="4" s="1"/>
  <c r="D4739" i="4"/>
  <c r="F4739" i="4" s="1"/>
  <c r="D4741" i="4"/>
  <c r="F4741" i="4" s="1"/>
  <c r="D4743" i="4"/>
  <c r="F4743" i="4" s="1"/>
  <c r="D4745" i="4"/>
  <c r="F4745" i="4" s="1"/>
  <c r="D4747" i="4"/>
  <c r="F4747" i="4" s="1"/>
  <c r="D4749" i="4"/>
  <c r="F4749" i="4" s="1"/>
  <c r="D4751" i="4"/>
  <c r="F4751" i="4" s="1"/>
  <c r="D4753" i="4"/>
  <c r="F4753" i="4" s="1"/>
  <c r="D4755" i="4"/>
  <c r="F4755" i="4" s="1"/>
  <c r="D4757" i="4"/>
  <c r="F4757" i="4" s="1"/>
  <c r="D4759" i="4"/>
  <c r="F4759" i="4" s="1"/>
  <c r="D4761" i="4"/>
  <c r="F4761" i="4" s="1"/>
  <c r="D4763" i="4"/>
  <c r="F4763" i="4" s="1"/>
  <c r="D4765" i="4"/>
  <c r="F4765" i="4" s="1"/>
  <c r="D4767" i="4"/>
  <c r="F4767" i="4" s="1"/>
  <c r="D4769" i="4"/>
  <c r="F4769" i="4" s="1"/>
  <c r="D4771" i="4"/>
  <c r="F4771" i="4" s="1"/>
  <c r="D4773" i="4"/>
  <c r="F4773" i="4" s="1"/>
  <c r="D4775" i="4"/>
  <c r="F4775" i="4" s="1"/>
  <c r="D4777" i="4"/>
  <c r="F4777" i="4" s="1"/>
  <c r="D4779" i="4"/>
  <c r="F4779" i="4" s="1"/>
  <c r="D4781" i="4"/>
  <c r="F4781" i="4" s="1"/>
  <c r="D4783" i="4"/>
  <c r="F4783" i="4" s="1"/>
  <c r="D4785" i="4"/>
  <c r="F4785" i="4" s="1"/>
  <c r="D4789" i="4"/>
  <c r="F4789" i="4" s="1"/>
  <c r="D4791" i="4"/>
  <c r="F4791" i="4" s="1"/>
  <c r="D4793" i="4"/>
  <c r="F4793" i="4" s="1"/>
  <c r="D4795" i="4"/>
  <c r="F4795" i="4" s="1"/>
  <c r="D4797" i="4"/>
  <c r="F4797" i="4" s="1"/>
  <c r="D4799" i="4"/>
  <c r="F4799" i="4" s="1"/>
  <c r="D4801" i="4"/>
  <c r="F4801" i="4" s="1"/>
  <c r="D4803" i="4"/>
  <c r="F4803" i="4" s="1"/>
  <c r="D4807" i="4"/>
  <c r="F4807" i="4" s="1"/>
  <c r="D4811" i="4"/>
  <c r="F4811" i="4" s="1"/>
  <c r="D4815" i="4"/>
  <c r="F4815" i="4" s="1"/>
  <c r="D4819" i="4"/>
  <c r="F4819" i="4" s="1"/>
  <c r="D4823" i="4"/>
  <c r="F4823" i="4" s="1"/>
  <c r="D4827" i="4"/>
  <c r="F4827" i="4" s="1"/>
  <c r="D4831" i="4"/>
  <c r="F4831" i="4" s="1"/>
  <c r="D4835" i="4"/>
  <c r="F4835" i="4" s="1"/>
  <c r="D4839" i="4"/>
  <c r="F4839" i="4" s="1"/>
  <c r="D4845" i="4"/>
  <c r="F4845" i="4" s="1"/>
  <c r="D4849" i="4"/>
  <c r="F4849" i="4" s="1"/>
  <c r="D4853" i="4"/>
  <c r="F4853" i="4" s="1"/>
  <c r="D4857" i="4"/>
  <c r="F4857" i="4" s="1"/>
  <c r="D4861" i="4"/>
  <c r="F4861" i="4" s="1"/>
  <c r="D4865" i="4"/>
  <c r="F4865" i="4" s="1"/>
  <c r="D4869" i="4"/>
  <c r="F4869" i="4" s="1"/>
  <c r="D4875" i="4"/>
  <c r="F4875" i="4" s="1"/>
  <c r="D4879" i="4"/>
  <c r="F4879" i="4" s="1"/>
  <c r="D4883" i="4"/>
  <c r="F4883" i="4" s="1"/>
  <c r="D4887" i="4"/>
  <c r="F4887" i="4" s="1"/>
  <c r="D4893" i="4"/>
  <c r="F4893" i="4" s="1"/>
  <c r="D4897" i="4"/>
  <c r="F4897" i="4" s="1"/>
  <c r="D4901" i="4"/>
  <c r="F4901" i="4" s="1"/>
  <c r="D4905" i="4"/>
  <c r="F4905" i="4" s="1"/>
  <c r="D4909" i="4"/>
  <c r="F4909" i="4" s="1"/>
  <c r="D4913" i="4"/>
  <c r="F4913" i="4" s="1"/>
  <c r="D4917" i="4"/>
  <c r="F4917" i="4" s="1"/>
  <c r="D4921" i="4"/>
  <c r="F4921" i="4" s="1"/>
  <c r="D4925" i="4"/>
  <c r="F4925" i="4" s="1"/>
  <c r="D4929" i="4"/>
  <c r="F4929" i="4" s="1"/>
  <c r="D4935" i="4"/>
  <c r="F4935" i="4" s="1"/>
  <c r="D4939" i="4"/>
  <c r="F4939" i="4" s="1"/>
  <c r="D4943" i="4"/>
  <c r="F4943" i="4" s="1"/>
  <c r="D4947" i="4"/>
  <c r="F4947" i="4" s="1"/>
  <c r="D4951" i="4"/>
  <c r="F4951" i="4" s="1"/>
  <c r="D4955" i="4"/>
  <c r="F4955" i="4" s="1"/>
  <c r="D4957" i="4"/>
  <c r="F4957" i="4" s="1"/>
  <c r="D4961" i="4"/>
  <c r="F4961" i="4" s="1"/>
  <c r="D4965" i="4"/>
  <c r="F4965" i="4" s="1"/>
  <c r="D4969" i="4"/>
  <c r="F4969" i="4" s="1"/>
  <c r="D4973" i="4"/>
  <c r="F4973" i="4" s="1"/>
  <c r="D4977" i="4"/>
  <c r="F4977" i="4" s="1"/>
  <c r="D4981" i="4"/>
  <c r="F4981" i="4" s="1"/>
  <c r="D4985" i="4"/>
  <c r="F4985" i="4" s="1"/>
  <c r="D4989" i="4"/>
  <c r="F4989" i="4" s="1"/>
  <c r="D4993" i="4"/>
  <c r="F4993" i="4" s="1"/>
  <c r="D4999" i="4"/>
  <c r="F4999" i="4" s="1"/>
  <c r="D5003" i="4"/>
  <c r="F5003" i="4" s="1"/>
  <c r="D5007" i="4"/>
  <c r="F5007" i="4" s="1"/>
  <c r="D5011" i="4"/>
  <c r="F5011" i="4" s="1"/>
  <c r="D5015" i="4"/>
  <c r="F5015" i="4" s="1"/>
  <c r="D3554" i="4"/>
  <c r="F3554" i="4" s="1"/>
  <c r="D3975" i="4"/>
  <c r="F3975" i="4" s="1"/>
  <c r="D4059" i="4"/>
  <c r="F4059" i="4" s="1"/>
  <c r="D4219" i="4"/>
  <c r="F4219" i="4" s="1"/>
  <c r="D4283" i="4"/>
  <c r="F4283" i="4" s="1"/>
  <c r="D4315" i="4"/>
  <c r="F4315" i="4" s="1"/>
  <c r="D4435" i="4"/>
  <c r="F4435" i="4" s="1"/>
  <c r="D4602" i="4"/>
  <c r="F4602" i="4" s="1"/>
  <c r="D4618" i="4"/>
  <c r="F4618" i="4" s="1"/>
  <c r="D4658" i="4"/>
  <c r="F4658" i="4" s="1"/>
  <c r="D4668" i="4"/>
  <c r="F4668" i="4" s="1"/>
  <c r="D4678" i="4"/>
  <c r="F4678" i="4" s="1"/>
  <c r="D4688" i="4"/>
  <c r="F4688" i="4" s="1"/>
  <c r="D4698" i="4"/>
  <c r="F4698" i="4" s="1"/>
  <c r="D4708" i="4"/>
  <c r="F4708" i="4" s="1"/>
  <c r="D4718" i="4"/>
  <c r="F4718" i="4" s="1"/>
  <c r="D4728" i="4"/>
  <c r="F4728" i="4" s="1"/>
  <c r="D4738" i="4"/>
  <c r="F4738" i="4" s="1"/>
  <c r="D4748" i="4"/>
  <c r="F4748" i="4" s="1"/>
  <c r="D4756" i="4"/>
  <c r="F4756" i="4" s="1"/>
  <c r="D4764" i="4"/>
  <c r="F4764" i="4" s="1"/>
  <c r="D4774" i="4"/>
  <c r="F4774" i="4" s="1"/>
  <c r="D4784" i="4"/>
  <c r="F4784" i="4" s="1"/>
  <c r="D4794" i="4"/>
  <c r="F4794" i="4" s="1"/>
  <c r="D4804" i="4"/>
  <c r="F4804" i="4" s="1"/>
  <c r="D4814" i="4"/>
  <c r="F4814" i="4" s="1"/>
  <c r="D4824" i="4"/>
  <c r="F4824" i="4" s="1"/>
  <c r="D4836" i="4"/>
  <c r="F4836" i="4" s="1"/>
  <c r="D4846" i="4"/>
  <c r="F4846" i="4" s="1"/>
  <c r="D4856" i="4"/>
  <c r="F4856" i="4" s="1"/>
  <c r="D4868" i="4"/>
  <c r="F4868" i="4" s="1"/>
  <c r="D4878" i="4"/>
  <c r="F4878" i="4" s="1"/>
  <c r="D4888" i="4"/>
  <c r="F4888" i="4" s="1"/>
  <c r="D4898" i="4"/>
  <c r="F4898" i="4" s="1"/>
  <c r="D4910" i="4"/>
  <c r="F4910" i="4" s="1"/>
  <c r="D4920" i="4"/>
  <c r="F4920" i="4" s="1"/>
  <c r="D4930" i="4"/>
  <c r="F4930" i="4" s="1"/>
  <c r="D4940" i="4"/>
  <c r="F4940" i="4" s="1"/>
  <c r="D4950" i="4"/>
  <c r="F4950" i="4" s="1"/>
  <c r="D4960" i="4"/>
  <c r="F4960" i="4" s="1"/>
  <c r="D4970" i="4"/>
  <c r="F4970" i="4" s="1"/>
  <c r="D4980" i="4"/>
  <c r="F4980" i="4" s="1"/>
  <c r="D4990" i="4"/>
  <c r="F4990" i="4" s="1"/>
  <c r="D5002" i="4"/>
  <c r="F5002" i="4" s="1"/>
  <c r="D5012" i="4"/>
  <c r="F5012" i="4" s="1"/>
  <c r="D3983" i="4"/>
  <c r="F3983" i="4" s="1"/>
  <c r="D4257" i="4"/>
  <c r="F4257" i="4" s="1"/>
  <c r="D4353" i="4"/>
  <c r="F4353" i="4" s="1"/>
  <c r="D4373" i="4"/>
  <c r="F4373" i="4" s="1"/>
  <c r="D4429" i="4"/>
  <c r="F4429" i="4" s="1"/>
  <c r="D4477" i="4"/>
  <c r="F4477" i="4" s="1"/>
  <c r="D4493" i="4"/>
  <c r="F4493" i="4" s="1"/>
  <c r="D4527" i="4"/>
  <c r="F4527" i="4" s="1"/>
  <c r="D4625" i="4"/>
  <c r="F4625" i="4" s="1"/>
  <c r="D4641" i="4"/>
  <c r="F4641" i="4" s="1"/>
  <c r="D2691" i="4"/>
  <c r="F2691" i="4" s="1"/>
  <c r="D2847" i="4"/>
  <c r="F2847" i="4" s="1"/>
  <c r="D2889" i="4"/>
  <c r="F2889" i="4" s="1"/>
  <c r="D2983" i="4"/>
  <c r="F2983" i="4" s="1"/>
  <c r="D3113" i="4"/>
  <c r="F3113" i="4" s="1"/>
  <c r="D3148" i="4"/>
  <c r="F3148" i="4" s="1"/>
  <c r="D3228" i="4"/>
  <c r="F3228" i="4" s="1"/>
  <c r="D3260" i="4"/>
  <c r="F3260" i="4" s="1"/>
  <c r="D3324" i="4"/>
  <c r="F3324" i="4" s="1"/>
  <c r="D3383" i="4"/>
  <c r="F3383" i="4" s="1"/>
  <c r="D3584" i="4"/>
  <c r="F3584" i="4" s="1"/>
  <c r="D3624" i="4"/>
  <c r="F3624" i="4" s="1"/>
  <c r="D3704" i="4"/>
  <c r="F3704" i="4" s="1"/>
  <c r="D3762" i="4"/>
  <c r="F3762" i="4" s="1"/>
  <c r="D3775" i="4"/>
  <c r="F3775" i="4" s="1"/>
  <c r="D3827" i="4"/>
  <c r="F3827" i="4" s="1"/>
  <c r="D3843" i="4"/>
  <c r="F3843" i="4" s="1"/>
  <c r="D3860" i="4"/>
  <c r="F3860" i="4" s="1"/>
  <c r="D3900" i="4"/>
  <c r="F3900" i="4" s="1"/>
  <c r="D3916" i="4"/>
  <c r="F3916" i="4" s="1"/>
  <c r="D3980" i="4"/>
  <c r="F3980" i="4" s="1"/>
  <c r="D4015" i="4"/>
  <c r="F4015" i="4" s="1"/>
  <c r="D4025" i="4"/>
  <c r="F4025" i="4" s="1"/>
  <c r="D4041" i="4"/>
  <c r="F4041" i="4" s="1"/>
  <c r="D4057" i="4"/>
  <c r="F4057" i="4" s="1"/>
  <c r="D4073" i="4"/>
  <c r="F4073" i="4" s="1"/>
  <c r="D4089" i="4"/>
  <c r="F4089" i="4" s="1"/>
  <c r="D4105" i="4"/>
  <c r="F4105" i="4" s="1"/>
  <c r="D4121" i="4"/>
  <c r="F4121" i="4" s="1"/>
  <c r="D4137" i="4"/>
  <c r="F4137" i="4" s="1"/>
  <c r="D4153" i="4"/>
  <c r="F4153" i="4" s="1"/>
  <c r="D4169" i="4"/>
  <c r="F4169" i="4" s="1"/>
  <c r="D4185" i="4"/>
  <c r="F4185" i="4" s="1"/>
  <c r="D4201" i="4"/>
  <c r="F4201" i="4" s="1"/>
  <c r="D4217" i="4"/>
  <c r="F4217" i="4" s="1"/>
  <c r="D4233" i="4"/>
  <c r="F4233" i="4" s="1"/>
  <c r="D4249" i="4"/>
  <c r="F4249" i="4" s="1"/>
  <c r="D4265" i="4"/>
  <c r="F4265" i="4" s="1"/>
  <c r="D4281" i="4"/>
  <c r="F4281" i="4" s="1"/>
  <c r="D4297" i="4"/>
  <c r="F4297" i="4" s="1"/>
  <c r="D4313" i="4"/>
  <c r="F4313" i="4" s="1"/>
  <c r="D4329" i="4"/>
  <c r="F4329" i="4" s="1"/>
  <c r="D4339" i="4"/>
  <c r="F4339" i="4" s="1"/>
  <c r="D4343" i="4"/>
  <c r="F4343" i="4" s="1"/>
  <c r="D4347" i="4"/>
  <c r="F4347" i="4" s="1"/>
  <c r="D4351" i="4"/>
  <c r="F4351" i="4" s="1"/>
  <c r="D4355" i="4"/>
  <c r="F4355" i="4" s="1"/>
  <c r="D4359" i="4"/>
  <c r="F4359" i="4" s="1"/>
  <c r="D4363" i="4"/>
  <c r="F4363" i="4" s="1"/>
  <c r="D4367" i="4"/>
  <c r="F4367" i="4" s="1"/>
  <c r="D4371" i="4"/>
  <c r="F4371" i="4" s="1"/>
  <c r="D4375" i="4"/>
  <c r="F4375" i="4" s="1"/>
  <c r="D4379" i="4"/>
  <c r="F4379" i="4" s="1"/>
  <c r="D4386" i="4"/>
  <c r="F4386" i="4" s="1"/>
  <c r="D4389" i="4"/>
  <c r="F4389" i="4" s="1"/>
  <c r="D4402" i="4"/>
  <c r="F4402" i="4" s="1"/>
  <c r="D4405" i="4"/>
  <c r="F4405" i="4" s="1"/>
  <c r="D4418" i="4"/>
  <c r="F4418" i="4" s="1"/>
  <c r="D4421" i="4"/>
  <c r="F4421" i="4" s="1"/>
  <c r="D4434" i="4"/>
  <c r="F4434" i="4" s="1"/>
  <c r="D4437" i="4"/>
  <c r="F4437" i="4" s="1"/>
  <c r="D4450" i="4"/>
  <c r="F4450" i="4" s="1"/>
  <c r="D4453" i="4"/>
  <c r="F4453" i="4" s="1"/>
  <c r="D4466" i="4"/>
  <c r="F4466" i="4" s="1"/>
  <c r="D4469" i="4"/>
  <c r="F4469" i="4" s="1"/>
  <c r="D4482" i="4"/>
  <c r="F4482" i="4" s="1"/>
  <c r="D4485" i="4"/>
  <c r="F4485" i="4" s="1"/>
  <c r="D4498" i="4"/>
  <c r="F4498" i="4" s="1"/>
  <c r="D4501" i="4"/>
  <c r="F4501" i="4" s="1"/>
  <c r="D4507" i="4"/>
  <c r="F4507" i="4" s="1"/>
  <c r="D4510" i="4"/>
  <c r="F4510" i="4" s="1"/>
  <c r="D4515" i="4"/>
  <c r="F4515" i="4" s="1"/>
  <c r="D4518" i="4"/>
  <c r="F4518" i="4" s="1"/>
  <c r="D4523" i="4"/>
  <c r="F4523" i="4" s="1"/>
  <c r="D4526" i="4"/>
  <c r="F4526" i="4" s="1"/>
  <c r="D4531" i="4"/>
  <c r="F4531" i="4" s="1"/>
  <c r="D4534" i="4"/>
  <c r="F4534" i="4" s="1"/>
  <c r="D4539" i="4"/>
  <c r="F4539" i="4" s="1"/>
  <c r="D4544" i="4"/>
  <c r="F4544" i="4" s="1"/>
  <c r="D4553" i="4"/>
  <c r="F4553" i="4" s="1"/>
  <c r="D4560" i="4"/>
  <c r="F4560" i="4" s="1"/>
  <c r="D4569" i="4"/>
  <c r="F4569" i="4" s="1"/>
  <c r="D4576" i="4"/>
  <c r="F4576" i="4" s="1"/>
  <c r="D4585" i="4"/>
  <c r="F4585" i="4" s="1"/>
  <c r="D4592" i="4"/>
  <c r="F4592" i="4" s="1"/>
  <c r="D4601" i="4"/>
  <c r="F4601" i="4" s="1"/>
  <c r="D4608" i="4"/>
  <c r="F4608" i="4" s="1"/>
  <c r="D4617" i="4"/>
  <c r="F4617" i="4" s="1"/>
  <c r="D4624" i="4"/>
  <c r="F4624" i="4" s="1"/>
  <c r="D4633" i="4"/>
  <c r="F4633" i="4" s="1"/>
  <c r="D4640" i="4"/>
  <c r="F4640" i="4" s="1"/>
  <c r="D4649" i="4"/>
  <c r="F4649" i="4" s="1"/>
  <c r="D3810" i="4"/>
  <c r="F3810" i="4" s="1"/>
  <c r="D4075" i="4"/>
  <c r="F4075" i="4" s="1"/>
  <c r="D4123" i="4"/>
  <c r="F4123" i="4" s="1"/>
  <c r="D4235" i="4"/>
  <c r="F4235" i="4" s="1"/>
  <c r="D4432" i="4"/>
  <c r="F4432" i="4" s="1"/>
  <c r="D4483" i="4"/>
  <c r="F4483" i="4" s="1"/>
  <c r="D4650" i="4"/>
  <c r="F4650" i="4" s="1"/>
  <c r="D4662" i="4"/>
  <c r="F4662" i="4" s="1"/>
  <c r="D4672" i="4"/>
  <c r="F4672" i="4" s="1"/>
  <c r="D4680" i="4"/>
  <c r="F4680" i="4" s="1"/>
  <c r="D4690" i="4"/>
  <c r="F4690" i="4" s="1"/>
  <c r="D4700" i="4"/>
  <c r="F4700" i="4" s="1"/>
  <c r="D4710" i="4"/>
  <c r="F4710" i="4" s="1"/>
  <c r="D4720" i="4"/>
  <c r="F4720" i="4" s="1"/>
  <c r="D4730" i="4"/>
  <c r="F4730" i="4" s="1"/>
  <c r="D4744" i="4"/>
  <c r="F4744" i="4" s="1"/>
  <c r="D4754" i="4"/>
  <c r="F4754" i="4" s="1"/>
  <c r="D4766" i="4"/>
  <c r="F4766" i="4" s="1"/>
  <c r="D4776" i="4"/>
  <c r="F4776" i="4" s="1"/>
  <c r="D4786" i="4"/>
  <c r="F4786" i="4" s="1"/>
  <c r="D4798" i="4"/>
  <c r="F4798" i="4" s="1"/>
  <c r="D4808" i="4"/>
  <c r="F4808" i="4" s="1"/>
  <c r="D4818" i="4"/>
  <c r="F4818" i="4" s="1"/>
  <c r="D4828" i="4"/>
  <c r="F4828" i="4" s="1"/>
  <c r="D4838" i="4"/>
  <c r="F4838" i="4" s="1"/>
  <c r="D4848" i="4"/>
  <c r="F4848" i="4" s="1"/>
  <c r="D4858" i="4"/>
  <c r="F4858" i="4" s="1"/>
  <c r="D4866" i="4"/>
  <c r="F4866" i="4" s="1"/>
  <c r="D4876" i="4"/>
  <c r="F4876" i="4" s="1"/>
  <c r="D4886" i="4"/>
  <c r="F4886" i="4" s="1"/>
  <c r="D4896" i="4"/>
  <c r="F4896" i="4" s="1"/>
  <c r="D4906" i="4"/>
  <c r="F4906" i="4" s="1"/>
  <c r="D4916" i="4"/>
  <c r="F4916" i="4" s="1"/>
  <c r="D4928" i="4"/>
  <c r="F4928" i="4" s="1"/>
  <c r="D4938" i="4"/>
  <c r="F4938" i="4" s="1"/>
  <c r="D4946" i="4"/>
  <c r="F4946" i="4" s="1"/>
  <c r="D4956" i="4"/>
  <c r="F4956" i="4" s="1"/>
  <c r="D4966" i="4"/>
  <c r="F4966" i="4" s="1"/>
  <c r="D4976" i="4"/>
  <c r="F4976" i="4" s="1"/>
  <c r="D4986" i="4"/>
  <c r="F4986" i="4" s="1"/>
  <c r="D4996" i="4"/>
  <c r="F4996" i="4" s="1"/>
  <c r="D5006" i="4"/>
  <c r="F5006" i="4" s="1"/>
  <c r="D4241" i="4"/>
  <c r="F4241" i="4" s="1"/>
  <c r="D4337" i="4"/>
  <c r="F4337" i="4" s="1"/>
  <c r="D4369" i="4"/>
  <c r="F4369" i="4" s="1"/>
  <c r="D4394" i="4"/>
  <c r="F4394" i="4" s="1"/>
  <c r="D4514" i="4"/>
  <c r="F4514" i="4" s="1"/>
  <c r="D4530" i="4"/>
  <c r="F4530" i="4" s="1"/>
  <c r="D4545" i="4"/>
  <c r="F4545" i="4" s="1"/>
  <c r="D4561" i="4"/>
  <c r="F4561" i="4" s="1"/>
  <c r="D4577" i="4"/>
  <c r="F4577" i="4" s="1"/>
  <c r="D4616" i="4"/>
  <c r="F4616" i="4" s="1"/>
  <c r="D4632" i="4"/>
  <c r="F4632" i="4" s="1"/>
  <c r="D4648" i="4"/>
  <c r="F4648" i="4" s="1"/>
  <c r="D2798" i="4"/>
  <c r="F2798" i="4" s="1"/>
  <c r="D2903" i="4"/>
  <c r="F2903" i="4" s="1"/>
  <c r="D2985" i="4"/>
  <c r="F2985" i="4" s="1"/>
  <c r="D3116" i="4"/>
  <c r="F3116" i="4" s="1"/>
  <c r="D3268" i="4"/>
  <c r="F3268" i="4" s="1"/>
  <c r="D3325" i="4"/>
  <c r="F3325" i="4" s="1"/>
  <c r="D3385" i="4"/>
  <c r="F3385" i="4" s="1"/>
  <c r="D3449" i="4"/>
  <c r="F3449" i="4" s="1"/>
  <c r="D3477" i="4"/>
  <c r="F3477" i="4" s="1"/>
  <c r="D3532" i="4"/>
  <c r="F3532" i="4" s="1"/>
  <c r="D3568" i="4"/>
  <c r="F3568" i="4" s="1"/>
  <c r="D3663" i="4"/>
  <c r="F3663" i="4" s="1"/>
  <c r="D3720" i="4"/>
  <c r="F3720" i="4" s="1"/>
  <c r="D3778" i="4"/>
  <c r="F3778" i="4" s="1"/>
  <c r="D3791" i="4"/>
  <c r="F3791" i="4" s="1"/>
  <c r="D3836" i="4"/>
  <c r="F3836" i="4" s="1"/>
  <c r="D3852" i="4"/>
  <c r="F3852" i="4" s="1"/>
  <c r="D3918" i="4"/>
  <c r="F3918" i="4" s="1"/>
  <c r="D3958" i="4"/>
  <c r="F3958" i="4" s="1"/>
  <c r="D3973" i="4"/>
  <c r="F3973" i="4" s="1"/>
  <c r="D3988" i="4"/>
  <c r="F3988" i="4" s="1"/>
  <c r="D4031" i="4"/>
  <c r="F4031" i="4" s="1"/>
  <c r="D4047" i="4"/>
  <c r="F4047" i="4" s="1"/>
  <c r="D4063" i="4"/>
  <c r="F4063" i="4" s="1"/>
  <c r="D4079" i="4"/>
  <c r="F4079" i="4" s="1"/>
  <c r="D4095" i="4"/>
  <c r="F4095" i="4" s="1"/>
  <c r="D4111" i="4"/>
  <c r="F4111" i="4" s="1"/>
  <c r="D4127" i="4"/>
  <c r="F4127" i="4" s="1"/>
  <c r="D4143" i="4"/>
  <c r="F4143" i="4" s="1"/>
  <c r="D4159" i="4"/>
  <c r="F4159" i="4" s="1"/>
  <c r="D4175" i="4"/>
  <c r="F4175" i="4" s="1"/>
  <c r="D4191" i="4"/>
  <c r="F4191" i="4" s="1"/>
  <c r="D4207" i="4"/>
  <c r="F4207" i="4" s="1"/>
  <c r="D4223" i="4"/>
  <c r="F4223" i="4" s="1"/>
  <c r="D4239" i="4"/>
  <c r="F4239" i="4" s="1"/>
  <c r="D4255" i="4"/>
  <c r="F4255" i="4" s="1"/>
  <c r="D4271" i="4"/>
  <c r="F4271" i="4" s="1"/>
  <c r="D4287" i="4"/>
  <c r="F4287" i="4" s="1"/>
  <c r="D4303" i="4"/>
  <c r="F4303" i="4" s="1"/>
  <c r="D4319" i="4"/>
  <c r="F4319" i="4" s="1"/>
  <c r="D4335" i="4"/>
  <c r="F4335" i="4" s="1"/>
  <c r="D4383" i="4"/>
  <c r="F4383" i="4" s="1"/>
  <c r="D4396" i="4"/>
  <c r="F4396" i="4" s="1"/>
  <c r="D4399" i="4"/>
  <c r="F4399" i="4" s="1"/>
  <c r="D4412" i="4"/>
  <c r="F4412" i="4" s="1"/>
  <c r="D4415" i="4"/>
  <c r="F4415" i="4" s="1"/>
  <c r="D4428" i="4"/>
  <c r="F4428" i="4" s="1"/>
  <c r="D4431" i="4"/>
  <c r="F4431" i="4" s="1"/>
  <c r="D4444" i="4"/>
  <c r="F4444" i="4" s="1"/>
  <c r="D4447" i="4"/>
  <c r="F4447" i="4" s="1"/>
  <c r="D4460" i="4"/>
  <c r="F4460" i="4" s="1"/>
  <c r="D4463" i="4"/>
  <c r="F4463" i="4" s="1"/>
  <c r="D4476" i="4"/>
  <c r="F4476" i="4" s="1"/>
  <c r="D4479" i="4"/>
  <c r="F4479" i="4" s="1"/>
  <c r="D4492" i="4"/>
  <c r="F4492" i="4" s="1"/>
  <c r="D4495" i="4"/>
  <c r="F4495" i="4" s="1"/>
  <c r="D4542" i="4"/>
  <c r="F4542" i="4" s="1"/>
  <c r="D4551" i="4"/>
  <c r="F4551" i="4" s="1"/>
  <c r="D4558" i="4"/>
  <c r="F4558" i="4" s="1"/>
  <c r="D4567" i="4"/>
  <c r="F4567" i="4" s="1"/>
  <c r="D4574" i="4"/>
  <c r="F4574" i="4" s="1"/>
  <c r="D4583" i="4"/>
  <c r="F4583" i="4" s="1"/>
  <c r="D4590" i="4"/>
  <c r="F4590" i="4" s="1"/>
  <c r="D4599" i="4"/>
  <c r="F4599" i="4" s="1"/>
  <c r="D4606" i="4"/>
  <c r="F4606" i="4" s="1"/>
  <c r="D4615" i="4"/>
  <c r="F4615" i="4" s="1"/>
  <c r="D4622" i="4"/>
  <c r="F4622" i="4" s="1"/>
  <c r="D4631" i="4"/>
  <c r="F4631" i="4" s="1"/>
  <c r="D4638" i="4"/>
  <c r="F4638" i="4" s="1"/>
  <c r="D4647" i="4"/>
  <c r="F4647" i="4" s="1"/>
  <c r="D2864" i="4"/>
  <c r="F2864" i="4" s="1"/>
  <c r="D3515" i="4"/>
  <c r="F3515" i="4" s="1"/>
  <c r="D3830" i="4"/>
  <c r="F3830" i="4" s="1"/>
  <c r="D3863" i="4"/>
  <c r="F3863" i="4" s="1"/>
  <c r="D3903" i="4"/>
  <c r="F3903" i="4" s="1"/>
  <c r="D4251" i="4"/>
  <c r="F4251" i="4" s="1"/>
  <c r="D4403" i="4"/>
  <c r="F4403" i="4" s="1"/>
  <c r="D4547" i="4"/>
  <c r="F4547" i="4" s="1"/>
  <c r="D4627" i="4"/>
  <c r="F4627" i="4" s="1"/>
  <c r="D4643" i="4"/>
  <c r="F4643" i="4" s="1"/>
  <c r="D4654" i="4"/>
  <c r="F4654" i="4" s="1"/>
  <c r="D4664" i="4"/>
  <c r="F4664" i="4" s="1"/>
  <c r="D4674" i="4"/>
  <c r="F4674" i="4" s="1"/>
  <c r="D4684" i="4"/>
  <c r="F4684" i="4" s="1"/>
  <c r="D4694" i="4"/>
  <c r="F4694" i="4" s="1"/>
  <c r="D4702" i="4"/>
  <c r="F4702" i="4" s="1"/>
  <c r="D4712" i="4"/>
  <c r="F4712" i="4" s="1"/>
  <c r="D4722" i="4"/>
  <c r="F4722" i="4" s="1"/>
  <c r="D4732" i="4"/>
  <c r="F4732" i="4" s="1"/>
  <c r="D4740" i="4"/>
  <c r="F4740" i="4" s="1"/>
  <c r="D4750" i="4"/>
  <c r="F4750" i="4" s="1"/>
  <c r="D4760" i="4"/>
  <c r="F4760" i="4" s="1"/>
  <c r="D4770" i="4"/>
  <c r="F4770" i="4" s="1"/>
  <c r="D4780" i="4"/>
  <c r="F4780" i="4" s="1"/>
  <c r="D4788" i="4"/>
  <c r="F4788" i="4" s="1"/>
  <c r="D4796" i="4"/>
  <c r="F4796" i="4" s="1"/>
  <c r="D4806" i="4"/>
  <c r="F4806" i="4" s="1"/>
  <c r="D4816" i="4"/>
  <c r="F4816" i="4" s="1"/>
  <c r="D4826" i="4"/>
  <c r="F4826" i="4" s="1"/>
  <c r="D4834" i="4"/>
  <c r="F4834" i="4" s="1"/>
  <c r="D4842" i="4"/>
  <c r="F4842" i="4" s="1"/>
  <c r="D4850" i="4"/>
  <c r="F4850" i="4" s="1"/>
  <c r="D4860" i="4"/>
  <c r="F4860" i="4" s="1"/>
  <c r="D4870" i="4"/>
  <c r="F4870" i="4" s="1"/>
  <c r="D4880" i="4"/>
  <c r="F4880" i="4" s="1"/>
  <c r="D4890" i="4"/>
  <c r="F4890" i="4" s="1"/>
  <c r="D4900" i="4"/>
  <c r="F4900" i="4" s="1"/>
  <c r="D4908" i="4"/>
  <c r="F4908" i="4" s="1"/>
  <c r="D4918" i="4"/>
  <c r="F4918" i="4" s="1"/>
  <c r="D4926" i="4"/>
  <c r="F4926" i="4" s="1"/>
  <c r="D4936" i="4"/>
  <c r="F4936" i="4" s="1"/>
  <c r="D4948" i="4"/>
  <c r="F4948" i="4" s="1"/>
  <c r="D4958" i="4"/>
  <c r="F4958" i="4" s="1"/>
  <c r="D4968" i="4"/>
  <c r="F4968" i="4" s="1"/>
  <c r="D4978" i="4"/>
  <c r="F4978" i="4" s="1"/>
  <c r="D4988" i="4"/>
  <c r="F4988" i="4" s="1"/>
  <c r="D4998" i="4"/>
  <c r="F4998" i="4" s="1"/>
  <c r="D5008" i="4"/>
  <c r="F5008" i="4" s="1"/>
  <c r="D2958" i="4"/>
  <c r="F2958" i="4" s="1"/>
  <c r="D3129" i="4"/>
  <c r="F3129" i="4" s="1"/>
  <c r="D3487" i="4"/>
  <c r="F3487" i="4" s="1"/>
  <c r="D3711" i="4"/>
  <c r="F3711" i="4" s="1"/>
  <c r="D3768" i="4"/>
  <c r="F3768" i="4" s="1"/>
  <c r="D3839" i="4"/>
  <c r="F3839" i="4" s="1"/>
  <c r="D3888" i="4"/>
  <c r="F3888" i="4" s="1"/>
  <c r="D3961" i="4"/>
  <c r="F3961" i="4" s="1"/>
  <c r="D4049" i="4"/>
  <c r="F4049" i="4" s="1"/>
  <c r="D4081" i="4"/>
  <c r="F4081" i="4" s="1"/>
  <c r="D4113" i="4"/>
  <c r="F4113" i="4" s="1"/>
  <c r="D4145" i="4"/>
  <c r="F4145" i="4" s="1"/>
  <c r="D4193" i="4"/>
  <c r="F4193" i="4" s="1"/>
  <c r="D4273" i="4"/>
  <c r="F4273" i="4" s="1"/>
  <c r="D4305" i="4"/>
  <c r="F4305" i="4" s="1"/>
  <c r="D4349" i="4"/>
  <c r="F4349" i="4" s="1"/>
  <c r="D4365" i="4"/>
  <c r="F4365" i="4" s="1"/>
  <c r="D4410" i="4"/>
  <c r="F4410" i="4" s="1"/>
  <c r="D4426" i="4"/>
  <c r="F4426" i="4" s="1"/>
  <c r="D4442" i="4"/>
  <c r="F4442" i="4" s="1"/>
  <c r="D4458" i="4"/>
  <c r="F4458" i="4" s="1"/>
  <c r="D4474" i="4"/>
  <c r="F4474" i="4" s="1"/>
  <c r="D4490" i="4"/>
  <c r="F4490" i="4" s="1"/>
  <c r="D4506" i="4"/>
  <c r="F4506" i="4" s="1"/>
  <c r="D4522" i="4"/>
  <c r="F4522" i="4" s="1"/>
  <c r="D4538" i="4"/>
  <c r="F4538" i="4" s="1"/>
  <c r="D4568" i="4"/>
  <c r="F4568" i="4" s="1"/>
  <c r="D4593" i="4"/>
  <c r="F4593" i="4" s="1"/>
  <c r="D4609" i="4"/>
  <c r="F4609" i="4" s="1"/>
  <c r="D2699" i="4"/>
  <c r="F2699" i="4" s="1"/>
  <c r="D2854" i="4"/>
  <c r="F2854" i="4" s="1"/>
  <c r="D2952" i="4"/>
  <c r="F2952" i="4" s="1"/>
  <c r="D2989" i="4"/>
  <c r="F2989" i="4" s="1"/>
  <c r="D3034" i="4"/>
  <c r="F3034" i="4" s="1"/>
  <c r="D3359" i="4"/>
  <c r="F3359" i="4" s="1"/>
  <c r="D3570" i="4"/>
  <c r="F3570" i="4" s="1"/>
  <c r="D3610" i="4"/>
  <c r="F3610" i="4" s="1"/>
  <c r="D3647" i="4"/>
  <c r="F3647" i="4" s="1"/>
  <c r="D3666" i="4"/>
  <c r="F3666" i="4" s="1"/>
  <c r="D3679" i="4"/>
  <c r="F3679" i="4" s="1"/>
  <c r="D3736" i="4"/>
  <c r="F3736" i="4" s="1"/>
  <c r="D3794" i="4"/>
  <c r="F3794" i="4" s="1"/>
  <c r="D3807" i="4"/>
  <c r="F3807" i="4" s="1"/>
  <c r="D3854" i="4"/>
  <c r="F3854" i="4" s="1"/>
  <c r="D3894" i="4"/>
  <c r="F3894" i="4" s="1"/>
  <c r="D3910" i="4"/>
  <c r="F3910" i="4" s="1"/>
  <c r="D3927" i="4"/>
  <c r="F3927" i="4" s="1"/>
  <c r="D3967" i="4"/>
  <c r="F3967" i="4" s="1"/>
  <c r="D3981" i="4"/>
  <c r="F3981" i="4" s="1"/>
  <c r="D3996" i="4"/>
  <c r="F3996" i="4" s="1"/>
  <c r="D4021" i="4"/>
  <c r="F4021" i="4" s="1"/>
  <c r="D4037" i="4"/>
  <c r="F4037" i="4" s="1"/>
  <c r="D4053" i="4"/>
  <c r="F4053" i="4" s="1"/>
  <c r="D4069" i="4"/>
  <c r="F4069" i="4" s="1"/>
  <c r="D4085" i="4"/>
  <c r="F4085" i="4" s="1"/>
  <c r="D4101" i="4"/>
  <c r="F4101" i="4" s="1"/>
  <c r="D4117" i="4"/>
  <c r="F4117" i="4" s="1"/>
  <c r="D4133" i="4"/>
  <c r="F4133" i="4" s="1"/>
  <c r="D4149" i="4"/>
  <c r="F4149" i="4" s="1"/>
  <c r="D4165" i="4"/>
  <c r="F4165" i="4" s="1"/>
  <c r="D4181" i="4"/>
  <c r="F4181" i="4" s="1"/>
  <c r="D4197" i="4"/>
  <c r="F4197" i="4" s="1"/>
  <c r="D4213" i="4"/>
  <c r="F4213" i="4" s="1"/>
  <c r="D4229" i="4"/>
  <c r="F4229" i="4" s="1"/>
  <c r="D4245" i="4"/>
  <c r="F4245" i="4" s="1"/>
  <c r="D4261" i="4"/>
  <c r="F4261" i="4" s="1"/>
  <c r="D4277" i="4"/>
  <c r="F4277" i="4" s="1"/>
  <c r="D4293" i="4"/>
  <c r="F4293" i="4" s="1"/>
  <c r="D4309" i="4"/>
  <c r="F4309" i="4" s="1"/>
  <c r="D4325" i="4"/>
  <c r="F4325" i="4" s="1"/>
  <c r="D4340" i="4"/>
  <c r="F4340" i="4" s="1"/>
  <c r="D4344" i="4"/>
  <c r="F4344" i="4" s="1"/>
  <c r="D4348" i="4"/>
  <c r="F4348" i="4" s="1"/>
  <c r="D4352" i="4"/>
  <c r="F4352" i="4" s="1"/>
  <c r="D4356" i="4"/>
  <c r="F4356" i="4" s="1"/>
  <c r="D4360" i="4"/>
  <c r="F4360" i="4" s="1"/>
  <c r="D4364" i="4"/>
  <c r="F4364" i="4" s="1"/>
  <c r="D4368" i="4"/>
  <c r="F4368" i="4" s="1"/>
  <c r="D4372" i="4"/>
  <c r="F4372" i="4" s="1"/>
  <c r="D4376" i="4"/>
  <c r="F4376" i="4" s="1"/>
  <c r="D4380" i="4"/>
  <c r="F4380" i="4" s="1"/>
  <c r="D4390" i="4"/>
  <c r="F4390" i="4" s="1"/>
  <c r="D4393" i="4"/>
  <c r="F4393" i="4" s="1"/>
  <c r="D4406" i="4"/>
  <c r="F4406" i="4" s="1"/>
  <c r="D4409" i="4"/>
  <c r="F4409" i="4" s="1"/>
  <c r="D4422" i="4"/>
  <c r="F4422" i="4" s="1"/>
  <c r="D4425" i="4"/>
  <c r="F4425" i="4" s="1"/>
  <c r="D4438" i="4"/>
  <c r="F4438" i="4" s="1"/>
  <c r="D4441" i="4"/>
  <c r="F4441" i="4" s="1"/>
  <c r="D4454" i="4"/>
  <c r="F4454" i="4" s="1"/>
  <c r="D4457" i="4"/>
  <c r="F4457" i="4" s="1"/>
  <c r="D4470" i="4"/>
  <c r="F4470" i="4" s="1"/>
  <c r="D4473" i="4"/>
  <c r="F4473" i="4" s="1"/>
  <c r="D4486" i="4"/>
  <c r="F4486" i="4" s="1"/>
  <c r="D4489" i="4"/>
  <c r="F4489" i="4" s="1"/>
  <c r="D4502" i="4"/>
  <c r="F4502" i="4" s="1"/>
  <c r="D4505" i="4"/>
  <c r="F4505" i="4" s="1"/>
  <c r="D4508" i="4"/>
  <c r="F4508" i="4" s="1"/>
  <c r="D4513" i="4"/>
  <c r="F4513" i="4" s="1"/>
  <c r="D4516" i="4"/>
  <c r="F4516" i="4" s="1"/>
  <c r="D4521" i="4"/>
  <c r="F4521" i="4" s="1"/>
  <c r="D4524" i="4"/>
  <c r="F4524" i="4" s="1"/>
  <c r="D4529" i="4"/>
  <c r="F4529" i="4" s="1"/>
  <c r="D4532" i="4"/>
  <c r="F4532" i="4" s="1"/>
  <c r="D4537" i="4"/>
  <c r="F4537" i="4" s="1"/>
  <c r="D4540" i="4"/>
  <c r="F4540" i="4" s="1"/>
  <c r="D4549" i="4"/>
  <c r="F4549" i="4" s="1"/>
  <c r="D4556" i="4"/>
  <c r="F4556" i="4" s="1"/>
  <c r="D4565" i="4"/>
  <c r="F4565" i="4" s="1"/>
  <c r="D4572" i="4"/>
  <c r="F4572" i="4" s="1"/>
  <c r="D4581" i="4"/>
  <c r="F4581" i="4" s="1"/>
  <c r="D4588" i="4"/>
  <c r="F4588" i="4" s="1"/>
  <c r="D4597" i="4"/>
  <c r="F4597" i="4" s="1"/>
  <c r="D4604" i="4"/>
  <c r="F4604" i="4" s="1"/>
  <c r="D4613" i="4"/>
  <c r="F4613" i="4" s="1"/>
  <c r="D4620" i="4"/>
  <c r="F4620" i="4" s="1"/>
  <c r="D4629" i="4"/>
  <c r="F4629" i="4" s="1"/>
  <c r="D4636" i="4"/>
  <c r="F4636" i="4" s="1"/>
  <c r="D4645" i="4"/>
  <c r="F4645" i="4" s="1"/>
  <c r="D3127" i="4"/>
  <c r="F3127" i="4" s="1"/>
  <c r="D3241" i="4"/>
  <c r="F3241" i="4" s="1"/>
  <c r="D3486" i="4"/>
  <c r="F3486" i="4" s="1"/>
  <c r="D3575" i="4"/>
  <c r="F3575" i="4" s="1"/>
  <c r="D3648" i="4"/>
  <c r="F3648" i="4" s="1"/>
  <c r="D3695" i="4"/>
  <c r="F3695" i="4" s="1"/>
  <c r="D3752" i="4"/>
  <c r="F3752" i="4" s="1"/>
  <c r="D3846" i="4"/>
  <c r="F3846" i="4" s="1"/>
  <c r="D3919" i="4"/>
  <c r="F3919" i="4" s="1"/>
  <c r="D3952" i="4"/>
  <c r="F3952" i="4" s="1"/>
  <c r="D3989" i="4"/>
  <c r="F3989" i="4" s="1"/>
  <c r="D4027" i="4"/>
  <c r="F4027" i="4" s="1"/>
  <c r="D4043" i="4"/>
  <c r="F4043" i="4" s="1"/>
  <c r="D4091" i="4"/>
  <c r="F4091" i="4" s="1"/>
  <c r="D4139" i="4"/>
  <c r="F4139" i="4" s="1"/>
  <c r="D4155" i="4"/>
  <c r="F4155" i="4" s="1"/>
  <c r="D4203" i="4"/>
  <c r="F4203" i="4" s="1"/>
  <c r="D4331" i="4"/>
  <c r="F4331" i="4" s="1"/>
  <c r="D4384" i="4"/>
  <c r="F4384" i="4" s="1"/>
  <c r="D4416" i="4"/>
  <c r="F4416" i="4" s="1"/>
  <c r="D4448" i="4"/>
  <c r="F4448" i="4" s="1"/>
  <c r="D4464" i="4"/>
  <c r="F4464" i="4" s="1"/>
  <c r="D4480" i="4"/>
  <c r="F4480" i="4" s="1"/>
  <c r="D4496" i="4"/>
  <c r="F4496" i="4" s="1"/>
  <c r="D4563" i="4"/>
  <c r="F4563" i="4" s="1"/>
  <c r="D4579" i="4"/>
  <c r="F4579" i="4" s="1"/>
  <c r="D4595" i="4"/>
  <c r="F4595" i="4" s="1"/>
  <c r="D4611" i="4"/>
  <c r="F4611" i="4" s="1"/>
  <c r="D4656" i="4"/>
  <c r="F4656" i="4" s="1"/>
  <c r="D4666" i="4"/>
  <c r="F4666" i="4" s="1"/>
  <c r="D4676" i="4"/>
  <c r="F4676" i="4" s="1"/>
  <c r="D4686" i="4"/>
  <c r="F4686" i="4" s="1"/>
  <c r="D4696" i="4"/>
  <c r="F4696" i="4" s="1"/>
  <c r="D4704" i="4"/>
  <c r="F4704" i="4" s="1"/>
  <c r="D4714" i="4"/>
  <c r="F4714" i="4" s="1"/>
  <c r="D4726" i="4"/>
  <c r="F4726" i="4" s="1"/>
  <c r="D4734" i="4"/>
  <c r="F4734" i="4" s="1"/>
  <c r="D4742" i="4"/>
  <c r="F4742" i="4" s="1"/>
  <c r="D4752" i="4"/>
  <c r="F4752" i="4" s="1"/>
  <c r="D4762" i="4"/>
  <c r="F4762" i="4" s="1"/>
  <c r="D4772" i="4"/>
  <c r="F4772" i="4" s="1"/>
  <c r="D4782" i="4"/>
  <c r="F4782" i="4" s="1"/>
  <c r="D4790" i="4"/>
  <c r="F4790" i="4" s="1"/>
  <c r="D4800" i="4"/>
  <c r="F4800" i="4" s="1"/>
  <c r="D4810" i="4"/>
  <c r="F4810" i="4" s="1"/>
  <c r="D4820" i="4"/>
  <c r="F4820" i="4" s="1"/>
  <c r="D4832" i="4"/>
  <c r="F4832" i="4" s="1"/>
  <c r="D4844" i="4"/>
  <c r="F4844" i="4" s="1"/>
  <c r="D4854" i="4"/>
  <c r="F4854" i="4" s="1"/>
  <c r="D4862" i="4"/>
  <c r="F4862" i="4" s="1"/>
  <c r="D4874" i="4"/>
  <c r="F4874" i="4" s="1"/>
  <c r="D4884" i="4"/>
  <c r="F4884" i="4" s="1"/>
  <c r="D4894" i="4"/>
  <c r="F4894" i="4" s="1"/>
  <c r="D4902" i="4"/>
  <c r="F4902" i="4" s="1"/>
  <c r="D4912" i="4"/>
  <c r="F4912" i="4" s="1"/>
  <c r="D4924" i="4"/>
  <c r="F4924" i="4" s="1"/>
  <c r="D4934" i="4"/>
  <c r="F4934" i="4" s="1"/>
  <c r="D4944" i="4"/>
  <c r="F4944" i="4" s="1"/>
  <c r="D4954" i="4"/>
  <c r="F4954" i="4" s="1"/>
  <c r="D4964" i="4"/>
  <c r="F4964" i="4" s="1"/>
  <c r="D4972" i="4"/>
  <c r="F4972" i="4" s="1"/>
  <c r="D4984" i="4"/>
  <c r="F4984" i="4" s="1"/>
  <c r="D4992" i="4"/>
  <c r="F4992" i="4" s="1"/>
  <c r="D5000" i="4"/>
  <c r="F5000" i="4" s="1"/>
  <c r="D5010" i="4"/>
  <c r="F5010" i="4" s="1"/>
  <c r="D2652" i="4"/>
  <c r="F2652" i="4" s="1"/>
  <c r="D3001" i="4"/>
  <c r="F3001" i="4" s="1"/>
  <c r="D3244" i="4"/>
  <c r="F3244" i="4" s="1"/>
  <c r="D3337" i="4"/>
  <c r="F3337" i="4" s="1"/>
  <c r="D3632" i="4"/>
  <c r="F3632" i="4" s="1"/>
  <c r="D3848" i="4"/>
  <c r="F3848" i="4" s="1"/>
  <c r="D3904" i="4"/>
  <c r="F3904" i="4" s="1"/>
  <c r="D3997" i="4"/>
  <c r="F3997" i="4" s="1"/>
  <c r="D4017" i="4"/>
  <c r="F4017" i="4" s="1"/>
  <c r="D4065" i="4"/>
  <c r="F4065" i="4" s="1"/>
  <c r="D4097" i="4"/>
  <c r="F4097" i="4" s="1"/>
  <c r="D4129" i="4"/>
  <c r="F4129" i="4" s="1"/>
  <c r="D4161" i="4"/>
  <c r="F4161" i="4" s="1"/>
  <c r="D4225" i="4"/>
  <c r="F4225" i="4" s="1"/>
  <c r="D4321" i="4"/>
  <c r="F4321" i="4" s="1"/>
  <c r="D4345" i="4"/>
  <c r="F4345" i="4" s="1"/>
  <c r="D4357" i="4"/>
  <c r="F4357" i="4" s="1"/>
  <c r="D4377" i="4"/>
  <c r="F4377" i="4" s="1"/>
  <c r="D4519" i="4"/>
  <c r="F4519" i="4" s="1"/>
  <c r="D4552" i="4"/>
  <c r="F4552" i="4" s="1"/>
  <c r="D4600" i="4"/>
  <c r="F4600" i="4" s="1"/>
  <c r="D2596" i="4"/>
  <c r="F2596" i="4" s="1"/>
  <c r="D3007" i="4"/>
  <c r="F3007" i="4" s="1"/>
  <c r="D4119" i="4"/>
  <c r="F4119" i="4" s="1"/>
  <c r="D4247" i="4"/>
  <c r="F4247" i="4" s="1"/>
  <c r="D4420" i="4"/>
  <c r="F4420" i="4" s="1"/>
  <c r="D4471" i="4"/>
  <c r="F4471" i="4" s="1"/>
  <c r="D4559" i="4"/>
  <c r="F4559" i="4" s="1"/>
  <c r="D4614" i="4"/>
  <c r="F4614" i="4" s="1"/>
  <c r="D3840" i="4"/>
  <c r="F3840" i="4" s="1"/>
  <c r="D4484" i="4"/>
  <c r="F4484" i="4" s="1"/>
  <c r="D4550" i="4"/>
  <c r="F4550" i="4" s="1"/>
  <c r="D4103" i="4"/>
  <c r="F4103" i="4" s="1"/>
  <c r="D4487" i="4"/>
  <c r="F4487" i="4" s="1"/>
  <c r="D3281" i="4"/>
  <c r="F3281" i="4" s="1"/>
  <c r="D4391" i="4"/>
  <c r="F4391" i="4" s="1"/>
  <c r="D4630" i="4"/>
  <c r="F4630" i="4" s="1"/>
  <c r="D2670" i="4"/>
  <c r="F2670" i="4" s="1"/>
  <c r="D3050" i="4"/>
  <c r="F3050" i="4" s="1"/>
  <c r="D3560" i="4"/>
  <c r="F3560" i="4" s="1"/>
  <c r="D4005" i="4"/>
  <c r="F4005" i="4" s="1"/>
  <c r="D4039" i="4"/>
  <c r="F4039" i="4" s="1"/>
  <c r="D4167" i="4"/>
  <c r="F4167" i="4" s="1"/>
  <c r="D4295" i="4"/>
  <c r="F4295" i="4" s="1"/>
  <c r="D4423" i="4"/>
  <c r="F4423" i="4" s="1"/>
  <c r="D4500" i="4"/>
  <c r="F4500" i="4" s="1"/>
  <c r="D4543" i="4"/>
  <c r="F4543" i="4" s="1"/>
  <c r="D4598" i="4"/>
  <c r="F4598" i="4" s="1"/>
  <c r="D2967" i="4"/>
  <c r="F2967" i="4" s="1"/>
  <c r="D3930" i="4"/>
  <c r="F3930" i="4" s="1"/>
  <c r="D4199" i="4"/>
  <c r="F4199" i="4" s="1"/>
  <c r="D3714" i="4"/>
  <c r="F3714" i="4" s="1"/>
  <c r="D3824" i="4"/>
  <c r="F3824" i="4" s="1"/>
  <c r="D4087" i="4"/>
  <c r="F4087" i="4" s="1"/>
  <c r="D4215" i="4"/>
  <c r="F4215" i="4" s="1"/>
  <c r="D4452" i="4"/>
  <c r="F4452" i="4" s="1"/>
  <c r="D4503" i="4"/>
  <c r="F4503" i="4" s="1"/>
  <c r="D4582" i="4"/>
  <c r="F4582" i="4" s="1"/>
  <c r="D2871" i="4"/>
  <c r="F2871" i="4" s="1"/>
  <c r="D3634" i="4"/>
  <c r="F3634" i="4" s="1"/>
  <c r="D3913" i="4"/>
  <c r="F3913" i="4" s="1"/>
  <c r="D4607" i="4"/>
  <c r="F4607" i="4" s="1"/>
  <c r="D3518" i="4"/>
  <c r="F3518" i="4" s="1"/>
  <c r="D3784" i="4"/>
  <c r="F3784" i="4" s="1"/>
  <c r="D3991" i="4"/>
  <c r="F3991" i="4" s="1"/>
  <c r="D4575" i="4"/>
  <c r="F4575" i="4" s="1"/>
  <c r="D3727" i="4"/>
  <c r="F3727" i="4" s="1"/>
  <c r="D3897" i="4"/>
  <c r="F3897" i="4" s="1"/>
  <c r="D4135" i="4"/>
  <c r="F4135" i="4" s="1"/>
  <c r="D4263" i="4"/>
  <c r="F4263" i="4" s="1"/>
  <c r="D4404" i="4"/>
  <c r="F4404" i="4" s="1"/>
  <c r="D4455" i="4"/>
  <c r="F4455" i="4" s="1"/>
  <c r="D4566" i="4"/>
  <c r="F4566" i="4" s="1"/>
  <c r="D4639" i="4"/>
  <c r="F4639" i="4" s="1"/>
  <c r="D4055" i="4"/>
  <c r="F4055" i="4" s="1"/>
  <c r="D4183" i="4"/>
  <c r="F4183" i="4" s="1"/>
  <c r="D4311" i="4"/>
  <c r="F4311" i="4" s="1"/>
  <c r="D4407" i="4"/>
  <c r="F4407" i="4" s="1"/>
  <c r="D4623" i="4"/>
  <c r="F4623" i="4" s="1"/>
  <c r="D3462" i="4"/>
  <c r="F3462" i="4" s="1"/>
  <c r="D4231" i="4"/>
  <c r="F4231" i="4" s="1"/>
  <c r="D4436" i="4"/>
  <c r="F4436" i="4" s="1"/>
  <c r="D3857" i="4"/>
  <c r="F3857" i="4" s="1"/>
  <c r="D4023" i="4"/>
  <c r="F4023" i="4" s="1"/>
  <c r="D4151" i="4"/>
  <c r="F4151" i="4" s="1"/>
  <c r="D4279" i="4"/>
  <c r="F4279" i="4" s="1"/>
  <c r="D4388" i="4"/>
  <c r="F4388" i="4" s="1"/>
  <c r="D4439" i="4"/>
  <c r="F4439" i="4" s="1"/>
  <c r="D4591" i="4"/>
  <c r="F4591" i="4" s="1"/>
  <c r="D4646" i="4"/>
  <c r="F4646" i="4" s="1"/>
  <c r="D4071" i="4"/>
  <c r="F4071" i="4" s="1"/>
  <c r="D4327" i="4"/>
  <c r="F4327" i="4" s="1"/>
  <c r="D4468" i="4"/>
  <c r="F4468" i="4" s="1"/>
  <c r="D545" i="4" l="1"/>
  <c r="F545" i="4" s="1"/>
  <c r="D129" i="4"/>
  <c r="E129" i="4" s="1"/>
  <c r="D398" i="4"/>
  <c r="E398" i="4" s="1"/>
  <c r="D477" i="4"/>
  <c r="F477" i="4" s="1"/>
  <c r="D404" i="4"/>
  <c r="F404" i="4" s="1"/>
  <c r="D135" i="4"/>
  <c r="E135" i="4" s="1"/>
  <c r="D635" i="4"/>
  <c r="F635" i="4" s="1"/>
  <c r="D350" i="4"/>
  <c r="F350" i="4" s="1"/>
  <c r="D105" i="4"/>
  <c r="E105" i="4" s="1"/>
  <c r="D436" i="4"/>
  <c r="F436" i="4" s="1"/>
  <c r="D623" i="4"/>
  <c r="E623" i="4" s="1"/>
  <c r="D452" i="4"/>
  <c r="F452" i="4" s="1"/>
  <c r="D106" i="4"/>
  <c r="E106" i="4" s="1"/>
  <c r="D481" i="4"/>
  <c r="E481" i="4" s="1"/>
  <c r="D720" i="4"/>
  <c r="F720" i="4" s="1"/>
  <c r="D66" i="4"/>
  <c r="E66" i="4" s="1"/>
  <c r="D465" i="4"/>
  <c r="F465" i="4" s="1"/>
  <c r="D526" i="4"/>
  <c r="E526" i="4" s="1"/>
  <c r="D280" i="4"/>
  <c r="F280" i="4" s="1"/>
  <c r="D748" i="4"/>
  <c r="E748" i="4" s="1"/>
  <c r="D778" i="4"/>
  <c r="F778" i="4" s="1"/>
  <c r="D32" i="4"/>
  <c r="F32" i="4" s="1"/>
  <c r="D165" i="4"/>
  <c r="F165" i="4" s="1"/>
  <c r="D647" i="4"/>
  <c r="E647" i="4" s="1"/>
  <c r="D886" i="4"/>
  <c r="F886" i="4" s="1"/>
  <c r="D83" i="4"/>
  <c r="F83" i="4" s="1"/>
  <c r="D21" i="4"/>
  <c r="F21" i="4" s="1"/>
  <c r="D393" i="4"/>
  <c r="F393" i="4" s="1"/>
  <c r="D337" i="4"/>
  <c r="F337" i="4" s="1"/>
  <c r="D163" i="4"/>
  <c r="F163" i="4" s="1"/>
  <c r="D237" i="4"/>
  <c r="E237" i="4" s="1"/>
  <c r="D923" i="4"/>
  <c r="F923" i="4" s="1"/>
  <c r="D979" i="4"/>
  <c r="E979" i="4" s="1"/>
  <c r="D1219" i="4"/>
  <c r="E1219" i="4" s="1"/>
  <c r="D357" i="4"/>
  <c r="E357" i="4" s="1"/>
  <c r="D248" i="4"/>
  <c r="F248" i="4" s="1"/>
  <c r="D161" i="4"/>
  <c r="F161" i="4" s="1"/>
  <c r="D98" i="4"/>
  <c r="E98" i="4" s="1"/>
  <c r="D492" i="4"/>
  <c r="F492" i="4" s="1"/>
  <c r="D501" i="4"/>
  <c r="F501" i="4" s="1"/>
  <c r="D551" i="4"/>
  <c r="E551" i="4" s="1"/>
  <c r="D980" i="4"/>
  <c r="E980" i="4" s="1"/>
  <c r="D252" i="4"/>
  <c r="F252" i="4" s="1"/>
  <c r="D755" i="4"/>
  <c r="F755" i="4" s="1"/>
  <c r="D566" i="4"/>
  <c r="F566" i="4" s="1"/>
  <c r="D790" i="4"/>
  <c r="E790" i="4" s="1"/>
  <c r="D577" i="4"/>
  <c r="F577" i="4" s="1"/>
  <c r="D144" i="4"/>
  <c r="F144" i="4" s="1"/>
  <c r="D60" i="4"/>
  <c r="E60" i="4" s="1"/>
  <c r="D581" i="4"/>
  <c r="F581" i="4" s="1"/>
  <c r="D362" i="4"/>
  <c r="E362" i="4" s="1"/>
  <c r="D281" i="4"/>
  <c r="E281" i="4" s="1"/>
  <c r="D99" i="4"/>
  <c r="E99" i="4" s="1"/>
  <c r="D109" i="4"/>
  <c r="E109" i="4" s="1"/>
  <c r="D878" i="4"/>
  <c r="F878" i="4" s="1"/>
  <c r="D173" i="4"/>
  <c r="F173" i="4" s="1"/>
  <c r="D1507" i="4"/>
  <c r="E1507" i="4" s="1"/>
  <c r="D1777" i="4"/>
  <c r="F1777" i="4" s="1"/>
  <c r="D1528" i="4"/>
  <c r="F1528" i="4" s="1"/>
  <c r="D348" i="4"/>
  <c r="F348" i="4" s="1"/>
  <c r="D1240" i="4"/>
  <c r="F1240" i="4" s="1"/>
  <c r="D992" i="4"/>
  <c r="F992" i="4" s="1"/>
  <c r="D1594" i="4"/>
  <c r="F1594" i="4" s="1"/>
  <c r="D356" i="4"/>
  <c r="F356" i="4" s="1"/>
  <c r="D1327" i="4"/>
  <c r="F1327" i="4" s="1"/>
  <c r="D1088" i="4"/>
  <c r="F1088" i="4" s="1"/>
  <c r="D1705" i="4"/>
  <c r="F1705" i="4" s="1"/>
  <c r="D442" i="4"/>
  <c r="F442" i="4" s="1"/>
  <c r="D830" i="4"/>
  <c r="F830" i="4" s="1"/>
  <c r="D1152" i="4"/>
  <c r="F1152" i="4" s="1"/>
  <c r="D1164" i="4"/>
  <c r="F1164" i="4" s="1"/>
  <c r="D1535" i="4"/>
  <c r="F1535" i="4" s="1"/>
  <c r="D1966" i="4"/>
  <c r="F1966" i="4" s="1"/>
  <c r="D2295" i="4"/>
  <c r="F2295" i="4" s="1"/>
  <c r="D907" i="4"/>
  <c r="F907" i="4" s="1"/>
  <c r="D702" i="4"/>
  <c r="F702" i="4" s="1"/>
  <c r="D958" i="4"/>
  <c r="F958" i="4" s="1"/>
  <c r="D1084" i="4"/>
  <c r="F1084" i="4" s="1"/>
  <c r="D1158" i="4"/>
  <c r="F1158" i="4" s="1"/>
  <c r="D1924" i="4"/>
  <c r="F1924" i="4" s="1"/>
  <c r="D1794" i="4"/>
  <c r="F1794" i="4" s="1"/>
  <c r="D2335" i="4"/>
  <c r="F2335" i="4" s="1"/>
  <c r="D508" i="4"/>
  <c r="F508" i="4" s="1"/>
  <c r="D763" i="4"/>
  <c r="F763" i="4" s="1"/>
  <c r="D764" i="4"/>
  <c r="F764" i="4" s="1"/>
  <c r="D598" i="4"/>
  <c r="F598" i="4" s="1"/>
  <c r="D750" i="4"/>
  <c r="F750" i="4" s="1"/>
  <c r="D711" i="4"/>
  <c r="F711" i="4" s="1"/>
  <c r="D521" i="4"/>
  <c r="F521" i="4" s="1"/>
  <c r="D1184" i="4"/>
  <c r="F1184" i="4" s="1"/>
  <c r="D1131" i="4"/>
  <c r="F1131" i="4" s="1"/>
  <c r="D1280" i="4"/>
  <c r="F1280" i="4" s="1"/>
  <c r="D1214" i="4"/>
  <c r="F1214" i="4" s="1"/>
  <c r="D299" i="4"/>
  <c r="E299" i="4" s="1"/>
  <c r="D604" i="4"/>
  <c r="F604" i="4" s="1"/>
  <c r="D223" i="4"/>
  <c r="F223" i="4" s="1"/>
  <c r="D519" i="4"/>
  <c r="E519" i="4" s="1"/>
  <c r="D802" i="4"/>
  <c r="E802" i="4" s="1"/>
  <c r="D23" i="4"/>
  <c r="E23" i="4" s="1"/>
  <c r="D64" i="4"/>
  <c r="E64" i="4" s="1"/>
  <c r="D343" i="4"/>
  <c r="E343" i="4" s="1"/>
  <c r="D124" i="4"/>
  <c r="E124" i="4" s="1"/>
  <c r="D262" i="4"/>
  <c r="F262" i="4" s="1"/>
  <c r="D236" i="4"/>
  <c r="E236" i="4" s="1"/>
  <c r="D76" i="4"/>
  <c r="F76" i="4" s="1"/>
  <c r="D618" i="4"/>
  <c r="E618" i="4" s="1"/>
  <c r="D166" i="4"/>
  <c r="F166" i="4" s="1"/>
  <c r="D27" i="4"/>
  <c r="F27" i="4" s="1"/>
  <c r="D94" i="4"/>
  <c r="F94" i="4" s="1"/>
  <c r="D573" i="4"/>
  <c r="E573" i="4" s="1"/>
  <c r="D212" i="4"/>
  <c r="E212" i="4" s="1"/>
  <c r="D588" i="4"/>
  <c r="F588" i="4" s="1"/>
  <c r="D353" i="4"/>
  <c r="F353" i="4" s="1"/>
  <c r="D565" i="4"/>
  <c r="E565" i="4" s="1"/>
  <c r="D402" i="4"/>
  <c r="F402" i="4" s="1"/>
  <c r="D549" i="4"/>
  <c r="E549" i="4" s="1"/>
  <c r="D263" i="4"/>
  <c r="F263" i="4" s="1"/>
  <c r="D528" i="4"/>
  <c r="F528" i="4" s="1"/>
  <c r="D118" i="4"/>
  <c r="F118" i="4" s="1"/>
  <c r="D315" i="4"/>
  <c r="E315" i="4" s="1"/>
  <c r="D431" i="4"/>
  <c r="F431" i="4" s="1"/>
  <c r="D614" i="4"/>
  <c r="E614" i="4" s="1"/>
  <c r="D597" i="4"/>
  <c r="E597" i="4" s="1"/>
  <c r="D389" i="4"/>
  <c r="F389" i="4" s="1"/>
  <c r="D373" i="4"/>
  <c r="E373" i="4" s="1"/>
  <c r="D68" i="4"/>
  <c r="F68" i="4" s="1"/>
  <c r="D365" i="4"/>
  <c r="F365" i="4" s="1"/>
  <c r="D742" i="4"/>
  <c r="E742" i="4" s="1"/>
  <c r="D574" i="4"/>
  <c r="F574" i="4" s="1"/>
  <c r="D589" i="4"/>
  <c r="E589" i="4" s="1"/>
  <c r="D215" i="4"/>
  <c r="E215" i="4" s="1"/>
  <c r="D631" i="4"/>
  <c r="E631" i="4" s="1"/>
  <c r="D241" i="4"/>
  <c r="F241" i="4" s="1"/>
  <c r="D715" i="4"/>
  <c r="F715" i="4" s="1"/>
  <c r="D233" i="4"/>
  <c r="E233" i="4" s="1"/>
  <c r="D334" i="4"/>
  <c r="F334" i="4" s="1"/>
  <c r="D687" i="4"/>
  <c r="E687" i="4" s="1"/>
  <c r="D168" i="4"/>
  <c r="F168" i="4" s="1"/>
  <c r="D191" i="4"/>
  <c r="E191" i="4" s="1"/>
  <c r="D71" i="4"/>
  <c r="E71" i="4" s="1"/>
  <c r="D504" i="4"/>
  <c r="E504" i="4" s="1"/>
  <c r="D458" i="4"/>
  <c r="F458" i="4" s="1"/>
  <c r="D227" i="4"/>
  <c r="F227" i="4" s="1"/>
  <c r="D82" i="4"/>
  <c r="F82" i="4" s="1"/>
  <c r="D679" i="4"/>
  <c r="F679" i="4" s="1"/>
  <c r="D154" i="4"/>
  <c r="F154" i="4" s="1"/>
  <c r="D327" i="4"/>
  <c r="E327" i="4" s="1"/>
  <c r="D240" i="4"/>
  <c r="E240" i="4" s="1"/>
  <c r="D560" i="4"/>
  <c r="F560" i="4" s="1"/>
  <c r="D587" i="4"/>
  <c r="F587" i="4" s="1"/>
  <c r="D867" i="4"/>
  <c r="F867" i="4" s="1"/>
  <c r="D414" i="4"/>
  <c r="F414" i="4" s="1"/>
  <c r="D675" i="4"/>
  <c r="F675" i="4" s="1"/>
  <c r="D634" i="4"/>
  <c r="F634" i="4" s="1"/>
  <c r="D358" i="4"/>
  <c r="F358" i="4" s="1"/>
  <c r="D202" i="4"/>
  <c r="F202" i="4" s="1"/>
  <c r="D527" i="4"/>
  <c r="E527" i="4" s="1"/>
  <c r="D487" i="4"/>
  <c r="E487" i="4" s="1"/>
  <c r="D344" i="4"/>
  <c r="E344" i="4" s="1"/>
  <c r="D304" i="4"/>
  <c r="F304" i="4" s="1"/>
  <c r="D347" i="4"/>
  <c r="E347" i="4" s="1"/>
  <c r="D503" i="4"/>
  <c r="F503" i="4" s="1"/>
  <c r="D540" i="4"/>
  <c r="E540" i="4" s="1"/>
  <c r="D201" i="4"/>
  <c r="F201" i="4" s="1"/>
  <c r="D532" i="4"/>
  <c r="F532" i="4" s="1"/>
  <c r="D380" i="4"/>
  <c r="F380" i="4" s="1"/>
  <c r="D255" i="4"/>
  <c r="F255" i="4" s="1"/>
  <c r="D45" i="4"/>
  <c r="E45" i="4" s="1"/>
  <c r="D413" i="4"/>
  <c r="E413" i="4" s="1"/>
  <c r="D113" i="4"/>
  <c r="E113" i="4" s="1"/>
  <c r="J6" i="4"/>
  <c r="L12" i="6"/>
  <c r="D2464" i="4"/>
  <c r="D320" i="4"/>
  <c r="D329" i="4"/>
  <c r="D53" i="4"/>
  <c r="D296" i="4"/>
  <c r="D612" i="4"/>
  <c r="D311" i="4"/>
  <c r="D152" i="4"/>
  <c r="D650" i="4"/>
  <c r="D479" i="4"/>
  <c r="D341" i="4"/>
  <c r="D207" i="4"/>
  <c r="D95" i="4"/>
  <c r="D142" i="4"/>
  <c r="D49" i="4"/>
  <c r="D516" i="4"/>
  <c r="D29" i="4"/>
  <c r="D256" i="4"/>
  <c r="D572" i="4"/>
  <c r="D287" i="4"/>
  <c r="D136" i="4"/>
  <c r="D626" i="4"/>
  <c r="D472" i="4"/>
  <c r="D326" i="4"/>
  <c r="D199" i="4"/>
  <c r="D88" i="4"/>
  <c r="D134" i="4"/>
  <c r="D41" i="4"/>
  <c r="D354" i="4"/>
  <c r="D535" i="4"/>
  <c r="D217" i="4"/>
  <c r="D520" i="4"/>
  <c r="D271" i="4"/>
  <c r="D96" i="4"/>
  <c r="D603" i="4"/>
  <c r="D464" i="4"/>
  <c r="D318" i="4"/>
  <c r="D183" i="4"/>
  <c r="D58" i="4"/>
  <c r="D126" i="4"/>
  <c r="D17" i="4"/>
  <c r="D366" i="4"/>
  <c r="D19" i="4"/>
  <c r="D388" i="4"/>
  <c r="D119" i="4"/>
  <c r="D174" i="4"/>
  <c r="D239" i="4"/>
  <c r="D291" i="4"/>
  <c r="D505" i="4"/>
  <c r="D193" i="4"/>
  <c r="D488" i="4"/>
  <c r="D232" i="4"/>
  <c r="D67" i="4"/>
  <c r="D595" i="4"/>
  <c r="D435" i="4"/>
  <c r="D310" i="4"/>
  <c r="D175" i="4"/>
  <c r="D50" i="4"/>
  <c r="D110" i="4"/>
  <c r="D335" i="4"/>
  <c r="D511" i="4"/>
  <c r="D349" i="4"/>
  <c r="D111" i="4"/>
  <c r="D150" i="4"/>
  <c r="D57" i="4"/>
  <c r="D91" i="4"/>
  <c r="D116" i="4"/>
  <c r="D466" i="4"/>
  <c r="D153" i="4"/>
  <c r="D421" i="4"/>
  <c r="D224" i="4"/>
  <c r="D59" i="4"/>
  <c r="D571" i="4"/>
  <c r="D412" i="4"/>
  <c r="D278" i="4"/>
  <c r="D159" i="4"/>
  <c r="D26" i="4"/>
  <c r="D81" i="4"/>
  <c r="D947" i="4"/>
  <c r="D55" i="4"/>
  <c r="D429" i="4"/>
  <c r="D89" i="4"/>
  <c r="D397" i="4"/>
  <c r="D192" i="4"/>
  <c r="D43" i="4"/>
  <c r="D563" i="4"/>
  <c r="D396" i="4"/>
  <c r="D270" i="4"/>
  <c r="D127" i="4"/>
  <c r="D18" i="4"/>
  <c r="D73" i="4"/>
  <c r="D756" i="4"/>
  <c r="D359" i="4"/>
  <c r="D52" i="4"/>
  <c r="D176" i="4"/>
  <c r="D555" i="4"/>
  <c r="D247" i="4"/>
  <c r="D65" i="4"/>
  <c r="D462" i="4"/>
  <c r="D138" i="4"/>
  <c r="D643" i="4"/>
  <c r="D160" i="4"/>
  <c r="E545" i="4"/>
  <c r="F42" i="4"/>
  <c r="F455" i="4"/>
  <c r="F433" i="4"/>
  <c r="F100" i="4"/>
  <c r="F114" i="4"/>
  <c r="F739" i="4"/>
  <c r="E627" i="4"/>
  <c r="E302" i="4"/>
  <c r="E169" i="4"/>
  <c r="E461" i="4"/>
  <c r="E35" i="4"/>
  <c r="E274" i="4"/>
  <c r="F28" i="4"/>
  <c r="F662" i="4"/>
  <c r="E112" i="4"/>
  <c r="E177" i="4"/>
  <c r="E90" i="4"/>
  <c r="E842" i="4"/>
  <c r="F74" i="4"/>
  <c r="F204" i="4"/>
  <c r="E444" i="4"/>
  <c r="F1168" i="4"/>
  <c r="E80" i="4"/>
  <c r="E158" i="4"/>
  <c r="E676" i="4"/>
  <c r="E286" i="4"/>
  <c r="E303" i="4"/>
  <c r="F497" i="4"/>
  <c r="F653" i="4"/>
  <c r="F377" i="4"/>
  <c r="E178" i="4"/>
  <c r="F137" i="4"/>
  <c r="E328" i="4"/>
  <c r="E628" i="4"/>
  <c r="F616" i="4"/>
  <c r="E194" i="4"/>
  <c r="F538" i="4"/>
  <c r="E480" i="4"/>
  <c r="E130" i="4"/>
  <c r="F443" i="4"/>
  <c r="E450" i="4"/>
  <c r="E805" i="4"/>
  <c r="F484" i="4"/>
  <c r="E332" i="4"/>
  <c r="E20" i="4"/>
  <c r="E611" i="4"/>
  <c r="F933" i="4"/>
  <c r="E242" i="4"/>
  <c r="E893" i="4"/>
  <c r="F33" i="4"/>
  <c r="E590" i="4"/>
  <c r="E1202" i="4"/>
  <c r="E47" i="4"/>
  <c r="E102" i="4"/>
  <c r="E25" i="4"/>
  <c r="F77" i="4"/>
  <c r="F295" i="4"/>
  <c r="E404" i="4"/>
  <c r="F613" i="4"/>
  <c r="F69" i="4"/>
  <c r="E392" i="4"/>
  <c r="E104" i="4"/>
  <c r="F407" i="4"/>
  <c r="F806" i="4"/>
  <c r="F390" i="4"/>
  <c r="F51" i="4"/>
  <c r="F184" i="4"/>
  <c r="F515" i="4"/>
  <c r="F1172" i="4"/>
  <c r="E403" i="4"/>
  <c r="E732" i="4"/>
  <c r="F265" i="4"/>
  <c r="F294" i="4"/>
  <c r="E1116" i="4"/>
  <c r="E208" i="4"/>
  <c r="E728" i="4"/>
  <c r="E97" i="4"/>
  <c r="F406" i="4"/>
  <c r="E1352" i="4"/>
  <c r="E940" i="4"/>
  <c r="E84" i="4"/>
  <c r="E378" i="4"/>
  <c r="E225" i="4"/>
  <c r="E319" i="4"/>
  <c r="E2139" i="4"/>
  <c r="E500" i="4"/>
  <c r="E131" i="4"/>
  <c r="F155" i="4"/>
  <c r="E367" i="4"/>
  <c r="E143" i="4"/>
  <c r="F731" i="4"/>
  <c r="F273" i="4"/>
  <c r="F216" i="4"/>
  <c r="E661" i="4"/>
  <c r="E210" i="4"/>
  <c r="F398" i="4"/>
  <c r="E321" i="4"/>
  <c r="E180" i="4"/>
  <c r="F374" i="4"/>
  <c r="F810" i="4"/>
  <c r="E44" i="4"/>
  <c r="E925" i="4"/>
  <c r="E1077" i="4"/>
  <c r="E1291" i="4"/>
  <c r="F200" i="4"/>
  <c r="E567" i="4"/>
  <c r="E931" i="4"/>
  <c r="E779" i="4"/>
  <c r="E829" i="4"/>
  <c r="F151" i="4"/>
  <c r="F525" i="4"/>
  <c r="E351" i="4"/>
  <c r="F264" i="4"/>
  <c r="F129" i="4"/>
  <c r="E218" i="4"/>
  <c r="E128" i="4"/>
  <c r="E966" i="4"/>
  <c r="F766" i="4"/>
  <c r="F370" i="4"/>
  <c r="F493" i="4"/>
  <c r="F16" i="4"/>
  <c r="E950" i="4"/>
  <c r="E579" i="4"/>
  <c r="E1350" i="4"/>
  <c r="E1462" i="4"/>
  <c r="E451" i="4"/>
  <c r="E383" i="4"/>
  <c r="E79" i="4"/>
  <c r="F657" i="4"/>
  <c r="F564" i="4"/>
  <c r="E1099" i="4"/>
  <c r="F268" i="4"/>
  <c r="F34" i="4"/>
  <c r="F691" i="4"/>
  <c r="F272" i="4"/>
  <c r="F267" i="4"/>
  <c r="E401" i="4"/>
  <c r="E556" i="4"/>
  <c r="F231" i="4"/>
  <c r="E331" i="4"/>
  <c r="F580" i="4"/>
  <c r="E1274" i="4"/>
  <c r="E474" i="4"/>
  <c r="E257" i="4"/>
  <c r="E557" i="4"/>
  <c r="E394" i="4"/>
  <c r="E478" i="4"/>
  <c r="E939" i="4"/>
  <c r="E1269" i="4"/>
  <c r="E86" i="4"/>
  <c r="E36" i="4"/>
  <c r="E640" i="4"/>
  <c r="F293" i="4"/>
  <c r="E228" i="4"/>
  <c r="E437" i="4"/>
  <c r="F875" i="4"/>
  <c r="F369" i="4"/>
  <c r="F575" i="4"/>
  <c r="F423" i="4"/>
  <c r="E695" i="4"/>
  <c r="F188" i="4"/>
  <c r="E608" i="4"/>
  <c r="E440" i="4"/>
  <c r="E415" i="4"/>
  <c r="E387" i="4"/>
  <c r="E843" i="4"/>
  <c r="E473" i="4"/>
  <c r="F747" i="4"/>
  <c r="E148" i="4"/>
  <c r="E912" i="4"/>
  <c r="E600" i="4"/>
  <c r="E620" i="4"/>
  <c r="E418" i="4"/>
  <c r="F489" i="4"/>
  <c r="E780" i="4"/>
  <c r="F463" i="4"/>
  <c r="E496" i="4"/>
  <c r="F140" i="4"/>
  <c r="E1476" i="4"/>
  <c r="E849" i="4"/>
  <c r="F789" i="4"/>
  <c r="E502" i="4"/>
  <c r="F629" i="4"/>
  <c r="E432" i="4"/>
  <c r="F460" i="4"/>
  <c r="F536" i="4"/>
  <c r="F513" i="4"/>
  <c r="F316" i="4"/>
  <c r="F619" i="4"/>
  <c r="E2351" i="4"/>
  <c r="E716" i="4"/>
  <c r="E1377" i="4"/>
  <c r="E312" i="4"/>
  <c r="F164" i="4"/>
  <c r="F584" i="4"/>
  <c r="E642" i="4"/>
  <c r="E39" i="4"/>
  <c r="E61" i="4"/>
  <c r="F314" i="4"/>
  <c r="E542" i="4"/>
  <c r="F307" i="4"/>
  <c r="E75" i="4"/>
  <c r="E454" i="4"/>
  <c r="F795" i="4"/>
  <c r="E324" i="4"/>
  <c r="F108" i="4"/>
  <c r="E186" i="4"/>
  <c r="E1053" i="4"/>
  <c r="E847" i="4"/>
  <c r="E740" i="4"/>
  <c r="F249" i="4"/>
  <c r="E342" i="4"/>
  <c r="E767" i="4"/>
  <c r="F244" i="4"/>
  <c r="F819" i="4"/>
  <c r="E167" i="4"/>
  <c r="E596" i="4"/>
  <c r="E56" i="4"/>
  <c r="E382" i="4"/>
  <c r="F969" i="4"/>
  <c r="F290" i="4"/>
  <c r="E861" i="4"/>
  <c r="E417" i="4"/>
  <c r="E638" i="4"/>
  <c r="E368" i="4"/>
  <c r="E667" i="4"/>
  <c r="E122" i="4"/>
  <c r="E1141" i="4"/>
  <c r="E894" i="4"/>
  <c r="E275" i="4"/>
  <c r="E844" i="4"/>
  <c r="F195" i="4"/>
  <c r="E599" i="4"/>
  <c r="F794" i="4"/>
  <c r="E172" i="4"/>
  <c r="F845" i="4"/>
  <c r="E2378" i="4"/>
  <c r="E818" i="4"/>
  <c r="F1485" i="4"/>
  <c r="E854" i="4"/>
  <c r="E37" i="4"/>
  <c r="E211" i="4"/>
  <c r="E445" i="4"/>
  <c r="E300" i="4"/>
  <c r="F944" i="4"/>
  <c r="F883" i="4"/>
  <c r="F391" i="4"/>
  <c r="E336" i="4"/>
  <c r="E422" i="4"/>
  <c r="E917" i="4"/>
  <c r="E1367" i="4"/>
  <c r="F683" i="4"/>
  <c r="F411" i="4"/>
  <c r="F685" i="4"/>
  <c r="E2136" i="4"/>
  <c r="E1650" i="4"/>
  <c r="F490" i="4"/>
  <c r="F816" i="4"/>
  <c r="F120" i="4"/>
  <c r="F718" i="4"/>
  <c r="F957" i="4"/>
  <c r="E1468" i="4"/>
  <c r="E652" i="4"/>
  <c r="E582" i="4"/>
  <c r="F859" i="4"/>
  <c r="E103" i="4"/>
  <c r="E405" i="4"/>
  <c r="F285" i="4"/>
  <c r="F171" i="4"/>
  <c r="E974" i="4"/>
  <c r="F72" i="4"/>
  <c r="F734" i="4"/>
  <c r="F306" i="4"/>
  <c r="F512" i="4"/>
  <c r="E63" i="4"/>
  <c r="E1492" i="4"/>
  <c r="E664" i="4"/>
  <c r="E585" i="4"/>
  <c r="E1130" i="4"/>
  <c r="E339" i="4"/>
  <c r="E1264" i="4"/>
  <c r="E40" i="4"/>
  <c r="E288" i="4"/>
  <c r="E381" i="4"/>
  <c r="E410" i="4"/>
  <c r="E552" i="4"/>
  <c r="E146" i="4"/>
  <c r="E157" i="4"/>
  <c r="E485" i="4"/>
  <c r="E576" i="4"/>
  <c r="E853" i="4"/>
  <c r="F621" i="4"/>
  <c r="F279" i="4"/>
  <c r="F811" i="4"/>
  <c r="F495" i="4"/>
  <c r="F209" i="4"/>
  <c r="E751" i="4"/>
  <c r="E476" i="4"/>
  <c r="E684" i="4"/>
  <c r="E523" i="4"/>
  <c r="E162" i="4"/>
  <c r="E372" i="4"/>
  <c r="E121" i="4"/>
  <c r="E701" i="4"/>
  <c r="F1039" i="4"/>
  <c r="F852" i="4"/>
  <c r="F425" i="4"/>
  <c r="F726" i="4"/>
  <c r="F1253" i="4"/>
  <c r="F678" i="4"/>
  <c r="F145" i="4"/>
  <c r="E668" i="4"/>
  <c r="E420" i="4"/>
  <c r="E486" i="4"/>
  <c r="E185" i="4"/>
  <c r="E298" i="4"/>
  <c r="E226" i="4"/>
  <c r="E408" i="4"/>
  <c r="E384" i="4"/>
  <c r="F170" i="4"/>
  <c r="E170" i="4"/>
  <c r="E1254" i="4"/>
  <c r="F1254" i="4"/>
  <c r="E1364" i="4"/>
  <c r="F1364" i="4"/>
  <c r="E692" i="4"/>
  <c r="F692" i="4"/>
  <c r="E1342" i="4"/>
  <c r="F1342" i="4"/>
  <c r="E797" i="4"/>
  <c r="F797" i="4"/>
  <c r="E1026" i="4"/>
  <c r="F1026" i="4"/>
  <c r="E219" i="4"/>
  <c r="E2506" i="4"/>
  <c r="E1973" i="4"/>
  <c r="E1382" i="4"/>
  <c r="E738" i="4"/>
  <c r="E1481" i="4"/>
  <c r="E101" i="4"/>
  <c r="E234" i="4"/>
  <c r="E776" i="4"/>
  <c r="E727" i="4"/>
  <c r="E916" i="4"/>
  <c r="E703" i="4"/>
  <c r="E1005" i="4"/>
  <c r="E1763" i="4"/>
  <c r="E1731" i="4"/>
  <c r="E1860" i="4"/>
  <c r="E1024" i="4"/>
  <c r="E964" i="4"/>
  <c r="E942" i="4"/>
  <c r="E670" i="4"/>
  <c r="E1628" i="4"/>
  <c r="E1101" i="4"/>
  <c r="E749" i="4"/>
  <c r="E624" i="4"/>
  <c r="E1621" i="4"/>
  <c r="E1093" i="4"/>
  <c r="E741" i="4"/>
  <c r="E2025" i="4"/>
  <c r="E498" i="4"/>
  <c r="E1580" i="4"/>
  <c r="E593" i="4"/>
  <c r="E1439" i="4"/>
  <c r="E1634" i="4"/>
  <c r="E149" i="4"/>
  <c r="E250" i="4"/>
  <c r="E2487" i="4"/>
  <c r="E2448" i="4"/>
  <c r="E781" i="4"/>
  <c r="E1558" i="4"/>
  <c r="E924" i="4"/>
  <c r="E1550" i="4"/>
  <c r="E681" i="4"/>
  <c r="E1613" i="4"/>
  <c r="E736" i="4"/>
  <c r="E2021" i="4"/>
  <c r="E841" i="4"/>
  <c r="E1789" i="4"/>
  <c r="E1204" i="4"/>
  <c r="E1230" i="4"/>
  <c r="E870" i="4"/>
  <c r="E559" i="4"/>
  <c r="E803" i="4"/>
  <c r="E2250" i="4"/>
  <c r="E682" i="4"/>
  <c r="E744" i="4"/>
  <c r="E649" i="4"/>
  <c r="E2242" i="4"/>
  <c r="E506" i="4"/>
  <c r="E1588" i="4"/>
  <c r="E641" i="4"/>
  <c r="E1578" i="4"/>
  <c r="E857" i="4"/>
  <c r="E1210" i="4"/>
  <c r="E301" i="4"/>
  <c r="E2083" i="4"/>
  <c r="E1642" i="4"/>
  <c r="E1756" i="4"/>
  <c r="E904" i="4"/>
  <c r="E759" i="4"/>
  <c r="E235" i="4"/>
  <c r="E1965" i="4"/>
  <c r="E1023" i="4"/>
  <c r="E1566" i="4"/>
  <c r="E784" i="4"/>
  <c r="E932" i="4"/>
  <c r="E743" i="4"/>
  <c r="E2128" i="4"/>
  <c r="E1166" i="4"/>
  <c r="E1050" i="4"/>
  <c r="E1233" i="4"/>
  <c r="E828" i="4"/>
  <c r="E663" i="4"/>
  <c r="E147" i="4"/>
  <c r="E605" i="4"/>
  <c r="E1868" i="4"/>
  <c r="E1150" i="4"/>
  <c r="E1755" i="4"/>
  <c r="E1132" i="4"/>
  <c r="E765" i="4"/>
  <c r="E632" i="4"/>
  <c r="E107" i="4"/>
  <c r="E2161" i="4"/>
  <c r="E1832" i="4"/>
  <c r="E1603" i="4"/>
  <c r="E221" i="4"/>
  <c r="E1616" i="4"/>
  <c r="E1824" i="4"/>
  <c r="E1595" i="4"/>
  <c r="E213" i="4"/>
  <c r="E2190" i="4"/>
  <c r="E1339" i="4"/>
  <c r="E1217" i="4"/>
  <c r="E1002" i="4"/>
  <c r="E1797" i="4"/>
  <c r="E2494" i="4"/>
  <c r="E1431" i="4"/>
  <c r="E879" i="4"/>
  <c r="E712" i="4"/>
  <c r="E395" i="4"/>
  <c r="E646" i="4"/>
  <c r="E400" i="4"/>
  <c r="E1591" i="4"/>
  <c r="E2477" i="4"/>
  <c r="E730" i="4"/>
  <c r="E839" i="4"/>
  <c r="E656" i="4"/>
  <c r="E371" i="4"/>
  <c r="E630" i="4"/>
  <c r="E2393" i="4"/>
  <c r="E1473" i="4"/>
  <c r="E93" i="4"/>
  <c r="E2385" i="4"/>
  <c r="E1347" i="4"/>
  <c r="E1225" i="4"/>
  <c r="E85" i="4"/>
  <c r="E1356" i="4"/>
  <c r="E539" i="4"/>
  <c r="E1277" i="4"/>
  <c r="E1819" i="4"/>
  <c r="E1954" i="4"/>
  <c r="E1739" i="4"/>
  <c r="E1454" i="4"/>
  <c r="E561" i="4"/>
  <c r="E276" i="4"/>
  <c r="E550" i="4"/>
  <c r="E305" i="4"/>
  <c r="E1748" i="4"/>
  <c r="E2226" i="4"/>
  <c r="E1120" i="4"/>
  <c r="E1335" i="4"/>
  <c r="E364" i="4"/>
  <c r="E260" i="4"/>
  <c r="E494" i="4"/>
  <c r="E1420" i="4"/>
  <c r="E961" i="4"/>
  <c r="E1349" i="4"/>
  <c r="E934" i="4"/>
  <c r="E954" i="4"/>
  <c r="E1341" i="4"/>
  <c r="E918" i="4"/>
  <c r="E1282" i="4"/>
  <c r="E1028" i="4"/>
  <c r="E1067" i="4"/>
  <c r="E1369" i="4"/>
  <c r="E2005" i="4"/>
  <c r="E2012" i="4"/>
  <c r="E1085" i="4"/>
  <c r="E277" i="4"/>
  <c r="E909" i="4"/>
  <c r="E361" i="4"/>
  <c r="E2184" i="4"/>
  <c r="E1958" i="4"/>
  <c r="E965" i="4"/>
  <c r="E229" i="4"/>
  <c r="E869" i="4"/>
  <c r="E338" i="4"/>
  <c r="E1527" i="4"/>
  <c r="E1079" i="4"/>
  <c r="E1144" i="4"/>
  <c r="E822" i="4"/>
  <c r="E1338" i="4"/>
  <c r="E1035" i="4"/>
  <c r="E1129" i="4"/>
  <c r="E814" i="4"/>
  <c r="E1424" i="4"/>
  <c r="E1360" i="4"/>
  <c r="E860" i="4"/>
  <c r="E2228" i="4"/>
  <c r="E2066" i="4"/>
  <c r="E1361" i="4"/>
  <c r="E793" i="4"/>
  <c r="E453" i="4"/>
  <c r="E959" i="4"/>
  <c r="E1461" i="4"/>
  <c r="E2476" i="4"/>
  <c r="E2322" i="4"/>
  <c r="E1494" i="4"/>
  <c r="E976" i="4"/>
  <c r="E898" i="4"/>
  <c r="E1070" i="4"/>
  <c r="E1571" i="4"/>
  <c r="E1018" i="4"/>
  <c r="E269" i="4"/>
  <c r="E544" i="4"/>
  <c r="E607" i="4"/>
  <c r="E471" i="4"/>
  <c r="E660" i="4"/>
  <c r="E524" i="4"/>
  <c r="E346" i="4"/>
  <c r="E2397" i="4"/>
  <c r="E1798" i="4"/>
  <c r="E1629" i="4"/>
  <c r="E1667" i="4"/>
  <c r="E1081" i="4"/>
  <c r="E1163" i="4"/>
  <c r="E997" i="4"/>
  <c r="E1098" i="4"/>
  <c r="E325" i="4"/>
  <c r="E1032" i="4"/>
  <c r="E1169" i="4"/>
  <c r="E1004" i="4"/>
  <c r="E1532" i="4"/>
  <c r="E1171" i="4"/>
  <c r="E983" i="4"/>
  <c r="E985" i="4"/>
  <c r="E1488" i="4"/>
  <c r="E1974" i="4"/>
  <c r="E1754" i="4"/>
  <c r="E1447" i="4"/>
  <c r="E1385" i="4"/>
  <c r="E1897" i="4"/>
  <c r="E1678" i="4"/>
  <c r="E1513" i="4"/>
  <c r="E2277" i="4"/>
  <c r="E2207" i="4"/>
  <c r="E1672" i="4"/>
  <c r="E1999" i="4"/>
  <c r="E2342" i="4"/>
  <c r="E230" i="4"/>
  <c r="E1429" i="4"/>
  <c r="E1287" i="4"/>
  <c r="E927" i="4"/>
  <c r="E729" i="4"/>
  <c r="E1249" i="4"/>
  <c r="E1244" i="4"/>
  <c r="E1730" i="4"/>
  <c r="E937" i="4"/>
  <c r="E594" i="4"/>
  <c r="E1708" i="4"/>
  <c r="E1645" i="4"/>
  <c r="E1425" i="4"/>
  <c r="E1252" i="4"/>
  <c r="E2018" i="4"/>
  <c r="E1814" i="4"/>
  <c r="E1767" i="4"/>
  <c r="E2302" i="4"/>
  <c r="E2111" i="4"/>
  <c r="E1891" i="4"/>
  <c r="E696" i="4"/>
  <c r="E1176" i="4"/>
  <c r="E1310" i="4"/>
  <c r="E1170" i="4"/>
  <c r="E807" i="4"/>
  <c r="E1320" i="4"/>
  <c r="E1133" i="4"/>
  <c r="E1127" i="4"/>
  <c r="E1207" i="4"/>
  <c r="E817" i="4"/>
  <c r="E1903" i="4"/>
  <c r="E1589" i="4"/>
  <c r="E1526" i="4"/>
  <c r="E1306" i="4"/>
  <c r="E1828" i="4"/>
  <c r="E1892" i="4"/>
  <c r="E2417" i="4"/>
  <c r="E1560" i="4"/>
  <c r="E2069" i="4"/>
  <c r="E1811" i="4"/>
  <c r="E2391" i="4"/>
  <c r="E1265" i="4"/>
  <c r="E1259" i="4"/>
  <c r="E1746" i="4"/>
  <c r="E953" i="4"/>
  <c r="E610" i="4"/>
  <c r="E1724" i="4"/>
  <c r="E1661" i="4"/>
  <c r="E1441" i="4"/>
  <c r="E1268" i="4"/>
  <c r="E2034" i="4"/>
  <c r="E1837" i="4"/>
  <c r="E1815" i="4"/>
  <c r="E2348" i="4"/>
  <c r="E2165" i="4"/>
  <c r="E1955" i="4"/>
  <c r="E1121" i="4"/>
  <c r="E1262" i="4"/>
  <c r="E1123" i="4"/>
  <c r="E752" i="4"/>
  <c r="E1272" i="4"/>
  <c r="E1087" i="4"/>
  <c r="E1073" i="4"/>
  <c r="E1159" i="4"/>
  <c r="E769" i="4"/>
  <c r="E1848" i="4"/>
  <c r="E1541" i="4"/>
  <c r="E1479" i="4"/>
  <c r="E1258" i="4"/>
  <c r="E1773" i="4"/>
  <c r="E1844" i="4"/>
  <c r="E2369" i="4"/>
  <c r="E2362" i="4"/>
  <c r="E1967" i="4"/>
  <c r="E2186" i="4"/>
  <c r="E2427" i="4"/>
  <c r="E2326" i="4"/>
  <c r="E1394" i="4"/>
  <c r="E1197" i="4"/>
  <c r="E1980" i="4"/>
  <c r="E1782" i="4"/>
  <c r="E1703" i="4"/>
  <c r="E2241" i="4"/>
  <c r="E2048" i="4"/>
  <c r="E2504" i="4"/>
  <c r="E1989" i="4"/>
  <c r="E1647" i="4"/>
  <c r="E1052" i="4"/>
  <c r="E2185" i="4"/>
  <c r="E1745" i="4"/>
  <c r="E1994" i="4"/>
  <c r="E2065" i="4"/>
  <c r="E2407" i="4"/>
  <c r="E2352" i="4"/>
  <c r="E1237" i="4"/>
  <c r="E2388" i="4"/>
  <c r="E2137" i="4"/>
  <c r="E1783" i="4"/>
  <c r="E1696" i="4"/>
  <c r="E2317" i="4"/>
  <c r="E2022" i="4"/>
  <c r="E2126" i="4"/>
  <c r="E2366" i="4"/>
  <c r="E2360" i="4"/>
  <c r="E2373" i="4"/>
  <c r="E2213" i="4"/>
  <c r="E2000" i="4"/>
  <c r="E2287" i="4"/>
  <c r="E2131" i="4"/>
  <c r="E1697" i="4"/>
  <c r="E1946" i="4"/>
  <c r="E2017" i="4"/>
  <c r="E2282" i="4"/>
  <c r="E2219" i="4"/>
  <c r="E2381" i="4"/>
  <c r="E2095" i="4"/>
  <c r="E2324" i="4"/>
  <c r="E1923" i="4"/>
  <c r="E70" i="4"/>
  <c r="E2371" i="4"/>
  <c r="E1830" i="4"/>
  <c r="E2354" i="4"/>
  <c r="E2169" i="4"/>
  <c r="E2013" i="4"/>
  <c r="E1586" i="4"/>
  <c r="E2234" i="4"/>
  <c r="E2343" i="4"/>
  <c r="E2355" i="4"/>
  <c r="E1931" i="4"/>
  <c r="E182" i="4"/>
  <c r="E2419" i="4"/>
  <c r="E1939" i="4"/>
  <c r="E198" i="4"/>
  <c r="E2457" i="4"/>
  <c r="E2331" i="4"/>
  <c r="E2177" i="4"/>
  <c r="E459" i="4"/>
  <c r="E1136" i="4"/>
  <c r="E534" i="4"/>
  <c r="E1648" i="4"/>
  <c r="E1662" i="4"/>
  <c r="E1097" i="4"/>
  <c r="E1095" i="4"/>
  <c r="E840" i="4"/>
  <c r="E1391" i="4"/>
  <c r="E1003" i="4"/>
  <c r="E680" i="4"/>
  <c r="E846" i="4"/>
  <c r="E885" i="4"/>
  <c r="E123" i="4"/>
  <c r="E899" i="4"/>
  <c r="E297" i="4"/>
  <c r="E1631" i="4"/>
  <c r="E1346" i="4"/>
  <c r="E562" i="4"/>
  <c r="E1355" i="4"/>
  <c r="E697" i="4"/>
  <c r="E1255" i="4"/>
  <c r="E1285" i="4"/>
  <c r="E601" i="4"/>
  <c r="E774" i="4"/>
  <c r="E813" i="4"/>
  <c r="E669" i="4"/>
  <c r="E827" i="4"/>
  <c r="E826" i="4"/>
  <c r="E568" i="4"/>
  <c r="E2117" i="4"/>
  <c r="E1569" i="4"/>
  <c r="E1747" i="4"/>
  <c r="E1950" i="4"/>
  <c r="E1156" i="4"/>
  <c r="E831" i="4"/>
  <c r="E1334" i="4"/>
  <c r="E2212" i="4"/>
  <c r="E2058" i="4"/>
  <c r="E1313" i="4"/>
  <c r="E785" i="4"/>
  <c r="E1281" i="4"/>
  <c r="E943" i="4"/>
  <c r="E1445" i="4"/>
  <c r="E908" i="4"/>
  <c r="E205" i="4"/>
  <c r="E379" i="4"/>
  <c r="E543" i="4"/>
  <c r="E345" i="4"/>
  <c r="E533" i="4"/>
  <c r="E399" i="4"/>
  <c r="E283" i="4"/>
  <c r="E2334" i="4"/>
  <c r="E2269" i="4"/>
  <c r="E1486" i="4"/>
  <c r="E921" i="4"/>
  <c r="E890" i="4"/>
  <c r="E1034" i="4"/>
  <c r="E1539" i="4"/>
  <c r="E1010" i="4"/>
  <c r="E261" i="4"/>
  <c r="E1091" i="4"/>
  <c r="E1231" i="4"/>
  <c r="E1092" i="4"/>
  <c r="E1596" i="4"/>
  <c r="E1241" i="4"/>
  <c r="E1043" i="4"/>
  <c r="E1045" i="4"/>
  <c r="E1103" i="4"/>
  <c r="E2036" i="4"/>
  <c r="E1817" i="4"/>
  <c r="E1509" i="4"/>
  <c r="E1448" i="4"/>
  <c r="E1961" i="4"/>
  <c r="E1742" i="4"/>
  <c r="E1577" i="4"/>
  <c r="E2337" i="4"/>
  <c r="E2301" i="4"/>
  <c r="E1800" i="4"/>
  <c r="E2124" i="4"/>
  <c r="E2501" i="4"/>
  <c r="E2436" i="4"/>
  <c r="E1491" i="4"/>
  <c r="E1351" i="4"/>
  <c r="E990" i="4"/>
  <c r="E800" i="4"/>
  <c r="E483" i="4"/>
  <c r="E1307" i="4"/>
  <c r="E1793" i="4"/>
  <c r="E1056" i="4"/>
  <c r="E698" i="4"/>
  <c r="E970" i="4"/>
  <c r="E1709" i="4"/>
  <c r="E1487" i="4"/>
  <c r="E1316" i="4"/>
  <c r="E2082" i="4"/>
  <c r="E1901" i="4"/>
  <c r="E1894" i="4"/>
  <c r="E1475" i="4"/>
  <c r="E2244" i="4"/>
  <c r="E2486" i="4"/>
  <c r="E709" i="4"/>
  <c r="E1238" i="4"/>
  <c r="E1374" i="4"/>
  <c r="E1232" i="4"/>
  <c r="E871" i="4"/>
  <c r="E673" i="4"/>
  <c r="E1196" i="4"/>
  <c r="E1190" i="4"/>
  <c r="E1674" i="4"/>
  <c r="E881" i="4"/>
  <c r="E530" i="4"/>
  <c r="E1652" i="4"/>
  <c r="E1590" i="4"/>
  <c r="E1370" i="4"/>
  <c r="E1173" i="4"/>
  <c r="E1956" i="4"/>
  <c r="E1750" i="4"/>
  <c r="E1671" i="4"/>
  <c r="E2209" i="4"/>
  <c r="E2016" i="4"/>
  <c r="E2416" i="4"/>
  <c r="E499" i="4"/>
  <c r="E1323" i="4"/>
  <c r="E1809" i="4"/>
  <c r="E1072" i="4"/>
  <c r="E714" i="4"/>
  <c r="E986" i="4"/>
  <c r="E1725" i="4"/>
  <c r="E1503" i="4"/>
  <c r="E1332" i="4"/>
  <c r="E2098" i="4"/>
  <c r="E1917" i="4"/>
  <c r="E2107" i="4"/>
  <c r="E1530" i="4"/>
  <c r="E2291" i="4"/>
  <c r="E2481" i="4"/>
  <c r="E1192" i="4"/>
  <c r="E1326" i="4"/>
  <c r="E1186" i="4"/>
  <c r="E823" i="4"/>
  <c r="E1336" i="4"/>
  <c r="E1148" i="4"/>
  <c r="E1142" i="4"/>
  <c r="E1223" i="4"/>
  <c r="E833" i="4"/>
  <c r="E482" i="4"/>
  <c r="E1605" i="4"/>
  <c r="E1542" i="4"/>
  <c r="E1322" i="4"/>
  <c r="E1851" i="4"/>
  <c r="E1908" i="4"/>
  <c r="E2433" i="4"/>
  <c r="E1592" i="4"/>
  <c r="E2093" i="4"/>
  <c r="E1914" i="4"/>
  <c r="E2461" i="4"/>
  <c r="E1677" i="4"/>
  <c r="E1457" i="4"/>
  <c r="E1284" i="4"/>
  <c r="E2050" i="4"/>
  <c r="E1853" i="4"/>
  <c r="E1831" i="4"/>
  <c r="E2364" i="4"/>
  <c r="E2180" i="4"/>
  <c r="E2195" i="4"/>
  <c r="E2067" i="4"/>
  <c r="E1711" i="4"/>
  <c r="E1624" i="4"/>
  <c r="E2249" i="4"/>
  <c r="E1952" i="4"/>
  <c r="E2056" i="4"/>
  <c r="E2281" i="4"/>
  <c r="E2485" i="4"/>
  <c r="E22" i="4"/>
  <c r="E1421" i="4"/>
  <c r="E2451" i="4"/>
  <c r="E2199" i="4"/>
  <c r="E1846" i="4"/>
  <c r="E1760" i="4"/>
  <c r="E2380" i="4"/>
  <c r="E2086" i="4"/>
  <c r="E2196" i="4"/>
  <c r="E2430" i="4"/>
  <c r="E2363" i="4"/>
  <c r="E2276" i="4"/>
  <c r="E2410" i="4"/>
  <c r="E2365" i="4"/>
  <c r="E1243" i="4"/>
  <c r="E2201" i="4"/>
  <c r="E1904" i="4"/>
  <c r="E2008" i="4"/>
  <c r="E2081" i="4"/>
  <c r="E2423" i="4"/>
  <c r="E2384" i="4"/>
  <c r="E1373" i="4"/>
  <c r="E2404" i="4"/>
  <c r="E1834" i="4"/>
  <c r="E1987" i="4"/>
  <c r="E2347" i="4"/>
  <c r="E2039" i="4"/>
  <c r="E1893" i="4"/>
  <c r="E1544" i="4"/>
  <c r="E2240" i="4"/>
  <c r="E2077" i="4"/>
  <c r="E1649" i="4"/>
  <c r="E1898" i="4"/>
  <c r="E1873" i="4"/>
  <c r="E2002" i="4"/>
  <c r="E1995" i="4"/>
  <c r="E2379" i="4"/>
  <c r="E2047" i="4"/>
  <c r="E2179" i="4"/>
  <c r="E2411" i="4"/>
  <c r="E2055" i="4"/>
  <c r="E2453" i="4"/>
  <c r="E2123" i="4"/>
  <c r="E1119" i="4"/>
  <c r="E340" i="4"/>
  <c r="E428" i="4"/>
  <c r="E1735" i="4"/>
  <c r="E1402" i="4"/>
  <c r="E570" i="4"/>
  <c r="E1403" i="4"/>
  <c r="E705" i="4"/>
  <c r="E1263" i="4"/>
  <c r="E1301" i="4"/>
  <c r="E609" i="4"/>
  <c r="E782" i="4"/>
  <c r="E821" i="4"/>
  <c r="E677" i="4"/>
  <c r="E835" i="4"/>
  <c r="E834" i="4"/>
  <c r="E1229" i="4"/>
  <c r="E2091" i="4"/>
  <c r="E1827" i="4"/>
  <c r="E1802" i="4"/>
  <c r="E1452" i="4"/>
  <c r="E1300" i="4"/>
  <c r="E1565" i="4"/>
  <c r="E1769" i="4"/>
  <c r="E1022" i="4"/>
  <c r="E1572" i="4"/>
  <c r="E1209" i="4"/>
  <c r="E2102" i="4"/>
  <c r="E1561" i="4"/>
  <c r="E1740" i="4"/>
  <c r="E1902" i="4"/>
  <c r="E1140" i="4"/>
  <c r="E815" i="4"/>
  <c r="E1318" i="4"/>
  <c r="E812" i="4"/>
  <c r="E141" i="4"/>
  <c r="E308" i="4"/>
  <c r="E386" i="4"/>
  <c r="E282" i="4"/>
  <c r="E470" i="4"/>
  <c r="E48" i="4"/>
  <c r="E220" i="4"/>
  <c r="E2096" i="4"/>
  <c r="E1996" i="4"/>
  <c r="E1305" i="4"/>
  <c r="E777" i="4"/>
  <c r="E1234" i="4"/>
  <c r="E911" i="4"/>
  <c r="E1414" i="4"/>
  <c r="E892" i="4"/>
  <c r="E197" i="4"/>
  <c r="E1160" i="4"/>
  <c r="E1294" i="4"/>
  <c r="E1154" i="4"/>
  <c r="E791" i="4"/>
  <c r="E1304" i="4"/>
  <c r="E1118" i="4"/>
  <c r="E1104" i="4"/>
  <c r="E1191" i="4"/>
  <c r="E801" i="4"/>
  <c r="E1880" i="4"/>
  <c r="E1573" i="4"/>
  <c r="E1510" i="4"/>
  <c r="E1290" i="4"/>
  <c r="E1805" i="4"/>
  <c r="E1876" i="4"/>
  <c r="E2401" i="4"/>
  <c r="E1536" i="4"/>
  <c r="E2029" i="4"/>
  <c r="E1771" i="4"/>
  <c r="E2258" i="4"/>
  <c r="E1040" i="4"/>
  <c r="E1555" i="4"/>
  <c r="E1415" i="4"/>
  <c r="E1055" i="4"/>
  <c r="E864" i="4"/>
  <c r="E850" i="4"/>
  <c r="E1371" i="4"/>
  <c r="E1855" i="4"/>
  <c r="E1627" i="4"/>
  <c r="E762" i="4"/>
  <c r="E1074" i="4"/>
  <c r="E1772" i="4"/>
  <c r="E1551" i="4"/>
  <c r="E1380" i="4"/>
  <c r="E2152" i="4"/>
  <c r="E2019" i="4"/>
  <c r="E2200" i="4"/>
  <c r="E1610" i="4"/>
  <c r="E2367" i="4"/>
  <c r="E2510" i="4"/>
  <c r="E772" i="4"/>
  <c r="E1309" i="4"/>
  <c r="E1437" i="4"/>
  <c r="E1295" i="4"/>
  <c r="E935" i="4"/>
  <c r="E737" i="4"/>
  <c r="E1257" i="4"/>
  <c r="E1251" i="4"/>
  <c r="E1738" i="4"/>
  <c r="E945" i="4"/>
  <c r="E602" i="4"/>
  <c r="E1716" i="4"/>
  <c r="E1653" i="4"/>
  <c r="E1433" i="4"/>
  <c r="E1260" i="4"/>
  <c r="E2026" i="4"/>
  <c r="E1822" i="4"/>
  <c r="E1799" i="4"/>
  <c r="E2332" i="4"/>
  <c r="E2142" i="4"/>
  <c r="E1947" i="4"/>
  <c r="E866" i="4"/>
  <c r="E1387" i="4"/>
  <c r="E1871" i="4"/>
  <c r="E1643" i="4"/>
  <c r="E1017" i="4"/>
  <c r="E1090" i="4"/>
  <c r="E1788" i="4"/>
  <c r="E1567" i="4"/>
  <c r="E1396" i="4"/>
  <c r="E2167" i="4"/>
  <c r="E2043" i="4"/>
  <c r="E2248" i="4"/>
  <c r="E1657" i="4"/>
  <c r="E1881" i="4"/>
  <c r="E238" i="4"/>
  <c r="E1261" i="4"/>
  <c r="E1390" i="4"/>
  <c r="E1247" i="4"/>
  <c r="E887" i="4"/>
  <c r="E689" i="4"/>
  <c r="E1212" i="4"/>
  <c r="E1206" i="4"/>
  <c r="E1690" i="4"/>
  <c r="E897" i="4"/>
  <c r="E554" i="4"/>
  <c r="E1668" i="4"/>
  <c r="E1606" i="4"/>
  <c r="E1386" i="4"/>
  <c r="E1189" i="4"/>
  <c r="E1972" i="4"/>
  <c r="E1774" i="4"/>
  <c r="E1695" i="4"/>
  <c r="E2233" i="4"/>
  <c r="E2040" i="4"/>
  <c r="E2454" i="4"/>
  <c r="E1741" i="4"/>
  <c r="E1519" i="4"/>
  <c r="E1348" i="4"/>
  <c r="E2121" i="4"/>
  <c r="E1949" i="4"/>
  <c r="E2130" i="4"/>
  <c r="E1546" i="4"/>
  <c r="E2304" i="4"/>
  <c r="E2260" i="4"/>
  <c r="E2129" i="4"/>
  <c r="E1775" i="4"/>
  <c r="E1688" i="4"/>
  <c r="E2309" i="4"/>
  <c r="E2014" i="4"/>
  <c r="E2119" i="4"/>
  <c r="E2358" i="4"/>
  <c r="E2344" i="4"/>
  <c r="E2511" i="4"/>
  <c r="E2205" i="4"/>
  <c r="E2512" i="4"/>
  <c r="E2262" i="4"/>
  <c r="E2076" i="4"/>
  <c r="E1927" i="4"/>
  <c r="E1498" i="4"/>
  <c r="E2148" i="4"/>
  <c r="E2259" i="4"/>
  <c r="E2499" i="4"/>
  <c r="E2452" i="4"/>
  <c r="E2509" i="4"/>
  <c r="E46" i="4"/>
  <c r="E1727" i="4"/>
  <c r="E1640" i="4"/>
  <c r="E2264" i="4"/>
  <c r="E1968" i="4"/>
  <c r="E2072" i="4"/>
  <c r="E2311" i="4"/>
  <c r="E2500" i="4"/>
  <c r="E1134" i="4"/>
  <c r="E2133" i="4"/>
  <c r="E2466" i="4"/>
  <c r="E2290" i="4"/>
  <c r="E2235" i="4"/>
  <c r="E2405" i="4"/>
  <c r="E2103" i="4"/>
  <c r="E1957" i="4"/>
  <c r="E1608" i="4"/>
  <c r="E2308" i="4"/>
  <c r="E2147" i="4"/>
  <c r="E1713" i="4"/>
  <c r="E1962" i="4"/>
  <c r="E2033" i="4"/>
  <c r="E2375" i="4"/>
  <c r="E2243" i="4"/>
  <c r="E2437" i="4"/>
  <c r="E2127" i="4"/>
  <c r="E2251" i="4"/>
  <c r="E2467" i="4"/>
  <c r="E2135" i="4"/>
  <c r="E2297" i="4"/>
  <c r="E1623" i="4"/>
  <c r="E475" i="4"/>
  <c r="E654" i="4"/>
  <c r="E457" i="4"/>
  <c r="E2176" i="4"/>
  <c r="E1882" i="4"/>
  <c r="E1810" i="4"/>
  <c r="E1222" i="4"/>
  <c r="E1288" i="4"/>
  <c r="E1138" i="4"/>
  <c r="E1200" i="4"/>
  <c r="E529" i="4"/>
  <c r="E719" i="4"/>
  <c r="E758" i="4"/>
  <c r="E606" i="4"/>
  <c r="E771" i="4"/>
  <c r="E770" i="4"/>
  <c r="E2305" i="4"/>
  <c r="E2455" i="4"/>
  <c r="E1614" i="4"/>
  <c r="E1128" i="4"/>
  <c r="E1030" i="4"/>
  <c r="E1147" i="4"/>
  <c r="E981" i="4"/>
  <c r="E1075" i="4"/>
  <c r="E309" i="4"/>
  <c r="E648" i="4"/>
  <c r="E686" i="4"/>
  <c r="E510" i="4"/>
  <c r="E700" i="4"/>
  <c r="E699" i="4"/>
  <c r="E448" i="4"/>
  <c r="E1792" i="4"/>
  <c r="E1734" i="4"/>
  <c r="E1416" i="4"/>
  <c r="E1183" i="4"/>
  <c r="E896" i="4"/>
  <c r="E1446" i="4"/>
  <c r="E1076" i="4"/>
  <c r="E1436" i="4"/>
  <c r="E1292" i="4"/>
  <c r="E1557" i="4"/>
  <c r="E1761" i="4"/>
  <c r="E1006" i="4"/>
  <c r="E1556" i="4"/>
  <c r="E1193" i="4"/>
  <c r="E733" i="4"/>
  <c r="E926" i="4"/>
  <c r="E971" i="4"/>
  <c r="E203" i="4"/>
  <c r="E977" i="4"/>
  <c r="E376" i="4"/>
  <c r="E156" i="4"/>
  <c r="E1992" i="4"/>
  <c r="E1505" i="4"/>
  <c r="E1692" i="4"/>
  <c r="E1895" i="4"/>
  <c r="E1110" i="4"/>
  <c r="E783" i="4"/>
  <c r="E1286" i="4"/>
  <c r="E804" i="4"/>
  <c r="E133" i="4"/>
  <c r="E1224" i="4"/>
  <c r="E1358" i="4"/>
  <c r="E1218" i="4"/>
  <c r="E855" i="4"/>
  <c r="E1368" i="4"/>
  <c r="E1180" i="4"/>
  <c r="E1174" i="4"/>
  <c r="E1658" i="4"/>
  <c r="E865" i="4"/>
  <c r="E514" i="4"/>
  <c r="E1636" i="4"/>
  <c r="E1574" i="4"/>
  <c r="E1354" i="4"/>
  <c r="E1157" i="4"/>
  <c r="E1940" i="4"/>
  <c r="E2463" i="4"/>
  <c r="E1639" i="4"/>
  <c r="E2162" i="4"/>
  <c r="E1978" i="4"/>
  <c r="E2321" i="4"/>
  <c r="E1115" i="4"/>
  <c r="E1619" i="4"/>
  <c r="E1477" i="4"/>
  <c r="E1117" i="4"/>
  <c r="E928" i="4"/>
  <c r="E914" i="4"/>
  <c r="E1434" i="4"/>
  <c r="E1918" i="4"/>
  <c r="E1691" i="4"/>
  <c r="E1384" i="4"/>
  <c r="E1329" i="4"/>
  <c r="E1842" i="4"/>
  <c r="E1615" i="4"/>
  <c r="E1443" i="4"/>
  <c r="E2214" i="4"/>
  <c r="E2114" i="4"/>
  <c r="E1044" i="4"/>
  <c r="E1737" i="4"/>
  <c r="E2057" i="4"/>
  <c r="E1413" i="4"/>
  <c r="E836" i="4"/>
  <c r="E972" i="4"/>
  <c r="E1499" i="4"/>
  <c r="E1359" i="4"/>
  <c r="E998" i="4"/>
  <c r="E808" i="4"/>
  <c r="E491" i="4"/>
  <c r="E1315" i="4"/>
  <c r="E1801" i="4"/>
  <c r="E1064" i="4"/>
  <c r="E706" i="4"/>
  <c r="E978" i="4"/>
  <c r="E1717" i="4"/>
  <c r="E1495" i="4"/>
  <c r="E1324" i="4"/>
  <c r="E2090" i="4"/>
  <c r="E1909" i="4"/>
  <c r="E2092" i="4"/>
  <c r="E1514" i="4"/>
  <c r="E2275" i="4"/>
  <c r="E2442" i="4"/>
  <c r="E930" i="4"/>
  <c r="E1450" i="4"/>
  <c r="E1934" i="4"/>
  <c r="E1707" i="4"/>
  <c r="E1400" i="4"/>
  <c r="E1345" i="4"/>
  <c r="E1858" i="4"/>
  <c r="E1638" i="4"/>
  <c r="E1459" i="4"/>
  <c r="E2230" i="4"/>
  <c r="E2145" i="4"/>
  <c r="E1601" i="4"/>
  <c r="E1928" i="4"/>
  <c r="E2257" i="4"/>
  <c r="E2197" i="4"/>
  <c r="E1325" i="4"/>
  <c r="E1453" i="4"/>
  <c r="E1311" i="4"/>
  <c r="E951" i="4"/>
  <c r="E753" i="4"/>
  <c r="E1273" i="4"/>
  <c r="E1267" i="4"/>
  <c r="E1753" i="4"/>
  <c r="E968" i="4"/>
  <c r="E658" i="4"/>
  <c r="E1732" i="4"/>
  <c r="E1669" i="4"/>
  <c r="E1449" i="4"/>
  <c r="E1276" i="4"/>
  <c r="E2042" i="4"/>
  <c r="E1845" i="4"/>
  <c r="E1823" i="4"/>
  <c r="E2356" i="4"/>
  <c r="E2173" i="4"/>
  <c r="E2187" i="4"/>
  <c r="E1804" i="4"/>
  <c r="E1583" i="4"/>
  <c r="E1412" i="4"/>
  <c r="E2182" i="4"/>
  <c r="E2059" i="4"/>
  <c r="E2263" i="4"/>
  <c r="E1673" i="4"/>
  <c r="E1985" i="4"/>
  <c r="E2473" i="4"/>
  <c r="E2191" i="4"/>
  <c r="E1838" i="4"/>
  <c r="E1752" i="4"/>
  <c r="E2372" i="4"/>
  <c r="E2078" i="4"/>
  <c r="E2188" i="4"/>
  <c r="E2422" i="4"/>
  <c r="E2478" i="4"/>
  <c r="E2268" i="4"/>
  <c r="E2402" i="4"/>
  <c r="E2341" i="4"/>
  <c r="E2323" i="4"/>
  <c r="E2146" i="4"/>
  <c r="E1991" i="4"/>
  <c r="E1562" i="4"/>
  <c r="E2210" i="4"/>
  <c r="E2320" i="4"/>
  <c r="E1046" i="4"/>
  <c r="E1907" i="4"/>
  <c r="E38" i="4"/>
  <c r="E2110" i="4"/>
  <c r="E1791" i="4"/>
  <c r="E1704" i="4"/>
  <c r="E2325" i="4"/>
  <c r="E2030" i="4"/>
  <c r="E2134" i="4"/>
  <c r="E2374" i="4"/>
  <c r="E2376" i="4"/>
  <c r="E2413" i="4"/>
  <c r="E2221" i="4"/>
  <c r="E2112" i="4"/>
  <c r="E2431" i="4"/>
  <c r="E2400" i="4"/>
  <c r="E1381" i="4"/>
  <c r="E2412" i="4"/>
  <c r="E2035" i="4"/>
  <c r="E1679" i="4"/>
  <c r="E1593" i="4"/>
  <c r="E2217" i="4"/>
  <c r="E1920" i="4"/>
  <c r="E2024" i="4"/>
  <c r="E2097" i="4"/>
  <c r="E2446" i="4"/>
  <c r="E2424" i="4"/>
  <c r="E1389" i="4"/>
  <c r="E2420" i="4"/>
  <c r="E2447" i="4"/>
  <c r="E1397" i="4"/>
  <c r="E2428" i="4"/>
  <c r="E2515" i="4"/>
  <c r="E2003" i="4"/>
  <c r="E1049" i="4"/>
  <c r="E449" i="4"/>
  <c r="E2357" i="4"/>
  <c r="E1790" i="4"/>
  <c r="E1622" i="4"/>
  <c r="E1659" i="4"/>
  <c r="E1037" i="4"/>
  <c r="E1155" i="4"/>
  <c r="E989" i="4"/>
  <c r="E1083" i="4"/>
  <c r="E317" i="4"/>
  <c r="E655" i="4"/>
  <c r="E694" i="4"/>
  <c r="E518" i="4"/>
  <c r="E708" i="4"/>
  <c r="E707" i="4"/>
  <c r="E2041" i="4"/>
  <c r="E2198" i="4"/>
  <c r="E1432" i="4"/>
  <c r="E905" i="4"/>
  <c r="E547" i="4"/>
  <c r="E1021" i="4"/>
  <c r="E1523" i="4"/>
  <c r="E956" i="4"/>
  <c r="E245" i="4"/>
  <c r="E419" i="4"/>
  <c r="E583" i="4"/>
  <c r="E441" i="4"/>
  <c r="E637" i="4"/>
  <c r="E636" i="4"/>
  <c r="E385" i="4"/>
  <c r="E1878" i="4"/>
  <c r="E1472" i="4"/>
  <c r="E674" i="4"/>
  <c r="E1466" i="4"/>
  <c r="E761" i="4"/>
  <c r="E1319" i="4"/>
  <c r="E1776" i="4"/>
  <c r="E1726" i="4"/>
  <c r="E1113" i="4"/>
  <c r="E1175" i="4"/>
  <c r="E880" i="4"/>
  <c r="E1430" i="4"/>
  <c r="E1060" i="4"/>
  <c r="E704" i="4"/>
  <c r="E862" i="4"/>
  <c r="E901" i="4"/>
  <c r="E139" i="4"/>
  <c r="E915" i="4"/>
  <c r="E313" i="4"/>
  <c r="E592" i="4"/>
  <c r="E92" i="4"/>
  <c r="E2288" i="4"/>
  <c r="E1213" i="4"/>
  <c r="E1549" i="4"/>
  <c r="E1714" i="4"/>
  <c r="E975" i="4"/>
  <c r="E1524" i="4"/>
  <c r="E1161" i="4"/>
  <c r="E725" i="4"/>
  <c r="E757" i="4"/>
  <c r="E1293" i="4"/>
  <c r="E1422" i="4"/>
  <c r="E1279" i="4"/>
  <c r="E919" i="4"/>
  <c r="E721" i="4"/>
  <c r="E1242" i="4"/>
  <c r="E1236" i="4"/>
  <c r="E1722" i="4"/>
  <c r="E929" i="4"/>
  <c r="E586" i="4"/>
  <c r="E1700" i="4"/>
  <c r="E1637" i="4"/>
  <c r="E1418" i="4"/>
  <c r="E1221" i="4"/>
  <c r="E2010" i="4"/>
  <c r="E1806" i="4"/>
  <c r="E1759" i="4"/>
  <c r="E2296" i="4"/>
  <c r="E2104" i="4"/>
  <c r="E1883" i="4"/>
  <c r="E1177" i="4"/>
  <c r="E1012" i="4"/>
  <c r="E1540" i="4"/>
  <c r="E1179" i="4"/>
  <c r="E991" i="4"/>
  <c r="E993" i="4"/>
  <c r="E1496" i="4"/>
  <c r="E1982" i="4"/>
  <c r="E1762" i="4"/>
  <c r="E1455" i="4"/>
  <c r="E1393" i="4"/>
  <c r="E1905" i="4"/>
  <c r="E1686" i="4"/>
  <c r="E1521" i="4"/>
  <c r="E2285" i="4"/>
  <c r="E2215" i="4"/>
  <c r="E1680" i="4"/>
  <c r="E2006" i="4"/>
  <c r="E2350" i="4"/>
  <c r="E438" i="4"/>
  <c r="E900" i="4"/>
  <c r="E1054" i="4"/>
  <c r="E1563" i="4"/>
  <c r="E1423" i="4"/>
  <c r="E1062" i="4"/>
  <c r="E872" i="4"/>
  <c r="E858" i="4"/>
  <c r="E1379" i="4"/>
  <c r="E1863" i="4"/>
  <c r="E1635" i="4"/>
  <c r="E1009" i="4"/>
  <c r="E1082" i="4"/>
  <c r="E1780" i="4"/>
  <c r="E1559" i="4"/>
  <c r="E1388" i="4"/>
  <c r="E2159" i="4"/>
  <c r="E2027" i="4"/>
  <c r="E2232" i="4"/>
  <c r="E1641" i="4"/>
  <c r="E1865" i="4"/>
  <c r="E214" i="4"/>
  <c r="E1008" i="4"/>
  <c r="E1007" i="4"/>
  <c r="E1997" i="4"/>
  <c r="E1778" i="4"/>
  <c r="E1470" i="4"/>
  <c r="E1409" i="4"/>
  <c r="E1921" i="4"/>
  <c r="E1702" i="4"/>
  <c r="E1537" i="4"/>
  <c r="E2300" i="4"/>
  <c r="E2239" i="4"/>
  <c r="E1728" i="4"/>
  <c r="E2054" i="4"/>
  <c r="E2406" i="4"/>
  <c r="E2007" i="4"/>
  <c r="E988" i="4"/>
  <c r="E1515" i="4"/>
  <c r="E1375" i="4"/>
  <c r="E1013" i="4"/>
  <c r="E824" i="4"/>
  <c r="E507" i="4"/>
  <c r="E1331" i="4"/>
  <c r="E1816" i="4"/>
  <c r="E1080" i="4"/>
  <c r="E722" i="4"/>
  <c r="E994" i="4"/>
  <c r="E1733" i="4"/>
  <c r="E1511" i="4"/>
  <c r="E1340" i="4"/>
  <c r="E2113" i="4"/>
  <c r="E1941" i="4"/>
  <c r="E2115" i="4"/>
  <c r="E1538" i="4"/>
  <c r="E2298" i="4"/>
  <c r="E2172" i="4"/>
  <c r="E1874" i="4"/>
  <c r="E1654" i="4"/>
  <c r="E1489" i="4"/>
  <c r="E2246" i="4"/>
  <c r="E2168" i="4"/>
  <c r="E1617" i="4"/>
  <c r="E1944" i="4"/>
  <c r="E2273" i="4"/>
  <c r="E2394" i="4"/>
  <c r="E2254" i="4"/>
  <c r="E2068" i="4"/>
  <c r="E1919" i="4"/>
  <c r="E1490" i="4"/>
  <c r="E2140" i="4"/>
  <c r="E2252" i="4"/>
  <c r="E2492" i="4"/>
  <c r="E2429" i="4"/>
  <c r="E2502" i="4"/>
  <c r="E2503" i="4"/>
  <c r="E1869" i="4"/>
  <c r="E1520" i="4"/>
  <c r="E2216" i="4"/>
  <c r="E2053" i="4"/>
  <c r="E1625" i="4"/>
  <c r="E1795" i="4"/>
  <c r="E1849" i="4"/>
  <c r="E1818" i="4"/>
  <c r="E1971" i="4"/>
  <c r="E1126" i="4"/>
  <c r="E2023" i="4"/>
  <c r="E1854" i="4"/>
  <c r="E1768" i="4"/>
  <c r="E1428" i="4"/>
  <c r="E2094" i="4"/>
  <c r="E2204" i="4"/>
  <c r="E2438" i="4"/>
  <c r="E2403" i="4"/>
  <c r="E2284" i="4"/>
  <c r="E2418" i="4"/>
  <c r="E2389" i="4"/>
  <c r="E2508" i="4"/>
  <c r="E2166" i="4"/>
  <c r="E2141" i="4"/>
  <c r="E2474" i="4"/>
  <c r="E2099" i="4"/>
  <c r="E1743" i="4"/>
  <c r="E1656" i="4"/>
  <c r="E2280" i="4"/>
  <c r="E1984" i="4"/>
  <c r="E2088" i="4"/>
  <c r="E2327" i="4"/>
  <c r="E2227" i="4"/>
  <c r="E2339" i="4"/>
  <c r="E2149" i="4"/>
  <c r="E2482" i="4"/>
  <c r="E2395" i="4"/>
  <c r="E2181" i="4"/>
  <c r="E2490" i="4"/>
  <c r="E2303" i="4"/>
  <c r="E2253" i="4"/>
  <c r="E768" i="4"/>
  <c r="G34" i="6"/>
  <c r="L19" i="6" s="1"/>
  <c r="G30" i="6"/>
  <c r="L15" i="6" s="1"/>
  <c r="J9" i="4" s="1"/>
  <c r="G28" i="6"/>
  <c r="L13" i="6" s="1"/>
  <c r="G33" i="6"/>
  <c r="L18" i="6" s="1"/>
  <c r="G40" i="6"/>
  <c r="G41" i="6" s="1"/>
  <c r="L23" i="6" s="1"/>
  <c r="G29" i="6"/>
  <c r="L14" i="6" s="1"/>
  <c r="G32" i="6"/>
  <c r="L17" i="6" s="1"/>
  <c r="E2319" i="4"/>
  <c r="E2261" i="4"/>
  <c r="E1440" i="4"/>
  <c r="E913" i="4"/>
  <c r="E882" i="4"/>
  <c r="E1027" i="4"/>
  <c r="E1531" i="4"/>
  <c r="E987" i="4"/>
  <c r="E253" i="4"/>
  <c r="E427" i="4"/>
  <c r="E591" i="4"/>
  <c r="E456" i="4"/>
  <c r="E645" i="4"/>
  <c r="E644" i="4"/>
  <c r="E1970" i="4"/>
  <c r="E1932" i="4"/>
  <c r="E1058" i="4"/>
  <c r="E2020" i="4"/>
  <c r="E1220" i="4"/>
  <c r="E895" i="4"/>
  <c r="E1398" i="4"/>
  <c r="E868" i="4"/>
  <c r="E181" i="4"/>
  <c r="E355" i="4"/>
  <c r="E426" i="4"/>
  <c r="E322" i="4"/>
  <c r="E509" i="4"/>
  <c r="E439" i="4"/>
  <c r="E323" i="4"/>
  <c r="E2151" i="4"/>
  <c r="E2294" i="4"/>
  <c r="E1953" i="4"/>
  <c r="E1872" i="4"/>
  <c r="E1283" i="4"/>
  <c r="E1344" i="4"/>
  <c r="E1194" i="4"/>
  <c r="E1862" i="4"/>
  <c r="E1465" i="4"/>
  <c r="E666" i="4"/>
  <c r="E1419" i="4"/>
  <c r="E745" i="4"/>
  <c r="E1303" i="4"/>
  <c r="E1333" i="4"/>
  <c r="E625" i="4"/>
  <c r="E798" i="4"/>
  <c r="E837" i="4"/>
  <c r="E693" i="4"/>
  <c r="E851" i="4"/>
  <c r="E786" i="4"/>
  <c r="E531" i="4"/>
  <c r="E31" i="4"/>
  <c r="E1664" i="4"/>
  <c r="E1670" i="4"/>
  <c r="E1105" i="4"/>
  <c r="E1167" i="4"/>
  <c r="E848" i="4"/>
  <c r="E1399" i="4"/>
  <c r="E1011" i="4"/>
  <c r="E688" i="4"/>
  <c r="E820" i="4"/>
  <c r="E1357" i="4"/>
  <c r="E1483" i="4"/>
  <c r="E1343" i="4"/>
  <c r="E982" i="4"/>
  <c r="E792" i="4"/>
  <c r="E468" i="4"/>
  <c r="E1299" i="4"/>
  <c r="E1785" i="4"/>
  <c r="E1000" i="4"/>
  <c r="E690" i="4"/>
  <c r="E467" i="4"/>
  <c r="E1701" i="4"/>
  <c r="E1480" i="4"/>
  <c r="E1308" i="4"/>
  <c r="E2074" i="4"/>
  <c r="E1885" i="4"/>
  <c r="E1886" i="4"/>
  <c r="E1460" i="4"/>
  <c r="E2236" i="4"/>
  <c r="E2462" i="4"/>
  <c r="E1239" i="4"/>
  <c r="E1100" i="4"/>
  <c r="E1604" i="4"/>
  <c r="E1248" i="4"/>
  <c r="E1063" i="4"/>
  <c r="E1051" i="4"/>
  <c r="E1111" i="4"/>
  <c r="E2044" i="4"/>
  <c r="E1825" i="4"/>
  <c r="E1517" i="4"/>
  <c r="E1456" i="4"/>
  <c r="E1969" i="4"/>
  <c r="E1749" i="4"/>
  <c r="E1813" i="4"/>
  <c r="E2345" i="4"/>
  <c r="E2307" i="4"/>
  <c r="E1808" i="4"/>
  <c r="E2132" i="4"/>
  <c r="E222" i="4"/>
  <c r="E2443" i="4"/>
  <c r="E963" i="4"/>
  <c r="E1122" i="4"/>
  <c r="E1626" i="4"/>
  <c r="E1484" i="4"/>
  <c r="E1124" i="4"/>
  <c r="E936" i="4"/>
  <c r="E922" i="4"/>
  <c r="E1442" i="4"/>
  <c r="E1926" i="4"/>
  <c r="E1699" i="4"/>
  <c r="E1392" i="4"/>
  <c r="E1337" i="4"/>
  <c r="E1850" i="4"/>
  <c r="E1630" i="4"/>
  <c r="E1451" i="4"/>
  <c r="E2222" i="4"/>
  <c r="E2122" i="4"/>
  <c r="E1585" i="4"/>
  <c r="E1912" i="4"/>
  <c r="E2089" i="4"/>
  <c r="E2189" i="4"/>
  <c r="E1065" i="4"/>
  <c r="E1151" i="4"/>
  <c r="E2060" i="4"/>
  <c r="E1840" i="4"/>
  <c r="E1533" i="4"/>
  <c r="E1471" i="4"/>
  <c r="E1250" i="4"/>
  <c r="E1765" i="4"/>
  <c r="E1829" i="4"/>
  <c r="E2361" i="4"/>
  <c r="E2346" i="4"/>
  <c r="E1959" i="4"/>
  <c r="E2178" i="4"/>
  <c r="E2387" i="4"/>
  <c r="E2505" i="4"/>
  <c r="E1068" i="4"/>
  <c r="E1579" i="4"/>
  <c r="E1438" i="4"/>
  <c r="E1078" i="4"/>
  <c r="E888" i="4"/>
  <c r="E874" i="4"/>
  <c r="E1395" i="4"/>
  <c r="E1879" i="4"/>
  <c r="E1651" i="4"/>
  <c r="E1025" i="4"/>
  <c r="E1289" i="4"/>
  <c r="E1796" i="4"/>
  <c r="E1575" i="4"/>
  <c r="E1404" i="4"/>
  <c r="E2175" i="4"/>
  <c r="E2051" i="4"/>
  <c r="E2255" i="4"/>
  <c r="E1665" i="4"/>
  <c r="E1889" i="4"/>
  <c r="E2450" i="4"/>
  <c r="E1937" i="4"/>
  <c r="E1718" i="4"/>
  <c r="E1553" i="4"/>
  <c r="E2314" i="4"/>
  <c r="E2270" i="4"/>
  <c r="E1744" i="4"/>
  <c r="E2070" i="4"/>
  <c r="E2468" i="4"/>
  <c r="E2071" i="4"/>
  <c r="E2315" i="4"/>
  <c r="E2138" i="4"/>
  <c r="E1983" i="4"/>
  <c r="E1554" i="4"/>
  <c r="E2202" i="4"/>
  <c r="E2312" i="4"/>
  <c r="E446" i="4"/>
  <c r="E1899" i="4"/>
  <c r="E30" i="4"/>
  <c r="E1038" i="4"/>
  <c r="E1933" i="4"/>
  <c r="E1584" i="4"/>
  <c r="E2279" i="4"/>
  <c r="E2116" i="4"/>
  <c r="E1689" i="4"/>
  <c r="E1938" i="4"/>
  <c r="E2009" i="4"/>
  <c r="E2274" i="4"/>
  <c r="E2211" i="4"/>
  <c r="E2349" i="4"/>
  <c r="E2087" i="4"/>
  <c r="E2084" i="4"/>
  <c r="E1935" i="4"/>
  <c r="E1506" i="4"/>
  <c r="E2156" i="4"/>
  <c r="E2267" i="4"/>
  <c r="E2507" i="4"/>
  <c r="E2483" i="4"/>
  <c r="E2441" i="4"/>
  <c r="E62" i="4"/>
  <c r="E2382" i="4"/>
  <c r="E2392" i="4"/>
  <c r="E2444" i="4"/>
  <c r="E2229" i="4"/>
  <c r="E2120" i="4"/>
  <c r="E2160" i="4"/>
  <c r="E1807" i="4"/>
  <c r="E1720" i="4"/>
  <c r="E2340" i="4"/>
  <c r="E2046" i="4"/>
  <c r="E2150" i="4"/>
  <c r="E2390" i="4"/>
  <c r="E2408" i="4"/>
  <c r="E2491" i="4"/>
  <c r="E2237" i="4"/>
  <c r="E2310" i="4"/>
  <c r="E2164" i="4"/>
  <c r="E2245" i="4"/>
  <c r="E2318" i="4"/>
  <c r="E2157" i="4"/>
  <c r="E2105" i="4"/>
  <c r="E1048" i="4"/>
  <c r="E615" i="4"/>
  <c r="E2080" i="4"/>
  <c r="E1988" i="4"/>
  <c r="E1297" i="4"/>
  <c r="E2028" i="4"/>
  <c r="E1227" i="4"/>
  <c r="E903" i="4"/>
  <c r="E1406" i="4"/>
  <c r="E876" i="4"/>
  <c r="E189" i="4"/>
  <c r="E363" i="4"/>
  <c r="E434" i="4"/>
  <c r="E330" i="4"/>
  <c r="E517" i="4"/>
  <c r="E447" i="4"/>
  <c r="E1721" i="4"/>
  <c r="E1427" i="4"/>
  <c r="E1676" i="4"/>
  <c r="E1839" i="4"/>
  <c r="E1094" i="4"/>
  <c r="E760" i="4"/>
  <c r="E1270" i="4"/>
  <c r="E788" i="4"/>
  <c r="E117" i="4"/>
  <c r="E284" i="4"/>
  <c r="E243" i="4"/>
  <c r="E258" i="4"/>
  <c r="E416" i="4"/>
  <c r="E375" i="4"/>
  <c r="E259" i="4"/>
  <c r="E2329" i="4"/>
  <c r="E1877" i="4"/>
  <c r="E1693" i="4"/>
  <c r="E1723" i="4"/>
  <c r="E1096" i="4"/>
  <c r="E1211" i="4"/>
  <c r="E1069" i="4"/>
  <c r="E2143" i="4"/>
  <c r="E2278" i="4"/>
  <c r="E1945" i="4"/>
  <c r="E1864" i="4"/>
  <c r="E1275" i="4"/>
  <c r="E1328" i="4"/>
  <c r="E1178" i="4"/>
  <c r="E1216" i="4"/>
  <c r="E553" i="4"/>
  <c r="E735" i="4"/>
  <c r="E773" i="4"/>
  <c r="E622" i="4"/>
  <c r="E787" i="4"/>
  <c r="E723" i="4"/>
  <c r="E469" i="4"/>
  <c r="E1751" i="4"/>
  <c r="E1410" i="4"/>
  <c r="E578" i="4"/>
  <c r="E1411" i="4"/>
  <c r="E713" i="4"/>
  <c r="E1271" i="4"/>
  <c r="E1317" i="4"/>
  <c r="E617" i="4"/>
  <c r="E884" i="4"/>
  <c r="E1019" i="4"/>
  <c r="E1547" i="4"/>
  <c r="E1407" i="4"/>
  <c r="E1042" i="4"/>
  <c r="E856" i="4"/>
  <c r="E651" i="4"/>
  <c r="E1363" i="4"/>
  <c r="E1847" i="4"/>
  <c r="E1620" i="4"/>
  <c r="E754" i="4"/>
  <c r="E1066" i="4"/>
  <c r="E1764" i="4"/>
  <c r="E1543" i="4"/>
  <c r="E1372" i="4"/>
  <c r="E2144" i="4"/>
  <c r="E1981" i="4"/>
  <c r="E2192" i="4"/>
  <c r="E1602" i="4"/>
  <c r="E2359" i="4"/>
  <c r="E2495" i="4"/>
  <c r="E1302" i="4"/>
  <c r="E1162" i="4"/>
  <c r="E799" i="4"/>
  <c r="E1312" i="4"/>
  <c r="E1125" i="4"/>
  <c r="E1112" i="4"/>
  <c r="E1199" i="4"/>
  <c r="E809" i="4"/>
  <c r="E1888" i="4"/>
  <c r="E1581" i="4"/>
  <c r="E1518" i="4"/>
  <c r="E1298" i="4"/>
  <c r="E1820" i="4"/>
  <c r="E1884" i="4"/>
  <c r="E2409" i="4"/>
  <c r="E1552" i="4"/>
  <c r="E2037" i="4"/>
  <c r="E1779" i="4"/>
  <c r="E2383" i="4"/>
  <c r="E569" i="4"/>
  <c r="E1047" i="4"/>
  <c r="E1185" i="4"/>
  <c r="E1020" i="4"/>
  <c r="E1548" i="4"/>
  <c r="E1187" i="4"/>
  <c r="E999" i="4"/>
  <c r="E1001" i="4"/>
  <c r="E1504" i="4"/>
  <c r="E1990" i="4"/>
  <c r="E1770" i="4"/>
  <c r="E1463" i="4"/>
  <c r="E1401" i="4"/>
  <c r="E1913" i="4"/>
  <c r="E1694" i="4"/>
  <c r="E1529" i="4"/>
  <c r="E2293" i="4"/>
  <c r="E2231" i="4"/>
  <c r="E1712" i="4"/>
  <c r="E2038" i="4"/>
  <c r="E2398" i="4"/>
  <c r="E2489" i="4"/>
  <c r="E1135" i="4"/>
  <c r="E1215" i="4"/>
  <c r="E825" i="4"/>
  <c r="E1911" i="4"/>
  <c r="E1597" i="4"/>
  <c r="E1534" i="4"/>
  <c r="E1314" i="4"/>
  <c r="E1843" i="4"/>
  <c r="E1900" i="4"/>
  <c r="E2425" i="4"/>
  <c r="E1568" i="4"/>
  <c r="E2085" i="4"/>
  <c r="E1906" i="4"/>
  <c r="E2399" i="4"/>
  <c r="E995" i="4"/>
  <c r="E1137" i="4"/>
  <c r="E973" i="4"/>
  <c r="E1500" i="4"/>
  <c r="E1139" i="4"/>
  <c r="E952" i="4"/>
  <c r="E938" i="4"/>
  <c r="E1458" i="4"/>
  <c r="E1942" i="4"/>
  <c r="E1715" i="4"/>
  <c r="E1408" i="4"/>
  <c r="E1353" i="4"/>
  <c r="E1866" i="4"/>
  <c r="E1646" i="4"/>
  <c r="E1474" i="4"/>
  <c r="E2238" i="4"/>
  <c r="E2153" i="4"/>
  <c r="E1609" i="4"/>
  <c r="E1936" i="4"/>
  <c r="E2265" i="4"/>
  <c r="E2386" i="4"/>
  <c r="E1266" i="4"/>
  <c r="E1781" i="4"/>
  <c r="E1852" i="4"/>
  <c r="E2377" i="4"/>
  <c r="E2370" i="4"/>
  <c r="E1975" i="4"/>
  <c r="E2194" i="4"/>
  <c r="E2475" i="4"/>
  <c r="E2333" i="4"/>
  <c r="E1512" i="4"/>
  <c r="E2208" i="4"/>
  <c r="E2045" i="4"/>
  <c r="E1618" i="4"/>
  <c r="E1787" i="4"/>
  <c r="E1841" i="4"/>
  <c r="E2513" i="4"/>
  <c r="E1963" i="4"/>
  <c r="E430" i="4"/>
  <c r="E2015" i="4"/>
  <c r="E2011" i="4"/>
  <c r="E1655" i="4"/>
  <c r="E1235" i="4"/>
  <c r="E2193" i="4"/>
  <c r="E1896" i="4"/>
  <c r="E2001" i="4"/>
  <c r="E2073" i="4"/>
  <c r="E2415" i="4"/>
  <c r="E2368" i="4"/>
  <c r="E1365" i="4"/>
  <c r="E2396" i="4"/>
  <c r="E2154" i="4"/>
  <c r="E1998" i="4"/>
  <c r="E1570" i="4"/>
  <c r="E2218" i="4"/>
  <c r="E2328" i="4"/>
  <c r="E2118" i="4"/>
  <c r="E1915" i="4"/>
  <c r="E54" i="4"/>
  <c r="E2174" i="4"/>
  <c r="E2445" i="4"/>
  <c r="E2435" i="4"/>
  <c r="E2292" i="4"/>
  <c r="E2426" i="4"/>
  <c r="E2421" i="4"/>
  <c r="E2223" i="4"/>
  <c r="E1870" i="4"/>
  <c r="E1784" i="4"/>
  <c r="E1444" i="4"/>
  <c r="E2109" i="4"/>
  <c r="E2220" i="4"/>
  <c r="E2460" i="4"/>
  <c r="E2465" i="4"/>
  <c r="E2299" i="4"/>
  <c r="E2434" i="4"/>
  <c r="E2459" i="4"/>
  <c r="E2479" i="4"/>
  <c r="E2449" i="4"/>
  <c r="E2498" i="4"/>
  <c r="E1482" i="4"/>
  <c r="E1836" i="4"/>
  <c r="E1033" i="4"/>
  <c r="E548" i="4"/>
  <c r="E1976" i="4"/>
  <c r="E1497" i="4"/>
  <c r="E1684" i="4"/>
  <c r="E1887" i="4"/>
  <c r="E1102" i="4"/>
  <c r="E775" i="4"/>
  <c r="E1278" i="4"/>
  <c r="E796" i="4"/>
  <c r="E125" i="4"/>
  <c r="E292" i="4"/>
  <c r="E251" i="4"/>
  <c r="E266" i="4"/>
  <c r="E424" i="4"/>
  <c r="E2155" i="4"/>
  <c r="E1149" i="4"/>
  <c r="E1493" i="4"/>
  <c r="E1698" i="4"/>
  <c r="E960" i="4"/>
  <c r="E1508" i="4"/>
  <c r="E1145" i="4"/>
  <c r="E87" i="4"/>
  <c r="E902" i="4"/>
  <c r="E941" i="4"/>
  <c r="E179" i="4"/>
  <c r="E955" i="4"/>
  <c r="E352" i="4"/>
  <c r="E24" i="4"/>
  <c r="E196" i="4"/>
  <c r="E2484" i="4"/>
  <c r="E2330" i="4"/>
  <c r="E1502" i="4"/>
  <c r="E984" i="4"/>
  <c r="E946" i="4"/>
  <c r="E1086" i="4"/>
  <c r="E1587" i="4"/>
  <c r="E2313" i="4"/>
  <c r="E1861" i="4"/>
  <c r="E1685" i="4"/>
  <c r="E1675" i="4"/>
  <c r="E1089" i="4"/>
  <c r="E1195" i="4"/>
  <c r="E1041" i="4"/>
  <c r="E1114" i="4"/>
  <c r="E333" i="4"/>
  <c r="E671" i="4"/>
  <c r="E710" i="4"/>
  <c r="E558" i="4"/>
  <c r="E724" i="4"/>
  <c r="E659" i="4"/>
  <c r="E409" i="4"/>
  <c r="E2488" i="4"/>
  <c r="E2183" i="4"/>
  <c r="E1890" i="4"/>
  <c r="E1856" i="4"/>
  <c r="E1228" i="4"/>
  <c r="E1296" i="4"/>
  <c r="E1146" i="4"/>
  <c r="E1208" i="4"/>
  <c r="E537" i="4"/>
  <c r="E948" i="4"/>
  <c r="E1107" i="4"/>
  <c r="E1611" i="4"/>
  <c r="E1469" i="4"/>
  <c r="E1109" i="4"/>
  <c r="E920" i="4"/>
  <c r="E906" i="4"/>
  <c r="E1426" i="4"/>
  <c r="E1910" i="4"/>
  <c r="E1683" i="4"/>
  <c r="E1376" i="4"/>
  <c r="E1321" i="4"/>
  <c r="E1835" i="4"/>
  <c r="E1607" i="4"/>
  <c r="E1435" i="4"/>
  <c r="E2206" i="4"/>
  <c r="E2106" i="4"/>
  <c r="E1036" i="4"/>
  <c r="E1729" i="4"/>
  <c r="E2049" i="4"/>
  <c r="E1405" i="4"/>
  <c r="E1366" i="4"/>
  <c r="E1226" i="4"/>
  <c r="E863" i="4"/>
  <c r="E665" i="4"/>
  <c r="E1188" i="4"/>
  <c r="E1182" i="4"/>
  <c r="E1666" i="4"/>
  <c r="E873" i="4"/>
  <c r="E522" i="4"/>
  <c r="E1644" i="4"/>
  <c r="E1582" i="4"/>
  <c r="E1362" i="4"/>
  <c r="E1165" i="4"/>
  <c r="E1948" i="4"/>
  <c r="E2471" i="4"/>
  <c r="E1663" i="4"/>
  <c r="E2170" i="4"/>
  <c r="E1986" i="4"/>
  <c r="E2336" i="4"/>
  <c r="E633" i="4"/>
  <c r="E1106" i="4"/>
  <c r="E1246" i="4"/>
  <c r="E1108" i="4"/>
  <c r="E1612" i="4"/>
  <c r="E1256" i="4"/>
  <c r="E1071" i="4"/>
  <c r="E1057" i="4"/>
  <c r="E1143" i="4"/>
  <c r="E2052" i="4"/>
  <c r="E1833" i="4"/>
  <c r="E1525" i="4"/>
  <c r="E1464" i="4"/>
  <c r="E1977" i="4"/>
  <c r="E1757" i="4"/>
  <c r="E1821" i="4"/>
  <c r="E2353" i="4"/>
  <c r="E2338" i="4"/>
  <c r="E1943" i="4"/>
  <c r="E2163" i="4"/>
  <c r="E246" i="4"/>
  <c r="E2497" i="4"/>
  <c r="E1198" i="4"/>
  <c r="E1682" i="4"/>
  <c r="E889" i="4"/>
  <c r="E546" i="4"/>
  <c r="E1660" i="4"/>
  <c r="E1598" i="4"/>
  <c r="E1378" i="4"/>
  <c r="E1181" i="4"/>
  <c r="E1964" i="4"/>
  <c r="E1758" i="4"/>
  <c r="E1687" i="4"/>
  <c r="E2225" i="4"/>
  <c r="E2032" i="4"/>
  <c r="E2432" i="4"/>
  <c r="E1059" i="4"/>
  <c r="E1201" i="4"/>
  <c r="E1061" i="4"/>
  <c r="E1564" i="4"/>
  <c r="E1203" i="4"/>
  <c r="E1014" i="4"/>
  <c r="E1016" i="4"/>
  <c r="E1015" i="4"/>
  <c r="E2004" i="4"/>
  <c r="E1786" i="4"/>
  <c r="E1478" i="4"/>
  <c r="E1417" i="4"/>
  <c r="E1929" i="4"/>
  <c r="E1710" i="4"/>
  <c r="E1545" i="4"/>
  <c r="E2306" i="4"/>
  <c r="E2247" i="4"/>
  <c r="E1736" i="4"/>
  <c r="E2062" i="4"/>
  <c r="E2414" i="4"/>
  <c r="E2063" i="4"/>
  <c r="E1330" i="4"/>
  <c r="E1029" i="4"/>
  <c r="E1916" i="4"/>
  <c r="E2440" i="4"/>
  <c r="E1600" i="4"/>
  <c r="E2101" i="4"/>
  <c r="E1922" i="4"/>
  <c r="E2469" i="4"/>
  <c r="E1925" i="4"/>
  <c r="E1576" i="4"/>
  <c r="E2271" i="4"/>
  <c r="E2108" i="4"/>
  <c r="E1681" i="4"/>
  <c r="E1930" i="4"/>
  <c r="E1993" i="4"/>
  <c r="E2266" i="4"/>
  <c r="E2203" i="4"/>
  <c r="E2496" i="4"/>
  <c r="E2079" i="4"/>
  <c r="E2075" i="4"/>
  <c r="E1719" i="4"/>
  <c r="E1632" i="4"/>
  <c r="E2256" i="4"/>
  <c r="E1960" i="4"/>
  <c r="E2064" i="4"/>
  <c r="E2289" i="4"/>
  <c r="E2493" i="4"/>
  <c r="E254" i="4"/>
  <c r="E2125" i="4"/>
  <c r="E2458" i="4"/>
  <c r="E2224" i="4"/>
  <c r="E2061" i="4"/>
  <c r="E1633" i="4"/>
  <c r="E1803" i="4"/>
  <c r="E1857" i="4"/>
  <c r="E1826" i="4"/>
  <c r="E1979" i="4"/>
  <c r="E2158" i="4"/>
  <c r="E2031" i="4"/>
  <c r="E2514" i="4"/>
  <c r="E1859" i="4"/>
  <c r="E2456" i="4"/>
  <c r="E78" i="4"/>
  <c r="E1766" i="4"/>
  <c r="E2286" i="4"/>
  <c r="E2100" i="4"/>
  <c r="E1951" i="4"/>
  <c r="E1522" i="4"/>
  <c r="E2171" i="4"/>
  <c r="E2283" i="4"/>
  <c r="E2470" i="4"/>
  <c r="E1867" i="4"/>
  <c r="E2472" i="4"/>
  <c r="E190" i="4"/>
  <c r="E1875" i="4"/>
  <c r="E2480" i="4"/>
  <c r="E206" i="4"/>
  <c r="E2439" i="4"/>
  <c r="E1467" i="4"/>
  <c r="E1812" i="4"/>
  <c r="E1245" i="4"/>
  <c r="E541" i="4"/>
  <c r="E2272" i="4"/>
  <c r="E1205" i="4"/>
  <c r="E1501" i="4"/>
  <c r="E1706" i="4"/>
  <c r="E967" i="4"/>
  <c r="E1516" i="4"/>
  <c r="E1153" i="4"/>
  <c r="E717" i="4"/>
  <c r="E910" i="4"/>
  <c r="E949" i="4"/>
  <c r="E187" i="4"/>
  <c r="E962" i="4"/>
  <c r="E360" i="4"/>
  <c r="E2316" i="4"/>
  <c r="E1599" i="4"/>
  <c r="E746" i="4"/>
  <c r="E1031" i="4"/>
  <c r="E832" i="4"/>
  <c r="E1383" i="4"/>
  <c r="E996" i="4"/>
  <c r="E672" i="4"/>
  <c r="E838" i="4"/>
  <c r="E877" i="4"/>
  <c r="E115" i="4"/>
  <c r="E891" i="4"/>
  <c r="E289" i="4"/>
  <c r="E639" i="4"/>
  <c r="E132" i="4"/>
  <c r="AK5" i="5"/>
  <c r="AS5" i="5" s="1"/>
  <c r="AD5" i="5"/>
  <c r="AL5" i="5" s="1"/>
  <c r="AH5" i="5"/>
  <c r="AP5" i="5" s="1"/>
  <c r="E4452" i="4"/>
  <c r="E3997" i="4"/>
  <c r="E4563" i="4"/>
  <c r="E4438" i="4"/>
  <c r="E3967" i="4"/>
  <c r="E5008" i="4"/>
  <c r="E4647" i="4"/>
  <c r="E3778" i="4"/>
  <c r="E4235" i="4"/>
  <c r="E4297" i="4"/>
  <c r="E4257" i="4"/>
  <c r="E4435" i="4"/>
  <c r="E4845" i="4"/>
  <c r="E4709" i="4"/>
  <c r="E4459" i="4"/>
  <c r="E4397" i="4"/>
  <c r="E4736" i="4"/>
  <c r="E4941" i="4"/>
  <c r="E4465" i="4"/>
  <c r="E3906" i="4"/>
  <c r="E3774" i="4"/>
  <c r="E3875" i="4"/>
  <c r="E3841" i="4"/>
  <c r="E4326" i="4"/>
  <c r="E4214" i="4"/>
  <c r="E4118" i="4"/>
  <c r="E4022" i="4"/>
  <c r="E2683" i="4"/>
  <c r="E3398" i="4"/>
  <c r="E3677" i="4"/>
  <c r="E3064" i="4"/>
  <c r="E3596" i="4"/>
  <c r="E2915" i="4"/>
  <c r="E3553" i="4"/>
  <c r="E2927" i="4"/>
  <c r="E3433" i="4"/>
  <c r="E3747" i="4"/>
  <c r="E3083" i="4"/>
  <c r="E2779" i="4"/>
  <c r="E4598" i="4"/>
  <c r="E5010" i="4"/>
  <c r="E4203" i="4"/>
  <c r="E4376" i="4"/>
  <c r="E2952" i="4"/>
  <c r="E4850" i="4"/>
  <c r="E4479" i="4"/>
  <c r="E3325" i="4"/>
  <c r="E4700" i="4"/>
  <c r="E4402" i="4"/>
  <c r="E4641" i="4"/>
  <c r="E5011" i="4"/>
  <c r="E4811" i="4"/>
  <c r="E4693" i="4"/>
  <c r="E4395" i="4"/>
  <c r="E2736" i="4"/>
  <c r="E4652" i="4"/>
  <c r="E4911" i="4"/>
  <c r="E4520" i="4"/>
  <c r="E4061" i="4"/>
  <c r="E3640" i="4"/>
  <c r="E3602" i="4"/>
  <c r="E3908" i="4"/>
  <c r="E2661" i="4"/>
  <c r="E4246" i="4"/>
  <c r="E4134" i="4"/>
  <c r="E4038" i="4"/>
  <c r="E3529" i="4"/>
  <c r="E3738" i="4"/>
  <c r="E3869" i="4"/>
  <c r="E3431" i="4"/>
  <c r="E2589" i="4"/>
  <c r="E3404" i="4"/>
  <c r="E3745" i="4"/>
  <c r="E3425" i="4"/>
  <c r="E3654" i="4"/>
  <c r="E3318" i="4"/>
  <c r="E3811" i="4"/>
  <c r="E3555" i="4"/>
  <c r="E2949" i="4"/>
  <c r="E3299" i="4"/>
  <c r="E2963" i="4"/>
  <c r="E3448" i="4"/>
  <c r="E3128" i="4"/>
  <c r="E2649" i="4"/>
  <c r="E2941" i="4"/>
  <c r="E3354" i="4"/>
  <c r="E3035" i="4"/>
  <c r="E2517" i="4"/>
  <c r="E3044" i="4"/>
  <c r="E2724" i="4"/>
  <c r="E2567" i="4"/>
  <c r="E4388" i="4"/>
  <c r="E4543" i="4"/>
  <c r="E3904" i="4"/>
  <c r="E4686" i="4"/>
  <c r="E4581" i="4"/>
  <c r="E4340" i="4"/>
  <c r="E2854" i="4"/>
  <c r="E4918" i="4"/>
  <c r="E4638" i="4"/>
  <c r="E3988" i="4"/>
  <c r="E4938" i="4"/>
  <c r="E4608" i="4"/>
  <c r="E4389" i="4"/>
  <c r="E3775" i="4"/>
  <c r="E4940" i="4"/>
  <c r="E4315" i="4"/>
  <c r="E4909" i="4"/>
  <c r="E4771" i="4"/>
  <c r="E4707" i="4"/>
  <c r="E4619" i="4"/>
  <c r="E4083" i="4"/>
  <c r="E4381" i="4"/>
  <c r="E4724" i="4"/>
  <c r="E5001" i="4"/>
  <c r="E4817" i="4"/>
  <c r="E4462" i="4"/>
  <c r="E4045" i="4"/>
  <c r="E2534" i="4"/>
  <c r="E3626" i="4"/>
  <c r="E3939" i="4"/>
  <c r="E3414" i="4"/>
  <c r="E3838" i="4"/>
  <c r="E3013" i="4"/>
  <c r="E4292" i="4"/>
  <c r="E4228" i="4"/>
  <c r="E4164" i="4"/>
  <c r="E4100" i="4"/>
  <c r="E4052" i="4"/>
  <c r="E3874" i="4"/>
  <c r="E3388" i="4"/>
  <c r="E3892" i="4"/>
  <c r="E3043" i="4"/>
  <c r="E3673" i="4"/>
  <c r="E3301" i="4"/>
  <c r="E3646" i="4"/>
  <c r="E3183" i="4"/>
  <c r="E3675" i="4"/>
  <c r="E2943" i="4"/>
  <c r="E3227" i="4"/>
  <c r="E2856" i="4"/>
  <c r="E2617" i="4"/>
  <c r="E3248" i="4"/>
  <c r="E2981" i="4"/>
  <c r="E2626" i="4"/>
  <c r="E3213" i="4"/>
  <c r="E2938" i="4"/>
  <c r="E3410" i="4"/>
  <c r="E3099" i="4"/>
  <c r="E2785" i="4"/>
  <c r="E2639" i="4"/>
  <c r="E2693" i="4"/>
  <c r="E2972" i="4"/>
  <c r="E2716" i="4"/>
  <c r="E2726" i="4"/>
  <c r="E2650" i="4"/>
  <c r="E2627" i="4"/>
  <c r="E4263" i="4"/>
  <c r="E4480" i="4"/>
  <c r="E4524" i="4"/>
  <c r="E4197" i="4"/>
  <c r="E3647" i="4"/>
  <c r="E3839" i="4"/>
  <c r="E4684" i="4"/>
  <c r="E4399" i="4"/>
  <c r="E3973" i="4"/>
  <c r="E4928" i="4"/>
  <c r="E4601" i="4"/>
  <c r="E4386" i="4"/>
  <c r="E3762" i="4"/>
  <c r="E4846" i="4"/>
  <c r="E4969" i="4"/>
  <c r="E4835" i="4"/>
  <c r="E4737" i="4"/>
  <c r="E4673" i="4"/>
  <c r="E4443" i="4"/>
  <c r="E3907" i="4"/>
  <c r="E3855" i="4"/>
  <c r="E4716" i="4"/>
  <c r="E4997" i="4"/>
  <c r="E4873" i="4"/>
  <c r="E4548" i="4"/>
  <c r="E4385" i="4"/>
  <c r="E4157" i="4"/>
  <c r="E4010" i="4"/>
  <c r="E3591" i="4"/>
  <c r="E3977" i="4"/>
  <c r="E3719" i="4"/>
  <c r="E2688" i="4"/>
  <c r="E3835" i="4"/>
  <c r="E2995" i="4"/>
  <c r="E4274" i="4"/>
  <c r="E4210" i="4"/>
  <c r="E4146" i="4"/>
  <c r="E4098" i="4"/>
  <c r="E4050" i="4"/>
  <c r="E3871" i="4"/>
  <c r="E2928" i="4"/>
  <c r="E3822" i="4"/>
  <c r="E3543" i="4"/>
  <c r="E2633" i="4"/>
  <c r="E3789" i="4"/>
  <c r="E3597" i="4"/>
  <c r="E3303" i="4"/>
  <c r="E2815" i="4"/>
  <c r="E3708" i="4"/>
  <c r="E3366" i="4"/>
  <c r="E2902" i="4"/>
  <c r="E3601" i="4"/>
  <c r="E3537" i="4"/>
  <c r="E3006" i="4"/>
  <c r="E3501" i="4"/>
  <c r="E2998" i="4"/>
  <c r="E3795" i="4"/>
  <c r="E3415" i="4"/>
  <c r="E3071" i="4"/>
  <c r="E2628" i="4"/>
  <c r="E3347" i="4"/>
  <c r="E3219" i="4"/>
  <c r="E3091" i="4"/>
  <c r="E2849" i="4"/>
  <c r="E2673" i="4"/>
  <c r="E3496" i="4"/>
  <c r="E3368" i="4"/>
  <c r="E3240" i="4"/>
  <c r="E3112" i="4"/>
  <c r="E2911" i="4"/>
  <c r="E2758" i="4"/>
  <c r="E2549" i="4"/>
  <c r="E3002" i="4"/>
  <c r="E2831" i="4"/>
  <c r="E3466" i="4"/>
  <c r="E3338" i="4"/>
  <c r="E3210" i="4"/>
  <c r="E3029" i="4"/>
  <c r="E2855" i="4"/>
  <c r="E2705" i="4"/>
  <c r="E2878" i="4"/>
  <c r="E2674" i="4"/>
  <c r="E3092" i="4"/>
  <c r="E2964" i="4"/>
  <c r="E2772" i="4"/>
  <c r="E2660" i="4"/>
  <c r="E2718" i="4"/>
  <c r="E2619" i="4"/>
  <c r="E4468" i="4"/>
  <c r="E4311" i="4"/>
  <c r="E3824" i="4"/>
  <c r="E4630" i="4"/>
  <c r="E4161" i="4"/>
  <c r="E4984" i="4"/>
  <c r="E4742" i="4"/>
  <c r="E4464" i="4"/>
  <c r="E4629" i="4"/>
  <c r="E4521" i="4"/>
  <c r="E4364" i="4"/>
  <c r="E4181" i="4"/>
  <c r="E3610" i="4"/>
  <c r="E4193" i="4"/>
  <c r="E4978" i="4"/>
  <c r="E4750" i="4"/>
  <c r="E3903" i="4"/>
  <c r="E4558" i="4"/>
  <c r="E4396" i="4"/>
  <c r="E4239" i="4"/>
  <c r="E4111" i="4"/>
  <c r="E3958" i="4"/>
  <c r="E3568" i="4"/>
  <c r="E2985" i="4"/>
  <c r="E4545" i="4"/>
  <c r="E4996" i="4"/>
  <c r="E4916" i="4"/>
  <c r="E4838" i="4"/>
  <c r="E4754" i="4"/>
  <c r="E4672" i="4"/>
  <c r="E3810" i="4"/>
  <c r="E4592" i="4"/>
  <c r="E4534" i="4"/>
  <c r="E4501" i="4"/>
  <c r="E4437" i="4"/>
  <c r="E4379" i="4"/>
  <c r="E4347" i="4"/>
  <c r="E4249" i="4"/>
  <c r="E4121" i="4"/>
  <c r="E3980" i="4"/>
  <c r="E3704" i="4"/>
  <c r="E3113" i="4"/>
  <c r="E4493" i="4"/>
  <c r="E5002" i="4"/>
  <c r="E4920" i="4"/>
  <c r="E4836" i="4"/>
  <c r="E4756" i="4"/>
  <c r="E4678" i="4"/>
  <c r="E4219" i="4"/>
  <c r="E4999" i="4"/>
  <c r="E4965" i="4"/>
  <c r="E4935" i="4"/>
  <c r="E4901" i="4"/>
  <c r="E4865" i="4"/>
  <c r="E4831" i="4"/>
  <c r="E4801" i="4"/>
  <c r="E4783" i="4"/>
  <c r="E4767" i="4"/>
  <c r="E4751" i="4"/>
  <c r="E4735" i="4"/>
  <c r="E4719" i="4"/>
  <c r="E4703" i="4"/>
  <c r="E4687" i="4"/>
  <c r="E4671" i="4"/>
  <c r="E4655" i="4"/>
  <c r="E4603" i="4"/>
  <c r="E4504" i="4"/>
  <c r="E4440" i="4"/>
  <c r="E4307" i="4"/>
  <c r="E4179" i="4"/>
  <c r="E4051" i="4"/>
  <c r="E3891" i="4"/>
  <c r="E3583" i="4"/>
  <c r="E3143" i="4"/>
  <c r="E4535" i="4"/>
  <c r="E4341" i="4"/>
  <c r="E3698" i="4"/>
  <c r="E4952" i="4"/>
  <c r="E4872" i="4"/>
  <c r="E4792" i="4"/>
  <c r="E4706" i="4"/>
  <c r="E4570" i="4"/>
  <c r="E4299" i="4"/>
  <c r="E3535" i="4"/>
  <c r="E4995" i="4"/>
  <c r="E4963" i="4"/>
  <c r="E4931" i="4"/>
  <c r="E4899" i="4"/>
  <c r="E4871" i="4"/>
  <c r="E4841" i="4"/>
  <c r="E4809" i="4"/>
  <c r="E4605" i="4"/>
  <c r="E4541" i="4"/>
  <c r="E4509" i="4"/>
  <c r="E4446" i="4"/>
  <c r="E4382" i="4"/>
  <c r="E4350" i="4"/>
  <c r="E4269" i="4"/>
  <c r="E4141" i="4"/>
  <c r="E4013" i="4"/>
  <c r="E3833" i="4"/>
  <c r="E3465" i="4"/>
  <c r="E4002" i="4"/>
  <c r="E3937" i="4"/>
  <c r="E3870" i="4"/>
  <c r="E3726" i="4"/>
  <c r="E3576" i="4"/>
  <c r="E3350" i="4"/>
  <c r="E2922" i="4"/>
  <c r="E2624" i="4"/>
  <c r="E3969" i="4"/>
  <c r="E3890" i="4"/>
  <c r="E3823" i="4"/>
  <c r="E3703" i="4"/>
  <c r="E3538" i="4"/>
  <c r="E3334" i="4"/>
  <c r="E3080" i="4"/>
  <c r="E2615" i="4"/>
  <c r="E3966" i="4"/>
  <c r="E3899" i="4"/>
  <c r="E3832" i="4"/>
  <c r="E3702" i="4"/>
  <c r="E3544" i="4"/>
  <c r="E3389" i="4"/>
  <c r="E2979" i="4"/>
  <c r="E4336" i="4"/>
  <c r="E4320" i="4"/>
  <c r="E4304" i="4"/>
  <c r="E4288" i="4"/>
  <c r="E4272" i="4"/>
  <c r="E4256" i="4"/>
  <c r="E4240" i="4"/>
  <c r="E4224" i="4"/>
  <c r="E4208" i="4"/>
  <c r="E4192" i="4"/>
  <c r="E4176" i="4"/>
  <c r="E4160" i="4"/>
  <c r="E4144" i="4"/>
  <c r="E4128" i="4"/>
  <c r="E4112" i="4"/>
  <c r="E4096" i="4"/>
  <c r="E4080" i="4"/>
  <c r="E4064" i="4"/>
  <c r="E4048" i="4"/>
  <c r="E4032" i="4"/>
  <c r="E4016" i="4"/>
  <c r="E3935" i="4"/>
  <c r="E3868" i="4"/>
  <c r="E3760" i="4"/>
  <c r="E3615" i="4"/>
  <c r="E3308" i="4"/>
  <c r="E2912" i="4"/>
  <c r="E4000" i="4"/>
  <c r="E3953" i="4"/>
  <c r="E3886" i="4"/>
  <c r="E3818" i="4"/>
  <c r="E3690" i="4"/>
  <c r="E3527" i="4"/>
  <c r="E3319" i="4"/>
  <c r="E3074" i="4"/>
  <c r="E2606" i="4"/>
  <c r="E3909" i="4"/>
  <c r="E3845" i="4"/>
  <c r="E3781" i="4"/>
  <c r="E3717" i="4"/>
  <c r="E3653" i="4"/>
  <c r="E3589" i="4"/>
  <c r="E3495" i="4"/>
  <c r="E3393" i="4"/>
  <c r="E3278" i="4"/>
  <c r="E3166" i="4"/>
  <c r="E3003" i="4"/>
  <c r="E2794" i="4"/>
  <c r="E2723" i="4"/>
  <c r="E2520" i="4"/>
  <c r="E3764" i="4"/>
  <c r="E3700" i="4"/>
  <c r="E3636" i="4"/>
  <c r="E3572" i="4"/>
  <c r="E3468" i="4"/>
  <c r="E3357" i="4"/>
  <c r="E3263" i="4"/>
  <c r="E3137" i="4"/>
  <c r="E3031" i="4"/>
  <c r="E2791" i="4"/>
  <c r="E2623" i="4"/>
  <c r="E3785" i="4"/>
  <c r="E3721" i="4"/>
  <c r="E3657" i="4"/>
  <c r="E3593" i="4"/>
  <c r="E3525" i="4"/>
  <c r="E3489" i="4"/>
  <c r="E3374" i="4"/>
  <c r="E3284" i="4"/>
  <c r="E3158" i="4"/>
  <c r="E3000" i="4"/>
  <c r="E2874" i="4"/>
  <c r="E2687" i="4"/>
  <c r="E3630" i="4"/>
  <c r="E3566" i="4"/>
  <c r="E3497" i="4"/>
  <c r="E3382" i="4"/>
  <c r="E3292" i="4"/>
  <c r="E3151" i="4"/>
  <c r="E2992" i="4"/>
  <c r="E2851" i="4"/>
  <c r="E2610" i="4"/>
  <c r="E3787" i="4"/>
  <c r="E3723" i="4"/>
  <c r="E3659" i="4"/>
  <c r="E3595" i="4"/>
  <c r="E3505" i="4"/>
  <c r="E3390" i="4"/>
  <c r="E3300" i="4"/>
  <c r="E3172" i="4"/>
  <c r="E3022" i="4"/>
  <c r="E2781" i="4"/>
  <c r="E2600" i="4"/>
  <c r="E3467" i="4"/>
  <c r="E3403" i="4"/>
  <c r="E3339" i="4"/>
  <c r="E3275" i="4"/>
  <c r="E3211" i="4"/>
  <c r="E3147" i="4"/>
  <c r="E3088" i="4"/>
  <c r="E3021" i="4"/>
  <c r="E2954" i="4"/>
  <c r="E2839" i="4"/>
  <c r="E2762" i="4"/>
  <c r="E2668" i="4"/>
  <c r="E2566" i="4"/>
  <c r="E3488" i="4"/>
  <c r="E3424" i="4"/>
  <c r="E3360" i="4"/>
  <c r="E3296" i="4"/>
  <c r="E3232" i="4"/>
  <c r="E3168" i="4"/>
  <c r="E3109" i="4"/>
  <c r="E3042" i="4"/>
  <c r="E2975" i="4"/>
  <c r="E2901" i="4"/>
  <c r="E2821" i="4"/>
  <c r="E2737" i="4"/>
  <c r="E2616" i="4"/>
  <c r="E2532" i="4"/>
  <c r="E3197" i="4"/>
  <c r="E3133" i="4"/>
  <c r="E3066" i="4"/>
  <c r="E2999" i="4"/>
  <c r="E2904" i="4"/>
  <c r="E2824" i="4"/>
  <c r="E2730" i="4"/>
  <c r="E2554" i="4"/>
  <c r="E3458" i="4"/>
  <c r="E3394" i="4"/>
  <c r="E3330" i="4"/>
  <c r="E3266" i="4"/>
  <c r="E3202" i="4"/>
  <c r="E3138" i="4"/>
  <c r="E3093" i="4"/>
  <c r="E3026" i="4"/>
  <c r="E2959" i="4"/>
  <c r="E2848" i="4"/>
  <c r="E2771" i="4"/>
  <c r="E2701" i="4"/>
  <c r="E2629" i="4"/>
  <c r="E2875" i="4"/>
  <c r="E2808" i="4"/>
  <c r="E2741" i="4"/>
  <c r="E2662" i="4"/>
  <c r="E2573" i="4"/>
  <c r="E3084" i="4"/>
  <c r="E3020" i="4"/>
  <c r="E2956" i="4"/>
  <c r="E2892" i="4"/>
  <c r="E2828" i="4"/>
  <c r="E2764" i="4"/>
  <c r="E2700" i="4"/>
  <c r="E2657" i="4"/>
  <c r="E2578" i="4"/>
  <c r="E2710" i="4"/>
  <c r="E2644" i="4"/>
  <c r="E2538" i="4"/>
  <c r="E2543" i="4"/>
  <c r="E2675" i="4"/>
  <c r="E2611" i="4"/>
  <c r="E2547" i="4"/>
  <c r="E3784" i="4"/>
  <c r="E3560" i="4"/>
  <c r="E4934" i="4"/>
  <c r="E3919" i="4"/>
  <c r="E4502" i="4"/>
  <c r="E4101" i="4"/>
  <c r="E4506" i="4"/>
  <c r="E4780" i="4"/>
  <c r="E4583" i="4"/>
  <c r="E4031" i="4"/>
  <c r="E4337" i="4"/>
  <c r="E4617" i="4"/>
  <c r="E4359" i="4"/>
  <c r="E3827" i="4"/>
  <c r="E4950" i="4"/>
  <c r="E4977" i="4"/>
  <c r="E4791" i="4"/>
  <c r="E4725" i="4"/>
  <c r="E4562" i="4"/>
  <c r="E4227" i="4"/>
  <c r="E3409" i="4"/>
  <c r="E4822" i="4"/>
  <c r="E5005" i="4"/>
  <c r="E4881" i="4"/>
  <c r="E4564" i="4"/>
  <c r="E4189" i="4"/>
  <c r="E3879" i="4"/>
  <c r="E3132" i="4"/>
  <c r="E3942" i="4"/>
  <c r="E2826" i="4"/>
  <c r="E3423" i="4"/>
  <c r="E4310" i="4"/>
  <c r="E4230" i="4"/>
  <c r="E4150" i="4"/>
  <c r="E4070" i="4"/>
  <c r="E3979" i="4"/>
  <c r="E3107" i="4"/>
  <c r="E3592" i="4"/>
  <c r="E3805" i="4"/>
  <c r="E3613" i="4"/>
  <c r="E2930" i="4"/>
  <c r="E3724" i="4"/>
  <c r="E3185" i="4"/>
  <c r="E2742" i="4"/>
  <c r="E3617" i="4"/>
  <c r="E3061" i="4"/>
  <c r="E3531" i="4"/>
  <c r="E3199" i="4"/>
  <c r="E2809" i="4"/>
  <c r="E3619" i="4"/>
  <c r="E3220" i="4"/>
  <c r="E3491" i="4"/>
  <c r="E3171" i="4"/>
  <c r="E2870" i="4"/>
  <c r="E3512" i="4"/>
  <c r="E3384" i="4"/>
  <c r="E3192" i="4"/>
  <c r="E2917" i="4"/>
  <c r="E3157" i="4"/>
  <c r="E2845" i="4"/>
  <c r="E3482" i="4"/>
  <c r="E3162" i="4"/>
  <c r="E2886" i="4"/>
  <c r="E2648" i="4"/>
  <c r="E2707" i="4"/>
  <c r="E2916" i="4"/>
  <c r="E2599" i="4"/>
  <c r="E2571" i="4"/>
  <c r="E3518" i="4"/>
  <c r="E4484" i="4"/>
  <c r="E5000" i="4"/>
  <c r="E4496" i="4"/>
  <c r="E4645" i="4"/>
  <c r="E4372" i="4"/>
  <c r="E4085" i="4"/>
  <c r="E4305" i="4"/>
  <c r="E4770" i="4"/>
  <c r="E4574" i="4"/>
  <c r="E4143" i="4"/>
  <c r="E4577" i="4"/>
  <c r="E4776" i="4"/>
  <c r="E4510" i="4"/>
  <c r="E4281" i="4"/>
  <c r="E3228" i="4"/>
  <c r="E4774" i="4"/>
  <c r="E4973" i="4"/>
  <c r="E4875" i="4"/>
  <c r="E4789" i="4"/>
  <c r="E4723" i="4"/>
  <c r="E4659" i="4"/>
  <c r="E4211" i="4"/>
  <c r="E3746" i="4"/>
  <c r="E4974" i="4"/>
  <c r="E4634" i="4"/>
  <c r="E4937" i="4"/>
  <c r="E4877" i="4"/>
  <c r="E4517" i="4"/>
  <c r="E4301" i="4"/>
  <c r="E3618" i="4"/>
  <c r="E3758" i="4"/>
  <c r="E3985" i="4"/>
  <c r="E3735" i="4"/>
  <c r="E3111" i="4"/>
  <c r="E3905" i="4"/>
  <c r="E3413" i="4"/>
  <c r="E4308" i="4"/>
  <c r="E4244" i="4"/>
  <c r="E4180" i="4"/>
  <c r="E4116" i="4"/>
  <c r="E4084" i="4"/>
  <c r="E4020" i="4"/>
  <c r="E3792" i="4"/>
  <c r="E2946" i="4"/>
  <c r="E3959" i="4"/>
  <c r="E3722" i="4"/>
  <c r="E3375" i="4"/>
  <c r="E2704" i="4"/>
  <c r="E3861" i="4"/>
  <c r="E3733" i="4"/>
  <c r="E3541" i="4"/>
  <c r="E3198" i="4"/>
  <c r="E2745" i="4"/>
  <c r="E3716" i="4"/>
  <c r="E3588" i="4"/>
  <c r="E3289" i="4"/>
  <c r="E2679" i="4"/>
  <c r="E3609" i="4"/>
  <c r="E3412" i="4"/>
  <c r="E3055" i="4"/>
  <c r="E3582" i="4"/>
  <c r="E3309" i="4"/>
  <c r="E2879" i="4"/>
  <c r="E3739" i="4"/>
  <c r="E3317" i="4"/>
  <c r="E2637" i="4"/>
  <c r="E3291" i="4"/>
  <c r="E3094" i="4"/>
  <c r="E2677" i="4"/>
  <c r="E3312" i="4"/>
  <c r="E2914" i="4"/>
  <c r="E3474" i="4"/>
  <c r="E3218" i="4"/>
  <c r="E2865" i="4"/>
  <c r="E2552" i="4"/>
  <c r="E4087" i="4"/>
  <c r="E3840" i="4"/>
  <c r="E4992" i="4"/>
  <c r="E4676" i="4"/>
  <c r="E4636" i="4"/>
  <c r="E4422" i="4"/>
  <c r="E4069" i="4"/>
  <c r="E4273" i="4"/>
  <c r="E4760" i="4"/>
  <c r="E4631" i="4"/>
  <c r="E4255" i="4"/>
  <c r="E4561" i="4"/>
  <c r="E4680" i="4"/>
  <c r="E4450" i="4"/>
  <c r="E4265" i="4"/>
  <c r="E4527" i="4"/>
  <c r="E4688" i="4"/>
  <c r="E4939" i="4"/>
  <c r="E4785" i="4"/>
  <c r="E4721" i="4"/>
  <c r="E4657" i="4"/>
  <c r="E4323" i="4"/>
  <c r="E3688" i="4"/>
  <c r="E4361" i="4"/>
  <c r="E4802" i="4"/>
  <c r="E3682" i="4"/>
  <c r="E4903" i="4"/>
  <c r="E4813" i="4"/>
  <c r="E4512" i="4"/>
  <c r="E4285" i="4"/>
  <c r="E3599" i="4"/>
  <c r="E3873" i="4"/>
  <c r="E3086" i="4"/>
  <c r="E3936" i="4"/>
  <c r="E3358" i="4"/>
  <c r="E3974" i="4"/>
  <c r="E3718" i="4"/>
  <c r="E2528" i="4"/>
  <c r="E4290" i="4"/>
  <c r="E4226" i="4"/>
  <c r="E4178" i="4"/>
  <c r="E4130" i="4"/>
  <c r="E4066" i="4"/>
  <c r="E3938" i="4"/>
  <c r="E3332" i="4"/>
  <c r="E4008" i="4"/>
  <c r="E3706" i="4"/>
  <c r="E3164" i="4"/>
  <c r="E3853" i="4"/>
  <c r="E3725" i="4"/>
  <c r="E3508" i="4"/>
  <c r="E3009" i="4"/>
  <c r="E2533" i="4"/>
  <c r="E3644" i="4"/>
  <c r="E3276" i="4"/>
  <c r="E2632" i="4"/>
  <c r="E3665" i="4"/>
  <c r="E3493" i="4"/>
  <c r="E3174" i="4"/>
  <c r="E3638" i="4"/>
  <c r="E3305" i="4"/>
  <c r="E2858" i="4"/>
  <c r="E3731" i="4"/>
  <c r="E3539" i="4"/>
  <c r="E3188" i="4"/>
  <c r="E2899" i="4"/>
  <c r="E3411" i="4"/>
  <c r="E3283" i="4"/>
  <c r="E3155" i="4"/>
  <c r="E3024" i="4"/>
  <c r="E2957" i="4"/>
  <c r="E2769" i="4"/>
  <c r="E2588" i="4"/>
  <c r="E3432" i="4"/>
  <c r="E3304" i="4"/>
  <c r="E3176" i="4"/>
  <c r="E3045" i="4"/>
  <c r="E2978" i="4"/>
  <c r="E2838" i="4"/>
  <c r="E2621" i="4"/>
  <c r="E3141" i="4"/>
  <c r="E2935" i="4"/>
  <c r="E2751" i="4"/>
  <c r="E2565" i="4"/>
  <c r="E3402" i="4"/>
  <c r="E3274" i="4"/>
  <c r="E3146" i="4"/>
  <c r="E3096" i="4"/>
  <c r="E2962" i="4"/>
  <c r="E2775" i="4"/>
  <c r="E2634" i="4"/>
  <c r="E2811" i="4"/>
  <c r="E2744" i="4"/>
  <c r="E2597" i="4"/>
  <c r="E3028" i="4"/>
  <c r="E2900" i="4"/>
  <c r="E2836" i="4"/>
  <c r="E2708" i="4"/>
  <c r="E2585" i="4"/>
  <c r="E2647" i="4"/>
  <c r="E2545" i="4"/>
  <c r="E2551" i="4"/>
  <c r="D2516" i="4"/>
  <c r="F2516" i="4" s="1"/>
  <c r="C15" i="4"/>
  <c r="E2555" i="4"/>
  <c r="E4151" i="4"/>
  <c r="E4135" i="4"/>
  <c r="E3913" i="4"/>
  <c r="E4423" i="4"/>
  <c r="E4614" i="4"/>
  <c r="E4600" i="4"/>
  <c r="E3632" i="4"/>
  <c r="E4902" i="4"/>
  <c r="E4820" i="4"/>
  <c r="E4666" i="4"/>
  <c r="E4091" i="4"/>
  <c r="E3695" i="4"/>
  <c r="E4565" i="4"/>
  <c r="E4473" i="4"/>
  <c r="E4409" i="4"/>
  <c r="E4309" i="4"/>
  <c r="E4053" i="4"/>
  <c r="E3894" i="4"/>
  <c r="E4609" i="4"/>
  <c r="E4458" i="4"/>
  <c r="E3768" i="4"/>
  <c r="E4900" i="4"/>
  <c r="E4826" i="4"/>
  <c r="E4674" i="4"/>
  <c r="E4622" i="4"/>
  <c r="E4460" i="4"/>
  <c r="E4327" i="4"/>
  <c r="E4023" i="4"/>
  <c r="E4183" i="4"/>
  <c r="E3897" i="4"/>
  <c r="E3634" i="4"/>
  <c r="E3714" i="4"/>
  <c r="E4295" i="4"/>
  <c r="E4391" i="4"/>
  <c r="E4559" i="4"/>
  <c r="E4552" i="4"/>
  <c r="E4129" i="4"/>
  <c r="E3337" i="4"/>
  <c r="E4972" i="4"/>
  <c r="E4894" i="4"/>
  <c r="E4810" i="4"/>
  <c r="E4734" i="4"/>
  <c r="E4656" i="4"/>
  <c r="E4448" i="4"/>
  <c r="E4043" i="4"/>
  <c r="E3648" i="4"/>
  <c r="E4620" i="4"/>
  <c r="E4556" i="4"/>
  <c r="E4516" i="4"/>
  <c r="E4470" i="4"/>
  <c r="E4406" i="4"/>
  <c r="E4360" i="4"/>
  <c r="E4293" i="4"/>
  <c r="E4165" i="4"/>
  <c r="E4037" i="4"/>
  <c r="E3854" i="4"/>
  <c r="E3570" i="4"/>
  <c r="E4593" i="4"/>
  <c r="E4442" i="4"/>
  <c r="E4145" i="4"/>
  <c r="E3711" i="4"/>
  <c r="E4968" i="4"/>
  <c r="E4890" i="4"/>
  <c r="E4816" i="4"/>
  <c r="E4740" i="4"/>
  <c r="E4664" i="4"/>
  <c r="E3863" i="4"/>
  <c r="E4615" i="4"/>
  <c r="E4551" i="4"/>
  <c r="E4447" i="4"/>
  <c r="E4383" i="4"/>
  <c r="E4223" i="4"/>
  <c r="E4095" i="4"/>
  <c r="E3918" i="4"/>
  <c r="E3532" i="4"/>
  <c r="E2903" i="4"/>
  <c r="E4530" i="4"/>
  <c r="E4986" i="4"/>
  <c r="E4906" i="4"/>
  <c r="E4828" i="4"/>
  <c r="E4744" i="4"/>
  <c r="E4662" i="4"/>
  <c r="E4649" i="4"/>
  <c r="E4585" i="4"/>
  <c r="E4531" i="4"/>
  <c r="E4498" i="4"/>
  <c r="E4434" i="4"/>
  <c r="E4375" i="4"/>
  <c r="E4343" i="4"/>
  <c r="E4233" i="4"/>
  <c r="E4105" i="4"/>
  <c r="E3916" i="4"/>
  <c r="E3624" i="4"/>
  <c r="E2983" i="4"/>
  <c r="E4477" i="4"/>
  <c r="E4990" i="4"/>
  <c r="E4910" i="4"/>
  <c r="E4824" i="4"/>
  <c r="E4748" i="4"/>
  <c r="E4668" i="4"/>
  <c r="E4059" i="4"/>
  <c r="E4993" i="4"/>
  <c r="E4961" i="4"/>
  <c r="E4929" i="4"/>
  <c r="E4897" i="4"/>
  <c r="E4861" i="4"/>
  <c r="E4827" i="4"/>
  <c r="E4799" i="4"/>
  <c r="E4781" i="4"/>
  <c r="E4765" i="4"/>
  <c r="E4749" i="4"/>
  <c r="E4733" i="4"/>
  <c r="E4717" i="4"/>
  <c r="E4701" i="4"/>
  <c r="E4685" i="4"/>
  <c r="E4669" i="4"/>
  <c r="E4653" i="4"/>
  <c r="E4594" i="4"/>
  <c r="E4491" i="4"/>
  <c r="E4427" i="4"/>
  <c r="E4291" i="4"/>
  <c r="E4163" i="4"/>
  <c r="E4035" i="4"/>
  <c r="E3858" i="4"/>
  <c r="E3546" i="4"/>
  <c r="E3019" i="4"/>
  <c r="E4511" i="4"/>
  <c r="E4289" i="4"/>
  <c r="E2918" i="4"/>
  <c r="E4942" i="4"/>
  <c r="E4864" i="4"/>
  <c r="E4778" i="4"/>
  <c r="E4692" i="4"/>
  <c r="E4554" i="4"/>
  <c r="E4267" i="4"/>
  <c r="E3453" i="4"/>
  <c r="E4991" i="4"/>
  <c r="E4959" i="4"/>
  <c r="E4927" i="4"/>
  <c r="E4895" i="4"/>
  <c r="E4867" i="4"/>
  <c r="E4837" i="4"/>
  <c r="E4805" i="4"/>
  <c r="E4596" i="4"/>
  <c r="E4536" i="4"/>
  <c r="E4497" i="4"/>
  <c r="E4433" i="4"/>
  <c r="E4378" i="4"/>
  <c r="E4346" i="4"/>
  <c r="E4253" i="4"/>
  <c r="E4125" i="4"/>
  <c r="E3999" i="4"/>
  <c r="E3800" i="4"/>
  <c r="E3405" i="4"/>
  <c r="E3994" i="4"/>
  <c r="E3934" i="4"/>
  <c r="E3867" i="4"/>
  <c r="E3710" i="4"/>
  <c r="E3562" i="4"/>
  <c r="E3294" i="4"/>
  <c r="E2906" i="4"/>
  <c r="E2574" i="4"/>
  <c r="E3954" i="4"/>
  <c r="E3887" i="4"/>
  <c r="E3815" i="4"/>
  <c r="E3687" i="4"/>
  <c r="E3530" i="4"/>
  <c r="E3311" i="4"/>
  <c r="E3062" i="4"/>
  <c r="E2530" i="4"/>
  <c r="E3963" i="4"/>
  <c r="E3896" i="4"/>
  <c r="E3814" i="4"/>
  <c r="E3686" i="4"/>
  <c r="E3521" i="4"/>
  <c r="E3345" i="4"/>
  <c r="E2896" i="4"/>
  <c r="E4334" i="4"/>
  <c r="E4318" i="4"/>
  <c r="E4302" i="4"/>
  <c r="E4286" i="4"/>
  <c r="E4270" i="4"/>
  <c r="E4254" i="4"/>
  <c r="E4238" i="4"/>
  <c r="E4222" i="4"/>
  <c r="E4206" i="4"/>
  <c r="E4190" i="4"/>
  <c r="E4174" i="4"/>
  <c r="E4158" i="4"/>
  <c r="E4142" i="4"/>
  <c r="E4126" i="4"/>
  <c r="E4110" i="4"/>
  <c r="E4094" i="4"/>
  <c r="E4078" i="4"/>
  <c r="E4062" i="4"/>
  <c r="E4046" i="4"/>
  <c r="E4030" i="4"/>
  <c r="E4011" i="4"/>
  <c r="E3932" i="4"/>
  <c r="E3865" i="4"/>
  <c r="E3744" i="4"/>
  <c r="E3600" i="4"/>
  <c r="E3286" i="4"/>
  <c r="E2857" i="4"/>
  <c r="E3992" i="4"/>
  <c r="E3950" i="4"/>
  <c r="E3883" i="4"/>
  <c r="E3802" i="4"/>
  <c r="E3674" i="4"/>
  <c r="E3511" i="4"/>
  <c r="E3295" i="4"/>
  <c r="E3056" i="4"/>
  <c r="E3965" i="4"/>
  <c r="E3901" i="4"/>
  <c r="E3837" i="4"/>
  <c r="E3773" i="4"/>
  <c r="E3709" i="4"/>
  <c r="E3645" i="4"/>
  <c r="E3581" i="4"/>
  <c r="E3470" i="4"/>
  <c r="E3380" i="4"/>
  <c r="E3269" i="4"/>
  <c r="E3150" i="4"/>
  <c r="E2997" i="4"/>
  <c r="E2787" i="4"/>
  <c r="E2715" i="4"/>
  <c r="E3820" i="4"/>
  <c r="E3756" i="4"/>
  <c r="E3692" i="4"/>
  <c r="E3628" i="4"/>
  <c r="E3564" i="4"/>
  <c r="E3455" i="4"/>
  <c r="E3353" i="4"/>
  <c r="E3249" i="4"/>
  <c r="E3121" i="4"/>
  <c r="E2982" i="4"/>
  <c r="E2784" i="4"/>
  <c r="E2614" i="4"/>
  <c r="E3777" i="4"/>
  <c r="E3713" i="4"/>
  <c r="E3649" i="4"/>
  <c r="E3585" i="4"/>
  <c r="E3522" i="4"/>
  <c r="E3476" i="4"/>
  <c r="E3365" i="4"/>
  <c r="E3271" i="4"/>
  <c r="E3142" i="4"/>
  <c r="E2994" i="4"/>
  <c r="E2867" i="4"/>
  <c r="E2678" i="4"/>
  <c r="E3622" i="4"/>
  <c r="E3558" i="4"/>
  <c r="E3484" i="4"/>
  <c r="E3373" i="4"/>
  <c r="E3279" i="4"/>
  <c r="E3135" i="4"/>
  <c r="E2986" i="4"/>
  <c r="E2837" i="4"/>
  <c r="E2569" i="4"/>
  <c r="E3779" i="4"/>
  <c r="E3715" i="4"/>
  <c r="E3651" i="4"/>
  <c r="E3587" i="4"/>
  <c r="E3492" i="4"/>
  <c r="E3381" i="4"/>
  <c r="E3287" i="4"/>
  <c r="E3156" i="4"/>
  <c r="E3016" i="4"/>
  <c r="E2767" i="4"/>
  <c r="E2590" i="4"/>
  <c r="E3459" i="4"/>
  <c r="E3395" i="4"/>
  <c r="E3331" i="4"/>
  <c r="E3267" i="4"/>
  <c r="E3203" i="4"/>
  <c r="E3139" i="4"/>
  <c r="E3085" i="4"/>
  <c r="E3018" i="4"/>
  <c r="E2951" i="4"/>
  <c r="E2835" i="4"/>
  <c r="E2755" i="4"/>
  <c r="E2645" i="4"/>
  <c r="E2561" i="4"/>
  <c r="E3480" i="4"/>
  <c r="E3416" i="4"/>
  <c r="E3352" i="4"/>
  <c r="E3288" i="4"/>
  <c r="E3224" i="4"/>
  <c r="E3160" i="4"/>
  <c r="E3106" i="4"/>
  <c r="E3039" i="4"/>
  <c r="E2929" i="4"/>
  <c r="E2894" i="4"/>
  <c r="E2807" i="4"/>
  <c r="E2714" i="4"/>
  <c r="E2612" i="4"/>
  <c r="E3253" i="4"/>
  <c r="E3189" i="4"/>
  <c r="E3125" i="4"/>
  <c r="E3063" i="4"/>
  <c r="E2953" i="4"/>
  <c r="E2897" i="4"/>
  <c r="E2810" i="4"/>
  <c r="E2722" i="4"/>
  <c r="E2548" i="4"/>
  <c r="E3450" i="4"/>
  <c r="E3386" i="4"/>
  <c r="E3322" i="4"/>
  <c r="E3258" i="4"/>
  <c r="E3194" i="4"/>
  <c r="E3130" i="4"/>
  <c r="E3090" i="4"/>
  <c r="E3023" i="4"/>
  <c r="E2913" i="4"/>
  <c r="E2834" i="4"/>
  <c r="E2754" i="4"/>
  <c r="E2697" i="4"/>
  <c r="E2620" i="4"/>
  <c r="E2872" i="4"/>
  <c r="E2805" i="4"/>
  <c r="E2738" i="4"/>
  <c r="E2658" i="4"/>
  <c r="E2564" i="4"/>
  <c r="E3076" i="4"/>
  <c r="E3012" i="4"/>
  <c r="E2948" i="4"/>
  <c r="E2884" i="4"/>
  <c r="E2820" i="4"/>
  <c r="E2756" i="4"/>
  <c r="E2692" i="4"/>
  <c r="E2654" i="4"/>
  <c r="E2560" i="4"/>
  <c r="E2702" i="4"/>
  <c r="E2641" i="4"/>
  <c r="E2525" i="4"/>
  <c r="E2535" i="4"/>
  <c r="E2667" i="4"/>
  <c r="E2603" i="4"/>
  <c r="E2539" i="4"/>
  <c r="E4455" i="4"/>
  <c r="E4119" i="4"/>
  <c r="E4854" i="4"/>
  <c r="E3127" i="4"/>
  <c r="E4229" i="4"/>
  <c r="E4349" i="4"/>
  <c r="E4702" i="4"/>
  <c r="E4287" i="4"/>
  <c r="E4946" i="4"/>
  <c r="E4515" i="4"/>
  <c r="E4041" i="4"/>
  <c r="E4784" i="4"/>
  <c r="E4913" i="4"/>
  <c r="E4773" i="4"/>
  <c r="E4661" i="4"/>
  <c r="E3759" i="4"/>
  <c r="E4904" i="4"/>
  <c r="E4975" i="4"/>
  <c r="E4628" i="4"/>
  <c r="E4317" i="4"/>
  <c r="E2778" i="4"/>
  <c r="E2757" i="4"/>
  <c r="E3436" i="4"/>
  <c r="E3608" i="4"/>
  <c r="E4278" i="4"/>
  <c r="E4182" i="4"/>
  <c r="E4086" i="4"/>
  <c r="E3680" i="4"/>
  <c r="E3828" i="4"/>
  <c r="E3933" i="4"/>
  <c r="E3329" i="4"/>
  <c r="E3788" i="4"/>
  <c r="E3293" i="4"/>
  <c r="E3681" i="4"/>
  <c r="E3206" i="4"/>
  <c r="E3590" i="4"/>
  <c r="E3053" i="4"/>
  <c r="E3683" i="4"/>
  <c r="E3441" i="4"/>
  <c r="E2665" i="4"/>
  <c r="E3235" i="4"/>
  <c r="E2783" i="4"/>
  <c r="E3221" i="4"/>
  <c r="E2768" i="4"/>
  <c r="E3290" i="4"/>
  <c r="E2968" i="4"/>
  <c r="E2817" i="4"/>
  <c r="E2980" i="4"/>
  <c r="E2666" i="4"/>
  <c r="E2653" i="4"/>
  <c r="E2570" i="4"/>
  <c r="E4215" i="4"/>
  <c r="E4321" i="4"/>
  <c r="E4762" i="4"/>
  <c r="E4529" i="4"/>
  <c r="E4213" i="4"/>
  <c r="E4490" i="4"/>
  <c r="E4842" i="4"/>
  <c r="E4476" i="4"/>
  <c r="E3720" i="4"/>
  <c r="E4858" i="4"/>
  <c r="E4544" i="4"/>
  <c r="E4153" i="4"/>
  <c r="E3983" i="4"/>
  <c r="E4698" i="4"/>
  <c r="E4839" i="4"/>
  <c r="E4755" i="4"/>
  <c r="E4691" i="4"/>
  <c r="E4456" i="4"/>
  <c r="E3349" i="4"/>
  <c r="E4812" i="4"/>
  <c r="E4971" i="4"/>
  <c r="E4621" i="4"/>
  <c r="E4358" i="4"/>
  <c r="E3396" i="4"/>
  <c r="E3605" i="4"/>
  <c r="E3316" i="4"/>
  <c r="E2905" i="4"/>
  <c r="E2556" i="4"/>
  <c r="E3652" i="4"/>
  <c r="E3391" i="4"/>
  <c r="E2909" i="4"/>
  <c r="E3737" i="4"/>
  <c r="E3545" i="4"/>
  <c r="E3190" i="4"/>
  <c r="E2703" i="4"/>
  <c r="E3420" i="4"/>
  <c r="E2795" i="4"/>
  <c r="E3611" i="4"/>
  <c r="E3204" i="4"/>
  <c r="E3419" i="4"/>
  <c r="E2960" i="4"/>
  <c r="E3504" i="4"/>
  <c r="E3184" i="4"/>
  <c r="E2842" i="4"/>
  <c r="E3149" i="4"/>
  <c r="E2841" i="4"/>
  <c r="E3346" i="4"/>
  <c r="E2965" i="4"/>
  <c r="E2814" i="4"/>
  <c r="E2601" i="4"/>
  <c r="E2908" i="4"/>
  <c r="E2663" i="4"/>
  <c r="E2521" i="4"/>
  <c r="E4407" i="4"/>
  <c r="E2670" i="4"/>
  <c r="E3848" i="4"/>
  <c r="E4752" i="4"/>
  <c r="E4572" i="4"/>
  <c r="E4325" i="4"/>
  <c r="E2699" i="4"/>
  <c r="E4834" i="4"/>
  <c r="E4463" i="4"/>
  <c r="E3116" i="4"/>
  <c r="E4766" i="4"/>
  <c r="E4539" i="4"/>
  <c r="E4137" i="4"/>
  <c r="E5012" i="4"/>
  <c r="E4283" i="4"/>
  <c r="E4869" i="4"/>
  <c r="E4753" i="4"/>
  <c r="E4610" i="4"/>
  <c r="E4067" i="4"/>
  <c r="E4584" i="4"/>
  <c r="E4586" i="4"/>
  <c r="E4967" i="4"/>
  <c r="E4843" i="4"/>
  <c r="E4449" i="4"/>
  <c r="E4029" i="4"/>
  <c r="E3940" i="4"/>
  <c r="E3372" i="4"/>
  <c r="E3826" i="4"/>
  <c r="E3095" i="4"/>
  <c r="E3559" i="4"/>
  <c r="E4306" i="4"/>
  <c r="E4242" i="4"/>
  <c r="E4162" i="4"/>
  <c r="E4082" i="4"/>
  <c r="E4018" i="4"/>
  <c r="E3650" i="4"/>
  <c r="E3956" i="4"/>
  <c r="E3341" i="4"/>
  <c r="E3917" i="4"/>
  <c r="E3661" i="4"/>
  <c r="E3397" i="4"/>
  <c r="E2731" i="4"/>
  <c r="E3580" i="4"/>
  <c r="E3153" i="4"/>
  <c r="E3793" i="4"/>
  <c r="E3297" i="4"/>
  <c r="E2695" i="4"/>
  <c r="E3407" i="4"/>
  <c r="E2774" i="4"/>
  <c r="E3667" i="4"/>
  <c r="E3313" i="4"/>
  <c r="E3475" i="4"/>
  <c r="E3205" i="4"/>
  <c r="E4071" i="4"/>
  <c r="E4055" i="4"/>
  <c r="E2871" i="4"/>
  <c r="E4167" i="4"/>
  <c r="E3281" i="4"/>
  <c r="E4471" i="4"/>
  <c r="E4519" i="4"/>
  <c r="E4097" i="4"/>
  <c r="E3244" i="4"/>
  <c r="E4964" i="4"/>
  <c r="E4884" i="4"/>
  <c r="E4800" i="4"/>
  <c r="E4726" i="4"/>
  <c r="E4611" i="4"/>
  <c r="E4416" i="4"/>
  <c r="E4027" i="4"/>
  <c r="E3575" i="4"/>
  <c r="E4613" i="4"/>
  <c r="E4549" i="4"/>
  <c r="E4513" i="4"/>
  <c r="E4457" i="4"/>
  <c r="E4393" i="4"/>
  <c r="E4356" i="4"/>
  <c r="E4277" i="4"/>
  <c r="E4149" i="4"/>
  <c r="E4021" i="4"/>
  <c r="E3807" i="4"/>
  <c r="E3359" i="4"/>
  <c r="E4568" i="4"/>
  <c r="E4426" i="4"/>
  <c r="E4113" i="4"/>
  <c r="E3487" i="4"/>
  <c r="E4958" i="4"/>
  <c r="E4880" i="4"/>
  <c r="E4806" i="4"/>
  <c r="E4732" i="4"/>
  <c r="E4654" i="4"/>
  <c r="E3830" i="4"/>
  <c r="E4606" i="4"/>
  <c r="E4542" i="4"/>
  <c r="E4444" i="4"/>
  <c r="E4335" i="4"/>
  <c r="E4207" i="4"/>
  <c r="E4079" i="4"/>
  <c r="E3852" i="4"/>
  <c r="E3477" i="4"/>
  <c r="E2798" i="4"/>
  <c r="E4514" i="4"/>
  <c r="E4976" i="4"/>
  <c r="E4896" i="4"/>
  <c r="E4818" i="4"/>
  <c r="E4730" i="4"/>
  <c r="E4650" i="4"/>
  <c r="E4640" i="4"/>
  <c r="E4576" i="4"/>
  <c r="E4526" i="4"/>
  <c r="E4485" i="4"/>
  <c r="E4421" i="4"/>
  <c r="E4371" i="4"/>
  <c r="E4339" i="4"/>
  <c r="E4217" i="4"/>
  <c r="E4089" i="4"/>
  <c r="E3900" i="4"/>
  <c r="E3584" i="4"/>
  <c r="E2889" i="4"/>
  <c r="E4429" i="4"/>
  <c r="E4980" i="4"/>
  <c r="E4898" i="4"/>
  <c r="E4814" i="4"/>
  <c r="E4738" i="4"/>
  <c r="E4658" i="4"/>
  <c r="E3975" i="4"/>
  <c r="E4989" i="4"/>
  <c r="E4957" i="4"/>
  <c r="E4925" i="4"/>
  <c r="E4893" i="4"/>
  <c r="E4857" i="4"/>
  <c r="E4823" i="4"/>
  <c r="E4797" i="4"/>
  <c r="E4779" i="4"/>
  <c r="E4763" i="4"/>
  <c r="E4747" i="4"/>
  <c r="E4731" i="4"/>
  <c r="E4715" i="4"/>
  <c r="E4699" i="4"/>
  <c r="E4683" i="4"/>
  <c r="E4667" i="4"/>
  <c r="E4651" i="4"/>
  <c r="E4587" i="4"/>
  <c r="E4488" i="4"/>
  <c r="E4424" i="4"/>
  <c r="E4275" i="4"/>
  <c r="E4147" i="4"/>
  <c r="E4019" i="4"/>
  <c r="E3851" i="4"/>
  <c r="E3524" i="4"/>
  <c r="E2973" i="4"/>
  <c r="E4461" i="4"/>
  <c r="E4209" i="4"/>
  <c r="E5014" i="4"/>
  <c r="E4932" i="4"/>
  <c r="E4852" i="4"/>
  <c r="E4768" i="4"/>
  <c r="E4682" i="4"/>
  <c r="E4499" i="4"/>
  <c r="E4187" i="4"/>
  <c r="E3161" i="4"/>
  <c r="E4987" i="4"/>
  <c r="E4953" i="4"/>
  <c r="E4923" i="4"/>
  <c r="E4891" i="4"/>
  <c r="E4863" i="4"/>
  <c r="E4833" i="4"/>
  <c r="E4787" i="4"/>
  <c r="E4589" i="4"/>
  <c r="E4533" i="4"/>
  <c r="E4494" i="4"/>
  <c r="E4430" i="4"/>
  <c r="E4374" i="4"/>
  <c r="E4342" i="4"/>
  <c r="E4237" i="4"/>
  <c r="E4109" i="4"/>
  <c r="E3955" i="4"/>
  <c r="E3743" i="4"/>
  <c r="E3255" i="4"/>
  <c r="E3986" i="4"/>
  <c r="E3931" i="4"/>
  <c r="E3864" i="4"/>
  <c r="E3694" i="4"/>
  <c r="E3533" i="4"/>
  <c r="E3270" i="4"/>
  <c r="E2850" i="4"/>
  <c r="E2542" i="4"/>
  <c r="E3951" i="4"/>
  <c r="E3884" i="4"/>
  <c r="E3799" i="4"/>
  <c r="E3671" i="4"/>
  <c r="E3523" i="4"/>
  <c r="E3277" i="4"/>
  <c r="E3046" i="4"/>
  <c r="E4014" i="4"/>
  <c r="E3960" i="4"/>
  <c r="E3850" i="4"/>
  <c r="E3798" i="4"/>
  <c r="E3670" i="4"/>
  <c r="E3503" i="4"/>
  <c r="E3321" i="4"/>
  <c r="E2861" i="4"/>
  <c r="E4332" i="4"/>
  <c r="E4316" i="4"/>
  <c r="E4300" i="4"/>
  <c r="E4284" i="4"/>
  <c r="E4268" i="4"/>
  <c r="E4252" i="4"/>
  <c r="E4236" i="4"/>
  <c r="E4220" i="4"/>
  <c r="E4204" i="4"/>
  <c r="E4188" i="4"/>
  <c r="E4172" i="4"/>
  <c r="E4156" i="4"/>
  <c r="E4140" i="4"/>
  <c r="E4124" i="4"/>
  <c r="E4108" i="4"/>
  <c r="E4092" i="4"/>
  <c r="E4076" i="4"/>
  <c r="E4060" i="4"/>
  <c r="E4044" i="4"/>
  <c r="E4028" i="4"/>
  <c r="E4003" i="4"/>
  <c r="E3929" i="4"/>
  <c r="E3862" i="4"/>
  <c r="E3728" i="4"/>
  <c r="E3586" i="4"/>
  <c r="E3207" i="4"/>
  <c r="E2840" i="4"/>
  <c r="E3984" i="4"/>
  <c r="E3947" i="4"/>
  <c r="E3880" i="4"/>
  <c r="E3786" i="4"/>
  <c r="E3656" i="4"/>
  <c r="E3500" i="4"/>
  <c r="E3285" i="4"/>
  <c r="E3040" i="4"/>
  <c r="E3957" i="4"/>
  <c r="E3893" i="4"/>
  <c r="E3829" i="4"/>
  <c r="E3765" i="4"/>
  <c r="E3701" i="4"/>
  <c r="E3637" i="4"/>
  <c r="E3573" i="4"/>
  <c r="E3461" i="4"/>
  <c r="E3367" i="4"/>
  <c r="E3265" i="4"/>
  <c r="E3134" i="4"/>
  <c r="E2991" i="4"/>
  <c r="E2773" i="4"/>
  <c r="E2664" i="4"/>
  <c r="E3812" i="4"/>
  <c r="E3748" i="4"/>
  <c r="E3684" i="4"/>
  <c r="E3620" i="4"/>
  <c r="E3556" i="4"/>
  <c r="E3430" i="4"/>
  <c r="E3340" i="4"/>
  <c r="E3233" i="4"/>
  <c r="E3110" i="4"/>
  <c r="E2976" i="4"/>
  <c r="E2770" i="4"/>
  <c r="E2604" i="4"/>
  <c r="E3769" i="4"/>
  <c r="E3705" i="4"/>
  <c r="E3641" i="4"/>
  <c r="E3577" i="4"/>
  <c r="E3519" i="4"/>
  <c r="E3463" i="4"/>
  <c r="E3361" i="4"/>
  <c r="E3254" i="4"/>
  <c r="E3126" i="4"/>
  <c r="E2945" i="4"/>
  <c r="E2853" i="4"/>
  <c r="E2594" i="4"/>
  <c r="E3614" i="4"/>
  <c r="E3550" i="4"/>
  <c r="E3471" i="4"/>
  <c r="E3369" i="4"/>
  <c r="E3247" i="4"/>
  <c r="E3119" i="4"/>
  <c r="E2937" i="4"/>
  <c r="E2830" i="4"/>
  <c r="E2558" i="4"/>
  <c r="E3771" i="4"/>
  <c r="E3707" i="4"/>
  <c r="E3643" i="4"/>
  <c r="E3579" i="4"/>
  <c r="E3479" i="4"/>
  <c r="E3377" i="4"/>
  <c r="E3262" i="4"/>
  <c r="E3140" i="4"/>
  <c r="E3010" i="4"/>
  <c r="E2760" i="4"/>
  <c r="E2568" i="4"/>
  <c r="E3451" i="4"/>
  <c r="E3387" i="4"/>
  <c r="E3323" i="4"/>
  <c r="E3259" i="4"/>
  <c r="E3195" i="4"/>
  <c r="E3131" i="4"/>
  <c r="E3082" i="4"/>
  <c r="E3015" i="4"/>
  <c r="E2898" i="4"/>
  <c r="E2818" i="4"/>
  <c r="E2734" i="4"/>
  <c r="E2640" i="4"/>
  <c r="E2544" i="4"/>
  <c r="E3472" i="4"/>
  <c r="E3408" i="4"/>
  <c r="E3344" i="4"/>
  <c r="E3280" i="4"/>
  <c r="E3216" i="4"/>
  <c r="E3152" i="4"/>
  <c r="E3103" i="4"/>
  <c r="E2993" i="4"/>
  <c r="E2926" i="4"/>
  <c r="E2887" i="4"/>
  <c r="E2800" i="4"/>
  <c r="E2706" i="4"/>
  <c r="E2607" i="4"/>
  <c r="E3245" i="4"/>
  <c r="E3181" i="4"/>
  <c r="E3117" i="4"/>
  <c r="E3017" i="4"/>
  <c r="E2950" i="4"/>
  <c r="E2890" i="4"/>
  <c r="E2803" i="4"/>
  <c r="E2689" i="4"/>
  <c r="E3506" i="4"/>
  <c r="E3442" i="4"/>
  <c r="E3378" i="4"/>
  <c r="E3314" i="4"/>
  <c r="E3250" i="4"/>
  <c r="E3186" i="4"/>
  <c r="E3122" i="4"/>
  <c r="E3087" i="4"/>
  <c r="E2977" i="4"/>
  <c r="E2910" i="4"/>
  <c r="E2827" i="4"/>
  <c r="E2733" i="4"/>
  <c r="E2680" i="4"/>
  <c r="E2586" i="4"/>
  <c r="E2869" i="4"/>
  <c r="E2802" i="4"/>
  <c r="E2735" i="4"/>
  <c r="E2646" i="4"/>
  <c r="E2550" i="4"/>
  <c r="E3068" i="4"/>
  <c r="E3004" i="4"/>
  <c r="E2940" i="4"/>
  <c r="E2876" i="4"/>
  <c r="E2812" i="4"/>
  <c r="E2748" i="4"/>
  <c r="E2684" i="4"/>
  <c r="E2608" i="4"/>
  <c r="E2553" i="4"/>
  <c r="E2694" i="4"/>
  <c r="E2638" i="4"/>
  <c r="E2591" i="4"/>
  <c r="E2527" i="4"/>
  <c r="E2659" i="4"/>
  <c r="E2595" i="4"/>
  <c r="E2531" i="4"/>
  <c r="E3462" i="4"/>
  <c r="E4345" i="4"/>
  <c r="E4696" i="4"/>
  <c r="E4532" i="4"/>
  <c r="E3679" i="4"/>
  <c r="E4926" i="4"/>
  <c r="E4415" i="4"/>
  <c r="E4616" i="4"/>
  <c r="E4786" i="4"/>
  <c r="E4466" i="4"/>
  <c r="E3260" i="4"/>
  <c r="E4708" i="4"/>
  <c r="E4879" i="4"/>
  <c r="E4757" i="4"/>
  <c r="E4677" i="4"/>
  <c r="E4099" i="4"/>
  <c r="E4012" i="4"/>
  <c r="E4419" i="4"/>
  <c r="E4851" i="4"/>
  <c r="E4401" i="4"/>
  <c r="E3639" i="4"/>
  <c r="E3452" i="4"/>
  <c r="E3751" i="4"/>
  <c r="E3990" i="4"/>
  <c r="E3196" i="4"/>
  <c r="E4262" i="4"/>
  <c r="E4166" i="4"/>
  <c r="E4054" i="4"/>
  <c r="E3920" i="4"/>
  <c r="E3962" i="4"/>
  <c r="E3191" i="4"/>
  <c r="E3741" i="4"/>
  <c r="E3214" i="4"/>
  <c r="E3660" i="4"/>
  <c r="E3049" i="4"/>
  <c r="E3310" i="4"/>
  <c r="E3326" i="4"/>
  <c r="E3427" i="4"/>
  <c r="E3097" i="4"/>
  <c r="E2682" i="4"/>
  <c r="E3256" i="4"/>
  <c r="E3051" i="4"/>
  <c r="E2859" i="4"/>
  <c r="E3075" i="4"/>
  <c r="E2625" i="4"/>
  <c r="E3226" i="4"/>
  <c r="E2792" i="4"/>
  <c r="E2750" i="4"/>
  <c r="E3108" i="4"/>
  <c r="E2788" i="4"/>
  <c r="E2529" i="4"/>
  <c r="E4404" i="4"/>
  <c r="E3007" i="4"/>
  <c r="E4844" i="4"/>
  <c r="E3846" i="4"/>
  <c r="E4425" i="4"/>
  <c r="E3927" i="4"/>
  <c r="E3888" i="4"/>
  <c r="E4694" i="4"/>
  <c r="E4412" i="4"/>
  <c r="E3268" i="4"/>
  <c r="E4690" i="4"/>
  <c r="E4453" i="4"/>
  <c r="E4025" i="4"/>
  <c r="E4856" i="4"/>
  <c r="E4943" i="4"/>
  <c r="E4807" i="4"/>
  <c r="E4739" i="4"/>
  <c r="E4675" i="4"/>
  <c r="E4392" i="4"/>
  <c r="E2541" i="4"/>
  <c r="E4892" i="4"/>
  <c r="E3912" i="4"/>
  <c r="E4847" i="4"/>
  <c r="E4398" i="4"/>
  <c r="E3866" i="4"/>
  <c r="E3943" i="4"/>
  <c r="E3101" i="4"/>
  <c r="E3872" i="4"/>
  <c r="E2712" i="4"/>
  <c r="E3734" i="4"/>
  <c r="E4324" i="4"/>
  <c r="E4260" i="4"/>
  <c r="E4196" i="4"/>
  <c r="E4132" i="4"/>
  <c r="E4068" i="4"/>
  <c r="E3971" i="4"/>
  <c r="E3664" i="4"/>
  <c r="E2609" i="4"/>
  <c r="E3825" i="4"/>
  <c r="E3578" i="4"/>
  <c r="E3177" i="4"/>
  <c r="E3797" i="4"/>
  <c r="E3669" i="4"/>
  <c r="E3406" i="4"/>
  <c r="E3058" i="4"/>
  <c r="E3780" i="4"/>
  <c r="E3485" i="4"/>
  <c r="E3169" i="4"/>
  <c r="E3801" i="4"/>
  <c r="E3502" i="4"/>
  <c r="E2895" i="4"/>
  <c r="E3509" i="4"/>
  <c r="E3047" i="4"/>
  <c r="E3803" i="4"/>
  <c r="E3428" i="4"/>
  <c r="E3483" i="4"/>
  <c r="E3163" i="4"/>
  <c r="E2776" i="4"/>
  <c r="E3376" i="4"/>
  <c r="E3048" i="4"/>
  <c r="E2576" i="4"/>
  <c r="E3005" i="4"/>
  <c r="E2581" i="4"/>
  <c r="E3154" i="4"/>
  <c r="E2709" i="4"/>
  <c r="E2747" i="4"/>
  <c r="E3036" i="4"/>
  <c r="E2780" i="4"/>
  <c r="E2563" i="4"/>
  <c r="E4607" i="4"/>
  <c r="E2596" i="4"/>
  <c r="E4912" i="4"/>
  <c r="E4139" i="4"/>
  <c r="E4486" i="4"/>
  <c r="E3910" i="4"/>
  <c r="E4988" i="4"/>
  <c r="E4251" i="4"/>
  <c r="E4127" i="4"/>
  <c r="E5006" i="4"/>
  <c r="E4075" i="4"/>
  <c r="E4351" i="4"/>
  <c r="E3148" i="4"/>
  <c r="E4764" i="4"/>
  <c r="E4905" i="4"/>
  <c r="E4769" i="4"/>
  <c r="E4689" i="4"/>
  <c r="E4195" i="4"/>
  <c r="E3257" i="4"/>
  <c r="E4962" i="4"/>
  <c r="E4387" i="4"/>
  <c r="E4933" i="4"/>
  <c r="E4612" i="4"/>
  <c r="E4354" i="4"/>
  <c r="E3849" i="4"/>
  <c r="E3742" i="4"/>
  <c r="E2696" i="4"/>
  <c r="E3552" i="4"/>
  <c r="E3902" i="4"/>
  <c r="E3401" i="4"/>
  <c r="E4322" i="4"/>
  <c r="E4258" i="4"/>
  <c r="E4194" i="4"/>
  <c r="E4114" i="4"/>
  <c r="E4034" i="4"/>
  <c r="E3776" i="4"/>
  <c r="E3889" i="4"/>
  <c r="E3182" i="4"/>
  <c r="E3772" i="4"/>
  <c r="E3481" i="4"/>
  <c r="E3037" i="4"/>
  <c r="E3729" i="4"/>
  <c r="E3399" i="4"/>
  <c r="E2888" i="4"/>
  <c r="E3574" i="4"/>
  <c r="E3167" i="4"/>
  <c r="E3603" i="4"/>
  <c r="E3069" i="4"/>
  <c r="E3857" i="4"/>
  <c r="E3727" i="4"/>
  <c r="E4199" i="4"/>
  <c r="E4646" i="4"/>
  <c r="E4436" i="4"/>
  <c r="E4639" i="4"/>
  <c r="E4575" i="4"/>
  <c r="E4582" i="4"/>
  <c r="E3930" i="4"/>
  <c r="E4039" i="4"/>
  <c r="E4487" i="4"/>
  <c r="E4420" i="4"/>
  <c r="E4377" i="4"/>
  <c r="E4065" i="4"/>
  <c r="E3001" i="4"/>
  <c r="E4954" i="4"/>
  <c r="E4874" i="4"/>
  <c r="E4790" i="4"/>
  <c r="E4714" i="4"/>
  <c r="E4595" i="4"/>
  <c r="E4384" i="4"/>
  <c r="E3989" i="4"/>
  <c r="E3486" i="4"/>
  <c r="E4604" i="4"/>
  <c r="E4540" i="4"/>
  <c r="E4508" i="4"/>
  <c r="E4454" i="4"/>
  <c r="E4390" i="4"/>
  <c r="E4352" i="4"/>
  <c r="E4261" i="4"/>
  <c r="E4133" i="4"/>
  <c r="E3996" i="4"/>
  <c r="E3794" i="4"/>
  <c r="E3034" i="4"/>
  <c r="E4538" i="4"/>
  <c r="E4410" i="4"/>
  <c r="E4081" i="4"/>
  <c r="E3129" i="4"/>
  <c r="E4948" i="4"/>
  <c r="E4870" i="4"/>
  <c r="E4796" i="4"/>
  <c r="E4722" i="4"/>
  <c r="E4643" i="4"/>
  <c r="E3515" i="4"/>
  <c r="E4599" i="4"/>
  <c r="E4495" i="4"/>
  <c r="E4431" i="4"/>
  <c r="E4319" i="4"/>
  <c r="E4191" i="4"/>
  <c r="E4063" i="4"/>
  <c r="E3836" i="4"/>
  <c r="E3449" i="4"/>
  <c r="E4648" i="4"/>
  <c r="E4394" i="4"/>
  <c r="E4966" i="4"/>
  <c r="E4886" i="4"/>
  <c r="E4808" i="4"/>
  <c r="E4720" i="4"/>
  <c r="E4483" i="4"/>
  <c r="E4633" i="4"/>
  <c r="E4569" i="4"/>
  <c r="E4523" i="4"/>
  <c r="E4482" i="4"/>
  <c r="E4418" i="4"/>
  <c r="E4367" i="4"/>
  <c r="E4329" i="4"/>
  <c r="E4201" i="4"/>
  <c r="E4073" i="4"/>
  <c r="E3860" i="4"/>
  <c r="E3383" i="4"/>
  <c r="E2847" i="4"/>
  <c r="E4373" i="4"/>
  <c r="E4970" i="4"/>
  <c r="E4888" i="4"/>
  <c r="E4804" i="4"/>
  <c r="E4728" i="4"/>
  <c r="E4618" i="4"/>
  <c r="E3554" i="4"/>
  <c r="E4985" i="4"/>
  <c r="E4955" i="4"/>
  <c r="E4921" i="4"/>
  <c r="E4887" i="4"/>
  <c r="E4853" i="4"/>
  <c r="E4819" i="4"/>
  <c r="E4795" i="4"/>
  <c r="E4777" i="4"/>
  <c r="E4761" i="4"/>
  <c r="E4745" i="4"/>
  <c r="E4729" i="4"/>
  <c r="E4713" i="4"/>
  <c r="E4697" i="4"/>
  <c r="E4681" i="4"/>
  <c r="E4665" i="4"/>
  <c r="E4642" i="4"/>
  <c r="E4578" i="4"/>
  <c r="E4475" i="4"/>
  <c r="E4411" i="4"/>
  <c r="E4259" i="4"/>
  <c r="E4131" i="4"/>
  <c r="E4007" i="4"/>
  <c r="E3842" i="4"/>
  <c r="E3473" i="4"/>
  <c r="E2934" i="4"/>
  <c r="E4445" i="4"/>
  <c r="E4177" i="4"/>
  <c r="E5004" i="4"/>
  <c r="E4922" i="4"/>
  <c r="E4840" i="4"/>
  <c r="E4758" i="4"/>
  <c r="E4670" i="4"/>
  <c r="E4467" i="4"/>
  <c r="E4171" i="4"/>
  <c r="E5013" i="4"/>
  <c r="E4983" i="4"/>
  <c r="E4949" i="4"/>
  <c r="E4919" i="4"/>
  <c r="E4889" i="4"/>
  <c r="E4859" i="4"/>
  <c r="E4829" i="4"/>
  <c r="E4644" i="4"/>
  <c r="E4580" i="4"/>
  <c r="E4528" i="4"/>
  <c r="E4481" i="4"/>
  <c r="E4417" i="4"/>
  <c r="E4370" i="4"/>
  <c r="E4338" i="4"/>
  <c r="E4221" i="4"/>
  <c r="E4093" i="4"/>
  <c r="E3922" i="4"/>
  <c r="E3730" i="4"/>
  <c r="E3175" i="4"/>
  <c r="E3978" i="4"/>
  <c r="E3928" i="4"/>
  <c r="E3806" i="4"/>
  <c r="E3678" i="4"/>
  <c r="E3526" i="4"/>
  <c r="E3159" i="4"/>
  <c r="E2833" i="4"/>
  <c r="E4009" i="4"/>
  <c r="E3948" i="4"/>
  <c r="E3881" i="4"/>
  <c r="E3783" i="4"/>
  <c r="E3631" i="4"/>
  <c r="E3514" i="4"/>
  <c r="E3239" i="4"/>
  <c r="E2882" i="4"/>
  <c r="E4006" i="4"/>
  <c r="E3914" i="4"/>
  <c r="E3847" i="4"/>
  <c r="E3782" i="4"/>
  <c r="E3658" i="4"/>
  <c r="E3469" i="4"/>
  <c r="E3223" i="4"/>
  <c r="E2822" i="4"/>
  <c r="E4330" i="4"/>
  <c r="E4314" i="4"/>
  <c r="E4298" i="4"/>
  <c r="E4282" i="4"/>
  <c r="E4266" i="4"/>
  <c r="E4250" i="4"/>
  <c r="E4234" i="4"/>
  <c r="E4218" i="4"/>
  <c r="E4202" i="4"/>
  <c r="E4186" i="4"/>
  <c r="E4170" i="4"/>
  <c r="E4154" i="4"/>
  <c r="E4138" i="4"/>
  <c r="E4122" i="4"/>
  <c r="E4106" i="4"/>
  <c r="E4090" i="4"/>
  <c r="E4074" i="4"/>
  <c r="E4058" i="4"/>
  <c r="E4042" i="4"/>
  <c r="E4026" i="4"/>
  <c r="E3995" i="4"/>
  <c r="E3926" i="4"/>
  <c r="E3859" i="4"/>
  <c r="E3712" i="4"/>
  <c r="E3551" i="4"/>
  <c r="E3193" i="4"/>
  <c r="E2801" i="4"/>
  <c r="E3976" i="4"/>
  <c r="E3944" i="4"/>
  <c r="E3834" i="4"/>
  <c r="E3770" i="4"/>
  <c r="E3642" i="4"/>
  <c r="E3478" i="4"/>
  <c r="E3273" i="4"/>
  <c r="E3025" i="4"/>
  <c r="E3949" i="4"/>
  <c r="E3885" i="4"/>
  <c r="E3821" i="4"/>
  <c r="E3757" i="4"/>
  <c r="E3693" i="4"/>
  <c r="E3629" i="4"/>
  <c r="E3565" i="4"/>
  <c r="E3457" i="4"/>
  <c r="E3342" i="4"/>
  <c r="E3246" i="4"/>
  <c r="E3118" i="4"/>
  <c r="E2942" i="4"/>
  <c r="E2766" i="4"/>
  <c r="E2655" i="4"/>
  <c r="E3804" i="4"/>
  <c r="E3740" i="4"/>
  <c r="E3676" i="4"/>
  <c r="E3612" i="4"/>
  <c r="E3548" i="4"/>
  <c r="E3421" i="4"/>
  <c r="E3327" i="4"/>
  <c r="E3217" i="4"/>
  <c r="E3104" i="4"/>
  <c r="E2970" i="4"/>
  <c r="E2763" i="4"/>
  <c r="E2562" i="4"/>
  <c r="E3761" i="4"/>
  <c r="E3697" i="4"/>
  <c r="E3633" i="4"/>
  <c r="E3569" i="4"/>
  <c r="E3516" i="4"/>
  <c r="E3438" i="4"/>
  <c r="E3348" i="4"/>
  <c r="E3238" i="4"/>
  <c r="E3073" i="4"/>
  <c r="E2939" i="4"/>
  <c r="E2846" i="4"/>
  <c r="E2572" i="4"/>
  <c r="E3606" i="4"/>
  <c r="E3542" i="4"/>
  <c r="E3446" i="4"/>
  <c r="E3356" i="4"/>
  <c r="E3231" i="4"/>
  <c r="E3065" i="4"/>
  <c r="E2931" i="4"/>
  <c r="E2823" i="4"/>
  <c r="E2536" i="4"/>
  <c r="E3763" i="4"/>
  <c r="E3699" i="4"/>
  <c r="E3635" i="4"/>
  <c r="E3571" i="4"/>
  <c r="E3454" i="4"/>
  <c r="E3364" i="4"/>
  <c r="E3252" i="4"/>
  <c r="E3124" i="4"/>
  <c r="E2961" i="4"/>
  <c r="E2746" i="4"/>
  <c r="E3507" i="4"/>
  <c r="E3443" i="4"/>
  <c r="E3379" i="4"/>
  <c r="E3315" i="4"/>
  <c r="E3251" i="4"/>
  <c r="E3187" i="4"/>
  <c r="E3123" i="4"/>
  <c r="E3079" i="4"/>
  <c r="E2969" i="4"/>
  <c r="E2891" i="4"/>
  <c r="E2797" i="4"/>
  <c r="E2727" i="4"/>
  <c r="E2636" i="4"/>
  <c r="E3528" i="4"/>
  <c r="E3464" i="4"/>
  <c r="E3400" i="4"/>
  <c r="E3336" i="4"/>
  <c r="E3272" i="4"/>
  <c r="E3208" i="4"/>
  <c r="E3144" i="4"/>
  <c r="E3057" i="4"/>
  <c r="E2990" i="4"/>
  <c r="E2923" i="4"/>
  <c r="E2880" i="4"/>
  <c r="E2793" i="4"/>
  <c r="E2698" i="4"/>
  <c r="E2598" i="4"/>
  <c r="E3237" i="4"/>
  <c r="E3173" i="4"/>
  <c r="E3081" i="4"/>
  <c r="E3014" i="4"/>
  <c r="E2947" i="4"/>
  <c r="E2883" i="4"/>
  <c r="E2789" i="4"/>
  <c r="E2685" i="4"/>
  <c r="E3498" i="4"/>
  <c r="E3434" i="4"/>
  <c r="E3370" i="4"/>
  <c r="E3306" i="4"/>
  <c r="E3242" i="4"/>
  <c r="E3178" i="4"/>
  <c r="E3114" i="4"/>
  <c r="E3041" i="4"/>
  <c r="E2974" i="4"/>
  <c r="E2907" i="4"/>
  <c r="E2813" i="4"/>
  <c r="E2721" i="4"/>
  <c r="E2676" i="4"/>
  <c r="E2580" i="4"/>
  <c r="E2866" i="4"/>
  <c r="E2799" i="4"/>
  <c r="E2725" i="4"/>
  <c r="E2642" i="4"/>
  <c r="E2540" i="4"/>
  <c r="E3060" i="4"/>
  <c r="E2996" i="4"/>
  <c r="E2932" i="4"/>
  <c r="E2868" i="4"/>
  <c r="E2804" i="4"/>
  <c r="E2740" i="4"/>
  <c r="E2672" i="4"/>
  <c r="E2605" i="4"/>
  <c r="E2546" i="4"/>
  <c r="E2686" i="4"/>
  <c r="E2584" i="4"/>
  <c r="E2583" i="4"/>
  <c r="E2519" i="4"/>
  <c r="E2651" i="4"/>
  <c r="E2587" i="4"/>
  <c r="E2523" i="4"/>
  <c r="E4439" i="4"/>
  <c r="E4550" i="4"/>
  <c r="E4772" i="4"/>
  <c r="E4588" i="4"/>
  <c r="E4344" i="4"/>
  <c r="E3961" i="4"/>
  <c r="E4547" i="4"/>
  <c r="E4159" i="4"/>
  <c r="E4866" i="4"/>
  <c r="E4553" i="4"/>
  <c r="E4169" i="4"/>
  <c r="E4868" i="4"/>
  <c r="E4947" i="4"/>
  <c r="E4741" i="4"/>
  <c r="E4626" i="4"/>
  <c r="E3964" i="4"/>
  <c r="E4982" i="4"/>
  <c r="E4004" i="4"/>
  <c r="E4821" i="4"/>
  <c r="E4362" i="4"/>
  <c r="E3946" i="4"/>
  <c r="E3993" i="4"/>
  <c r="E3212" i="4"/>
  <c r="E3750" i="4"/>
  <c r="E4294" i="4"/>
  <c r="E4198" i="4"/>
  <c r="E4102" i="4"/>
  <c r="E3808" i="4"/>
  <c r="E3895" i="4"/>
  <c r="E2743" i="4"/>
  <c r="E3549" i="4"/>
  <c r="E2752" i="4"/>
  <c r="E3494" i="4"/>
  <c r="E3809" i="4"/>
  <c r="E3510" i="4"/>
  <c r="E2825" i="4"/>
  <c r="E2919" i="4"/>
  <c r="E3363" i="4"/>
  <c r="E3030" i="4"/>
  <c r="E2622" i="4"/>
  <c r="E3320" i="4"/>
  <c r="E2984" i="4"/>
  <c r="E2582" i="4"/>
  <c r="E3008" i="4"/>
  <c r="E3418" i="4"/>
  <c r="E3102" i="4"/>
  <c r="E2713" i="4"/>
  <c r="E2613" i="4"/>
  <c r="E2852" i="4"/>
  <c r="E2522" i="4"/>
  <c r="E2635" i="4"/>
  <c r="E4623" i="4"/>
  <c r="E3050" i="4"/>
  <c r="E4924" i="4"/>
  <c r="E4155" i="4"/>
  <c r="E4489" i="4"/>
  <c r="E3666" i="4"/>
  <c r="E4998" i="4"/>
  <c r="E4403" i="4"/>
  <c r="E4271" i="4"/>
  <c r="E4241" i="4"/>
  <c r="E4123" i="4"/>
  <c r="E4355" i="4"/>
  <c r="E4625" i="4"/>
  <c r="E5007" i="4"/>
  <c r="E4555" i="4"/>
  <c r="E3924" i="4"/>
  <c r="E3921" i="4"/>
  <c r="E4400" i="4"/>
  <c r="E4907" i="4"/>
  <c r="E4557" i="4"/>
  <c r="E4173" i="4"/>
  <c r="E3876" i="4"/>
  <c r="E2720" i="4"/>
  <c r="E3567" i="4"/>
  <c r="E3982" i="4"/>
  <c r="E3594" i="4"/>
  <c r="E2557" i="4"/>
  <c r="E4276" i="4"/>
  <c r="E4212" i="4"/>
  <c r="E4148" i="4"/>
  <c r="E4036" i="4"/>
  <c r="E3925" i="4"/>
  <c r="E3547" i="4"/>
  <c r="E3077" i="4"/>
  <c r="E3355" i="4"/>
  <c r="E3027" i="4"/>
  <c r="E3440" i="4"/>
  <c r="E3120" i="4"/>
  <c r="E2765" i="4"/>
  <c r="E3072" i="4"/>
  <c r="E2761" i="4"/>
  <c r="E3282" i="4"/>
  <c r="E3032" i="4"/>
  <c r="E2881" i="4"/>
  <c r="E3100" i="4"/>
  <c r="E2844" i="4"/>
  <c r="E2592" i="4"/>
  <c r="E2559" i="4"/>
  <c r="E4279" i="4"/>
  <c r="E4500" i="4"/>
  <c r="E4225" i="4"/>
  <c r="E4832" i="4"/>
  <c r="E3752" i="4"/>
  <c r="E4368" i="4"/>
  <c r="E4474" i="4"/>
  <c r="E4908" i="4"/>
  <c r="E4567" i="4"/>
  <c r="E3663" i="4"/>
  <c r="E4848" i="4"/>
  <c r="E4507" i="4"/>
  <c r="E4015" i="4"/>
  <c r="E4930" i="4"/>
  <c r="E5003" i="4"/>
  <c r="E4803" i="4"/>
  <c r="E4705" i="4"/>
  <c r="E4546" i="4"/>
  <c r="E4882" i="4"/>
  <c r="E4591" i="4"/>
  <c r="E4231" i="4"/>
  <c r="E4566" i="4"/>
  <c r="E3991" i="4"/>
  <c r="E4503" i="4"/>
  <c r="E2967" i="4"/>
  <c r="E4005" i="4"/>
  <c r="E4103" i="4"/>
  <c r="E4247" i="4"/>
  <c r="E4357" i="4"/>
  <c r="E4017" i="4"/>
  <c r="E2652" i="4"/>
  <c r="E4944" i="4"/>
  <c r="E4862" i="4"/>
  <c r="E4782" i="4"/>
  <c r="E4704" i="4"/>
  <c r="E4579" i="4"/>
  <c r="E4331" i="4"/>
  <c r="E3952" i="4"/>
  <c r="E3241" i="4"/>
  <c r="E4597" i="4"/>
  <c r="E4537" i="4"/>
  <c r="E4505" i="4"/>
  <c r="E4441" i="4"/>
  <c r="E4380" i="4"/>
  <c r="E4348" i="4"/>
  <c r="E4245" i="4"/>
  <c r="E4117" i="4"/>
  <c r="E3981" i="4"/>
  <c r="E3736" i="4"/>
  <c r="E2989" i="4"/>
  <c r="E4522" i="4"/>
  <c r="E4365" i="4"/>
  <c r="E4049" i="4"/>
  <c r="E2958" i="4"/>
  <c r="E4936" i="4"/>
  <c r="E4860" i="4"/>
  <c r="E4788" i="4"/>
  <c r="E4712" i="4"/>
  <c r="E4627" i="4"/>
  <c r="E2864" i="4"/>
  <c r="E4590" i="4"/>
  <c r="E4492" i="4"/>
  <c r="E4428" i="4"/>
  <c r="E4303" i="4"/>
  <c r="E4175" i="4"/>
  <c r="E4047" i="4"/>
  <c r="E3791" i="4"/>
  <c r="E3385" i="4"/>
  <c r="E4632" i="4"/>
  <c r="E4369" i="4"/>
  <c r="E4956" i="4"/>
  <c r="E4876" i="4"/>
  <c r="E4798" i="4"/>
  <c r="E4710" i="4"/>
  <c r="E4432" i="4"/>
  <c r="E4624" i="4"/>
  <c r="E4560" i="4"/>
  <c r="E4518" i="4"/>
  <c r="E4469" i="4"/>
  <c r="E4405" i="4"/>
  <c r="E4363" i="4"/>
  <c r="E4313" i="4"/>
  <c r="E4185" i="4"/>
  <c r="E4057" i="4"/>
  <c r="E3843" i="4"/>
  <c r="E3324" i="4"/>
  <c r="E2691" i="4"/>
  <c r="E4353" i="4"/>
  <c r="E4960" i="4"/>
  <c r="E4878" i="4"/>
  <c r="E4794" i="4"/>
  <c r="E4718" i="4"/>
  <c r="E4602" i="4"/>
  <c r="E5015" i="4"/>
  <c r="E4981" i="4"/>
  <c r="E4951" i="4"/>
  <c r="E4917" i="4"/>
  <c r="E4883" i="4"/>
  <c r="E4849" i="4"/>
  <c r="E4815" i="4"/>
  <c r="E4793" i="4"/>
  <c r="E4775" i="4"/>
  <c r="E4759" i="4"/>
  <c r="E4743" i="4"/>
  <c r="E4727" i="4"/>
  <c r="E4711" i="4"/>
  <c r="E4695" i="4"/>
  <c r="E4679" i="4"/>
  <c r="E4663" i="4"/>
  <c r="E4635" i="4"/>
  <c r="E4571" i="4"/>
  <c r="E4472" i="4"/>
  <c r="E4408" i="4"/>
  <c r="E4243" i="4"/>
  <c r="E4115" i="4"/>
  <c r="E3972" i="4"/>
  <c r="E3816" i="4"/>
  <c r="E3439" i="4"/>
  <c r="E2885" i="4"/>
  <c r="E4413" i="4"/>
  <c r="E4033" i="4"/>
  <c r="E4994" i="4"/>
  <c r="E4914" i="4"/>
  <c r="E4830" i="4"/>
  <c r="E4746" i="4"/>
  <c r="E4660" i="4"/>
  <c r="E4451" i="4"/>
  <c r="E4107" i="4"/>
  <c r="E5009" i="4"/>
  <c r="E4979" i="4"/>
  <c r="E4945" i="4"/>
  <c r="E4915" i="4"/>
  <c r="E4885" i="4"/>
  <c r="E4855" i="4"/>
  <c r="E4825" i="4"/>
  <c r="E4637" i="4"/>
  <c r="E4573" i="4"/>
  <c r="E4525" i="4"/>
  <c r="E4478" i="4"/>
  <c r="E4414" i="4"/>
  <c r="E4366" i="4"/>
  <c r="E4333" i="4"/>
  <c r="E4205" i="4"/>
  <c r="E4077" i="4"/>
  <c r="E3915" i="4"/>
  <c r="E3672" i="4"/>
  <c r="E2829" i="4"/>
  <c r="E3970" i="4"/>
  <c r="E3882" i="4"/>
  <c r="E3790" i="4"/>
  <c r="E3655" i="4"/>
  <c r="E3517" i="4"/>
  <c r="E3145" i="4"/>
  <c r="E2777" i="4"/>
  <c r="E4001" i="4"/>
  <c r="E3945" i="4"/>
  <c r="E3878" i="4"/>
  <c r="E3767" i="4"/>
  <c r="E3616" i="4"/>
  <c r="E3460" i="4"/>
  <c r="E3225" i="4"/>
  <c r="E2843" i="4"/>
  <c r="E3998" i="4"/>
  <c r="E3911" i="4"/>
  <c r="E3844" i="4"/>
  <c r="E3766" i="4"/>
  <c r="E3623" i="4"/>
  <c r="E3447" i="4"/>
  <c r="E3209" i="4"/>
  <c r="E2729" i="4"/>
  <c r="E4328" i="4"/>
  <c r="E4312" i="4"/>
  <c r="E4296" i="4"/>
  <c r="E4280" i="4"/>
  <c r="E4264" i="4"/>
  <c r="E4248" i="4"/>
  <c r="E4232" i="4"/>
  <c r="E4216" i="4"/>
  <c r="E4200" i="4"/>
  <c r="E4184" i="4"/>
  <c r="E4168" i="4"/>
  <c r="E4152" i="4"/>
  <c r="E4136" i="4"/>
  <c r="E4120" i="4"/>
  <c r="E4104" i="4"/>
  <c r="E4088" i="4"/>
  <c r="E4072" i="4"/>
  <c r="E4056" i="4"/>
  <c r="E4040" i="4"/>
  <c r="E4024" i="4"/>
  <c r="E3987" i="4"/>
  <c r="E3923" i="4"/>
  <c r="E3856" i="4"/>
  <c r="E3696" i="4"/>
  <c r="E3536" i="4"/>
  <c r="E3180" i="4"/>
  <c r="E2728" i="4"/>
  <c r="E3968" i="4"/>
  <c r="E3898" i="4"/>
  <c r="E3831" i="4"/>
  <c r="E3754" i="4"/>
  <c r="E3607" i="4"/>
  <c r="E3422" i="4"/>
  <c r="E3261" i="4"/>
  <c r="E2819" i="4"/>
  <c r="E3941" i="4"/>
  <c r="E3877" i="4"/>
  <c r="E3813" i="4"/>
  <c r="E3749" i="4"/>
  <c r="E3685" i="4"/>
  <c r="E3621" i="4"/>
  <c r="E3557" i="4"/>
  <c r="E3444" i="4"/>
  <c r="E3333" i="4"/>
  <c r="E3230" i="4"/>
  <c r="E3070" i="4"/>
  <c r="E2936" i="4"/>
  <c r="E2759" i="4"/>
  <c r="E2618" i="4"/>
  <c r="E3796" i="4"/>
  <c r="E3732" i="4"/>
  <c r="E3668" i="4"/>
  <c r="E3604" i="4"/>
  <c r="E3540" i="4"/>
  <c r="E3417" i="4"/>
  <c r="E3302" i="4"/>
  <c r="E3201" i="4"/>
  <c r="E3098" i="4"/>
  <c r="E2921" i="4"/>
  <c r="E2749" i="4"/>
  <c r="E3817" i="4"/>
  <c r="E3753" i="4"/>
  <c r="E3689" i="4"/>
  <c r="E3625" i="4"/>
  <c r="E3561" i="4"/>
  <c r="E3513" i="4"/>
  <c r="E3429" i="4"/>
  <c r="E3335" i="4"/>
  <c r="E3222" i="4"/>
  <c r="E3067" i="4"/>
  <c r="E2933" i="4"/>
  <c r="E2832" i="4"/>
  <c r="E3662" i="4"/>
  <c r="E3598" i="4"/>
  <c r="E3534" i="4"/>
  <c r="E3437" i="4"/>
  <c r="E3343" i="4"/>
  <c r="E3215" i="4"/>
  <c r="E3059" i="4"/>
  <c r="E2925" i="4"/>
  <c r="E2816" i="4"/>
  <c r="E3819" i="4"/>
  <c r="E3755" i="4"/>
  <c r="E3691" i="4"/>
  <c r="E3627" i="4"/>
  <c r="E3563" i="4"/>
  <c r="E3445" i="4"/>
  <c r="E3351" i="4"/>
  <c r="E3236" i="4"/>
  <c r="E3089" i="4"/>
  <c r="E2955" i="4"/>
  <c r="E2739" i="4"/>
  <c r="E3499" i="4"/>
  <c r="E3435" i="4"/>
  <c r="E3371" i="4"/>
  <c r="E3307" i="4"/>
  <c r="E3243" i="4"/>
  <c r="E3179" i="4"/>
  <c r="E3115" i="4"/>
  <c r="E3033" i="4"/>
  <c r="E2966" i="4"/>
  <c r="E2877" i="4"/>
  <c r="E2790" i="4"/>
  <c r="E2719" i="4"/>
  <c r="E2631" i="4"/>
  <c r="E3520" i="4"/>
  <c r="E3456" i="4"/>
  <c r="E3392" i="4"/>
  <c r="E3328" i="4"/>
  <c r="E3264" i="4"/>
  <c r="E3200" i="4"/>
  <c r="E3136" i="4"/>
  <c r="E3054" i="4"/>
  <c r="E2987" i="4"/>
  <c r="E2920" i="4"/>
  <c r="E2873" i="4"/>
  <c r="E2786" i="4"/>
  <c r="E2690" i="4"/>
  <c r="E2593" i="4"/>
  <c r="E3229" i="4"/>
  <c r="E3165" i="4"/>
  <c r="E3078" i="4"/>
  <c r="E3011" i="4"/>
  <c r="E2944" i="4"/>
  <c r="E2862" i="4"/>
  <c r="E2782" i="4"/>
  <c r="E2681" i="4"/>
  <c r="E3490" i="4"/>
  <c r="E3426" i="4"/>
  <c r="E3362" i="4"/>
  <c r="E3298" i="4"/>
  <c r="E3234" i="4"/>
  <c r="E3170" i="4"/>
  <c r="E3105" i="4"/>
  <c r="E3038" i="4"/>
  <c r="E2971" i="4"/>
  <c r="E2893" i="4"/>
  <c r="E2806" i="4"/>
  <c r="E2717" i="4"/>
  <c r="E2671" i="4"/>
  <c r="E2524" i="4"/>
  <c r="E2863" i="4"/>
  <c r="E2753" i="4"/>
  <c r="E2711" i="4"/>
  <c r="E2630" i="4"/>
  <c r="E2518" i="4"/>
  <c r="E3052" i="4"/>
  <c r="E2988" i="4"/>
  <c r="E2924" i="4"/>
  <c r="E2860" i="4"/>
  <c r="E2796" i="4"/>
  <c r="E2732" i="4"/>
  <c r="E2669" i="4"/>
  <c r="E2602" i="4"/>
  <c r="E2526" i="4"/>
  <c r="E2656" i="4"/>
  <c r="E2577" i="4"/>
  <c r="E2575" i="4"/>
  <c r="E2537" i="4"/>
  <c r="E2643" i="4"/>
  <c r="E2579" i="4"/>
  <c r="E477" i="4" l="1"/>
  <c r="F135" i="4"/>
  <c r="F481" i="4"/>
  <c r="E32" i="4"/>
  <c r="E992" i="4"/>
  <c r="E2295" i="4"/>
  <c r="F105" i="4"/>
  <c r="E702" i="4"/>
  <c r="E1777" i="4"/>
  <c r="E501" i="4"/>
  <c r="E492" i="4"/>
  <c r="E720" i="4"/>
  <c r="E750" i="4"/>
  <c r="E1794" i="4"/>
  <c r="E886" i="4"/>
  <c r="F979" i="4"/>
  <c r="F551" i="4"/>
  <c r="E521" i="4"/>
  <c r="E1327" i="4"/>
  <c r="F60" i="4"/>
  <c r="E465" i="4"/>
  <c r="E1966" i="4"/>
  <c r="F1507" i="4"/>
  <c r="F98" i="4"/>
  <c r="E1152" i="4"/>
  <c r="E163" i="4"/>
  <c r="F109" i="4"/>
  <c r="F790" i="4"/>
  <c r="E598" i="4"/>
  <c r="E1084" i="4"/>
  <c r="F299" i="4"/>
  <c r="E173" i="4"/>
  <c r="E711" i="4"/>
  <c r="F519" i="4"/>
  <c r="E350" i="4"/>
  <c r="E1924" i="4"/>
  <c r="E144" i="4"/>
  <c r="E923" i="4"/>
  <c r="F66" i="4"/>
  <c r="E356" i="4"/>
  <c r="E1535" i="4"/>
  <c r="F742" i="4"/>
  <c r="F647" i="4"/>
  <c r="F315" i="4"/>
  <c r="E223" i="4"/>
  <c r="E581" i="4"/>
  <c r="F980" i="4"/>
  <c r="E21" i="4"/>
  <c r="E1131" i="4"/>
  <c r="E503" i="4"/>
  <c r="E1088" i="4"/>
  <c r="E604" i="4"/>
  <c r="E907" i="4"/>
  <c r="E508" i="4"/>
  <c r="F236" i="4"/>
  <c r="F124" i="4"/>
  <c r="E588" i="4"/>
  <c r="E958" i="4"/>
  <c r="F106" i="4"/>
  <c r="E566" i="4"/>
  <c r="E161" i="4"/>
  <c r="E442" i="4"/>
  <c r="F281" i="4"/>
  <c r="E755" i="4"/>
  <c r="E1280" i="4"/>
  <c r="E830" i="4"/>
  <c r="F99" i="4"/>
  <c r="F343" i="4"/>
  <c r="F748" i="4"/>
  <c r="E763" i="4"/>
  <c r="E1214" i="4"/>
  <c r="E348" i="4"/>
  <c r="E393" i="4"/>
  <c r="F64" i="4"/>
  <c r="E764" i="4"/>
  <c r="E1240" i="4"/>
  <c r="E248" i="4"/>
  <c r="E452" i="4"/>
  <c r="E337" i="4"/>
  <c r="E778" i="4"/>
  <c r="E2335" i="4"/>
  <c r="F1219" i="4"/>
  <c r="E280" i="4"/>
  <c r="E1184" i="4"/>
  <c r="F237" i="4"/>
  <c r="F357" i="4"/>
  <c r="F623" i="4"/>
  <c r="F802" i="4"/>
  <c r="E436" i="4"/>
  <c r="F191" i="4"/>
  <c r="E252" i="4"/>
  <c r="F23" i="4"/>
  <c r="F526" i="4"/>
  <c r="E1705" i="4"/>
  <c r="E1158" i="4"/>
  <c r="E1528" i="4"/>
  <c r="E577" i="4"/>
  <c r="F362" i="4"/>
  <c r="E262" i="4"/>
  <c r="E165" i="4"/>
  <c r="E83" i="4"/>
  <c r="E1594" i="4"/>
  <c r="E1164" i="4"/>
  <c r="E878" i="4"/>
  <c r="E635" i="4"/>
  <c r="F71" i="4"/>
  <c r="F540" i="4"/>
  <c r="F215" i="4"/>
  <c r="E389" i="4"/>
  <c r="F549" i="4"/>
  <c r="F589" i="4"/>
  <c r="E154" i="4"/>
  <c r="F614" i="4"/>
  <c r="F565" i="4"/>
  <c r="F618" i="4"/>
  <c r="E574" i="4"/>
  <c r="E353" i="4"/>
  <c r="E431" i="4"/>
  <c r="E76" i="4"/>
  <c r="E27" i="4"/>
  <c r="E334" i="4"/>
  <c r="F240" i="4"/>
  <c r="E201" i="4"/>
  <c r="E94" i="4"/>
  <c r="F631" i="4"/>
  <c r="E263" i="4"/>
  <c r="E634" i="4"/>
  <c r="F327" i="4"/>
  <c r="F687" i="4"/>
  <c r="F113" i="4"/>
  <c r="E168" i="4"/>
  <c r="F373" i="4"/>
  <c r="E241" i="4"/>
  <c r="E532" i="4"/>
  <c r="F504" i="4"/>
  <c r="E202" i="4"/>
  <c r="E68" i="4"/>
  <c r="F527" i="4"/>
  <c r="F597" i="4"/>
  <c r="E402" i="4"/>
  <c r="E166" i="4"/>
  <c r="E458" i="4"/>
  <c r="E358" i="4"/>
  <c r="E118" i="4"/>
  <c r="F233" i="4"/>
  <c r="E587" i="4"/>
  <c r="F487" i="4"/>
  <c r="E365" i="4"/>
  <c r="E380" i="4"/>
  <c r="F573" i="4"/>
  <c r="F212" i="4"/>
  <c r="E715" i="4"/>
  <c r="E528" i="4"/>
  <c r="E675" i="4"/>
  <c r="E414" i="4"/>
  <c r="F413" i="4"/>
  <c r="F347" i="4"/>
  <c r="E82" i="4"/>
  <c r="E560" i="4"/>
  <c r="E679" i="4"/>
  <c r="E304" i="4"/>
  <c r="F344" i="4"/>
  <c r="E867" i="4"/>
  <c r="E255" i="4"/>
  <c r="E227" i="4"/>
  <c r="F45" i="4"/>
  <c r="E160" i="4"/>
  <c r="F160" i="4"/>
  <c r="F421" i="4"/>
  <c r="E421" i="4"/>
  <c r="F183" i="4"/>
  <c r="E183" i="4"/>
  <c r="F359" i="4"/>
  <c r="E359" i="4"/>
  <c r="F26" i="4"/>
  <c r="E26" i="4"/>
  <c r="E153" i="4"/>
  <c r="F153" i="4"/>
  <c r="E511" i="4"/>
  <c r="F511" i="4"/>
  <c r="F67" i="4"/>
  <c r="E67" i="4"/>
  <c r="E296" i="4"/>
  <c r="F296" i="4"/>
  <c r="F138" i="4"/>
  <c r="E138" i="4"/>
  <c r="E756" i="4"/>
  <c r="F756" i="4"/>
  <c r="F192" i="4"/>
  <c r="E192" i="4"/>
  <c r="F159" i="4"/>
  <c r="E159" i="4"/>
  <c r="F466" i="4"/>
  <c r="E466" i="4"/>
  <c r="E335" i="4"/>
  <c r="F335" i="4"/>
  <c r="F232" i="4"/>
  <c r="E232" i="4"/>
  <c r="E388" i="4"/>
  <c r="F388" i="4"/>
  <c r="F464" i="4"/>
  <c r="E464" i="4"/>
  <c r="F41" i="4"/>
  <c r="E41" i="4"/>
  <c r="E287" i="4"/>
  <c r="F287" i="4"/>
  <c r="E207" i="4"/>
  <c r="F207" i="4"/>
  <c r="E53" i="4"/>
  <c r="F53" i="4"/>
  <c r="F563" i="4"/>
  <c r="E563" i="4"/>
  <c r="F612" i="4"/>
  <c r="E612" i="4"/>
  <c r="F119" i="4"/>
  <c r="E119" i="4"/>
  <c r="F462" i="4"/>
  <c r="E462" i="4"/>
  <c r="E73" i="4"/>
  <c r="F73" i="4"/>
  <c r="F397" i="4"/>
  <c r="E397" i="4"/>
  <c r="F278" i="4"/>
  <c r="E278" i="4"/>
  <c r="E116" i="4"/>
  <c r="F116" i="4"/>
  <c r="E110" i="4"/>
  <c r="F110" i="4"/>
  <c r="F488" i="4"/>
  <c r="E488" i="4"/>
  <c r="F19" i="4"/>
  <c r="E19" i="4"/>
  <c r="E603" i="4"/>
  <c r="F603" i="4"/>
  <c r="E134" i="4"/>
  <c r="F134" i="4"/>
  <c r="E572" i="4"/>
  <c r="F572" i="4"/>
  <c r="E341" i="4"/>
  <c r="F341" i="4"/>
  <c r="F329" i="4"/>
  <c r="E329" i="4"/>
  <c r="E81" i="4"/>
  <c r="F81" i="4"/>
  <c r="F174" i="4"/>
  <c r="E174" i="4"/>
  <c r="E136" i="4"/>
  <c r="F136" i="4"/>
  <c r="F65" i="4"/>
  <c r="E65" i="4"/>
  <c r="F18" i="4"/>
  <c r="E18" i="4"/>
  <c r="E89" i="4"/>
  <c r="F89" i="4"/>
  <c r="F412" i="4"/>
  <c r="E412" i="4"/>
  <c r="E91" i="4"/>
  <c r="F91" i="4"/>
  <c r="E50" i="4"/>
  <c r="F50" i="4"/>
  <c r="E193" i="4"/>
  <c r="F193" i="4"/>
  <c r="F366" i="4"/>
  <c r="E366" i="4"/>
  <c r="F96" i="4"/>
  <c r="E96" i="4"/>
  <c r="F88" i="4"/>
  <c r="E88" i="4"/>
  <c r="F256" i="4"/>
  <c r="E256" i="4"/>
  <c r="E479" i="4"/>
  <c r="F479" i="4"/>
  <c r="E320" i="4"/>
  <c r="F320" i="4"/>
  <c r="F626" i="4"/>
  <c r="E626" i="4"/>
  <c r="F318" i="4"/>
  <c r="E318" i="4"/>
  <c r="E247" i="4"/>
  <c r="F247" i="4"/>
  <c r="E127" i="4"/>
  <c r="F127" i="4"/>
  <c r="F429" i="4"/>
  <c r="E429" i="4"/>
  <c r="E571" i="4"/>
  <c r="F571" i="4"/>
  <c r="F57" i="4"/>
  <c r="E57" i="4"/>
  <c r="F175" i="4"/>
  <c r="E175" i="4"/>
  <c r="E505" i="4"/>
  <c r="F505" i="4"/>
  <c r="E17" i="4"/>
  <c r="F17" i="4"/>
  <c r="E271" i="4"/>
  <c r="F271" i="4"/>
  <c r="E199" i="4"/>
  <c r="F199" i="4"/>
  <c r="F29" i="4"/>
  <c r="E29" i="4"/>
  <c r="F650" i="4"/>
  <c r="E650" i="4"/>
  <c r="E2464" i="4"/>
  <c r="F2464" i="4"/>
  <c r="E349" i="4"/>
  <c r="F349" i="4"/>
  <c r="E535" i="4"/>
  <c r="F535" i="4"/>
  <c r="F643" i="4"/>
  <c r="E643" i="4"/>
  <c r="F43" i="4"/>
  <c r="E43" i="4"/>
  <c r="F354" i="4"/>
  <c r="E354" i="4"/>
  <c r="E555" i="4"/>
  <c r="F555" i="4"/>
  <c r="F270" i="4"/>
  <c r="E270" i="4"/>
  <c r="F55" i="4"/>
  <c r="E55" i="4"/>
  <c r="E59" i="4"/>
  <c r="F59" i="4"/>
  <c r="E150" i="4"/>
  <c r="F150" i="4"/>
  <c r="E310" i="4"/>
  <c r="F310" i="4"/>
  <c r="E291" i="4"/>
  <c r="F291" i="4"/>
  <c r="E126" i="4"/>
  <c r="F126" i="4"/>
  <c r="E520" i="4"/>
  <c r="F520" i="4"/>
  <c r="F326" i="4"/>
  <c r="E326" i="4"/>
  <c r="F516" i="4"/>
  <c r="E516" i="4"/>
  <c r="F152" i="4"/>
  <c r="E152" i="4"/>
  <c r="E52" i="4"/>
  <c r="F52" i="4"/>
  <c r="F595" i="4"/>
  <c r="E595" i="4"/>
  <c r="E142" i="4"/>
  <c r="F142" i="4"/>
  <c r="F95" i="4"/>
  <c r="E95" i="4"/>
  <c r="F176" i="4"/>
  <c r="E176" i="4"/>
  <c r="E396" i="4"/>
  <c r="F396" i="4"/>
  <c r="E947" i="4"/>
  <c r="F947" i="4"/>
  <c r="F224" i="4"/>
  <c r="E224" i="4"/>
  <c r="F111" i="4"/>
  <c r="E111" i="4"/>
  <c r="E435" i="4"/>
  <c r="F435" i="4"/>
  <c r="E239" i="4"/>
  <c r="F239" i="4"/>
  <c r="F58" i="4"/>
  <c r="E58" i="4"/>
  <c r="E217" i="4"/>
  <c r="F217" i="4"/>
  <c r="F472" i="4"/>
  <c r="E472" i="4"/>
  <c r="F49" i="4"/>
  <c r="E49" i="4"/>
  <c r="F311" i="4"/>
  <c r="E311" i="4"/>
  <c r="L8" i="4"/>
  <c r="L10" i="4" s="1"/>
  <c r="G31" i="6"/>
  <c r="L16" i="6" s="1"/>
  <c r="G27" i="6" a="1"/>
  <c r="G27" i="6" s="1"/>
  <c r="L11" i="6" s="1"/>
  <c r="J8" i="4" s="1"/>
  <c r="J10" i="4" s="1"/>
  <c r="J11" i="4" s="1"/>
  <c r="E2516" i="4"/>
  <c r="D15" i="4"/>
  <c r="E15" i="4" l="1"/>
  <c r="F1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<sst xmlns="http://schemas.openxmlformats.org/spreadsheetml/2006/main" count="265" uniqueCount="154">
  <si>
    <t>Buy</t>
  </si>
  <si>
    <t>FOR</t>
  </si>
  <si>
    <t>Call FOR, Put DOM</t>
  </si>
  <si>
    <t>FOR/DOM</t>
  </si>
  <si>
    <t>Call</t>
  </si>
  <si>
    <t>By Interest Rate Parity</t>
  </si>
  <si>
    <t>Sell</t>
  </si>
  <si>
    <t>DOM</t>
  </si>
  <si>
    <t>Put FOR, Call DOM</t>
  </si>
  <si>
    <t>DOM/FOR</t>
  </si>
  <si>
    <t>Put</t>
  </si>
  <si>
    <t>With Currency Basis</t>
  </si>
  <si>
    <t>antithetic variates →</t>
  </si>
  <si>
    <t>Averages →</t>
  </si>
  <si>
    <t xml:space="preserve">Averages → </t>
  </si>
  <si>
    <t>Digital EU Payoff</t>
  </si>
  <si>
    <t>Vanilla EU Payoff</t>
  </si>
  <si>
    <t>S(T)</t>
  </si>
  <si>
    <t>Rand ~N(0,1)</t>
  </si>
  <si>
    <t># of Vega</t>
  </si>
  <si>
    <t>Variance b/t methods</t>
  </si>
  <si>
    <t>Vega</t>
  </si>
  <si>
    <t>Option Discounted Value</t>
  </si>
  <si>
    <t>Analytical Formulae</t>
  </si>
  <si>
    <t xml:space="preserve">Run time (minutes): </t>
  </si>
  <si>
    <t xml:space="preserve">Run time (seconds): </t>
  </si>
  <si>
    <t>Total simulations</t>
  </si>
  <si>
    <t>Discount Factor</t>
  </si>
  <si>
    <t># of refreshes</t>
  </si>
  <si>
    <t>Option Forward Value</t>
  </si>
  <si>
    <t>Sims per 1 refresh</t>
  </si>
  <si>
    <t>Units</t>
  </si>
  <si>
    <t xml:space="preserve">Digital Option </t>
  </si>
  <si>
    <t xml:space="preserve">Vanilla Option </t>
  </si>
  <si>
    <t>Monte Carlo</t>
  </si>
  <si>
    <r>
      <t>Rho</t>
    </r>
    <r>
      <rPr>
        <vertAlign val="subscript"/>
        <sz val="10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</si>
  <si>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</si>
  <si>
    <t>Gamma</t>
  </si>
  <si>
    <t>Theta</t>
  </si>
  <si>
    <t>Option Value</t>
  </si>
  <si>
    <t>Unit Gamma</t>
  </si>
  <si>
    <t>Unit Theta</t>
  </si>
  <si>
    <t>Unit Vega</t>
  </si>
  <si>
    <t>Px</t>
  </si>
  <si>
    <t>μ</t>
  </si>
  <si>
    <t>q</t>
  </si>
  <si>
    <t>r</t>
  </si>
  <si>
    <t>Result Ccy Divisor</t>
  </si>
  <si>
    <t>DOM Notional</t>
  </si>
  <si>
    <t>FOR Notional</t>
  </si>
  <si>
    <t>T</t>
  </si>
  <si>
    <t>CP</t>
  </si>
  <si>
    <t>Methodology</t>
  </si>
  <si>
    <t>Result Ccy</t>
  </si>
  <si>
    <t>σ</t>
  </si>
  <si>
    <t>F</t>
  </si>
  <si>
    <t>Value Date</t>
  </si>
  <si>
    <t>Notional Ccy</t>
  </si>
  <si>
    <t>Notional Amt</t>
  </si>
  <si>
    <t>Expiry Date</t>
  </si>
  <si>
    <t>Call/Put</t>
  </si>
  <si>
    <t>Strike</t>
  </si>
  <si>
    <t>Buy/Sell</t>
  </si>
  <si>
    <t>[DOM]</t>
  </si>
  <si>
    <t>[FOR]</t>
  </si>
  <si>
    <t>[%]</t>
  </si>
  <si>
    <t>[$, DOM]</t>
  </si>
  <si>
    <t>[$, FOR]</t>
  </si>
  <si>
    <t>[Years]</t>
  </si>
  <si>
    <t>{-1,1}</t>
  </si>
  <si>
    <t>{FOR, DOM}</t>
  </si>
  <si>
    <t>[Date]</t>
  </si>
  <si>
    <t>[$]</t>
  </si>
  <si>
    <t>{Buy,Sell}</t>
  </si>
  <si>
    <t>Units →</t>
  </si>
  <si>
    <t>Unit Results</t>
  </si>
  <si>
    <t>Valuation Helpers</t>
  </si>
  <si>
    <t>Valuation &amp; Market Data Inputs</t>
  </si>
  <si>
    <t>Contractual Inputs</t>
  </si>
  <si>
    <t>by IR Parity</t>
  </si>
  <si>
    <t>Price in domestic currency</t>
  </si>
  <si>
    <t>Price in notional currency</t>
  </si>
  <si>
    <t>% in-the-money</t>
  </si>
  <si>
    <t>Field</t>
  </si>
  <si>
    <t>European digital option pricing</t>
  </si>
  <si>
    <t>Gamma (normalised to 1% change in spot price)</t>
  </si>
  <si>
    <t>Theta (normalised to 1 day)</t>
  </si>
  <si>
    <t>Domestic currency interest rate</t>
  </si>
  <si>
    <t>Vega (normalised to 1% change in volatility)</t>
  </si>
  <si>
    <t>Foreign currency interest rate</t>
  </si>
  <si>
    <t>Volatility</t>
  </si>
  <si>
    <t>FX forward rate</t>
  </si>
  <si>
    <t>Price (in the domestic currency, per 1 unit of foreign currency notional)</t>
  </si>
  <si>
    <t>FX spot price</t>
  </si>
  <si>
    <t>Valuation Date</t>
  </si>
  <si>
    <t>Vanilla European option pricing and analytical greeks</t>
  </si>
  <si>
    <t>Value</t>
  </si>
  <si>
    <t>Valuation inputs</t>
  </si>
  <si>
    <t xml:space="preserve">Option Value Monte Carlo </t>
  </si>
  <si>
    <t>Barrier</t>
  </si>
  <si>
    <t>Results in Notional Currency</t>
  </si>
  <si>
    <t>European digital option results</t>
  </si>
  <si>
    <t>Vanilla option helpers</t>
  </si>
  <si>
    <t>Exotic contractual inputs</t>
  </si>
  <si>
    <t>Notional currency</t>
  </si>
  <si>
    <t>Domestic Currency Notional</t>
  </si>
  <si>
    <t>Notional amount</t>
  </si>
  <si>
    <t>Foreign Currency Notional</t>
  </si>
  <si>
    <r>
      <t>r</t>
    </r>
    <r>
      <rPr>
        <vertAlign val="subscript"/>
        <sz val="10"/>
        <color theme="1"/>
        <rFont val="Arial"/>
        <family val="2"/>
      </rPr>
      <t>domestic currency basis adjusted</t>
    </r>
  </si>
  <si>
    <t>Call/Put perspective</t>
  </si>
  <si>
    <t xml:space="preserve">F </t>
  </si>
  <si>
    <t>T (years to expiry)</t>
  </si>
  <si>
    <t>Buy/Sell perspective</t>
  </si>
  <si>
    <t>Results</t>
  </si>
  <si>
    <r>
      <t>r</t>
    </r>
    <r>
      <rPr>
        <vertAlign val="subscript"/>
        <sz val="10"/>
        <color theme="1"/>
        <rFont val="Arial"/>
        <family val="2"/>
      </rPr>
      <t>foreign currency</t>
    </r>
  </si>
  <si>
    <t>Vanilla European option results</t>
  </si>
  <si>
    <t>Core / vanilla contractual inputs</t>
  </si>
  <si>
    <t xml:space="preserve">K </t>
  </si>
  <si>
    <t>Result/Notional FX spot rate</t>
  </si>
  <si>
    <t>Result/Domestic FX spot rate</t>
  </si>
  <si>
    <t>{1,-1}</t>
  </si>
  <si>
    <t>CP (call/put flag)</t>
  </si>
  <si>
    <t>Result Currency</t>
  </si>
  <si>
    <t>Valuation model inputs</t>
  </si>
  <si>
    <t>User input</t>
  </si>
  <si>
    <t>Legend</t>
  </si>
  <si>
    <r>
      <t>S</t>
    </r>
    <r>
      <rPr>
        <vertAlign val="subscript"/>
        <sz val="9"/>
        <color theme="1"/>
        <rFont val="Arial"/>
        <family val="2"/>
      </rPr>
      <t>0</t>
    </r>
    <r>
      <rPr>
        <sz val="9"/>
        <color theme="1"/>
        <rFont val="Arial"/>
        <family val="2"/>
      </rPr>
      <t xml:space="preserve"> </t>
    </r>
  </si>
  <si>
    <r>
      <t>Rho</t>
    </r>
    <r>
      <rPr>
        <vertAlign val="subscript"/>
        <sz val="9"/>
        <color theme="1"/>
        <rFont val="Arial"/>
        <family val="2"/>
      </rPr>
      <t>foreign currency</t>
    </r>
  </si>
  <si>
    <r>
      <t>Rho</t>
    </r>
    <r>
      <rPr>
        <vertAlign val="subscript"/>
        <sz val="9"/>
        <color theme="1"/>
        <rFont val="Arial"/>
        <family val="2"/>
      </rPr>
      <t>domestic currency</t>
    </r>
  </si>
  <si>
    <r>
      <t>d</t>
    </r>
    <r>
      <rPr>
        <vertAlign val="subscript"/>
        <sz val="9"/>
        <color theme="1"/>
        <rFont val="Arial"/>
        <family val="2"/>
      </rPr>
      <t>1</t>
    </r>
  </si>
  <si>
    <r>
      <t>d</t>
    </r>
    <r>
      <rPr>
        <vertAlign val="subscript"/>
        <sz val="9"/>
        <color theme="1"/>
        <rFont val="Arial"/>
        <family val="2"/>
      </rPr>
      <t>2</t>
    </r>
  </si>
  <si>
    <r>
      <t>S</t>
    </r>
    <r>
      <rPr>
        <b/>
        <vertAlign val="subscript"/>
        <sz val="9"/>
        <color theme="0"/>
        <rFont val="Arial"/>
        <family val="2"/>
      </rPr>
      <t>0</t>
    </r>
  </si>
  <si>
    <r>
      <t>r</t>
    </r>
    <r>
      <rPr>
        <b/>
        <vertAlign val="subscript"/>
        <sz val="9"/>
        <color theme="0"/>
        <rFont val="Arial"/>
        <family val="2"/>
      </rPr>
      <t>f</t>
    </r>
  </si>
  <si>
    <r>
      <t>r</t>
    </r>
    <r>
      <rPr>
        <b/>
        <vertAlign val="subscript"/>
        <sz val="9"/>
        <color theme="0"/>
        <rFont val="Arial"/>
        <family val="2"/>
      </rPr>
      <t>d</t>
    </r>
  </si>
  <si>
    <r>
      <t>μ</t>
    </r>
    <r>
      <rPr>
        <b/>
        <vertAlign val="subscript"/>
        <sz val="9"/>
        <color theme="0"/>
        <rFont val="Arial"/>
        <family val="2"/>
      </rPr>
      <t>by interest rate parity</t>
    </r>
  </si>
  <si>
    <r>
      <t>μ</t>
    </r>
    <r>
      <rPr>
        <b/>
        <vertAlign val="subscript"/>
        <sz val="9"/>
        <color theme="0"/>
        <rFont val="Arial"/>
        <family val="2"/>
      </rPr>
      <t>with currency basis</t>
    </r>
  </si>
  <si>
    <r>
      <t>r</t>
    </r>
    <r>
      <rPr>
        <b/>
        <vertAlign val="subscript"/>
        <sz val="9"/>
        <color theme="0"/>
        <rFont val="Arial"/>
        <family val="2"/>
      </rPr>
      <t>d_basis_adj</t>
    </r>
  </si>
  <si>
    <r>
      <t>d</t>
    </r>
    <r>
      <rPr>
        <b/>
        <vertAlign val="subscript"/>
        <sz val="9"/>
        <color theme="0"/>
        <rFont val="Arial"/>
        <family val="2"/>
      </rPr>
      <t>1</t>
    </r>
  </si>
  <si>
    <r>
      <t>d</t>
    </r>
    <r>
      <rPr>
        <b/>
        <vertAlign val="subscript"/>
        <sz val="9"/>
        <color theme="0"/>
        <rFont val="Arial"/>
        <family val="2"/>
      </rPr>
      <t>2</t>
    </r>
  </si>
  <si>
    <r>
      <t>Unit Δ</t>
    </r>
    <r>
      <rPr>
        <b/>
        <vertAlign val="subscript"/>
        <sz val="9"/>
        <color theme="0"/>
        <rFont val="Arial"/>
        <family val="2"/>
      </rPr>
      <t>spot</t>
    </r>
  </si>
  <si>
    <r>
      <t>Unit Δ</t>
    </r>
    <r>
      <rPr>
        <b/>
        <vertAlign val="subscript"/>
        <sz val="9"/>
        <color theme="0"/>
        <rFont val="Arial"/>
        <family val="2"/>
      </rPr>
      <t>forward</t>
    </r>
  </si>
  <si>
    <r>
      <t>Unit Rho</t>
    </r>
    <r>
      <rPr>
        <b/>
        <vertAlign val="subscript"/>
        <sz val="9"/>
        <color theme="0"/>
        <rFont val="Arial"/>
        <family val="2"/>
      </rPr>
      <t>foreign currency</t>
    </r>
  </si>
  <si>
    <r>
      <t>Unit Rho</t>
    </r>
    <r>
      <rPr>
        <b/>
        <vertAlign val="subscript"/>
        <sz val="9"/>
        <color theme="0"/>
        <rFont val="Arial"/>
        <family val="2"/>
      </rPr>
      <t>domestic currency</t>
    </r>
  </si>
  <si>
    <r>
      <t>Δ</t>
    </r>
    <r>
      <rPr>
        <vertAlign val="subscript"/>
        <sz val="9"/>
        <color theme="1"/>
        <rFont val="Arial"/>
        <family val="2"/>
      </rPr>
      <t>spot</t>
    </r>
  </si>
  <si>
    <r>
      <t>Δ</t>
    </r>
    <r>
      <rPr>
        <vertAlign val="subscript"/>
        <sz val="9"/>
        <color theme="0"/>
        <rFont val="Arial"/>
        <family val="2"/>
      </rPr>
      <t>forward</t>
    </r>
  </si>
  <si>
    <t>FX Rates for conversions</t>
  </si>
  <si>
    <r>
      <t>Δ</t>
    </r>
    <r>
      <rPr>
        <vertAlign val="subscript"/>
        <sz val="11"/>
        <color theme="1"/>
        <rFont val="Arial"/>
        <family val="2"/>
      </rPr>
      <t>forward</t>
    </r>
    <r>
      <rPr>
        <sz val="9"/>
        <color theme="1"/>
        <rFont val="Arial"/>
        <family val="2"/>
      </rPr>
      <t xml:space="preserve"> (forward delta)</t>
    </r>
  </si>
  <si>
    <r>
      <t>Δ</t>
    </r>
    <r>
      <rPr>
        <vertAlign val="subscript"/>
        <sz val="12"/>
        <color theme="1"/>
        <rFont val="Arial"/>
        <family val="2"/>
      </rPr>
      <t>spot</t>
    </r>
    <r>
      <rPr>
        <sz val="9"/>
        <color theme="1"/>
        <rFont val="Arial"/>
        <family val="2"/>
      </rPr>
      <t xml:space="preserve"> (spot delta)</t>
    </r>
  </si>
  <si>
    <r>
      <t>Δ</t>
    </r>
    <r>
      <rPr>
        <vertAlign val="subscript"/>
        <sz val="11"/>
        <color theme="1"/>
        <rFont val="Arial"/>
        <family val="2"/>
      </rPr>
      <t>spot</t>
    </r>
    <r>
      <rPr>
        <sz val="9"/>
        <color theme="1"/>
        <rFont val="Arial"/>
        <family val="2"/>
      </rPr>
      <t xml:space="preserve"> (spot delta)</t>
    </r>
  </si>
  <si>
    <r>
      <t>Δ</t>
    </r>
    <r>
      <rPr>
        <vertAlign val="subscript"/>
        <sz val="10"/>
        <color theme="1"/>
        <rFont val="Arial"/>
        <family val="2"/>
      </rPr>
      <t>forward</t>
    </r>
    <r>
      <rPr>
        <sz val="9"/>
        <color theme="1"/>
        <rFont val="Arial"/>
        <family val="2"/>
      </rPr>
      <t xml:space="preserve"> (forward delta)</t>
    </r>
  </si>
  <si>
    <r>
      <t>r</t>
    </r>
    <r>
      <rPr>
        <vertAlign val="subscript"/>
        <sz val="11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</si>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</sst>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-* #,##0.000000_-;\-* #,##0.000000_-;_-* &quot;-&quot;??_-;_-@_-"/>
    <numFmt numFmtId="165" formatCode="_-* #,##0.00000_-;\-* #,##0.00000_-;_-* &quot;-&quot;??_-;_-@_-"/>
    <numFmt numFmtId="166" formatCode="#,##0_-;\(#,##0\)_-;\-_-"/>
    <numFmt numFmtId="167" formatCode="0.00000%"/>
    <numFmt numFmtId="168" formatCode="0.000%"/>
    <numFmt numFmtId="169" formatCode="_-* #,##0.000_-;\-* #,##0.000_-;_-* &quot;-&quot;??_-;_-@_-"/>
    <numFmt numFmtId="170" formatCode="_-* #,##0.0000_-;\-* #,##0.0000_-;_-* &quot;-&quot;??_-;_-@_-"/>
    <numFmt numFmtId="171" formatCode="0.0000%"/>
    <numFmt numFmtId="172" formatCode="0.000000%"/>
    <numFmt numFmtId="173" formatCode="d\-mmm\-yy_-;;"/>
    <numFmt numFmtId="174" formatCode="_-* #,##0.00000000_-;\-* #,##0.00000000_-;_-* &quot;-&quot;??_-;_-@_-"/>
    <numFmt numFmtId="175" formatCode="0.0000"/>
    <numFmt numFmtId="176" formatCode="0.00000000"/>
    <numFmt numFmtId="177" formatCode="d\-mmm\-yyyy_-;;"/>
  </numFmts>
  <fonts count="16" x14ac:knownFonts="1">
    <font>
      <sz val="9"/>
      <color theme="1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vertAlign val="subscript"/>
      <sz val="10"/>
      <color theme="1"/>
      <name val="Arial"/>
      <family val="2"/>
    </font>
    <font>
      <b/>
      <sz val="9"/>
      <color theme="0"/>
      <name val="Arial"/>
      <family val="2"/>
    </font>
    <font>
      <sz val="9"/>
      <color rgb="FF0070C0"/>
      <name val="Arial"/>
      <family val="2"/>
    </font>
    <font>
      <vertAlign val="subscript"/>
      <sz val="9"/>
      <color theme="1"/>
      <name val="Arial"/>
      <family val="2"/>
    </font>
    <font>
      <sz val="9"/>
      <color theme="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vertAlign val="subscript"/>
      <sz val="9"/>
      <color theme="0"/>
      <name val="Arial"/>
      <family val="2"/>
    </font>
    <font>
      <vertAlign val="subscript"/>
      <sz val="9"/>
      <color theme="0"/>
      <name val="Arial"/>
      <family val="2"/>
    </font>
    <font>
      <u/>
      <sz val="9"/>
      <color theme="1"/>
      <name val="Arial"/>
      <family val="2"/>
    </font>
    <font>
      <vertAlign val="subscript"/>
      <sz val="11"/>
      <color theme="1"/>
      <name val="Arial"/>
      <family val="2"/>
    </font>
    <font>
      <vertAlign val="subscript"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8">
    <xf numFmtId="0" fontId="0" fillId="0" borderId="0" xfId="0"/>
    <xf numFmtId="0" fontId="1" fillId="0" borderId="0" xfId="3" applyFont="1"/>
    <xf numFmtId="0" fontId="6" fillId="2" borderId="0" xfId="3" applyFont="1" applyFill="1"/>
    <xf numFmtId="0" fontId="1" fillId="0" borderId="18" xfId="3" applyFont="1" applyBorder="1"/>
    <xf numFmtId="0" fontId="1" fillId="0" borderId="2" xfId="3" applyFont="1" applyBorder="1"/>
    <xf numFmtId="0" fontId="1" fillId="0" borderId="17" xfId="3" applyFont="1" applyBorder="1"/>
    <xf numFmtId="0" fontId="6" fillId="2" borderId="17" xfId="3" applyFont="1" applyFill="1" applyBorder="1"/>
    <xf numFmtId="0" fontId="1" fillId="0" borderId="7" xfId="3" applyFont="1" applyBorder="1"/>
    <xf numFmtId="0" fontId="1" fillId="0" borderId="6" xfId="3" applyFont="1" applyBorder="1"/>
    <xf numFmtId="0" fontId="1" fillId="0" borderId="5" xfId="3" applyFont="1" applyBorder="1"/>
    <xf numFmtId="0" fontId="1" fillId="0" borderId="9" xfId="3" applyFont="1" applyBorder="1"/>
    <xf numFmtId="165" fontId="1" fillId="0" borderId="0" xfId="4" applyNumberFormat="1" applyFont="1" applyBorder="1"/>
    <xf numFmtId="0" fontId="1" fillId="0" borderId="8" xfId="3" applyFont="1" applyBorder="1"/>
    <xf numFmtId="175" fontId="1" fillId="0" borderId="0" xfId="3" applyNumberFormat="1" applyFont="1"/>
    <xf numFmtId="168" fontId="1" fillId="0" borderId="0" xfId="3" applyNumberFormat="1" applyFont="1"/>
    <xf numFmtId="0" fontId="6" fillId="2" borderId="6" xfId="3" applyFont="1" applyFill="1" applyBorder="1"/>
    <xf numFmtId="167" fontId="1" fillId="0" borderId="0" xfId="5" applyNumberFormat="1" applyFont="1" applyBorder="1"/>
    <xf numFmtId="166" fontId="1" fillId="0" borderId="6" xfId="3" applyNumberFormat="1" applyFont="1" applyBorder="1"/>
    <xf numFmtId="166" fontId="1" fillId="0" borderId="5" xfId="3" applyNumberFormat="1" applyFont="1" applyBorder="1"/>
    <xf numFmtId="175" fontId="6" fillId="2" borderId="0" xfId="3" applyNumberFormat="1" applyFont="1" applyFill="1"/>
    <xf numFmtId="174" fontId="1" fillId="0" borderId="0" xfId="4" applyNumberFormat="1" applyFont="1" applyBorder="1"/>
    <xf numFmtId="166" fontId="1" fillId="0" borderId="0" xfId="3" applyNumberFormat="1" applyFont="1"/>
    <xf numFmtId="166" fontId="1" fillId="0" borderId="8" xfId="3" applyNumberFormat="1" applyFont="1" applyBorder="1"/>
    <xf numFmtId="165" fontId="1" fillId="0" borderId="0" xfId="3" applyNumberFormat="1" applyFont="1"/>
    <xf numFmtId="10" fontId="1" fillId="0" borderId="0" xfId="5" applyNumberFormat="1" applyFont="1" applyBorder="1"/>
    <xf numFmtId="177" fontId="6" fillId="2" borderId="0" xfId="3" applyNumberFormat="1" applyFont="1" applyFill="1"/>
    <xf numFmtId="166" fontId="6" fillId="2" borderId="0" xfId="3" applyNumberFormat="1" applyFont="1" applyFill="1"/>
    <xf numFmtId="0" fontId="1" fillId="0" borderId="4" xfId="3" applyFont="1" applyBorder="1"/>
    <xf numFmtId="0" fontId="6" fillId="2" borderId="1" xfId="3" applyFont="1" applyFill="1" applyBorder="1"/>
    <xf numFmtId="0" fontId="1" fillId="0" borderId="3" xfId="3" applyFont="1" applyBorder="1"/>
    <xf numFmtId="0" fontId="8" fillId="2" borderId="17" xfId="3" applyFont="1" applyFill="1" applyBorder="1"/>
    <xf numFmtId="166" fontId="1" fillId="0" borderId="1" xfId="3" applyNumberFormat="1" applyFont="1" applyBorder="1"/>
    <xf numFmtId="166" fontId="1" fillId="0" borderId="3" xfId="3" applyNumberFormat="1" applyFont="1" applyBorder="1"/>
    <xf numFmtId="167" fontId="1" fillId="0" borderId="0" xfId="5" applyNumberFormat="1" applyFont="1"/>
    <xf numFmtId="175" fontId="6" fillId="2" borderId="1" xfId="3" applyNumberFormat="1" applyFont="1" applyFill="1" applyBorder="1"/>
    <xf numFmtId="170" fontId="1" fillId="0" borderId="5" xfId="4" applyNumberFormat="1" applyFont="1" applyBorder="1"/>
    <xf numFmtId="166" fontId="1" fillId="0" borderId="7" xfId="3" applyNumberFormat="1" applyFont="1" applyBorder="1"/>
    <xf numFmtId="170" fontId="1" fillId="0" borderId="3" xfId="4" applyNumberFormat="1" applyFont="1" applyBorder="1"/>
    <xf numFmtId="166" fontId="1" fillId="0" borderId="4" xfId="3" applyNumberFormat="1" applyFont="1" applyBorder="1"/>
    <xf numFmtId="165" fontId="6" fillId="2" borderId="0" xfId="4" applyNumberFormat="1" applyFont="1" applyFill="1" applyBorder="1"/>
    <xf numFmtId="171" fontId="1" fillId="0" borderId="0" xfId="5" applyNumberFormat="1" applyFont="1" applyBorder="1"/>
    <xf numFmtId="167" fontId="6" fillId="2" borderId="0" xfId="5" applyNumberFormat="1" applyFont="1" applyFill="1" applyBorder="1"/>
    <xf numFmtId="171" fontId="6" fillId="2" borderId="0" xfId="5" applyNumberFormat="1" applyFont="1" applyFill="1" applyBorder="1"/>
    <xf numFmtId="171" fontId="6" fillId="2" borderId="1" xfId="5" applyNumberFormat="1" applyFont="1" applyFill="1" applyBorder="1"/>
    <xf numFmtId="172" fontId="1" fillId="0" borderId="0" xfId="5" applyNumberFormat="1" applyFont="1" applyBorder="1"/>
    <xf numFmtId="11" fontId="1" fillId="0" borderId="0" xfId="3" applyNumberFormat="1" applyFont="1"/>
    <xf numFmtId="171" fontId="1" fillId="0" borderId="0" xfId="5" applyNumberFormat="1" applyFont="1"/>
    <xf numFmtId="176" fontId="1" fillId="0" borderId="0" xfId="3" applyNumberFormat="1" applyFont="1"/>
    <xf numFmtId="171" fontId="1" fillId="0" borderId="1" xfId="5" applyNumberFormat="1" applyFont="1" applyBorder="1"/>
    <xf numFmtId="10" fontId="1" fillId="0" borderId="6" xfId="5" applyNumberFormat="1" applyFont="1" applyBorder="1"/>
    <xf numFmtId="170" fontId="1" fillId="0" borderId="0" xfId="4" applyNumberFormat="1" applyFont="1" applyBorder="1"/>
    <xf numFmtId="166" fontId="1" fillId="0" borderId="0" xfId="5" applyNumberFormat="1" applyFont="1" applyBorder="1"/>
    <xf numFmtId="166" fontId="1" fillId="0" borderId="1" xfId="5" applyNumberFormat="1" applyFont="1" applyBorder="1"/>
    <xf numFmtId="0" fontId="9" fillId="0" borderId="0" xfId="3" applyFont="1"/>
    <xf numFmtId="0" fontId="10" fillId="0" borderId="16" xfId="3" applyFont="1" applyBorder="1" applyAlignment="1">
      <alignment horizontal="centerContinuous"/>
    </xf>
    <xf numFmtId="0" fontId="10" fillId="0" borderId="15" xfId="3" applyFont="1" applyBorder="1" applyAlignment="1">
      <alignment horizontal="centerContinuous"/>
    </xf>
    <xf numFmtId="0" fontId="10" fillId="0" borderId="14" xfId="3" applyFont="1" applyBorder="1" applyAlignment="1">
      <alignment horizontal="centerContinuous"/>
    </xf>
    <xf numFmtId="0" fontId="9" fillId="0" borderId="15" xfId="3" applyFont="1" applyBorder="1" applyAlignment="1">
      <alignment horizontal="centerContinuous"/>
    </xf>
    <xf numFmtId="0" fontId="9" fillId="0" borderId="0" xfId="3" applyFont="1" applyAlignment="1">
      <alignment horizontal="center"/>
    </xf>
    <xf numFmtId="0" fontId="9" fillId="0" borderId="10" xfId="3" applyFont="1" applyBorder="1" applyAlignment="1">
      <alignment horizontal="center"/>
    </xf>
    <xf numFmtId="0" fontId="9" fillId="0" borderId="11" xfId="3" applyFont="1" applyBorder="1" applyAlignment="1">
      <alignment horizontal="center"/>
    </xf>
    <xf numFmtId="0" fontId="5" fillId="0" borderId="10" xfId="3" applyFont="1" applyBorder="1"/>
    <xf numFmtId="0" fontId="5" fillId="0" borderId="0" xfId="3" applyFont="1"/>
    <xf numFmtId="0" fontId="5" fillId="0" borderId="11" xfId="3" applyFont="1" applyBorder="1"/>
    <xf numFmtId="0" fontId="5" fillId="0" borderId="13" xfId="3" applyFont="1" applyBorder="1"/>
    <xf numFmtId="0" fontId="5" fillId="0" borderId="1" xfId="3" applyFont="1" applyBorder="1"/>
    <xf numFmtId="0" fontId="5" fillId="0" borderId="9" xfId="3" applyFont="1" applyBorder="1"/>
    <xf numFmtId="0" fontId="5" fillId="0" borderId="12" xfId="3" applyFont="1" applyBorder="1"/>
    <xf numFmtId="0" fontId="1" fillId="0" borderId="12" xfId="3" applyFont="1" applyBorder="1"/>
    <xf numFmtId="0" fontId="8" fillId="2" borderId="10" xfId="3" applyFont="1" applyFill="1" applyBorder="1"/>
    <xf numFmtId="170" fontId="8" fillId="2" borderId="0" xfId="4" applyNumberFormat="1" applyFont="1" applyFill="1" applyBorder="1"/>
    <xf numFmtId="0" fontId="8" fillId="2" borderId="0" xfId="3" applyFont="1" applyFill="1"/>
    <xf numFmtId="173" fontId="8" fillId="2" borderId="0" xfId="3" applyNumberFormat="1" applyFont="1" applyFill="1"/>
    <xf numFmtId="166" fontId="8" fillId="2" borderId="0" xfId="3" applyNumberFormat="1" applyFont="1" applyFill="1"/>
    <xf numFmtId="0" fontId="8" fillId="2" borderId="11" xfId="3" applyFont="1" applyFill="1" applyBorder="1"/>
    <xf numFmtId="173" fontId="8" fillId="2" borderId="10" xfId="3" applyNumberFormat="1" applyFont="1" applyFill="1" applyBorder="1"/>
    <xf numFmtId="10" fontId="8" fillId="2" borderId="0" xfId="5" applyNumberFormat="1" applyFont="1" applyFill="1" applyBorder="1"/>
    <xf numFmtId="10" fontId="8" fillId="2" borderId="11" xfId="5" applyNumberFormat="1" applyFont="1" applyFill="1" applyBorder="1"/>
    <xf numFmtId="166" fontId="1" fillId="0" borderId="10" xfId="5" applyNumberFormat="1" applyFont="1" applyBorder="1"/>
    <xf numFmtId="169" fontId="1" fillId="0" borderId="0" xfId="4" applyNumberFormat="1" applyFont="1" applyBorder="1"/>
    <xf numFmtId="168" fontId="1" fillId="0" borderId="10" xfId="5" applyNumberFormat="1" applyFont="1" applyBorder="1"/>
    <xf numFmtId="170" fontId="1" fillId="0" borderId="0" xfId="5" applyNumberFormat="1" applyFont="1" applyBorder="1"/>
    <xf numFmtId="171" fontId="1" fillId="0" borderId="11" xfId="5" applyNumberFormat="1" applyFont="1" applyBorder="1"/>
    <xf numFmtId="166" fontId="1" fillId="0" borderId="11" xfId="5" applyNumberFormat="1" applyFont="1" applyBorder="1"/>
    <xf numFmtId="170" fontId="1" fillId="0" borderId="0" xfId="4" applyNumberFormat="1" applyFont="1"/>
    <xf numFmtId="169" fontId="1" fillId="0" borderId="6" xfId="1" applyNumberFormat="1" applyFont="1" applyBorder="1"/>
    <xf numFmtId="169" fontId="1" fillId="0" borderId="1" xfId="4" applyNumberFormat="1" applyFont="1" applyBorder="1"/>
    <xf numFmtId="0" fontId="13" fillId="0" borderId="7" xfId="3" applyFont="1" applyBorder="1"/>
    <xf numFmtId="165" fontId="1" fillId="0" borderId="7" xfId="3" applyNumberFormat="1" applyFont="1" applyBorder="1" applyAlignment="1">
      <alignment horizontal="center"/>
    </xf>
    <xf numFmtId="0" fontId="1" fillId="0" borderId="6" xfId="3" applyFont="1" applyBorder="1" applyAlignment="1">
      <alignment horizontal="center"/>
    </xf>
    <xf numFmtId="166" fontId="1" fillId="0" borderId="9" xfId="3" applyNumberFormat="1" applyFont="1" applyBorder="1"/>
    <xf numFmtId="166" fontId="6" fillId="2" borderId="8" xfId="3" applyNumberFormat="1" applyFont="1" applyFill="1" applyBorder="1"/>
    <xf numFmtId="170" fontId="1" fillId="0" borderId="9" xfId="4" applyNumberFormat="1" applyFont="1" applyBorder="1"/>
    <xf numFmtId="170" fontId="1" fillId="0" borderId="8" xfId="4" applyNumberFormat="1" applyFont="1" applyBorder="1"/>
    <xf numFmtId="43" fontId="1" fillId="0" borderId="8" xfId="4" applyFont="1" applyBorder="1"/>
    <xf numFmtId="0" fontId="1" fillId="0" borderId="0" xfId="3" applyFont="1" applyAlignment="1">
      <alignment horizontal="center"/>
    </xf>
    <xf numFmtId="0" fontId="1" fillId="0" borderId="1" xfId="3" applyFont="1" applyBorder="1"/>
    <xf numFmtId="166" fontId="1" fillId="0" borderId="3" xfId="5" applyNumberFormat="1" applyFont="1" applyBorder="1"/>
    <xf numFmtId="166" fontId="1" fillId="0" borderId="1" xfId="4" applyNumberFormat="1" applyFont="1" applyBorder="1"/>
    <xf numFmtId="43" fontId="1" fillId="0" borderId="3" xfId="4" applyFont="1" applyBorder="1"/>
    <xf numFmtId="165" fontId="1" fillId="0" borderId="0" xfId="3" applyNumberFormat="1" applyFont="1" applyAlignment="1">
      <alignment horizontal="center"/>
    </xf>
    <xf numFmtId="169" fontId="1" fillId="0" borderId="4" xfId="4" applyNumberFormat="1" applyFont="1" applyBorder="1"/>
    <xf numFmtId="164" fontId="1" fillId="0" borderId="2" xfId="4" applyNumberFormat="1" applyFont="1" applyBorder="1"/>
    <xf numFmtId="168" fontId="1" fillId="0" borderId="2" xfId="5" applyNumberFormat="1" applyFont="1" applyBorder="1"/>
    <xf numFmtId="167" fontId="1" fillId="0" borderId="2" xfId="5" applyNumberFormat="1" applyFont="1" applyBorder="1"/>
    <xf numFmtId="164" fontId="1" fillId="0" borderId="0" xfId="3" quotePrefix="1" applyNumberFormat="1" applyFont="1"/>
    <xf numFmtId="164" fontId="1" fillId="0" borderId="0" xfId="4" applyNumberFormat="1" applyFont="1"/>
    <xf numFmtId="165" fontId="1" fillId="0" borderId="0" xfId="4" applyNumberFormat="1" applyFont="1"/>
    <xf numFmtId="168" fontId="1" fillId="0" borderId="0" xfId="2" applyNumberFormat="1" applyFont="1"/>
    <xf numFmtId="164" fontId="1" fillId="0" borderId="0" xfId="3" applyNumberFormat="1" applyFont="1"/>
    <xf numFmtId="164" fontId="1" fillId="0" borderId="1" xfId="4" applyNumberFormat="1" applyFont="1" applyBorder="1"/>
    <xf numFmtId="0" fontId="2" fillId="0" borderId="9" xfId="3" applyBorder="1"/>
    <xf numFmtId="0" fontId="0" fillId="0" borderId="9" xfId="3" applyFont="1" applyBorder="1"/>
    <xf numFmtId="0" fontId="0" fillId="0" borderId="4" xfId="3" applyFont="1" applyBorder="1"/>
    <xf numFmtId="0" fontId="0" fillId="0" borderId="0" xfId="3" applyFont="1"/>
    <xf numFmtId="43" fontId="1" fillId="0" borderId="0" xfId="1" applyFont="1"/>
    <xf numFmtId="165" fontId="1" fillId="0" borderId="0" xfId="3" applyNumberFormat="1" applyFont="1" applyAlignment="1">
      <alignment horizontal="center"/>
    </xf>
    <xf numFmtId="175" fontId="1" fillId="0" borderId="1" xfId="3" applyNumberFormat="1" applyFont="1" applyBorder="1"/>
  </cellXfs>
  <cellStyles count="6">
    <cellStyle name="Comma" xfId="1" builtinId="3"/>
    <cellStyle name="Comma 2" xfId="4" xr:uid="{BB7B1E49-F0AE-47BD-A919-6A6FDADED13D}"/>
    <cellStyle name="Normal" xfId="0" builtinId="0"/>
    <cellStyle name="Normal 2" xfId="3" xr:uid="{E6C20CA4-B4AB-4156-AEE7-30A96A3BE8E1}"/>
    <cellStyle name="Percent" xfId="2" builtinId="5"/>
    <cellStyle name="Percent 2" xfId="5" xr:uid="{7931F042-007D-46CF-BB74-71D37E337A97}"/>
  </cellStyles>
  <dxfs count="45"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  <border diagonalUp="0" diagonalDown="0" outline="0">
        <left style="medium">
          <color indexed="64"/>
        </lef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  <border diagonalUp="0" diagonalDown="0" outline="0">
        <right style="medium">
          <color indexed="64"/>
        </righ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2" formatCode="0.00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8" formatCode="0.000%"/>
      <border diagonalUp="0" diagonalDown="0" outline="0">
        <left style="medium">
          <color indexed="64"/>
        </lef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5" formatCode="_-* #,##0.00000_-;\-* #,##0.0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9" formatCode="_-* #,##0.000_-;\-* #,##0.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  <border diagonalUp="0" diagonalDown="0" outline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66" formatCode="#,##0_-;\(#,##0\)_-;\-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sz val="9"/>
        <name val="Arial"/>
        <family val="2"/>
        <scheme val="none"/>
      </font>
    </dxf>
    <dxf>
      <font>
        <b/>
        <strike val="0"/>
        <outline val="0"/>
        <shadow val="0"/>
        <u val="none"/>
        <sz val="9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2</xdr:row>
          <xdr:rowOff>152400</xdr:rowOff>
        </xdr:from>
        <xdr:to>
          <xdr:col>2</xdr:col>
          <xdr:colOff>504825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6</xdr:row>
          <xdr:rowOff>85725</xdr:rowOff>
        </xdr:from>
        <xdr:to>
          <xdr:col>16</xdr:col>
          <xdr:colOff>0</xdr:colOff>
          <xdr:row>8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316BE4-9372-4DB0-9440-AA772564D86A}" name="Table1" displayName="Table1" ref="C4:AS6" totalsRowShown="0" headerRowDxfId="44" dataDxfId="43">
  <autoFilter ref="C4:AS6" xr:uid="{47B5CFB6-794F-40A8-81B2-C81B04684AF7}"/>
  <tableColumns count="43">
    <tableColumn id="1" xr3:uid="{571B07B7-5FA7-46C7-91CD-71D518ED6360}" name="Buy/Sell" dataDxfId="42"/>
    <tableColumn id="2" xr3:uid="{635821F6-618C-4891-BE59-A8BA17288B47}" name="Strike" dataDxfId="41" dataCellStyle="Comma"/>
    <tableColumn id="3" xr3:uid="{FEF4A68D-F736-49BA-B708-353CEB73DF53}" name="Call/Put" dataDxfId="40"/>
    <tableColumn id="4" xr3:uid="{FFB3EB20-B673-44FF-BAE5-F8C4D4C75443}" name="Expiry Date" dataDxfId="39"/>
    <tableColumn id="5" xr3:uid="{2C1E8A78-D7D7-4E1E-B315-A911234C47C0}" name="Notional Amt" dataDxfId="38"/>
    <tableColumn id="6" xr3:uid="{3E93A286-2B9F-408C-9E30-93ED2E5A173B}" name="Notional Ccy" dataDxfId="37"/>
    <tableColumn id="7" xr3:uid="{73F2A6EA-B250-4E65-9DF7-FD0E0079EE9F}" name="Value Date" dataDxfId="36"/>
    <tableColumn id="8" xr3:uid="{848C487C-AA0B-4A3D-AF6A-09632A72DDB1}" name="S0" dataDxfId="35" dataCellStyle="Comma"/>
    <tableColumn id="9" xr3:uid="{4617F9B4-B7F4-466A-A443-0F05E495EFFA}" name="F" dataDxfId="34" dataCellStyle="Comma"/>
    <tableColumn id="10" xr3:uid="{35D56047-84C1-485E-90A5-FF01969A5106}" name="σ" dataDxfId="33" dataCellStyle="Percent"/>
    <tableColumn id="11" xr3:uid="{84B1875B-9209-4EA4-AA9B-31718BB3062A}" name="rf" dataDxfId="32" dataCellStyle="Percent"/>
    <tableColumn id="12" xr3:uid="{123822BC-56F7-4031-8370-F1CBE27E3CD7}" name="rd" dataDxfId="31" dataCellStyle="Percent"/>
    <tableColumn id="50" xr3:uid="{FE9E7960-DCF1-40CF-B419-259A9A59F61B}" name="Result Ccy" dataDxfId="30" dataCellStyle="Percent"/>
    <tableColumn id="23" xr3:uid="{A4CD72E7-5D42-4849-A460-5857D3269FD0}" name="Methodology" dataDxfId="29" dataCellStyle="Percent"/>
    <tableColumn id="13" xr3:uid="{E8491073-3612-46BC-92E4-AA82DCCCE45A}" name="CP" dataDxfId="28" dataCellStyle="Percent">
      <calculatedColumnFormula array="1">_xlfn.IFS(Table1[[#This Row],[Call/Put]]="Call FOR, Put DOM",1,Table1[[#This Row],[Call/Put]]="Put FOR, Call DOM",-1)</calculatedColumnFormula>
    </tableColumn>
    <tableColumn id="14" xr3:uid="{6F58B066-6DEC-434A-A42C-CFD789A3C490}" name="T" dataDxfId="27" dataCellStyle="Comma">
      <calculatedColumnFormula>YEARFRAC(Table1[[#This Row],[Value Date]],Table1[[#This Row],[Expiry Date]],1)</calculatedColumnFormula>
    </tableColumn>
    <tableColumn id="15" xr3:uid="{C0645EE0-F772-424F-98C9-3308E4FF4AC1}" name="μby interest rate parity" dataDxfId="26" dataCellStyle="Percent">
      <calculatedColumnFormula>Table1[[#This Row],[rd]]-Table1[[#This Row],[rf]]</calculatedColumnFormula>
    </tableColumn>
    <tableColumn id="16" xr3:uid="{D43FB700-CB4B-4A6E-8E17-12D4AD0DC408}" name="μwith currency basis" dataDxfId="25" dataCellStyle="Percent">
      <calculatedColumnFormula>LN(Table1[[#This Row],[F]]/Table1[[#This Row],[S0]])/Table1[[#This Row],[T]]</calculatedColumnFormula>
    </tableColumn>
    <tableColumn id="17" xr3:uid="{3FB9E3EF-AA38-4F63-B2CD-F0F1C72CD89C}" name="rd_basis_adj" dataDxfId="24" dataCellStyle="Percent">
      <calculatedColumnFormula>Table1[[#This Row],[rf]]+Table1[[#This Row],[μwith currency basis]]</calculatedColumnFormula>
    </tableColumn>
    <tableColumn id="18" xr3:uid="{6748F8DB-3181-4875-A92A-6D612D52D075}" name="FOR Notional" dataDxfId="23" dataCellStyle="Percent">
      <calculatedColumnFormula array="1">_xlfn.IFS(Table1[[#This Row],[Notional Ccy]]="FOR",Table1[[#This Row],[Notional Amt]],Table1[[#This Row],[Notional Ccy]]="DOM",Table1[[#This Row],[Notional Amt]]/Table1[[#This Row],[Strike]])</calculatedColumnFormula>
    </tableColumn>
    <tableColumn id="19" xr3:uid="{A0C949E0-32B3-4D7C-B7D5-97ECE55FF806}" name="DOM Notional" dataDxfId="22" dataCellStyle="Percent">
      <calculatedColumnFormula array="1">_xlfn.IFS(Table1[[#This Row],[Notional Ccy]]="DOM",Table1[[#This Row],[Notional Amt]],Table1[[#This Row],[Notional Ccy]]="FOR",Table1[[#This Row],[Notional Amt]]*Table1[[#This Row],[Strike]])</calculatedColumnFormula>
    </tableColumn>
    <tableColumn id="51" xr3:uid="{4B0E0639-A542-4430-8612-EF4919F79DC7}" name="Result Ccy Divisor" dataDxfId="21" dataCellStyle="Comma">
      <calculatedColumnFormula>IF(Table1[[#This Row],[Result Ccy]]="DOM",1,Table1[[#This Row],[S0]])</calculatedColumnFormula>
    </tableColumn>
    <tableColumn id="38" xr3:uid="{895B7114-4222-4CFA-8CE1-364D8C46560A}" name="r" dataDxfId="20" dataCellStyle="Percent">
      <calculatedColumnFormula array="1">_xlfn.IFS(Table1[[#This Row],[Methodology]]="With Currency Basis",Table1[[#This Row],[rd_basis_adj]],Table1[[#This Row],[Methodology]]="By Interest Rate Parity",Table1[[#This Row],[rd]])</calculatedColumnFormula>
    </tableColumn>
    <tableColumn id="41" xr3:uid="{4CF3F43D-1F4D-4A79-9F79-D2D405BFEBAD}" name="q" dataDxfId="19" dataCellStyle="Percent">
      <calculatedColumnFormula>Table1[[#This Row],[rf]]</calculatedColumnFormula>
    </tableColumn>
    <tableColumn id="40" xr3:uid="{7B3D4593-1125-4B01-9AE1-67AE2A710565}" name="μ" dataDxfId="18" dataCellStyle="Percent">
      <calculatedColumnFormula array="1">_xlfn.IFS(Table1[[#This Row],[Methodology]]="With Currency Basis",Table1[[#This Row],[μwith currency basis]],Table1[[#This Row],[Methodology]]="By Interest Rate Parity",Table1[[#This Row],[μby interest rate parity]])</calculatedColumnFormula>
    </tableColumn>
    <tableColumn id="20" xr3:uid="{38320DE9-8F1E-4111-9B40-7E316E333D1E}" name="d1" dataDxfId="17" dataCellStyle="Comma">
      <calculatedColumnFormula>(LN(Table1[[#This Row],[S0]]/Table1[[#This Row],[Strike]])+(Table1[[#This Row],[μ]]+0.5*Table1[[#This Row],[σ]]*Table1[[#This Row],[σ]])*Table1[[#This Row],[T]])/(Table1[[#This Row],[σ]]*SQRT(Table1[[#This Row],[T]]))</calculatedColumnFormula>
    </tableColumn>
    <tableColumn id="21" xr3:uid="{3EF1B53C-7BC9-4EB4-9D58-E2377691F515}" name="d2" dataDxfId="16" dataCellStyle="Comma">
      <calculatedColumnFormula>Table1[[#This Row],[d1]]-Table1[[#This Row],[σ]]*SQRT(Table1[[#This Row],[T]])</calculatedColumnFormula>
    </tableColumn>
    <tableColumn id="25" xr3:uid="{ADE479F3-4808-43BC-9D24-B39FF8B3B44E}" name="Px" dataDxfId="15" dataCellStyle="Percent">
      <calculatedColumnFormula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calculatedColumnFormula>
    </tableColumn>
    <tableColumn id="26" xr3:uid="{3236F4B8-4BC6-4ADB-AD75-EB9D1B102105}" name="Unit Δspot" dataDxfId="14" dataCellStyle="Percent">
      <calculatedColumnFormula>Table1[[#This Row],[CP]]*EXP(-Table1[[#This Row],[q]]*Table1[[#This Row],[T]])*_xlfn.NORM.S.DIST(Table1[[#This Row],[CP]]*Table1[[#This Row],[d1]],TRUE)</calculatedColumnFormula>
    </tableColumn>
    <tableColumn id="27" xr3:uid="{A672D7CF-E08C-4AD1-B6C3-FBFFD4F407B1}" name="Unit Δforward" dataDxfId="13" dataCellStyle="Percent">
      <calculatedColumnFormula>Table1[[#This Row],[CP]]*_xlfn.NORM.S.DIST(Table1[[#This Row],[CP]]*Table1[[#This Row],[d1]],TRUE)</calculatedColumnFormula>
    </tableColumn>
    <tableColumn id="28" xr3:uid="{1E68B352-5DE6-49CE-AFA8-CDE42DF385D3}" name="Unit Vega" dataDxfId="12" dataCellStyle="Percent">
      <calculatedColumnFormula>1%*Table1[[#This Row],[S0]]*SQRT(Table1[[#This Row],[T]])*_xlfn.NORM.S.DIST(Table1[[#This Row],[d1]],FALSE)*EXP(-Table1[[#This Row],[rf]]*T)</calculatedColumnFormula>
    </tableColumn>
    <tableColumn id="29" xr3:uid="{1310A08B-94F6-4E92-86FF-739775C8B248}" name="Unit Theta" dataDxfId="11" dataCellStyle="Percent">
      <calculatedColumnFormula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calculatedColumnFormula>
    </tableColumn>
    <tableColumn id="30" xr3:uid="{D34948E3-268A-4448-B3B2-4F5B8B7F846F}" name="Unit Gamma" dataDxfId="10" dataCellStyle="Percent">
      <calculatedColumnFormula>(1%*Table1[[#This Row],[S0]])*(EXP(-Table1[[#This Row],[q]]*Table1[[#This Row],[T]])*_xlfn.NORM.S.DIST(Table1[[#This Row],[d1]],FALSE)/(Table1[[#This Row],[S0]]*Table1[[#This Row],[σ]]*SQRT(Table1[[#This Row],[T]])))</calculatedColumnFormula>
    </tableColumn>
    <tableColumn id="31" xr3:uid="{32FE6705-AE4E-43BB-869F-A3FCA168A486}" name="Unit Rhoforeign currency" dataDxfId="9" dataCellStyle="Percent">
      <calculatedColumnFormula>(1%)*(-Table1[[#This Row],[T]]*EXP(-Table1[[#This Row],[q]]*T)*Table1[[#This Row],[S0]]*_xlfn.NORM.S.DIST(Table1[[#This Row],[d1]],TRUE))</calculatedColumnFormula>
    </tableColumn>
    <tableColumn id="32" xr3:uid="{29BB26AD-76F4-48C8-87D6-7E665F896FD0}" name="Unit Rhodomestic currency" dataDxfId="8" dataCellStyle="Percent">
      <calculatedColumnFormula>1%*-Table1[[#This Row],[T]]*EXP(-Table1[[#This Row],[r]]*Table1[[#This Row],[T]])*Table1[[#This Row],[S0]]*_xlfn.NORM.S.DIST(Table1[[#This Row],[d2]],TRUE)</calculatedColumnFormula>
    </tableColumn>
    <tableColumn id="43" xr3:uid="{6786A13E-DC01-43C9-9D48-EB2AF4575DF0}" name="Option Value" dataDxfId="7" dataCellStyle="Percent">
      <calculatedColumnFormula>Table1[[#This Row],[Px]]*Table1[[#This Row],[FOR Notional]]/Table1[[#This Row],[Result Ccy Divisor]]</calculatedColumnFormula>
    </tableColumn>
    <tableColumn id="44" xr3:uid="{C78C326C-AC06-4C44-B9FB-57526C49F925}" name="Δspot" dataDxfId="6" dataCellStyle="Percent">
      <calculatedColumnFormula>Table1[[#This Row],[Unit Δspot]]*Table1[[#This Row],[FOR Notional]]*Table1[[#This Row],[S0]]/Table1[[#This Row],[Result Ccy Divisor]]</calculatedColumnFormula>
    </tableColumn>
    <tableColumn id="45" xr3:uid="{A81101D7-DF34-49B5-8370-F440A0FA0E0B}" name="Δforward" dataDxfId="5" dataCellStyle="Percent">
      <calculatedColumnFormula>Table1[[#This Row],[Unit Δforward]]*Table1[[#This Row],[FOR Notional]]*Table1[[#This Row],[S0]]/Table1[[#This Row],[Result Ccy Divisor]]</calculatedColumnFormula>
    </tableColumn>
    <tableColumn id="46" xr3:uid="{3C0AEB48-5A0B-4EFE-BC86-758394E1368D}" name="Vega" dataDxfId="4" dataCellStyle="Percent">
      <calculatedColumnFormula>Table1[[#This Row],[Unit Vega]]*Table1[[#This Row],[FOR Notional]]/Table1[[#This Row],[Result Ccy Divisor]]</calculatedColumnFormula>
    </tableColumn>
    <tableColumn id="52" xr3:uid="{29FB1332-EB4C-49B6-9408-3F15C658D49D}" name="Theta" dataDxfId="3" dataCellStyle="Percent">
      <calculatedColumnFormula>Table1[[#This Row],[Unit Theta]]*Table1[[#This Row],[FOR Notional]]/Table1[[#This Row],[Result Ccy Divisor]]</calculatedColumnFormula>
    </tableColumn>
    <tableColumn id="47" xr3:uid="{89EB60B5-D2AA-4C2A-AF4B-0E4C1F1AF2EA}" name="Gamma" dataDxfId="2" dataCellStyle="Percent">
      <calculatedColumnFormula>Table1[[#This Row],[Unit Gamma]]*Table1[[#This Row],[FOR Notional]]*Table1[[#This Row],[S0]]/Table1[[#This Row],[Result Ccy Divisor]]</calculatedColumnFormula>
    </tableColumn>
    <tableColumn id="49" xr3:uid="{9B8C2548-125F-48D9-B185-0EE62D45410A}" name="Rhoforeign currency" dataDxfId="1" dataCellStyle="Percent">
      <calculatedColumnFormula>Table1[[#This Row],[Unit Rhoforeign currency]]*Table1[[#This Row],[FOR Notional]]/Table1[[#This Row],[Result Ccy Divisor]]</calculatedColumnFormula>
    </tableColumn>
    <tableColumn id="48" xr3:uid="{35456D66-DD22-4A5F-A620-6B32F957AD66}" name="Rhodomestic currency" dataDxfId="0" dataCellStyle="Percent">
      <calculatedColumnFormula>Table1[[#This Row],[Unit Rhodomestic currency]]*Table1[[#This Row],[FOR Notional]]/Table1[[#This Row],[Result Ccy Divisor]]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711C2-FD34-432F-B6F9-4BA4047D8E27}">
  <sheetPr codeName="Sheet1"/>
  <dimension ref="B2:M49"/>
  <sheetViews>
    <sheetView tabSelected="1" workbookViewId="0"/>
  </sheetViews>
  <sheetFormatPr defaultRowHeight="12" x14ac:dyDescent="0.2"/>
  <cols>
    <col min="1" max="1" width="9.140625" style="1"/>
    <col min="2" max="2" width="26" style="1" bestFit="1" customWidth="1"/>
    <col min="3" max="3" width="17" style="1" bestFit="1" customWidth="1"/>
    <col min="4" max="4" width="8.85546875" style="1" bestFit="1" customWidth="1"/>
    <col min="5" max="5" width="9.140625" style="1"/>
    <col min="6" max="6" width="64.140625" style="1" bestFit="1" customWidth="1"/>
    <col min="7" max="7" width="12.5703125" style="1" bestFit="1" customWidth="1"/>
    <col min="8" max="8" width="9.140625" style="1" bestFit="1" customWidth="1"/>
    <col min="9" max="9" width="5.140625" style="1" bestFit="1" customWidth="1"/>
    <col min="10" max="10" width="9.140625" style="1" customWidth="1"/>
    <col min="11" max="11" width="26.140625" style="1" bestFit="1" customWidth="1"/>
    <col min="12" max="12" width="7" style="1" bestFit="1" customWidth="1"/>
    <col min="13" max="13" width="9.140625" style="1" bestFit="1" customWidth="1"/>
    <col min="14" max="15" width="9.140625" style="1"/>
    <col min="16" max="17" width="12" style="1" bestFit="1" customWidth="1"/>
    <col min="18" max="16384" width="9.140625" style="1"/>
  </cols>
  <sheetData>
    <row r="2" spans="2:13" x14ac:dyDescent="0.2">
      <c r="B2" s="1" t="s">
        <v>125</v>
      </c>
      <c r="C2" s="2" t="s">
        <v>124</v>
      </c>
      <c r="F2" s="1" t="s">
        <v>123</v>
      </c>
    </row>
    <row r="3" spans="2:13" x14ac:dyDescent="0.2">
      <c r="F3" s="3" t="s">
        <v>83</v>
      </c>
      <c r="G3" s="4" t="s">
        <v>96</v>
      </c>
      <c r="H3" s="5" t="s">
        <v>31</v>
      </c>
      <c r="K3" s="3" t="s">
        <v>122</v>
      </c>
      <c r="L3" s="6" t="s">
        <v>1</v>
      </c>
    </row>
    <row r="4" spans="2:13" x14ac:dyDescent="0.2">
      <c r="F4" s="7" t="s">
        <v>121</v>
      </c>
      <c r="G4" s="8" cm="1">
        <f t="array" ref="G4">_xlfn.IFS(C12="Call FOR, Put DOM",1,C12="Put FOR, Call DOM",-1)</f>
        <v>1</v>
      </c>
      <c r="H4" s="9" t="s">
        <v>120</v>
      </c>
    </row>
    <row r="5" spans="2:13" ht="13.5" x14ac:dyDescent="0.25">
      <c r="F5" s="10" t="s">
        <v>126</v>
      </c>
      <c r="G5" s="11">
        <f>C26</f>
        <v>0.66290000000000004</v>
      </c>
      <c r="H5" s="12" t="s">
        <v>3</v>
      </c>
      <c r="K5" s="3" t="s">
        <v>145</v>
      </c>
      <c r="L5" s="4" t="s">
        <v>96</v>
      </c>
      <c r="M5" s="5" t="s">
        <v>31</v>
      </c>
    </row>
    <row r="6" spans="2:13" x14ac:dyDescent="0.2">
      <c r="F6" s="10" t="s">
        <v>117</v>
      </c>
      <c r="G6" s="13">
        <f>C10</f>
        <v>0.78820000000000001</v>
      </c>
      <c r="H6" s="12" t="s">
        <v>3</v>
      </c>
      <c r="K6" s="7" t="s">
        <v>119</v>
      </c>
      <c r="L6" s="85" cm="1">
        <f t="array" ref="L6">_xlfn.IFS(L3="DOM",1,L3="FOR",S0)</f>
        <v>0.66290000000000004</v>
      </c>
      <c r="M6" s="9" t="str">
        <f>ResultCurrency&amp;"/"&amp;"DOM"</f>
        <v>FOR/DOM</v>
      </c>
    </row>
    <row r="7" spans="2:13" ht="18.75" x14ac:dyDescent="0.35">
      <c r="B7" s="1" t="s">
        <v>116</v>
      </c>
      <c r="F7" s="111" t="s">
        <v>150</v>
      </c>
      <c r="G7" s="14">
        <f>C30</f>
        <v>5.3809999999999997E-2</v>
      </c>
      <c r="H7" s="12" t="s">
        <v>65</v>
      </c>
      <c r="K7" s="27" t="s">
        <v>118</v>
      </c>
      <c r="L7" s="86">
        <f>IF(Notional_Ccy=ResultCurrency,1,1/S0)</f>
        <v>1</v>
      </c>
      <c r="M7" s="29" t="str">
        <f>ResultCurrency&amp;"/"&amp;Notional_Ccy</f>
        <v>FOR/FOR</v>
      </c>
    </row>
    <row r="8" spans="2:13" ht="15.75" x14ac:dyDescent="0.3">
      <c r="B8" s="3" t="s">
        <v>83</v>
      </c>
      <c r="C8" s="4" t="s">
        <v>96</v>
      </c>
      <c r="D8" s="5" t="s">
        <v>31</v>
      </c>
      <c r="F8" s="112" t="s">
        <v>114</v>
      </c>
      <c r="G8" s="14">
        <f>C29</f>
        <v>4.6600000000000003E-2</v>
      </c>
      <c r="H8" s="12" t="s">
        <v>65</v>
      </c>
    </row>
    <row r="9" spans="2:13" x14ac:dyDescent="0.2">
      <c r="B9" s="7" t="s">
        <v>112</v>
      </c>
      <c r="C9" s="15" t="s">
        <v>0</v>
      </c>
      <c r="D9" s="9"/>
      <c r="F9" s="10" t="s">
        <v>54</v>
      </c>
      <c r="G9" s="16">
        <f>C28</f>
        <v>9.8172400000000007E-2</v>
      </c>
      <c r="H9" s="12" t="s">
        <v>65</v>
      </c>
      <c r="K9" s="1" t="s">
        <v>115</v>
      </c>
    </row>
    <row r="10" spans="2:13" x14ac:dyDescent="0.2">
      <c r="B10" s="10" t="s">
        <v>61</v>
      </c>
      <c r="C10" s="19">
        <v>0.78820000000000001</v>
      </c>
      <c r="D10" s="12" t="s">
        <v>3</v>
      </c>
      <c r="F10" s="10" t="s">
        <v>111</v>
      </c>
      <c r="G10" s="20">
        <f>YEARFRAC(C25,C13,1)</f>
        <v>1.0095759233926129</v>
      </c>
      <c r="H10" s="12" t="s">
        <v>68</v>
      </c>
      <c r="K10" s="3" t="s">
        <v>113</v>
      </c>
      <c r="L10" s="4" t="s">
        <v>96</v>
      </c>
      <c r="M10" s="5" t="s">
        <v>31</v>
      </c>
    </row>
    <row r="11" spans="2:13" x14ac:dyDescent="0.2">
      <c r="B11" s="10"/>
      <c r="D11" s="12"/>
      <c r="F11" s="10" t="s">
        <v>110</v>
      </c>
      <c r="G11" s="23">
        <f>C27</f>
        <v>0.66796199999999994</v>
      </c>
      <c r="H11" s="12" t="s">
        <v>3</v>
      </c>
      <c r="K11" s="7" t="s">
        <v>39</v>
      </c>
      <c r="L11" s="17">
        <f>G27*Foreign_Ccy_Notional/ResultDomesticFXSpotRate</f>
        <v>1954.810873537243</v>
      </c>
      <c r="M11" s="18" t="str">
        <f t="shared" ref="M11:M19" si="0">$L$3</f>
        <v>FOR</v>
      </c>
    </row>
    <row r="12" spans="2:13" ht="15.75" x14ac:dyDescent="0.3">
      <c r="B12" s="10" t="s">
        <v>109</v>
      </c>
      <c r="C12" s="2" t="s">
        <v>2</v>
      </c>
      <c r="D12" s="12"/>
      <c r="F12" s="112" t="s">
        <v>108</v>
      </c>
      <c r="G12" s="24">
        <f>r_f+LN(F/S0)/T</f>
        <v>5.4134982032959737E-2</v>
      </c>
      <c r="H12" s="12" t="s">
        <v>65</v>
      </c>
      <c r="K12" s="10" t="s">
        <v>98</v>
      </c>
      <c r="L12" s="21">
        <f>MonteCarlo!J5/ResultDomesticFXSpotRate</f>
        <v>1950.7416713183529</v>
      </c>
      <c r="M12" s="22" t="str">
        <f t="shared" si="0"/>
        <v>FOR</v>
      </c>
    </row>
    <row r="13" spans="2:13" ht="18.75" x14ac:dyDescent="0.35">
      <c r="B13" s="10" t="s">
        <v>59</v>
      </c>
      <c r="C13" s="25">
        <v>45476</v>
      </c>
      <c r="D13" s="12" t="s">
        <v>71</v>
      </c>
      <c r="F13" s="10" t="s">
        <v>107</v>
      </c>
      <c r="G13" s="21">
        <f>IF(Notional_Ccy="FOR",C14,C14/C10)</f>
        <v>1000000</v>
      </c>
      <c r="H13" s="12" t="s">
        <v>1</v>
      </c>
      <c r="K13" s="112" t="s">
        <v>148</v>
      </c>
      <c r="L13" s="21">
        <f>G28*Foreign_Ccy_Notional*S0/ResultDomesticFXSpotRate</f>
        <v>48979.344950531427</v>
      </c>
      <c r="M13" s="22" t="str">
        <f t="shared" si="0"/>
        <v>FOR</v>
      </c>
    </row>
    <row r="14" spans="2:13" ht="15.75" x14ac:dyDescent="0.3">
      <c r="B14" s="10" t="s">
        <v>106</v>
      </c>
      <c r="C14" s="26">
        <v>1000000</v>
      </c>
      <c r="D14" s="12" t="s">
        <v>72</v>
      </c>
      <c r="F14" s="10" t="s">
        <v>105</v>
      </c>
      <c r="G14" s="21">
        <f>IF(Notional_Ccy="DOM",C14,C14*C10)</f>
        <v>788200</v>
      </c>
      <c r="H14" s="12" t="s">
        <v>7</v>
      </c>
      <c r="K14" s="112" t="s">
        <v>149</v>
      </c>
      <c r="L14" s="21">
        <f>G29*Foreign_Ccy_Notional*S0/ResultDomesticFXSpotRate</f>
        <v>51338.70317858005</v>
      </c>
      <c r="M14" s="22" t="str">
        <f t="shared" si="0"/>
        <v>FOR</v>
      </c>
    </row>
    <row r="15" spans="2:13" x14ac:dyDescent="0.2">
      <c r="B15" s="27" t="s">
        <v>104</v>
      </c>
      <c r="C15" s="28" t="s">
        <v>1</v>
      </c>
      <c r="D15" s="29"/>
      <c r="F15" s="10" t="s">
        <v>46</v>
      </c>
      <c r="G15" s="24" cm="1">
        <f t="array" ref="G15">_xlfn.IFS(Methodology="With Currency Basis",r_d_basis_adj,Methodology="By Interest Rate Parity",r_d)</f>
        <v>5.3809999999999997E-2</v>
      </c>
      <c r="H15" s="12" t="s">
        <v>65</v>
      </c>
      <c r="K15" s="10" t="s">
        <v>21</v>
      </c>
      <c r="L15" s="21">
        <f>G30*Foreign_Ccy_Notional/ResultDomesticFXSpotRate</f>
        <v>1009.6839806831595</v>
      </c>
      <c r="M15" s="22" t="str">
        <f t="shared" si="0"/>
        <v>FOR</v>
      </c>
    </row>
    <row r="16" spans="2:13" x14ac:dyDescent="0.2">
      <c r="F16" s="10" t="s">
        <v>45</v>
      </c>
      <c r="G16" s="24">
        <f>r_f</f>
        <v>4.6600000000000003E-2</v>
      </c>
      <c r="H16" s="12" t="s">
        <v>65</v>
      </c>
      <c r="K16" s="10" t="s">
        <v>38</v>
      </c>
      <c r="L16" s="21">
        <f>G31*Foreign_Ccy_Notional/ResultDomesticFXSpotRate</f>
        <v>-14.031490265650326</v>
      </c>
      <c r="M16" s="22" t="str">
        <f t="shared" si="0"/>
        <v>FOR</v>
      </c>
    </row>
    <row r="17" spans="2:13" x14ac:dyDescent="0.2">
      <c r="B17" s="3" t="s">
        <v>52</v>
      </c>
      <c r="C17" s="30" t="s">
        <v>5</v>
      </c>
      <c r="F17" s="10" t="s">
        <v>44</v>
      </c>
      <c r="G17" s="24">
        <f>r_-q_</f>
        <v>7.2099999999999942E-3</v>
      </c>
      <c r="H17" s="12" t="s">
        <v>65</v>
      </c>
      <c r="K17" s="10" t="s">
        <v>37</v>
      </c>
      <c r="L17" s="21">
        <f>G32*Foreign_Ccy_Notional*S0/ResultDomesticFXSpotRate</f>
        <v>10187.252551194597</v>
      </c>
      <c r="M17" s="22" t="str">
        <f t="shared" si="0"/>
        <v>FOR</v>
      </c>
    </row>
    <row r="18" spans="2:13" ht="15.75" x14ac:dyDescent="0.3">
      <c r="F18" s="27" t="s">
        <v>153</v>
      </c>
      <c r="G18" s="117">
        <f>C21</f>
        <v>0.65627100000000005</v>
      </c>
      <c r="H18" s="29" t="s">
        <v>3</v>
      </c>
      <c r="K18" s="112" t="s">
        <v>36</v>
      </c>
      <c r="L18" s="21">
        <f>G33*Foreign_Ccy_Notional/ResultDomesticFXSpotRate</f>
        <v>-494.48367405598083</v>
      </c>
      <c r="M18" s="22" t="str">
        <f t="shared" si="0"/>
        <v>FOR</v>
      </c>
    </row>
    <row r="19" spans="2:13" ht="15.75" x14ac:dyDescent="0.3">
      <c r="B19" s="1" t="s">
        <v>103</v>
      </c>
      <c r="K19" s="113" t="s">
        <v>35</v>
      </c>
      <c r="L19" s="31">
        <f>G34*Foreign_Ccy_Notional/ResultDomesticFXSpotRate</f>
        <v>-399.2777178508498</v>
      </c>
      <c r="M19" s="32" t="str">
        <f t="shared" si="0"/>
        <v>FOR</v>
      </c>
    </row>
    <row r="20" spans="2:13" x14ac:dyDescent="0.2">
      <c r="B20" s="3" t="s">
        <v>83</v>
      </c>
      <c r="C20" s="4" t="s">
        <v>96</v>
      </c>
      <c r="D20" s="5" t="s">
        <v>31</v>
      </c>
      <c r="F20" s="1" t="s">
        <v>102</v>
      </c>
      <c r="G20" s="33"/>
    </row>
    <row r="21" spans="2:13" x14ac:dyDescent="0.2">
      <c r="B21" s="27" t="s">
        <v>99</v>
      </c>
      <c r="C21" s="34">
        <v>0.65627100000000005</v>
      </c>
      <c r="D21" s="29" t="s">
        <v>3</v>
      </c>
      <c r="F21" s="3" t="s">
        <v>83</v>
      </c>
      <c r="G21" s="9" t="s">
        <v>96</v>
      </c>
      <c r="K21" s="1" t="s">
        <v>101</v>
      </c>
    </row>
    <row r="22" spans="2:13" ht="13.5" x14ac:dyDescent="0.25">
      <c r="F22" s="7" t="s">
        <v>129</v>
      </c>
      <c r="G22" s="35">
        <f>(LN(S0/K)+(μ+0.5*σ*σ)*T)/(σ*SQRT(T))</f>
        <v>-1.6320098729508887</v>
      </c>
      <c r="K22" s="3" t="s">
        <v>100</v>
      </c>
      <c r="L22" s="4" t="s">
        <v>96</v>
      </c>
      <c r="M22" s="5" t="s">
        <v>31</v>
      </c>
    </row>
    <row r="23" spans="2:13" ht="13.5" x14ac:dyDescent="0.25">
      <c r="B23" s="1" t="s">
        <v>97</v>
      </c>
      <c r="F23" s="27" t="s">
        <v>130</v>
      </c>
      <c r="G23" s="37">
        <f>d1_-σ*SQRT(T)</f>
        <v>-1.7306511987171098</v>
      </c>
      <c r="K23" s="36" t="s">
        <v>39</v>
      </c>
      <c r="L23" s="17">
        <f>G41/ResultDomesticFXSpotRate</f>
        <v>39837.982606485712</v>
      </c>
      <c r="M23" s="18" t="str">
        <f>$L$3</f>
        <v>FOR</v>
      </c>
    </row>
    <row r="24" spans="2:13" x14ac:dyDescent="0.2">
      <c r="B24" s="3" t="s">
        <v>83</v>
      </c>
      <c r="C24" s="4" t="s">
        <v>96</v>
      </c>
      <c r="D24" s="5" t="s">
        <v>31</v>
      </c>
      <c r="K24" s="38" t="s">
        <v>98</v>
      </c>
      <c r="L24" s="31">
        <f>MonteCarlo!L6</f>
        <v>39782.192937408829</v>
      </c>
      <c r="M24" s="32" t="str">
        <f>$L$3</f>
        <v>FOR</v>
      </c>
    </row>
    <row r="25" spans="2:13" x14ac:dyDescent="0.2">
      <c r="B25" s="10" t="s">
        <v>94</v>
      </c>
      <c r="C25" s="25">
        <v>45107</v>
      </c>
      <c r="D25" s="12"/>
      <c r="F25" s="1" t="s">
        <v>95</v>
      </c>
    </row>
    <row r="26" spans="2:13" x14ac:dyDescent="0.2">
      <c r="B26" s="10" t="s">
        <v>93</v>
      </c>
      <c r="C26" s="39">
        <v>0.66290000000000004</v>
      </c>
      <c r="D26" s="12" t="s">
        <v>3</v>
      </c>
      <c r="F26" s="3" t="s">
        <v>83</v>
      </c>
      <c r="G26" s="4" t="s">
        <v>79</v>
      </c>
      <c r="H26" s="5" t="s">
        <v>31</v>
      </c>
    </row>
    <row r="27" spans="2:13" x14ac:dyDescent="0.2">
      <c r="B27" s="10" t="s">
        <v>91</v>
      </c>
      <c r="C27" s="39">
        <v>0.66796199999999994</v>
      </c>
      <c r="D27" s="12" t="s">
        <v>3</v>
      </c>
      <c r="F27" s="10" t="s">
        <v>92</v>
      </c>
      <c r="G27" s="16" cm="1">
        <f t="array" ref="G27">CP*(S0*EXP(-q_*T)*_xlfn.NORM.S.DIST(CP*d1_,TRUE)-K*EXP(-r_*T)*_xlfn.NORM.S.DIST(CP*d2_,TRUE))</f>
        <v>1.2958441280678384E-3</v>
      </c>
      <c r="H27" s="12" t="s">
        <v>7</v>
      </c>
    </row>
    <row r="28" spans="2:13" ht="19.5" x14ac:dyDescent="0.35">
      <c r="B28" s="10" t="s">
        <v>90</v>
      </c>
      <c r="C28" s="41">
        <v>9.8172400000000007E-2</v>
      </c>
      <c r="D28" s="12" t="s">
        <v>65</v>
      </c>
      <c r="F28" s="112" t="s">
        <v>147</v>
      </c>
      <c r="G28" s="40">
        <f>CP*EXP(-q_*T)*_xlfn.NORM.S.DIST(CP*d1_,TRUE)</f>
        <v>4.8979344950531425E-2</v>
      </c>
      <c r="H28" s="12" t="s">
        <v>1</v>
      </c>
    </row>
    <row r="29" spans="2:13" ht="18.75" x14ac:dyDescent="0.35">
      <c r="B29" s="10" t="s">
        <v>89</v>
      </c>
      <c r="C29" s="42">
        <v>4.6600000000000003E-2</v>
      </c>
      <c r="D29" s="12" t="s">
        <v>65</v>
      </c>
      <c r="F29" s="112" t="s">
        <v>146</v>
      </c>
      <c r="G29" s="40">
        <f>CP*_xlfn.NORM.S.DIST(CP*d1_,TRUE)</f>
        <v>5.1338703178580053E-2</v>
      </c>
      <c r="H29" s="12" t="s">
        <v>1</v>
      </c>
    </row>
    <row r="30" spans="2:13" x14ac:dyDescent="0.2">
      <c r="B30" s="27" t="s">
        <v>87</v>
      </c>
      <c r="C30" s="43">
        <v>5.3809999999999997E-2</v>
      </c>
      <c r="D30" s="29" t="s">
        <v>65</v>
      </c>
      <c r="F30" s="10" t="s">
        <v>88</v>
      </c>
      <c r="G30" s="40">
        <f>1%*S0*SQRT(T)*_xlfn.NORM.S.DIST(d1_,FALSE)*EXP(-q_*T)</f>
        <v>6.6931951079486651E-4</v>
      </c>
      <c r="H30" s="12" t="s">
        <v>7</v>
      </c>
      <c r="J30" s="45"/>
    </row>
    <row r="31" spans="2:13" x14ac:dyDescent="0.2">
      <c r="F31" s="10" t="s">
        <v>86</v>
      </c>
      <c r="G31" s="44">
        <f>(1/365)*
(
-(S0*EXP(-r_*T)*_xlfn.NORM.S.DIST(d1_*CP,FALSE)*σ)/(2*SQRT(T))
+q_*EXP(-q_*T)*S0*_xlfn.NORM.S.DIST(d1_*CP,TRUE)
-r_*EXP(-r_*T)*K*_xlfn.NORM.S.DIST(d2_*CP,TRUE)
)</f>
        <v>-9.3014748970996023E-6</v>
      </c>
      <c r="H31" s="12" t="s">
        <v>7</v>
      </c>
    </row>
    <row r="32" spans="2:13" x14ac:dyDescent="0.2">
      <c r="F32" s="10" t="s">
        <v>85</v>
      </c>
      <c r="G32" s="46">
        <f>(1%*S0)*(EXP(-q_*T)*_xlfn.NORM.S.DIST(d1_,FALSE)/(S0*σ*SQRT(T)))</f>
        <v>1.0187252551194596E-2</v>
      </c>
      <c r="H32" s="12" t="s">
        <v>1</v>
      </c>
      <c r="J32" s="47"/>
    </row>
    <row r="33" spans="6:8" ht="15.75" x14ac:dyDescent="0.3">
      <c r="F33" s="112" t="s">
        <v>151</v>
      </c>
      <c r="G33" s="46">
        <f>(1%)*(-T*EXP(-q_*T)*S0*_xlfn.NORM.S.DIST(d1_,TRUE))</f>
        <v>-3.2779322753170972E-4</v>
      </c>
      <c r="H33" s="12" t="s">
        <v>7</v>
      </c>
    </row>
    <row r="34" spans="6:8" ht="15.75" x14ac:dyDescent="0.3">
      <c r="F34" s="113" t="s">
        <v>152</v>
      </c>
      <c r="G34" s="48">
        <f>1%*-T*EXP(-r_*T)*S0*_xlfn.NORM.S.DIST(d2_,TRUE)</f>
        <v>-2.6468119916332836E-4</v>
      </c>
      <c r="H34" s="29" t="s">
        <v>7</v>
      </c>
    </row>
    <row r="36" spans="6:8" x14ac:dyDescent="0.2">
      <c r="F36" s="1" t="s">
        <v>84</v>
      </c>
    </row>
    <row r="37" spans="6:8" x14ac:dyDescent="0.2">
      <c r="F37" s="3" t="s">
        <v>83</v>
      </c>
      <c r="G37" s="4" t="s">
        <v>83</v>
      </c>
      <c r="H37" s="5" t="s">
        <v>31</v>
      </c>
    </row>
    <row r="38" spans="6:8" x14ac:dyDescent="0.2">
      <c r="F38" s="7" t="s">
        <v>82</v>
      </c>
      <c r="G38" s="49">
        <f>_xlfn.NORM.S.DIST(CP*d2_,TRUE)</f>
        <v>4.1756997083841445E-2</v>
      </c>
      <c r="H38" s="9" t="s">
        <v>65</v>
      </c>
    </row>
    <row r="39" spans="6:8" x14ac:dyDescent="0.2">
      <c r="F39" s="10" t="s">
        <v>27</v>
      </c>
      <c r="G39" s="50" cm="1">
        <f t="array" ref="G39">_xlfn.IFS(Notional_Ccy="FOR",EXP(-q_*T),Notional_Ccy="DOM",EXP(-r_*T))</f>
        <v>0.9540432834884498</v>
      </c>
      <c r="H39" s="12"/>
    </row>
    <row r="40" spans="6:8" x14ac:dyDescent="0.2">
      <c r="F40" s="10" t="s">
        <v>81</v>
      </c>
      <c r="G40" s="51">
        <f>Notional_amount*G38*G39</f>
        <v>39837.982606485712</v>
      </c>
      <c r="H40" s="12" t="str">
        <f>Notional_Ccy</f>
        <v>FOR</v>
      </c>
    </row>
    <row r="41" spans="6:8" x14ac:dyDescent="0.2">
      <c r="F41" s="27" t="s">
        <v>80</v>
      </c>
      <c r="G41" s="52">
        <f>IF(Notional_Ccy="DOM",G40,G40*S0)</f>
        <v>26408.598669839379</v>
      </c>
      <c r="H41" s="29" t="s">
        <v>7</v>
      </c>
    </row>
    <row r="45" spans="6:8" x14ac:dyDescent="0.2">
      <c r="F45" s="114"/>
      <c r="G45" s="115"/>
    </row>
    <row r="46" spans="6:8" x14ac:dyDescent="0.2">
      <c r="F46" s="114"/>
      <c r="G46" s="115"/>
    </row>
    <row r="47" spans="6:8" x14ac:dyDescent="0.2">
      <c r="F47" s="114"/>
    </row>
    <row r="48" spans="6:8" x14ac:dyDescent="0.2">
      <c r="F48" s="114"/>
    </row>
    <row r="49" spans="6:6" ht="15.75" x14ac:dyDescent="0.3">
      <c r="F49" s="114"/>
    </row>
  </sheetData>
  <pageMargins left="0.7" right="0.7" top="0.75" bottom="0.75" header="0.3" footer="0.3"/>
  <pageSetup paperSize="9" orientation="portrait" r:id="rId1"/>
  <ignoredErrors>
    <ignoredError sqref="L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un_Monte_Carlo">
                <anchor moveWithCells="1" sizeWithCells="1">
                  <from>
                    <xdr:col>1</xdr:col>
                    <xdr:colOff>628650</xdr:colOff>
                    <xdr:row>2</xdr:row>
                    <xdr:rowOff>152400</xdr:rowOff>
                  </from>
                  <to>
                    <xdr:col>2</xdr:col>
                    <xdr:colOff>504825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DF9C843D-DCCF-4AAD-B6D1-10B4EC88E42E}">
          <x14:formula1>
            <xm:f>'Data Validation'!$A$1:$A$2</xm:f>
          </x14:formula1>
          <xm:sqref>C9</xm:sqref>
        </x14:dataValidation>
        <x14:dataValidation type="list" allowBlank="1" showInputMessage="1" showErrorMessage="1" xr:uid="{F5BD900C-F250-4238-B035-AFD75B0623DC}">
          <x14:formula1>
            <xm:f>'Data Validation'!$C$1:$C$2</xm:f>
          </x14:formula1>
          <xm:sqref>C12</xm:sqref>
        </x14:dataValidation>
        <x14:dataValidation type="list" allowBlank="1" showInputMessage="1" showErrorMessage="1" xr:uid="{3841EB14-2F97-4F0F-8058-79184E216DA3}">
          <x14:formula1>
            <xm:f>'Data Validation'!$B$1:$B$2</xm:f>
          </x14:formula1>
          <xm:sqref>C15 L3</xm:sqref>
        </x14:dataValidation>
        <x14:dataValidation type="list" allowBlank="1" showInputMessage="1" showErrorMessage="1" xr:uid="{AD8C4DC1-7A1B-4469-8B4C-9254FD51F025}">
          <x14:formula1>
            <xm:f>'Data Validation'!$F$1:$F$2</xm:f>
          </x14:formula1>
          <xm:sqref>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CE069-070A-41FF-AD1B-C6D256659B40}">
  <sheetPr codeName="Sheet2"/>
  <dimension ref="A1:P5015"/>
  <sheetViews>
    <sheetView workbookViewId="0"/>
  </sheetViews>
  <sheetFormatPr defaultRowHeight="12" x14ac:dyDescent="0.2"/>
  <cols>
    <col min="1" max="1" width="16.85546875" style="1" bestFit="1" customWidth="1"/>
    <col min="2" max="2" width="10.85546875" style="1" bestFit="1" customWidth="1"/>
    <col min="3" max="3" width="11.5703125" style="1" bestFit="1" customWidth="1"/>
    <col min="4" max="4" width="9.5703125" style="1" bestFit="1" customWidth="1"/>
    <col min="5" max="5" width="14.42578125" style="1" bestFit="1" customWidth="1"/>
    <col min="6" max="6" width="14.140625" style="1" bestFit="1" customWidth="1"/>
    <col min="7" max="7" width="9.140625" style="1"/>
    <col min="8" max="8" width="20.7109375" style="1" bestFit="1" customWidth="1"/>
    <col min="9" max="9" width="9.5703125" style="1" bestFit="1" customWidth="1"/>
    <col min="10" max="10" width="14.42578125" style="1" bestFit="1" customWidth="1"/>
    <col min="11" max="11" width="5.140625" style="1" bestFit="1" customWidth="1"/>
    <col min="12" max="12" width="14.140625" style="1" bestFit="1" customWidth="1"/>
    <col min="13" max="13" width="5.140625" style="1" bestFit="1" customWidth="1"/>
    <col min="14" max="14" width="9.7109375" style="1" customWidth="1"/>
    <col min="15" max="15" width="17.7109375" style="1" bestFit="1" customWidth="1"/>
    <col min="16" max="16" width="10.42578125" style="1" bestFit="1" customWidth="1"/>
    <col min="17" max="16384" width="9.140625" style="1"/>
  </cols>
  <sheetData>
    <row r="1" spans="2:16" x14ac:dyDescent="0.2">
      <c r="J1" s="21"/>
      <c r="K1" s="21"/>
    </row>
    <row r="2" spans="2:16" x14ac:dyDescent="0.2">
      <c r="H2" s="87" t="s">
        <v>34</v>
      </c>
      <c r="I2" s="8"/>
      <c r="J2" s="88" t="s">
        <v>33</v>
      </c>
      <c r="K2" s="9" t="s">
        <v>31</v>
      </c>
      <c r="L2" s="89" t="s">
        <v>32</v>
      </c>
      <c r="M2" s="9" t="s">
        <v>31</v>
      </c>
      <c r="O2" s="7" t="s">
        <v>30</v>
      </c>
      <c r="P2" s="18">
        <v>5000</v>
      </c>
    </row>
    <row r="3" spans="2:16" x14ac:dyDescent="0.2">
      <c r="H3" s="10" t="s">
        <v>29</v>
      </c>
      <c r="J3" s="90">
        <f>J15*Foreign_Ccy_Notional</f>
        <v>1365.3404278460428</v>
      </c>
      <c r="K3" s="22" t="s">
        <v>7</v>
      </c>
      <c r="L3" s="51">
        <f>Notional_amount*L15</f>
        <v>41698.520000000033</v>
      </c>
      <c r="M3" s="12" t="str">
        <f>Notional_Ccy</f>
        <v>FOR</v>
      </c>
      <c r="O3" s="10" t="s">
        <v>28</v>
      </c>
      <c r="P3" s="91">
        <v>5000</v>
      </c>
    </row>
    <row r="4" spans="2:16" x14ac:dyDescent="0.2">
      <c r="H4" s="10" t="s">
        <v>27</v>
      </c>
      <c r="J4" s="92">
        <f>EXP(-r_*T)</f>
        <v>0.94712397548866312</v>
      </c>
      <c r="K4" s="93"/>
      <c r="L4" s="50">
        <f>'GK Pricer'!G39</f>
        <v>0.9540432834884498</v>
      </c>
      <c r="M4" s="12"/>
      <c r="O4" s="10" t="s">
        <v>26</v>
      </c>
      <c r="P4" s="22">
        <f>P2*P3</f>
        <v>25000000</v>
      </c>
    </row>
    <row r="5" spans="2:16" x14ac:dyDescent="0.2">
      <c r="H5" s="10" t="s">
        <v>22</v>
      </c>
      <c r="J5" s="90">
        <f>J3*J4</f>
        <v>1293.1466539169362</v>
      </c>
      <c r="K5" s="22" t="s">
        <v>7</v>
      </c>
      <c r="L5" s="21">
        <f>L3*L4</f>
        <v>39782.192937408829</v>
      </c>
      <c r="M5" s="12" t="str">
        <f>Notional_Ccy</f>
        <v>FOR</v>
      </c>
      <c r="O5" s="10" t="s">
        <v>25</v>
      </c>
      <c r="P5" s="94">
        <v>31.03125</v>
      </c>
    </row>
    <row r="6" spans="2:16" x14ac:dyDescent="0.2">
      <c r="D6" s="95"/>
      <c r="E6" s="23"/>
      <c r="H6" s="27"/>
      <c r="I6" s="96"/>
      <c r="J6" s="38">
        <f>J5/ResultDomesticFXSpotRate</f>
        <v>1950.7416713183529</v>
      </c>
      <c r="K6" s="97" t="str">
        <f>ResultCurrency</f>
        <v>FOR</v>
      </c>
      <c r="L6" s="98">
        <f>L5/ResultNotionalFXSpotRate</f>
        <v>39782.192937408829</v>
      </c>
      <c r="M6" s="29" t="str">
        <f>ResultCurrency</f>
        <v>FOR</v>
      </c>
      <c r="O6" s="27" t="s">
        <v>24</v>
      </c>
      <c r="P6" s="99">
        <f>Monte_Carlo_Runtime/60</f>
        <v>0.51718750000000002</v>
      </c>
    </row>
    <row r="7" spans="2:16" x14ac:dyDescent="0.2">
      <c r="D7" s="23"/>
      <c r="E7" s="116"/>
      <c r="F7" s="116"/>
      <c r="H7" s="87" t="s">
        <v>23</v>
      </c>
      <c r="I7" s="8"/>
      <c r="J7" s="7"/>
      <c r="K7" s="9"/>
      <c r="L7" s="17"/>
      <c r="M7" s="9"/>
    </row>
    <row r="8" spans="2:16" x14ac:dyDescent="0.2">
      <c r="D8" s="23"/>
      <c r="E8" s="100"/>
      <c r="F8" s="100"/>
      <c r="H8" s="10" t="s">
        <v>22</v>
      </c>
      <c r="J8" s="90">
        <f>'GK Pricer'!L11</f>
        <v>1954.810873537243</v>
      </c>
      <c r="K8" s="12" t="str">
        <f>ResultCurrency</f>
        <v>FOR</v>
      </c>
      <c r="L8" s="21">
        <f>'GK Pricer'!$L$23</f>
        <v>39837.982606485712</v>
      </c>
      <c r="M8" s="12" t="str">
        <f>ResultCurrency</f>
        <v>FOR</v>
      </c>
    </row>
    <row r="9" spans="2:16" x14ac:dyDescent="0.2">
      <c r="D9" s="23"/>
      <c r="E9" s="100"/>
      <c r="F9" s="100"/>
      <c r="H9" s="27" t="s">
        <v>21</v>
      </c>
      <c r="I9" s="96"/>
      <c r="J9" s="38">
        <f>'GK Pricer'!L15</f>
        <v>1009.6839806831595</v>
      </c>
      <c r="K9" s="29" t="str">
        <f>ResultCurrency</f>
        <v>FOR</v>
      </c>
      <c r="L9" s="96"/>
      <c r="M9" s="29" t="str">
        <f>ResultCurrency</f>
        <v>FOR</v>
      </c>
    </row>
    <row r="10" spans="2:16" x14ac:dyDescent="0.2">
      <c r="D10" s="23"/>
      <c r="E10" s="100"/>
      <c r="F10" s="100"/>
      <c r="H10" s="7" t="s">
        <v>20</v>
      </c>
      <c r="I10" s="8"/>
      <c r="J10" s="36">
        <f>J8-J6</f>
        <v>4.069202218890041</v>
      </c>
      <c r="K10" s="9" t="str">
        <f>ResultCurrency</f>
        <v>FOR</v>
      </c>
      <c r="L10" s="17">
        <f>L8-L6</f>
        <v>55.789669076883001</v>
      </c>
      <c r="M10" s="9" t="str">
        <f>ResultCurrency</f>
        <v>FOR</v>
      </c>
    </row>
    <row r="11" spans="2:16" x14ac:dyDescent="0.2">
      <c r="D11" s="23"/>
      <c r="E11" s="100"/>
      <c r="F11" s="100"/>
      <c r="H11" s="27" t="s">
        <v>19</v>
      </c>
      <c r="I11" s="96"/>
      <c r="J11" s="101">
        <f>J10/J9</f>
        <v>4.0301740908445325E-3</v>
      </c>
      <c r="K11" s="29"/>
      <c r="L11" s="31"/>
      <c r="M11" s="29"/>
    </row>
    <row r="12" spans="2:16" x14ac:dyDescent="0.2">
      <c r="D12" s="23"/>
      <c r="E12" s="100"/>
      <c r="F12" s="100"/>
      <c r="L12" s="21"/>
    </row>
    <row r="13" spans="2:16" x14ac:dyDescent="0.2">
      <c r="D13" s="23"/>
      <c r="E13" s="100"/>
      <c r="F13" s="100"/>
      <c r="L13" s="21"/>
    </row>
    <row r="14" spans="2:16" x14ac:dyDescent="0.2">
      <c r="B14" s="96"/>
      <c r="C14" s="96" t="s">
        <v>18</v>
      </c>
      <c r="D14" s="96" t="s">
        <v>17</v>
      </c>
      <c r="E14" s="96" t="s">
        <v>16</v>
      </c>
      <c r="F14" s="96" t="s">
        <v>15</v>
      </c>
      <c r="I14" s="1" t="s">
        <v>17</v>
      </c>
      <c r="J14" s="1" t="s">
        <v>16</v>
      </c>
      <c r="L14" s="21" t="s">
        <v>15</v>
      </c>
    </row>
    <row r="15" spans="2:16" x14ac:dyDescent="0.2">
      <c r="B15" s="4" t="s">
        <v>14</v>
      </c>
      <c r="C15" s="102">
        <f ca="1">AVERAGE(C16:C5015)</f>
        <v>4.4186876380081233E-18</v>
      </c>
      <c r="D15" s="102">
        <f ca="1">AVERAGE(D16:D5015)</f>
        <v>0.66786938979982013</v>
      </c>
      <c r="E15" s="103">
        <f ca="1">AVERAGE(E16:E5015)</f>
        <v>1.5416914668320164E-3</v>
      </c>
      <c r="F15" s="104">
        <f ca="1">AVERAGE(F16:F5015)</f>
        <v>4.2000000000000003E-2</v>
      </c>
      <c r="H15" s="1" t="s">
        <v>13</v>
      </c>
      <c r="I15" s="102">
        <f>AVERAGE(I16:I5015)</f>
        <v>0.66773948132808236</v>
      </c>
      <c r="J15" s="103">
        <f>AVERAGE(J16:J5015)</f>
        <v>1.3653404278460427E-3</v>
      </c>
      <c r="K15" s="103"/>
      <c r="L15" s="103">
        <f>AVERAGE(L16:L5015)</f>
        <v>4.1698520000000031E-2</v>
      </c>
      <c r="O15" s="105"/>
      <c r="P15" s="21"/>
    </row>
    <row r="16" spans="2:16" x14ac:dyDescent="0.2">
      <c r="B16" s="1">
        <v>1</v>
      </c>
      <c r="C16" s="106">
        <f t="shared" ref="C16:C79" ca="1" si="0">_xlfn.NORM.S.INV(RAND())</f>
        <v>1.1868344836583384</v>
      </c>
      <c r="D16" s="106">
        <f t="shared" ref="D16:D79" ca="1" si="1">S0*EXP((μ-0.5*σ*σ)*T+σ*SQRT(T)*$C16)</f>
        <v>0.74703277749609875</v>
      </c>
      <c r="E16" s="106">
        <f t="shared" ref="E16:E79" ca="1" si="2">MAX(0,CP*(D16-K))</f>
        <v>0</v>
      </c>
      <c r="F16" s="21">
        <f t="shared" ref="F16:F79" ca="1" si="3">(CP*(D16-K)&gt;0)*1</f>
        <v>0</v>
      </c>
      <c r="H16" s="21">
        <v>1</v>
      </c>
      <c r="I16" s="107">
        <v>0.66759610620195131</v>
      </c>
      <c r="J16" s="108">
        <v>1.2721019201242321E-3</v>
      </c>
      <c r="K16" s="108"/>
      <c r="L16" s="108">
        <v>3.9399999999999998E-2</v>
      </c>
      <c r="O16" s="105"/>
    </row>
    <row r="17" spans="2:15" x14ac:dyDescent="0.2">
      <c r="B17" s="1">
        <v>2</v>
      </c>
      <c r="C17" s="106">
        <f t="shared" ca="1" si="0"/>
        <v>-1.2695356974062251</v>
      </c>
      <c r="D17" s="106">
        <f t="shared" ca="1" si="1"/>
        <v>0.58628701231525759</v>
      </c>
      <c r="E17" s="106">
        <f t="shared" ca="1" si="2"/>
        <v>0</v>
      </c>
      <c r="F17" s="21">
        <f t="shared" ca="1" si="3"/>
        <v>0</v>
      </c>
      <c r="H17" s="21">
        <v>2</v>
      </c>
      <c r="I17" s="107">
        <v>0.66769936005624364</v>
      </c>
      <c r="J17" s="108">
        <v>1.2914536345423502E-3</v>
      </c>
      <c r="K17" s="108"/>
      <c r="L17" s="108">
        <v>4.0399999999999998E-2</v>
      </c>
      <c r="O17" s="105"/>
    </row>
    <row r="18" spans="2:15" x14ac:dyDescent="0.2">
      <c r="B18" s="1">
        <v>3</v>
      </c>
      <c r="C18" s="106">
        <f t="shared" ca="1" si="0"/>
        <v>-1.203211314160294</v>
      </c>
      <c r="D18" s="106">
        <f t="shared" ca="1" si="1"/>
        <v>0.5901352670890252</v>
      </c>
      <c r="E18" s="106">
        <f t="shared" ca="1" si="2"/>
        <v>0</v>
      </c>
      <c r="F18" s="21">
        <f t="shared" ca="1" si="3"/>
        <v>0</v>
      </c>
      <c r="H18" s="21">
        <v>3</v>
      </c>
      <c r="I18" s="107">
        <v>0.66761821365285712</v>
      </c>
      <c r="J18" s="108">
        <v>1.261346628016274E-3</v>
      </c>
      <c r="K18" s="108"/>
      <c r="L18" s="108">
        <v>3.9199999999999999E-2</v>
      </c>
      <c r="O18" s="16"/>
    </row>
    <row r="19" spans="2:15" x14ac:dyDescent="0.2">
      <c r="B19" s="1">
        <v>4</v>
      </c>
      <c r="C19" s="106">
        <f t="shared" ca="1" si="0"/>
        <v>0.33360856161364721</v>
      </c>
      <c r="D19" s="106">
        <f t="shared" ca="1" si="1"/>
        <v>0.68673310746924709</v>
      </c>
      <c r="E19" s="106">
        <f t="shared" ca="1" si="2"/>
        <v>0</v>
      </c>
      <c r="F19" s="21">
        <f t="shared" ca="1" si="3"/>
        <v>0</v>
      </c>
      <c r="H19" s="21">
        <v>4</v>
      </c>
      <c r="I19" s="107">
        <v>0.66771420984927898</v>
      </c>
      <c r="J19" s="108">
        <v>1.3991871733700443E-3</v>
      </c>
      <c r="K19" s="108"/>
      <c r="L19" s="108">
        <v>4.1000000000000002E-2</v>
      </c>
      <c r="O19" s="105"/>
    </row>
    <row r="20" spans="2:15" x14ac:dyDescent="0.2">
      <c r="B20" s="1">
        <v>5</v>
      </c>
      <c r="C20" s="106">
        <f t="shared" ca="1" si="0"/>
        <v>-0.97017346748300504</v>
      </c>
      <c r="D20" s="106">
        <f t="shared" ca="1" si="1"/>
        <v>0.60385792033176766</v>
      </c>
      <c r="E20" s="106">
        <f t="shared" ca="1" si="2"/>
        <v>0</v>
      </c>
      <c r="F20" s="21">
        <f t="shared" ca="1" si="3"/>
        <v>0</v>
      </c>
      <c r="H20" s="21">
        <v>5</v>
      </c>
      <c r="I20" s="107">
        <v>0.66771301654211779</v>
      </c>
      <c r="J20" s="108">
        <v>1.348374740590703E-3</v>
      </c>
      <c r="K20" s="108"/>
      <c r="L20" s="108">
        <v>4.24E-2</v>
      </c>
      <c r="O20" s="105"/>
    </row>
    <row r="21" spans="2:15" x14ac:dyDescent="0.2">
      <c r="B21" s="1">
        <v>6</v>
      </c>
      <c r="C21" s="106">
        <f t="shared" ca="1" si="0"/>
        <v>0.37419365370848373</v>
      </c>
      <c r="D21" s="106">
        <f t="shared" ca="1" si="1"/>
        <v>0.68948786279854368</v>
      </c>
      <c r="E21" s="106">
        <f t="shared" ca="1" si="2"/>
        <v>0</v>
      </c>
      <c r="F21" s="21">
        <f t="shared" ca="1" si="3"/>
        <v>0</v>
      </c>
      <c r="H21" s="21">
        <v>6</v>
      </c>
      <c r="I21" s="107">
        <v>0.66777504313625358</v>
      </c>
      <c r="J21" s="108">
        <v>1.3821522309954489E-3</v>
      </c>
      <c r="K21" s="108"/>
      <c r="L21" s="108">
        <v>4.0399999999999998E-2</v>
      </c>
      <c r="O21" s="105"/>
    </row>
    <row r="22" spans="2:15" x14ac:dyDescent="0.2">
      <c r="B22" s="1">
        <v>7</v>
      </c>
      <c r="C22" s="106">
        <f t="shared" ca="1" si="0"/>
        <v>0.79942076231394954</v>
      </c>
      <c r="D22" s="106">
        <f t="shared" ca="1" si="1"/>
        <v>0.71902351326568481</v>
      </c>
      <c r="E22" s="106">
        <f t="shared" ca="1" si="2"/>
        <v>0</v>
      </c>
      <c r="F22" s="21">
        <f t="shared" ca="1" si="3"/>
        <v>0</v>
      </c>
      <c r="H22" s="21">
        <v>7</v>
      </c>
      <c r="I22" s="107">
        <v>0.66762544365108822</v>
      </c>
      <c r="J22" s="108">
        <v>1.2719282494364254E-3</v>
      </c>
      <c r="K22" s="108"/>
      <c r="L22" s="108">
        <v>3.6799999999999999E-2</v>
      </c>
      <c r="O22" s="105"/>
    </row>
    <row r="23" spans="2:15" x14ac:dyDescent="0.2">
      <c r="B23" s="1">
        <v>8</v>
      </c>
      <c r="C23" s="106">
        <f t="shared" ca="1" si="0"/>
        <v>1.4085594556050218</v>
      </c>
      <c r="D23" s="106">
        <f t="shared" ca="1" si="1"/>
        <v>0.76355129635841568</v>
      </c>
      <c r="E23" s="106">
        <f t="shared" ca="1" si="2"/>
        <v>0</v>
      </c>
      <c r="F23" s="21">
        <f t="shared" ca="1" si="3"/>
        <v>0</v>
      </c>
      <c r="H23" s="21">
        <v>8</v>
      </c>
      <c r="I23" s="107">
        <v>0.66766117924625346</v>
      </c>
      <c r="J23" s="108">
        <v>1.2340507507548042E-3</v>
      </c>
      <c r="K23" s="108"/>
      <c r="L23" s="108">
        <v>4.02E-2</v>
      </c>
      <c r="O23" s="105"/>
    </row>
    <row r="24" spans="2:15" x14ac:dyDescent="0.2">
      <c r="B24" s="1">
        <v>9</v>
      </c>
      <c r="C24" s="106">
        <f t="shared" ca="1" si="0"/>
        <v>0.55654916927412501</v>
      </c>
      <c r="D24" s="106">
        <f t="shared" ca="1" si="1"/>
        <v>0.70200244294040048</v>
      </c>
      <c r="E24" s="106">
        <f t="shared" ca="1" si="2"/>
        <v>0</v>
      </c>
      <c r="F24" s="21">
        <f t="shared" ca="1" si="3"/>
        <v>0</v>
      </c>
      <c r="H24" s="21">
        <v>9</v>
      </c>
      <c r="I24" s="107">
        <v>0.66785786496765664</v>
      </c>
      <c r="J24" s="108">
        <v>1.5842811859344693E-3</v>
      </c>
      <c r="K24" s="108"/>
      <c r="L24" s="108">
        <v>4.5400000000000003E-2</v>
      </c>
      <c r="O24" s="105"/>
    </row>
    <row r="25" spans="2:15" x14ac:dyDescent="0.2">
      <c r="B25" s="1">
        <v>10</v>
      </c>
      <c r="C25" s="106">
        <f t="shared" ca="1" si="0"/>
        <v>0.42350513029290482</v>
      </c>
      <c r="D25" s="106">
        <f t="shared" ca="1" si="1"/>
        <v>0.69284980465562052</v>
      </c>
      <c r="E25" s="106">
        <f t="shared" ca="1" si="2"/>
        <v>0</v>
      </c>
      <c r="F25" s="21">
        <f t="shared" ca="1" si="3"/>
        <v>0</v>
      </c>
      <c r="H25" s="21">
        <v>10</v>
      </c>
      <c r="I25" s="107">
        <v>0.66756623455852626</v>
      </c>
      <c r="J25" s="108">
        <v>1.1291531301517446E-3</v>
      </c>
      <c r="K25" s="108"/>
      <c r="L25" s="108">
        <v>3.9199999999999999E-2</v>
      </c>
      <c r="O25" s="105"/>
    </row>
    <row r="26" spans="2:15" x14ac:dyDescent="0.2">
      <c r="B26" s="1">
        <v>11</v>
      </c>
      <c r="C26" s="106">
        <f t="shared" ca="1" si="0"/>
        <v>1.2228275575088243</v>
      </c>
      <c r="D26" s="106">
        <f t="shared" ca="1" si="1"/>
        <v>0.74968975993838005</v>
      </c>
      <c r="E26" s="106">
        <f t="shared" ca="1" si="2"/>
        <v>0</v>
      </c>
      <c r="F26" s="21">
        <f t="shared" ca="1" si="3"/>
        <v>0</v>
      </c>
      <c r="H26" s="21">
        <v>11</v>
      </c>
      <c r="I26" s="107">
        <v>0.66788047966853437</v>
      </c>
      <c r="J26" s="108">
        <v>1.5057707862201827E-3</v>
      </c>
      <c r="K26" s="108"/>
      <c r="L26" s="108">
        <v>4.24E-2</v>
      </c>
      <c r="O26" s="105"/>
    </row>
    <row r="27" spans="2:15" x14ac:dyDescent="0.2">
      <c r="B27" s="1">
        <v>12</v>
      </c>
      <c r="C27" s="106">
        <f t="shared" ca="1" si="0"/>
        <v>-1.340896185645414</v>
      </c>
      <c r="D27" s="106">
        <f t="shared" ca="1" si="1"/>
        <v>0.58217457431048647</v>
      </c>
      <c r="E27" s="106">
        <f t="shared" ca="1" si="2"/>
        <v>0</v>
      </c>
      <c r="F27" s="21">
        <f t="shared" ca="1" si="3"/>
        <v>0</v>
      </c>
      <c r="H27" s="21">
        <v>12</v>
      </c>
      <c r="I27" s="107">
        <v>0.66763856534110277</v>
      </c>
      <c r="J27" s="108">
        <v>1.2434804942273979E-3</v>
      </c>
      <c r="K27" s="108"/>
      <c r="L27" s="108">
        <v>3.9399999999999998E-2</v>
      </c>
      <c r="O27" s="105"/>
    </row>
    <row r="28" spans="2:15" x14ac:dyDescent="0.2">
      <c r="B28" s="1">
        <v>13</v>
      </c>
      <c r="C28" s="106">
        <f t="shared" ca="1" si="0"/>
        <v>-0.55310603350178922</v>
      </c>
      <c r="D28" s="106">
        <f t="shared" ca="1" si="1"/>
        <v>0.62921878344977766</v>
      </c>
      <c r="E28" s="106">
        <f t="shared" ca="1" si="2"/>
        <v>0</v>
      </c>
      <c r="F28" s="21">
        <f t="shared" ca="1" si="3"/>
        <v>0</v>
      </c>
      <c r="H28" s="21">
        <v>13</v>
      </c>
      <c r="I28" s="107">
        <v>0.66769295995335498</v>
      </c>
      <c r="J28" s="108">
        <v>1.3804036157001019E-3</v>
      </c>
      <c r="K28" s="108"/>
      <c r="L28" s="108">
        <v>4.2200000000000001E-2</v>
      </c>
      <c r="O28" s="105"/>
    </row>
    <row r="29" spans="2:15" x14ac:dyDescent="0.2">
      <c r="B29" s="1">
        <v>14</v>
      </c>
      <c r="C29" s="106">
        <f t="shared" ca="1" si="0"/>
        <v>4.824391579517226E-2</v>
      </c>
      <c r="D29" s="106">
        <f t="shared" ca="1" si="1"/>
        <v>0.66767196321859146</v>
      </c>
      <c r="E29" s="106">
        <f t="shared" ca="1" si="2"/>
        <v>0</v>
      </c>
      <c r="F29" s="21">
        <f t="shared" ca="1" si="3"/>
        <v>0</v>
      </c>
      <c r="H29" s="21">
        <v>14</v>
      </c>
      <c r="I29" s="107">
        <v>0.66766297101236061</v>
      </c>
      <c r="J29" s="108">
        <v>1.278023168366705E-3</v>
      </c>
      <c r="K29" s="108"/>
      <c r="L29" s="108">
        <v>3.9600000000000003E-2</v>
      </c>
      <c r="O29" s="105"/>
    </row>
    <row r="30" spans="2:15" x14ac:dyDescent="0.2">
      <c r="B30" s="1">
        <v>15</v>
      </c>
      <c r="C30" s="106">
        <f t="shared" ca="1" si="0"/>
        <v>1.4303847193871109</v>
      </c>
      <c r="D30" s="106">
        <f t="shared" ca="1" si="1"/>
        <v>0.76519689604177576</v>
      </c>
      <c r="E30" s="106">
        <f t="shared" ca="1" si="2"/>
        <v>0</v>
      </c>
      <c r="F30" s="21">
        <f t="shared" ca="1" si="3"/>
        <v>0</v>
      </c>
      <c r="H30" s="21">
        <v>15</v>
      </c>
      <c r="I30" s="107">
        <v>0.66771700247047616</v>
      </c>
      <c r="J30" s="108">
        <v>1.3957636890615098E-3</v>
      </c>
      <c r="K30" s="108"/>
      <c r="L30" s="108">
        <v>4.1799999999999997E-2</v>
      </c>
      <c r="O30" s="105"/>
    </row>
    <row r="31" spans="2:15" x14ac:dyDescent="0.2">
      <c r="B31" s="1">
        <v>16</v>
      </c>
      <c r="C31" s="106">
        <f t="shared" ca="1" si="0"/>
        <v>-1.2536058780193311</v>
      </c>
      <c r="D31" s="106">
        <f t="shared" ca="1" si="1"/>
        <v>0.58720899185310205</v>
      </c>
      <c r="E31" s="106">
        <f t="shared" ca="1" si="2"/>
        <v>0</v>
      </c>
      <c r="F31" s="21">
        <f t="shared" ca="1" si="3"/>
        <v>0</v>
      </c>
      <c r="H31" s="21">
        <v>16</v>
      </c>
      <c r="I31" s="107">
        <v>0.66778475234293488</v>
      </c>
      <c r="J31" s="108">
        <v>1.4230484098095211E-3</v>
      </c>
      <c r="K31" s="108"/>
      <c r="L31" s="108">
        <v>4.1200000000000001E-2</v>
      </c>
      <c r="O31" s="105"/>
    </row>
    <row r="32" spans="2:15" x14ac:dyDescent="0.2">
      <c r="B32" s="1">
        <v>17</v>
      </c>
      <c r="C32" s="106">
        <f t="shared" ca="1" si="0"/>
        <v>-0.44286935532966965</v>
      </c>
      <c r="D32" s="106">
        <f t="shared" ca="1" si="1"/>
        <v>0.63609817569633809</v>
      </c>
      <c r="E32" s="106">
        <f t="shared" ca="1" si="2"/>
        <v>0</v>
      </c>
      <c r="F32" s="21">
        <f t="shared" ca="1" si="3"/>
        <v>0</v>
      </c>
      <c r="H32" s="21">
        <v>17</v>
      </c>
      <c r="I32" s="107">
        <v>0.6678052388736937</v>
      </c>
      <c r="J32" s="108">
        <v>1.3871866280449575E-3</v>
      </c>
      <c r="K32" s="108"/>
      <c r="L32" s="108">
        <v>4.1599999999999998E-2</v>
      </c>
      <c r="O32" s="105"/>
    </row>
    <row r="33" spans="2:15" x14ac:dyDescent="0.2">
      <c r="B33" s="1">
        <v>18</v>
      </c>
      <c r="C33" s="106">
        <f t="shared" ca="1" si="0"/>
        <v>-1.4473966218456233</v>
      </c>
      <c r="D33" s="106">
        <f t="shared" ca="1" si="1"/>
        <v>0.57609064286035017</v>
      </c>
      <c r="E33" s="106">
        <f t="shared" ca="1" si="2"/>
        <v>0</v>
      </c>
      <c r="F33" s="21">
        <f t="shared" ca="1" si="3"/>
        <v>0</v>
      </c>
      <c r="H33" s="21">
        <v>18</v>
      </c>
      <c r="I33" s="107">
        <v>0.66780735986113526</v>
      </c>
      <c r="J33" s="108">
        <v>1.2432580302999712E-3</v>
      </c>
      <c r="K33" s="108"/>
      <c r="L33" s="108">
        <v>4.2599999999999999E-2</v>
      </c>
      <c r="O33" s="105"/>
    </row>
    <row r="34" spans="2:15" x14ac:dyDescent="0.2">
      <c r="B34" s="1">
        <v>19</v>
      </c>
      <c r="C34" s="106">
        <f t="shared" ca="1" si="0"/>
        <v>-3.977748857620151E-2</v>
      </c>
      <c r="D34" s="106">
        <f t="shared" ca="1" si="1"/>
        <v>0.66189996342794988</v>
      </c>
      <c r="E34" s="106">
        <f t="shared" ca="1" si="2"/>
        <v>0</v>
      </c>
      <c r="F34" s="21">
        <f t="shared" ca="1" si="3"/>
        <v>0</v>
      </c>
      <c r="H34" s="21">
        <v>19</v>
      </c>
      <c r="I34" s="107">
        <v>0.66764782989102733</v>
      </c>
      <c r="J34" s="108">
        <v>1.35371479172261E-3</v>
      </c>
      <c r="K34" s="108"/>
      <c r="L34" s="108">
        <v>3.9399999999999998E-2</v>
      </c>
      <c r="O34" s="105"/>
    </row>
    <row r="35" spans="2:15" x14ac:dyDescent="0.2">
      <c r="B35" s="1">
        <v>20</v>
      </c>
      <c r="C35" s="106">
        <f t="shared" ca="1" si="0"/>
        <v>-4.7007373746513904E-2</v>
      </c>
      <c r="D35" s="106">
        <f t="shared" ca="1" si="1"/>
        <v>0.66142808751995752</v>
      </c>
      <c r="E35" s="106">
        <f t="shared" ca="1" si="2"/>
        <v>0</v>
      </c>
      <c r="F35" s="21">
        <f t="shared" ca="1" si="3"/>
        <v>0</v>
      </c>
      <c r="H35" s="21">
        <v>20</v>
      </c>
      <c r="I35" s="107">
        <v>0.66765694280244103</v>
      </c>
      <c r="J35" s="108">
        <v>1.3217770663335876E-3</v>
      </c>
      <c r="K35" s="108"/>
      <c r="L35" s="108">
        <v>3.9E-2</v>
      </c>
      <c r="O35" s="105"/>
    </row>
    <row r="36" spans="2:15" x14ac:dyDescent="0.2">
      <c r="B36" s="1">
        <v>21</v>
      </c>
      <c r="C36" s="106">
        <f t="shared" ca="1" si="0"/>
        <v>-1.2896026902153781</v>
      </c>
      <c r="D36" s="106">
        <f t="shared" ca="1" si="1"/>
        <v>0.58512764324132649</v>
      </c>
      <c r="E36" s="106">
        <f t="shared" ca="1" si="2"/>
        <v>0</v>
      </c>
      <c r="F36" s="21">
        <f t="shared" ca="1" si="3"/>
        <v>0</v>
      </c>
      <c r="H36" s="21">
        <v>21</v>
      </c>
      <c r="I36" s="107">
        <v>0.66765132145489436</v>
      </c>
      <c r="J36" s="108">
        <v>1.3197958165349865E-3</v>
      </c>
      <c r="K36" s="108"/>
      <c r="L36" s="108">
        <v>3.8600000000000002E-2</v>
      </c>
      <c r="O36" s="105"/>
    </row>
    <row r="37" spans="2:15" x14ac:dyDescent="0.2">
      <c r="B37" s="1">
        <v>22</v>
      </c>
      <c r="C37" s="106">
        <f t="shared" ca="1" si="0"/>
        <v>-0.86408159997437983</v>
      </c>
      <c r="D37" s="106">
        <f t="shared" ca="1" si="1"/>
        <v>0.6102105011480472</v>
      </c>
      <c r="E37" s="106">
        <f t="shared" ca="1" si="2"/>
        <v>0</v>
      </c>
      <c r="F37" s="21">
        <f t="shared" ca="1" si="3"/>
        <v>0</v>
      </c>
      <c r="H37" s="21">
        <v>22</v>
      </c>
      <c r="I37" s="107">
        <v>0.6675537567494918</v>
      </c>
      <c r="J37" s="108">
        <v>1.2161972327160318E-3</v>
      </c>
      <c r="K37" s="108"/>
      <c r="L37" s="108">
        <v>3.56E-2</v>
      </c>
      <c r="O37" s="105"/>
    </row>
    <row r="38" spans="2:15" x14ac:dyDescent="0.2">
      <c r="B38" s="1">
        <v>23</v>
      </c>
      <c r="C38" s="106">
        <f t="shared" ca="1" si="0"/>
        <v>-0.82185267873349965</v>
      </c>
      <c r="D38" s="106">
        <f t="shared" ca="1" si="1"/>
        <v>0.61275764462938997</v>
      </c>
      <c r="E38" s="106">
        <f t="shared" ca="1" si="2"/>
        <v>0</v>
      </c>
      <c r="F38" s="21">
        <f t="shared" ca="1" si="3"/>
        <v>0</v>
      </c>
      <c r="H38" s="21">
        <v>23</v>
      </c>
      <c r="I38" s="107">
        <v>0.66766040792210868</v>
      </c>
      <c r="J38" s="108">
        <v>1.282503250166803E-3</v>
      </c>
      <c r="K38" s="108"/>
      <c r="L38" s="108">
        <v>3.9800000000000002E-2</v>
      </c>
      <c r="O38" s="105"/>
    </row>
    <row r="39" spans="2:15" x14ac:dyDescent="0.2">
      <c r="B39" s="1">
        <v>24</v>
      </c>
      <c r="C39" s="106">
        <f t="shared" ca="1" si="0"/>
        <v>0.9663450800082628</v>
      </c>
      <c r="D39" s="106">
        <f t="shared" ca="1" si="1"/>
        <v>0.73096069969707533</v>
      </c>
      <c r="E39" s="106">
        <f t="shared" ca="1" si="2"/>
        <v>0</v>
      </c>
      <c r="F39" s="21">
        <f t="shared" ca="1" si="3"/>
        <v>0</v>
      </c>
      <c r="H39" s="21">
        <v>24</v>
      </c>
      <c r="I39" s="107">
        <v>0.66778657082026394</v>
      </c>
      <c r="J39" s="108">
        <v>1.4623226888636387E-3</v>
      </c>
      <c r="K39" s="108"/>
      <c r="L39" s="108">
        <v>4.1200000000000001E-2</v>
      </c>
      <c r="O39" s="105"/>
    </row>
    <row r="40" spans="2:15" x14ac:dyDescent="0.2">
      <c r="B40" s="1">
        <v>25</v>
      </c>
      <c r="C40" s="106">
        <f t="shared" ca="1" si="0"/>
        <v>-0.29721096761783466</v>
      </c>
      <c r="D40" s="106">
        <f t="shared" ca="1" si="1"/>
        <v>0.64530356675116696</v>
      </c>
      <c r="E40" s="106">
        <f t="shared" ca="1" si="2"/>
        <v>0</v>
      </c>
      <c r="F40" s="21">
        <f t="shared" ca="1" si="3"/>
        <v>0</v>
      </c>
      <c r="H40" s="21">
        <v>25</v>
      </c>
      <c r="I40" s="107">
        <v>0.66780314803229934</v>
      </c>
      <c r="J40" s="108">
        <v>1.4490995236110347E-3</v>
      </c>
      <c r="K40" s="108"/>
      <c r="L40" s="108">
        <v>4.36E-2</v>
      </c>
      <c r="O40" s="105"/>
    </row>
    <row r="41" spans="2:15" x14ac:dyDescent="0.2">
      <c r="B41" s="1">
        <v>26</v>
      </c>
      <c r="C41" s="106">
        <f t="shared" ca="1" si="0"/>
        <v>-0.48133413029412969</v>
      </c>
      <c r="D41" s="106">
        <f t="shared" ca="1" si="1"/>
        <v>0.63368925444168456</v>
      </c>
      <c r="E41" s="106">
        <f t="shared" ca="1" si="2"/>
        <v>0</v>
      </c>
      <c r="F41" s="21">
        <f t="shared" ca="1" si="3"/>
        <v>0</v>
      </c>
      <c r="H41" s="21">
        <v>26</v>
      </c>
      <c r="I41" s="107">
        <v>0.66769134638068151</v>
      </c>
      <c r="J41" s="108">
        <v>1.395215382124126E-3</v>
      </c>
      <c r="K41" s="108"/>
      <c r="L41" s="108">
        <v>4.2799999999999998E-2</v>
      </c>
      <c r="O41" s="105"/>
    </row>
    <row r="42" spans="2:15" x14ac:dyDescent="0.2">
      <c r="B42" s="1">
        <v>27</v>
      </c>
      <c r="C42" s="106">
        <f t="shared" ca="1" si="0"/>
        <v>-1.2531828188624627</v>
      </c>
      <c r="D42" s="106">
        <f t="shared" ca="1" si="1"/>
        <v>0.58723349725103779</v>
      </c>
      <c r="E42" s="106">
        <f t="shared" ca="1" si="2"/>
        <v>0</v>
      </c>
      <c r="F42" s="21">
        <f t="shared" ca="1" si="3"/>
        <v>0</v>
      </c>
      <c r="H42" s="21">
        <v>27</v>
      </c>
      <c r="I42" s="107">
        <v>0.66772236069951951</v>
      </c>
      <c r="J42" s="108">
        <v>1.326343334418219E-3</v>
      </c>
      <c r="K42" s="108"/>
      <c r="L42" s="108">
        <v>4.1200000000000001E-2</v>
      </c>
      <c r="O42" s="105"/>
    </row>
    <row r="43" spans="2:15" x14ac:dyDescent="0.2">
      <c r="B43" s="1">
        <v>28</v>
      </c>
      <c r="C43" s="106">
        <f t="shared" ca="1" si="0"/>
        <v>-0.84811473257975267</v>
      </c>
      <c r="D43" s="106">
        <f t="shared" ca="1" si="1"/>
        <v>0.61117233563889262</v>
      </c>
      <c r="E43" s="106">
        <f t="shared" ca="1" si="2"/>
        <v>0</v>
      </c>
      <c r="F43" s="21">
        <f t="shared" ca="1" si="3"/>
        <v>0</v>
      </c>
      <c r="H43" s="21">
        <v>28</v>
      </c>
      <c r="I43" s="107">
        <v>0.6678614497173776</v>
      </c>
      <c r="J43" s="108">
        <v>1.4976598235505894E-3</v>
      </c>
      <c r="K43" s="108"/>
      <c r="L43" s="108">
        <v>4.1799999999999997E-2</v>
      </c>
      <c r="O43" s="105"/>
    </row>
    <row r="44" spans="2:15" x14ac:dyDescent="0.2">
      <c r="B44" s="1">
        <v>29</v>
      </c>
      <c r="C44" s="106">
        <f t="shared" ca="1" si="0"/>
        <v>-1.242990027192143</v>
      </c>
      <c r="D44" s="106">
        <f t="shared" ca="1" si="1"/>
        <v>0.58782421662404605</v>
      </c>
      <c r="E44" s="106">
        <f t="shared" ca="1" si="2"/>
        <v>0</v>
      </c>
      <c r="F44" s="21">
        <f t="shared" ca="1" si="3"/>
        <v>0</v>
      </c>
      <c r="H44" s="21">
        <v>29</v>
      </c>
      <c r="I44" s="107">
        <v>0.66777160891419884</v>
      </c>
      <c r="J44" s="108">
        <v>1.2505703169411906E-3</v>
      </c>
      <c r="K44" s="108"/>
      <c r="L44" s="108">
        <v>4.1000000000000002E-2</v>
      </c>
      <c r="O44" s="105"/>
    </row>
    <row r="45" spans="2:15" x14ac:dyDescent="0.2">
      <c r="B45" s="1">
        <v>30</v>
      </c>
      <c r="C45" s="106">
        <f t="shared" ca="1" si="0"/>
        <v>-4.1437030205078711E-2</v>
      </c>
      <c r="D45" s="106">
        <f t="shared" ca="1" si="1"/>
        <v>0.66179161967819899</v>
      </c>
      <c r="E45" s="106">
        <f t="shared" ca="1" si="2"/>
        <v>0</v>
      </c>
      <c r="F45" s="21">
        <f t="shared" ca="1" si="3"/>
        <v>0</v>
      </c>
      <c r="H45" s="21">
        <v>30</v>
      </c>
      <c r="I45" s="107">
        <v>0.66765139580620891</v>
      </c>
      <c r="J45" s="108">
        <v>1.2701222667126427E-3</v>
      </c>
      <c r="K45" s="108"/>
      <c r="L45" s="108">
        <v>3.9E-2</v>
      </c>
      <c r="O45" s="105"/>
    </row>
    <row r="46" spans="2:15" x14ac:dyDescent="0.2">
      <c r="B46" s="1">
        <v>31</v>
      </c>
      <c r="C46" s="106">
        <f t="shared" ca="1" si="0"/>
        <v>1.2947257453247705</v>
      </c>
      <c r="D46" s="106">
        <f t="shared" ca="1" si="1"/>
        <v>0.7550255578273577</v>
      </c>
      <c r="E46" s="106">
        <f t="shared" ca="1" si="2"/>
        <v>0</v>
      </c>
      <c r="F46" s="21">
        <f t="shared" ca="1" si="3"/>
        <v>0</v>
      </c>
      <c r="H46" s="21">
        <v>31</v>
      </c>
      <c r="I46" s="107">
        <v>0.66782604456017147</v>
      </c>
      <c r="J46" s="108">
        <v>1.5432035498591952E-3</v>
      </c>
      <c r="K46" s="108"/>
      <c r="L46" s="108">
        <v>4.9000000000000002E-2</v>
      </c>
      <c r="O46" s="105"/>
    </row>
    <row r="47" spans="2:15" x14ac:dyDescent="0.2">
      <c r="B47" s="1">
        <v>32</v>
      </c>
      <c r="C47" s="106">
        <f t="shared" ca="1" si="0"/>
        <v>0.90368752013848985</v>
      </c>
      <c r="D47" s="106">
        <f t="shared" ca="1" si="1"/>
        <v>0.72645683856228416</v>
      </c>
      <c r="E47" s="106">
        <f t="shared" ca="1" si="2"/>
        <v>0</v>
      </c>
      <c r="F47" s="21">
        <f t="shared" ca="1" si="3"/>
        <v>0</v>
      </c>
      <c r="H47" s="21">
        <v>32</v>
      </c>
      <c r="I47" s="107">
        <v>0.66764817021320422</v>
      </c>
      <c r="J47" s="108">
        <v>1.2717695741026197E-3</v>
      </c>
      <c r="K47" s="108"/>
      <c r="L47" s="108">
        <v>3.9199999999999999E-2</v>
      </c>
      <c r="O47" s="105"/>
    </row>
    <row r="48" spans="2:15" x14ac:dyDescent="0.2">
      <c r="B48" s="1">
        <v>33</v>
      </c>
      <c r="C48" s="106">
        <f t="shared" ca="1" si="0"/>
        <v>0.8162889148811604</v>
      </c>
      <c r="D48" s="106">
        <f t="shared" ca="1" si="1"/>
        <v>0.7202208901633953</v>
      </c>
      <c r="E48" s="106">
        <f t="shared" ca="1" si="2"/>
        <v>0</v>
      </c>
      <c r="F48" s="21">
        <f t="shared" ca="1" si="3"/>
        <v>0</v>
      </c>
      <c r="H48" s="21">
        <v>33</v>
      </c>
      <c r="I48" s="107">
        <v>0.6677118225841322</v>
      </c>
      <c r="J48" s="108">
        <v>1.3827054826566446E-3</v>
      </c>
      <c r="K48" s="108"/>
      <c r="L48" s="108">
        <v>4.0800000000000003E-2</v>
      </c>
      <c r="O48" s="105"/>
    </row>
    <row r="49" spans="2:15" x14ac:dyDescent="0.2">
      <c r="B49" s="1">
        <v>34</v>
      </c>
      <c r="C49" s="106">
        <f t="shared" ca="1" si="0"/>
        <v>-0.54091117126960342</v>
      </c>
      <c r="D49" s="106">
        <f t="shared" ca="1" si="1"/>
        <v>0.62997613708462796</v>
      </c>
      <c r="E49" s="106">
        <f t="shared" ca="1" si="2"/>
        <v>0</v>
      </c>
      <c r="F49" s="21">
        <f t="shared" ca="1" si="3"/>
        <v>0</v>
      </c>
      <c r="H49" s="21">
        <v>34</v>
      </c>
      <c r="I49" s="107">
        <v>0.66786065689207186</v>
      </c>
      <c r="J49" s="108">
        <v>1.5921774115229416E-3</v>
      </c>
      <c r="K49" s="108"/>
      <c r="L49" s="108">
        <v>4.5600000000000002E-2</v>
      </c>
      <c r="O49" s="105"/>
    </row>
    <row r="50" spans="2:15" x14ac:dyDescent="0.2">
      <c r="B50" s="1">
        <v>35</v>
      </c>
      <c r="C50" s="106">
        <f t="shared" ca="1" si="0"/>
        <v>-0.27141277793529556</v>
      </c>
      <c r="D50" s="106">
        <f t="shared" ca="1" si="1"/>
        <v>0.64694780559664955</v>
      </c>
      <c r="E50" s="106">
        <f t="shared" ca="1" si="2"/>
        <v>0</v>
      </c>
      <c r="F50" s="21">
        <f t="shared" ca="1" si="3"/>
        <v>0</v>
      </c>
      <c r="H50" s="21">
        <v>35</v>
      </c>
      <c r="I50" s="107">
        <v>0.66760253866718844</v>
      </c>
      <c r="J50" s="108">
        <v>1.2167539810682068E-3</v>
      </c>
      <c r="K50" s="108"/>
      <c r="L50" s="108">
        <v>3.7999999999999999E-2</v>
      </c>
      <c r="O50" s="105"/>
    </row>
    <row r="51" spans="2:15" x14ac:dyDescent="0.2">
      <c r="B51" s="1">
        <v>36</v>
      </c>
      <c r="C51" s="106">
        <f t="shared" ca="1" si="0"/>
        <v>0.74922558873748468</v>
      </c>
      <c r="D51" s="106">
        <f t="shared" ca="1" si="1"/>
        <v>0.7154721979667763</v>
      </c>
      <c r="E51" s="106">
        <f t="shared" ca="1" si="2"/>
        <v>0</v>
      </c>
      <c r="F51" s="21">
        <f t="shared" ca="1" si="3"/>
        <v>0</v>
      </c>
      <c r="H51" s="21">
        <v>36</v>
      </c>
      <c r="I51" s="107">
        <v>0.66780615949313216</v>
      </c>
      <c r="J51" s="108">
        <v>1.4988681949364817E-3</v>
      </c>
      <c r="K51" s="108"/>
      <c r="L51" s="108">
        <v>4.4400000000000002E-2</v>
      </c>
      <c r="O51" s="105"/>
    </row>
    <row r="52" spans="2:15" x14ac:dyDescent="0.2">
      <c r="B52" s="1">
        <v>37</v>
      </c>
      <c r="C52" s="106">
        <f t="shared" ca="1" si="0"/>
        <v>1.4032863936717122</v>
      </c>
      <c r="D52" s="106">
        <f t="shared" ca="1" si="1"/>
        <v>0.76315424466804949</v>
      </c>
      <c r="E52" s="106">
        <f t="shared" ca="1" si="2"/>
        <v>0</v>
      </c>
      <c r="F52" s="21">
        <f t="shared" ca="1" si="3"/>
        <v>0</v>
      </c>
      <c r="H52" s="21">
        <v>37</v>
      </c>
      <c r="I52" s="107">
        <v>0.6676579519839716</v>
      </c>
      <c r="J52" s="108">
        <v>1.1881327363505358E-3</v>
      </c>
      <c r="K52" s="108"/>
      <c r="L52" s="108">
        <v>3.9E-2</v>
      </c>
      <c r="O52" s="105"/>
    </row>
    <row r="53" spans="2:15" x14ac:dyDescent="0.2">
      <c r="B53" s="1">
        <v>38</v>
      </c>
      <c r="C53" s="106">
        <f t="shared" ca="1" si="0"/>
        <v>-1.1952655982424047</v>
      </c>
      <c r="D53" s="106">
        <f t="shared" ca="1" si="1"/>
        <v>0.59059798222878745</v>
      </c>
      <c r="E53" s="106">
        <f t="shared" ca="1" si="2"/>
        <v>0</v>
      </c>
      <c r="F53" s="21">
        <f t="shared" ca="1" si="3"/>
        <v>0</v>
      </c>
      <c r="H53" s="21">
        <v>38</v>
      </c>
      <c r="I53" s="107">
        <v>0.66767571821707772</v>
      </c>
      <c r="J53" s="108">
        <v>1.2782343596391954E-3</v>
      </c>
      <c r="K53" s="108"/>
      <c r="L53" s="108">
        <v>4.1599999999999998E-2</v>
      </c>
      <c r="O53" s="105"/>
    </row>
    <row r="54" spans="2:15" x14ac:dyDescent="0.2">
      <c r="B54" s="1">
        <v>39</v>
      </c>
      <c r="C54" s="106">
        <f t="shared" ca="1" si="0"/>
        <v>-0.37361923529006597</v>
      </c>
      <c r="D54" s="106">
        <f t="shared" ca="1" si="1"/>
        <v>0.6404581882713225</v>
      </c>
      <c r="E54" s="106">
        <f t="shared" ca="1" si="2"/>
        <v>0</v>
      </c>
      <c r="F54" s="21">
        <f t="shared" ca="1" si="3"/>
        <v>0</v>
      </c>
      <c r="H54" s="21">
        <v>39</v>
      </c>
      <c r="I54" s="107">
        <v>0.66765146702280542</v>
      </c>
      <c r="J54" s="108">
        <v>1.2241307242391009E-3</v>
      </c>
      <c r="K54" s="108"/>
      <c r="L54" s="108">
        <v>3.8600000000000002E-2</v>
      </c>
      <c r="O54" s="105"/>
    </row>
    <row r="55" spans="2:15" x14ac:dyDescent="0.2">
      <c r="B55" s="1">
        <v>40</v>
      </c>
      <c r="C55" s="106">
        <f t="shared" ca="1" si="0"/>
        <v>5.7456354976057042E-2</v>
      </c>
      <c r="D55" s="106">
        <f t="shared" ca="1" si="1"/>
        <v>0.66827897066214237</v>
      </c>
      <c r="E55" s="106">
        <f t="shared" ca="1" si="2"/>
        <v>0</v>
      </c>
      <c r="F55" s="21">
        <f t="shared" ca="1" si="3"/>
        <v>0</v>
      </c>
      <c r="H55" s="21">
        <v>40</v>
      </c>
      <c r="I55" s="107">
        <v>0.66766149997066049</v>
      </c>
      <c r="J55" s="108">
        <v>1.291403244423373E-3</v>
      </c>
      <c r="K55" s="108"/>
      <c r="L55" s="108">
        <v>3.78E-2</v>
      </c>
      <c r="O55" s="105"/>
    </row>
    <row r="56" spans="2:15" x14ac:dyDescent="0.2">
      <c r="B56" s="1">
        <v>41</v>
      </c>
      <c r="C56" s="106">
        <f t="shared" ca="1" si="0"/>
        <v>-1.3233264804665168</v>
      </c>
      <c r="D56" s="106">
        <f t="shared" ca="1" si="1"/>
        <v>0.58318441531459075</v>
      </c>
      <c r="E56" s="106">
        <f t="shared" ca="1" si="2"/>
        <v>0</v>
      </c>
      <c r="F56" s="21">
        <f t="shared" ca="1" si="3"/>
        <v>0</v>
      </c>
      <c r="H56" s="21">
        <v>41</v>
      </c>
      <c r="I56" s="107">
        <v>0.66759826686939183</v>
      </c>
      <c r="J56" s="108">
        <v>1.1373678505642703E-3</v>
      </c>
      <c r="K56" s="108"/>
      <c r="L56" s="108">
        <v>4.2000000000000003E-2</v>
      </c>
      <c r="O56" s="105"/>
    </row>
    <row r="57" spans="2:15" x14ac:dyDescent="0.2">
      <c r="B57" s="1">
        <v>42</v>
      </c>
      <c r="C57" s="106">
        <f t="shared" ca="1" si="0"/>
        <v>0.24222408347604454</v>
      </c>
      <c r="D57" s="106">
        <f t="shared" ca="1" si="1"/>
        <v>0.68057051618930919</v>
      </c>
      <c r="E57" s="106">
        <f t="shared" ca="1" si="2"/>
        <v>0</v>
      </c>
      <c r="F57" s="21">
        <f t="shared" ca="1" si="3"/>
        <v>0</v>
      </c>
      <c r="H57" s="21">
        <v>42</v>
      </c>
      <c r="I57" s="107">
        <v>0.66771425102698867</v>
      </c>
      <c r="J57" s="108">
        <v>1.3756342472869012E-3</v>
      </c>
      <c r="K57" s="108"/>
      <c r="L57" s="108">
        <v>3.78E-2</v>
      </c>
      <c r="O57" s="105"/>
    </row>
    <row r="58" spans="2:15" x14ac:dyDescent="0.2">
      <c r="B58" s="1">
        <v>43</v>
      </c>
      <c r="C58" s="106">
        <f t="shared" ca="1" si="0"/>
        <v>0.70083284459851913</v>
      </c>
      <c r="D58" s="106">
        <f t="shared" ca="1" si="1"/>
        <v>0.71206501255536081</v>
      </c>
      <c r="E58" s="106">
        <f t="shared" ca="1" si="2"/>
        <v>0</v>
      </c>
      <c r="F58" s="21">
        <f t="shared" ca="1" si="3"/>
        <v>0</v>
      </c>
      <c r="H58" s="21">
        <v>43</v>
      </c>
      <c r="I58" s="107">
        <v>0.6677557021748225</v>
      </c>
      <c r="J58" s="108">
        <v>1.4384099980270571E-3</v>
      </c>
      <c r="K58" s="108"/>
      <c r="L58" s="108">
        <v>4.24E-2</v>
      </c>
      <c r="O58" s="105"/>
    </row>
    <row r="59" spans="2:15" x14ac:dyDescent="0.2">
      <c r="B59" s="1">
        <v>44</v>
      </c>
      <c r="C59" s="106">
        <f t="shared" ca="1" si="0"/>
        <v>-0.5827122457335252</v>
      </c>
      <c r="D59" s="106">
        <f t="shared" ca="1" si="1"/>
        <v>0.62738389601853239</v>
      </c>
      <c r="E59" s="106">
        <f t="shared" ca="1" si="2"/>
        <v>0</v>
      </c>
      <c r="F59" s="21">
        <f t="shared" ca="1" si="3"/>
        <v>0</v>
      </c>
      <c r="H59" s="21">
        <v>44</v>
      </c>
      <c r="I59" s="107">
        <v>0.66793375101095898</v>
      </c>
      <c r="J59" s="108">
        <v>1.6346192940011402E-3</v>
      </c>
      <c r="K59" s="108"/>
      <c r="L59" s="108">
        <v>4.82E-2</v>
      </c>
      <c r="O59" s="105"/>
    </row>
    <row r="60" spans="2:15" x14ac:dyDescent="0.2">
      <c r="B60" s="1">
        <v>45</v>
      </c>
      <c r="C60" s="106">
        <f t="shared" ca="1" si="0"/>
        <v>1.7890441804785093</v>
      </c>
      <c r="D60" s="106">
        <f t="shared" ca="1" si="1"/>
        <v>0.79275310162366308</v>
      </c>
      <c r="E60" s="106">
        <f t="shared" ca="1" si="2"/>
        <v>4.5531016236630695E-3</v>
      </c>
      <c r="F60" s="21">
        <f t="shared" ca="1" si="3"/>
        <v>1</v>
      </c>
      <c r="H60" s="21">
        <v>45</v>
      </c>
      <c r="I60" s="107">
        <v>0.66785176911430333</v>
      </c>
      <c r="J60" s="108">
        <v>1.6359741276680243E-3</v>
      </c>
      <c r="K60" s="108"/>
      <c r="L60" s="108">
        <v>4.58E-2</v>
      </c>
      <c r="O60" s="105"/>
    </row>
    <row r="61" spans="2:15" x14ac:dyDescent="0.2">
      <c r="B61" s="1">
        <v>46</v>
      </c>
      <c r="C61" s="106">
        <f t="shared" ca="1" si="0"/>
        <v>-0.18293214079852577</v>
      </c>
      <c r="D61" s="106">
        <f t="shared" ca="1" si="1"/>
        <v>0.65261897985987671</v>
      </c>
      <c r="E61" s="106">
        <f t="shared" ca="1" si="2"/>
        <v>0</v>
      </c>
      <c r="F61" s="21">
        <f t="shared" ca="1" si="3"/>
        <v>0</v>
      </c>
      <c r="H61" s="21">
        <v>46</v>
      </c>
      <c r="I61" s="107">
        <v>0.66764657772232638</v>
      </c>
      <c r="J61" s="108">
        <v>1.2100157609033898E-3</v>
      </c>
      <c r="K61" s="108"/>
      <c r="L61" s="108">
        <v>4.0800000000000003E-2</v>
      </c>
      <c r="O61" s="105"/>
    </row>
    <row r="62" spans="2:15" x14ac:dyDescent="0.2">
      <c r="B62" s="1">
        <v>47</v>
      </c>
      <c r="C62" s="106">
        <f t="shared" ca="1" si="0"/>
        <v>0.79934236403868764</v>
      </c>
      <c r="D62" s="106">
        <f t="shared" ca="1" si="1"/>
        <v>0.71901795285559655</v>
      </c>
      <c r="E62" s="106">
        <f t="shared" ca="1" si="2"/>
        <v>0</v>
      </c>
      <c r="F62" s="21">
        <f t="shared" ca="1" si="3"/>
        <v>0</v>
      </c>
      <c r="H62" s="21">
        <v>47</v>
      </c>
      <c r="I62" s="107">
        <v>0.66780492577184225</v>
      </c>
      <c r="J62" s="108">
        <v>1.4459861441431055E-3</v>
      </c>
      <c r="K62" s="108"/>
      <c r="L62" s="108">
        <v>4.5600000000000002E-2</v>
      </c>
      <c r="O62" s="105"/>
    </row>
    <row r="63" spans="2:15" x14ac:dyDescent="0.2">
      <c r="B63" s="1">
        <v>48</v>
      </c>
      <c r="C63" s="106">
        <f t="shared" ca="1" si="0"/>
        <v>-0.29207710557581251</v>
      </c>
      <c r="D63" s="106">
        <f t="shared" ca="1" si="1"/>
        <v>0.64563043830737088</v>
      </c>
      <c r="E63" s="106">
        <f t="shared" ca="1" si="2"/>
        <v>0</v>
      </c>
      <c r="F63" s="21">
        <f t="shared" ca="1" si="3"/>
        <v>0</v>
      </c>
      <c r="H63" s="21">
        <v>48</v>
      </c>
      <c r="I63" s="107">
        <v>0.66778654546663141</v>
      </c>
      <c r="J63" s="108">
        <v>1.3857537792685533E-3</v>
      </c>
      <c r="K63" s="108"/>
      <c r="L63" s="108">
        <v>4.4999999999999998E-2</v>
      </c>
      <c r="O63" s="105"/>
    </row>
    <row r="64" spans="2:15" x14ac:dyDescent="0.2">
      <c r="B64" s="1">
        <v>49</v>
      </c>
      <c r="C64" s="106">
        <f t="shared" ca="1" si="0"/>
        <v>-0.8088575110147318</v>
      </c>
      <c r="D64" s="106">
        <f t="shared" ca="1" si="1"/>
        <v>0.61354361814104041</v>
      </c>
      <c r="E64" s="106">
        <f t="shared" ca="1" si="2"/>
        <v>0</v>
      </c>
      <c r="F64" s="21">
        <f t="shared" ca="1" si="3"/>
        <v>0</v>
      </c>
      <c r="H64" s="21">
        <v>49</v>
      </c>
      <c r="I64" s="107">
        <v>0.6676999361857775</v>
      </c>
      <c r="J64" s="108">
        <v>1.3522853860392463E-3</v>
      </c>
      <c r="K64" s="108"/>
      <c r="L64" s="108">
        <v>4.02E-2</v>
      </c>
      <c r="O64" s="105"/>
    </row>
    <row r="65" spans="2:15" x14ac:dyDescent="0.2">
      <c r="B65" s="1">
        <v>50</v>
      </c>
      <c r="C65" s="106">
        <f t="shared" ca="1" si="0"/>
        <v>-0.1630221007292722</v>
      </c>
      <c r="D65" s="106">
        <f t="shared" ca="1" si="1"/>
        <v>0.65390195213517188</v>
      </c>
      <c r="E65" s="106">
        <f t="shared" ca="1" si="2"/>
        <v>0</v>
      </c>
      <c r="F65" s="21">
        <f t="shared" ca="1" si="3"/>
        <v>0</v>
      </c>
      <c r="H65" s="21">
        <v>50</v>
      </c>
      <c r="I65" s="107">
        <v>0.66771243519093348</v>
      </c>
      <c r="J65" s="108">
        <v>1.2618947975351976E-3</v>
      </c>
      <c r="K65" s="108"/>
      <c r="L65" s="108">
        <v>4.0800000000000003E-2</v>
      </c>
      <c r="O65" s="105"/>
    </row>
    <row r="66" spans="2:15" x14ac:dyDescent="0.2">
      <c r="B66" s="1">
        <v>51</v>
      </c>
      <c r="C66" s="106">
        <f t="shared" ca="1" si="0"/>
        <v>0.40378499638702792</v>
      </c>
      <c r="D66" s="106">
        <f t="shared" ca="1" si="1"/>
        <v>0.69150336923398736</v>
      </c>
      <c r="E66" s="106">
        <f t="shared" ca="1" si="2"/>
        <v>0</v>
      </c>
      <c r="F66" s="21">
        <f t="shared" ca="1" si="3"/>
        <v>0</v>
      </c>
      <c r="H66" s="21">
        <v>51</v>
      </c>
      <c r="I66" s="107">
        <v>0.66766896033924827</v>
      </c>
      <c r="J66" s="108">
        <v>1.2980253997059131E-3</v>
      </c>
      <c r="K66" s="108"/>
      <c r="L66" s="108">
        <v>3.8600000000000002E-2</v>
      </c>
      <c r="O66" s="105"/>
    </row>
    <row r="67" spans="2:15" x14ac:dyDescent="0.2">
      <c r="B67" s="1">
        <v>52</v>
      </c>
      <c r="C67" s="106">
        <f t="shared" ca="1" si="0"/>
        <v>1.6532705083591566</v>
      </c>
      <c r="D67" s="106">
        <f t="shared" ca="1" si="1"/>
        <v>0.78220662413088982</v>
      </c>
      <c r="E67" s="106">
        <f t="shared" ca="1" si="2"/>
        <v>0</v>
      </c>
      <c r="F67" s="21">
        <f t="shared" ca="1" si="3"/>
        <v>0</v>
      </c>
      <c r="H67" s="21">
        <v>52</v>
      </c>
      <c r="I67" s="107">
        <v>0.66762513728022954</v>
      </c>
      <c r="J67" s="108">
        <v>1.3009193696010368E-3</v>
      </c>
      <c r="K67" s="108"/>
      <c r="L67" s="108">
        <v>4.02E-2</v>
      </c>
      <c r="O67" s="105"/>
    </row>
    <row r="68" spans="2:15" x14ac:dyDescent="0.2">
      <c r="B68" s="1">
        <v>53</v>
      </c>
      <c r="C68" s="106">
        <f t="shared" ca="1" si="0"/>
        <v>0.1448253854981513</v>
      </c>
      <c r="D68" s="106">
        <f t="shared" ca="1" si="1"/>
        <v>0.67406321958044668</v>
      </c>
      <c r="E68" s="106">
        <f t="shared" ca="1" si="2"/>
        <v>0</v>
      </c>
      <c r="F68" s="21">
        <f t="shared" ca="1" si="3"/>
        <v>0</v>
      </c>
      <c r="H68" s="21">
        <v>53</v>
      </c>
      <c r="I68" s="107">
        <v>0.66771588789130698</v>
      </c>
      <c r="J68" s="108">
        <v>1.4226209726838157E-3</v>
      </c>
      <c r="K68" s="108"/>
      <c r="L68" s="108">
        <v>4.24E-2</v>
      </c>
      <c r="O68" s="105"/>
    </row>
    <row r="69" spans="2:15" x14ac:dyDescent="0.2">
      <c r="B69" s="1">
        <v>54</v>
      </c>
      <c r="C69" s="106">
        <f t="shared" ca="1" si="0"/>
        <v>-1.0970629379987569</v>
      </c>
      <c r="D69" s="106">
        <f t="shared" ca="1" si="1"/>
        <v>0.59634680977617549</v>
      </c>
      <c r="E69" s="106">
        <f t="shared" ca="1" si="2"/>
        <v>0</v>
      </c>
      <c r="F69" s="21">
        <f t="shared" ca="1" si="3"/>
        <v>0</v>
      </c>
      <c r="H69" s="21">
        <v>54</v>
      </c>
      <c r="I69" s="107">
        <v>0.66792076353679386</v>
      </c>
      <c r="J69" s="108">
        <v>1.5485773612509163E-3</v>
      </c>
      <c r="K69" s="108"/>
      <c r="L69" s="108">
        <v>4.48E-2</v>
      </c>
      <c r="O69" s="105"/>
    </row>
    <row r="70" spans="2:15" x14ac:dyDescent="0.2">
      <c r="B70" s="1">
        <v>55</v>
      </c>
      <c r="C70" s="106">
        <f t="shared" ca="1" si="0"/>
        <v>-0.40419422872296601</v>
      </c>
      <c r="D70" s="106">
        <f t="shared" ca="1" si="1"/>
        <v>0.63852950322516433</v>
      </c>
      <c r="E70" s="106">
        <f t="shared" ca="1" si="2"/>
        <v>0</v>
      </c>
      <c r="F70" s="21">
        <f t="shared" ca="1" si="3"/>
        <v>0</v>
      </c>
      <c r="H70" s="21">
        <v>55</v>
      </c>
      <c r="I70" s="107">
        <v>0.66777547305299711</v>
      </c>
      <c r="J70" s="108">
        <v>1.436987670344693E-3</v>
      </c>
      <c r="K70" s="108"/>
      <c r="L70" s="108">
        <v>4.3799999999999999E-2</v>
      </c>
      <c r="O70" s="105"/>
    </row>
    <row r="71" spans="2:15" x14ac:dyDescent="0.2">
      <c r="B71" s="1">
        <v>56</v>
      </c>
      <c r="C71" s="106">
        <f t="shared" ca="1" si="0"/>
        <v>-0.95554690442571211</v>
      </c>
      <c r="D71" s="106">
        <f t="shared" ca="1" si="1"/>
        <v>0.60472978542374112</v>
      </c>
      <c r="E71" s="106">
        <f t="shared" ca="1" si="2"/>
        <v>0</v>
      </c>
      <c r="F71" s="21">
        <f t="shared" ca="1" si="3"/>
        <v>0</v>
      </c>
      <c r="H71" s="21">
        <v>56</v>
      </c>
      <c r="I71" s="107">
        <v>0.6677080886433</v>
      </c>
      <c r="J71" s="108">
        <v>1.4397783513700922E-3</v>
      </c>
      <c r="K71" s="108"/>
      <c r="L71" s="108">
        <v>4.2799999999999998E-2</v>
      </c>
      <c r="O71" s="105"/>
    </row>
    <row r="72" spans="2:15" x14ac:dyDescent="0.2">
      <c r="B72" s="1">
        <v>57</v>
      </c>
      <c r="C72" s="106">
        <f t="shared" ca="1" si="0"/>
        <v>-0.88211735830876936</v>
      </c>
      <c r="D72" s="106">
        <f t="shared" ca="1" si="1"/>
        <v>0.60912585838680577</v>
      </c>
      <c r="E72" s="106">
        <f t="shared" ca="1" si="2"/>
        <v>0</v>
      </c>
      <c r="F72" s="21">
        <f t="shared" ca="1" si="3"/>
        <v>0</v>
      </c>
      <c r="H72" s="21">
        <v>57</v>
      </c>
      <c r="I72" s="107">
        <v>0.66763797403285496</v>
      </c>
      <c r="J72" s="108">
        <v>1.1946751712970376E-3</v>
      </c>
      <c r="K72" s="108"/>
      <c r="L72" s="108">
        <v>3.9800000000000002E-2</v>
      </c>
      <c r="O72" s="105"/>
    </row>
    <row r="73" spans="2:15" x14ac:dyDescent="0.2">
      <c r="B73" s="1">
        <v>58</v>
      </c>
      <c r="C73" s="106">
        <f t="shared" ca="1" si="0"/>
        <v>-0.25039493878641894</v>
      </c>
      <c r="D73" s="106">
        <f t="shared" ca="1" si="1"/>
        <v>0.64829046693045778</v>
      </c>
      <c r="E73" s="106">
        <f t="shared" ca="1" si="2"/>
        <v>0</v>
      </c>
      <c r="F73" s="21">
        <f t="shared" ca="1" si="3"/>
        <v>0</v>
      </c>
      <c r="H73" s="21">
        <v>58</v>
      </c>
      <c r="I73" s="107">
        <v>0.66779097458401404</v>
      </c>
      <c r="J73" s="108">
        <v>1.4450337428830373E-3</v>
      </c>
      <c r="K73" s="108"/>
      <c r="L73" s="108">
        <v>4.2999999999999997E-2</v>
      </c>
      <c r="O73" s="105"/>
    </row>
    <row r="74" spans="2:15" x14ac:dyDescent="0.2">
      <c r="B74" s="1">
        <v>59</v>
      </c>
      <c r="C74" s="106">
        <f t="shared" ca="1" si="0"/>
        <v>-1.2980930154082011</v>
      </c>
      <c r="D74" s="106">
        <f t="shared" ca="1" si="1"/>
        <v>0.58463780578189362</v>
      </c>
      <c r="E74" s="106">
        <f t="shared" ca="1" si="2"/>
        <v>0</v>
      </c>
      <c r="F74" s="21">
        <f t="shared" ca="1" si="3"/>
        <v>0</v>
      </c>
      <c r="H74" s="21">
        <v>59</v>
      </c>
      <c r="I74" s="107">
        <v>0.66759590459492824</v>
      </c>
      <c r="J74" s="108">
        <v>1.1670854638563407E-3</v>
      </c>
      <c r="K74" s="108"/>
      <c r="L74" s="108">
        <v>3.7999999999999999E-2</v>
      </c>
      <c r="O74" s="105"/>
    </row>
    <row r="75" spans="2:15" x14ac:dyDescent="0.2">
      <c r="B75" s="1">
        <v>60</v>
      </c>
      <c r="C75" s="106">
        <f t="shared" ca="1" si="0"/>
        <v>-1.3502085327806126</v>
      </c>
      <c r="D75" s="106">
        <f t="shared" ca="1" si="1"/>
        <v>0.58164004461232421</v>
      </c>
      <c r="E75" s="106">
        <f t="shared" ca="1" si="2"/>
        <v>0</v>
      </c>
      <c r="F75" s="21">
        <f t="shared" ca="1" si="3"/>
        <v>0</v>
      </c>
      <c r="H75" s="21">
        <v>60</v>
      </c>
      <c r="I75" s="107">
        <v>0.66758759588789718</v>
      </c>
      <c r="J75" s="108">
        <v>1.1941744049791165E-3</v>
      </c>
      <c r="K75" s="108"/>
      <c r="L75" s="108">
        <v>3.6799999999999999E-2</v>
      </c>
      <c r="O75" s="105"/>
    </row>
    <row r="76" spans="2:15" x14ac:dyDescent="0.2">
      <c r="B76" s="1">
        <v>61</v>
      </c>
      <c r="C76" s="106">
        <f t="shared" ca="1" si="0"/>
        <v>0.21958078821709387</v>
      </c>
      <c r="D76" s="106">
        <f t="shared" ca="1" si="1"/>
        <v>0.67905211428861578</v>
      </c>
      <c r="E76" s="106">
        <f t="shared" ca="1" si="2"/>
        <v>0</v>
      </c>
      <c r="F76" s="21">
        <f t="shared" ca="1" si="3"/>
        <v>0</v>
      </c>
      <c r="H76" s="21">
        <v>61</v>
      </c>
      <c r="I76" s="107">
        <v>0.66791413807009925</v>
      </c>
      <c r="J76" s="108">
        <v>1.647271173918692E-3</v>
      </c>
      <c r="K76" s="108"/>
      <c r="L76" s="108">
        <v>4.6600000000000003E-2</v>
      </c>
      <c r="O76" s="105"/>
    </row>
    <row r="77" spans="2:15" x14ac:dyDescent="0.2">
      <c r="B77" s="1">
        <v>62</v>
      </c>
      <c r="C77" s="106">
        <f t="shared" ca="1" si="0"/>
        <v>-0.95325321568698262</v>
      </c>
      <c r="D77" s="106">
        <f t="shared" ca="1" si="1"/>
        <v>0.60486662252764312</v>
      </c>
      <c r="E77" s="106">
        <f t="shared" ca="1" si="2"/>
        <v>0</v>
      </c>
      <c r="F77" s="21">
        <f t="shared" ca="1" si="3"/>
        <v>0</v>
      </c>
      <c r="H77" s="21">
        <v>62</v>
      </c>
      <c r="I77" s="107">
        <v>0.66760348754519772</v>
      </c>
      <c r="J77" s="108">
        <v>1.2970257014129297E-3</v>
      </c>
      <c r="K77" s="108"/>
      <c r="L77" s="108">
        <v>3.8800000000000001E-2</v>
      </c>
      <c r="O77" s="105"/>
    </row>
    <row r="78" spans="2:15" x14ac:dyDescent="0.2">
      <c r="B78" s="1">
        <v>63</v>
      </c>
      <c r="C78" s="106">
        <f t="shared" ca="1" si="0"/>
        <v>0.91520719791435612</v>
      </c>
      <c r="D78" s="106">
        <f t="shared" ca="1" si="1"/>
        <v>0.72728279248419858</v>
      </c>
      <c r="E78" s="106">
        <f t="shared" ca="1" si="2"/>
        <v>0</v>
      </c>
      <c r="F78" s="21">
        <f t="shared" ca="1" si="3"/>
        <v>0</v>
      </c>
      <c r="H78" s="21">
        <v>63</v>
      </c>
      <c r="I78" s="107">
        <v>0.66764192273402734</v>
      </c>
      <c r="J78" s="108">
        <v>1.2563507354135044E-3</v>
      </c>
      <c r="K78" s="108"/>
      <c r="L78" s="108">
        <v>3.8399999999999997E-2</v>
      </c>
      <c r="O78" s="105"/>
    </row>
    <row r="79" spans="2:15" x14ac:dyDescent="0.2">
      <c r="B79" s="1">
        <v>64</v>
      </c>
      <c r="C79" s="106">
        <f t="shared" ca="1" si="0"/>
        <v>-0.87720329766833238</v>
      </c>
      <c r="D79" s="106">
        <f t="shared" ca="1" si="1"/>
        <v>0.60942119120553806</v>
      </c>
      <c r="E79" s="106">
        <f t="shared" ca="1" si="2"/>
        <v>0</v>
      </c>
      <c r="F79" s="21">
        <f t="shared" ca="1" si="3"/>
        <v>0</v>
      </c>
      <c r="H79" s="21">
        <v>64</v>
      </c>
      <c r="I79" s="107">
        <v>0.66783201924483504</v>
      </c>
      <c r="J79" s="108">
        <v>1.6298606278258017E-3</v>
      </c>
      <c r="K79" s="108"/>
      <c r="L79" s="108">
        <v>4.5400000000000003E-2</v>
      </c>
      <c r="O79" s="105"/>
    </row>
    <row r="80" spans="2:15" x14ac:dyDescent="0.2">
      <c r="B80" s="1">
        <v>65</v>
      </c>
      <c r="C80" s="106">
        <f t="shared" ref="C80:C143" ca="1" si="4">_xlfn.NORM.S.INV(RAND())</f>
        <v>-0.48197320453505765</v>
      </c>
      <c r="D80" s="106">
        <f t="shared" ref="D80:D143" ca="1" si="5">S0*EXP((μ-0.5*σ*σ)*T+σ*SQRT(T)*$C80)</f>
        <v>0.63364930848124079</v>
      </c>
      <c r="E80" s="106">
        <f t="shared" ref="E80:E143" ca="1" si="6">MAX(0,CP*(D80-K))</f>
        <v>0</v>
      </c>
      <c r="F80" s="21">
        <f t="shared" ref="F80:F143" ca="1" si="7">(CP*(D80-K)&gt;0)*1</f>
        <v>0</v>
      </c>
      <c r="H80" s="21">
        <v>65</v>
      </c>
      <c r="I80" s="107">
        <v>0.6677171273671515</v>
      </c>
      <c r="J80" s="108">
        <v>1.3483222164971159E-3</v>
      </c>
      <c r="K80" s="108"/>
      <c r="L80" s="108">
        <v>4.2999999999999997E-2</v>
      </c>
      <c r="O80" s="105"/>
    </row>
    <row r="81" spans="2:15" x14ac:dyDescent="0.2">
      <c r="B81" s="1">
        <v>66</v>
      </c>
      <c r="C81" s="106">
        <f t="shared" ca="1" si="4"/>
        <v>-0.78569233670218397</v>
      </c>
      <c r="D81" s="106">
        <f t="shared" ca="1" si="5"/>
        <v>0.61494719500757522</v>
      </c>
      <c r="E81" s="106">
        <f t="shared" ca="1" si="6"/>
        <v>0</v>
      </c>
      <c r="F81" s="21">
        <f t="shared" ca="1" si="7"/>
        <v>0</v>
      </c>
      <c r="H81" s="21">
        <v>66</v>
      </c>
      <c r="I81" s="107">
        <v>0.66775333070333998</v>
      </c>
      <c r="J81" s="108">
        <v>1.4144575751252339E-3</v>
      </c>
      <c r="K81" s="108"/>
      <c r="L81" s="108">
        <v>4.02E-2</v>
      </c>
      <c r="O81" s="105"/>
    </row>
    <row r="82" spans="2:15" x14ac:dyDescent="0.2">
      <c r="B82" s="1">
        <v>67</v>
      </c>
      <c r="C82" s="106">
        <f t="shared" ca="1" si="4"/>
        <v>-0.20848875189766342</v>
      </c>
      <c r="D82" s="106">
        <f t="shared" ca="1" si="5"/>
        <v>0.65097583987064933</v>
      </c>
      <c r="E82" s="106">
        <f t="shared" ca="1" si="6"/>
        <v>0</v>
      </c>
      <c r="F82" s="21">
        <f t="shared" ca="1" si="7"/>
        <v>0</v>
      </c>
      <c r="H82" s="21">
        <v>67</v>
      </c>
      <c r="I82" s="107">
        <v>0.66756857262168345</v>
      </c>
      <c r="J82" s="108">
        <v>1.0501779050403291E-3</v>
      </c>
      <c r="K82" s="108"/>
      <c r="L82" s="108">
        <v>3.5999999999999997E-2</v>
      </c>
      <c r="O82" s="105"/>
    </row>
    <row r="83" spans="2:15" x14ac:dyDescent="0.2">
      <c r="B83" s="1">
        <v>68</v>
      </c>
      <c r="C83" s="106">
        <f t="shared" ca="1" si="4"/>
        <v>0.49747842357363004</v>
      </c>
      <c r="D83" s="106">
        <f t="shared" ca="1" si="5"/>
        <v>0.69792389741159344</v>
      </c>
      <c r="E83" s="106">
        <f t="shared" ca="1" si="6"/>
        <v>0</v>
      </c>
      <c r="F83" s="21">
        <f t="shared" ca="1" si="7"/>
        <v>0</v>
      </c>
      <c r="H83" s="21">
        <v>68</v>
      </c>
      <c r="I83" s="107">
        <v>0.6677462731738707</v>
      </c>
      <c r="J83" s="108">
        <v>1.2603230664155125E-3</v>
      </c>
      <c r="K83" s="108"/>
      <c r="L83" s="108">
        <v>4.0399999999999998E-2</v>
      </c>
      <c r="O83" s="105"/>
    </row>
    <row r="84" spans="2:15" x14ac:dyDescent="0.2">
      <c r="B84" s="1">
        <v>69</v>
      </c>
      <c r="C84" s="106">
        <f t="shared" ca="1" si="4"/>
        <v>-1.1316344036742554</v>
      </c>
      <c r="D84" s="106">
        <f t="shared" ca="1" si="5"/>
        <v>0.59431662627834136</v>
      </c>
      <c r="E84" s="106">
        <f t="shared" ca="1" si="6"/>
        <v>0</v>
      </c>
      <c r="F84" s="21">
        <f t="shared" ca="1" si="7"/>
        <v>0</v>
      </c>
      <c r="H84" s="21">
        <v>69</v>
      </c>
      <c r="I84" s="107">
        <v>0.667648027220892</v>
      </c>
      <c r="J84" s="108">
        <v>1.2627890745663868E-3</v>
      </c>
      <c r="K84" s="108"/>
      <c r="L84" s="108">
        <v>3.9800000000000002E-2</v>
      </c>
      <c r="O84" s="105"/>
    </row>
    <row r="85" spans="2:15" x14ac:dyDescent="0.2">
      <c r="B85" s="1">
        <v>70</v>
      </c>
      <c r="C85" s="106">
        <f t="shared" ca="1" si="4"/>
        <v>0.89848553350389293</v>
      </c>
      <c r="D85" s="106">
        <f t="shared" ca="1" si="5"/>
        <v>0.72608416676410459</v>
      </c>
      <c r="E85" s="106">
        <f t="shared" ca="1" si="6"/>
        <v>0</v>
      </c>
      <c r="F85" s="21">
        <f t="shared" ca="1" si="7"/>
        <v>0</v>
      </c>
      <c r="H85" s="21">
        <v>70</v>
      </c>
      <c r="I85" s="107">
        <v>0.66774136856295252</v>
      </c>
      <c r="J85" s="108">
        <v>1.4459450371589787E-3</v>
      </c>
      <c r="K85" s="108"/>
      <c r="L85" s="108">
        <v>4.36E-2</v>
      </c>
      <c r="O85" s="105"/>
    </row>
    <row r="86" spans="2:15" x14ac:dyDescent="0.2">
      <c r="B86" s="1">
        <v>71</v>
      </c>
      <c r="C86" s="106">
        <f t="shared" ca="1" si="4"/>
        <v>0.63461617329881526</v>
      </c>
      <c r="D86" s="106">
        <f t="shared" ca="1" si="5"/>
        <v>0.70742917377476378</v>
      </c>
      <c r="E86" s="106">
        <f t="shared" ca="1" si="6"/>
        <v>0</v>
      </c>
      <c r="F86" s="21">
        <f t="shared" ca="1" si="7"/>
        <v>0</v>
      </c>
      <c r="H86" s="21">
        <v>71</v>
      </c>
      <c r="I86" s="107">
        <v>0.66786485729019007</v>
      </c>
      <c r="J86" s="108">
        <v>1.4475218125596498E-3</v>
      </c>
      <c r="K86" s="108"/>
      <c r="L86" s="108">
        <v>4.4999999999999998E-2</v>
      </c>
      <c r="O86" s="105"/>
    </row>
    <row r="87" spans="2:15" x14ac:dyDescent="0.2">
      <c r="B87" s="1">
        <v>72</v>
      </c>
      <c r="C87" s="106">
        <f t="shared" ca="1" si="4"/>
        <v>-0.98633358145531136</v>
      </c>
      <c r="D87" s="106">
        <f t="shared" ca="1" si="5"/>
        <v>0.60289610435174223</v>
      </c>
      <c r="E87" s="106">
        <f t="shared" ca="1" si="6"/>
        <v>0</v>
      </c>
      <c r="F87" s="21">
        <f t="shared" ca="1" si="7"/>
        <v>0</v>
      </c>
      <c r="H87" s="21">
        <v>72</v>
      </c>
      <c r="I87" s="107">
        <v>0.66769405577673557</v>
      </c>
      <c r="J87" s="108">
        <v>1.1861798666712221E-3</v>
      </c>
      <c r="K87" s="108"/>
      <c r="L87" s="108">
        <v>4.0800000000000003E-2</v>
      </c>
      <c r="O87" s="105"/>
    </row>
    <row r="88" spans="2:15" x14ac:dyDescent="0.2">
      <c r="B88" s="1">
        <v>73</v>
      </c>
      <c r="C88" s="106">
        <f t="shared" ca="1" si="4"/>
        <v>3.112441795474497</v>
      </c>
      <c r="D88" s="106">
        <f t="shared" ca="1" si="5"/>
        <v>0.90329891333125223</v>
      </c>
      <c r="E88" s="106">
        <f t="shared" ca="1" si="6"/>
        <v>0.11509891333125222</v>
      </c>
      <c r="F88" s="21">
        <f t="shared" ca="1" si="7"/>
        <v>1</v>
      </c>
      <c r="H88" s="21">
        <v>73</v>
      </c>
      <c r="I88" s="107">
        <v>0.66774469096625777</v>
      </c>
      <c r="J88" s="108">
        <v>1.4785735222824033E-3</v>
      </c>
      <c r="K88" s="108"/>
      <c r="L88" s="108">
        <v>4.24E-2</v>
      </c>
      <c r="O88" s="105"/>
    </row>
    <row r="89" spans="2:15" x14ac:dyDescent="0.2">
      <c r="B89" s="1">
        <v>74</v>
      </c>
      <c r="C89" s="106">
        <f t="shared" ca="1" si="4"/>
        <v>-0.78316483541662629</v>
      </c>
      <c r="D89" s="106">
        <f t="shared" ca="1" si="5"/>
        <v>0.61510053034390499</v>
      </c>
      <c r="E89" s="106">
        <f t="shared" ca="1" si="6"/>
        <v>0</v>
      </c>
      <c r="F89" s="21">
        <f t="shared" ca="1" si="7"/>
        <v>0</v>
      </c>
      <c r="H89" s="21">
        <v>74</v>
      </c>
      <c r="I89" s="107">
        <v>0.66792538869111506</v>
      </c>
      <c r="J89" s="108">
        <v>1.4442774668420937E-3</v>
      </c>
      <c r="K89" s="108"/>
      <c r="L89" s="108">
        <v>4.4999999999999998E-2</v>
      </c>
      <c r="O89" s="105"/>
    </row>
    <row r="90" spans="2:15" x14ac:dyDescent="0.2">
      <c r="B90" s="1">
        <v>75</v>
      </c>
      <c r="C90" s="106">
        <f t="shared" ca="1" si="4"/>
        <v>0.19007239609967969</v>
      </c>
      <c r="D90" s="106">
        <f t="shared" ca="1" si="5"/>
        <v>0.67707843926637412</v>
      </c>
      <c r="E90" s="106">
        <f t="shared" ca="1" si="6"/>
        <v>0</v>
      </c>
      <c r="F90" s="21">
        <f t="shared" ca="1" si="7"/>
        <v>0</v>
      </c>
      <c r="H90" s="21">
        <v>75</v>
      </c>
      <c r="I90" s="107">
        <v>0.66752813495426466</v>
      </c>
      <c r="J90" s="108">
        <v>1.0600503373746305E-3</v>
      </c>
      <c r="K90" s="108"/>
      <c r="L90" s="108">
        <v>3.56E-2</v>
      </c>
      <c r="O90" s="105"/>
    </row>
    <row r="91" spans="2:15" x14ac:dyDescent="0.2">
      <c r="B91" s="1">
        <v>76</v>
      </c>
      <c r="C91" s="106">
        <f t="shared" ca="1" si="4"/>
        <v>-0.18855090453828857</v>
      </c>
      <c r="D91" s="106">
        <f t="shared" ca="1" si="5"/>
        <v>0.65225737103125858</v>
      </c>
      <c r="E91" s="106">
        <f t="shared" ca="1" si="6"/>
        <v>0</v>
      </c>
      <c r="F91" s="21">
        <f t="shared" ca="1" si="7"/>
        <v>0</v>
      </c>
      <c r="H91" s="21">
        <v>76</v>
      </c>
      <c r="I91" s="107">
        <v>0.66774604466050513</v>
      </c>
      <c r="J91" s="108">
        <v>1.4825568775748855E-3</v>
      </c>
      <c r="K91" s="108"/>
      <c r="L91" s="108">
        <v>4.2200000000000001E-2</v>
      </c>
      <c r="O91" s="105"/>
    </row>
    <row r="92" spans="2:15" x14ac:dyDescent="0.2">
      <c r="B92" s="1">
        <v>77</v>
      </c>
      <c r="C92" s="106">
        <f t="shared" ca="1" si="4"/>
        <v>0.81838228078033948</v>
      </c>
      <c r="D92" s="106">
        <f t="shared" ca="1" si="5"/>
        <v>0.72036962565045515</v>
      </c>
      <c r="E92" s="106">
        <f t="shared" ca="1" si="6"/>
        <v>0</v>
      </c>
      <c r="F92" s="21">
        <f t="shared" ca="1" si="7"/>
        <v>0</v>
      </c>
      <c r="H92" s="21">
        <v>77</v>
      </c>
      <c r="I92" s="107">
        <v>0.66780593134775312</v>
      </c>
      <c r="J92" s="108">
        <v>1.3549632398427269E-3</v>
      </c>
      <c r="K92" s="108"/>
      <c r="L92" s="108">
        <v>0.04</v>
      </c>
      <c r="O92" s="105"/>
    </row>
    <row r="93" spans="2:15" x14ac:dyDescent="0.2">
      <c r="B93" s="1">
        <v>78</v>
      </c>
      <c r="C93" s="106">
        <f t="shared" ca="1" si="4"/>
        <v>-0.58142866347622324</v>
      </c>
      <c r="D93" s="106">
        <f t="shared" ca="1" si="5"/>
        <v>0.62746333679255728</v>
      </c>
      <c r="E93" s="106">
        <f t="shared" ca="1" si="6"/>
        <v>0</v>
      </c>
      <c r="F93" s="21">
        <f t="shared" ca="1" si="7"/>
        <v>0</v>
      </c>
      <c r="H93" s="21">
        <v>78</v>
      </c>
      <c r="I93" s="107">
        <v>0.66770430087038546</v>
      </c>
      <c r="J93" s="108">
        <v>1.3477155313206997E-3</v>
      </c>
      <c r="K93" s="108"/>
      <c r="L93" s="108">
        <v>4.24E-2</v>
      </c>
      <c r="O93" s="105"/>
    </row>
    <row r="94" spans="2:15" x14ac:dyDescent="0.2">
      <c r="B94" s="1">
        <v>79</v>
      </c>
      <c r="C94" s="106">
        <f t="shared" ca="1" si="4"/>
        <v>1.6102711833098631</v>
      </c>
      <c r="D94" s="106">
        <f t="shared" ca="1" si="5"/>
        <v>0.77889591274814018</v>
      </c>
      <c r="E94" s="106">
        <f t="shared" ca="1" si="6"/>
        <v>0</v>
      </c>
      <c r="F94" s="21">
        <f t="shared" ca="1" si="7"/>
        <v>0</v>
      </c>
      <c r="H94" s="21">
        <v>79</v>
      </c>
      <c r="I94" s="107">
        <v>0.66763949764750907</v>
      </c>
      <c r="J94" s="108">
        <v>1.2298466446830966E-3</v>
      </c>
      <c r="K94" s="108"/>
      <c r="L94" s="108">
        <v>3.9800000000000002E-2</v>
      </c>
      <c r="O94" s="105"/>
    </row>
    <row r="95" spans="2:15" x14ac:dyDescent="0.2">
      <c r="B95" s="1">
        <v>80</v>
      </c>
      <c r="C95" s="106">
        <f t="shared" ca="1" si="4"/>
        <v>1.4872856923947158</v>
      </c>
      <c r="D95" s="106">
        <f t="shared" ca="1" si="5"/>
        <v>0.76950385927730325</v>
      </c>
      <c r="E95" s="106">
        <f t="shared" ca="1" si="6"/>
        <v>0</v>
      </c>
      <c r="F95" s="21">
        <f t="shared" ca="1" si="7"/>
        <v>0</v>
      </c>
      <c r="H95" s="21">
        <v>80</v>
      </c>
      <c r="I95" s="107">
        <v>0.66777391885064208</v>
      </c>
      <c r="J95" s="108">
        <v>1.3575898044004657E-3</v>
      </c>
      <c r="K95" s="108"/>
      <c r="L95" s="108">
        <v>4.2000000000000003E-2</v>
      </c>
      <c r="O95" s="105"/>
    </row>
    <row r="96" spans="2:15" x14ac:dyDescent="0.2">
      <c r="B96" s="1">
        <v>81</v>
      </c>
      <c r="C96" s="106">
        <f t="shared" ca="1" si="4"/>
        <v>-1.0329353748378665</v>
      </c>
      <c r="D96" s="106">
        <f t="shared" ca="1" si="5"/>
        <v>0.60013103394190148</v>
      </c>
      <c r="E96" s="106">
        <f t="shared" ca="1" si="6"/>
        <v>0</v>
      </c>
      <c r="F96" s="21">
        <f t="shared" ca="1" si="7"/>
        <v>0</v>
      </c>
      <c r="H96" s="21">
        <v>81</v>
      </c>
      <c r="I96" s="107">
        <v>0.6677931633639409</v>
      </c>
      <c r="J96" s="108">
        <v>1.3799903871331547E-3</v>
      </c>
      <c r="K96" s="108"/>
      <c r="L96" s="108">
        <v>4.2200000000000001E-2</v>
      </c>
      <c r="O96" s="105"/>
    </row>
    <row r="97" spans="2:15" x14ac:dyDescent="0.2">
      <c r="B97" s="1">
        <v>82</v>
      </c>
      <c r="C97" s="106">
        <f t="shared" ca="1" si="4"/>
        <v>-1.4141341961173139</v>
      </c>
      <c r="D97" s="106">
        <f t="shared" ca="1" si="5"/>
        <v>0.57798392921768682</v>
      </c>
      <c r="E97" s="106">
        <f t="shared" ca="1" si="6"/>
        <v>0</v>
      </c>
      <c r="F97" s="21">
        <f t="shared" ca="1" si="7"/>
        <v>0</v>
      </c>
      <c r="H97" s="21">
        <v>82</v>
      </c>
      <c r="I97" s="107">
        <v>0.66755137918850238</v>
      </c>
      <c r="J97" s="108">
        <v>1.1152809579121189E-3</v>
      </c>
      <c r="K97" s="108"/>
      <c r="L97" s="108">
        <v>3.7400000000000003E-2</v>
      </c>
      <c r="O97" s="105"/>
    </row>
    <row r="98" spans="2:15" x14ac:dyDescent="0.2">
      <c r="B98" s="1">
        <v>83</v>
      </c>
      <c r="C98" s="106">
        <f t="shared" ca="1" si="4"/>
        <v>0.49626441398456983</v>
      </c>
      <c r="D98" s="106">
        <f t="shared" ca="1" si="5"/>
        <v>0.69784032497133708</v>
      </c>
      <c r="E98" s="106">
        <f t="shared" ca="1" si="6"/>
        <v>0</v>
      </c>
      <c r="F98" s="21">
        <f t="shared" ca="1" si="7"/>
        <v>0</v>
      </c>
      <c r="H98" s="21">
        <v>83</v>
      </c>
      <c r="I98" s="107">
        <v>0.66763359661926647</v>
      </c>
      <c r="J98" s="108">
        <v>1.1931017757718094E-3</v>
      </c>
      <c r="K98" s="108"/>
      <c r="L98" s="108">
        <v>3.7199999999999997E-2</v>
      </c>
      <c r="O98" s="105"/>
    </row>
    <row r="99" spans="2:15" x14ac:dyDescent="0.2">
      <c r="B99" s="1">
        <v>84</v>
      </c>
      <c r="C99" s="106">
        <f t="shared" ca="1" si="4"/>
        <v>0.45828922703705399</v>
      </c>
      <c r="D99" s="106">
        <f t="shared" ca="1" si="5"/>
        <v>0.69523115891479592</v>
      </c>
      <c r="E99" s="106">
        <f t="shared" ca="1" si="6"/>
        <v>0</v>
      </c>
      <c r="F99" s="21">
        <f t="shared" ca="1" si="7"/>
        <v>0</v>
      </c>
      <c r="H99" s="21">
        <v>84</v>
      </c>
      <c r="I99" s="107">
        <v>0.66754056709853704</v>
      </c>
      <c r="J99" s="108">
        <v>1.1885525298475389E-3</v>
      </c>
      <c r="K99" s="108"/>
      <c r="L99" s="108">
        <v>3.5999999999999997E-2</v>
      </c>
      <c r="O99" s="105"/>
    </row>
    <row r="100" spans="2:15" x14ac:dyDescent="0.2">
      <c r="B100" s="1">
        <v>85</v>
      </c>
      <c r="C100" s="106">
        <f t="shared" ca="1" si="4"/>
        <v>-1.1341813385399533</v>
      </c>
      <c r="D100" s="106">
        <f t="shared" ca="1" si="5"/>
        <v>0.59416733306495528</v>
      </c>
      <c r="E100" s="106">
        <f t="shared" ca="1" si="6"/>
        <v>0</v>
      </c>
      <c r="F100" s="21">
        <f t="shared" ca="1" si="7"/>
        <v>0</v>
      </c>
      <c r="H100" s="21">
        <v>85</v>
      </c>
      <c r="I100" s="107">
        <v>0.66776090690418055</v>
      </c>
      <c r="J100" s="108">
        <v>1.5064722357311928E-3</v>
      </c>
      <c r="K100" s="108"/>
      <c r="L100" s="108">
        <v>4.1599999999999998E-2</v>
      </c>
      <c r="O100" s="105"/>
    </row>
    <row r="101" spans="2:15" x14ac:dyDescent="0.2">
      <c r="B101" s="1">
        <v>86</v>
      </c>
      <c r="C101" s="106">
        <f t="shared" ca="1" si="4"/>
        <v>0.47884730354539551</v>
      </c>
      <c r="D101" s="106">
        <f t="shared" ca="1" si="5"/>
        <v>0.69664243190179953</v>
      </c>
      <c r="E101" s="106">
        <f t="shared" ca="1" si="6"/>
        <v>0</v>
      </c>
      <c r="F101" s="21">
        <f t="shared" ca="1" si="7"/>
        <v>0</v>
      </c>
      <c r="H101" s="21">
        <v>86</v>
      </c>
      <c r="I101" s="107">
        <v>0.66768184202342251</v>
      </c>
      <c r="J101" s="108">
        <v>1.2699582622266942E-3</v>
      </c>
      <c r="K101" s="108"/>
      <c r="L101" s="108">
        <v>3.9600000000000003E-2</v>
      </c>
      <c r="O101" s="105"/>
    </row>
    <row r="102" spans="2:15" x14ac:dyDescent="0.2">
      <c r="B102" s="1">
        <v>87</v>
      </c>
      <c r="C102" s="106">
        <f t="shared" ca="1" si="4"/>
        <v>-0.67200823565964563</v>
      </c>
      <c r="D102" s="106">
        <f t="shared" ca="1" si="5"/>
        <v>0.621881992946831</v>
      </c>
      <c r="E102" s="106">
        <f t="shared" ca="1" si="6"/>
        <v>0</v>
      </c>
      <c r="F102" s="21">
        <f t="shared" ca="1" si="7"/>
        <v>0</v>
      </c>
      <c r="H102" s="21">
        <v>87</v>
      </c>
      <c r="I102" s="107">
        <v>0.66755146127753562</v>
      </c>
      <c r="J102" s="108">
        <v>1.2554852086193811E-3</v>
      </c>
      <c r="K102" s="108"/>
      <c r="L102" s="108">
        <v>3.8600000000000002E-2</v>
      </c>
      <c r="O102" s="105"/>
    </row>
    <row r="103" spans="2:15" x14ac:dyDescent="0.2">
      <c r="B103" s="1">
        <v>88</v>
      </c>
      <c r="C103" s="106">
        <f t="shared" ca="1" si="4"/>
        <v>0.29421725268999405</v>
      </c>
      <c r="D103" s="106">
        <f t="shared" ca="1" si="5"/>
        <v>0.68406990722755734</v>
      </c>
      <c r="E103" s="106">
        <f t="shared" ca="1" si="6"/>
        <v>0</v>
      </c>
      <c r="F103" s="21">
        <f t="shared" ca="1" si="7"/>
        <v>0</v>
      </c>
      <c r="H103" s="21">
        <v>88</v>
      </c>
      <c r="I103" s="107">
        <v>0.66769900830542461</v>
      </c>
      <c r="J103" s="108">
        <v>1.2467808322080929E-3</v>
      </c>
      <c r="K103" s="108"/>
      <c r="L103" s="108">
        <v>4.2000000000000003E-2</v>
      </c>
      <c r="O103" s="105"/>
    </row>
    <row r="104" spans="2:15" x14ac:dyDescent="0.2">
      <c r="B104" s="1">
        <v>89</v>
      </c>
      <c r="C104" s="106">
        <f t="shared" ca="1" si="4"/>
        <v>0.178733222932796</v>
      </c>
      <c r="D104" s="106">
        <f t="shared" ca="1" si="5"/>
        <v>0.67632154291129054</v>
      </c>
      <c r="E104" s="106">
        <f t="shared" ca="1" si="6"/>
        <v>0</v>
      </c>
      <c r="F104" s="21">
        <f t="shared" ca="1" si="7"/>
        <v>0</v>
      </c>
      <c r="H104" s="21">
        <v>89</v>
      </c>
      <c r="I104" s="107">
        <v>0.66763290172829171</v>
      </c>
      <c r="J104" s="108">
        <v>1.3402130175882506E-3</v>
      </c>
      <c r="K104" s="108"/>
      <c r="L104" s="108">
        <v>3.9800000000000002E-2</v>
      </c>
      <c r="O104" s="105"/>
    </row>
    <row r="105" spans="2:15" x14ac:dyDescent="0.2">
      <c r="B105" s="1">
        <v>90</v>
      </c>
      <c r="C105" s="106">
        <f t="shared" ca="1" si="4"/>
        <v>1.3045847239494215</v>
      </c>
      <c r="D105" s="106">
        <f t="shared" ca="1" si="5"/>
        <v>0.75576017939053985</v>
      </c>
      <c r="E105" s="106">
        <f t="shared" ca="1" si="6"/>
        <v>0</v>
      </c>
      <c r="F105" s="21">
        <f t="shared" ca="1" si="7"/>
        <v>0</v>
      </c>
      <c r="H105" s="21">
        <v>90</v>
      </c>
      <c r="I105" s="107">
        <v>0.66779617967152882</v>
      </c>
      <c r="J105" s="108">
        <v>1.4467061030748194E-3</v>
      </c>
      <c r="K105" s="108"/>
      <c r="L105" s="108">
        <v>4.0800000000000003E-2</v>
      </c>
      <c r="O105" s="105"/>
    </row>
    <row r="106" spans="2:15" x14ac:dyDescent="0.2">
      <c r="B106" s="1">
        <v>91</v>
      </c>
      <c r="C106" s="106">
        <f t="shared" ca="1" si="4"/>
        <v>1.2860654095692152</v>
      </c>
      <c r="D106" s="106">
        <f t="shared" ca="1" si="5"/>
        <v>0.75438083982862869</v>
      </c>
      <c r="E106" s="106">
        <f t="shared" ca="1" si="6"/>
        <v>0</v>
      </c>
      <c r="F106" s="21">
        <f t="shared" ca="1" si="7"/>
        <v>0</v>
      </c>
      <c r="H106" s="21">
        <v>91</v>
      </c>
      <c r="I106" s="107">
        <v>0.66785163782694446</v>
      </c>
      <c r="J106" s="108">
        <v>1.5390531139293354E-3</v>
      </c>
      <c r="K106" s="108"/>
      <c r="L106" s="108">
        <v>4.2599999999999999E-2</v>
      </c>
      <c r="O106" s="105"/>
    </row>
    <row r="107" spans="2:15" x14ac:dyDescent="0.2">
      <c r="B107" s="1">
        <v>92</v>
      </c>
      <c r="C107" s="106">
        <f t="shared" ca="1" si="4"/>
        <v>1.8551982670810148</v>
      </c>
      <c r="D107" s="106">
        <f t="shared" ca="1" si="5"/>
        <v>0.797943148718537</v>
      </c>
      <c r="E107" s="106">
        <f t="shared" ca="1" si="6"/>
        <v>9.7431487185369869E-3</v>
      </c>
      <c r="F107" s="21">
        <f t="shared" ca="1" si="7"/>
        <v>1</v>
      </c>
      <c r="H107" s="21">
        <v>92</v>
      </c>
      <c r="I107" s="107">
        <v>0.66765038581823999</v>
      </c>
      <c r="J107" s="108">
        <v>1.2680943444140168E-3</v>
      </c>
      <c r="K107" s="108"/>
      <c r="L107" s="108">
        <v>3.9E-2</v>
      </c>
      <c r="O107" s="105"/>
    </row>
    <row r="108" spans="2:15" x14ac:dyDescent="0.2">
      <c r="B108" s="1">
        <v>93</v>
      </c>
      <c r="C108" s="106">
        <f t="shared" ca="1" si="4"/>
        <v>1.4816015821400401</v>
      </c>
      <c r="D108" s="106">
        <f t="shared" ca="1" si="5"/>
        <v>0.76907252849795205</v>
      </c>
      <c r="E108" s="106">
        <f t="shared" ca="1" si="6"/>
        <v>0</v>
      </c>
      <c r="F108" s="21">
        <f t="shared" ca="1" si="7"/>
        <v>0</v>
      </c>
      <c r="H108" s="21">
        <v>93</v>
      </c>
      <c r="I108" s="107">
        <v>0.66763118666319499</v>
      </c>
      <c r="J108" s="108">
        <v>1.376400106402405E-3</v>
      </c>
      <c r="K108" s="108"/>
      <c r="L108" s="108">
        <v>4.0399999999999998E-2</v>
      </c>
      <c r="O108" s="105"/>
    </row>
    <row r="109" spans="2:15" x14ac:dyDescent="0.2">
      <c r="B109" s="1">
        <v>94</v>
      </c>
      <c r="C109" s="106">
        <f t="shared" ca="1" si="4"/>
        <v>0.45465834830210666</v>
      </c>
      <c r="D109" s="106">
        <f t="shared" ca="1" si="5"/>
        <v>0.69498220319811876</v>
      </c>
      <c r="E109" s="106">
        <f t="shared" ca="1" si="6"/>
        <v>0</v>
      </c>
      <c r="F109" s="21">
        <f t="shared" ca="1" si="7"/>
        <v>0</v>
      </c>
      <c r="H109" s="21">
        <v>94</v>
      </c>
      <c r="I109" s="107">
        <v>0.66786828857204061</v>
      </c>
      <c r="J109" s="108">
        <v>1.4768819768065657E-3</v>
      </c>
      <c r="K109" s="108"/>
      <c r="L109" s="108">
        <v>4.1799999999999997E-2</v>
      </c>
      <c r="O109" s="105"/>
    </row>
    <row r="110" spans="2:15" x14ac:dyDescent="0.2">
      <c r="B110" s="1">
        <v>95</v>
      </c>
      <c r="C110" s="106">
        <f t="shared" ca="1" si="4"/>
        <v>-0.43867589658140677</v>
      </c>
      <c r="D110" s="106">
        <f t="shared" ca="1" si="5"/>
        <v>0.63636135107200764</v>
      </c>
      <c r="E110" s="106">
        <f t="shared" ca="1" si="6"/>
        <v>0</v>
      </c>
      <c r="F110" s="21">
        <f t="shared" ca="1" si="7"/>
        <v>0</v>
      </c>
      <c r="H110" s="21">
        <v>95</v>
      </c>
      <c r="I110" s="107">
        <v>0.6677967358563327</v>
      </c>
      <c r="J110" s="108">
        <v>1.4850188752385221E-3</v>
      </c>
      <c r="K110" s="108"/>
      <c r="L110" s="108">
        <v>4.4400000000000002E-2</v>
      </c>
      <c r="O110" s="105"/>
    </row>
    <row r="111" spans="2:15" x14ac:dyDescent="0.2">
      <c r="B111" s="1">
        <v>96</v>
      </c>
      <c r="C111" s="106">
        <f t="shared" ca="1" si="4"/>
        <v>0.74033657565155186</v>
      </c>
      <c r="D111" s="106">
        <f t="shared" ca="1" si="5"/>
        <v>0.71484512970127034</v>
      </c>
      <c r="E111" s="106">
        <f t="shared" ca="1" si="6"/>
        <v>0</v>
      </c>
      <c r="F111" s="21">
        <f t="shared" ca="1" si="7"/>
        <v>0</v>
      </c>
      <c r="H111" s="21">
        <v>96</v>
      </c>
      <c r="I111" s="107">
        <v>0.66775513206806392</v>
      </c>
      <c r="J111" s="108">
        <v>1.3761314948630707E-3</v>
      </c>
      <c r="K111" s="108"/>
      <c r="L111" s="108">
        <v>4.4400000000000002E-2</v>
      </c>
      <c r="O111" s="105"/>
    </row>
    <row r="112" spans="2:15" x14ac:dyDescent="0.2">
      <c r="B112" s="1">
        <v>97</v>
      </c>
      <c r="C112" s="106">
        <f t="shared" ca="1" si="4"/>
        <v>-1.1458165159311895</v>
      </c>
      <c r="D112" s="106">
        <f t="shared" ca="1" si="5"/>
        <v>0.59348579285697689</v>
      </c>
      <c r="E112" s="106">
        <f t="shared" ca="1" si="6"/>
        <v>0</v>
      </c>
      <c r="F112" s="21">
        <f t="shared" ca="1" si="7"/>
        <v>0</v>
      </c>
      <c r="H112" s="21">
        <v>97</v>
      </c>
      <c r="I112" s="107">
        <v>0.66771625927068645</v>
      </c>
      <c r="J112" s="108">
        <v>1.323154259334919E-3</v>
      </c>
      <c r="K112" s="108"/>
      <c r="L112" s="108">
        <v>4.1000000000000002E-2</v>
      </c>
      <c r="O112" s="105"/>
    </row>
    <row r="113" spans="2:15" x14ac:dyDescent="0.2">
      <c r="B113" s="1">
        <v>98</v>
      </c>
      <c r="C113" s="106">
        <f t="shared" ca="1" si="4"/>
        <v>0.60101677375597606</v>
      </c>
      <c r="D113" s="106">
        <f t="shared" ca="1" si="5"/>
        <v>0.70508842991623966</v>
      </c>
      <c r="E113" s="106">
        <f t="shared" ca="1" si="6"/>
        <v>0</v>
      </c>
      <c r="F113" s="21">
        <f t="shared" ca="1" si="7"/>
        <v>0</v>
      </c>
      <c r="H113" s="21">
        <v>98</v>
      </c>
      <c r="I113" s="107">
        <v>0.66769464512547838</v>
      </c>
      <c r="J113" s="108">
        <v>1.3064645386626846E-3</v>
      </c>
      <c r="K113" s="108"/>
      <c r="L113" s="108">
        <v>4.1000000000000002E-2</v>
      </c>
      <c r="O113" s="105"/>
    </row>
    <row r="114" spans="2:15" x14ac:dyDescent="0.2">
      <c r="B114" s="1">
        <v>99</v>
      </c>
      <c r="C114" s="106">
        <f t="shared" ca="1" si="4"/>
        <v>1.2178381812486041</v>
      </c>
      <c r="D114" s="106">
        <f t="shared" ca="1" si="5"/>
        <v>0.74932088438903022</v>
      </c>
      <c r="E114" s="106">
        <f t="shared" ca="1" si="6"/>
        <v>0</v>
      </c>
      <c r="F114" s="21">
        <f t="shared" ca="1" si="7"/>
        <v>0</v>
      </c>
      <c r="H114" s="21">
        <v>99</v>
      </c>
      <c r="I114" s="107">
        <v>0.66774779191846734</v>
      </c>
      <c r="J114" s="108">
        <v>1.500141941419723E-3</v>
      </c>
      <c r="K114" s="108"/>
      <c r="L114" s="108">
        <v>4.1200000000000001E-2</v>
      </c>
      <c r="O114" s="105"/>
    </row>
    <row r="115" spans="2:15" x14ac:dyDescent="0.2">
      <c r="B115" s="1">
        <v>100</v>
      </c>
      <c r="C115" s="106">
        <f t="shared" ca="1" si="4"/>
        <v>-0.50627840786739675</v>
      </c>
      <c r="D115" s="106">
        <f t="shared" ca="1" si="5"/>
        <v>0.63213195551290091</v>
      </c>
      <c r="E115" s="106">
        <f t="shared" ca="1" si="6"/>
        <v>0</v>
      </c>
      <c r="F115" s="21">
        <f t="shared" ca="1" si="7"/>
        <v>0</v>
      </c>
      <c r="H115" s="21">
        <v>100</v>
      </c>
      <c r="I115" s="107">
        <v>0.6677056465288409</v>
      </c>
      <c r="J115" s="108">
        <v>1.377788281512562E-3</v>
      </c>
      <c r="K115" s="108"/>
      <c r="L115" s="108">
        <v>4.2799999999999998E-2</v>
      </c>
      <c r="O115" s="105"/>
    </row>
    <row r="116" spans="2:15" x14ac:dyDescent="0.2">
      <c r="B116" s="1">
        <v>101</v>
      </c>
      <c r="C116" s="106">
        <f t="shared" ca="1" si="4"/>
        <v>-1.2698746064518589</v>
      </c>
      <c r="D116" s="106">
        <f t="shared" ca="1" si="5"/>
        <v>0.58626741281150285</v>
      </c>
      <c r="E116" s="106">
        <f t="shared" ca="1" si="6"/>
        <v>0</v>
      </c>
      <c r="F116" s="21">
        <f t="shared" ca="1" si="7"/>
        <v>0</v>
      </c>
      <c r="H116" s="21">
        <v>101</v>
      </c>
      <c r="I116" s="107">
        <v>0.66763033882416434</v>
      </c>
      <c r="J116" s="108">
        <v>1.2884448985774452E-3</v>
      </c>
      <c r="K116" s="108"/>
      <c r="L116" s="108">
        <v>4.1399999999999999E-2</v>
      </c>
      <c r="M116" s="109"/>
      <c r="N116" s="109"/>
      <c r="O116" s="105"/>
    </row>
    <row r="117" spans="2:15" x14ac:dyDescent="0.2">
      <c r="B117" s="1">
        <v>102</v>
      </c>
      <c r="C117" s="106">
        <f t="shared" ca="1" si="4"/>
        <v>0.75222432790923355</v>
      </c>
      <c r="D117" s="106">
        <f t="shared" ca="1" si="5"/>
        <v>0.71568386566620024</v>
      </c>
      <c r="E117" s="106">
        <f t="shared" ca="1" si="6"/>
        <v>0</v>
      </c>
      <c r="F117" s="21">
        <f t="shared" ca="1" si="7"/>
        <v>0</v>
      </c>
      <c r="H117" s="21">
        <v>102</v>
      </c>
      <c r="I117" s="107">
        <v>0.66766392949254072</v>
      </c>
      <c r="J117" s="108">
        <v>1.3000491923215493E-3</v>
      </c>
      <c r="K117" s="108"/>
      <c r="L117" s="108">
        <v>3.9600000000000003E-2</v>
      </c>
      <c r="O117" s="105"/>
    </row>
    <row r="118" spans="2:15" x14ac:dyDescent="0.2">
      <c r="B118" s="1">
        <v>103</v>
      </c>
      <c r="C118" s="106">
        <f t="shared" ca="1" si="4"/>
        <v>-0.96866174177957332</v>
      </c>
      <c r="D118" s="106">
        <f t="shared" ca="1" si="5"/>
        <v>0.60394797351023799</v>
      </c>
      <c r="E118" s="106">
        <f t="shared" ca="1" si="6"/>
        <v>0</v>
      </c>
      <c r="F118" s="21">
        <f t="shared" ca="1" si="7"/>
        <v>0</v>
      </c>
      <c r="H118" s="21">
        <v>103</v>
      </c>
      <c r="I118" s="107">
        <v>0.66769647587755188</v>
      </c>
      <c r="J118" s="108">
        <v>1.3191967100032087E-3</v>
      </c>
      <c r="K118" s="108"/>
      <c r="L118" s="108">
        <v>3.9399999999999998E-2</v>
      </c>
      <c r="O118" s="105"/>
    </row>
    <row r="119" spans="2:15" x14ac:dyDescent="0.2">
      <c r="B119" s="1">
        <v>104</v>
      </c>
      <c r="C119" s="106">
        <f t="shared" ca="1" si="4"/>
        <v>-0.36064404769555131</v>
      </c>
      <c r="D119" s="106">
        <f t="shared" ca="1" si="5"/>
        <v>0.64127842891066766</v>
      </c>
      <c r="E119" s="106">
        <f t="shared" ca="1" si="6"/>
        <v>0</v>
      </c>
      <c r="F119" s="21">
        <f t="shared" ca="1" si="7"/>
        <v>0</v>
      </c>
      <c r="H119" s="21">
        <v>104</v>
      </c>
      <c r="I119" s="107">
        <v>0.66781728080617275</v>
      </c>
      <c r="J119" s="108">
        <v>1.4133175353193757E-3</v>
      </c>
      <c r="K119" s="108"/>
      <c r="L119" s="108">
        <v>4.0800000000000003E-2</v>
      </c>
      <c r="O119" s="105"/>
    </row>
    <row r="120" spans="2:15" x14ac:dyDescent="0.2">
      <c r="B120" s="1">
        <v>105</v>
      </c>
      <c r="C120" s="106">
        <f t="shared" ca="1" si="4"/>
        <v>-1.6369120715902792</v>
      </c>
      <c r="D120" s="106">
        <f t="shared" ca="1" si="5"/>
        <v>0.56542121076632723</v>
      </c>
      <c r="E120" s="106">
        <f t="shared" ca="1" si="6"/>
        <v>0</v>
      </c>
      <c r="F120" s="21">
        <f t="shared" ca="1" si="7"/>
        <v>0</v>
      </c>
      <c r="H120" s="21">
        <v>105</v>
      </c>
      <c r="I120" s="107">
        <v>0.6676860659451036</v>
      </c>
      <c r="J120" s="108">
        <v>1.2556595968743112E-3</v>
      </c>
      <c r="K120" s="108"/>
      <c r="L120" s="108">
        <v>4.1000000000000002E-2</v>
      </c>
      <c r="O120" s="105"/>
    </row>
    <row r="121" spans="2:15" x14ac:dyDescent="0.2">
      <c r="B121" s="1">
        <v>106</v>
      </c>
      <c r="C121" s="106">
        <f t="shared" ca="1" si="4"/>
        <v>1.309723073146938</v>
      </c>
      <c r="D121" s="106">
        <f t="shared" ca="1" si="5"/>
        <v>0.75614333623489394</v>
      </c>
      <c r="E121" s="106">
        <f t="shared" ca="1" si="6"/>
        <v>0</v>
      </c>
      <c r="F121" s="21">
        <f t="shared" ca="1" si="7"/>
        <v>0</v>
      </c>
      <c r="H121" s="21">
        <v>106</v>
      </c>
      <c r="I121" s="107">
        <v>0.66770735025420713</v>
      </c>
      <c r="J121" s="108">
        <v>1.2800470196102042E-3</v>
      </c>
      <c r="K121" s="108"/>
      <c r="L121" s="108">
        <v>3.8399999999999997E-2</v>
      </c>
      <c r="O121" s="105"/>
    </row>
    <row r="122" spans="2:15" x14ac:dyDescent="0.2">
      <c r="B122" s="1">
        <v>107</v>
      </c>
      <c r="C122" s="106">
        <f t="shared" ca="1" si="4"/>
        <v>-0.21975746119014311</v>
      </c>
      <c r="D122" s="106">
        <f t="shared" ca="1" si="5"/>
        <v>0.65025264290291118</v>
      </c>
      <c r="E122" s="106">
        <f t="shared" ca="1" si="6"/>
        <v>0</v>
      </c>
      <c r="F122" s="21">
        <f t="shared" ca="1" si="7"/>
        <v>0</v>
      </c>
      <c r="H122" s="21">
        <v>107</v>
      </c>
      <c r="I122" s="107">
        <v>0.66775557975952393</v>
      </c>
      <c r="J122" s="108">
        <v>1.3217601535940615E-3</v>
      </c>
      <c r="K122" s="108"/>
      <c r="L122" s="108">
        <v>4.5999999999999999E-2</v>
      </c>
      <c r="O122" s="105"/>
    </row>
    <row r="123" spans="2:15" x14ac:dyDescent="0.2">
      <c r="B123" s="1">
        <v>108</v>
      </c>
      <c r="C123" s="106">
        <f t="shared" ca="1" si="4"/>
        <v>-0.29272034394959512</v>
      </c>
      <c r="D123" s="106">
        <f t="shared" ca="1" si="5"/>
        <v>0.64558947442926962</v>
      </c>
      <c r="E123" s="106">
        <f t="shared" ca="1" si="6"/>
        <v>0</v>
      </c>
      <c r="F123" s="21">
        <f t="shared" ca="1" si="7"/>
        <v>0</v>
      </c>
      <c r="H123" s="21">
        <v>108</v>
      </c>
      <c r="I123" s="107">
        <v>0.66765756015099764</v>
      </c>
      <c r="J123" s="108">
        <v>1.2295072886468492E-3</v>
      </c>
      <c r="K123" s="108"/>
      <c r="L123" s="108">
        <v>3.8800000000000001E-2</v>
      </c>
      <c r="O123" s="105"/>
    </row>
    <row r="124" spans="2:15" x14ac:dyDescent="0.2">
      <c r="B124" s="1">
        <v>109</v>
      </c>
      <c r="C124" s="106">
        <f t="shared" ca="1" si="4"/>
        <v>-0.22426656055941205</v>
      </c>
      <c r="D124" s="106">
        <f t="shared" ca="1" si="5"/>
        <v>0.64996348554162331</v>
      </c>
      <c r="E124" s="106">
        <f t="shared" ca="1" si="6"/>
        <v>0</v>
      </c>
      <c r="F124" s="21">
        <f t="shared" ca="1" si="7"/>
        <v>0</v>
      </c>
      <c r="H124" s="21">
        <v>109</v>
      </c>
      <c r="I124" s="107">
        <v>0.66763999020180198</v>
      </c>
      <c r="J124" s="108">
        <v>1.2410496228601466E-3</v>
      </c>
      <c r="K124" s="108"/>
      <c r="L124" s="108">
        <v>3.7999999999999999E-2</v>
      </c>
      <c r="O124" s="105"/>
    </row>
    <row r="125" spans="2:15" x14ac:dyDescent="0.2">
      <c r="B125" s="1">
        <v>110</v>
      </c>
      <c r="C125" s="106">
        <f t="shared" ca="1" si="4"/>
        <v>1.0132870819342985</v>
      </c>
      <c r="D125" s="106">
        <f t="shared" ca="1" si="5"/>
        <v>0.7343532039940025</v>
      </c>
      <c r="E125" s="106">
        <f t="shared" ca="1" si="6"/>
        <v>0</v>
      </c>
      <c r="F125" s="21">
        <f t="shared" ca="1" si="7"/>
        <v>0</v>
      </c>
      <c r="H125" s="21">
        <v>110</v>
      </c>
      <c r="I125" s="107">
        <v>0.66779659578616035</v>
      </c>
      <c r="J125" s="108">
        <v>1.4335470827523437E-3</v>
      </c>
      <c r="K125" s="108"/>
      <c r="L125" s="108">
        <v>4.2200000000000001E-2</v>
      </c>
      <c r="O125" s="105"/>
    </row>
    <row r="126" spans="2:15" x14ac:dyDescent="0.2">
      <c r="B126" s="1">
        <v>111</v>
      </c>
      <c r="C126" s="106">
        <f t="shared" ca="1" si="4"/>
        <v>-8.9935447487495736E-3</v>
      </c>
      <c r="D126" s="106">
        <f t="shared" ca="1" si="5"/>
        <v>0.66391292305750138</v>
      </c>
      <c r="E126" s="106">
        <f t="shared" ca="1" si="6"/>
        <v>0</v>
      </c>
      <c r="F126" s="21">
        <f t="shared" ca="1" si="7"/>
        <v>0</v>
      </c>
      <c r="H126" s="21">
        <v>111</v>
      </c>
      <c r="I126" s="107">
        <v>0.66771341415489538</v>
      </c>
      <c r="J126" s="108">
        <v>1.2868024219343465E-3</v>
      </c>
      <c r="K126" s="108"/>
      <c r="L126" s="108">
        <v>4.0399999999999998E-2</v>
      </c>
      <c r="O126" s="105"/>
    </row>
    <row r="127" spans="2:15" x14ac:dyDescent="0.2">
      <c r="B127" s="1">
        <v>112</v>
      </c>
      <c r="C127" s="106">
        <f t="shared" ca="1" si="4"/>
        <v>-4.7549608261647953E-2</v>
      </c>
      <c r="D127" s="106">
        <f t="shared" ca="1" si="5"/>
        <v>0.66139271083956741</v>
      </c>
      <c r="E127" s="106">
        <f t="shared" ca="1" si="6"/>
        <v>0</v>
      </c>
      <c r="F127" s="21">
        <f t="shared" ca="1" si="7"/>
        <v>0</v>
      </c>
      <c r="H127" s="21">
        <v>112</v>
      </c>
      <c r="I127" s="107">
        <v>0.6677653958983768</v>
      </c>
      <c r="J127" s="108">
        <v>1.3588768770358853E-3</v>
      </c>
      <c r="K127" s="108"/>
      <c r="L127" s="108">
        <v>4.2200000000000001E-2</v>
      </c>
      <c r="O127" s="105"/>
    </row>
    <row r="128" spans="2:15" x14ac:dyDescent="0.2">
      <c r="B128" s="1">
        <v>113</v>
      </c>
      <c r="C128" s="106">
        <f t="shared" ca="1" si="4"/>
        <v>-1.1515234849022511</v>
      </c>
      <c r="D128" s="106">
        <f t="shared" ca="1" si="5"/>
        <v>0.59315178821455217</v>
      </c>
      <c r="E128" s="106">
        <f t="shared" ca="1" si="6"/>
        <v>0</v>
      </c>
      <c r="F128" s="21">
        <f t="shared" ca="1" si="7"/>
        <v>0</v>
      </c>
      <c r="H128" s="21">
        <v>113</v>
      </c>
      <c r="I128" s="107">
        <v>0.66782855906527661</v>
      </c>
      <c r="J128" s="108">
        <v>1.5004416333494323E-3</v>
      </c>
      <c r="K128" s="108"/>
      <c r="L128" s="108">
        <v>4.58E-2</v>
      </c>
      <c r="O128" s="105"/>
    </row>
    <row r="129" spans="2:15" x14ac:dyDescent="0.2">
      <c r="B129" s="1">
        <v>114</v>
      </c>
      <c r="C129" s="106">
        <f t="shared" ca="1" si="4"/>
        <v>-0.31092405135576329</v>
      </c>
      <c r="D129" s="106">
        <f t="shared" ca="1" si="5"/>
        <v>0.64443126971408571</v>
      </c>
      <c r="E129" s="106">
        <f t="shared" ca="1" si="6"/>
        <v>0</v>
      </c>
      <c r="F129" s="21">
        <f t="shared" ca="1" si="7"/>
        <v>0</v>
      </c>
      <c r="H129" s="21">
        <v>114</v>
      </c>
      <c r="I129" s="107">
        <v>0.66765447645667819</v>
      </c>
      <c r="J129" s="108">
        <v>1.3711926018896445E-3</v>
      </c>
      <c r="K129" s="108"/>
      <c r="L129" s="108">
        <v>4.0399999999999998E-2</v>
      </c>
      <c r="O129" s="105"/>
    </row>
    <row r="130" spans="2:15" x14ac:dyDescent="0.2">
      <c r="B130" s="1">
        <v>115</v>
      </c>
      <c r="C130" s="106">
        <f t="shared" ca="1" si="4"/>
        <v>-0.90150161928143602</v>
      </c>
      <c r="D130" s="106">
        <f t="shared" ca="1" si="5"/>
        <v>0.60796226820934796</v>
      </c>
      <c r="E130" s="106">
        <f t="shared" ca="1" si="6"/>
        <v>0</v>
      </c>
      <c r="F130" s="21">
        <f t="shared" ca="1" si="7"/>
        <v>0</v>
      </c>
      <c r="H130" s="21">
        <v>115</v>
      </c>
      <c r="I130" s="107">
        <v>0.66762895036717151</v>
      </c>
      <c r="J130" s="108">
        <v>1.0935284434132101E-3</v>
      </c>
      <c r="K130" s="108"/>
      <c r="L130" s="108">
        <v>3.7600000000000001E-2</v>
      </c>
      <c r="O130" s="105"/>
    </row>
    <row r="131" spans="2:15" x14ac:dyDescent="0.2">
      <c r="B131" s="1">
        <v>116</v>
      </c>
      <c r="C131" s="106">
        <f t="shared" ca="1" si="4"/>
        <v>2.452766930156276</v>
      </c>
      <c r="D131" s="106">
        <f t="shared" ca="1" si="5"/>
        <v>0.84639175336410033</v>
      </c>
      <c r="E131" s="106">
        <f t="shared" ca="1" si="6"/>
        <v>5.8191753364100318E-2</v>
      </c>
      <c r="F131" s="21">
        <f t="shared" ca="1" si="7"/>
        <v>1</v>
      </c>
      <c r="H131" s="21">
        <v>116</v>
      </c>
      <c r="I131" s="107">
        <v>0.6679097546777123</v>
      </c>
      <c r="J131" s="108">
        <v>1.5365827280098738E-3</v>
      </c>
      <c r="K131" s="108"/>
      <c r="L131" s="108">
        <v>4.4999999999999998E-2</v>
      </c>
      <c r="O131" s="105"/>
    </row>
    <row r="132" spans="2:15" x14ac:dyDescent="0.2">
      <c r="B132" s="1">
        <v>117</v>
      </c>
      <c r="C132" s="106">
        <f t="shared" ca="1" si="4"/>
        <v>0.38688535448793937</v>
      </c>
      <c r="D132" s="106">
        <f t="shared" ca="1" si="5"/>
        <v>0.69035159126176726</v>
      </c>
      <c r="E132" s="106">
        <f t="shared" ca="1" si="6"/>
        <v>0</v>
      </c>
      <c r="F132" s="21">
        <f t="shared" ca="1" si="7"/>
        <v>0</v>
      </c>
      <c r="H132" s="21">
        <v>117</v>
      </c>
      <c r="I132" s="107">
        <v>0.66760728466828956</v>
      </c>
      <c r="J132" s="108">
        <v>1.1031771134072264E-3</v>
      </c>
      <c r="K132" s="108"/>
      <c r="L132" s="108">
        <v>3.6600000000000001E-2</v>
      </c>
      <c r="O132" s="105"/>
    </row>
    <row r="133" spans="2:15" x14ac:dyDescent="0.2">
      <c r="B133" s="1">
        <v>118</v>
      </c>
      <c r="C133" s="106">
        <f t="shared" ca="1" si="4"/>
        <v>1.0202682854475307</v>
      </c>
      <c r="D133" s="106">
        <f t="shared" ca="1" si="5"/>
        <v>0.73485907959934238</v>
      </c>
      <c r="E133" s="106">
        <f t="shared" ca="1" si="6"/>
        <v>0</v>
      </c>
      <c r="F133" s="21">
        <f t="shared" ca="1" si="7"/>
        <v>0</v>
      </c>
      <c r="H133" s="21">
        <v>118</v>
      </c>
      <c r="I133" s="107">
        <v>0.66780386221108046</v>
      </c>
      <c r="J133" s="108">
        <v>1.3186653006917028E-3</v>
      </c>
      <c r="K133" s="108"/>
      <c r="L133" s="108">
        <v>4.4600000000000001E-2</v>
      </c>
      <c r="O133" s="105"/>
    </row>
    <row r="134" spans="2:15" x14ac:dyDescent="0.2">
      <c r="B134" s="1">
        <v>119</v>
      </c>
      <c r="C134" s="106">
        <f t="shared" ca="1" si="4"/>
        <v>1.6793363639243857</v>
      </c>
      <c r="D134" s="106">
        <f t="shared" ca="1" si="5"/>
        <v>0.78422039853632985</v>
      </c>
      <c r="E134" s="106">
        <f t="shared" ca="1" si="6"/>
        <v>0</v>
      </c>
      <c r="F134" s="21">
        <f t="shared" ca="1" si="7"/>
        <v>0</v>
      </c>
      <c r="H134" s="21">
        <v>119</v>
      </c>
      <c r="I134" s="107">
        <v>0.66751933956426013</v>
      </c>
      <c r="J134" s="108">
        <v>1.0453020189678881E-3</v>
      </c>
      <c r="K134" s="108"/>
      <c r="L134" s="108">
        <v>3.5000000000000003E-2</v>
      </c>
      <c r="O134" s="105"/>
    </row>
    <row r="135" spans="2:15" x14ac:dyDescent="0.2">
      <c r="B135" s="1">
        <v>120</v>
      </c>
      <c r="C135" s="106">
        <f t="shared" ca="1" si="4"/>
        <v>0.20456439841538668</v>
      </c>
      <c r="D135" s="106">
        <f t="shared" ca="1" si="5"/>
        <v>0.67804702201830092</v>
      </c>
      <c r="E135" s="106">
        <f t="shared" ca="1" si="6"/>
        <v>0</v>
      </c>
      <c r="F135" s="21">
        <f t="shared" ca="1" si="7"/>
        <v>0</v>
      </c>
      <c r="H135" s="21">
        <v>120</v>
      </c>
      <c r="I135" s="107">
        <v>0.66780843705204318</v>
      </c>
      <c r="J135" s="108">
        <v>1.4513409865016687E-3</v>
      </c>
      <c r="K135" s="108"/>
      <c r="L135" s="108">
        <v>4.6199999999999998E-2</v>
      </c>
      <c r="O135" s="105"/>
    </row>
    <row r="136" spans="2:15" x14ac:dyDescent="0.2">
      <c r="B136" s="1">
        <v>121</v>
      </c>
      <c r="C136" s="106">
        <f t="shared" ca="1" si="4"/>
        <v>2.3279850996055425</v>
      </c>
      <c r="D136" s="106">
        <f t="shared" ca="1" si="5"/>
        <v>0.83603767066172008</v>
      </c>
      <c r="E136" s="106">
        <f t="shared" ca="1" si="6"/>
        <v>4.7837670661720066E-2</v>
      </c>
      <c r="F136" s="21">
        <f t="shared" ca="1" si="7"/>
        <v>1</v>
      </c>
      <c r="H136" s="21">
        <v>121</v>
      </c>
      <c r="I136" s="107">
        <v>0.66784151681052528</v>
      </c>
      <c r="J136" s="108">
        <v>1.4020124199720055E-3</v>
      </c>
      <c r="K136" s="108"/>
      <c r="L136" s="108">
        <v>4.48E-2</v>
      </c>
      <c r="O136" s="105"/>
    </row>
    <row r="137" spans="2:15" x14ac:dyDescent="0.2">
      <c r="B137" s="1">
        <v>122</v>
      </c>
      <c r="C137" s="106">
        <f t="shared" ca="1" si="4"/>
        <v>0.57394272712540662</v>
      </c>
      <c r="D137" s="106">
        <f t="shared" ca="1" si="5"/>
        <v>0.70320791893949297</v>
      </c>
      <c r="E137" s="106">
        <f t="shared" ca="1" si="6"/>
        <v>0</v>
      </c>
      <c r="F137" s="21">
        <f t="shared" ca="1" si="7"/>
        <v>0</v>
      </c>
      <c r="H137" s="21">
        <v>122</v>
      </c>
      <c r="I137" s="107">
        <v>0.6679920106916799</v>
      </c>
      <c r="J137" s="108">
        <v>1.6150433659570976E-3</v>
      </c>
      <c r="K137" s="108"/>
      <c r="L137" s="108">
        <v>4.58E-2</v>
      </c>
      <c r="O137" s="105"/>
    </row>
    <row r="138" spans="2:15" x14ac:dyDescent="0.2">
      <c r="B138" s="1">
        <v>123</v>
      </c>
      <c r="C138" s="106">
        <f t="shared" ca="1" si="4"/>
        <v>-1.49501128126756</v>
      </c>
      <c r="D138" s="106">
        <f t="shared" ca="1" si="5"/>
        <v>0.5733912200583855</v>
      </c>
      <c r="E138" s="106">
        <f t="shared" ca="1" si="6"/>
        <v>0</v>
      </c>
      <c r="F138" s="21">
        <f t="shared" ca="1" si="7"/>
        <v>0</v>
      </c>
      <c r="H138" s="21">
        <v>123</v>
      </c>
      <c r="I138" s="107">
        <v>0.66781860762526679</v>
      </c>
      <c r="J138" s="108">
        <v>1.4675969908090501E-3</v>
      </c>
      <c r="K138" s="108"/>
      <c r="L138" s="108">
        <v>4.4400000000000002E-2</v>
      </c>
      <c r="O138" s="105"/>
    </row>
    <row r="139" spans="2:15" x14ac:dyDescent="0.2">
      <c r="B139" s="1">
        <v>124</v>
      </c>
      <c r="C139" s="106">
        <f t="shared" ca="1" si="4"/>
        <v>-0.6683914169235029</v>
      </c>
      <c r="D139" s="106">
        <f t="shared" ca="1" si="5"/>
        <v>0.6221038999966132</v>
      </c>
      <c r="E139" s="106">
        <f t="shared" ca="1" si="6"/>
        <v>0</v>
      </c>
      <c r="F139" s="21">
        <f t="shared" ca="1" si="7"/>
        <v>0</v>
      </c>
      <c r="H139" s="21">
        <v>124</v>
      </c>
      <c r="I139" s="107">
        <v>0.66763925934229706</v>
      </c>
      <c r="J139" s="108">
        <v>1.2427801514447777E-3</v>
      </c>
      <c r="K139" s="108"/>
      <c r="L139" s="108">
        <v>3.8800000000000001E-2</v>
      </c>
      <c r="O139" s="105"/>
    </row>
    <row r="140" spans="2:15" x14ac:dyDescent="0.2">
      <c r="B140" s="1">
        <v>125</v>
      </c>
      <c r="C140" s="106">
        <f t="shared" ca="1" si="4"/>
        <v>0.48485028534526053</v>
      </c>
      <c r="D140" s="106">
        <f t="shared" ca="1" si="5"/>
        <v>0.69705506535949424</v>
      </c>
      <c r="E140" s="106">
        <f t="shared" ca="1" si="6"/>
        <v>0</v>
      </c>
      <c r="F140" s="21">
        <f t="shared" ca="1" si="7"/>
        <v>0</v>
      </c>
      <c r="H140" s="21">
        <v>125</v>
      </c>
      <c r="I140" s="107">
        <v>0.66785678561656725</v>
      </c>
      <c r="J140" s="108">
        <v>1.5867770812071354E-3</v>
      </c>
      <c r="K140" s="108"/>
      <c r="L140" s="108">
        <v>4.3400000000000001E-2</v>
      </c>
      <c r="O140" s="105"/>
    </row>
    <row r="141" spans="2:15" x14ac:dyDescent="0.2">
      <c r="B141" s="1">
        <v>126</v>
      </c>
      <c r="C141" s="106">
        <f t="shared" ca="1" si="4"/>
        <v>-5.5630903738653934E-4</v>
      </c>
      <c r="D141" s="106">
        <f t="shared" ca="1" si="5"/>
        <v>0.66446570129984051</v>
      </c>
      <c r="E141" s="106">
        <f t="shared" ca="1" si="6"/>
        <v>0</v>
      </c>
      <c r="F141" s="21">
        <f t="shared" ca="1" si="7"/>
        <v>0</v>
      </c>
      <c r="H141" s="21">
        <v>126</v>
      </c>
      <c r="I141" s="107">
        <v>0.66767714756786845</v>
      </c>
      <c r="J141" s="108">
        <v>1.1223939415585049E-3</v>
      </c>
      <c r="K141" s="108"/>
      <c r="L141" s="108">
        <v>4.02E-2</v>
      </c>
      <c r="O141" s="105"/>
    </row>
    <row r="142" spans="2:15" x14ac:dyDescent="0.2">
      <c r="B142" s="1">
        <v>127</v>
      </c>
      <c r="C142" s="106">
        <f t="shared" ca="1" si="4"/>
        <v>-0.14620189300976627</v>
      </c>
      <c r="D142" s="106">
        <f t="shared" ca="1" si="5"/>
        <v>0.65498778560136739</v>
      </c>
      <c r="E142" s="106">
        <f t="shared" ca="1" si="6"/>
        <v>0</v>
      </c>
      <c r="F142" s="21">
        <f t="shared" ca="1" si="7"/>
        <v>0</v>
      </c>
      <c r="H142" s="21">
        <v>127</v>
      </c>
      <c r="I142" s="107">
        <v>0.6678507172132182</v>
      </c>
      <c r="J142" s="108">
        <v>1.5472576741183204E-3</v>
      </c>
      <c r="K142" s="108"/>
      <c r="L142" s="108">
        <v>4.3799999999999999E-2</v>
      </c>
      <c r="O142" s="105"/>
    </row>
    <row r="143" spans="2:15" x14ac:dyDescent="0.2">
      <c r="B143" s="1">
        <v>128</v>
      </c>
      <c r="C143" s="106">
        <f t="shared" ca="1" si="4"/>
        <v>-1.5504939801706934</v>
      </c>
      <c r="D143" s="106">
        <f t="shared" ca="1" si="5"/>
        <v>0.57026168632112095</v>
      </c>
      <c r="E143" s="106">
        <f t="shared" ca="1" si="6"/>
        <v>0</v>
      </c>
      <c r="F143" s="21">
        <f t="shared" ca="1" si="7"/>
        <v>0</v>
      </c>
      <c r="H143" s="21">
        <v>128</v>
      </c>
      <c r="I143" s="107">
        <v>0.66771575035860753</v>
      </c>
      <c r="J143" s="108">
        <v>1.3498778428126411E-3</v>
      </c>
      <c r="K143" s="108"/>
      <c r="L143" s="108">
        <v>4.0399999999999998E-2</v>
      </c>
      <c r="O143" s="105"/>
    </row>
    <row r="144" spans="2:15" x14ac:dyDescent="0.2">
      <c r="B144" s="1">
        <v>129</v>
      </c>
      <c r="C144" s="106">
        <f t="shared" ref="C144:C207" ca="1" si="8">_xlfn.NORM.S.INV(RAND())</f>
        <v>-0.57042992409103077</v>
      </c>
      <c r="D144" s="106">
        <f t="shared" ref="D144:D207" ca="1" si="9">S0*EXP((μ-0.5*σ*σ)*T+σ*SQRT(T)*$C144)</f>
        <v>0.62814446015667169</v>
      </c>
      <c r="E144" s="106">
        <f t="shared" ref="E144:E207" ca="1" si="10">MAX(0,CP*(D144-K))</f>
        <v>0</v>
      </c>
      <c r="F144" s="21">
        <f t="shared" ref="F144:F207" ca="1" si="11">(CP*(D144-K)&gt;0)*1</f>
        <v>0</v>
      </c>
      <c r="H144" s="21">
        <v>129</v>
      </c>
      <c r="I144" s="107">
        <v>0.66790291395743806</v>
      </c>
      <c r="J144" s="108">
        <v>1.5422982985673827E-3</v>
      </c>
      <c r="K144" s="108"/>
      <c r="L144" s="108">
        <v>4.6600000000000003E-2</v>
      </c>
      <c r="O144" s="105"/>
    </row>
    <row r="145" spans="2:15" x14ac:dyDescent="0.2">
      <c r="B145" s="1">
        <v>130</v>
      </c>
      <c r="C145" s="106">
        <f t="shared" ca="1" si="8"/>
        <v>0.84467214799096058</v>
      </c>
      <c r="D145" s="106">
        <f t="shared" ca="1" si="9"/>
        <v>0.72224016103570909</v>
      </c>
      <c r="E145" s="106">
        <f t="shared" ca="1" si="10"/>
        <v>0</v>
      </c>
      <c r="F145" s="21">
        <f t="shared" ca="1" si="11"/>
        <v>0</v>
      </c>
      <c r="H145" s="21">
        <v>130</v>
      </c>
      <c r="I145" s="107">
        <v>0.66769373603031557</v>
      </c>
      <c r="J145" s="108">
        <v>1.2495936011006215E-3</v>
      </c>
      <c r="K145" s="108"/>
      <c r="L145" s="108">
        <v>4.0399999999999998E-2</v>
      </c>
      <c r="O145" s="105"/>
    </row>
    <row r="146" spans="2:15" x14ac:dyDescent="0.2">
      <c r="B146" s="1">
        <v>131</v>
      </c>
      <c r="C146" s="106">
        <f t="shared" ca="1" si="8"/>
        <v>1.3790651606532973</v>
      </c>
      <c r="D146" s="106">
        <f t="shared" ca="1" si="9"/>
        <v>0.76133308189360449</v>
      </c>
      <c r="E146" s="106">
        <f t="shared" ca="1" si="10"/>
        <v>0</v>
      </c>
      <c r="F146" s="21">
        <f t="shared" ca="1" si="11"/>
        <v>0</v>
      </c>
      <c r="H146" s="21">
        <v>131</v>
      </c>
      <c r="I146" s="107">
        <v>0.66781380955542913</v>
      </c>
      <c r="J146" s="108">
        <v>1.4423679792771858E-3</v>
      </c>
      <c r="K146" s="108"/>
      <c r="L146" s="108">
        <v>4.2000000000000003E-2</v>
      </c>
      <c r="O146" s="105"/>
    </row>
    <row r="147" spans="2:15" x14ac:dyDescent="0.2">
      <c r="B147" s="1">
        <v>132</v>
      </c>
      <c r="C147" s="106">
        <f t="shared" ca="1" si="8"/>
        <v>0.62330680320787946</v>
      </c>
      <c r="D147" s="106">
        <f t="shared" ca="1" si="9"/>
        <v>0.70664042615436218</v>
      </c>
      <c r="E147" s="106">
        <f t="shared" ca="1" si="10"/>
        <v>0</v>
      </c>
      <c r="F147" s="21">
        <f t="shared" ca="1" si="11"/>
        <v>0</v>
      </c>
      <c r="H147" s="21">
        <v>132</v>
      </c>
      <c r="I147" s="107">
        <v>0.6676416919475765</v>
      </c>
      <c r="J147" s="108">
        <v>1.4289712224184088E-3</v>
      </c>
      <c r="K147" s="108"/>
      <c r="L147" s="108">
        <v>4.02E-2</v>
      </c>
      <c r="O147" s="105"/>
    </row>
    <row r="148" spans="2:15" x14ac:dyDescent="0.2">
      <c r="B148" s="1">
        <v>133</v>
      </c>
      <c r="C148" s="106">
        <f t="shared" ca="1" si="8"/>
        <v>-0.85620822112353101</v>
      </c>
      <c r="D148" s="106">
        <f t="shared" ca="1" si="9"/>
        <v>0.61068459943205622</v>
      </c>
      <c r="E148" s="106">
        <f t="shared" ca="1" si="10"/>
        <v>0</v>
      </c>
      <c r="F148" s="21">
        <f t="shared" ca="1" si="11"/>
        <v>0</v>
      </c>
      <c r="H148" s="21">
        <v>133</v>
      </c>
      <c r="I148" s="107">
        <v>0.66781409121896296</v>
      </c>
      <c r="J148" s="108">
        <v>1.2738832798075053E-3</v>
      </c>
      <c r="K148" s="108"/>
      <c r="L148" s="108">
        <v>4.2799999999999998E-2</v>
      </c>
      <c r="O148" s="105"/>
    </row>
    <row r="149" spans="2:15" x14ac:dyDescent="0.2">
      <c r="B149" s="1">
        <v>134</v>
      </c>
      <c r="C149" s="106">
        <f t="shared" ca="1" si="8"/>
        <v>-1.3411250247226869</v>
      </c>
      <c r="D149" s="106">
        <f t="shared" ca="1" si="9"/>
        <v>0.58216143303797963</v>
      </c>
      <c r="E149" s="106">
        <f t="shared" ca="1" si="10"/>
        <v>0</v>
      </c>
      <c r="F149" s="21">
        <f t="shared" ca="1" si="11"/>
        <v>0</v>
      </c>
      <c r="H149" s="21">
        <v>134</v>
      </c>
      <c r="I149" s="107">
        <v>0.66769485570328901</v>
      </c>
      <c r="J149" s="108">
        <v>1.3426064330725556E-3</v>
      </c>
      <c r="K149" s="108"/>
      <c r="L149" s="108">
        <v>4.0399999999999998E-2</v>
      </c>
      <c r="O149" s="105"/>
    </row>
    <row r="150" spans="2:15" x14ac:dyDescent="0.2">
      <c r="B150" s="1">
        <v>135</v>
      </c>
      <c r="C150" s="106">
        <f t="shared" ca="1" si="8"/>
        <v>1.2978797151212536</v>
      </c>
      <c r="D150" s="106">
        <f t="shared" ca="1" si="9"/>
        <v>0.75526049170257392</v>
      </c>
      <c r="E150" s="106">
        <f t="shared" ca="1" si="10"/>
        <v>0</v>
      </c>
      <c r="F150" s="21">
        <f t="shared" ca="1" si="11"/>
        <v>0</v>
      </c>
      <c r="H150" s="21">
        <v>135</v>
      </c>
      <c r="I150" s="107">
        <v>0.66766890422624969</v>
      </c>
      <c r="J150" s="108">
        <v>1.2804968492741327E-3</v>
      </c>
      <c r="K150" s="108"/>
      <c r="L150" s="108">
        <v>3.7999999999999999E-2</v>
      </c>
      <c r="O150" s="105"/>
    </row>
    <row r="151" spans="2:15" x14ac:dyDescent="0.2">
      <c r="B151" s="1">
        <v>136</v>
      </c>
      <c r="C151" s="106">
        <f t="shared" ca="1" si="8"/>
        <v>-4.3890018443963369E-2</v>
      </c>
      <c r="D151" s="106">
        <f t="shared" ca="1" si="9"/>
        <v>0.66163150797080539</v>
      </c>
      <c r="E151" s="106">
        <f t="shared" ca="1" si="10"/>
        <v>0</v>
      </c>
      <c r="F151" s="21">
        <f t="shared" ca="1" si="11"/>
        <v>0</v>
      </c>
      <c r="H151" s="21">
        <v>136</v>
      </c>
      <c r="I151" s="107">
        <v>0.66776952417807256</v>
      </c>
      <c r="J151" s="108">
        <v>1.3374498642741567E-3</v>
      </c>
      <c r="K151" s="108"/>
      <c r="L151" s="108">
        <v>4.1200000000000001E-2</v>
      </c>
      <c r="O151" s="105"/>
    </row>
    <row r="152" spans="2:15" x14ac:dyDescent="0.2">
      <c r="B152" s="1">
        <v>137</v>
      </c>
      <c r="C152" s="106">
        <f t="shared" ca="1" si="8"/>
        <v>1.7323244679258378</v>
      </c>
      <c r="D152" s="106">
        <f t="shared" ca="1" si="9"/>
        <v>0.7883301059001927</v>
      </c>
      <c r="E152" s="106">
        <f t="shared" ca="1" si="10"/>
        <v>1.3010590019268964E-4</v>
      </c>
      <c r="F152" s="21">
        <f t="shared" ca="1" si="11"/>
        <v>1</v>
      </c>
      <c r="H152" s="21">
        <v>137</v>
      </c>
      <c r="I152" s="107">
        <v>0.66772890137885033</v>
      </c>
      <c r="J152" s="108">
        <v>1.3413333029554035E-3</v>
      </c>
      <c r="K152" s="108"/>
      <c r="L152" s="108">
        <v>4.1399999999999999E-2</v>
      </c>
      <c r="O152" s="105"/>
    </row>
    <row r="153" spans="2:15" x14ac:dyDescent="0.2">
      <c r="B153" s="1">
        <v>138</v>
      </c>
      <c r="C153" s="106">
        <f t="shared" ca="1" si="8"/>
        <v>0.46055015483508382</v>
      </c>
      <c r="D153" s="106">
        <f t="shared" ca="1" si="9"/>
        <v>0.69538622729541633</v>
      </c>
      <c r="E153" s="106">
        <f t="shared" ca="1" si="10"/>
        <v>0</v>
      </c>
      <c r="F153" s="21">
        <f t="shared" ca="1" si="11"/>
        <v>0</v>
      </c>
      <c r="H153" s="21">
        <v>138</v>
      </c>
      <c r="I153" s="107">
        <v>0.66779845130901017</v>
      </c>
      <c r="J153" s="108">
        <v>1.5267912171492944E-3</v>
      </c>
      <c r="K153" s="108"/>
      <c r="L153" s="108">
        <v>4.1599999999999998E-2</v>
      </c>
      <c r="O153" s="105"/>
    </row>
    <row r="154" spans="2:15" x14ac:dyDescent="0.2">
      <c r="B154" s="1">
        <v>139</v>
      </c>
      <c r="C154" s="106">
        <f t="shared" ca="1" si="8"/>
        <v>1.3212608563193577</v>
      </c>
      <c r="D154" s="106">
        <f t="shared" ca="1" si="9"/>
        <v>0.75700439454419943</v>
      </c>
      <c r="E154" s="106">
        <f t="shared" ca="1" si="10"/>
        <v>0</v>
      </c>
      <c r="F154" s="21">
        <f t="shared" ca="1" si="11"/>
        <v>0</v>
      </c>
      <c r="H154" s="21">
        <v>139</v>
      </c>
      <c r="I154" s="107">
        <v>0.66780178744681029</v>
      </c>
      <c r="J154" s="108">
        <v>1.4490082514703947E-3</v>
      </c>
      <c r="K154" s="108"/>
      <c r="L154" s="108">
        <v>4.1399999999999999E-2</v>
      </c>
      <c r="O154" s="105"/>
    </row>
    <row r="155" spans="2:15" x14ac:dyDescent="0.2">
      <c r="B155" s="1">
        <v>140</v>
      </c>
      <c r="C155" s="106">
        <f t="shared" ca="1" si="8"/>
        <v>-0.84860655844310073</v>
      </c>
      <c r="D155" s="106">
        <f t="shared" ca="1" si="9"/>
        <v>0.6111426857263379</v>
      </c>
      <c r="E155" s="106">
        <f t="shared" ca="1" si="10"/>
        <v>0</v>
      </c>
      <c r="F155" s="21">
        <f t="shared" ca="1" si="11"/>
        <v>0</v>
      </c>
      <c r="H155" s="21">
        <v>140</v>
      </c>
      <c r="I155" s="107">
        <v>0.66785056554177502</v>
      </c>
      <c r="J155" s="108">
        <v>1.5567867026288437E-3</v>
      </c>
      <c r="K155" s="108"/>
      <c r="L155" s="108">
        <v>4.4200000000000003E-2</v>
      </c>
      <c r="O155" s="105"/>
    </row>
    <row r="156" spans="2:15" x14ac:dyDescent="0.2">
      <c r="B156" s="1">
        <v>141</v>
      </c>
      <c r="C156" s="106">
        <f t="shared" ca="1" si="8"/>
        <v>1.6376232546321015</v>
      </c>
      <c r="D156" s="106">
        <f t="shared" ca="1" si="9"/>
        <v>0.78100024615824781</v>
      </c>
      <c r="E156" s="106">
        <f t="shared" ca="1" si="10"/>
        <v>0</v>
      </c>
      <c r="F156" s="21">
        <f t="shared" ca="1" si="11"/>
        <v>0</v>
      </c>
      <c r="H156" s="21">
        <v>141</v>
      </c>
      <c r="I156" s="107">
        <v>0.66766796317489407</v>
      </c>
      <c r="J156" s="108">
        <v>1.2191185188458349E-3</v>
      </c>
      <c r="K156" s="108"/>
      <c r="L156" s="108">
        <v>4.24E-2</v>
      </c>
      <c r="O156" s="105"/>
    </row>
    <row r="157" spans="2:15" x14ac:dyDescent="0.2">
      <c r="B157" s="1">
        <v>142</v>
      </c>
      <c r="C157" s="106">
        <f t="shared" ca="1" si="8"/>
        <v>1.496897663115714</v>
      </c>
      <c r="D157" s="106">
        <f t="shared" ca="1" si="9"/>
        <v>0.77023380075749859</v>
      </c>
      <c r="E157" s="106">
        <f t="shared" ca="1" si="10"/>
        <v>0</v>
      </c>
      <c r="F157" s="21">
        <f t="shared" ca="1" si="11"/>
        <v>0</v>
      </c>
      <c r="H157" s="21">
        <v>142</v>
      </c>
      <c r="I157" s="107">
        <v>0.66755624161964744</v>
      </c>
      <c r="J157" s="108">
        <v>1.1447084508621791E-3</v>
      </c>
      <c r="K157" s="108"/>
      <c r="L157" s="108">
        <v>3.9E-2</v>
      </c>
      <c r="O157" s="105"/>
    </row>
    <row r="158" spans="2:15" x14ac:dyDescent="0.2">
      <c r="B158" s="1">
        <v>143</v>
      </c>
      <c r="C158" s="106">
        <f t="shared" ca="1" si="8"/>
        <v>-0.17253625446370027</v>
      </c>
      <c r="D158" s="106">
        <f t="shared" ca="1" si="9"/>
        <v>0.65328856039303906</v>
      </c>
      <c r="E158" s="106">
        <f t="shared" ca="1" si="10"/>
        <v>0</v>
      </c>
      <c r="F158" s="21">
        <f t="shared" ca="1" si="11"/>
        <v>0</v>
      </c>
      <c r="H158" s="21">
        <v>143</v>
      </c>
      <c r="I158" s="107">
        <v>0.6677264463461493</v>
      </c>
      <c r="J158" s="108">
        <v>1.4270304919208187E-3</v>
      </c>
      <c r="K158" s="108"/>
      <c r="L158" s="108">
        <v>4.3200000000000002E-2</v>
      </c>
      <c r="O158" s="105"/>
    </row>
    <row r="159" spans="2:15" x14ac:dyDescent="0.2">
      <c r="B159" s="1">
        <v>144</v>
      </c>
      <c r="C159" s="106">
        <f t="shared" ca="1" si="8"/>
        <v>0.36374708750985973</v>
      </c>
      <c r="D159" s="106">
        <f t="shared" ca="1" si="9"/>
        <v>0.68877773691288402</v>
      </c>
      <c r="E159" s="106">
        <f t="shared" ca="1" si="10"/>
        <v>0</v>
      </c>
      <c r="F159" s="21">
        <f t="shared" ca="1" si="11"/>
        <v>0</v>
      </c>
      <c r="H159" s="21">
        <v>144</v>
      </c>
      <c r="I159" s="107">
        <v>0.66766120058795431</v>
      </c>
      <c r="J159" s="108">
        <v>1.3240434323111715E-3</v>
      </c>
      <c r="K159" s="108"/>
      <c r="L159" s="108">
        <v>4.2599999999999999E-2</v>
      </c>
      <c r="O159" s="105"/>
    </row>
    <row r="160" spans="2:15" x14ac:dyDescent="0.2">
      <c r="B160" s="1">
        <v>145</v>
      </c>
      <c r="C160" s="106">
        <f t="shared" ca="1" si="8"/>
        <v>0.50933370548588575</v>
      </c>
      <c r="D160" s="106">
        <f t="shared" ca="1" si="9"/>
        <v>0.69874054148899722</v>
      </c>
      <c r="E160" s="106">
        <f t="shared" ca="1" si="10"/>
        <v>0</v>
      </c>
      <c r="F160" s="21">
        <f t="shared" ca="1" si="11"/>
        <v>0</v>
      </c>
      <c r="H160" s="21">
        <v>145</v>
      </c>
      <c r="I160" s="107">
        <v>0.66766946983261688</v>
      </c>
      <c r="J160" s="108">
        <v>1.2505939721532188E-3</v>
      </c>
      <c r="K160" s="108"/>
      <c r="L160" s="108">
        <v>3.6999999999999998E-2</v>
      </c>
      <c r="O160" s="105"/>
    </row>
    <row r="161" spans="2:15" x14ac:dyDescent="0.2">
      <c r="B161" s="1">
        <v>146</v>
      </c>
      <c r="C161" s="106">
        <f t="shared" ca="1" si="8"/>
        <v>1.9279647782552509</v>
      </c>
      <c r="D161" s="106">
        <f t="shared" ca="1" si="9"/>
        <v>0.80369121771231733</v>
      </c>
      <c r="E161" s="106">
        <f t="shared" ca="1" si="10"/>
        <v>1.5491217712317318E-2</v>
      </c>
      <c r="F161" s="21">
        <f t="shared" ca="1" si="11"/>
        <v>1</v>
      </c>
      <c r="H161" s="21">
        <v>146</v>
      </c>
      <c r="I161" s="107">
        <v>0.66797406978513774</v>
      </c>
      <c r="J161" s="108">
        <v>1.6080530328519821E-3</v>
      </c>
      <c r="K161" s="108"/>
      <c r="L161" s="108">
        <v>4.82E-2</v>
      </c>
      <c r="O161" s="105"/>
    </row>
    <row r="162" spans="2:15" x14ac:dyDescent="0.2">
      <c r="B162" s="1">
        <v>147</v>
      </c>
      <c r="C162" s="106">
        <f t="shared" ca="1" si="8"/>
        <v>-0.12165102106861934</v>
      </c>
      <c r="D162" s="106">
        <f t="shared" ca="1" si="9"/>
        <v>0.65657591176687868</v>
      </c>
      <c r="E162" s="106">
        <f t="shared" ca="1" si="10"/>
        <v>0</v>
      </c>
      <c r="F162" s="21">
        <f t="shared" ca="1" si="11"/>
        <v>0</v>
      </c>
      <c r="H162" s="21">
        <v>147</v>
      </c>
      <c r="I162" s="107">
        <v>0.66777358122627173</v>
      </c>
      <c r="J162" s="108">
        <v>1.4751608452503323E-3</v>
      </c>
      <c r="K162" s="108"/>
      <c r="L162" s="108">
        <v>4.2999999999999997E-2</v>
      </c>
      <c r="O162" s="105"/>
    </row>
    <row r="163" spans="2:15" x14ac:dyDescent="0.2">
      <c r="B163" s="1">
        <v>148</v>
      </c>
      <c r="C163" s="106">
        <f t="shared" ca="1" si="8"/>
        <v>6.8797615842344242E-2</v>
      </c>
      <c r="D163" s="106">
        <f t="shared" ca="1" si="9"/>
        <v>0.66902700405334081</v>
      </c>
      <c r="E163" s="106">
        <f t="shared" ca="1" si="10"/>
        <v>0</v>
      </c>
      <c r="F163" s="21">
        <f t="shared" ca="1" si="11"/>
        <v>0</v>
      </c>
      <c r="H163" s="21">
        <v>148</v>
      </c>
      <c r="I163" s="107">
        <v>0.66760952974187282</v>
      </c>
      <c r="J163" s="108">
        <v>1.2855997768520557E-3</v>
      </c>
      <c r="K163" s="108"/>
      <c r="L163" s="108">
        <v>3.6200000000000003E-2</v>
      </c>
      <c r="O163" s="105"/>
    </row>
    <row r="164" spans="2:15" x14ac:dyDescent="0.2">
      <c r="B164" s="1">
        <v>149</v>
      </c>
      <c r="C164" s="106">
        <f t="shared" ca="1" si="8"/>
        <v>0.51169916836887208</v>
      </c>
      <c r="D164" s="106">
        <f t="shared" ca="1" si="9"/>
        <v>0.69890359931550339</v>
      </c>
      <c r="E164" s="106">
        <f t="shared" ca="1" si="10"/>
        <v>0</v>
      </c>
      <c r="F164" s="21">
        <f t="shared" ca="1" si="11"/>
        <v>0</v>
      </c>
      <c r="H164" s="21">
        <v>149</v>
      </c>
      <c r="I164" s="107">
        <v>0.66770148262558149</v>
      </c>
      <c r="J164" s="108">
        <v>1.2959041260037611E-3</v>
      </c>
      <c r="K164" s="108"/>
      <c r="L164" s="108">
        <v>4.0800000000000003E-2</v>
      </c>
      <c r="O164" s="105"/>
    </row>
    <row r="165" spans="2:15" x14ac:dyDescent="0.2">
      <c r="B165" s="1">
        <v>150</v>
      </c>
      <c r="C165" s="106">
        <f t="shared" ca="1" si="8"/>
        <v>1.461066996191297</v>
      </c>
      <c r="D165" s="106">
        <f t="shared" ca="1" si="9"/>
        <v>0.76751630352848554</v>
      </c>
      <c r="E165" s="106">
        <f t="shared" ca="1" si="10"/>
        <v>0</v>
      </c>
      <c r="F165" s="21">
        <f t="shared" ca="1" si="11"/>
        <v>0</v>
      </c>
      <c r="H165" s="21">
        <v>150</v>
      </c>
      <c r="I165" s="107">
        <v>0.66777061027319884</v>
      </c>
      <c r="J165" s="108">
        <v>1.466582990938744E-3</v>
      </c>
      <c r="K165" s="108"/>
      <c r="L165" s="108">
        <v>4.1799999999999997E-2</v>
      </c>
      <c r="O165" s="105"/>
    </row>
    <row r="166" spans="2:15" x14ac:dyDescent="0.2">
      <c r="B166" s="1">
        <v>151</v>
      </c>
      <c r="C166" s="106">
        <f t="shared" ca="1" si="8"/>
        <v>1.4568005198833236</v>
      </c>
      <c r="D166" s="106">
        <f t="shared" ca="1" si="9"/>
        <v>0.76719336157718443</v>
      </c>
      <c r="E166" s="106">
        <f t="shared" ca="1" si="10"/>
        <v>0</v>
      </c>
      <c r="F166" s="21">
        <f t="shared" ca="1" si="11"/>
        <v>0</v>
      </c>
      <c r="H166" s="21">
        <v>151</v>
      </c>
      <c r="I166" s="107">
        <v>0.66788949948466891</v>
      </c>
      <c r="J166" s="108">
        <v>1.4645122984641762E-3</v>
      </c>
      <c r="K166" s="108"/>
      <c r="L166" s="108">
        <v>4.7399999999999998E-2</v>
      </c>
      <c r="O166" s="105"/>
    </row>
    <row r="167" spans="2:15" x14ac:dyDescent="0.2">
      <c r="B167" s="1">
        <v>152</v>
      </c>
      <c r="C167" s="106">
        <f t="shared" ca="1" si="8"/>
        <v>0.31741035697530989</v>
      </c>
      <c r="D167" s="106">
        <f t="shared" ca="1" si="9"/>
        <v>0.6856367129576143</v>
      </c>
      <c r="E167" s="106">
        <f t="shared" ca="1" si="10"/>
        <v>0</v>
      </c>
      <c r="F167" s="21">
        <f t="shared" ca="1" si="11"/>
        <v>0</v>
      </c>
      <c r="H167" s="21">
        <v>152</v>
      </c>
      <c r="I167" s="107">
        <v>0.66795606593664081</v>
      </c>
      <c r="J167" s="108">
        <v>1.6138423487575093E-3</v>
      </c>
      <c r="K167" s="108"/>
      <c r="L167" s="108">
        <v>4.7199999999999999E-2</v>
      </c>
      <c r="O167" s="105"/>
    </row>
    <row r="168" spans="2:15" x14ac:dyDescent="0.2">
      <c r="B168" s="1">
        <v>153</v>
      </c>
      <c r="C168" s="106">
        <f t="shared" ca="1" si="8"/>
        <v>1.3966964414312357</v>
      </c>
      <c r="D168" s="106">
        <f t="shared" ca="1" si="9"/>
        <v>0.76265832384420973</v>
      </c>
      <c r="E168" s="106">
        <f t="shared" ca="1" si="10"/>
        <v>0</v>
      </c>
      <c r="F168" s="21">
        <f t="shared" ca="1" si="11"/>
        <v>0</v>
      </c>
      <c r="H168" s="21">
        <v>153</v>
      </c>
      <c r="I168" s="107">
        <v>0.66772341491705944</v>
      </c>
      <c r="J168" s="108">
        <v>1.3313014764853553E-3</v>
      </c>
      <c r="K168" s="108"/>
      <c r="L168" s="108">
        <v>3.9399999999999998E-2</v>
      </c>
      <c r="O168" s="105"/>
    </row>
    <row r="169" spans="2:15" x14ac:dyDescent="0.2">
      <c r="B169" s="1">
        <v>154</v>
      </c>
      <c r="C169" s="106">
        <f t="shared" ca="1" si="8"/>
        <v>-0.61800202982617025</v>
      </c>
      <c r="D169" s="106">
        <f t="shared" ca="1" si="9"/>
        <v>0.62520374995144123</v>
      </c>
      <c r="E169" s="106">
        <f t="shared" ca="1" si="10"/>
        <v>0</v>
      </c>
      <c r="F169" s="21">
        <f t="shared" ca="1" si="11"/>
        <v>0</v>
      </c>
      <c r="H169" s="21">
        <v>154</v>
      </c>
      <c r="I169" s="107">
        <v>0.66762517176365432</v>
      </c>
      <c r="J169" s="108">
        <v>1.2962536749841294E-3</v>
      </c>
      <c r="K169" s="108"/>
      <c r="L169" s="108">
        <v>3.9600000000000003E-2</v>
      </c>
      <c r="O169" s="105"/>
    </row>
    <row r="170" spans="2:15" x14ac:dyDescent="0.2">
      <c r="B170" s="1">
        <v>155</v>
      </c>
      <c r="C170" s="106">
        <f t="shared" ca="1" si="8"/>
        <v>-1.0741073858358205</v>
      </c>
      <c r="D170" s="106">
        <f t="shared" ca="1" si="9"/>
        <v>0.59769868727066267</v>
      </c>
      <c r="E170" s="106">
        <f t="shared" ca="1" si="10"/>
        <v>0</v>
      </c>
      <c r="F170" s="21">
        <f t="shared" ca="1" si="11"/>
        <v>0</v>
      </c>
      <c r="H170" s="21">
        <v>155</v>
      </c>
      <c r="I170" s="107">
        <v>0.66788934447338855</v>
      </c>
      <c r="J170" s="108">
        <v>1.6677264743155402E-3</v>
      </c>
      <c r="K170" s="108"/>
      <c r="L170" s="108">
        <v>4.5600000000000002E-2</v>
      </c>
      <c r="O170" s="105"/>
    </row>
    <row r="171" spans="2:15" x14ac:dyDescent="0.2">
      <c r="B171" s="1">
        <v>156</v>
      </c>
      <c r="C171" s="106">
        <f t="shared" ca="1" si="8"/>
        <v>0.35810289973645326</v>
      </c>
      <c r="D171" s="106">
        <f t="shared" ca="1" si="9"/>
        <v>0.6883943665249842</v>
      </c>
      <c r="E171" s="106">
        <f t="shared" ca="1" si="10"/>
        <v>0</v>
      </c>
      <c r="F171" s="21">
        <f t="shared" ca="1" si="11"/>
        <v>0</v>
      </c>
      <c r="H171" s="21">
        <v>156</v>
      </c>
      <c r="I171" s="107">
        <v>0.66774168042620619</v>
      </c>
      <c r="J171" s="108">
        <v>1.4454132891022022E-3</v>
      </c>
      <c r="K171" s="108"/>
      <c r="L171" s="108">
        <v>0.04</v>
      </c>
      <c r="O171" s="105"/>
    </row>
    <row r="172" spans="2:15" x14ac:dyDescent="0.2">
      <c r="B172" s="1">
        <v>157</v>
      </c>
      <c r="C172" s="106">
        <f t="shared" ca="1" si="8"/>
        <v>0.13114246903443086</v>
      </c>
      <c r="D172" s="106">
        <f t="shared" ca="1" si="9"/>
        <v>0.67315404945715285</v>
      </c>
      <c r="E172" s="106">
        <f t="shared" ca="1" si="10"/>
        <v>0</v>
      </c>
      <c r="F172" s="21">
        <f t="shared" ca="1" si="11"/>
        <v>0</v>
      </c>
      <c r="H172" s="21">
        <v>157</v>
      </c>
      <c r="I172" s="107">
        <v>0.66775243778242144</v>
      </c>
      <c r="J172" s="108">
        <v>1.4458007643393571E-3</v>
      </c>
      <c r="K172" s="108"/>
      <c r="L172" s="108">
        <v>4.3400000000000001E-2</v>
      </c>
      <c r="O172" s="105"/>
    </row>
    <row r="173" spans="2:15" x14ac:dyDescent="0.2">
      <c r="B173" s="1">
        <v>158</v>
      </c>
      <c r="C173" s="106">
        <f t="shared" ca="1" si="8"/>
        <v>1.6701697042510808</v>
      </c>
      <c r="D173" s="106">
        <f t="shared" ca="1" si="9"/>
        <v>0.78351161795449209</v>
      </c>
      <c r="E173" s="106">
        <f t="shared" ca="1" si="10"/>
        <v>0</v>
      </c>
      <c r="F173" s="21">
        <f t="shared" ca="1" si="11"/>
        <v>0</v>
      </c>
      <c r="H173" s="21">
        <v>158</v>
      </c>
      <c r="I173" s="107">
        <v>0.66788443830491417</v>
      </c>
      <c r="J173" s="108">
        <v>1.6354841540840667E-3</v>
      </c>
      <c r="K173" s="108"/>
      <c r="L173" s="108">
        <v>4.5199999999999997E-2</v>
      </c>
      <c r="O173" s="105"/>
    </row>
    <row r="174" spans="2:15" x14ac:dyDescent="0.2">
      <c r="B174" s="1">
        <v>159</v>
      </c>
      <c r="C174" s="106">
        <f t="shared" ca="1" si="8"/>
        <v>1.4302673378040964</v>
      </c>
      <c r="D174" s="106">
        <f t="shared" ca="1" si="9"/>
        <v>0.76518803612692221</v>
      </c>
      <c r="E174" s="106">
        <f t="shared" ca="1" si="10"/>
        <v>0</v>
      </c>
      <c r="F174" s="21">
        <f t="shared" ca="1" si="11"/>
        <v>0</v>
      </c>
      <c r="H174" s="21">
        <v>159</v>
      </c>
      <c r="I174" s="107">
        <v>0.66782133773211716</v>
      </c>
      <c r="J174" s="108">
        <v>1.4365806538630896E-3</v>
      </c>
      <c r="K174" s="108"/>
      <c r="L174" s="108">
        <v>4.2799999999999998E-2</v>
      </c>
      <c r="O174" s="105"/>
    </row>
    <row r="175" spans="2:15" x14ac:dyDescent="0.2">
      <c r="B175" s="1">
        <v>160</v>
      </c>
      <c r="C175" s="106">
        <f t="shared" ca="1" si="8"/>
        <v>-0.60876882232876217</v>
      </c>
      <c r="D175" s="106">
        <f t="shared" ca="1" si="9"/>
        <v>0.62577342980079764</v>
      </c>
      <c r="E175" s="106">
        <f t="shared" ca="1" si="10"/>
        <v>0</v>
      </c>
      <c r="F175" s="21">
        <f t="shared" ca="1" si="11"/>
        <v>0</v>
      </c>
      <c r="H175" s="21">
        <v>160</v>
      </c>
      <c r="I175" s="107">
        <v>0.66772604058187612</v>
      </c>
      <c r="J175" s="108">
        <v>1.3817999742949478E-3</v>
      </c>
      <c r="K175" s="108"/>
      <c r="L175" s="108">
        <v>4.1200000000000001E-2</v>
      </c>
      <c r="O175" s="105"/>
    </row>
    <row r="176" spans="2:15" x14ac:dyDescent="0.2">
      <c r="B176" s="1">
        <v>161</v>
      </c>
      <c r="C176" s="106">
        <f t="shared" ca="1" si="8"/>
        <v>0.72103423377474263</v>
      </c>
      <c r="D176" s="106">
        <f t="shared" ca="1" si="9"/>
        <v>0.71348535335528596</v>
      </c>
      <c r="E176" s="106">
        <f t="shared" ca="1" si="10"/>
        <v>0</v>
      </c>
      <c r="F176" s="21">
        <f t="shared" ca="1" si="11"/>
        <v>0</v>
      </c>
      <c r="H176" s="21">
        <v>161</v>
      </c>
      <c r="I176" s="107">
        <v>0.66770210045379086</v>
      </c>
      <c r="J176" s="108">
        <v>1.3453129191271745E-3</v>
      </c>
      <c r="K176" s="108"/>
      <c r="L176" s="108">
        <v>3.8800000000000001E-2</v>
      </c>
      <c r="O176" s="105"/>
    </row>
    <row r="177" spans="2:15" x14ac:dyDescent="0.2">
      <c r="B177" s="1">
        <v>162</v>
      </c>
      <c r="C177" s="106">
        <f t="shared" ca="1" si="8"/>
        <v>-1.4899179605564823</v>
      </c>
      <c r="D177" s="106">
        <f t="shared" ca="1" si="9"/>
        <v>0.57367937101416944</v>
      </c>
      <c r="E177" s="106">
        <f t="shared" ca="1" si="10"/>
        <v>0</v>
      </c>
      <c r="F177" s="21">
        <f t="shared" ca="1" si="11"/>
        <v>0</v>
      </c>
      <c r="H177" s="21">
        <v>162</v>
      </c>
      <c r="I177" s="107">
        <v>0.66773106792760761</v>
      </c>
      <c r="J177" s="108">
        <v>1.4664923603696393E-3</v>
      </c>
      <c r="K177" s="108"/>
      <c r="L177" s="108">
        <v>4.2799999999999998E-2</v>
      </c>
      <c r="O177" s="105"/>
    </row>
    <row r="178" spans="2:15" x14ac:dyDescent="0.2">
      <c r="B178" s="1">
        <v>163</v>
      </c>
      <c r="C178" s="106">
        <f t="shared" ca="1" si="8"/>
        <v>0.29495915221216368</v>
      </c>
      <c r="D178" s="106">
        <f t="shared" ca="1" si="9"/>
        <v>0.68411997063082852</v>
      </c>
      <c r="E178" s="106">
        <f t="shared" ca="1" si="10"/>
        <v>0</v>
      </c>
      <c r="F178" s="21">
        <f t="shared" ca="1" si="11"/>
        <v>0</v>
      </c>
      <c r="H178" s="21">
        <v>163</v>
      </c>
      <c r="I178" s="107">
        <v>0.66761622806507437</v>
      </c>
      <c r="J178" s="108">
        <v>1.1962363636342445E-3</v>
      </c>
      <c r="K178" s="108"/>
      <c r="L178" s="108">
        <v>3.7600000000000001E-2</v>
      </c>
      <c r="O178" s="105"/>
    </row>
    <row r="179" spans="2:15" x14ac:dyDescent="0.2">
      <c r="B179" s="1">
        <v>164</v>
      </c>
      <c r="C179" s="106">
        <f t="shared" ca="1" si="8"/>
        <v>0.94824041458795461</v>
      </c>
      <c r="D179" s="106">
        <f t="shared" ca="1" si="9"/>
        <v>0.72965646517043803</v>
      </c>
      <c r="E179" s="106">
        <f t="shared" ca="1" si="10"/>
        <v>0</v>
      </c>
      <c r="F179" s="21">
        <f t="shared" ca="1" si="11"/>
        <v>0</v>
      </c>
      <c r="H179" s="21">
        <v>164</v>
      </c>
      <c r="I179" s="107">
        <v>0.66748948616428361</v>
      </c>
      <c r="J179" s="108">
        <v>1.2581146890179027E-3</v>
      </c>
      <c r="K179" s="108"/>
      <c r="L179" s="108">
        <v>3.4599999999999999E-2</v>
      </c>
      <c r="O179" s="105"/>
    </row>
    <row r="180" spans="2:15" x14ac:dyDescent="0.2">
      <c r="B180" s="1">
        <v>165</v>
      </c>
      <c r="C180" s="106">
        <f t="shared" ca="1" si="8"/>
        <v>2.3431879191983453</v>
      </c>
      <c r="D180" s="106">
        <f t="shared" ca="1" si="9"/>
        <v>0.83729235526759793</v>
      </c>
      <c r="E180" s="106">
        <f t="shared" ca="1" si="10"/>
        <v>4.909235526759792E-2</v>
      </c>
      <c r="F180" s="21">
        <f t="shared" ca="1" si="11"/>
        <v>1</v>
      </c>
      <c r="H180" s="21">
        <v>165</v>
      </c>
      <c r="I180" s="107">
        <v>0.66774629404974861</v>
      </c>
      <c r="J180" s="108">
        <v>1.3404979505740203E-3</v>
      </c>
      <c r="K180" s="108"/>
      <c r="L180" s="108">
        <v>4.1200000000000001E-2</v>
      </c>
      <c r="O180" s="105"/>
    </row>
    <row r="181" spans="2:15" x14ac:dyDescent="0.2">
      <c r="B181" s="1">
        <v>166</v>
      </c>
      <c r="C181" s="106">
        <f t="shared" ca="1" si="8"/>
        <v>-1.8308522713436481</v>
      </c>
      <c r="D181" s="106">
        <f t="shared" ca="1" si="9"/>
        <v>0.55470721874188156</v>
      </c>
      <c r="E181" s="106">
        <f t="shared" ca="1" si="10"/>
        <v>0</v>
      </c>
      <c r="F181" s="21">
        <f t="shared" ca="1" si="11"/>
        <v>0</v>
      </c>
      <c r="H181" s="21">
        <v>166</v>
      </c>
      <c r="I181" s="107">
        <v>0.66770227378141811</v>
      </c>
      <c r="J181" s="108">
        <v>1.2748497575242627E-3</v>
      </c>
      <c r="K181" s="108"/>
      <c r="L181" s="108">
        <v>3.9800000000000002E-2</v>
      </c>
      <c r="O181" s="105"/>
    </row>
    <row r="182" spans="2:15" x14ac:dyDescent="0.2">
      <c r="B182" s="1">
        <v>167</v>
      </c>
      <c r="C182" s="106">
        <f t="shared" ca="1" si="8"/>
        <v>-1.0203516550556389</v>
      </c>
      <c r="D182" s="106">
        <f t="shared" ca="1" si="9"/>
        <v>0.60087642399370444</v>
      </c>
      <c r="E182" s="106">
        <f t="shared" ca="1" si="10"/>
        <v>0</v>
      </c>
      <c r="F182" s="21">
        <f t="shared" ca="1" si="11"/>
        <v>0</v>
      </c>
      <c r="H182" s="21">
        <v>167</v>
      </c>
      <c r="I182" s="107">
        <v>0.66770435663901639</v>
      </c>
      <c r="J182" s="108">
        <v>1.2978964161775505E-3</v>
      </c>
      <c r="K182" s="108"/>
      <c r="L182" s="108">
        <v>4.2799999999999998E-2</v>
      </c>
      <c r="O182" s="105"/>
    </row>
    <row r="183" spans="2:15" x14ac:dyDescent="0.2">
      <c r="B183" s="1">
        <v>168</v>
      </c>
      <c r="C183" s="106">
        <f t="shared" ca="1" si="8"/>
        <v>1.2575882018624955</v>
      </c>
      <c r="D183" s="106">
        <f t="shared" ca="1" si="9"/>
        <v>0.7522647352700258</v>
      </c>
      <c r="E183" s="106">
        <f t="shared" ca="1" si="10"/>
        <v>0</v>
      </c>
      <c r="F183" s="21">
        <f t="shared" ca="1" si="11"/>
        <v>0</v>
      </c>
      <c r="H183" s="21">
        <v>168</v>
      </c>
      <c r="I183" s="107">
        <v>0.66788380374005207</v>
      </c>
      <c r="J183" s="108">
        <v>1.5833025475344678E-3</v>
      </c>
      <c r="K183" s="108"/>
      <c r="L183" s="108">
        <v>4.3799999999999999E-2</v>
      </c>
      <c r="O183" s="105"/>
    </row>
    <row r="184" spans="2:15" x14ac:dyDescent="0.2">
      <c r="B184" s="1">
        <v>169</v>
      </c>
      <c r="C184" s="106">
        <f t="shared" ca="1" si="8"/>
        <v>0.36083887846205875</v>
      </c>
      <c r="D184" s="106">
        <f t="shared" ca="1" si="9"/>
        <v>0.68858017586019116</v>
      </c>
      <c r="E184" s="106">
        <f t="shared" ca="1" si="10"/>
        <v>0</v>
      </c>
      <c r="F184" s="21">
        <f t="shared" ca="1" si="11"/>
        <v>0</v>
      </c>
      <c r="H184" s="21">
        <v>169</v>
      </c>
      <c r="I184" s="107">
        <v>0.66763147915213916</v>
      </c>
      <c r="J184" s="108">
        <v>1.3189082945296573E-3</v>
      </c>
      <c r="K184" s="108"/>
      <c r="L184" s="108">
        <v>4.0399999999999998E-2</v>
      </c>
      <c r="O184" s="105"/>
    </row>
    <row r="185" spans="2:15" x14ac:dyDescent="0.2">
      <c r="B185" s="1">
        <v>170</v>
      </c>
      <c r="C185" s="106">
        <f t="shared" ca="1" si="8"/>
        <v>0.19255560514339015</v>
      </c>
      <c r="D185" s="106">
        <f t="shared" ca="1" si="9"/>
        <v>0.67724430793434631</v>
      </c>
      <c r="E185" s="106">
        <f t="shared" ca="1" si="10"/>
        <v>0</v>
      </c>
      <c r="F185" s="21">
        <f t="shared" ca="1" si="11"/>
        <v>0</v>
      </c>
      <c r="H185" s="21">
        <v>170</v>
      </c>
      <c r="I185" s="107">
        <v>0.6676442795463946</v>
      </c>
      <c r="J185" s="108">
        <v>1.2290526614823309E-3</v>
      </c>
      <c r="K185" s="108"/>
      <c r="L185" s="108">
        <v>4.1599999999999998E-2</v>
      </c>
      <c r="O185" s="105"/>
    </row>
    <row r="186" spans="2:15" x14ac:dyDescent="0.2">
      <c r="B186" s="1">
        <v>171</v>
      </c>
      <c r="C186" s="106">
        <f t="shared" ca="1" si="8"/>
        <v>-0.1748137455259309</v>
      </c>
      <c r="D186" s="106">
        <f t="shared" ca="1" si="9"/>
        <v>0.65314181250721792</v>
      </c>
      <c r="E186" s="106">
        <f t="shared" ca="1" si="10"/>
        <v>0</v>
      </c>
      <c r="F186" s="21">
        <f t="shared" ca="1" si="11"/>
        <v>0</v>
      </c>
      <c r="H186" s="21">
        <v>171</v>
      </c>
      <c r="I186" s="107">
        <v>0.66766982806554676</v>
      </c>
      <c r="J186" s="108">
        <v>1.3462062629937233E-3</v>
      </c>
      <c r="K186" s="108"/>
      <c r="L186" s="108">
        <v>4.0399999999999998E-2</v>
      </c>
      <c r="O186" s="105"/>
    </row>
    <row r="187" spans="2:15" x14ac:dyDescent="0.2">
      <c r="B187" s="1">
        <v>172</v>
      </c>
      <c r="C187" s="106">
        <f t="shared" ca="1" si="8"/>
        <v>-0.24712479832411458</v>
      </c>
      <c r="D187" s="106">
        <f t="shared" ca="1" si="9"/>
        <v>0.64849962036020126</v>
      </c>
      <c r="E187" s="106">
        <f t="shared" ca="1" si="10"/>
        <v>0</v>
      </c>
      <c r="F187" s="21">
        <f t="shared" ca="1" si="11"/>
        <v>0</v>
      </c>
      <c r="H187" s="21">
        <v>172</v>
      </c>
      <c r="I187" s="107">
        <v>0.66772128806464248</v>
      </c>
      <c r="J187" s="108">
        <v>1.3711775738711645E-3</v>
      </c>
      <c r="K187" s="108"/>
      <c r="L187" s="108">
        <v>4.0399999999999998E-2</v>
      </c>
      <c r="O187" s="105"/>
    </row>
    <row r="188" spans="2:15" x14ac:dyDescent="0.2">
      <c r="B188" s="1">
        <v>173</v>
      </c>
      <c r="C188" s="106">
        <f t="shared" ca="1" si="8"/>
        <v>0.21527572985168128</v>
      </c>
      <c r="D188" s="106">
        <f t="shared" ca="1" si="9"/>
        <v>0.67876381150181053</v>
      </c>
      <c r="E188" s="106">
        <f t="shared" ca="1" si="10"/>
        <v>0</v>
      </c>
      <c r="F188" s="21">
        <f t="shared" ca="1" si="11"/>
        <v>0</v>
      </c>
      <c r="H188" s="21">
        <v>173</v>
      </c>
      <c r="I188" s="107">
        <v>0.66783801530487008</v>
      </c>
      <c r="J188" s="108">
        <v>1.4422685909020294E-3</v>
      </c>
      <c r="K188" s="108"/>
      <c r="L188" s="108">
        <v>4.36E-2</v>
      </c>
      <c r="O188" s="105"/>
    </row>
    <row r="189" spans="2:15" x14ac:dyDescent="0.2">
      <c r="B189" s="1">
        <v>174</v>
      </c>
      <c r="C189" s="106">
        <f t="shared" ca="1" si="8"/>
        <v>-0.17277293599041429</v>
      </c>
      <c r="D189" s="106">
        <f t="shared" ca="1" si="9"/>
        <v>0.65327330851771581</v>
      </c>
      <c r="E189" s="106">
        <f t="shared" ca="1" si="10"/>
        <v>0</v>
      </c>
      <c r="F189" s="21">
        <f t="shared" ca="1" si="11"/>
        <v>0</v>
      </c>
      <c r="H189" s="21">
        <v>174</v>
      </c>
      <c r="I189" s="107">
        <v>0.66772289311321664</v>
      </c>
      <c r="J189" s="108">
        <v>1.4627113301567732E-3</v>
      </c>
      <c r="K189" s="108"/>
      <c r="L189" s="108">
        <v>4.0599999999999997E-2</v>
      </c>
      <c r="O189" s="105"/>
    </row>
    <row r="190" spans="2:15" x14ac:dyDescent="0.2">
      <c r="B190" s="1">
        <v>175</v>
      </c>
      <c r="C190" s="106">
        <f t="shared" ca="1" si="8"/>
        <v>-0.31948574290594584</v>
      </c>
      <c r="D190" s="106">
        <f t="shared" ca="1" si="9"/>
        <v>0.64388725367027078</v>
      </c>
      <c r="E190" s="106">
        <f t="shared" ca="1" si="10"/>
        <v>0</v>
      </c>
      <c r="F190" s="21">
        <f t="shared" ca="1" si="11"/>
        <v>0</v>
      </c>
      <c r="H190" s="21">
        <v>175</v>
      </c>
      <c r="I190" s="107">
        <v>0.66777566251199083</v>
      </c>
      <c r="J190" s="108">
        <v>1.4423536631505277E-3</v>
      </c>
      <c r="K190" s="108"/>
      <c r="L190" s="108">
        <v>4.2599999999999999E-2</v>
      </c>
      <c r="O190" s="105"/>
    </row>
    <row r="191" spans="2:15" x14ac:dyDescent="0.2">
      <c r="B191" s="1">
        <v>176</v>
      </c>
      <c r="C191" s="106">
        <f t="shared" ca="1" si="8"/>
        <v>2.3989741270795206</v>
      </c>
      <c r="D191" s="106">
        <f t="shared" ca="1" si="9"/>
        <v>0.84191252934241179</v>
      </c>
      <c r="E191" s="106">
        <f t="shared" ca="1" si="10"/>
        <v>5.3712529342411774E-2</v>
      </c>
      <c r="F191" s="21">
        <f t="shared" ca="1" si="11"/>
        <v>1</v>
      </c>
      <c r="H191" s="21">
        <v>176</v>
      </c>
      <c r="I191" s="107">
        <v>0.66776012419533559</v>
      </c>
      <c r="J191" s="108">
        <v>1.4940796747903978E-3</v>
      </c>
      <c r="K191" s="108"/>
      <c r="L191" s="108">
        <v>4.6399999999999997E-2</v>
      </c>
      <c r="O191" s="105"/>
    </row>
    <row r="192" spans="2:15" x14ac:dyDescent="0.2">
      <c r="B192" s="1">
        <v>177</v>
      </c>
      <c r="C192" s="106">
        <f t="shared" ca="1" si="8"/>
        <v>1.9933770263526471</v>
      </c>
      <c r="D192" s="106">
        <f t="shared" ca="1" si="9"/>
        <v>0.808893681454396</v>
      </c>
      <c r="E192" s="106">
        <f t="shared" ca="1" si="10"/>
        <v>2.0693681454395985E-2</v>
      </c>
      <c r="F192" s="21">
        <f t="shared" ca="1" si="11"/>
        <v>1</v>
      </c>
      <c r="H192" s="21">
        <v>177</v>
      </c>
      <c r="I192" s="107">
        <v>0.66789310573537053</v>
      </c>
      <c r="J192" s="108">
        <v>1.5708367871046678E-3</v>
      </c>
      <c r="K192" s="108"/>
      <c r="L192" s="108">
        <v>4.5400000000000003E-2</v>
      </c>
      <c r="O192" s="105"/>
    </row>
    <row r="193" spans="2:15" x14ac:dyDescent="0.2">
      <c r="B193" s="1">
        <v>178</v>
      </c>
      <c r="C193" s="106">
        <f t="shared" ca="1" si="8"/>
        <v>-0.21304271619178097</v>
      </c>
      <c r="D193" s="106">
        <f t="shared" ca="1" si="9"/>
        <v>0.65068348128545284</v>
      </c>
      <c r="E193" s="106">
        <f t="shared" ca="1" si="10"/>
        <v>0</v>
      </c>
      <c r="F193" s="21">
        <f t="shared" ca="1" si="11"/>
        <v>0</v>
      </c>
      <c r="H193" s="21">
        <v>178</v>
      </c>
      <c r="I193" s="107">
        <v>0.66766868779969568</v>
      </c>
      <c r="J193" s="108">
        <v>1.2385665374583122E-3</v>
      </c>
      <c r="K193" s="108"/>
      <c r="L193" s="108">
        <v>4.1799999999999997E-2</v>
      </c>
      <c r="O193" s="105"/>
    </row>
    <row r="194" spans="2:15" x14ac:dyDescent="0.2">
      <c r="B194" s="1">
        <v>179</v>
      </c>
      <c r="C194" s="106">
        <f t="shared" ca="1" si="8"/>
        <v>-0.82829425403846602</v>
      </c>
      <c r="D194" s="106">
        <f t="shared" ca="1" si="9"/>
        <v>0.61236841870585124</v>
      </c>
      <c r="E194" s="106">
        <f t="shared" ca="1" si="10"/>
        <v>0</v>
      </c>
      <c r="F194" s="21">
        <f t="shared" ca="1" si="11"/>
        <v>0</v>
      </c>
      <c r="H194" s="21">
        <v>179</v>
      </c>
      <c r="I194" s="107">
        <v>0.66784986209939667</v>
      </c>
      <c r="J194" s="108">
        <v>1.4829822145130964E-3</v>
      </c>
      <c r="K194" s="108"/>
      <c r="L194" s="108">
        <v>4.7E-2</v>
      </c>
      <c r="O194" s="105"/>
    </row>
    <row r="195" spans="2:15" x14ac:dyDescent="0.2">
      <c r="B195" s="1">
        <v>180</v>
      </c>
      <c r="C195" s="106">
        <f t="shared" ca="1" si="8"/>
        <v>0.97398392794267497</v>
      </c>
      <c r="D195" s="106">
        <f t="shared" ca="1" si="9"/>
        <v>0.73151169059550503</v>
      </c>
      <c r="E195" s="106">
        <f t="shared" ca="1" si="10"/>
        <v>0</v>
      </c>
      <c r="F195" s="21">
        <f t="shared" ca="1" si="11"/>
        <v>0</v>
      </c>
      <c r="H195" s="21">
        <v>180</v>
      </c>
      <c r="I195" s="107">
        <v>0.66773164312168376</v>
      </c>
      <c r="J195" s="108">
        <v>1.4542850747567542E-3</v>
      </c>
      <c r="K195" s="108"/>
      <c r="L195" s="108">
        <v>4.1200000000000001E-2</v>
      </c>
      <c r="O195" s="105"/>
    </row>
    <row r="196" spans="2:15" x14ac:dyDescent="0.2">
      <c r="B196" s="1">
        <v>181</v>
      </c>
      <c r="C196" s="106">
        <f t="shared" ca="1" si="8"/>
        <v>-1.2576994933154502</v>
      </c>
      <c r="D196" s="106">
        <f t="shared" ca="1" si="9"/>
        <v>0.58697192494058337</v>
      </c>
      <c r="E196" s="106">
        <f t="shared" ca="1" si="10"/>
        <v>0</v>
      </c>
      <c r="F196" s="21">
        <f t="shared" ca="1" si="11"/>
        <v>0</v>
      </c>
      <c r="H196" s="21">
        <v>181</v>
      </c>
      <c r="I196" s="107">
        <v>0.66767152699354027</v>
      </c>
      <c r="J196" s="108">
        <v>1.4096167446219989E-3</v>
      </c>
      <c r="K196" s="108"/>
      <c r="L196" s="108">
        <v>4.3400000000000001E-2</v>
      </c>
      <c r="O196" s="105"/>
    </row>
    <row r="197" spans="2:15" x14ac:dyDescent="0.2">
      <c r="B197" s="1">
        <v>182</v>
      </c>
      <c r="C197" s="106">
        <f t="shared" ca="1" si="8"/>
        <v>1.844753364632</v>
      </c>
      <c r="D197" s="106">
        <f t="shared" ca="1" si="9"/>
        <v>0.79712145203968188</v>
      </c>
      <c r="E197" s="106">
        <f t="shared" ca="1" si="10"/>
        <v>8.9214520396818653E-3</v>
      </c>
      <c r="F197" s="21">
        <f t="shared" ca="1" si="11"/>
        <v>1</v>
      </c>
      <c r="H197" s="21">
        <v>182</v>
      </c>
      <c r="I197" s="107">
        <v>0.66766737734242276</v>
      </c>
      <c r="J197" s="108">
        <v>1.3184479333185695E-3</v>
      </c>
      <c r="K197" s="108"/>
      <c r="L197" s="108">
        <v>4.3400000000000001E-2</v>
      </c>
      <c r="O197" s="105"/>
    </row>
    <row r="198" spans="2:15" x14ac:dyDescent="0.2">
      <c r="B198" s="1">
        <v>183</v>
      </c>
      <c r="C198" s="106">
        <f t="shared" ca="1" si="8"/>
        <v>0.23694254609737012</v>
      </c>
      <c r="D198" s="106">
        <f t="shared" ca="1" si="9"/>
        <v>0.68021604636909261</v>
      </c>
      <c r="E198" s="106">
        <f t="shared" ca="1" si="10"/>
        <v>0</v>
      </c>
      <c r="F198" s="21">
        <f t="shared" ca="1" si="11"/>
        <v>0</v>
      </c>
      <c r="H198" s="21">
        <v>183</v>
      </c>
      <c r="I198" s="107">
        <v>0.6676881169952017</v>
      </c>
      <c r="J198" s="108">
        <v>1.314083920608067E-3</v>
      </c>
      <c r="K198" s="108"/>
      <c r="L198" s="108">
        <v>4.1000000000000002E-2</v>
      </c>
      <c r="O198" s="105"/>
    </row>
    <row r="199" spans="2:15" x14ac:dyDescent="0.2">
      <c r="B199" s="1">
        <v>184</v>
      </c>
      <c r="C199" s="106">
        <f t="shared" ca="1" si="8"/>
        <v>-0.76453556962116598</v>
      </c>
      <c r="D199" s="106">
        <f t="shared" ca="1" si="9"/>
        <v>0.61623188777943116</v>
      </c>
      <c r="E199" s="106">
        <f t="shared" ca="1" si="10"/>
        <v>0</v>
      </c>
      <c r="F199" s="21">
        <f t="shared" ca="1" si="11"/>
        <v>0</v>
      </c>
      <c r="H199" s="21">
        <v>184</v>
      </c>
      <c r="I199" s="107">
        <v>0.66774473306662907</v>
      </c>
      <c r="J199" s="108">
        <v>1.3613257567134988E-3</v>
      </c>
      <c r="K199" s="108"/>
      <c r="L199" s="108">
        <v>4.2599999999999999E-2</v>
      </c>
      <c r="O199" s="105"/>
    </row>
    <row r="200" spans="2:15" x14ac:dyDescent="0.2">
      <c r="B200" s="1">
        <v>185</v>
      </c>
      <c r="C200" s="106">
        <f t="shared" ca="1" si="8"/>
        <v>-6.4800350267452414E-2</v>
      </c>
      <c r="D200" s="106">
        <f t="shared" ca="1" si="9"/>
        <v>0.66026821816170533</v>
      </c>
      <c r="E200" s="106">
        <f t="shared" ca="1" si="10"/>
        <v>0</v>
      </c>
      <c r="F200" s="21">
        <f t="shared" ca="1" si="11"/>
        <v>0</v>
      </c>
      <c r="H200" s="21">
        <v>185</v>
      </c>
      <c r="I200" s="107">
        <v>0.66778782269622128</v>
      </c>
      <c r="J200" s="108">
        <v>1.5009993857149667E-3</v>
      </c>
      <c r="K200" s="108"/>
      <c r="L200" s="108">
        <v>4.36E-2</v>
      </c>
      <c r="O200" s="105"/>
    </row>
    <row r="201" spans="2:15" x14ac:dyDescent="0.2">
      <c r="B201" s="1">
        <v>186</v>
      </c>
      <c r="C201" s="106">
        <f t="shared" ca="1" si="8"/>
        <v>-1.0637553951040266</v>
      </c>
      <c r="D201" s="106">
        <f t="shared" ca="1" si="9"/>
        <v>0.59830932949658144</v>
      </c>
      <c r="E201" s="106">
        <f t="shared" ca="1" si="10"/>
        <v>0</v>
      </c>
      <c r="F201" s="21">
        <f t="shared" ca="1" si="11"/>
        <v>0</v>
      </c>
      <c r="H201" s="21">
        <v>186</v>
      </c>
      <c r="I201" s="107">
        <v>0.66764107332321554</v>
      </c>
      <c r="J201" s="108">
        <v>1.2377128224529432E-3</v>
      </c>
      <c r="K201" s="108"/>
      <c r="L201" s="108">
        <v>3.9E-2</v>
      </c>
      <c r="O201" s="105"/>
    </row>
    <row r="202" spans="2:15" x14ac:dyDescent="0.2">
      <c r="B202" s="1">
        <v>187</v>
      </c>
      <c r="C202" s="106">
        <f t="shared" ca="1" si="8"/>
        <v>-1.0666434782199856</v>
      </c>
      <c r="D202" s="106">
        <f t="shared" ca="1" si="9"/>
        <v>0.59813890481047127</v>
      </c>
      <c r="E202" s="106">
        <f t="shared" ca="1" si="10"/>
        <v>0</v>
      </c>
      <c r="F202" s="21">
        <f t="shared" ca="1" si="11"/>
        <v>0</v>
      </c>
      <c r="H202" s="21">
        <v>187</v>
      </c>
      <c r="I202" s="107">
        <v>0.66778318110860424</v>
      </c>
      <c r="J202" s="108">
        <v>1.4066734498824087E-3</v>
      </c>
      <c r="K202" s="108"/>
      <c r="L202" s="108">
        <v>4.7600000000000003E-2</v>
      </c>
      <c r="O202" s="105"/>
    </row>
    <row r="203" spans="2:15" x14ac:dyDescent="0.2">
      <c r="B203" s="1">
        <v>188</v>
      </c>
      <c r="C203" s="106">
        <f t="shared" ca="1" si="8"/>
        <v>0.84615175794462893</v>
      </c>
      <c r="D203" s="106">
        <f t="shared" ca="1" si="9"/>
        <v>0.72234558017652473</v>
      </c>
      <c r="E203" s="106">
        <f t="shared" ca="1" si="10"/>
        <v>0</v>
      </c>
      <c r="F203" s="21">
        <f t="shared" ca="1" si="11"/>
        <v>0</v>
      </c>
      <c r="H203" s="21">
        <v>188</v>
      </c>
      <c r="I203" s="107">
        <v>0.66772648670500989</v>
      </c>
      <c r="J203" s="108">
        <v>1.358135597119925E-3</v>
      </c>
      <c r="K203" s="108"/>
      <c r="L203" s="108">
        <v>4.3999999999999997E-2</v>
      </c>
      <c r="O203" s="105"/>
    </row>
    <row r="204" spans="2:15" x14ac:dyDescent="0.2">
      <c r="B204" s="1">
        <v>189</v>
      </c>
      <c r="C204" s="106">
        <f t="shared" ca="1" si="8"/>
        <v>-1.3282340018301444</v>
      </c>
      <c r="D204" s="106">
        <f t="shared" ca="1" si="9"/>
        <v>0.5829021731489491</v>
      </c>
      <c r="E204" s="106">
        <f t="shared" ca="1" si="10"/>
        <v>0</v>
      </c>
      <c r="F204" s="21">
        <f t="shared" ca="1" si="11"/>
        <v>0</v>
      </c>
      <c r="H204" s="21">
        <v>189</v>
      </c>
      <c r="I204" s="107">
        <v>0.66777470629049385</v>
      </c>
      <c r="J204" s="108">
        <v>1.3793848696353266E-3</v>
      </c>
      <c r="K204" s="108"/>
      <c r="L204" s="108">
        <v>0.04</v>
      </c>
      <c r="O204" s="105"/>
    </row>
    <row r="205" spans="2:15" x14ac:dyDescent="0.2">
      <c r="B205" s="1">
        <v>190</v>
      </c>
      <c r="C205" s="106">
        <f t="shared" ca="1" si="8"/>
        <v>0.8663430065874097</v>
      </c>
      <c r="D205" s="106">
        <f t="shared" ca="1" si="9"/>
        <v>0.72378570341848081</v>
      </c>
      <c r="E205" s="106">
        <f t="shared" ca="1" si="10"/>
        <v>0</v>
      </c>
      <c r="F205" s="21">
        <f t="shared" ca="1" si="11"/>
        <v>0</v>
      </c>
      <c r="H205" s="21">
        <v>190</v>
      </c>
      <c r="I205" s="107">
        <v>0.66778555246267357</v>
      </c>
      <c r="J205" s="108">
        <v>1.34869528127289E-3</v>
      </c>
      <c r="K205" s="108"/>
      <c r="L205" s="108">
        <v>4.1000000000000002E-2</v>
      </c>
      <c r="O205" s="105"/>
    </row>
    <row r="206" spans="2:15" x14ac:dyDescent="0.2">
      <c r="B206" s="1">
        <v>191</v>
      </c>
      <c r="C206" s="106">
        <f t="shared" ca="1" si="8"/>
        <v>1.0676967643179356</v>
      </c>
      <c r="D206" s="106">
        <f t="shared" ca="1" si="9"/>
        <v>0.73830510489262924</v>
      </c>
      <c r="E206" s="106">
        <f t="shared" ca="1" si="10"/>
        <v>0</v>
      </c>
      <c r="F206" s="21">
        <f t="shared" ca="1" si="11"/>
        <v>0</v>
      </c>
      <c r="H206" s="21">
        <v>191</v>
      </c>
      <c r="I206" s="107">
        <v>0.66780316851159294</v>
      </c>
      <c r="J206" s="108">
        <v>1.4025672995036094E-3</v>
      </c>
      <c r="K206" s="108"/>
      <c r="L206" s="108">
        <v>4.2599999999999999E-2</v>
      </c>
      <c r="O206" s="105"/>
    </row>
    <row r="207" spans="2:15" x14ac:dyDescent="0.2">
      <c r="B207" s="1">
        <v>192</v>
      </c>
      <c r="C207" s="106">
        <f t="shared" ca="1" si="8"/>
        <v>0.56072364417791598</v>
      </c>
      <c r="D207" s="106">
        <f t="shared" ca="1" si="9"/>
        <v>0.70229157003872023</v>
      </c>
      <c r="E207" s="106">
        <f t="shared" ca="1" si="10"/>
        <v>0</v>
      </c>
      <c r="F207" s="21">
        <f t="shared" ca="1" si="11"/>
        <v>0</v>
      </c>
      <c r="H207" s="21">
        <v>192</v>
      </c>
      <c r="I207" s="107">
        <v>0.66762944675931057</v>
      </c>
      <c r="J207" s="108">
        <v>1.3518636474466057E-3</v>
      </c>
      <c r="K207" s="108"/>
      <c r="L207" s="108">
        <v>3.6600000000000001E-2</v>
      </c>
      <c r="O207" s="105"/>
    </row>
    <row r="208" spans="2:15" x14ac:dyDescent="0.2">
      <c r="B208" s="1">
        <v>193</v>
      </c>
      <c r="C208" s="106">
        <f t="shared" ref="C208:C271" ca="1" si="12">_xlfn.NORM.S.INV(RAND())</f>
        <v>-1.8357489813978807</v>
      </c>
      <c r="D208" s="106">
        <f t="shared" ref="D208:D271" ca="1" si="13">S0*EXP((μ-0.5*σ*σ)*T+σ*SQRT(T)*$C208)</f>
        <v>0.55443934988417365</v>
      </c>
      <c r="E208" s="106">
        <f t="shared" ref="E208:E271" ca="1" si="14">MAX(0,CP*(D208-K))</f>
        <v>0</v>
      </c>
      <c r="F208" s="21">
        <f t="shared" ref="F208:F271" ca="1" si="15">(CP*(D208-K)&gt;0)*1</f>
        <v>0</v>
      </c>
      <c r="H208" s="21">
        <v>193</v>
      </c>
      <c r="I208" s="107">
        <v>0.66769356724054363</v>
      </c>
      <c r="J208" s="108">
        <v>1.2857104659246567E-3</v>
      </c>
      <c r="K208" s="108"/>
      <c r="L208" s="108">
        <v>3.9199999999999999E-2</v>
      </c>
      <c r="O208" s="105"/>
    </row>
    <row r="209" spans="2:15" x14ac:dyDescent="0.2">
      <c r="B209" s="1">
        <v>194</v>
      </c>
      <c r="C209" s="106">
        <f t="shared" ca="1" si="12"/>
        <v>1.32856807984262E-2</v>
      </c>
      <c r="D209" s="106">
        <f t="shared" ca="1" si="13"/>
        <v>0.66537357726694701</v>
      </c>
      <c r="E209" s="106">
        <f t="shared" ca="1" si="14"/>
        <v>0</v>
      </c>
      <c r="F209" s="21">
        <f t="shared" ca="1" si="15"/>
        <v>0</v>
      </c>
      <c r="H209" s="21">
        <v>194</v>
      </c>
      <c r="I209" s="107">
        <v>0.66751580217885453</v>
      </c>
      <c r="J209" s="108">
        <v>1.1036778771484168E-3</v>
      </c>
      <c r="K209" s="108"/>
      <c r="L209" s="108">
        <v>3.78E-2</v>
      </c>
      <c r="O209" s="105"/>
    </row>
    <row r="210" spans="2:15" x14ac:dyDescent="0.2">
      <c r="B210" s="1">
        <v>195</v>
      </c>
      <c r="C210" s="106">
        <f t="shared" ca="1" si="12"/>
        <v>1.4495145554522268</v>
      </c>
      <c r="D210" s="106">
        <f t="shared" ca="1" si="13"/>
        <v>0.76664217995335626</v>
      </c>
      <c r="E210" s="106">
        <f t="shared" ca="1" si="14"/>
        <v>0</v>
      </c>
      <c r="F210" s="21">
        <f t="shared" ca="1" si="15"/>
        <v>0</v>
      </c>
      <c r="H210" s="21">
        <v>195</v>
      </c>
      <c r="I210" s="107">
        <v>0.66781468179970238</v>
      </c>
      <c r="J210" s="108">
        <v>1.3499817799539782E-3</v>
      </c>
      <c r="K210" s="108"/>
      <c r="L210" s="108">
        <v>3.9E-2</v>
      </c>
      <c r="O210" s="105"/>
    </row>
    <row r="211" spans="2:15" x14ac:dyDescent="0.2">
      <c r="B211" s="1">
        <v>196</v>
      </c>
      <c r="C211" s="106">
        <f t="shared" ca="1" si="12"/>
        <v>0.36779055337668415</v>
      </c>
      <c r="D211" s="106">
        <f t="shared" ca="1" si="13"/>
        <v>0.6890525126590058</v>
      </c>
      <c r="E211" s="106">
        <f t="shared" ca="1" si="14"/>
        <v>0</v>
      </c>
      <c r="F211" s="21">
        <f t="shared" ca="1" si="15"/>
        <v>0</v>
      </c>
      <c r="H211" s="21">
        <v>196</v>
      </c>
      <c r="I211" s="107">
        <v>0.66754939048581707</v>
      </c>
      <c r="J211" s="108">
        <v>1.1853307525622817E-3</v>
      </c>
      <c r="K211" s="108"/>
      <c r="L211" s="108">
        <v>3.8800000000000001E-2</v>
      </c>
      <c r="O211" s="105"/>
    </row>
    <row r="212" spans="2:15" x14ac:dyDescent="0.2">
      <c r="B212" s="1">
        <v>197</v>
      </c>
      <c r="C212" s="106">
        <f t="shared" ca="1" si="12"/>
        <v>0.99634535738920538</v>
      </c>
      <c r="D212" s="106">
        <f t="shared" ca="1" si="13"/>
        <v>0.73312701143874526</v>
      </c>
      <c r="E212" s="106">
        <f t="shared" ca="1" si="14"/>
        <v>0</v>
      </c>
      <c r="F212" s="21">
        <f t="shared" ca="1" si="15"/>
        <v>0</v>
      </c>
      <c r="H212" s="21">
        <v>197</v>
      </c>
      <c r="I212" s="107">
        <v>0.66777081560629614</v>
      </c>
      <c r="J212" s="108">
        <v>1.4270753549899394E-3</v>
      </c>
      <c r="K212" s="108"/>
      <c r="L212" s="108">
        <v>4.4999999999999998E-2</v>
      </c>
      <c r="O212" s="105"/>
    </row>
    <row r="213" spans="2:15" x14ac:dyDescent="0.2">
      <c r="B213" s="1">
        <v>198</v>
      </c>
      <c r="C213" s="106">
        <f t="shared" ca="1" si="12"/>
        <v>1.1143089368599424</v>
      </c>
      <c r="D213" s="106">
        <f t="shared" ca="1" si="13"/>
        <v>0.74170756403093663</v>
      </c>
      <c r="E213" s="106">
        <f t="shared" ca="1" si="14"/>
        <v>0</v>
      </c>
      <c r="F213" s="21">
        <f t="shared" ca="1" si="15"/>
        <v>0</v>
      </c>
      <c r="H213" s="21">
        <v>198</v>
      </c>
      <c r="I213" s="107">
        <v>0.66780805855704384</v>
      </c>
      <c r="J213" s="108">
        <v>1.3229865964132252E-3</v>
      </c>
      <c r="K213" s="108"/>
      <c r="L213" s="108">
        <v>4.2200000000000001E-2</v>
      </c>
      <c r="O213" s="105"/>
    </row>
    <row r="214" spans="2:15" x14ac:dyDescent="0.2">
      <c r="B214" s="1">
        <v>199</v>
      </c>
      <c r="C214" s="106">
        <f t="shared" ca="1" si="12"/>
        <v>-1.810225925312088</v>
      </c>
      <c r="D214" s="106">
        <f t="shared" ca="1" si="13"/>
        <v>0.55583698058451325</v>
      </c>
      <c r="E214" s="106">
        <f t="shared" ca="1" si="14"/>
        <v>0</v>
      </c>
      <c r="F214" s="21">
        <f t="shared" ca="1" si="15"/>
        <v>0</v>
      </c>
      <c r="H214" s="21">
        <v>199</v>
      </c>
      <c r="I214" s="107">
        <v>0.66769081013211096</v>
      </c>
      <c r="J214" s="108">
        <v>1.3056905241065314E-3</v>
      </c>
      <c r="K214" s="108"/>
      <c r="L214" s="108">
        <v>4.0399999999999998E-2</v>
      </c>
      <c r="O214" s="105"/>
    </row>
    <row r="215" spans="2:15" x14ac:dyDescent="0.2">
      <c r="B215" s="1">
        <v>200</v>
      </c>
      <c r="C215" s="106">
        <f t="shared" ca="1" si="12"/>
        <v>1.5598109714482669</v>
      </c>
      <c r="D215" s="106">
        <f t="shared" ca="1" si="13"/>
        <v>0.77502862042251219</v>
      </c>
      <c r="E215" s="106">
        <f t="shared" ca="1" si="14"/>
        <v>0</v>
      </c>
      <c r="F215" s="21">
        <f t="shared" ca="1" si="15"/>
        <v>0</v>
      </c>
      <c r="H215" s="21">
        <v>200</v>
      </c>
      <c r="I215" s="107">
        <v>0.66756454952563871</v>
      </c>
      <c r="J215" s="108">
        <v>1.0251985013619987E-3</v>
      </c>
      <c r="K215" s="108"/>
      <c r="L215" s="108">
        <v>3.7199999999999997E-2</v>
      </c>
      <c r="O215" s="105"/>
    </row>
    <row r="216" spans="2:15" x14ac:dyDescent="0.2">
      <c r="B216" s="1">
        <v>201</v>
      </c>
      <c r="C216" s="106">
        <f t="shared" ca="1" si="12"/>
        <v>1.730879921501405</v>
      </c>
      <c r="D216" s="106">
        <f t="shared" ca="1" si="13"/>
        <v>0.78821778318962743</v>
      </c>
      <c r="E216" s="106">
        <f t="shared" ca="1" si="14"/>
        <v>1.7783189627418317E-5</v>
      </c>
      <c r="F216" s="21">
        <f t="shared" ca="1" si="15"/>
        <v>1</v>
      </c>
      <c r="H216" s="21">
        <v>201</v>
      </c>
      <c r="I216" s="107">
        <v>0.66772164480050511</v>
      </c>
      <c r="J216" s="108">
        <v>1.179335324193726E-3</v>
      </c>
      <c r="K216" s="108"/>
      <c r="L216" s="108">
        <v>4.4200000000000003E-2</v>
      </c>
      <c r="O216" s="105"/>
    </row>
    <row r="217" spans="2:15" x14ac:dyDescent="0.2">
      <c r="B217" s="1">
        <v>202</v>
      </c>
      <c r="C217" s="106">
        <f t="shared" ca="1" si="12"/>
        <v>-1.370476678894887</v>
      </c>
      <c r="D217" s="106">
        <f t="shared" ca="1" si="13"/>
        <v>0.58047834682779276</v>
      </c>
      <c r="E217" s="106">
        <f t="shared" ca="1" si="14"/>
        <v>0</v>
      </c>
      <c r="F217" s="21">
        <f t="shared" ca="1" si="15"/>
        <v>0</v>
      </c>
      <c r="H217" s="21">
        <v>202</v>
      </c>
      <c r="I217" s="107">
        <v>0.66771744027612701</v>
      </c>
      <c r="J217" s="108">
        <v>1.3749664430181125E-3</v>
      </c>
      <c r="K217" s="108"/>
      <c r="L217" s="108">
        <v>3.9199999999999999E-2</v>
      </c>
      <c r="O217" s="105"/>
    </row>
    <row r="218" spans="2:15" x14ac:dyDescent="0.2">
      <c r="B218" s="1">
        <v>203</v>
      </c>
      <c r="C218" s="106">
        <f t="shared" ca="1" si="12"/>
        <v>-0.27860488069325273</v>
      </c>
      <c r="D218" s="106">
        <f t="shared" ca="1" si="13"/>
        <v>0.64648899864972609</v>
      </c>
      <c r="E218" s="106">
        <f t="shared" ca="1" si="14"/>
        <v>0</v>
      </c>
      <c r="F218" s="21">
        <f t="shared" ca="1" si="15"/>
        <v>0</v>
      </c>
      <c r="H218" s="21">
        <v>203</v>
      </c>
      <c r="I218" s="107">
        <v>0.66767723166646531</v>
      </c>
      <c r="J218" s="108">
        <v>1.3312146069703811E-3</v>
      </c>
      <c r="K218" s="108"/>
      <c r="L218" s="108">
        <v>4.2599999999999999E-2</v>
      </c>
      <c r="O218" s="105"/>
    </row>
    <row r="219" spans="2:15" x14ac:dyDescent="0.2">
      <c r="B219" s="1">
        <v>204</v>
      </c>
      <c r="C219" s="106">
        <f t="shared" ca="1" si="12"/>
        <v>-0.85787529322476552</v>
      </c>
      <c r="D219" s="106">
        <f t="shared" ca="1" si="13"/>
        <v>0.61058418536804882</v>
      </c>
      <c r="E219" s="106">
        <f t="shared" ca="1" si="14"/>
        <v>0</v>
      </c>
      <c r="F219" s="21">
        <f t="shared" ca="1" si="15"/>
        <v>0</v>
      </c>
      <c r="H219" s="21">
        <v>204</v>
      </c>
      <c r="I219" s="107">
        <v>0.66769185074605331</v>
      </c>
      <c r="J219" s="108">
        <v>1.29111395362737E-3</v>
      </c>
      <c r="K219" s="108"/>
      <c r="L219" s="108">
        <v>3.9800000000000002E-2</v>
      </c>
      <c r="O219" s="105"/>
    </row>
    <row r="220" spans="2:15" x14ac:dyDescent="0.2">
      <c r="B220" s="1">
        <v>205</v>
      </c>
      <c r="C220" s="106">
        <f t="shared" ca="1" si="12"/>
        <v>-2.6592883634857185</v>
      </c>
      <c r="D220" s="106">
        <f t="shared" ca="1" si="13"/>
        <v>0.51118032083932874</v>
      </c>
      <c r="E220" s="106">
        <f t="shared" ca="1" si="14"/>
        <v>0</v>
      </c>
      <c r="F220" s="21">
        <f t="shared" ca="1" si="15"/>
        <v>0</v>
      </c>
      <c r="H220" s="21">
        <v>205</v>
      </c>
      <c r="I220" s="107">
        <v>0.6676873236655555</v>
      </c>
      <c r="J220" s="108">
        <v>1.3081661514208311E-3</v>
      </c>
      <c r="K220" s="108"/>
      <c r="L220" s="108">
        <v>0.04</v>
      </c>
      <c r="O220" s="105"/>
    </row>
    <row r="221" spans="2:15" x14ac:dyDescent="0.2">
      <c r="B221" s="1">
        <v>206</v>
      </c>
      <c r="C221" s="106">
        <f t="shared" ca="1" si="12"/>
        <v>2.2697779908264586</v>
      </c>
      <c r="D221" s="106">
        <f t="shared" ca="1" si="13"/>
        <v>0.83125120890487403</v>
      </c>
      <c r="E221" s="106">
        <f t="shared" ca="1" si="14"/>
        <v>4.3051208904874017E-2</v>
      </c>
      <c r="F221" s="21">
        <f t="shared" ca="1" si="15"/>
        <v>1</v>
      </c>
      <c r="H221" s="21">
        <v>206</v>
      </c>
      <c r="I221" s="107">
        <v>0.66777822744013771</v>
      </c>
      <c r="J221" s="108">
        <v>1.4393848792551586E-3</v>
      </c>
      <c r="K221" s="108"/>
      <c r="L221" s="108">
        <v>4.2599999999999999E-2</v>
      </c>
      <c r="O221" s="105"/>
    </row>
    <row r="222" spans="2:15" x14ac:dyDescent="0.2">
      <c r="B222" s="1">
        <v>207</v>
      </c>
      <c r="C222" s="106">
        <f t="shared" ca="1" si="12"/>
        <v>0.52247946394547173</v>
      </c>
      <c r="D222" s="106">
        <f t="shared" ca="1" si="13"/>
        <v>0.69964719656965768</v>
      </c>
      <c r="E222" s="106">
        <f t="shared" ca="1" si="14"/>
        <v>0</v>
      </c>
      <c r="F222" s="21">
        <f t="shared" ca="1" si="15"/>
        <v>0</v>
      </c>
      <c r="H222" s="21">
        <v>207</v>
      </c>
      <c r="I222" s="107">
        <v>0.66754947411591337</v>
      </c>
      <c r="J222" s="108">
        <v>1.1027814901000297E-3</v>
      </c>
      <c r="K222" s="108"/>
      <c r="L222" s="108">
        <v>3.5999999999999997E-2</v>
      </c>
      <c r="O222" s="105"/>
    </row>
    <row r="223" spans="2:15" x14ac:dyDescent="0.2">
      <c r="B223" s="1">
        <v>208</v>
      </c>
      <c r="C223" s="106">
        <f t="shared" ca="1" si="12"/>
        <v>0.70416121068867488</v>
      </c>
      <c r="D223" s="106">
        <f t="shared" ca="1" si="13"/>
        <v>0.71229883216496204</v>
      </c>
      <c r="E223" s="106">
        <f t="shared" ca="1" si="14"/>
        <v>0</v>
      </c>
      <c r="F223" s="21">
        <f t="shared" ca="1" si="15"/>
        <v>0</v>
      </c>
      <c r="H223" s="21">
        <v>208</v>
      </c>
      <c r="I223" s="107">
        <v>0.66774252285427471</v>
      </c>
      <c r="J223" s="108">
        <v>1.2824668048206701E-3</v>
      </c>
      <c r="K223" s="108"/>
      <c r="L223" s="108">
        <v>4.02E-2</v>
      </c>
      <c r="O223" s="105"/>
    </row>
    <row r="224" spans="2:15" x14ac:dyDescent="0.2">
      <c r="B224" s="1">
        <v>209</v>
      </c>
      <c r="C224" s="106">
        <f t="shared" ca="1" si="12"/>
        <v>0.38764862391472671</v>
      </c>
      <c r="D224" s="106">
        <f t="shared" ca="1" si="13"/>
        <v>0.69040356972638428</v>
      </c>
      <c r="E224" s="106">
        <f t="shared" ca="1" si="14"/>
        <v>0</v>
      </c>
      <c r="F224" s="21">
        <f t="shared" ca="1" si="15"/>
        <v>0</v>
      </c>
      <c r="H224" s="21">
        <v>209</v>
      </c>
      <c r="I224" s="107">
        <v>0.66764919596103423</v>
      </c>
      <c r="J224" s="108">
        <v>1.2115513896003727E-3</v>
      </c>
      <c r="K224" s="108"/>
      <c r="L224" s="108">
        <v>3.8199999999999998E-2</v>
      </c>
      <c r="O224" s="105"/>
    </row>
    <row r="225" spans="2:15" x14ac:dyDescent="0.2">
      <c r="B225" s="1">
        <v>210</v>
      </c>
      <c r="C225" s="106">
        <f t="shared" ca="1" si="12"/>
        <v>0.12112734121340192</v>
      </c>
      <c r="D225" s="106">
        <f t="shared" ca="1" si="13"/>
        <v>0.67248936525542469</v>
      </c>
      <c r="E225" s="106">
        <f t="shared" ca="1" si="14"/>
        <v>0</v>
      </c>
      <c r="F225" s="21">
        <f t="shared" ca="1" si="15"/>
        <v>0</v>
      </c>
      <c r="H225" s="21">
        <v>210</v>
      </c>
      <c r="I225" s="107">
        <v>0.66772843404411319</v>
      </c>
      <c r="J225" s="108">
        <v>1.3821736531854675E-3</v>
      </c>
      <c r="K225" s="108"/>
      <c r="L225" s="108">
        <v>4.0800000000000003E-2</v>
      </c>
      <c r="O225" s="105"/>
    </row>
    <row r="226" spans="2:15" x14ac:dyDescent="0.2">
      <c r="B226" s="1">
        <v>211</v>
      </c>
      <c r="C226" s="106">
        <f t="shared" ca="1" si="12"/>
        <v>1.2135633957445067</v>
      </c>
      <c r="D226" s="106">
        <f t="shared" ca="1" si="13"/>
        <v>0.74900498447745723</v>
      </c>
      <c r="E226" s="106">
        <f t="shared" ca="1" si="14"/>
        <v>0</v>
      </c>
      <c r="F226" s="21">
        <f t="shared" ca="1" si="15"/>
        <v>0</v>
      </c>
      <c r="H226" s="21">
        <v>211</v>
      </c>
      <c r="I226" s="107">
        <v>0.66763482701065835</v>
      </c>
      <c r="J226" s="108">
        <v>1.2846274607586513E-3</v>
      </c>
      <c r="K226" s="108"/>
      <c r="L226" s="108">
        <v>3.9600000000000003E-2</v>
      </c>
      <c r="O226" s="105"/>
    </row>
    <row r="227" spans="2:15" x14ac:dyDescent="0.2">
      <c r="B227" s="1">
        <v>212</v>
      </c>
      <c r="C227" s="106">
        <f t="shared" ca="1" si="12"/>
        <v>1.797370121292577</v>
      </c>
      <c r="D227" s="106">
        <f t="shared" ca="1" si="13"/>
        <v>0.79340444278047051</v>
      </c>
      <c r="E227" s="106">
        <f t="shared" ca="1" si="14"/>
        <v>5.2044427804704974E-3</v>
      </c>
      <c r="F227" s="21">
        <f t="shared" ca="1" si="15"/>
        <v>1</v>
      </c>
      <c r="H227" s="21">
        <v>212</v>
      </c>
      <c r="I227" s="107">
        <v>0.66777323841436231</v>
      </c>
      <c r="J227" s="108">
        <v>1.4325809095345114E-3</v>
      </c>
      <c r="K227" s="108"/>
      <c r="L227" s="108">
        <v>4.1399999999999999E-2</v>
      </c>
      <c r="O227" s="105"/>
    </row>
    <row r="228" spans="2:15" x14ac:dyDescent="0.2">
      <c r="B228" s="1">
        <v>213</v>
      </c>
      <c r="C228" s="106">
        <f t="shared" ca="1" si="12"/>
        <v>5.7304195476146597E-2</v>
      </c>
      <c r="D228" s="106">
        <f t="shared" ca="1" si="13"/>
        <v>0.66826894039479934</v>
      </c>
      <c r="E228" s="106">
        <f t="shared" ca="1" si="14"/>
        <v>0</v>
      </c>
      <c r="F228" s="21">
        <f t="shared" ca="1" si="15"/>
        <v>0</v>
      </c>
      <c r="H228" s="21">
        <v>213</v>
      </c>
      <c r="I228" s="107">
        <v>0.66775518243954757</v>
      </c>
      <c r="J228" s="108">
        <v>1.3556908317078841E-3</v>
      </c>
      <c r="K228" s="108"/>
      <c r="L228" s="108">
        <v>4.2599999999999999E-2</v>
      </c>
      <c r="O228" s="105"/>
    </row>
    <row r="229" spans="2:15" x14ac:dyDescent="0.2">
      <c r="B229" s="1">
        <v>214</v>
      </c>
      <c r="C229" s="106">
        <f t="shared" ca="1" si="12"/>
        <v>-0.92426144102187846</v>
      </c>
      <c r="D229" s="106">
        <f t="shared" ca="1" si="13"/>
        <v>0.60659888806019358</v>
      </c>
      <c r="E229" s="106">
        <f t="shared" ca="1" si="14"/>
        <v>0</v>
      </c>
      <c r="F229" s="21">
        <f t="shared" ca="1" si="15"/>
        <v>0</v>
      </c>
      <c r="H229" s="21">
        <v>214</v>
      </c>
      <c r="I229" s="107">
        <v>0.6679075744400359</v>
      </c>
      <c r="J229" s="108">
        <v>1.494665103780715E-3</v>
      </c>
      <c r="K229" s="108"/>
      <c r="L229" s="108">
        <v>4.5999999999999999E-2</v>
      </c>
      <c r="O229" s="105"/>
    </row>
    <row r="230" spans="2:15" x14ac:dyDescent="0.2">
      <c r="B230" s="1">
        <v>215</v>
      </c>
      <c r="C230" s="106">
        <f t="shared" ca="1" si="12"/>
        <v>0.17279149125573945</v>
      </c>
      <c r="D230" s="106">
        <f t="shared" ca="1" si="13"/>
        <v>0.67592526679899212</v>
      </c>
      <c r="E230" s="106">
        <f t="shared" ca="1" si="14"/>
        <v>0</v>
      </c>
      <c r="F230" s="21">
        <f t="shared" ca="1" si="15"/>
        <v>0</v>
      </c>
      <c r="H230" s="21">
        <v>215</v>
      </c>
      <c r="I230" s="107">
        <v>0.66773696840506214</v>
      </c>
      <c r="J230" s="108">
        <v>1.3145059388203915E-3</v>
      </c>
      <c r="K230" s="108"/>
      <c r="L230" s="108">
        <v>4.3200000000000002E-2</v>
      </c>
      <c r="O230" s="105"/>
    </row>
    <row r="231" spans="2:15" x14ac:dyDescent="0.2">
      <c r="B231" s="1">
        <v>216</v>
      </c>
      <c r="C231" s="106">
        <f t="shared" ca="1" si="12"/>
        <v>0.63493723203045282</v>
      </c>
      <c r="D231" s="106">
        <f t="shared" ca="1" si="13"/>
        <v>0.70745157817018767</v>
      </c>
      <c r="E231" s="106">
        <f t="shared" ca="1" si="14"/>
        <v>0</v>
      </c>
      <c r="F231" s="21">
        <f t="shared" ca="1" si="15"/>
        <v>0</v>
      </c>
      <c r="H231" s="21">
        <v>216</v>
      </c>
      <c r="I231" s="107">
        <v>0.66766335469469373</v>
      </c>
      <c r="J231" s="108">
        <v>1.2983340411406371E-3</v>
      </c>
      <c r="K231" s="108"/>
      <c r="L231" s="108">
        <v>4.2799999999999998E-2</v>
      </c>
      <c r="O231" s="105"/>
    </row>
    <row r="232" spans="2:15" x14ac:dyDescent="0.2">
      <c r="B232" s="1">
        <v>217</v>
      </c>
      <c r="C232" s="106">
        <f t="shared" ca="1" si="12"/>
        <v>-0.77046543946134505</v>
      </c>
      <c r="D232" s="106">
        <f t="shared" ca="1" si="13"/>
        <v>0.61587154052337889</v>
      </c>
      <c r="E232" s="106">
        <f t="shared" ca="1" si="14"/>
        <v>0</v>
      </c>
      <c r="F232" s="21">
        <f t="shared" ca="1" si="15"/>
        <v>0</v>
      </c>
      <c r="H232" s="21">
        <v>217</v>
      </c>
      <c r="I232" s="107">
        <v>0.66760814708359206</v>
      </c>
      <c r="J232" s="108">
        <v>1.1495019016656333E-3</v>
      </c>
      <c r="K232" s="108"/>
      <c r="L232" s="108">
        <v>3.5200000000000002E-2</v>
      </c>
      <c r="O232" s="105"/>
    </row>
    <row r="233" spans="2:15" x14ac:dyDescent="0.2">
      <c r="B233" s="1">
        <v>218</v>
      </c>
      <c r="C233" s="106">
        <f t="shared" ca="1" si="12"/>
        <v>-1.1757443655127646</v>
      </c>
      <c r="D233" s="106">
        <f t="shared" ca="1" si="13"/>
        <v>0.59173633352002442</v>
      </c>
      <c r="E233" s="106">
        <f t="shared" ca="1" si="14"/>
        <v>0</v>
      </c>
      <c r="F233" s="21">
        <f t="shared" ca="1" si="15"/>
        <v>0</v>
      </c>
      <c r="H233" s="21">
        <v>218</v>
      </c>
      <c r="I233" s="107">
        <v>0.66777743694368841</v>
      </c>
      <c r="J233" s="108">
        <v>1.5546848655329972E-3</v>
      </c>
      <c r="K233" s="108"/>
      <c r="L233" s="108">
        <v>4.24E-2</v>
      </c>
      <c r="O233" s="105"/>
    </row>
    <row r="234" spans="2:15" x14ac:dyDescent="0.2">
      <c r="B234" s="1">
        <v>219</v>
      </c>
      <c r="C234" s="106">
        <f t="shared" ca="1" si="12"/>
        <v>-0.43101911417120015</v>
      </c>
      <c r="D234" s="106">
        <f t="shared" ca="1" si="13"/>
        <v>0.63684216054724918</v>
      </c>
      <c r="E234" s="106">
        <f t="shared" ca="1" si="14"/>
        <v>0</v>
      </c>
      <c r="F234" s="21">
        <f t="shared" ca="1" si="15"/>
        <v>0</v>
      </c>
      <c r="H234" s="21">
        <v>219</v>
      </c>
      <c r="I234" s="107">
        <v>0.66785684333819006</v>
      </c>
      <c r="J234" s="108">
        <v>1.5878012525261554E-3</v>
      </c>
      <c r="K234" s="108"/>
      <c r="L234" s="108">
        <v>4.3999999999999997E-2</v>
      </c>
      <c r="O234" s="105"/>
    </row>
    <row r="235" spans="2:15" x14ac:dyDescent="0.2">
      <c r="B235" s="1">
        <v>220</v>
      </c>
      <c r="C235" s="106">
        <f t="shared" ca="1" si="12"/>
        <v>-1.9379018274622906</v>
      </c>
      <c r="D235" s="106">
        <f t="shared" ca="1" si="13"/>
        <v>0.54888059950476442</v>
      </c>
      <c r="E235" s="106">
        <f t="shared" ca="1" si="14"/>
        <v>0</v>
      </c>
      <c r="F235" s="21">
        <f t="shared" ca="1" si="15"/>
        <v>0</v>
      </c>
      <c r="H235" s="21">
        <v>220</v>
      </c>
      <c r="I235" s="107">
        <v>0.6676803507939213</v>
      </c>
      <c r="J235" s="108">
        <v>1.3028190903436017E-3</v>
      </c>
      <c r="K235" s="108"/>
      <c r="L235" s="108">
        <v>4.1599999999999998E-2</v>
      </c>
      <c r="O235" s="105"/>
    </row>
    <row r="236" spans="2:15" x14ac:dyDescent="0.2">
      <c r="B236" s="1">
        <v>221</v>
      </c>
      <c r="C236" s="106">
        <f t="shared" ca="1" si="12"/>
        <v>-0.21916409725713801</v>
      </c>
      <c r="D236" s="106">
        <f t="shared" ca="1" si="13"/>
        <v>0.65029070343724538</v>
      </c>
      <c r="E236" s="106">
        <f t="shared" ca="1" si="14"/>
        <v>0</v>
      </c>
      <c r="F236" s="21">
        <f t="shared" ca="1" si="15"/>
        <v>0</v>
      </c>
      <c r="H236" s="21">
        <v>221</v>
      </c>
      <c r="I236" s="107">
        <v>0.66768533849110168</v>
      </c>
      <c r="J236" s="108">
        <v>1.2882484198717041E-3</v>
      </c>
      <c r="K236" s="108"/>
      <c r="L236" s="108">
        <v>4.2599999999999999E-2</v>
      </c>
      <c r="O236" s="105"/>
    </row>
    <row r="237" spans="2:15" x14ac:dyDescent="0.2">
      <c r="B237" s="1">
        <v>222</v>
      </c>
      <c r="C237" s="106">
        <f t="shared" ca="1" si="12"/>
        <v>-6.0255208777439638E-2</v>
      </c>
      <c r="D237" s="106">
        <f t="shared" ca="1" si="13"/>
        <v>0.66056430838007785</v>
      </c>
      <c r="E237" s="106">
        <f t="shared" ca="1" si="14"/>
        <v>0</v>
      </c>
      <c r="F237" s="21">
        <f t="shared" ca="1" si="15"/>
        <v>0</v>
      </c>
      <c r="H237" s="21">
        <v>222</v>
      </c>
      <c r="I237" s="107">
        <v>0.66772648869283757</v>
      </c>
      <c r="J237" s="108">
        <v>1.4056167998105175E-3</v>
      </c>
      <c r="K237" s="108"/>
      <c r="L237" s="108">
        <v>4.2999999999999997E-2</v>
      </c>
      <c r="O237" s="105"/>
    </row>
    <row r="238" spans="2:15" x14ac:dyDescent="0.2">
      <c r="B238" s="1">
        <v>223</v>
      </c>
      <c r="C238" s="106">
        <f t="shared" ca="1" si="12"/>
        <v>-0.66927908164230443</v>
      </c>
      <c r="D238" s="106">
        <f t="shared" ca="1" si="13"/>
        <v>0.62204943069963514</v>
      </c>
      <c r="E238" s="106">
        <f t="shared" ca="1" si="14"/>
        <v>0</v>
      </c>
      <c r="F238" s="21">
        <f t="shared" ca="1" si="15"/>
        <v>0</v>
      </c>
      <c r="H238" s="21">
        <v>223</v>
      </c>
      <c r="I238" s="107">
        <v>0.66761339855145441</v>
      </c>
      <c r="J238" s="108">
        <v>1.3335544204908594E-3</v>
      </c>
      <c r="K238" s="108"/>
      <c r="L238" s="108">
        <v>4.1200000000000001E-2</v>
      </c>
      <c r="O238" s="105"/>
    </row>
    <row r="239" spans="2:15" x14ac:dyDescent="0.2">
      <c r="B239" s="1">
        <v>224</v>
      </c>
      <c r="C239" s="106">
        <f t="shared" ca="1" si="12"/>
        <v>0.56219280112656345</v>
      </c>
      <c r="D239" s="106">
        <f t="shared" ca="1" si="13"/>
        <v>0.70239335321954022</v>
      </c>
      <c r="E239" s="106">
        <f t="shared" ca="1" si="14"/>
        <v>0</v>
      </c>
      <c r="F239" s="21">
        <f t="shared" ca="1" si="15"/>
        <v>0</v>
      </c>
      <c r="H239" s="21">
        <v>224</v>
      </c>
      <c r="I239" s="107">
        <v>0.66766127148592647</v>
      </c>
      <c r="J239" s="108">
        <v>1.2872971725741088E-3</v>
      </c>
      <c r="K239" s="108"/>
      <c r="L239" s="108">
        <v>4.0599999999999997E-2</v>
      </c>
      <c r="O239" s="105"/>
    </row>
    <row r="240" spans="2:15" x14ac:dyDescent="0.2">
      <c r="B240" s="1">
        <v>225</v>
      </c>
      <c r="C240" s="106">
        <f t="shared" ca="1" si="12"/>
        <v>-0.23142281724988908</v>
      </c>
      <c r="D240" s="106">
        <f t="shared" ca="1" si="13"/>
        <v>0.64950483649625235</v>
      </c>
      <c r="E240" s="106">
        <f t="shared" ca="1" si="14"/>
        <v>0</v>
      </c>
      <c r="F240" s="21">
        <f t="shared" ca="1" si="15"/>
        <v>0</v>
      </c>
      <c r="H240" s="21">
        <v>225</v>
      </c>
      <c r="I240" s="107">
        <v>0.66770391013093355</v>
      </c>
      <c r="J240" s="108">
        <v>1.3060813942404343E-3</v>
      </c>
      <c r="K240" s="108"/>
      <c r="L240" s="108">
        <v>4.24E-2</v>
      </c>
      <c r="O240" s="105"/>
    </row>
    <row r="241" spans="2:15" x14ac:dyDescent="0.2">
      <c r="B241" s="1">
        <v>226</v>
      </c>
      <c r="C241" s="106">
        <f t="shared" ca="1" si="12"/>
        <v>0.51131513501592385</v>
      </c>
      <c r="D241" s="106">
        <f t="shared" ca="1" si="13"/>
        <v>0.69887712425898074</v>
      </c>
      <c r="E241" s="106">
        <f t="shared" ca="1" si="14"/>
        <v>0</v>
      </c>
      <c r="F241" s="21">
        <f t="shared" ca="1" si="15"/>
        <v>0</v>
      </c>
      <c r="H241" s="21">
        <v>226</v>
      </c>
      <c r="I241" s="107">
        <v>0.66778271060178385</v>
      </c>
      <c r="J241" s="108">
        <v>1.4373299229405812E-3</v>
      </c>
      <c r="K241" s="108"/>
      <c r="L241" s="108">
        <v>4.4999999999999998E-2</v>
      </c>
      <c r="O241" s="105"/>
    </row>
    <row r="242" spans="2:15" x14ac:dyDescent="0.2">
      <c r="B242" s="1">
        <v>227</v>
      </c>
      <c r="C242" s="106">
        <f t="shared" ca="1" si="12"/>
        <v>4.0904184061743808E-2</v>
      </c>
      <c r="D242" s="106">
        <f t="shared" ca="1" si="13"/>
        <v>0.66718874308405152</v>
      </c>
      <c r="E242" s="106">
        <f t="shared" ca="1" si="14"/>
        <v>0</v>
      </c>
      <c r="F242" s="21">
        <f t="shared" ca="1" si="15"/>
        <v>0</v>
      </c>
      <c r="H242" s="21">
        <v>227</v>
      </c>
      <c r="I242" s="107">
        <v>0.6677148231092972</v>
      </c>
      <c r="J242" s="108">
        <v>1.1907493007207932E-3</v>
      </c>
      <c r="K242" s="108"/>
      <c r="L242" s="108">
        <v>3.8399999999999997E-2</v>
      </c>
      <c r="O242" s="105"/>
    </row>
    <row r="243" spans="2:15" x14ac:dyDescent="0.2">
      <c r="B243" s="1">
        <v>228</v>
      </c>
      <c r="C243" s="106">
        <f t="shared" ca="1" si="12"/>
        <v>0.29151876809200244</v>
      </c>
      <c r="D243" s="106">
        <f t="shared" ca="1" si="13"/>
        <v>0.68388784429628535</v>
      </c>
      <c r="E243" s="106">
        <f t="shared" ca="1" si="14"/>
        <v>0</v>
      </c>
      <c r="F243" s="21">
        <f t="shared" ca="1" si="15"/>
        <v>0</v>
      </c>
      <c r="H243" s="21">
        <v>228</v>
      </c>
      <c r="I243" s="107">
        <v>0.66769663757550368</v>
      </c>
      <c r="J243" s="108">
        <v>1.3072433222719761E-3</v>
      </c>
      <c r="K243" s="108"/>
      <c r="L243" s="108">
        <v>4.1000000000000002E-2</v>
      </c>
      <c r="O243" s="105"/>
    </row>
    <row r="244" spans="2:15" x14ac:dyDescent="0.2">
      <c r="B244" s="1">
        <v>229</v>
      </c>
      <c r="C244" s="106">
        <f t="shared" ca="1" si="12"/>
        <v>5.5549046298289904E-3</v>
      </c>
      <c r="D244" s="106">
        <f t="shared" ca="1" si="13"/>
        <v>0.66486637408422999</v>
      </c>
      <c r="E244" s="106">
        <f t="shared" ca="1" si="14"/>
        <v>0</v>
      </c>
      <c r="F244" s="21">
        <f t="shared" ca="1" si="15"/>
        <v>0</v>
      </c>
      <c r="H244" s="21">
        <v>229</v>
      </c>
      <c r="I244" s="107">
        <v>0.66775357799289281</v>
      </c>
      <c r="J244" s="108">
        <v>1.3283184779762916E-3</v>
      </c>
      <c r="K244" s="108"/>
      <c r="L244" s="108">
        <v>4.1000000000000002E-2</v>
      </c>
      <c r="O244" s="105"/>
    </row>
    <row r="245" spans="2:15" x14ac:dyDescent="0.2">
      <c r="B245" s="1">
        <v>230</v>
      </c>
      <c r="C245" s="106">
        <f t="shared" ca="1" si="12"/>
        <v>-0.16127386796249957</v>
      </c>
      <c r="D245" s="106">
        <f t="shared" ca="1" si="13"/>
        <v>0.65401472594114496</v>
      </c>
      <c r="E245" s="106">
        <f t="shared" ca="1" si="14"/>
        <v>0</v>
      </c>
      <c r="F245" s="21">
        <f t="shared" ca="1" si="15"/>
        <v>0</v>
      </c>
      <c r="H245" s="21">
        <v>230</v>
      </c>
      <c r="I245" s="107">
        <v>0.66763484217549585</v>
      </c>
      <c r="J245" s="108">
        <v>1.2106531806955092E-3</v>
      </c>
      <c r="K245" s="108"/>
      <c r="L245" s="108">
        <v>3.8199999999999998E-2</v>
      </c>
      <c r="O245" s="105"/>
    </row>
    <row r="246" spans="2:15" x14ac:dyDescent="0.2">
      <c r="B246" s="1">
        <v>231</v>
      </c>
      <c r="C246" s="106">
        <f t="shared" ca="1" si="12"/>
        <v>1.460858892796187</v>
      </c>
      <c r="D246" s="106">
        <f t="shared" ca="1" si="13"/>
        <v>0.76750054842651971</v>
      </c>
      <c r="E246" s="106">
        <f t="shared" ca="1" si="14"/>
        <v>0</v>
      </c>
      <c r="F246" s="21">
        <f t="shared" ca="1" si="15"/>
        <v>0</v>
      </c>
      <c r="H246" s="21">
        <v>231</v>
      </c>
      <c r="I246" s="107">
        <v>0.66770511271604804</v>
      </c>
      <c r="J246" s="108">
        <v>1.308658620497538E-3</v>
      </c>
      <c r="K246" s="108"/>
      <c r="L246" s="108">
        <v>3.9399999999999998E-2</v>
      </c>
      <c r="O246" s="105"/>
    </row>
    <row r="247" spans="2:15" x14ac:dyDescent="0.2">
      <c r="B247" s="1">
        <v>232</v>
      </c>
      <c r="C247" s="106">
        <f t="shared" ca="1" si="12"/>
        <v>1.4013034940646778</v>
      </c>
      <c r="D247" s="106">
        <f t="shared" ca="1" si="13"/>
        <v>0.76300498946518414</v>
      </c>
      <c r="E247" s="106">
        <f t="shared" ca="1" si="14"/>
        <v>0</v>
      </c>
      <c r="F247" s="21">
        <f t="shared" ca="1" si="15"/>
        <v>0</v>
      </c>
      <c r="H247" s="21">
        <v>232</v>
      </c>
      <c r="I247" s="107">
        <v>0.6676979857986135</v>
      </c>
      <c r="J247" s="108">
        <v>1.3393383569151953E-3</v>
      </c>
      <c r="K247" s="108"/>
      <c r="L247" s="108">
        <v>4.1000000000000002E-2</v>
      </c>
      <c r="O247" s="105"/>
    </row>
    <row r="248" spans="2:15" x14ac:dyDescent="0.2">
      <c r="B248" s="1">
        <v>233</v>
      </c>
      <c r="C248" s="106">
        <f t="shared" ca="1" si="12"/>
        <v>1.6243506345747718</v>
      </c>
      <c r="D248" s="106">
        <f t="shared" ca="1" si="13"/>
        <v>0.77997840716932731</v>
      </c>
      <c r="E248" s="106">
        <f t="shared" ca="1" si="14"/>
        <v>0</v>
      </c>
      <c r="F248" s="21">
        <f t="shared" ca="1" si="15"/>
        <v>0</v>
      </c>
      <c r="H248" s="21">
        <v>233</v>
      </c>
      <c r="I248" s="107">
        <v>0.66771625429640213</v>
      </c>
      <c r="J248" s="108">
        <v>1.2799751527752643E-3</v>
      </c>
      <c r="K248" s="108"/>
      <c r="L248" s="108">
        <v>4.1799999999999997E-2</v>
      </c>
      <c r="O248" s="105"/>
    </row>
    <row r="249" spans="2:15" x14ac:dyDescent="0.2">
      <c r="B249" s="1">
        <v>234</v>
      </c>
      <c r="C249" s="106">
        <f t="shared" ca="1" si="12"/>
        <v>-0.47386445505225738</v>
      </c>
      <c r="D249" s="106">
        <f t="shared" ca="1" si="13"/>
        <v>0.63415634057239811</v>
      </c>
      <c r="E249" s="106">
        <f t="shared" ca="1" si="14"/>
        <v>0</v>
      </c>
      <c r="F249" s="21">
        <f t="shared" ca="1" si="15"/>
        <v>0</v>
      </c>
      <c r="H249" s="21">
        <v>234</v>
      </c>
      <c r="I249" s="107">
        <v>0.66760541777256688</v>
      </c>
      <c r="J249" s="108">
        <v>1.2151995327726746E-3</v>
      </c>
      <c r="K249" s="108"/>
      <c r="L249" s="108">
        <v>3.7400000000000003E-2</v>
      </c>
      <c r="O249" s="105"/>
    </row>
    <row r="250" spans="2:15" x14ac:dyDescent="0.2">
      <c r="B250" s="1">
        <v>235</v>
      </c>
      <c r="C250" s="106">
        <f t="shared" ca="1" si="12"/>
        <v>-0.4229334606199997</v>
      </c>
      <c r="D250" s="106">
        <f t="shared" ca="1" si="13"/>
        <v>0.63735029546607336</v>
      </c>
      <c r="E250" s="106">
        <f t="shared" ca="1" si="14"/>
        <v>0</v>
      </c>
      <c r="F250" s="21">
        <f t="shared" ca="1" si="15"/>
        <v>0</v>
      </c>
      <c r="H250" s="21">
        <v>235</v>
      </c>
      <c r="I250" s="107">
        <v>0.66783006820554891</v>
      </c>
      <c r="J250" s="108">
        <v>1.4082184174693103E-3</v>
      </c>
      <c r="K250" s="108"/>
      <c r="L250" s="108">
        <v>4.1399999999999999E-2</v>
      </c>
      <c r="O250" s="105"/>
    </row>
    <row r="251" spans="2:15" x14ac:dyDescent="0.2">
      <c r="B251" s="1">
        <v>236</v>
      </c>
      <c r="C251" s="106">
        <f t="shared" ca="1" si="12"/>
        <v>-0.12900477123516974</v>
      </c>
      <c r="D251" s="106">
        <f t="shared" ca="1" si="13"/>
        <v>0.65609981502241399</v>
      </c>
      <c r="E251" s="106">
        <f t="shared" ca="1" si="14"/>
        <v>0</v>
      </c>
      <c r="F251" s="21">
        <f t="shared" ca="1" si="15"/>
        <v>0</v>
      </c>
      <c r="H251" s="21">
        <v>236</v>
      </c>
      <c r="I251" s="107">
        <v>0.66780024335701815</v>
      </c>
      <c r="J251" s="108">
        <v>1.4279904046436412E-3</v>
      </c>
      <c r="K251" s="108"/>
      <c r="L251" s="108">
        <v>4.2000000000000003E-2</v>
      </c>
      <c r="O251" s="105"/>
    </row>
    <row r="252" spans="2:15" x14ac:dyDescent="0.2">
      <c r="B252" s="1">
        <v>237</v>
      </c>
      <c r="C252" s="106">
        <f t="shared" ca="1" si="12"/>
        <v>6.0007818961782255E-2</v>
      </c>
      <c r="D252" s="106">
        <f t="shared" ca="1" si="13"/>
        <v>0.66844718414034987</v>
      </c>
      <c r="E252" s="106">
        <f t="shared" ca="1" si="14"/>
        <v>0</v>
      </c>
      <c r="F252" s="21">
        <f t="shared" ca="1" si="15"/>
        <v>0</v>
      </c>
      <c r="H252" s="21">
        <v>237</v>
      </c>
      <c r="I252" s="107">
        <v>0.66783890560536496</v>
      </c>
      <c r="J252" s="108">
        <v>1.641845152406757E-3</v>
      </c>
      <c r="K252" s="108"/>
      <c r="L252" s="108">
        <v>4.4600000000000001E-2</v>
      </c>
      <c r="O252" s="105"/>
    </row>
    <row r="253" spans="2:15" x14ac:dyDescent="0.2">
      <c r="B253" s="1">
        <v>238</v>
      </c>
      <c r="C253" s="106">
        <f t="shared" ca="1" si="12"/>
        <v>-1.8719391116705015</v>
      </c>
      <c r="D253" s="106">
        <f t="shared" ca="1" si="13"/>
        <v>0.55246361739326599</v>
      </c>
      <c r="E253" s="106">
        <f t="shared" ca="1" si="14"/>
        <v>0</v>
      </c>
      <c r="F253" s="21">
        <f t="shared" ca="1" si="15"/>
        <v>0</v>
      </c>
      <c r="H253" s="21">
        <v>238</v>
      </c>
      <c r="I253" s="107">
        <v>0.66782314659341768</v>
      </c>
      <c r="J253" s="108">
        <v>1.379576568748089E-3</v>
      </c>
      <c r="K253" s="108"/>
      <c r="L253" s="108">
        <v>4.24E-2</v>
      </c>
      <c r="O253" s="105"/>
    </row>
    <row r="254" spans="2:15" x14ac:dyDescent="0.2">
      <c r="B254" s="1">
        <v>239</v>
      </c>
      <c r="C254" s="106">
        <f t="shared" ca="1" si="12"/>
        <v>1.2396260292138852</v>
      </c>
      <c r="D254" s="106">
        <f t="shared" ca="1" si="13"/>
        <v>0.75093304329358057</v>
      </c>
      <c r="E254" s="106">
        <f t="shared" ca="1" si="14"/>
        <v>0</v>
      </c>
      <c r="F254" s="21">
        <f t="shared" ca="1" si="15"/>
        <v>0</v>
      </c>
      <c r="H254" s="21">
        <v>239</v>
      </c>
      <c r="I254" s="107">
        <v>0.66763265389761151</v>
      </c>
      <c r="J254" s="108">
        <v>1.2320009340723327E-3</v>
      </c>
      <c r="K254" s="108"/>
      <c r="L254" s="108">
        <v>3.7199999999999997E-2</v>
      </c>
      <c r="O254" s="105"/>
    </row>
    <row r="255" spans="2:15" x14ac:dyDescent="0.2">
      <c r="B255" s="1">
        <v>240</v>
      </c>
      <c r="C255" s="106">
        <f t="shared" ca="1" si="12"/>
        <v>-0.79377047538911072</v>
      </c>
      <c r="D255" s="106">
        <f t="shared" ca="1" si="13"/>
        <v>0.6144573767030006</v>
      </c>
      <c r="E255" s="106">
        <f t="shared" ca="1" si="14"/>
        <v>0</v>
      </c>
      <c r="F255" s="21">
        <f t="shared" ca="1" si="15"/>
        <v>0</v>
      </c>
      <c r="H255" s="21">
        <v>240</v>
      </c>
      <c r="I255" s="107">
        <v>0.66774708349314482</v>
      </c>
      <c r="J255" s="108">
        <v>1.2853813150139671E-3</v>
      </c>
      <c r="K255" s="108"/>
      <c r="L255" s="108">
        <v>4.1399999999999999E-2</v>
      </c>
      <c r="O255" s="105"/>
    </row>
    <row r="256" spans="2:15" x14ac:dyDescent="0.2">
      <c r="B256" s="1">
        <v>241</v>
      </c>
      <c r="C256" s="106">
        <f t="shared" ca="1" si="12"/>
        <v>0.80147665417537473</v>
      </c>
      <c r="D256" s="106">
        <f t="shared" ca="1" si="13"/>
        <v>0.71916934307169034</v>
      </c>
      <c r="E256" s="106">
        <f t="shared" ca="1" si="14"/>
        <v>0</v>
      </c>
      <c r="F256" s="21">
        <f t="shared" ca="1" si="15"/>
        <v>0</v>
      </c>
      <c r="H256" s="21">
        <v>241</v>
      </c>
      <c r="I256" s="107">
        <v>0.66788671726231164</v>
      </c>
      <c r="J256" s="108">
        <v>1.4102675178391559E-3</v>
      </c>
      <c r="K256" s="108"/>
      <c r="L256" s="108">
        <v>4.2000000000000003E-2</v>
      </c>
      <c r="O256" s="105"/>
    </row>
    <row r="257" spans="2:15" x14ac:dyDescent="0.2">
      <c r="B257" s="1">
        <v>242</v>
      </c>
      <c r="C257" s="106">
        <f t="shared" ca="1" si="12"/>
        <v>0.69423126110686895</v>
      </c>
      <c r="D257" s="106">
        <f t="shared" ca="1" si="13"/>
        <v>0.71160147463085588</v>
      </c>
      <c r="E257" s="106">
        <f t="shared" ca="1" si="14"/>
        <v>0</v>
      </c>
      <c r="F257" s="21">
        <f t="shared" ca="1" si="15"/>
        <v>0</v>
      </c>
      <c r="H257" s="21">
        <v>242</v>
      </c>
      <c r="I257" s="107">
        <v>0.66793413706771798</v>
      </c>
      <c r="J257" s="108">
        <v>1.610293290593188E-3</v>
      </c>
      <c r="K257" s="108"/>
      <c r="L257" s="108">
        <v>4.4600000000000001E-2</v>
      </c>
      <c r="O257" s="105"/>
    </row>
    <row r="258" spans="2:15" x14ac:dyDescent="0.2">
      <c r="B258" s="1">
        <v>243</v>
      </c>
      <c r="C258" s="106">
        <f t="shared" ca="1" si="12"/>
        <v>1.0585116712135021</v>
      </c>
      <c r="D258" s="106">
        <f t="shared" ca="1" si="13"/>
        <v>0.73763648143693272</v>
      </c>
      <c r="E258" s="106">
        <f t="shared" ca="1" si="14"/>
        <v>0</v>
      </c>
      <c r="F258" s="21">
        <f t="shared" ca="1" si="15"/>
        <v>0</v>
      </c>
      <c r="H258" s="21">
        <v>243</v>
      </c>
      <c r="I258" s="107">
        <v>0.66776538707749988</v>
      </c>
      <c r="J258" s="108">
        <v>1.3676199741081533E-3</v>
      </c>
      <c r="K258" s="108"/>
      <c r="L258" s="108">
        <v>4.1000000000000002E-2</v>
      </c>
      <c r="O258" s="105"/>
    </row>
    <row r="259" spans="2:15" x14ac:dyDescent="0.2">
      <c r="B259" s="1">
        <v>244</v>
      </c>
      <c r="C259" s="106">
        <f t="shared" ca="1" si="12"/>
        <v>0.28741288030055845</v>
      </c>
      <c r="D259" s="106">
        <f t="shared" ca="1" si="13"/>
        <v>0.68361091881590696</v>
      </c>
      <c r="E259" s="106">
        <f t="shared" ca="1" si="14"/>
        <v>0</v>
      </c>
      <c r="F259" s="21">
        <f t="shared" ca="1" si="15"/>
        <v>0</v>
      </c>
      <c r="H259" s="21">
        <v>244</v>
      </c>
      <c r="I259" s="107">
        <v>0.66771368371950124</v>
      </c>
      <c r="J259" s="108">
        <v>1.3252738772817211E-3</v>
      </c>
      <c r="K259" s="108"/>
      <c r="L259" s="108">
        <v>4.1799999999999997E-2</v>
      </c>
      <c r="O259" s="105"/>
    </row>
    <row r="260" spans="2:15" x14ac:dyDescent="0.2">
      <c r="B260" s="1">
        <v>245</v>
      </c>
      <c r="C260" s="106">
        <f t="shared" ca="1" si="12"/>
        <v>-0.54163901311996299</v>
      </c>
      <c r="D260" s="106">
        <f t="shared" ca="1" si="13"/>
        <v>0.62993090939186713</v>
      </c>
      <c r="E260" s="106">
        <f t="shared" ca="1" si="14"/>
        <v>0</v>
      </c>
      <c r="F260" s="21">
        <f t="shared" ca="1" si="15"/>
        <v>0</v>
      </c>
      <c r="H260" s="21">
        <v>245</v>
      </c>
      <c r="I260" s="107">
        <v>0.66769553339213339</v>
      </c>
      <c r="J260" s="108">
        <v>1.4256880281839749E-3</v>
      </c>
      <c r="K260" s="108"/>
      <c r="L260" s="108">
        <v>4.2599999999999999E-2</v>
      </c>
      <c r="O260" s="105"/>
    </row>
    <row r="261" spans="2:15" x14ac:dyDescent="0.2">
      <c r="B261" s="1">
        <v>246</v>
      </c>
      <c r="C261" s="106">
        <f t="shared" ca="1" si="12"/>
        <v>-1.2382242719933672</v>
      </c>
      <c r="D261" s="106">
        <f t="shared" ca="1" si="13"/>
        <v>0.58810061799303481</v>
      </c>
      <c r="E261" s="106">
        <f t="shared" ca="1" si="14"/>
        <v>0</v>
      </c>
      <c r="F261" s="21">
        <f t="shared" ca="1" si="15"/>
        <v>0</v>
      </c>
      <c r="H261" s="21">
        <v>246</v>
      </c>
      <c r="I261" s="107">
        <v>0.66758866356368707</v>
      </c>
      <c r="J261" s="108">
        <v>1.2560881565310317E-3</v>
      </c>
      <c r="K261" s="108"/>
      <c r="L261" s="108">
        <v>3.8800000000000001E-2</v>
      </c>
      <c r="O261" s="105"/>
    </row>
    <row r="262" spans="2:15" x14ac:dyDescent="0.2">
      <c r="B262" s="1">
        <v>247</v>
      </c>
      <c r="C262" s="106">
        <f t="shared" ca="1" si="12"/>
        <v>0.82082995787234059</v>
      </c>
      <c r="D262" s="106">
        <f t="shared" ca="1" si="13"/>
        <v>0.72054357421371262</v>
      </c>
      <c r="E262" s="106">
        <f t="shared" ca="1" si="14"/>
        <v>0</v>
      </c>
      <c r="F262" s="21">
        <f t="shared" ca="1" si="15"/>
        <v>0</v>
      </c>
      <c r="H262" s="21">
        <v>247</v>
      </c>
      <c r="I262" s="107">
        <v>0.66790643116190662</v>
      </c>
      <c r="J262" s="108">
        <v>1.4564827561036047E-3</v>
      </c>
      <c r="K262" s="108"/>
      <c r="L262" s="108">
        <v>4.1599999999999998E-2</v>
      </c>
      <c r="O262" s="105"/>
    </row>
    <row r="263" spans="2:15" x14ac:dyDescent="0.2">
      <c r="B263" s="1">
        <v>248</v>
      </c>
      <c r="C263" s="106">
        <f t="shared" ca="1" si="12"/>
        <v>-0.12102134222187845</v>
      </c>
      <c r="D263" s="106">
        <f t="shared" ca="1" si="13"/>
        <v>0.6566166945103582</v>
      </c>
      <c r="E263" s="106">
        <f t="shared" ca="1" si="14"/>
        <v>0</v>
      </c>
      <c r="F263" s="21">
        <f t="shared" ca="1" si="15"/>
        <v>0</v>
      </c>
      <c r="H263" s="21">
        <v>248</v>
      </c>
      <c r="I263" s="107">
        <v>0.66770303725924751</v>
      </c>
      <c r="J263" s="108">
        <v>1.3807000825122816E-3</v>
      </c>
      <c r="K263" s="108"/>
      <c r="L263" s="108">
        <v>4.2599999999999999E-2</v>
      </c>
      <c r="O263" s="105"/>
    </row>
    <row r="264" spans="2:15" x14ac:dyDescent="0.2">
      <c r="B264" s="1">
        <v>249</v>
      </c>
      <c r="C264" s="106">
        <f t="shared" ca="1" si="12"/>
        <v>-0.1163937215075512</v>
      </c>
      <c r="D264" s="106">
        <f t="shared" ca="1" si="13"/>
        <v>0.65691649180090639</v>
      </c>
      <c r="E264" s="106">
        <f t="shared" ca="1" si="14"/>
        <v>0</v>
      </c>
      <c r="F264" s="21">
        <f t="shared" ca="1" si="15"/>
        <v>0</v>
      </c>
      <c r="H264" s="21">
        <v>249</v>
      </c>
      <c r="I264" s="107">
        <v>0.66764290505010881</v>
      </c>
      <c r="J264" s="108">
        <v>1.305290399980563E-3</v>
      </c>
      <c r="K264" s="108"/>
      <c r="L264" s="108">
        <v>4.2200000000000001E-2</v>
      </c>
      <c r="O264" s="105"/>
    </row>
    <row r="265" spans="2:15" x14ac:dyDescent="0.2">
      <c r="B265" s="1">
        <v>250</v>
      </c>
      <c r="C265" s="106">
        <f t="shared" ca="1" si="12"/>
        <v>-0.1118841941713536</v>
      </c>
      <c r="D265" s="106">
        <f t="shared" ca="1" si="13"/>
        <v>0.65720877017701307</v>
      </c>
      <c r="E265" s="106">
        <f t="shared" ca="1" si="14"/>
        <v>0</v>
      </c>
      <c r="F265" s="21">
        <f t="shared" ca="1" si="15"/>
        <v>0</v>
      </c>
      <c r="H265" s="21">
        <v>250</v>
      </c>
      <c r="I265" s="107">
        <v>0.66764949842207688</v>
      </c>
      <c r="J265" s="108">
        <v>1.2938972607397091E-3</v>
      </c>
      <c r="K265" s="108"/>
      <c r="L265" s="108">
        <v>4.02E-2</v>
      </c>
      <c r="O265" s="105"/>
    </row>
    <row r="266" spans="2:15" x14ac:dyDescent="0.2">
      <c r="B266" s="1">
        <v>251</v>
      </c>
      <c r="C266" s="106">
        <f t="shared" ca="1" si="12"/>
        <v>0.17527945139037507</v>
      </c>
      <c r="D266" s="106">
        <f t="shared" ca="1" si="13"/>
        <v>0.67609116981888795</v>
      </c>
      <c r="E266" s="106">
        <f t="shared" ca="1" si="14"/>
        <v>0</v>
      </c>
      <c r="F266" s="21">
        <f t="shared" ca="1" si="15"/>
        <v>0</v>
      </c>
      <c r="H266" s="21">
        <v>251</v>
      </c>
      <c r="I266" s="107">
        <v>0.66787521254576465</v>
      </c>
      <c r="J266" s="108">
        <v>1.5114578812882094E-3</v>
      </c>
      <c r="K266" s="108"/>
      <c r="L266" s="108">
        <v>4.48E-2</v>
      </c>
      <c r="O266" s="105"/>
    </row>
    <row r="267" spans="2:15" x14ac:dyDescent="0.2">
      <c r="B267" s="1">
        <v>252</v>
      </c>
      <c r="C267" s="106">
        <f t="shared" ca="1" si="12"/>
        <v>0.29782316567758943</v>
      </c>
      <c r="D267" s="106">
        <f t="shared" ca="1" si="13"/>
        <v>0.68431326872509202</v>
      </c>
      <c r="E267" s="106">
        <f t="shared" ca="1" si="14"/>
        <v>0</v>
      </c>
      <c r="F267" s="21">
        <f t="shared" ca="1" si="15"/>
        <v>0</v>
      </c>
      <c r="H267" s="21">
        <v>252</v>
      </c>
      <c r="I267" s="107">
        <v>0.66772377626071788</v>
      </c>
      <c r="J267" s="108">
        <v>1.3052803069774147E-3</v>
      </c>
      <c r="K267" s="108"/>
      <c r="L267" s="108">
        <v>3.9399999999999998E-2</v>
      </c>
      <c r="O267" s="105"/>
    </row>
    <row r="268" spans="2:15" x14ac:dyDescent="0.2">
      <c r="B268" s="1">
        <v>253</v>
      </c>
      <c r="C268" s="106">
        <f t="shared" ca="1" si="12"/>
        <v>3.4835260037582723</v>
      </c>
      <c r="D268" s="106">
        <f t="shared" ca="1" si="13"/>
        <v>0.93697608543591371</v>
      </c>
      <c r="E268" s="106">
        <f t="shared" ca="1" si="14"/>
        <v>0.1487760854359137</v>
      </c>
      <c r="F268" s="21">
        <f t="shared" ca="1" si="15"/>
        <v>1</v>
      </c>
      <c r="H268" s="21">
        <v>253</v>
      </c>
      <c r="I268" s="107">
        <v>0.66758583045415776</v>
      </c>
      <c r="J268" s="108">
        <v>1.2341450464461148E-3</v>
      </c>
      <c r="K268" s="108"/>
      <c r="L268" s="108">
        <v>3.8199999999999998E-2</v>
      </c>
      <c r="O268" s="105"/>
    </row>
    <row r="269" spans="2:15" x14ac:dyDescent="0.2">
      <c r="B269" s="1">
        <v>254</v>
      </c>
      <c r="C269" s="106">
        <f t="shared" ca="1" si="12"/>
        <v>-1.1970494589152056</v>
      </c>
      <c r="D269" s="106">
        <f t="shared" ca="1" si="13"/>
        <v>0.59049406834391482</v>
      </c>
      <c r="E269" s="106">
        <f t="shared" ca="1" si="14"/>
        <v>0</v>
      </c>
      <c r="F269" s="21">
        <f t="shared" ca="1" si="15"/>
        <v>0</v>
      </c>
      <c r="H269" s="21">
        <v>254</v>
      </c>
      <c r="I269" s="107">
        <v>0.66778018930577177</v>
      </c>
      <c r="J269" s="108">
        <v>1.3838187063767912E-3</v>
      </c>
      <c r="K269" s="108"/>
      <c r="L269" s="108">
        <v>4.4600000000000001E-2</v>
      </c>
      <c r="O269" s="105"/>
    </row>
    <row r="270" spans="2:15" x14ac:dyDescent="0.2">
      <c r="B270" s="1">
        <v>255</v>
      </c>
      <c r="C270" s="106">
        <f t="shared" ca="1" si="12"/>
        <v>-1.2017955318912119</v>
      </c>
      <c r="D270" s="106">
        <f t="shared" ca="1" si="13"/>
        <v>0.59021768797240814</v>
      </c>
      <c r="E270" s="106">
        <f t="shared" ca="1" si="14"/>
        <v>0</v>
      </c>
      <c r="F270" s="21">
        <f t="shared" ca="1" si="15"/>
        <v>0</v>
      </c>
      <c r="H270" s="21">
        <v>255</v>
      </c>
      <c r="I270" s="107">
        <v>0.66770394178636094</v>
      </c>
      <c r="J270" s="108">
        <v>1.3063264582421428E-3</v>
      </c>
      <c r="K270" s="108"/>
      <c r="L270" s="108">
        <v>3.8199999999999998E-2</v>
      </c>
      <c r="O270" s="105"/>
    </row>
    <row r="271" spans="2:15" x14ac:dyDescent="0.2">
      <c r="B271" s="1">
        <v>256</v>
      </c>
      <c r="C271" s="106">
        <f t="shared" ca="1" si="12"/>
        <v>-0.65007481489525032</v>
      </c>
      <c r="D271" s="106">
        <f t="shared" ca="1" si="13"/>
        <v>0.62322891711068129</v>
      </c>
      <c r="E271" s="106">
        <f t="shared" ca="1" si="14"/>
        <v>0</v>
      </c>
      <c r="F271" s="21">
        <f t="shared" ca="1" si="15"/>
        <v>0</v>
      </c>
      <c r="H271" s="21">
        <v>256</v>
      </c>
      <c r="I271" s="107">
        <v>0.66780763053323811</v>
      </c>
      <c r="J271" s="108">
        <v>1.4865806364165888E-3</v>
      </c>
      <c r="K271" s="108"/>
      <c r="L271" s="108">
        <v>4.24E-2</v>
      </c>
      <c r="O271" s="105"/>
    </row>
    <row r="272" spans="2:15" x14ac:dyDescent="0.2">
      <c r="B272" s="1">
        <v>257</v>
      </c>
      <c r="C272" s="106">
        <f t="shared" ref="C272:C335" ca="1" si="16">_xlfn.NORM.S.INV(RAND())</f>
        <v>0.14696413809039313</v>
      </c>
      <c r="D272" s="106">
        <f t="shared" ref="D272:D335" ca="1" si="17">S0*EXP((μ-0.5*σ*σ)*T+σ*SQRT(T)*$C272)</f>
        <v>0.6742054412891878</v>
      </c>
      <c r="E272" s="106">
        <f t="shared" ref="E272:E335" ca="1" si="18">MAX(0,CP*(D272-K))</f>
        <v>0</v>
      </c>
      <c r="F272" s="21">
        <f t="shared" ref="F272:F335" ca="1" si="19">(CP*(D272-K)&gt;0)*1</f>
        <v>0</v>
      </c>
      <c r="H272" s="21">
        <v>257</v>
      </c>
      <c r="I272" s="107">
        <v>0.66762938847432307</v>
      </c>
      <c r="J272" s="108">
        <v>1.1665111747485198E-3</v>
      </c>
      <c r="K272" s="108"/>
      <c r="L272" s="108">
        <v>3.7999999999999999E-2</v>
      </c>
      <c r="O272" s="105"/>
    </row>
    <row r="273" spans="2:15" x14ac:dyDescent="0.2">
      <c r="B273" s="1">
        <v>258</v>
      </c>
      <c r="C273" s="106">
        <f t="shared" ca="1" si="16"/>
        <v>0.35762561296732404</v>
      </c>
      <c r="D273" s="106">
        <f t="shared" ca="1" si="17"/>
        <v>0.68836195754366791</v>
      </c>
      <c r="E273" s="106">
        <f t="shared" ca="1" si="18"/>
        <v>0</v>
      </c>
      <c r="F273" s="21">
        <f t="shared" ca="1" si="19"/>
        <v>0</v>
      </c>
      <c r="H273" s="21">
        <v>258</v>
      </c>
      <c r="I273" s="107">
        <v>0.66799476330341734</v>
      </c>
      <c r="J273" s="108">
        <v>1.785984440197765E-3</v>
      </c>
      <c r="K273" s="108"/>
      <c r="L273" s="108">
        <v>4.8800000000000003E-2</v>
      </c>
      <c r="O273" s="105"/>
    </row>
    <row r="274" spans="2:15" x14ac:dyDescent="0.2">
      <c r="B274" s="1">
        <v>259</v>
      </c>
      <c r="C274" s="106">
        <f t="shared" ca="1" si="16"/>
        <v>0.26269712406433238</v>
      </c>
      <c r="D274" s="106">
        <f t="shared" ca="1" si="17"/>
        <v>0.68194630881945839</v>
      </c>
      <c r="E274" s="106">
        <f t="shared" ca="1" si="18"/>
        <v>0</v>
      </c>
      <c r="F274" s="21">
        <f t="shared" ca="1" si="19"/>
        <v>0</v>
      </c>
      <c r="H274" s="21">
        <v>259</v>
      </c>
      <c r="I274" s="107">
        <v>0.66761562089389781</v>
      </c>
      <c r="J274" s="108">
        <v>1.0817308499076049E-3</v>
      </c>
      <c r="K274" s="108"/>
      <c r="L274" s="108">
        <v>3.5799999999999998E-2</v>
      </c>
      <c r="O274" s="105"/>
    </row>
    <row r="275" spans="2:15" x14ac:dyDescent="0.2">
      <c r="B275" s="1">
        <v>260</v>
      </c>
      <c r="C275" s="106">
        <f t="shared" ca="1" si="16"/>
        <v>0.86667145013661595</v>
      </c>
      <c r="D275" s="106">
        <f t="shared" ca="1" si="17"/>
        <v>0.72380915308510196</v>
      </c>
      <c r="E275" s="106">
        <f t="shared" ca="1" si="18"/>
        <v>0</v>
      </c>
      <c r="F275" s="21">
        <f t="shared" ca="1" si="19"/>
        <v>0</v>
      </c>
      <c r="H275" s="21">
        <v>260</v>
      </c>
      <c r="I275" s="107">
        <v>0.66775371680698015</v>
      </c>
      <c r="J275" s="108">
        <v>1.4004044983593146E-3</v>
      </c>
      <c r="K275" s="108"/>
      <c r="L275" s="108">
        <v>4.1000000000000002E-2</v>
      </c>
      <c r="O275" s="105"/>
    </row>
    <row r="276" spans="2:15" x14ac:dyDescent="0.2">
      <c r="B276" s="1">
        <v>261</v>
      </c>
      <c r="C276" s="106">
        <f t="shared" ca="1" si="16"/>
        <v>0.69729733996856946</v>
      </c>
      <c r="D276" s="106">
        <f t="shared" ca="1" si="17"/>
        <v>0.71181672541250063</v>
      </c>
      <c r="E276" s="106">
        <f t="shared" ca="1" si="18"/>
        <v>0</v>
      </c>
      <c r="F276" s="21">
        <f t="shared" ca="1" si="19"/>
        <v>0</v>
      </c>
      <c r="H276" s="21">
        <v>261</v>
      </c>
      <c r="I276" s="107">
        <v>0.66771588206120447</v>
      </c>
      <c r="J276" s="108">
        <v>1.4068497904879483E-3</v>
      </c>
      <c r="K276" s="108"/>
      <c r="L276" s="108">
        <v>3.9600000000000003E-2</v>
      </c>
      <c r="O276" s="105"/>
    </row>
    <row r="277" spans="2:15" x14ac:dyDescent="0.2">
      <c r="B277" s="1">
        <v>262</v>
      </c>
      <c r="C277" s="106">
        <f t="shared" ca="1" si="16"/>
        <v>2.3040674874632229E-3</v>
      </c>
      <c r="D277" s="106">
        <f t="shared" ca="1" si="17"/>
        <v>0.66465320763426761</v>
      </c>
      <c r="E277" s="106">
        <f t="shared" ca="1" si="18"/>
        <v>0</v>
      </c>
      <c r="F277" s="21">
        <f t="shared" ca="1" si="19"/>
        <v>0</v>
      </c>
      <c r="H277" s="21">
        <v>262</v>
      </c>
      <c r="I277" s="107">
        <v>0.66787125054247864</v>
      </c>
      <c r="J277" s="108">
        <v>1.4632930645665564E-3</v>
      </c>
      <c r="K277" s="108"/>
      <c r="L277" s="108">
        <v>4.5199999999999997E-2</v>
      </c>
      <c r="O277" s="105"/>
    </row>
    <row r="278" spans="2:15" x14ac:dyDescent="0.2">
      <c r="B278" s="1">
        <v>263</v>
      </c>
      <c r="C278" s="106">
        <f t="shared" ca="1" si="16"/>
        <v>-1.3287162473841505</v>
      </c>
      <c r="D278" s="106">
        <f t="shared" ca="1" si="17"/>
        <v>0.58287444553632362</v>
      </c>
      <c r="E278" s="106">
        <f t="shared" ca="1" si="18"/>
        <v>0</v>
      </c>
      <c r="F278" s="21">
        <f t="shared" ca="1" si="19"/>
        <v>0</v>
      </c>
      <c r="H278" s="21">
        <v>263</v>
      </c>
      <c r="I278" s="107">
        <v>0.66788097327786067</v>
      </c>
      <c r="J278" s="108">
        <v>1.5876478761303325E-3</v>
      </c>
      <c r="K278" s="108"/>
      <c r="L278" s="108">
        <v>4.4999999999999998E-2</v>
      </c>
      <c r="O278" s="105"/>
    </row>
    <row r="279" spans="2:15" x14ac:dyDescent="0.2">
      <c r="B279" s="1">
        <v>264</v>
      </c>
      <c r="C279" s="106">
        <f t="shared" ca="1" si="16"/>
        <v>-0.49433746149275426</v>
      </c>
      <c r="D279" s="106">
        <f t="shared" ca="1" si="17"/>
        <v>0.63287696394892468</v>
      </c>
      <c r="E279" s="106">
        <f t="shared" ca="1" si="18"/>
        <v>0</v>
      </c>
      <c r="F279" s="21">
        <f t="shared" ca="1" si="19"/>
        <v>0</v>
      </c>
      <c r="H279" s="21">
        <v>264</v>
      </c>
      <c r="I279" s="107">
        <v>0.66767555874684126</v>
      </c>
      <c r="J279" s="108">
        <v>1.3174594848477206E-3</v>
      </c>
      <c r="K279" s="108"/>
      <c r="L279" s="108">
        <v>3.5000000000000003E-2</v>
      </c>
      <c r="O279" s="105"/>
    </row>
    <row r="280" spans="2:15" x14ac:dyDescent="0.2">
      <c r="B280" s="1">
        <v>265</v>
      </c>
      <c r="C280" s="106">
        <f t="shared" ca="1" si="16"/>
        <v>-0.1124043405058999</v>
      </c>
      <c r="D280" s="106">
        <f t="shared" ca="1" si="17"/>
        <v>0.65717505102439688</v>
      </c>
      <c r="E280" s="106">
        <f t="shared" ca="1" si="18"/>
        <v>0</v>
      </c>
      <c r="F280" s="21">
        <f t="shared" ca="1" si="19"/>
        <v>0</v>
      </c>
      <c r="H280" s="21">
        <v>265</v>
      </c>
      <c r="I280" s="107">
        <v>0.66763936756569442</v>
      </c>
      <c r="J280" s="108">
        <v>1.2782596199507599E-3</v>
      </c>
      <c r="K280" s="108"/>
      <c r="L280" s="108">
        <v>4.0599999999999997E-2</v>
      </c>
      <c r="O280" s="105"/>
    </row>
    <row r="281" spans="2:15" x14ac:dyDescent="0.2">
      <c r="B281" s="1">
        <v>266</v>
      </c>
      <c r="C281" s="106">
        <f t="shared" ca="1" si="16"/>
        <v>0.77876279106623725</v>
      </c>
      <c r="D281" s="106">
        <f t="shared" ca="1" si="17"/>
        <v>0.71755982952056141</v>
      </c>
      <c r="E281" s="106">
        <f t="shared" ca="1" si="18"/>
        <v>0</v>
      </c>
      <c r="F281" s="21">
        <f t="shared" ca="1" si="19"/>
        <v>0</v>
      </c>
      <c r="H281" s="21">
        <v>266</v>
      </c>
      <c r="I281" s="107">
        <v>0.66773695041179892</v>
      </c>
      <c r="J281" s="108">
        <v>1.2898676080740133E-3</v>
      </c>
      <c r="K281" s="108"/>
      <c r="L281" s="108">
        <v>4.3799999999999999E-2</v>
      </c>
      <c r="O281" s="105"/>
    </row>
    <row r="282" spans="2:15" x14ac:dyDescent="0.2">
      <c r="B282" s="1">
        <v>267</v>
      </c>
      <c r="C282" s="106">
        <f t="shared" ca="1" si="16"/>
        <v>0.13901940765187681</v>
      </c>
      <c r="D282" s="106">
        <f t="shared" ca="1" si="17"/>
        <v>0.67367728779458913</v>
      </c>
      <c r="E282" s="106">
        <f t="shared" ca="1" si="18"/>
        <v>0</v>
      </c>
      <c r="F282" s="21">
        <f t="shared" ca="1" si="19"/>
        <v>0</v>
      </c>
      <c r="H282" s="21">
        <v>267</v>
      </c>
      <c r="I282" s="107">
        <v>0.66773404151899063</v>
      </c>
      <c r="J282" s="108">
        <v>1.2540023632755181E-3</v>
      </c>
      <c r="K282" s="108"/>
      <c r="L282" s="108">
        <v>4.2000000000000003E-2</v>
      </c>
      <c r="O282" s="105"/>
    </row>
    <row r="283" spans="2:15" x14ac:dyDescent="0.2">
      <c r="B283" s="1">
        <v>268</v>
      </c>
      <c r="C283" s="106">
        <f t="shared" ca="1" si="16"/>
        <v>-0.16915789682355623</v>
      </c>
      <c r="D283" s="106">
        <f t="shared" ca="1" si="17"/>
        <v>0.65350630226007356</v>
      </c>
      <c r="E283" s="106">
        <f t="shared" ca="1" si="18"/>
        <v>0</v>
      </c>
      <c r="F283" s="21">
        <f t="shared" ca="1" si="19"/>
        <v>0</v>
      </c>
      <c r="H283" s="21">
        <v>268</v>
      </c>
      <c r="I283" s="107">
        <v>0.66765370301833393</v>
      </c>
      <c r="J283" s="108">
        <v>1.2453195304690445E-3</v>
      </c>
      <c r="K283" s="108"/>
      <c r="L283" s="108">
        <v>3.7199999999999997E-2</v>
      </c>
      <c r="O283" s="105"/>
    </row>
    <row r="284" spans="2:15" x14ac:dyDescent="0.2">
      <c r="B284" s="1">
        <v>269</v>
      </c>
      <c r="C284" s="106">
        <f t="shared" ca="1" si="16"/>
        <v>-0.64462067240314536</v>
      </c>
      <c r="D284" s="106">
        <f t="shared" ca="1" si="17"/>
        <v>0.62356430687763909</v>
      </c>
      <c r="E284" s="106">
        <f t="shared" ca="1" si="18"/>
        <v>0</v>
      </c>
      <c r="F284" s="21">
        <f t="shared" ca="1" si="19"/>
        <v>0</v>
      </c>
      <c r="H284" s="21">
        <v>269</v>
      </c>
      <c r="I284" s="107">
        <v>0.66777840719493164</v>
      </c>
      <c r="J284" s="108">
        <v>1.4038939451249219E-3</v>
      </c>
      <c r="K284" s="108"/>
      <c r="L284" s="108">
        <v>4.2999999999999997E-2</v>
      </c>
      <c r="O284" s="105"/>
    </row>
    <row r="285" spans="2:15" x14ac:dyDescent="0.2">
      <c r="B285" s="1">
        <v>270</v>
      </c>
      <c r="C285" s="106">
        <f t="shared" ca="1" si="16"/>
        <v>-0.13200289761708761</v>
      </c>
      <c r="D285" s="106">
        <f t="shared" ca="1" si="17"/>
        <v>0.65590580930246212</v>
      </c>
      <c r="E285" s="106">
        <f t="shared" ca="1" si="18"/>
        <v>0</v>
      </c>
      <c r="F285" s="21">
        <f t="shared" ca="1" si="19"/>
        <v>0</v>
      </c>
      <c r="H285" s="21">
        <v>270</v>
      </c>
      <c r="I285" s="107">
        <v>0.66777404453327427</v>
      </c>
      <c r="J285" s="108">
        <v>1.4491359376609867E-3</v>
      </c>
      <c r="K285" s="108"/>
      <c r="L285" s="108">
        <v>4.0599999999999997E-2</v>
      </c>
      <c r="O285" s="105"/>
    </row>
    <row r="286" spans="2:15" x14ac:dyDescent="0.2">
      <c r="B286" s="1">
        <v>271</v>
      </c>
      <c r="C286" s="106">
        <f t="shared" ca="1" si="16"/>
        <v>0.3069980047879684</v>
      </c>
      <c r="D286" s="106">
        <f t="shared" ca="1" si="17"/>
        <v>0.6849328650825286</v>
      </c>
      <c r="E286" s="106">
        <f t="shared" ca="1" si="18"/>
        <v>0</v>
      </c>
      <c r="F286" s="21">
        <f t="shared" ca="1" si="19"/>
        <v>0</v>
      </c>
      <c r="H286" s="21">
        <v>271</v>
      </c>
      <c r="I286" s="107">
        <v>0.66772744027350728</v>
      </c>
      <c r="J286" s="108">
        <v>1.4683001298907697E-3</v>
      </c>
      <c r="K286" s="108"/>
      <c r="L286" s="108">
        <v>3.9800000000000002E-2</v>
      </c>
      <c r="O286" s="105"/>
    </row>
    <row r="287" spans="2:15" x14ac:dyDescent="0.2">
      <c r="B287" s="1">
        <v>272</v>
      </c>
      <c r="C287" s="106">
        <f t="shared" ca="1" si="16"/>
        <v>-0.59123521682424329</v>
      </c>
      <c r="D287" s="106">
        <f t="shared" ca="1" si="17"/>
        <v>0.62685666526334127</v>
      </c>
      <c r="E287" s="106">
        <f t="shared" ca="1" si="18"/>
        <v>0</v>
      </c>
      <c r="F287" s="21">
        <f t="shared" ca="1" si="19"/>
        <v>0</v>
      </c>
      <c r="H287" s="21">
        <v>272</v>
      </c>
      <c r="I287" s="107">
        <v>0.66794192897513616</v>
      </c>
      <c r="J287" s="108">
        <v>1.6037913702333243E-3</v>
      </c>
      <c r="K287" s="108"/>
      <c r="L287" s="108">
        <v>4.8800000000000003E-2</v>
      </c>
      <c r="O287" s="105"/>
    </row>
    <row r="288" spans="2:15" x14ac:dyDescent="0.2">
      <c r="B288" s="1">
        <v>273</v>
      </c>
      <c r="C288" s="106">
        <f t="shared" ca="1" si="16"/>
        <v>-2.0971442471651018</v>
      </c>
      <c r="D288" s="106">
        <f t="shared" ca="1" si="17"/>
        <v>0.54032620862581315</v>
      </c>
      <c r="E288" s="106">
        <f t="shared" ca="1" si="18"/>
        <v>0</v>
      </c>
      <c r="F288" s="21">
        <f t="shared" ca="1" si="19"/>
        <v>0</v>
      </c>
      <c r="H288" s="21">
        <v>273</v>
      </c>
      <c r="I288" s="107">
        <v>0.66783722010843383</v>
      </c>
      <c r="J288" s="108">
        <v>1.3249974205133447E-3</v>
      </c>
      <c r="K288" s="108"/>
      <c r="L288" s="108">
        <v>4.1399999999999999E-2</v>
      </c>
      <c r="O288" s="105"/>
    </row>
    <row r="289" spans="2:15" x14ac:dyDescent="0.2">
      <c r="B289" s="1">
        <v>274</v>
      </c>
      <c r="C289" s="106">
        <f t="shared" ca="1" si="16"/>
        <v>-0.86833197167771892</v>
      </c>
      <c r="D289" s="106">
        <f t="shared" ca="1" si="17"/>
        <v>0.60995471651413735</v>
      </c>
      <c r="E289" s="106">
        <f t="shared" ca="1" si="18"/>
        <v>0</v>
      </c>
      <c r="F289" s="21">
        <f t="shared" ca="1" si="19"/>
        <v>0</v>
      </c>
      <c r="H289" s="21">
        <v>274</v>
      </c>
      <c r="I289" s="107">
        <v>0.66773391354331235</v>
      </c>
      <c r="J289" s="108">
        <v>1.380347304232606E-3</v>
      </c>
      <c r="K289" s="108"/>
      <c r="L289" s="108">
        <v>3.9199999999999999E-2</v>
      </c>
      <c r="O289" s="105"/>
    </row>
    <row r="290" spans="2:15" x14ac:dyDescent="0.2">
      <c r="B290" s="1">
        <v>275</v>
      </c>
      <c r="C290" s="106">
        <f t="shared" ca="1" si="16"/>
        <v>1.6900405383993051</v>
      </c>
      <c r="D290" s="106">
        <f t="shared" ca="1" si="17"/>
        <v>0.7850488737409016</v>
      </c>
      <c r="E290" s="106">
        <f t="shared" ca="1" si="18"/>
        <v>0</v>
      </c>
      <c r="F290" s="21">
        <f t="shared" ca="1" si="19"/>
        <v>0</v>
      </c>
      <c r="H290" s="21">
        <v>275</v>
      </c>
      <c r="I290" s="107">
        <v>0.668014617880199</v>
      </c>
      <c r="J290" s="108">
        <v>1.7039088232652865E-3</v>
      </c>
      <c r="K290" s="108"/>
      <c r="L290" s="108">
        <v>4.6199999999999998E-2</v>
      </c>
      <c r="O290" s="105"/>
    </row>
    <row r="291" spans="2:15" x14ac:dyDescent="0.2">
      <c r="B291" s="1">
        <v>276</v>
      </c>
      <c r="C291" s="106">
        <f t="shared" ca="1" si="16"/>
        <v>0.65154762800474797</v>
      </c>
      <c r="D291" s="106">
        <f t="shared" ca="1" si="17"/>
        <v>0.70861166753192473</v>
      </c>
      <c r="E291" s="106">
        <f t="shared" ca="1" si="18"/>
        <v>0</v>
      </c>
      <c r="F291" s="21">
        <f t="shared" ca="1" si="19"/>
        <v>0</v>
      </c>
      <c r="H291" s="21">
        <v>276</v>
      </c>
      <c r="I291" s="107">
        <v>0.66777816205526186</v>
      </c>
      <c r="J291" s="108">
        <v>1.5136425758743909E-3</v>
      </c>
      <c r="K291" s="108"/>
      <c r="L291" s="108">
        <v>4.5400000000000003E-2</v>
      </c>
      <c r="O291" s="105"/>
    </row>
    <row r="292" spans="2:15" x14ac:dyDescent="0.2">
      <c r="B292" s="1">
        <v>277</v>
      </c>
      <c r="C292" s="106">
        <f t="shared" ca="1" si="16"/>
        <v>0.47314026218292721</v>
      </c>
      <c r="D292" s="106">
        <f t="shared" ca="1" si="17"/>
        <v>0.69625036732360257</v>
      </c>
      <c r="E292" s="106">
        <f t="shared" ca="1" si="18"/>
        <v>0</v>
      </c>
      <c r="F292" s="21">
        <f t="shared" ca="1" si="19"/>
        <v>0</v>
      </c>
      <c r="H292" s="21">
        <v>277</v>
      </c>
      <c r="I292" s="107">
        <v>0.66766728038052869</v>
      </c>
      <c r="J292" s="108">
        <v>1.2493032123152737E-3</v>
      </c>
      <c r="K292" s="108"/>
      <c r="L292" s="108">
        <v>4.0399999999999998E-2</v>
      </c>
      <c r="O292" s="105"/>
    </row>
    <row r="293" spans="2:15" x14ac:dyDescent="0.2">
      <c r="B293" s="1">
        <v>278</v>
      </c>
      <c r="C293" s="106">
        <f t="shared" ca="1" si="16"/>
        <v>-0.35761092727822558</v>
      </c>
      <c r="D293" s="106">
        <f t="shared" ca="1" si="17"/>
        <v>0.64147032236235479</v>
      </c>
      <c r="E293" s="106">
        <f t="shared" ca="1" si="18"/>
        <v>0</v>
      </c>
      <c r="F293" s="21">
        <f t="shared" ca="1" si="19"/>
        <v>0</v>
      </c>
      <c r="H293" s="21">
        <v>278</v>
      </c>
      <c r="I293" s="107">
        <v>0.66783606402864704</v>
      </c>
      <c r="J293" s="108">
        <v>1.451163932197286E-3</v>
      </c>
      <c r="K293" s="108"/>
      <c r="L293" s="108">
        <v>4.3999999999999997E-2</v>
      </c>
      <c r="O293" s="105"/>
    </row>
    <row r="294" spans="2:15" x14ac:dyDescent="0.2">
      <c r="B294" s="1">
        <v>279</v>
      </c>
      <c r="C294" s="106">
        <f t="shared" ca="1" si="16"/>
        <v>1.2130962853027865</v>
      </c>
      <c r="D294" s="106">
        <f t="shared" ca="1" si="17"/>
        <v>0.74897047382431514</v>
      </c>
      <c r="E294" s="106">
        <f t="shared" ca="1" si="18"/>
        <v>0</v>
      </c>
      <c r="F294" s="21">
        <f t="shared" ca="1" si="19"/>
        <v>0</v>
      </c>
      <c r="H294" s="21">
        <v>279</v>
      </c>
      <c r="I294" s="107">
        <v>0.66772745676948997</v>
      </c>
      <c r="J294" s="108">
        <v>1.3288072855722457E-3</v>
      </c>
      <c r="K294" s="108"/>
      <c r="L294" s="108">
        <v>4.1200000000000001E-2</v>
      </c>
      <c r="O294" s="105"/>
    </row>
    <row r="295" spans="2:15" x14ac:dyDescent="0.2">
      <c r="B295" s="1">
        <v>280</v>
      </c>
      <c r="C295" s="106">
        <f t="shared" ca="1" si="16"/>
        <v>-0.29466543526264438</v>
      </c>
      <c r="D295" s="106">
        <f t="shared" ca="1" si="17"/>
        <v>0.64546561939225366</v>
      </c>
      <c r="E295" s="106">
        <f t="shared" ca="1" si="18"/>
        <v>0</v>
      </c>
      <c r="F295" s="21">
        <f t="shared" ca="1" si="19"/>
        <v>0</v>
      </c>
      <c r="H295" s="21">
        <v>280</v>
      </c>
      <c r="I295" s="107">
        <v>0.6677910364843227</v>
      </c>
      <c r="J295" s="108">
        <v>1.4133478949869722E-3</v>
      </c>
      <c r="K295" s="108"/>
      <c r="L295" s="108">
        <v>4.4200000000000003E-2</v>
      </c>
      <c r="O295" s="105"/>
    </row>
    <row r="296" spans="2:15" x14ac:dyDescent="0.2">
      <c r="B296" s="1">
        <v>281</v>
      </c>
      <c r="C296" s="106">
        <f t="shared" ca="1" si="16"/>
        <v>-0.29790064233343172</v>
      </c>
      <c r="D296" s="106">
        <f t="shared" ca="1" si="17"/>
        <v>0.64525966796638479</v>
      </c>
      <c r="E296" s="106">
        <f t="shared" ca="1" si="18"/>
        <v>0</v>
      </c>
      <c r="F296" s="21">
        <f t="shared" ca="1" si="19"/>
        <v>0</v>
      </c>
      <c r="H296" s="21">
        <v>281</v>
      </c>
      <c r="I296" s="107">
        <v>0.66784189436404984</v>
      </c>
      <c r="J296" s="108">
        <v>1.4068680642565997E-3</v>
      </c>
      <c r="K296" s="108"/>
      <c r="L296" s="108">
        <v>4.8800000000000003E-2</v>
      </c>
      <c r="O296" s="105"/>
    </row>
    <row r="297" spans="2:15" x14ac:dyDescent="0.2">
      <c r="B297" s="1">
        <v>282</v>
      </c>
      <c r="C297" s="106">
        <f t="shared" ca="1" si="16"/>
        <v>0.23635826101131888</v>
      </c>
      <c r="D297" s="106">
        <f t="shared" ca="1" si="17"/>
        <v>0.68017684348131879</v>
      </c>
      <c r="E297" s="106">
        <f t="shared" ca="1" si="18"/>
        <v>0</v>
      </c>
      <c r="F297" s="21">
        <f t="shared" ca="1" si="19"/>
        <v>0</v>
      </c>
      <c r="H297" s="21">
        <v>282</v>
      </c>
      <c r="I297" s="107">
        <v>0.66795105790599496</v>
      </c>
      <c r="J297" s="108">
        <v>1.5930256897316248E-3</v>
      </c>
      <c r="K297" s="108"/>
      <c r="L297" s="108">
        <v>4.7800000000000002E-2</v>
      </c>
      <c r="O297" s="105"/>
    </row>
    <row r="298" spans="2:15" x14ac:dyDescent="0.2">
      <c r="B298" s="1">
        <v>283</v>
      </c>
      <c r="C298" s="106">
        <f t="shared" ca="1" si="16"/>
        <v>-0.6970438616482002</v>
      </c>
      <c r="D298" s="106">
        <f t="shared" ca="1" si="17"/>
        <v>0.62034812069066225</v>
      </c>
      <c r="E298" s="106">
        <f t="shared" ca="1" si="18"/>
        <v>0</v>
      </c>
      <c r="F298" s="21">
        <f t="shared" ca="1" si="19"/>
        <v>0</v>
      </c>
      <c r="H298" s="21">
        <v>283</v>
      </c>
      <c r="I298" s="107">
        <v>0.66770245932270778</v>
      </c>
      <c r="J298" s="108">
        <v>1.2556857300197461E-3</v>
      </c>
      <c r="K298" s="108"/>
      <c r="L298" s="108">
        <v>3.8399999999999997E-2</v>
      </c>
      <c r="O298" s="105"/>
    </row>
    <row r="299" spans="2:15" x14ac:dyDescent="0.2">
      <c r="B299" s="1">
        <v>284</v>
      </c>
      <c r="C299" s="106">
        <f t="shared" ca="1" si="16"/>
        <v>-0.82197792655834434</v>
      </c>
      <c r="D299" s="106">
        <f t="shared" ca="1" si="17"/>
        <v>0.61275007429351624</v>
      </c>
      <c r="E299" s="106">
        <f t="shared" ca="1" si="18"/>
        <v>0</v>
      </c>
      <c r="F299" s="21">
        <f t="shared" ca="1" si="19"/>
        <v>0</v>
      </c>
      <c r="H299" s="21">
        <v>284</v>
      </c>
      <c r="I299" s="107">
        <v>0.66778704763568197</v>
      </c>
      <c r="J299" s="108">
        <v>1.368098178708527E-3</v>
      </c>
      <c r="K299" s="108"/>
      <c r="L299" s="108">
        <v>4.4200000000000003E-2</v>
      </c>
      <c r="O299" s="105"/>
    </row>
    <row r="300" spans="2:15" x14ac:dyDescent="0.2">
      <c r="B300" s="1">
        <v>285</v>
      </c>
      <c r="C300" s="106">
        <f t="shared" ca="1" si="16"/>
        <v>1.9676329961139345</v>
      </c>
      <c r="D300" s="106">
        <f t="shared" ca="1" si="17"/>
        <v>0.8068421623384997</v>
      </c>
      <c r="E300" s="106">
        <f t="shared" ca="1" si="18"/>
        <v>1.864216233849969E-2</v>
      </c>
      <c r="F300" s="21">
        <f t="shared" ca="1" si="19"/>
        <v>1</v>
      </c>
      <c r="H300" s="21">
        <v>285</v>
      </c>
      <c r="I300" s="107">
        <v>0.66766136688635813</v>
      </c>
      <c r="J300" s="108">
        <v>1.3357743700652624E-3</v>
      </c>
      <c r="K300" s="108"/>
      <c r="L300" s="108">
        <v>4.36E-2</v>
      </c>
      <c r="O300" s="105"/>
    </row>
    <row r="301" spans="2:15" x14ac:dyDescent="0.2">
      <c r="B301" s="1">
        <v>286</v>
      </c>
      <c r="C301" s="106">
        <f t="shared" ca="1" si="16"/>
        <v>-0.81042354040276043</v>
      </c>
      <c r="D301" s="106">
        <f t="shared" ca="1" si="17"/>
        <v>0.61344884817869516</v>
      </c>
      <c r="E301" s="106">
        <f t="shared" ca="1" si="18"/>
        <v>0</v>
      </c>
      <c r="F301" s="21">
        <f t="shared" ca="1" si="19"/>
        <v>0</v>
      </c>
      <c r="H301" s="21">
        <v>286</v>
      </c>
      <c r="I301" s="107">
        <v>0.66775394824077972</v>
      </c>
      <c r="J301" s="108">
        <v>1.3970218779530835E-3</v>
      </c>
      <c r="K301" s="108"/>
      <c r="L301" s="108">
        <v>4.2799999999999998E-2</v>
      </c>
      <c r="O301" s="105"/>
    </row>
    <row r="302" spans="2:15" x14ac:dyDescent="0.2">
      <c r="B302" s="1">
        <v>287</v>
      </c>
      <c r="C302" s="106">
        <f t="shared" ca="1" si="16"/>
        <v>-1.0175839100484423</v>
      </c>
      <c r="D302" s="106">
        <f t="shared" ca="1" si="17"/>
        <v>0.60104049408759286</v>
      </c>
      <c r="E302" s="106">
        <f t="shared" ca="1" si="18"/>
        <v>0</v>
      </c>
      <c r="F302" s="21">
        <f t="shared" ca="1" si="19"/>
        <v>0</v>
      </c>
      <c r="H302" s="21">
        <v>287</v>
      </c>
      <c r="I302" s="107">
        <v>0.66783439545851631</v>
      </c>
      <c r="J302" s="108">
        <v>1.5426738050211739E-3</v>
      </c>
      <c r="K302" s="108"/>
      <c r="L302" s="108">
        <v>4.5199999999999997E-2</v>
      </c>
      <c r="O302" s="105"/>
    </row>
    <row r="303" spans="2:15" x14ac:dyDescent="0.2">
      <c r="B303" s="1">
        <v>288</v>
      </c>
      <c r="C303" s="106">
        <f t="shared" ca="1" si="16"/>
        <v>-0.28644682949666511</v>
      </c>
      <c r="D303" s="106">
        <f t="shared" ca="1" si="17"/>
        <v>0.64598910677140731</v>
      </c>
      <c r="E303" s="106">
        <f t="shared" ca="1" si="18"/>
        <v>0</v>
      </c>
      <c r="F303" s="21">
        <f t="shared" ca="1" si="19"/>
        <v>0</v>
      </c>
      <c r="H303" s="21">
        <v>288</v>
      </c>
      <c r="I303" s="107">
        <v>0.66777845561256866</v>
      </c>
      <c r="J303" s="108">
        <v>1.4765141053499429E-3</v>
      </c>
      <c r="K303" s="108"/>
      <c r="L303" s="108">
        <v>4.3799999999999999E-2</v>
      </c>
      <c r="O303" s="105"/>
    </row>
    <row r="304" spans="2:15" x14ac:dyDescent="0.2">
      <c r="B304" s="1">
        <v>289</v>
      </c>
      <c r="C304" s="106">
        <f t="shared" ca="1" si="16"/>
        <v>0.40925231432343889</v>
      </c>
      <c r="D304" s="106">
        <f t="shared" ca="1" si="17"/>
        <v>0.69187639999346195</v>
      </c>
      <c r="E304" s="106">
        <f t="shared" ca="1" si="18"/>
        <v>0</v>
      </c>
      <c r="F304" s="21">
        <f t="shared" ca="1" si="19"/>
        <v>0</v>
      </c>
      <c r="H304" s="21">
        <v>289</v>
      </c>
      <c r="I304" s="107">
        <v>0.66788505202440662</v>
      </c>
      <c r="J304" s="108">
        <v>1.49754402902825E-3</v>
      </c>
      <c r="K304" s="108"/>
      <c r="L304" s="108">
        <v>4.48E-2</v>
      </c>
      <c r="O304" s="105"/>
    </row>
    <row r="305" spans="2:15" x14ac:dyDescent="0.2">
      <c r="B305" s="1">
        <v>290</v>
      </c>
      <c r="C305" s="106">
        <f t="shared" ca="1" si="16"/>
        <v>-0.67847219700990258</v>
      </c>
      <c r="D305" s="106">
        <f t="shared" ca="1" si="17"/>
        <v>0.62148559884418009</v>
      </c>
      <c r="E305" s="106">
        <f t="shared" ca="1" si="18"/>
        <v>0</v>
      </c>
      <c r="F305" s="21">
        <f t="shared" ca="1" si="19"/>
        <v>0</v>
      </c>
      <c r="H305" s="21">
        <v>290</v>
      </c>
      <c r="I305" s="107">
        <v>0.66768115288956864</v>
      </c>
      <c r="J305" s="108">
        <v>1.311118589155006E-3</v>
      </c>
      <c r="K305" s="108"/>
      <c r="L305" s="108">
        <v>3.7600000000000001E-2</v>
      </c>
      <c r="O305" s="105"/>
    </row>
    <row r="306" spans="2:15" x14ac:dyDescent="0.2">
      <c r="B306" s="1">
        <v>291</v>
      </c>
      <c r="C306" s="106">
        <f t="shared" ca="1" si="16"/>
        <v>-1.2654260089631861</v>
      </c>
      <c r="D306" s="106">
        <f t="shared" ca="1" si="17"/>
        <v>0.58652473252491366</v>
      </c>
      <c r="E306" s="106">
        <f t="shared" ca="1" si="18"/>
        <v>0</v>
      </c>
      <c r="F306" s="21">
        <f t="shared" ca="1" si="19"/>
        <v>0</v>
      </c>
      <c r="H306" s="21">
        <v>291</v>
      </c>
      <c r="I306" s="107">
        <v>0.66770328660744804</v>
      </c>
      <c r="J306" s="108">
        <v>1.2739611764694923E-3</v>
      </c>
      <c r="K306" s="108"/>
      <c r="L306" s="108">
        <v>4.3200000000000002E-2</v>
      </c>
      <c r="O306" s="105"/>
    </row>
    <row r="307" spans="2:15" x14ac:dyDescent="0.2">
      <c r="B307" s="1">
        <v>292</v>
      </c>
      <c r="C307" s="106">
        <f t="shared" ca="1" si="16"/>
        <v>-0.77273881584420023</v>
      </c>
      <c r="D307" s="106">
        <f t="shared" ca="1" si="17"/>
        <v>0.61573344751646042</v>
      </c>
      <c r="E307" s="106">
        <f t="shared" ca="1" si="18"/>
        <v>0</v>
      </c>
      <c r="F307" s="21">
        <f t="shared" ca="1" si="19"/>
        <v>0</v>
      </c>
      <c r="H307" s="21">
        <v>292</v>
      </c>
      <c r="I307" s="107">
        <v>0.66756251028502211</v>
      </c>
      <c r="J307" s="108">
        <v>1.1424593294356944E-3</v>
      </c>
      <c r="K307" s="108"/>
      <c r="L307" s="108">
        <v>3.6600000000000001E-2</v>
      </c>
      <c r="O307" s="105"/>
    </row>
    <row r="308" spans="2:15" x14ac:dyDescent="0.2">
      <c r="B308" s="1">
        <v>293</v>
      </c>
      <c r="C308" s="106">
        <f t="shared" ca="1" si="16"/>
        <v>-1.0818433757128305</v>
      </c>
      <c r="D308" s="106">
        <f t="shared" ca="1" si="17"/>
        <v>0.59724276437376345</v>
      </c>
      <c r="E308" s="106">
        <f t="shared" ca="1" si="18"/>
        <v>0</v>
      </c>
      <c r="F308" s="21">
        <f t="shared" ca="1" si="19"/>
        <v>0</v>
      </c>
      <c r="H308" s="21">
        <v>293</v>
      </c>
      <c r="I308" s="107">
        <v>0.66767630624380192</v>
      </c>
      <c r="J308" s="108">
        <v>1.404536392809384E-3</v>
      </c>
      <c r="K308" s="108"/>
      <c r="L308" s="108">
        <v>0.04</v>
      </c>
      <c r="O308" s="105"/>
    </row>
    <row r="309" spans="2:15" x14ac:dyDescent="0.2">
      <c r="B309" s="1">
        <v>294</v>
      </c>
      <c r="C309" s="106">
        <f t="shared" ca="1" si="16"/>
        <v>-0.86290401781040504</v>
      </c>
      <c r="D309" s="106">
        <f t="shared" ca="1" si="17"/>
        <v>0.6102813862585319</v>
      </c>
      <c r="E309" s="106">
        <f t="shared" ca="1" si="18"/>
        <v>0</v>
      </c>
      <c r="F309" s="21">
        <f t="shared" ca="1" si="19"/>
        <v>0</v>
      </c>
      <c r="H309" s="21">
        <v>294</v>
      </c>
      <c r="I309" s="107">
        <v>0.66783618268367639</v>
      </c>
      <c r="J309" s="108">
        <v>1.4954098461330712E-3</v>
      </c>
      <c r="K309" s="108"/>
      <c r="L309" s="108">
        <v>4.4600000000000001E-2</v>
      </c>
      <c r="O309" s="105"/>
    </row>
    <row r="310" spans="2:15" x14ac:dyDescent="0.2">
      <c r="B310" s="1">
        <v>295</v>
      </c>
      <c r="C310" s="106">
        <f t="shared" ca="1" si="16"/>
        <v>8.5801031473667216E-2</v>
      </c>
      <c r="D310" s="106">
        <f t="shared" ca="1" si="17"/>
        <v>0.67015006410166922</v>
      </c>
      <c r="E310" s="106">
        <f t="shared" ca="1" si="18"/>
        <v>0</v>
      </c>
      <c r="F310" s="21">
        <f t="shared" ca="1" si="19"/>
        <v>0</v>
      </c>
      <c r="H310" s="21">
        <v>295</v>
      </c>
      <c r="I310" s="107">
        <v>0.66773618622139341</v>
      </c>
      <c r="J310" s="108">
        <v>1.3451437002853571E-3</v>
      </c>
      <c r="K310" s="108"/>
      <c r="L310" s="108">
        <v>3.7400000000000003E-2</v>
      </c>
      <c r="O310" s="105"/>
    </row>
    <row r="311" spans="2:15" x14ac:dyDescent="0.2">
      <c r="B311" s="1">
        <v>296</v>
      </c>
      <c r="C311" s="106">
        <f t="shared" ca="1" si="16"/>
        <v>1.4600604131982469</v>
      </c>
      <c r="D311" s="106">
        <f t="shared" ca="1" si="17"/>
        <v>0.76744010009529284</v>
      </c>
      <c r="E311" s="106">
        <f t="shared" ca="1" si="18"/>
        <v>0</v>
      </c>
      <c r="F311" s="21">
        <f t="shared" ca="1" si="19"/>
        <v>0</v>
      </c>
      <c r="H311" s="21">
        <v>296</v>
      </c>
      <c r="I311" s="107">
        <v>0.66762977033694137</v>
      </c>
      <c r="J311" s="108">
        <v>1.2600009422950211E-3</v>
      </c>
      <c r="K311" s="108"/>
      <c r="L311" s="108">
        <v>3.8800000000000001E-2</v>
      </c>
      <c r="O311" s="105"/>
    </row>
    <row r="312" spans="2:15" x14ac:dyDescent="0.2">
      <c r="B312" s="1">
        <v>297</v>
      </c>
      <c r="C312" s="106">
        <f t="shared" ca="1" si="16"/>
        <v>0.4675244084147952</v>
      </c>
      <c r="D312" s="106">
        <f t="shared" ca="1" si="17"/>
        <v>0.69586478257786155</v>
      </c>
      <c r="E312" s="106">
        <f t="shared" ca="1" si="18"/>
        <v>0</v>
      </c>
      <c r="F312" s="21">
        <f t="shared" ca="1" si="19"/>
        <v>0</v>
      </c>
      <c r="H312" s="21">
        <v>297</v>
      </c>
      <c r="I312" s="107">
        <v>0.66779911790986635</v>
      </c>
      <c r="J312" s="108">
        <v>1.4402057855407795E-3</v>
      </c>
      <c r="K312" s="108"/>
      <c r="L312" s="108">
        <v>4.1399999999999999E-2</v>
      </c>
      <c r="O312" s="105"/>
    </row>
    <row r="313" spans="2:15" x14ac:dyDescent="0.2">
      <c r="B313" s="1">
        <v>298</v>
      </c>
      <c r="C313" s="106">
        <f t="shared" ca="1" si="16"/>
        <v>1.113501937672958</v>
      </c>
      <c r="D313" s="106">
        <f t="shared" ca="1" si="17"/>
        <v>0.74164852388527114</v>
      </c>
      <c r="E313" s="106">
        <f t="shared" ca="1" si="18"/>
        <v>0</v>
      </c>
      <c r="F313" s="21">
        <f t="shared" ca="1" si="19"/>
        <v>0</v>
      </c>
      <c r="H313" s="21">
        <v>298</v>
      </c>
      <c r="I313" s="107">
        <v>0.66787913325864645</v>
      </c>
      <c r="J313" s="108">
        <v>1.4819349519260261E-3</v>
      </c>
      <c r="K313" s="108"/>
      <c r="L313" s="108">
        <v>4.3799999999999999E-2</v>
      </c>
      <c r="O313" s="105"/>
    </row>
    <row r="314" spans="2:15" x14ac:dyDescent="0.2">
      <c r="B314" s="1">
        <v>299</v>
      </c>
      <c r="C314" s="106">
        <f t="shared" ca="1" si="16"/>
        <v>-1.6208680353109519</v>
      </c>
      <c r="D314" s="106">
        <f t="shared" ca="1" si="17"/>
        <v>0.5663167576684015</v>
      </c>
      <c r="E314" s="106">
        <f t="shared" ca="1" si="18"/>
        <v>0</v>
      </c>
      <c r="F314" s="21">
        <f t="shared" ca="1" si="19"/>
        <v>0</v>
      </c>
      <c r="H314" s="21">
        <v>299</v>
      </c>
      <c r="I314" s="107">
        <v>0.66765039874855525</v>
      </c>
      <c r="J314" s="108">
        <v>1.2585716964506686E-3</v>
      </c>
      <c r="K314" s="108"/>
      <c r="L314" s="108">
        <v>3.9800000000000002E-2</v>
      </c>
      <c r="O314" s="105"/>
    </row>
    <row r="315" spans="2:15" x14ac:dyDescent="0.2">
      <c r="B315" s="1">
        <v>300</v>
      </c>
      <c r="C315" s="106">
        <f t="shared" ca="1" si="16"/>
        <v>0.70486791067662935</v>
      </c>
      <c r="D315" s="106">
        <f t="shared" ca="1" si="17"/>
        <v>0.71234848812172968</v>
      </c>
      <c r="E315" s="106">
        <f t="shared" ca="1" si="18"/>
        <v>0</v>
      </c>
      <c r="F315" s="21">
        <f t="shared" ca="1" si="19"/>
        <v>0</v>
      </c>
      <c r="H315" s="21">
        <v>300</v>
      </c>
      <c r="I315" s="107">
        <v>0.66779030973564057</v>
      </c>
      <c r="J315" s="108">
        <v>1.4279597681810074E-3</v>
      </c>
      <c r="K315" s="108"/>
      <c r="L315" s="108">
        <v>4.2599999999999999E-2</v>
      </c>
      <c r="O315" s="105"/>
    </row>
    <row r="316" spans="2:15" x14ac:dyDescent="0.2">
      <c r="B316" s="1">
        <v>301</v>
      </c>
      <c r="C316" s="106">
        <f t="shared" ca="1" si="16"/>
        <v>-0.71713255925787822</v>
      </c>
      <c r="D316" s="106">
        <f t="shared" ca="1" si="17"/>
        <v>0.61912007102732258</v>
      </c>
      <c r="E316" s="106">
        <f t="shared" ca="1" si="18"/>
        <v>0</v>
      </c>
      <c r="F316" s="21">
        <f t="shared" ca="1" si="19"/>
        <v>0</v>
      </c>
      <c r="H316" s="21">
        <v>301</v>
      </c>
      <c r="I316" s="107">
        <v>0.66782409355104777</v>
      </c>
      <c r="J316" s="108">
        <v>1.5632084133951915E-3</v>
      </c>
      <c r="K316" s="108"/>
      <c r="L316" s="108">
        <v>4.3999999999999997E-2</v>
      </c>
      <c r="O316" s="105"/>
    </row>
    <row r="317" spans="2:15" x14ac:dyDescent="0.2">
      <c r="B317" s="1">
        <v>302</v>
      </c>
      <c r="C317" s="106">
        <f t="shared" ca="1" si="16"/>
        <v>-1.4587857316083999</v>
      </c>
      <c r="D317" s="106">
        <f t="shared" ca="1" si="17"/>
        <v>0.57544380479121504</v>
      </c>
      <c r="E317" s="106">
        <f t="shared" ca="1" si="18"/>
        <v>0</v>
      </c>
      <c r="F317" s="21">
        <f t="shared" ca="1" si="19"/>
        <v>0</v>
      </c>
      <c r="H317" s="21">
        <v>302</v>
      </c>
      <c r="I317" s="107">
        <v>0.66778855032198781</v>
      </c>
      <c r="J317" s="108">
        <v>1.5886690173590511E-3</v>
      </c>
      <c r="K317" s="108"/>
      <c r="L317" s="108">
        <v>4.5999999999999999E-2</v>
      </c>
      <c r="O317" s="105"/>
    </row>
    <row r="318" spans="2:15" x14ac:dyDescent="0.2">
      <c r="B318" s="1">
        <v>303</v>
      </c>
      <c r="C318" s="106">
        <f t="shared" ca="1" si="16"/>
        <v>1.5989670603278157</v>
      </c>
      <c r="D318" s="106">
        <f t="shared" ca="1" si="17"/>
        <v>0.77802788603431117</v>
      </c>
      <c r="E318" s="106">
        <f t="shared" ca="1" si="18"/>
        <v>0</v>
      </c>
      <c r="F318" s="21">
        <f t="shared" ca="1" si="19"/>
        <v>0</v>
      </c>
      <c r="H318" s="21">
        <v>303</v>
      </c>
      <c r="I318" s="107">
        <v>0.66769012875772193</v>
      </c>
      <c r="J318" s="108">
        <v>1.2902851273929056E-3</v>
      </c>
      <c r="K318" s="108"/>
      <c r="L318" s="108">
        <v>4.1599999999999998E-2</v>
      </c>
      <c r="O318" s="105"/>
    </row>
    <row r="319" spans="2:15" x14ac:dyDescent="0.2">
      <c r="B319" s="1">
        <v>304</v>
      </c>
      <c r="C319" s="106">
        <f t="shared" ca="1" si="16"/>
        <v>0.65658766815638392</v>
      </c>
      <c r="D319" s="106">
        <f t="shared" ca="1" si="17"/>
        <v>0.70896404583220485</v>
      </c>
      <c r="E319" s="106">
        <f t="shared" ca="1" si="18"/>
        <v>0</v>
      </c>
      <c r="F319" s="21">
        <f t="shared" ca="1" si="19"/>
        <v>0</v>
      </c>
      <c r="H319" s="21">
        <v>304</v>
      </c>
      <c r="I319" s="107">
        <v>0.66777108406194519</v>
      </c>
      <c r="J319" s="108">
        <v>1.4268708396724737E-3</v>
      </c>
      <c r="K319" s="108"/>
      <c r="L319" s="108">
        <v>4.2200000000000001E-2</v>
      </c>
      <c r="O319" s="105"/>
    </row>
    <row r="320" spans="2:15" x14ac:dyDescent="0.2">
      <c r="B320" s="1">
        <v>305</v>
      </c>
      <c r="C320" s="106">
        <f t="shared" ca="1" si="16"/>
        <v>-0.22026476560554453</v>
      </c>
      <c r="D320" s="106">
        <f t="shared" ca="1" si="17"/>
        <v>0.65022010430743737</v>
      </c>
      <c r="E320" s="106">
        <f t="shared" ca="1" si="18"/>
        <v>0</v>
      </c>
      <c r="F320" s="21">
        <f t="shared" ca="1" si="19"/>
        <v>0</v>
      </c>
      <c r="H320" s="21">
        <v>305</v>
      </c>
      <c r="I320" s="107">
        <v>0.66759804290779712</v>
      </c>
      <c r="J320" s="108">
        <v>1.2430533409691399E-3</v>
      </c>
      <c r="K320" s="108"/>
      <c r="L320" s="108">
        <v>3.6799999999999999E-2</v>
      </c>
      <c r="O320" s="105"/>
    </row>
    <row r="321" spans="2:15" x14ac:dyDescent="0.2">
      <c r="B321" s="1">
        <v>306</v>
      </c>
      <c r="C321" s="106">
        <f t="shared" ca="1" si="16"/>
        <v>-0.84495880740098084</v>
      </c>
      <c r="D321" s="106">
        <f t="shared" ca="1" si="17"/>
        <v>0.61136262604265568</v>
      </c>
      <c r="E321" s="106">
        <f t="shared" ca="1" si="18"/>
        <v>0</v>
      </c>
      <c r="F321" s="21">
        <f t="shared" ca="1" si="19"/>
        <v>0</v>
      </c>
      <c r="H321" s="21">
        <v>306</v>
      </c>
      <c r="I321" s="107">
        <v>0.6678309849884978</v>
      </c>
      <c r="J321" s="108">
        <v>1.4188220158245228E-3</v>
      </c>
      <c r="K321" s="108"/>
      <c r="L321" s="108">
        <v>4.1799999999999997E-2</v>
      </c>
      <c r="O321" s="105"/>
    </row>
    <row r="322" spans="2:15" x14ac:dyDescent="0.2">
      <c r="B322" s="1">
        <v>307</v>
      </c>
      <c r="C322" s="106">
        <f t="shared" ca="1" si="16"/>
        <v>-1.6298129164367037</v>
      </c>
      <c r="D322" s="106">
        <f t="shared" ca="1" si="17"/>
        <v>0.56581729698813643</v>
      </c>
      <c r="E322" s="106">
        <f t="shared" ca="1" si="18"/>
        <v>0</v>
      </c>
      <c r="F322" s="21">
        <f t="shared" ca="1" si="19"/>
        <v>0</v>
      </c>
      <c r="H322" s="21">
        <v>307</v>
      </c>
      <c r="I322" s="107">
        <v>0.66772298159609822</v>
      </c>
      <c r="J322" s="108">
        <v>1.4129806173813475E-3</v>
      </c>
      <c r="K322" s="108"/>
      <c r="L322" s="108">
        <v>4.24E-2</v>
      </c>
      <c r="O322" s="105"/>
    </row>
    <row r="323" spans="2:15" x14ac:dyDescent="0.2">
      <c r="B323" s="1">
        <v>308</v>
      </c>
      <c r="C323" s="106">
        <f t="shared" ca="1" si="16"/>
        <v>0.49317937706826837</v>
      </c>
      <c r="D323" s="106">
        <f t="shared" ca="1" si="17"/>
        <v>0.69762799600340408</v>
      </c>
      <c r="E323" s="106">
        <f t="shared" ca="1" si="18"/>
        <v>0</v>
      </c>
      <c r="F323" s="21">
        <f t="shared" ca="1" si="19"/>
        <v>0</v>
      </c>
      <c r="H323" s="21">
        <v>308</v>
      </c>
      <c r="I323" s="107">
        <v>0.66762287040185853</v>
      </c>
      <c r="J323" s="108">
        <v>1.3002441635564476E-3</v>
      </c>
      <c r="K323" s="108"/>
      <c r="L323" s="108">
        <v>4.3799999999999999E-2</v>
      </c>
      <c r="O323" s="105"/>
    </row>
    <row r="324" spans="2:15" x14ac:dyDescent="0.2">
      <c r="B324" s="1">
        <v>309</v>
      </c>
      <c r="C324" s="106">
        <f t="shared" ca="1" si="16"/>
        <v>-0.99224935635243872</v>
      </c>
      <c r="D324" s="106">
        <f t="shared" ca="1" si="17"/>
        <v>0.60254439306085006</v>
      </c>
      <c r="E324" s="106">
        <f t="shared" ca="1" si="18"/>
        <v>0</v>
      </c>
      <c r="F324" s="21">
        <f t="shared" ca="1" si="19"/>
        <v>0</v>
      </c>
      <c r="H324" s="21">
        <v>309</v>
      </c>
      <c r="I324" s="107">
        <v>0.66776128876385055</v>
      </c>
      <c r="J324" s="108">
        <v>1.3427468114436899E-3</v>
      </c>
      <c r="K324" s="108"/>
      <c r="L324" s="108">
        <v>4.5600000000000002E-2</v>
      </c>
      <c r="O324" s="105"/>
    </row>
    <row r="325" spans="2:15" x14ac:dyDescent="0.2">
      <c r="B325" s="1">
        <v>310</v>
      </c>
      <c r="C325" s="106">
        <f t="shared" ca="1" si="16"/>
        <v>1.1583902312709002</v>
      </c>
      <c r="D325" s="106">
        <f t="shared" ca="1" si="17"/>
        <v>0.74493970651173458</v>
      </c>
      <c r="E325" s="106">
        <f t="shared" ca="1" si="18"/>
        <v>0</v>
      </c>
      <c r="F325" s="21">
        <f t="shared" ca="1" si="19"/>
        <v>0</v>
      </c>
      <c r="H325" s="21">
        <v>310</v>
      </c>
      <c r="I325" s="107">
        <v>0.66779620979623289</v>
      </c>
      <c r="J325" s="108">
        <v>1.4927355711333655E-3</v>
      </c>
      <c r="K325" s="108"/>
      <c r="L325" s="108">
        <v>4.2200000000000001E-2</v>
      </c>
      <c r="O325" s="105"/>
    </row>
    <row r="326" spans="2:15" x14ac:dyDescent="0.2">
      <c r="B326" s="1">
        <v>311</v>
      </c>
      <c r="C326" s="106">
        <f t="shared" ca="1" si="16"/>
        <v>0.23065565164559768</v>
      </c>
      <c r="D326" s="106">
        <f t="shared" ca="1" si="17"/>
        <v>0.67979434279070228</v>
      </c>
      <c r="E326" s="106">
        <f t="shared" ca="1" si="18"/>
        <v>0</v>
      </c>
      <c r="F326" s="21">
        <f t="shared" ca="1" si="19"/>
        <v>0</v>
      </c>
      <c r="H326" s="21">
        <v>311</v>
      </c>
      <c r="I326" s="107">
        <v>0.66793089100222969</v>
      </c>
      <c r="J326" s="108">
        <v>1.4931238235860041E-3</v>
      </c>
      <c r="K326" s="108"/>
      <c r="L326" s="108">
        <v>4.7600000000000003E-2</v>
      </c>
      <c r="O326" s="105"/>
    </row>
    <row r="327" spans="2:15" x14ac:dyDescent="0.2">
      <c r="B327" s="1">
        <v>312</v>
      </c>
      <c r="C327" s="106">
        <f t="shared" ca="1" si="16"/>
        <v>0.39013868584521449</v>
      </c>
      <c r="D327" s="106">
        <f t="shared" ca="1" si="17"/>
        <v>0.69057316955729675</v>
      </c>
      <c r="E327" s="106">
        <f t="shared" ca="1" si="18"/>
        <v>0</v>
      </c>
      <c r="F327" s="21">
        <f t="shared" ca="1" si="19"/>
        <v>0</v>
      </c>
      <c r="H327" s="21">
        <v>312</v>
      </c>
      <c r="I327" s="107">
        <v>0.66772466027589361</v>
      </c>
      <c r="J327" s="108">
        <v>1.2661359557635127E-3</v>
      </c>
      <c r="K327" s="108"/>
      <c r="L327" s="108">
        <v>4.24E-2</v>
      </c>
      <c r="O327" s="105"/>
    </row>
    <row r="328" spans="2:15" x14ac:dyDescent="0.2">
      <c r="B328" s="1">
        <v>313</v>
      </c>
      <c r="C328" s="106">
        <f t="shared" ca="1" si="16"/>
        <v>-0.64761113912991541</v>
      </c>
      <c r="D328" s="106">
        <f t="shared" ca="1" si="17"/>
        <v>0.62338039275910906</v>
      </c>
      <c r="E328" s="106">
        <f t="shared" ca="1" si="18"/>
        <v>0</v>
      </c>
      <c r="F328" s="21">
        <f t="shared" ca="1" si="19"/>
        <v>0</v>
      </c>
      <c r="H328" s="21">
        <v>313</v>
      </c>
      <c r="I328" s="107">
        <v>0.66790801707039438</v>
      </c>
      <c r="J328" s="108">
        <v>1.496784592889078E-3</v>
      </c>
      <c r="K328" s="108"/>
      <c r="L328" s="108">
        <v>4.58E-2</v>
      </c>
      <c r="O328" s="105"/>
    </row>
    <row r="329" spans="2:15" x14ac:dyDescent="0.2">
      <c r="B329" s="1">
        <v>314</v>
      </c>
      <c r="C329" s="106">
        <f t="shared" ca="1" si="16"/>
        <v>0.32416852572039229</v>
      </c>
      <c r="D329" s="106">
        <f t="shared" ca="1" si="17"/>
        <v>0.68609393458202006</v>
      </c>
      <c r="E329" s="106">
        <f t="shared" ca="1" si="18"/>
        <v>0</v>
      </c>
      <c r="F329" s="21">
        <f t="shared" ca="1" si="19"/>
        <v>0</v>
      </c>
      <c r="H329" s="21">
        <v>314</v>
      </c>
      <c r="I329" s="107">
        <v>0.66770825300947456</v>
      </c>
      <c r="J329" s="108">
        <v>1.2744863644942512E-3</v>
      </c>
      <c r="K329" s="108"/>
      <c r="L329" s="108">
        <v>4.0599999999999997E-2</v>
      </c>
      <c r="O329" s="105"/>
    </row>
    <row r="330" spans="2:15" x14ac:dyDescent="0.2">
      <c r="B330" s="1">
        <v>315</v>
      </c>
      <c r="C330" s="106">
        <f t="shared" ca="1" si="16"/>
        <v>-1.3781453887045774</v>
      </c>
      <c r="D330" s="106">
        <f t="shared" ca="1" si="17"/>
        <v>0.58003940903259665</v>
      </c>
      <c r="E330" s="106">
        <f t="shared" ca="1" si="18"/>
        <v>0</v>
      </c>
      <c r="F330" s="21">
        <f t="shared" ca="1" si="19"/>
        <v>0</v>
      </c>
      <c r="H330" s="21">
        <v>315</v>
      </c>
      <c r="I330" s="107">
        <v>0.66759361001243911</v>
      </c>
      <c r="J330" s="108">
        <v>1.2458135939897612E-3</v>
      </c>
      <c r="K330" s="108"/>
      <c r="L330" s="108">
        <v>3.9199999999999999E-2</v>
      </c>
      <c r="O330" s="105"/>
    </row>
    <row r="331" spans="2:15" x14ac:dyDescent="0.2">
      <c r="B331" s="1">
        <v>316</v>
      </c>
      <c r="C331" s="106">
        <f t="shared" ca="1" si="16"/>
        <v>-1.6907845264591264</v>
      </c>
      <c r="D331" s="106">
        <f t="shared" ca="1" si="17"/>
        <v>0.56242450335084804</v>
      </c>
      <c r="E331" s="106">
        <f t="shared" ca="1" si="18"/>
        <v>0</v>
      </c>
      <c r="F331" s="21">
        <f t="shared" ca="1" si="19"/>
        <v>0</v>
      </c>
      <c r="H331" s="21">
        <v>316</v>
      </c>
      <c r="I331" s="107">
        <v>0.66766522344239287</v>
      </c>
      <c r="J331" s="108">
        <v>1.2064535799744347E-3</v>
      </c>
      <c r="K331" s="108"/>
      <c r="L331" s="108">
        <v>3.9600000000000003E-2</v>
      </c>
      <c r="O331" s="105"/>
    </row>
    <row r="332" spans="2:15" x14ac:dyDescent="0.2">
      <c r="B332" s="1">
        <v>317</v>
      </c>
      <c r="C332" s="106">
        <f t="shared" ca="1" si="16"/>
        <v>0.6801681202223242</v>
      </c>
      <c r="D332" s="106">
        <f t="shared" ca="1" si="17"/>
        <v>0.71061502054886982</v>
      </c>
      <c r="E332" s="106">
        <f t="shared" ca="1" si="18"/>
        <v>0</v>
      </c>
      <c r="F332" s="21">
        <f t="shared" ca="1" si="19"/>
        <v>0</v>
      </c>
      <c r="H332" s="21">
        <v>317</v>
      </c>
      <c r="I332" s="107">
        <v>0.66781433353713715</v>
      </c>
      <c r="J332" s="108">
        <v>1.4284262134133185E-3</v>
      </c>
      <c r="K332" s="108"/>
      <c r="L332" s="108">
        <v>4.2200000000000001E-2</v>
      </c>
      <c r="O332" s="105"/>
    </row>
    <row r="333" spans="2:15" x14ac:dyDescent="0.2">
      <c r="B333" s="1">
        <v>318</v>
      </c>
      <c r="C333" s="106">
        <f t="shared" ca="1" si="16"/>
        <v>-0.79328691603224821</v>
      </c>
      <c r="D333" s="106">
        <f t="shared" ca="1" si="17"/>
        <v>0.61448668636513015</v>
      </c>
      <c r="E333" s="106">
        <f t="shared" ca="1" si="18"/>
        <v>0</v>
      </c>
      <c r="F333" s="21">
        <f t="shared" ca="1" si="19"/>
        <v>0</v>
      </c>
      <c r="H333" s="21">
        <v>318</v>
      </c>
      <c r="I333" s="107">
        <v>0.66773934911991195</v>
      </c>
      <c r="J333" s="108">
        <v>1.328081615074079E-3</v>
      </c>
      <c r="K333" s="108"/>
      <c r="L333" s="108">
        <v>4.1200000000000001E-2</v>
      </c>
      <c r="O333" s="105"/>
    </row>
    <row r="334" spans="2:15" x14ac:dyDescent="0.2">
      <c r="B334" s="1">
        <v>319</v>
      </c>
      <c r="C334" s="106">
        <f t="shared" ca="1" si="16"/>
        <v>0.89306481476009292</v>
      </c>
      <c r="D334" s="106">
        <f t="shared" ca="1" si="17"/>
        <v>0.72569602834153057</v>
      </c>
      <c r="E334" s="106">
        <f t="shared" ca="1" si="18"/>
        <v>0</v>
      </c>
      <c r="F334" s="21">
        <f t="shared" ca="1" si="19"/>
        <v>0</v>
      </c>
      <c r="H334" s="21">
        <v>319</v>
      </c>
      <c r="I334" s="107">
        <v>0.66768964346976711</v>
      </c>
      <c r="J334" s="108">
        <v>1.2702329394070654E-3</v>
      </c>
      <c r="K334" s="108"/>
      <c r="L334" s="108">
        <v>3.9600000000000003E-2</v>
      </c>
      <c r="O334" s="105"/>
    </row>
    <row r="335" spans="2:15" x14ac:dyDescent="0.2">
      <c r="B335" s="1">
        <v>320</v>
      </c>
      <c r="C335" s="106">
        <f t="shared" ca="1" si="16"/>
        <v>-1.7494599658737432E-2</v>
      </c>
      <c r="D335" s="106">
        <f t="shared" ca="1" si="17"/>
        <v>0.66335642869764921</v>
      </c>
      <c r="E335" s="106">
        <f t="shared" ca="1" si="18"/>
        <v>0</v>
      </c>
      <c r="F335" s="21">
        <f t="shared" ca="1" si="19"/>
        <v>0</v>
      </c>
      <c r="H335" s="21">
        <v>320</v>
      </c>
      <c r="I335" s="107">
        <v>0.66774847913931135</v>
      </c>
      <c r="J335" s="108">
        <v>1.3638078268696598E-3</v>
      </c>
      <c r="K335" s="108"/>
      <c r="L335" s="108">
        <v>4.2999999999999997E-2</v>
      </c>
      <c r="O335" s="105"/>
    </row>
    <row r="336" spans="2:15" x14ac:dyDescent="0.2">
      <c r="B336" s="1">
        <v>321</v>
      </c>
      <c r="C336" s="106">
        <f t="shared" ref="C336:C399" ca="1" si="20">_xlfn.NORM.S.INV(RAND())</f>
        <v>0.52394269263413884</v>
      </c>
      <c r="D336" s="106">
        <f t="shared" ref="D336:D399" ca="1" si="21">S0*EXP((μ-0.5*σ*σ)*T+σ*SQRT(T)*$C336)</f>
        <v>0.69974818730832788</v>
      </c>
      <c r="E336" s="106">
        <f t="shared" ref="E336:E399" ca="1" si="22">MAX(0,CP*(D336-K))</f>
        <v>0</v>
      </c>
      <c r="F336" s="21">
        <f t="shared" ref="F336:F399" ca="1" si="23">(CP*(D336-K)&gt;0)*1</f>
        <v>0</v>
      </c>
      <c r="H336" s="21">
        <v>321</v>
      </c>
      <c r="I336" s="107">
        <v>0.66768238036082928</v>
      </c>
      <c r="J336" s="108">
        <v>1.3400643681877175E-3</v>
      </c>
      <c r="K336" s="108"/>
      <c r="L336" s="108">
        <v>3.9199999999999999E-2</v>
      </c>
      <c r="O336" s="105"/>
    </row>
    <row r="337" spans="2:15" x14ac:dyDescent="0.2">
      <c r="B337" s="1">
        <v>322</v>
      </c>
      <c r="C337" s="106">
        <f t="shared" ca="1" si="20"/>
        <v>-0.71163178425312235</v>
      </c>
      <c r="D337" s="106">
        <f t="shared" ca="1" si="21"/>
        <v>0.61945609904966881</v>
      </c>
      <c r="E337" s="106">
        <f t="shared" ca="1" si="22"/>
        <v>0</v>
      </c>
      <c r="F337" s="21">
        <f t="shared" ca="1" si="23"/>
        <v>0</v>
      </c>
      <c r="H337" s="21">
        <v>322</v>
      </c>
      <c r="I337" s="107">
        <v>0.66781669043125313</v>
      </c>
      <c r="J337" s="108">
        <v>1.4290608305632003E-3</v>
      </c>
      <c r="K337" s="108"/>
      <c r="L337" s="108">
        <v>3.8399999999999997E-2</v>
      </c>
      <c r="O337" s="105"/>
    </row>
    <row r="338" spans="2:15" x14ac:dyDescent="0.2">
      <c r="B338" s="1">
        <v>323</v>
      </c>
      <c r="C338" s="106">
        <f t="shared" ca="1" si="20"/>
        <v>-0.16674798691326373</v>
      </c>
      <c r="D338" s="106">
        <f t="shared" ca="1" si="21"/>
        <v>0.65366167009328269</v>
      </c>
      <c r="E338" s="106">
        <f t="shared" ca="1" si="22"/>
        <v>0</v>
      </c>
      <c r="F338" s="21">
        <f t="shared" ca="1" si="23"/>
        <v>0</v>
      </c>
      <c r="H338" s="21">
        <v>323</v>
      </c>
      <c r="I338" s="107">
        <v>0.6676400947994422</v>
      </c>
      <c r="J338" s="108">
        <v>1.1959741391903843E-3</v>
      </c>
      <c r="K338" s="108"/>
      <c r="L338" s="108">
        <v>3.7199999999999997E-2</v>
      </c>
      <c r="O338" s="105"/>
    </row>
    <row r="339" spans="2:15" x14ac:dyDescent="0.2">
      <c r="B339" s="1">
        <v>324</v>
      </c>
      <c r="C339" s="106">
        <f t="shared" ca="1" si="20"/>
        <v>0.22885410149853033</v>
      </c>
      <c r="D339" s="106">
        <f t="shared" ca="1" si="21"/>
        <v>0.67967354911020572</v>
      </c>
      <c r="E339" s="106">
        <f t="shared" ca="1" si="22"/>
        <v>0</v>
      </c>
      <c r="F339" s="21">
        <f t="shared" ca="1" si="23"/>
        <v>0</v>
      </c>
      <c r="H339" s="21">
        <v>324</v>
      </c>
      <c r="I339" s="107">
        <v>0.66774854564697161</v>
      </c>
      <c r="J339" s="108">
        <v>1.3316982398518498E-3</v>
      </c>
      <c r="K339" s="108"/>
      <c r="L339" s="108">
        <v>3.9600000000000003E-2</v>
      </c>
      <c r="O339" s="105"/>
    </row>
    <row r="340" spans="2:15" x14ac:dyDescent="0.2">
      <c r="B340" s="1">
        <v>325</v>
      </c>
      <c r="C340" s="106">
        <f t="shared" ca="1" si="20"/>
        <v>-0.30106170707080437</v>
      </c>
      <c r="D340" s="106">
        <f t="shared" ca="1" si="21"/>
        <v>0.64505849987114061</v>
      </c>
      <c r="E340" s="106">
        <f t="shared" ca="1" si="22"/>
        <v>0</v>
      </c>
      <c r="F340" s="21">
        <f t="shared" ca="1" si="23"/>
        <v>0</v>
      </c>
      <c r="H340" s="21">
        <v>325</v>
      </c>
      <c r="I340" s="107">
        <v>0.66759372395653038</v>
      </c>
      <c r="J340" s="108">
        <v>1.2631771995538256E-3</v>
      </c>
      <c r="K340" s="108"/>
      <c r="L340" s="108">
        <v>3.9E-2</v>
      </c>
      <c r="O340" s="105"/>
    </row>
    <row r="341" spans="2:15" x14ac:dyDescent="0.2">
      <c r="B341" s="1">
        <v>326</v>
      </c>
      <c r="C341" s="106">
        <f t="shared" ca="1" si="20"/>
        <v>-0.67971750035367051</v>
      </c>
      <c r="D341" s="106">
        <f t="shared" ca="1" si="21"/>
        <v>0.62140926125318174</v>
      </c>
      <c r="E341" s="106">
        <f t="shared" ca="1" si="22"/>
        <v>0</v>
      </c>
      <c r="F341" s="21">
        <f t="shared" ca="1" si="23"/>
        <v>0</v>
      </c>
      <c r="H341" s="21">
        <v>326</v>
      </c>
      <c r="I341" s="107">
        <v>0.66760685604322767</v>
      </c>
      <c r="J341" s="108">
        <v>1.212418957832423E-3</v>
      </c>
      <c r="K341" s="108"/>
      <c r="L341" s="108">
        <v>3.7600000000000001E-2</v>
      </c>
      <c r="O341" s="105"/>
    </row>
    <row r="342" spans="2:15" x14ac:dyDescent="0.2">
      <c r="B342" s="1">
        <v>327</v>
      </c>
      <c r="C342" s="106">
        <f t="shared" ca="1" si="20"/>
        <v>-0.1942427469327159</v>
      </c>
      <c r="D342" s="106">
        <f t="shared" ca="1" si="21"/>
        <v>0.65189126334177117</v>
      </c>
      <c r="E342" s="106">
        <f t="shared" ca="1" si="22"/>
        <v>0</v>
      </c>
      <c r="F342" s="21">
        <f t="shared" ca="1" si="23"/>
        <v>0</v>
      </c>
      <c r="H342" s="21">
        <v>327</v>
      </c>
      <c r="I342" s="107">
        <v>0.66765803897044806</v>
      </c>
      <c r="J342" s="108">
        <v>1.3828555966769356E-3</v>
      </c>
      <c r="K342" s="108"/>
      <c r="L342" s="108">
        <v>3.9800000000000002E-2</v>
      </c>
      <c r="O342" s="105"/>
    </row>
    <row r="343" spans="2:15" x14ac:dyDescent="0.2">
      <c r="B343" s="1">
        <v>328</v>
      </c>
      <c r="C343" s="106">
        <f t="shared" ca="1" si="20"/>
        <v>7.2246636029804454E-2</v>
      </c>
      <c r="D343" s="106">
        <f t="shared" ca="1" si="21"/>
        <v>0.66925465641691306</v>
      </c>
      <c r="E343" s="106">
        <f t="shared" ca="1" si="22"/>
        <v>0</v>
      </c>
      <c r="F343" s="21">
        <f t="shared" ca="1" si="23"/>
        <v>0</v>
      </c>
      <c r="H343" s="21">
        <v>328</v>
      </c>
      <c r="I343" s="107">
        <v>0.66771460594996701</v>
      </c>
      <c r="J343" s="108">
        <v>1.3328134520478954E-3</v>
      </c>
      <c r="K343" s="108"/>
      <c r="L343" s="108">
        <v>4.3400000000000001E-2</v>
      </c>
      <c r="O343" s="105"/>
    </row>
    <row r="344" spans="2:15" x14ac:dyDescent="0.2">
      <c r="B344" s="1">
        <v>329</v>
      </c>
      <c r="C344" s="106">
        <f t="shared" ca="1" si="20"/>
        <v>-0.41903762955134982</v>
      </c>
      <c r="D344" s="106">
        <f t="shared" ca="1" si="21"/>
        <v>0.63759526984145887</v>
      </c>
      <c r="E344" s="106">
        <f t="shared" ca="1" si="22"/>
        <v>0</v>
      </c>
      <c r="F344" s="21">
        <f t="shared" ca="1" si="23"/>
        <v>0</v>
      </c>
      <c r="H344" s="21">
        <v>329</v>
      </c>
      <c r="I344" s="107">
        <v>0.66757207818079689</v>
      </c>
      <c r="J344" s="108">
        <v>1.0773459984048167E-3</v>
      </c>
      <c r="K344" s="108"/>
      <c r="L344" s="108">
        <v>3.7999999999999999E-2</v>
      </c>
      <c r="O344" s="105"/>
    </row>
    <row r="345" spans="2:15" x14ac:dyDescent="0.2">
      <c r="B345" s="1">
        <v>330</v>
      </c>
      <c r="C345" s="106">
        <f t="shared" ca="1" si="20"/>
        <v>-0.31746019545620585</v>
      </c>
      <c r="D345" s="106">
        <f t="shared" ca="1" si="21"/>
        <v>0.64401591692613924</v>
      </c>
      <c r="E345" s="106">
        <f t="shared" ca="1" si="22"/>
        <v>0</v>
      </c>
      <c r="F345" s="21">
        <f t="shared" ca="1" si="23"/>
        <v>0</v>
      </c>
      <c r="H345" s="21">
        <v>330</v>
      </c>
      <c r="I345" s="107">
        <v>0.6677504207460373</v>
      </c>
      <c r="J345" s="108">
        <v>1.3288234051826854E-3</v>
      </c>
      <c r="K345" s="108"/>
      <c r="L345" s="108">
        <v>3.8399999999999997E-2</v>
      </c>
      <c r="O345" s="105"/>
    </row>
    <row r="346" spans="2:15" x14ac:dyDescent="0.2">
      <c r="B346" s="1">
        <v>331</v>
      </c>
      <c r="C346" s="106">
        <f t="shared" ca="1" si="20"/>
        <v>1.6317118811188274</v>
      </c>
      <c r="D346" s="106">
        <f t="shared" ca="1" si="21"/>
        <v>0.7805449731960753</v>
      </c>
      <c r="E346" s="106">
        <f t="shared" ca="1" si="22"/>
        <v>0</v>
      </c>
      <c r="F346" s="21">
        <f t="shared" ca="1" si="23"/>
        <v>0</v>
      </c>
      <c r="H346" s="21">
        <v>331</v>
      </c>
      <c r="I346" s="107">
        <v>0.66774567100004212</v>
      </c>
      <c r="J346" s="108">
        <v>1.2729976854605367E-3</v>
      </c>
      <c r="K346" s="108"/>
      <c r="L346" s="108">
        <v>4.1599999999999998E-2</v>
      </c>
      <c r="O346" s="105"/>
    </row>
    <row r="347" spans="2:15" x14ac:dyDescent="0.2">
      <c r="B347" s="1">
        <v>332</v>
      </c>
      <c r="C347" s="106">
        <f t="shared" ca="1" si="20"/>
        <v>1.4022570905869189</v>
      </c>
      <c r="D347" s="106">
        <f t="shared" ca="1" si="21"/>
        <v>0.76307676416139647</v>
      </c>
      <c r="E347" s="106">
        <f t="shared" ca="1" si="22"/>
        <v>0</v>
      </c>
      <c r="F347" s="21">
        <f t="shared" ca="1" si="23"/>
        <v>0</v>
      </c>
      <c r="H347" s="21">
        <v>332</v>
      </c>
      <c r="I347" s="107">
        <v>0.66765107032613147</v>
      </c>
      <c r="J347" s="108">
        <v>1.2767976772333513E-3</v>
      </c>
      <c r="K347" s="108"/>
      <c r="L347" s="108">
        <v>4.1599999999999998E-2</v>
      </c>
      <c r="O347" s="105"/>
    </row>
    <row r="348" spans="2:15" x14ac:dyDescent="0.2">
      <c r="B348" s="1">
        <v>333</v>
      </c>
      <c r="C348" s="106">
        <f t="shared" ca="1" si="20"/>
        <v>-1.0890423999657886</v>
      </c>
      <c r="D348" s="106">
        <f t="shared" ca="1" si="21"/>
        <v>0.59681880011841981</v>
      </c>
      <c r="E348" s="106">
        <f t="shared" ca="1" si="22"/>
        <v>0</v>
      </c>
      <c r="F348" s="21">
        <f t="shared" ca="1" si="23"/>
        <v>0</v>
      </c>
      <c r="H348" s="21">
        <v>333</v>
      </c>
      <c r="I348" s="107">
        <v>0.66774923858491819</v>
      </c>
      <c r="J348" s="108">
        <v>1.3654939848951515E-3</v>
      </c>
      <c r="K348" s="108"/>
      <c r="L348" s="108">
        <v>4.4400000000000002E-2</v>
      </c>
      <c r="O348" s="105"/>
    </row>
    <row r="349" spans="2:15" x14ac:dyDescent="0.2">
      <c r="B349" s="1">
        <v>334</v>
      </c>
      <c r="C349" s="106">
        <f t="shared" ca="1" si="20"/>
        <v>0.57482570531245258</v>
      </c>
      <c r="D349" s="106">
        <f t="shared" ca="1" si="21"/>
        <v>0.70326916970793285</v>
      </c>
      <c r="E349" s="106">
        <f t="shared" ca="1" si="22"/>
        <v>0</v>
      </c>
      <c r="F349" s="21">
        <f t="shared" ca="1" si="23"/>
        <v>0</v>
      </c>
      <c r="H349" s="21">
        <v>334</v>
      </c>
      <c r="I349" s="107">
        <v>0.66768878863007664</v>
      </c>
      <c r="J349" s="108">
        <v>1.2681028795316555E-3</v>
      </c>
      <c r="K349" s="108"/>
      <c r="L349" s="108">
        <v>3.9199999999999999E-2</v>
      </c>
      <c r="O349" s="105"/>
    </row>
    <row r="350" spans="2:15" x14ac:dyDescent="0.2">
      <c r="B350" s="1">
        <v>335</v>
      </c>
      <c r="C350" s="106">
        <f t="shared" ca="1" si="20"/>
        <v>1.1340553446903721</v>
      </c>
      <c r="D350" s="106">
        <f t="shared" ca="1" si="21"/>
        <v>0.74315367873401295</v>
      </c>
      <c r="E350" s="106">
        <f t="shared" ca="1" si="22"/>
        <v>0</v>
      </c>
      <c r="F350" s="21">
        <f t="shared" ca="1" si="23"/>
        <v>0</v>
      </c>
      <c r="H350" s="21">
        <v>335</v>
      </c>
      <c r="I350" s="107">
        <v>0.66764747970473792</v>
      </c>
      <c r="J350" s="108">
        <v>1.1798017565656199E-3</v>
      </c>
      <c r="K350" s="108"/>
      <c r="L350" s="108">
        <v>3.9600000000000003E-2</v>
      </c>
      <c r="O350" s="105"/>
    </row>
    <row r="351" spans="2:15" x14ac:dyDescent="0.2">
      <c r="B351" s="1">
        <v>336</v>
      </c>
      <c r="C351" s="106">
        <f t="shared" ca="1" si="20"/>
        <v>0.37797933243807585</v>
      </c>
      <c r="D351" s="106">
        <f t="shared" ca="1" si="21"/>
        <v>0.68974538244757644</v>
      </c>
      <c r="E351" s="106">
        <f t="shared" ca="1" si="22"/>
        <v>0</v>
      </c>
      <c r="F351" s="21">
        <f t="shared" ca="1" si="23"/>
        <v>0</v>
      </c>
      <c r="H351" s="21">
        <v>336</v>
      </c>
      <c r="I351" s="107">
        <v>0.66778610091519397</v>
      </c>
      <c r="J351" s="108">
        <v>1.299236505219418E-3</v>
      </c>
      <c r="K351" s="108"/>
      <c r="L351" s="108">
        <v>4.4600000000000001E-2</v>
      </c>
      <c r="O351" s="105"/>
    </row>
    <row r="352" spans="2:15" x14ac:dyDescent="0.2">
      <c r="B352" s="1">
        <v>337</v>
      </c>
      <c r="C352" s="106">
        <f t="shared" ca="1" si="20"/>
        <v>-0.23689181382526778</v>
      </c>
      <c r="D352" s="106">
        <f t="shared" ca="1" si="21"/>
        <v>0.64915454321901467</v>
      </c>
      <c r="E352" s="106">
        <f t="shared" ca="1" si="22"/>
        <v>0</v>
      </c>
      <c r="F352" s="21">
        <f t="shared" ca="1" si="23"/>
        <v>0</v>
      </c>
      <c r="H352" s="21">
        <v>337</v>
      </c>
      <c r="I352" s="107">
        <v>0.66774357492570302</v>
      </c>
      <c r="J352" s="108">
        <v>1.4088328135288175E-3</v>
      </c>
      <c r="K352" s="108"/>
      <c r="L352" s="108">
        <v>4.1200000000000001E-2</v>
      </c>
      <c r="O352" s="105"/>
    </row>
    <row r="353" spans="2:15" x14ac:dyDescent="0.2">
      <c r="B353" s="1">
        <v>338</v>
      </c>
      <c r="C353" s="106">
        <f t="shared" ca="1" si="20"/>
        <v>-1.1678976212927419</v>
      </c>
      <c r="D353" s="106">
        <f t="shared" ca="1" si="21"/>
        <v>0.59219452258366778</v>
      </c>
      <c r="E353" s="106">
        <f t="shared" ca="1" si="22"/>
        <v>0</v>
      </c>
      <c r="F353" s="21">
        <f t="shared" ca="1" si="23"/>
        <v>0</v>
      </c>
      <c r="H353" s="21">
        <v>338</v>
      </c>
      <c r="I353" s="107">
        <v>0.66764498160923536</v>
      </c>
      <c r="J353" s="108">
        <v>1.2226645989433975E-3</v>
      </c>
      <c r="K353" s="108"/>
      <c r="L353" s="108">
        <v>3.9600000000000003E-2</v>
      </c>
      <c r="O353" s="105"/>
    </row>
    <row r="354" spans="2:15" x14ac:dyDescent="0.2">
      <c r="B354" s="1">
        <v>339</v>
      </c>
      <c r="C354" s="106">
        <f t="shared" ca="1" si="20"/>
        <v>-1.0157753118681986E-2</v>
      </c>
      <c r="D354" s="106">
        <f t="shared" ca="1" si="21"/>
        <v>0.66383668430111265</v>
      </c>
      <c r="E354" s="106">
        <f t="shared" ca="1" si="22"/>
        <v>0</v>
      </c>
      <c r="F354" s="21">
        <f t="shared" ca="1" si="23"/>
        <v>0</v>
      </c>
      <c r="H354" s="21">
        <v>339</v>
      </c>
      <c r="I354" s="107">
        <v>0.66784261896964847</v>
      </c>
      <c r="J354" s="108">
        <v>1.5605674637089498E-3</v>
      </c>
      <c r="K354" s="108"/>
      <c r="L354" s="108">
        <v>0.04</v>
      </c>
      <c r="O354" s="105"/>
    </row>
    <row r="355" spans="2:15" x14ac:dyDescent="0.2">
      <c r="B355" s="1">
        <v>340</v>
      </c>
      <c r="C355" s="106">
        <f t="shared" ca="1" si="20"/>
        <v>-7.8746157991334456E-2</v>
      </c>
      <c r="D355" s="106">
        <f t="shared" ca="1" si="21"/>
        <v>0.65936055588474574</v>
      </c>
      <c r="E355" s="106">
        <f t="shared" ca="1" si="22"/>
        <v>0</v>
      </c>
      <c r="F355" s="21">
        <f t="shared" ca="1" si="23"/>
        <v>0</v>
      </c>
      <c r="H355" s="21">
        <v>340</v>
      </c>
      <c r="I355" s="107">
        <v>0.66771639566671503</v>
      </c>
      <c r="J355" s="108">
        <v>1.3687653061885666E-3</v>
      </c>
      <c r="K355" s="108"/>
      <c r="L355" s="108">
        <v>4.1000000000000002E-2</v>
      </c>
      <c r="O355" s="105"/>
    </row>
    <row r="356" spans="2:15" x14ac:dyDescent="0.2">
      <c r="B356" s="1">
        <v>341</v>
      </c>
      <c r="C356" s="106">
        <f t="shared" ca="1" si="20"/>
        <v>-0.15369587233917298</v>
      </c>
      <c r="D356" s="106">
        <f t="shared" ca="1" si="21"/>
        <v>0.65450378702535805</v>
      </c>
      <c r="E356" s="106">
        <f t="shared" ca="1" si="22"/>
        <v>0</v>
      </c>
      <c r="F356" s="21">
        <f t="shared" ca="1" si="23"/>
        <v>0</v>
      </c>
      <c r="H356" s="21">
        <v>341</v>
      </c>
      <c r="I356" s="107">
        <v>0.6677028776319488</v>
      </c>
      <c r="J356" s="108">
        <v>1.2805606069833917E-3</v>
      </c>
      <c r="K356" s="108"/>
      <c r="L356" s="108">
        <v>4.0399999999999998E-2</v>
      </c>
      <c r="O356" s="105"/>
    </row>
    <row r="357" spans="2:15" x14ac:dyDescent="0.2">
      <c r="B357" s="1">
        <v>342</v>
      </c>
      <c r="C357" s="106">
        <f t="shared" ca="1" si="20"/>
        <v>-0.40034949145071796</v>
      </c>
      <c r="D357" s="106">
        <f t="shared" ca="1" si="21"/>
        <v>0.63877171145344391</v>
      </c>
      <c r="E357" s="106">
        <f t="shared" ca="1" si="22"/>
        <v>0</v>
      </c>
      <c r="F357" s="21">
        <f t="shared" ca="1" si="23"/>
        <v>0</v>
      </c>
      <c r="H357" s="21">
        <v>342</v>
      </c>
      <c r="I357" s="107">
        <v>0.66769257871638621</v>
      </c>
      <c r="J357" s="108">
        <v>1.3267474661193656E-3</v>
      </c>
      <c r="K357" s="108"/>
      <c r="L357" s="108">
        <v>3.8399999999999997E-2</v>
      </c>
      <c r="O357" s="105"/>
    </row>
    <row r="358" spans="2:15" x14ac:dyDescent="0.2">
      <c r="B358" s="1">
        <v>343</v>
      </c>
      <c r="C358" s="106">
        <f t="shared" ca="1" si="20"/>
        <v>-1.8144047234916425</v>
      </c>
      <c r="D358" s="106">
        <f t="shared" ca="1" si="21"/>
        <v>0.55560791057724424</v>
      </c>
      <c r="E358" s="106">
        <f t="shared" ca="1" si="22"/>
        <v>0</v>
      </c>
      <c r="F358" s="21">
        <f t="shared" ca="1" si="23"/>
        <v>0</v>
      </c>
      <c r="H358" s="21">
        <v>343</v>
      </c>
      <c r="I358" s="107">
        <v>0.66764527014545616</v>
      </c>
      <c r="J358" s="108">
        <v>1.1840788220697845E-3</v>
      </c>
      <c r="K358" s="108"/>
      <c r="L358" s="108">
        <v>3.7999999999999999E-2</v>
      </c>
      <c r="O358" s="105"/>
    </row>
    <row r="359" spans="2:15" x14ac:dyDescent="0.2">
      <c r="B359" s="1">
        <v>344</v>
      </c>
      <c r="C359" s="106">
        <f t="shared" ca="1" si="20"/>
        <v>-0.50686822203657755</v>
      </c>
      <c r="D359" s="106">
        <f t="shared" ca="1" si="21"/>
        <v>0.63209517911294577</v>
      </c>
      <c r="E359" s="106">
        <f t="shared" ca="1" si="22"/>
        <v>0</v>
      </c>
      <c r="F359" s="21">
        <f t="shared" ca="1" si="23"/>
        <v>0</v>
      </c>
      <c r="H359" s="21">
        <v>344</v>
      </c>
      <c r="I359" s="107">
        <v>0.66774516531845807</v>
      </c>
      <c r="J359" s="108">
        <v>1.3584283467473295E-3</v>
      </c>
      <c r="K359" s="108"/>
      <c r="L359" s="108">
        <v>4.4600000000000001E-2</v>
      </c>
      <c r="O359" s="105"/>
    </row>
    <row r="360" spans="2:15" x14ac:dyDescent="0.2">
      <c r="B360" s="1">
        <v>345</v>
      </c>
      <c r="C360" s="106">
        <f t="shared" ca="1" si="20"/>
        <v>-1.3695036113153733</v>
      </c>
      <c r="D360" s="106">
        <f t="shared" ca="1" si="21"/>
        <v>0.5805340665279739</v>
      </c>
      <c r="E360" s="106">
        <f t="shared" ca="1" si="22"/>
        <v>0</v>
      </c>
      <c r="F360" s="21">
        <f t="shared" ca="1" si="23"/>
        <v>0</v>
      </c>
      <c r="H360" s="21">
        <v>345</v>
      </c>
      <c r="I360" s="107">
        <v>0.66780385683918608</v>
      </c>
      <c r="J360" s="108">
        <v>1.5258207532043819E-3</v>
      </c>
      <c r="K360" s="108"/>
      <c r="L360" s="108">
        <v>4.1799999999999997E-2</v>
      </c>
      <c r="O360" s="105"/>
    </row>
    <row r="361" spans="2:15" x14ac:dyDescent="0.2">
      <c r="B361" s="1">
        <v>346</v>
      </c>
      <c r="C361" s="106">
        <f t="shared" ca="1" si="20"/>
        <v>-0.23615050436113189</v>
      </c>
      <c r="D361" s="106">
        <f t="shared" ca="1" si="21"/>
        <v>0.64920201356805407</v>
      </c>
      <c r="E361" s="106">
        <f t="shared" ca="1" si="22"/>
        <v>0</v>
      </c>
      <c r="F361" s="21">
        <f t="shared" ca="1" si="23"/>
        <v>0</v>
      </c>
      <c r="H361" s="21">
        <v>346</v>
      </c>
      <c r="I361" s="107">
        <v>0.66754429066431309</v>
      </c>
      <c r="J361" s="108">
        <v>1.1198929448269308E-3</v>
      </c>
      <c r="K361" s="108"/>
      <c r="L361" s="108">
        <v>3.7199999999999997E-2</v>
      </c>
      <c r="O361" s="105"/>
    </row>
    <row r="362" spans="2:15" x14ac:dyDescent="0.2">
      <c r="B362" s="1">
        <v>347</v>
      </c>
      <c r="C362" s="106">
        <f t="shared" ca="1" si="20"/>
        <v>-2.2686733488423685</v>
      </c>
      <c r="D362" s="106">
        <f t="shared" ca="1" si="21"/>
        <v>0.53126087425777624</v>
      </c>
      <c r="E362" s="106">
        <f t="shared" ca="1" si="22"/>
        <v>0</v>
      </c>
      <c r="F362" s="21">
        <f t="shared" ca="1" si="23"/>
        <v>0</v>
      </c>
      <c r="H362" s="21">
        <v>347</v>
      </c>
      <c r="I362" s="107">
        <v>0.66782449827297474</v>
      </c>
      <c r="J362" s="108">
        <v>1.4270198616871928E-3</v>
      </c>
      <c r="K362" s="108"/>
      <c r="L362" s="108">
        <v>4.2599999999999999E-2</v>
      </c>
      <c r="O362" s="105"/>
    </row>
    <row r="363" spans="2:15" x14ac:dyDescent="0.2">
      <c r="B363" s="1">
        <v>348</v>
      </c>
      <c r="C363" s="106">
        <f t="shared" ca="1" si="20"/>
        <v>-1.412304285380197</v>
      </c>
      <c r="D363" s="106">
        <f t="shared" ca="1" si="21"/>
        <v>0.57808826751995379</v>
      </c>
      <c r="E363" s="106">
        <f t="shared" ca="1" si="22"/>
        <v>0</v>
      </c>
      <c r="F363" s="21">
        <f t="shared" ca="1" si="23"/>
        <v>0</v>
      </c>
      <c r="H363" s="21">
        <v>348</v>
      </c>
      <c r="I363" s="107">
        <v>0.66774384731699676</v>
      </c>
      <c r="J363" s="108">
        <v>1.3870127963110737E-3</v>
      </c>
      <c r="K363" s="108"/>
      <c r="L363" s="108">
        <v>4.1000000000000002E-2</v>
      </c>
      <c r="O363" s="105"/>
    </row>
    <row r="364" spans="2:15" x14ac:dyDescent="0.2">
      <c r="B364" s="1">
        <v>349</v>
      </c>
      <c r="C364" s="106">
        <f t="shared" ca="1" si="20"/>
        <v>0.4059907993108996</v>
      </c>
      <c r="D364" s="106">
        <f t="shared" ca="1" si="21"/>
        <v>0.69165384520610607</v>
      </c>
      <c r="E364" s="106">
        <f t="shared" ca="1" si="22"/>
        <v>0</v>
      </c>
      <c r="F364" s="21">
        <f t="shared" ca="1" si="23"/>
        <v>0</v>
      </c>
      <c r="H364" s="21">
        <v>349</v>
      </c>
      <c r="I364" s="107">
        <v>0.66770657544334422</v>
      </c>
      <c r="J364" s="108">
        <v>1.2306180118904935E-3</v>
      </c>
      <c r="K364" s="108"/>
      <c r="L364" s="108">
        <v>0.04</v>
      </c>
      <c r="O364" s="105"/>
    </row>
    <row r="365" spans="2:15" x14ac:dyDescent="0.2">
      <c r="B365" s="1">
        <v>350</v>
      </c>
      <c r="C365" s="106">
        <f t="shared" ca="1" si="20"/>
        <v>0.57611799870880243</v>
      </c>
      <c r="D365" s="106">
        <f t="shared" ca="1" si="21"/>
        <v>0.70335882362840452</v>
      </c>
      <c r="E365" s="106">
        <f t="shared" ca="1" si="22"/>
        <v>0</v>
      </c>
      <c r="F365" s="21">
        <f t="shared" ca="1" si="23"/>
        <v>0</v>
      </c>
      <c r="H365" s="21">
        <v>350</v>
      </c>
      <c r="I365" s="107">
        <v>0.66778587155888491</v>
      </c>
      <c r="J365" s="108">
        <v>1.3128562232054047E-3</v>
      </c>
      <c r="K365" s="108"/>
      <c r="L365" s="108">
        <v>4.0599999999999997E-2</v>
      </c>
      <c r="O365" s="105"/>
    </row>
    <row r="366" spans="2:15" x14ac:dyDescent="0.2">
      <c r="B366" s="1">
        <v>351</v>
      </c>
      <c r="C366" s="106">
        <f t="shared" ca="1" si="20"/>
        <v>-2.9084974222504099</v>
      </c>
      <c r="D366" s="106">
        <f t="shared" ca="1" si="21"/>
        <v>0.49876751947902542</v>
      </c>
      <c r="E366" s="106">
        <f t="shared" ca="1" si="22"/>
        <v>0</v>
      </c>
      <c r="F366" s="21">
        <f t="shared" ca="1" si="23"/>
        <v>0</v>
      </c>
      <c r="H366" s="21">
        <v>351</v>
      </c>
      <c r="I366" s="107">
        <v>0.66799156601962018</v>
      </c>
      <c r="J366" s="108">
        <v>1.8427537388078317E-3</v>
      </c>
      <c r="K366" s="108"/>
      <c r="L366" s="108">
        <v>5.3199999999999997E-2</v>
      </c>
      <c r="O366" s="105"/>
    </row>
    <row r="367" spans="2:15" x14ac:dyDescent="0.2">
      <c r="B367" s="1">
        <v>352</v>
      </c>
      <c r="C367" s="106">
        <f t="shared" ca="1" si="20"/>
        <v>-1.1343116426088855</v>
      </c>
      <c r="D367" s="106">
        <f t="shared" ca="1" si="21"/>
        <v>0.59415969606377217</v>
      </c>
      <c r="E367" s="106">
        <f t="shared" ca="1" si="22"/>
        <v>0</v>
      </c>
      <c r="F367" s="21">
        <f t="shared" ca="1" si="23"/>
        <v>0</v>
      </c>
      <c r="H367" s="21">
        <v>352</v>
      </c>
      <c r="I367" s="107">
        <v>0.66773334420566266</v>
      </c>
      <c r="J367" s="108">
        <v>1.3837994274092207E-3</v>
      </c>
      <c r="K367" s="108"/>
      <c r="L367" s="108">
        <v>3.9600000000000003E-2</v>
      </c>
      <c r="O367" s="105"/>
    </row>
    <row r="368" spans="2:15" x14ac:dyDescent="0.2">
      <c r="B368" s="1">
        <v>353</v>
      </c>
      <c r="C368" s="106">
        <f t="shared" ca="1" si="20"/>
        <v>-0.39745805502160853</v>
      </c>
      <c r="D368" s="106">
        <f t="shared" ca="1" si="21"/>
        <v>0.63895392478929081</v>
      </c>
      <c r="E368" s="106">
        <f t="shared" ca="1" si="22"/>
        <v>0</v>
      </c>
      <c r="F368" s="21">
        <f t="shared" ca="1" si="23"/>
        <v>0</v>
      </c>
      <c r="H368" s="21">
        <v>353</v>
      </c>
      <c r="I368" s="107">
        <v>0.66772986958234481</v>
      </c>
      <c r="J368" s="108">
        <v>1.4126305106012878E-3</v>
      </c>
      <c r="K368" s="108"/>
      <c r="L368" s="108">
        <v>4.1399999999999999E-2</v>
      </c>
      <c r="O368" s="105"/>
    </row>
    <row r="369" spans="2:15" x14ac:dyDescent="0.2">
      <c r="B369" s="1">
        <v>354</v>
      </c>
      <c r="C369" s="106">
        <f t="shared" ca="1" si="20"/>
        <v>0.85984783135717591</v>
      </c>
      <c r="D369" s="106">
        <f t="shared" ca="1" si="21"/>
        <v>0.7233221277256181</v>
      </c>
      <c r="E369" s="106">
        <f t="shared" ca="1" si="22"/>
        <v>0</v>
      </c>
      <c r="F369" s="21">
        <f t="shared" ca="1" si="23"/>
        <v>0</v>
      </c>
      <c r="H369" s="21">
        <v>354</v>
      </c>
      <c r="I369" s="107">
        <v>0.66778192700358174</v>
      </c>
      <c r="J369" s="108">
        <v>1.4668085900385447E-3</v>
      </c>
      <c r="K369" s="108"/>
      <c r="L369" s="108">
        <v>4.3200000000000002E-2</v>
      </c>
      <c r="O369" s="105"/>
    </row>
    <row r="370" spans="2:15" x14ac:dyDescent="0.2">
      <c r="B370" s="1">
        <v>355</v>
      </c>
      <c r="C370" s="106">
        <f t="shared" ca="1" si="20"/>
        <v>1.3251505444732736</v>
      </c>
      <c r="D370" s="106">
        <f t="shared" ca="1" si="21"/>
        <v>0.75729490074325545</v>
      </c>
      <c r="E370" s="106">
        <f t="shared" ca="1" si="22"/>
        <v>0</v>
      </c>
      <c r="F370" s="21">
        <f t="shared" ca="1" si="23"/>
        <v>0</v>
      </c>
      <c r="H370" s="21">
        <v>355</v>
      </c>
      <c r="I370" s="107">
        <v>0.66756655814479227</v>
      </c>
      <c r="J370" s="108">
        <v>1.1575129793049957E-3</v>
      </c>
      <c r="K370" s="108"/>
      <c r="L370" s="108">
        <v>3.7199999999999997E-2</v>
      </c>
      <c r="O370" s="105"/>
    </row>
    <row r="371" spans="2:15" x14ac:dyDescent="0.2">
      <c r="B371" s="1">
        <v>356</v>
      </c>
      <c r="C371" s="106">
        <f t="shared" ca="1" si="20"/>
        <v>-5.1385080371066254E-2</v>
      </c>
      <c r="D371" s="106">
        <f t="shared" ca="1" si="21"/>
        <v>0.66114252946063012</v>
      </c>
      <c r="E371" s="106">
        <f t="shared" ca="1" si="22"/>
        <v>0</v>
      </c>
      <c r="F371" s="21">
        <f t="shared" ca="1" si="23"/>
        <v>0</v>
      </c>
      <c r="H371" s="21">
        <v>356</v>
      </c>
      <c r="I371" s="107">
        <v>0.66779144919196909</v>
      </c>
      <c r="J371" s="108">
        <v>1.5788145809132073E-3</v>
      </c>
      <c r="K371" s="108"/>
      <c r="L371" s="108">
        <v>4.3200000000000002E-2</v>
      </c>
      <c r="O371" s="105"/>
    </row>
    <row r="372" spans="2:15" x14ac:dyDescent="0.2">
      <c r="B372" s="1">
        <v>357</v>
      </c>
      <c r="C372" s="106">
        <f t="shared" ca="1" si="20"/>
        <v>-1.0135882732921968</v>
      </c>
      <c r="D372" s="106">
        <f t="shared" ca="1" si="21"/>
        <v>0.60127743181643067</v>
      </c>
      <c r="E372" s="106">
        <f t="shared" ca="1" si="22"/>
        <v>0</v>
      </c>
      <c r="F372" s="21">
        <f t="shared" ca="1" si="23"/>
        <v>0</v>
      </c>
      <c r="H372" s="21">
        <v>357</v>
      </c>
      <c r="I372" s="107">
        <v>0.66768838971668443</v>
      </c>
      <c r="J372" s="108">
        <v>1.3864257656545332E-3</v>
      </c>
      <c r="K372" s="108"/>
      <c r="L372" s="108">
        <v>4.1200000000000001E-2</v>
      </c>
      <c r="O372" s="105"/>
    </row>
    <row r="373" spans="2:15" x14ac:dyDescent="0.2">
      <c r="B373" s="1">
        <v>358</v>
      </c>
      <c r="C373" s="106">
        <f t="shared" ca="1" si="20"/>
        <v>1.9726390970848746</v>
      </c>
      <c r="D373" s="106">
        <f t="shared" ca="1" si="21"/>
        <v>0.8072406861944651</v>
      </c>
      <c r="E373" s="106">
        <f t="shared" ca="1" si="22"/>
        <v>1.9040686194465084E-2</v>
      </c>
      <c r="F373" s="21">
        <f t="shared" ca="1" si="23"/>
        <v>1</v>
      </c>
      <c r="H373" s="21">
        <v>358</v>
      </c>
      <c r="I373" s="107">
        <v>0.66761280157418601</v>
      </c>
      <c r="J373" s="108">
        <v>1.3468217082837001E-3</v>
      </c>
      <c r="K373" s="108"/>
      <c r="L373" s="108">
        <v>3.8199999999999998E-2</v>
      </c>
      <c r="O373" s="105"/>
    </row>
    <row r="374" spans="2:15" x14ac:dyDescent="0.2">
      <c r="B374" s="1">
        <v>359</v>
      </c>
      <c r="C374" s="106">
        <f t="shared" ca="1" si="20"/>
        <v>0.8059658408126098</v>
      </c>
      <c r="D374" s="106">
        <f t="shared" ca="1" si="21"/>
        <v>0.71948787567322947</v>
      </c>
      <c r="E374" s="106">
        <f t="shared" ca="1" si="22"/>
        <v>0</v>
      </c>
      <c r="F374" s="21">
        <f t="shared" ca="1" si="23"/>
        <v>0</v>
      </c>
      <c r="H374" s="21">
        <v>359</v>
      </c>
      <c r="I374" s="107">
        <v>0.66775021181799976</v>
      </c>
      <c r="J374" s="108">
        <v>1.4860184864161088E-3</v>
      </c>
      <c r="K374" s="108"/>
      <c r="L374" s="108">
        <v>4.3400000000000001E-2</v>
      </c>
      <c r="O374" s="105"/>
    </row>
    <row r="375" spans="2:15" x14ac:dyDescent="0.2">
      <c r="B375" s="1">
        <v>360</v>
      </c>
      <c r="C375" s="106">
        <f t="shared" ca="1" si="20"/>
        <v>-0.29143185130889721</v>
      </c>
      <c r="D375" s="106">
        <f t="shared" ca="1" si="21"/>
        <v>0.64567153317671933</v>
      </c>
      <c r="E375" s="106">
        <f t="shared" ca="1" si="22"/>
        <v>0</v>
      </c>
      <c r="F375" s="21">
        <f t="shared" ca="1" si="23"/>
        <v>0</v>
      </c>
      <c r="H375" s="21">
        <v>360</v>
      </c>
      <c r="I375" s="107">
        <v>0.66770134267264569</v>
      </c>
      <c r="J375" s="108">
        <v>1.3403454600592016E-3</v>
      </c>
      <c r="K375" s="108"/>
      <c r="L375" s="108">
        <v>3.9600000000000003E-2</v>
      </c>
      <c r="O375" s="105"/>
    </row>
    <row r="376" spans="2:15" x14ac:dyDescent="0.2">
      <c r="B376" s="1">
        <v>361</v>
      </c>
      <c r="C376" s="106">
        <f t="shared" ca="1" si="20"/>
        <v>0.3740767495315126</v>
      </c>
      <c r="D376" s="106">
        <f t="shared" ca="1" si="21"/>
        <v>0.68947991195786651</v>
      </c>
      <c r="E376" s="106">
        <f t="shared" ca="1" si="22"/>
        <v>0</v>
      </c>
      <c r="F376" s="21">
        <f t="shared" ca="1" si="23"/>
        <v>0</v>
      </c>
      <c r="H376" s="21">
        <v>361</v>
      </c>
      <c r="I376" s="107">
        <v>0.66789259163997516</v>
      </c>
      <c r="J376" s="108">
        <v>1.4552240753363146E-3</v>
      </c>
      <c r="K376" s="108"/>
      <c r="L376" s="108">
        <v>4.4200000000000003E-2</v>
      </c>
      <c r="O376" s="105"/>
    </row>
    <row r="377" spans="2:15" x14ac:dyDescent="0.2">
      <c r="B377" s="1">
        <v>362</v>
      </c>
      <c r="C377" s="106">
        <f t="shared" ca="1" si="20"/>
        <v>-0.77200776825009421</v>
      </c>
      <c r="D377" s="106">
        <f t="shared" ca="1" si="21"/>
        <v>0.61577785058231715</v>
      </c>
      <c r="E377" s="106">
        <f t="shared" ca="1" si="22"/>
        <v>0</v>
      </c>
      <c r="F377" s="21">
        <f t="shared" ca="1" si="23"/>
        <v>0</v>
      </c>
      <c r="H377" s="21">
        <v>362</v>
      </c>
      <c r="I377" s="107">
        <v>0.66788931397106877</v>
      </c>
      <c r="J377" s="108">
        <v>1.4879897480135566E-3</v>
      </c>
      <c r="K377" s="108"/>
      <c r="L377" s="108">
        <v>4.2799999999999998E-2</v>
      </c>
      <c r="O377" s="105"/>
    </row>
    <row r="378" spans="2:15" x14ac:dyDescent="0.2">
      <c r="B378" s="1">
        <v>363</v>
      </c>
      <c r="C378" s="106">
        <f t="shared" ca="1" si="20"/>
        <v>2.1823351194118592</v>
      </c>
      <c r="D378" s="106">
        <f t="shared" ca="1" si="21"/>
        <v>0.82411210097231169</v>
      </c>
      <c r="E378" s="106">
        <f t="shared" ca="1" si="22"/>
        <v>3.5912100972311678E-2</v>
      </c>
      <c r="F378" s="21">
        <f t="shared" ca="1" si="23"/>
        <v>1</v>
      </c>
      <c r="H378" s="21">
        <v>363</v>
      </c>
      <c r="I378" s="107">
        <v>0.66764211228935866</v>
      </c>
      <c r="J378" s="108">
        <v>1.2736493987372131E-3</v>
      </c>
      <c r="K378" s="108"/>
      <c r="L378" s="108">
        <v>0.04</v>
      </c>
      <c r="O378" s="105"/>
    </row>
    <row r="379" spans="2:15" x14ac:dyDescent="0.2">
      <c r="B379" s="1">
        <v>364</v>
      </c>
      <c r="C379" s="106">
        <f t="shared" ca="1" si="20"/>
        <v>-0.21263174560448705</v>
      </c>
      <c r="D379" s="106">
        <f t="shared" ca="1" si="21"/>
        <v>0.65070985967188133</v>
      </c>
      <c r="E379" s="106">
        <f t="shared" ca="1" si="22"/>
        <v>0</v>
      </c>
      <c r="F379" s="21">
        <f t="shared" ca="1" si="23"/>
        <v>0</v>
      </c>
      <c r="H379" s="21">
        <v>364</v>
      </c>
      <c r="I379" s="107">
        <v>0.66779053751986173</v>
      </c>
      <c r="J379" s="108">
        <v>1.51711961729559E-3</v>
      </c>
      <c r="K379" s="108"/>
      <c r="L379" s="108">
        <v>4.2200000000000001E-2</v>
      </c>
      <c r="O379" s="105"/>
    </row>
    <row r="380" spans="2:15" x14ac:dyDescent="0.2">
      <c r="B380" s="1">
        <v>365</v>
      </c>
      <c r="C380" s="106">
        <f t="shared" ca="1" si="20"/>
        <v>-1.3887028224278477</v>
      </c>
      <c r="D380" s="106">
        <f t="shared" ca="1" si="21"/>
        <v>0.57943567084256631</v>
      </c>
      <c r="E380" s="106">
        <f t="shared" ca="1" si="22"/>
        <v>0</v>
      </c>
      <c r="F380" s="21">
        <f t="shared" ca="1" si="23"/>
        <v>0</v>
      </c>
      <c r="H380" s="21">
        <v>365</v>
      </c>
      <c r="I380" s="107">
        <v>0.66770885282320092</v>
      </c>
      <c r="J380" s="108">
        <v>1.2560950828627239E-3</v>
      </c>
      <c r="K380" s="108"/>
      <c r="L380" s="108">
        <v>4.0599999999999997E-2</v>
      </c>
      <c r="O380" s="105"/>
    </row>
    <row r="381" spans="2:15" x14ac:dyDescent="0.2">
      <c r="B381" s="1">
        <v>366</v>
      </c>
      <c r="C381" s="106">
        <f t="shared" ca="1" si="20"/>
        <v>0.35796216547571458</v>
      </c>
      <c r="D381" s="106">
        <f t="shared" ca="1" si="21"/>
        <v>0.68838481015336239</v>
      </c>
      <c r="E381" s="106">
        <f t="shared" ca="1" si="22"/>
        <v>0</v>
      </c>
      <c r="F381" s="21">
        <f t="shared" ca="1" si="23"/>
        <v>0</v>
      </c>
      <c r="H381" s="21">
        <v>366</v>
      </c>
      <c r="I381" s="107">
        <v>0.66753524564561018</v>
      </c>
      <c r="J381" s="108">
        <v>1.1897443818556651E-3</v>
      </c>
      <c r="K381" s="108"/>
      <c r="L381" s="108">
        <v>3.5400000000000001E-2</v>
      </c>
      <c r="O381" s="105"/>
    </row>
    <row r="382" spans="2:15" x14ac:dyDescent="0.2">
      <c r="B382" s="1">
        <v>367</v>
      </c>
      <c r="C382" s="106">
        <f t="shared" ca="1" si="20"/>
        <v>-6.8288951757000962E-2</v>
      </c>
      <c r="D382" s="106">
        <f t="shared" ca="1" si="21"/>
        <v>0.66004104556982746</v>
      </c>
      <c r="E382" s="106">
        <f t="shared" ca="1" si="22"/>
        <v>0</v>
      </c>
      <c r="F382" s="21">
        <f t="shared" ca="1" si="23"/>
        <v>0</v>
      </c>
      <c r="H382" s="21">
        <v>367</v>
      </c>
      <c r="I382" s="107">
        <v>0.66769995575791585</v>
      </c>
      <c r="J382" s="108">
        <v>1.254827410317396E-3</v>
      </c>
      <c r="K382" s="108"/>
      <c r="L382" s="108">
        <v>0.04</v>
      </c>
      <c r="O382" s="105"/>
    </row>
    <row r="383" spans="2:15" x14ac:dyDescent="0.2">
      <c r="B383" s="1">
        <v>368</v>
      </c>
      <c r="C383" s="106">
        <f t="shared" ca="1" si="20"/>
        <v>0.5151173326563232</v>
      </c>
      <c r="D383" s="106">
        <f t="shared" ca="1" si="21"/>
        <v>0.69913928995144958</v>
      </c>
      <c r="E383" s="106">
        <f t="shared" ca="1" si="22"/>
        <v>0</v>
      </c>
      <c r="F383" s="21">
        <f t="shared" ca="1" si="23"/>
        <v>0</v>
      </c>
      <c r="H383" s="21">
        <v>368</v>
      </c>
      <c r="I383" s="107">
        <v>0.66763003641809071</v>
      </c>
      <c r="J383" s="108">
        <v>1.3539998854491051E-3</v>
      </c>
      <c r="K383" s="108"/>
      <c r="L383" s="108">
        <v>3.8800000000000001E-2</v>
      </c>
      <c r="O383" s="105"/>
    </row>
    <row r="384" spans="2:15" x14ac:dyDescent="0.2">
      <c r="B384" s="1">
        <v>369</v>
      </c>
      <c r="C384" s="106">
        <f t="shared" ca="1" si="20"/>
        <v>8.086784802174915E-2</v>
      </c>
      <c r="D384" s="106">
        <f t="shared" ca="1" si="21"/>
        <v>0.66982403785281797</v>
      </c>
      <c r="E384" s="106">
        <f t="shared" ca="1" si="22"/>
        <v>0</v>
      </c>
      <c r="F384" s="21">
        <f t="shared" ca="1" si="23"/>
        <v>0</v>
      </c>
      <c r="H384" s="21">
        <v>369</v>
      </c>
      <c r="I384" s="107">
        <v>0.66760500174088622</v>
      </c>
      <c r="J384" s="108">
        <v>1.1600529282274226E-3</v>
      </c>
      <c r="K384" s="108"/>
      <c r="L384" s="108">
        <v>3.7199999999999997E-2</v>
      </c>
      <c r="O384" s="105"/>
    </row>
    <row r="385" spans="2:15" x14ac:dyDescent="0.2">
      <c r="B385" s="1">
        <v>370</v>
      </c>
      <c r="C385" s="106">
        <f t="shared" ca="1" si="20"/>
        <v>0.72743538592110091</v>
      </c>
      <c r="D385" s="106">
        <f t="shared" ca="1" si="21"/>
        <v>0.71393600320511463</v>
      </c>
      <c r="E385" s="106">
        <f t="shared" ca="1" si="22"/>
        <v>0</v>
      </c>
      <c r="F385" s="21">
        <f t="shared" ca="1" si="23"/>
        <v>0</v>
      </c>
      <c r="H385" s="21">
        <v>370</v>
      </c>
      <c r="I385" s="107">
        <v>0.66767405669572133</v>
      </c>
      <c r="J385" s="108">
        <v>1.3806373228880799E-3</v>
      </c>
      <c r="K385" s="108"/>
      <c r="L385" s="108">
        <v>4.1399999999999999E-2</v>
      </c>
      <c r="O385" s="105"/>
    </row>
    <row r="386" spans="2:15" x14ac:dyDescent="0.2">
      <c r="B386" s="1">
        <v>371</v>
      </c>
      <c r="C386" s="106">
        <f t="shared" ca="1" si="20"/>
        <v>1.1297567766871404</v>
      </c>
      <c r="D386" s="106">
        <f t="shared" ca="1" si="21"/>
        <v>0.74283863614811718</v>
      </c>
      <c r="E386" s="106">
        <f t="shared" ca="1" si="22"/>
        <v>0</v>
      </c>
      <c r="F386" s="21">
        <f t="shared" ca="1" si="23"/>
        <v>0</v>
      </c>
      <c r="H386" s="21">
        <v>371</v>
      </c>
      <c r="I386" s="107">
        <v>0.66769404176669023</v>
      </c>
      <c r="J386" s="108">
        <v>1.2266310520564455E-3</v>
      </c>
      <c r="K386" s="108"/>
      <c r="L386" s="108">
        <v>3.9E-2</v>
      </c>
      <c r="O386" s="105"/>
    </row>
    <row r="387" spans="2:15" x14ac:dyDescent="0.2">
      <c r="B387" s="1">
        <v>372</v>
      </c>
      <c r="C387" s="106">
        <f t="shared" ca="1" si="20"/>
        <v>-0.99789662498742604</v>
      </c>
      <c r="D387" s="106">
        <f t="shared" ca="1" si="21"/>
        <v>0.60220883672747139</v>
      </c>
      <c r="E387" s="106">
        <f t="shared" ca="1" si="22"/>
        <v>0</v>
      </c>
      <c r="F387" s="21">
        <f t="shared" ca="1" si="23"/>
        <v>0</v>
      </c>
      <c r="H387" s="21">
        <v>372</v>
      </c>
      <c r="I387" s="107">
        <v>0.6676258284474631</v>
      </c>
      <c r="J387" s="108">
        <v>1.1594327030763438E-3</v>
      </c>
      <c r="K387" s="108"/>
      <c r="L387" s="108">
        <v>4.1200000000000001E-2</v>
      </c>
      <c r="O387" s="105"/>
    </row>
    <row r="388" spans="2:15" x14ac:dyDescent="0.2">
      <c r="B388" s="1">
        <v>373</v>
      </c>
      <c r="C388" s="106">
        <f t="shared" ca="1" si="20"/>
        <v>0.33426930536495941</v>
      </c>
      <c r="D388" s="106">
        <f t="shared" ca="1" si="21"/>
        <v>0.68677786788415951</v>
      </c>
      <c r="E388" s="106">
        <f t="shared" ca="1" si="22"/>
        <v>0</v>
      </c>
      <c r="F388" s="21">
        <f t="shared" ca="1" si="23"/>
        <v>0</v>
      </c>
      <c r="H388" s="21">
        <v>373</v>
      </c>
      <c r="I388" s="107">
        <v>0.6677719035218258</v>
      </c>
      <c r="J388" s="108">
        <v>1.347109538238238E-3</v>
      </c>
      <c r="K388" s="108"/>
      <c r="L388" s="108">
        <v>4.2000000000000003E-2</v>
      </c>
      <c r="O388" s="105"/>
    </row>
    <row r="389" spans="2:15" x14ac:dyDescent="0.2">
      <c r="B389" s="1">
        <v>374</v>
      </c>
      <c r="C389" s="106">
        <f t="shared" ca="1" si="20"/>
        <v>-0.14475450033582299</v>
      </c>
      <c r="D389" s="106">
        <f t="shared" ca="1" si="21"/>
        <v>0.65508130667308651</v>
      </c>
      <c r="E389" s="106">
        <f t="shared" ca="1" si="22"/>
        <v>0</v>
      </c>
      <c r="F389" s="21">
        <f t="shared" ca="1" si="23"/>
        <v>0</v>
      </c>
      <c r="H389" s="21">
        <v>374</v>
      </c>
      <c r="I389" s="107">
        <v>0.66786527389421912</v>
      </c>
      <c r="J389" s="108">
        <v>1.6830796444903065E-3</v>
      </c>
      <c r="K389" s="108"/>
      <c r="L389" s="108">
        <v>4.7600000000000003E-2</v>
      </c>
      <c r="O389" s="105"/>
    </row>
    <row r="390" spans="2:15" x14ac:dyDescent="0.2">
      <c r="B390" s="1">
        <v>375</v>
      </c>
      <c r="C390" s="106">
        <f t="shared" ca="1" si="20"/>
        <v>-0.54865844853996515</v>
      </c>
      <c r="D390" s="106">
        <f t="shared" ca="1" si="21"/>
        <v>0.6294948921565785</v>
      </c>
      <c r="E390" s="106">
        <f t="shared" ca="1" si="22"/>
        <v>0</v>
      </c>
      <c r="F390" s="21">
        <f t="shared" ca="1" si="23"/>
        <v>0</v>
      </c>
      <c r="H390" s="21">
        <v>375</v>
      </c>
      <c r="I390" s="107">
        <v>0.66778129276324072</v>
      </c>
      <c r="J390" s="108">
        <v>1.3372010800412793E-3</v>
      </c>
      <c r="K390" s="108"/>
      <c r="L390" s="108">
        <v>4.2599999999999999E-2</v>
      </c>
      <c r="O390" s="105"/>
    </row>
    <row r="391" spans="2:15" x14ac:dyDescent="0.2">
      <c r="B391" s="1">
        <v>376</v>
      </c>
      <c r="C391" s="106">
        <f t="shared" ca="1" si="20"/>
        <v>-2.1259106358348214</v>
      </c>
      <c r="D391" s="106">
        <f t="shared" ca="1" si="21"/>
        <v>0.53879517666517551</v>
      </c>
      <c r="E391" s="106">
        <f t="shared" ca="1" si="22"/>
        <v>0</v>
      </c>
      <c r="F391" s="21">
        <f t="shared" ca="1" si="23"/>
        <v>0</v>
      </c>
      <c r="H391" s="21">
        <v>376</v>
      </c>
      <c r="I391" s="107">
        <v>0.66766107702091948</v>
      </c>
      <c r="J391" s="108">
        <v>1.3090863723300727E-3</v>
      </c>
      <c r="K391" s="108"/>
      <c r="L391" s="108">
        <v>4.3400000000000001E-2</v>
      </c>
      <c r="O391" s="105"/>
    </row>
    <row r="392" spans="2:15" x14ac:dyDescent="0.2">
      <c r="B392" s="1">
        <v>377</v>
      </c>
      <c r="C392" s="106">
        <f t="shared" ca="1" si="20"/>
        <v>-1.5019576402070018</v>
      </c>
      <c r="D392" s="106">
        <f t="shared" ca="1" si="21"/>
        <v>0.57299846808143928</v>
      </c>
      <c r="E392" s="106">
        <f t="shared" ca="1" si="22"/>
        <v>0</v>
      </c>
      <c r="F392" s="21">
        <f t="shared" ca="1" si="23"/>
        <v>0</v>
      </c>
      <c r="H392" s="21">
        <v>377</v>
      </c>
      <c r="I392" s="107">
        <v>0.66756403798566699</v>
      </c>
      <c r="J392" s="108">
        <v>1.2747744910757859E-3</v>
      </c>
      <c r="K392" s="108"/>
      <c r="L392" s="108">
        <v>3.9600000000000003E-2</v>
      </c>
      <c r="O392" s="105"/>
    </row>
    <row r="393" spans="2:15" x14ac:dyDescent="0.2">
      <c r="B393" s="1">
        <v>378</v>
      </c>
      <c r="C393" s="106">
        <f t="shared" ca="1" si="20"/>
        <v>1.0226394786037296</v>
      </c>
      <c r="D393" s="106">
        <f t="shared" ca="1" si="21"/>
        <v>0.73503098150421742</v>
      </c>
      <c r="E393" s="106">
        <f t="shared" ca="1" si="22"/>
        <v>0</v>
      </c>
      <c r="F393" s="21">
        <f t="shared" ca="1" si="23"/>
        <v>0</v>
      </c>
      <c r="H393" s="21">
        <v>378</v>
      </c>
      <c r="I393" s="107">
        <v>0.66779445757196121</v>
      </c>
      <c r="J393" s="108">
        <v>1.3775323415785221E-3</v>
      </c>
      <c r="K393" s="108"/>
      <c r="L393" s="108">
        <v>4.4600000000000001E-2</v>
      </c>
      <c r="O393" s="105"/>
    </row>
    <row r="394" spans="2:15" x14ac:dyDescent="0.2">
      <c r="B394" s="1">
        <v>379</v>
      </c>
      <c r="C394" s="106">
        <f t="shared" ca="1" si="20"/>
        <v>-0.57825768815081502</v>
      </c>
      <c r="D394" s="106">
        <f t="shared" ca="1" si="21"/>
        <v>0.62765963125181468</v>
      </c>
      <c r="E394" s="106">
        <f t="shared" ca="1" si="22"/>
        <v>0</v>
      </c>
      <c r="F394" s="21">
        <f t="shared" ca="1" si="23"/>
        <v>0</v>
      </c>
      <c r="H394" s="21">
        <v>379</v>
      </c>
      <c r="I394" s="107">
        <v>0.66774508101324692</v>
      </c>
      <c r="J394" s="108">
        <v>1.2373930561989863E-3</v>
      </c>
      <c r="K394" s="108"/>
      <c r="L394" s="108">
        <v>3.9600000000000003E-2</v>
      </c>
      <c r="O394" s="105"/>
    </row>
    <row r="395" spans="2:15" x14ac:dyDescent="0.2">
      <c r="B395" s="1">
        <v>380</v>
      </c>
      <c r="C395" s="106">
        <f t="shared" ca="1" si="20"/>
        <v>-2.4229539151621626</v>
      </c>
      <c r="D395" s="106">
        <f t="shared" ca="1" si="21"/>
        <v>0.52323712208246587</v>
      </c>
      <c r="E395" s="106">
        <f t="shared" ca="1" si="22"/>
        <v>0</v>
      </c>
      <c r="F395" s="21">
        <f t="shared" ca="1" si="23"/>
        <v>0</v>
      </c>
      <c r="H395" s="21">
        <v>380</v>
      </c>
      <c r="I395" s="107">
        <v>0.66760509279197766</v>
      </c>
      <c r="J395" s="108">
        <v>1.1937639580736892E-3</v>
      </c>
      <c r="K395" s="108"/>
      <c r="L395" s="108">
        <v>3.7400000000000003E-2</v>
      </c>
      <c r="O395" s="105"/>
    </row>
    <row r="396" spans="2:15" x14ac:dyDescent="0.2">
      <c r="B396" s="1">
        <v>381</v>
      </c>
      <c r="C396" s="106">
        <f t="shared" ca="1" si="20"/>
        <v>-1.9885225961555737</v>
      </c>
      <c r="D396" s="106">
        <f t="shared" ca="1" si="21"/>
        <v>0.54614670540928223</v>
      </c>
      <c r="E396" s="106">
        <f t="shared" ca="1" si="22"/>
        <v>0</v>
      </c>
      <c r="F396" s="21">
        <f t="shared" ca="1" si="23"/>
        <v>0</v>
      </c>
      <c r="H396" s="21">
        <v>381</v>
      </c>
      <c r="I396" s="107">
        <v>0.66777996046066368</v>
      </c>
      <c r="J396" s="108">
        <v>1.4885697065312338E-3</v>
      </c>
      <c r="K396" s="108"/>
      <c r="L396" s="108">
        <v>4.3200000000000002E-2</v>
      </c>
      <c r="O396" s="105"/>
    </row>
    <row r="397" spans="2:15" x14ac:dyDescent="0.2">
      <c r="B397" s="1">
        <v>382</v>
      </c>
      <c r="C397" s="106">
        <f t="shared" ca="1" si="20"/>
        <v>-0.40180388167907993</v>
      </c>
      <c r="D397" s="106">
        <f t="shared" ca="1" si="21"/>
        <v>0.63868007793314907</v>
      </c>
      <c r="E397" s="106">
        <f t="shared" ca="1" si="22"/>
        <v>0</v>
      </c>
      <c r="F397" s="21">
        <f t="shared" ca="1" si="23"/>
        <v>0</v>
      </c>
      <c r="H397" s="21">
        <v>382</v>
      </c>
      <c r="I397" s="107">
        <v>0.66754585216495976</v>
      </c>
      <c r="J397" s="108">
        <v>1.0598144092514067E-3</v>
      </c>
      <c r="K397" s="108"/>
      <c r="L397" s="108">
        <v>3.6400000000000002E-2</v>
      </c>
      <c r="O397" s="105"/>
    </row>
    <row r="398" spans="2:15" x14ac:dyDescent="0.2">
      <c r="B398" s="1">
        <v>383</v>
      </c>
      <c r="C398" s="106">
        <f t="shared" ca="1" si="20"/>
        <v>3.5547104929575912E-2</v>
      </c>
      <c r="D398" s="106">
        <f t="shared" ca="1" si="21"/>
        <v>0.66683627408066715</v>
      </c>
      <c r="E398" s="106">
        <f t="shared" ca="1" si="22"/>
        <v>0</v>
      </c>
      <c r="F398" s="21">
        <f t="shared" ca="1" si="23"/>
        <v>0</v>
      </c>
      <c r="H398" s="21">
        <v>383</v>
      </c>
      <c r="I398" s="107">
        <v>0.66772375203857037</v>
      </c>
      <c r="J398" s="108">
        <v>1.411140343686513E-3</v>
      </c>
      <c r="K398" s="108"/>
      <c r="L398" s="108">
        <v>4.3799999999999999E-2</v>
      </c>
      <c r="O398" s="105"/>
    </row>
    <row r="399" spans="2:15" x14ac:dyDescent="0.2">
      <c r="B399" s="1">
        <v>384</v>
      </c>
      <c r="C399" s="106">
        <f t="shared" ca="1" si="20"/>
        <v>-7.5376820402479769E-2</v>
      </c>
      <c r="D399" s="106">
        <f t="shared" ca="1" si="21"/>
        <v>0.6595797346940091</v>
      </c>
      <c r="E399" s="106">
        <f t="shared" ca="1" si="22"/>
        <v>0</v>
      </c>
      <c r="F399" s="21">
        <f t="shared" ca="1" si="23"/>
        <v>0</v>
      </c>
      <c r="H399" s="21">
        <v>384</v>
      </c>
      <c r="I399" s="107">
        <v>0.66761786311706139</v>
      </c>
      <c r="J399" s="108">
        <v>1.3409248633660064E-3</v>
      </c>
      <c r="K399" s="108"/>
      <c r="L399" s="108">
        <v>3.9199999999999999E-2</v>
      </c>
      <c r="O399" s="105"/>
    </row>
    <row r="400" spans="2:15" x14ac:dyDescent="0.2">
      <c r="B400" s="1">
        <v>385</v>
      </c>
      <c r="C400" s="106">
        <f t="shared" ref="C400:C463" ca="1" si="24">_xlfn.NORM.S.INV(RAND())</f>
        <v>0.88514233374980744</v>
      </c>
      <c r="D400" s="106">
        <f t="shared" ref="D400:D463" ca="1" si="25">S0*EXP((μ-0.5*σ*σ)*T+σ*SQRT(T)*$C400)</f>
        <v>0.72512913002443513</v>
      </c>
      <c r="E400" s="106">
        <f t="shared" ref="E400:E463" ca="1" si="26">MAX(0,CP*(D400-K))</f>
        <v>0</v>
      </c>
      <c r="F400" s="21">
        <f t="shared" ref="F400:F463" ca="1" si="27">(CP*(D400-K)&gt;0)*1</f>
        <v>0</v>
      </c>
      <c r="H400" s="21">
        <v>385</v>
      </c>
      <c r="I400" s="107">
        <v>0.66759919048899263</v>
      </c>
      <c r="J400" s="108">
        <v>1.2024063508983556E-3</v>
      </c>
      <c r="K400" s="108"/>
      <c r="L400" s="108">
        <v>3.6799999999999999E-2</v>
      </c>
      <c r="O400" s="105"/>
    </row>
    <row r="401" spans="2:15" x14ac:dyDescent="0.2">
      <c r="B401" s="1">
        <v>386</v>
      </c>
      <c r="C401" s="106">
        <f t="shared" ca="1" si="24"/>
        <v>-5.6302978766657519E-2</v>
      </c>
      <c r="D401" s="106">
        <f t="shared" ca="1" si="25"/>
        <v>0.66082188169941802</v>
      </c>
      <c r="E401" s="106">
        <f t="shared" ca="1" si="26"/>
        <v>0</v>
      </c>
      <c r="F401" s="21">
        <f t="shared" ca="1" si="27"/>
        <v>0</v>
      </c>
      <c r="H401" s="21">
        <v>386</v>
      </c>
      <c r="I401" s="107">
        <v>0.66773248831676058</v>
      </c>
      <c r="J401" s="108">
        <v>1.2881534881448639E-3</v>
      </c>
      <c r="K401" s="108"/>
      <c r="L401" s="108">
        <v>4.2599999999999999E-2</v>
      </c>
      <c r="O401" s="105"/>
    </row>
    <row r="402" spans="2:15" x14ac:dyDescent="0.2">
      <c r="B402" s="1">
        <v>387</v>
      </c>
      <c r="C402" s="106">
        <f t="shared" ca="1" si="24"/>
        <v>-1.1817172290766091</v>
      </c>
      <c r="D402" s="106">
        <f t="shared" ca="1" si="25"/>
        <v>0.5913878022082093</v>
      </c>
      <c r="E402" s="106">
        <f t="shared" ca="1" si="26"/>
        <v>0</v>
      </c>
      <c r="F402" s="21">
        <f t="shared" ca="1" si="27"/>
        <v>0</v>
      </c>
      <c r="H402" s="21">
        <v>387</v>
      </c>
      <c r="I402" s="107">
        <v>0.66778051755719614</v>
      </c>
      <c r="J402" s="108">
        <v>1.3731410976703655E-3</v>
      </c>
      <c r="K402" s="108"/>
      <c r="L402" s="108">
        <v>4.1399999999999999E-2</v>
      </c>
      <c r="O402" s="105"/>
    </row>
    <row r="403" spans="2:15" x14ac:dyDescent="0.2">
      <c r="B403" s="1">
        <v>388</v>
      </c>
      <c r="C403" s="106">
        <f t="shared" ca="1" si="24"/>
        <v>-0.14538387114653856</v>
      </c>
      <c r="D403" s="106">
        <f t="shared" ca="1" si="25"/>
        <v>0.65504063919666489</v>
      </c>
      <c r="E403" s="106">
        <f t="shared" ca="1" si="26"/>
        <v>0</v>
      </c>
      <c r="F403" s="21">
        <f t="shared" ca="1" si="27"/>
        <v>0</v>
      </c>
      <c r="H403" s="21">
        <v>388</v>
      </c>
      <c r="I403" s="107">
        <v>0.66764757471699021</v>
      </c>
      <c r="J403" s="108">
        <v>1.2777177887268703E-3</v>
      </c>
      <c r="K403" s="108"/>
      <c r="L403" s="108">
        <v>3.8199999999999998E-2</v>
      </c>
      <c r="O403" s="105"/>
    </row>
    <row r="404" spans="2:15" x14ac:dyDescent="0.2">
      <c r="B404" s="1">
        <v>389</v>
      </c>
      <c r="C404" s="106">
        <f t="shared" ca="1" si="24"/>
        <v>1.1067780576586708</v>
      </c>
      <c r="D404" s="106">
        <f t="shared" ca="1" si="25"/>
        <v>0.74115678678393826</v>
      </c>
      <c r="E404" s="106">
        <f t="shared" ca="1" si="26"/>
        <v>0</v>
      </c>
      <c r="F404" s="21">
        <f t="shared" ca="1" si="27"/>
        <v>0</v>
      </c>
      <c r="H404" s="21">
        <v>389</v>
      </c>
      <c r="I404" s="107">
        <v>0.66769018055899154</v>
      </c>
      <c r="J404" s="108">
        <v>1.2377200565347074E-3</v>
      </c>
      <c r="K404" s="108"/>
      <c r="L404" s="108">
        <v>3.9600000000000003E-2</v>
      </c>
      <c r="O404" s="105"/>
    </row>
    <row r="405" spans="2:15" x14ac:dyDescent="0.2">
      <c r="B405" s="1">
        <v>390</v>
      </c>
      <c r="C405" s="106">
        <f t="shared" ca="1" si="24"/>
        <v>-1.0082500164754138</v>
      </c>
      <c r="D405" s="106">
        <f t="shared" ca="1" si="25"/>
        <v>0.60159413149039009</v>
      </c>
      <c r="E405" s="106">
        <f t="shared" ca="1" si="26"/>
        <v>0</v>
      </c>
      <c r="F405" s="21">
        <f t="shared" ca="1" si="27"/>
        <v>0</v>
      </c>
      <c r="H405" s="21">
        <v>390</v>
      </c>
      <c r="I405" s="107">
        <v>0.66782233702460225</v>
      </c>
      <c r="J405" s="108">
        <v>1.4101320231826636E-3</v>
      </c>
      <c r="K405" s="108"/>
      <c r="L405" s="108">
        <v>4.1799999999999997E-2</v>
      </c>
      <c r="O405" s="105"/>
    </row>
    <row r="406" spans="2:15" x14ac:dyDescent="0.2">
      <c r="B406" s="1">
        <v>391</v>
      </c>
      <c r="C406" s="106">
        <f t="shared" ca="1" si="24"/>
        <v>-0.31820859277351426</v>
      </c>
      <c r="D406" s="106">
        <f t="shared" ca="1" si="25"/>
        <v>0.64396837555604314</v>
      </c>
      <c r="E406" s="106">
        <f t="shared" ca="1" si="26"/>
        <v>0</v>
      </c>
      <c r="F406" s="21">
        <f t="shared" ca="1" si="27"/>
        <v>0</v>
      </c>
      <c r="H406" s="21">
        <v>391</v>
      </c>
      <c r="I406" s="107">
        <v>0.6676608104130789</v>
      </c>
      <c r="J406" s="108">
        <v>1.2826857810399187E-3</v>
      </c>
      <c r="K406" s="108"/>
      <c r="L406" s="108">
        <v>3.7600000000000001E-2</v>
      </c>
      <c r="O406" s="105"/>
    </row>
    <row r="407" spans="2:15" x14ac:dyDescent="0.2">
      <c r="B407" s="1">
        <v>392</v>
      </c>
      <c r="C407" s="106">
        <f t="shared" ca="1" si="24"/>
        <v>-1.4261847034090918</v>
      </c>
      <c r="D407" s="106">
        <f t="shared" ca="1" si="25"/>
        <v>0.5772973005987817</v>
      </c>
      <c r="E407" s="106">
        <f t="shared" ca="1" si="26"/>
        <v>0</v>
      </c>
      <c r="F407" s="21">
        <f t="shared" ca="1" si="27"/>
        <v>0</v>
      </c>
      <c r="H407" s="21">
        <v>392</v>
      </c>
      <c r="I407" s="107">
        <v>0.66786770046975608</v>
      </c>
      <c r="J407" s="108">
        <v>1.607784944788673E-3</v>
      </c>
      <c r="K407" s="108"/>
      <c r="L407" s="108">
        <v>4.2999999999999997E-2</v>
      </c>
      <c r="O407" s="105"/>
    </row>
    <row r="408" spans="2:15" x14ac:dyDescent="0.2">
      <c r="B408" s="1">
        <v>393</v>
      </c>
      <c r="C408" s="106">
        <f t="shared" ca="1" si="24"/>
        <v>1.4336915846977254</v>
      </c>
      <c r="D408" s="106">
        <f t="shared" ca="1" si="25"/>
        <v>0.76544653906921534</v>
      </c>
      <c r="E408" s="106">
        <f t="shared" ca="1" si="26"/>
        <v>0</v>
      </c>
      <c r="F408" s="21">
        <f t="shared" ca="1" si="27"/>
        <v>0</v>
      </c>
      <c r="H408" s="21">
        <v>393</v>
      </c>
      <c r="I408" s="107">
        <v>0.66776584918102766</v>
      </c>
      <c r="J408" s="108">
        <v>1.4394149675875738E-3</v>
      </c>
      <c r="K408" s="108"/>
      <c r="L408" s="108">
        <v>4.2200000000000001E-2</v>
      </c>
      <c r="O408" s="105"/>
    </row>
    <row r="409" spans="2:15" x14ac:dyDescent="0.2">
      <c r="B409" s="1">
        <v>394</v>
      </c>
      <c r="C409" s="106">
        <f t="shared" ca="1" si="24"/>
        <v>1.9249759158958941</v>
      </c>
      <c r="D409" s="106">
        <f t="shared" ca="1" si="25"/>
        <v>0.80345430409703689</v>
      </c>
      <c r="E409" s="106">
        <f t="shared" ca="1" si="26"/>
        <v>1.5254304097036875E-2</v>
      </c>
      <c r="F409" s="21">
        <f t="shared" ca="1" si="27"/>
        <v>1</v>
      </c>
      <c r="H409" s="21">
        <v>394</v>
      </c>
      <c r="I409" s="107">
        <v>0.66777122255241261</v>
      </c>
      <c r="J409" s="108">
        <v>1.4451738327724937E-3</v>
      </c>
      <c r="K409" s="108"/>
      <c r="L409" s="108">
        <v>4.2000000000000003E-2</v>
      </c>
      <c r="O409" s="105"/>
    </row>
    <row r="410" spans="2:15" x14ac:dyDescent="0.2">
      <c r="B410" s="1">
        <v>395</v>
      </c>
      <c r="C410" s="106">
        <f t="shared" ca="1" si="24"/>
        <v>0.93266536991320004</v>
      </c>
      <c r="D410" s="106">
        <f t="shared" ca="1" si="25"/>
        <v>0.72853632320869943</v>
      </c>
      <c r="E410" s="106">
        <f t="shared" ca="1" si="26"/>
        <v>0</v>
      </c>
      <c r="F410" s="21">
        <f t="shared" ca="1" si="27"/>
        <v>0</v>
      </c>
      <c r="H410" s="21">
        <v>395</v>
      </c>
      <c r="I410" s="107">
        <v>0.66776043990289136</v>
      </c>
      <c r="J410" s="108">
        <v>1.3412881223608271E-3</v>
      </c>
      <c r="K410" s="108"/>
      <c r="L410" s="108">
        <v>4.2999999999999997E-2</v>
      </c>
      <c r="O410" s="105"/>
    </row>
    <row r="411" spans="2:15" x14ac:dyDescent="0.2">
      <c r="B411" s="1">
        <v>396</v>
      </c>
      <c r="C411" s="106">
        <f t="shared" ca="1" si="24"/>
        <v>-1.6362401402924729</v>
      </c>
      <c r="D411" s="106">
        <f t="shared" ca="1" si="25"/>
        <v>0.56545868823588408</v>
      </c>
      <c r="E411" s="106">
        <f t="shared" ca="1" si="26"/>
        <v>0</v>
      </c>
      <c r="F411" s="21">
        <f t="shared" ca="1" si="27"/>
        <v>0</v>
      </c>
      <c r="H411" s="21">
        <v>396</v>
      </c>
      <c r="I411" s="107">
        <v>0.66778143125836809</v>
      </c>
      <c r="J411" s="108">
        <v>1.3329477229189416E-3</v>
      </c>
      <c r="K411" s="108"/>
      <c r="L411" s="108">
        <v>4.2000000000000003E-2</v>
      </c>
      <c r="O411" s="105"/>
    </row>
    <row r="412" spans="2:15" x14ac:dyDescent="0.2">
      <c r="B412" s="1">
        <v>397</v>
      </c>
      <c r="C412" s="106">
        <f t="shared" ca="1" si="24"/>
        <v>1.1637629801164595</v>
      </c>
      <c r="D412" s="106">
        <f t="shared" ca="1" si="25"/>
        <v>0.74533461061961714</v>
      </c>
      <c r="E412" s="106">
        <f t="shared" ca="1" si="26"/>
        <v>0</v>
      </c>
      <c r="F412" s="21">
        <f t="shared" ca="1" si="27"/>
        <v>0</v>
      </c>
      <c r="H412" s="21">
        <v>397</v>
      </c>
      <c r="I412" s="107">
        <v>0.66790751035746809</v>
      </c>
      <c r="J412" s="108">
        <v>1.4510068071674619E-3</v>
      </c>
      <c r="K412" s="108"/>
      <c r="L412" s="108">
        <v>4.58E-2</v>
      </c>
      <c r="O412" s="105"/>
    </row>
    <row r="413" spans="2:15" x14ac:dyDescent="0.2">
      <c r="B413" s="1">
        <v>398</v>
      </c>
      <c r="C413" s="106">
        <f t="shared" ca="1" si="24"/>
        <v>0.58063362620707226</v>
      </c>
      <c r="D413" s="106">
        <f t="shared" ca="1" si="25"/>
        <v>0.70367218876446735</v>
      </c>
      <c r="E413" s="106">
        <f t="shared" ca="1" si="26"/>
        <v>0</v>
      </c>
      <c r="F413" s="21">
        <f t="shared" ca="1" si="27"/>
        <v>0</v>
      </c>
      <c r="H413" s="21">
        <v>398</v>
      </c>
      <c r="I413" s="107">
        <v>0.66774986601446595</v>
      </c>
      <c r="J413" s="108">
        <v>1.3576859161803019E-3</v>
      </c>
      <c r="K413" s="108"/>
      <c r="L413" s="108">
        <v>4.5199999999999997E-2</v>
      </c>
      <c r="O413" s="105"/>
    </row>
    <row r="414" spans="2:15" x14ac:dyDescent="0.2">
      <c r="B414" s="1">
        <v>399</v>
      </c>
      <c r="C414" s="106">
        <f t="shared" ca="1" si="24"/>
        <v>0.59294178048452195</v>
      </c>
      <c r="D414" s="106">
        <f t="shared" ca="1" si="25"/>
        <v>0.70452703082456924</v>
      </c>
      <c r="E414" s="106">
        <f t="shared" ca="1" si="26"/>
        <v>0</v>
      </c>
      <c r="F414" s="21">
        <f t="shared" ca="1" si="27"/>
        <v>0</v>
      </c>
      <c r="H414" s="21">
        <v>399</v>
      </c>
      <c r="I414" s="107">
        <v>0.66789327130671072</v>
      </c>
      <c r="J414" s="108">
        <v>1.5240388590344286E-3</v>
      </c>
      <c r="K414" s="108"/>
      <c r="L414" s="108">
        <v>4.5400000000000003E-2</v>
      </c>
      <c r="O414" s="105"/>
    </row>
    <row r="415" spans="2:15" x14ac:dyDescent="0.2">
      <c r="B415" s="1">
        <v>400</v>
      </c>
      <c r="C415" s="106">
        <f t="shared" ca="1" si="24"/>
        <v>6.6315999292342942E-2</v>
      </c>
      <c r="D415" s="106">
        <f t="shared" ca="1" si="25"/>
        <v>0.66886325301190985</v>
      </c>
      <c r="E415" s="106">
        <f t="shared" ca="1" si="26"/>
        <v>0</v>
      </c>
      <c r="F415" s="21">
        <f t="shared" ca="1" si="27"/>
        <v>0</v>
      </c>
      <c r="H415" s="21">
        <v>400</v>
      </c>
      <c r="I415" s="107">
        <v>0.66772919198260028</v>
      </c>
      <c r="J415" s="108">
        <v>1.391023218634766E-3</v>
      </c>
      <c r="K415" s="108"/>
      <c r="L415" s="108">
        <v>3.9199999999999999E-2</v>
      </c>
      <c r="O415" s="105"/>
    </row>
    <row r="416" spans="2:15" x14ac:dyDescent="0.2">
      <c r="B416" s="1">
        <v>401</v>
      </c>
      <c r="C416" s="106">
        <f t="shared" ca="1" si="24"/>
        <v>-1.369011778476009</v>
      </c>
      <c r="D416" s="106">
        <f t="shared" ca="1" si="25"/>
        <v>0.58056223184658151</v>
      </c>
      <c r="E416" s="106">
        <f t="shared" ca="1" si="26"/>
        <v>0</v>
      </c>
      <c r="F416" s="21">
        <f t="shared" ca="1" si="27"/>
        <v>0</v>
      </c>
      <c r="H416" s="21">
        <v>401</v>
      </c>
      <c r="I416" s="107">
        <v>0.66773549770006124</v>
      </c>
      <c r="J416" s="108">
        <v>1.3146893873197457E-3</v>
      </c>
      <c r="K416" s="108"/>
      <c r="L416" s="108">
        <v>3.9800000000000002E-2</v>
      </c>
      <c r="O416" s="105"/>
    </row>
    <row r="417" spans="2:15" x14ac:dyDescent="0.2">
      <c r="B417" s="1">
        <v>402</v>
      </c>
      <c r="C417" s="106">
        <f t="shared" ca="1" si="24"/>
        <v>-0.99532532236284732</v>
      </c>
      <c r="D417" s="106">
        <f t="shared" ca="1" si="25"/>
        <v>0.60236159836158953</v>
      </c>
      <c r="E417" s="106">
        <f t="shared" ca="1" si="26"/>
        <v>0</v>
      </c>
      <c r="F417" s="21">
        <f t="shared" ca="1" si="27"/>
        <v>0</v>
      </c>
      <c r="H417" s="21">
        <v>402</v>
      </c>
      <c r="I417" s="107">
        <v>0.66770800887571335</v>
      </c>
      <c r="J417" s="108">
        <v>1.3596001415102218E-3</v>
      </c>
      <c r="K417" s="108"/>
      <c r="L417" s="108">
        <v>4.3200000000000002E-2</v>
      </c>
      <c r="O417" s="105"/>
    </row>
    <row r="418" spans="2:15" x14ac:dyDescent="0.2">
      <c r="B418" s="1">
        <v>403</v>
      </c>
      <c r="C418" s="106">
        <f t="shared" ca="1" si="24"/>
        <v>-0.90022171321962585</v>
      </c>
      <c r="D418" s="106">
        <f t="shared" ca="1" si="25"/>
        <v>0.60803902928267339</v>
      </c>
      <c r="E418" s="106">
        <f t="shared" ca="1" si="26"/>
        <v>0</v>
      </c>
      <c r="F418" s="21">
        <f t="shared" ca="1" si="27"/>
        <v>0</v>
      </c>
      <c r="H418" s="21">
        <v>403</v>
      </c>
      <c r="I418" s="107">
        <v>0.66760994893685588</v>
      </c>
      <c r="J418" s="108">
        <v>1.2766215229682856E-3</v>
      </c>
      <c r="K418" s="108"/>
      <c r="L418" s="108">
        <v>0.04</v>
      </c>
      <c r="O418" s="105"/>
    </row>
    <row r="419" spans="2:15" x14ac:dyDescent="0.2">
      <c r="B419" s="1">
        <v>404</v>
      </c>
      <c r="C419" s="106">
        <f t="shared" ca="1" si="24"/>
        <v>1.6279888701824998</v>
      </c>
      <c r="D419" s="106">
        <f t="shared" ca="1" si="25"/>
        <v>0.78025837635416428</v>
      </c>
      <c r="E419" s="106">
        <f t="shared" ca="1" si="26"/>
        <v>0</v>
      </c>
      <c r="F419" s="21">
        <f t="shared" ca="1" si="27"/>
        <v>0</v>
      </c>
      <c r="H419" s="21">
        <v>404</v>
      </c>
      <c r="I419" s="107">
        <v>0.66764202786286864</v>
      </c>
      <c r="J419" s="108">
        <v>1.259356732679512E-3</v>
      </c>
      <c r="K419" s="108"/>
      <c r="L419" s="108">
        <v>3.9600000000000003E-2</v>
      </c>
      <c r="O419" s="105"/>
    </row>
    <row r="420" spans="2:15" x14ac:dyDescent="0.2">
      <c r="B420" s="1">
        <v>405</v>
      </c>
      <c r="C420" s="106">
        <f t="shared" ca="1" si="24"/>
        <v>-0.83358406522092787</v>
      </c>
      <c r="D420" s="106">
        <f t="shared" ca="1" si="25"/>
        <v>0.61204897189643404</v>
      </c>
      <c r="E420" s="106">
        <f t="shared" ca="1" si="26"/>
        <v>0</v>
      </c>
      <c r="F420" s="21">
        <f t="shared" ca="1" si="27"/>
        <v>0</v>
      </c>
      <c r="H420" s="21">
        <v>405</v>
      </c>
      <c r="I420" s="107">
        <v>0.66782592849309064</v>
      </c>
      <c r="J420" s="108">
        <v>1.3909300569270502E-3</v>
      </c>
      <c r="K420" s="108"/>
      <c r="L420" s="108">
        <v>4.4999999999999998E-2</v>
      </c>
      <c r="O420" s="105"/>
    </row>
    <row r="421" spans="2:15" x14ac:dyDescent="0.2">
      <c r="B421" s="1">
        <v>406</v>
      </c>
      <c r="C421" s="106">
        <f t="shared" ca="1" si="24"/>
        <v>0.84626047311102437</v>
      </c>
      <c r="D421" s="106">
        <f t="shared" ca="1" si="25"/>
        <v>0.72235332651347539</v>
      </c>
      <c r="E421" s="106">
        <f t="shared" ca="1" si="26"/>
        <v>0</v>
      </c>
      <c r="F421" s="21">
        <f t="shared" ca="1" si="27"/>
        <v>0</v>
      </c>
      <c r="H421" s="21">
        <v>406</v>
      </c>
      <c r="I421" s="107">
        <v>0.66775811178688493</v>
      </c>
      <c r="J421" s="108">
        <v>1.3896941192464338E-3</v>
      </c>
      <c r="K421" s="108"/>
      <c r="L421" s="108">
        <v>4.2000000000000003E-2</v>
      </c>
      <c r="O421" s="105"/>
    </row>
    <row r="422" spans="2:15" x14ac:dyDescent="0.2">
      <c r="B422" s="1">
        <v>407</v>
      </c>
      <c r="C422" s="106">
        <f t="shared" ca="1" si="24"/>
        <v>-1.3846748364018091</v>
      </c>
      <c r="D422" s="106">
        <f t="shared" ca="1" si="25"/>
        <v>0.57966594137460814</v>
      </c>
      <c r="E422" s="106">
        <f t="shared" ca="1" si="26"/>
        <v>0</v>
      </c>
      <c r="F422" s="21">
        <f t="shared" ca="1" si="27"/>
        <v>0</v>
      </c>
      <c r="H422" s="21">
        <v>407</v>
      </c>
      <c r="I422" s="107">
        <v>0.66782956048600195</v>
      </c>
      <c r="J422" s="108">
        <v>1.3181561736005038E-3</v>
      </c>
      <c r="K422" s="108"/>
      <c r="L422" s="108">
        <v>4.0800000000000003E-2</v>
      </c>
      <c r="O422" s="105"/>
    </row>
    <row r="423" spans="2:15" x14ac:dyDescent="0.2">
      <c r="B423" s="1">
        <v>408</v>
      </c>
      <c r="C423" s="106">
        <f t="shared" ca="1" si="24"/>
        <v>-0.49064767589734976</v>
      </c>
      <c r="D423" s="106">
        <f t="shared" ca="1" si="25"/>
        <v>0.63310735115407268</v>
      </c>
      <c r="E423" s="106">
        <f t="shared" ca="1" si="26"/>
        <v>0</v>
      </c>
      <c r="F423" s="21">
        <f t="shared" ca="1" si="27"/>
        <v>0</v>
      </c>
      <c r="H423" s="21">
        <v>408</v>
      </c>
      <c r="I423" s="107">
        <v>0.66771091199724575</v>
      </c>
      <c r="J423" s="108">
        <v>1.2706900234971705E-3</v>
      </c>
      <c r="K423" s="108"/>
      <c r="L423" s="108">
        <v>4.02E-2</v>
      </c>
      <c r="O423" s="105"/>
    </row>
    <row r="424" spans="2:15" x14ac:dyDescent="0.2">
      <c r="B424" s="1">
        <v>409</v>
      </c>
      <c r="C424" s="106">
        <f t="shared" ca="1" si="24"/>
        <v>1.2703713815524895</v>
      </c>
      <c r="D424" s="106">
        <f t="shared" ca="1" si="25"/>
        <v>0.75321390163138935</v>
      </c>
      <c r="E424" s="106">
        <f t="shared" ca="1" si="26"/>
        <v>0</v>
      </c>
      <c r="F424" s="21">
        <f t="shared" ca="1" si="27"/>
        <v>0</v>
      </c>
      <c r="H424" s="21">
        <v>409</v>
      </c>
      <c r="I424" s="107">
        <v>0.66760902092745744</v>
      </c>
      <c r="J424" s="108">
        <v>1.0694155968065644E-3</v>
      </c>
      <c r="K424" s="108"/>
      <c r="L424" s="108">
        <v>3.9199999999999999E-2</v>
      </c>
      <c r="O424" s="105"/>
    </row>
    <row r="425" spans="2:15" x14ac:dyDescent="0.2">
      <c r="B425" s="1">
        <v>410</v>
      </c>
      <c r="C425" s="106">
        <f t="shared" ca="1" si="24"/>
        <v>1.3631349736125791</v>
      </c>
      <c r="D425" s="106">
        <f t="shared" ca="1" si="25"/>
        <v>0.76013768175439156</v>
      </c>
      <c r="E425" s="106">
        <f t="shared" ca="1" si="26"/>
        <v>0</v>
      </c>
      <c r="F425" s="21">
        <f t="shared" ca="1" si="27"/>
        <v>0</v>
      </c>
      <c r="H425" s="21">
        <v>410</v>
      </c>
      <c r="I425" s="107">
        <v>0.66784308424104954</v>
      </c>
      <c r="J425" s="108">
        <v>1.5173675189445706E-3</v>
      </c>
      <c r="K425" s="108"/>
      <c r="L425" s="108">
        <v>4.3799999999999999E-2</v>
      </c>
      <c r="O425" s="105"/>
    </row>
    <row r="426" spans="2:15" x14ac:dyDescent="0.2">
      <c r="B426" s="1">
        <v>411</v>
      </c>
      <c r="C426" s="106">
        <f t="shared" ca="1" si="24"/>
        <v>-0.36937633732589831</v>
      </c>
      <c r="D426" s="106">
        <f t="shared" ca="1" si="25"/>
        <v>0.64072629218617516</v>
      </c>
      <c r="E426" s="106">
        <f t="shared" ca="1" si="26"/>
        <v>0</v>
      </c>
      <c r="F426" s="21">
        <f t="shared" ca="1" si="27"/>
        <v>0</v>
      </c>
      <c r="H426" s="21">
        <v>411</v>
      </c>
      <c r="I426" s="107">
        <v>0.66785489844037016</v>
      </c>
      <c r="J426" s="108">
        <v>1.3987914878939459E-3</v>
      </c>
      <c r="K426" s="108"/>
      <c r="L426" s="108">
        <v>4.3799999999999999E-2</v>
      </c>
      <c r="O426" s="105"/>
    </row>
    <row r="427" spans="2:15" x14ac:dyDescent="0.2">
      <c r="B427" s="1">
        <v>412</v>
      </c>
      <c r="C427" s="106">
        <f t="shared" ca="1" si="24"/>
        <v>-0.22029144307205278</v>
      </c>
      <c r="D427" s="106">
        <f t="shared" ca="1" si="25"/>
        <v>0.65021839325505215</v>
      </c>
      <c r="E427" s="106">
        <f t="shared" ca="1" si="26"/>
        <v>0</v>
      </c>
      <c r="F427" s="21">
        <f t="shared" ca="1" si="27"/>
        <v>0</v>
      </c>
      <c r="H427" s="21">
        <v>412</v>
      </c>
      <c r="I427" s="107">
        <v>0.66776692151483641</v>
      </c>
      <c r="J427" s="108">
        <v>1.3482456850120814E-3</v>
      </c>
      <c r="K427" s="108"/>
      <c r="L427" s="108">
        <v>4.1200000000000001E-2</v>
      </c>
      <c r="O427" s="105"/>
    </row>
    <row r="428" spans="2:15" x14ac:dyDescent="0.2">
      <c r="B428" s="1">
        <v>413</v>
      </c>
      <c r="C428" s="106">
        <f t="shared" ca="1" si="24"/>
        <v>0.24068457865688347</v>
      </c>
      <c r="D428" s="106">
        <f t="shared" ca="1" si="25"/>
        <v>0.68046717341681839</v>
      </c>
      <c r="E428" s="106">
        <f t="shared" ca="1" si="26"/>
        <v>0</v>
      </c>
      <c r="F428" s="21">
        <f t="shared" ca="1" si="27"/>
        <v>0</v>
      </c>
      <c r="H428" s="21">
        <v>413</v>
      </c>
      <c r="I428" s="107">
        <v>0.66766872758951112</v>
      </c>
      <c r="J428" s="108">
        <v>1.3200978085768425E-3</v>
      </c>
      <c r="K428" s="108"/>
      <c r="L428" s="108">
        <v>4.36E-2</v>
      </c>
      <c r="O428" s="105"/>
    </row>
    <row r="429" spans="2:15" x14ac:dyDescent="0.2">
      <c r="B429" s="1">
        <v>414</v>
      </c>
      <c r="C429" s="106">
        <f t="shared" ca="1" si="24"/>
        <v>2.6694557489414912</v>
      </c>
      <c r="D429" s="106">
        <f t="shared" ca="1" si="25"/>
        <v>0.86467766012767655</v>
      </c>
      <c r="E429" s="106">
        <f t="shared" ca="1" si="26"/>
        <v>7.6477660127676539E-2</v>
      </c>
      <c r="F429" s="21">
        <f t="shared" ca="1" si="27"/>
        <v>1</v>
      </c>
      <c r="H429" s="21">
        <v>414</v>
      </c>
      <c r="I429" s="107">
        <v>0.66776335560308653</v>
      </c>
      <c r="J429" s="108">
        <v>1.4038880522352344E-3</v>
      </c>
      <c r="K429" s="108"/>
      <c r="L429" s="108">
        <v>4.1799999999999997E-2</v>
      </c>
      <c r="O429" s="105"/>
    </row>
    <row r="430" spans="2:15" x14ac:dyDescent="0.2">
      <c r="B430" s="1">
        <v>415</v>
      </c>
      <c r="C430" s="106">
        <f t="shared" ca="1" si="24"/>
        <v>3.4583042386259921E-2</v>
      </c>
      <c r="D430" s="106">
        <f t="shared" ca="1" si="25"/>
        <v>0.66677286336179553</v>
      </c>
      <c r="E430" s="106">
        <f t="shared" ca="1" si="26"/>
        <v>0</v>
      </c>
      <c r="F430" s="21">
        <f t="shared" ca="1" si="27"/>
        <v>0</v>
      </c>
      <c r="H430" s="21">
        <v>415</v>
      </c>
      <c r="I430" s="107">
        <v>0.6678029577298521</v>
      </c>
      <c r="J430" s="108">
        <v>1.4124479826358935E-3</v>
      </c>
      <c r="K430" s="108"/>
      <c r="L430" s="108">
        <v>4.2200000000000001E-2</v>
      </c>
      <c r="O430" s="105"/>
    </row>
    <row r="431" spans="2:15" x14ac:dyDescent="0.2">
      <c r="B431" s="1">
        <v>416</v>
      </c>
      <c r="C431" s="106">
        <f t="shared" ca="1" si="24"/>
        <v>-0.85619727824391501</v>
      </c>
      <c r="D431" s="106">
        <f t="shared" ca="1" si="25"/>
        <v>0.61068525861767564</v>
      </c>
      <c r="E431" s="106">
        <f t="shared" ca="1" si="26"/>
        <v>0</v>
      </c>
      <c r="F431" s="21">
        <f t="shared" ca="1" si="27"/>
        <v>0</v>
      </c>
      <c r="H431" s="21">
        <v>416</v>
      </c>
      <c r="I431" s="107">
        <v>0.66775909064853534</v>
      </c>
      <c r="J431" s="108">
        <v>1.3261549979117361E-3</v>
      </c>
      <c r="K431" s="108"/>
      <c r="L431" s="108">
        <v>3.9800000000000002E-2</v>
      </c>
      <c r="O431" s="105"/>
    </row>
    <row r="432" spans="2:15" x14ac:dyDescent="0.2">
      <c r="B432" s="1">
        <v>417</v>
      </c>
      <c r="C432" s="106">
        <f t="shared" ca="1" si="24"/>
        <v>-2.1459987237709588</v>
      </c>
      <c r="D432" s="106">
        <f t="shared" ca="1" si="25"/>
        <v>0.53772860266883393</v>
      </c>
      <c r="E432" s="106">
        <f t="shared" ca="1" si="26"/>
        <v>0</v>
      </c>
      <c r="F432" s="21">
        <f t="shared" ca="1" si="27"/>
        <v>0</v>
      </c>
      <c r="H432" s="21">
        <v>417</v>
      </c>
      <c r="I432" s="107">
        <v>0.66765230232336759</v>
      </c>
      <c r="J432" s="108">
        <v>1.2063217818784207E-3</v>
      </c>
      <c r="K432" s="108"/>
      <c r="L432" s="108">
        <v>3.9399999999999998E-2</v>
      </c>
      <c r="O432" s="105"/>
    </row>
    <row r="433" spans="2:15" x14ac:dyDescent="0.2">
      <c r="B433" s="1">
        <v>418</v>
      </c>
      <c r="C433" s="106">
        <f t="shared" ca="1" si="24"/>
        <v>-0.92805951701580369</v>
      </c>
      <c r="D433" s="106">
        <f t="shared" ca="1" si="25"/>
        <v>0.60637167002004333</v>
      </c>
      <c r="E433" s="106">
        <f t="shared" ca="1" si="26"/>
        <v>0</v>
      </c>
      <c r="F433" s="21">
        <f t="shared" ca="1" si="27"/>
        <v>0</v>
      </c>
      <c r="H433" s="21">
        <v>418</v>
      </c>
      <c r="I433" s="107">
        <v>0.6676839526761511</v>
      </c>
      <c r="J433" s="108">
        <v>1.3427463039431245E-3</v>
      </c>
      <c r="K433" s="108"/>
      <c r="L433" s="108">
        <v>4.1200000000000001E-2</v>
      </c>
      <c r="O433" s="105"/>
    </row>
    <row r="434" spans="2:15" x14ac:dyDescent="0.2">
      <c r="B434" s="1">
        <v>419</v>
      </c>
      <c r="C434" s="106">
        <f t="shared" ca="1" si="24"/>
        <v>7.675952810300786E-2</v>
      </c>
      <c r="D434" s="106">
        <f t="shared" ca="1" si="25"/>
        <v>0.66955264657317304</v>
      </c>
      <c r="E434" s="106">
        <f t="shared" ca="1" si="26"/>
        <v>0</v>
      </c>
      <c r="F434" s="21">
        <f t="shared" ca="1" si="27"/>
        <v>0</v>
      </c>
      <c r="H434" s="21">
        <v>419</v>
      </c>
      <c r="I434" s="107">
        <v>0.66772936924096304</v>
      </c>
      <c r="J434" s="108">
        <v>1.2805164348141189E-3</v>
      </c>
      <c r="K434" s="108"/>
      <c r="L434" s="108">
        <v>4.1599999999999998E-2</v>
      </c>
      <c r="O434" s="105"/>
    </row>
    <row r="435" spans="2:15" x14ac:dyDescent="0.2">
      <c r="B435" s="1">
        <v>420</v>
      </c>
      <c r="C435" s="106">
        <f t="shared" ca="1" si="24"/>
        <v>0.6596835809163224</v>
      </c>
      <c r="D435" s="106">
        <f t="shared" ca="1" si="25"/>
        <v>0.70918058583650845</v>
      </c>
      <c r="E435" s="106">
        <f t="shared" ca="1" si="26"/>
        <v>0</v>
      </c>
      <c r="F435" s="21">
        <f t="shared" ca="1" si="27"/>
        <v>0</v>
      </c>
      <c r="H435" s="21">
        <v>420</v>
      </c>
      <c r="I435" s="107">
        <v>0.66789829143881896</v>
      </c>
      <c r="J435" s="108">
        <v>1.4964660329972177E-3</v>
      </c>
      <c r="K435" s="108"/>
      <c r="L435" s="108">
        <v>4.7399999999999998E-2</v>
      </c>
      <c r="O435" s="105"/>
    </row>
    <row r="436" spans="2:15" x14ac:dyDescent="0.2">
      <c r="B436" s="1">
        <v>421</v>
      </c>
      <c r="C436" s="106">
        <f t="shared" ca="1" si="24"/>
        <v>0.30938917925912046</v>
      </c>
      <c r="D436" s="106">
        <f t="shared" ca="1" si="25"/>
        <v>0.68509443830646732</v>
      </c>
      <c r="E436" s="106">
        <f t="shared" ca="1" si="26"/>
        <v>0</v>
      </c>
      <c r="F436" s="21">
        <f t="shared" ca="1" si="27"/>
        <v>0</v>
      </c>
      <c r="H436" s="21">
        <v>421</v>
      </c>
      <c r="I436" s="107">
        <v>0.66782650938889898</v>
      </c>
      <c r="J436" s="108">
        <v>1.511579340746442E-3</v>
      </c>
      <c r="K436" s="108"/>
      <c r="L436" s="108">
        <v>4.4600000000000001E-2</v>
      </c>
      <c r="O436" s="105"/>
    </row>
    <row r="437" spans="2:15" x14ac:dyDescent="0.2">
      <c r="B437" s="1">
        <v>422</v>
      </c>
      <c r="C437" s="106">
        <f t="shared" ca="1" si="24"/>
        <v>-1.2181578256973906</v>
      </c>
      <c r="D437" s="106">
        <f t="shared" ca="1" si="25"/>
        <v>0.58926584593811104</v>
      </c>
      <c r="E437" s="106">
        <f t="shared" ca="1" si="26"/>
        <v>0</v>
      </c>
      <c r="F437" s="21">
        <f t="shared" ca="1" si="27"/>
        <v>0</v>
      </c>
      <c r="H437" s="21">
        <v>422</v>
      </c>
      <c r="I437" s="107">
        <v>0.66766365976450159</v>
      </c>
      <c r="J437" s="108">
        <v>1.2301027594154566E-3</v>
      </c>
      <c r="K437" s="108"/>
      <c r="L437" s="108">
        <v>3.9800000000000002E-2</v>
      </c>
      <c r="O437" s="105"/>
    </row>
    <row r="438" spans="2:15" x14ac:dyDescent="0.2">
      <c r="B438" s="1">
        <v>423</v>
      </c>
      <c r="C438" s="106">
        <f t="shared" ca="1" si="24"/>
        <v>2.0816788869562388</v>
      </c>
      <c r="D438" s="106">
        <f t="shared" ca="1" si="25"/>
        <v>0.81597009116594765</v>
      </c>
      <c r="E438" s="106">
        <f t="shared" ca="1" si="26"/>
        <v>2.7770091165947641E-2</v>
      </c>
      <c r="F438" s="21">
        <f t="shared" ca="1" si="27"/>
        <v>1</v>
      </c>
      <c r="H438" s="21">
        <v>423</v>
      </c>
      <c r="I438" s="107">
        <v>0.6676953363921313</v>
      </c>
      <c r="J438" s="108">
        <v>1.4003716721800892E-3</v>
      </c>
      <c r="K438" s="108"/>
      <c r="L438" s="108">
        <v>4.1200000000000001E-2</v>
      </c>
      <c r="O438" s="105"/>
    </row>
    <row r="439" spans="2:15" x14ac:dyDescent="0.2">
      <c r="B439" s="1">
        <v>424</v>
      </c>
      <c r="C439" s="106">
        <f t="shared" ca="1" si="24"/>
        <v>0.18079010921616806</v>
      </c>
      <c r="D439" s="106">
        <f t="shared" ca="1" si="25"/>
        <v>0.67645877840927382</v>
      </c>
      <c r="E439" s="106">
        <f t="shared" ca="1" si="26"/>
        <v>0</v>
      </c>
      <c r="F439" s="21">
        <f t="shared" ca="1" si="27"/>
        <v>0</v>
      </c>
      <c r="H439" s="21">
        <v>424</v>
      </c>
      <c r="I439" s="107">
        <v>0.66787087755231211</v>
      </c>
      <c r="J439" s="108">
        <v>1.5472020375805673E-3</v>
      </c>
      <c r="K439" s="108"/>
      <c r="L439" s="108">
        <v>4.24E-2</v>
      </c>
      <c r="O439" s="105"/>
    </row>
    <row r="440" spans="2:15" x14ac:dyDescent="0.2">
      <c r="B440" s="1">
        <v>425</v>
      </c>
      <c r="C440" s="106">
        <f t="shared" ca="1" si="24"/>
        <v>-0.64591310292851056</v>
      </c>
      <c r="D440" s="106">
        <f t="shared" ca="1" si="25"/>
        <v>0.62348481556429791</v>
      </c>
      <c r="E440" s="106">
        <f t="shared" ca="1" si="26"/>
        <v>0</v>
      </c>
      <c r="F440" s="21">
        <f t="shared" ca="1" si="27"/>
        <v>0</v>
      </c>
      <c r="H440" s="21">
        <v>425</v>
      </c>
      <c r="I440" s="107">
        <v>0.66772351581535194</v>
      </c>
      <c r="J440" s="108">
        <v>1.4547238558171791E-3</v>
      </c>
      <c r="K440" s="108"/>
      <c r="L440" s="108">
        <v>4.1000000000000002E-2</v>
      </c>
      <c r="O440" s="105"/>
    </row>
    <row r="441" spans="2:15" x14ac:dyDescent="0.2">
      <c r="B441" s="1">
        <v>426</v>
      </c>
      <c r="C441" s="106">
        <f t="shared" ca="1" si="24"/>
        <v>1.2444252301890628</v>
      </c>
      <c r="D441" s="106">
        <f t="shared" ca="1" si="25"/>
        <v>0.75128861881396514</v>
      </c>
      <c r="E441" s="106">
        <f t="shared" ca="1" si="26"/>
        <v>0</v>
      </c>
      <c r="F441" s="21">
        <f t="shared" ca="1" si="27"/>
        <v>0</v>
      </c>
      <c r="H441" s="21">
        <v>426</v>
      </c>
      <c r="I441" s="107">
        <v>0.6675659027041887</v>
      </c>
      <c r="J441" s="108">
        <v>1.1809595107382909E-3</v>
      </c>
      <c r="K441" s="108"/>
      <c r="L441" s="108">
        <v>3.9E-2</v>
      </c>
      <c r="O441" s="105"/>
    </row>
    <row r="442" spans="2:15" x14ac:dyDescent="0.2">
      <c r="B442" s="1">
        <v>427</v>
      </c>
      <c r="C442" s="106">
        <f t="shared" ca="1" si="24"/>
        <v>0.16954320482421356</v>
      </c>
      <c r="D442" s="106">
        <f t="shared" ca="1" si="25"/>
        <v>0.67570872470887133</v>
      </c>
      <c r="E442" s="106">
        <f t="shared" ca="1" si="26"/>
        <v>0</v>
      </c>
      <c r="F442" s="21">
        <f t="shared" ca="1" si="27"/>
        <v>0</v>
      </c>
      <c r="H442" s="21">
        <v>427</v>
      </c>
      <c r="I442" s="107">
        <v>0.66761920279424813</v>
      </c>
      <c r="J442" s="108">
        <v>1.4028328520201533E-3</v>
      </c>
      <c r="K442" s="108"/>
      <c r="L442" s="108">
        <v>4.2599999999999999E-2</v>
      </c>
      <c r="O442" s="105"/>
    </row>
    <row r="443" spans="2:15" x14ac:dyDescent="0.2">
      <c r="B443" s="1">
        <v>428</v>
      </c>
      <c r="C443" s="106">
        <f t="shared" ca="1" si="24"/>
        <v>0.94586516031263024</v>
      </c>
      <c r="D443" s="106">
        <f t="shared" ca="1" si="25"/>
        <v>0.72948552797751631</v>
      </c>
      <c r="E443" s="106">
        <f t="shared" ca="1" si="26"/>
        <v>0</v>
      </c>
      <c r="F443" s="21">
        <f t="shared" ca="1" si="27"/>
        <v>0</v>
      </c>
      <c r="H443" s="21">
        <v>428</v>
      </c>
      <c r="I443" s="107">
        <v>0.66762402199290538</v>
      </c>
      <c r="J443" s="108">
        <v>1.1875051446148103E-3</v>
      </c>
      <c r="K443" s="108"/>
      <c r="L443" s="108">
        <v>3.5999999999999997E-2</v>
      </c>
      <c r="O443" s="105"/>
    </row>
    <row r="444" spans="2:15" x14ac:dyDescent="0.2">
      <c r="B444" s="1">
        <v>429</v>
      </c>
      <c r="C444" s="106">
        <f t="shared" ca="1" si="24"/>
        <v>0.53674123547266928</v>
      </c>
      <c r="D444" s="106">
        <f t="shared" ca="1" si="25"/>
        <v>0.70063215293751768</v>
      </c>
      <c r="E444" s="106">
        <f t="shared" ca="1" si="26"/>
        <v>0</v>
      </c>
      <c r="F444" s="21">
        <f t="shared" ca="1" si="27"/>
        <v>0</v>
      </c>
      <c r="H444" s="21">
        <v>429</v>
      </c>
      <c r="I444" s="107">
        <v>0.66777088337938162</v>
      </c>
      <c r="J444" s="108">
        <v>1.4611667547962679E-3</v>
      </c>
      <c r="K444" s="108"/>
      <c r="L444" s="108">
        <v>4.4400000000000002E-2</v>
      </c>
      <c r="O444" s="105"/>
    </row>
    <row r="445" spans="2:15" x14ac:dyDescent="0.2">
      <c r="B445" s="1">
        <v>430</v>
      </c>
      <c r="C445" s="106">
        <f t="shared" ca="1" si="24"/>
        <v>0.43470767078575961</v>
      </c>
      <c r="D445" s="106">
        <f t="shared" ca="1" si="25"/>
        <v>0.69361585003786674</v>
      </c>
      <c r="E445" s="106">
        <f t="shared" ca="1" si="26"/>
        <v>0</v>
      </c>
      <c r="F445" s="21">
        <f t="shared" ca="1" si="27"/>
        <v>0</v>
      </c>
      <c r="H445" s="21">
        <v>430</v>
      </c>
      <c r="I445" s="107">
        <v>0.6677188437333873</v>
      </c>
      <c r="J445" s="108">
        <v>1.4598697512909734E-3</v>
      </c>
      <c r="K445" s="108"/>
      <c r="L445" s="108">
        <v>4.02E-2</v>
      </c>
      <c r="O445" s="105"/>
    </row>
    <row r="446" spans="2:15" x14ac:dyDescent="0.2">
      <c r="B446" s="1">
        <v>431</v>
      </c>
      <c r="C446" s="106">
        <f t="shared" ca="1" si="24"/>
        <v>-1.0232168217132895</v>
      </c>
      <c r="D446" s="106">
        <f t="shared" ca="1" si="25"/>
        <v>0.60070662598841296</v>
      </c>
      <c r="E446" s="106">
        <f t="shared" ca="1" si="26"/>
        <v>0</v>
      </c>
      <c r="F446" s="21">
        <f t="shared" ca="1" si="27"/>
        <v>0</v>
      </c>
      <c r="H446" s="21">
        <v>431</v>
      </c>
      <c r="I446" s="107">
        <v>0.66786325436053351</v>
      </c>
      <c r="J446" s="108">
        <v>1.4550396347977408E-3</v>
      </c>
      <c r="K446" s="108"/>
      <c r="L446" s="108">
        <v>4.3999999999999997E-2</v>
      </c>
      <c r="O446" s="105"/>
    </row>
    <row r="447" spans="2:15" x14ac:dyDescent="0.2">
      <c r="B447" s="1">
        <v>432</v>
      </c>
      <c r="C447" s="106">
        <f t="shared" ca="1" si="24"/>
        <v>0.26091096443827527</v>
      </c>
      <c r="D447" s="106">
        <f t="shared" ca="1" si="25"/>
        <v>0.68182616786062256</v>
      </c>
      <c r="E447" s="106">
        <f t="shared" ca="1" si="26"/>
        <v>0</v>
      </c>
      <c r="F447" s="21">
        <f t="shared" ca="1" si="27"/>
        <v>0</v>
      </c>
      <c r="H447" s="21">
        <v>432</v>
      </c>
      <c r="I447" s="107">
        <v>0.66776246354598334</v>
      </c>
      <c r="J447" s="108">
        <v>1.4251093162578573E-3</v>
      </c>
      <c r="K447" s="108"/>
      <c r="L447" s="108">
        <v>4.2999999999999997E-2</v>
      </c>
      <c r="O447" s="105"/>
    </row>
    <row r="448" spans="2:15" x14ac:dyDescent="0.2">
      <c r="B448" s="1">
        <v>433</v>
      </c>
      <c r="C448" s="106">
        <f t="shared" ca="1" si="24"/>
        <v>-0.39856494067958298</v>
      </c>
      <c r="D448" s="106">
        <f t="shared" ca="1" si="25"/>
        <v>0.63888416462509023</v>
      </c>
      <c r="E448" s="106">
        <f t="shared" ca="1" si="26"/>
        <v>0</v>
      </c>
      <c r="F448" s="21">
        <f t="shared" ca="1" si="27"/>
        <v>0</v>
      </c>
      <c r="H448" s="21">
        <v>433</v>
      </c>
      <c r="I448" s="107">
        <v>0.66788848122476407</v>
      </c>
      <c r="J448" s="108">
        <v>1.469465204644822E-3</v>
      </c>
      <c r="K448" s="108"/>
      <c r="L448" s="108">
        <v>4.3999999999999997E-2</v>
      </c>
      <c r="O448" s="105"/>
    </row>
    <row r="449" spans="2:15" x14ac:dyDescent="0.2">
      <c r="B449" s="1">
        <v>434</v>
      </c>
      <c r="C449" s="106">
        <f t="shared" ca="1" si="24"/>
        <v>0.91571326047335744</v>
      </c>
      <c r="D449" s="106">
        <f t="shared" ca="1" si="25"/>
        <v>0.72731909838861586</v>
      </c>
      <c r="E449" s="106">
        <f t="shared" ca="1" si="26"/>
        <v>0</v>
      </c>
      <c r="F449" s="21">
        <f t="shared" ca="1" si="27"/>
        <v>0</v>
      </c>
      <c r="H449" s="21">
        <v>434</v>
      </c>
      <c r="I449" s="107">
        <v>0.66760076410445146</v>
      </c>
      <c r="J449" s="108">
        <v>1.2878873466037157E-3</v>
      </c>
      <c r="K449" s="108"/>
      <c r="L449" s="108">
        <v>3.8600000000000002E-2</v>
      </c>
      <c r="O449" s="105"/>
    </row>
    <row r="450" spans="2:15" x14ac:dyDescent="0.2">
      <c r="B450" s="1">
        <v>435</v>
      </c>
      <c r="C450" s="106">
        <f t="shared" ca="1" si="24"/>
        <v>0.10009934569420049</v>
      </c>
      <c r="D450" s="106">
        <f t="shared" ca="1" si="25"/>
        <v>0.67109591374088695</v>
      </c>
      <c r="E450" s="106">
        <f t="shared" ca="1" si="26"/>
        <v>0</v>
      </c>
      <c r="F450" s="21">
        <f t="shared" ca="1" si="27"/>
        <v>0</v>
      </c>
      <c r="H450" s="21">
        <v>435</v>
      </c>
      <c r="I450" s="107">
        <v>0.66782025814303447</v>
      </c>
      <c r="J450" s="108">
        <v>1.4428046326765847E-3</v>
      </c>
      <c r="K450" s="108"/>
      <c r="L450" s="108">
        <v>4.24E-2</v>
      </c>
      <c r="O450" s="105"/>
    </row>
    <row r="451" spans="2:15" x14ac:dyDescent="0.2">
      <c r="B451" s="1">
        <v>436</v>
      </c>
      <c r="C451" s="106">
        <f t="shared" ca="1" si="24"/>
        <v>1.645154989776866</v>
      </c>
      <c r="D451" s="106">
        <f t="shared" ca="1" si="25"/>
        <v>0.78158069834064048</v>
      </c>
      <c r="E451" s="106">
        <f t="shared" ca="1" si="26"/>
        <v>0</v>
      </c>
      <c r="F451" s="21">
        <f t="shared" ca="1" si="27"/>
        <v>0</v>
      </c>
      <c r="H451" s="21">
        <v>436</v>
      </c>
      <c r="I451" s="107">
        <v>0.66766774292621089</v>
      </c>
      <c r="J451" s="108">
        <v>1.4030106257965252E-3</v>
      </c>
      <c r="K451" s="108"/>
      <c r="L451" s="108">
        <v>3.9800000000000002E-2</v>
      </c>
      <c r="O451" s="105"/>
    </row>
    <row r="452" spans="2:15" x14ac:dyDescent="0.2">
      <c r="B452" s="1">
        <v>437</v>
      </c>
      <c r="C452" s="106">
        <f t="shared" ca="1" si="24"/>
        <v>0.35567965450960243</v>
      </c>
      <c r="D452" s="106">
        <f t="shared" ca="1" si="25"/>
        <v>0.68822983782350133</v>
      </c>
      <c r="E452" s="106">
        <f t="shared" ca="1" si="26"/>
        <v>0</v>
      </c>
      <c r="F452" s="21">
        <f t="shared" ca="1" si="27"/>
        <v>0</v>
      </c>
      <c r="H452" s="21">
        <v>437</v>
      </c>
      <c r="I452" s="107">
        <v>0.66778369692585704</v>
      </c>
      <c r="J452" s="108">
        <v>1.5122993062735232E-3</v>
      </c>
      <c r="K452" s="108"/>
      <c r="L452" s="108">
        <v>4.3799999999999999E-2</v>
      </c>
      <c r="O452" s="105"/>
    </row>
    <row r="453" spans="2:15" x14ac:dyDescent="0.2">
      <c r="B453" s="1">
        <v>438</v>
      </c>
      <c r="C453" s="106">
        <f t="shared" ca="1" si="24"/>
        <v>1.533028565495131</v>
      </c>
      <c r="D453" s="106">
        <f t="shared" ca="1" si="25"/>
        <v>0.77298381171831565</v>
      </c>
      <c r="E453" s="106">
        <f t="shared" ca="1" si="26"/>
        <v>0</v>
      </c>
      <c r="F453" s="21">
        <f t="shared" ca="1" si="27"/>
        <v>0</v>
      </c>
      <c r="H453" s="21">
        <v>438</v>
      </c>
      <c r="I453" s="107">
        <v>0.66772465742280251</v>
      </c>
      <c r="J453" s="108">
        <v>1.4666029651089396E-3</v>
      </c>
      <c r="K453" s="108"/>
      <c r="L453" s="108">
        <v>4.2999999999999997E-2</v>
      </c>
      <c r="O453" s="105"/>
    </row>
    <row r="454" spans="2:15" x14ac:dyDescent="0.2">
      <c r="B454" s="1">
        <v>439</v>
      </c>
      <c r="C454" s="106">
        <f t="shared" ca="1" si="24"/>
        <v>1.1255969936099555</v>
      </c>
      <c r="D454" s="106">
        <f t="shared" ca="1" si="25"/>
        <v>0.74253389228390299</v>
      </c>
      <c r="E454" s="106">
        <f t="shared" ca="1" si="26"/>
        <v>0</v>
      </c>
      <c r="F454" s="21">
        <f t="shared" ca="1" si="27"/>
        <v>0</v>
      </c>
      <c r="H454" s="21">
        <v>439</v>
      </c>
      <c r="I454" s="107">
        <v>0.66770147590113882</v>
      </c>
      <c r="J454" s="108">
        <v>1.3594608762860371E-3</v>
      </c>
      <c r="K454" s="108"/>
      <c r="L454" s="108">
        <v>4.1799999999999997E-2</v>
      </c>
      <c r="O454" s="105"/>
    </row>
    <row r="455" spans="2:15" x14ac:dyDescent="0.2">
      <c r="B455" s="1">
        <v>440</v>
      </c>
      <c r="C455" s="106">
        <f t="shared" ca="1" si="24"/>
        <v>0.33578321049438448</v>
      </c>
      <c r="D455" s="106">
        <f t="shared" ca="1" si="25"/>
        <v>0.68688043455992209</v>
      </c>
      <c r="E455" s="106">
        <f t="shared" ca="1" si="26"/>
        <v>0</v>
      </c>
      <c r="F455" s="21">
        <f t="shared" ca="1" si="27"/>
        <v>0</v>
      </c>
      <c r="H455" s="21">
        <v>440</v>
      </c>
      <c r="I455" s="107">
        <v>0.66770703936460696</v>
      </c>
      <c r="J455" s="108">
        <v>1.2974138768220424E-3</v>
      </c>
      <c r="K455" s="108"/>
      <c r="L455" s="108">
        <v>4.3200000000000002E-2</v>
      </c>
      <c r="O455" s="105"/>
    </row>
    <row r="456" spans="2:15" x14ac:dyDescent="0.2">
      <c r="B456" s="1">
        <v>441</v>
      </c>
      <c r="C456" s="106">
        <f t="shared" ca="1" si="24"/>
        <v>0.68285848732395504</v>
      </c>
      <c r="D456" s="106">
        <f t="shared" ca="1" si="25"/>
        <v>0.71080362956759313</v>
      </c>
      <c r="E456" s="106">
        <f t="shared" ca="1" si="26"/>
        <v>0</v>
      </c>
      <c r="F456" s="21">
        <f t="shared" ca="1" si="27"/>
        <v>0</v>
      </c>
      <c r="H456" s="21">
        <v>441</v>
      </c>
      <c r="I456" s="107">
        <v>0.66777649868822031</v>
      </c>
      <c r="J456" s="108">
        <v>1.2891487795752357E-3</v>
      </c>
      <c r="K456" s="108"/>
      <c r="L456" s="108">
        <v>4.3400000000000001E-2</v>
      </c>
      <c r="O456" s="105"/>
    </row>
    <row r="457" spans="2:15" x14ac:dyDescent="0.2">
      <c r="B457" s="1">
        <v>442</v>
      </c>
      <c r="C457" s="106">
        <f t="shared" ca="1" si="24"/>
        <v>0.72824233297362018</v>
      </c>
      <c r="D457" s="106">
        <f t="shared" ca="1" si="25"/>
        <v>0.71399283357838583</v>
      </c>
      <c r="E457" s="106">
        <f t="shared" ca="1" si="26"/>
        <v>0</v>
      </c>
      <c r="F457" s="21">
        <f t="shared" ca="1" si="27"/>
        <v>0</v>
      </c>
      <c r="H457" s="21">
        <v>442</v>
      </c>
      <c r="I457" s="107">
        <v>0.66764277084369217</v>
      </c>
      <c r="J457" s="108">
        <v>1.3336790867676277E-3</v>
      </c>
      <c r="K457" s="108"/>
      <c r="L457" s="108">
        <v>0.04</v>
      </c>
      <c r="O457" s="105"/>
    </row>
    <row r="458" spans="2:15" x14ac:dyDescent="0.2">
      <c r="B458" s="1">
        <v>443</v>
      </c>
      <c r="C458" s="106">
        <f t="shared" ca="1" si="24"/>
        <v>1.4185221134790109</v>
      </c>
      <c r="D458" s="106">
        <f t="shared" ca="1" si="25"/>
        <v>0.76430202978017692</v>
      </c>
      <c r="E458" s="106">
        <f t="shared" ca="1" si="26"/>
        <v>0</v>
      </c>
      <c r="F458" s="21">
        <f t="shared" ca="1" si="27"/>
        <v>0</v>
      </c>
      <c r="H458" s="21">
        <v>443</v>
      </c>
      <c r="I458" s="107">
        <v>0.66761909278160325</v>
      </c>
      <c r="J458" s="108">
        <v>1.2600364163868423E-3</v>
      </c>
      <c r="K458" s="108"/>
      <c r="L458" s="108">
        <v>3.8199999999999998E-2</v>
      </c>
      <c r="O458" s="105"/>
    </row>
    <row r="459" spans="2:15" x14ac:dyDescent="0.2">
      <c r="B459" s="1">
        <v>444</v>
      </c>
      <c r="C459" s="106">
        <f t="shared" ca="1" si="24"/>
        <v>0.59304198938393382</v>
      </c>
      <c r="D459" s="106">
        <f t="shared" ca="1" si="25"/>
        <v>0.70453399492458924</v>
      </c>
      <c r="E459" s="106">
        <f t="shared" ca="1" si="26"/>
        <v>0</v>
      </c>
      <c r="F459" s="21">
        <f t="shared" ca="1" si="27"/>
        <v>0</v>
      </c>
      <c r="H459" s="21">
        <v>444</v>
      </c>
      <c r="I459" s="107">
        <v>0.66779779712215437</v>
      </c>
      <c r="J459" s="108">
        <v>1.3539467671957795E-3</v>
      </c>
      <c r="K459" s="108"/>
      <c r="L459" s="108">
        <v>4.48E-2</v>
      </c>
      <c r="O459" s="105"/>
    </row>
    <row r="460" spans="2:15" x14ac:dyDescent="0.2">
      <c r="B460" s="1">
        <v>445</v>
      </c>
      <c r="C460" s="106">
        <f t="shared" ca="1" si="24"/>
        <v>0.33681261204952634</v>
      </c>
      <c r="D460" s="106">
        <f t="shared" ca="1" si="25"/>
        <v>0.68695018499424454</v>
      </c>
      <c r="E460" s="106">
        <f t="shared" ca="1" si="26"/>
        <v>0</v>
      </c>
      <c r="F460" s="21">
        <f t="shared" ca="1" si="27"/>
        <v>0</v>
      </c>
      <c r="H460" s="21">
        <v>445</v>
      </c>
      <c r="I460" s="107">
        <v>0.66783341714548372</v>
      </c>
      <c r="J460" s="108">
        <v>1.5784109246333071E-3</v>
      </c>
      <c r="K460" s="108"/>
      <c r="L460" s="108">
        <v>4.3799999999999999E-2</v>
      </c>
      <c r="O460" s="105"/>
    </row>
    <row r="461" spans="2:15" x14ac:dyDescent="0.2">
      <c r="B461" s="1">
        <v>446</v>
      </c>
      <c r="C461" s="106">
        <f t="shared" ca="1" si="24"/>
        <v>-0.68577573247121248</v>
      </c>
      <c r="D461" s="106">
        <f t="shared" ca="1" si="25"/>
        <v>0.62103802295575683</v>
      </c>
      <c r="E461" s="106">
        <f t="shared" ca="1" si="26"/>
        <v>0</v>
      </c>
      <c r="F461" s="21">
        <f t="shared" ca="1" si="27"/>
        <v>0</v>
      </c>
      <c r="H461" s="21">
        <v>446</v>
      </c>
      <c r="I461" s="107">
        <v>0.66762605513065132</v>
      </c>
      <c r="J461" s="108">
        <v>1.2513717105109286E-3</v>
      </c>
      <c r="K461" s="108"/>
      <c r="L461" s="108">
        <v>4.0800000000000003E-2</v>
      </c>
      <c r="O461" s="105"/>
    </row>
    <row r="462" spans="2:15" x14ac:dyDescent="0.2">
      <c r="B462" s="1">
        <v>447</v>
      </c>
      <c r="C462" s="106">
        <f t="shared" ca="1" si="24"/>
        <v>-0.32781225580090034</v>
      </c>
      <c r="D462" s="106">
        <f t="shared" ca="1" si="25"/>
        <v>0.64335862154925694</v>
      </c>
      <c r="E462" s="106">
        <f t="shared" ca="1" si="26"/>
        <v>0</v>
      </c>
      <c r="F462" s="21">
        <f t="shared" ca="1" si="27"/>
        <v>0</v>
      </c>
      <c r="H462" s="21">
        <v>447</v>
      </c>
      <c r="I462" s="107">
        <v>0.66772121843819243</v>
      </c>
      <c r="J462" s="108">
        <v>1.3281189855943924E-3</v>
      </c>
      <c r="K462" s="108"/>
      <c r="L462" s="108">
        <v>4.3200000000000002E-2</v>
      </c>
      <c r="O462" s="105"/>
    </row>
    <row r="463" spans="2:15" x14ac:dyDescent="0.2">
      <c r="B463" s="1">
        <v>448</v>
      </c>
      <c r="C463" s="106">
        <f t="shared" ca="1" si="24"/>
        <v>-0.27327698238452924</v>
      </c>
      <c r="D463" s="106">
        <f t="shared" ca="1" si="25"/>
        <v>0.64682885085589248</v>
      </c>
      <c r="E463" s="106">
        <f t="shared" ca="1" si="26"/>
        <v>0</v>
      </c>
      <c r="F463" s="21">
        <f t="shared" ca="1" si="27"/>
        <v>0</v>
      </c>
      <c r="H463" s="21">
        <v>448</v>
      </c>
      <c r="I463" s="107">
        <v>0.66749882961437912</v>
      </c>
      <c r="J463" s="108">
        <v>1.1525985995857143E-3</v>
      </c>
      <c r="K463" s="108"/>
      <c r="L463" s="108">
        <v>3.8199999999999998E-2</v>
      </c>
      <c r="O463" s="105"/>
    </row>
    <row r="464" spans="2:15" x14ac:dyDescent="0.2">
      <c r="B464" s="1">
        <v>449</v>
      </c>
      <c r="C464" s="106">
        <f t="shared" ref="C464:C527" ca="1" si="28">_xlfn.NORM.S.INV(RAND())</f>
        <v>-0.67602534896040822</v>
      </c>
      <c r="D464" s="106">
        <f t="shared" ref="D464:D527" ca="1" si="29">S0*EXP((μ-0.5*σ*σ)*T+σ*SQRT(T)*$C464)</f>
        <v>0.62163561892057673</v>
      </c>
      <c r="E464" s="106">
        <f t="shared" ref="E464:E527" ca="1" si="30">MAX(0,CP*(D464-K))</f>
        <v>0</v>
      </c>
      <c r="F464" s="21">
        <f t="shared" ref="F464:F527" ca="1" si="31">(CP*(D464-K)&gt;0)*1</f>
        <v>0</v>
      </c>
      <c r="H464" s="21">
        <v>449</v>
      </c>
      <c r="I464" s="107">
        <v>0.66772812944956861</v>
      </c>
      <c r="J464" s="108">
        <v>1.4423501815324512E-3</v>
      </c>
      <c r="K464" s="108"/>
      <c r="L464" s="108">
        <v>4.0800000000000003E-2</v>
      </c>
      <c r="O464" s="105"/>
    </row>
    <row r="465" spans="2:15" x14ac:dyDescent="0.2">
      <c r="B465" s="1">
        <v>450</v>
      </c>
      <c r="C465" s="106">
        <f t="shared" ca="1" si="28"/>
        <v>0.88779903493757206</v>
      </c>
      <c r="D465" s="106">
        <f t="shared" ca="1" si="29"/>
        <v>0.7253191826481864</v>
      </c>
      <c r="E465" s="106">
        <f t="shared" ca="1" si="30"/>
        <v>0</v>
      </c>
      <c r="F465" s="21">
        <f t="shared" ca="1" si="31"/>
        <v>0</v>
      </c>
      <c r="H465" s="21">
        <v>450</v>
      </c>
      <c r="I465" s="107">
        <v>0.66777465976004979</v>
      </c>
      <c r="J465" s="108">
        <v>1.4177721976333291E-3</v>
      </c>
      <c r="K465" s="108"/>
      <c r="L465" s="108">
        <v>4.1200000000000001E-2</v>
      </c>
      <c r="O465" s="105"/>
    </row>
    <row r="466" spans="2:15" x14ac:dyDescent="0.2">
      <c r="B466" s="1">
        <v>451</v>
      </c>
      <c r="C466" s="106">
        <f t="shared" ca="1" si="28"/>
        <v>0.70280212759990579</v>
      </c>
      <c r="D466" s="106">
        <f t="shared" ca="1" si="29"/>
        <v>0.71220334653214135</v>
      </c>
      <c r="E466" s="106">
        <f t="shared" ca="1" si="30"/>
        <v>0</v>
      </c>
      <c r="F466" s="21">
        <f t="shared" ca="1" si="31"/>
        <v>0</v>
      </c>
      <c r="H466" s="21">
        <v>451</v>
      </c>
      <c r="I466" s="107">
        <v>0.66777919157017174</v>
      </c>
      <c r="J466" s="108">
        <v>1.3686048321316926E-3</v>
      </c>
      <c r="K466" s="108"/>
      <c r="L466" s="108">
        <v>4.1599999999999998E-2</v>
      </c>
      <c r="O466" s="105"/>
    </row>
    <row r="467" spans="2:15" x14ac:dyDescent="0.2">
      <c r="B467" s="1">
        <v>452</v>
      </c>
      <c r="C467" s="106">
        <f t="shared" ca="1" si="28"/>
        <v>1.6830750127435423</v>
      </c>
      <c r="D467" s="106">
        <f t="shared" ca="1" si="29"/>
        <v>0.78450966080707896</v>
      </c>
      <c r="E467" s="106">
        <f t="shared" ca="1" si="30"/>
        <v>0</v>
      </c>
      <c r="F467" s="21">
        <f t="shared" ca="1" si="31"/>
        <v>0</v>
      </c>
      <c r="H467" s="21">
        <v>452</v>
      </c>
      <c r="I467" s="107">
        <v>0.6677935196867244</v>
      </c>
      <c r="J467" s="108">
        <v>1.4882906860660548E-3</v>
      </c>
      <c r="K467" s="108"/>
      <c r="L467" s="108">
        <v>4.3200000000000002E-2</v>
      </c>
      <c r="O467" s="105"/>
    </row>
    <row r="468" spans="2:15" x14ac:dyDescent="0.2">
      <c r="B468" s="1">
        <v>453</v>
      </c>
      <c r="C468" s="106">
        <f t="shared" ca="1" si="28"/>
        <v>0.60135283771706982</v>
      </c>
      <c r="D468" s="106">
        <f t="shared" ca="1" si="29"/>
        <v>0.7051118038403299</v>
      </c>
      <c r="E468" s="106">
        <f t="shared" ca="1" si="30"/>
        <v>0</v>
      </c>
      <c r="F468" s="21">
        <f t="shared" ca="1" si="31"/>
        <v>0</v>
      </c>
      <c r="H468" s="21">
        <v>453</v>
      </c>
      <c r="I468" s="107">
        <v>0.66775971029999104</v>
      </c>
      <c r="J468" s="108">
        <v>1.5432418307686311E-3</v>
      </c>
      <c r="K468" s="108"/>
      <c r="L468" s="108">
        <v>4.24E-2</v>
      </c>
      <c r="O468" s="105"/>
    </row>
    <row r="469" spans="2:15" x14ac:dyDescent="0.2">
      <c r="B469" s="1">
        <v>454</v>
      </c>
      <c r="C469" s="106">
        <f t="shared" ca="1" si="28"/>
        <v>0.3156175501344255</v>
      </c>
      <c r="D469" s="106">
        <f t="shared" ca="1" si="29"/>
        <v>0.68551547236102917</v>
      </c>
      <c r="E469" s="106">
        <f t="shared" ca="1" si="30"/>
        <v>0</v>
      </c>
      <c r="F469" s="21">
        <f t="shared" ca="1" si="31"/>
        <v>0</v>
      </c>
      <c r="H469" s="21">
        <v>454</v>
      </c>
      <c r="I469" s="107">
        <v>0.66780703663376639</v>
      </c>
      <c r="J469" s="108">
        <v>1.3780101802789205E-3</v>
      </c>
      <c r="K469" s="108"/>
      <c r="L469" s="108">
        <v>4.3200000000000002E-2</v>
      </c>
      <c r="O469" s="105"/>
    </row>
    <row r="470" spans="2:15" x14ac:dyDescent="0.2">
      <c r="B470" s="1">
        <v>455</v>
      </c>
      <c r="C470" s="106">
        <f t="shared" ca="1" si="28"/>
        <v>0.80038711664535322</v>
      </c>
      <c r="D470" s="106">
        <f t="shared" ca="1" si="29"/>
        <v>0.71909205563145195</v>
      </c>
      <c r="E470" s="106">
        <f t="shared" ca="1" si="30"/>
        <v>0</v>
      </c>
      <c r="F470" s="21">
        <f t="shared" ca="1" si="31"/>
        <v>0</v>
      </c>
      <c r="H470" s="21">
        <v>455</v>
      </c>
      <c r="I470" s="107">
        <v>0.66786914394652552</v>
      </c>
      <c r="J470" s="108">
        <v>1.3423430500761069E-3</v>
      </c>
      <c r="K470" s="108"/>
      <c r="L470" s="108">
        <v>4.9200000000000001E-2</v>
      </c>
      <c r="O470" s="105"/>
    </row>
    <row r="471" spans="2:15" x14ac:dyDescent="0.2">
      <c r="B471" s="1">
        <v>456</v>
      </c>
      <c r="C471" s="106">
        <f t="shared" ca="1" si="28"/>
        <v>-9.7444372062896564E-2</v>
      </c>
      <c r="D471" s="106">
        <f t="shared" ca="1" si="29"/>
        <v>0.6581455411544147</v>
      </c>
      <c r="E471" s="106">
        <f t="shared" ca="1" si="30"/>
        <v>0</v>
      </c>
      <c r="F471" s="21">
        <f t="shared" ca="1" si="31"/>
        <v>0</v>
      </c>
      <c r="H471" s="21">
        <v>456</v>
      </c>
      <c r="I471" s="107">
        <v>0.66775408550844872</v>
      </c>
      <c r="J471" s="108">
        <v>1.3357474933875792E-3</v>
      </c>
      <c r="K471" s="108"/>
      <c r="L471" s="108">
        <v>4.3799999999999999E-2</v>
      </c>
      <c r="O471" s="105"/>
    </row>
    <row r="472" spans="2:15" x14ac:dyDescent="0.2">
      <c r="B472" s="1">
        <v>457</v>
      </c>
      <c r="C472" s="106">
        <f t="shared" ca="1" si="28"/>
        <v>1.6751849571677075</v>
      </c>
      <c r="D472" s="106">
        <f t="shared" ca="1" si="29"/>
        <v>0.78389932581848054</v>
      </c>
      <c r="E472" s="106">
        <f t="shared" ca="1" si="30"/>
        <v>0</v>
      </c>
      <c r="F472" s="21">
        <f t="shared" ca="1" si="31"/>
        <v>0</v>
      </c>
      <c r="H472" s="21">
        <v>457</v>
      </c>
      <c r="I472" s="107">
        <v>0.66771493660950187</v>
      </c>
      <c r="J472" s="108">
        <v>1.3406251928312341E-3</v>
      </c>
      <c r="K472" s="108"/>
      <c r="L472" s="108">
        <v>3.7999999999999999E-2</v>
      </c>
      <c r="O472" s="105"/>
    </row>
    <row r="473" spans="2:15" x14ac:dyDescent="0.2">
      <c r="B473" s="1">
        <v>458</v>
      </c>
      <c r="C473" s="106">
        <f t="shared" ca="1" si="28"/>
        <v>0.39886448857753642</v>
      </c>
      <c r="D473" s="106">
        <f t="shared" ca="1" si="29"/>
        <v>0.69116781885391676</v>
      </c>
      <c r="E473" s="106">
        <f t="shared" ca="1" si="30"/>
        <v>0</v>
      </c>
      <c r="F473" s="21">
        <f t="shared" ca="1" si="31"/>
        <v>0</v>
      </c>
      <c r="H473" s="21">
        <v>458</v>
      </c>
      <c r="I473" s="107">
        <v>0.66764617892399869</v>
      </c>
      <c r="J473" s="108">
        <v>1.3088623819858818E-3</v>
      </c>
      <c r="K473" s="108"/>
      <c r="L473" s="108">
        <v>4.1000000000000002E-2</v>
      </c>
      <c r="O473" s="105"/>
    </row>
    <row r="474" spans="2:15" x14ac:dyDescent="0.2">
      <c r="B474" s="1">
        <v>459</v>
      </c>
      <c r="C474" s="106">
        <f t="shared" ca="1" si="28"/>
        <v>0.97062757753372442</v>
      </c>
      <c r="D474" s="106">
        <f t="shared" ca="1" si="29"/>
        <v>0.73126954555556556</v>
      </c>
      <c r="E474" s="106">
        <f t="shared" ca="1" si="30"/>
        <v>0</v>
      </c>
      <c r="F474" s="21">
        <f t="shared" ca="1" si="31"/>
        <v>0</v>
      </c>
      <c r="H474" s="21">
        <v>459</v>
      </c>
      <c r="I474" s="107">
        <v>0.66782677145035452</v>
      </c>
      <c r="J474" s="108">
        <v>1.4673546684105968E-3</v>
      </c>
      <c r="K474" s="108"/>
      <c r="L474" s="108">
        <v>4.2999999999999997E-2</v>
      </c>
      <c r="O474" s="105"/>
    </row>
    <row r="475" spans="2:15" x14ac:dyDescent="0.2">
      <c r="B475" s="1">
        <v>460</v>
      </c>
      <c r="C475" s="106">
        <f t="shared" ca="1" si="28"/>
        <v>0.28235426070910857</v>
      </c>
      <c r="D475" s="106">
        <f t="shared" ca="1" si="29"/>
        <v>0.6832698896180468</v>
      </c>
      <c r="E475" s="106">
        <f t="shared" ca="1" si="30"/>
        <v>0</v>
      </c>
      <c r="F475" s="21">
        <f t="shared" ca="1" si="31"/>
        <v>0</v>
      </c>
      <c r="H475" s="21">
        <v>460</v>
      </c>
      <c r="I475" s="107">
        <v>0.66765686445254357</v>
      </c>
      <c r="J475" s="108">
        <v>1.2538997776105397E-3</v>
      </c>
      <c r="K475" s="108"/>
      <c r="L475" s="108">
        <v>3.7999999999999999E-2</v>
      </c>
      <c r="O475" s="105"/>
    </row>
    <row r="476" spans="2:15" x14ac:dyDescent="0.2">
      <c r="B476" s="1">
        <v>461</v>
      </c>
      <c r="C476" s="106">
        <f t="shared" ca="1" si="28"/>
        <v>1.3278136297100855</v>
      </c>
      <c r="D476" s="106">
        <f t="shared" ca="1" si="29"/>
        <v>0.75749386086770631</v>
      </c>
      <c r="E476" s="106">
        <f t="shared" ca="1" si="30"/>
        <v>0</v>
      </c>
      <c r="F476" s="21">
        <f t="shared" ca="1" si="31"/>
        <v>0</v>
      </c>
      <c r="H476" s="21">
        <v>461</v>
      </c>
      <c r="I476" s="107">
        <v>0.66767673827981167</v>
      </c>
      <c r="J476" s="108">
        <v>1.2350475568461245E-3</v>
      </c>
      <c r="K476" s="108"/>
      <c r="L476" s="108">
        <v>4.0399999999999998E-2</v>
      </c>
      <c r="O476" s="105"/>
    </row>
    <row r="477" spans="2:15" x14ac:dyDescent="0.2">
      <c r="B477" s="1">
        <v>462</v>
      </c>
      <c r="C477" s="106">
        <f t="shared" ca="1" si="28"/>
        <v>-1.2243031163030931</v>
      </c>
      <c r="D477" s="106">
        <f t="shared" ca="1" si="29"/>
        <v>0.58890875323801417</v>
      </c>
      <c r="E477" s="106">
        <f t="shared" ca="1" si="30"/>
        <v>0</v>
      </c>
      <c r="F477" s="21">
        <f t="shared" ca="1" si="31"/>
        <v>0</v>
      </c>
      <c r="H477" s="21">
        <v>462</v>
      </c>
      <c r="I477" s="107">
        <v>0.66772126894742911</v>
      </c>
      <c r="J477" s="108">
        <v>1.3370639918992326E-3</v>
      </c>
      <c r="K477" s="108"/>
      <c r="L477" s="108">
        <v>4.2599999999999999E-2</v>
      </c>
      <c r="O477" s="105"/>
    </row>
    <row r="478" spans="2:15" x14ac:dyDescent="0.2">
      <c r="B478" s="1">
        <v>463</v>
      </c>
      <c r="C478" s="106">
        <f t="shared" ca="1" si="28"/>
        <v>-0.31889339833833857</v>
      </c>
      <c r="D478" s="106">
        <f t="shared" ca="1" si="29"/>
        <v>0.6439248768785143</v>
      </c>
      <c r="E478" s="106">
        <f t="shared" ca="1" si="30"/>
        <v>0</v>
      </c>
      <c r="F478" s="21">
        <f t="shared" ca="1" si="31"/>
        <v>0</v>
      </c>
      <c r="H478" s="21">
        <v>463</v>
      </c>
      <c r="I478" s="107">
        <v>0.66765568042311429</v>
      </c>
      <c r="J478" s="108">
        <v>1.3081881187105395E-3</v>
      </c>
      <c r="K478" s="108"/>
      <c r="L478" s="108">
        <v>4.1000000000000002E-2</v>
      </c>
      <c r="O478" s="105"/>
    </row>
    <row r="479" spans="2:15" x14ac:dyDescent="0.2">
      <c r="B479" s="1">
        <v>464</v>
      </c>
      <c r="C479" s="106">
        <f t="shared" ca="1" si="28"/>
        <v>-0.11158092504823799</v>
      </c>
      <c r="D479" s="106">
        <f t="shared" ca="1" si="29"/>
        <v>0.65722843078493409</v>
      </c>
      <c r="E479" s="106">
        <f t="shared" ca="1" si="30"/>
        <v>0</v>
      </c>
      <c r="F479" s="21">
        <f t="shared" ca="1" si="31"/>
        <v>0</v>
      </c>
      <c r="H479" s="21">
        <v>464</v>
      </c>
      <c r="I479" s="107">
        <v>0.66770305440070632</v>
      </c>
      <c r="J479" s="108">
        <v>1.3686012787714438E-3</v>
      </c>
      <c r="K479" s="108"/>
      <c r="L479" s="108">
        <v>4.2200000000000001E-2</v>
      </c>
      <c r="O479" s="105"/>
    </row>
    <row r="480" spans="2:15" x14ac:dyDescent="0.2">
      <c r="B480" s="1">
        <v>465</v>
      </c>
      <c r="C480" s="106">
        <f t="shared" ca="1" si="28"/>
        <v>0.93105757705250569</v>
      </c>
      <c r="D480" s="106">
        <f t="shared" ca="1" si="29"/>
        <v>0.72842079028384399</v>
      </c>
      <c r="E480" s="106">
        <f t="shared" ca="1" si="30"/>
        <v>0</v>
      </c>
      <c r="F480" s="21">
        <f t="shared" ca="1" si="31"/>
        <v>0</v>
      </c>
      <c r="H480" s="21">
        <v>465</v>
      </c>
      <c r="I480" s="107">
        <v>0.66760358604624359</v>
      </c>
      <c r="J480" s="108">
        <v>1.2092673918831036E-3</v>
      </c>
      <c r="K480" s="108"/>
      <c r="L480" s="108">
        <v>3.78E-2</v>
      </c>
      <c r="O480" s="105"/>
    </row>
    <row r="481" spans="2:15" x14ac:dyDescent="0.2">
      <c r="B481" s="1">
        <v>466</v>
      </c>
      <c r="C481" s="106">
        <f t="shared" ca="1" si="28"/>
        <v>0.39075314842215736</v>
      </c>
      <c r="D481" s="106">
        <f t="shared" ca="1" si="29"/>
        <v>0.69061502743465153</v>
      </c>
      <c r="E481" s="106">
        <f t="shared" ca="1" si="30"/>
        <v>0</v>
      </c>
      <c r="F481" s="21">
        <f t="shared" ca="1" si="31"/>
        <v>0</v>
      </c>
      <c r="H481" s="21">
        <v>466</v>
      </c>
      <c r="I481" s="107">
        <v>0.66770994976277553</v>
      </c>
      <c r="J481" s="108">
        <v>1.3456813948168713E-3</v>
      </c>
      <c r="K481" s="108"/>
      <c r="L481" s="108">
        <v>3.9399999999999998E-2</v>
      </c>
      <c r="O481" s="105"/>
    </row>
    <row r="482" spans="2:15" x14ac:dyDescent="0.2">
      <c r="B482" s="1">
        <v>467</v>
      </c>
      <c r="C482" s="106">
        <f t="shared" ca="1" si="28"/>
        <v>1.3714940535095537</v>
      </c>
      <c r="D482" s="106">
        <f t="shared" ca="1" si="29"/>
        <v>0.76076471230335196</v>
      </c>
      <c r="E482" s="106">
        <f t="shared" ca="1" si="30"/>
        <v>0</v>
      </c>
      <c r="F482" s="21">
        <f t="shared" ca="1" si="31"/>
        <v>0</v>
      </c>
      <c r="H482" s="21">
        <v>467</v>
      </c>
      <c r="I482" s="107">
        <v>0.6677934599775821</v>
      </c>
      <c r="J482" s="108">
        <v>1.4719278162440648E-3</v>
      </c>
      <c r="K482" s="108"/>
      <c r="L482" s="108">
        <v>4.3999999999999997E-2</v>
      </c>
      <c r="O482" s="105"/>
    </row>
    <row r="483" spans="2:15" x14ac:dyDescent="0.2">
      <c r="B483" s="1">
        <v>468</v>
      </c>
      <c r="C483" s="106">
        <f t="shared" ca="1" si="28"/>
        <v>-1.1591651979237232</v>
      </c>
      <c r="D483" s="106">
        <f t="shared" ca="1" si="29"/>
        <v>0.59270484556841929</v>
      </c>
      <c r="E483" s="106">
        <f t="shared" ca="1" si="30"/>
        <v>0</v>
      </c>
      <c r="F483" s="21">
        <f t="shared" ca="1" si="31"/>
        <v>0</v>
      </c>
      <c r="H483" s="21">
        <v>468</v>
      </c>
      <c r="I483" s="107">
        <v>0.66770280588799547</v>
      </c>
      <c r="J483" s="108">
        <v>1.2526952161921014E-3</v>
      </c>
      <c r="K483" s="108"/>
      <c r="L483" s="108">
        <v>4.1200000000000001E-2</v>
      </c>
      <c r="O483" s="105"/>
    </row>
    <row r="484" spans="2:15" x14ac:dyDescent="0.2">
      <c r="B484" s="1">
        <v>469</v>
      </c>
      <c r="C484" s="106">
        <f t="shared" ca="1" si="28"/>
        <v>-1.8227455519561726</v>
      </c>
      <c r="D484" s="106">
        <f t="shared" ca="1" si="29"/>
        <v>0.55515097195793373</v>
      </c>
      <c r="E484" s="106">
        <f t="shared" ca="1" si="30"/>
        <v>0</v>
      </c>
      <c r="F484" s="21">
        <f t="shared" ca="1" si="31"/>
        <v>0</v>
      </c>
      <c r="H484" s="21">
        <v>469</v>
      </c>
      <c r="I484" s="107">
        <v>0.66781601437127169</v>
      </c>
      <c r="J484" s="108">
        <v>1.5234871179472505E-3</v>
      </c>
      <c r="K484" s="108"/>
      <c r="L484" s="108">
        <v>4.6600000000000003E-2</v>
      </c>
      <c r="O484" s="105"/>
    </row>
    <row r="485" spans="2:15" x14ac:dyDescent="0.2">
      <c r="B485" s="1">
        <v>470</v>
      </c>
      <c r="C485" s="106">
        <f t="shared" ca="1" si="28"/>
        <v>-1.1129349200232361</v>
      </c>
      <c r="D485" s="106">
        <f t="shared" ca="1" si="29"/>
        <v>0.59541387982665017</v>
      </c>
      <c r="E485" s="106">
        <f t="shared" ca="1" si="30"/>
        <v>0</v>
      </c>
      <c r="F485" s="21">
        <f t="shared" ca="1" si="31"/>
        <v>0</v>
      </c>
      <c r="H485" s="21">
        <v>470</v>
      </c>
      <c r="I485" s="107">
        <v>0.66774280721786161</v>
      </c>
      <c r="J485" s="108">
        <v>1.3225022376606903E-3</v>
      </c>
      <c r="K485" s="108"/>
      <c r="L485" s="108">
        <v>4.1799999999999997E-2</v>
      </c>
      <c r="O485" s="105"/>
    </row>
    <row r="486" spans="2:15" x14ac:dyDescent="0.2">
      <c r="B486" s="1">
        <v>471</v>
      </c>
      <c r="C486" s="106">
        <f t="shared" ca="1" si="28"/>
        <v>0.41193510560620233</v>
      </c>
      <c r="D486" s="106">
        <f t="shared" ca="1" si="29"/>
        <v>0.69205951830280077</v>
      </c>
      <c r="E486" s="106">
        <f t="shared" ca="1" si="30"/>
        <v>0</v>
      </c>
      <c r="F486" s="21">
        <f t="shared" ca="1" si="31"/>
        <v>0</v>
      </c>
      <c r="H486" s="21">
        <v>471</v>
      </c>
      <c r="I486" s="107">
        <v>0.66783894208541805</v>
      </c>
      <c r="J486" s="108">
        <v>1.4996054867770416E-3</v>
      </c>
      <c r="K486" s="108"/>
      <c r="L486" s="108">
        <v>4.6600000000000003E-2</v>
      </c>
      <c r="O486" s="105"/>
    </row>
    <row r="487" spans="2:15" x14ac:dyDescent="0.2">
      <c r="B487" s="1">
        <v>472</v>
      </c>
      <c r="C487" s="106">
        <f t="shared" ca="1" si="28"/>
        <v>-0.17120778216846821</v>
      </c>
      <c r="D487" s="106">
        <f t="shared" ca="1" si="29"/>
        <v>0.65337417441734791</v>
      </c>
      <c r="E487" s="106">
        <f t="shared" ca="1" si="30"/>
        <v>0</v>
      </c>
      <c r="F487" s="21">
        <f t="shared" ca="1" si="31"/>
        <v>0</v>
      </c>
      <c r="H487" s="21">
        <v>472</v>
      </c>
      <c r="I487" s="107">
        <v>0.66778160664957442</v>
      </c>
      <c r="J487" s="108">
        <v>1.2819946765111763E-3</v>
      </c>
      <c r="K487" s="108"/>
      <c r="L487" s="108">
        <v>3.78E-2</v>
      </c>
      <c r="O487" s="105"/>
    </row>
    <row r="488" spans="2:15" x14ac:dyDescent="0.2">
      <c r="B488" s="1">
        <v>473</v>
      </c>
      <c r="C488" s="106">
        <f t="shared" ca="1" si="28"/>
        <v>1.935920194393554</v>
      </c>
      <c r="D488" s="106">
        <f t="shared" ca="1" si="29"/>
        <v>0.80432214809133495</v>
      </c>
      <c r="E488" s="106">
        <f t="shared" ca="1" si="30"/>
        <v>1.6122148091334942E-2</v>
      </c>
      <c r="F488" s="21">
        <f t="shared" ca="1" si="31"/>
        <v>1</v>
      </c>
      <c r="H488" s="21">
        <v>473</v>
      </c>
      <c r="I488" s="107">
        <v>0.66780304670905255</v>
      </c>
      <c r="J488" s="108">
        <v>1.332154393781599E-3</v>
      </c>
      <c r="K488" s="108"/>
      <c r="L488" s="108">
        <v>4.1799999999999997E-2</v>
      </c>
      <c r="O488" s="105"/>
    </row>
    <row r="489" spans="2:15" x14ac:dyDescent="0.2">
      <c r="B489" s="1">
        <v>474</v>
      </c>
      <c r="C489" s="106">
        <f t="shared" ca="1" si="28"/>
        <v>0.26513003102830357</v>
      </c>
      <c r="D489" s="106">
        <f t="shared" ca="1" si="29"/>
        <v>0.68210998545841206</v>
      </c>
      <c r="E489" s="106">
        <f t="shared" ca="1" si="30"/>
        <v>0</v>
      </c>
      <c r="F489" s="21">
        <f t="shared" ca="1" si="31"/>
        <v>0</v>
      </c>
      <c r="H489" s="21">
        <v>474</v>
      </c>
      <c r="I489" s="107">
        <v>0.66788893757388978</v>
      </c>
      <c r="J489" s="108">
        <v>1.6195008387273877E-3</v>
      </c>
      <c r="K489" s="108"/>
      <c r="L489" s="108">
        <v>4.48E-2</v>
      </c>
      <c r="O489" s="105"/>
    </row>
    <row r="490" spans="2:15" x14ac:dyDescent="0.2">
      <c r="B490" s="1">
        <v>475</v>
      </c>
      <c r="C490" s="106">
        <f t="shared" ca="1" si="28"/>
        <v>0.19050481690540219</v>
      </c>
      <c r="D490" s="106">
        <f t="shared" ca="1" si="29"/>
        <v>0.67710732036629728</v>
      </c>
      <c r="E490" s="106">
        <f t="shared" ca="1" si="30"/>
        <v>0</v>
      </c>
      <c r="F490" s="21">
        <f t="shared" ca="1" si="31"/>
        <v>0</v>
      </c>
      <c r="H490" s="21">
        <v>475</v>
      </c>
      <c r="I490" s="107">
        <v>0.66784518458585385</v>
      </c>
      <c r="J490" s="108">
        <v>1.5254101510041355E-3</v>
      </c>
      <c r="K490" s="108"/>
      <c r="L490" s="108">
        <v>4.4400000000000002E-2</v>
      </c>
      <c r="O490" s="105"/>
    </row>
    <row r="491" spans="2:15" x14ac:dyDescent="0.2">
      <c r="B491" s="1">
        <v>476</v>
      </c>
      <c r="C491" s="106">
        <f t="shared" ca="1" si="28"/>
        <v>-2.6469674940768235</v>
      </c>
      <c r="D491" s="106">
        <f t="shared" ca="1" si="29"/>
        <v>0.51180195993111999</v>
      </c>
      <c r="E491" s="106">
        <f t="shared" ca="1" si="30"/>
        <v>0</v>
      </c>
      <c r="F491" s="21">
        <f t="shared" ca="1" si="31"/>
        <v>0</v>
      </c>
      <c r="H491" s="21">
        <v>476</v>
      </c>
      <c r="I491" s="107">
        <v>0.66776031606722741</v>
      </c>
      <c r="J491" s="108">
        <v>1.4819882058570374E-3</v>
      </c>
      <c r="K491" s="108"/>
      <c r="L491" s="108">
        <v>4.02E-2</v>
      </c>
      <c r="O491" s="105"/>
    </row>
    <row r="492" spans="2:15" x14ac:dyDescent="0.2">
      <c r="B492" s="1">
        <v>477</v>
      </c>
      <c r="C492" s="106">
        <f t="shared" ca="1" si="28"/>
        <v>-0.31610287830235634</v>
      </c>
      <c r="D492" s="106">
        <f t="shared" ca="1" si="29"/>
        <v>0.64410214842067171</v>
      </c>
      <c r="E492" s="106">
        <f t="shared" ca="1" si="30"/>
        <v>0</v>
      </c>
      <c r="F492" s="21">
        <f t="shared" ca="1" si="31"/>
        <v>0</v>
      </c>
      <c r="H492" s="21">
        <v>477</v>
      </c>
      <c r="I492" s="107">
        <v>0.66761817019084813</v>
      </c>
      <c r="J492" s="108">
        <v>1.2570174338130524E-3</v>
      </c>
      <c r="K492" s="108"/>
      <c r="L492" s="108">
        <v>3.9E-2</v>
      </c>
      <c r="O492" s="105"/>
    </row>
    <row r="493" spans="2:15" x14ac:dyDescent="0.2">
      <c r="B493" s="1">
        <v>478</v>
      </c>
      <c r="C493" s="106">
        <f t="shared" ca="1" si="28"/>
        <v>1.3853149263503566</v>
      </c>
      <c r="D493" s="106">
        <f t="shared" ca="1" si="29"/>
        <v>0.76180257715469768</v>
      </c>
      <c r="E493" s="106">
        <f t="shared" ca="1" si="30"/>
        <v>0</v>
      </c>
      <c r="F493" s="21">
        <f t="shared" ca="1" si="31"/>
        <v>0</v>
      </c>
      <c r="H493" s="21">
        <v>478</v>
      </c>
      <c r="I493" s="107">
        <v>0.66785276151928974</v>
      </c>
      <c r="J493" s="108">
        <v>1.4021400316228626E-3</v>
      </c>
      <c r="K493" s="108"/>
      <c r="L493" s="108">
        <v>4.5199999999999997E-2</v>
      </c>
      <c r="O493" s="105"/>
    </row>
    <row r="494" spans="2:15" x14ac:dyDescent="0.2">
      <c r="B494" s="1">
        <v>479</v>
      </c>
      <c r="C494" s="106">
        <f t="shared" ca="1" si="28"/>
        <v>-0.46976471777100159</v>
      </c>
      <c r="D494" s="106">
        <f t="shared" ca="1" si="29"/>
        <v>0.63441284749186511</v>
      </c>
      <c r="E494" s="106">
        <f t="shared" ca="1" si="30"/>
        <v>0</v>
      </c>
      <c r="F494" s="21">
        <f t="shared" ca="1" si="31"/>
        <v>0</v>
      </c>
      <c r="H494" s="21">
        <v>479</v>
      </c>
      <c r="I494" s="107">
        <v>0.66773247146525072</v>
      </c>
      <c r="J494" s="108">
        <v>1.3455600392427327E-3</v>
      </c>
      <c r="K494" s="108"/>
      <c r="L494" s="108">
        <v>4.1599999999999998E-2</v>
      </c>
      <c r="O494" s="105"/>
    </row>
    <row r="495" spans="2:15" x14ac:dyDescent="0.2">
      <c r="B495" s="1">
        <v>480</v>
      </c>
      <c r="C495" s="106">
        <f t="shared" ca="1" si="28"/>
        <v>0.84407799283765372</v>
      </c>
      <c r="D495" s="106">
        <f t="shared" ca="1" si="29"/>
        <v>0.72219783304271967</v>
      </c>
      <c r="E495" s="106">
        <f t="shared" ca="1" si="30"/>
        <v>0</v>
      </c>
      <c r="F495" s="21">
        <f t="shared" ca="1" si="31"/>
        <v>0</v>
      </c>
      <c r="H495" s="21">
        <v>480</v>
      </c>
      <c r="I495" s="107">
        <v>0.66778545827406255</v>
      </c>
      <c r="J495" s="108">
        <v>1.4219594367450841E-3</v>
      </c>
      <c r="K495" s="108"/>
      <c r="L495" s="108">
        <v>4.0599999999999997E-2</v>
      </c>
      <c r="O495" s="105"/>
    </row>
    <row r="496" spans="2:15" x14ac:dyDescent="0.2">
      <c r="B496" s="1">
        <v>481</v>
      </c>
      <c r="C496" s="106">
        <f t="shared" ca="1" si="28"/>
        <v>2.6341436479474125</v>
      </c>
      <c r="D496" s="106">
        <f t="shared" ca="1" si="29"/>
        <v>0.86167102627875714</v>
      </c>
      <c r="E496" s="106">
        <f t="shared" ca="1" si="30"/>
        <v>7.3471026278757123E-2</v>
      </c>
      <c r="F496" s="21">
        <f t="shared" ca="1" si="31"/>
        <v>1</v>
      </c>
      <c r="H496" s="21">
        <v>481</v>
      </c>
      <c r="I496" s="107">
        <v>0.66761842541463789</v>
      </c>
      <c r="J496" s="108">
        <v>1.1388270743074164E-3</v>
      </c>
      <c r="K496" s="108"/>
      <c r="L496" s="108">
        <v>3.7600000000000001E-2</v>
      </c>
      <c r="O496" s="105"/>
    </row>
    <row r="497" spans="2:15" x14ac:dyDescent="0.2">
      <c r="B497" s="1">
        <v>482</v>
      </c>
      <c r="C497" s="106">
        <f t="shared" ca="1" si="28"/>
        <v>0.58454774973414303</v>
      </c>
      <c r="D497" s="106">
        <f t="shared" ca="1" si="29"/>
        <v>0.70394392506403558</v>
      </c>
      <c r="E497" s="106">
        <f t="shared" ca="1" si="30"/>
        <v>0</v>
      </c>
      <c r="F497" s="21">
        <f t="shared" ca="1" si="31"/>
        <v>0</v>
      </c>
      <c r="H497" s="21">
        <v>482</v>
      </c>
      <c r="I497" s="107">
        <v>0.66769618327836455</v>
      </c>
      <c r="J497" s="108">
        <v>1.3464043419746763E-3</v>
      </c>
      <c r="K497" s="108"/>
      <c r="L497" s="108">
        <v>3.9800000000000002E-2</v>
      </c>
      <c r="O497" s="105"/>
    </row>
    <row r="498" spans="2:15" x14ac:dyDescent="0.2">
      <c r="B498" s="1">
        <v>483</v>
      </c>
      <c r="C498" s="106">
        <f t="shared" ca="1" si="28"/>
        <v>0.87153286614276437</v>
      </c>
      <c r="D498" s="106">
        <f t="shared" ca="1" si="29"/>
        <v>0.72415632924264883</v>
      </c>
      <c r="E498" s="106">
        <f t="shared" ca="1" si="30"/>
        <v>0</v>
      </c>
      <c r="F498" s="21">
        <f t="shared" ca="1" si="31"/>
        <v>0</v>
      </c>
      <c r="H498" s="21">
        <v>483</v>
      </c>
      <c r="I498" s="107">
        <v>0.66774011107266074</v>
      </c>
      <c r="J498" s="108">
        <v>1.4251431139527095E-3</v>
      </c>
      <c r="K498" s="108"/>
      <c r="L498" s="108">
        <v>4.1399999999999999E-2</v>
      </c>
      <c r="O498" s="105"/>
    </row>
    <row r="499" spans="2:15" x14ac:dyDescent="0.2">
      <c r="B499" s="1">
        <v>484</v>
      </c>
      <c r="C499" s="106">
        <f t="shared" ca="1" si="28"/>
        <v>0.43287845705828504</v>
      </c>
      <c r="D499" s="106">
        <f t="shared" ca="1" si="29"/>
        <v>0.69349070801215373</v>
      </c>
      <c r="E499" s="106">
        <f t="shared" ca="1" si="30"/>
        <v>0</v>
      </c>
      <c r="F499" s="21">
        <f t="shared" ca="1" si="31"/>
        <v>0</v>
      </c>
      <c r="H499" s="21">
        <v>484</v>
      </c>
      <c r="I499" s="107">
        <v>0.66763896037895343</v>
      </c>
      <c r="J499" s="108">
        <v>1.3853612522340729E-3</v>
      </c>
      <c r="K499" s="108"/>
      <c r="L499" s="108">
        <v>4.2999999999999997E-2</v>
      </c>
      <c r="O499" s="105"/>
    </row>
    <row r="500" spans="2:15" x14ac:dyDescent="0.2">
      <c r="B500" s="1">
        <v>485</v>
      </c>
      <c r="C500" s="106">
        <f t="shared" ca="1" si="28"/>
        <v>0.58357742876575436</v>
      </c>
      <c r="D500" s="106">
        <f t="shared" ca="1" si="29"/>
        <v>0.70387655117782755</v>
      </c>
      <c r="E500" s="106">
        <f t="shared" ca="1" si="30"/>
        <v>0</v>
      </c>
      <c r="F500" s="21">
        <f t="shared" ca="1" si="31"/>
        <v>0</v>
      </c>
      <c r="H500" s="21">
        <v>485</v>
      </c>
      <c r="I500" s="107">
        <v>0.6678194657863098</v>
      </c>
      <c r="J500" s="108">
        <v>1.421397509521409E-3</v>
      </c>
      <c r="K500" s="108"/>
      <c r="L500" s="108">
        <v>4.3400000000000001E-2</v>
      </c>
      <c r="O500" s="105"/>
    </row>
    <row r="501" spans="2:15" x14ac:dyDescent="0.2">
      <c r="B501" s="1">
        <v>486</v>
      </c>
      <c r="C501" s="106">
        <f t="shared" ca="1" si="28"/>
        <v>-0.25343881601011964</v>
      </c>
      <c r="D501" s="106">
        <f t="shared" ca="1" si="29"/>
        <v>0.64809584558539035</v>
      </c>
      <c r="E501" s="106">
        <f t="shared" ca="1" si="30"/>
        <v>0</v>
      </c>
      <c r="F501" s="21">
        <f t="shared" ca="1" si="31"/>
        <v>0</v>
      </c>
      <c r="H501" s="21">
        <v>486</v>
      </c>
      <c r="I501" s="107">
        <v>0.66770102680218846</v>
      </c>
      <c r="J501" s="108">
        <v>1.2980150761712119E-3</v>
      </c>
      <c r="K501" s="108"/>
      <c r="L501" s="108">
        <v>4.1000000000000002E-2</v>
      </c>
      <c r="O501" s="105"/>
    </row>
    <row r="502" spans="2:15" x14ac:dyDescent="0.2">
      <c r="B502" s="1">
        <v>487</v>
      </c>
      <c r="C502" s="106">
        <f t="shared" ca="1" si="28"/>
        <v>0.21437902413198934</v>
      </c>
      <c r="D502" s="106">
        <f t="shared" ca="1" si="29"/>
        <v>0.67870377597674247</v>
      </c>
      <c r="E502" s="106">
        <f t="shared" ca="1" si="30"/>
        <v>0</v>
      </c>
      <c r="F502" s="21">
        <f t="shared" ca="1" si="31"/>
        <v>0</v>
      </c>
      <c r="H502" s="21">
        <v>487</v>
      </c>
      <c r="I502" s="107">
        <v>0.66765859943752015</v>
      </c>
      <c r="J502" s="108">
        <v>1.2294112647974315E-3</v>
      </c>
      <c r="K502" s="108"/>
      <c r="L502" s="108">
        <v>0.04</v>
      </c>
      <c r="O502" s="105"/>
    </row>
    <row r="503" spans="2:15" x14ac:dyDescent="0.2">
      <c r="B503" s="1">
        <v>488</v>
      </c>
      <c r="C503" s="106">
        <f t="shared" ca="1" si="28"/>
        <v>-1.1530945441282956</v>
      </c>
      <c r="D503" s="106">
        <f t="shared" ca="1" si="29"/>
        <v>0.59305987379456671</v>
      </c>
      <c r="E503" s="106">
        <f t="shared" ca="1" si="30"/>
        <v>0</v>
      </c>
      <c r="F503" s="21">
        <f t="shared" ca="1" si="31"/>
        <v>0</v>
      </c>
      <c r="H503" s="21">
        <v>488</v>
      </c>
      <c r="I503" s="107">
        <v>0.6677859256274884</v>
      </c>
      <c r="J503" s="108">
        <v>1.3555430643030436E-3</v>
      </c>
      <c r="K503" s="108"/>
      <c r="L503" s="108">
        <v>4.3999999999999997E-2</v>
      </c>
      <c r="O503" s="105"/>
    </row>
    <row r="504" spans="2:15" x14ac:dyDescent="0.2">
      <c r="B504" s="1">
        <v>489</v>
      </c>
      <c r="C504" s="106">
        <f t="shared" ca="1" si="28"/>
        <v>0.79335217984726458</v>
      </c>
      <c r="D504" s="106">
        <f t="shared" ca="1" si="29"/>
        <v>0.71859322522979174</v>
      </c>
      <c r="E504" s="106">
        <f t="shared" ca="1" si="30"/>
        <v>0</v>
      </c>
      <c r="F504" s="21">
        <f t="shared" ca="1" si="31"/>
        <v>0</v>
      </c>
      <c r="H504" s="21">
        <v>489</v>
      </c>
      <c r="I504" s="107">
        <v>0.6677247233674124</v>
      </c>
      <c r="J504" s="108">
        <v>1.4286846122438285E-3</v>
      </c>
      <c r="K504" s="108"/>
      <c r="L504" s="108">
        <v>4.2599999999999999E-2</v>
      </c>
      <c r="O504" s="105"/>
    </row>
    <row r="505" spans="2:15" x14ac:dyDescent="0.2">
      <c r="B505" s="1">
        <v>490</v>
      </c>
      <c r="C505" s="106">
        <f t="shared" ca="1" si="28"/>
        <v>1.6550687852968622</v>
      </c>
      <c r="D505" s="106">
        <f t="shared" ca="1" si="29"/>
        <v>0.78234538770707818</v>
      </c>
      <c r="E505" s="106">
        <f t="shared" ca="1" si="30"/>
        <v>0</v>
      </c>
      <c r="F505" s="21">
        <f t="shared" ca="1" si="31"/>
        <v>0</v>
      </c>
      <c r="H505" s="21">
        <v>490</v>
      </c>
      <c r="I505" s="107">
        <v>0.667741453260288</v>
      </c>
      <c r="J505" s="108">
        <v>1.4182463633416788E-3</v>
      </c>
      <c r="K505" s="108"/>
      <c r="L505" s="108">
        <v>4.2599999999999999E-2</v>
      </c>
      <c r="O505" s="105"/>
    </row>
    <row r="506" spans="2:15" x14ac:dyDescent="0.2">
      <c r="B506" s="1">
        <v>491</v>
      </c>
      <c r="C506" s="106">
        <f t="shared" ca="1" si="28"/>
        <v>1.7513298711341763</v>
      </c>
      <c r="D506" s="106">
        <f t="shared" ca="1" si="29"/>
        <v>0.78980938885911178</v>
      </c>
      <c r="E506" s="106">
        <f t="shared" ca="1" si="30"/>
        <v>1.6093888591117711E-3</v>
      </c>
      <c r="F506" s="21">
        <f t="shared" ca="1" si="31"/>
        <v>1</v>
      </c>
      <c r="H506" s="21">
        <v>491</v>
      </c>
      <c r="I506" s="107">
        <v>0.66775874114291545</v>
      </c>
      <c r="J506" s="108">
        <v>1.4971201009467356E-3</v>
      </c>
      <c r="K506" s="108"/>
      <c r="L506" s="108">
        <v>4.2000000000000003E-2</v>
      </c>
      <c r="O506" s="105"/>
    </row>
    <row r="507" spans="2:15" x14ac:dyDescent="0.2">
      <c r="B507" s="1">
        <v>492</v>
      </c>
      <c r="C507" s="106">
        <f t="shared" ca="1" si="28"/>
        <v>-0.39960659121946412</v>
      </c>
      <c r="D507" s="106">
        <f t="shared" ca="1" si="29"/>
        <v>0.63881852278358842</v>
      </c>
      <c r="E507" s="106">
        <f t="shared" ca="1" si="30"/>
        <v>0</v>
      </c>
      <c r="F507" s="21">
        <f t="shared" ca="1" si="31"/>
        <v>0</v>
      </c>
      <c r="H507" s="21">
        <v>492</v>
      </c>
      <c r="I507" s="107">
        <v>0.6675883886382894</v>
      </c>
      <c r="J507" s="108">
        <v>1.1322878046518285E-3</v>
      </c>
      <c r="K507" s="108"/>
      <c r="L507" s="108">
        <v>3.5999999999999997E-2</v>
      </c>
      <c r="O507" s="105"/>
    </row>
    <row r="508" spans="2:15" x14ac:dyDescent="0.2">
      <c r="B508" s="1">
        <v>493</v>
      </c>
      <c r="C508" s="106">
        <f t="shared" ca="1" si="28"/>
        <v>0.60207565812290387</v>
      </c>
      <c r="D508" s="106">
        <f t="shared" ca="1" si="29"/>
        <v>0.70516208007826653</v>
      </c>
      <c r="E508" s="106">
        <f t="shared" ca="1" si="30"/>
        <v>0</v>
      </c>
      <c r="F508" s="21">
        <f t="shared" ca="1" si="31"/>
        <v>0</v>
      </c>
      <c r="H508" s="21">
        <v>493</v>
      </c>
      <c r="I508" s="107">
        <v>0.66793867428237841</v>
      </c>
      <c r="J508" s="108">
        <v>1.5509359594587384E-3</v>
      </c>
      <c r="K508" s="108"/>
      <c r="L508" s="108">
        <v>4.7800000000000002E-2</v>
      </c>
      <c r="O508" s="105"/>
    </row>
    <row r="509" spans="2:15" x14ac:dyDescent="0.2">
      <c r="B509" s="1">
        <v>494</v>
      </c>
      <c r="C509" s="106">
        <f t="shared" ca="1" si="28"/>
        <v>0.878028088974246</v>
      </c>
      <c r="D509" s="106">
        <f t="shared" ca="1" si="29"/>
        <v>0.72462044297600048</v>
      </c>
      <c r="E509" s="106">
        <f t="shared" ca="1" si="30"/>
        <v>0</v>
      </c>
      <c r="F509" s="21">
        <f t="shared" ca="1" si="31"/>
        <v>0</v>
      </c>
      <c r="H509" s="21">
        <v>494</v>
      </c>
      <c r="I509" s="107">
        <v>0.66777823200032649</v>
      </c>
      <c r="J509" s="108">
        <v>1.4095038329632321E-3</v>
      </c>
      <c r="K509" s="108"/>
      <c r="L509" s="108">
        <v>3.7999999999999999E-2</v>
      </c>
      <c r="O509" s="105"/>
    </row>
    <row r="510" spans="2:15" x14ac:dyDescent="0.2">
      <c r="B510" s="1">
        <v>495</v>
      </c>
      <c r="C510" s="106">
        <f t="shared" ca="1" si="28"/>
        <v>8.9360484548368035E-2</v>
      </c>
      <c r="D510" s="106">
        <f t="shared" ca="1" si="29"/>
        <v>0.67038540124674384</v>
      </c>
      <c r="E510" s="106">
        <f t="shared" ca="1" si="30"/>
        <v>0</v>
      </c>
      <c r="F510" s="21">
        <f t="shared" ca="1" si="31"/>
        <v>0</v>
      </c>
      <c r="H510" s="21">
        <v>495</v>
      </c>
      <c r="I510" s="107">
        <v>0.66774374563279526</v>
      </c>
      <c r="J510" s="108">
        <v>1.3565707137558362E-3</v>
      </c>
      <c r="K510" s="108"/>
      <c r="L510" s="108">
        <v>3.8399999999999997E-2</v>
      </c>
      <c r="O510" s="105"/>
    </row>
    <row r="511" spans="2:15" x14ac:dyDescent="0.2">
      <c r="B511" s="1">
        <v>496</v>
      </c>
      <c r="C511" s="106">
        <f t="shared" ca="1" si="28"/>
        <v>-0.96273772331690799</v>
      </c>
      <c r="D511" s="106">
        <f t="shared" ca="1" si="29"/>
        <v>0.60430099547623661</v>
      </c>
      <c r="E511" s="106">
        <f t="shared" ca="1" si="30"/>
        <v>0</v>
      </c>
      <c r="F511" s="21">
        <f t="shared" ca="1" si="31"/>
        <v>0</v>
      </c>
      <c r="H511" s="21">
        <v>496</v>
      </c>
      <c r="I511" s="107">
        <v>0.66772356182843562</v>
      </c>
      <c r="J511" s="108">
        <v>1.4253198133758087E-3</v>
      </c>
      <c r="K511" s="108"/>
      <c r="L511" s="108">
        <v>4.1799999999999997E-2</v>
      </c>
      <c r="O511" s="105"/>
    </row>
    <row r="512" spans="2:15" x14ac:dyDescent="0.2">
      <c r="B512" s="1">
        <v>497</v>
      </c>
      <c r="C512" s="106">
        <f t="shared" ca="1" si="28"/>
        <v>0.83372819535692333</v>
      </c>
      <c r="D512" s="106">
        <f t="shared" ca="1" si="29"/>
        <v>0.72146090469525004</v>
      </c>
      <c r="E512" s="106">
        <f t="shared" ca="1" si="30"/>
        <v>0</v>
      </c>
      <c r="F512" s="21">
        <f t="shared" ca="1" si="31"/>
        <v>0</v>
      </c>
      <c r="H512" s="21">
        <v>497</v>
      </c>
      <c r="I512" s="107">
        <v>0.66778883119927668</v>
      </c>
      <c r="J512" s="108">
        <v>1.4159532608915579E-3</v>
      </c>
      <c r="K512" s="108"/>
      <c r="L512" s="108">
        <v>4.1000000000000002E-2</v>
      </c>
      <c r="O512" s="105"/>
    </row>
    <row r="513" spans="2:15" x14ac:dyDescent="0.2">
      <c r="B513" s="1">
        <v>498</v>
      </c>
      <c r="C513" s="106">
        <f t="shared" ca="1" si="28"/>
        <v>-1.1138213120716576</v>
      </c>
      <c r="D513" s="106">
        <f t="shared" ca="1" si="29"/>
        <v>0.59536182215732691</v>
      </c>
      <c r="E513" s="106">
        <f t="shared" ca="1" si="30"/>
        <v>0</v>
      </c>
      <c r="F513" s="21">
        <f t="shared" ca="1" si="31"/>
        <v>0</v>
      </c>
      <c r="H513" s="21">
        <v>498</v>
      </c>
      <c r="I513" s="107">
        <v>0.66763821214690466</v>
      </c>
      <c r="J513" s="108">
        <v>1.2596666773146698E-3</v>
      </c>
      <c r="K513" s="108"/>
      <c r="L513" s="108">
        <v>3.7400000000000003E-2</v>
      </c>
      <c r="O513" s="105"/>
    </row>
    <row r="514" spans="2:15" x14ac:dyDescent="0.2">
      <c r="B514" s="1">
        <v>499</v>
      </c>
      <c r="C514" s="106">
        <f t="shared" ca="1" si="28"/>
        <v>-1.7625317630897686</v>
      </c>
      <c r="D514" s="106">
        <f t="shared" ca="1" si="29"/>
        <v>0.55845814073993361</v>
      </c>
      <c r="E514" s="106">
        <f t="shared" ca="1" si="30"/>
        <v>0</v>
      </c>
      <c r="F514" s="21">
        <f t="shared" ca="1" si="31"/>
        <v>0</v>
      </c>
      <c r="H514" s="21">
        <v>499</v>
      </c>
      <c r="I514" s="107">
        <v>0.66756853656898407</v>
      </c>
      <c r="J514" s="108">
        <v>1.2142596023557593E-3</v>
      </c>
      <c r="K514" s="108"/>
      <c r="L514" s="108">
        <v>3.7199999999999997E-2</v>
      </c>
      <c r="O514" s="105"/>
    </row>
    <row r="515" spans="2:15" x14ac:dyDescent="0.2">
      <c r="B515" s="1">
        <v>500</v>
      </c>
      <c r="C515" s="106">
        <f t="shared" ca="1" si="28"/>
        <v>-0.36396437456227981</v>
      </c>
      <c r="D515" s="106">
        <f t="shared" ca="1" si="29"/>
        <v>0.64106843086486232</v>
      </c>
      <c r="E515" s="106">
        <f t="shared" ca="1" si="30"/>
        <v>0</v>
      </c>
      <c r="F515" s="21">
        <f t="shared" ca="1" si="31"/>
        <v>0</v>
      </c>
      <c r="H515" s="21">
        <v>500</v>
      </c>
      <c r="I515" s="107">
        <v>0.66772516465268639</v>
      </c>
      <c r="J515" s="108">
        <v>1.4193744306480963E-3</v>
      </c>
      <c r="K515" s="108"/>
      <c r="L515" s="108">
        <v>4.1200000000000001E-2</v>
      </c>
      <c r="O515" s="105"/>
    </row>
    <row r="516" spans="2:15" x14ac:dyDescent="0.2">
      <c r="B516" s="1">
        <v>501</v>
      </c>
      <c r="C516" s="106">
        <f t="shared" ca="1" si="28"/>
        <v>0.67504650348692963</v>
      </c>
      <c r="D516" s="106">
        <f t="shared" ca="1" si="29"/>
        <v>0.71025610633247804</v>
      </c>
      <c r="E516" s="106">
        <f t="shared" ca="1" si="30"/>
        <v>0</v>
      </c>
      <c r="F516" s="21">
        <f t="shared" ca="1" si="31"/>
        <v>0</v>
      </c>
      <c r="H516" s="21">
        <v>501</v>
      </c>
      <c r="I516" s="107">
        <v>0.66767090315722166</v>
      </c>
      <c r="J516" s="108">
        <v>1.2577375437530136E-3</v>
      </c>
      <c r="K516" s="108"/>
      <c r="L516" s="108">
        <v>4.0399999999999998E-2</v>
      </c>
      <c r="O516" s="105"/>
    </row>
    <row r="517" spans="2:15" x14ac:dyDescent="0.2">
      <c r="B517" s="1">
        <v>502</v>
      </c>
      <c r="C517" s="106">
        <f t="shared" ca="1" si="28"/>
        <v>-1.4811541712267697</v>
      </c>
      <c r="D517" s="106">
        <f t="shared" ca="1" si="29"/>
        <v>0.57417551507200615</v>
      </c>
      <c r="E517" s="106">
        <f t="shared" ca="1" si="30"/>
        <v>0</v>
      </c>
      <c r="F517" s="21">
        <f t="shared" ca="1" si="31"/>
        <v>0</v>
      </c>
      <c r="H517" s="21">
        <v>502</v>
      </c>
      <c r="I517" s="107">
        <v>0.66775557970881183</v>
      </c>
      <c r="J517" s="108">
        <v>1.4016451645156322E-3</v>
      </c>
      <c r="K517" s="108"/>
      <c r="L517" s="108">
        <v>4.1399999999999999E-2</v>
      </c>
      <c r="O517" s="105"/>
    </row>
    <row r="518" spans="2:15" x14ac:dyDescent="0.2">
      <c r="B518" s="1">
        <v>503</v>
      </c>
      <c r="C518" s="106">
        <f t="shared" ca="1" si="28"/>
        <v>-0.93923306183536592</v>
      </c>
      <c r="D518" s="106">
        <f t="shared" ca="1" si="29"/>
        <v>0.6057037115415379</v>
      </c>
      <c r="E518" s="106">
        <f t="shared" ca="1" si="30"/>
        <v>0</v>
      </c>
      <c r="F518" s="21">
        <f t="shared" ca="1" si="31"/>
        <v>0</v>
      </c>
      <c r="H518" s="21">
        <v>503</v>
      </c>
      <c r="I518" s="107">
        <v>0.66780109190963499</v>
      </c>
      <c r="J518" s="108">
        <v>1.4369389687225065E-3</v>
      </c>
      <c r="K518" s="108"/>
      <c r="L518" s="108">
        <v>4.4200000000000003E-2</v>
      </c>
      <c r="O518" s="105"/>
    </row>
    <row r="519" spans="2:15" x14ac:dyDescent="0.2">
      <c r="B519" s="1">
        <v>504</v>
      </c>
      <c r="C519" s="106">
        <f t="shared" ca="1" si="28"/>
        <v>-0.39078153790716802</v>
      </c>
      <c r="D519" s="106">
        <f t="shared" ca="1" si="29"/>
        <v>0.63937486598095983</v>
      </c>
      <c r="E519" s="106">
        <f t="shared" ca="1" si="30"/>
        <v>0</v>
      </c>
      <c r="F519" s="21">
        <f t="shared" ca="1" si="31"/>
        <v>0</v>
      </c>
      <c r="H519" s="21">
        <v>504</v>
      </c>
      <c r="I519" s="107">
        <v>0.66774895141306023</v>
      </c>
      <c r="J519" s="108">
        <v>1.3686476247236491E-3</v>
      </c>
      <c r="K519" s="108"/>
      <c r="L519" s="108">
        <v>4.2200000000000001E-2</v>
      </c>
      <c r="O519" s="105"/>
    </row>
    <row r="520" spans="2:15" x14ac:dyDescent="0.2">
      <c r="B520" s="1">
        <v>505</v>
      </c>
      <c r="C520" s="106">
        <f t="shared" ca="1" si="28"/>
        <v>1.9659400730014107</v>
      </c>
      <c r="D520" s="106">
        <f t="shared" ca="1" si="29"/>
        <v>0.80670743725603233</v>
      </c>
      <c r="E520" s="106">
        <f t="shared" ca="1" si="30"/>
        <v>1.8507437256032322E-2</v>
      </c>
      <c r="F520" s="21">
        <f t="shared" ca="1" si="31"/>
        <v>1</v>
      </c>
      <c r="H520" s="21">
        <v>505</v>
      </c>
      <c r="I520" s="107">
        <v>0.66784958769155933</v>
      </c>
      <c r="J520" s="108">
        <v>1.4510735976320003E-3</v>
      </c>
      <c r="K520" s="108"/>
      <c r="L520" s="108">
        <v>4.7399999999999998E-2</v>
      </c>
      <c r="O520" s="105"/>
    </row>
    <row r="521" spans="2:15" x14ac:dyDescent="0.2">
      <c r="B521" s="1">
        <v>506</v>
      </c>
      <c r="C521" s="106">
        <f t="shared" ca="1" si="28"/>
        <v>0.66574063357604518</v>
      </c>
      <c r="D521" s="106">
        <f t="shared" ca="1" si="29"/>
        <v>0.70960443061258272</v>
      </c>
      <c r="E521" s="106">
        <f t="shared" ca="1" si="30"/>
        <v>0</v>
      </c>
      <c r="F521" s="21">
        <f t="shared" ca="1" si="31"/>
        <v>0</v>
      </c>
      <c r="H521" s="21">
        <v>506</v>
      </c>
      <c r="I521" s="107">
        <v>0.66779490410038489</v>
      </c>
      <c r="J521" s="108">
        <v>1.4457902136816888E-3</v>
      </c>
      <c r="K521" s="108"/>
      <c r="L521" s="108">
        <v>4.3200000000000002E-2</v>
      </c>
      <c r="O521" s="105"/>
    </row>
    <row r="522" spans="2:15" x14ac:dyDescent="0.2">
      <c r="B522" s="1">
        <v>507</v>
      </c>
      <c r="C522" s="106">
        <f t="shared" ca="1" si="28"/>
        <v>0.55210663766511103</v>
      </c>
      <c r="D522" s="106">
        <f t="shared" ca="1" si="29"/>
        <v>0.70169488078451303</v>
      </c>
      <c r="E522" s="106">
        <f t="shared" ca="1" si="30"/>
        <v>0</v>
      </c>
      <c r="F522" s="21">
        <f t="shared" ca="1" si="31"/>
        <v>0</v>
      </c>
      <c r="H522" s="21">
        <v>507</v>
      </c>
      <c r="I522" s="107">
        <v>0.66763262124518263</v>
      </c>
      <c r="J522" s="108">
        <v>1.3309844125583205E-3</v>
      </c>
      <c r="K522" s="108"/>
      <c r="L522" s="108">
        <v>4.0399999999999998E-2</v>
      </c>
      <c r="O522" s="105"/>
    </row>
    <row r="523" spans="2:15" x14ac:dyDescent="0.2">
      <c r="B523" s="1">
        <v>508</v>
      </c>
      <c r="C523" s="106">
        <f t="shared" ca="1" si="28"/>
        <v>0.49789464962010671</v>
      </c>
      <c r="D523" s="106">
        <f t="shared" ca="1" si="29"/>
        <v>0.69795255272344237</v>
      </c>
      <c r="E523" s="106">
        <f t="shared" ca="1" si="30"/>
        <v>0</v>
      </c>
      <c r="F523" s="21">
        <f t="shared" ca="1" si="31"/>
        <v>0</v>
      </c>
      <c r="H523" s="21">
        <v>508</v>
      </c>
      <c r="I523" s="107">
        <v>0.66762398805365297</v>
      </c>
      <c r="J523" s="108">
        <v>1.3054214512752858E-3</v>
      </c>
      <c r="K523" s="108"/>
      <c r="L523" s="108">
        <v>3.8399999999999997E-2</v>
      </c>
      <c r="O523" s="105"/>
    </row>
    <row r="524" spans="2:15" x14ac:dyDescent="0.2">
      <c r="B524" s="1">
        <v>509</v>
      </c>
      <c r="C524" s="106">
        <f t="shared" ca="1" si="28"/>
        <v>-1.5784516592082158</v>
      </c>
      <c r="D524" s="106">
        <f t="shared" ca="1" si="29"/>
        <v>0.56869119513947608</v>
      </c>
      <c r="E524" s="106">
        <f t="shared" ca="1" si="30"/>
        <v>0</v>
      </c>
      <c r="F524" s="21">
        <f t="shared" ca="1" si="31"/>
        <v>0</v>
      </c>
      <c r="H524" s="21">
        <v>509</v>
      </c>
      <c r="I524" s="107">
        <v>0.66775683107991535</v>
      </c>
      <c r="J524" s="108">
        <v>1.3175273491891973E-3</v>
      </c>
      <c r="K524" s="108"/>
      <c r="L524" s="108">
        <v>4.0800000000000003E-2</v>
      </c>
      <c r="O524" s="105"/>
    </row>
    <row r="525" spans="2:15" x14ac:dyDescent="0.2">
      <c r="B525" s="1">
        <v>510</v>
      </c>
      <c r="C525" s="106">
        <f t="shared" ca="1" si="28"/>
        <v>-0.15065166697369761</v>
      </c>
      <c r="D525" s="106">
        <f t="shared" ca="1" si="29"/>
        <v>0.65470035384863645</v>
      </c>
      <c r="E525" s="106">
        <f t="shared" ca="1" si="30"/>
        <v>0</v>
      </c>
      <c r="F525" s="21">
        <f t="shared" ca="1" si="31"/>
        <v>0</v>
      </c>
      <c r="H525" s="21">
        <v>510</v>
      </c>
      <c r="I525" s="107">
        <v>0.6677558160774052</v>
      </c>
      <c r="J525" s="108">
        <v>1.2827706244970653E-3</v>
      </c>
      <c r="K525" s="108"/>
      <c r="L525" s="108">
        <v>4.1000000000000002E-2</v>
      </c>
      <c r="O525" s="105"/>
    </row>
    <row r="526" spans="2:15" x14ac:dyDescent="0.2">
      <c r="B526" s="1">
        <v>511</v>
      </c>
      <c r="C526" s="106">
        <f t="shared" ca="1" si="28"/>
        <v>1.3475432858175791</v>
      </c>
      <c r="D526" s="106">
        <f t="shared" ca="1" si="29"/>
        <v>0.75896950014115194</v>
      </c>
      <c r="E526" s="106">
        <f t="shared" ca="1" si="30"/>
        <v>0</v>
      </c>
      <c r="F526" s="21">
        <f t="shared" ca="1" si="31"/>
        <v>0</v>
      </c>
      <c r="H526" s="21">
        <v>511</v>
      </c>
      <c r="I526" s="107">
        <v>0.66751678447599161</v>
      </c>
      <c r="J526" s="108">
        <v>1.161511823570657E-3</v>
      </c>
      <c r="K526" s="108"/>
      <c r="L526" s="108">
        <v>3.7600000000000001E-2</v>
      </c>
      <c r="O526" s="105"/>
    </row>
    <row r="527" spans="2:15" x14ac:dyDescent="0.2">
      <c r="B527" s="1">
        <v>512</v>
      </c>
      <c r="C527" s="106">
        <f t="shared" ca="1" si="28"/>
        <v>-1.5079382711477229</v>
      </c>
      <c r="D527" s="106">
        <f t="shared" ca="1" si="29"/>
        <v>0.57266053456468613</v>
      </c>
      <c r="E527" s="106">
        <f t="shared" ca="1" si="30"/>
        <v>0</v>
      </c>
      <c r="F527" s="21">
        <f t="shared" ca="1" si="31"/>
        <v>0</v>
      </c>
      <c r="H527" s="21">
        <v>512</v>
      </c>
      <c r="I527" s="107">
        <v>0.66773724908544252</v>
      </c>
      <c r="J527" s="108">
        <v>1.3715740977134501E-3</v>
      </c>
      <c r="K527" s="108"/>
      <c r="L527" s="108">
        <v>4.0599999999999997E-2</v>
      </c>
      <c r="O527" s="105"/>
    </row>
    <row r="528" spans="2:15" x14ac:dyDescent="0.2">
      <c r="B528" s="1">
        <v>513</v>
      </c>
      <c r="C528" s="106">
        <f t="shared" ref="C528:C591" ca="1" si="32">_xlfn.NORM.S.INV(RAND())</f>
        <v>-0.59817911352619368</v>
      </c>
      <c r="D528" s="106">
        <f t="shared" ref="D528:D591" ca="1" si="33">S0*EXP((μ-0.5*σ*σ)*T+σ*SQRT(T)*$C528)</f>
        <v>0.62642744356103752</v>
      </c>
      <c r="E528" s="106">
        <f t="shared" ref="E528:E591" ca="1" si="34">MAX(0,CP*(D528-K))</f>
        <v>0</v>
      </c>
      <c r="F528" s="21">
        <f t="shared" ref="F528:F591" ca="1" si="35">(CP*(D528-K)&gt;0)*1</f>
        <v>0</v>
      </c>
      <c r="H528" s="21">
        <v>513</v>
      </c>
      <c r="I528" s="107">
        <v>0.66777521341756552</v>
      </c>
      <c r="J528" s="108">
        <v>1.4713917013090881E-3</v>
      </c>
      <c r="K528" s="108"/>
      <c r="L528" s="108">
        <v>4.4999999999999998E-2</v>
      </c>
      <c r="O528" s="105"/>
    </row>
    <row r="529" spans="2:15" x14ac:dyDescent="0.2">
      <c r="B529" s="1">
        <v>514</v>
      </c>
      <c r="C529" s="106">
        <f t="shared" ca="1" si="32"/>
        <v>1.3768948647012567</v>
      </c>
      <c r="D529" s="106">
        <f t="shared" ca="1" si="33"/>
        <v>0.76117011249000033</v>
      </c>
      <c r="E529" s="106">
        <f t="shared" ca="1" si="34"/>
        <v>0</v>
      </c>
      <c r="F529" s="21">
        <f t="shared" ca="1" si="35"/>
        <v>0</v>
      </c>
      <c r="H529" s="21">
        <v>514</v>
      </c>
      <c r="I529" s="107">
        <v>0.66780994580365538</v>
      </c>
      <c r="J529" s="108">
        <v>1.5607584299049768E-3</v>
      </c>
      <c r="K529" s="108"/>
      <c r="L529" s="108">
        <v>4.1399999999999999E-2</v>
      </c>
      <c r="O529" s="105"/>
    </row>
    <row r="530" spans="2:15" x14ac:dyDescent="0.2">
      <c r="B530" s="1">
        <v>515</v>
      </c>
      <c r="C530" s="106">
        <f t="shared" ca="1" si="32"/>
        <v>-0.53193467773113468</v>
      </c>
      <c r="D530" s="106">
        <f t="shared" ca="1" si="33"/>
        <v>0.63053419851803971</v>
      </c>
      <c r="E530" s="106">
        <f t="shared" ca="1" si="34"/>
        <v>0</v>
      </c>
      <c r="F530" s="21">
        <f t="shared" ca="1" si="35"/>
        <v>0</v>
      </c>
      <c r="H530" s="21">
        <v>515</v>
      </c>
      <c r="I530" s="107">
        <v>0.66769017623067672</v>
      </c>
      <c r="J530" s="108">
        <v>1.4088310597371108E-3</v>
      </c>
      <c r="K530" s="108"/>
      <c r="L530" s="108">
        <v>4.1399999999999999E-2</v>
      </c>
      <c r="O530" s="105"/>
    </row>
    <row r="531" spans="2:15" x14ac:dyDescent="0.2">
      <c r="B531" s="1">
        <v>516</v>
      </c>
      <c r="C531" s="106">
        <f t="shared" ca="1" si="32"/>
        <v>1.2305121083326038</v>
      </c>
      <c r="D531" s="106">
        <f t="shared" ca="1" si="33"/>
        <v>0.75025825091778442</v>
      </c>
      <c r="E531" s="106">
        <f t="shared" ca="1" si="34"/>
        <v>0</v>
      </c>
      <c r="F531" s="21">
        <f t="shared" ca="1" si="35"/>
        <v>0</v>
      </c>
      <c r="H531" s="21">
        <v>516</v>
      </c>
      <c r="I531" s="107">
        <v>0.66782332595409299</v>
      </c>
      <c r="J531" s="108">
        <v>1.4330916282914365E-3</v>
      </c>
      <c r="K531" s="108"/>
      <c r="L531" s="108">
        <v>4.5199999999999997E-2</v>
      </c>
      <c r="O531" s="105"/>
    </row>
    <row r="532" spans="2:15" x14ac:dyDescent="0.2">
      <c r="B532" s="1">
        <v>517</v>
      </c>
      <c r="C532" s="106">
        <f t="shared" ca="1" si="32"/>
        <v>0.48441028341625408</v>
      </c>
      <c r="D532" s="106">
        <f t="shared" ca="1" si="33"/>
        <v>0.69702481217165069</v>
      </c>
      <c r="E532" s="106">
        <f t="shared" ca="1" si="34"/>
        <v>0</v>
      </c>
      <c r="F532" s="21">
        <f t="shared" ca="1" si="35"/>
        <v>0</v>
      </c>
      <c r="H532" s="21">
        <v>517</v>
      </c>
      <c r="I532" s="107">
        <v>0.66791076232870839</v>
      </c>
      <c r="J532" s="108">
        <v>1.6021378245859651E-3</v>
      </c>
      <c r="K532" s="108"/>
      <c r="L532" s="108">
        <v>4.5199999999999997E-2</v>
      </c>
      <c r="O532" s="105"/>
    </row>
    <row r="533" spans="2:15" x14ac:dyDescent="0.2">
      <c r="B533" s="1">
        <v>518</v>
      </c>
      <c r="C533" s="106">
        <f t="shared" ca="1" si="32"/>
        <v>1.0789120272607862</v>
      </c>
      <c r="D533" s="106">
        <f t="shared" ca="1" si="33"/>
        <v>0.73912233523276916</v>
      </c>
      <c r="E533" s="106">
        <f t="shared" ca="1" si="34"/>
        <v>0</v>
      </c>
      <c r="F533" s="21">
        <f t="shared" ca="1" si="35"/>
        <v>0</v>
      </c>
      <c r="H533" s="21">
        <v>518</v>
      </c>
      <c r="I533" s="107">
        <v>0.66794306124735281</v>
      </c>
      <c r="J533" s="108">
        <v>1.5254153389044527E-3</v>
      </c>
      <c r="K533" s="108"/>
      <c r="L533" s="108">
        <v>5.04E-2</v>
      </c>
      <c r="O533" s="105"/>
    </row>
    <row r="534" spans="2:15" x14ac:dyDescent="0.2">
      <c r="B534" s="1">
        <v>519</v>
      </c>
      <c r="C534" s="106">
        <f t="shared" ca="1" si="32"/>
        <v>0.79215015017900647</v>
      </c>
      <c r="D534" s="106">
        <f t="shared" ca="1" si="33"/>
        <v>0.71850802682581083</v>
      </c>
      <c r="E534" s="106">
        <f t="shared" ca="1" si="34"/>
        <v>0</v>
      </c>
      <c r="F534" s="21">
        <f t="shared" ca="1" si="35"/>
        <v>0</v>
      </c>
      <c r="H534" s="21">
        <v>519</v>
      </c>
      <c r="I534" s="107">
        <v>0.66773596859183948</v>
      </c>
      <c r="J534" s="108">
        <v>1.3838693306705522E-3</v>
      </c>
      <c r="K534" s="108"/>
      <c r="L534" s="108">
        <v>4.2799999999999998E-2</v>
      </c>
      <c r="O534" s="105"/>
    </row>
    <row r="535" spans="2:15" x14ac:dyDescent="0.2">
      <c r="B535" s="1">
        <v>520</v>
      </c>
      <c r="C535" s="106">
        <f t="shared" ca="1" si="32"/>
        <v>-0.70810095871432932</v>
      </c>
      <c r="D535" s="106">
        <f t="shared" ca="1" si="33"/>
        <v>0.61967188408571594</v>
      </c>
      <c r="E535" s="106">
        <f t="shared" ca="1" si="34"/>
        <v>0</v>
      </c>
      <c r="F535" s="21">
        <f t="shared" ca="1" si="35"/>
        <v>0</v>
      </c>
      <c r="H535" s="21">
        <v>520</v>
      </c>
      <c r="I535" s="107">
        <v>0.66749264712335599</v>
      </c>
      <c r="J535" s="108">
        <v>1.1181571125105493E-3</v>
      </c>
      <c r="K535" s="108"/>
      <c r="L535" s="108">
        <v>3.9199999999999999E-2</v>
      </c>
      <c r="O535" s="105"/>
    </row>
    <row r="536" spans="2:15" x14ac:dyDescent="0.2">
      <c r="B536" s="1">
        <v>521</v>
      </c>
      <c r="C536" s="106">
        <f t="shared" ca="1" si="32"/>
        <v>-1.2075041659915535</v>
      </c>
      <c r="D536" s="106">
        <f t="shared" ca="1" si="33"/>
        <v>0.58988542567994262</v>
      </c>
      <c r="E536" s="106">
        <f t="shared" ca="1" si="34"/>
        <v>0</v>
      </c>
      <c r="F536" s="21">
        <f t="shared" ca="1" si="35"/>
        <v>0</v>
      </c>
      <c r="H536" s="21">
        <v>521</v>
      </c>
      <c r="I536" s="107">
        <v>0.66776888795951472</v>
      </c>
      <c r="J536" s="108">
        <v>1.4414678180593474E-3</v>
      </c>
      <c r="K536" s="108"/>
      <c r="L536" s="108">
        <v>4.2000000000000003E-2</v>
      </c>
      <c r="O536" s="105"/>
    </row>
    <row r="537" spans="2:15" x14ac:dyDescent="0.2">
      <c r="B537" s="1">
        <v>522</v>
      </c>
      <c r="C537" s="106">
        <f t="shared" ca="1" si="32"/>
        <v>2.201304271594259</v>
      </c>
      <c r="D537" s="106">
        <f t="shared" ca="1" si="33"/>
        <v>0.82565557558080882</v>
      </c>
      <c r="E537" s="106">
        <f t="shared" ca="1" si="34"/>
        <v>3.7455575580808809E-2</v>
      </c>
      <c r="F537" s="21">
        <f t="shared" ca="1" si="35"/>
        <v>1</v>
      </c>
      <c r="H537" s="21">
        <v>522</v>
      </c>
      <c r="I537" s="107">
        <v>0.66775868228925661</v>
      </c>
      <c r="J537" s="108">
        <v>1.3448263305119714E-3</v>
      </c>
      <c r="K537" s="108"/>
      <c r="L537" s="108">
        <v>4.02E-2</v>
      </c>
      <c r="O537" s="105"/>
    </row>
    <row r="538" spans="2:15" x14ac:dyDescent="0.2">
      <c r="B538" s="1">
        <v>523</v>
      </c>
      <c r="C538" s="106">
        <f t="shared" ca="1" si="32"/>
        <v>-3.8927238050248864E-2</v>
      </c>
      <c r="D538" s="106">
        <f t="shared" ca="1" si="33"/>
        <v>0.66195547919940867</v>
      </c>
      <c r="E538" s="106">
        <f t="shared" ca="1" si="34"/>
        <v>0</v>
      </c>
      <c r="F538" s="21">
        <f t="shared" ca="1" si="35"/>
        <v>0</v>
      </c>
      <c r="H538" s="21">
        <v>523</v>
      </c>
      <c r="I538" s="107">
        <v>0.66775209389025403</v>
      </c>
      <c r="J538" s="108">
        <v>1.3988286131486807E-3</v>
      </c>
      <c r="K538" s="108"/>
      <c r="L538" s="108">
        <v>4.3400000000000001E-2</v>
      </c>
      <c r="O538" s="105"/>
    </row>
    <row r="539" spans="2:15" x14ac:dyDescent="0.2">
      <c r="B539" s="1">
        <v>524</v>
      </c>
      <c r="C539" s="106">
        <f t="shared" ca="1" si="32"/>
        <v>-0.24363807390749451</v>
      </c>
      <c r="D539" s="106">
        <f t="shared" ca="1" si="33"/>
        <v>0.64872270051467584</v>
      </c>
      <c r="E539" s="106">
        <f t="shared" ca="1" si="34"/>
        <v>0</v>
      </c>
      <c r="F539" s="21">
        <f t="shared" ca="1" si="35"/>
        <v>0</v>
      </c>
      <c r="H539" s="21">
        <v>524</v>
      </c>
      <c r="I539" s="107">
        <v>0.6678263359560217</v>
      </c>
      <c r="J539" s="108">
        <v>1.4362760391982267E-3</v>
      </c>
      <c r="K539" s="108"/>
      <c r="L539" s="108">
        <v>4.3400000000000001E-2</v>
      </c>
      <c r="O539" s="105"/>
    </row>
    <row r="540" spans="2:15" x14ac:dyDescent="0.2">
      <c r="B540" s="1">
        <v>525</v>
      </c>
      <c r="C540" s="106">
        <f t="shared" ca="1" si="32"/>
        <v>-1.1950111410390489</v>
      </c>
      <c r="D540" s="106">
        <f t="shared" ca="1" si="33"/>
        <v>0.59061280642175673</v>
      </c>
      <c r="E540" s="106">
        <f t="shared" ca="1" si="34"/>
        <v>0</v>
      </c>
      <c r="F540" s="21">
        <f t="shared" ca="1" si="35"/>
        <v>0</v>
      </c>
      <c r="H540" s="21">
        <v>525</v>
      </c>
      <c r="I540" s="107">
        <v>0.66766354042037279</v>
      </c>
      <c r="J540" s="108">
        <v>1.2332949253416874E-3</v>
      </c>
      <c r="K540" s="108"/>
      <c r="L540" s="108">
        <v>3.9399999999999998E-2</v>
      </c>
      <c r="O540" s="105"/>
    </row>
    <row r="541" spans="2:15" x14ac:dyDescent="0.2">
      <c r="B541" s="1">
        <v>526</v>
      </c>
      <c r="C541" s="106">
        <f t="shared" ca="1" si="32"/>
        <v>-5.1562475160968187E-2</v>
      </c>
      <c r="D541" s="106">
        <f t="shared" ca="1" si="33"/>
        <v>0.66113096058755461</v>
      </c>
      <c r="E541" s="106">
        <f t="shared" ca="1" si="34"/>
        <v>0</v>
      </c>
      <c r="F541" s="21">
        <f t="shared" ca="1" si="35"/>
        <v>0</v>
      </c>
      <c r="H541" s="21">
        <v>526</v>
      </c>
      <c r="I541" s="107">
        <v>0.66774192107156805</v>
      </c>
      <c r="J541" s="108">
        <v>1.2858459685310788E-3</v>
      </c>
      <c r="K541" s="108"/>
      <c r="L541" s="108">
        <v>3.8600000000000002E-2</v>
      </c>
      <c r="O541" s="105"/>
    </row>
    <row r="542" spans="2:15" x14ac:dyDescent="0.2">
      <c r="B542" s="1">
        <v>527</v>
      </c>
      <c r="C542" s="106">
        <f t="shared" ca="1" si="32"/>
        <v>-0.56819510415056329</v>
      </c>
      <c r="D542" s="106">
        <f t="shared" ca="1" si="33"/>
        <v>0.62828294710405197</v>
      </c>
      <c r="E542" s="106">
        <f t="shared" ca="1" si="34"/>
        <v>0</v>
      </c>
      <c r="F542" s="21">
        <f t="shared" ca="1" si="35"/>
        <v>0</v>
      </c>
      <c r="H542" s="21">
        <v>527</v>
      </c>
      <c r="I542" s="107">
        <v>0.66771935958811568</v>
      </c>
      <c r="J542" s="108">
        <v>1.356208646008987E-3</v>
      </c>
      <c r="K542" s="108"/>
      <c r="L542" s="108">
        <v>4.2999999999999997E-2</v>
      </c>
      <c r="O542" s="105"/>
    </row>
    <row r="543" spans="2:15" x14ac:dyDescent="0.2">
      <c r="B543" s="1">
        <v>528</v>
      </c>
      <c r="C543" s="106">
        <f t="shared" ca="1" si="32"/>
        <v>-1.0008133425294314</v>
      </c>
      <c r="D543" s="106">
        <f t="shared" ca="1" si="33"/>
        <v>0.6020356008163319</v>
      </c>
      <c r="E543" s="106">
        <f t="shared" ca="1" si="34"/>
        <v>0</v>
      </c>
      <c r="F543" s="21">
        <f t="shared" ca="1" si="35"/>
        <v>0</v>
      </c>
      <c r="H543" s="21">
        <v>528</v>
      </c>
      <c r="I543" s="107">
        <v>0.66782632895769345</v>
      </c>
      <c r="J543" s="108">
        <v>1.4853892817049534E-3</v>
      </c>
      <c r="K543" s="108"/>
      <c r="L543" s="108">
        <v>4.4200000000000003E-2</v>
      </c>
      <c r="O543" s="105"/>
    </row>
    <row r="544" spans="2:15" x14ac:dyDescent="0.2">
      <c r="B544" s="1">
        <v>529</v>
      </c>
      <c r="C544" s="106">
        <f t="shared" ca="1" si="32"/>
        <v>0.98126430281221744</v>
      </c>
      <c r="D544" s="106">
        <f t="shared" ca="1" si="33"/>
        <v>0.73203721134280286</v>
      </c>
      <c r="E544" s="106">
        <f t="shared" ca="1" si="34"/>
        <v>0</v>
      </c>
      <c r="F544" s="21">
        <f t="shared" ca="1" si="35"/>
        <v>0</v>
      </c>
      <c r="H544" s="21">
        <v>529</v>
      </c>
      <c r="I544" s="107">
        <v>0.6675489424673221</v>
      </c>
      <c r="J544" s="108">
        <v>1.1615332712583881E-3</v>
      </c>
      <c r="K544" s="108"/>
      <c r="L544" s="108">
        <v>3.6600000000000001E-2</v>
      </c>
      <c r="O544" s="105"/>
    </row>
    <row r="545" spans="2:15" x14ac:dyDescent="0.2">
      <c r="B545" s="1">
        <v>530</v>
      </c>
      <c r="C545" s="106">
        <f t="shared" ca="1" si="32"/>
        <v>-0.77264015274178233</v>
      </c>
      <c r="D545" s="106">
        <f t="shared" ca="1" si="33"/>
        <v>0.6157394400231464</v>
      </c>
      <c r="E545" s="106">
        <f t="shared" ca="1" si="34"/>
        <v>0</v>
      </c>
      <c r="F545" s="21">
        <f t="shared" ca="1" si="35"/>
        <v>0</v>
      </c>
      <c r="H545" s="21">
        <v>530</v>
      </c>
      <c r="I545" s="107">
        <v>0.66786318901723685</v>
      </c>
      <c r="J545" s="108">
        <v>1.521589183866608E-3</v>
      </c>
      <c r="K545" s="108"/>
      <c r="L545" s="108">
        <v>4.5199999999999997E-2</v>
      </c>
      <c r="O545" s="105"/>
    </row>
    <row r="546" spans="2:15" x14ac:dyDescent="0.2">
      <c r="B546" s="1">
        <v>531</v>
      </c>
      <c r="C546" s="106">
        <f t="shared" ca="1" si="32"/>
        <v>-0.34059685255440236</v>
      </c>
      <c r="D546" s="106">
        <f t="shared" ca="1" si="33"/>
        <v>0.64254780006653978</v>
      </c>
      <c r="E546" s="106">
        <f t="shared" ca="1" si="34"/>
        <v>0</v>
      </c>
      <c r="F546" s="21">
        <f t="shared" ca="1" si="35"/>
        <v>0</v>
      </c>
      <c r="H546" s="21">
        <v>531</v>
      </c>
      <c r="I546" s="107">
        <v>0.66768610323612787</v>
      </c>
      <c r="J546" s="108">
        <v>1.199570384282631E-3</v>
      </c>
      <c r="K546" s="108"/>
      <c r="L546" s="108">
        <v>4.1200000000000001E-2</v>
      </c>
      <c r="O546" s="105"/>
    </row>
    <row r="547" spans="2:15" x14ac:dyDescent="0.2">
      <c r="B547" s="1">
        <v>532</v>
      </c>
      <c r="C547" s="106">
        <f t="shared" ca="1" si="32"/>
        <v>0.27929461707826081</v>
      </c>
      <c r="D547" s="106">
        <f t="shared" ca="1" si="33"/>
        <v>0.68306370489026902</v>
      </c>
      <c r="E547" s="106">
        <f t="shared" ca="1" si="34"/>
        <v>0</v>
      </c>
      <c r="F547" s="21">
        <f t="shared" ca="1" si="35"/>
        <v>0</v>
      </c>
      <c r="H547" s="21">
        <v>532</v>
      </c>
      <c r="I547" s="107">
        <v>0.66789902404473178</v>
      </c>
      <c r="J547" s="108">
        <v>1.6078684277618142E-3</v>
      </c>
      <c r="K547" s="108"/>
      <c r="L547" s="108">
        <v>4.9399999999999999E-2</v>
      </c>
      <c r="O547" s="105"/>
    </row>
    <row r="548" spans="2:15" x14ac:dyDescent="0.2">
      <c r="B548" s="1">
        <v>533</v>
      </c>
      <c r="C548" s="106">
        <f t="shared" ca="1" si="32"/>
        <v>0.33078434344115698</v>
      </c>
      <c r="D548" s="106">
        <f t="shared" ca="1" si="33"/>
        <v>0.68654182083016901</v>
      </c>
      <c r="E548" s="106">
        <f t="shared" ca="1" si="34"/>
        <v>0</v>
      </c>
      <c r="F548" s="21">
        <f t="shared" ca="1" si="35"/>
        <v>0</v>
      </c>
      <c r="H548" s="21">
        <v>533</v>
      </c>
      <c r="I548" s="107">
        <v>0.66785171418160783</v>
      </c>
      <c r="J548" s="108">
        <v>1.3786033489189308E-3</v>
      </c>
      <c r="K548" s="108"/>
      <c r="L548" s="108">
        <v>4.58E-2</v>
      </c>
      <c r="O548" s="105"/>
    </row>
    <row r="549" spans="2:15" x14ac:dyDescent="0.2">
      <c r="B549" s="1">
        <v>534</v>
      </c>
      <c r="C549" s="106">
        <f t="shared" ca="1" si="32"/>
        <v>-0.9852857650431831</v>
      </c>
      <c r="D549" s="106">
        <f t="shared" ca="1" si="33"/>
        <v>0.60295842170777036</v>
      </c>
      <c r="E549" s="106">
        <f t="shared" ca="1" si="34"/>
        <v>0</v>
      </c>
      <c r="F549" s="21">
        <f t="shared" ca="1" si="35"/>
        <v>0</v>
      </c>
      <c r="H549" s="21">
        <v>534</v>
      </c>
      <c r="I549" s="107">
        <v>0.6676134553229407</v>
      </c>
      <c r="J549" s="108">
        <v>1.2702956998946694E-3</v>
      </c>
      <c r="K549" s="108"/>
      <c r="L549" s="108">
        <v>0.04</v>
      </c>
      <c r="O549" s="105"/>
    </row>
    <row r="550" spans="2:15" x14ac:dyDescent="0.2">
      <c r="B550" s="1">
        <v>535</v>
      </c>
      <c r="C550" s="106">
        <f t="shared" ca="1" si="32"/>
        <v>0.98829058015054561</v>
      </c>
      <c r="D550" s="106">
        <f t="shared" ca="1" si="33"/>
        <v>0.73254474851551399</v>
      </c>
      <c r="E550" s="106">
        <f t="shared" ca="1" si="34"/>
        <v>0</v>
      </c>
      <c r="F550" s="21">
        <f t="shared" ca="1" si="35"/>
        <v>0</v>
      </c>
      <c r="H550" s="21">
        <v>535</v>
      </c>
      <c r="I550" s="107">
        <v>0.66768667409034643</v>
      </c>
      <c r="J550" s="108">
        <v>1.366822664286208E-3</v>
      </c>
      <c r="K550" s="108"/>
      <c r="L550" s="108">
        <v>3.9600000000000003E-2</v>
      </c>
      <c r="O550" s="105"/>
    </row>
    <row r="551" spans="2:15" x14ac:dyDescent="0.2">
      <c r="B551" s="1">
        <v>536</v>
      </c>
      <c r="C551" s="106">
        <f t="shared" ca="1" si="32"/>
        <v>-0.11417316094396539</v>
      </c>
      <c r="D551" s="106">
        <f t="shared" ca="1" si="33"/>
        <v>0.65706039791722826</v>
      </c>
      <c r="E551" s="106">
        <f t="shared" ca="1" si="34"/>
        <v>0</v>
      </c>
      <c r="F551" s="21">
        <f t="shared" ca="1" si="35"/>
        <v>0</v>
      </c>
      <c r="H551" s="21">
        <v>536</v>
      </c>
      <c r="I551" s="107">
        <v>0.66764172843187952</v>
      </c>
      <c r="J551" s="108">
        <v>1.3397901797010617E-3</v>
      </c>
      <c r="K551" s="108"/>
      <c r="L551" s="108">
        <v>3.9800000000000002E-2</v>
      </c>
      <c r="O551" s="105"/>
    </row>
    <row r="552" spans="2:15" x14ac:dyDescent="0.2">
      <c r="B552" s="1">
        <v>537</v>
      </c>
      <c r="C552" s="106">
        <f t="shared" ca="1" si="32"/>
        <v>1.193759791600288</v>
      </c>
      <c r="D552" s="106">
        <f t="shared" ca="1" si="33"/>
        <v>0.74754326603300281</v>
      </c>
      <c r="E552" s="106">
        <f t="shared" ca="1" si="34"/>
        <v>0</v>
      </c>
      <c r="F552" s="21">
        <f t="shared" ca="1" si="35"/>
        <v>0</v>
      </c>
      <c r="H552" s="21">
        <v>537</v>
      </c>
      <c r="I552" s="107">
        <v>0.66777812831081129</v>
      </c>
      <c r="J552" s="108">
        <v>1.3742732207804992E-3</v>
      </c>
      <c r="K552" s="108"/>
      <c r="L552" s="108">
        <v>4.24E-2</v>
      </c>
      <c r="O552" s="105"/>
    </row>
    <row r="553" spans="2:15" x14ac:dyDescent="0.2">
      <c r="B553" s="1">
        <v>538</v>
      </c>
      <c r="C553" s="106">
        <f t="shared" ca="1" si="32"/>
        <v>-0.23285846003657418</v>
      </c>
      <c r="D553" s="106">
        <f t="shared" ca="1" si="33"/>
        <v>0.64941286422053979</v>
      </c>
      <c r="E553" s="106">
        <f t="shared" ca="1" si="34"/>
        <v>0</v>
      </c>
      <c r="F553" s="21">
        <f t="shared" ca="1" si="35"/>
        <v>0</v>
      </c>
      <c r="H553" s="21">
        <v>538</v>
      </c>
      <c r="I553" s="107">
        <v>0.66760396185866555</v>
      </c>
      <c r="J553" s="108">
        <v>1.2839424240374158E-3</v>
      </c>
      <c r="K553" s="108"/>
      <c r="L553" s="108">
        <v>3.5400000000000001E-2</v>
      </c>
      <c r="O553" s="105"/>
    </row>
    <row r="554" spans="2:15" x14ac:dyDescent="0.2">
      <c r="B554" s="1">
        <v>539</v>
      </c>
      <c r="C554" s="106">
        <f t="shared" ca="1" si="32"/>
        <v>-0.18324456122523092</v>
      </c>
      <c r="D554" s="106">
        <f t="shared" ca="1" si="33"/>
        <v>0.65259886804188838</v>
      </c>
      <c r="E554" s="106">
        <f t="shared" ca="1" si="34"/>
        <v>0</v>
      </c>
      <c r="F554" s="21">
        <f t="shared" ca="1" si="35"/>
        <v>0</v>
      </c>
      <c r="H554" s="21">
        <v>539</v>
      </c>
      <c r="I554" s="107">
        <v>0.66773581146057159</v>
      </c>
      <c r="J554" s="108">
        <v>1.3867478758638086E-3</v>
      </c>
      <c r="K554" s="108"/>
      <c r="L554" s="108">
        <v>4.1200000000000001E-2</v>
      </c>
      <c r="O554" s="105"/>
    </row>
    <row r="555" spans="2:15" x14ac:dyDescent="0.2">
      <c r="B555" s="1">
        <v>540</v>
      </c>
      <c r="C555" s="106">
        <f t="shared" ca="1" si="32"/>
        <v>0.30740283032627275</v>
      </c>
      <c r="D555" s="106">
        <f t="shared" ca="1" si="33"/>
        <v>0.68496021672931295</v>
      </c>
      <c r="E555" s="106">
        <f t="shared" ca="1" si="34"/>
        <v>0</v>
      </c>
      <c r="F555" s="21">
        <f t="shared" ca="1" si="35"/>
        <v>0</v>
      </c>
      <c r="H555" s="21">
        <v>540</v>
      </c>
      <c r="I555" s="107">
        <v>0.66752692023139293</v>
      </c>
      <c r="J555" s="108">
        <v>1.0502161621562898E-3</v>
      </c>
      <c r="K555" s="108"/>
      <c r="L555" s="108">
        <v>3.8399999999999997E-2</v>
      </c>
      <c r="O555" s="105"/>
    </row>
    <row r="556" spans="2:15" x14ac:dyDescent="0.2">
      <c r="B556" s="1">
        <v>541</v>
      </c>
      <c r="C556" s="106">
        <f t="shared" ca="1" si="32"/>
        <v>-1.1493127151082314</v>
      </c>
      <c r="D556" s="106">
        <f t="shared" ca="1" si="33"/>
        <v>0.59328115286570005</v>
      </c>
      <c r="E556" s="106">
        <f t="shared" ca="1" si="34"/>
        <v>0</v>
      </c>
      <c r="F556" s="21">
        <f t="shared" ca="1" si="35"/>
        <v>0</v>
      </c>
      <c r="H556" s="21">
        <v>541</v>
      </c>
      <c r="I556" s="107">
        <v>0.66776426328695859</v>
      </c>
      <c r="J556" s="108">
        <v>1.5199430480396484E-3</v>
      </c>
      <c r="K556" s="108"/>
      <c r="L556" s="108">
        <v>4.4999999999999998E-2</v>
      </c>
      <c r="O556" s="105"/>
    </row>
    <row r="557" spans="2:15" x14ac:dyDescent="0.2">
      <c r="B557" s="1">
        <v>542</v>
      </c>
      <c r="C557" s="106">
        <f t="shared" ca="1" si="32"/>
        <v>0.34979953564919963</v>
      </c>
      <c r="D557" s="106">
        <f t="shared" ca="1" si="33"/>
        <v>0.68783076462789372</v>
      </c>
      <c r="E557" s="106">
        <f t="shared" ca="1" si="34"/>
        <v>0</v>
      </c>
      <c r="F557" s="21">
        <f t="shared" ca="1" si="35"/>
        <v>0</v>
      </c>
      <c r="H557" s="21">
        <v>542</v>
      </c>
      <c r="I557" s="107">
        <v>0.66762560747582533</v>
      </c>
      <c r="J557" s="108">
        <v>1.3038389554418479E-3</v>
      </c>
      <c r="K557" s="108"/>
      <c r="L557" s="108">
        <v>4.1599999999999998E-2</v>
      </c>
      <c r="O557" s="105"/>
    </row>
    <row r="558" spans="2:15" x14ac:dyDescent="0.2">
      <c r="B558" s="1">
        <v>543</v>
      </c>
      <c r="C558" s="106">
        <f t="shared" ca="1" si="32"/>
        <v>-0.48712739119339965</v>
      </c>
      <c r="D558" s="106">
        <f t="shared" ca="1" si="33"/>
        <v>0.63332723303889915</v>
      </c>
      <c r="E558" s="106">
        <f t="shared" ca="1" si="34"/>
        <v>0</v>
      </c>
      <c r="F558" s="21">
        <f t="shared" ca="1" si="35"/>
        <v>0</v>
      </c>
      <c r="H558" s="21">
        <v>543</v>
      </c>
      <c r="I558" s="107">
        <v>0.66783368863123704</v>
      </c>
      <c r="J558" s="108">
        <v>1.5401020303120318E-3</v>
      </c>
      <c r="K558" s="108"/>
      <c r="L558" s="108">
        <v>4.2599999999999999E-2</v>
      </c>
      <c r="O558" s="105"/>
    </row>
    <row r="559" spans="2:15" x14ac:dyDescent="0.2">
      <c r="B559" s="1">
        <v>544</v>
      </c>
      <c r="C559" s="106">
        <f t="shared" ca="1" si="32"/>
        <v>0.63129744727749537</v>
      </c>
      <c r="D559" s="106">
        <f t="shared" ca="1" si="33"/>
        <v>0.70719762516231321</v>
      </c>
      <c r="E559" s="106">
        <f t="shared" ca="1" si="34"/>
        <v>0</v>
      </c>
      <c r="F559" s="21">
        <f t="shared" ca="1" si="35"/>
        <v>0</v>
      </c>
      <c r="H559" s="21">
        <v>544</v>
      </c>
      <c r="I559" s="107">
        <v>0.6677550511189706</v>
      </c>
      <c r="J559" s="108">
        <v>1.2586054747004778E-3</v>
      </c>
      <c r="K559" s="108"/>
      <c r="L559" s="108">
        <v>4.1200000000000001E-2</v>
      </c>
      <c r="O559" s="105"/>
    </row>
    <row r="560" spans="2:15" x14ac:dyDescent="0.2">
      <c r="B560" s="1">
        <v>545</v>
      </c>
      <c r="C560" s="106">
        <f t="shared" ca="1" si="32"/>
        <v>-0.74988443921820558</v>
      </c>
      <c r="D560" s="106">
        <f t="shared" ca="1" si="33"/>
        <v>0.61712311422043342</v>
      </c>
      <c r="E560" s="106">
        <f t="shared" ca="1" si="34"/>
        <v>0</v>
      </c>
      <c r="F560" s="21">
        <f t="shared" ca="1" si="35"/>
        <v>0</v>
      </c>
      <c r="H560" s="21">
        <v>545</v>
      </c>
      <c r="I560" s="107">
        <v>0.66770577484906968</v>
      </c>
      <c r="J560" s="108">
        <v>1.1340182666038641E-3</v>
      </c>
      <c r="K560" s="108"/>
      <c r="L560" s="108">
        <v>0.04</v>
      </c>
      <c r="O560" s="105"/>
    </row>
    <row r="561" spans="2:15" x14ac:dyDescent="0.2">
      <c r="B561" s="1">
        <v>546</v>
      </c>
      <c r="C561" s="106">
        <f t="shared" ca="1" si="32"/>
        <v>1.421666883981773</v>
      </c>
      <c r="D561" s="106">
        <f t="shared" ca="1" si="33"/>
        <v>0.76453915635742709</v>
      </c>
      <c r="E561" s="106">
        <f t="shared" ca="1" si="34"/>
        <v>0</v>
      </c>
      <c r="F561" s="21">
        <f t="shared" ca="1" si="35"/>
        <v>0</v>
      </c>
      <c r="H561" s="21">
        <v>546</v>
      </c>
      <c r="I561" s="107">
        <v>0.66765421085364873</v>
      </c>
      <c r="J561" s="108">
        <v>1.2912523097988703E-3</v>
      </c>
      <c r="K561" s="108"/>
      <c r="L561" s="108">
        <v>4.0800000000000003E-2</v>
      </c>
      <c r="O561" s="105"/>
    </row>
    <row r="562" spans="2:15" x14ac:dyDescent="0.2">
      <c r="B562" s="1">
        <v>547</v>
      </c>
      <c r="C562" s="106">
        <f t="shared" ca="1" si="32"/>
        <v>-0.8831752129457886</v>
      </c>
      <c r="D562" s="106">
        <f t="shared" ca="1" si="33"/>
        <v>0.60906230052587018</v>
      </c>
      <c r="E562" s="106">
        <f t="shared" ca="1" si="34"/>
        <v>0</v>
      </c>
      <c r="F562" s="21">
        <f t="shared" ca="1" si="35"/>
        <v>0</v>
      </c>
      <c r="H562" s="21">
        <v>547</v>
      </c>
      <c r="I562" s="107">
        <v>0.66764951034289965</v>
      </c>
      <c r="J562" s="108">
        <v>1.3056377868608366E-3</v>
      </c>
      <c r="K562" s="108"/>
      <c r="L562" s="108">
        <v>3.7199999999999997E-2</v>
      </c>
      <c r="O562" s="105"/>
    </row>
    <row r="563" spans="2:15" x14ac:dyDescent="0.2">
      <c r="B563" s="1">
        <v>548</v>
      </c>
      <c r="C563" s="106">
        <f t="shared" ca="1" si="32"/>
        <v>-5.3627651856523961E-2</v>
      </c>
      <c r="D563" s="106">
        <f t="shared" ca="1" si="33"/>
        <v>0.66099629414826344</v>
      </c>
      <c r="E563" s="106">
        <f t="shared" ca="1" si="34"/>
        <v>0</v>
      </c>
      <c r="F563" s="21">
        <f t="shared" ca="1" si="35"/>
        <v>0</v>
      </c>
      <c r="H563" s="21">
        <v>548</v>
      </c>
      <c r="I563" s="107">
        <v>0.66769296053565497</v>
      </c>
      <c r="J563" s="108">
        <v>1.294365147436592E-3</v>
      </c>
      <c r="K563" s="108"/>
      <c r="L563" s="108">
        <v>4.0399999999999998E-2</v>
      </c>
      <c r="O563" s="105"/>
    </row>
    <row r="564" spans="2:15" x14ac:dyDescent="0.2">
      <c r="B564" s="1">
        <v>549</v>
      </c>
      <c r="C564" s="106">
        <f t="shared" ca="1" si="32"/>
        <v>0.10020738533254187</v>
      </c>
      <c r="D564" s="106">
        <f t="shared" ca="1" si="33"/>
        <v>0.67110306576435752</v>
      </c>
      <c r="E564" s="106">
        <f t="shared" ca="1" si="34"/>
        <v>0</v>
      </c>
      <c r="F564" s="21">
        <f t="shared" ca="1" si="35"/>
        <v>0</v>
      </c>
      <c r="H564" s="21">
        <v>549</v>
      </c>
      <c r="I564" s="107">
        <v>0.66762983537203402</v>
      </c>
      <c r="J564" s="108">
        <v>1.1710815922086934E-3</v>
      </c>
      <c r="K564" s="108"/>
      <c r="L564" s="108">
        <v>3.7199999999999997E-2</v>
      </c>
      <c r="O564" s="105"/>
    </row>
    <row r="565" spans="2:15" x14ac:dyDescent="0.2">
      <c r="B565" s="1">
        <v>550</v>
      </c>
      <c r="C565" s="106">
        <f t="shared" ca="1" si="32"/>
        <v>-0.76262789594183689</v>
      </c>
      <c r="D565" s="106">
        <f t="shared" ca="1" si="33"/>
        <v>0.61634785840998085</v>
      </c>
      <c r="E565" s="106">
        <f t="shared" ca="1" si="34"/>
        <v>0</v>
      </c>
      <c r="F565" s="21">
        <f t="shared" ca="1" si="35"/>
        <v>0</v>
      </c>
      <c r="H565" s="21">
        <v>550</v>
      </c>
      <c r="I565" s="107">
        <v>0.66776598952531019</v>
      </c>
      <c r="J565" s="108">
        <v>1.4996636558035541E-3</v>
      </c>
      <c r="K565" s="108"/>
      <c r="L565" s="108">
        <v>4.3799999999999999E-2</v>
      </c>
      <c r="O565" s="105"/>
    </row>
    <row r="566" spans="2:15" x14ac:dyDescent="0.2">
      <c r="B566" s="1">
        <v>551</v>
      </c>
      <c r="C566" s="106">
        <f t="shared" ca="1" si="32"/>
        <v>0.20958902046723701</v>
      </c>
      <c r="D566" s="106">
        <f t="shared" ca="1" si="33"/>
        <v>0.67838316940855892</v>
      </c>
      <c r="E566" s="106">
        <f t="shared" ca="1" si="34"/>
        <v>0</v>
      </c>
      <c r="F566" s="21">
        <f t="shared" ca="1" si="35"/>
        <v>0</v>
      </c>
      <c r="H566" s="21">
        <v>551</v>
      </c>
      <c r="I566" s="107">
        <v>0.66793716574460127</v>
      </c>
      <c r="J566" s="108">
        <v>1.4921932193518203E-3</v>
      </c>
      <c r="K566" s="108"/>
      <c r="L566" s="108">
        <v>4.5999999999999999E-2</v>
      </c>
      <c r="O566" s="105"/>
    </row>
    <row r="567" spans="2:15" x14ac:dyDescent="0.2">
      <c r="B567" s="1">
        <v>552</v>
      </c>
      <c r="C567" s="106">
        <f t="shared" ca="1" si="32"/>
        <v>1.034621799843781</v>
      </c>
      <c r="D567" s="106">
        <f t="shared" ca="1" si="33"/>
        <v>0.73590026650713025</v>
      </c>
      <c r="E567" s="106">
        <f t="shared" ca="1" si="34"/>
        <v>0</v>
      </c>
      <c r="F567" s="21">
        <f t="shared" ca="1" si="35"/>
        <v>0</v>
      </c>
      <c r="H567" s="21">
        <v>552</v>
      </c>
      <c r="I567" s="107">
        <v>0.66781630083981935</v>
      </c>
      <c r="J567" s="108">
        <v>1.370653847954957E-3</v>
      </c>
      <c r="K567" s="108"/>
      <c r="L567" s="108">
        <v>4.4999999999999998E-2</v>
      </c>
      <c r="O567" s="105"/>
    </row>
    <row r="568" spans="2:15" x14ac:dyDescent="0.2">
      <c r="B568" s="1">
        <v>553</v>
      </c>
      <c r="C568" s="106">
        <f t="shared" ca="1" si="32"/>
        <v>0.11025960858334982</v>
      </c>
      <c r="D568" s="106">
        <f t="shared" ca="1" si="33"/>
        <v>0.67176883784982822</v>
      </c>
      <c r="E568" s="106">
        <f t="shared" ca="1" si="34"/>
        <v>0</v>
      </c>
      <c r="F568" s="21">
        <f t="shared" ca="1" si="35"/>
        <v>0</v>
      </c>
      <c r="H568" s="21">
        <v>553</v>
      </c>
      <c r="I568" s="107">
        <v>0.66766490942675583</v>
      </c>
      <c r="J568" s="108">
        <v>1.3592467735083756E-3</v>
      </c>
      <c r="K568" s="108"/>
      <c r="L568" s="108">
        <v>4.0800000000000003E-2</v>
      </c>
      <c r="O568" s="105"/>
    </row>
    <row r="569" spans="2:15" x14ac:dyDescent="0.2">
      <c r="B569" s="1">
        <v>554</v>
      </c>
      <c r="C569" s="106">
        <f t="shared" ca="1" si="32"/>
        <v>0.91508531514885916</v>
      </c>
      <c r="D569" s="106">
        <f t="shared" ca="1" si="33"/>
        <v>0.7272740486502397</v>
      </c>
      <c r="E569" s="106">
        <f t="shared" ca="1" si="34"/>
        <v>0</v>
      </c>
      <c r="F569" s="21">
        <f t="shared" ca="1" si="35"/>
        <v>0</v>
      </c>
      <c r="H569" s="21">
        <v>554</v>
      </c>
      <c r="I569" s="107">
        <v>0.66775469478663674</v>
      </c>
      <c r="J569" s="108">
        <v>1.416282212315182E-3</v>
      </c>
      <c r="K569" s="108"/>
      <c r="L569" s="108">
        <v>4.2799999999999998E-2</v>
      </c>
      <c r="O569" s="105"/>
    </row>
    <row r="570" spans="2:15" x14ac:dyDescent="0.2">
      <c r="B570" s="1">
        <v>555</v>
      </c>
      <c r="C570" s="106">
        <f t="shared" ca="1" si="32"/>
        <v>0.74182472473310412</v>
      </c>
      <c r="D570" s="106">
        <f t="shared" ca="1" si="33"/>
        <v>0.71495007166339353</v>
      </c>
      <c r="E570" s="106">
        <f t="shared" ca="1" si="34"/>
        <v>0</v>
      </c>
      <c r="F570" s="21">
        <f t="shared" ca="1" si="35"/>
        <v>0</v>
      </c>
      <c r="H570" s="21">
        <v>555</v>
      </c>
      <c r="I570" s="107">
        <v>0.66772061723150855</v>
      </c>
      <c r="J570" s="108">
        <v>1.2652007653838249E-3</v>
      </c>
      <c r="K570" s="108"/>
      <c r="L570" s="108">
        <v>4.1799999999999997E-2</v>
      </c>
      <c r="O570" s="105"/>
    </row>
    <row r="571" spans="2:15" x14ac:dyDescent="0.2">
      <c r="B571" s="1">
        <v>556</v>
      </c>
      <c r="C571" s="106">
        <f t="shared" ca="1" si="32"/>
        <v>-0.82716555319416518</v>
      </c>
      <c r="D571" s="106">
        <f t="shared" ca="1" si="33"/>
        <v>0.61243660148704271</v>
      </c>
      <c r="E571" s="106">
        <f t="shared" ca="1" si="34"/>
        <v>0</v>
      </c>
      <c r="F571" s="21">
        <f t="shared" ca="1" si="35"/>
        <v>0</v>
      </c>
      <c r="H571" s="21">
        <v>556</v>
      </c>
      <c r="I571" s="107">
        <v>0.66788776730503796</v>
      </c>
      <c r="J571" s="108">
        <v>1.5056804715007041E-3</v>
      </c>
      <c r="K571" s="108"/>
      <c r="L571" s="108">
        <v>4.3400000000000001E-2</v>
      </c>
      <c r="O571" s="105"/>
    </row>
    <row r="572" spans="2:15" x14ac:dyDescent="0.2">
      <c r="B572" s="1">
        <v>557</v>
      </c>
      <c r="C572" s="106">
        <f t="shared" ca="1" si="32"/>
        <v>0.88106019252299284</v>
      </c>
      <c r="D572" s="106">
        <f t="shared" ca="1" si="33"/>
        <v>0.72483720263538787</v>
      </c>
      <c r="E572" s="106">
        <f t="shared" ca="1" si="34"/>
        <v>0</v>
      </c>
      <c r="F572" s="21">
        <f t="shared" ca="1" si="35"/>
        <v>0</v>
      </c>
      <c r="H572" s="21">
        <v>557</v>
      </c>
      <c r="I572" s="107">
        <v>0.6675890771613604</v>
      </c>
      <c r="J572" s="108">
        <v>1.2181363968378205E-3</v>
      </c>
      <c r="K572" s="108"/>
      <c r="L572" s="108">
        <v>3.7999999999999999E-2</v>
      </c>
      <c r="O572" s="105"/>
    </row>
    <row r="573" spans="2:15" x14ac:dyDescent="0.2">
      <c r="B573" s="1">
        <v>558</v>
      </c>
      <c r="C573" s="106">
        <f t="shared" ca="1" si="32"/>
        <v>-0.86682688661002305</v>
      </c>
      <c r="D573" s="106">
        <f t="shared" ca="1" si="33"/>
        <v>0.61004527930140617</v>
      </c>
      <c r="E573" s="106">
        <f t="shared" ca="1" si="34"/>
        <v>0</v>
      </c>
      <c r="F573" s="21">
        <f t="shared" ca="1" si="35"/>
        <v>0</v>
      </c>
      <c r="H573" s="21">
        <v>558</v>
      </c>
      <c r="I573" s="107">
        <v>0.66769192328311389</v>
      </c>
      <c r="J573" s="108">
        <v>1.3249411994127702E-3</v>
      </c>
      <c r="K573" s="108"/>
      <c r="L573" s="108">
        <v>4.1000000000000002E-2</v>
      </c>
      <c r="O573" s="105"/>
    </row>
    <row r="574" spans="2:15" x14ac:dyDescent="0.2">
      <c r="B574" s="1">
        <v>559</v>
      </c>
      <c r="C574" s="106">
        <f t="shared" ca="1" si="32"/>
        <v>2.1942568317567139</v>
      </c>
      <c r="D574" s="106">
        <f t="shared" ca="1" si="33"/>
        <v>0.82508180503462625</v>
      </c>
      <c r="E574" s="106">
        <f t="shared" ca="1" si="34"/>
        <v>3.6881805034626236E-2</v>
      </c>
      <c r="F574" s="21">
        <f t="shared" ca="1" si="35"/>
        <v>1</v>
      </c>
      <c r="H574" s="21">
        <v>559</v>
      </c>
      <c r="I574" s="107">
        <v>0.6676773019709602</v>
      </c>
      <c r="J574" s="108">
        <v>1.2146727574485292E-3</v>
      </c>
      <c r="K574" s="108"/>
      <c r="L574" s="108">
        <v>3.8199999999999998E-2</v>
      </c>
      <c r="O574" s="105"/>
    </row>
    <row r="575" spans="2:15" x14ac:dyDescent="0.2">
      <c r="B575" s="1">
        <v>560</v>
      </c>
      <c r="C575" s="106">
        <f t="shared" ca="1" si="32"/>
        <v>0.16521626321705199</v>
      </c>
      <c r="D575" s="106">
        <f t="shared" ca="1" si="33"/>
        <v>0.675420383454719</v>
      </c>
      <c r="E575" s="106">
        <f t="shared" ca="1" si="34"/>
        <v>0</v>
      </c>
      <c r="F575" s="21">
        <f t="shared" ca="1" si="35"/>
        <v>0</v>
      </c>
      <c r="H575" s="21">
        <v>560</v>
      </c>
      <c r="I575" s="107">
        <v>0.66781204260048932</v>
      </c>
      <c r="J575" s="108">
        <v>1.5122602985950437E-3</v>
      </c>
      <c r="K575" s="108"/>
      <c r="L575" s="108">
        <v>4.8000000000000001E-2</v>
      </c>
      <c r="O575" s="105"/>
    </row>
    <row r="576" spans="2:15" x14ac:dyDescent="0.2">
      <c r="B576" s="1">
        <v>561</v>
      </c>
      <c r="C576" s="106">
        <f t="shared" ca="1" si="32"/>
        <v>1.4972086386114645</v>
      </c>
      <c r="D576" s="106">
        <f t="shared" ca="1" si="33"/>
        <v>0.77025742806881725</v>
      </c>
      <c r="E576" s="106">
        <f t="shared" ca="1" si="34"/>
        <v>0</v>
      </c>
      <c r="F576" s="21">
        <f t="shared" ca="1" si="35"/>
        <v>0</v>
      </c>
      <c r="H576" s="21">
        <v>561</v>
      </c>
      <c r="I576" s="107">
        <v>0.66787051561324695</v>
      </c>
      <c r="J576" s="108">
        <v>1.4403123234345055E-3</v>
      </c>
      <c r="K576" s="108"/>
      <c r="L576" s="108">
        <v>4.3999999999999997E-2</v>
      </c>
      <c r="O576" s="105"/>
    </row>
    <row r="577" spans="2:15" x14ac:dyDescent="0.2">
      <c r="B577" s="1">
        <v>562</v>
      </c>
      <c r="C577" s="106">
        <f t="shared" ca="1" si="32"/>
        <v>-0.16938638238155315</v>
      </c>
      <c r="D577" s="106">
        <f t="shared" ca="1" si="33"/>
        <v>0.65349157362366306</v>
      </c>
      <c r="E577" s="106">
        <f t="shared" ca="1" si="34"/>
        <v>0</v>
      </c>
      <c r="F577" s="21">
        <f t="shared" ca="1" si="35"/>
        <v>0</v>
      </c>
      <c r="H577" s="21">
        <v>562</v>
      </c>
      <c r="I577" s="107">
        <v>0.66754215180582455</v>
      </c>
      <c r="J577" s="108">
        <v>1.2392884304573627E-3</v>
      </c>
      <c r="K577" s="108"/>
      <c r="L577" s="108">
        <v>3.6600000000000001E-2</v>
      </c>
      <c r="O577" s="105"/>
    </row>
    <row r="578" spans="2:15" x14ac:dyDescent="0.2">
      <c r="B578" s="1">
        <v>563</v>
      </c>
      <c r="C578" s="106">
        <f t="shared" ca="1" si="32"/>
        <v>1.4562413906416316</v>
      </c>
      <c r="D578" s="106">
        <f t="shared" ca="1" si="33"/>
        <v>0.76715104953699831</v>
      </c>
      <c r="E578" s="106">
        <f t="shared" ca="1" si="34"/>
        <v>0</v>
      </c>
      <c r="F578" s="21">
        <f t="shared" ca="1" si="35"/>
        <v>0</v>
      </c>
      <c r="H578" s="21">
        <v>563</v>
      </c>
      <c r="I578" s="107">
        <v>0.66762609290842378</v>
      </c>
      <c r="J578" s="108">
        <v>1.1749056516756173E-3</v>
      </c>
      <c r="K578" s="108"/>
      <c r="L578" s="108">
        <v>4.0599999999999997E-2</v>
      </c>
      <c r="O578" s="105"/>
    </row>
    <row r="579" spans="2:15" x14ac:dyDescent="0.2">
      <c r="B579" s="1">
        <v>564</v>
      </c>
      <c r="C579" s="106">
        <f t="shared" ca="1" si="32"/>
        <v>-0.60810312032622515</v>
      </c>
      <c r="D579" s="106">
        <f t="shared" ca="1" si="33"/>
        <v>0.62581452301788154</v>
      </c>
      <c r="E579" s="106">
        <f t="shared" ca="1" si="34"/>
        <v>0</v>
      </c>
      <c r="F579" s="21">
        <f t="shared" ca="1" si="35"/>
        <v>0</v>
      </c>
      <c r="H579" s="21">
        <v>564</v>
      </c>
      <c r="I579" s="107">
        <v>0.66776948907541656</v>
      </c>
      <c r="J579" s="108">
        <v>1.4744976078020701E-3</v>
      </c>
      <c r="K579" s="108"/>
      <c r="L579" s="108">
        <v>4.24E-2</v>
      </c>
      <c r="O579" s="105"/>
    </row>
    <row r="580" spans="2:15" x14ac:dyDescent="0.2">
      <c r="B580" s="1">
        <v>565</v>
      </c>
      <c r="C580" s="106">
        <f t="shared" ca="1" si="32"/>
        <v>0.83688557701445632</v>
      </c>
      <c r="D580" s="106">
        <f t="shared" ca="1" si="33"/>
        <v>0.72168563747116488</v>
      </c>
      <c r="E580" s="106">
        <f t="shared" ca="1" si="34"/>
        <v>0</v>
      </c>
      <c r="F580" s="21">
        <f t="shared" ca="1" si="35"/>
        <v>0</v>
      </c>
      <c r="H580" s="21">
        <v>565</v>
      </c>
      <c r="I580" s="107">
        <v>0.66784851831947856</v>
      </c>
      <c r="J580" s="108">
        <v>1.5634105790892044E-3</v>
      </c>
      <c r="K580" s="108"/>
      <c r="L580" s="108">
        <v>4.4200000000000003E-2</v>
      </c>
      <c r="O580" s="105"/>
    </row>
    <row r="581" spans="2:15" x14ac:dyDescent="0.2">
      <c r="B581" s="1">
        <v>566</v>
      </c>
      <c r="C581" s="106">
        <f t="shared" ca="1" si="32"/>
        <v>0.75200005729941621</v>
      </c>
      <c r="D581" s="106">
        <f t="shared" ca="1" si="33"/>
        <v>0.71566803323215822</v>
      </c>
      <c r="E581" s="106">
        <f t="shared" ca="1" si="34"/>
        <v>0</v>
      </c>
      <c r="F581" s="21">
        <f t="shared" ca="1" si="35"/>
        <v>0</v>
      </c>
      <c r="H581" s="21">
        <v>566</v>
      </c>
      <c r="I581" s="107">
        <v>0.66796654875746575</v>
      </c>
      <c r="J581" s="108">
        <v>1.5534725373778102E-3</v>
      </c>
      <c r="K581" s="108"/>
      <c r="L581" s="108">
        <v>4.7800000000000002E-2</v>
      </c>
      <c r="O581" s="105"/>
    </row>
    <row r="582" spans="2:15" x14ac:dyDescent="0.2">
      <c r="B582" s="1">
        <v>567</v>
      </c>
      <c r="C582" s="106">
        <f t="shared" ca="1" si="32"/>
        <v>-0.6056594516858258</v>
      </c>
      <c r="D582" s="106">
        <f t="shared" ca="1" si="33"/>
        <v>0.62596539173496657</v>
      </c>
      <c r="E582" s="106">
        <f t="shared" ca="1" si="34"/>
        <v>0</v>
      </c>
      <c r="F582" s="21">
        <f t="shared" ca="1" si="35"/>
        <v>0</v>
      </c>
      <c r="H582" s="21">
        <v>567</v>
      </c>
      <c r="I582" s="107">
        <v>0.66768749171135577</v>
      </c>
      <c r="J582" s="108">
        <v>1.394544473441187E-3</v>
      </c>
      <c r="K582" s="108"/>
      <c r="L582" s="108">
        <v>4.3200000000000002E-2</v>
      </c>
      <c r="O582" s="105"/>
    </row>
    <row r="583" spans="2:15" x14ac:dyDescent="0.2">
      <c r="B583" s="1">
        <v>568</v>
      </c>
      <c r="C583" s="106">
        <f t="shared" ca="1" si="32"/>
        <v>-1.429996960439389E-2</v>
      </c>
      <c r="D583" s="106">
        <f t="shared" ca="1" si="33"/>
        <v>0.66356550020281047</v>
      </c>
      <c r="E583" s="106">
        <f t="shared" ca="1" si="34"/>
        <v>0</v>
      </c>
      <c r="F583" s="21">
        <f t="shared" ca="1" si="35"/>
        <v>0</v>
      </c>
      <c r="H583" s="21">
        <v>568</v>
      </c>
      <c r="I583" s="107">
        <v>0.66774902102258649</v>
      </c>
      <c r="J583" s="108">
        <v>1.3448881769412694E-3</v>
      </c>
      <c r="K583" s="108"/>
      <c r="L583" s="108">
        <v>4.3400000000000001E-2</v>
      </c>
      <c r="O583" s="105"/>
    </row>
    <row r="584" spans="2:15" x14ac:dyDescent="0.2">
      <c r="B584" s="1">
        <v>569</v>
      </c>
      <c r="C584" s="106">
        <f t="shared" ca="1" si="32"/>
        <v>-0.42670131704278114</v>
      </c>
      <c r="D584" s="106">
        <f t="shared" ca="1" si="33"/>
        <v>0.63711345782129414</v>
      </c>
      <c r="E584" s="106">
        <f t="shared" ca="1" si="34"/>
        <v>0</v>
      </c>
      <c r="F584" s="21">
        <f t="shared" ca="1" si="35"/>
        <v>0</v>
      </c>
      <c r="H584" s="21">
        <v>569</v>
      </c>
      <c r="I584" s="107">
        <v>0.66760916841726792</v>
      </c>
      <c r="J584" s="108">
        <v>1.3905527231135703E-3</v>
      </c>
      <c r="K584" s="108"/>
      <c r="L584" s="108">
        <v>0.04</v>
      </c>
      <c r="O584" s="105"/>
    </row>
    <row r="585" spans="2:15" x14ac:dyDescent="0.2">
      <c r="B585" s="1">
        <v>570</v>
      </c>
      <c r="C585" s="106">
        <f t="shared" ca="1" si="32"/>
        <v>-0.60321315734214853</v>
      </c>
      <c r="D585" s="106">
        <f t="shared" ca="1" si="33"/>
        <v>0.62611645898877133</v>
      </c>
      <c r="E585" s="106">
        <f t="shared" ca="1" si="34"/>
        <v>0</v>
      </c>
      <c r="F585" s="21">
        <f t="shared" ca="1" si="35"/>
        <v>0</v>
      </c>
      <c r="H585" s="21">
        <v>570</v>
      </c>
      <c r="I585" s="107">
        <v>0.66784686531144366</v>
      </c>
      <c r="J585" s="108">
        <v>1.4194767276999123E-3</v>
      </c>
      <c r="K585" s="108"/>
      <c r="L585" s="108">
        <v>4.6600000000000003E-2</v>
      </c>
      <c r="O585" s="105"/>
    </row>
    <row r="586" spans="2:15" x14ac:dyDescent="0.2">
      <c r="B586" s="1">
        <v>571</v>
      </c>
      <c r="C586" s="106">
        <f t="shared" ca="1" si="32"/>
        <v>-1.937027839781525</v>
      </c>
      <c r="D586" s="106">
        <f t="shared" ca="1" si="33"/>
        <v>0.548927921256538</v>
      </c>
      <c r="E586" s="106">
        <f t="shared" ca="1" si="34"/>
        <v>0</v>
      </c>
      <c r="F586" s="21">
        <f t="shared" ca="1" si="35"/>
        <v>0</v>
      </c>
      <c r="H586" s="21">
        <v>571</v>
      </c>
      <c r="I586" s="107">
        <v>0.66770356963703659</v>
      </c>
      <c r="J586" s="108">
        <v>1.3964416001106253E-3</v>
      </c>
      <c r="K586" s="108"/>
      <c r="L586" s="108">
        <v>4.4999999999999998E-2</v>
      </c>
      <c r="O586" s="105"/>
    </row>
    <row r="587" spans="2:15" x14ac:dyDescent="0.2">
      <c r="B587" s="1">
        <v>572</v>
      </c>
      <c r="C587" s="106">
        <f t="shared" ca="1" si="32"/>
        <v>-0.93157256624759632</v>
      </c>
      <c r="D587" s="106">
        <f t="shared" ca="1" si="33"/>
        <v>0.60616157933698112</v>
      </c>
      <c r="E587" s="106">
        <f t="shared" ca="1" si="34"/>
        <v>0</v>
      </c>
      <c r="F587" s="21">
        <f t="shared" ca="1" si="35"/>
        <v>0</v>
      </c>
      <c r="H587" s="21">
        <v>572</v>
      </c>
      <c r="I587" s="107">
        <v>0.66762158878300915</v>
      </c>
      <c r="J587" s="108">
        <v>1.2016078391580876E-3</v>
      </c>
      <c r="K587" s="108"/>
      <c r="L587" s="108">
        <v>3.9800000000000002E-2</v>
      </c>
      <c r="O587" s="105"/>
    </row>
    <row r="588" spans="2:15" x14ac:dyDescent="0.2">
      <c r="B588" s="1">
        <v>573</v>
      </c>
      <c r="C588" s="106">
        <f t="shared" ca="1" si="32"/>
        <v>0.1670864354153434</v>
      </c>
      <c r="D588" s="106">
        <f t="shared" ca="1" si="33"/>
        <v>0.67554499397788625</v>
      </c>
      <c r="E588" s="106">
        <f t="shared" ca="1" si="34"/>
        <v>0</v>
      </c>
      <c r="F588" s="21">
        <f t="shared" ca="1" si="35"/>
        <v>0</v>
      </c>
      <c r="H588" s="21">
        <v>573</v>
      </c>
      <c r="I588" s="107">
        <v>0.66787886764733106</v>
      </c>
      <c r="J588" s="108">
        <v>1.5572782255000781E-3</v>
      </c>
      <c r="K588" s="108"/>
      <c r="L588" s="108">
        <v>4.6199999999999998E-2</v>
      </c>
      <c r="O588" s="105"/>
    </row>
    <row r="589" spans="2:15" x14ac:dyDescent="0.2">
      <c r="B589" s="1">
        <v>574</v>
      </c>
      <c r="C589" s="106">
        <f t="shared" ca="1" si="32"/>
        <v>-0.25286488802394297</v>
      </c>
      <c r="D589" s="106">
        <f t="shared" ca="1" si="33"/>
        <v>0.64813253728541043</v>
      </c>
      <c r="E589" s="106">
        <f t="shared" ca="1" si="34"/>
        <v>0</v>
      </c>
      <c r="F589" s="21">
        <f t="shared" ca="1" si="35"/>
        <v>0</v>
      </c>
      <c r="H589" s="21">
        <v>574</v>
      </c>
      <c r="I589" s="107">
        <v>0.66768021592743632</v>
      </c>
      <c r="J589" s="108">
        <v>1.4261785225194198E-3</v>
      </c>
      <c r="K589" s="108"/>
      <c r="L589" s="108">
        <v>4.0599999999999997E-2</v>
      </c>
      <c r="O589" s="105"/>
    </row>
    <row r="590" spans="2:15" x14ac:dyDescent="0.2">
      <c r="B590" s="1">
        <v>575</v>
      </c>
      <c r="C590" s="106">
        <f t="shared" ca="1" si="32"/>
        <v>-2.2866157072231208</v>
      </c>
      <c r="D590" s="106">
        <f t="shared" ca="1" si="33"/>
        <v>0.53032144950922766</v>
      </c>
      <c r="E590" s="106">
        <f t="shared" ca="1" si="34"/>
        <v>0</v>
      </c>
      <c r="F590" s="21">
        <f t="shared" ca="1" si="35"/>
        <v>0</v>
      </c>
      <c r="H590" s="21">
        <v>575</v>
      </c>
      <c r="I590" s="107">
        <v>0.66771109679597351</v>
      </c>
      <c r="J590" s="108">
        <v>1.3567667911217078E-3</v>
      </c>
      <c r="K590" s="108"/>
      <c r="L590" s="108">
        <v>4.0800000000000003E-2</v>
      </c>
      <c r="O590" s="105"/>
    </row>
    <row r="591" spans="2:15" x14ac:dyDescent="0.2">
      <c r="B591" s="1">
        <v>576</v>
      </c>
      <c r="C591" s="106">
        <f t="shared" ca="1" si="32"/>
        <v>0.43355651171247511</v>
      </c>
      <c r="D591" s="106">
        <f t="shared" ca="1" si="33"/>
        <v>0.69353709314152223</v>
      </c>
      <c r="E591" s="106">
        <f t="shared" ca="1" si="34"/>
        <v>0</v>
      </c>
      <c r="F591" s="21">
        <f t="shared" ca="1" si="35"/>
        <v>0</v>
      </c>
      <c r="H591" s="21">
        <v>576</v>
      </c>
      <c r="I591" s="107">
        <v>0.66785777982703287</v>
      </c>
      <c r="J591" s="108">
        <v>1.4882376833864777E-3</v>
      </c>
      <c r="K591" s="108"/>
      <c r="L591" s="108">
        <v>4.2200000000000001E-2</v>
      </c>
      <c r="O591" s="105"/>
    </row>
    <row r="592" spans="2:15" x14ac:dyDescent="0.2">
      <c r="B592" s="1">
        <v>577</v>
      </c>
      <c r="C592" s="106">
        <f t="shared" ref="C592:C655" ca="1" si="36">_xlfn.NORM.S.INV(RAND())</f>
        <v>1.0360304966514085</v>
      </c>
      <c r="D592" s="106">
        <f t="shared" ref="D592:D655" ca="1" si="37">S0*EXP((μ-0.5*σ*σ)*T+σ*SQRT(T)*$C592)</f>
        <v>0.73600253116399628</v>
      </c>
      <c r="E592" s="106">
        <f t="shared" ref="E592:E655" ca="1" si="38">MAX(0,CP*(D592-K))</f>
        <v>0</v>
      </c>
      <c r="F592" s="21">
        <f t="shared" ref="F592:F655" ca="1" si="39">(CP*(D592-K)&gt;0)*1</f>
        <v>0</v>
      </c>
      <c r="H592" s="21">
        <v>577</v>
      </c>
      <c r="I592" s="107">
        <v>0.66786756187951934</v>
      </c>
      <c r="J592" s="108">
        <v>1.5711218251033632E-3</v>
      </c>
      <c r="K592" s="108"/>
      <c r="L592" s="108">
        <v>4.58E-2</v>
      </c>
      <c r="O592" s="105"/>
    </row>
    <row r="593" spans="2:15" x14ac:dyDescent="0.2">
      <c r="B593" s="1">
        <v>578</v>
      </c>
      <c r="C593" s="106">
        <f t="shared" ca="1" si="36"/>
        <v>0.29300069677266555</v>
      </c>
      <c r="D593" s="106">
        <f t="shared" ca="1" si="37"/>
        <v>0.68398782192485819</v>
      </c>
      <c r="E593" s="106">
        <f t="shared" ca="1" si="38"/>
        <v>0</v>
      </c>
      <c r="F593" s="21">
        <f t="shared" ca="1" si="39"/>
        <v>0</v>
      </c>
      <c r="H593" s="21">
        <v>578</v>
      </c>
      <c r="I593" s="107">
        <v>0.66770145445263573</v>
      </c>
      <c r="J593" s="108">
        <v>1.3784232864384632E-3</v>
      </c>
      <c r="K593" s="108"/>
      <c r="L593" s="108">
        <v>4.2000000000000003E-2</v>
      </c>
      <c r="O593" s="105"/>
    </row>
    <row r="594" spans="2:15" x14ac:dyDescent="0.2">
      <c r="B594" s="1">
        <v>579</v>
      </c>
      <c r="C594" s="106">
        <f t="shared" ca="1" si="36"/>
        <v>-1.3279349791304706</v>
      </c>
      <c r="D594" s="106">
        <f t="shared" ca="1" si="37"/>
        <v>0.58291936668241162</v>
      </c>
      <c r="E594" s="106">
        <f t="shared" ca="1" si="38"/>
        <v>0</v>
      </c>
      <c r="F594" s="21">
        <f t="shared" ca="1" si="39"/>
        <v>0</v>
      </c>
      <c r="H594" s="21">
        <v>579</v>
      </c>
      <c r="I594" s="107">
        <v>0.66763225200663978</v>
      </c>
      <c r="J594" s="108">
        <v>1.24255895539106E-3</v>
      </c>
      <c r="K594" s="108"/>
      <c r="L594" s="108">
        <v>3.7199999999999997E-2</v>
      </c>
      <c r="O594" s="105"/>
    </row>
    <row r="595" spans="2:15" x14ac:dyDescent="0.2">
      <c r="B595" s="1">
        <v>580</v>
      </c>
      <c r="C595" s="106">
        <f t="shared" ca="1" si="36"/>
        <v>-0.22047275434999222</v>
      </c>
      <c r="D595" s="106">
        <f t="shared" ca="1" si="37"/>
        <v>0.6502067643429853</v>
      </c>
      <c r="E595" s="106">
        <f t="shared" ca="1" si="38"/>
        <v>0</v>
      </c>
      <c r="F595" s="21">
        <f t="shared" ca="1" si="39"/>
        <v>0</v>
      </c>
      <c r="H595" s="21">
        <v>580</v>
      </c>
      <c r="I595" s="107">
        <v>0.66754272705928108</v>
      </c>
      <c r="J595" s="108">
        <v>1.1529466015388233E-3</v>
      </c>
      <c r="K595" s="108"/>
      <c r="L595" s="108">
        <v>3.6600000000000001E-2</v>
      </c>
      <c r="O595" s="105"/>
    </row>
    <row r="596" spans="2:15" x14ac:dyDescent="0.2">
      <c r="B596" s="1">
        <v>581</v>
      </c>
      <c r="C596" s="106">
        <f t="shared" ca="1" si="36"/>
        <v>-0.46124238982441823</v>
      </c>
      <c r="D596" s="106">
        <f t="shared" ca="1" si="37"/>
        <v>0.63494639324892754</v>
      </c>
      <c r="E596" s="106">
        <f t="shared" ca="1" si="38"/>
        <v>0</v>
      </c>
      <c r="F596" s="21">
        <f t="shared" ca="1" si="39"/>
        <v>0</v>
      </c>
      <c r="H596" s="21">
        <v>581</v>
      </c>
      <c r="I596" s="107">
        <v>0.66762963530742259</v>
      </c>
      <c r="J596" s="108">
        <v>1.2909416148276999E-3</v>
      </c>
      <c r="K596" s="108"/>
      <c r="L596" s="108">
        <v>3.8600000000000002E-2</v>
      </c>
      <c r="O596" s="105"/>
    </row>
    <row r="597" spans="2:15" x14ac:dyDescent="0.2">
      <c r="B597" s="1">
        <v>582</v>
      </c>
      <c r="C597" s="106">
        <f t="shared" ca="1" si="36"/>
        <v>-0.77306967960924533</v>
      </c>
      <c r="D597" s="106">
        <f t="shared" ca="1" si="37"/>
        <v>0.61571335225010992</v>
      </c>
      <c r="E597" s="106">
        <f t="shared" ca="1" si="38"/>
        <v>0</v>
      </c>
      <c r="F597" s="21">
        <f t="shared" ca="1" si="39"/>
        <v>0</v>
      </c>
      <c r="H597" s="21">
        <v>582</v>
      </c>
      <c r="I597" s="107">
        <v>0.66763130520963498</v>
      </c>
      <c r="J597" s="108">
        <v>1.1607230962322121E-3</v>
      </c>
      <c r="K597" s="108"/>
      <c r="L597" s="108">
        <v>3.78E-2</v>
      </c>
      <c r="O597" s="105"/>
    </row>
    <row r="598" spans="2:15" x14ac:dyDescent="0.2">
      <c r="B598" s="1">
        <v>583</v>
      </c>
      <c r="C598" s="106">
        <f t="shared" ca="1" si="36"/>
        <v>-2.0559724254986662</v>
      </c>
      <c r="D598" s="106">
        <f t="shared" ca="1" si="37"/>
        <v>0.54252506672430167</v>
      </c>
      <c r="E598" s="106">
        <f t="shared" ca="1" si="38"/>
        <v>0</v>
      </c>
      <c r="F598" s="21">
        <f t="shared" ca="1" si="39"/>
        <v>0</v>
      </c>
      <c r="H598" s="21">
        <v>583</v>
      </c>
      <c r="I598" s="107">
        <v>0.667716568903582</v>
      </c>
      <c r="J598" s="108">
        <v>1.3623081098690913E-3</v>
      </c>
      <c r="K598" s="108"/>
      <c r="L598" s="108">
        <v>3.9399999999999998E-2</v>
      </c>
      <c r="O598" s="105"/>
    </row>
    <row r="599" spans="2:15" x14ac:dyDescent="0.2">
      <c r="B599" s="1">
        <v>584</v>
      </c>
      <c r="C599" s="106">
        <f t="shared" ca="1" si="36"/>
        <v>-0.19866383839903515</v>
      </c>
      <c r="D599" s="106">
        <f t="shared" ca="1" si="37"/>
        <v>0.65160703402814868</v>
      </c>
      <c r="E599" s="106">
        <f t="shared" ca="1" si="38"/>
        <v>0</v>
      </c>
      <c r="F599" s="21">
        <f t="shared" ca="1" si="39"/>
        <v>0</v>
      </c>
      <c r="H599" s="21">
        <v>584</v>
      </c>
      <c r="I599" s="107">
        <v>0.66767781841535467</v>
      </c>
      <c r="J599" s="108">
        <v>1.263331463558813E-3</v>
      </c>
      <c r="K599" s="108"/>
      <c r="L599" s="108">
        <v>4.1200000000000001E-2</v>
      </c>
      <c r="O599" s="105"/>
    </row>
    <row r="600" spans="2:15" x14ac:dyDescent="0.2">
      <c r="B600" s="1">
        <v>585</v>
      </c>
      <c r="C600" s="106">
        <f t="shared" ca="1" si="36"/>
        <v>1.7035935098201196</v>
      </c>
      <c r="D600" s="106">
        <f t="shared" ca="1" si="37"/>
        <v>0.7860990941430791</v>
      </c>
      <c r="E600" s="106">
        <f t="shared" ca="1" si="38"/>
        <v>0</v>
      </c>
      <c r="F600" s="21">
        <f t="shared" ca="1" si="39"/>
        <v>0</v>
      </c>
      <c r="H600" s="21">
        <v>585</v>
      </c>
      <c r="I600" s="107">
        <v>0.66764574804346977</v>
      </c>
      <c r="J600" s="108">
        <v>1.2964894587794949E-3</v>
      </c>
      <c r="K600" s="108"/>
      <c r="L600" s="108">
        <v>3.8800000000000001E-2</v>
      </c>
      <c r="O600" s="105"/>
    </row>
    <row r="601" spans="2:15" x14ac:dyDescent="0.2">
      <c r="B601" s="1">
        <v>586</v>
      </c>
      <c r="C601" s="106">
        <f t="shared" ca="1" si="36"/>
        <v>0.1247011572967818</v>
      </c>
      <c r="D601" s="106">
        <f t="shared" ca="1" si="37"/>
        <v>0.67272647700372112</v>
      </c>
      <c r="E601" s="106">
        <f t="shared" ca="1" si="38"/>
        <v>0</v>
      </c>
      <c r="F601" s="21">
        <f t="shared" ca="1" si="39"/>
        <v>0</v>
      </c>
      <c r="H601" s="21">
        <v>586</v>
      </c>
      <c r="I601" s="107">
        <v>0.66772921977094224</v>
      </c>
      <c r="J601" s="108">
        <v>1.405724560517442E-3</v>
      </c>
      <c r="K601" s="108"/>
      <c r="L601" s="108">
        <v>4.4600000000000001E-2</v>
      </c>
      <c r="O601" s="105"/>
    </row>
    <row r="602" spans="2:15" x14ac:dyDescent="0.2">
      <c r="B602" s="1">
        <v>587</v>
      </c>
      <c r="C602" s="106">
        <f t="shared" ca="1" si="36"/>
        <v>9.513456410944493E-2</v>
      </c>
      <c r="D602" s="106">
        <f t="shared" ca="1" si="37"/>
        <v>0.67076733663296173</v>
      </c>
      <c r="E602" s="106">
        <f t="shared" ca="1" si="38"/>
        <v>0</v>
      </c>
      <c r="F602" s="21">
        <f t="shared" ca="1" si="39"/>
        <v>0</v>
      </c>
      <c r="H602" s="21">
        <v>587</v>
      </c>
      <c r="I602" s="107">
        <v>0.66776033144432312</v>
      </c>
      <c r="J602" s="108">
        <v>1.4684415503284202E-3</v>
      </c>
      <c r="K602" s="108"/>
      <c r="L602" s="108">
        <v>4.4200000000000003E-2</v>
      </c>
      <c r="O602" s="105"/>
    </row>
    <row r="603" spans="2:15" x14ac:dyDescent="0.2">
      <c r="B603" s="1">
        <v>588</v>
      </c>
      <c r="C603" s="106">
        <f t="shared" ca="1" si="36"/>
        <v>0.63041530269795665</v>
      </c>
      <c r="D603" s="106">
        <f t="shared" ca="1" si="37"/>
        <v>0.7071360903941043</v>
      </c>
      <c r="E603" s="106">
        <f t="shared" ca="1" si="38"/>
        <v>0</v>
      </c>
      <c r="F603" s="21">
        <f t="shared" ca="1" si="39"/>
        <v>0</v>
      </c>
      <c r="H603" s="21">
        <v>588</v>
      </c>
      <c r="I603" s="107">
        <v>0.66787272178248547</v>
      </c>
      <c r="J603" s="108">
        <v>1.6558218221771714E-3</v>
      </c>
      <c r="K603" s="108"/>
      <c r="L603" s="108">
        <v>4.4600000000000001E-2</v>
      </c>
      <c r="O603" s="105"/>
    </row>
    <row r="604" spans="2:15" x14ac:dyDescent="0.2">
      <c r="B604" s="1">
        <v>589</v>
      </c>
      <c r="C604" s="106">
        <f t="shared" ca="1" si="36"/>
        <v>-2.8014555712416424E-2</v>
      </c>
      <c r="D604" s="106">
        <f t="shared" ca="1" si="37"/>
        <v>0.66266841916779617</v>
      </c>
      <c r="E604" s="106">
        <f t="shared" ca="1" si="38"/>
        <v>0</v>
      </c>
      <c r="F604" s="21">
        <f t="shared" ca="1" si="39"/>
        <v>0</v>
      </c>
      <c r="H604" s="21">
        <v>589</v>
      </c>
      <c r="I604" s="107">
        <v>0.66774962127452109</v>
      </c>
      <c r="J604" s="108">
        <v>1.4656154960541558E-3</v>
      </c>
      <c r="K604" s="108"/>
      <c r="L604" s="108">
        <v>3.9800000000000002E-2</v>
      </c>
      <c r="O604" s="105"/>
    </row>
    <row r="605" spans="2:15" x14ac:dyDescent="0.2">
      <c r="B605" s="1">
        <v>590</v>
      </c>
      <c r="C605" s="106">
        <f t="shared" ca="1" si="36"/>
        <v>-1.3909714096884305</v>
      </c>
      <c r="D605" s="106">
        <f t="shared" ca="1" si="37"/>
        <v>0.57930602128904429</v>
      </c>
      <c r="E605" s="106">
        <f t="shared" ca="1" si="38"/>
        <v>0</v>
      </c>
      <c r="F605" s="21">
        <f t="shared" ca="1" si="39"/>
        <v>0</v>
      </c>
      <c r="H605" s="21">
        <v>590</v>
      </c>
      <c r="I605" s="107">
        <v>0.66784733149684783</v>
      </c>
      <c r="J605" s="108">
        <v>1.632869272762992E-3</v>
      </c>
      <c r="K605" s="108"/>
      <c r="L605" s="108">
        <v>4.3200000000000002E-2</v>
      </c>
      <c r="O605" s="105"/>
    </row>
    <row r="606" spans="2:15" x14ac:dyDescent="0.2">
      <c r="B606" s="1">
        <v>591</v>
      </c>
      <c r="C606" s="106">
        <f t="shared" ca="1" si="36"/>
        <v>0.47278667943577724</v>
      </c>
      <c r="D606" s="106">
        <f t="shared" ca="1" si="37"/>
        <v>0.69622608401662178</v>
      </c>
      <c r="E606" s="106">
        <f t="shared" ca="1" si="38"/>
        <v>0</v>
      </c>
      <c r="F606" s="21">
        <f t="shared" ca="1" si="39"/>
        <v>0</v>
      </c>
      <c r="H606" s="21">
        <v>591</v>
      </c>
      <c r="I606" s="107">
        <v>0.66769426594092041</v>
      </c>
      <c r="J606" s="108">
        <v>1.2960702652519212E-3</v>
      </c>
      <c r="K606" s="108"/>
      <c r="L606" s="108">
        <v>4.2200000000000001E-2</v>
      </c>
      <c r="O606" s="105"/>
    </row>
    <row r="607" spans="2:15" x14ac:dyDescent="0.2">
      <c r="B607" s="1">
        <v>592</v>
      </c>
      <c r="C607" s="106">
        <f t="shared" ca="1" si="36"/>
        <v>0.35501452737022843</v>
      </c>
      <c r="D607" s="106">
        <f t="shared" ca="1" si="37"/>
        <v>0.68818468521758402</v>
      </c>
      <c r="E607" s="106">
        <f t="shared" ca="1" si="38"/>
        <v>0</v>
      </c>
      <c r="F607" s="21">
        <f t="shared" ca="1" si="39"/>
        <v>0</v>
      </c>
      <c r="H607" s="21">
        <v>592</v>
      </c>
      <c r="I607" s="107">
        <v>0.66768982837574342</v>
      </c>
      <c r="J607" s="108">
        <v>1.1843088677378161E-3</v>
      </c>
      <c r="K607" s="108"/>
      <c r="L607" s="108">
        <v>4.0399999999999998E-2</v>
      </c>
      <c r="O607" s="105"/>
    </row>
    <row r="608" spans="2:15" x14ac:dyDescent="0.2">
      <c r="B608" s="1">
        <v>593</v>
      </c>
      <c r="C608" s="106">
        <f t="shared" ca="1" si="36"/>
        <v>0.51817826564162961</v>
      </c>
      <c r="D608" s="106">
        <f t="shared" ca="1" si="37"/>
        <v>0.69935041608635529</v>
      </c>
      <c r="E608" s="106">
        <f t="shared" ca="1" si="38"/>
        <v>0</v>
      </c>
      <c r="F608" s="21">
        <f t="shared" ca="1" si="39"/>
        <v>0</v>
      </c>
      <c r="H608" s="21">
        <v>593</v>
      </c>
      <c r="I608" s="107">
        <v>0.66766513071011846</v>
      </c>
      <c r="J608" s="108">
        <v>1.2461961402688484E-3</v>
      </c>
      <c r="K608" s="108"/>
      <c r="L608" s="108">
        <v>3.6999999999999998E-2</v>
      </c>
      <c r="O608" s="105"/>
    </row>
    <row r="609" spans="2:15" x14ac:dyDescent="0.2">
      <c r="B609" s="1">
        <v>594</v>
      </c>
      <c r="C609" s="106">
        <f t="shared" ca="1" si="36"/>
        <v>0.80879603174972714</v>
      </c>
      <c r="D609" s="106">
        <f t="shared" ca="1" si="37"/>
        <v>0.71968876586794595</v>
      </c>
      <c r="E609" s="106">
        <f t="shared" ca="1" si="38"/>
        <v>0</v>
      </c>
      <c r="F609" s="21">
        <f t="shared" ca="1" si="39"/>
        <v>0</v>
      </c>
      <c r="H609" s="21">
        <v>594</v>
      </c>
      <c r="I609" s="107">
        <v>0.6676614167770023</v>
      </c>
      <c r="J609" s="108">
        <v>1.3250008194082127E-3</v>
      </c>
      <c r="K609" s="108"/>
      <c r="L609" s="108">
        <v>4.02E-2</v>
      </c>
      <c r="O609" s="105"/>
    </row>
    <row r="610" spans="2:15" x14ac:dyDescent="0.2">
      <c r="B610" s="1">
        <v>595</v>
      </c>
      <c r="C610" s="106">
        <f t="shared" ca="1" si="36"/>
        <v>-1.2324750806128009</v>
      </c>
      <c r="D610" s="106">
        <f t="shared" ca="1" si="37"/>
        <v>0.58843422906367782</v>
      </c>
      <c r="E610" s="106">
        <f t="shared" ca="1" si="38"/>
        <v>0</v>
      </c>
      <c r="F610" s="21">
        <f t="shared" ca="1" si="39"/>
        <v>0</v>
      </c>
      <c r="H610" s="21">
        <v>595</v>
      </c>
      <c r="I610" s="107">
        <v>0.66776549510287198</v>
      </c>
      <c r="J610" s="108">
        <v>1.4834241464379725E-3</v>
      </c>
      <c r="K610" s="108"/>
      <c r="L610" s="108">
        <v>4.36E-2</v>
      </c>
      <c r="O610" s="105"/>
    </row>
    <row r="611" spans="2:15" x14ac:dyDescent="0.2">
      <c r="B611" s="1">
        <v>596</v>
      </c>
      <c r="C611" s="106">
        <f t="shared" ca="1" si="36"/>
        <v>1.5791380680791731</v>
      </c>
      <c r="D611" s="106">
        <f t="shared" ca="1" si="37"/>
        <v>0.77650758340983228</v>
      </c>
      <c r="E611" s="106">
        <f t="shared" ca="1" si="38"/>
        <v>0</v>
      </c>
      <c r="F611" s="21">
        <f t="shared" ca="1" si="39"/>
        <v>0</v>
      </c>
      <c r="H611" s="21">
        <v>596</v>
      </c>
      <c r="I611" s="107">
        <v>0.66789113737335515</v>
      </c>
      <c r="J611" s="108">
        <v>1.617787677226296E-3</v>
      </c>
      <c r="K611" s="108"/>
      <c r="L611" s="108">
        <v>5.0799999999999998E-2</v>
      </c>
      <c r="O611" s="105"/>
    </row>
    <row r="612" spans="2:15" x14ac:dyDescent="0.2">
      <c r="B612" s="1">
        <v>597</v>
      </c>
      <c r="C612" s="106">
        <f t="shared" ca="1" si="36"/>
        <v>0.76651157401644077</v>
      </c>
      <c r="D612" s="106">
        <f t="shared" ca="1" si="37"/>
        <v>0.7166931992350114</v>
      </c>
      <c r="E612" s="106">
        <f t="shared" ca="1" si="38"/>
        <v>0</v>
      </c>
      <c r="F612" s="21">
        <f t="shared" ca="1" si="39"/>
        <v>0</v>
      </c>
      <c r="H612" s="21">
        <v>597</v>
      </c>
      <c r="I612" s="107">
        <v>0.66757718541951694</v>
      </c>
      <c r="J612" s="108">
        <v>1.1573694956158E-3</v>
      </c>
      <c r="K612" s="108"/>
      <c r="L612" s="108">
        <v>3.6999999999999998E-2</v>
      </c>
      <c r="O612" s="105"/>
    </row>
    <row r="613" spans="2:15" x14ac:dyDescent="0.2">
      <c r="B613" s="1">
        <v>598</v>
      </c>
      <c r="C613" s="106">
        <f t="shared" ca="1" si="36"/>
        <v>1.606128274203797</v>
      </c>
      <c r="D613" s="106">
        <f t="shared" ca="1" si="37"/>
        <v>0.77857767258099841</v>
      </c>
      <c r="E613" s="106">
        <f t="shared" ca="1" si="38"/>
        <v>0</v>
      </c>
      <c r="F613" s="21">
        <f t="shared" ca="1" si="39"/>
        <v>0</v>
      </c>
      <c r="H613" s="21">
        <v>598</v>
      </c>
      <c r="I613" s="107">
        <v>0.66790080176542888</v>
      </c>
      <c r="J613" s="108">
        <v>1.5541025018074842E-3</v>
      </c>
      <c r="K613" s="108"/>
      <c r="L613" s="108">
        <v>4.5999999999999999E-2</v>
      </c>
      <c r="O613" s="105"/>
    </row>
    <row r="614" spans="2:15" x14ac:dyDescent="0.2">
      <c r="B614" s="1">
        <v>599</v>
      </c>
      <c r="C614" s="106">
        <f t="shared" ca="1" si="36"/>
        <v>0.50266570166255076</v>
      </c>
      <c r="D614" s="106">
        <f t="shared" ca="1" si="37"/>
        <v>0.69828110248246233</v>
      </c>
      <c r="E614" s="106">
        <f t="shared" ca="1" si="38"/>
        <v>0</v>
      </c>
      <c r="F614" s="21">
        <f t="shared" ca="1" si="39"/>
        <v>0</v>
      </c>
      <c r="H614" s="21">
        <v>599</v>
      </c>
      <c r="I614" s="107">
        <v>0.66768929388500775</v>
      </c>
      <c r="J614" s="108">
        <v>1.2997631256430602E-3</v>
      </c>
      <c r="K614" s="108"/>
      <c r="L614" s="108">
        <v>4.3200000000000002E-2</v>
      </c>
      <c r="O614" s="105"/>
    </row>
    <row r="615" spans="2:15" x14ac:dyDescent="0.2">
      <c r="B615" s="1">
        <v>600</v>
      </c>
      <c r="C615" s="106">
        <f t="shared" ca="1" si="36"/>
        <v>-0.95809547056287525</v>
      </c>
      <c r="D615" s="106">
        <f t="shared" ca="1" si="37"/>
        <v>0.60457777912632404</v>
      </c>
      <c r="E615" s="106">
        <f t="shared" ca="1" si="38"/>
        <v>0</v>
      </c>
      <c r="F615" s="21">
        <f t="shared" ca="1" si="39"/>
        <v>0</v>
      </c>
      <c r="H615" s="21">
        <v>600</v>
      </c>
      <c r="I615" s="107">
        <v>0.66757563964094502</v>
      </c>
      <c r="J615" s="108">
        <v>1.2628792026775546E-3</v>
      </c>
      <c r="K615" s="108"/>
      <c r="L615" s="108">
        <v>3.6600000000000001E-2</v>
      </c>
      <c r="O615" s="105"/>
    </row>
    <row r="616" spans="2:15" x14ac:dyDescent="0.2">
      <c r="B616" s="1">
        <v>601</v>
      </c>
      <c r="C616" s="106">
        <f t="shared" ca="1" si="36"/>
        <v>-3.262366223959938E-2</v>
      </c>
      <c r="D616" s="106">
        <f t="shared" ca="1" si="37"/>
        <v>0.66236720652368741</v>
      </c>
      <c r="E616" s="106">
        <f t="shared" ca="1" si="38"/>
        <v>0</v>
      </c>
      <c r="F616" s="21">
        <f t="shared" ca="1" si="39"/>
        <v>0</v>
      </c>
      <c r="H616" s="21">
        <v>601</v>
      </c>
      <c r="I616" s="107">
        <v>0.66770022100075654</v>
      </c>
      <c r="J616" s="108">
        <v>1.3150376130183908E-3</v>
      </c>
      <c r="K616" s="108"/>
      <c r="L616" s="108">
        <v>3.7199999999999997E-2</v>
      </c>
      <c r="O616" s="105"/>
    </row>
    <row r="617" spans="2:15" x14ac:dyDescent="0.2">
      <c r="B617" s="1">
        <v>602</v>
      </c>
      <c r="C617" s="106">
        <f t="shared" ca="1" si="36"/>
        <v>1.655344414546053</v>
      </c>
      <c r="D617" s="106">
        <f t="shared" ca="1" si="37"/>
        <v>0.78236665874261702</v>
      </c>
      <c r="E617" s="106">
        <f t="shared" ca="1" si="38"/>
        <v>0</v>
      </c>
      <c r="F617" s="21">
        <f t="shared" ca="1" si="39"/>
        <v>0</v>
      </c>
      <c r="H617" s="21">
        <v>602</v>
      </c>
      <c r="I617" s="107">
        <v>0.66775460094650285</v>
      </c>
      <c r="J617" s="108">
        <v>1.3263182422820997E-3</v>
      </c>
      <c r="K617" s="108"/>
      <c r="L617" s="108">
        <v>4.2999999999999997E-2</v>
      </c>
      <c r="O617" s="105"/>
    </row>
    <row r="618" spans="2:15" x14ac:dyDescent="0.2">
      <c r="B618" s="1">
        <v>603</v>
      </c>
      <c r="C618" s="106">
        <f t="shared" ca="1" si="36"/>
        <v>-4.2493593896434541E-2</v>
      </c>
      <c r="D618" s="106">
        <f t="shared" ca="1" si="37"/>
        <v>0.6617226507915861</v>
      </c>
      <c r="E618" s="106">
        <f t="shared" ca="1" si="38"/>
        <v>0</v>
      </c>
      <c r="F618" s="21">
        <f t="shared" ca="1" si="39"/>
        <v>0</v>
      </c>
      <c r="H618" s="21">
        <v>603</v>
      </c>
      <c r="I618" s="107">
        <v>0.66783009532471393</v>
      </c>
      <c r="J618" s="108">
        <v>1.5806803317486373E-3</v>
      </c>
      <c r="K618" s="108"/>
      <c r="L618" s="108">
        <v>4.4600000000000001E-2</v>
      </c>
      <c r="O618" s="105"/>
    </row>
    <row r="619" spans="2:15" x14ac:dyDescent="0.2">
      <c r="B619" s="1">
        <v>604</v>
      </c>
      <c r="C619" s="106">
        <f t="shared" ca="1" si="36"/>
        <v>1.7224772076508719</v>
      </c>
      <c r="D619" s="106">
        <f t="shared" ca="1" si="37"/>
        <v>0.78756473574773977</v>
      </c>
      <c r="E619" s="106">
        <f t="shared" ca="1" si="38"/>
        <v>0</v>
      </c>
      <c r="F619" s="21">
        <f t="shared" ca="1" si="39"/>
        <v>0</v>
      </c>
      <c r="H619" s="21">
        <v>604</v>
      </c>
      <c r="I619" s="107">
        <v>0.66792706302609461</v>
      </c>
      <c r="J619" s="108">
        <v>1.560404116840054E-3</v>
      </c>
      <c r="K619" s="108"/>
      <c r="L619" s="108">
        <v>4.4600000000000001E-2</v>
      </c>
      <c r="O619" s="105"/>
    </row>
    <row r="620" spans="2:15" x14ac:dyDescent="0.2">
      <c r="B620" s="1">
        <v>605</v>
      </c>
      <c r="C620" s="106">
        <f t="shared" ca="1" si="36"/>
        <v>0.8786582736761851</v>
      </c>
      <c r="D620" s="106">
        <f t="shared" ca="1" si="37"/>
        <v>0.72466548841642453</v>
      </c>
      <c r="E620" s="106">
        <f t="shared" ca="1" si="38"/>
        <v>0</v>
      </c>
      <c r="F620" s="21">
        <f t="shared" ca="1" si="39"/>
        <v>0</v>
      </c>
      <c r="H620" s="21">
        <v>605</v>
      </c>
      <c r="I620" s="107">
        <v>0.66768617155079057</v>
      </c>
      <c r="J620" s="108">
        <v>1.2291134375833569E-3</v>
      </c>
      <c r="K620" s="108"/>
      <c r="L620" s="108">
        <v>4.0800000000000003E-2</v>
      </c>
      <c r="O620" s="105"/>
    </row>
    <row r="621" spans="2:15" x14ac:dyDescent="0.2">
      <c r="B621" s="1">
        <v>606</v>
      </c>
      <c r="C621" s="106">
        <f t="shared" ca="1" si="36"/>
        <v>-0.8242337153488859</v>
      </c>
      <c r="D621" s="106">
        <f t="shared" ca="1" si="37"/>
        <v>0.61261374399361768</v>
      </c>
      <c r="E621" s="106">
        <f t="shared" ca="1" si="38"/>
        <v>0</v>
      </c>
      <c r="F621" s="21">
        <f t="shared" ca="1" si="39"/>
        <v>0</v>
      </c>
      <c r="H621" s="21">
        <v>606</v>
      </c>
      <c r="I621" s="107">
        <v>0.66775193088909923</v>
      </c>
      <c r="J621" s="108">
        <v>1.4851579637396835E-3</v>
      </c>
      <c r="K621" s="108"/>
      <c r="L621" s="108">
        <v>4.1799999999999997E-2</v>
      </c>
      <c r="O621" s="105"/>
    </row>
    <row r="622" spans="2:15" x14ac:dyDescent="0.2">
      <c r="B622" s="1">
        <v>607</v>
      </c>
      <c r="C622" s="106">
        <f t="shared" ca="1" si="36"/>
        <v>-0.75210299222672572</v>
      </c>
      <c r="D622" s="106">
        <f t="shared" ca="1" si="37"/>
        <v>0.61698807715115978</v>
      </c>
      <c r="E622" s="106">
        <f t="shared" ca="1" si="38"/>
        <v>0</v>
      </c>
      <c r="F622" s="21">
        <f t="shared" ca="1" si="39"/>
        <v>0</v>
      </c>
      <c r="H622" s="21">
        <v>607</v>
      </c>
      <c r="I622" s="107">
        <v>0.66779385994175977</v>
      </c>
      <c r="J622" s="108">
        <v>1.5464795896737761E-3</v>
      </c>
      <c r="K622" s="108"/>
      <c r="L622" s="108">
        <v>4.0800000000000003E-2</v>
      </c>
      <c r="O622" s="105"/>
    </row>
    <row r="623" spans="2:15" x14ac:dyDescent="0.2">
      <c r="B623" s="1">
        <v>608</v>
      </c>
      <c r="C623" s="106">
        <f t="shared" ca="1" si="36"/>
        <v>0.89524381644168072</v>
      </c>
      <c r="D623" s="106">
        <f t="shared" ca="1" si="37"/>
        <v>0.72585202593069553</v>
      </c>
      <c r="E623" s="106">
        <f t="shared" ca="1" si="38"/>
        <v>0</v>
      </c>
      <c r="F623" s="21">
        <f t="shared" ca="1" si="39"/>
        <v>0</v>
      </c>
      <c r="H623" s="21">
        <v>608</v>
      </c>
      <c r="I623" s="107">
        <v>0.66781261694200389</v>
      </c>
      <c r="J623" s="108">
        <v>1.3976662351335664E-3</v>
      </c>
      <c r="K623" s="108"/>
      <c r="L623" s="108">
        <v>4.48E-2</v>
      </c>
      <c r="O623" s="105"/>
    </row>
    <row r="624" spans="2:15" x14ac:dyDescent="0.2">
      <c r="B624" s="1">
        <v>609</v>
      </c>
      <c r="C624" s="106">
        <f t="shared" ca="1" si="36"/>
        <v>0.3469390663009837</v>
      </c>
      <c r="D624" s="106">
        <f t="shared" ca="1" si="37"/>
        <v>0.68763671334121024</v>
      </c>
      <c r="E624" s="106">
        <f t="shared" ca="1" si="38"/>
        <v>0</v>
      </c>
      <c r="F624" s="21">
        <f t="shared" ca="1" si="39"/>
        <v>0</v>
      </c>
      <c r="H624" s="21">
        <v>609</v>
      </c>
      <c r="I624" s="107">
        <v>0.6676475760268733</v>
      </c>
      <c r="J624" s="108">
        <v>1.3673138113854879E-3</v>
      </c>
      <c r="K624" s="108"/>
      <c r="L624" s="108">
        <v>4.0599999999999997E-2</v>
      </c>
      <c r="O624" s="105"/>
    </row>
    <row r="625" spans="2:15" x14ac:dyDescent="0.2">
      <c r="B625" s="1">
        <v>610</v>
      </c>
      <c r="C625" s="106">
        <f t="shared" ca="1" si="36"/>
        <v>-0.17109334032551027</v>
      </c>
      <c r="D625" s="106">
        <f t="shared" ca="1" si="37"/>
        <v>0.65338155020082866</v>
      </c>
      <c r="E625" s="106">
        <f t="shared" ca="1" si="38"/>
        <v>0</v>
      </c>
      <c r="F625" s="21">
        <f t="shared" ca="1" si="39"/>
        <v>0</v>
      </c>
      <c r="H625" s="21">
        <v>610</v>
      </c>
      <c r="I625" s="107">
        <v>0.66762005638484079</v>
      </c>
      <c r="J625" s="108">
        <v>1.2332522523834865E-3</v>
      </c>
      <c r="K625" s="108"/>
      <c r="L625" s="108">
        <v>3.8600000000000002E-2</v>
      </c>
      <c r="O625" s="105"/>
    </row>
    <row r="626" spans="2:15" x14ac:dyDescent="0.2">
      <c r="B626" s="1">
        <v>611</v>
      </c>
      <c r="C626" s="106">
        <f t="shared" ca="1" si="36"/>
        <v>-0.48533663098964847</v>
      </c>
      <c r="D626" s="106">
        <f t="shared" ca="1" si="37"/>
        <v>0.63343911571774192</v>
      </c>
      <c r="E626" s="106">
        <f t="shared" ca="1" si="38"/>
        <v>0</v>
      </c>
      <c r="F626" s="21">
        <f t="shared" ca="1" si="39"/>
        <v>0</v>
      </c>
      <c r="H626" s="21">
        <v>611</v>
      </c>
      <c r="I626" s="107">
        <v>0.66766040932534465</v>
      </c>
      <c r="J626" s="108">
        <v>1.3267515498700309E-3</v>
      </c>
      <c r="K626" s="108"/>
      <c r="L626" s="108">
        <v>3.9800000000000002E-2</v>
      </c>
      <c r="O626" s="105"/>
    </row>
    <row r="627" spans="2:15" x14ac:dyDescent="0.2">
      <c r="B627" s="1">
        <v>612</v>
      </c>
      <c r="C627" s="106">
        <f t="shared" ca="1" si="36"/>
        <v>-0.64246719404791186</v>
      </c>
      <c r="D627" s="106">
        <f t="shared" ca="1" si="37"/>
        <v>0.62369677969944293</v>
      </c>
      <c r="E627" s="106">
        <f t="shared" ca="1" si="38"/>
        <v>0</v>
      </c>
      <c r="F627" s="21">
        <f t="shared" ca="1" si="39"/>
        <v>0</v>
      </c>
      <c r="H627" s="21">
        <v>612</v>
      </c>
      <c r="I627" s="107">
        <v>0.66775866931219829</v>
      </c>
      <c r="J627" s="108">
        <v>1.3097441622076395E-3</v>
      </c>
      <c r="K627" s="108"/>
      <c r="L627" s="108">
        <v>4.2200000000000001E-2</v>
      </c>
      <c r="O627" s="105"/>
    </row>
    <row r="628" spans="2:15" x14ac:dyDescent="0.2">
      <c r="B628" s="1">
        <v>613</v>
      </c>
      <c r="C628" s="106">
        <f t="shared" ca="1" si="36"/>
        <v>-1.4038843152827076</v>
      </c>
      <c r="D628" s="106">
        <f t="shared" ca="1" si="37"/>
        <v>0.57856860222993411</v>
      </c>
      <c r="E628" s="106">
        <f t="shared" ca="1" si="38"/>
        <v>0</v>
      </c>
      <c r="F628" s="21">
        <f t="shared" ca="1" si="39"/>
        <v>0</v>
      </c>
      <c r="H628" s="21">
        <v>613</v>
      </c>
      <c r="I628" s="107">
        <v>0.66775954146878413</v>
      </c>
      <c r="J628" s="108">
        <v>1.381090066968738E-3</v>
      </c>
      <c r="K628" s="108"/>
      <c r="L628" s="108">
        <v>4.1200000000000001E-2</v>
      </c>
      <c r="O628" s="105"/>
    </row>
    <row r="629" spans="2:15" x14ac:dyDescent="0.2">
      <c r="B629" s="1">
        <v>614</v>
      </c>
      <c r="C629" s="106">
        <f t="shared" ca="1" si="36"/>
        <v>-0.51462080594849291</v>
      </c>
      <c r="D629" s="106">
        <f t="shared" ca="1" si="37"/>
        <v>0.63161198480797454</v>
      </c>
      <c r="E629" s="106">
        <f t="shared" ca="1" si="38"/>
        <v>0</v>
      </c>
      <c r="F629" s="21">
        <f t="shared" ca="1" si="39"/>
        <v>0</v>
      </c>
      <c r="H629" s="21">
        <v>614</v>
      </c>
      <c r="I629" s="107">
        <v>0.66777938136563608</v>
      </c>
      <c r="J629" s="108">
        <v>1.5027597252051804E-3</v>
      </c>
      <c r="K629" s="108"/>
      <c r="L629" s="108">
        <v>4.1599999999999998E-2</v>
      </c>
      <c r="O629" s="105"/>
    </row>
    <row r="630" spans="2:15" x14ac:dyDescent="0.2">
      <c r="B630" s="1">
        <v>615</v>
      </c>
      <c r="C630" s="106">
        <f t="shared" ca="1" si="36"/>
        <v>-1.7991056151495028</v>
      </c>
      <c r="D630" s="106">
        <f t="shared" ca="1" si="37"/>
        <v>0.55644702499772647</v>
      </c>
      <c r="E630" s="106">
        <f t="shared" ca="1" si="38"/>
        <v>0</v>
      </c>
      <c r="F630" s="21">
        <f t="shared" ca="1" si="39"/>
        <v>0</v>
      </c>
      <c r="H630" s="21">
        <v>615</v>
      </c>
      <c r="I630" s="107">
        <v>0.66769181137438804</v>
      </c>
      <c r="J630" s="108">
        <v>1.3319016307233715E-3</v>
      </c>
      <c r="K630" s="108"/>
      <c r="L630" s="108">
        <v>3.9800000000000002E-2</v>
      </c>
      <c r="O630" s="105"/>
    </row>
    <row r="631" spans="2:15" x14ac:dyDescent="0.2">
      <c r="B631" s="1">
        <v>616</v>
      </c>
      <c r="C631" s="106">
        <f t="shared" ca="1" si="36"/>
        <v>-1.9927996257682425</v>
      </c>
      <c r="D631" s="106">
        <f t="shared" ca="1" si="37"/>
        <v>0.54591633915195636</v>
      </c>
      <c r="E631" s="106">
        <f t="shared" ca="1" si="38"/>
        <v>0</v>
      </c>
      <c r="F631" s="21">
        <f t="shared" ca="1" si="39"/>
        <v>0</v>
      </c>
      <c r="H631" s="21">
        <v>616</v>
      </c>
      <c r="I631" s="107">
        <v>0.66768752654857355</v>
      </c>
      <c r="J631" s="108">
        <v>1.1995275609817267E-3</v>
      </c>
      <c r="K631" s="108"/>
      <c r="L631" s="108">
        <v>3.8199999999999998E-2</v>
      </c>
      <c r="O631" s="105"/>
    </row>
    <row r="632" spans="2:15" x14ac:dyDescent="0.2">
      <c r="B632" s="1">
        <v>617</v>
      </c>
      <c r="C632" s="106">
        <f t="shared" ca="1" si="36"/>
        <v>0.33483301304899871</v>
      </c>
      <c r="D632" s="106">
        <f t="shared" ca="1" si="37"/>
        <v>0.68681605714223182</v>
      </c>
      <c r="E632" s="106">
        <f t="shared" ca="1" si="38"/>
        <v>0</v>
      </c>
      <c r="F632" s="21">
        <f t="shared" ca="1" si="39"/>
        <v>0</v>
      </c>
      <c r="H632" s="21">
        <v>617</v>
      </c>
      <c r="I632" s="107">
        <v>0.66787154824394934</v>
      </c>
      <c r="J632" s="108">
        <v>1.4514892837835054E-3</v>
      </c>
      <c r="K632" s="108"/>
      <c r="L632" s="108">
        <v>4.48E-2</v>
      </c>
      <c r="O632" s="105"/>
    </row>
    <row r="633" spans="2:15" x14ac:dyDescent="0.2">
      <c r="B633" s="1">
        <v>618</v>
      </c>
      <c r="C633" s="106">
        <f t="shared" ca="1" si="36"/>
        <v>-0.99724525399213515</v>
      </c>
      <c r="D633" s="106">
        <f t="shared" ca="1" si="37"/>
        <v>0.60224753115207674</v>
      </c>
      <c r="E633" s="106">
        <f t="shared" ca="1" si="38"/>
        <v>0</v>
      </c>
      <c r="F633" s="21">
        <f t="shared" ca="1" si="39"/>
        <v>0</v>
      </c>
      <c r="H633" s="21">
        <v>618</v>
      </c>
      <c r="I633" s="107">
        <v>0.66767378502571395</v>
      </c>
      <c r="J633" s="108">
        <v>1.3007211376356591E-3</v>
      </c>
      <c r="K633" s="108"/>
      <c r="L633" s="108">
        <v>3.7600000000000001E-2</v>
      </c>
      <c r="O633" s="105"/>
    </row>
    <row r="634" spans="2:15" x14ac:dyDescent="0.2">
      <c r="B634" s="1">
        <v>619</v>
      </c>
      <c r="C634" s="106">
        <f t="shared" ca="1" si="36"/>
        <v>-0.66900943716321826</v>
      </c>
      <c r="D634" s="106">
        <f t="shared" ca="1" si="37"/>
        <v>0.62206597624573368</v>
      </c>
      <c r="E634" s="106">
        <f t="shared" ca="1" si="38"/>
        <v>0</v>
      </c>
      <c r="F634" s="21">
        <f t="shared" ca="1" si="39"/>
        <v>0</v>
      </c>
      <c r="H634" s="21">
        <v>619</v>
      </c>
      <c r="I634" s="107">
        <v>0.66781668653592163</v>
      </c>
      <c r="J634" s="108">
        <v>1.4392628331472922E-3</v>
      </c>
      <c r="K634" s="108"/>
      <c r="L634" s="108">
        <v>4.1000000000000002E-2</v>
      </c>
      <c r="O634" s="105"/>
    </row>
    <row r="635" spans="2:15" x14ac:dyDescent="0.2">
      <c r="B635" s="1">
        <v>620</v>
      </c>
      <c r="C635" s="106">
        <f t="shared" ca="1" si="36"/>
        <v>-1.0410398601023785</v>
      </c>
      <c r="D635" s="106">
        <f t="shared" ca="1" si="37"/>
        <v>0.59965145860652724</v>
      </c>
      <c r="E635" s="106">
        <f t="shared" ca="1" si="38"/>
        <v>0</v>
      </c>
      <c r="F635" s="21">
        <f t="shared" ca="1" si="39"/>
        <v>0</v>
      </c>
      <c r="H635" s="21">
        <v>620</v>
      </c>
      <c r="I635" s="107">
        <v>0.66790193543358156</v>
      </c>
      <c r="J635" s="108">
        <v>1.5516560320380981E-3</v>
      </c>
      <c r="K635" s="108"/>
      <c r="L635" s="108">
        <v>4.4600000000000001E-2</v>
      </c>
      <c r="O635" s="105"/>
    </row>
    <row r="636" spans="2:15" x14ac:dyDescent="0.2">
      <c r="B636" s="1">
        <v>621</v>
      </c>
      <c r="C636" s="106">
        <f t="shared" ca="1" si="36"/>
        <v>-0.22637956880613352</v>
      </c>
      <c r="D636" s="106">
        <f t="shared" ca="1" si="37"/>
        <v>0.64982802781191529</v>
      </c>
      <c r="E636" s="106">
        <f t="shared" ca="1" si="38"/>
        <v>0</v>
      </c>
      <c r="F636" s="21">
        <f t="shared" ca="1" si="39"/>
        <v>0</v>
      </c>
      <c r="H636" s="21">
        <v>621</v>
      </c>
      <c r="I636" s="107">
        <v>0.66783036245943428</v>
      </c>
      <c r="J636" s="108">
        <v>1.373250559658073E-3</v>
      </c>
      <c r="K636" s="108"/>
      <c r="L636" s="108">
        <v>4.5199999999999997E-2</v>
      </c>
      <c r="O636" s="105"/>
    </row>
    <row r="637" spans="2:15" x14ac:dyDescent="0.2">
      <c r="B637" s="1">
        <v>622</v>
      </c>
      <c r="C637" s="106">
        <f t="shared" ca="1" si="36"/>
        <v>0.93045501361076033</v>
      </c>
      <c r="D637" s="106">
        <f t="shared" ca="1" si="37"/>
        <v>0.72837749594560985</v>
      </c>
      <c r="E637" s="106">
        <f t="shared" ca="1" si="38"/>
        <v>0</v>
      </c>
      <c r="F637" s="21">
        <f t="shared" ca="1" si="39"/>
        <v>0</v>
      </c>
      <c r="H637" s="21">
        <v>622</v>
      </c>
      <c r="I637" s="107">
        <v>0.66768131811597708</v>
      </c>
      <c r="J637" s="108">
        <v>1.4109390837220449E-3</v>
      </c>
      <c r="K637" s="108"/>
      <c r="L637" s="108">
        <v>3.9600000000000003E-2</v>
      </c>
      <c r="O637" s="105"/>
    </row>
    <row r="638" spans="2:15" x14ac:dyDescent="0.2">
      <c r="B638" s="1">
        <v>623</v>
      </c>
      <c r="C638" s="106">
        <f t="shared" ca="1" si="36"/>
        <v>0.59708595825692801</v>
      </c>
      <c r="D638" s="106">
        <f t="shared" ca="1" si="37"/>
        <v>0.70481509132326381</v>
      </c>
      <c r="E638" s="106">
        <f t="shared" ca="1" si="38"/>
        <v>0</v>
      </c>
      <c r="F638" s="21">
        <f t="shared" ca="1" si="39"/>
        <v>0</v>
      </c>
      <c r="H638" s="21">
        <v>623</v>
      </c>
      <c r="I638" s="107">
        <v>0.66770885392517954</v>
      </c>
      <c r="J638" s="108">
        <v>1.2724691077284078E-3</v>
      </c>
      <c r="K638" s="108"/>
      <c r="L638" s="108">
        <v>3.9600000000000003E-2</v>
      </c>
      <c r="O638" s="105"/>
    </row>
    <row r="639" spans="2:15" x14ac:dyDescent="0.2">
      <c r="B639" s="1">
        <v>624</v>
      </c>
      <c r="C639" s="106">
        <f t="shared" ca="1" si="36"/>
        <v>-0.14958998357861383</v>
      </c>
      <c r="D639" s="106">
        <f t="shared" ca="1" si="37"/>
        <v>0.6547689214950273</v>
      </c>
      <c r="E639" s="106">
        <f t="shared" ca="1" si="38"/>
        <v>0</v>
      </c>
      <c r="F639" s="21">
        <f t="shared" ca="1" si="39"/>
        <v>0</v>
      </c>
      <c r="H639" s="21">
        <v>624</v>
      </c>
      <c r="I639" s="107">
        <v>0.66781952022686963</v>
      </c>
      <c r="J639" s="108">
        <v>1.4365839097434834E-3</v>
      </c>
      <c r="K639" s="108"/>
      <c r="L639" s="108">
        <v>4.2999999999999997E-2</v>
      </c>
      <c r="O639" s="105"/>
    </row>
    <row r="640" spans="2:15" x14ac:dyDescent="0.2">
      <c r="B640" s="1">
        <v>625</v>
      </c>
      <c r="C640" s="106">
        <f t="shared" ca="1" si="36"/>
        <v>0.46052245423630334</v>
      </c>
      <c r="D640" s="106">
        <f t="shared" ca="1" si="37"/>
        <v>0.69538432720814292</v>
      </c>
      <c r="E640" s="106">
        <f t="shared" ca="1" si="38"/>
        <v>0</v>
      </c>
      <c r="F640" s="21">
        <f t="shared" ca="1" si="39"/>
        <v>0</v>
      </c>
      <c r="H640" s="21">
        <v>625</v>
      </c>
      <c r="I640" s="107">
        <v>0.6678256940516355</v>
      </c>
      <c r="J640" s="108">
        <v>1.5238031211045726E-3</v>
      </c>
      <c r="K640" s="108"/>
      <c r="L640" s="108">
        <v>4.4600000000000001E-2</v>
      </c>
      <c r="O640" s="105"/>
    </row>
    <row r="641" spans="2:15" x14ac:dyDescent="0.2">
      <c r="B641" s="1">
        <v>626</v>
      </c>
      <c r="C641" s="106">
        <f t="shared" ca="1" si="36"/>
        <v>0.72236683434873128</v>
      </c>
      <c r="D641" s="106">
        <f t="shared" ca="1" si="37"/>
        <v>0.71357914680362067</v>
      </c>
      <c r="E641" s="106">
        <f t="shared" ca="1" si="38"/>
        <v>0</v>
      </c>
      <c r="F641" s="21">
        <f t="shared" ca="1" si="39"/>
        <v>0</v>
      </c>
      <c r="H641" s="21">
        <v>626</v>
      </c>
      <c r="I641" s="107">
        <v>0.66750567483068379</v>
      </c>
      <c r="J641" s="108">
        <v>1.0454473981902643E-3</v>
      </c>
      <c r="K641" s="108"/>
      <c r="L641" s="108">
        <v>3.3799999999999997E-2</v>
      </c>
      <c r="O641" s="105"/>
    </row>
    <row r="642" spans="2:15" x14ac:dyDescent="0.2">
      <c r="B642" s="1">
        <v>627</v>
      </c>
      <c r="C642" s="106">
        <f t="shared" ca="1" si="36"/>
        <v>2.4442588235003795</v>
      </c>
      <c r="D642" s="106">
        <f t="shared" ca="1" si="37"/>
        <v>0.84568171629746336</v>
      </c>
      <c r="E642" s="106">
        <f t="shared" ca="1" si="38"/>
        <v>5.7481716297463348E-2</v>
      </c>
      <c r="F642" s="21">
        <f t="shared" ca="1" si="39"/>
        <v>1</v>
      </c>
      <c r="H642" s="21">
        <v>627</v>
      </c>
      <c r="I642" s="107">
        <v>0.66778203727231999</v>
      </c>
      <c r="J642" s="108">
        <v>1.4899891467383838E-3</v>
      </c>
      <c r="K642" s="108"/>
      <c r="L642" s="108">
        <v>4.3400000000000001E-2</v>
      </c>
      <c r="O642" s="105"/>
    </row>
    <row r="643" spans="2:15" x14ac:dyDescent="0.2">
      <c r="B643" s="1">
        <v>628</v>
      </c>
      <c r="C643" s="106">
        <f t="shared" ca="1" si="36"/>
        <v>0.21028787923709144</v>
      </c>
      <c r="D643" s="106">
        <f t="shared" ca="1" si="37"/>
        <v>0.67842993628389636</v>
      </c>
      <c r="E643" s="106">
        <f t="shared" ca="1" si="38"/>
        <v>0</v>
      </c>
      <c r="F643" s="21">
        <f t="shared" ca="1" si="39"/>
        <v>0</v>
      </c>
      <c r="H643" s="21">
        <v>628</v>
      </c>
      <c r="I643" s="107">
        <v>0.66788580845748091</v>
      </c>
      <c r="J643" s="108">
        <v>1.4340652498712645E-3</v>
      </c>
      <c r="K643" s="108"/>
      <c r="L643" s="108">
        <v>4.4200000000000003E-2</v>
      </c>
      <c r="O643" s="105"/>
    </row>
    <row r="644" spans="2:15" x14ac:dyDescent="0.2">
      <c r="B644" s="1">
        <v>629</v>
      </c>
      <c r="C644" s="106">
        <f t="shared" ca="1" si="36"/>
        <v>-1.9250340000872976</v>
      </c>
      <c r="D644" s="106">
        <f t="shared" ca="1" si="37"/>
        <v>0.54957773574758018</v>
      </c>
      <c r="E644" s="106">
        <f t="shared" ca="1" si="38"/>
        <v>0</v>
      </c>
      <c r="F644" s="21">
        <f t="shared" ca="1" si="39"/>
        <v>0</v>
      </c>
      <c r="H644" s="21">
        <v>629</v>
      </c>
      <c r="I644" s="107">
        <v>0.66772892687237317</v>
      </c>
      <c r="J644" s="108">
        <v>1.2544608036011099E-3</v>
      </c>
      <c r="K644" s="108"/>
      <c r="L644" s="108">
        <v>4.3999999999999997E-2</v>
      </c>
      <c r="O644" s="105"/>
    </row>
    <row r="645" spans="2:15" x14ac:dyDescent="0.2">
      <c r="B645" s="1">
        <v>630</v>
      </c>
      <c r="C645" s="106">
        <f t="shared" ca="1" si="36"/>
        <v>0.48100180650174928</v>
      </c>
      <c r="D645" s="106">
        <f t="shared" ca="1" si="37"/>
        <v>0.69679050019425159</v>
      </c>
      <c r="E645" s="106">
        <f t="shared" ca="1" si="38"/>
        <v>0</v>
      </c>
      <c r="F645" s="21">
        <f t="shared" ca="1" si="39"/>
        <v>0</v>
      </c>
      <c r="H645" s="21">
        <v>630</v>
      </c>
      <c r="I645" s="107">
        <v>0.66765584106369902</v>
      </c>
      <c r="J645" s="108">
        <v>1.2517833276585798E-3</v>
      </c>
      <c r="K645" s="108"/>
      <c r="L645" s="108">
        <v>3.8600000000000002E-2</v>
      </c>
      <c r="O645" s="105"/>
    </row>
    <row r="646" spans="2:15" x14ac:dyDescent="0.2">
      <c r="B646" s="1">
        <v>631</v>
      </c>
      <c r="C646" s="106">
        <f t="shared" ca="1" si="36"/>
        <v>-0.87004432377027552</v>
      </c>
      <c r="D646" s="106">
        <f t="shared" ca="1" si="37"/>
        <v>0.6098516985683099</v>
      </c>
      <c r="E646" s="106">
        <f t="shared" ca="1" si="38"/>
        <v>0</v>
      </c>
      <c r="F646" s="21">
        <f t="shared" ca="1" si="39"/>
        <v>0</v>
      </c>
      <c r="H646" s="21">
        <v>631</v>
      </c>
      <c r="I646" s="107">
        <v>0.66785585988115492</v>
      </c>
      <c r="J646" s="108">
        <v>1.5031116764050341E-3</v>
      </c>
      <c r="K646" s="108"/>
      <c r="L646" s="108">
        <v>4.2599999999999999E-2</v>
      </c>
      <c r="O646" s="105"/>
    </row>
    <row r="647" spans="2:15" x14ac:dyDescent="0.2">
      <c r="B647" s="1">
        <v>632</v>
      </c>
      <c r="C647" s="106">
        <f t="shared" ca="1" si="36"/>
        <v>-0.7462268589091553</v>
      </c>
      <c r="D647" s="106">
        <f t="shared" ca="1" si="37"/>
        <v>0.61734580535660177</v>
      </c>
      <c r="E647" s="106">
        <f t="shared" ca="1" si="38"/>
        <v>0</v>
      </c>
      <c r="F647" s="21">
        <f t="shared" ca="1" si="39"/>
        <v>0</v>
      </c>
      <c r="H647" s="21">
        <v>632</v>
      </c>
      <c r="I647" s="107">
        <v>0.6679015991667181</v>
      </c>
      <c r="J647" s="108">
        <v>1.4967928279853721E-3</v>
      </c>
      <c r="K647" s="108"/>
      <c r="L647" s="108">
        <v>4.6800000000000001E-2</v>
      </c>
      <c r="O647" s="105"/>
    </row>
    <row r="648" spans="2:15" x14ac:dyDescent="0.2">
      <c r="B648" s="1">
        <v>633</v>
      </c>
      <c r="C648" s="106">
        <f t="shared" ca="1" si="36"/>
        <v>1.6085154721774975</v>
      </c>
      <c r="D648" s="106">
        <f t="shared" ca="1" si="37"/>
        <v>0.77876103081484926</v>
      </c>
      <c r="E648" s="106">
        <f t="shared" ca="1" si="38"/>
        <v>0</v>
      </c>
      <c r="F648" s="21">
        <f t="shared" ca="1" si="39"/>
        <v>0</v>
      </c>
      <c r="H648" s="21">
        <v>633</v>
      </c>
      <c r="I648" s="107">
        <v>0.667633230243868</v>
      </c>
      <c r="J648" s="108">
        <v>1.2061144132600626E-3</v>
      </c>
      <c r="K648" s="108"/>
      <c r="L648" s="108">
        <v>3.9E-2</v>
      </c>
      <c r="O648" s="105"/>
    </row>
    <row r="649" spans="2:15" x14ac:dyDescent="0.2">
      <c r="B649" s="1">
        <v>634</v>
      </c>
      <c r="C649" s="106">
        <f t="shared" ca="1" si="36"/>
        <v>1.4536730140422194</v>
      </c>
      <c r="D649" s="106">
        <f t="shared" ca="1" si="37"/>
        <v>0.76695671791483666</v>
      </c>
      <c r="E649" s="106">
        <f t="shared" ca="1" si="38"/>
        <v>0</v>
      </c>
      <c r="F649" s="21">
        <f t="shared" ca="1" si="39"/>
        <v>0</v>
      </c>
      <c r="H649" s="21">
        <v>634</v>
      </c>
      <c r="I649" s="107">
        <v>0.66772705292594092</v>
      </c>
      <c r="J649" s="108">
        <v>1.3257526219918505E-3</v>
      </c>
      <c r="K649" s="108"/>
      <c r="L649" s="108">
        <v>4.0399999999999998E-2</v>
      </c>
      <c r="O649" s="105"/>
    </row>
    <row r="650" spans="2:15" x14ac:dyDescent="0.2">
      <c r="B650" s="1">
        <v>635</v>
      </c>
      <c r="C650" s="106">
        <f t="shared" ca="1" si="36"/>
        <v>-0.41491328445799702</v>
      </c>
      <c r="D650" s="106">
        <f t="shared" ca="1" si="37"/>
        <v>0.63785471605025845</v>
      </c>
      <c r="E650" s="106">
        <f t="shared" ca="1" si="38"/>
        <v>0</v>
      </c>
      <c r="F650" s="21">
        <f t="shared" ca="1" si="39"/>
        <v>0</v>
      </c>
      <c r="H650" s="21">
        <v>635</v>
      </c>
      <c r="I650" s="107">
        <v>0.66785435302599083</v>
      </c>
      <c r="J650" s="108">
        <v>1.5502228059627904E-3</v>
      </c>
      <c r="K650" s="108"/>
      <c r="L650" s="108">
        <v>4.0800000000000003E-2</v>
      </c>
      <c r="O650" s="105"/>
    </row>
    <row r="651" spans="2:15" x14ac:dyDescent="0.2">
      <c r="B651" s="1">
        <v>636</v>
      </c>
      <c r="C651" s="106">
        <f t="shared" ca="1" si="36"/>
        <v>-1.8771253296969073</v>
      </c>
      <c r="D651" s="106">
        <f t="shared" ca="1" si="37"/>
        <v>0.55218106286528645</v>
      </c>
      <c r="E651" s="106">
        <f t="shared" ca="1" si="38"/>
        <v>0</v>
      </c>
      <c r="F651" s="21">
        <f t="shared" ca="1" si="39"/>
        <v>0</v>
      </c>
      <c r="H651" s="21">
        <v>636</v>
      </c>
      <c r="I651" s="107">
        <v>0.66769544732744179</v>
      </c>
      <c r="J651" s="108">
        <v>1.248285721317288E-3</v>
      </c>
      <c r="K651" s="108"/>
      <c r="L651" s="108">
        <v>3.8800000000000001E-2</v>
      </c>
      <c r="O651" s="105"/>
    </row>
    <row r="652" spans="2:15" x14ac:dyDescent="0.2">
      <c r="B652" s="1">
        <v>637</v>
      </c>
      <c r="C652" s="106">
        <f t="shared" ca="1" si="36"/>
        <v>-0.83745031899211275</v>
      </c>
      <c r="D652" s="106">
        <f t="shared" ca="1" si="37"/>
        <v>0.6118155978165335</v>
      </c>
      <c r="E652" s="106">
        <f t="shared" ca="1" si="38"/>
        <v>0</v>
      </c>
      <c r="F652" s="21">
        <f t="shared" ca="1" si="39"/>
        <v>0</v>
      </c>
      <c r="H652" s="21">
        <v>637</v>
      </c>
      <c r="I652" s="107">
        <v>0.66773722655270917</v>
      </c>
      <c r="J652" s="108">
        <v>1.4333992062764806E-3</v>
      </c>
      <c r="K652" s="108"/>
      <c r="L652" s="108">
        <v>4.1799999999999997E-2</v>
      </c>
      <c r="O652" s="105"/>
    </row>
    <row r="653" spans="2:15" x14ac:dyDescent="0.2">
      <c r="B653" s="1">
        <v>638</v>
      </c>
      <c r="C653" s="106">
        <f t="shared" ca="1" si="36"/>
        <v>0.14236359059301576</v>
      </c>
      <c r="D653" s="106">
        <f t="shared" ca="1" si="37"/>
        <v>0.673899553504543</v>
      </c>
      <c r="E653" s="106">
        <f t="shared" ca="1" si="38"/>
        <v>0</v>
      </c>
      <c r="F653" s="21">
        <f t="shared" ca="1" si="39"/>
        <v>0</v>
      </c>
      <c r="H653" s="21">
        <v>638</v>
      </c>
      <c r="I653" s="107">
        <v>0.66765180611431008</v>
      </c>
      <c r="J653" s="108">
        <v>1.2185238053059595E-3</v>
      </c>
      <c r="K653" s="108"/>
      <c r="L653" s="108">
        <v>3.9E-2</v>
      </c>
      <c r="O653" s="105"/>
    </row>
    <row r="654" spans="2:15" x14ac:dyDescent="0.2">
      <c r="B654" s="1">
        <v>639</v>
      </c>
      <c r="C654" s="106">
        <f t="shared" ca="1" si="36"/>
        <v>-0.18611009694930949</v>
      </c>
      <c r="D654" s="106">
        <f t="shared" ca="1" si="37"/>
        <v>0.65241443035519031</v>
      </c>
      <c r="E654" s="106">
        <f t="shared" ca="1" si="38"/>
        <v>0</v>
      </c>
      <c r="F654" s="21">
        <f t="shared" ca="1" si="39"/>
        <v>0</v>
      </c>
      <c r="H654" s="21">
        <v>639</v>
      </c>
      <c r="I654" s="107">
        <v>0.66779581889442274</v>
      </c>
      <c r="J654" s="108">
        <v>1.3157213817110755E-3</v>
      </c>
      <c r="K654" s="108"/>
      <c r="L654" s="108">
        <v>3.9800000000000002E-2</v>
      </c>
      <c r="O654" s="105"/>
    </row>
    <row r="655" spans="2:15" x14ac:dyDescent="0.2">
      <c r="B655" s="1">
        <v>640</v>
      </c>
      <c r="C655" s="106">
        <f t="shared" ca="1" si="36"/>
        <v>-0.23704959113111823</v>
      </c>
      <c r="D655" s="106">
        <f t="shared" ca="1" si="37"/>
        <v>0.64914444027007701</v>
      </c>
      <c r="E655" s="106">
        <f t="shared" ca="1" si="38"/>
        <v>0</v>
      </c>
      <c r="F655" s="21">
        <f t="shared" ca="1" si="39"/>
        <v>0</v>
      </c>
      <c r="H655" s="21">
        <v>640</v>
      </c>
      <c r="I655" s="107">
        <v>0.66771681222685608</v>
      </c>
      <c r="J655" s="108">
        <v>1.2853539405441319E-3</v>
      </c>
      <c r="K655" s="108"/>
      <c r="L655" s="108">
        <v>3.9E-2</v>
      </c>
      <c r="O655" s="105"/>
    </row>
    <row r="656" spans="2:15" x14ac:dyDescent="0.2">
      <c r="B656" s="1">
        <v>641</v>
      </c>
      <c r="C656" s="106">
        <f t="shared" ref="C656:C719" ca="1" si="40">_xlfn.NORM.S.INV(RAND())</f>
        <v>0.54364031110936994</v>
      </c>
      <c r="D656" s="106">
        <f t="shared" ref="D656:D719" ca="1" si="41">S0*EXP((μ-0.5*σ*σ)*T+σ*SQRT(T)*$C656)</f>
        <v>0.70110911919368157</v>
      </c>
      <c r="E656" s="106">
        <f t="shared" ref="E656:E719" ca="1" si="42">MAX(0,CP*(D656-K))</f>
        <v>0</v>
      </c>
      <c r="F656" s="21">
        <f t="shared" ref="F656:F719" ca="1" si="43">(CP*(D656-K)&gt;0)*1</f>
        <v>0</v>
      </c>
      <c r="H656" s="21">
        <v>641</v>
      </c>
      <c r="I656" s="107">
        <v>0.66771246793943595</v>
      </c>
      <c r="J656" s="108">
        <v>1.499351457076034E-3</v>
      </c>
      <c r="K656" s="108"/>
      <c r="L656" s="108">
        <v>3.9E-2</v>
      </c>
      <c r="O656" s="105"/>
    </row>
    <row r="657" spans="2:15" x14ac:dyDescent="0.2">
      <c r="B657" s="1">
        <v>642</v>
      </c>
      <c r="C657" s="106">
        <f t="shared" ca="1" si="40"/>
        <v>-0.57487064981116043</v>
      </c>
      <c r="D657" s="106">
        <f t="shared" ca="1" si="41"/>
        <v>0.62786936859483788</v>
      </c>
      <c r="E657" s="106">
        <f t="shared" ca="1" si="42"/>
        <v>0</v>
      </c>
      <c r="F657" s="21">
        <f t="shared" ca="1" si="43"/>
        <v>0</v>
      </c>
      <c r="H657" s="21">
        <v>642</v>
      </c>
      <c r="I657" s="107">
        <v>0.66768877439678431</v>
      </c>
      <c r="J657" s="108">
        <v>1.2895729181290308E-3</v>
      </c>
      <c r="K657" s="108"/>
      <c r="L657" s="108">
        <v>4.1599999999999998E-2</v>
      </c>
      <c r="O657" s="105"/>
    </row>
    <row r="658" spans="2:15" x14ac:dyDescent="0.2">
      <c r="B658" s="1">
        <v>643</v>
      </c>
      <c r="C658" s="106">
        <f t="shared" ca="1" si="40"/>
        <v>1.4745735091457808</v>
      </c>
      <c r="D658" s="106">
        <f t="shared" ca="1" si="41"/>
        <v>0.76853954724656137</v>
      </c>
      <c r="E658" s="106">
        <f t="shared" ca="1" si="42"/>
        <v>0</v>
      </c>
      <c r="F658" s="21">
        <f t="shared" ca="1" si="43"/>
        <v>0</v>
      </c>
      <c r="H658" s="21">
        <v>643</v>
      </c>
      <c r="I658" s="107">
        <v>0.66781243023113201</v>
      </c>
      <c r="J658" s="108">
        <v>1.521614763137539E-3</v>
      </c>
      <c r="K658" s="108"/>
      <c r="L658" s="108">
        <v>4.6600000000000003E-2</v>
      </c>
      <c r="O658" s="105"/>
    </row>
    <row r="659" spans="2:15" x14ac:dyDescent="0.2">
      <c r="B659" s="1">
        <v>644</v>
      </c>
      <c r="C659" s="106">
        <f t="shared" ca="1" si="40"/>
        <v>0.52110142184788066</v>
      </c>
      <c r="D659" s="106">
        <f t="shared" ca="1" si="41"/>
        <v>0.69955209866083645</v>
      </c>
      <c r="E659" s="106">
        <f t="shared" ca="1" si="42"/>
        <v>0</v>
      </c>
      <c r="F659" s="21">
        <f t="shared" ca="1" si="43"/>
        <v>0</v>
      </c>
      <c r="H659" s="21">
        <v>644</v>
      </c>
      <c r="I659" s="107">
        <v>0.66775507032504289</v>
      </c>
      <c r="J659" s="108">
        <v>1.410077963309169E-3</v>
      </c>
      <c r="K659" s="108"/>
      <c r="L659" s="108">
        <v>4.4400000000000002E-2</v>
      </c>
      <c r="O659" s="105"/>
    </row>
    <row r="660" spans="2:15" x14ac:dyDescent="0.2">
      <c r="B660" s="1">
        <v>645</v>
      </c>
      <c r="C660" s="106">
        <f t="shared" ca="1" si="40"/>
        <v>-0.29562364221469351</v>
      </c>
      <c r="D660" s="106">
        <f t="shared" ca="1" si="41"/>
        <v>0.64540461363695645</v>
      </c>
      <c r="E660" s="106">
        <f t="shared" ca="1" si="42"/>
        <v>0</v>
      </c>
      <c r="F660" s="21">
        <f t="shared" ca="1" si="43"/>
        <v>0</v>
      </c>
      <c r="H660" s="21">
        <v>645</v>
      </c>
      <c r="I660" s="107">
        <v>0.66774891900472788</v>
      </c>
      <c r="J660" s="108">
        <v>1.3503934529832525E-3</v>
      </c>
      <c r="K660" s="108"/>
      <c r="L660" s="108">
        <v>4.3999999999999997E-2</v>
      </c>
      <c r="O660" s="105"/>
    </row>
    <row r="661" spans="2:15" x14ac:dyDescent="0.2">
      <c r="B661" s="1">
        <v>646</v>
      </c>
      <c r="C661" s="106">
        <f t="shared" ca="1" si="40"/>
        <v>-0.35753577207694548</v>
      </c>
      <c r="D661" s="106">
        <f t="shared" ca="1" si="41"/>
        <v>0.64147507786164581</v>
      </c>
      <c r="E661" s="106">
        <f t="shared" ca="1" si="42"/>
        <v>0</v>
      </c>
      <c r="F661" s="21">
        <f t="shared" ca="1" si="43"/>
        <v>0</v>
      </c>
      <c r="H661" s="21">
        <v>646</v>
      </c>
      <c r="I661" s="107">
        <v>0.66781825273216155</v>
      </c>
      <c r="J661" s="108">
        <v>1.3751980262580172E-3</v>
      </c>
      <c r="K661" s="108"/>
      <c r="L661" s="108">
        <v>4.3799999999999999E-2</v>
      </c>
      <c r="O661" s="105"/>
    </row>
    <row r="662" spans="2:15" x14ac:dyDescent="0.2">
      <c r="B662" s="1">
        <v>647</v>
      </c>
      <c r="C662" s="106">
        <f t="shared" ca="1" si="40"/>
        <v>0.95773330906850296</v>
      </c>
      <c r="D662" s="106">
        <f t="shared" ca="1" si="41"/>
        <v>0.73034002941802312</v>
      </c>
      <c r="E662" s="106">
        <f t="shared" ca="1" si="42"/>
        <v>0</v>
      </c>
      <c r="F662" s="21">
        <f t="shared" ca="1" si="43"/>
        <v>0</v>
      </c>
      <c r="H662" s="21">
        <v>647</v>
      </c>
      <c r="I662" s="107">
        <v>0.66780912236799039</v>
      </c>
      <c r="J662" s="108">
        <v>1.4647091289596685E-3</v>
      </c>
      <c r="K662" s="108"/>
      <c r="L662" s="108">
        <v>4.36E-2</v>
      </c>
      <c r="O662" s="105"/>
    </row>
    <row r="663" spans="2:15" x14ac:dyDescent="0.2">
      <c r="B663" s="1">
        <v>648</v>
      </c>
      <c r="C663" s="106">
        <f t="shared" ca="1" si="40"/>
        <v>0.13343019052942651</v>
      </c>
      <c r="D663" s="106">
        <f t="shared" ca="1" si="41"/>
        <v>0.67330597315383334</v>
      </c>
      <c r="E663" s="106">
        <f t="shared" ca="1" si="42"/>
        <v>0</v>
      </c>
      <c r="F663" s="21">
        <f t="shared" ca="1" si="43"/>
        <v>0</v>
      </c>
      <c r="H663" s="21">
        <v>648</v>
      </c>
      <c r="I663" s="107">
        <v>0.66784570052892678</v>
      </c>
      <c r="J663" s="108">
        <v>1.4700204062671248E-3</v>
      </c>
      <c r="K663" s="108"/>
      <c r="L663" s="108">
        <v>4.4400000000000002E-2</v>
      </c>
      <c r="O663" s="105"/>
    </row>
    <row r="664" spans="2:15" x14ac:dyDescent="0.2">
      <c r="B664" s="1">
        <v>649</v>
      </c>
      <c r="C664" s="106">
        <f t="shared" ca="1" si="40"/>
        <v>0.97555857679263014</v>
      </c>
      <c r="D664" s="106">
        <f t="shared" ca="1" si="41"/>
        <v>0.73162532180283635</v>
      </c>
      <c r="E664" s="106">
        <f t="shared" ca="1" si="42"/>
        <v>0</v>
      </c>
      <c r="F664" s="21">
        <f t="shared" ca="1" si="43"/>
        <v>0</v>
      </c>
      <c r="H664" s="21">
        <v>649</v>
      </c>
      <c r="I664" s="107">
        <v>0.66781393432898117</v>
      </c>
      <c r="J664" s="108">
        <v>1.3682172606907747E-3</v>
      </c>
      <c r="K664" s="108"/>
      <c r="L664" s="108">
        <v>4.4200000000000003E-2</v>
      </c>
      <c r="O664" s="105"/>
    </row>
    <row r="665" spans="2:15" x14ac:dyDescent="0.2">
      <c r="B665" s="1">
        <v>650</v>
      </c>
      <c r="C665" s="106">
        <f t="shared" ca="1" si="40"/>
        <v>-0.39856729930619772</v>
      </c>
      <c r="D665" s="106">
        <f t="shared" ca="1" si="41"/>
        <v>0.63888401598355959</v>
      </c>
      <c r="E665" s="106">
        <f t="shared" ca="1" si="42"/>
        <v>0</v>
      </c>
      <c r="F665" s="21">
        <f t="shared" ca="1" si="43"/>
        <v>0</v>
      </c>
      <c r="H665" s="21">
        <v>650</v>
      </c>
      <c r="I665" s="107">
        <v>0.66784397685662378</v>
      </c>
      <c r="J665" s="108">
        <v>1.4432658055933197E-3</v>
      </c>
      <c r="K665" s="108"/>
      <c r="L665" s="108">
        <v>4.5199999999999997E-2</v>
      </c>
      <c r="O665" s="105"/>
    </row>
    <row r="666" spans="2:15" x14ac:dyDescent="0.2">
      <c r="B666" s="1">
        <v>651</v>
      </c>
      <c r="C666" s="106">
        <f t="shared" ca="1" si="40"/>
        <v>-7.2806159182191715E-2</v>
      </c>
      <c r="D666" s="106">
        <f t="shared" ca="1" si="41"/>
        <v>0.6597470077973755</v>
      </c>
      <c r="E666" s="106">
        <f t="shared" ca="1" si="42"/>
        <v>0</v>
      </c>
      <c r="F666" s="21">
        <f t="shared" ca="1" si="43"/>
        <v>0</v>
      </c>
      <c r="H666" s="21">
        <v>651</v>
      </c>
      <c r="I666" s="107">
        <v>0.66780672452500645</v>
      </c>
      <c r="J666" s="108">
        <v>1.47790023707145E-3</v>
      </c>
      <c r="K666" s="108"/>
      <c r="L666" s="108">
        <v>4.2200000000000001E-2</v>
      </c>
      <c r="O666" s="105"/>
    </row>
    <row r="667" spans="2:15" x14ac:dyDescent="0.2">
      <c r="B667" s="1">
        <v>652</v>
      </c>
      <c r="C667" s="106">
        <f t="shared" ca="1" si="40"/>
        <v>-0.8127975785550855</v>
      </c>
      <c r="D667" s="106">
        <f t="shared" ca="1" si="41"/>
        <v>0.61330520860751547</v>
      </c>
      <c r="E667" s="106">
        <f t="shared" ca="1" si="42"/>
        <v>0</v>
      </c>
      <c r="F667" s="21">
        <f t="shared" ca="1" si="43"/>
        <v>0</v>
      </c>
      <c r="H667" s="21">
        <v>652</v>
      </c>
      <c r="I667" s="107">
        <v>0.66790173465114788</v>
      </c>
      <c r="J667" s="108">
        <v>1.582130037888119E-3</v>
      </c>
      <c r="K667" s="108"/>
      <c r="L667" s="108">
        <v>4.2200000000000001E-2</v>
      </c>
      <c r="O667" s="105"/>
    </row>
    <row r="668" spans="2:15" x14ac:dyDescent="0.2">
      <c r="B668" s="1">
        <v>653</v>
      </c>
      <c r="C668" s="106">
        <f t="shared" ca="1" si="40"/>
        <v>-0.41507500312545847</v>
      </c>
      <c r="D668" s="106">
        <f t="shared" ca="1" si="41"/>
        <v>0.63784454098128762</v>
      </c>
      <c r="E668" s="106">
        <f t="shared" ca="1" si="42"/>
        <v>0</v>
      </c>
      <c r="F668" s="21">
        <f t="shared" ca="1" si="43"/>
        <v>0</v>
      </c>
      <c r="H668" s="21">
        <v>653</v>
      </c>
      <c r="I668" s="107">
        <v>0.66772979872966121</v>
      </c>
      <c r="J668" s="108">
        <v>1.2474992854604582E-3</v>
      </c>
      <c r="K668" s="108"/>
      <c r="L668" s="108">
        <v>4.1399999999999999E-2</v>
      </c>
      <c r="O668" s="105"/>
    </row>
    <row r="669" spans="2:15" x14ac:dyDescent="0.2">
      <c r="B669" s="1">
        <v>654</v>
      </c>
      <c r="C669" s="106">
        <f t="shared" ca="1" si="40"/>
        <v>-0.94830193402317864</v>
      </c>
      <c r="D669" s="106">
        <f t="shared" ca="1" si="41"/>
        <v>0.60516211213626203</v>
      </c>
      <c r="E669" s="106">
        <f t="shared" ca="1" si="42"/>
        <v>0</v>
      </c>
      <c r="F669" s="21">
        <f t="shared" ca="1" si="43"/>
        <v>0</v>
      </c>
      <c r="H669" s="21">
        <v>654</v>
      </c>
      <c r="I669" s="107">
        <v>0.66773488995383223</v>
      </c>
      <c r="J669" s="108">
        <v>1.4899247351144731E-3</v>
      </c>
      <c r="K669" s="108"/>
      <c r="L669" s="108">
        <v>4.6600000000000003E-2</v>
      </c>
      <c r="O669" s="105"/>
    </row>
    <row r="670" spans="2:15" x14ac:dyDescent="0.2">
      <c r="B670" s="1">
        <v>655</v>
      </c>
      <c r="C670" s="106">
        <f t="shared" ca="1" si="40"/>
        <v>-0.68753359934231639</v>
      </c>
      <c r="D670" s="106">
        <f t="shared" ca="1" si="41"/>
        <v>0.62093034534256442</v>
      </c>
      <c r="E670" s="106">
        <f t="shared" ca="1" si="42"/>
        <v>0</v>
      </c>
      <c r="F670" s="21">
        <f t="shared" ca="1" si="43"/>
        <v>0</v>
      </c>
      <c r="H670" s="21">
        <v>655</v>
      </c>
      <c r="I670" s="107">
        <v>0.66776376476343524</v>
      </c>
      <c r="J670" s="108">
        <v>1.4593026833862484E-3</v>
      </c>
      <c r="K670" s="108"/>
      <c r="L670" s="108">
        <v>4.1599999999999998E-2</v>
      </c>
      <c r="O670" s="105"/>
    </row>
    <row r="671" spans="2:15" x14ac:dyDescent="0.2">
      <c r="B671" s="1">
        <v>656</v>
      </c>
      <c r="C671" s="106">
        <f t="shared" ca="1" si="40"/>
        <v>-0.34945475091588712</v>
      </c>
      <c r="D671" s="106">
        <f t="shared" ca="1" si="41"/>
        <v>0.6419866160220028</v>
      </c>
      <c r="E671" s="106">
        <f t="shared" ca="1" si="42"/>
        <v>0</v>
      </c>
      <c r="F671" s="21">
        <f t="shared" ca="1" si="43"/>
        <v>0</v>
      </c>
      <c r="H671" s="21">
        <v>656</v>
      </c>
      <c r="I671" s="107">
        <v>0.66769952409569466</v>
      </c>
      <c r="J671" s="108">
        <v>1.3006821969083558E-3</v>
      </c>
      <c r="K671" s="108"/>
      <c r="L671" s="108">
        <v>3.8800000000000001E-2</v>
      </c>
      <c r="O671" s="105"/>
    </row>
    <row r="672" spans="2:15" x14ac:dyDescent="0.2">
      <c r="B672" s="1">
        <v>657</v>
      </c>
      <c r="C672" s="106">
        <f t="shared" ca="1" si="40"/>
        <v>1.6605137187484802</v>
      </c>
      <c r="D672" s="106">
        <f t="shared" ca="1" si="41"/>
        <v>0.78276569472095736</v>
      </c>
      <c r="E672" s="106">
        <f t="shared" ca="1" si="42"/>
        <v>0</v>
      </c>
      <c r="F672" s="21">
        <f t="shared" ca="1" si="43"/>
        <v>0</v>
      </c>
      <c r="H672" s="21">
        <v>657</v>
      </c>
      <c r="I672" s="107">
        <v>0.66762119041643786</v>
      </c>
      <c r="J672" s="108">
        <v>1.3824801380708858E-3</v>
      </c>
      <c r="K672" s="108"/>
      <c r="L672" s="108">
        <v>3.7999999999999999E-2</v>
      </c>
      <c r="O672" s="105"/>
    </row>
    <row r="673" spans="2:15" x14ac:dyDescent="0.2">
      <c r="B673" s="1">
        <v>658</v>
      </c>
      <c r="C673" s="106">
        <f t="shared" ca="1" si="40"/>
        <v>0.39805426056016402</v>
      </c>
      <c r="D673" s="106">
        <f t="shared" ca="1" si="41"/>
        <v>0.69111258157049715</v>
      </c>
      <c r="E673" s="106">
        <f t="shared" ca="1" si="42"/>
        <v>0</v>
      </c>
      <c r="F673" s="21">
        <f t="shared" ca="1" si="43"/>
        <v>0</v>
      </c>
      <c r="H673" s="21">
        <v>658</v>
      </c>
      <c r="I673" s="107">
        <v>0.66770620410500903</v>
      </c>
      <c r="J673" s="108">
        <v>1.2507413080775599E-3</v>
      </c>
      <c r="K673" s="108"/>
      <c r="L673" s="108">
        <v>4.2599999999999999E-2</v>
      </c>
      <c r="O673" s="105"/>
    </row>
    <row r="674" spans="2:15" x14ac:dyDescent="0.2">
      <c r="B674" s="1">
        <v>659</v>
      </c>
      <c r="C674" s="106">
        <f t="shared" ca="1" si="40"/>
        <v>1.1779343228687615</v>
      </c>
      <c r="D674" s="106">
        <f t="shared" ca="1" si="41"/>
        <v>0.74637722754958613</v>
      </c>
      <c r="E674" s="106">
        <f t="shared" ca="1" si="42"/>
        <v>0</v>
      </c>
      <c r="F674" s="21">
        <f t="shared" ca="1" si="43"/>
        <v>0</v>
      </c>
      <c r="H674" s="21">
        <v>659</v>
      </c>
      <c r="I674" s="107">
        <v>0.66788905115893527</v>
      </c>
      <c r="J674" s="108">
        <v>1.4691668619165449E-3</v>
      </c>
      <c r="K674" s="108"/>
      <c r="L674" s="108">
        <v>4.3999999999999997E-2</v>
      </c>
      <c r="O674" s="105"/>
    </row>
    <row r="675" spans="2:15" x14ac:dyDescent="0.2">
      <c r="B675" s="1">
        <v>660</v>
      </c>
      <c r="C675" s="106">
        <f t="shared" ca="1" si="40"/>
        <v>1.5839009061708114</v>
      </c>
      <c r="D675" s="106">
        <f t="shared" ca="1" si="41"/>
        <v>0.77687248221635929</v>
      </c>
      <c r="E675" s="106">
        <f t="shared" ca="1" si="42"/>
        <v>0</v>
      </c>
      <c r="F675" s="21">
        <f t="shared" ca="1" si="43"/>
        <v>0</v>
      </c>
      <c r="H675" s="21">
        <v>660</v>
      </c>
      <c r="I675" s="107">
        <v>0.66778436164403188</v>
      </c>
      <c r="J675" s="108">
        <v>1.3302543718091884E-3</v>
      </c>
      <c r="K675" s="108"/>
      <c r="L675" s="108">
        <v>4.3799999999999999E-2</v>
      </c>
      <c r="O675" s="105"/>
    </row>
    <row r="676" spans="2:15" x14ac:dyDescent="0.2">
      <c r="B676" s="1">
        <v>661</v>
      </c>
      <c r="C676" s="106">
        <f t="shared" ca="1" si="40"/>
        <v>0.2871911264118156</v>
      </c>
      <c r="D676" s="106">
        <f t="shared" ca="1" si="41"/>
        <v>0.68359596560750713</v>
      </c>
      <c r="E676" s="106">
        <f t="shared" ca="1" si="42"/>
        <v>0</v>
      </c>
      <c r="F676" s="21">
        <f t="shared" ca="1" si="43"/>
        <v>0</v>
      </c>
      <c r="H676" s="21">
        <v>661</v>
      </c>
      <c r="I676" s="107">
        <v>0.66781471115070656</v>
      </c>
      <c r="J676" s="108">
        <v>1.3176181609125274E-3</v>
      </c>
      <c r="K676" s="108"/>
      <c r="L676" s="108">
        <v>4.4999999999999998E-2</v>
      </c>
      <c r="O676" s="105"/>
    </row>
    <row r="677" spans="2:15" x14ac:dyDescent="0.2">
      <c r="B677" s="1">
        <v>662</v>
      </c>
      <c r="C677" s="106">
        <f t="shared" ca="1" si="40"/>
        <v>0.98855866904706668</v>
      </c>
      <c r="D677" s="106">
        <f t="shared" ca="1" si="41"/>
        <v>0.73256412065687515</v>
      </c>
      <c r="E677" s="106">
        <f t="shared" ca="1" si="42"/>
        <v>0</v>
      </c>
      <c r="F677" s="21">
        <f t="shared" ca="1" si="43"/>
        <v>0</v>
      </c>
      <c r="H677" s="21">
        <v>662</v>
      </c>
      <c r="I677" s="107">
        <v>0.6676886285513931</v>
      </c>
      <c r="J677" s="108">
        <v>1.2766256767822663E-3</v>
      </c>
      <c r="K677" s="108"/>
      <c r="L677" s="108">
        <v>4.2599999999999999E-2</v>
      </c>
      <c r="O677" s="105"/>
    </row>
    <row r="678" spans="2:15" x14ac:dyDescent="0.2">
      <c r="B678" s="1">
        <v>663</v>
      </c>
      <c r="C678" s="106">
        <f t="shared" ca="1" si="40"/>
        <v>-0.44785427321555654</v>
      </c>
      <c r="D678" s="106">
        <f t="shared" ca="1" si="41"/>
        <v>0.63578547108299077</v>
      </c>
      <c r="E678" s="106">
        <f t="shared" ca="1" si="42"/>
        <v>0</v>
      </c>
      <c r="F678" s="21">
        <f t="shared" ca="1" si="43"/>
        <v>0</v>
      </c>
      <c r="H678" s="21">
        <v>663</v>
      </c>
      <c r="I678" s="107">
        <v>0.66772702529505257</v>
      </c>
      <c r="J678" s="108">
        <v>1.3554599373038164E-3</v>
      </c>
      <c r="K678" s="108"/>
      <c r="L678" s="108">
        <v>4.1200000000000001E-2</v>
      </c>
      <c r="O678" s="105"/>
    </row>
    <row r="679" spans="2:15" x14ac:dyDescent="0.2">
      <c r="B679" s="1">
        <v>664</v>
      </c>
      <c r="C679" s="106">
        <f t="shared" ca="1" si="40"/>
        <v>0.69290978610837828</v>
      </c>
      <c r="D679" s="106">
        <f t="shared" ca="1" si="41"/>
        <v>0.71150872196821158</v>
      </c>
      <c r="E679" s="106">
        <f t="shared" ca="1" si="42"/>
        <v>0</v>
      </c>
      <c r="F679" s="21">
        <f t="shared" ca="1" si="43"/>
        <v>0</v>
      </c>
      <c r="H679" s="21">
        <v>664</v>
      </c>
      <c r="I679" s="107">
        <v>0.66760389837858491</v>
      </c>
      <c r="J679" s="108">
        <v>1.3312428444253867E-3</v>
      </c>
      <c r="K679" s="108"/>
      <c r="L679" s="108">
        <v>3.8399999999999997E-2</v>
      </c>
      <c r="O679" s="105"/>
    </row>
    <row r="680" spans="2:15" x14ac:dyDescent="0.2">
      <c r="B680" s="1">
        <v>665</v>
      </c>
      <c r="C680" s="106">
        <f t="shared" ca="1" si="40"/>
        <v>0.15557032661225237</v>
      </c>
      <c r="D680" s="106">
        <f t="shared" ca="1" si="41"/>
        <v>0.67477803472383069</v>
      </c>
      <c r="E680" s="106">
        <f t="shared" ca="1" si="42"/>
        <v>0</v>
      </c>
      <c r="F680" s="21">
        <f t="shared" ca="1" si="43"/>
        <v>0</v>
      </c>
      <c r="H680" s="21">
        <v>665</v>
      </c>
      <c r="I680" s="107">
        <v>0.66764032400213147</v>
      </c>
      <c r="J680" s="108">
        <v>1.3104950069595914E-3</v>
      </c>
      <c r="K680" s="108"/>
      <c r="L680" s="108">
        <v>3.9399999999999998E-2</v>
      </c>
      <c r="O680" s="105"/>
    </row>
    <row r="681" spans="2:15" x14ac:dyDescent="0.2">
      <c r="B681" s="1">
        <v>666</v>
      </c>
      <c r="C681" s="106">
        <f t="shared" ca="1" si="40"/>
        <v>-0.25787518868897119</v>
      </c>
      <c r="D681" s="106">
        <f t="shared" ca="1" si="41"/>
        <v>0.64781229461493683</v>
      </c>
      <c r="E681" s="106">
        <f t="shared" ca="1" si="42"/>
        <v>0</v>
      </c>
      <c r="F681" s="21">
        <f t="shared" ca="1" si="43"/>
        <v>0</v>
      </c>
      <c r="H681" s="21">
        <v>666</v>
      </c>
      <c r="I681" s="107">
        <v>0.66771220554836219</v>
      </c>
      <c r="J681" s="108">
        <v>1.2741368365511115E-3</v>
      </c>
      <c r="K681" s="108"/>
      <c r="L681" s="108">
        <v>3.9399999999999998E-2</v>
      </c>
      <c r="O681" s="105"/>
    </row>
    <row r="682" spans="2:15" x14ac:dyDescent="0.2">
      <c r="B682" s="1">
        <v>667</v>
      </c>
      <c r="C682" s="106">
        <f t="shared" ca="1" si="40"/>
        <v>1.4609818979453841</v>
      </c>
      <c r="D682" s="106">
        <f t="shared" ca="1" si="41"/>
        <v>0.7675098608672567</v>
      </c>
      <c r="E682" s="106">
        <f t="shared" ca="1" si="42"/>
        <v>0</v>
      </c>
      <c r="F682" s="21">
        <f t="shared" ca="1" si="43"/>
        <v>0</v>
      </c>
      <c r="H682" s="21">
        <v>667</v>
      </c>
      <c r="I682" s="107">
        <v>0.66782453753198756</v>
      </c>
      <c r="J682" s="108">
        <v>1.4919532358328809E-3</v>
      </c>
      <c r="K682" s="108"/>
      <c r="L682" s="108">
        <v>4.7399999999999998E-2</v>
      </c>
      <c r="O682" s="105"/>
    </row>
    <row r="683" spans="2:15" x14ac:dyDescent="0.2">
      <c r="B683" s="1">
        <v>668</v>
      </c>
      <c r="C683" s="106">
        <f t="shared" ca="1" si="40"/>
        <v>-0.82972856079904389</v>
      </c>
      <c r="D683" s="106">
        <f t="shared" ca="1" si="41"/>
        <v>0.61228178577461023</v>
      </c>
      <c r="E683" s="106">
        <f t="shared" ca="1" si="42"/>
        <v>0</v>
      </c>
      <c r="F683" s="21">
        <f t="shared" ca="1" si="43"/>
        <v>0</v>
      </c>
      <c r="H683" s="21">
        <v>668</v>
      </c>
      <c r="I683" s="107">
        <v>0.66778724077544305</v>
      </c>
      <c r="J683" s="108">
        <v>1.5918960706089314E-3</v>
      </c>
      <c r="K683" s="108"/>
      <c r="L683" s="108">
        <v>4.7E-2</v>
      </c>
      <c r="O683" s="105"/>
    </row>
    <row r="684" spans="2:15" x14ac:dyDescent="0.2">
      <c r="B684" s="1">
        <v>669</v>
      </c>
      <c r="C684" s="106">
        <f t="shared" ca="1" si="40"/>
        <v>0.41851715919241461</v>
      </c>
      <c r="D684" s="106">
        <f t="shared" ca="1" si="41"/>
        <v>0.69250899248784747</v>
      </c>
      <c r="E684" s="106">
        <f t="shared" ca="1" si="42"/>
        <v>0</v>
      </c>
      <c r="F684" s="21">
        <f t="shared" ca="1" si="43"/>
        <v>0</v>
      </c>
      <c r="H684" s="21">
        <v>669</v>
      </c>
      <c r="I684" s="107">
        <v>0.6676939981192952</v>
      </c>
      <c r="J684" s="108">
        <v>1.2581110784495228E-3</v>
      </c>
      <c r="K684" s="108"/>
      <c r="L684" s="108">
        <v>3.9600000000000003E-2</v>
      </c>
      <c r="O684" s="105"/>
    </row>
    <row r="685" spans="2:15" x14ac:dyDescent="0.2">
      <c r="B685" s="1">
        <v>670</v>
      </c>
      <c r="C685" s="106">
        <f t="shared" ca="1" si="40"/>
        <v>-0.570855991505271</v>
      </c>
      <c r="D685" s="106">
        <f t="shared" ca="1" si="41"/>
        <v>0.62811806114737923</v>
      </c>
      <c r="E685" s="106">
        <f t="shared" ca="1" si="42"/>
        <v>0</v>
      </c>
      <c r="F685" s="21">
        <f t="shared" ca="1" si="43"/>
        <v>0</v>
      </c>
      <c r="H685" s="21">
        <v>670</v>
      </c>
      <c r="I685" s="107">
        <v>0.66767019440732356</v>
      </c>
      <c r="J685" s="108">
        <v>1.2429340901142032E-3</v>
      </c>
      <c r="K685" s="108"/>
      <c r="L685" s="108">
        <v>3.9E-2</v>
      </c>
      <c r="O685" s="105"/>
    </row>
    <row r="686" spans="2:15" x14ac:dyDescent="0.2">
      <c r="B686" s="1">
        <v>671</v>
      </c>
      <c r="C686" s="106">
        <f t="shared" ca="1" si="40"/>
        <v>-0.75175863269566179</v>
      </c>
      <c r="D686" s="106">
        <f t="shared" ca="1" si="41"/>
        <v>0.61700903540789953</v>
      </c>
      <c r="E686" s="106">
        <f t="shared" ca="1" si="42"/>
        <v>0</v>
      </c>
      <c r="F686" s="21">
        <f t="shared" ca="1" si="43"/>
        <v>0</v>
      </c>
      <c r="H686" s="21">
        <v>671</v>
      </c>
      <c r="I686" s="107">
        <v>0.66786004227673279</v>
      </c>
      <c r="J686" s="108">
        <v>1.5890379770252126E-3</v>
      </c>
      <c r="K686" s="108"/>
      <c r="L686" s="108">
        <v>4.5199999999999997E-2</v>
      </c>
      <c r="O686" s="105"/>
    </row>
    <row r="687" spans="2:15" x14ac:dyDescent="0.2">
      <c r="B687" s="1">
        <v>672</v>
      </c>
      <c r="C687" s="106">
        <f t="shared" ca="1" si="40"/>
        <v>-1.7201957681991746</v>
      </c>
      <c r="D687" s="106">
        <f t="shared" ca="1" si="41"/>
        <v>0.56079518230429226</v>
      </c>
      <c r="E687" s="106">
        <f t="shared" ca="1" si="42"/>
        <v>0</v>
      </c>
      <c r="F687" s="21">
        <f t="shared" ca="1" si="43"/>
        <v>0</v>
      </c>
      <c r="H687" s="21">
        <v>672</v>
      </c>
      <c r="I687" s="107">
        <v>0.66767849538606661</v>
      </c>
      <c r="J687" s="108">
        <v>1.3760245002609969E-3</v>
      </c>
      <c r="K687" s="108"/>
      <c r="L687" s="108">
        <v>4.1399999999999999E-2</v>
      </c>
      <c r="O687" s="105"/>
    </row>
    <row r="688" spans="2:15" x14ac:dyDescent="0.2">
      <c r="B688" s="1">
        <v>673</v>
      </c>
      <c r="C688" s="106">
        <f t="shared" ca="1" si="40"/>
        <v>1.0020578531806559</v>
      </c>
      <c r="D688" s="106">
        <f t="shared" ca="1" si="41"/>
        <v>0.73354023624093012</v>
      </c>
      <c r="E688" s="106">
        <f t="shared" ca="1" si="42"/>
        <v>0</v>
      </c>
      <c r="F688" s="21">
        <f t="shared" ca="1" si="43"/>
        <v>0</v>
      </c>
      <c r="H688" s="21">
        <v>673</v>
      </c>
      <c r="I688" s="107">
        <v>0.66779252157387348</v>
      </c>
      <c r="J688" s="108">
        <v>1.4876442070820188E-3</v>
      </c>
      <c r="K688" s="108"/>
      <c r="L688" s="108">
        <v>3.8600000000000002E-2</v>
      </c>
      <c r="O688" s="105"/>
    </row>
    <row r="689" spans="2:15" x14ac:dyDescent="0.2">
      <c r="B689" s="1">
        <v>674</v>
      </c>
      <c r="C689" s="106">
        <f t="shared" ca="1" si="40"/>
        <v>-0.1551911988264045</v>
      </c>
      <c r="D689" s="106">
        <f t="shared" ca="1" si="41"/>
        <v>0.65440725419019519</v>
      </c>
      <c r="E689" s="106">
        <f t="shared" ca="1" si="42"/>
        <v>0</v>
      </c>
      <c r="F689" s="21">
        <f t="shared" ca="1" si="43"/>
        <v>0</v>
      </c>
      <c r="H689" s="21">
        <v>674</v>
      </c>
      <c r="I689" s="107">
        <v>0.66774842671829326</v>
      </c>
      <c r="J689" s="108">
        <v>1.4537457640828957E-3</v>
      </c>
      <c r="K689" s="108"/>
      <c r="L689" s="108">
        <v>4.4200000000000003E-2</v>
      </c>
      <c r="O689" s="105"/>
    </row>
    <row r="690" spans="2:15" x14ac:dyDescent="0.2">
      <c r="B690" s="1">
        <v>675</v>
      </c>
      <c r="C690" s="106">
        <f t="shared" ca="1" si="40"/>
        <v>0.28641785853279034</v>
      </c>
      <c r="D690" s="106">
        <f t="shared" ca="1" si="41"/>
        <v>0.68354382551481963</v>
      </c>
      <c r="E690" s="106">
        <f t="shared" ca="1" si="42"/>
        <v>0</v>
      </c>
      <c r="F690" s="21">
        <f t="shared" ca="1" si="43"/>
        <v>0</v>
      </c>
      <c r="H690" s="21">
        <v>675</v>
      </c>
      <c r="I690" s="107">
        <v>0.66800573622128778</v>
      </c>
      <c r="J690" s="108">
        <v>1.7456040507013533E-3</v>
      </c>
      <c r="K690" s="108"/>
      <c r="L690" s="108">
        <v>5.0999999999999997E-2</v>
      </c>
      <c r="O690" s="105"/>
    </row>
    <row r="691" spans="2:15" x14ac:dyDescent="0.2">
      <c r="B691" s="1">
        <v>676</v>
      </c>
      <c r="C691" s="106">
        <f t="shared" ca="1" si="40"/>
        <v>-1.0016410105363598</v>
      </c>
      <c r="D691" s="106">
        <f t="shared" ca="1" si="41"/>
        <v>0.60198645126993033</v>
      </c>
      <c r="E691" s="106">
        <f t="shared" ca="1" si="42"/>
        <v>0</v>
      </c>
      <c r="F691" s="21">
        <f t="shared" ca="1" si="43"/>
        <v>0</v>
      </c>
      <c r="H691" s="21">
        <v>676</v>
      </c>
      <c r="I691" s="107">
        <v>0.66766887438086364</v>
      </c>
      <c r="J691" s="108">
        <v>1.4396323243841313E-3</v>
      </c>
      <c r="K691" s="108"/>
      <c r="L691" s="108">
        <v>3.9E-2</v>
      </c>
      <c r="O691" s="105"/>
    </row>
    <row r="692" spans="2:15" x14ac:dyDescent="0.2">
      <c r="B692" s="1">
        <v>677</v>
      </c>
      <c r="C692" s="106">
        <f t="shared" ca="1" si="40"/>
        <v>-0.45553815076842891</v>
      </c>
      <c r="D692" s="106">
        <f t="shared" ca="1" si="41"/>
        <v>0.63530376141861156</v>
      </c>
      <c r="E692" s="106">
        <f t="shared" ca="1" si="42"/>
        <v>0</v>
      </c>
      <c r="F692" s="21">
        <f t="shared" ca="1" si="43"/>
        <v>0</v>
      </c>
      <c r="H692" s="21">
        <v>677</v>
      </c>
      <c r="I692" s="107">
        <v>0.66779139159369116</v>
      </c>
      <c r="J692" s="108">
        <v>1.3499527150831539E-3</v>
      </c>
      <c r="K692" s="108"/>
      <c r="L692" s="108">
        <v>4.5400000000000003E-2</v>
      </c>
      <c r="O692" s="105"/>
    </row>
    <row r="693" spans="2:15" x14ac:dyDescent="0.2">
      <c r="B693" s="1">
        <v>678</v>
      </c>
      <c r="C693" s="106">
        <f t="shared" ca="1" si="40"/>
        <v>0.30447489887918172</v>
      </c>
      <c r="D693" s="106">
        <f t="shared" ca="1" si="41"/>
        <v>0.68476241848205888</v>
      </c>
      <c r="E693" s="106">
        <f t="shared" ca="1" si="42"/>
        <v>0</v>
      </c>
      <c r="F693" s="21">
        <f t="shared" ca="1" si="43"/>
        <v>0</v>
      </c>
      <c r="H693" s="21">
        <v>678</v>
      </c>
      <c r="I693" s="107">
        <v>0.66765534567428064</v>
      </c>
      <c r="J693" s="108">
        <v>1.2107726317940632E-3</v>
      </c>
      <c r="K693" s="108"/>
      <c r="L693" s="108">
        <v>3.9E-2</v>
      </c>
      <c r="O693" s="105"/>
    </row>
    <row r="694" spans="2:15" x14ac:dyDescent="0.2">
      <c r="B694" s="1">
        <v>679</v>
      </c>
      <c r="C694" s="106">
        <f t="shared" ca="1" si="40"/>
        <v>-0.61583149150037353</v>
      </c>
      <c r="D694" s="106">
        <f t="shared" ca="1" si="41"/>
        <v>0.62533762339254151</v>
      </c>
      <c r="E694" s="106">
        <f t="shared" ca="1" si="42"/>
        <v>0</v>
      </c>
      <c r="F694" s="21">
        <f t="shared" ca="1" si="43"/>
        <v>0</v>
      </c>
      <c r="H694" s="21">
        <v>679</v>
      </c>
      <c r="I694" s="107">
        <v>0.66780111414652121</v>
      </c>
      <c r="J694" s="108">
        <v>1.4946180828116511E-3</v>
      </c>
      <c r="K694" s="108"/>
      <c r="L694" s="108">
        <v>4.4600000000000001E-2</v>
      </c>
      <c r="O694" s="105"/>
    </row>
    <row r="695" spans="2:15" x14ac:dyDescent="0.2">
      <c r="B695" s="1">
        <v>680</v>
      </c>
      <c r="C695" s="106">
        <f t="shared" ca="1" si="40"/>
        <v>-1.9405737065964785</v>
      </c>
      <c r="D695" s="106">
        <f t="shared" ca="1" si="41"/>
        <v>0.54873595685801746</v>
      </c>
      <c r="E695" s="106">
        <f t="shared" ca="1" si="42"/>
        <v>0</v>
      </c>
      <c r="F695" s="21">
        <f t="shared" ca="1" si="43"/>
        <v>0</v>
      </c>
      <c r="H695" s="21">
        <v>680</v>
      </c>
      <c r="I695" s="107">
        <v>0.66798371706263726</v>
      </c>
      <c r="J695" s="108">
        <v>1.6332928273477701E-3</v>
      </c>
      <c r="K695" s="108"/>
      <c r="L695" s="108">
        <v>4.7399999999999998E-2</v>
      </c>
      <c r="O695" s="105"/>
    </row>
    <row r="696" spans="2:15" x14ac:dyDescent="0.2">
      <c r="B696" s="1">
        <v>681</v>
      </c>
      <c r="C696" s="106">
        <f t="shared" ca="1" si="40"/>
        <v>1.2172017742396295</v>
      </c>
      <c r="D696" s="106">
        <f t="shared" ca="1" si="41"/>
        <v>0.74927384647433615</v>
      </c>
      <c r="E696" s="106">
        <f t="shared" ca="1" si="42"/>
        <v>0</v>
      </c>
      <c r="F696" s="21">
        <f t="shared" ca="1" si="43"/>
        <v>0</v>
      </c>
      <c r="H696" s="21">
        <v>681</v>
      </c>
      <c r="I696" s="107">
        <v>0.66783335951542877</v>
      </c>
      <c r="J696" s="108">
        <v>1.4822172454557027E-3</v>
      </c>
      <c r="K696" s="108"/>
      <c r="L696" s="108">
        <v>4.4999999999999998E-2</v>
      </c>
      <c r="O696" s="105"/>
    </row>
    <row r="697" spans="2:15" x14ac:dyDescent="0.2">
      <c r="B697" s="1">
        <v>682</v>
      </c>
      <c r="C697" s="106">
        <f t="shared" ca="1" si="40"/>
        <v>-0.60521991195723479</v>
      </c>
      <c r="D697" s="106">
        <f t="shared" ca="1" si="41"/>
        <v>0.62599253216807371</v>
      </c>
      <c r="E697" s="106">
        <f t="shared" ca="1" si="42"/>
        <v>0</v>
      </c>
      <c r="F697" s="21">
        <f t="shared" ca="1" si="43"/>
        <v>0</v>
      </c>
      <c r="H697" s="21">
        <v>682</v>
      </c>
      <c r="I697" s="107">
        <v>0.66798626389554505</v>
      </c>
      <c r="J697" s="108">
        <v>1.5917227258846645E-3</v>
      </c>
      <c r="K697" s="108"/>
      <c r="L697" s="108">
        <v>4.3999999999999997E-2</v>
      </c>
      <c r="O697" s="105"/>
    </row>
    <row r="698" spans="2:15" x14ac:dyDescent="0.2">
      <c r="B698" s="1">
        <v>683</v>
      </c>
      <c r="C698" s="106">
        <f t="shared" ca="1" si="40"/>
        <v>-0.80189329941092691</v>
      </c>
      <c r="D698" s="106">
        <f t="shared" ca="1" si="41"/>
        <v>0.61396524229429816</v>
      </c>
      <c r="E698" s="106">
        <f t="shared" ca="1" si="42"/>
        <v>0</v>
      </c>
      <c r="F698" s="21">
        <f t="shared" ca="1" si="43"/>
        <v>0</v>
      </c>
      <c r="H698" s="21">
        <v>683</v>
      </c>
      <c r="I698" s="107">
        <v>0.66784689206904835</v>
      </c>
      <c r="J698" s="108">
        <v>1.5396207693234958E-3</v>
      </c>
      <c r="K698" s="108"/>
      <c r="L698" s="108">
        <v>4.7600000000000003E-2</v>
      </c>
      <c r="O698" s="105"/>
    </row>
    <row r="699" spans="2:15" x14ac:dyDescent="0.2">
      <c r="B699" s="1">
        <v>684</v>
      </c>
      <c r="C699" s="106">
        <f t="shared" ca="1" si="40"/>
        <v>2.0642477017681542</v>
      </c>
      <c r="D699" s="106">
        <f t="shared" ca="1" si="41"/>
        <v>0.81456828895488909</v>
      </c>
      <c r="E699" s="106">
        <f t="shared" ca="1" si="42"/>
        <v>2.6368288954889074E-2</v>
      </c>
      <c r="F699" s="21">
        <f t="shared" ca="1" si="43"/>
        <v>1</v>
      </c>
      <c r="H699" s="21">
        <v>684</v>
      </c>
      <c r="I699" s="107">
        <v>0.66788392146103714</v>
      </c>
      <c r="J699" s="108">
        <v>1.5016144236340023E-3</v>
      </c>
      <c r="K699" s="108"/>
      <c r="L699" s="108">
        <v>4.4200000000000003E-2</v>
      </c>
      <c r="O699" s="105"/>
    </row>
    <row r="700" spans="2:15" x14ac:dyDescent="0.2">
      <c r="B700" s="1">
        <v>685</v>
      </c>
      <c r="C700" s="106">
        <f t="shared" ca="1" si="40"/>
        <v>-0.77461844980477401</v>
      </c>
      <c r="D700" s="106">
        <f t="shared" ca="1" si="41"/>
        <v>0.61561929521576941</v>
      </c>
      <c r="E700" s="106">
        <f t="shared" ca="1" si="42"/>
        <v>0</v>
      </c>
      <c r="F700" s="21">
        <f t="shared" ca="1" si="43"/>
        <v>0</v>
      </c>
      <c r="H700" s="21">
        <v>685</v>
      </c>
      <c r="I700" s="107">
        <v>0.66791704587154777</v>
      </c>
      <c r="J700" s="108">
        <v>1.4611533441933769E-3</v>
      </c>
      <c r="K700" s="108"/>
      <c r="L700" s="108">
        <v>4.5999999999999999E-2</v>
      </c>
      <c r="O700" s="105"/>
    </row>
    <row r="701" spans="2:15" x14ac:dyDescent="0.2">
      <c r="B701" s="1">
        <v>686</v>
      </c>
      <c r="C701" s="106">
        <f t="shared" ca="1" si="40"/>
        <v>-9.5331297822193378E-2</v>
      </c>
      <c r="D701" s="106">
        <f t="shared" ca="1" si="41"/>
        <v>0.65828273696881356</v>
      </c>
      <c r="E701" s="106">
        <f t="shared" ca="1" si="42"/>
        <v>0</v>
      </c>
      <c r="F701" s="21">
        <f t="shared" ca="1" si="43"/>
        <v>0</v>
      </c>
      <c r="H701" s="21">
        <v>686</v>
      </c>
      <c r="I701" s="107">
        <v>0.66787155603398041</v>
      </c>
      <c r="J701" s="108">
        <v>1.5259247725561372E-3</v>
      </c>
      <c r="K701" s="108"/>
      <c r="L701" s="108">
        <v>4.5999999999999999E-2</v>
      </c>
      <c r="O701" s="105"/>
    </row>
    <row r="702" spans="2:15" x14ac:dyDescent="0.2">
      <c r="B702" s="1">
        <v>687</v>
      </c>
      <c r="C702" s="106">
        <f t="shared" ca="1" si="40"/>
        <v>1.805101154312422</v>
      </c>
      <c r="D702" s="106">
        <f t="shared" ca="1" si="41"/>
        <v>0.79400972325405339</v>
      </c>
      <c r="E702" s="106">
        <f t="shared" ca="1" si="42"/>
        <v>5.8097232540533783E-3</v>
      </c>
      <c r="F702" s="21">
        <f t="shared" ca="1" si="43"/>
        <v>1</v>
      </c>
      <c r="H702" s="21">
        <v>687</v>
      </c>
      <c r="I702" s="107">
        <v>0.66788147643112594</v>
      </c>
      <c r="J702" s="108">
        <v>1.5406691570045347E-3</v>
      </c>
      <c r="K702" s="108"/>
      <c r="L702" s="108">
        <v>4.7E-2</v>
      </c>
      <c r="O702" s="105"/>
    </row>
    <row r="703" spans="2:15" x14ac:dyDescent="0.2">
      <c r="B703" s="1">
        <v>688</v>
      </c>
      <c r="C703" s="106">
        <f t="shared" ca="1" si="40"/>
        <v>0.56338439409766672</v>
      </c>
      <c r="D703" s="106">
        <f t="shared" ca="1" si="41"/>
        <v>0.70247591760455774</v>
      </c>
      <c r="E703" s="106">
        <f t="shared" ca="1" si="42"/>
        <v>0</v>
      </c>
      <c r="F703" s="21">
        <f t="shared" ca="1" si="43"/>
        <v>0</v>
      </c>
      <c r="H703" s="21">
        <v>688</v>
      </c>
      <c r="I703" s="107">
        <v>0.66784416892416953</v>
      </c>
      <c r="J703" s="108">
        <v>1.5450865714643218E-3</v>
      </c>
      <c r="K703" s="108"/>
      <c r="L703" s="108">
        <v>4.7E-2</v>
      </c>
      <c r="O703" s="105"/>
    </row>
    <row r="704" spans="2:15" x14ac:dyDescent="0.2">
      <c r="B704" s="1">
        <v>689</v>
      </c>
      <c r="C704" s="106">
        <f t="shared" ca="1" si="40"/>
        <v>0.6013954430577485</v>
      </c>
      <c r="D704" s="106">
        <f t="shared" ca="1" si="41"/>
        <v>0.705114767182768</v>
      </c>
      <c r="E704" s="106">
        <f t="shared" ca="1" si="42"/>
        <v>0</v>
      </c>
      <c r="F704" s="21">
        <f t="shared" ca="1" si="43"/>
        <v>0</v>
      </c>
      <c r="H704" s="21">
        <v>689</v>
      </c>
      <c r="I704" s="107">
        <v>0.66771222726382595</v>
      </c>
      <c r="J704" s="108">
        <v>1.3072519602560801E-3</v>
      </c>
      <c r="K704" s="108"/>
      <c r="L704" s="108">
        <v>4.2000000000000003E-2</v>
      </c>
      <c r="O704" s="105"/>
    </row>
    <row r="705" spans="2:15" x14ac:dyDescent="0.2">
      <c r="B705" s="1">
        <v>690</v>
      </c>
      <c r="C705" s="106">
        <f t="shared" ca="1" si="40"/>
        <v>-0.37799565430355642</v>
      </c>
      <c r="D705" s="106">
        <f t="shared" ca="1" si="41"/>
        <v>0.6401817648479835</v>
      </c>
      <c r="E705" s="106">
        <f t="shared" ca="1" si="42"/>
        <v>0</v>
      </c>
      <c r="F705" s="21">
        <f t="shared" ca="1" si="43"/>
        <v>0</v>
      </c>
      <c r="H705" s="21">
        <v>690</v>
      </c>
      <c r="I705" s="107">
        <v>0.66763404817866823</v>
      </c>
      <c r="J705" s="108">
        <v>1.2334425240817628E-3</v>
      </c>
      <c r="K705" s="108"/>
      <c r="L705" s="108">
        <v>3.6799999999999999E-2</v>
      </c>
      <c r="O705" s="105"/>
    </row>
    <row r="706" spans="2:15" x14ac:dyDescent="0.2">
      <c r="B706" s="1">
        <v>691</v>
      </c>
      <c r="C706" s="106">
        <f t="shared" ca="1" si="40"/>
        <v>0.15807117567593398</v>
      </c>
      <c r="D706" s="106">
        <f t="shared" ca="1" si="41"/>
        <v>0.67494451427154756</v>
      </c>
      <c r="E706" s="106">
        <f t="shared" ca="1" si="42"/>
        <v>0</v>
      </c>
      <c r="F706" s="21">
        <f t="shared" ca="1" si="43"/>
        <v>0</v>
      </c>
      <c r="H706" s="21">
        <v>691</v>
      </c>
      <c r="I706" s="107">
        <v>0.66803016491522171</v>
      </c>
      <c r="J706" s="108">
        <v>1.78706625614359E-3</v>
      </c>
      <c r="K706" s="108"/>
      <c r="L706" s="108">
        <v>5.0200000000000002E-2</v>
      </c>
      <c r="O706" s="105"/>
    </row>
    <row r="707" spans="2:15" x14ac:dyDescent="0.2">
      <c r="B707" s="1">
        <v>692</v>
      </c>
      <c r="C707" s="106">
        <f t="shared" ca="1" si="40"/>
        <v>-1.2623344892602995</v>
      </c>
      <c r="D707" s="106">
        <f t="shared" ca="1" si="41"/>
        <v>0.58670362145663002</v>
      </c>
      <c r="E707" s="106">
        <f t="shared" ca="1" si="42"/>
        <v>0</v>
      </c>
      <c r="F707" s="21">
        <f t="shared" ca="1" si="43"/>
        <v>0</v>
      </c>
      <c r="H707" s="21">
        <v>692</v>
      </c>
      <c r="I707" s="107">
        <v>0.66766208325268861</v>
      </c>
      <c r="J707" s="108">
        <v>1.2075018642534235E-3</v>
      </c>
      <c r="K707" s="108"/>
      <c r="L707" s="108">
        <v>4.0599999999999997E-2</v>
      </c>
      <c r="O707" s="105"/>
    </row>
    <row r="708" spans="2:15" x14ac:dyDescent="0.2">
      <c r="B708" s="1">
        <v>693</v>
      </c>
      <c r="C708" s="106">
        <f t="shared" ca="1" si="40"/>
        <v>2.3806547266341928E-2</v>
      </c>
      <c r="D708" s="106">
        <f t="shared" ca="1" si="41"/>
        <v>0.66606445521844249</v>
      </c>
      <c r="E708" s="106">
        <f t="shared" ca="1" si="42"/>
        <v>0</v>
      </c>
      <c r="F708" s="21">
        <f t="shared" ca="1" si="43"/>
        <v>0</v>
      </c>
      <c r="H708" s="21">
        <v>693</v>
      </c>
      <c r="I708" s="107">
        <v>0.6677193786380794</v>
      </c>
      <c r="J708" s="108">
        <v>1.2868560375370948E-3</v>
      </c>
      <c r="K708" s="108"/>
      <c r="L708" s="108">
        <v>4.36E-2</v>
      </c>
      <c r="O708" s="105"/>
    </row>
    <row r="709" spans="2:15" x14ac:dyDescent="0.2">
      <c r="B709" s="1">
        <v>694</v>
      </c>
      <c r="C709" s="106">
        <f t="shared" ca="1" si="40"/>
        <v>1.286764613859007</v>
      </c>
      <c r="D709" s="106">
        <f t="shared" ca="1" si="41"/>
        <v>0.7544328715999723</v>
      </c>
      <c r="E709" s="106">
        <f t="shared" ca="1" si="42"/>
        <v>0</v>
      </c>
      <c r="F709" s="21">
        <f t="shared" ca="1" si="43"/>
        <v>0</v>
      </c>
      <c r="H709" s="21">
        <v>694</v>
      </c>
      <c r="I709" s="107">
        <v>0.66777201075187642</v>
      </c>
      <c r="J709" s="108">
        <v>1.4891163184045596E-3</v>
      </c>
      <c r="K709" s="108"/>
      <c r="L709" s="108">
        <v>4.2000000000000003E-2</v>
      </c>
      <c r="O709" s="105"/>
    </row>
    <row r="710" spans="2:15" x14ac:dyDescent="0.2">
      <c r="B710" s="1">
        <v>695</v>
      </c>
      <c r="C710" s="106">
        <f t="shared" ca="1" si="40"/>
        <v>-0.89861505861374791</v>
      </c>
      <c r="D710" s="106">
        <f t="shared" ca="1" si="41"/>
        <v>0.60813540048905479</v>
      </c>
      <c r="E710" s="106">
        <f t="shared" ca="1" si="42"/>
        <v>0</v>
      </c>
      <c r="F710" s="21">
        <f t="shared" ca="1" si="43"/>
        <v>0</v>
      </c>
      <c r="H710" s="21">
        <v>695</v>
      </c>
      <c r="I710" s="107">
        <v>0.66775457556702367</v>
      </c>
      <c r="J710" s="108">
        <v>1.3426721900183479E-3</v>
      </c>
      <c r="K710" s="108"/>
      <c r="L710" s="108">
        <v>4.2599999999999999E-2</v>
      </c>
      <c r="O710" s="105"/>
    </row>
    <row r="711" spans="2:15" x14ac:dyDescent="0.2">
      <c r="B711" s="1">
        <v>696</v>
      </c>
      <c r="C711" s="106">
        <f t="shared" ca="1" si="40"/>
        <v>0.19281425808016334</v>
      </c>
      <c r="D711" s="106">
        <f t="shared" ca="1" si="41"/>
        <v>0.67726158727705743</v>
      </c>
      <c r="E711" s="106">
        <f t="shared" ca="1" si="42"/>
        <v>0</v>
      </c>
      <c r="F711" s="21">
        <f t="shared" ca="1" si="43"/>
        <v>0</v>
      </c>
      <c r="H711" s="21">
        <v>696</v>
      </c>
      <c r="I711" s="107">
        <v>0.66779775567167521</v>
      </c>
      <c r="J711" s="108">
        <v>1.4240948682929125E-3</v>
      </c>
      <c r="K711" s="108"/>
      <c r="L711" s="108">
        <v>4.4200000000000003E-2</v>
      </c>
      <c r="O711" s="105"/>
    </row>
    <row r="712" spans="2:15" x14ac:dyDescent="0.2">
      <c r="B712" s="1">
        <v>697</v>
      </c>
      <c r="C712" s="106">
        <f t="shared" ca="1" si="40"/>
        <v>-0.79004461599504128</v>
      </c>
      <c r="D712" s="106">
        <f t="shared" ca="1" si="41"/>
        <v>0.61468324586146983</v>
      </c>
      <c r="E712" s="106">
        <f t="shared" ca="1" si="42"/>
        <v>0</v>
      </c>
      <c r="F712" s="21">
        <f t="shared" ca="1" si="43"/>
        <v>0</v>
      </c>
      <c r="H712" s="21">
        <v>697</v>
      </c>
      <c r="I712" s="107">
        <v>0.66770091256102582</v>
      </c>
      <c r="J712" s="108">
        <v>1.23584018518336E-3</v>
      </c>
      <c r="K712" s="108"/>
      <c r="L712" s="108">
        <v>3.6799999999999999E-2</v>
      </c>
      <c r="O712" s="105"/>
    </row>
    <row r="713" spans="2:15" x14ac:dyDescent="0.2">
      <c r="B713" s="1">
        <v>698</v>
      </c>
      <c r="C713" s="106">
        <f t="shared" ca="1" si="40"/>
        <v>0.90617226154738029</v>
      </c>
      <c r="D713" s="106">
        <f t="shared" ca="1" si="41"/>
        <v>0.7266349136382223</v>
      </c>
      <c r="E713" s="106">
        <f t="shared" ca="1" si="42"/>
        <v>0</v>
      </c>
      <c r="F713" s="21">
        <f t="shared" ca="1" si="43"/>
        <v>0</v>
      </c>
      <c r="H713" s="21">
        <v>698</v>
      </c>
      <c r="I713" s="107">
        <v>0.66778904182415955</v>
      </c>
      <c r="J713" s="108">
        <v>1.4709735906867992E-3</v>
      </c>
      <c r="K713" s="108"/>
      <c r="L713" s="108">
        <v>4.1799999999999997E-2</v>
      </c>
      <c r="O713" s="105"/>
    </row>
    <row r="714" spans="2:15" x14ac:dyDescent="0.2">
      <c r="B714" s="1">
        <v>699</v>
      </c>
      <c r="C714" s="106">
        <f t="shared" ca="1" si="40"/>
        <v>4.1181826712542002E-2</v>
      </c>
      <c r="D714" s="106">
        <f t="shared" ca="1" si="41"/>
        <v>0.66720701565850293</v>
      </c>
      <c r="E714" s="106">
        <f t="shared" ca="1" si="42"/>
        <v>0</v>
      </c>
      <c r="F714" s="21">
        <f t="shared" ca="1" si="43"/>
        <v>0</v>
      </c>
      <c r="H714" s="21">
        <v>699</v>
      </c>
      <c r="I714" s="107">
        <v>0.66772951924259183</v>
      </c>
      <c r="J714" s="108">
        <v>1.2362266301282039E-3</v>
      </c>
      <c r="K714" s="108"/>
      <c r="L714" s="108">
        <v>4.0599999999999997E-2</v>
      </c>
      <c r="O714" s="105"/>
    </row>
    <row r="715" spans="2:15" x14ac:dyDescent="0.2">
      <c r="B715" s="1">
        <v>700</v>
      </c>
      <c r="C715" s="106">
        <f t="shared" ca="1" si="40"/>
        <v>-1.0045940790467935</v>
      </c>
      <c r="D715" s="106">
        <f t="shared" ca="1" si="41"/>
        <v>0.60181112140920756</v>
      </c>
      <c r="E715" s="106">
        <f t="shared" ca="1" si="42"/>
        <v>0</v>
      </c>
      <c r="F715" s="21">
        <f t="shared" ca="1" si="43"/>
        <v>0</v>
      </c>
      <c r="H715" s="21">
        <v>700</v>
      </c>
      <c r="I715" s="107">
        <v>0.66764985585066206</v>
      </c>
      <c r="J715" s="108">
        <v>1.1076184540772306E-3</v>
      </c>
      <c r="K715" s="108"/>
      <c r="L715" s="108">
        <v>3.8600000000000002E-2</v>
      </c>
      <c r="O715" s="105"/>
    </row>
    <row r="716" spans="2:15" x14ac:dyDescent="0.2">
      <c r="B716" s="1">
        <v>701</v>
      </c>
      <c r="C716" s="106">
        <f t="shared" ca="1" si="40"/>
        <v>1.2502950342874579</v>
      </c>
      <c r="D716" s="106">
        <f t="shared" ca="1" si="41"/>
        <v>0.75172374483269466</v>
      </c>
      <c r="E716" s="106">
        <f t="shared" ca="1" si="42"/>
        <v>0</v>
      </c>
      <c r="F716" s="21">
        <f t="shared" ca="1" si="43"/>
        <v>0</v>
      </c>
      <c r="H716" s="21">
        <v>701</v>
      </c>
      <c r="I716" s="107">
        <v>0.66788176042601599</v>
      </c>
      <c r="J716" s="108">
        <v>1.5427174465315041E-3</v>
      </c>
      <c r="K716" s="108"/>
      <c r="L716" s="108">
        <v>4.5600000000000002E-2</v>
      </c>
      <c r="O716" s="105"/>
    </row>
    <row r="717" spans="2:15" x14ac:dyDescent="0.2">
      <c r="B717" s="1">
        <v>702</v>
      </c>
      <c r="C717" s="106">
        <f t="shared" ca="1" si="40"/>
        <v>-0.83422345195122471</v>
      </c>
      <c r="D717" s="106">
        <f t="shared" ca="1" si="41"/>
        <v>0.61201037121275392</v>
      </c>
      <c r="E717" s="106">
        <f t="shared" ca="1" si="42"/>
        <v>0</v>
      </c>
      <c r="F717" s="21">
        <f t="shared" ca="1" si="43"/>
        <v>0</v>
      </c>
      <c r="H717" s="21">
        <v>702</v>
      </c>
      <c r="I717" s="107">
        <v>0.66773664174843683</v>
      </c>
      <c r="J717" s="108">
        <v>1.3445793593063579E-3</v>
      </c>
      <c r="K717" s="108"/>
      <c r="L717" s="108">
        <v>4.1000000000000002E-2</v>
      </c>
      <c r="O717" s="105"/>
    </row>
    <row r="718" spans="2:15" x14ac:dyDescent="0.2">
      <c r="B718" s="1">
        <v>703</v>
      </c>
      <c r="C718" s="106">
        <f t="shared" ca="1" si="40"/>
        <v>-0.66790421044348358</v>
      </c>
      <c r="D718" s="106">
        <f t="shared" ca="1" si="41"/>
        <v>0.62213379821545522</v>
      </c>
      <c r="E718" s="106">
        <f t="shared" ca="1" si="42"/>
        <v>0</v>
      </c>
      <c r="F718" s="21">
        <f t="shared" ca="1" si="43"/>
        <v>0</v>
      </c>
      <c r="H718" s="21">
        <v>703</v>
      </c>
      <c r="I718" s="107">
        <v>0.66773797498955878</v>
      </c>
      <c r="J718" s="108">
        <v>1.2600135713365119E-3</v>
      </c>
      <c r="K718" s="108"/>
      <c r="L718" s="108">
        <v>4.0599999999999997E-2</v>
      </c>
      <c r="O718" s="105"/>
    </row>
    <row r="719" spans="2:15" x14ac:dyDescent="0.2">
      <c r="B719" s="1">
        <v>704</v>
      </c>
      <c r="C719" s="106">
        <f t="shared" ca="1" si="40"/>
        <v>0.48734687545558764</v>
      </c>
      <c r="D719" s="106">
        <f t="shared" ca="1" si="41"/>
        <v>0.69722674812929097</v>
      </c>
      <c r="E719" s="106">
        <f t="shared" ca="1" si="42"/>
        <v>0</v>
      </c>
      <c r="F719" s="21">
        <f t="shared" ca="1" si="43"/>
        <v>0</v>
      </c>
      <c r="H719" s="21">
        <v>704</v>
      </c>
      <c r="I719" s="107">
        <v>0.66769035905116914</v>
      </c>
      <c r="J719" s="108">
        <v>1.2112645835993957E-3</v>
      </c>
      <c r="K719" s="108"/>
      <c r="L719" s="108">
        <v>3.7999999999999999E-2</v>
      </c>
      <c r="O719" s="105"/>
    </row>
    <row r="720" spans="2:15" x14ac:dyDescent="0.2">
      <c r="B720" s="1">
        <v>705</v>
      </c>
      <c r="C720" s="106">
        <f t="shared" ref="C720:C783" ca="1" si="44">_xlfn.NORM.S.INV(RAND())</f>
        <v>1.01386497994936</v>
      </c>
      <c r="D720" s="106">
        <f t="shared" ref="D720:D783" ca="1" si="45">S0*EXP((μ-0.5*σ*σ)*T+σ*SQRT(T)*$C720)</f>
        <v>0.73439506671718802</v>
      </c>
      <c r="E720" s="106">
        <f t="shared" ref="E720:E783" ca="1" si="46">MAX(0,CP*(D720-K))</f>
        <v>0</v>
      </c>
      <c r="F720" s="21">
        <f t="shared" ref="F720:F783" ca="1" si="47">(CP*(D720-K)&gt;0)*1</f>
        <v>0</v>
      </c>
      <c r="H720" s="21">
        <v>705</v>
      </c>
      <c r="I720" s="107">
        <v>0.6677637212957156</v>
      </c>
      <c r="J720" s="108">
        <v>1.2851144827501753E-3</v>
      </c>
      <c r="K720" s="108"/>
      <c r="L720" s="108">
        <v>4.3200000000000002E-2</v>
      </c>
      <c r="O720" s="105"/>
    </row>
    <row r="721" spans="2:15" x14ac:dyDescent="0.2">
      <c r="B721" s="1">
        <v>706</v>
      </c>
      <c r="C721" s="106">
        <f t="shared" ca="1" si="44"/>
        <v>0.97848571250658078</v>
      </c>
      <c r="D721" s="106">
        <f t="shared" ca="1" si="45"/>
        <v>0.73183659927262901</v>
      </c>
      <c r="E721" s="106">
        <f t="shared" ca="1" si="46"/>
        <v>0</v>
      </c>
      <c r="F721" s="21">
        <f t="shared" ca="1" si="47"/>
        <v>0</v>
      </c>
      <c r="H721" s="21">
        <v>706</v>
      </c>
      <c r="I721" s="107">
        <v>0.66777879461295131</v>
      </c>
      <c r="J721" s="108">
        <v>1.3829992446161628E-3</v>
      </c>
      <c r="K721" s="108"/>
      <c r="L721" s="108">
        <v>4.0599999999999997E-2</v>
      </c>
      <c r="O721" s="105"/>
    </row>
    <row r="722" spans="2:15" x14ac:dyDescent="0.2">
      <c r="B722" s="1">
        <v>707</v>
      </c>
      <c r="C722" s="106">
        <f t="shared" ca="1" si="44"/>
        <v>1.7717552020639538</v>
      </c>
      <c r="D722" s="106">
        <f t="shared" ca="1" si="45"/>
        <v>0.79140228651144351</v>
      </c>
      <c r="E722" s="106">
        <f t="shared" ca="1" si="46"/>
        <v>3.2022865114434973E-3</v>
      </c>
      <c r="F722" s="21">
        <f t="shared" ca="1" si="47"/>
        <v>1</v>
      </c>
      <c r="H722" s="21">
        <v>707</v>
      </c>
      <c r="I722" s="107">
        <v>0.66785668955183186</v>
      </c>
      <c r="J722" s="108">
        <v>1.5544387616914757E-3</v>
      </c>
      <c r="K722" s="108"/>
      <c r="L722" s="108">
        <v>4.48E-2</v>
      </c>
      <c r="O722" s="105"/>
    </row>
    <row r="723" spans="2:15" x14ac:dyDescent="0.2">
      <c r="B723" s="1">
        <v>708</v>
      </c>
      <c r="C723" s="106">
        <f t="shared" ca="1" si="44"/>
        <v>-1.2217786843400582</v>
      </c>
      <c r="D723" s="106">
        <f t="shared" ca="1" si="45"/>
        <v>0.58905541761920177</v>
      </c>
      <c r="E723" s="106">
        <f t="shared" ca="1" si="46"/>
        <v>0</v>
      </c>
      <c r="F723" s="21">
        <f t="shared" ca="1" si="47"/>
        <v>0</v>
      </c>
      <c r="H723" s="21">
        <v>708</v>
      </c>
      <c r="I723" s="107">
        <v>0.66778347503512436</v>
      </c>
      <c r="J723" s="108">
        <v>1.4582683201398276E-3</v>
      </c>
      <c r="K723" s="108"/>
      <c r="L723" s="108">
        <v>4.2999999999999997E-2</v>
      </c>
      <c r="O723" s="105"/>
    </row>
    <row r="724" spans="2:15" x14ac:dyDescent="0.2">
      <c r="B724" s="1">
        <v>709</v>
      </c>
      <c r="C724" s="106">
        <f t="shared" ca="1" si="44"/>
        <v>-1.6323297708671471</v>
      </c>
      <c r="D724" s="106">
        <f t="shared" ca="1" si="45"/>
        <v>0.56567684130744955</v>
      </c>
      <c r="E724" s="106">
        <f t="shared" ca="1" si="46"/>
        <v>0</v>
      </c>
      <c r="F724" s="21">
        <f t="shared" ca="1" si="47"/>
        <v>0</v>
      </c>
      <c r="H724" s="21">
        <v>709</v>
      </c>
      <c r="I724" s="107">
        <v>0.66781724613522475</v>
      </c>
      <c r="J724" s="108">
        <v>1.4025762588909204E-3</v>
      </c>
      <c r="K724" s="108"/>
      <c r="L724" s="108">
        <v>4.4200000000000003E-2</v>
      </c>
      <c r="O724" s="105"/>
    </row>
    <row r="725" spans="2:15" x14ac:dyDescent="0.2">
      <c r="B725" s="1">
        <v>710</v>
      </c>
      <c r="C725" s="106">
        <f t="shared" ca="1" si="44"/>
        <v>0.69718006813318367</v>
      </c>
      <c r="D725" s="106">
        <f t="shared" ca="1" si="45"/>
        <v>0.71180849127150514</v>
      </c>
      <c r="E725" s="106">
        <f t="shared" ca="1" si="46"/>
        <v>0</v>
      </c>
      <c r="F725" s="21">
        <f t="shared" ca="1" si="47"/>
        <v>0</v>
      </c>
      <c r="H725" s="21">
        <v>710</v>
      </c>
      <c r="I725" s="107">
        <v>0.66776338441885696</v>
      </c>
      <c r="J725" s="108">
        <v>1.3951851677173248E-3</v>
      </c>
      <c r="K725" s="108"/>
      <c r="L725" s="108">
        <v>4.4200000000000003E-2</v>
      </c>
      <c r="O725" s="105"/>
    </row>
    <row r="726" spans="2:15" x14ac:dyDescent="0.2">
      <c r="B726" s="1">
        <v>711</v>
      </c>
      <c r="C726" s="106">
        <f t="shared" ca="1" si="44"/>
        <v>-0.2059496020611965</v>
      </c>
      <c r="D726" s="106">
        <f t="shared" ca="1" si="45"/>
        <v>0.65113890702397192</v>
      </c>
      <c r="E726" s="106">
        <f t="shared" ca="1" si="46"/>
        <v>0</v>
      </c>
      <c r="F726" s="21">
        <f t="shared" ca="1" si="47"/>
        <v>0</v>
      </c>
      <c r="H726" s="21">
        <v>711</v>
      </c>
      <c r="I726" s="107">
        <v>0.66772145478820744</v>
      </c>
      <c r="J726" s="108">
        <v>1.2672028479147794E-3</v>
      </c>
      <c r="K726" s="108"/>
      <c r="L726" s="108">
        <v>4.2799999999999998E-2</v>
      </c>
      <c r="O726" s="105"/>
    </row>
    <row r="727" spans="2:15" x14ac:dyDescent="0.2">
      <c r="B727" s="1">
        <v>712</v>
      </c>
      <c r="C727" s="106">
        <f t="shared" ca="1" si="44"/>
        <v>-0.36897579556378962</v>
      </c>
      <c r="D727" s="106">
        <f t="shared" ca="1" si="45"/>
        <v>0.64075160776314455</v>
      </c>
      <c r="E727" s="106">
        <f t="shared" ca="1" si="46"/>
        <v>0</v>
      </c>
      <c r="F727" s="21">
        <f t="shared" ca="1" si="47"/>
        <v>0</v>
      </c>
      <c r="H727" s="21">
        <v>712</v>
      </c>
      <c r="I727" s="107">
        <v>0.66781048588815506</v>
      </c>
      <c r="J727" s="108">
        <v>1.4183136506168727E-3</v>
      </c>
      <c r="K727" s="108"/>
      <c r="L727" s="108">
        <v>4.4200000000000003E-2</v>
      </c>
      <c r="O727" s="105"/>
    </row>
    <row r="728" spans="2:15" x14ac:dyDescent="0.2">
      <c r="B728" s="1">
        <v>713</v>
      </c>
      <c r="C728" s="106">
        <f t="shared" ca="1" si="44"/>
        <v>-0.30361806581745338</v>
      </c>
      <c r="D728" s="106">
        <f t="shared" ca="1" si="45"/>
        <v>0.64489586073901861</v>
      </c>
      <c r="E728" s="106">
        <f t="shared" ca="1" si="46"/>
        <v>0</v>
      </c>
      <c r="F728" s="21">
        <f t="shared" ca="1" si="47"/>
        <v>0</v>
      </c>
      <c r="H728" s="21">
        <v>713</v>
      </c>
      <c r="I728" s="107">
        <v>0.66780194303097695</v>
      </c>
      <c r="J728" s="108">
        <v>1.452633375663179E-3</v>
      </c>
      <c r="K728" s="108"/>
      <c r="L728" s="108">
        <v>4.5999999999999999E-2</v>
      </c>
      <c r="O728" s="105"/>
    </row>
    <row r="729" spans="2:15" x14ac:dyDescent="0.2">
      <c r="B729" s="1">
        <v>714</v>
      </c>
      <c r="C729" s="106">
        <f t="shared" ca="1" si="44"/>
        <v>2.578554300907715E-2</v>
      </c>
      <c r="D729" s="106">
        <f t="shared" ca="1" si="45"/>
        <v>0.66619449086121729</v>
      </c>
      <c r="E729" s="106">
        <f t="shared" ca="1" si="46"/>
        <v>0</v>
      </c>
      <c r="F729" s="21">
        <f t="shared" ca="1" si="47"/>
        <v>0</v>
      </c>
      <c r="H729" s="21">
        <v>714</v>
      </c>
      <c r="I729" s="107">
        <v>0.66763963374040691</v>
      </c>
      <c r="J729" s="108">
        <v>1.2762551444617698E-3</v>
      </c>
      <c r="K729" s="108"/>
      <c r="L729" s="108">
        <v>3.7400000000000003E-2</v>
      </c>
      <c r="O729" s="105"/>
    </row>
    <row r="730" spans="2:15" x14ac:dyDescent="0.2">
      <c r="B730" s="1">
        <v>715</v>
      </c>
      <c r="C730" s="106">
        <f t="shared" ca="1" si="44"/>
        <v>0.54465719848255068</v>
      </c>
      <c r="D730" s="106">
        <f t="shared" ca="1" si="45"/>
        <v>0.70117944895651285</v>
      </c>
      <c r="E730" s="106">
        <f t="shared" ca="1" si="46"/>
        <v>0</v>
      </c>
      <c r="F730" s="21">
        <f t="shared" ca="1" si="47"/>
        <v>0</v>
      </c>
      <c r="H730" s="21">
        <v>715</v>
      </c>
      <c r="I730" s="107">
        <v>0.66785071884534686</v>
      </c>
      <c r="J730" s="108">
        <v>1.4813735528524975E-3</v>
      </c>
      <c r="K730" s="108"/>
      <c r="L730" s="108">
        <v>4.58E-2</v>
      </c>
      <c r="O730" s="105"/>
    </row>
    <row r="731" spans="2:15" x14ac:dyDescent="0.2">
      <c r="B731" s="1">
        <v>716</v>
      </c>
      <c r="C731" s="106">
        <f t="shared" ca="1" si="44"/>
        <v>0.43833153915542195</v>
      </c>
      <c r="D731" s="106">
        <f t="shared" ca="1" si="45"/>
        <v>0.69386383648595884</v>
      </c>
      <c r="E731" s="106">
        <f t="shared" ca="1" si="46"/>
        <v>0</v>
      </c>
      <c r="F731" s="21">
        <f t="shared" ca="1" si="47"/>
        <v>0</v>
      </c>
      <c r="H731" s="21">
        <v>716</v>
      </c>
      <c r="I731" s="107">
        <v>0.66761405204574642</v>
      </c>
      <c r="J731" s="108">
        <v>1.1799710781857378E-3</v>
      </c>
      <c r="K731" s="108"/>
      <c r="L731" s="108">
        <v>3.8199999999999998E-2</v>
      </c>
      <c r="O731" s="105"/>
    </row>
    <row r="732" spans="2:15" x14ac:dyDescent="0.2">
      <c r="B732" s="1">
        <v>717</v>
      </c>
      <c r="C732" s="106">
        <f t="shared" ca="1" si="44"/>
        <v>-0.98965785169514708</v>
      </c>
      <c r="D732" s="106">
        <f t="shared" ca="1" si="45"/>
        <v>0.6026984408444731</v>
      </c>
      <c r="E732" s="106">
        <f t="shared" ca="1" si="46"/>
        <v>0</v>
      </c>
      <c r="F732" s="21">
        <f t="shared" ca="1" si="47"/>
        <v>0</v>
      </c>
      <c r="H732" s="21">
        <v>717</v>
      </c>
      <c r="I732" s="107">
        <v>0.66767581462687353</v>
      </c>
      <c r="J732" s="108">
        <v>1.3289680986053984E-3</v>
      </c>
      <c r="K732" s="108"/>
      <c r="L732" s="108">
        <v>3.9399999999999998E-2</v>
      </c>
      <c r="O732" s="105"/>
    </row>
    <row r="733" spans="2:15" x14ac:dyDescent="0.2">
      <c r="B733" s="1">
        <v>718</v>
      </c>
      <c r="C733" s="106">
        <f t="shared" ca="1" si="44"/>
        <v>0.88931511796853591</v>
      </c>
      <c r="D733" s="106">
        <f t="shared" ca="1" si="45"/>
        <v>0.72542766111174972</v>
      </c>
      <c r="E733" s="106">
        <f t="shared" ca="1" si="46"/>
        <v>0</v>
      </c>
      <c r="F733" s="21">
        <f t="shared" ca="1" si="47"/>
        <v>0</v>
      </c>
      <c r="H733" s="21">
        <v>718</v>
      </c>
      <c r="I733" s="107">
        <v>0.66767107481652033</v>
      </c>
      <c r="J733" s="108">
        <v>1.2954255237113059E-3</v>
      </c>
      <c r="K733" s="108"/>
      <c r="L733" s="108">
        <v>3.9399999999999998E-2</v>
      </c>
      <c r="O733" s="105"/>
    </row>
    <row r="734" spans="2:15" x14ac:dyDescent="0.2">
      <c r="B734" s="1">
        <v>719</v>
      </c>
      <c r="C734" s="106">
        <f t="shared" ca="1" si="44"/>
        <v>1.1999612725413367</v>
      </c>
      <c r="D734" s="106">
        <f t="shared" ca="1" si="45"/>
        <v>0.74800069481577969</v>
      </c>
      <c r="E734" s="106">
        <f t="shared" ca="1" si="46"/>
        <v>0</v>
      </c>
      <c r="F734" s="21">
        <f t="shared" ca="1" si="47"/>
        <v>0</v>
      </c>
      <c r="H734" s="21">
        <v>719</v>
      </c>
      <c r="I734" s="107">
        <v>0.66763016473023096</v>
      </c>
      <c r="J734" s="108">
        <v>1.3031452819132728E-3</v>
      </c>
      <c r="K734" s="108"/>
      <c r="L734" s="108">
        <v>3.8199999999999998E-2</v>
      </c>
      <c r="O734" s="105"/>
    </row>
    <row r="735" spans="2:15" x14ac:dyDescent="0.2">
      <c r="B735" s="1">
        <v>720</v>
      </c>
      <c r="C735" s="106">
        <f t="shared" ca="1" si="44"/>
        <v>-0.26282258564624911</v>
      </c>
      <c r="D735" s="106">
        <f t="shared" ca="1" si="45"/>
        <v>0.6474962278167562</v>
      </c>
      <c r="E735" s="106">
        <f t="shared" ca="1" si="46"/>
        <v>0</v>
      </c>
      <c r="F735" s="21">
        <f t="shared" ca="1" si="47"/>
        <v>0</v>
      </c>
      <c r="H735" s="21">
        <v>720</v>
      </c>
      <c r="I735" s="107">
        <v>0.66777103730692411</v>
      </c>
      <c r="J735" s="108">
        <v>1.3719991961138908E-3</v>
      </c>
      <c r="K735" s="108"/>
      <c r="L735" s="108">
        <v>4.48E-2</v>
      </c>
      <c r="O735" s="105"/>
    </row>
    <row r="736" spans="2:15" x14ac:dyDescent="0.2">
      <c r="B736" s="1">
        <v>721</v>
      </c>
      <c r="C736" s="106">
        <f t="shared" ca="1" si="44"/>
        <v>-0.34661748261765107</v>
      </c>
      <c r="D736" s="106">
        <f t="shared" ca="1" si="45"/>
        <v>0.64216631518537226</v>
      </c>
      <c r="E736" s="106">
        <f t="shared" ca="1" si="46"/>
        <v>0</v>
      </c>
      <c r="F736" s="21">
        <f t="shared" ca="1" si="47"/>
        <v>0</v>
      </c>
      <c r="H736" s="21">
        <v>721</v>
      </c>
      <c r="I736" s="107">
        <v>0.66773298964180117</v>
      </c>
      <c r="J736" s="108">
        <v>1.3139362295352505E-3</v>
      </c>
      <c r="K736" s="108"/>
      <c r="L736" s="108">
        <v>4.1399999999999999E-2</v>
      </c>
      <c r="O736" s="105"/>
    </row>
    <row r="737" spans="2:15" x14ac:dyDescent="0.2">
      <c r="B737" s="1">
        <v>722</v>
      </c>
      <c r="C737" s="106">
        <f t="shared" ca="1" si="44"/>
        <v>0.63537245199912706</v>
      </c>
      <c r="D737" s="106">
        <f t="shared" ca="1" si="45"/>
        <v>0.70748195019570426</v>
      </c>
      <c r="E737" s="106">
        <f t="shared" ca="1" si="46"/>
        <v>0</v>
      </c>
      <c r="F737" s="21">
        <f t="shared" ca="1" si="47"/>
        <v>0</v>
      </c>
      <c r="H737" s="21">
        <v>722</v>
      </c>
      <c r="I737" s="107">
        <v>0.66762507491441347</v>
      </c>
      <c r="J737" s="108">
        <v>1.3056777204079402E-3</v>
      </c>
      <c r="K737" s="108"/>
      <c r="L737" s="108">
        <v>4.0800000000000003E-2</v>
      </c>
      <c r="O737" s="105"/>
    </row>
    <row r="738" spans="2:15" x14ac:dyDescent="0.2">
      <c r="B738" s="1">
        <v>723</v>
      </c>
      <c r="C738" s="106">
        <f t="shared" ca="1" si="44"/>
        <v>-0.21898072406972266</v>
      </c>
      <c r="D738" s="106">
        <f t="shared" ca="1" si="45"/>
        <v>0.65030246611522802</v>
      </c>
      <c r="E738" s="106">
        <f t="shared" ca="1" si="46"/>
        <v>0</v>
      </c>
      <c r="F738" s="21">
        <f t="shared" ca="1" si="47"/>
        <v>0</v>
      </c>
      <c r="H738" s="21">
        <v>723</v>
      </c>
      <c r="I738" s="107">
        <v>0.66773759112361253</v>
      </c>
      <c r="J738" s="108">
        <v>1.3280446281039005E-3</v>
      </c>
      <c r="K738" s="108"/>
      <c r="L738" s="108">
        <v>4.2200000000000001E-2</v>
      </c>
      <c r="O738" s="105"/>
    </row>
    <row r="739" spans="2:15" x14ac:dyDescent="0.2">
      <c r="B739" s="1">
        <v>724</v>
      </c>
      <c r="C739" s="106">
        <f t="shared" ca="1" si="44"/>
        <v>-2.4414188336392719</v>
      </c>
      <c r="D739" s="106">
        <f t="shared" ca="1" si="45"/>
        <v>0.52228496327126772</v>
      </c>
      <c r="E739" s="106">
        <f t="shared" ca="1" si="46"/>
        <v>0</v>
      </c>
      <c r="F739" s="21">
        <f t="shared" ca="1" si="47"/>
        <v>0</v>
      </c>
      <c r="H739" s="21">
        <v>724</v>
      </c>
      <c r="I739" s="107">
        <v>0.66779455047462466</v>
      </c>
      <c r="J739" s="108">
        <v>1.367008127257111E-3</v>
      </c>
      <c r="K739" s="108"/>
      <c r="L739" s="108">
        <v>4.2799999999999998E-2</v>
      </c>
      <c r="O739" s="105"/>
    </row>
    <row r="740" spans="2:15" x14ac:dyDescent="0.2">
      <c r="B740" s="1">
        <v>725</v>
      </c>
      <c r="C740" s="106">
        <f t="shared" ca="1" si="44"/>
        <v>0.1703948855692668</v>
      </c>
      <c r="D740" s="106">
        <f t="shared" ca="1" si="45"/>
        <v>0.67576549400360109</v>
      </c>
      <c r="E740" s="106">
        <f t="shared" ca="1" si="46"/>
        <v>0</v>
      </c>
      <c r="F740" s="21">
        <f t="shared" ca="1" si="47"/>
        <v>0</v>
      </c>
      <c r="H740" s="21">
        <v>725</v>
      </c>
      <c r="I740" s="107">
        <v>0.66776260635982998</v>
      </c>
      <c r="J740" s="108">
        <v>1.3868825087371319E-3</v>
      </c>
      <c r="K740" s="108"/>
      <c r="L740" s="108">
        <v>4.2000000000000003E-2</v>
      </c>
      <c r="O740" s="105"/>
    </row>
    <row r="741" spans="2:15" x14ac:dyDescent="0.2">
      <c r="B741" s="1">
        <v>726</v>
      </c>
      <c r="C741" s="106">
        <f t="shared" ca="1" si="44"/>
        <v>-0.577072994293227</v>
      </c>
      <c r="D741" s="106">
        <f t="shared" ca="1" si="45"/>
        <v>0.62773298369957231</v>
      </c>
      <c r="E741" s="106">
        <f t="shared" ca="1" si="46"/>
        <v>0</v>
      </c>
      <c r="F741" s="21">
        <f t="shared" ca="1" si="47"/>
        <v>0</v>
      </c>
      <c r="H741" s="21">
        <v>726</v>
      </c>
      <c r="I741" s="107">
        <v>0.66763897060883404</v>
      </c>
      <c r="J741" s="108">
        <v>1.3224037977596326E-3</v>
      </c>
      <c r="K741" s="108"/>
      <c r="L741" s="108">
        <v>3.9800000000000002E-2</v>
      </c>
      <c r="O741" s="105"/>
    </row>
    <row r="742" spans="2:15" x14ac:dyDescent="0.2">
      <c r="B742" s="1">
        <v>727</v>
      </c>
      <c r="C742" s="106">
        <f t="shared" ca="1" si="44"/>
        <v>-1.2524483161261695</v>
      </c>
      <c r="D742" s="106">
        <f t="shared" ca="1" si="45"/>
        <v>0.58727604522379151</v>
      </c>
      <c r="E742" s="106">
        <f t="shared" ca="1" si="46"/>
        <v>0</v>
      </c>
      <c r="F742" s="21">
        <f t="shared" ca="1" si="47"/>
        <v>0</v>
      </c>
      <c r="H742" s="21">
        <v>727</v>
      </c>
      <c r="I742" s="107">
        <v>0.66783316942442561</v>
      </c>
      <c r="J742" s="108">
        <v>1.3907256826698334E-3</v>
      </c>
      <c r="K742" s="108"/>
      <c r="L742" s="108">
        <v>4.4999999999999998E-2</v>
      </c>
      <c r="O742" s="105"/>
    </row>
    <row r="743" spans="2:15" x14ac:dyDescent="0.2">
      <c r="B743" s="1">
        <v>728</v>
      </c>
      <c r="C743" s="106">
        <f t="shared" ca="1" si="44"/>
        <v>-0.66822313542685852</v>
      </c>
      <c r="D743" s="106">
        <f t="shared" ca="1" si="45"/>
        <v>0.62211422670218819</v>
      </c>
      <c r="E743" s="106">
        <f t="shared" ca="1" si="46"/>
        <v>0</v>
      </c>
      <c r="F743" s="21">
        <f t="shared" ca="1" si="47"/>
        <v>0</v>
      </c>
      <c r="H743" s="21">
        <v>728</v>
      </c>
      <c r="I743" s="107">
        <v>0.66771515007024296</v>
      </c>
      <c r="J743" s="108">
        <v>1.2680081011229457E-3</v>
      </c>
      <c r="K743" s="108"/>
      <c r="L743" s="108">
        <v>4.1200000000000001E-2</v>
      </c>
      <c r="O743" s="105"/>
    </row>
    <row r="744" spans="2:15" x14ac:dyDescent="0.2">
      <c r="B744" s="1">
        <v>729</v>
      </c>
      <c r="C744" s="106">
        <f t="shared" ca="1" si="44"/>
        <v>0.43410051244344527</v>
      </c>
      <c r="D744" s="106">
        <f t="shared" ca="1" si="45"/>
        <v>0.6935743100016406</v>
      </c>
      <c r="E744" s="106">
        <f t="shared" ca="1" si="46"/>
        <v>0</v>
      </c>
      <c r="F744" s="21">
        <f t="shared" ca="1" si="47"/>
        <v>0</v>
      </c>
      <c r="H744" s="21">
        <v>729</v>
      </c>
      <c r="I744" s="107">
        <v>0.66769690824835426</v>
      </c>
      <c r="J744" s="108">
        <v>1.3318986290706987E-3</v>
      </c>
      <c r="K744" s="108"/>
      <c r="L744" s="108">
        <v>4.2200000000000001E-2</v>
      </c>
      <c r="O744" s="105"/>
    </row>
    <row r="745" spans="2:15" x14ac:dyDescent="0.2">
      <c r="B745" s="1">
        <v>730</v>
      </c>
      <c r="C745" s="106">
        <f t="shared" ca="1" si="44"/>
        <v>-0.62638408674556389</v>
      </c>
      <c r="D745" s="106">
        <f t="shared" ca="1" si="45"/>
        <v>0.62468703437709061</v>
      </c>
      <c r="E745" s="106">
        <f t="shared" ca="1" si="46"/>
        <v>0</v>
      </c>
      <c r="F745" s="21">
        <f t="shared" ca="1" si="47"/>
        <v>0</v>
      </c>
      <c r="H745" s="21">
        <v>730</v>
      </c>
      <c r="I745" s="107">
        <v>0.6678301629170097</v>
      </c>
      <c r="J745" s="108">
        <v>1.5493670378928311E-3</v>
      </c>
      <c r="K745" s="108"/>
      <c r="L745" s="108">
        <v>4.4600000000000001E-2</v>
      </c>
      <c r="O745" s="105"/>
    </row>
    <row r="746" spans="2:15" x14ac:dyDescent="0.2">
      <c r="B746" s="1">
        <v>731</v>
      </c>
      <c r="C746" s="106">
        <f t="shared" ca="1" si="44"/>
        <v>-0.31753956307654058</v>
      </c>
      <c r="D746" s="106">
        <f t="shared" ca="1" si="45"/>
        <v>0.64401087499208687</v>
      </c>
      <c r="E746" s="106">
        <f t="shared" ca="1" si="46"/>
        <v>0</v>
      </c>
      <c r="F746" s="21">
        <f t="shared" ca="1" si="47"/>
        <v>0</v>
      </c>
      <c r="H746" s="21">
        <v>731</v>
      </c>
      <c r="I746" s="107">
        <v>0.66768034046135694</v>
      </c>
      <c r="J746" s="108">
        <v>1.1410209821517249E-3</v>
      </c>
      <c r="K746" s="108"/>
      <c r="L746" s="108">
        <v>3.7400000000000003E-2</v>
      </c>
      <c r="O746" s="105"/>
    </row>
    <row r="747" spans="2:15" x14ac:dyDescent="0.2">
      <c r="B747" s="1">
        <v>732</v>
      </c>
      <c r="C747" s="106">
        <f t="shared" ca="1" si="44"/>
        <v>0.2752693684886961</v>
      </c>
      <c r="D747" s="106">
        <f t="shared" ca="1" si="45"/>
        <v>0.68279254428177238</v>
      </c>
      <c r="E747" s="106">
        <f t="shared" ca="1" si="46"/>
        <v>0</v>
      </c>
      <c r="F747" s="21">
        <f t="shared" ca="1" si="47"/>
        <v>0</v>
      </c>
      <c r="H747" s="21">
        <v>732</v>
      </c>
      <c r="I747" s="107">
        <v>0.66778568559014728</v>
      </c>
      <c r="J747" s="108">
        <v>1.4212316737044883E-3</v>
      </c>
      <c r="K747" s="108"/>
      <c r="L747" s="108">
        <v>4.1599999999999998E-2</v>
      </c>
      <c r="O747" s="105"/>
    </row>
    <row r="748" spans="2:15" x14ac:dyDescent="0.2">
      <c r="B748" s="1">
        <v>733</v>
      </c>
      <c r="C748" s="106">
        <f t="shared" ca="1" si="44"/>
        <v>0.45323893816018768</v>
      </c>
      <c r="D748" s="106">
        <f t="shared" ca="1" si="45"/>
        <v>0.69488490381536472</v>
      </c>
      <c r="E748" s="106">
        <f t="shared" ca="1" si="46"/>
        <v>0</v>
      </c>
      <c r="F748" s="21">
        <f t="shared" ca="1" si="47"/>
        <v>0</v>
      </c>
      <c r="H748" s="21">
        <v>733</v>
      </c>
      <c r="I748" s="107">
        <v>0.66764536917409356</v>
      </c>
      <c r="J748" s="108">
        <v>1.2765685458120809E-3</v>
      </c>
      <c r="K748" s="108"/>
      <c r="L748" s="108">
        <v>4.1599999999999998E-2</v>
      </c>
      <c r="O748" s="105"/>
    </row>
    <row r="749" spans="2:15" x14ac:dyDescent="0.2">
      <c r="B749" s="1">
        <v>734</v>
      </c>
      <c r="C749" s="106">
        <f t="shared" ca="1" si="44"/>
        <v>-0.63741982247332285</v>
      </c>
      <c r="D749" s="106">
        <f t="shared" ca="1" si="45"/>
        <v>0.62400738280774792</v>
      </c>
      <c r="E749" s="106">
        <f t="shared" ca="1" si="46"/>
        <v>0</v>
      </c>
      <c r="F749" s="21">
        <f t="shared" ca="1" si="47"/>
        <v>0</v>
      </c>
      <c r="H749" s="21">
        <v>734</v>
      </c>
      <c r="I749" s="107">
        <v>0.66771648759878732</v>
      </c>
      <c r="J749" s="108">
        <v>1.2273098707695365E-3</v>
      </c>
      <c r="K749" s="108"/>
      <c r="L749" s="108">
        <v>3.9600000000000003E-2</v>
      </c>
      <c r="O749" s="105"/>
    </row>
    <row r="750" spans="2:15" x14ac:dyDescent="0.2">
      <c r="B750" s="1">
        <v>735</v>
      </c>
      <c r="C750" s="106">
        <f t="shared" ca="1" si="44"/>
        <v>-0.28343315904982475</v>
      </c>
      <c r="D750" s="106">
        <f t="shared" ca="1" si="45"/>
        <v>0.64618117008090237</v>
      </c>
      <c r="E750" s="106">
        <f t="shared" ca="1" si="46"/>
        <v>0</v>
      </c>
      <c r="F750" s="21">
        <f t="shared" ca="1" si="47"/>
        <v>0</v>
      </c>
      <c r="H750" s="21">
        <v>735</v>
      </c>
      <c r="I750" s="107">
        <v>0.66791191891930701</v>
      </c>
      <c r="J750" s="108">
        <v>1.6749955448522853E-3</v>
      </c>
      <c r="K750" s="108"/>
      <c r="L750" s="108">
        <v>4.8399999999999999E-2</v>
      </c>
      <c r="O750" s="105"/>
    </row>
    <row r="751" spans="2:15" x14ac:dyDescent="0.2">
      <c r="B751" s="1">
        <v>736</v>
      </c>
      <c r="C751" s="106">
        <f t="shared" ca="1" si="44"/>
        <v>-1.1285758385359537</v>
      </c>
      <c r="D751" s="106">
        <f t="shared" ca="1" si="45"/>
        <v>0.59449595920246423</v>
      </c>
      <c r="E751" s="106">
        <f t="shared" ca="1" si="46"/>
        <v>0</v>
      </c>
      <c r="F751" s="21">
        <f t="shared" ca="1" si="47"/>
        <v>0</v>
      </c>
      <c r="H751" s="21">
        <v>736</v>
      </c>
      <c r="I751" s="107">
        <v>0.66767197432200964</v>
      </c>
      <c r="J751" s="108">
        <v>1.2429203209886621E-3</v>
      </c>
      <c r="K751" s="108"/>
      <c r="L751" s="108">
        <v>0.04</v>
      </c>
      <c r="O751" s="105"/>
    </row>
    <row r="752" spans="2:15" x14ac:dyDescent="0.2">
      <c r="B752" s="1">
        <v>737</v>
      </c>
      <c r="C752" s="106">
        <f t="shared" ca="1" si="44"/>
        <v>-0.2275028617647783</v>
      </c>
      <c r="D752" s="106">
        <f t="shared" ca="1" si="45"/>
        <v>0.64975602883656469</v>
      </c>
      <c r="E752" s="106">
        <f t="shared" ca="1" si="46"/>
        <v>0</v>
      </c>
      <c r="F752" s="21">
        <f t="shared" ca="1" si="47"/>
        <v>0</v>
      </c>
      <c r="H752" s="21">
        <v>737</v>
      </c>
      <c r="I752" s="107">
        <v>0.66769433610116613</v>
      </c>
      <c r="J752" s="108">
        <v>1.3556990067347728E-3</v>
      </c>
      <c r="K752" s="108"/>
      <c r="L752" s="108">
        <v>3.9399999999999998E-2</v>
      </c>
      <c r="O752" s="105"/>
    </row>
    <row r="753" spans="2:15" x14ac:dyDescent="0.2">
      <c r="B753" s="1">
        <v>738</v>
      </c>
      <c r="C753" s="106">
        <f t="shared" ca="1" si="44"/>
        <v>0.94842770412032495</v>
      </c>
      <c r="D753" s="106">
        <f t="shared" ca="1" si="45"/>
        <v>0.72966994532440299</v>
      </c>
      <c r="E753" s="106">
        <f t="shared" ca="1" si="46"/>
        <v>0</v>
      </c>
      <c r="F753" s="21">
        <f t="shared" ca="1" si="47"/>
        <v>0</v>
      </c>
      <c r="H753" s="21">
        <v>738</v>
      </c>
      <c r="I753" s="107">
        <v>0.66757314296987091</v>
      </c>
      <c r="J753" s="108">
        <v>1.1788489120071709E-3</v>
      </c>
      <c r="K753" s="108"/>
      <c r="L753" s="108">
        <v>3.8399999999999997E-2</v>
      </c>
      <c r="O753" s="105"/>
    </row>
    <row r="754" spans="2:15" x14ac:dyDescent="0.2">
      <c r="B754" s="1">
        <v>739</v>
      </c>
      <c r="C754" s="106">
        <f t="shared" ca="1" si="44"/>
        <v>1.2128608051835941</v>
      </c>
      <c r="D754" s="106">
        <f t="shared" ca="1" si="45"/>
        <v>0.74895307688691037</v>
      </c>
      <c r="E754" s="106">
        <f t="shared" ca="1" si="46"/>
        <v>0</v>
      </c>
      <c r="F754" s="21">
        <f t="shared" ca="1" si="47"/>
        <v>0</v>
      </c>
      <c r="H754" s="21">
        <v>739</v>
      </c>
      <c r="I754" s="107">
        <v>0.6676810089356322</v>
      </c>
      <c r="J754" s="108">
        <v>1.2991698606584045E-3</v>
      </c>
      <c r="K754" s="108"/>
      <c r="L754" s="108">
        <v>3.8800000000000001E-2</v>
      </c>
      <c r="O754" s="105"/>
    </row>
    <row r="755" spans="2:15" x14ac:dyDescent="0.2">
      <c r="B755" s="1">
        <v>740</v>
      </c>
      <c r="C755" s="106">
        <f t="shared" ca="1" si="44"/>
        <v>-0.82525798597915145</v>
      </c>
      <c r="D755" s="106">
        <f t="shared" ca="1" si="45"/>
        <v>0.61255185143775992</v>
      </c>
      <c r="E755" s="106">
        <f t="shared" ca="1" si="46"/>
        <v>0</v>
      </c>
      <c r="F755" s="21">
        <f t="shared" ca="1" si="47"/>
        <v>0</v>
      </c>
      <c r="H755" s="21">
        <v>740</v>
      </c>
      <c r="I755" s="107">
        <v>0.66773630602567668</v>
      </c>
      <c r="J755" s="108">
        <v>1.2016198299494131E-3</v>
      </c>
      <c r="K755" s="108"/>
      <c r="L755" s="108">
        <v>3.6999999999999998E-2</v>
      </c>
      <c r="O755" s="105"/>
    </row>
    <row r="756" spans="2:15" x14ac:dyDescent="0.2">
      <c r="B756" s="1">
        <v>741</v>
      </c>
      <c r="C756" s="106">
        <f t="shared" ca="1" si="44"/>
        <v>-0.6436163959064416</v>
      </c>
      <c r="D756" s="106">
        <f t="shared" ca="1" si="45"/>
        <v>0.62362608219128213</v>
      </c>
      <c r="E756" s="106">
        <f t="shared" ca="1" si="46"/>
        <v>0</v>
      </c>
      <c r="F756" s="21">
        <f t="shared" ca="1" si="47"/>
        <v>0</v>
      </c>
      <c r="H756" s="21">
        <v>741</v>
      </c>
      <c r="I756" s="107">
        <v>0.66768152873336228</v>
      </c>
      <c r="J756" s="108">
        <v>1.3518900597349361E-3</v>
      </c>
      <c r="K756" s="108"/>
      <c r="L756" s="108">
        <v>4.24E-2</v>
      </c>
      <c r="O756" s="105"/>
    </row>
    <row r="757" spans="2:15" x14ac:dyDescent="0.2">
      <c r="B757" s="1">
        <v>742</v>
      </c>
      <c r="C757" s="106">
        <f t="shared" ca="1" si="44"/>
        <v>-1.3461104923707117</v>
      </c>
      <c r="D757" s="106">
        <f t="shared" ca="1" si="45"/>
        <v>0.58187521206668003</v>
      </c>
      <c r="E757" s="106">
        <f t="shared" ca="1" si="46"/>
        <v>0</v>
      </c>
      <c r="F757" s="21">
        <f t="shared" ca="1" si="47"/>
        <v>0</v>
      </c>
      <c r="H757" s="21">
        <v>742</v>
      </c>
      <c r="I757" s="107">
        <v>0.66781571786602822</v>
      </c>
      <c r="J757" s="108">
        <v>1.5638766871338477E-3</v>
      </c>
      <c r="K757" s="108"/>
      <c r="L757" s="108">
        <v>4.4999999999999998E-2</v>
      </c>
      <c r="O757" s="105"/>
    </row>
    <row r="758" spans="2:15" x14ac:dyDescent="0.2">
      <c r="B758" s="1">
        <v>743</v>
      </c>
      <c r="C758" s="106">
        <f t="shared" ca="1" si="44"/>
        <v>-0.93182882102281939</v>
      </c>
      <c r="D758" s="106">
        <f t="shared" ca="1" si="45"/>
        <v>0.6061462573960178</v>
      </c>
      <c r="E758" s="106">
        <f t="shared" ca="1" si="46"/>
        <v>0</v>
      </c>
      <c r="F758" s="21">
        <f t="shared" ca="1" si="47"/>
        <v>0</v>
      </c>
      <c r="H758" s="21">
        <v>743</v>
      </c>
      <c r="I758" s="107">
        <v>0.66778870755251329</v>
      </c>
      <c r="J758" s="108">
        <v>1.5800081189930356E-3</v>
      </c>
      <c r="K758" s="108"/>
      <c r="L758" s="108">
        <v>4.4200000000000003E-2</v>
      </c>
      <c r="O758" s="105"/>
    </row>
    <row r="759" spans="2:15" x14ac:dyDescent="0.2">
      <c r="B759" s="1">
        <v>744</v>
      </c>
      <c r="C759" s="106">
        <f t="shared" ca="1" si="44"/>
        <v>-1.2737850928590722</v>
      </c>
      <c r="D759" s="106">
        <f t="shared" ca="1" si="45"/>
        <v>0.58604131223092359</v>
      </c>
      <c r="E759" s="106">
        <f t="shared" ca="1" si="46"/>
        <v>0</v>
      </c>
      <c r="F759" s="21">
        <f t="shared" ca="1" si="47"/>
        <v>0</v>
      </c>
      <c r="H759" s="21">
        <v>744</v>
      </c>
      <c r="I759" s="107">
        <v>0.66767754077408559</v>
      </c>
      <c r="J759" s="108">
        <v>1.3270688855555148E-3</v>
      </c>
      <c r="K759" s="108"/>
      <c r="L759" s="108">
        <v>4.0800000000000003E-2</v>
      </c>
      <c r="O759" s="105"/>
    </row>
    <row r="760" spans="2:15" x14ac:dyDescent="0.2">
      <c r="B760" s="1">
        <v>745</v>
      </c>
      <c r="C760" s="106">
        <f t="shared" ca="1" si="44"/>
        <v>0.63116324774486932</v>
      </c>
      <c r="D760" s="106">
        <f t="shared" ca="1" si="45"/>
        <v>0.70718826361097942</v>
      </c>
      <c r="E760" s="106">
        <f t="shared" ca="1" si="46"/>
        <v>0</v>
      </c>
      <c r="F760" s="21">
        <f t="shared" ca="1" si="47"/>
        <v>0</v>
      </c>
      <c r="H760" s="21">
        <v>745</v>
      </c>
      <c r="I760" s="107">
        <v>0.66773044970516326</v>
      </c>
      <c r="J760" s="108">
        <v>1.4464568174742986E-3</v>
      </c>
      <c r="K760" s="108"/>
      <c r="L760" s="108">
        <v>4.24E-2</v>
      </c>
      <c r="O760" s="105"/>
    </row>
    <row r="761" spans="2:15" x14ac:dyDescent="0.2">
      <c r="B761" s="1">
        <v>746</v>
      </c>
      <c r="C761" s="106">
        <f t="shared" ca="1" si="44"/>
        <v>-1.563645542071838</v>
      </c>
      <c r="D761" s="106">
        <f t="shared" ca="1" si="45"/>
        <v>0.56952237261758631</v>
      </c>
      <c r="E761" s="106">
        <f t="shared" ca="1" si="46"/>
        <v>0</v>
      </c>
      <c r="F761" s="21">
        <f t="shared" ca="1" si="47"/>
        <v>0</v>
      </c>
      <c r="H761" s="21">
        <v>746</v>
      </c>
      <c r="I761" s="107">
        <v>0.66775736158865695</v>
      </c>
      <c r="J761" s="108">
        <v>1.4350655135308605E-3</v>
      </c>
      <c r="K761" s="108"/>
      <c r="L761" s="108">
        <v>4.24E-2</v>
      </c>
      <c r="O761" s="105"/>
    </row>
    <row r="762" spans="2:15" x14ac:dyDescent="0.2">
      <c r="B762" s="1">
        <v>747</v>
      </c>
      <c r="C762" s="106">
        <f t="shared" ca="1" si="44"/>
        <v>0.58341646444169015</v>
      </c>
      <c r="D762" s="106">
        <f t="shared" ca="1" si="45"/>
        <v>0.70386537530167304</v>
      </c>
      <c r="E762" s="106">
        <f t="shared" ca="1" si="46"/>
        <v>0</v>
      </c>
      <c r="F762" s="21">
        <f t="shared" ca="1" si="47"/>
        <v>0</v>
      </c>
      <c r="H762" s="21">
        <v>747</v>
      </c>
      <c r="I762" s="107">
        <v>0.66774137915708875</v>
      </c>
      <c r="J762" s="108">
        <v>1.3458403274091793E-3</v>
      </c>
      <c r="K762" s="108"/>
      <c r="L762" s="108">
        <v>4.36E-2</v>
      </c>
      <c r="O762" s="105"/>
    </row>
    <row r="763" spans="2:15" x14ac:dyDescent="0.2">
      <c r="B763" s="1">
        <v>748</v>
      </c>
      <c r="C763" s="106">
        <f t="shared" ca="1" si="44"/>
        <v>-1.2687797247793853</v>
      </c>
      <c r="D763" s="106">
        <f t="shared" ca="1" si="45"/>
        <v>0.58633073345123454</v>
      </c>
      <c r="E763" s="106">
        <f t="shared" ca="1" si="46"/>
        <v>0</v>
      </c>
      <c r="F763" s="21">
        <f t="shared" ca="1" si="47"/>
        <v>0</v>
      </c>
      <c r="H763" s="21">
        <v>748</v>
      </c>
      <c r="I763" s="107">
        <v>0.66769243626035124</v>
      </c>
      <c r="J763" s="108">
        <v>1.2214599921696974E-3</v>
      </c>
      <c r="K763" s="108"/>
      <c r="L763" s="108">
        <v>3.9600000000000003E-2</v>
      </c>
      <c r="O763" s="105"/>
    </row>
    <row r="764" spans="2:15" x14ac:dyDescent="0.2">
      <c r="B764" s="1">
        <v>749</v>
      </c>
      <c r="C764" s="106">
        <f t="shared" ca="1" si="44"/>
        <v>0.38273635789978067</v>
      </c>
      <c r="D764" s="106">
        <f t="shared" ca="1" si="45"/>
        <v>0.69006911403465609</v>
      </c>
      <c r="E764" s="106">
        <f t="shared" ca="1" si="46"/>
        <v>0</v>
      </c>
      <c r="F764" s="21">
        <f t="shared" ca="1" si="47"/>
        <v>0</v>
      </c>
      <c r="H764" s="21">
        <v>749</v>
      </c>
      <c r="I764" s="107">
        <v>0.66758979320500833</v>
      </c>
      <c r="J764" s="108">
        <v>1.1482767298674058E-3</v>
      </c>
      <c r="K764" s="108"/>
      <c r="L764" s="108">
        <v>3.9199999999999999E-2</v>
      </c>
      <c r="O764" s="105"/>
    </row>
    <row r="765" spans="2:15" x14ac:dyDescent="0.2">
      <c r="B765" s="1">
        <v>750</v>
      </c>
      <c r="C765" s="106">
        <f t="shared" ca="1" si="44"/>
        <v>-1.3674644154936626</v>
      </c>
      <c r="D765" s="106">
        <f t="shared" ca="1" si="45"/>
        <v>0.58065085210819056</v>
      </c>
      <c r="E765" s="106">
        <f t="shared" ca="1" si="46"/>
        <v>0</v>
      </c>
      <c r="F765" s="21">
        <f t="shared" ca="1" si="47"/>
        <v>0</v>
      </c>
      <c r="H765" s="21">
        <v>750</v>
      </c>
      <c r="I765" s="107">
        <v>0.6677194623364453</v>
      </c>
      <c r="J765" s="108">
        <v>1.268932600221133E-3</v>
      </c>
      <c r="K765" s="108"/>
      <c r="L765" s="108">
        <v>0.04</v>
      </c>
      <c r="O765" s="105"/>
    </row>
    <row r="766" spans="2:15" x14ac:dyDescent="0.2">
      <c r="B766" s="1">
        <v>751</v>
      </c>
      <c r="C766" s="106">
        <f t="shared" ca="1" si="44"/>
        <v>-0.30067769841144432</v>
      </c>
      <c r="D766" s="106">
        <f t="shared" ca="1" si="45"/>
        <v>0.64508293458435029</v>
      </c>
      <c r="E766" s="106">
        <f t="shared" ca="1" si="46"/>
        <v>0</v>
      </c>
      <c r="F766" s="21">
        <f t="shared" ca="1" si="47"/>
        <v>0</v>
      </c>
      <c r="H766" s="21">
        <v>751</v>
      </c>
      <c r="I766" s="107">
        <v>0.66764095013655489</v>
      </c>
      <c r="J766" s="108">
        <v>1.2496105589888471E-3</v>
      </c>
      <c r="K766" s="108"/>
      <c r="L766" s="108">
        <v>3.8199999999999998E-2</v>
      </c>
      <c r="O766" s="105"/>
    </row>
    <row r="767" spans="2:15" x14ac:dyDescent="0.2">
      <c r="B767" s="1">
        <v>752</v>
      </c>
      <c r="C767" s="106">
        <f t="shared" ca="1" si="44"/>
        <v>1.029673003837553</v>
      </c>
      <c r="D767" s="106">
        <f t="shared" ca="1" si="45"/>
        <v>0.73554112019135875</v>
      </c>
      <c r="E767" s="106">
        <f t="shared" ca="1" si="46"/>
        <v>0</v>
      </c>
      <c r="F767" s="21">
        <f t="shared" ca="1" si="47"/>
        <v>0</v>
      </c>
      <c r="H767" s="21">
        <v>752</v>
      </c>
      <c r="I767" s="107">
        <v>0.66758186578032208</v>
      </c>
      <c r="J767" s="108">
        <v>1.2347140093901211E-3</v>
      </c>
      <c r="K767" s="108"/>
      <c r="L767" s="108">
        <v>3.7600000000000001E-2</v>
      </c>
      <c r="O767" s="105"/>
    </row>
    <row r="768" spans="2:15" x14ac:dyDescent="0.2">
      <c r="B768" s="1">
        <v>753</v>
      </c>
      <c r="C768" s="106">
        <f t="shared" ca="1" si="44"/>
        <v>-1.4831938697371423</v>
      </c>
      <c r="D768" s="106">
        <f t="shared" ca="1" si="45"/>
        <v>0.57406000340296615</v>
      </c>
      <c r="E768" s="106">
        <f t="shared" ca="1" si="46"/>
        <v>0</v>
      </c>
      <c r="F768" s="21">
        <f t="shared" ca="1" si="47"/>
        <v>0</v>
      </c>
      <c r="H768" s="21">
        <v>753</v>
      </c>
      <c r="I768" s="107">
        <v>0.66776573577110576</v>
      </c>
      <c r="J768" s="108">
        <v>1.4614434375541396E-3</v>
      </c>
      <c r="K768" s="108"/>
      <c r="L768" s="108">
        <v>4.1000000000000002E-2</v>
      </c>
      <c r="O768" s="105"/>
    </row>
    <row r="769" spans="2:15" x14ac:dyDescent="0.2">
      <c r="B769" s="1">
        <v>754</v>
      </c>
      <c r="C769" s="106">
        <f t="shared" ca="1" si="44"/>
        <v>1.0360101520454881</v>
      </c>
      <c r="D769" s="106">
        <f t="shared" ca="1" si="45"/>
        <v>0.73600105414168815</v>
      </c>
      <c r="E769" s="106">
        <f t="shared" ca="1" si="46"/>
        <v>0</v>
      </c>
      <c r="F769" s="21">
        <f t="shared" ca="1" si="47"/>
        <v>0</v>
      </c>
      <c r="H769" s="21">
        <v>754</v>
      </c>
      <c r="I769" s="107">
        <v>0.6677051854034759</v>
      </c>
      <c r="J769" s="108">
        <v>1.3474174052524807E-3</v>
      </c>
      <c r="K769" s="108"/>
      <c r="L769" s="108">
        <v>3.9600000000000003E-2</v>
      </c>
      <c r="O769" s="105"/>
    </row>
    <row r="770" spans="2:15" x14ac:dyDescent="0.2">
      <c r="B770" s="1">
        <v>755</v>
      </c>
      <c r="C770" s="106">
        <f t="shared" ca="1" si="44"/>
        <v>-4.3492893253908253E-2</v>
      </c>
      <c r="D770" s="106">
        <f t="shared" ca="1" si="45"/>
        <v>0.66165742653990411</v>
      </c>
      <c r="E770" s="106">
        <f t="shared" ca="1" si="46"/>
        <v>0</v>
      </c>
      <c r="F770" s="21">
        <f t="shared" ca="1" si="47"/>
        <v>0</v>
      </c>
      <c r="H770" s="21">
        <v>755</v>
      </c>
      <c r="I770" s="107">
        <v>0.66777000209047632</v>
      </c>
      <c r="J770" s="108">
        <v>1.3839241806426212E-3</v>
      </c>
      <c r="K770" s="108"/>
      <c r="L770" s="108">
        <v>4.36E-2</v>
      </c>
      <c r="O770" s="105"/>
    </row>
    <row r="771" spans="2:15" x14ac:dyDescent="0.2">
      <c r="B771" s="1">
        <v>756</v>
      </c>
      <c r="C771" s="106">
        <f t="shared" ca="1" si="44"/>
        <v>-1.3248120037242994</v>
      </c>
      <c r="D771" s="106">
        <f t="shared" ca="1" si="45"/>
        <v>0.5830989652398616</v>
      </c>
      <c r="E771" s="106">
        <f t="shared" ca="1" si="46"/>
        <v>0</v>
      </c>
      <c r="F771" s="21">
        <f t="shared" ca="1" si="47"/>
        <v>0</v>
      </c>
      <c r="H771" s="21">
        <v>756</v>
      </c>
      <c r="I771" s="107">
        <v>0.66773785810264674</v>
      </c>
      <c r="J771" s="108">
        <v>1.3126596542441141E-3</v>
      </c>
      <c r="K771" s="108"/>
      <c r="L771" s="108">
        <v>4.3400000000000001E-2</v>
      </c>
      <c r="O771" s="105"/>
    </row>
    <row r="772" spans="2:15" x14ac:dyDescent="0.2">
      <c r="B772" s="1">
        <v>757</v>
      </c>
      <c r="C772" s="106">
        <f t="shared" ca="1" si="44"/>
        <v>0.51648168059341948</v>
      </c>
      <c r="D772" s="106">
        <f t="shared" ca="1" si="45"/>
        <v>0.69923338721039252</v>
      </c>
      <c r="E772" s="106">
        <f t="shared" ca="1" si="46"/>
        <v>0</v>
      </c>
      <c r="F772" s="21">
        <f t="shared" ca="1" si="47"/>
        <v>0</v>
      </c>
      <c r="H772" s="21">
        <v>757</v>
      </c>
      <c r="I772" s="107">
        <v>0.66753196880086751</v>
      </c>
      <c r="J772" s="108">
        <v>1.1159199817987865E-3</v>
      </c>
      <c r="K772" s="108"/>
      <c r="L772" s="108">
        <v>3.8399999999999997E-2</v>
      </c>
      <c r="O772" s="105"/>
    </row>
    <row r="773" spans="2:15" x14ac:dyDescent="0.2">
      <c r="B773" s="1">
        <v>758</v>
      </c>
      <c r="C773" s="106">
        <f t="shared" ca="1" si="44"/>
        <v>0.71135093621710177</v>
      </c>
      <c r="D773" s="106">
        <f t="shared" ca="1" si="45"/>
        <v>0.71280417656222339</v>
      </c>
      <c r="E773" s="106">
        <f t="shared" ca="1" si="46"/>
        <v>0</v>
      </c>
      <c r="F773" s="21">
        <f t="shared" ca="1" si="47"/>
        <v>0</v>
      </c>
      <c r="H773" s="21">
        <v>758</v>
      </c>
      <c r="I773" s="107">
        <v>0.66786178606074598</v>
      </c>
      <c r="J773" s="108">
        <v>1.5644473519597511E-3</v>
      </c>
      <c r="K773" s="108"/>
      <c r="L773" s="108">
        <v>4.2799999999999998E-2</v>
      </c>
      <c r="O773" s="105"/>
    </row>
    <row r="774" spans="2:15" x14ac:dyDescent="0.2">
      <c r="B774" s="1">
        <v>759</v>
      </c>
      <c r="C774" s="106">
        <f t="shared" ca="1" si="44"/>
        <v>-0.75521055836516504</v>
      </c>
      <c r="D774" s="106">
        <f t="shared" ca="1" si="45"/>
        <v>0.61679897803827421</v>
      </c>
      <c r="E774" s="106">
        <f t="shared" ca="1" si="46"/>
        <v>0</v>
      </c>
      <c r="F774" s="21">
        <f t="shared" ca="1" si="47"/>
        <v>0</v>
      </c>
      <c r="H774" s="21">
        <v>759</v>
      </c>
      <c r="I774" s="107">
        <v>0.66771293646670971</v>
      </c>
      <c r="J774" s="108">
        <v>1.2143736727930801E-3</v>
      </c>
      <c r="K774" s="108"/>
      <c r="L774" s="108">
        <v>4.2599999999999999E-2</v>
      </c>
      <c r="O774" s="105"/>
    </row>
    <row r="775" spans="2:15" x14ac:dyDescent="0.2">
      <c r="B775" s="1">
        <v>760</v>
      </c>
      <c r="C775" s="106">
        <f t="shared" ca="1" si="44"/>
        <v>-0.19528020291666054</v>
      </c>
      <c r="D775" s="106">
        <f t="shared" ca="1" si="45"/>
        <v>0.65182455478889256</v>
      </c>
      <c r="E775" s="106">
        <f t="shared" ca="1" si="46"/>
        <v>0</v>
      </c>
      <c r="F775" s="21">
        <f t="shared" ca="1" si="47"/>
        <v>0</v>
      </c>
      <c r="H775" s="21">
        <v>760</v>
      </c>
      <c r="I775" s="107">
        <v>0.66784331899256633</v>
      </c>
      <c r="J775" s="108">
        <v>1.5640749235097528E-3</v>
      </c>
      <c r="K775" s="108"/>
      <c r="L775" s="108">
        <v>4.2799999999999998E-2</v>
      </c>
      <c r="O775" s="105"/>
    </row>
    <row r="776" spans="2:15" x14ac:dyDescent="0.2">
      <c r="B776" s="1">
        <v>761</v>
      </c>
      <c r="C776" s="106">
        <f t="shared" ca="1" si="44"/>
        <v>-0.81151483772575661</v>
      </c>
      <c r="D776" s="106">
        <f t="shared" ca="1" si="45"/>
        <v>0.6133828157956478</v>
      </c>
      <c r="E776" s="106">
        <f t="shared" ca="1" si="46"/>
        <v>0</v>
      </c>
      <c r="F776" s="21">
        <f t="shared" ca="1" si="47"/>
        <v>0</v>
      </c>
      <c r="H776" s="21">
        <v>761</v>
      </c>
      <c r="I776" s="107">
        <v>0.6678286846711825</v>
      </c>
      <c r="J776" s="108">
        <v>1.4849221956818931E-3</v>
      </c>
      <c r="K776" s="108"/>
      <c r="L776" s="108">
        <v>4.3799999999999999E-2</v>
      </c>
      <c r="O776" s="105"/>
    </row>
    <row r="777" spans="2:15" x14ac:dyDescent="0.2">
      <c r="B777" s="1">
        <v>762</v>
      </c>
      <c r="C777" s="106">
        <f t="shared" ca="1" si="44"/>
        <v>-0.32303147863849302</v>
      </c>
      <c r="D777" s="106">
        <f t="shared" ca="1" si="45"/>
        <v>0.64366208957121729</v>
      </c>
      <c r="E777" s="106">
        <f t="shared" ca="1" si="46"/>
        <v>0</v>
      </c>
      <c r="F777" s="21">
        <f t="shared" ca="1" si="47"/>
        <v>0</v>
      </c>
      <c r="H777" s="21">
        <v>762</v>
      </c>
      <c r="I777" s="107">
        <v>0.66778296860834785</v>
      </c>
      <c r="J777" s="108">
        <v>1.3009534035925373E-3</v>
      </c>
      <c r="K777" s="108"/>
      <c r="L777" s="108">
        <v>4.2999999999999997E-2</v>
      </c>
      <c r="O777" s="105"/>
    </row>
    <row r="778" spans="2:15" x14ac:dyDescent="0.2">
      <c r="B778" s="1">
        <v>763</v>
      </c>
      <c r="C778" s="106">
        <f t="shared" ca="1" si="44"/>
        <v>-1.7583096661846775</v>
      </c>
      <c r="D778" s="106">
        <f t="shared" ca="1" si="45"/>
        <v>0.5586907720481018</v>
      </c>
      <c r="E778" s="106">
        <f t="shared" ca="1" si="46"/>
        <v>0</v>
      </c>
      <c r="F778" s="21">
        <f t="shared" ca="1" si="47"/>
        <v>0</v>
      </c>
      <c r="H778" s="21">
        <v>763</v>
      </c>
      <c r="I778" s="107">
        <v>0.66776166200733877</v>
      </c>
      <c r="J778" s="108">
        <v>1.3609817270764236E-3</v>
      </c>
      <c r="K778" s="108"/>
      <c r="L778" s="108">
        <v>4.1599999999999998E-2</v>
      </c>
      <c r="O778" s="105"/>
    </row>
    <row r="779" spans="2:15" x14ac:dyDescent="0.2">
      <c r="B779" s="1">
        <v>764</v>
      </c>
      <c r="C779" s="106">
        <f t="shared" ca="1" si="44"/>
        <v>-0.13762901218506715</v>
      </c>
      <c r="D779" s="106">
        <f t="shared" ca="1" si="45"/>
        <v>0.65554190394803946</v>
      </c>
      <c r="E779" s="106">
        <f t="shared" ca="1" si="46"/>
        <v>0</v>
      </c>
      <c r="F779" s="21">
        <f t="shared" ca="1" si="47"/>
        <v>0</v>
      </c>
      <c r="H779" s="21">
        <v>764</v>
      </c>
      <c r="I779" s="107">
        <v>0.66779980190780608</v>
      </c>
      <c r="J779" s="108">
        <v>1.4294997882599351E-3</v>
      </c>
      <c r="K779" s="108"/>
      <c r="L779" s="108">
        <v>4.3400000000000001E-2</v>
      </c>
      <c r="O779" s="105"/>
    </row>
    <row r="780" spans="2:15" x14ac:dyDescent="0.2">
      <c r="B780" s="1">
        <v>765</v>
      </c>
      <c r="C780" s="106">
        <f t="shared" ca="1" si="44"/>
        <v>-0.32455042090280312</v>
      </c>
      <c r="D780" s="106">
        <f t="shared" ca="1" si="45"/>
        <v>0.64356565659668663</v>
      </c>
      <c r="E780" s="106">
        <f t="shared" ca="1" si="46"/>
        <v>0</v>
      </c>
      <c r="F780" s="21">
        <f t="shared" ca="1" si="47"/>
        <v>0</v>
      </c>
      <c r="H780" s="21">
        <v>765</v>
      </c>
      <c r="I780" s="107">
        <v>0.66765068675931172</v>
      </c>
      <c r="J780" s="108">
        <v>1.2773113774483765E-3</v>
      </c>
      <c r="K780" s="108"/>
      <c r="L780" s="108">
        <v>3.7600000000000001E-2</v>
      </c>
      <c r="O780" s="105"/>
    </row>
    <row r="781" spans="2:15" x14ac:dyDescent="0.2">
      <c r="B781" s="1">
        <v>766</v>
      </c>
      <c r="C781" s="106">
        <f t="shared" ca="1" si="44"/>
        <v>-0.23265814335561735</v>
      </c>
      <c r="D781" s="106">
        <f t="shared" ca="1" si="45"/>
        <v>0.64942569642274595</v>
      </c>
      <c r="E781" s="106">
        <f t="shared" ca="1" si="46"/>
        <v>0</v>
      </c>
      <c r="F781" s="21">
        <f t="shared" ca="1" si="47"/>
        <v>0</v>
      </c>
      <c r="H781" s="21">
        <v>766</v>
      </c>
      <c r="I781" s="107">
        <v>0.66767132303664423</v>
      </c>
      <c r="J781" s="108">
        <v>1.3432548331535599E-3</v>
      </c>
      <c r="K781" s="108"/>
      <c r="L781" s="108">
        <v>4.2200000000000001E-2</v>
      </c>
      <c r="O781" s="105"/>
    </row>
    <row r="782" spans="2:15" x14ac:dyDescent="0.2">
      <c r="B782" s="1">
        <v>767</v>
      </c>
      <c r="C782" s="106">
        <f t="shared" ca="1" si="44"/>
        <v>0.63216450298118032</v>
      </c>
      <c r="D782" s="106">
        <f t="shared" ca="1" si="45"/>
        <v>0.70725811261089422</v>
      </c>
      <c r="E782" s="106">
        <f t="shared" ca="1" si="46"/>
        <v>0</v>
      </c>
      <c r="F782" s="21">
        <f t="shared" ca="1" si="47"/>
        <v>0</v>
      </c>
      <c r="H782" s="21">
        <v>767</v>
      </c>
      <c r="I782" s="107">
        <v>0.667674509063376</v>
      </c>
      <c r="J782" s="108">
        <v>1.3009661413931604E-3</v>
      </c>
      <c r="K782" s="108"/>
      <c r="L782" s="108">
        <v>4.2799999999999998E-2</v>
      </c>
      <c r="O782" s="105"/>
    </row>
    <row r="783" spans="2:15" x14ac:dyDescent="0.2">
      <c r="B783" s="1">
        <v>768</v>
      </c>
      <c r="C783" s="106">
        <f t="shared" ca="1" si="44"/>
        <v>0.70054430910296916</v>
      </c>
      <c r="D783" s="106">
        <f t="shared" ca="1" si="45"/>
        <v>0.71204474638845483</v>
      </c>
      <c r="E783" s="106">
        <f t="shared" ca="1" si="46"/>
        <v>0</v>
      </c>
      <c r="F783" s="21">
        <f t="shared" ca="1" si="47"/>
        <v>0</v>
      </c>
      <c r="H783" s="21">
        <v>768</v>
      </c>
      <c r="I783" s="107">
        <v>0.66769137727840977</v>
      </c>
      <c r="J783" s="108">
        <v>1.1776389801614513E-3</v>
      </c>
      <c r="K783" s="108"/>
      <c r="L783" s="108">
        <v>4.0599999999999997E-2</v>
      </c>
      <c r="O783" s="105"/>
    </row>
    <row r="784" spans="2:15" x14ac:dyDescent="0.2">
      <c r="B784" s="1">
        <v>769</v>
      </c>
      <c r="C784" s="106">
        <f t="shared" ref="C784:C847" ca="1" si="48">_xlfn.NORM.S.INV(RAND())</f>
        <v>0.51528037059936371</v>
      </c>
      <c r="D784" s="106">
        <f t="shared" ref="D784:D847" ca="1" si="49">S0*EXP((μ-0.5*σ*σ)*T+σ*SQRT(T)*$C784)</f>
        <v>0.6991505337948799</v>
      </c>
      <c r="E784" s="106">
        <f t="shared" ref="E784:E847" ca="1" si="50">MAX(0,CP*(D784-K))</f>
        <v>0</v>
      </c>
      <c r="F784" s="21">
        <f t="shared" ref="F784:F847" ca="1" si="51">(CP*(D784-K)&gt;0)*1</f>
        <v>0</v>
      </c>
      <c r="H784" s="21">
        <v>769</v>
      </c>
      <c r="I784" s="107">
        <v>0.66776271676764687</v>
      </c>
      <c r="J784" s="108">
        <v>1.3947982823076855E-3</v>
      </c>
      <c r="K784" s="108"/>
      <c r="L784" s="108">
        <v>4.48E-2</v>
      </c>
      <c r="O784" s="105"/>
    </row>
    <row r="785" spans="2:15" x14ac:dyDescent="0.2">
      <c r="B785" s="1">
        <v>770</v>
      </c>
      <c r="C785" s="106">
        <f t="shared" ca="1" si="48"/>
        <v>-0.35512472303739706</v>
      </c>
      <c r="D785" s="106">
        <f t="shared" ca="1" si="49"/>
        <v>0.64162765742845562</v>
      </c>
      <c r="E785" s="106">
        <f t="shared" ca="1" si="50"/>
        <v>0</v>
      </c>
      <c r="F785" s="21">
        <f t="shared" ca="1" si="51"/>
        <v>0</v>
      </c>
      <c r="H785" s="21">
        <v>770</v>
      </c>
      <c r="I785" s="107">
        <v>0.66781884445897488</v>
      </c>
      <c r="J785" s="108">
        <v>1.4134183285575436E-3</v>
      </c>
      <c r="K785" s="108"/>
      <c r="L785" s="108">
        <v>4.4600000000000001E-2</v>
      </c>
      <c r="O785" s="105"/>
    </row>
    <row r="786" spans="2:15" x14ac:dyDescent="0.2">
      <c r="B786" s="1">
        <v>771</v>
      </c>
      <c r="C786" s="106">
        <f t="shared" ca="1" si="48"/>
        <v>0.86678728791523385</v>
      </c>
      <c r="D786" s="106">
        <f t="shared" ca="1" si="49"/>
        <v>0.72381742365951052</v>
      </c>
      <c r="E786" s="106">
        <f t="shared" ca="1" si="50"/>
        <v>0</v>
      </c>
      <c r="F786" s="21">
        <f t="shared" ca="1" si="51"/>
        <v>0</v>
      </c>
      <c r="H786" s="21">
        <v>771</v>
      </c>
      <c r="I786" s="107">
        <v>0.66776999877219934</v>
      </c>
      <c r="J786" s="108">
        <v>1.3726258288340122E-3</v>
      </c>
      <c r="K786" s="108"/>
      <c r="L786" s="108">
        <v>4.4400000000000002E-2</v>
      </c>
      <c r="O786" s="105"/>
    </row>
    <row r="787" spans="2:15" x14ac:dyDescent="0.2">
      <c r="B787" s="1">
        <v>772</v>
      </c>
      <c r="C787" s="106">
        <f t="shared" ca="1" si="48"/>
        <v>-0.67439590828463658</v>
      </c>
      <c r="D787" s="106">
        <f t="shared" ca="1" si="49"/>
        <v>0.62173554256095143</v>
      </c>
      <c r="E787" s="106">
        <f t="shared" ca="1" si="50"/>
        <v>0</v>
      </c>
      <c r="F787" s="21">
        <f t="shared" ca="1" si="51"/>
        <v>0</v>
      </c>
      <c r="H787" s="21">
        <v>772</v>
      </c>
      <c r="I787" s="107">
        <v>0.66768081722878225</v>
      </c>
      <c r="J787" s="108">
        <v>1.3140816111397809E-3</v>
      </c>
      <c r="K787" s="108"/>
      <c r="L787" s="108">
        <v>4.0399999999999998E-2</v>
      </c>
      <c r="O787" s="105"/>
    </row>
    <row r="788" spans="2:15" x14ac:dyDescent="0.2">
      <c r="B788" s="1">
        <v>773</v>
      </c>
      <c r="C788" s="106">
        <f t="shared" ca="1" si="48"/>
        <v>1.0841945927339294</v>
      </c>
      <c r="D788" s="106">
        <f t="shared" ca="1" si="49"/>
        <v>0.73950757691554025</v>
      </c>
      <c r="E788" s="106">
        <f t="shared" ca="1" si="50"/>
        <v>0</v>
      </c>
      <c r="F788" s="21">
        <f t="shared" ca="1" si="51"/>
        <v>0</v>
      </c>
      <c r="H788" s="21">
        <v>773</v>
      </c>
      <c r="I788" s="107">
        <v>0.66770319933762579</v>
      </c>
      <c r="J788" s="108">
        <v>1.2699812810795508E-3</v>
      </c>
      <c r="K788" s="108"/>
      <c r="L788" s="108">
        <v>4.1599999999999998E-2</v>
      </c>
      <c r="O788" s="105"/>
    </row>
    <row r="789" spans="2:15" x14ac:dyDescent="0.2">
      <c r="B789" s="1">
        <v>774</v>
      </c>
      <c r="C789" s="106">
        <f t="shared" ca="1" si="48"/>
        <v>-0.37641697597700963</v>
      </c>
      <c r="D789" s="106">
        <f t="shared" ca="1" si="49"/>
        <v>0.64028146358620186</v>
      </c>
      <c r="E789" s="106">
        <f t="shared" ca="1" si="50"/>
        <v>0</v>
      </c>
      <c r="F789" s="21">
        <f t="shared" ca="1" si="51"/>
        <v>0</v>
      </c>
      <c r="H789" s="21">
        <v>774</v>
      </c>
      <c r="I789" s="107">
        <v>0.66767550093319439</v>
      </c>
      <c r="J789" s="108">
        <v>1.2728460449763365E-3</v>
      </c>
      <c r="K789" s="108"/>
      <c r="L789" s="108">
        <v>4.1599999999999998E-2</v>
      </c>
      <c r="O789" s="105"/>
    </row>
    <row r="790" spans="2:15" x14ac:dyDescent="0.2">
      <c r="B790" s="1">
        <v>775</v>
      </c>
      <c r="C790" s="106">
        <f t="shared" ca="1" si="48"/>
        <v>-0.66474779184993027</v>
      </c>
      <c r="D790" s="106">
        <f t="shared" ca="1" si="49"/>
        <v>0.62232753179397315</v>
      </c>
      <c r="E790" s="106">
        <f t="shared" ca="1" si="50"/>
        <v>0</v>
      </c>
      <c r="F790" s="21">
        <f t="shared" ca="1" si="51"/>
        <v>0</v>
      </c>
      <c r="H790" s="21">
        <v>775</v>
      </c>
      <c r="I790" s="107">
        <v>0.66764859083955708</v>
      </c>
      <c r="J790" s="108">
        <v>1.2014447770623711E-3</v>
      </c>
      <c r="K790" s="108"/>
      <c r="L790" s="108">
        <v>3.9600000000000003E-2</v>
      </c>
      <c r="O790" s="105"/>
    </row>
    <row r="791" spans="2:15" x14ac:dyDescent="0.2">
      <c r="B791" s="1">
        <v>776</v>
      </c>
      <c r="C791" s="106">
        <f t="shared" ca="1" si="48"/>
        <v>-0.57269187181554848</v>
      </c>
      <c r="D791" s="106">
        <f t="shared" ca="1" si="49"/>
        <v>0.62800432324282152</v>
      </c>
      <c r="E791" s="106">
        <f t="shared" ca="1" si="50"/>
        <v>0</v>
      </c>
      <c r="F791" s="21">
        <f t="shared" ca="1" si="51"/>
        <v>0</v>
      </c>
      <c r="H791" s="21">
        <v>776</v>
      </c>
      <c r="I791" s="107">
        <v>0.66773070404039614</v>
      </c>
      <c r="J791" s="108">
        <v>1.3819002456697822E-3</v>
      </c>
      <c r="K791" s="108"/>
      <c r="L791" s="108">
        <v>4.0599999999999997E-2</v>
      </c>
      <c r="O791" s="105"/>
    </row>
    <row r="792" spans="2:15" x14ac:dyDescent="0.2">
      <c r="B792" s="1">
        <v>777</v>
      </c>
      <c r="C792" s="106">
        <f t="shared" ca="1" si="48"/>
        <v>-0.15592553306491008</v>
      </c>
      <c r="D792" s="106">
        <f t="shared" ca="1" si="49"/>
        <v>0.65435985345756653</v>
      </c>
      <c r="E792" s="106">
        <f t="shared" ca="1" si="50"/>
        <v>0</v>
      </c>
      <c r="F792" s="21">
        <f t="shared" ca="1" si="51"/>
        <v>0</v>
      </c>
      <c r="H792" s="21">
        <v>777</v>
      </c>
      <c r="I792" s="107">
        <v>0.6678168840028067</v>
      </c>
      <c r="J792" s="108">
        <v>1.4387360104651584E-3</v>
      </c>
      <c r="K792" s="108"/>
      <c r="L792" s="108">
        <v>4.6600000000000003E-2</v>
      </c>
      <c r="O792" s="105"/>
    </row>
    <row r="793" spans="2:15" x14ac:dyDescent="0.2">
      <c r="B793" s="1">
        <v>778</v>
      </c>
      <c r="C793" s="106">
        <f t="shared" ca="1" si="48"/>
        <v>-2.1245221371224559</v>
      </c>
      <c r="D793" s="106">
        <f t="shared" ca="1" si="49"/>
        <v>0.53886897691343894</v>
      </c>
      <c r="E793" s="106">
        <f t="shared" ca="1" si="50"/>
        <v>0</v>
      </c>
      <c r="F793" s="21">
        <f t="shared" ca="1" si="51"/>
        <v>0</v>
      </c>
      <c r="H793" s="21">
        <v>778</v>
      </c>
      <c r="I793" s="107">
        <v>0.66780785677974486</v>
      </c>
      <c r="J793" s="108">
        <v>1.389505267864524E-3</v>
      </c>
      <c r="K793" s="108"/>
      <c r="L793" s="108">
        <v>4.1000000000000002E-2</v>
      </c>
      <c r="O793" s="105"/>
    </row>
    <row r="794" spans="2:15" x14ac:dyDescent="0.2">
      <c r="B794" s="1">
        <v>779</v>
      </c>
      <c r="C794" s="106">
        <f t="shared" ca="1" si="48"/>
        <v>-0.5362964328706995</v>
      </c>
      <c r="D794" s="106">
        <f t="shared" ca="1" si="49"/>
        <v>0.63026296996655906</v>
      </c>
      <c r="E794" s="106">
        <f t="shared" ca="1" si="50"/>
        <v>0</v>
      </c>
      <c r="F794" s="21">
        <f t="shared" ca="1" si="51"/>
        <v>0</v>
      </c>
      <c r="H794" s="21">
        <v>779</v>
      </c>
      <c r="I794" s="107">
        <v>0.66772571559355642</v>
      </c>
      <c r="J794" s="108">
        <v>1.4509549408057208E-3</v>
      </c>
      <c r="K794" s="108"/>
      <c r="L794" s="108">
        <v>4.1399999999999999E-2</v>
      </c>
      <c r="O794" s="105"/>
    </row>
    <row r="795" spans="2:15" x14ac:dyDescent="0.2">
      <c r="B795" s="1">
        <v>780</v>
      </c>
      <c r="C795" s="106">
        <f t="shared" ca="1" si="48"/>
        <v>-0.69160527304084651</v>
      </c>
      <c r="D795" s="106">
        <f t="shared" ca="1" si="49"/>
        <v>0.62068100787689551</v>
      </c>
      <c r="E795" s="106">
        <f t="shared" ca="1" si="50"/>
        <v>0</v>
      </c>
      <c r="F795" s="21">
        <f t="shared" ca="1" si="51"/>
        <v>0</v>
      </c>
      <c r="H795" s="21">
        <v>780</v>
      </c>
      <c r="I795" s="107">
        <v>0.66763135307459953</v>
      </c>
      <c r="J795" s="108">
        <v>1.2673443649813506E-3</v>
      </c>
      <c r="K795" s="108"/>
      <c r="L795" s="108">
        <v>4.0599999999999997E-2</v>
      </c>
      <c r="O795" s="105"/>
    </row>
    <row r="796" spans="2:15" x14ac:dyDescent="0.2">
      <c r="B796" s="1">
        <v>781</v>
      </c>
      <c r="C796" s="106">
        <f t="shared" ca="1" si="48"/>
        <v>0.7455648561918935</v>
      </c>
      <c r="D796" s="106">
        <f t="shared" ca="1" si="49"/>
        <v>0.71521388794616469</v>
      </c>
      <c r="E796" s="106">
        <f t="shared" ca="1" si="50"/>
        <v>0</v>
      </c>
      <c r="F796" s="21">
        <f t="shared" ca="1" si="51"/>
        <v>0</v>
      </c>
      <c r="H796" s="21">
        <v>781</v>
      </c>
      <c r="I796" s="107">
        <v>0.66754010991229495</v>
      </c>
      <c r="J796" s="108">
        <v>1.1305567540590832E-3</v>
      </c>
      <c r="K796" s="108"/>
      <c r="L796" s="108">
        <v>3.7400000000000003E-2</v>
      </c>
      <c r="O796" s="105"/>
    </row>
    <row r="797" spans="2:15" x14ac:dyDescent="0.2">
      <c r="B797" s="1">
        <v>782</v>
      </c>
      <c r="C797" s="106">
        <f t="shared" ca="1" si="48"/>
        <v>-0.39688390019107173</v>
      </c>
      <c r="D797" s="106">
        <f t="shared" ca="1" si="49"/>
        <v>0.63899011322112742</v>
      </c>
      <c r="E797" s="106">
        <f t="shared" ca="1" si="50"/>
        <v>0</v>
      </c>
      <c r="F797" s="21">
        <f t="shared" ca="1" si="51"/>
        <v>0</v>
      </c>
      <c r="H797" s="21">
        <v>782</v>
      </c>
      <c r="I797" s="107">
        <v>0.66779781424152951</v>
      </c>
      <c r="J797" s="108">
        <v>1.4630676244506177E-3</v>
      </c>
      <c r="K797" s="108"/>
      <c r="L797" s="108">
        <v>4.3999999999999997E-2</v>
      </c>
      <c r="O797" s="105"/>
    </row>
    <row r="798" spans="2:15" x14ac:dyDescent="0.2">
      <c r="B798" s="1">
        <v>783</v>
      </c>
      <c r="C798" s="106">
        <f t="shared" ca="1" si="48"/>
        <v>0.89781556372938842</v>
      </c>
      <c r="D798" s="106">
        <f t="shared" ca="1" si="49"/>
        <v>0.726036183838212</v>
      </c>
      <c r="E798" s="106">
        <f t="shared" ca="1" si="50"/>
        <v>0</v>
      </c>
      <c r="F798" s="21">
        <f t="shared" ca="1" si="51"/>
        <v>0</v>
      </c>
      <c r="H798" s="21">
        <v>783</v>
      </c>
      <c r="I798" s="107">
        <v>0.66772085498448808</v>
      </c>
      <c r="J798" s="108">
        <v>1.3784071277585274E-3</v>
      </c>
      <c r="K798" s="108"/>
      <c r="L798" s="108">
        <v>3.9199999999999999E-2</v>
      </c>
      <c r="O798" s="105"/>
    </row>
    <row r="799" spans="2:15" x14ac:dyDescent="0.2">
      <c r="B799" s="1">
        <v>784</v>
      </c>
      <c r="C799" s="106">
        <f t="shared" ca="1" si="48"/>
        <v>-0.65528701727536898</v>
      </c>
      <c r="D799" s="106">
        <f t="shared" ca="1" si="49"/>
        <v>0.62290857345465811</v>
      </c>
      <c r="E799" s="106">
        <f t="shared" ca="1" si="50"/>
        <v>0</v>
      </c>
      <c r="F799" s="21">
        <f t="shared" ca="1" si="51"/>
        <v>0</v>
      </c>
      <c r="H799" s="21">
        <v>784</v>
      </c>
      <c r="I799" s="107">
        <v>0.66771365262067972</v>
      </c>
      <c r="J799" s="108">
        <v>1.3607156353554316E-3</v>
      </c>
      <c r="K799" s="108"/>
      <c r="L799" s="108">
        <v>4.1000000000000002E-2</v>
      </c>
      <c r="O799" s="105"/>
    </row>
    <row r="800" spans="2:15" x14ac:dyDescent="0.2">
      <c r="B800" s="1">
        <v>785</v>
      </c>
      <c r="C800" s="106">
        <f t="shared" ca="1" si="48"/>
        <v>-0.50438346568200687</v>
      </c>
      <c r="D800" s="106">
        <f t="shared" ca="1" si="49"/>
        <v>0.63225012441482409</v>
      </c>
      <c r="E800" s="106">
        <f t="shared" ca="1" si="50"/>
        <v>0</v>
      </c>
      <c r="F800" s="21">
        <f t="shared" ca="1" si="51"/>
        <v>0</v>
      </c>
      <c r="H800" s="21">
        <v>785</v>
      </c>
      <c r="I800" s="107">
        <v>0.66772060453770454</v>
      </c>
      <c r="J800" s="108">
        <v>1.2680218239386923E-3</v>
      </c>
      <c r="K800" s="108"/>
      <c r="L800" s="108">
        <v>3.9399999999999998E-2</v>
      </c>
      <c r="O800" s="105"/>
    </row>
    <row r="801" spans="2:15" x14ac:dyDescent="0.2">
      <c r="B801" s="1">
        <v>786</v>
      </c>
      <c r="C801" s="106">
        <f t="shared" ca="1" si="48"/>
        <v>-0.70269594815017866</v>
      </c>
      <c r="D801" s="106">
        <f t="shared" ca="1" si="49"/>
        <v>0.62000235482977351</v>
      </c>
      <c r="E801" s="106">
        <f t="shared" ca="1" si="50"/>
        <v>0</v>
      </c>
      <c r="F801" s="21">
        <f t="shared" ca="1" si="51"/>
        <v>0</v>
      </c>
      <c r="H801" s="21">
        <v>786</v>
      </c>
      <c r="I801" s="107">
        <v>0.66775570326527645</v>
      </c>
      <c r="J801" s="108">
        <v>1.3501834203598706E-3</v>
      </c>
      <c r="K801" s="108"/>
      <c r="L801" s="108">
        <v>4.2000000000000003E-2</v>
      </c>
      <c r="O801" s="105"/>
    </row>
    <row r="802" spans="2:15" x14ac:dyDescent="0.2">
      <c r="B802" s="1">
        <v>787</v>
      </c>
      <c r="C802" s="106">
        <f t="shared" ca="1" si="48"/>
        <v>-2.2824601078623181</v>
      </c>
      <c r="D802" s="106">
        <f t="shared" ca="1" si="49"/>
        <v>0.53053888016675999</v>
      </c>
      <c r="E802" s="106">
        <f t="shared" ca="1" si="50"/>
        <v>0</v>
      </c>
      <c r="F802" s="21">
        <f t="shared" ca="1" si="51"/>
        <v>0</v>
      </c>
      <c r="H802" s="21">
        <v>787</v>
      </c>
      <c r="I802" s="107">
        <v>0.66783857236707656</v>
      </c>
      <c r="J802" s="108">
        <v>1.3829148664109248E-3</v>
      </c>
      <c r="K802" s="108"/>
      <c r="L802" s="108">
        <v>4.7E-2</v>
      </c>
      <c r="O802" s="105"/>
    </row>
    <row r="803" spans="2:15" x14ac:dyDescent="0.2">
      <c r="B803" s="1">
        <v>788</v>
      </c>
      <c r="C803" s="106">
        <f t="shared" ca="1" si="48"/>
        <v>1.2581185831106871</v>
      </c>
      <c r="D803" s="106">
        <f t="shared" ca="1" si="49"/>
        <v>0.75230409291698519</v>
      </c>
      <c r="E803" s="106">
        <f t="shared" ca="1" si="50"/>
        <v>0</v>
      </c>
      <c r="F803" s="21">
        <f t="shared" ca="1" si="51"/>
        <v>0</v>
      </c>
      <c r="H803" s="21">
        <v>788</v>
      </c>
      <c r="I803" s="107">
        <v>0.66786470284258714</v>
      </c>
      <c r="J803" s="108">
        <v>1.5597422010389644E-3</v>
      </c>
      <c r="K803" s="108"/>
      <c r="L803" s="108">
        <v>4.5199999999999997E-2</v>
      </c>
      <c r="O803" s="105"/>
    </row>
    <row r="804" spans="2:15" x14ac:dyDescent="0.2">
      <c r="B804" s="1">
        <v>789</v>
      </c>
      <c r="C804" s="106">
        <f t="shared" ca="1" si="48"/>
        <v>0.34740271087700619</v>
      </c>
      <c r="D804" s="106">
        <f t="shared" ca="1" si="49"/>
        <v>0.68766816279240439</v>
      </c>
      <c r="E804" s="106">
        <f t="shared" ca="1" si="50"/>
        <v>0</v>
      </c>
      <c r="F804" s="21">
        <f t="shared" ca="1" si="51"/>
        <v>0</v>
      </c>
      <c r="H804" s="21">
        <v>789</v>
      </c>
      <c r="I804" s="107">
        <v>0.66755805797800893</v>
      </c>
      <c r="J804" s="108">
        <v>1.0580482383894792E-3</v>
      </c>
      <c r="K804" s="108"/>
      <c r="L804" s="108">
        <v>3.5799999999999998E-2</v>
      </c>
      <c r="O804" s="105"/>
    </row>
    <row r="805" spans="2:15" x14ac:dyDescent="0.2">
      <c r="B805" s="1">
        <v>790</v>
      </c>
      <c r="C805" s="106">
        <f t="shared" ca="1" si="48"/>
        <v>-1.0674396433677991</v>
      </c>
      <c r="D805" s="106">
        <f t="shared" ca="1" si="49"/>
        <v>0.59809193194428378</v>
      </c>
      <c r="E805" s="106">
        <f t="shared" ca="1" si="50"/>
        <v>0</v>
      </c>
      <c r="F805" s="21">
        <f t="shared" ca="1" si="51"/>
        <v>0</v>
      </c>
      <c r="H805" s="21">
        <v>790</v>
      </c>
      <c r="I805" s="107">
        <v>0.66766537933717474</v>
      </c>
      <c r="J805" s="108">
        <v>1.3326846590882193E-3</v>
      </c>
      <c r="K805" s="108"/>
      <c r="L805" s="108">
        <v>3.8399999999999997E-2</v>
      </c>
      <c r="O805" s="105"/>
    </row>
    <row r="806" spans="2:15" x14ac:dyDescent="0.2">
      <c r="B806" s="1">
        <v>791</v>
      </c>
      <c r="C806" s="106">
        <f t="shared" ca="1" si="48"/>
        <v>1.705861176511557</v>
      </c>
      <c r="D806" s="106">
        <f t="shared" ca="1" si="49"/>
        <v>0.78627495289681093</v>
      </c>
      <c r="E806" s="106">
        <f t="shared" ca="1" si="50"/>
        <v>0</v>
      </c>
      <c r="F806" s="21">
        <f t="shared" ca="1" si="51"/>
        <v>0</v>
      </c>
      <c r="H806" s="21">
        <v>791</v>
      </c>
      <c r="I806" s="107">
        <v>0.66777554706687747</v>
      </c>
      <c r="J806" s="108">
        <v>1.4185044390473385E-3</v>
      </c>
      <c r="K806" s="108"/>
      <c r="L806" s="108">
        <v>4.4400000000000002E-2</v>
      </c>
      <c r="O806" s="105"/>
    </row>
    <row r="807" spans="2:15" x14ac:dyDescent="0.2">
      <c r="B807" s="1">
        <v>792</v>
      </c>
      <c r="C807" s="106">
        <f t="shared" ca="1" si="48"/>
        <v>0.92932741238859939</v>
      </c>
      <c r="D807" s="106">
        <f t="shared" ca="1" si="49"/>
        <v>0.7282964844210541</v>
      </c>
      <c r="E807" s="106">
        <f t="shared" ca="1" si="50"/>
        <v>0</v>
      </c>
      <c r="F807" s="21">
        <f t="shared" ca="1" si="51"/>
        <v>0</v>
      </c>
      <c r="H807" s="21">
        <v>792</v>
      </c>
      <c r="I807" s="107">
        <v>0.66757032598771093</v>
      </c>
      <c r="J807" s="108">
        <v>1.1248988903111313E-3</v>
      </c>
      <c r="K807" s="108"/>
      <c r="L807" s="108">
        <v>3.8800000000000001E-2</v>
      </c>
      <c r="O807" s="105"/>
    </row>
    <row r="808" spans="2:15" x14ac:dyDescent="0.2">
      <c r="B808" s="1">
        <v>793</v>
      </c>
      <c r="C808" s="106">
        <f t="shared" ca="1" si="48"/>
        <v>-0.61998555619279905</v>
      </c>
      <c r="D808" s="106">
        <f t="shared" ca="1" si="49"/>
        <v>0.62508143600836075</v>
      </c>
      <c r="E808" s="106">
        <f t="shared" ca="1" si="50"/>
        <v>0</v>
      </c>
      <c r="F808" s="21">
        <f t="shared" ca="1" si="51"/>
        <v>0</v>
      </c>
      <c r="H808" s="21">
        <v>793</v>
      </c>
      <c r="I808" s="107">
        <v>0.66777910498075466</v>
      </c>
      <c r="J808" s="108">
        <v>1.4505372290986823E-3</v>
      </c>
      <c r="K808" s="108"/>
      <c r="L808" s="108">
        <v>4.2200000000000001E-2</v>
      </c>
      <c r="O808" s="105"/>
    </row>
    <row r="809" spans="2:15" x14ac:dyDescent="0.2">
      <c r="B809" s="1">
        <v>794</v>
      </c>
      <c r="C809" s="106">
        <f t="shared" ca="1" si="48"/>
        <v>-1.3781173871075703</v>
      </c>
      <c r="D809" s="106">
        <f t="shared" ca="1" si="49"/>
        <v>0.58004101117015994</v>
      </c>
      <c r="E809" s="106">
        <f t="shared" ca="1" si="50"/>
        <v>0</v>
      </c>
      <c r="F809" s="21">
        <f t="shared" ca="1" si="51"/>
        <v>0</v>
      </c>
      <c r="H809" s="21">
        <v>794</v>
      </c>
      <c r="I809" s="107">
        <v>0.66765277022840064</v>
      </c>
      <c r="J809" s="108">
        <v>1.3097916631896361E-3</v>
      </c>
      <c r="K809" s="108"/>
      <c r="L809" s="108">
        <v>3.9399999999999998E-2</v>
      </c>
      <c r="O809" s="105"/>
    </row>
    <row r="810" spans="2:15" x14ac:dyDescent="0.2">
      <c r="B810" s="1">
        <v>795</v>
      </c>
      <c r="C810" s="106">
        <f t="shared" ca="1" si="48"/>
        <v>-0.36549404427884918</v>
      </c>
      <c r="D810" s="106">
        <f t="shared" ca="1" si="49"/>
        <v>0.64097170821288219</v>
      </c>
      <c r="E810" s="106">
        <f t="shared" ca="1" si="50"/>
        <v>0</v>
      </c>
      <c r="F810" s="21">
        <f t="shared" ca="1" si="51"/>
        <v>0</v>
      </c>
      <c r="H810" s="21">
        <v>795</v>
      </c>
      <c r="I810" s="107">
        <v>0.66774940592993459</v>
      </c>
      <c r="J810" s="108">
        <v>1.4148758096588774E-3</v>
      </c>
      <c r="K810" s="108"/>
      <c r="L810" s="108">
        <v>4.2200000000000001E-2</v>
      </c>
      <c r="O810" s="105"/>
    </row>
    <row r="811" spans="2:15" x14ac:dyDescent="0.2">
      <c r="B811" s="1">
        <v>796</v>
      </c>
      <c r="C811" s="106">
        <f t="shared" ca="1" si="48"/>
        <v>-0.20755897761766512</v>
      </c>
      <c r="D811" s="106">
        <f t="shared" ca="1" si="49"/>
        <v>0.6510355463158799</v>
      </c>
      <c r="E811" s="106">
        <f t="shared" ca="1" si="50"/>
        <v>0</v>
      </c>
      <c r="F811" s="21">
        <f t="shared" ca="1" si="51"/>
        <v>0</v>
      </c>
      <c r="H811" s="21">
        <v>796</v>
      </c>
      <c r="I811" s="107">
        <v>0.66783471635511915</v>
      </c>
      <c r="J811" s="108">
        <v>1.4837883078569322E-3</v>
      </c>
      <c r="K811" s="108"/>
      <c r="L811" s="108">
        <v>4.4400000000000002E-2</v>
      </c>
      <c r="O811" s="105"/>
    </row>
    <row r="812" spans="2:15" x14ac:dyDescent="0.2">
      <c r="B812" s="1">
        <v>797</v>
      </c>
      <c r="C812" s="106">
        <f t="shared" ca="1" si="48"/>
        <v>-0.95037806436680339</v>
      </c>
      <c r="D812" s="106">
        <f t="shared" ca="1" si="49"/>
        <v>0.60503819231531264</v>
      </c>
      <c r="E812" s="106">
        <f t="shared" ca="1" si="50"/>
        <v>0</v>
      </c>
      <c r="F812" s="21">
        <f t="shared" ca="1" si="51"/>
        <v>0</v>
      </c>
      <c r="H812" s="21">
        <v>797</v>
      </c>
      <c r="I812" s="107">
        <v>0.66763781970870673</v>
      </c>
      <c r="J812" s="108">
        <v>1.1658469139919005E-3</v>
      </c>
      <c r="K812" s="108"/>
      <c r="L812" s="108">
        <v>3.9E-2</v>
      </c>
      <c r="O812" s="105"/>
    </row>
    <row r="813" spans="2:15" x14ac:dyDescent="0.2">
      <c r="B813" s="1">
        <v>798</v>
      </c>
      <c r="C813" s="106">
        <f t="shared" ca="1" si="48"/>
        <v>-0.91122051380115188</v>
      </c>
      <c r="D813" s="106">
        <f t="shared" ca="1" si="49"/>
        <v>0.60737970341344816</v>
      </c>
      <c r="E813" s="106">
        <f t="shared" ca="1" si="50"/>
        <v>0</v>
      </c>
      <c r="F813" s="21">
        <f t="shared" ca="1" si="51"/>
        <v>0</v>
      </c>
      <c r="H813" s="21">
        <v>798</v>
      </c>
      <c r="I813" s="107">
        <v>0.66773024784045376</v>
      </c>
      <c r="J813" s="108">
        <v>1.4087112485073013E-3</v>
      </c>
      <c r="K813" s="108"/>
      <c r="L813" s="108">
        <v>4.24E-2</v>
      </c>
      <c r="O813" s="105"/>
    </row>
    <row r="814" spans="2:15" x14ac:dyDescent="0.2">
      <c r="B814" s="1">
        <v>799</v>
      </c>
      <c r="C814" s="106">
        <f t="shared" ca="1" si="48"/>
        <v>-0.30856714077460334</v>
      </c>
      <c r="D814" s="106">
        <f t="shared" ca="1" si="49"/>
        <v>0.6445811101740736</v>
      </c>
      <c r="E814" s="106">
        <f t="shared" ca="1" si="50"/>
        <v>0</v>
      </c>
      <c r="F814" s="21">
        <f t="shared" ca="1" si="51"/>
        <v>0</v>
      </c>
      <c r="H814" s="21">
        <v>799</v>
      </c>
      <c r="I814" s="107">
        <v>0.66766282530759202</v>
      </c>
      <c r="J814" s="108">
        <v>1.1759679230939572E-3</v>
      </c>
      <c r="K814" s="108"/>
      <c r="L814" s="108">
        <v>3.7999999999999999E-2</v>
      </c>
      <c r="O814" s="105"/>
    </row>
    <row r="815" spans="2:15" x14ac:dyDescent="0.2">
      <c r="B815" s="1">
        <v>800</v>
      </c>
      <c r="C815" s="106">
        <f t="shared" ca="1" si="48"/>
        <v>0.70928214567518022</v>
      </c>
      <c r="D815" s="106">
        <f t="shared" ca="1" si="49"/>
        <v>0.71265873070811792</v>
      </c>
      <c r="E815" s="106">
        <f t="shared" ca="1" si="50"/>
        <v>0</v>
      </c>
      <c r="F815" s="21">
        <f t="shared" ca="1" si="51"/>
        <v>0</v>
      </c>
      <c r="H815" s="21">
        <v>800</v>
      </c>
      <c r="I815" s="107">
        <v>0.6677970237418025</v>
      </c>
      <c r="J815" s="108">
        <v>1.3848653928011621E-3</v>
      </c>
      <c r="K815" s="108"/>
      <c r="L815" s="108">
        <v>4.36E-2</v>
      </c>
      <c r="O815" s="105"/>
    </row>
    <row r="816" spans="2:15" x14ac:dyDescent="0.2">
      <c r="B816" s="1">
        <v>801</v>
      </c>
      <c r="C816" s="106">
        <f t="shared" ca="1" si="48"/>
        <v>0.51909949577278802</v>
      </c>
      <c r="D816" s="106">
        <f t="shared" ca="1" si="49"/>
        <v>0.69941396989837901</v>
      </c>
      <c r="E816" s="106">
        <f t="shared" ca="1" si="50"/>
        <v>0</v>
      </c>
      <c r="F816" s="21">
        <f t="shared" ca="1" si="51"/>
        <v>0</v>
      </c>
      <c r="H816" s="21">
        <v>801</v>
      </c>
      <c r="I816" s="107">
        <v>0.6677146148199663</v>
      </c>
      <c r="J816" s="108">
        <v>1.3679884005074249E-3</v>
      </c>
      <c r="K816" s="108"/>
      <c r="L816" s="108">
        <v>4.2799999999999998E-2</v>
      </c>
      <c r="O816" s="105"/>
    </row>
    <row r="817" spans="2:15" x14ac:dyDescent="0.2">
      <c r="B817" s="1">
        <v>802</v>
      </c>
      <c r="C817" s="106">
        <f t="shared" ca="1" si="48"/>
        <v>-2.1379174296783293E-2</v>
      </c>
      <c r="D817" s="106">
        <f t="shared" ca="1" si="49"/>
        <v>0.66310229274469312</v>
      </c>
      <c r="E817" s="106">
        <f t="shared" ca="1" si="50"/>
        <v>0</v>
      </c>
      <c r="F817" s="21">
        <f t="shared" ca="1" si="51"/>
        <v>0</v>
      </c>
      <c r="H817" s="21">
        <v>802</v>
      </c>
      <c r="I817" s="107">
        <v>0.66776491178447184</v>
      </c>
      <c r="J817" s="108">
        <v>1.4562780310883284E-3</v>
      </c>
      <c r="K817" s="108"/>
      <c r="L817" s="108">
        <v>4.36E-2</v>
      </c>
      <c r="O817" s="105"/>
    </row>
    <row r="818" spans="2:15" x14ac:dyDescent="0.2">
      <c r="B818" s="1">
        <v>803</v>
      </c>
      <c r="C818" s="106">
        <f t="shared" ca="1" si="48"/>
        <v>-0.76564839544249952</v>
      </c>
      <c r="D818" s="106">
        <f t="shared" ca="1" si="49"/>
        <v>0.61616424733905362</v>
      </c>
      <c r="E818" s="106">
        <f t="shared" ca="1" si="50"/>
        <v>0</v>
      </c>
      <c r="F818" s="21">
        <f t="shared" ca="1" si="51"/>
        <v>0</v>
      </c>
      <c r="H818" s="21">
        <v>803</v>
      </c>
      <c r="I818" s="107">
        <v>0.66776574301156166</v>
      </c>
      <c r="J818" s="108">
        <v>1.4969020173544077E-3</v>
      </c>
      <c r="K818" s="108"/>
      <c r="L818" s="108">
        <v>4.2599999999999999E-2</v>
      </c>
      <c r="O818" s="105"/>
    </row>
    <row r="819" spans="2:15" x14ac:dyDescent="0.2">
      <c r="B819" s="1">
        <v>804</v>
      </c>
      <c r="C819" s="106">
        <f t="shared" ca="1" si="48"/>
        <v>0.36891277838082359</v>
      </c>
      <c r="D819" s="106">
        <f t="shared" ca="1" si="49"/>
        <v>0.68912879345218547</v>
      </c>
      <c r="E819" s="106">
        <f t="shared" ca="1" si="50"/>
        <v>0</v>
      </c>
      <c r="F819" s="21">
        <f t="shared" ca="1" si="51"/>
        <v>0</v>
      </c>
      <c r="H819" s="21">
        <v>804</v>
      </c>
      <c r="I819" s="107">
        <v>0.66780721280429223</v>
      </c>
      <c r="J819" s="108">
        <v>1.5474770613324719E-3</v>
      </c>
      <c r="K819" s="108"/>
      <c r="L819" s="108">
        <v>4.4999999999999998E-2</v>
      </c>
      <c r="O819" s="105"/>
    </row>
    <row r="820" spans="2:15" x14ac:dyDescent="0.2">
      <c r="B820" s="1">
        <v>805</v>
      </c>
      <c r="C820" s="106">
        <f t="shared" ca="1" si="48"/>
        <v>0.19894354432981792</v>
      </c>
      <c r="D820" s="106">
        <f t="shared" ca="1" si="49"/>
        <v>0.67767118406575544</v>
      </c>
      <c r="E820" s="106">
        <f t="shared" ca="1" si="50"/>
        <v>0</v>
      </c>
      <c r="F820" s="21">
        <f t="shared" ca="1" si="51"/>
        <v>0</v>
      </c>
      <c r="H820" s="21">
        <v>805</v>
      </c>
      <c r="I820" s="107">
        <v>0.66779430874309742</v>
      </c>
      <c r="J820" s="108">
        <v>1.3552350993652096E-3</v>
      </c>
      <c r="K820" s="108"/>
      <c r="L820" s="108">
        <v>4.24E-2</v>
      </c>
      <c r="O820" s="105"/>
    </row>
    <row r="821" spans="2:15" x14ac:dyDescent="0.2">
      <c r="B821" s="1">
        <v>806</v>
      </c>
      <c r="C821" s="106">
        <f t="shared" ca="1" si="48"/>
        <v>0.62698446828252696</v>
      </c>
      <c r="D821" s="106">
        <f t="shared" ca="1" si="49"/>
        <v>0.70689682043447066</v>
      </c>
      <c r="E821" s="106">
        <f t="shared" ca="1" si="50"/>
        <v>0</v>
      </c>
      <c r="F821" s="21">
        <f t="shared" ca="1" si="51"/>
        <v>0</v>
      </c>
      <c r="H821" s="21">
        <v>806</v>
      </c>
      <c r="I821" s="107">
        <v>0.66767983907374606</v>
      </c>
      <c r="J821" s="108">
        <v>1.2296182285179201E-3</v>
      </c>
      <c r="K821" s="108"/>
      <c r="L821" s="108">
        <v>4.1000000000000002E-2</v>
      </c>
      <c r="O821" s="105"/>
    </row>
    <row r="822" spans="2:15" x14ac:dyDescent="0.2">
      <c r="B822" s="1">
        <v>807</v>
      </c>
      <c r="C822" s="106">
        <f t="shared" ca="1" si="48"/>
        <v>0.30718957863736768</v>
      </c>
      <c r="D822" s="106">
        <f t="shared" ca="1" si="49"/>
        <v>0.68494580844863273</v>
      </c>
      <c r="E822" s="106">
        <f t="shared" ca="1" si="50"/>
        <v>0</v>
      </c>
      <c r="F822" s="21">
        <f t="shared" ca="1" si="51"/>
        <v>0</v>
      </c>
      <c r="H822" s="21">
        <v>807</v>
      </c>
      <c r="I822" s="107">
        <v>0.66771152025719149</v>
      </c>
      <c r="J822" s="108">
        <v>1.3086374040476403E-3</v>
      </c>
      <c r="K822" s="108"/>
      <c r="L822" s="108">
        <v>4.1399999999999999E-2</v>
      </c>
      <c r="O822" s="105"/>
    </row>
    <row r="823" spans="2:15" x14ac:dyDescent="0.2">
      <c r="B823" s="1">
        <v>808</v>
      </c>
      <c r="C823" s="106">
        <f t="shared" ca="1" si="48"/>
        <v>2.3994174086946982</v>
      </c>
      <c r="D823" s="106">
        <f t="shared" ca="1" si="49"/>
        <v>0.84194934351872808</v>
      </c>
      <c r="E823" s="106">
        <f t="shared" ca="1" si="50"/>
        <v>5.3749343518728065E-2</v>
      </c>
      <c r="F823" s="21">
        <f t="shared" ca="1" si="51"/>
        <v>1</v>
      </c>
      <c r="H823" s="21">
        <v>808</v>
      </c>
      <c r="I823" s="107">
        <v>0.66761606874744739</v>
      </c>
      <c r="J823" s="108">
        <v>1.3202183535340948E-3</v>
      </c>
      <c r="K823" s="108"/>
      <c r="L823" s="108">
        <v>3.9199999999999999E-2</v>
      </c>
      <c r="O823" s="105"/>
    </row>
    <row r="824" spans="2:15" x14ac:dyDescent="0.2">
      <c r="B824" s="1">
        <v>809</v>
      </c>
      <c r="C824" s="106">
        <f t="shared" ca="1" si="48"/>
        <v>-0.2271645111316434</v>
      </c>
      <c r="D824" s="106">
        <f t="shared" ca="1" si="49"/>
        <v>0.64977771503659787</v>
      </c>
      <c r="E824" s="106">
        <f t="shared" ca="1" si="50"/>
        <v>0</v>
      </c>
      <c r="F824" s="21">
        <f t="shared" ca="1" si="51"/>
        <v>0</v>
      </c>
      <c r="H824" s="21">
        <v>809</v>
      </c>
      <c r="I824" s="107">
        <v>0.6678725548004999</v>
      </c>
      <c r="J824" s="108">
        <v>1.5493531097238757E-3</v>
      </c>
      <c r="K824" s="108"/>
      <c r="L824" s="108">
        <v>4.3999999999999997E-2</v>
      </c>
      <c r="O824" s="105"/>
    </row>
    <row r="825" spans="2:15" x14ac:dyDescent="0.2">
      <c r="B825" s="1">
        <v>810</v>
      </c>
      <c r="C825" s="106">
        <f t="shared" ca="1" si="48"/>
        <v>-0.52002292345651435</v>
      </c>
      <c r="D825" s="106">
        <f t="shared" ca="1" si="49"/>
        <v>0.63127550610361072</v>
      </c>
      <c r="E825" s="106">
        <f t="shared" ca="1" si="50"/>
        <v>0</v>
      </c>
      <c r="F825" s="21">
        <f t="shared" ca="1" si="51"/>
        <v>0</v>
      </c>
      <c r="H825" s="21">
        <v>810</v>
      </c>
      <c r="I825" s="107">
        <v>0.66774365240382505</v>
      </c>
      <c r="J825" s="108">
        <v>1.3548809145898101E-3</v>
      </c>
      <c r="K825" s="108"/>
      <c r="L825" s="108">
        <v>4.24E-2</v>
      </c>
      <c r="O825" s="105"/>
    </row>
    <row r="826" spans="2:15" x14ac:dyDescent="0.2">
      <c r="B826" s="1">
        <v>811</v>
      </c>
      <c r="C826" s="106">
        <f t="shared" ca="1" si="48"/>
        <v>0.39672116614298081</v>
      </c>
      <c r="D826" s="106">
        <f t="shared" ca="1" si="49"/>
        <v>0.69102170748457203</v>
      </c>
      <c r="E826" s="106">
        <f t="shared" ca="1" si="50"/>
        <v>0</v>
      </c>
      <c r="F826" s="21">
        <f t="shared" ca="1" si="51"/>
        <v>0</v>
      </c>
      <c r="H826" s="21">
        <v>811</v>
      </c>
      <c r="I826" s="107">
        <v>0.66767824024186662</v>
      </c>
      <c r="J826" s="108">
        <v>1.3222375354399985E-3</v>
      </c>
      <c r="K826" s="108"/>
      <c r="L826" s="108">
        <v>3.9600000000000003E-2</v>
      </c>
      <c r="O826" s="105"/>
    </row>
    <row r="827" spans="2:15" x14ac:dyDescent="0.2">
      <c r="B827" s="1">
        <v>812</v>
      </c>
      <c r="C827" s="106">
        <f t="shared" ca="1" si="48"/>
        <v>0.86316396633969894</v>
      </c>
      <c r="D827" s="106">
        <f t="shared" ca="1" si="49"/>
        <v>0.72355877084661391</v>
      </c>
      <c r="E827" s="106">
        <f t="shared" ca="1" si="50"/>
        <v>0</v>
      </c>
      <c r="F827" s="21">
        <f t="shared" ca="1" si="51"/>
        <v>0</v>
      </c>
      <c r="H827" s="21">
        <v>812</v>
      </c>
      <c r="I827" s="107">
        <v>0.66770468706224351</v>
      </c>
      <c r="J827" s="108">
        <v>1.4033245269506451E-3</v>
      </c>
      <c r="K827" s="108"/>
      <c r="L827" s="108">
        <v>4.02E-2</v>
      </c>
      <c r="O827" s="105"/>
    </row>
    <row r="828" spans="2:15" x14ac:dyDescent="0.2">
      <c r="B828" s="1">
        <v>813</v>
      </c>
      <c r="C828" s="106">
        <f t="shared" ca="1" si="48"/>
        <v>0.34083637213154505</v>
      </c>
      <c r="D828" s="106">
        <f t="shared" ca="1" si="49"/>
        <v>0.68722289584229901</v>
      </c>
      <c r="E828" s="106">
        <f t="shared" ca="1" si="50"/>
        <v>0</v>
      </c>
      <c r="F828" s="21">
        <f t="shared" ca="1" si="51"/>
        <v>0</v>
      </c>
      <c r="H828" s="21">
        <v>813</v>
      </c>
      <c r="I828" s="107">
        <v>0.6677518013485696</v>
      </c>
      <c r="J828" s="108">
        <v>1.4856410673976938E-3</v>
      </c>
      <c r="K828" s="108"/>
      <c r="L828" s="108">
        <v>4.1799999999999997E-2</v>
      </c>
      <c r="O828" s="105"/>
    </row>
    <row r="829" spans="2:15" x14ac:dyDescent="0.2">
      <c r="B829" s="1">
        <v>814</v>
      </c>
      <c r="C829" s="106">
        <f t="shared" ca="1" si="48"/>
        <v>-0.44292246049694062</v>
      </c>
      <c r="D829" s="106">
        <f t="shared" ca="1" si="49"/>
        <v>0.63609484359121482</v>
      </c>
      <c r="E829" s="106">
        <f t="shared" ca="1" si="50"/>
        <v>0</v>
      </c>
      <c r="F829" s="21">
        <f t="shared" ca="1" si="51"/>
        <v>0</v>
      </c>
      <c r="H829" s="21">
        <v>814</v>
      </c>
      <c r="I829" s="107">
        <v>0.66778372216512405</v>
      </c>
      <c r="J829" s="108">
        <v>1.4767599550371817E-3</v>
      </c>
      <c r="K829" s="108"/>
      <c r="L829" s="108">
        <v>4.3400000000000001E-2</v>
      </c>
      <c r="O829" s="105"/>
    </row>
    <row r="830" spans="2:15" x14ac:dyDescent="0.2">
      <c r="B830" s="1">
        <v>815</v>
      </c>
      <c r="C830" s="106">
        <f t="shared" ca="1" si="48"/>
        <v>0.12301448030728304</v>
      </c>
      <c r="D830" s="106">
        <f t="shared" ca="1" si="49"/>
        <v>0.67261456073714943</v>
      </c>
      <c r="E830" s="106">
        <f t="shared" ca="1" si="50"/>
        <v>0</v>
      </c>
      <c r="F830" s="21">
        <f t="shared" ca="1" si="51"/>
        <v>0</v>
      </c>
      <c r="H830" s="21">
        <v>815</v>
      </c>
      <c r="I830" s="107">
        <v>0.66766569054126423</v>
      </c>
      <c r="J830" s="108">
        <v>1.3278697272657224E-3</v>
      </c>
      <c r="K830" s="108"/>
      <c r="L830" s="108">
        <v>4.0800000000000003E-2</v>
      </c>
      <c r="O830" s="105"/>
    </row>
    <row r="831" spans="2:15" x14ac:dyDescent="0.2">
      <c r="B831" s="1">
        <v>816</v>
      </c>
      <c r="C831" s="106">
        <f t="shared" ca="1" si="48"/>
        <v>1.6395025725909607</v>
      </c>
      <c r="D831" s="106">
        <f t="shared" ca="1" si="49"/>
        <v>0.78114504016642106</v>
      </c>
      <c r="E831" s="106">
        <f t="shared" ca="1" si="50"/>
        <v>0</v>
      </c>
      <c r="F831" s="21">
        <f t="shared" ca="1" si="51"/>
        <v>0</v>
      </c>
      <c r="H831" s="21">
        <v>816</v>
      </c>
      <c r="I831" s="107">
        <v>0.66766845896928506</v>
      </c>
      <c r="J831" s="108">
        <v>1.2562611720728046E-3</v>
      </c>
      <c r="K831" s="108"/>
      <c r="L831" s="108">
        <v>0.04</v>
      </c>
      <c r="O831" s="105"/>
    </row>
    <row r="832" spans="2:15" x14ac:dyDescent="0.2">
      <c r="B832" s="1">
        <v>817</v>
      </c>
      <c r="C832" s="106">
        <f t="shared" ca="1" si="48"/>
        <v>-3.2334107895561105E-2</v>
      </c>
      <c r="D832" s="106">
        <f t="shared" ca="1" si="49"/>
        <v>0.66238612534216545</v>
      </c>
      <c r="E832" s="106">
        <f t="shared" ca="1" si="50"/>
        <v>0</v>
      </c>
      <c r="F832" s="21">
        <f t="shared" ca="1" si="51"/>
        <v>0</v>
      </c>
      <c r="H832" s="21">
        <v>817</v>
      </c>
      <c r="I832" s="107">
        <v>0.66766348420346289</v>
      </c>
      <c r="J832" s="108">
        <v>1.2291537444904894E-3</v>
      </c>
      <c r="K832" s="108"/>
      <c r="L832" s="108">
        <v>3.78E-2</v>
      </c>
      <c r="O832" s="105"/>
    </row>
    <row r="833" spans="2:15" x14ac:dyDescent="0.2">
      <c r="B833" s="1">
        <v>818</v>
      </c>
      <c r="C833" s="106">
        <f t="shared" ca="1" si="48"/>
        <v>0.5183395196737004</v>
      </c>
      <c r="D833" s="106">
        <f t="shared" ca="1" si="49"/>
        <v>0.69936154026039943</v>
      </c>
      <c r="E833" s="106">
        <f t="shared" ca="1" si="50"/>
        <v>0</v>
      </c>
      <c r="F833" s="21">
        <f t="shared" ca="1" si="51"/>
        <v>0</v>
      </c>
      <c r="H833" s="21">
        <v>818</v>
      </c>
      <c r="I833" s="107">
        <v>0.66759860402916238</v>
      </c>
      <c r="J833" s="108">
        <v>1.1518028703558756E-3</v>
      </c>
      <c r="K833" s="108"/>
      <c r="L833" s="108">
        <v>3.78E-2</v>
      </c>
      <c r="O833" s="105"/>
    </row>
    <row r="834" spans="2:15" x14ac:dyDescent="0.2">
      <c r="B834" s="1">
        <v>819</v>
      </c>
      <c r="C834" s="106">
        <f t="shared" ca="1" si="48"/>
        <v>4.0057857543482955E-2</v>
      </c>
      <c r="D834" s="106">
        <f t="shared" ca="1" si="49"/>
        <v>0.66713304664468343</v>
      </c>
      <c r="E834" s="106">
        <f t="shared" ca="1" si="50"/>
        <v>0</v>
      </c>
      <c r="F834" s="21">
        <f t="shared" ca="1" si="51"/>
        <v>0</v>
      </c>
      <c r="H834" s="21">
        <v>819</v>
      </c>
      <c r="I834" s="107">
        <v>0.66769649567026823</v>
      </c>
      <c r="J834" s="108">
        <v>1.2687814131315262E-3</v>
      </c>
      <c r="K834" s="108"/>
      <c r="L834" s="108">
        <v>4.2200000000000001E-2</v>
      </c>
      <c r="O834" s="105"/>
    </row>
    <row r="835" spans="2:15" x14ac:dyDescent="0.2">
      <c r="B835" s="1">
        <v>820</v>
      </c>
      <c r="C835" s="106">
        <f t="shared" ca="1" si="48"/>
        <v>-0.9697453616172923</v>
      </c>
      <c r="D835" s="106">
        <f t="shared" ca="1" si="49"/>
        <v>0.6038834211441455</v>
      </c>
      <c r="E835" s="106">
        <f t="shared" ca="1" si="50"/>
        <v>0</v>
      </c>
      <c r="F835" s="21">
        <f t="shared" ca="1" si="51"/>
        <v>0</v>
      </c>
      <c r="H835" s="21">
        <v>820</v>
      </c>
      <c r="I835" s="107">
        <v>0.66783059054741867</v>
      </c>
      <c r="J835" s="108">
        <v>1.3826316925536716E-3</v>
      </c>
      <c r="K835" s="108"/>
      <c r="L835" s="108">
        <v>4.3999999999999997E-2</v>
      </c>
      <c r="O835" s="105"/>
    </row>
    <row r="836" spans="2:15" x14ac:dyDescent="0.2">
      <c r="B836" s="1">
        <v>821</v>
      </c>
      <c r="C836" s="106">
        <f t="shared" ca="1" si="48"/>
        <v>1.6106654256840034</v>
      </c>
      <c r="D836" s="106">
        <f t="shared" ca="1" si="49"/>
        <v>0.77892620350127939</v>
      </c>
      <c r="E836" s="106">
        <f t="shared" ca="1" si="50"/>
        <v>0</v>
      </c>
      <c r="F836" s="21">
        <f t="shared" ca="1" si="51"/>
        <v>0</v>
      </c>
      <c r="H836" s="21">
        <v>821</v>
      </c>
      <c r="I836" s="107">
        <v>0.66772856830953597</v>
      </c>
      <c r="J836" s="108">
        <v>1.3325642986528774E-3</v>
      </c>
      <c r="K836" s="108"/>
      <c r="L836" s="108">
        <v>4.2599999999999999E-2</v>
      </c>
      <c r="O836" s="105"/>
    </row>
    <row r="837" spans="2:15" x14ac:dyDescent="0.2">
      <c r="B837" s="1">
        <v>822</v>
      </c>
      <c r="C837" s="106">
        <f t="shared" ca="1" si="48"/>
        <v>1.5634309572264422E-2</v>
      </c>
      <c r="D837" s="106">
        <f t="shared" ca="1" si="49"/>
        <v>0.66552774345580934</v>
      </c>
      <c r="E837" s="106">
        <f t="shared" ca="1" si="50"/>
        <v>0</v>
      </c>
      <c r="F837" s="21">
        <f t="shared" ca="1" si="51"/>
        <v>0</v>
      </c>
      <c r="H837" s="21">
        <v>822</v>
      </c>
      <c r="I837" s="107">
        <v>0.66767161900391725</v>
      </c>
      <c r="J837" s="108">
        <v>1.2224645296614693E-3</v>
      </c>
      <c r="K837" s="108"/>
      <c r="L837" s="108">
        <v>3.7199999999999997E-2</v>
      </c>
      <c r="O837" s="105"/>
    </row>
    <row r="838" spans="2:15" x14ac:dyDescent="0.2">
      <c r="B838" s="1">
        <v>823</v>
      </c>
      <c r="C838" s="106">
        <f t="shared" ca="1" si="48"/>
        <v>0.16346691862611612</v>
      </c>
      <c r="D838" s="106">
        <f t="shared" ca="1" si="49"/>
        <v>0.67530384454243175</v>
      </c>
      <c r="E838" s="106">
        <f t="shared" ca="1" si="50"/>
        <v>0</v>
      </c>
      <c r="F838" s="21">
        <f t="shared" ca="1" si="51"/>
        <v>0</v>
      </c>
      <c r="H838" s="21">
        <v>823</v>
      </c>
      <c r="I838" s="107">
        <v>0.6677847592292564</v>
      </c>
      <c r="J838" s="108">
        <v>1.4948602178030909E-3</v>
      </c>
      <c r="K838" s="108"/>
      <c r="L838" s="108">
        <v>4.1599999999999998E-2</v>
      </c>
      <c r="O838" s="105"/>
    </row>
    <row r="839" spans="2:15" x14ac:dyDescent="0.2">
      <c r="B839" s="1">
        <v>824</v>
      </c>
      <c r="C839" s="106">
        <f t="shared" ca="1" si="48"/>
        <v>-0.31348259744239687</v>
      </c>
      <c r="D839" s="106">
        <f t="shared" ca="1" si="49"/>
        <v>0.64426864971723885</v>
      </c>
      <c r="E839" s="106">
        <f t="shared" ca="1" si="50"/>
        <v>0</v>
      </c>
      <c r="F839" s="21">
        <f t="shared" ca="1" si="51"/>
        <v>0</v>
      </c>
      <c r="H839" s="21">
        <v>824</v>
      </c>
      <c r="I839" s="107">
        <v>0.66784675302724794</v>
      </c>
      <c r="J839" s="108">
        <v>1.4016574853195959E-3</v>
      </c>
      <c r="K839" s="108"/>
      <c r="L839" s="108">
        <v>4.5199999999999997E-2</v>
      </c>
      <c r="O839" s="105"/>
    </row>
    <row r="840" spans="2:15" x14ac:dyDescent="0.2">
      <c r="B840" s="1">
        <v>825</v>
      </c>
      <c r="C840" s="106">
        <f t="shared" ca="1" si="48"/>
        <v>0.59006496640727646</v>
      </c>
      <c r="D840" s="106">
        <f t="shared" ca="1" si="49"/>
        <v>0.70432713361240129</v>
      </c>
      <c r="E840" s="106">
        <f t="shared" ca="1" si="50"/>
        <v>0</v>
      </c>
      <c r="F840" s="21">
        <f t="shared" ca="1" si="51"/>
        <v>0</v>
      </c>
      <c r="H840" s="21">
        <v>825</v>
      </c>
      <c r="I840" s="107">
        <v>0.66794332372402809</v>
      </c>
      <c r="J840" s="108">
        <v>1.710956028790227E-3</v>
      </c>
      <c r="K840" s="108"/>
      <c r="L840" s="108">
        <v>4.82E-2</v>
      </c>
      <c r="O840" s="105"/>
    </row>
    <row r="841" spans="2:15" x14ac:dyDescent="0.2">
      <c r="B841" s="1">
        <v>826</v>
      </c>
      <c r="C841" s="106">
        <f t="shared" ca="1" si="48"/>
        <v>-0.23877195391815759</v>
      </c>
      <c r="D841" s="106">
        <f t="shared" ca="1" si="49"/>
        <v>0.6490341624978333</v>
      </c>
      <c r="E841" s="106">
        <f t="shared" ca="1" si="50"/>
        <v>0</v>
      </c>
      <c r="F841" s="21">
        <f t="shared" ca="1" si="51"/>
        <v>0</v>
      </c>
      <c r="H841" s="21">
        <v>826</v>
      </c>
      <c r="I841" s="107">
        <v>0.66771894896284256</v>
      </c>
      <c r="J841" s="108">
        <v>1.5102318695934616E-3</v>
      </c>
      <c r="K841" s="108"/>
      <c r="L841" s="108">
        <v>4.0800000000000003E-2</v>
      </c>
      <c r="O841" s="105"/>
    </row>
    <row r="842" spans="2:15" x14ac:dyDescent="0.2">
      <c r="B842" s="1">
        <v>827</v>
      </c>
      <c r="C842" s="106">
        <f t="shared" ca="1" si="48"/>
        <v>-1.1515936292268083</v>
      </c>
      <c r="D842" s="106">
        <f t="shared" ca="1" si="49"/>
        <v>0.59314768413491081</v>
      </c>
      <c r="E842" s="106">
        <f t="shared" ca="1" si="50"/>
        <v>0</v>
      </c>
      <c r="F842" s="21">
        <f t="shared" ca="1" si="51"/>
        <v>0</v>
      </c>
      <c r="H842" s="21">
        <v>827</v>
      </c>
      <c r="I842" s="107">
        <v>0.66768059600143381</v>
      </c>
      <c r="J842" s="108">
        <v>1.2931391352929019E-3</v>
      </c>
      <c r="K842" s="108"/>
      <c r="L842" s="108">
        <v>4.2999999999999997E-2</v>
      </c>
      <c r="O842" s="105"/>
    </row>
    <row r="843" spans="2:15" x14ac:dyDescent="0.2">
      <c r="B843" s="1">
        <v>828</v>
      </c>
      <c r="C843" s="106">
        <f t="shared" ca="1" si="48"/>
        <v>-1.2815068042169548</v>
      </c>
      <c r="D843" s="106">
        <f t="shared" ca="1" si="49"/>
        <v>0.58559510632934542</v>
      </c>
      <c r="E843" s="106">
        <f t="shared" ca="1" si="50"/>
        <v>0</v>
      </c>
      <c r="F843" s="21">
        <f t="shared" ca="1" si="51"/>
        <v>0</v>
      </c>
      <c r="H843" s="21">
        <v>828</v>
      </c>
      <c r="I843" s="107">
        <v>0.66753798631944949</v>
      </c>
      <c r="J843" s="108">
        <v>1.1692373220902035E-3</v>
      </c>
      <c r="K843" s="108"/>
      <c r="L843" s="108">
        <v>3.5400000000000001E-2</v>
      </c>
      <c r="O843" s="105"/>
    </row>
    <row r="844" spans="2:15" x14ac:dyDescent="0.2">
      <c r="B844" s="1">
        <v>829</v>
      </c>
      <c r="C844" s="106">
        <f t="shared" ca="1" si="48"/>
        <v>-2.4114513631821661</v>
      </c>
      <c r="D844" s="106">
        <f t="shared" ca="1" si="49"/>
        <v>0.52383113796604563</v>
      </c>
      <c r="E844" s="106">
        <f t="shared" ca="1" si="50"/>
        <v>0</v>
      </c>
      <c r="F844" s="21">
        <f t="shared" ca="1" si="51"/>
        <v>0</v>
      </c>
      <c r="H844" s="21">
        <v>829</v>
      </c>
      <c r="I844" s="107">
        <v>0.66771811152896632</v>
      </c>
      <c r="J844" s="108">
        <v>1.4611750487093821E-3</v>
      </c>
      <c r="K844" s="108"/>
      <c r="L844" s="108">
        <v>4.36E-2</v>
      </c>
      <c r="O844" s="105"/>
    </row>
    <row r="845" spans="2:15" x14ac:dyDescent="0.2">
      <c r="B845" s="1">
        <v>830</v>
      </c>
      <c r="C845" s="106">
        <f t="shared" ca="1" si="48"/>
        <v>8.1175820586851744E-2</v>
      </c>
      <c r="D845" s="106">
        <f t="shared" ca="1" si="49"/>
        <v>0.66984438662720092</v>
      </c>
      <c r="E845" s="106">
        <f t="shared" ca="1" si="50"/>
        <v>0</v>
      </c>
      <c r="F845" s="21">
        <f t="shared" ca="1" si="51"/>
        <v>0</v>
      </c>
      <c r="H845" s="21">
        <v>830</v>
      </c>
      <c r="I845" s="107">
        <v>0.66784781587571629</v>
      </c>
      <c r="J845" s="108">
        <v>1.4633796509953792E-3</v>
      </c>
      <c r="K845" s="108"/>
      <c r="L845" s="108">
        <v>4.4400000000000002E-2</v>
      </c>
      <c r="O845" s="105"/>
    </row>
    <row r="846" spans="2:15" x14ac:dyDescent="0.2">
      <c r="B846" s="1">
        <v>831</v>
      </c>
      <c r="C846" s="106">
        <f t="shared" ca="1" si="48"/>
        <v>-0.42710462992375486</v>
      </c>
      <c r="D846" s="106">
        <f t="shared" ca="1" si="49"/>
        <v>0.63708811183863667</v>
      </c>
      <c r="E846" s="106">
        <f t="shared" ca="1" si="50"/>
        <v>0</v>
      </c>
      <c r="F846" s="21">
        <f t="shared" ca="1" si="51"/>
        <v>0</v>
      </c>
      <c r="H846" s="21">
        <v>831</v>
      </c>
      <c r="I846" s="107">
        <v>0.66768775507566058</v>
      </c>
      <c r="J846" s="108">
        <v>1.5637646695907496E-3</v>
      </c>
      <c r="K846" s="108"/>
      <c r="L846" s="108">
        <v>4.1200000000000001E-2</v>
      </c>
      <c r="O846" s="105"/>
    </row>
    <row r="847" spans="2:15" x14ac:dyDescent="0.2">
      <c r="B847" s="1">
        <v>832</v>
      </c>
      <c r="C847" s="106">
        <f t="shared" ca="1" si="48"/>
        <v>1.9943678607153734</v>
      </c>
      <c r="D847" s="106">
        <f t="shared" ca="1" si="49"/>
        <v>0.80897274433380695</v>
      </c>
      <c r="E847" s="106">
        <f t="shared" ca="1" si="50"/>
        <v>2.0772744333806936E-2</v>
      </c>
      <c r="F847" s="21">
        <f t="shared" ca="1" si="51"/>
        <v>1</v>
      </c>
      <c r="H847" s="21">
        <v>832</v>
      </c>
      <c r="I847" s="107">
        <v>0.66779020073626694</v>
      </c>
      <c r="J847" s="108">
        <v>1.4017761228683704E-3</v>
      </c>
      <c r="K847" s="108"/>
      <c r="L847" s="108">
        <v>4.1799999999999997E-2</v>
      </c>
      <c r="O847" s="105"/>
    </row>
    <row r="848" spans="2:15" x14ac:dyDescent="0.2">
      <c r="B848" s="1">
        <v>833</v>
      </c>
      <c r="C848" s="106">
        <f t="shared" ref="C848:C911" ca="1" si="52">_xlfn.NORM.S.INV(RAND())</f>
        <v>0.873895818171739</v>
      </c>
      <c r="D848" s="106">
        <f t="shared" ref="D848:D911" ca="1" si="53">S0*EXP((μ-0.5*σ*σ)*T+σ*SQRT(T)*$C848)</f>
        <v>0.72432513869119675</v>
      </c>
      <c r="E848" s="106">
        <f t="shared" ref="E848:E911" ca="1" si="54">MAX(0,CP*(D848-K))</f>
        <v>0</v>
      </c>
      <c r="F848" s="21">
        <f t="shared" ref="F848:F911" ca="1" si="55">(CP*(D848-K)&gt;0)*1</f>
        <v>0</v>
      </c>
      <c r="H848" s="21">
        <v>833</v>
      </c>
      <c r="I848" s="107">
        <v>0.66785717650757559</v>
      </c>
      <c r="J848" s="108">
        <v>1.5441316417658772E-3</v>
      </c>
      <c r="K848" s="108"/>
      <c r="L848" s="108">
        <v>4.5999999999999999E-2</v>
      </c>
      <c r="O848" s="105"/>
    </row>
    <row r="849" spans="2:15" x14ac:dyDescent="0.2">
      <c r="B849" s="1">
        <v>834</v>
      </c>
      <c r="C849" s="106">
        <f t="shared" ca="1" si="52"/>
        <v>-1.6925999186824157</v>
      </c>
      <c r="D849" s="106">
        <f t="shared" ca="1" si="53"/>
        <v>0.56232379749601391</v>
      </c>
      <c r="E849" s="106">
        <f t="shared" ca="1" si="54"/>
        <v>0</v>
      </c>
      <c r="F849" s="21">
        <f t="shared" ca="1" si="55"/>
        <v>0</v>
      </c>
      <c r="H849" s="21">
        <v>834</v>
      </c>
      <c r="I849" s="107">
        <v>0.66780460897687366</v>
      </c>
      <c r="J849" s="108">
        <v>1.388422641579002E-3</v>
      </c>
      <c r="K849" s="108"/>
      <c r="L849" s="108">
        <v>4.6199999999999998E-2</v>
      </c>
      <c r="O849" s="105"/>
    </row>
    <row r="850" spans="2:15" x14ac:dyDescent="0.2">
      <c r="B850" s="1">
        <v>835</v>
      </c>
      <c r="C850" s="106">
        <f t="shared" ca="1" si="52"/>
        <v>0.64884792690963122</v>
      </c>
      <c r="D850" s="106">
        <f t="shared" ca="1" si="53"/>
        <v>0.70842298788418923</v>
      </c>
      <c r="E850" s="106">
        <f t="shared" ca="1" si="54"/>
        <v>0</v>
      </c>
      <c r="F850" s="21">
        <f t="shared" ca="1" si="55"/>
        <v>0</v>
      </c>
      <c r="H850" s="21">
        <v>835</v>
      </c>
      <c r="I850" s="107">
        <v>0.66766623427078142</v>
      </c>
      <c r="J850" s="108">
        <v>1.2453164833971335E-3</v>
      </c>
      <c r="K850" s="108"/>
      <c r="L850" s="108">
        <v>3.78E-2</v>
      </c>
      <c r="O850" s="105"/>
    </row>
    <row r="851" spans="2:15" x14ac:dyDescent="0.2">
      <c r="B851" s="1">
        <v>836</v>
      </c>
      <c r="C851" s="106">
        <f t="shared" ca="1" si="52"/>
        <v>1.8241818811801229</v>
      </c>
      <c r="D851" s="106">
        <f t="shared" ca="1" si="53"/>
        <v>0.7955055744866032</v>
      </c>
      <c r="E851" s="106">
        <f t="shared" ca="1" si="54"/>
        <v>7.3055744866031835E-3</v>
      </c>
      <c r="F851" s="21">
        <f t="shared" ca="1" si="55"/>
        <v>1</v>
      </c>
      <c r="H851" s="21">
        <v>836</v>
      </c>
      <c r="I851" s="107">
        <v>0.66756673806389555</v>
      </c>
      <c r="J851" s="108">
        <v>1.1984837528805079E-3</v>
      </c>
      <c r="K851" s="108"/>
      <c r="L851" s="108">
        <v>3.8199999999999998E-2</v>
      </c>
      <c r="O851" s="105"/>
    </row>
    <row r="852" spans="2:15" x14ac:dyDescent="0.2">
      <c r="B852" s="1">
        <v>837</v>
      </c>
      <c r="C852" s="106">
        <f t="shared" ca="1" si="52"/>
        <v>-0.99947941839976751</v>
      </c>
      <c r="D852" s="106">
        <f t="shared" ca="1" si="53"/>
        <v>0.60211482189939358</v>
      </c>
      <c r="E852" s="106">
        <f t="shared" ca="1" si="54"/>
        <v>0</v>
      </c>
      <c r="F852" s="21">
        <f t="shared" ca="1" si="55"/>
        <v>0</v>
      </c>
      <c r="H852" s="21">
        <v>837</v>
      </c>
      <c r="I852" s="107">
        <v>0.66768078611503978</v>
      </c>
      <c r="J852" s="108">
        <v>1.3094903988698238E-3</v>
      </c>
      <c r="K852" s="108"/>
      <c r="L852" s="108">
        <v>4.0399999999999998E-2</v>
      </c>
      <c r="O852" s="105"/>
    </row>
    <row r="853" spans="2:15" x14ac:dyDescent="0.2">
      <c r="B853" s="1">
        <v>838</v>
      </c>
      <c r="C853" s="106">
        <f t="shared" ca="1" si="52"/>
        <v>7.7199258892408001E-2</v>
      </c>
      <c r="D853" s="106">
        <f t="shared" ca="1" si="53"/>
        <v>0.66958168946960073</v>
      </c>
      <c r="E853" s="106">
        <f t="shared" ca="1" si="54"/>
        <v>0</v>
      </c>
      <c r="F853" s="21">
        <f t="shared" ca="1" si="55"/>
        <v>0</v>
      </c>
      <c r="H853" s="21">
        <v>838</v>
      </c>
      <c r="I853" s="107">
        <v>0.66763165330586782</v>
      </c>
      <c r="J853" s="108">
        <v>1.1941036063137099E-3</v>
      </c>
      <c r="K853" s="108"/>
      <c r="L853" s="108">
        <v>3.7600000000000001E-2</v>
      </c>
      <c r="O853" s="105"/>
    </row>
    <row r="854" spans="2:15" x14ac:dyDescent="0.2">
      <c r="B854" s="1">
        <v>839</v>
      </c>
      <c r="C854" s="106">
        <f t="shared" ca="1" si="52"/>
        <v>0.4810692961997966</v>
      </c>
      <c r="D854" s="106">
        <f t="shared" ca="1" si="53"/>
        <v>0.69679513893447853</v>
      </c>
      <c r="E854" s="106">
        <f t="shared" ca="1" si="54"/>
        <v>0</v>
      </c>
      <c r="F854" s="21">
        <f t="shared" ca="1" si="55"/>
        <v>0</v>
      </c>
      <c r="H854" s="21">
        <v>839</v>
      </c>
      <c r="I854" s="107">
        <v>0.66767609481104251</v>
      </c>
      <c r="J854" s="108">
        <v>1.3075865562235788E-3</v>
      </c>
      <c r="K854" s="108"/>
      <c r="L854" s="108">
        <v>4.0800000000000003E-2</v>
      </c>
      <c r="O854" s="105"/>
    </row>
    <row r="855" spans="2:15" x14ac:dyDescent="0.2">
      <c r="B855" s="1">
        <v>840</v>
      </c>
      <c r="C855" s="106">
        <f t="shared" ca="1" si="52"/>
        <v>-0.31419615150935493</v>
      </c>
      <c r="D855" s="106">
        <f t="shared" ca="1" si="53"/>
        <v>0.64422330387200888</v>
      </c>
      <c r="E855" s="106">
        <f t="shared" ca="1" si="54"/>
        <v>0</v>
      </c>
      <c r="F855" s="21">
        <f t="shared" ca="1" si="55"/>
        <v>0</v>
      </c>
      <c r="H855" s="21">
        <v>840</v>
      </c>
      <c r="I855" s="107">
        <v>0.66777584502250087</v>
      </c>
      <c r="J855" s="108">
        <v>1.3696286711578527E-3</v>
      </c>
      <c r="K855" s="108"/>
      <c r="L855" s="108">
        <v>3.8600000000000002E-2</v>
      </c>
      <c r="O855" s="105"/>
    </row>
    <row r="856" spans="2:15" x14ac:dyDescent="0.2">
      <c r="B856" s="1">
        <v>841</v>
      </c>
      <c r="C856" s="106">
        <f t="shared" ca="1" si="52"/>
        <v>-1.6994947000724463</v>
      </c>
      <c r="D856" s="106">
        <f t="shared" ca="1" si="53"/>
        <v>0.56194148526799448</v>
      </c>
      <c r="E856" s="106">
        <f t="shared" ca="1" si="54"/>
        <v>0</v>
      </c>
      <c r="F856" s="21">
        <f t="shared" ca="1" si="55"/>
        <v>0</v>
      </c>
      <c r="H856" s="21">
        <v>841</v>
      </c>
      <c r="I856" s="107">
        <v>0.66762391352644423</v>
      </c>
      <c r="J856" s="108">
        <v>1.184083369420269E-3</v>
      </c>
      <c r="K856" s="108"/>
      <c r="L856" s="108">
        <v>3.6400000000000002E-2</v>
      </c>
      <c r="O856" s="105"/>
    </row>
    <row r="857" spans="2:15" x14ac:dyDescent="0.2">
      <c r="B857" s="1">
        <v>842</v>
      </c>
      <c r="C857" s="106">
        <f t="shared" ca="1" si="52"/>
        <v>-0.7456359863029639</v>
      </c>
      <c r="D857" s="106">
        <f t="shared" ca="1" si="53"/>
        <v>0.61738178807039878</v>
      </c>
      <c r="E857" s="106">
        <f t="shared" ca="1" si="54"/>
        <v>0</v>
      </c>
      <c r="F857" s="21">
        <f t="shared" ca="1" si="55"/>
        <v>0</v>
      </c>
      <c r="H857" s="21">
        <v>842</v>
      </c>
      <c r="I857" s="107">
        <v>0.66780983933878446</v>
      </c>
      <c r="J857" s="108">
        <v>1.5003913027744112E-3</v>
      </c>
      <c r="K857" s="108"/>
      <c r="L857" s="108">
        <v>4.4600000000000001E-2</v>
      </c>
      <c r="O857" s="105"/>
    </row>
    <row r="858" spans="2:15" x14ac:dyDescent="0.2">
      <c r="B858" s="1">
        <v>843</v>
      </c>
      <c r="C858" s="106">
        <f t="shared" ca="1" si="52"/>
        <v>-2.3628737282648333</v>
      </c>
      <c r="D858" s="106">
        <f t="shared" ca="1" si="53"/>
        <v>0.52634723572706432</v>
      </c>
      <c r="E858" s="106">
        <f t="shared" ca="1" si="54"/>
        <v>0</v>
      </c>
      <c r="F858" s="21">
        <f t="shared" ca="1" si="55"/>
        <v>0</v>
      </c>
      <c r="H858" s="21">
        <v>843</v>
      </c>
      <c r="I858" s="107">
        <v>0.66782890606868883</v>
      </c>
      <c r="J858" s="108">
        <v>1.4796041340259839E-3</v>
      </c>
      <c r="K858" s="108"/>
      <c r="L858" s="108">
        <v>4.4600000000000001E-2</v>
      </c>
      <c r="O858" s="105"/>
    </row>
    <row r="859" spans="2:15" x14ac:dyDescent="0.2">
      <c r="B859" s="1">
        <v>844</v>
      </c>
      <c r="C859" s="106">
        <f t="shared" ca="1" si="52"/>
        <v>-1.0940488673427069</v>
      </c>
      <c r="D859" s="106">
        <f t="shared" ca="1" si="53"/>
        <v>0.59652413715390118</v>
      </c>
      <c r="E859" s="106">
        <f t="shared" ca="1" si="54"/>
        <v>0</v>
      </c>
      <c r="F859" s="21">
        <f t="shared" ca="1" si="55"/>
        <v>0</v>
      </c>
      <c r="H859" s="21">
        <v>844</v>
      </c>
      <c r="I859" s="107">
        <v>0.667642651505583</v>
      </c>
      <c r="J859" s="108">
        <v>1.1992921687442341E-3</v>
      </c>
      <c r="K859" s="108"/>
      <c r="L859" s="108">
        <v>3.6600000000000001E-2</v>
      </c>
      <c r="O859" s="105"/>
    </row>
    <row r="860" spans="2:15" x14ac:dyDescent="0.2">
      <c r="B860" s="1">
        <v>845</v>
      </c>
      <c r="C860" s="106">
        <f t="shared" ca="1" si="52"/>
        <v>0.12841971754971035</v>
      </c>
      <c r="D860" s="106">
        <f t="shared" ca="1" si="53"/>
        <v>0.6729732808350285</v>
      </c>
      <c r="E860" s="106">
        <f t="shared" ca="1" si="54"/>
        <v>0</v>
      </c>
      <c r="F860" s="21">
        <f t="shared" ca="1" si="55"/>
        <v>0</v>
      </c>
      <c r="H860" s="21">
        <v>845</v>
      </c>
      <c r="I860" s="107">
        <v>0.66764823814316021</v>
      </c>
      <c r="J860" s="108">
        <v>1.2824334707298127E-3</v>
      </c>
      <c r="K860" s="108"/>
      <c r="L860" s="108">
        <v>3.9800000000000002E-2</v>
      </c>
      <c r="O860" s="105"/>
    </row>
    <row r="861" spans="2:15" x14ac:dyDescent="0.2">
      <c r="B861" s="1">
        <v>846</v>
      </c>
      <c r="C861" s="106">
        <f t="shared" ca="1" si="52"/>
        <v>1.5304150671807446</v>
      </c>
      <c r="D861" s="106">
        <f t="shared" ca="1" si="53"/>
        <v>0.7727845629962431</v>
      </c>
      <c r="E861" s="106">
        <f t="shared" ca="1" si="54"/>
        <v>0</v>
      </c>
      <c r="F861" s="21">
        <f t="shared" ca="1" si="55"/>
        <v>0</v>
      </c>
      <c r="H861" s="21">
        <v>846</v>
      </c>
      <c r="I861" s="107">
        <v>0.66774867195979148</v>
      </c>
      <c r="J861" s="108">
        <v>1.3430324562054921E-3</v>
      </c>
      <c r="K861" s="108"/>
      <c r="L861" s="108">
        <v>4.1200000000000001E-2</v>
      </c>
      <c r="O861" s="105"/>
    </row>
    <row r="862" spans="2:15" x14ac:dyDescent="0.2">
      <c r="B862" s="1">
        <v>847</v>
      </c>
      <c r="C862" s="106">
        <f t="shared" ca="1" si="52"/>
        <v>0.10680620746765498</v>
      </c>
      <c r="D862" s="106">
        <f t="shared" ca="1" si="53"/>
        <v>0.67154004006742718</v>
      </c>
      <c r="E862" s="106">
        <f t="shared" ca="1" si="54"/>
        <v>0</v>
      </c>
      <c r="F862" s="21">
        <f t="shared" ca="1" si="55"/>
        <v>0</v>
      </c>
      <c r="H862" s="21">
        <v>847</v>
      </c>
      <c r="I862" s="107">
        <v>0.66762670675445557</v>
      </c>
      <c r="J862" s="108">
        <v>1.273189948718769E-3</v>
      </c>
      <c r="K862" s="108"/>
      <c r="L862" s="108">
        <v>3.6799999999999999E-2</v>
      </c>
      <c r="O862" s="105"/>
    </row>
    <row r="863" spans="2:15" x14ac:dyDescent="0.2">
      <c r="B863" s="1">
        <v>848</v>
      </c>
      <c r="C863" s="106">
        <f t="shared" ca="1" si="52"/>
        <v>-1.0300521208620745</v>
      </c>
      <c r="D863" s="106">
        <f t="shared" ca="1" si="53"/>
        <v>0.60030174027979077</v>
      </c>
      <c r="E863" s="106">
        <f t="shared" ca="1" si="54"/>
        <v>0</v>
      </c>
      <c r="F863" s="21">
        <f t="shared" ca="1" si="55"/>
        <v>0</v>
      </c>
      <c r="H863" s="21">
        <v>848</v>
      </c>
      <c r="I863" s="107">
        <v>0.66775357340142927</v>
      </c>
      <c r="J863" s="108">
        <v>1.2406747815036903E-3</v>
      </c>
      <c r="K863" s="108"/>
      <c r="L863" s="108">
        <v>4.2000000000000003E-2</v>
      </c>
      <c r="O863" s="105"/>
    </row>
    <row r="864" spans="2:15" x14ac:dyDescent="0.2">
      <c r="B864" s="1">
        <v>849</v>
      </c>
      <c r="C864" s="106">
        <f t="shared" ca="1" si="52"/>
        <v>0.75639044264037036</v>
      </c>
      <c r="D864" s="106">
        <f t="shared" ca="1" si="53"/>
        <v>0.71597803716490926</v>
      </c>
      <c r="E864" s="106">
        <f t="shared" ca="1" si="54"/>
        <v>0</v>
      </c>
      <c r="F864" s="21">
        <f t="shared" ca="1" si="55"/>
        <v>0</v>
      </c>
      <c r="H864" s="21">
        <v>849</v>
      </c>
      <c r="I864" s="107">
        <v>0.66771394279520035</v>
      </c>
      <c r="J864" s="108">
        <v>1.3253321278690977E-3</v>
      </c>
      <c r="K864" s="108"/>
      <c r="L864" s="108">
        <v>4.0399999999999998E-2</v>
      </c>
      <c r="O864" s="105"/>
    </row>
    <row r="865" spans="2:15" x14ac:dyDescent="0.2">
      <c r="B865" s="1">
        <v>850</v>
      </c>
      <c r="C865" s="106">
        <f t="shared" ca="1" si="52"/>
        <v>2.0111144295025998E-2</v>
      </c>
      <c r="D865" s="106">
        <f t="shared" ca="1" si="53"/>
        <v>0.66582170601676371</v>
      </c>
      <c r="E865" s="106">
        <f t="shared" ca="1" si="54"/>
        <v>0</v>
      </c>
      <c r="F865" s="21">
        <f t="shared" ca="1" si="55"/>
        <v>0</v>
      </c>
      <c r="H865" s="21">
        <v>850</v>
      </c>
      <c r="I865" s="107">
        <v>0.66783818454202359</v>
      </c>
      <c r="J865" s="108">
        <v>1.5090521800366385E-3</v>
      </c>
      <c r="K865" s="108"/>
      <c r="L865" s="108">
        <v>4.7E-2</v>
      </c>
      <c r="O865" s="105"/>
    </row>
    <row r="866" spans="2:15" x14ac:dyDescent="0.2">
      <c r="B866" s="1">
        <v>851</v>
      </c>
      <c r="C866" s="106">
        <f t="shared" ca="1" si="52"/>
        <v>-0.50443539920031433</v>
      </c>
      <c r="D866" s="106">
        <f t="shared" ca="1" si="53"/>
        <v>0.63224688553781128</v>
      </c>
      <c r="E866" s="106">
        <f t="shared" ca="1" si="54"/>
        <v>0</v>
      </c>
      <c r="F866" s="21">
        <f t="shared" ca="1" si="55"/>
        <v>0</v>
      </c>
      <c r="H866" s="21">
        <v>851</v>
      </c>
      <c r="I866" s="107">
        <v>0.66761329163573158</v>
      </c>
      <c r="J866" s="108">
        <v>1.1668569744990624E-3</v>
      </c>
      <c r="K866" s="108"/>
      <c r="L866" s="108">
        <v>3.7999999999999999E-2</v>
      </c>
      <c r="O866" s="105"/>
    </row>
    <row r="867" spans="2:15" x14ac:dyDescent="0.2">
      <c r="B867" s="1">
        <v>852</v>
      </c>
      <c r="C867" s="106">
        <f t="shared" ca="1" si="52"/>
        <v>1.1776088155670188</v>
      </c>
      <c r="D867" s="106">
        <f t="shared" ca="1" si="53"/>
        <v>0.74635326290216653</v>
      </c>
      <c r="E867" s="106">
        <f t="shared" ca="1" si="54"/>
        <v>0</v>
      </c>
      <c r="F867" s="21">
        <f t="shared" ca="1" si="55"/>
        <v>0</v>
      </c>
      <c r="H867" s="21">
        <v>852</v>
      </c>
      <c r="I867" s="107">
        <v>0.66779426339948189</v>
      </c>
      <c r="J867" s="108">
        <v>1.393637381026158E-3</v>
      </c>
      <c r="K867" s="108"/>
      <c r="L867" s="108">
        <v>4.3200000000000002E-2</v>
      </c>
      <c r="O867" s="105"/>
    </row>
    <row r="868" spans="2:15" x14ac:dyDescent="0.2">
      <c r="B868" s="1">
        <v>853</v>
      </c>
      <c r="C868" s="106">
        <f t="shared" ca="1" si="52"/>
        <v>-1.1541140680404485</v>
      </c>
      <c r="D868" s="106">
        <f t="shared" ca="1" si="53"/>
        <v>0.59300023442828476</v>
      </c>
      <c r="E868" s="106">
        <f t="shared" ca="1" si="54"/>
        <v>0</v>
      </c>
      <c r="F868" s="21">
        <f t="shared" ca="1" si="55"/>
        <v>0</v>
      </c>
      <c r="H868" s="21">
        <v>853</v>
      </c>
      <c r="I868" s="107">
        <v>0.66766030667149401</v>
      </c>
      <c r="J868" s="108">
        <v>1.2218826061972199E-3</v>
      </c>
      <c r="K868" s="108"/>
      <c r="L868" s="108">
        <v>3.8199999999999998E-2</v>
      </c>
      <c r="O868" s="105"/>
    </row>
    <row r="869" spans="2:15" x14ac:dyDescent="0.2">
      <c r="B869" s="1">
        <v>854</v>
      </c>
      <c r="C869" s="106">
        <f t="shared" ca="1" si="52"/>
        <v>-3.7866937283984214E-2</v>
      </c>
      <c r="D869" s="106">
        <f t="shared" ca="1" si="53"/>
        <v>0.66202471639500082</v>
      </c>
      <c r="E869" s="106">
        <f t="shared" ca="1" si="54"/>
        <v>0</v>
      </c>
      <c r="F869" s="21">
        <f t="shared" ca="1" si="55"/>
        <v>0</v>
      </c>
      <c r="H869" s="21">
        <v>854</v>
      </c>
      <c r="I869" s="107">
        <v>0.66770753472538336</v>
      </c>
      <c r="J869" s="108">
        <v>1.3291297798354879E-3</v>
      </c>
      <c r="K869" s="108"/>
      <c r="L869" s="108">
        <v>4.0399999999999998E-2</v>
      </c>
      <c r="O869" s="105"/>
    </row>
    <row r="870" spans="2:15" x14ac:dyDescent="0.2">
      <c r="B870" s="1">
        <v>855</v>
      </c>
      <c r="C870" s="106">
        <f t="shared" ca="1" si="52"/>
        <v>-0.51055852333995211</v>
      </c>
      <c r="D870" s="106">
        <f t="shared" ca="1" si="53"/>
        <v>0.6318651280932539</v>
      </c>
      <c r="E870" s="106">
        <f t="shared" ca="1" si="54"/>
        <v>0</v>
      </c>
      <c r="F870" s="21">
        <f t="shared" ca="1" si="55"/>
        <v>0</v>
      </c>
      <c r="H870" s="21">
        <v>855</v>
      </c>
      <c r="I870" s="107">
        <v>0.66767376155162206</v>
      </c>
      <c r="J870" s="108">
        <v>1.2509113269582436E-3</v>
      </c>
      <c r="K870" s="108"/>
      <c r="L870" s="108">
        <v>4.02E-2</v>
      </c>
      <c r="O870" s="105"/>
    </row>
    <row r="871" spans="2:15" x14ac:dyDescent="0.2">
      <c r="B871" s="1">
        <v>856</v>
      </c>
      <c r="C871" s="106">
        <f t="shared" ca="1" si="52"/>
        <v>-1.196334009232233</v>
      </c>
      <c r="D871" s="106">
        <f t="shared" ca="1" si="53"/>
        <v>0.59053574269637199</v>
      </c>
      <c r="E871" s="106">
        <f t="shared" ca="1" si="54"/>
        <v>0</v>
      </c>
      <c r="F871" s="21">
        <f t="shared" ca="1" si="55"/>
        <v>0</v>
      </c>
      <c r="H871" s="21">
        <v>856</v>
      </c>
      <c r="I871" s="107">
        <v>0.66775977117740215</v>
      </c>
      <c r="J871" s="108">
        <v>1.2518596766287005E-3</v>
      </c>
      <c r="K871" s="108"/>
      <c r="L871" s="108">
        <v>4.1000000000000002E-2</v>
      </c>
      <c r="O871" s="105"/>
    </row>
    <row r="872" spans="2:15" x14ac:dyDescent="0.2">
      <c r="B872" s="1">
        <v>857</v>
      </c>
      <c r="C872" s="106">
        <f t="shared" ca="1" si="52"/>
        <v>0.53388693152040634</v>
      </c>
      <c r="D872" s="106">
        <f t="shared" ca="1" si="53"/>
        <v>0.70043491609274322</v>
      </c>
      <c r="E872" s="106">
        <f t="shared" ca="1" si="54"/>
        <v>0</v>
      </c>
      <c r="F872" s="21">
        <f t="shared" ca="1" si="55"/>
        <v>0</v>
      </c>
      <c r="H872" s="21">
        <v>857</v>
      </c>
      <c r="I872" s="107">
        <v>0.66770365514756058</v>
      </c>
      <c r="J872" s="108">
        <v>1.2463995313641155E-3</v>
      </c>
      <c r="K872" s="108"/>
      <c r="L872" s="108">
        <v>3.8800000000000001E-2</v>
      </c>
      <c r="O872" s="105"/>
    </row>
    <row r="873" spans="2:15" x14ac:dyDescent="0.2">
      <c r="B873" s="1">
        <v>858</v>
      </c>
      <c r="C873" s="106">
        <f t="shared" ca="1" si="52"/>
        <v>2.6850507523692498E-2</v>
      </c>
      <c r="D873" s="106">
        <f t="shared" ca="1" si="53"/>
        <v>0.6662644779431135</v>
      </c>
      <c r="E873" s="106">
        <f t="shared" ca="1" si="54"/>
        <v>0</v>
      </c>
      <c r="F873" s="21">
        <f t="shared" ca="1" si="55"/>
        <v>0</v>
      </c>
      <c r="H873" s="21">
        <v>858</v>
      </c>
      <c r="I873" s="107">
        <v>0.66778513026841579</v>
      </c>
      <c r="J873" s="108">
        <v>1.3671802192897892E-3</v>
      </c>
      <c r="K873" s="108"/>
      <c r="L873" s="108">
        <v>4.1799999999999997E-2</v>
      </c>
      <c r="O873" s="105"/>
    </row>
    <row r="874" spans="2:15" x14ac:dyDescent="0.2">
      <c r="B874" s="1">
        <v>859</v>
      </c>
      <c r="C874" s="106">
        <f t="shared" ca="1" si="52"/>
        <v>-0.5688261023184078</v>
      </c>
      <c r="D874" s="106">
        <f t="shared" ca="1" si="53"/>
        <v>0.62824384242233444</v>
      </c>
      <c r="E874" s="106">
        <f t="shared" ca="1" si="54"/>
        <v>0</v>
      </c>
      <c r="F874" s="21">
        <f t="shared" ca="1" si="55"/>
        <v>0</v>
      </c>
      <c r="H874" s="21">
        <v>859</v>
      </c>
      <c r="I874" s="107">
        <v>0.66783725235802527</v>
      </c>
      <c r="J874" s="108">
        <v>1.3959279443693565E-3</v>
      </c>
      <c r="K874" s="108"/>
      <c r="L874" s="108">
        <v>4.3999999999999997E-2</v>
      </c>
      <c r="O874" s="105"/>
    </row>
    <row r="875" spans="2:15" x14ac:dyDescent="0.2">
      <c r="B875" s="1">
        <v>860</v>
      </c>
      <c r="C875" s="106">
        <f t="shared" ca="1" si="52"/>
        <v>-1.1595786782571833</v>
      </c>
      <c r="D875" s="106">
        <f t="shared" ca="1" si="53"/>
        <v>0.59268067185441764</v>
      </c>
      <c r="E875" s="106">
        <f t="shared" ca="1" si="54"/>
        <v>0</v>
      </c>
      <c r="F875" s="21">
        <f t="shared" ca="1" si="55"/>
        <v>0</v>
      </c>
      <c r="H875" s="21">
        <v>860</v>
      </c>
      <c r="I875" s="107">
        <v>0.66773866000445692</v>
      </c>
      <c r="J875" s="108">
        <v>1.3439540009494713E-3</v>
      </c>
      <c r="K875" s="108"/>
      <c r="L875" s="108">
        <v>4.1399999999999999E-2</v>
      </c>
      <c r="O875" s="105"/>
    </row>
    <row r="876" spans="2:15" x14ac:dyDescent="0.2">
      <c r="B876" s="1">
        <v>861</v>
      </c>
      <c r="C876" s="106">
        <f t="shared" ca="1" si="52"/>
        <v>0.54850283755908147</v>
      </c>
      <c r="D876" s="106">
        <f t="shared" ca="1" si="53"/>
        <v>0.70144548407882534</v>
      </c>
      <c r="E876" s="106">
        <f t="shared" ca="1" si="54"/>
        <v>0</v>
      </c>
      <c r="F876" s="21">
        <f t="shared" ca="1" si="55"/>
        <v>0</v>
      </c>
      <c r="H876" s="21">
        <v>861</v>
      </c>
      <c r="I876" s="107">
        <v>0.66765666693412495</v>
      </c>
      <c r="J876" s="108">
        <v>1.2963136972060588E-3</v>
      </c>
      <c r="K876" s="108"/>
      <c r="L876" s="108">
        <v>4.1200000000000001E-2</v>
      </c>
      <c r="O876" s="105"/>
    </row>
    <row r="877" spans="2:15" x14ac:dyDescent="0.2">
      <c r="B877" s="1">
        <v>862</v>
      </c>
      <c r="C877" s="106">
        <f t="shared" ca="1" si="52"/>
        <v>0.10444238604682662</v>
      </c>
      <c r="D877" s="106">
        <f t="shared" ca="1" si="53"/>
        <v>0.6713834750086185</v>
      </c>
      <c r="E877" s="106">
        <f t="shared" ca="1" si="54"/>
        <v>0</v>
      </c>
      <c r="F877" s="21">
        <f t="shared" ca="1" si="55"/>
        <v>0</v>
      </c>
      <c r="H877" s="21">
        <v>862</v>
      </c>
      <c r="I877" s="107">
        <v>0.66780826458153575</v>
      </c>
      <c r="J877" s="108">
        <v>1.4863476559416912E-3</v>
      </c>
      <c r="K877" s="108"/>
      <c r="L877" s="108">
        <v>4.3999999999999997E-2</v>
      </c>
      <c r="O877" s="105"/>
    </row>
    <row r="878" spans="2:15" x14ac:dyDescent="0.2">
      <c r="B878" s="1">
        <v>863</v>
      </c>
      <c r="C878" s="106">
        <f t="shared" ca="1" si="52"/>
        <v>3.2881553931871636E-2</v>
      </c>
      <c r="D878" s="106">
        <f t="shared" ca="1" si="53"/>
        <v>0.66666096354417337</v>
      </c>
      <c r="E878" s="106">
        <f t="shared" ca="1" si="54"/>
        <v>0</v>
      </c>
      <c r="F878" s="21">
        <f t="shared" ca="1" si="55"/>
        <v>0</v>
      </c>
      <c r="H878" s="21">
        <v>863</v>
      </c>
      <c r="I878" s="107">
        <v>0.66763884992885725</v>
      </c>
      <c r="J878" s="108">
        <v>1.1509651475915409E-3</v>
      </c>
      <c r="K878" s="108"/>
      <c r="L878" s="108">
        <v>4.02E-2</v>
      </c>
      <c r="O878" s="105"/>
    </row>
    <row r="879" spans="2:15" x14ac:dyDescent="0.2">
      <c r="B879" s="1">
        <v>864</v>
      </c>
      <c r="C879" s="106">
        <f t="shared" ca="1" si="52"/>
        <v>1.5503688754154938</v>
      </c>
      <c r="D879" s="106">
        <f t="shared" ca="1" si="53"/>
        <v>0.77430710964404359</v>
      </c>
      <c r="E879" s="106">
        <f t="shared" ca="1" si="54"/>
        <v>0</v>
      </c>
      <c r="F879" s="21">
        <f t="shared" ca="1" si="55"/>
        <v>0</v>
      </c>
      <c r="H879" s="21">
        <v>864</v>
      </c>
      <c r="I879" s="107">
        <v>0.66774825168874652</v>
      </c>
      <c r="J879" s="108">
        <v>1.3818390781824229E-3</v>
      </c>
      <c r="K879" s="108"/>
      <c r="L879" s="108">
        <v>3.7199999999999997E-2</v>
      </c>
      <c r="O879" s="105"/>
    </row>
    <row r="880" spans="2:15" x14ac:dyDescent="0.2">
      <c r="B880" s="1">
        <v>865</v>
      </c>
      <c r="C880" s="106">
        <f t="shared" ca="1" si="52"/>
        <v>-0.1571053188501268</v>
      </c>
      <c r="D880" s="106">
        <f t="shared" ca="1" si="53"/>
        <v>0.65428370634569355</v>
      </c>
      <c r="E880" s="106">
        <f t="shared" ca="1" si="54"/>
        <v>0</v>
      </c>
      <c r="F880" s="21">
        <f t="shared" ca="1" si="55"/>
        <v>0</v>
      </c>
      <c r="H880" s="21">
        <v>865</v>
      </c>
      <c r="I880" s="107">
        <v>0.66781104618592513</v>
      </c>
      <c r="J880" s="108">
        <v>1.3756937617784959E-3</v>
      </c>
      <c r="K880" s="108"/>
      <c r="L880" s="108">
        <v>4.7E-2</v>
      </c>
      <c r="O880" s="105"/>
    </row>
    <row r="881" spans="2:15" x14ac:dyDescent="0.2">
      <c r="B881" s="1">
        <v>866</v>
      </c>
      <c r="C881" s="106">
        <f t="shared" ca="1" si="52"/>
        <v>0.26357167849409763</v>
      </c>
      <c r="D881" s="106">
        <f t="shared" ca="1" si="53"/>
        <v>0.68200514096140941</v>
      </c>
      <c r="E881" s="106">
        <f t="shared" ca="1" si="54"/>
        <v>0</v>
      </c>
      <c r="F881" s="21">
        <f t="shared" ca="1" si="55"/>
        <v>0</v>
      </c>
      <c r="H881" s="21">
        <v>866</v>
      </c>
      <c r="I881" s="107">
        <v>0.66807855526465743</v>
      </c>
      <c r="J881" s="108">
        <v>1.6258795752510074E-3</v>
      </c>
      <c r="K881" s="108"/>
      <c r="L881" s="108">
        <v>5.3800000000000001E-2</v>
      </c>
      <c r="O881" s="105"/>
    </row>
    <row r="882" spans="2:15" x14ac:dyDescent="0.2">
      <c r="B882" s="1">
        <v>867</v>
      </c>
      <c r="C882" s="106">
        <f t="shared" ca="1" si="52"/>
        <v>-0.43635643720799933</v>
      </c>
      <c r="D882" s="106">
        <f t="shared" ca="1" si="53"/>
        <v>0.63650696373652715</v>
      </c>
      <c r="E882" s="106">
        <f t="shared" ca="1" si="54"/>
        <v>0</v>
      </c>
      <c r="F882" s="21">
        <f t="shared" ca="1" si="55"/>
        <v>0</v>
      </c>
      <c r="H882" s="21">
        <v>867</v>
      </c>
      <c r="I882" s="107">
        <v>0.66779213014991234</v>
      </c>
      <c r="J882" s="108">
        <v>1.4327958000230653E-3</v>
      </c>
      <c r="K882" s="108"/>
      <c r="L882" s="108">
        <v>4.2000000000000003E-2</v>
      </c>
      <c r="O882" s="105"/>
    </row>
    <row r="883" spans="2:15" x14ac:dyDescent="0.2">
      <c r="B883" s="1">
        <v>868</v>
      </c>
      <c r="C883" s="106">
        <f t="shared" ca="1" si="52"/>
        <v>0.50216407871272983</v>
      </c>
      <c r="D883" s="106">
        <f t="shared" ca="1" si="53"/>
        <v>0.69824655186264428</v>
      </c>
      <c r="E883" s="106">
        <f t="shared" ca="1" si="54"/>
        <v>0</v>
      </c>
      <c r="F883" s="21">
        <f t="shared" ca="1" si="55"/>
        <v>0</v>
      </c>
      <c r="H883" s="21">
        <v>868</v>
      </c>
      <c r="I883" s="107">
        <v>0.66767087641870448</v>
      </c>
      <c r="J883" s="108">
        <v>1.3570740676686081E-3</v>
      </c>
      <c r="K883" s="108"/>
      <c r="L883" s="108">
        <v>0.04</v>
      </c>
      <c r="O883" s="105"/>
    </row>
    <row r="884" spans="2:15" x14ac:dyDescent="0.2">
      <c r="B884" s="1">
        <v>869</v>
      </c>
      <c r="C884" s="106">
        <f t="shared" ca="1" si="52"/>
        <v>-2.658091761361709</v>
      </c>
      <c r="D884" s="106">
        <f t="shared" ca="1" si="53"/>
        <v>0.51124066127303125</v>
      </c>
      <c r="E884" s="106">
        <f t="shared" ca="1" si="54"/>
        <v>0</v>
      </c>
      <c r="F884" s="21">
        <f t="shared" ca="1" si="55"/>
        <v>0</v>
      </c>
      <c r="H884" s="21">
        <v>869</v>
      </c>
      <c r="I884" s="107">
        <v>0.66776195982816844</v>
      </c>
      <c r="J884" s="108">
        <v>1.4664435549910804E-3</v>
      </c>
      <c r="K884" s="108"/>
      <c r="L884" s="108">
        <v>4.2799999999999998E-2</v>
      </c>
      <c r="O884" s="105"/>
    </row>
    <row r="885" spans="2:15" x14ac:dyDescent="0.2">
      <c r="B885" s="1">
        <v>870</v>
      </c>
      <c r="C885" s="106">
        <f t="shared" ca="1" si="52"/>
        <v>-1.0787732933016743</v>
      </c>
      <c r="D885" s="106">
        <f t="shared" ca="1" si="53"/>
        <v>0.59742365896975491</v>
      </c>
      <c r="E885" s="106">
        <f t="shared" ca="1" si="54"/>
        <v>0</v>
      </c>
      <c r="F885" s="21">
        <f t="shared" ca="1" si="55"/>
        <v>0</v>
      </c>
      <c r="H885" s="21">
        <v>870</v>
      </c>
      <c r="I885" s="107">
        <v>0.66775314345885584</v>
      </c>
      <c r="J885" s="108">
        <v>1.475569232037999E-3</v>
      </c>
      <c r="K885" s="108"/>
      <c r="L885" s="108">
        <v>4.3400000000000001E-2</v>
      </c>
      <c r="O885" s="105"/>
    </row>
    <row r="886" spans="2:15" x14ac:dyDescent="0.2">
      <c r="B886" s="1">
        <v>871</v>
      </c>
      <c r="C886" s="106">
        <f t="shared" ca="1" si="52"/>
        <v>-0.8831032310219199</v>
      </c>
      <c r="D886" s="106">
        <f t="shared" ca="1" si="53"/>
        <v>0.60906662512255405</v>
      </c>
      <c r="E886" s="106">
        <f t="shared" ca="1" si="54"/>
        <v>0</v>
      </c>
      <c r="F886" s="21">
        <f t="shared" ca="1" si="55"/>
        <v>0</v>
      </c>
      <c r="H886" s="21">
        <v>871</v>
      </c>
      <c r="I886" s="107">
        <v>0.6677972247203896</v>
      </c>
      <c r="J886" s="108">
        <v>1.4886707717172254E-3</v>
      </c>
      <c r="K886" s="108"/>
      <c r="L886" s="108">
        <v>4.24E-2</v>
      </c>
      <c r="O886" s="105"/>
    </row>
    <row r="887" spans="2:15" x14ac:dyDescent="0.2">
      <c r="B887" s="1">
        <v>872</v>
      </c>
      <c r="C887" s="106">
        <f t="shared" ca="1" si="52"/>
        <v>-0.64872256171358189</v>
      </c>
      <c r="D887" s="106">
        <f t="shared" ca="1" si="53"/>
        <v>0.62331205394313294</v>
      </c>
      <c r="E887" s="106">
        <f t="shared" ca="1" si="54"/>
        <v>0</v>
      </c>
      <c r="F887" s="21">
        <f t="shared" ca="1" si="55"/>
        <v>0</v>
      </c>
      <c r="H887" s="21">
        <v>872</v>
      </c>
      <c r="I887" s="107">
        <v>0.66767316466703119</v>
      </c>
      <c r="J887" s="108">
        <v>1.2499897258994427E-3</v>
      </c>
      <c r="K887" s="108"/>
      <c r="L887" s="108">
        <v>4.0399999999999998E-2</v>
      </c>
      <c r="O887" s="105"/>
    </row>
    <row r="888" spans="2:15" x14ac:dyDescent="0.2">
      <c r="B888" s="1">
        <v>873</v>
      </c>
      <c r="C888" s="106">
        <f t="shared" ca="1" si="52"/>
        <v>1.3984451425593389</v>
      </c>
      <c r="D888" s="106">
        <f t="shared" ca="1" si="53"/>
        <v>0.76278988932667346</v>
      </c>
      <c r="E888" s="106">
        <f t="shared" ca="1" si="54"/>
        <v>0</v>
      </c>
      <c r="F888" s="21">
        <f t="shared" ca="1" si="55"/>
        <v>0</v>
      </c>
      <c r="H888" s="21">
        <v>873</v>
      </c>
      <c r="I888" s="107">
        <v>0.66774804138684807</v>
      </c>
      <c r="J888" s="108">
        <v>1.414905297003983E-3</v>
      </c>
      <c r="K888" s="108"/>
      <c r="L888" s="108">
        <v>4.3799999999999999E-2</v>
      </c>
      <c r="O888" s="105"/>
    </row>
    <row r="889" spans="2:15" x14ac:dyDescent="0.2">
      <c r="B889" s="1">
        <v>874</v>
      </c>
      <c r="C889" s="106">
        <f t="shared" ca="1" si="52"/>
        <v>1.5149128226384843</v>
      </c>
      <c r="D889" s="106">
        <f t="shared" ca="1" si="53"/>
        <v>0.77160375329859654</v>
      </c>
      <c r="E889" s="106">
        <f t="shared" ca="1" si="54"/>
        <v>0</v>
      </c>
      <c r="F889" s="21">
        <f t="shared" ca="1" si="55"/>
        <v>0</v>
      </c>
      <c r="H889" s="21">
        <v>874</v>
      </c>
      <c r="I889" s="107">
        <v>0.66758229546822645</v>
      </c>
      <c r="J889" s="108">
        <v>1.221833380066183E-3</v>
      </c>
      <c r="K889" s="108"/>
      <c r="L889" s="108">
        <v>3.7199999999999997E-2</v>
      </c>
      <c r="O889" s="105"/>
    </row>
    <row r="890" spans="2:15" x14ac:dyDescent="0.2">
      <c r="B890" s="1">
        <v>875</v>
      </c>
      <c r="C890" s="106">
        <f t="shared" ca="1" si="52"/>
        <v>-1.1730806314839404</v>
      </c>
      <c r="D890" s="106">
        <f t="shared" ca="1" si="53"/>
        <v>0.59189183518860888</v>
      </c>
      <c r="E890" s="106">
        <f t="shared" ca="1" si="54"/>
        <v>0</v>
      </c>
      <c r="F890" s="21">
        <f t="shared" ca="1" si="55"/>
        <v>0</v>
      </c>
      <c r="H890" s="21">
        <v>875</v>
      </c>
      <c r="I890" s="107">
        <v>0.66775994932628635</v>
      </c>
      <c r="J890" s="108">
        <v>1.4352407220465638E-3</v>
      </c>
      <c r="K890" s="108"/>
      <c r="L890" s="108">
        <v>4.2000000000000003E-2</v>
      </c>
      <c r="O890" s="105"/>
    </row>
    <row r="891" spans="2:15" x14ac:dyDescent="0.2">
      <c r="B891" s="1">
        <v>876</v>
      </c>
      <c r="C891" s="106">
        <f t="shared" ca="1" si="52"/>
        <v>0.21924063023594562</v>
      </c>
      <c r="D891" s="106">
        <f t="shared" ca="1" si="53"/>
        <v>0.67902933000459942</v>
      </c>
      <c r="E891" s="106">
        <f t="shared" ca="1" si="54"/>
        <v>0</v>
      </c>
      <c r="F891" s="21">
        <f t="shared" ca="1" si="55"/>
        <v>0</v>
      </c>
      <c r="H891" s="21">
        <v>876</v>
      </c>
      <c r="I891" s="107">
        <v>0.66776250131248294</v>
      </c>
      <c r="J891" s="108">
        <v>1.2698120253694749E-3</v>
      </c>
      <c r="K891" s="108"/>
      <c r="L891" s="108">
        <v>4.02E-2</v>
      </c>
      <c r="O891" s="105"/>
    </row>
    <row r="892" spans="2:15" x14ac:dyDescent="0.2">
      <c r="B892" s="1">
        <v>877</v>
      </c>
      <c r="C892" s="106">
        <f t="shared" ca="1" si="52"/>
        <v>1.8795945146569366E-2</v>
      </c>
      <c r="D892" s="106">
        <f t="shared" ca="1" si="53"/>
        <v>0.6657353325804628</v>
      </c>
      <c r="E892" s="106">
        <f t="shared" ca="1" si="54"/>
        <v>0</v>
      </c>
      <c r="F892" s="21">
        <f t="shared" ca="1" si="55"/>
        <v>0</v>
      </c>
      <c r="H892" s="21">
        <v>877</v>
      </c>
      <c r="I892" s="107">
        <v>0.66780484516961169</v>
      </c>
      <c r="J892" s="108">
        <v>1.4891473739965782E-3</v>
      </c>
      <c r="K892" s="108"/>
      <c r="L892" s="108">
        <v>4.4200000000000003E-2</v>
      </c>
      <c r="O892" s="105"/>
    </row>
    <row r="893" spans="2:15" x14ac:dyDescent="0.2">
      <c r="B893" s="1">
        <v>878</v>
      </c>
      <c r="C893" s="106">
        <f t="shared" ca="1" si="52"/>
        <v>0.48541073218872122</v>
      </c>
      <c r="D893" s="106">
        <f t="shared" ca="1" si="53"/>
        <v>0.69709360187298941</v>
      </c>
      <c r="E893" s="106">
        <f t="shared" ca="1" si="54"/>
        <v>0</v>
      </c>
      <c r="F893" s="21">
        <f t="shared" ca="1" si="55"/>
        <v>0</v>
      </c>
      <c r="H893" s="21">
        <v>878</v>
      </c>
      <c r="I893" s="107">
        <v>0.66768943500011002</v>
      </c>
      <c r="J893" s="108">
        <v>1.3005592889172024E-3</v>
      </c>
      <c r="K893" s="108"/>
      <c r="L893" s="108">
        <v>4.02E-2</v>
      </c>
      <c r="O893" s="105"/>
    </row>
    <row r="894" spans="2:15" x14ac:dyDescent="0.2">
      <c r="B894" s="1">
        <v>879</v>
      </c>
      <c r="C894" s="106">
        <f t="shared" ca="1" si="52"/>
        <v>-0.34744352657180105</v>
      </c>
      <c r="D894" s="106">
        <f t="shared" ca="1" si="53"/>
        <v>0.64211399227594523</v>
      </c>
      <c r="E894" s="106">
        <f t="shared" ca="1" si="54"/>
        <v>0</v>
      </c>
      <c r="F894" s="21">
        <f t="shared" ca="1" si="55"/>
        <v>0</v>
      </c>
      <c r="H894" s="21">
        <v>879</v>
      </c>
      <c r="I894" s="107">
        <v>0.66777380160335087</v>
      </c>
      <c r="J894" s="108">
        <v>1.4113166460671175E-3</v>
      </c>
      <c r="K894" s="108"/>
      <c r="L894" s="108">
        <v>4.1000000000000002E-2</v>
      </c>
      <c r="O894" s="105"/>
    </row>
    <row r="895" spans="2:15" x14ac:dyDescent="0.2">
      <c r="B895" s="1">
        <v>880</v>
      </c>
      <c r="C895" s="106">
        <f t="shared" ca="1" si="52"/>
        <v>-2.7724479812764922</v>
      </c>
      <c r="D895" s="106">
        <f t="shared" ca="1" si="53"/>
        <v>0.5055061434440532</v>
      </c>
      <c r="E895" s="106">
        <f t="shared" ca="1" si="54"/>
        <v>0</v>
      </c>
      <c r="F895" s="21">
        <f t="shared" ca="1" si="55"/>
        <v>0</v>
      </c>
      <c r="H895" s="21">
        <v>880</v>
      </c>
      <c r="I895" s="107">
        <v>0.66770515991537116</v>
      </c>
      <c r="J895" s="108">
        <v>1.2171227123922476E-3</v>
      </c>
      <c r="K895" s="108"/>
      <c r="L895" s="108">
        <v>3.7600000000000001E-2</v>
      </c>
      <c r="O895" s="105"/>
    </row>
    <row r="896" spans="2:15" x14ac:dyDescent="0.2">
      <c r="B896" s="1">
        <v>881</v>
      </c>
      <c r="C896" s="106">
        <f t="shared" ca="1" si="52"/>
        <v>0.41774221011530205</v>
      </c>
      <c r="D896" s="106">
        <f t="shared" ca="1" si="53"/>
        <v>0.69245605773566421</v>
      </c>
      <c r="E896" s="106">
        <f t="shared" ca="1" si="54"/>
        <v>0</v>
      </c>
      <c r="F896" s="21">
        <f t="shared" ca="1" si="55"/>
        <v>0</v>
      </c>
      <c r="H896" s="21">
        <v>881</v>
      </c>
      <c r="I896" s="107">
        <v>0.66784381212144417</v>
      </c>
      <c r="J896" s="108">
        <v>1.5063823986222133E-3</v>
      </c>
      <c r="K896" s="108"/>
      <c r="L896" s="108">
        <v>4.2000000000000003E-2</v>
      </c>
      <c r="O896" s="105"/>
    </row>
    <row r="897" spans="2:15" x14ac:dyDescent="0.2">
      <c r="B897" s="1">
        <v>882</v>
      </c>
      <c r="C897" s="106">
        <f t="shared" ca="1" si="52"/>
        <v>-2.1215157976093604</v>
      </c>
      <c r="D897" s="106">
        <f t="shared" ca="1" si="53"/>
        <v>0.53902880183638013</v>
      </c>
      <c r="E897" s="106">
        <f t="shared" ca="1" si="54"/>
        <v>0</v>
      </c>
      <c r="F897" s="21">
        <f t="shared" ca="1" si="55"/>
        <v>0</v>
      </c>
      <c r="H897" s="21">
        <v>882</v>
      </c>
      <c r="I897" s="107">
        <v>0.6677459937525807</v>
      </c>
      <c r="J897" s="108">
        <v>1.4561411658219744E-3</v>
      </c>
      <c r="K897" s="108"/>
      <c r="L897" s="108">
        <v>4.1200000000000001E-2</v>
      </c>
      <c r="O897" s="105"/>
    </row>
    <row r="898" spans="2:15" x14ac:dyDescent="0.2">
      <c r="B898" s="1">
        <v>883</v>
      </c>
      <c r="C898" s="106">
        <f t="shared" ca="1" si="52"/>
        <v>0.18175085601215907</v>
      </c>
      <c r="D898" s="106">
        <f t="shared" ca="1" si="53"/>
        <v>0.67652288899748403</v>
      </c>
      <c r="E898" s="106">
        <f t="shared" ca="1" si="54"/>
        <v>0</v>
      </c>
      <c r="F898" s="21">
        <f t="shared" ca="1" si="55"/>
        <v>0</v>
      </c>
      <c r="H898" s="21">
        <v>883</v>
      </c>
      <c r="I898" s="107">
        <v>0.66770284749482867</v>
      </c>
      <c r="J898" s="108">
        <v>1.2479653457365646E-3</v>
      </c>
      <c r="K898" s="108"/>
      <c r="L898" s="108">
        <v>4.2999999999999997E-2</v>
      </c>
      <c r="O898" s="105"/>
    </row>
    <row r="899" spans="2:15" x14ac:dyDescent="0.2">
      <c r="B899" s="1">
        <v>884</v>
      </c>
      <c r="C899" s="106">
        <f t="shared" ca="1" si="52"/>
        <v>9.4689112686082322E-2</v>
      </c>
      <c r="D899" s="106">
        <f t="shared" ca="1" si="53"/>
        <v>0.67073786381806699</v>
      </c>
      <c r="E899" s="106">
        <f t="shared" ca="1" si="54"/>
        <v>0</v>
      </c>
      <c r="F899" s="21">
        <f t="shared" ca="1" si="55"/>
        <v>0</v>
      </c>
      <c r="H899" s="21">
        <v>884</v>
      </c>
      <c r="I899" s="107">
        <v>0.66773181588590436</v>
      </c>
      <c r="J899" s="108">
        <v>1.2535496262257393E-3</v>
      </c>
      <c r="K899" s="108"/>
      <c r="L899" s="108">
        <v>3.7400000000000003E-2</v>
      </c>
      <c r="O899" s="105"/>
    </row>
    <row r="900" spans="2:15" x14ac:dyDescent="0.2">
      <c r="B900" s="1">
        <v>885</v>
      </c>
      <c r="C900" s="106">
        <f t="shared" ca="1" si="52"/>
        <v>0.52525228711511607</v>
      </c>
      <c r="D900" s="106">
        <f t="shared" ca="1" si="53"/>
        <v>0.69983858671298194</v>
      </c>
      <c r="E900" s="106">
        <f t="shared" ca="1" si="54"/>
        <v>0</v>
      </c>
      <c r="F900" s="21">
        <f t="shared" ca="1" si="55"/>
        <v>0</v>
      </c>
      <c r="H900" s="21">
        <v>885</v>
      </c>
      <c r="I900" s="107">
        <v>0.6676598821079569</v>
      </c>
      <c r="J900" s="108">
        <v>1.2218709660427526E-3</v>
      </c>
      <c r="K900" s="108"/>
      <c r="L900" s="108">
        <v>4.2999999999999997E-2</v>
      </c>
      <c r="O900" s="105"/>
    </row>
    <row r="901" spans="2:15" x14ac:dyDescent="0.2">
      <c r="B901" s="1">
        <v>886</v>
      </c>
      <c r="C901" s="106">
        <f t="shared" ca="1" si="52"/>
        <v>-1.3536405380655487</v>
      </c>
      <c r="D901" s="106">
        <f t="shared" ca="1" si="53"/>
        <v>0.58144317094230358</v>
      </c>
      <c r="E901" s="106">
        <f t="shared" ca="1" si="54"/>
        <v>0</v>
      </c>
      <c r="F901" s="21">
        <f t="shared" ca="1" si="55"/>
        <v>0</v>
      </c>
      <c r="H901" s="21">
        <v>886</v>
      </c>
      <c r="I901" s="107">
        <v>0.66779979247160892</v>
      </c>
      <c r="J901" s="108">
        <v>1.5198741259447961E-3</v>
      </c>
      <c r="K901" s="108"/>
      <c r="L901" s="108">
        <v>4.48E-2</v>
      </c>
      <c r="O901" s="105"/>
    </row>
    <row r="902" spans="2:15" x14ac:dyDescent="0.2">
      <c r="B902" s="1">
        <v>887</v>
      </c>
      <c r="C902" s="106">
        <f t="shared" ca="1" si="52"/>
        <v>0.38658528448284296</v>
      </c>
      <c r="D902" s="106">
        <f t="shared" ca="1" si="53"/>
        <v>0.69033115763816633</v>
      </c>
      <c r="E902" s="106">
        <f t="shared" ca="1" si="54"/>
        <v>0</v>
      </c>
      <c r="F902" s="21">
        <f t="shared" ca="1" si="55"/>
        <v>0</v>
      </c>
      <c r="H902" s="21">
        <v>887</v>
      </c>
      <c r="I902" s="107">
        <v>0.66786694339525243</v>
      </c>
      <c r="J902" s="108">
        <v>1.5234249593153362E-3</v>
      </c>
      <c r="K902" s="108"/>
      <c r="L902" s="108">
        <v>4.4999999999999998E-2</v>
      </c>
      <c r="O902" s="105"/>
    </row>
    <row r="903" spans="2:15" x14ac:dyDescent="0.2">
      <c r="B903" s="1">
        <v>888</v>
      </c>
      <c r="C903" s="106">
        <f t="shared" ca="1" si="52"/>
        <v>-0.17804057410885715</v>
      </c>
      <c r="D903" s="106">
        <f t="shared" ca="1" si="53"/>
        <v>0.65293395143310839</v>
      </c>
      <c r="E903" s="106">
        <f t="shared" ca="1" si="54"/>
        <v>0</v>
      </c>
      <c r="F903" s="21">
        <f t="shared" ca="1" si="55"/>
        <v>0</v>
      </c>
      <c r="H903" s="21">
        <v>888</v>
      </c>
      <c r="I903" s="107">
        <v>0.66772068471351431</v>
      </c>
      <c r="J903" s="108">
        <v>1.351656562543354E-3</v>
      </c>
      <c r="K903" s="108"/>
      <c r="L903" s="108">
        <v>3.9800000000000002E-2</v>
      </c>
      <c r="O903" s="105"/>
    </row>
    <row r="904" spans="2:15" x14ac:dyDescent="0.2">
      <c r="B904" s="1">
        <v>889</v>
      </c>
      <c r="C904" s="106">
        <f t="shared" ca="1" si="52"/>
        <v>-1.1294120023864278</v>
      </c>
      <c r="D904" s="106">
        <f t="shared" ca="1" si="53"/>
        <v>0.59444692701312152</v>
      </c>
      <c r="E904" s="106">
        <f t="shared" ca="1" si="54"/>
        <v>0</v>
      </c>
      <c r="F904" s="21">
        <f t="shared" ca="1" si="55"/>
        <v>0</v>
      </c>
      <c r="H904" s="21">
        <v>889</v>
      </c>
      <c r="I904" s="107">
        <v>0.66770070199711984</v>
      </c>
      <c r="J904" s="108">
        <v>1.2057556738661202E-3</v>
      </c>
      <c r="K904" s="108"/>
      <c r="L904" s="108">
        <v>3.8199999999999998E-2</v>
      </c>
      <c r="O904" s="105"/>
    </row>
    <row r="905" spans="2:15" x14ac:dyDescent="0.2">
      <c r="B905" s="1">
        <v>890</v>
      </c>
      <c r="C905" s="106">
        <f t="shared" ca="1" si="52"/>
        <v>0.13052544513873274</v>
      </c>
      <c r="D905" s="106">
        <f t="shared" ca="1" si="53"/>
        <v>0.67311307981879687</v>
      </c>
      <c r="E905" s="106">
        <f t="shared" ca="1" si="54"/>
        <v>0</v>
      </c>
      <c r="F905" s="21">
        <f t="shared" ca="1" si="55"/>
        <v>0</v>
      </c>
      <c r="H905" s="21">
        <v>890</v>
      </c>
      <c r="I905" s="107">
        <v>0.66780796625590733</v>
      </c>
      <c r="J905" s="108">
        <v>1.5518389520469526E-3</v>
      </c>
      <c r="K905" s="108"/>
      <c r="L905" s="108">
        <v>4.3400000000000001E-2</v>
      </c>
      <c r="O905" s="105"/>
    </row>
    <row r="906" spans="2:15" x14ac:dyDescent="0.2">
      <c r="B906" s="1">
        <v>891</v>
      </c>
      <c r="C906" s="106">
        <f t="shared" ca="1" si="52"/>
        <v>-2.8678426167584723</v>
      </c>
      <c r="D906" s="106">
        <f t="shared" ca="1" si="53"/>
        <v>0.50077171485795957</v>
      </c>
      <c r="E906" s="106">
        <f t="shared" ca="1" si="54"/>
        <v>0</v>
      </c>
      <c r="F906" s="21">
        <f t="shared" ca="1" si="55"/>
        <v>0</v>
      </c>
      <c r="H906" s="21">
        <v>891</v>
      </c>
      <c r="I906" s="107">
        <v>0.66770863623332155</v>
      </c>
      <c r="J906" s="108">
        <v>1.296022898792332E-3</v>
      </c>
      <c r="K906" s="108"/>
      <c r="L906" s="108">
        <v>3.9E-2</v>
      </c>
      <c r="O906" s="105"/>
    </row>
    <row r="907" spans="2:15" x14ac:dyDescent="0.2">
      <c r="B907" s="1">
        <v>892</v>
      </c>
      <c r="C907" s="106">
        <f t="shared" ca="1" si="52"/>
        <v>-0.35587093553174071</v>
      </c>
      <c r="D907" s="106">
        <f t="shared" ca="1" si="53"/>
        <v>0.64158043062954595</v>
      </c>
      <c r="E907" s="106">
        <f t="shared" ca="1" si="54"/>
        <v>0</v>
      </c>
      <c r="F907" s="21">
        <f t="shared" ca="1" si="55"/>
        <v>0</v>
      </c>
      <c r="H907" s="21">
        <v>892</v>
      </c>
      <c r="I907" s="107">
        <v>0.66775159678231444</v>
      </c>
      <c r="J907" s="108">
        <v>1.4008532965226412E-3</v>
      </c>
      <c r="K907" s="108"/>
      <c r="L907" s="108">
        <v>3.9399999999999998E-2</v>
      </c>
      <c r="O907" s="105"/>
    </row>
    <row r="908" spans="2:15" x14ac:dyDescent="0.2">
      <c r="B908" s="1">
        <v>893</v>
      </c>
      <c r="C908" s="106">
        <f t="shared" ca="1" si="52"/>
        <v>0.30849712444206284</v>
      </c>
      <c r="D908" s="106">
        <f t="shared" ca="1" si="53"/>
        <v>0.68503415712190696</v>
      </c>
      <c r="E908" s="106">
        <f t="shared" ca="1" si="54"/>
        <v>0</v>
      </c>
      <c r="F908" s="21">
        <f t="shared" ca="1" si="55"/>
        <v>0</v>
      </c>
      <c r="H908" s="21">
        <v>893</v>
      </c>
      <c r="I908" s="107">
        <v>0.6678158115389482</v>
      </c>
      <c r="J908" s="108">
        <v>1.4202954727509131E-3</v>
      </c>
      <c r="K908" s="108"/>
      <c r="L908" s="108">
        <v>4.6199999999999998E-2</v>
      </c>
      <c r="O908" s="105"/>
    </row>
    <row r="909" spans="2:15" x14ac:dyDescent="0.2">
      <c r="B909" s="1">
        <v>894</v>
      </c>
      <c r="C909" s="106">
        <f t="shared" ca="1" si="52"/>
        <v>-1.4210825254215678</v>
      </c>
      <c r="D909" s="106">
        <f t="shared" ca="1" si="53"/>
        <v>0.57758791914359042</v>
      </c>
      <c r="E909" s="106">
        <f t="shared" ca="1" si="54"/>
        <v>0</v>
      </c>
      <c r="F909" s="21">
        <f t="shared" ca="1" si="55"/>
        <v>0</v>
      </c>
      <c r="H909" s="21">
        <v>894</v>
      </c>
      <c r="I909" s="107">
        <v>0.66776993925815931</v>
      </c>
      <c r="J909" s="108">
        <v>1.4442020300891396E-3</v>
      </c>
      <c r="K909" s="108"/>
      <c r="L909" s="108">
        <v>4.4600000000000001E-2</v>
      </c>
      <c r="O909" s="105"/>
    </row>
    <row r="910" spans="2:15" x14ac:dyDescent="0.2">
      <c r="B910" s="1">
        <v>895</v>
      </c>
      <c r="C910" s="106">
        <f t="shared" ca="1" si="52"/>
        <v>-0.67401469710041007</v>
      </c>
      <c r="D910" s="106">
        <f t="shared" ca="1" si="53"/>
        <v>0.62175892223193474</v>
      </c>
      <c r="E910" s="106">
        <f t="shared" ca="1" si="54"/>
        <v>0</v>
      </c>
      <c r="F910" s="21">
        <f t="shared" ca="1" si="55"/>
        <v>0</v>
      </c>
      <c r="H910" s="21">
        <v>895</v>
      </c>
      <c r="I910" s="107">
        <v>0.66764612243123367</v>
      </c>
      <c r="J910" s="108">
        <v>1.1349086343047049E-3</v>
      </c>
      <c r="K910" s="108"/>
      <c r="L910" s="108">
        <v>3.7999999999999999E-2</v>
      </c>
      <c r="O910" s="105"/>
    </row>
    <row r="911" spans="2:15" x14ac:dyDescent="0.2">
      <c r="B911" s="1">
        <v>896</v>
      </c>
      <c r="C911" s="106">
        <f t="shared" ca="1" si="52"/>
        <v>0.84597650167857641</v>
      </c>
      <c r="D911" s="106">
        <f t="shared" ca="1" si="53"/>
        <v>0.72233309272771062</v>
      </c>
      <c r="E911" s="106">
        <f t="shared" ca="1" si="54"/>
        <v>0</v>
      </c>
      <c r="F911" s="21">
        <f t="shared" ca="1" si="55"/>
        <v>0</v>
      </c>
      <c r="H911" s="21">
        <v>896</v>
      </c>
      <c r="I911" s="107">
        <v>0.66783801078393989</v>
      </c>
      <c r="J911" s="108">
        <v>1.368546426436031E-3</v>
      </c>
      <c r="K911" s="108"/>
      <c r="L911" s="108">
        <v>4.1799999999999997E-2</v>
      </c>
      <c r="O911" s="105"/>
    </row>
    <row r="912" spans="2:15" x14ac:dyDescent="0.2">
      <c r="B912" s="1">
        <v>897</v>
      </c>
      <c r="C912" s="106">
        <f t="shared" ref="C912:C975" ca="1" si="56">_xlfn.NORM.S.INV(RAND())</f>
        <v>-1.4791595559806483</v>
      </c>
      <c r="D912" s="106">
        <f t="shared" ref="D912:D975" ca="1" si="57">S0*EXP((μ-0.5*σ*σ)*T+σ*SQRT(T)*$C912)</f>
        <v>0.57428849607564803</v>
      </c>
      <c r="E912" s="106">
        <f t="shared" ref="E912:E975" ca="1" si="58">MAX(0,CP*(D912-K))</f>
        <v>0</v>
      </c>
      <c r="F912" s="21">
        <f t="shared" ref="F912:F975" ca="1" si="59">(CP*(D912-K)&gt;0)*1</f>
        <v>0</v>
      </c>
      <c r="H912" s="21">
        <v>897</v>
      </c>
      <c r="I912" s="107">
        <v>0.66766090488382612</v>
      </c>
      <c r="J912" s="108">
        <v>1.2747873395917927E-3</v>
      </c>
      <c r="K912" s="108"/>
      <c r="L912" s="108">
        <v>4.0599999999999997E-2</v>
      </c>
      <c r="O912" s="105"/>
    </row>
    <row r="913" spans="2:15" x14ac:dyDescent="0.2">
      <c r="B913" s="1">
        <v>898</v>
      </c>
      <c r="C913" s="106">
        <f t="shared" ca="1" si="56"/>
        <v>-0.46785439451518918</v>
      </c>
      <c r="D913" s="106">
        <f t="shared" ca="1" si="57"/>
        <v>0.63453240549473355</v>
      </c>
      <c r="E913" s="106">
        <f t="shared" ca="1" si="58"/>
        <v>0</v>
      </c>
      <c r="F913" s="21">
        <f t="shared" ca="1" si="59"/>
        <v>0</v>
      </c>
      <c r="H913" s="21">
        <v>898</v>
      </c>
      <c r="I913" s="107">
        <v>0.66768671637347354</v>
      </c>
      <c r="J913" s="108">
        <v>1.3622611714798421E-3</v>
      </c>
      <c r="K913" s="108"/>
      <c r="L913" s="108">
        <v>4.1000000000000002E-2</v>
      </c>
      <c r="O913" s="105"/>
    </row>
    <row r="914" spans="2:15" x14ac:dyDescent="0.2">
      <c r="B914" s="1">
        <v>899</v>
      </c>
      <c r="C914" s="106">
        <f t="shared" ca="1" si="56"/>
        <v>-1.1887157906883101</v>
      </c>
      <c r="D914" s="106">
        <f t="shared" ca="1" si="57"/>
        <v>0.59097968006826318</v>
      </c>
      <c r="E914" s="106">
        <f t="shared" ca="1" si="58"/>
        <v>0</v>
      </c>
      <c r="F914" s="21">
        <f t="shared" ca="1" si="59"/>
        <v>0</v>
      </c>
      <c r="H914" s="21">
        <v>899</v>
      </c>
      <c r="I914" s="107">
        <v>0.66770360448818933</v>
      </c>
      <c r="J914" s="108">
        <v>1.2711253075451811E-3</v>
      </c>
      <c r="K914" s="108"/>
      <c r="L914" s="108">
        <v>4.1200000000000001E-2</v>
      </c>
      <c r="O914" s="105"/>
    </row>
    <row r="915" spans="2:15" x14ac:dyDescent="0.2">
      <c r="B915" s="1">
        <v>900</v>
      </c>
      <c r="C915" s="106">
        <f t="shared" ca="1" si="56"/>
        <v>0.77630407577461724</v>
      </c>
      <c r="D915" s="106">
        <f t="shared" ca="1" si="57"/>
        <v>0.71738582016561681</v>
      </c>
      <c r="E915" s="106">
        <f t="shared" ca="1" si="58"/>
        <v>0</v>
      </c>
      <c r="F915" s="21">
        <f t="shared" ca="1" si="59"/>
        <v>0</v>
      </c>
      <c r="H915" s="21">
        <v>900</v>
      </c>
      <c r="I915" s="107">
        <v>0.66753133638867101</v>
      </c>
      <c r="J915" s="108">
        <v>1.1588980961924756E-3</v>
      </c>
      <c r="K915" s="108"/>
      <c r="L915" s="108">
        <v>3.6400000000000002E-2</v>
      </c>
      <c r="O915" s="105"/>
    </row>
    <row r="916" spans="2:15" x14ac:dyDescent="0.2">
      <c r="B916" s="1">
        <v>901</v>
      </c>
      <c r="C916" s="106">
        <f t="shared" ca="1" si="56"/>
        <v>-0.61289589191896565</v>
      </c>
      <c r="D916" s="106">
        <f t="shared" ca="1" si="57"/>
        <v>0.62551872952559062</v>
      </c>
      <c r="E916" s="106">
        <f t="shared" ca="1" si="58"/>
        <v>0</v>
      </c>
      <c r="F916" s="21">
        <f t="shared" ca="1" si="59"/>
        <v>0</v>
      </c>
      <c r="H916" s="21">
        <v>901</v>
      </c>
      <c r="I916" s="107">
        <v>0.66766368803369036</v>
      </c>
      <c r="J916" s="108">
        <v>1.2518475970819715E-3</v>
      </c>
      <c r="K916" s="108"/>
      <c r="L916" s="108">
        <v>4.0399999999999998E-2</v>
      </c>
      <c r="O916" s="105"/>
    </row>
    <row r="917" spans="2:15" x14ac:dyDescent="0.2">
      <c r="B917" s="1">
        <v>902</v>
      </c>
      <c r="C917" s="106">
        <f t="shared" ca="1" si="56"/>
        <v>2.4001408660671872</v>
      </c>
      <c r="D917" s="106">
        <f t="shared" ca="1" si="57"/>
        <v>0.84200942952051627</v>
      </c>
      <c r="E917" s="106">
        <f t="shared" ca="1" si="58"/>
        <v>5.3809429520516261E-2</v>
      </c>
      <c r="F917" s="21">
        <f t="shared" ca="1" si="59"/>
        <v>1</v>
      </c>
      <c r="H917" s="21">
        <v>902</v>
      </c>
      <c r="I917" s="107">
        <v>0.66775389484055914</v>
      </c>
      <c r="J917" s="108">
        <v>1.4667028992499714E-3</v>
      </c>
      <c r="K917" s="108"/>
      <c r="L917" s="108">
        <v>4.4400000000000002E-2</v>
      </c>
      <c r="O917" s="105"/>
    </row>
    <row r="918" spans="2:15" x14ac:dyDescent="0.2">
      <c r="B918" s="1">
        <v>903</v>
      </c>
      <c r="C918" s="106">
        <f t="shared" ca="1" si="56"/>
        <v>-1.686926308397539</v>
      </c>
      <c r="D918" s="106">
        <f t="shared" ca="1" si="57"/>
        <v>0.56263859146095585</v>
      </c>
      <c r="E918" s="106">
        <f t="shared" ca="1" si="58"/>
        <v>0</v>
      </c>
      <c r="F918" s="21">
        <f t="shared" ca="1" si="59"/>
        <v>0</v>
      </c>
      <c r="H918" s="21">
        <v>903</v>
      </c>
      <c r="I918" s="107">
        <v>0.6677273048973249</v>
      </c>
      <c r="J918" s="108">
        <v>1.3151325345149075E-3</v>
      </c>
      <c r="K918" s="108"/>
      <c r="L918" s="108">
        <v>4.1599999999999998E-2</v>
      </c>
      <c r="O918" s="105"/>
    </row>
    <row r="919" spans="2:15" x14ac:dyDescent="0.2">
      <c r="B919" s="1">
        <v>904</v>
      </c>
      <c r="C919" s="106">
        <f t="shared" ca="1" si="56"/>
        <v>-4.8429007639328871E-2</v>
      </c>
      <c r="D919" s="106">
        <f t="shared" ca="1" si="57"/>
        <v>0.661335340737497</v>
      </c>
      <c r="E919" s="106">
        <f t="shared" ca="1" si="58"/>
        <v>0</v>
      </c>
      <c r="F919" s="21">
        <f t="shared" ca="1" si="59"/>
        <v>0</v>
      </c>
      <c r="H919" s="21">
        <v>904</v>
      </c>
      <c r="I919" s="107">
        <v>0.66765724170041074</v>
      </c>
      <c r="J919" s="108">
        <v>1.2388033069870733E-3</v>
      </c>
      <c r="K919" s="108"/>
      <c r="L919" s="108">
        <v>3.78E-2</v>
      </c>
      <c r="O919" s="105"/>
    </row>
    <row r="920" spans="2:15" x14ac:dyDescent="0.2">
      <c r="B920" s="1">
        <v>905</v>
      </c>
      <c r="C920" s="106">
        <f t="shared" ca="1" si="56"/>
        <v>-0.23071672462243822</v>
      </c>
      <c r="D920" s="106">
        <f t="shared" ca="1" si="57"/>
        <v>0.64955007602697945</v>
      </c>
      <c r="E920" s="106">
        <f t="shared" ca="1" si="58"/>
        <v>0</v>
      </c>
      <c r="F920" s="21">
        <f t="shared" ca="1" si="59"/>
        <v>0</v>
      </c>
      <c r="H920" s="21">
        <v>905</v>
      </c>
      <c r="I920" s="107">
        <v>0.66783105508079921</v>
      </c>
      <c r="J920" s="108">
        <v>1.5844029775093163E-3</v>
      </c>
      <c r="K920" s="108"/>
      <c r="L920" s="108">
        <v>4.3999999999999997E-2</v>
      </c>
      <c r="O920" s="105"/>
    </row>
    <row r="921" spans="2:15" x14ac:dyDescent="0.2">
      <c r="B921" s="1">
        <v>906</v>
      </c>
      <c r="C921" s="106">
        <f t="shared" ca="1" si="56"/>
        <v>-0.69919323412537249</v>
      </c>
      <c r="D921" s="106">
        <f t="shared" ca="1" si="57"/>
        <v>0.6202166103154394</v>
      </c>
      <c r="E921" s="106">
        <f t="shared" ca="1" si="58"/>
        <v>0</v>
      </c>
      <c r="F921" s="21">
        <f t="shared" ca="1" si="59"/>
        <v>0</v>
      </c>
      <c r="H921" s="21">
        <v>906</v>
      </c>
      <c r="I921" s="107">
        <v>0.66773494720382409</v>
      </c>
      <c r="J921" s="108">
        <v>1.3656569824205336E-3</v>
      </c>
      <c r="K921" s="108"/>
      <c r="L921" s="108">
        <v>4.2200000000000001E-2</v>
      </c>
      <c r="O921" s="105"/>
    </row>
    <row r="922" spans="2:15" x14ac:dyDescent="0.2">
      <c r="B922" s="1">
        <v>907</v>
      </c>
      <c r="C922" s="106">
        <f t="shared" ca="1" si="56"/>
        <v>-0.4628359562136774</v>
      </c>
      <c r="D922" s="106">
        <f t="shared" ca="1" si="57"/>
        <v>0.63484659291619427</v>
      </c>
      <c r="E922" s="106">
        <f t="shared" ca="1" si="58"/>
        <v>0</v>
      </c>
      <c r="F922" s="21">
        <f t="shared" ca="1" si="59"/>
        <v>0</v>
      </c>
      <c r="H922" s="21">
        <v>907</v>
      </c>
      <c r="I922" s="107">
        <v>0.66771396275021966</v>
      </c>
      <c r="J922" s="108">
        <v>1.3479329847499173E-3</v>
      </c>
      <c r="K922" s="108"/>
      <c r="L922" s="108">
        <v>3.9E-2</v>
      </c>
      <c r="O922" s="105"/>
    </row>
    <row r="923" spans="2:15" x14ac:dyDescent="0.2">
      <c r="B923" s="1">
        <v>908</v>
      </c>
      <c r="C923" s="106">
        <f t="shared" ca="1" si="56"/>
        <v>0.44709533250733918</v>
      </c>
      <c r="D923" s="106">
        <f t="shared" ca="1" si="57"/>
        <v>0.69446392182087158</v>
      </c>
      <c r="E923" s="106">
        <f t="shared" ca="1" si="58"/>
        <v>0</v>
      </c>
      <c r="F923" s="21">
        <f t="shared" ca="1" si="59"/>
        <v>0</v>
      </c>
      <c r="H923" s="21">
        <v>908</v>
      </c>
      <c r="I923" s="107">
        <v>0.6675220665327023</v>
      </c>
      <c r="J923" s="108">
        <v>1.1283600745214419E-3</v>
      </c>
      <c r="K923" s="108"/>
      <c r="L923" s="108">
        <v>3.7199999999999997E-2</v>
      </c>
      <c r="O923" s="105"/>
    </row>
    <row r="924" spans="2:15" x14ac:dyDescent="0.2">
      <c r="B924" s="1">
        <v>909</v>
      </c>
      <c r="C924" s="106">
        <f t="shared" ca="1" si="56"/>
        <v>0.3949763599499756</v>
      </c>
      <c r="D924" s="106">
        <f t="shared" ca="1" si="57"/>
        <v>0.69090278597528731</v>
      </c>
      <c r="E924" s="106">
        <f t="shared" ca="1" si="58"/>
        <v>0</v>
      </c>
      <c r="F924" s="21">
        <f t="shared" ca="1" si="59"/>
        <v>0</v>
      </c>
      <c r="H924" s="21">
        <v>909</v>
      </c>
      <c r="I924" s="107">
        <v>0.66777165200716115</v>
      </c>
      <c r="J924" s="108">
        <v>1.4231300315585586E-3</v>
      </c>
      <c r="K924" s="108"/>
      <c r="L924" s="108">
        <v>4.1399999999999999E-2</v>
      </c>
      <c r="O924" s="105"/>
    </row>
    <row r="925" spans="2:15" x14ac:dyDescent="0.2">
      <c r="B925" s="1">
        <v>910</v>
      </c>
      <c r="C925" s="106">
        <f t="shared" ca="1" si="56"/>
        <v>1.8291732894380872</v>
      </c>
      <c r="D925" s="106">
        <f t="shared" ca="1" si="57"/>
        <v>0.79589734535564871</v>
      </c>
      <c r="E925" s="106">
        <f t="shared" ca="1" si="58"/>
        <v>7.6973453556486993E-3</v>
      </c>
      <c r="F925" s="21">
        <f t="shared" ca="1" si="59"/>
        <v>1</v>
      </c>
      <c r="H925" s="21">
        <v>910</v>
      </c>
      <c r="I925" s="107">
        <v>0.66775793725908517</v>
      </c>
      <c r="J925" s="108">
        <v>1.4298352978942296E-3</v>
      </c>
      <c r="K925" s="108"/>
      <c r="L925" s="108">
        <v>3.78E-2</v>
      </c>
      <c r="O925" s="105"/>
    </row>
    <row r="926" spans="2:15" x14ac:dyDescent="0.2">
      <c r="B926" s="1">
        <v>911</v>
      </c>
      <c r="C926" s="106">
        <f t="shared" ca="1" si="56"/>
        <v>0.97687616075664785</v>
      </c>
      <c r="D926" s="106">
        <f t="shared" ca="1" si="57"/>
        <v>0.73172041602969684</v>
      </c>
      <c r="E926" s="106">
        <f t="shared" ca="1" si="58"/>
        <v>0</v>
      </c>
      <c r="F926" s="21">
        <f t="shared" ca="1" si="59"/>
        <v>0</v>
      </c>
      <c r="H926" s="21">
        <v>911</v>
      </c>
      <c r="I926" s="107">
        <v>0.66764279664028647</v>
      </c>
      <c r="J926" s="108">
        <v>1.2678161102817824E-3</v>
      </c>
      <c r="K926" s="108"/>
      <c r="L926" s="108">
        <v>3.9399999999999998E-2</v>
      </c>
      <c r="O926" s="105"/>
    </row>
    <row r="927" spans="2:15" x14ac:dyDescent="0.2">
      <c r="B927" s="1">
        <v>912</v>
      </c>
      <c r="C927" s="106">
        <f t="shared" ca="1" si="56"/>
        <v>-0.51052810948774874</v>
      </c>
      <c r="D927" s="106">
        <f t="shared" ca="1" si="57"/>
        <v>0.63186702373110148</v>
      </c>
      <c r="E927" s="106">
        <f t="shared" ca="1" si="58"/>
        <v>0</v>
      </c>
      <c r="F927" s="21">
        <f t="shared" ca="1" si="59"/>
        <v>0</v>
      </c>
      <c r="H927" s="21">
        <v>912</v>
      </c>
      <c r="I927" s="107">
        <v>0.66763468991854968</v>
      </c>
      <c r="J927" s="108">
        <v>1.2901122939191817E-3</v>
      </c>
      <c r="K927" s="108"/>
      <c r="L927" s="108">
        <v>4.0399999999999998E-2</v>
      </c>
      <c r="O927" s="105"/>
    </row>
    <row r="928" spans="2:15" x14ac:dyDescent="0.2">
      <c r="B928" s="1">
        <v>913</v>
      </c>
      <c r="C928" s="106">
        <f t="shared" ca="1" si="56"/>
        <v>-0.50170207471280803</v>
      </c>
      <c r="D928" s="106">
        <f t="shared" ca="1" si="57"/>
        <v>0.63241737413596677</v>
      </c>
      <c r="E928" s="106">
        <f t="shared" ca="1" si="58"/>
        <v>0</v>
      </c>
      <c r="F928" s="21">
        <f t="shared" ca="1" si="59"/>
        <v>0</v>
      </c>
      <c r="H928" s="21">
        <v>913</v>
      </c>
      <c r="I928" s="107">
        <v>0.66777409127215692</v>
      </c>
      <c r="J928" s="108">
        <v>1.397143144721629E-3</v>
      </c>
      <c r="K928" s="108"/>
      <c r="L928" s="108">
        <v>4.3400000000000001E-2</v>
      </c>
      <c r="O928" s="105"/>
    </row>
    <row r="929" spans="2:15" x14ac:dyDescent="0.2">
      <c r="B929" s="1">
        <v>914</v>
      </c>
      <c r="C929" s="106">
        <f t="shared" ca="1" si="56"/>
        <v>-0.94914331894193715</v>
      </c>
      <c r="D929" s="106">
        <f t="shared" ca="1" si="57"/>
        <v>0.60511188859496223</v>
      </c>
      <c r="E929" s="106">
        <f t="shared" ca="1" si="58"/>
        <v>0</v>
      </c>
      <c r="F929" s="21">
        <f t="shared" ca="1" si="59"/>
        <v>0</v>
      </c>
      <c r="H929" s="21">
        <v>914</v>
      </c>
      <c r="I929" s="107">
        <v>0.66759908787752942</v>
      </c>
      <c r="J929" s="108">
        <v>1.2842916617629894E-3</v>
      </c>
      <c r="K929" s="108"/>
      <c r="L929" s="108">
        <v>4.24E-2</v>
      </c>
      <c r="O929" s="105"/>
    </row>
    <row r="930" spans="2:15" x14ac:dyDescent="0.2">
      <c r="B930" s="1">
        <v>915</v>
      </c>
      <c r="C930" s="106">
        <f t="shared" ca="1" si="56"/>
        <v>-6.2482234857059813E-3</v>
      </c>
      <c r="D930" s="106">
        <f t="shared" ca="1" si="57"/>
        <v>0.66409273643638722</v>
      </c>
      <c r="E930" s="106">
        <f t="shared" ca="1" si="58"/>
        <v>0</v>
      </c>
      <c r="F930" s="21">
        <f t="shared" ca="1" si="59"/>
        <v>0</v>
      </c>
      <c r="H930" s="21">
        <v>915</v>
      </c>
      <c r="I930" s="107">
        <v>0.66782917856683577</v>
      </c>
      <c r="J930" s="108">
        <v>1.546285944684363E-3</v>
      </c>
      <c r="K930" s="108"/>
      <c r="L930" s="108">
        <v>4.5999999999999999E-2</v>
      </c>
      <c r="O930" s="105"/>
    </row>
    <row r="931" spans="2:15" x14ac:dyDescent="0.2">
      <c r="B931" s="1">
        <v>916</v>
      </c>
      <c r="C931" s="106">
        <f t="shared" ca="1" si="56"/>
        <v>1.3679703853071106</v>
      </c>
      <c r="D931" s="106">
        <f t="shared" ca="1" si="57"/>
        <v>0.76050033218405566</v>
      </c>
      <c r="E931" s="106">
        <f t="shared" ca="1" si="58"/>
        <v>0</v>
      </c>
      <c r="F931" s="21">
        <f t="shared" ca="1" si="59"/>
        <v>0</v>
      </c>
      <c r="H931" s="21">
        <v>916</v>
      </c>
      <c r="I931" s="107">
        <v>0.66769416577562302</v>
      </c>
      <c r="J931" s="108">
        <v>1.2523404595891237E-3</v>
      </c>
      <c r="K931" s="108"/>
      <c r="L931" s="108">
        <v>4.0800000000000003E-2</v>
      </c>
      <c r="O931" s="105"/>
    </row>
    <row r="932" spans="2:15" x14ac:dyDescent="0.2">
      <c r="B932" s="1">
        <v>917</v>
      </c>
      <c r="C932" s="106">
        <f t="shared" ca="1" si="56"/>
        <v>0.50294870022286176</v>
      </c>
      <c r="D932" s="106">
        <f t="shared" ca="1" si="57"/>
        <v>0.69830059551813262</v>
      </c>
      <c r="E932" s="106">
        <f t="shared" ca="1" si="58"/>
        <v>0</v>
      </c>
      <c r="F932" s="21">
        <f t="shared" ca="1" si="59"/>
        <v>0</v>
      </c>
      <c r="H932" s="21">
        <v>917</v>
      </c>
      <c r="I932" s="107">
        <v>0.66769025594109632</v>
      </c>
      <c r="J932" s="108">
        <v>1.3108237143154601E-3</v>
      </c>
      <c r="K932" s="108"/>
      <c r="L932" s="108">
        <v>4.24E-2</v>
      </c>
      <c r="O932" s="105"/>
    </row>
    <row r="933" spans="2:15" x14ac:dyDescent="0.2">
      <c r="B933" s="1">
        <v>918</v>
      </c>
      <c r="C933" s="106">
        <f t="shared" ca="1" si="56"/>
        <v>-2.2367739354440523</v>
      </c>
      <c r="D933" s="106">
        <f t="shared" ca="1" si="57"/>
        <v>0.53293517274522761</v>
      </c>
      <c r="E933" s="106">
        <f t="shared" ca="1" si="58"/>
        <v>0</v>
      </c>
      <c r="F933" s="21">
        <f t="shared" ca="1" si="59"/>
        <v>0</v>
      </c>
      <c r="H933" s="21">
        <v>918</v>
      </c>
      <c r="I933" s="107">
        <v>0.66777082893334183</v>
      </c>
      <c r="J933" s="108">
        <v>1.3459799591956771E-3</v>
      </c>
      <c r="K933" s="108"/>
      <c r="L933" s="108">
        <v>4.2000000000000003E-2</v>
      </c>
      <c r="O933" s="105"/>
    </row>
    <row r="934" spans="2:15" x14ac:dyDescent="0.2">
      <c r="B934" s="1">
        <v>919</v>
      </c>
      <c r="C934" s="106">
        <f t="shared" ca="1" si="56"/>
        <v>-0.17053070638161399</v>
      </c>
      <c r="D934" s="106">
        <f t="shared" ca="1" si="57"/>
        <v>0.65341781320240733</v>
      </c>
      <c r="E934" s="106">
        <f t="shared" ca="1" si="58"/>
        <v>0</v>
      </c>
      <c r="F934" s="21">
        <f t="shared" ca="1" si="59"/>
        <v>0</v>
      </c>
      <c r="H934" s="21">
        <v>919</v>
      </c>
      <c r="I934" s="107">
        <v>0.66778624467708914</v>
      </c>
      <c r="J934" s="108">
        <v>1.5060752096749215E-3</v>
      </c>
      <c r="K934" s="108"/>
      <c r="L934" s="108">
        <v>4.3200000000000002E-2</v>
      </c>
      <c r="O934" s="105"/>
    </row>
    <row r="935" spans="2:15" x14ac:dyDescent="0.2">
      <c r="B935" s="1">
        <v>920</v>
      </c>
      <c r="C935" s="106">
        <f t="shared" ca="1" si="56"/>
        <v>-1.1348337678691831</v>
      </c>
      <c r="D935" s="106">
        <f t="shared" ca="1" si="57"/>
        <v>0.59412909576896988</v>
      </c>
      <c r="E935" s="106">
        <f t="shared" ca="1" si="58"/>
        <v>0</v>
      </c>
      <c r="F935" s="21">
        <f t="shared" ca="1" si="59"/>
        <v>0</v>
      </c>
      <c r="H935" s="21">
        <v>920</v>
      </c>
      <c r="I935" s="107">
        <v>0.66758158363893894</v>
      </c>
      <c r="J935" s="108">
        <v>1.1150930379705587E-3</v>
      </c>
      <c r="K935" s="108"/>
      <c r="L935" s="108">
        <v>3.4000000000000002E-2</v>
      </c>
      <c r="O935" s="105"/>
    </row>
    <row r="936" spans="2:15" x14ac:dyDescent="0.2">
      <c r="B936" s="1">
        <v>921</v>
      </c>
      <c r="C936" s="106">
        <f t="shared" ca="1" si="56"/>
        <v>0.46884795909837751</v>
      </c>
      <c r="D936" s="106">
        <f t="shared" ca="1" si="57"/>
        <v>0.69595563838382724</v>
      </c>
      <c r="E936" s="106">
        <f t="shared" ca="1" si="58"/>
        <v>0</v>
      </c>
      <c r="F936" s="21">
        <f t="shared" ca="1" si="59"/>
        <v>0</v>
      </c>
      <c r="H936" s="21">
        <v>921</v>
      </c>
      <c r="I936" s="107">
        <v>0.66759509942876427</v>
      </c>
      <c r="J936" s="108">
        <v>1.1707221793122802E-3</v>
      </c>
      <c r="K936" s="108"/>
      <c r="L936" s="108">
        <v>3.7999999999999999E-2</v>
      </c>
      <c r="O936" s="105"/>
    </row>
    <row r="937" spans="2:15" x14ac:dyDescent="0.2">
      <c r="B937" s="1">
        <v>922</v>
      </c>
      <c r="C937" s="106">
        <f t="shared" ca="1" si="56"/>
        <v>-1.7449797912021914</v>
      </c>
      <c r="D937" s="106">
        <f t="shared" ca="1" si="57"/>
        <v>0.55942586460977484</v>
      </c>
      <c r="E937" s="106">
        <f t="shared" ca="1" si="58"/>
        <v>0</v>
      </c>
      <c r="F937" s="21">
        <f t="shared" ca="1" si="59"/>
        <v>0</v>
      </c>
      <c r="H937" s="21">
        <v>922</v>
      </c>
      <c r="I937" s="107">
        <v>0.66763652129406192</v>
      </c>
      <c r="J937" s="108">
        <v>1.2099260527414148E-3</v>
      </c>
      <c r="K937" s="108"/>
      <c r="L937" s="108">
        <v>4.24E-2</v>
      </c>
      <c r="O937" s="105"/>
    </row>
    <row r="938" spans="2:15" x14ac:dyDescent="0.2">
      <c r="B938" s="1">
        <v>923</v>
      </c>
      <c r="C938" s="106">
        <f t="shared" ca="1" si="56"/>
        <v>-0.42062778581668681</v>
      </c>
      <c r="D938" s="106">
        <f t="shared" ca="1" si="57"/>
        <v>0.63749526760063802</v>
      </c>
      <c r="E938" s="106">
        <f t="shared" ca="1" si="58"/>
        <v>0</v>
      </c>
      <c r="F938" s="21">
        <f t="shared" ca="1" si="59"/>
        <v>0</v>
      </c>
      <c r="H938" s="21">
        <v>923</v>
      </c>
      <c r="I938" s="107">
        <v>0.66757095424437718</v>
      </c>
      <c r="J938" s="108">
        <v>1.0805132644903914E-3</v>
      </c>
      <c r="K938" s="108"/>
      <c r="L938" s="108">
        <v>4.0800000000000003E-2</v>
      </c>
      <c r="O938" s="105"/>
    </row>
    <row r="939" spans="2:15" x14ac:dyDescent="0.2">
      <c r="B939" s="1">
        <v>924</v>
      </c>
      <c r="C939" s="106">
        <f t="shared" ca="1" si="56"/>
        <v>0.57217698156803898</v>
      </c>
      <c r="D939" s="106">
        <f t="shared" ca="1" si="57"/>
        <v>0.70308544802676665</v>
      </c>
      <c r="E939" s="106">
        <f t="shared" ca="1" si="58"/>
        <v>0</v>
      </c>
      <c r="F939" s="21">
        <f t="shared" ca="1" si="59"/>
        <v>0</v>
      </c>
      <c r="H939" s="21">
        <v>924</v>
      </c>
      <c r="I939" s="107">
        <v>0.66771159253357126</v>
      </c>
      <c r="J939" s="108">
        <v>1.3110714739103834E-3</v>
      </c>
      <c r="K939" s="108"/>
      <c r="L939" s="108">
        <v>3.9199999999999999E-2</v>
      </c>
      <c r="O939" s="105"/>
    </row>
    <row r="940" spans="2:15" x14ac:dyDescent="0.2">
      <c r="B940" s="1">
        <v>925</v>
      </c>
      <c r="C940" s="106">
        <f t="shared" ca="1" si="56"/>
        <v>-1.1623459014755513</v>
      </c>
      <c r="D940" s="106">
        <f t="shared" ca="1" si="57"/>
        <v>0.5925189142947298</v>
      </c>
      <c r="E940" s="106">
        <f t="shared" ca="1" si="58"/>
        <v>0</v>
      </c>
      <c r="F940" s="21">
        <f t="shared" ca="1" si="59"/>
        <v>0</v>
      </c>
      <c r="H940" s="21">
        <v>925</v>
      </c>
      <c r="I940" s="107">
        <v>0.66760963214935232</v>
      </c>
      <c r="J940" s="108">
        <v>1.3504334686235168E-3</v>
      </c>
      <c r="K940" s="108"/>
      <c r="L940" s="108">
        <v>3.9399999999999998E-2</v>
      </c>
      <c r="O940" s="105"/>
    </row>
    <row r="941" spans="2:15" x14ac:dyDescent="0.2">
      <c r="B941" s="1">
        <v>926</v>
      </c>
      <c r="C941" s="106">
        <f t="shared" ca="1" si="56"/>
        <v>-1.3361629309399741</v>
      </c>
      <c r="D941" s="106">
        <f t="shared" ca="1" si="57"/>
        <v>0.58244645189266508</v>
      </c>
      <c r="E941" s="106">
        <f t="shared" ca="1" si="58"/>
        <v>0</v>
      </c>
      <c r="F941" s="21">
        <f t="shared" ca="1" si="59"/>
        <v>0</v>
      </c>
      <c r="H941" s="21">
        <v>926</v>
      </c>
      <c r="I941" s="107">
        <v>0.66767473358916052</v>
      </c>
      <c r="J941" s="108">
        <v>1.292790797678874E-3</v>
      </c>
      <c r="K941" s="108"/>
      <c r="L941" s="108">
        <v>4.0800000000000003E-2</v>
      </c>
      <c r="O941" s="105"/>
    </row>
    <row r="942" spans="2:15" x14ac:dyDescent="0.2">
      <c r="B942" s="1">
        <v>927</v>
      </c>
      <c r="C942" s="106">
        <f t="shared" ca="1" si="56"/>
        <v>0.99156519235860718</v>
      </c>
      <c r="D942" s="106">
        <f t="shared" ca="1" si="57"/>
        <v>0.73278140754524423</v>
      </c>
      <c r="E942" s="106">
        <f t="shared" ca="1" si="58"/>
        <v>0</v>
      </c>
      <c r="F942" s="21">
        <f t="shared" ca="1" si="59"/>
        <v>0</v>
      </c>
      <c r="H942" s="21">
        <v>927</v>
      </c>
      <c r="I942" s="107">
        <v>0.66768463822253676</v>
      </c>
      <c r="J942" s="108">
        <v>1.3046310673049796E-3</v>
      </c>
      <c r="K942" s="108"/>
      <c r="L942" s="108">
        <v>4.2200000000000001E-2</v>
      </c>
      <c r="O942" s="105"/>
    </row>
    <row r="943" spans="2:15" x14ac:dyDescent="0.2">
      <c r="B943" s="1">
        <v>928</v>
      </c>
      <c r="C943" s="106">
        <f t="shared" ca="1" si="56"/>
        <v>-8.4514777068763355E-2</v>
      </c>
      <c r="D943" s="106">
        <f t="shared" ca="1" si="57"/>
        <v>0.65898547047620659</v>
      </c>
      <c r="E943" s="106">
        <f t="shared" ca="1" si="58"/>
        <v>0</v>
      </c>
      <c r="F943" s="21">
        <f t="shared" ca="1" si="59"/>
        <v>0</v>
      </c>
      <c r="H943" s="21">
        <v>928</v>
      </c>
      <c r="I943" s="107">
        <v>0.66773439320419847</v>
      </c>
      <c r="J943" s="108">
        <v>1.2527000216328481E-3</v>
      </c>
      <c r="K943" s="108"/>
      <c r="L943" s="108">
        <v>4.1799999999999997E-2</v>
      </c>
      <c r="O943" s="105"/>
    </row>
    <row r="944" spans="2:15" x14ac:dyDescent="0.2">
      <c r="B944" s="1">
        <v>929</v>
      </c>
      <c r="C944" s="106">
        <f t="shared" ca="1" si="56"/>
        <v>-0.79900783765186145</v>
      </c>
      <c r="D944" s="106">
        <f t="shared" ca="1" si="57"/>
        <v>0.61414001749778735</v>
      </c>
      <c r="E944" s="106">
        <f t="shared" ca="1" si="58"/>
        <v>0</v>
      </c>
      <c r="F944" s="21">
        <f t="shared" ca="1" si="59"/>
        <v>0</v>
      </c>
      <c r="H944" s="21">
        <v>929</v>
      </c>
      <c r="I944" s="107">
        <v>0.66779866916957986</v>
      </c>
      <c r="J944" s="108">
        <v>1.2504085650034674E-3</v>
      </c>
      <c r="K944" s="108"/>
      <c r="L944" s="108">
        <v>4.0399999999999998E-2</v>
      </c>
      <c r="O944" s="105"/>
    </row>
    <row r="945" spans="2:15" x14ac:dyDescent="0.2">
      <c r="B945" s="1">
        <v>930</v>
      </c>
      <c r="C945" s="106">
        <f t="shared" ca="1" si="56"/>
        <v>-9.5863425166102273E-2</v>
      </c>
      <c r="D945" s="106">
        <f t="shared" ca="1" si="57"/>
        <v>0.65824818478153213</v>
      </c>
      <c r="E945" s="106">
        <f t="shared" ca="1" si="58"/>
        <v>0</v>
      </c>
      <c r="F945" s="21">
        <f t="shared" ca="1" si="59"/>
        <v>0</v>
      </c>
      <c r="H945" s="21">
        <v>930</v>
      </c>
      <c r="I945" s="107">
        <v>0.66781085074680513</v>
      </c>
      <c r="J945" s="108">
        <v>1.4319889996150816E-3</v>
      </c>
      <c r="K945" s="108"/>
      <c r="L945" s="108">
        <v>4.1599999999999998E-2</v>
      </c>
      <c r="O945" s="105"/>
    </row>
    <row r="946" spans="2:15" x14ac:dyDescent="0.2">
      <c r="B946" s="1">
        <v>931</v>
      </c>
      <c r="C946" s="106">
        <f t="shared" ca="1" si="56"/>
        <v>-0.53348747428958188</v>
      </c>
      <c r="D946" s="106">
        <f t="shared" ca="1" si="57"/>
        <v>0.63043762704697337</v>
      </c>
      <c r="E946" s="106">
        <f t="shared" ca="1" si="58"/>
        <v>0</v>
      </c>
      <c r="F946" s="21">
        <f t="shared" ca="1" si="59"/>
        <v>0</v>
      </c>
      <c r="H946" s="21">
        <v>931</v>
      </c>
      <c r="I946" s="107">
        <v>0.66761675846234037</v>
      </c>
      <c r="J946" s="108">
        <v>1.2372523165208435E-3</v>
      </c>
      <c r="K946" s="108"/>
      <c r="L946" s="108">
        <v>3.5799999999999998E-2</v>
      </c>
      <c r="O946" s="105"/>
    </row>
    <row r="947" spans="2:15" x14ac:dyDescent="0.2">
      <c r="B947" s="1">
        <v>932</v>
      </c>
      <c r="C947" s="106">
        <f t="shared" ca="1" si="56"/>
        <v>0.21950231147253868</v>
      </c>
      <c r="D947" s="106">
        <f t="shared" ca="1" si="57"/>
        <v>0.67904685773250739</v>
      </c>
      <c r="E947" s="106">
        <f t="shared" ca="1" si="58"/>
        <v>0</v>
      </c>
      <c r="F947" s="21">
        <f t="shared" ca="1" si="59"/>
        <v>0</v>
      </c>
      <c r="H947" s="21">
        <v>932</v>
      </c>
      <c r="I947" s="107">
        <v>0.66781955286299699</v>
      </c>
      <c r="J947" s="108">
        <v>1.4118865497098781E-3</v>
      </c>
      <c r="K947" s="108"/>
      <c r="L947" s="108">
        <v>4.2000000000000003E-2</v>
      </c>
      <c r="O947" s="105"/>
    </row>
    <row r="948" spans="2:15" x14ac:dyDescent="0.2">
      <c r="B948" s="1">
        <v>933</v>
      </c>
      <c r="C948" s="106">
        <f t="shared" ca="1" si="56"/>
        <v>-1.2471764344620557</v>
      </c>
      <c r="D948" s="106">
        <f t="shared" ca="1" si="57"/>
        <v>0.58758152310338441</v>
      </c>
      <c r="E948" s="106">
        <f t="shared" ca="1" si="58"/>
        <v>0</v>
      </c>
      <c r="F948" s="21">
        <f t="shared" ca="1" si="59"/>
        <v>0</v>
      </c>
      <c r="H948" s="21">
        <v>933</v>
      </c>
      <c r="I948" s="107">
        <v>0.66771744211705508</v>
      </c>
      <c r="J948" s="108">
        <v>1.4332887627282976E-3</v>
      </c>
      <c r="K948" s="108"/>
      <c r="L948" s="108">
        <v>4.1799999999999997E-2</v>
      </c>
      <c r="O948" s="105"/>
    </row>
    <row r="949" spans="2:15" x14ac:dyDescent="0.2">
      <c r="B949" s="1">
        <v>934</v>
      </c>
      <c r="C949" s="106">
        <f t="shared" ca="1" si="56"/>
        <v>-0.130799509898125</v>
      </c>
      <c r="D949" s="106">
        <f t="shared" ca="1" si="57"/>
        <v>0.65598367240946853</v>
      </c>
      <c r="E949" s="106">
        <f t="shared" ca="1" si="58"/>
        <v>0</v>
      </c>
      <c r="F949" s="21">
        <f t="shared" ca="1" si="59"/>
        <v>0</v>
      </c>
      <c r="H949" s="21">
        <v>934</v>
      </c>
      <c r="I949" s="107">
        <v>0.66766472751010564</v>
      </c>
      <c r="J949" s="108">
        <v>1.3780355804933106E-3</v>
      </c>
      <c r="K949" s="108"/>
      <c r="L949" s="108">
        <v>4.24E-2</v>
      </c>
      <c r="O949" s="105"/>
    </row>
    <row r="950" spans="2:15" x14ac:dyDescent="0.2">
      <c r="B950" s="1">
        <v>935</v>
      </c>
      <c r="C950" s="106">
        <f t="shared" ca="1" si="56"/>
        <v>-0.95280308549764225</v>
      </c>
      <c r="D950" s="106">
        <f t="shared" ca="1" si="57"/>
        <v>0.60489348007212351</v>
      </c>
      <c r="E950" s="106">
        <f t="shared" ca="1" si="58"/>
        <v>0</v>
      </c>
      <c r="F950" s="21">
        <f t="shared" ca="1" si="59"/>
        <v>0</v>
      </c>
      <c r="H950" s="21">
        <v>935</v>
      </c>
      <c r="I950" s="107">
        <v>0.66774679084263777</v>
      </c>
      <c r="J950" s="108">
        <v>1.4100716388657064E-3</v>
      </c>
      <c r="K950" s="108"/>
      <c r="L950" s="108">
        <v>4.2200000000000001E-2</v>
      </c>
      <c r="O950" s="105"/>
    </row>
    <row r="951" spans="2:15" x14ac:dyDescent="0.2">
      <c r="B951" s="1">
        <v>936</v>
      </c>
      <c r="C951" s="106">
        <f t="shared" ca="1" si="56"/>
        <v>2.8573371734612603</v>
      </c>
      <c r="D951" s="106">
        <f t="shared" ca="1" si="57"/>
        <v>0.8808520371077927</v>
      </c>
      <c r="E951" s="106">
        <f t="shared" ca="1" si="58"/>
        <v>9.2652037107792684E-2</v>
      </c>
      <c r="F951" s="21">
        <f t="shared" ca="1" si="59"/>
        <v>1</v>
      </c>
      <c r="H951" s="21">
        <v>936</v>
      </c>
      <c r="I951" s="107">
        <v>0.66766145665425503</v>
      </c>
      <c r="J951" s="108">
        <v>1.308585301015065E-3</v>
      </c>
      <c r="K951" s="108"/>
      <c r="L951" s="108">
        <v>4.0800000000000003E-2</v>
      </c>
      <c r="O951" s="105"/>
    </row>
    <row r="952" spans="2:15" x14ac:dyDescent="0.2">
      <c r="B952" s="1">
        <v>937</v>
      </c>
      <c r="C952" s="106">
        <f t="shared" ca="1" si="56"/>
        <v>-1.0861003631811925</v>
      </c>
      <c r="D952" s="106">
        <f t="shared" ca="1" si="57"/>
        <v>0.59699202589355682</v>
      </c>
      <c r="E952" s="106">
        <f t="shared" ca="1" si="58"/>
        <v>0</v>
      </c>
      <c r="F952" s="21">
        <f t="shared" ca="1" si="59"/>
        <v>0</v>
      </c>
      <c r="H952" s="21">
        <v>937</v>
      </c>
      <c r="I952" s="107">
        <v>0.66764459904504581</v>
      </c>
      <c r="J952" s="108">
        <v>1.2071029257861368E-3</v>
      </c>
      <c r="K952" s="108"/>
      <c r="L952" s="108">
        <v>3.78E-2</v>
      </c>
      <c r="O952" s="105"/>
    </row>
    <row r="953" spans="2:15" x14ac:dyDescent="0.2">
      <c r="B953" s="1">
        <v>938</v>
      </c>
      <c r="C953" s="106">
        <f t="shared" ca="1" si="56"/>
        <v>1.182823728263352</v>
      </c>
      <c r="D953" s="106">
        <f t="shared" ca="1" si="57"/>
        <v>0.74673729019015445</v>
      </c>
      <c r="E953" s="106">
        <f t="shared" ca="1" si="58"/>
        <v>0</v>
      </c>
      <c r="F953" s="21">
        <f t="shared" ca="1" si="59"/>
        <v>0</v>
      </c>
      <c r="H953" s="21">
        <v>938</v>
      </c>
      <c r="I953" s="107">
        <v>0.66765575761323603</v>
      </c>
      <c r="J953" s="108">
        <v>1.3076935398477021E-3</v>
      </c>
      <c r="K953" s="108"/>
      <c r="L953" s="108">
        <v>3.7199999999999997E-2</v>
      </c>
      <c r="O953" s="105"/>
    </row>
    <row r="954" spans="2:15" x14ac:dyDescent="0.2">
      <c r="B954" s="1">
        <v>939</v>
      </c>
      <c r="C954" s="106">
        <f t="shared" ca="1" si="56"/>
        <v>0.78567337551220029</v>
      </c>
      <c r="D954" s="106">
        <f t="shared" ca="1" si="57"/>
        <v>0.71804913471700094</v>
      </c>
      <c r="E954" s="106">
        <f t="shared" ca="1" si="58"/>
        <v>0</v>
      </c>
      <c r="F954" s="21">
        <f t="shared" ca="1" si="59"/>
        <v>0</v>
      </c>
      <c r="H954" s="21">
        <v>939</v>
      </c>
      <c r="I954" s="107">
        <v>0.66770436380207643</v>
      </c>
      <c r="J954" s="108">
        <v>1.311150274574995E-3</v>
      </c>
      <c r="K954" s="108"/>
      <c r="L954" s="108">
        <v>4.3999999999999997E-2</v>
      </c>
      <c r="O954" s="105"/>
    </row>
    <row r="955" spans="2:15" x14ac:dyDescent="0.2">
      <c r="B955" s="1">
        <v>940</v>
      </c>
      <c r="C955" s="106">
        <f t="shared" ca="1" si="56"/>
        <v>-1.3600647553629508</v>
      </c>
      <c r="D955" s="106">
        <f t="shared" ca="1" si="57"/>
        <v>0.58107483101362012</v>
      </c>
      <c r="E955" s="106">
        <f t="shared" ca="1" si="58"/>
        <v>0</v>
      </c>
      <c r="F955" s="21">
        <f t="shared" ca="1" si="59"/>
        <v>0</v>
      </c>
      <c r="H955" s="21">
        <v>940</v>
      </c>
      <c r="I955" s="107">
        <v>0.66763286679030687</v>
      </c>
      <c r="J955" s="108">
        <v>1.3985263425860279E-3</v>
      </c>
      <c r="K955" s="108"/>
      <c r="L955" s="108">
        <v>3.7999999999999999E-2</v>
      </c>
      <c r="O955" s="105"/>
    </row>
    <row r="956" spans="2:15" x14ac:dyDescent="0.2">
      <c r="B956" s="1">
        <v>941</v>
      </c>
      <c r="C956" s="106">
        <f t="shared" ca="1" si="56"/>
        <v>1.2254022456443452</v>
      </c>
      <c r="D956" s="106">
        <f t="shared" ca="1" si="57"/>
        <v>0.74988018331480233</v>
      </c>
      <c r="E956" s="106">
        <f t="shared" ca="1" si="58"/>
        <v>0</v>
      </c>
      <c r="F956" s="21">
        <f t="shared" ca="1" si="59"/>
        <v>0</v>
      </c>
      <c r="H956" s="21">
        <v>941</v>
      </c>
      <c r="I956" s="107">
        <v>0.66775301944942578</v>
      </c>
      <c r="J956" s="108">
        <v>1.5347142483104618E-3</v>
      </c>
      <c r="K956" s="108"/>
      <c r="L956" s="108">
        <v>4.4600000000000001E-2</v>
      </c>
      <c r="O956" s="105"/>
    </row>
    <row r="957" spans="2:15" x14ac:dyDescent="0.2">
      <c r="B957" s="1">
        <v>942</v>
      </c>
      <c r="C957" s="106">
        <f t="shared" ca="1" si="56"/>
        <v>-1.4915416747286048</v>
      </c>
      <c r="D957" s="106">
        <f t="shared" ca="1" si="57"/>
        <v>0.5735874948328199</v>
      </c>
      <c r="E957" s="106">
        <f t="shared" ca="1" si="58"/>
        <v>0</v>
      </c>
      <c r="F957" s="21">
        <f t="shared" ca="1" si="59"/>
        <v>0</v>
      </c>
      <c r="H957" s="21">
        <v>942</v>
      </c>
      <c r="I957" s="107">
        <v>0.66775647291220053</v>
      </c>
      <c r="J957" s="108">
        <v>1.448216648877651E-3</v>
      </c>
      <c r="K957" s="108"/>
      <c r="L957" s="108">
        <v>4.24E-2</v>
      </c>
      <c r="O957" s="105"/>
    </row>
    <row r="958" spans="2:15" x14ac:dyDescent="0.2">
      <c r="B958" s="1">
        <v>943</v>
      </c>
      <c r="C958" s="106">
        <f t="shared" ca="1" si="56"/>
        <v>0.99916114051627214</v>
      </c>
      <c r="D958" s="106">
        <f t="shared" ca="1" si="57"/>
        <v>0.73333066763987909</v>
      </c>
      <c r="E958" s="106">
        <f t="shared" ca="1" si="58"/>
        <v>0</v>
      </c>
      <c r="F958" s="21">
        <f t="shared" ca="1" si="59"/>
        <v>0</v>
      </c>
      <c r="H958" s="21">
        <v>943</v>
      </c>
      <c r="I958" s="107">
        <v>0.66773688272499232</v>
      </c>
      <c r="J958" s="108">
        <v>1.4120215290888034E-3</v>
      </c>
      <c r="K958" s="108"/>
      <c r="L958" s="108">
        <v>4.1000000000000002E-2</v>
      </c>
      <c r="O958" s="105"/>
    </row>
    <row r="959" spans="2:15" x14ac:dyDescent="0.2">
      <c r="B959" s="1">
        <v>944</v>
      </c>
      <c r="C959" s="106">
        <f t="shared" ca="1" si="56"/>
        <v>-1.0835908554921325</v>
      </c>
      <c r="D959" s="106">
        <f t="shared" ca="1" si="57"/>
        <v>0.59713982428776113</v>
      </c>
      <c r="E959" s="106">
        <f t="shared" ca="1" si="58"/>
        <v>0</v>
      </c>
      <c r="F959" s="21">
        <f t="shared" ca="1" si="59"/>
        <v>0</v>
      </c>
      <c r="H959" s="21">
        <v>944</v>
      </c>
      <c r="I959" s="107">
        <v>0.66766996562055703</v>
      </c>
      <c r="J959" s="108">
        <v>1.182233571274789E-3</v>
      </c>
      <c r="K959" s="108"/>
      <c r="L959" s="108">
        <v>3.6799999999999999E-2</v>
      </c>
      <c r="O959" s="105"/>
    </row>
    <row r="960" spans="2:15" x14ac:dyDescent="0.2">
      <c r="B960" s="1">
        <v>945</v>
      </c>
      <c r="C960" s="106">
        <f t="shared" ca="1" si="56"/>
        <v>0.39011655862472183</v>
      </c>
      <c r="D960" s="106">
        <f t="shared" ca="1" si="57"/>
        <v>0.69057166227363664</v>
      </c>
      <c r="E960" s="106">
        <f t="shared" ca="1" si="58"/>
        <v>0</v>
      </c>
      <c r="F960" s="21">
        <f t="shared" ca="1" si="59"/>
        <v>0</v>
      </c>
      <c r="H960" s="21">
        <v>945</v>
      </c>
      <c r="I960" s="107">
        <v>0.66766548101702861</v>
      </c>
      <c r="J960" s="108">
        <v>1.2351932069813939E-3</v>
      </c>
      <c r="K960" s="108"/>
      <c r="L960" s="108">
        <v>0.04</v>
      </c>
      <c r="O960" s="105"/>
    </row>
    <row r="961" spans="2:15" x14ac:dyDescent="0.2">
      <c r="B961" s="1">
        <v>946</v>
      </c>
      <c r="C961" s="106">
        <f t="shared" ca="1" si="56"/>
        <v>-0.53251813306102336</v>
      </c>
      <c r="D961" s="106">
        <f t="shared" ca="1" si="57"/>
        <v>0.63049791054908533</v>
      </c>
      <c r="E961" s="106">
        <f t="shared" ca="1" si="58"/>
        <v>0</v>
      </c>
      <c r="F961" s="21">
        <f t="shared" ca="1" si="59"/>
        <v>0</v>
      </c>
      <c r="H961" s="21">
        <v>946</v>
      </c>
      <c r="I961" s="107">
        <v>0.66780279779753859</v>
      </c>
      <c r="J961" s="108">
        <v>1.4550401204159119E-3</v>
      </c>
      <c r="K961" s="108"/>
      <c r="L961" s="108">
        <v>4.6199999999999998E-2</v>
      </c>
      <c r="O961" s="105"/>
    </row>
    <row r="962" spans="2:15" x14ac:dyDescent="0.2">
      <c r="B962" s="1">
        <v>947</v>
      </c>
      <c r="C962" s="106">
        <f t="shared" ca="1" si="56"/>
        <v>-0.12405444685340285</v>
      </c>
      <c r="D962" s="106">
        <f t="shared" ca="1" si="57"/>
        <v>0.65642027110013279</v>
      </c>
      <c r="E962" s="106">
        <f t="shared" ca="1" si="58"/>
        <v>0</v>
      </c>
      <c r="F962" s="21">
        <f t="shared" ca="1" si="59"/>
        <v>0</v>
      </c>
      <c r="H962" s="21">
        <v>947</v>
      </c>
      <c r="I962" s="107">
        <v>0.66769089771100021</v>
      </c>
      <c r="J962" s="108">
        <v>1.3088165704246983E-3</v>
      </c>
      <c r="K962" s="108"/>
      <c r="L962" s="108">
        <v>4.0599999999999997E-2</v>
      </c>
      <c r="O962" s="105"/>
    </row>
    <row r="963" spans="2:15" x14ac:dyDescent="0.2">
      <c r="B963" s="1">
        <v>948</v>
      </c>
      <c r="C963" s="106">
        <f t="shared" ca="1" si="56"/>
        <v>0.47987008554508315</v>
      </c>
      <c r="D963" s="106">
        <f t="shared" ca="1" si="57"/>
        <v>0.69671271870774876</v>
      </c>
      <c r="E963" s="106">
        <f t="shared" ca="1" si="58"/>
        <v>0</v>
      </c>
      <c r="F963" s="21">
        <f t="shared" ca="1" si="59"/>
        <v>0</v>
      </c>
      <c r="H963" s="21">
        <v>948</v>
      </c>
      <c r="I963" s="107">
        <v>0.6677389786555914</v>
      </c>
      <c r="J963" s="108">
        <v>1.3033007395178275E-3</v>
      </c>
      <c r="K963" s="108"/>
      <c r="L963" s="108">
        <v>4.1599999999999998E-2</v>
      </c>
      <c r="O963" s="105"/>
    </row>
    <row r="964" spans="2:15" x14ac:dyDescent="0.2">
      <c r="B964" s="1">
        <v>949</v>
      </c>
      <c r="C964" s="106">
        <f t="shared" ca="1" si="56"/>
        <v>-4.7966618420732438E-2</v>
      </c>
      <c r="D964" s="106">
        <f t="shared" ca="1" si="57"/>
        <v>0.66136550538367123</v>
      </c>
      <c r="E964" s="106">
        <f t="shared" ca="1" si="58"/>
        <v>0</v>
      </c>
      <c r="F964" s="21">
        <f t="shared" ca="1" si="59"/>
        <v>0</v>
      </c>
      <c r="H964" s="21">
        <v>949</v>
      </c>
      <c r="I964" s="107">
        <v>0.66779539208656813</v>
      </c>
      <c r="J964" s="108">
        <v>1.4647961820094364E-3</v>
      </c>
      <c r="K964" s="108"/>
      <c r="L964" s="108">
        <v>4.2799999999999998E-2</v>
      </c>
      <c r="O964" s="105"/>
    </row>
    <row r="965" spans="2:15" x14ac:dyDescent="0.2">
      <c r="B965" s="1">
        <v>950</v>
      </c>
      <c r="C965" s="106">
        <f t="shared" ca="1" si="56"/>
        <v>-1.1699266185192256</v>
      </c>
      <c r="D965" s="106">
        <f t="shared" ca="1" si="57"/>
        <v>0.59207601086935147</v>
      </c>
      <c r="E965" s="106">
        <f t="shared" ca="1" si="58"/>
        <v>0</v>
      </c>
      <c r="F965" s="21">
        <f t="shared" ca="1" si="59"/>
        <v>0</v>
      </c>
      <c r="H965" s="21">
        <v>950</v>
      </c>
      <c r="I965" s="107">
        <v>0.66781889435984654</v>
      </c>
      <c r="J965" s="108">
        <v>1.5108363309204649E-3</v>
      </c>
      <c r="K965" s="108"/>
      <c r="L965" s="108">
        <v>4.4200000000000003E-2</v>
      </c>
      <c r="O965" s="105"/>
    </row>
    <row r="966" spans="2:15" x14ac:dyDescent="0.2">
      <c r="B966" s="1">
        <v>951</v>
      </c>
      <c r="C966" s="106">
        <f t="shared" ca="1" si="56"/>
        <v>1.5882958848132491</v>
      </c>
      <c r="D966" s="106">
        <f t="shared" ca="1" si="57"/>
        <v>0.77720935005535663</v>
      </c>
      <c r="E966" s="106">
        <f t="shared" ca="1" si="58"/>
        <v>0</v>
      </c>
      <c r="F966" s="21">
        <f t="shared" ca="1" si="59"/>
        <v>0</v>
      </c>
      <c r="H966" s="21">
        <v>951</v>
      </c>
      <c r="I966" s="107">
        <v>0.66778674667256899</v>
      </c>
      <c r="J966" s="108">
        <v>1.4594047210725741E-3</v>
      </c>
      <c r="K966" s="108"/>
      <c r="L966" s="108">
        <v>4.3400000000000001E-2</v>
      </c>
      <c r="O966" s="105"/>
    </row>
    <row r="967" spans="2:15" x14ac:dyDescent="0.2">
      <c r="B967" s="1">
        <v>952</v>
      </c>
      <c r="C967" s="106">
        <f t="shared" ca="1" si="56"/>
        <v>-0.66901870401020258</v>
      </c>
      <c r="D967" s="106">
        <f t="shared" ca="1" si="57"/>
        <v>0.62206540761917217</v>
      </c>
      <c r="E967" s="106">
        <f t="shared" ca="1" si="58"/>
        <v>0</v>
      </c>
      <c r="F967" s="21">
        <f t="shared" ca="1" si="59"/>
        <v>0</v>
      </c>
      <c r="H967" s="21">
        <v>952</v>
      </c>
      <c r="I967" s="107">
        <v>0.66762857525889407</v>
      </c>
      <c r="J967" s="108">
        <v>1.3691802714014413E-3</v>
      </c>
      <c r="K967" s="108"/>
      <c r="L967" s="108">
        <v>3.9199999999999999E-2</v>
      </c>
      <c r="O967" s="105"/>
    </row>
    <row r="968" spans="2:15" x14ac:dyDescent="0.2">
      <c r="B968" s="1">
        <v>953</v>
      </c>
      <c r="C968" s="106">
        <f t="shared" ca="1" si="56"/>
        <v>-2.1086736007150235</v>
      </c>
      <c r="D968" s="106">
        <f t="shared" ca="1" si="57"/>
        <v>0.53971206074221989</v>
      </c>
      <c r="E968" s="106">
        <f t="shared" ca="1" si="58"/>
        <v>0</v>
      </c>
      <c r="F968" s="21">
        <f t="shared" ca="1" si="59"/>
        <v>0</v>
      </c>
      <c r="H968" s="21">
        <v>953</v>
      </c>
      <c r="I968" s="107">
        <v>0.66768297128839549</v>
      </c>
      <c r="J968" s="108">
        <v>1.2248169900540809E-3</v>
      </c>
      <c r="K968" s="108"/>
      <c r="L968" s="108">
        <v>3.6799999999999999E-2</v>
      </c>
      <c r="O968" s="105"/>
    </row>
    <row r="969" spans="2:15" x14ac:dyDescent="0.2">
      <c r="B969" s="1">
        <v>954</v>
      </c>
      <c r="C969" s="106">
        <f t="shared" ca="1" si="56"/>
        <v>-0.61231146768126821</v>
      </c>
      <c r="D969" s="106">
        <f t="shared" ca="1" si="57"/>
        <v>0.62555479070744291</v>
      </c>
      <c r="E969" s="106">
        <f t="shared" ca="1" si="58"/>
        <v>0</v>
      </c>
      <c r="F969" s="21">
        <f t="shared" ca="1" si="59"/>
        <v>0</v>
      </c>
      <c r="H969" s="21">
        <v>954</v>
      </c>
      <c r="I969" s="107">
        <v>0.6677429062821848</v>
      </c>
      <c r="J969" s="108">
        <v>1.3539163544195624E-3</v>
      </c>
      <c r="K969" s="108"/>
      <c r="L969" s="108">
        <v>4.0599999999999997E-2</v>
      </c>
      <c r="O969" s="105"/>
    </row>
    <row r="970" spans="2:15" x14ac:dyDescent="0.2">
      <c r="B970" s="1">
        <v>955</v>
      </c>
      <c r="C970" s="106">
        <f t="shared" ca="1" si="56"/>
        <v>-0.62466270377969713</v>
      </c>
      <c r="D970" s="106">
        <f t="shared" ca="1" si="57"/>
        <v>0.62479311492783252</v>
      </c>
      <c r="E970" s="106">
        <f t="shared" ca="1" si="58"/>
        <v>0</v>
      </c>
      <c r="F970" s="21">
        <f t="shared" ca="1" si="59"/>
        <v>0</v>
      </c>
      <c r="H970" s="21">
        <v>955</v>
      </c>
      <c r="I970" s="107">
        <v>0.66780943743056409</v>
      </c>
      <c r="J970" s="108">
        <v>1.5185685499331824E-3</v>
      </c>
      <c r="K970" s="108"/>
      <c r="L970" s="108">
        <v>4.24E-2</v>
      </c>
      <c r="O970" s="105"/>
    </row>
    <row r="971" spans="2:15" x14ac:dyDescent="0.2">
      <c r="B971" s="1">
        <v>956</v>
      </c>
      <c r="C971" s="106">
        <f t="shared" ca="1" si="56"/>
        <v>-1.0982465916768338</v>
      </c>
      <c r="D971" s="106">
        <f t="shared" ca="1" si="57"/>
        <v>0.59627718607610025</v>
      </c>
      <c r="E971" s="106">
        <f t="shared" ca="1" si="58"/>
        <v>0</v>
      </c>
      <c r="F971" s="21">
        <f t="shared" ca="1" si="59"/>
        <v>0</v>
      </c>
      <c r="H971" s="21">
        <v>956</v>
      </c>
      <c r="I971" s="107">
        <v>0.6675926557106151</v>
      </c>
      <c r="J971" s="108">
        <v>1.1661697550189693E-3</v>
      </c>
      <c r="K971" s="108"/>
      <c r="L971" s="108">
        <v>3.7400000000000003E-2</v>
      </c>
      <c r="O971" s="105"/>
    </row>
    <row r="972" spans="2:15" x14ac:dyDescent="0.2">
      <c r="B972" s="1">
        <v>957</v>
      </c>
      <c r="C972" s="106">
        <f t="shared" ca="1" si="56"/>
        <v>-0.73849271285424645</v>
      </c>
      <c r="D972" s="106">
        <f t="shared" ca="1" si="57"/>
        <v>0.6178169621366072</v>
      </c>
      <c r="E972" s="106">
        <f t="shared" ca="1" si="58"/>
        <v>0</v>
      </c>
      <c r="F972" s="21">
        <f t="shared" ca="1" si="59"/>
        <v>0</v>
      </c>
      <c r="H972" s="21">
        <v>957</v>
      </c>
      <c r="I972" s="107">
        <v>0.66771751887133812</v>
      </c>
      <c r="J972" s="108">
        <v>1.2580270868178772E-3</v>
      </c>
      <c r="K972" s="108"/>
      <c r="L972" s="108">
        <v>4.1000000000000002E-2</v>
      </c>
      <c r="O972" s="105"/>
    </row>
    <row r="973" spans="2:15" x14ac:dyDescent="0.2">
      <c r="B973" s="1">
        <v>958</v>
      </c>
      <c r="C973" s="106">
        <f t="shared" ca="1" si="56"/>
        <v>0.36613993518417948</v>
      </c>
      <c r="D973" s="106">
        <f t="shared" ca="1" si="57"/>
        <v>0.68894033083590722</v>
      </c>
      <c r="E973" s="106">
        <f t="shared" ca="1" si="58"/>
        <v>0</v>
      </c>
      <c r="F973" s="21">
        <f t="shared" ca="1" si="59"/>
        <v>0</v>
      </c>
      <c r="H973" s="21">
        <v>958</v>
      </c>
      <c r="I973" s="107">
        <v>0.66773851071914037</v>
      </c>
      <c r="J973" s="108">
        <v>1.3221385221645989E-3</v>
      </c>
      <c r="K973" s="108"/>
      <c r="L973" s="108">
        <v>4.2000000000000003E-2</v>
      </c>
      <c r="O973" s="105"/>
    </row>
    <row r="974" spans="2:15" x14ac:dyDescent="0.2">
      <c r="B974" s="1">
        <v>959</v>
      </c>
      <c r="C974" s="106">
        <f t="shared" ca="1" si="56"/>
        <v>2.7260355755908834</v>
      </c>
      <c r="D974" s="106">
        <f t="shared" ca="1" si="57"/>
        <v>0.8695170124107432</v>
      </c>
      <c r="E974" s="106">
        <f t="shared" ca="1" si="58"/>
        <v>8.1317012410743184E-2</v>
      </c>
      <c r="F974" s="21">
        <f t="shared" ca="1" si="59"/>
        <v>1</v>
      </c>
      <c r="H974" s="21">
        <v>959</v>
      </c>
      <c r="I974" s="107">
        <v>0.66764981674160151</v>
      </c>
      <c r="J974" s="108">
        <v>1.2759840934292131E-3</v>
      </c>
      <c r="K974" s="108"/>
      <c r="L974" s="108">
        <v>3.78E-2</v>
      </c>
      <c r="O974" s="105"/>
    </row>
    <row r="975" spans="2:15" x14ac:dyDescent="0.2">
      <c r="B975" s="1">
        <v>960</v>
      </c>
      <c r="C975" s="106">
        <f t="shared" ca="1" si="56"/>
        <v>-0.87298768819531058</v>
      </c>
      <c r="D975" s="106">
        <f t="shared" ca="1" si="57"/>
        <v>0.60967466153208461</v>
      </c>
      <c r="E975" s="106">
        <f t="shared" ca="1" si="58"/>
        <v>0</v>
      </c>
      <c r="F975" s="21">
        <f t="shared" ca="1" si="59"/>
        <v>0</v>
      </c>
      <c r="H975" s="21">
        <v>960</v>
      </c>
      <c r="I975" s="107">
        <v>0.66783343787966054</v>
      </c>
      <c r="J975" s="108">
        <v>1.3871200653066433E-3</v>
      </c>
      <c r="K975" s="108"/>
      <c r="L975" s="108">
        <v>4.4200000000000003E-2</v>
      </c>
      <c r="O975" s="105"/>
    </row>
    <row r="976" spans="2:15" x14ac:dyDescent="0.2">
      <c r="B976" s="1">
        <v>961</v>
      </c>
      <c r="C976" s="106">
        <f t="shared" ref="C976:C1039" ca="1" si="60">_xlfn.NORM.S.INV(RAND())</f>
        <v>-0.23198061773687589</v>
      </c>
      <c r="D976" s="106">
        <f t="shared" ref="D976:D1039" ca="1" si="61">S0*EXP((μ-0.5*σ*σ)*T+σ*SQRT(T)*$C976)</f>
        <v>0.64946910030767091</v>
      </c>
      <c r="E976" s="106">
        <f t="shared" ref="E976:E1039" ca="1" si="62">MAX(0,CP*(D976-K))</f>
        <v>0</v>
      </c>
      <c r="F976" s="21">
        <f t="shared" ref="F976:F1039" ca="1" si="63">(CP*(D976-K)&gt;0)*1</f>
        <v>0</v>
      </c>
      <c r="H976" s="21">
        <v>961</v>
      </c>
      <c r="I976" s="107">
        <v>0.66757945651063577</v>
      </c>
      <c r="J976" s="108">
        <v>1.2870201191655011E-3</v>
      </c>
      <c r="K976" s="108"/>
      <c r="L976" s="108">
        <v>3.7600000000000001E-2</v>
      </c>
      <c r="O976" s="105"/>
    </row>
    <row r="977" spans="2:15" x14ac:dyDescent="0.2">
      <c r="B977" s="1">
        <v>962</v>
      </c>
      <c r="C977" s="106">
        <f t="shared" ca="1" si="60"/>
        <v>-0.52920290441768347</v>
      </c>
      <c r="D977" s="106">
        <f t="shared" ca="1" si="61"/>
        <v>0.63070412877744175</v>
      </c>
      <c r="E977" s="106">
        <f t="shared" ca="1" si="62"/>
        <v>0</v>
      </c>
      <c r="F977" s="21">
        <f t="shared" ca="1" si="63"/>
        <v>0</v>
      </c>
      <c r="H977" s="21">
        <v>962</v>
      </c>
      <c r="I977" s="107">
        <v>0.66776044775093979</v>
      </c>
      <c r="J977" s="108">
        <v>1.3970564880244438E-3</v>
      </c>
      <c r="K977" s="108"/>
      <c r="L977" s="108">
        <v>4.36E-2</v>
      </c>
      <c r="O977" s="105"/>
    </row>
    <row r="978" spans="2:15" x14ac:dyDescent="0.2">
      <c r="B978" s="1">
        <v>963</v>
      </c>
      <c r="C978" s="106">
        <f t="shared" ca="1" si="60"/>
        <v>-0.96228039241907504</v>
      </c>
      <c r="D978" s="106">
        <f t="shared" ca="1" si="61"/>
        <v>0.60432825715211802</v>
      </c>
      <c r="E978" s="106">
        <f t="shared" ca="1" si="62"/>
        <v>0</v>
      </c>
      <c r="F978" s="21">
        <f t="shared" ca="1" si="63"/>
        <v>0</v>
      </c>
      <c r="H978" s="21">
        <v>963</v>
      </c>
      <c r="I978" s="107">
        <v>0.66780475055311894</v>
      </c>
      <c r="J978" s="108">
        <v>1.4258340413893481E-3</v>
      </c>
      <c r="K978" s="108"/>
      <c r="L978" s="108">
        <v>0.04</v>
      </c>
      <c r="O978" s="105"/>
    </row>
    <row r="979" spans="2:15" x14ac:dyDescent="0.2">
      <c r="B979" s="1">
        <v>964</v>
      </c>
      <c r="C979" s="106">
        <f t="shared" ca="1" si="60"/>
        <v>-0.99050202756010042</v>
      </c>
      <c r="D979" s="106">
        <f t="shared" ca="1" si="61"/>
        <v>0.60264825585721082</v>
      </c>
      <c r="E979" s="106">
        <f t="shared" ca="1" si="62"/>
        <v>0</v>
      </c>
      <c r="F979" s="21">
        <f t="shared" ca="1" si="63"/>
        <v>0</v>
      </c>
      <c r="H979" s="21">
        <v>964</v>
      </c>
      <c r="I979" s="107">
        <v>0.6678155811414761</v>
      </c>
      <c r="J979" s="108">
        <v>1.5716620367112492E-3</v>
      </c>
      <c r="K979" s="108"/>
      <c r="L979" s="108">
        <v>4.24E-2</v>
      </c>
      <c r="O979" s="105"/>
    </row>
    <row r="980" spans="2:15" x14ac:dyDescent="0.2">
      <c r="B980" s="1">
        <v>965</v>
      </c>
      <c r="C980" s="106">
        <f t="shared" ca="1" si="60"/>
        <v>-0.85767522540570984</v>
      </c>
      <c r="D980" s="106">
        <f t="shared" ca="1" si="61"/>
        <v>0.61059623533832119</v>
      </c>
      <c r="E980" s="106">
        <f t="shared" ca="1" si="62"/>
        <v>0</v>
      </c>
      <c r="F980" s="21">
        <f t="shared" ca="1" si="63"/>
        <v>0</v>
      </c>
      <c r="H980" s="21">
        <v>965</v>
      </c>
      <c r="I980" s="107">
        <v>0.66769306968555064</v>
      </c>
      <c r="J980" s="108">
        <v>1.3659598472125119E-3</v>
      </c>
      <c r="K980" s="108"/>
      <c r="L980" s="108">
        <v>4.1000000000000002E-2</v>
      </c>
      <c r="O980" s="105"/>
    </row>
    <row r="981" spans="2:15" x14ac:dyDescent="0.2">
      <c r="B981" s="1">
        <v>966</v>
      </c>
      <c r="C981" s="106">
        <f t="shared" ca="1" si="60"/>
        <v>-0.643625681368592</v>
      </c>
      <c r="D981" s="106">
        <f t="shared" ca="1" si="61"/>
        <v>0.62362551099352104</v>
      </c>
      <c r="E981" s="106">
        <f t="shared" ca="1" si="62"/>
        <v>0</v>
      </c>
      <c r="F981" s="21">
        <f t="shared" ca="1" si="63"/>
        <v>0</v>
      </c>
      <c r="H981" s="21">
        <v>966</v>
      </c>
      <c r="I981" s="107">
        <v>0.66748765072973704</v>
      </c>
      <c r="J981" s="108">
        <v>1.1781983881739744E-3</v>
      </c>
      <c r="K981" s="108"/>
      <c r="L981" s="108">
        <v>3.7199999999999997E-2</v>
      </c>
      <c r="O981" s="105"/>
    </row>
    <row r="982" spans="2:15" x14ac:dyDescent="0.2">
      <c r="B982" s="1">
        <v>967</v>
      </c>
      <c r="C982" s="106">
        <f t="shared" ca="1" si="60"/>
        <v>0.63466680327404645</v>
      </c>
      <c r="D982" s="106">
        <f t="shared" ca="1" si="61"/>
        <v>0.70743270683194071</v>
      </c>
      <c r="E982" s="106">
        <f t="shared" ca="1" si="62"/>
        <v>0</v>
      </c>
      <c r="F982" s="21">
        <f t="shared" ca="1" si="63"/>
        <v>0</v>
      </c>
      <c r="H982" s="21">
        <v>967</v>
      </c>
      <c r="I982" s="107">
        <v>0.66785346959361136</v>
      </c>
      <c r="J982" s="108">
        <v>1.4606679304422713E-3</v>
      </c>
      <c r="K982" s="108"/>
      <c r="L982" s="108">
        <v>4.2599999999999999E-2</v>
      </c>
      <c r="O982" s="105"/>
    </row>
    <row r="983" spans="2:15" x14ac:dyDescent="0.2">
      <c r="B983" s="1">
        <v>968</v>
      </c>
      <c r="C983" s="106">
        <f t="shared" ca="1" si="60"/>
        <v>-0.51688932666573673</v>
      </c>
      <c r="D983" s="106">
        <f t="shared" ca="1" si="61"/>
        <v>0.63147066487509373</v>
      </c>
      <c r="E983" s="106">
        <f t="shared" ca="1" si="62"/>
        <v>0</v>
      </c>
      <c r="F983" s="21">
        <f t="shared" ca="1" si="63"/>
        <v>0</v>
      </c>
      <c r="H983" s="21">
        <v>968</v>
      </c>
      <c r="I983" s="107">
        <v>0.66767403086105437</v>
      </c>
      <c r="J983" s="108">
        <v>1.2596860043582244E-3</v>
      </c>
      <c r="K983" s="108"/>
      <c r="L983" s="108">
        <v>4.0800000000000003E-2</v>
      </c>
      <c r="O983" s="105"/>
    </row>
    <row r="984" spans="2:15" x14ac:dyDescent="0.2">
      <c r="B984" s="1">
        <v>969</v>
      </c>
      <c r="C984" s="106">
        <f t="shared" ca="1" si="60"/>
        <v>-8.9313858250946537E-2</v>
      </c>
      <c r="D984" s="106">
        <f t="shared" ca="1" si="61"/>
        <v>0.65867358866639214</v>
      </c>
      <c r="E984" s="106">
        <f t="shared" ca="1" si="62"/>
        <v>0</v>
      </c>
      <c r="F984" s="21">
        <f t="shared" ca="1" si="63"/>
        <v>0</v>
      </c>
      <c r="H984" s="21">
        <v>969</v>
      </c>
      <c r="I984" s="107">
        <v>0.66763888732627608</v>
      </c>
      <c r="J984" s="108">
        <v>1.3248261216886731E-3</v>
      </c>
      <c r="K984" s="108"/>
      <c r="L984" s="108">
        <v>3.8199999999999998E-2</v>
      </c>
      <c r="O984" s="105"/>
    </row>
    <row r="985" spans="2:15" x14ac:dyDescent="0.2">
      <c r="B985" s="1">
        <v>970</v>
      </c>
      <c r="C985" s="106">
        <f t="shared" ca="1" si="60"/>
        <v>-1.9152695075095847</v>
      </c>
      <c r="D985" s="106">
        <f t="shared" ca="1" si="61"/>
        <v>0.55010733441049675</v>
      </c>
      <c r="E985" s="106">
        <f t="shared" ca="1" si="62"/>
        <v>0</v>
      </c>
      <c r="F985" s="21">
        <f t="shared" ca="1" si="63"/>
        <v>0</v>
      </c>
      <c r="H985" s="21">
        <v>970</v>
      </c>
      <c r="I985" s="107">
        <v>0.66770785083333695</v>
      </c>
      <c r="J985" s="108">
        <v>1.3226822759956078E-3</v>
      </c>
      <c r="K985" s="108"/>
      <c r="L985" s="108">
        <v>3.6999999999999998E-2</v>
      </c>
      <c r="O985" s="105"/>
    </row>
    <row r="986" spans="2:15" x14ac:dyDescent="0.2">
      <c r="B986" s="1">
        <v>971</v>
      </c>
      <c r="C986" s="106">
        <f t="shared" ca="1" si="60"/>
        <v>-0.77453458213425219</v>
      </c>
      <c r="D986" s="106">
        <f t="shared" ca="1" si="61"/>
        <v>0.6156243881433513</v>
      </c>
      <c r="E986" s="106">
        <f t="shared" ca="1" si="62"/>
        <v>0</v>
      </c>
      <c r="F986" s="21">
        <f t="shared" ca="1" si="63"/>
        <v>0</v>
      </c>
      <c r="H986" s="21">
        <v>971</v>
      </c>
      <c r="I986" s="107">
        <v>0.66786732494260082</v>
      </c>
      <c r="J986" s="108">
        <v>1.3911486997796429E-3</v>
      </c>
      <c r="K986" s="108"/>
      <c r="L986" s="108">
        <v>4.58E-2</v>
      </c>
      <c r="O986" s="105"/>
    </row>
    <row r="987" spans="2:15" x14ac:dyDescent="0.2">
      <c r="B987" s="1">
        <v>972</v>
      </c>
      <c r="C987" s="106">
        <f t="shared" ca="1" si="60"/>
        <v>1.9619781193754963E-2</v>
      </c>
      <c r="D987" s="106">
        <f t="shared" ca="1" si="61"/>
        <v>0.66578943528115331</v>
      </c>
      <c r="E987" s="106">
        <f t="shared" ca="1" si="62"/>
        <v>0</v>
      </c>
      <c r="F987" s="21">
        <f t="shared" ca="1" si="63"/>
        <v>0</v>
      </c>
      <c r="H987" s="21">
        <v>972</v>
      </c>
      <c r="I987" s="107">
        <v>0.66773498069944293</v>
      </c>
      <c r="J987" s="108">
        <v>1.4320712867555551E-3</v>
      </c>
      <c r="K987" s="108"/>
      <c r="L987" s="108">
        <v>4.1799999999999997E-2</v>
      </c>
      <c r="O987" s="105"/>
    </row>
    <row r="988" spans="2:15" x14ac:dyDescent="0.2">
      <c r="B988" s="1">
        <v>973</v>
      </c>
      <c r="C988" s="106">
        <f t="shared" ca="1" si="60"/>
        <v>-0.14282439433470498</v>
      </c>
      <c r="D988" s="106">
        <f t="shared" ca="1" si="61"/>
        <v>0.65520603830696544</v>
      </c>
      <c r="E988" s="106">
        <f t="shared" ca="1" si="62"/>
        <v>0</v>
      </c>
      <c r="F988" s="21">
        <f t="shared" ca="1" si="63"/>
        <v>0</v>
      </c>
      <c r="H988" s="21">
        <v>973</v>
      </c>
      <c r="I988" s="107">
        <v>0.66788330439852894</v>
      </c>
      <c r="J988" s="108">
        <v>1.5564925597081733E-3</v>
      </c>
      <c r="K988" s="108"/>
      <c r="L988" s="108">
        <v>4.9799999999999997E-2</v>
      </c>
      <c r="O988" s="105"/>
    </row>
    <row r="989" spans="2:15" x14ac:dyDescent="0.2">
      <c r="B989" s="1">
        <v>974</v>
      </c>
      <c r="C989" s="106">
        <f t="shared" ca="1" si="60"/>
        <v>1.0392632699028395</v>
      </c>
      <c r="D989" s="106">
        <f t="shared" ca="1" si="61"/>
        <v>0.73623726878533025</v>
      </c>
      <c r="E989" s="106">
        <f t="shared" ca="1" si="62"/>
        <v>0</v>
      </c>
      <c r="F989" s="21">
        <f t="shared" ca="1" si="63"/>
        <v>0</v>
      </c>
      <c r="H989" s="21">
        <v>974</v>
      </c>
      <c r="I989" s="107">
        <v>0.6677995102371499</v>
      </c>
      <c r="J989" s="108">
        <v>1.4514604667247265E-3</v>
      </c>
      <c r="K989" s="108"/>
      <c r="L989" s="108">
        <v>4.3400000000000001E-2</v>
      </c>
      <c r="O989" s="105"/>
    </row>
    <row r="990" spans="2:15" x14ac:dyDescent="0.2">
      <c r="B990" s="1">
        <v>975</v>
      </c>
      <c r="C990" s="106">
        <f t="shared" ca="1" si="60"/>
        <v>-1.5202924793887633</v>
      </c>
      <c r="D990" s="106">
        <f t="shared" ca="1" si="61"/>
        <v>0.57196309516795762</v>
      </c>
      <c r="E990" s="106">
        <f t="shared" ca="1" si="62"/>
        <v>0</v>
      </c>
      <c r="F990" s="21">
        <f t="shared" ca="1" si="63"/>
        <v>0</v>
      </c>
      <c r="H990" s="21">
        <v>975</v>
      </c>
      <c r="I990" s="107">
        <v>0.6678072373391617</v>
      </c>
      <c r="J990" s="108">
        <v>1.394039028810658E-3</v>
      </c>
      <c r="K990" s="108"/>
      <c r="L990" s="108">
        <v>4.0599999999999997E-2</v>
      </c>
      <c r="O990" s="105"/>
    </row>
    <row r="991" spans="2:15" x14ac:dyDescent="0.2">
      <c r="B991" s="1">
        <v>976</v>
      </c>
      <c r="C991" s="106">
        <f t="shared" ca="1" si="60"/>
        <v>0.4006441699554037</v>
      </c>
      <c r="D991" s="106">
        <f t="shared" ca="1" si="61"/>
        <v>0.69128916410552721</v>
      </c>
      <c r="E991" s="106">
        <f t="shared" ca="1" si="62"/>
        <v>0</v>
      </c>
      <c r="F991" s="21">
        <f t="shared" ca="1" si="63"/>
        <v>0</v>
      </c>
      <c r="H991" s="21">
        <v>976</v>
      </c>
      <c r="I991" s="107">
        <v>0.66768701987905577</v>
      </c>
      <c r="J991" s="108">
        <v>1.2694796584094511E-3</v>
      </c>
      <c r="K991" s="108"/>
      <c r="L991" s="108">
        <v>4.0399999999999998E-2</v>
      </c>
      <c r="O991" s="105"/>
    </row>
    <row r="992" spans="2:15" x14ac:dyDescent="0.2">
      <c r="B992" s="1">
        <v>977</v>
      </c>
      <c r="C992" s="106">
        <f t="shared" ca="1" si="60"/>
        <v>-0.61248835814846314</v>
      </c>
      <c r="D992" s="106">
        <f t="shared" ca="1" si="61"/>
        <v>0.62554387567841274</v>
      </c>
      <c r="E992" s="106">
        <f t="shared" ca="1" si="62"/>
        <v>0</v>
      </c>
      <c r="F992" s="21">
        <f t="shared" ca="1" si="63"/>
        <v>0</v>
      </c>
      <c r="H992" s="21">
        <v>977</v>
      </c>
      <c r="I992" s="107">
        <v>0.66767146773629993</v>
      </c>
      <c r="J992" s="108">
        <v>1.2695231063491817E-3</v>
      </c>
      <c r="K992" s="108"/>
      <c r="L992" s="108">
        <v>3.9399999999999998E-2</v>
      </c>
      <c r="O992" s="105"/>
    </row>
    <row r="993" spans="2:15" x14ac:dyDescent="0.2">
      <c r="B993" s="1">
        <v>978</v>
      </c>
      <c r="C993" s="106">
        <f t="shared" ca="1" si="60"/>
        <v>-1.0378262562169025</v>
      </c>
      <c r="D993" s="106">
        <f t="shared" ca="1" si="61"/>
        <v>0.59984157474085475</v>
      </c>
      <c r="E993" s="106">
        <f t="shared" ca="1" si="62"/>
        <v>0</v>
      </c>
      <c r="F993" s="21">
        <f t="shared" ca="1" si="63"/>
        <v>0</v>
      </c>
      <c r="H993" s="21">
        <v>978</v>
      </c>
      <c r="I993" s="107">
        <v>0.6678645188845248</v>
      </c>
      <c r="J993" s="108">
        <v>1.4960757654985911E-3</v>
      </c>
      <c r="K993" s="108"/>
      <c r="L993" s="108">
        <v>4.24E-2</v>
      </c>
      <c r="O993" s="105"/>
    </row>
    <row r="994" spans="2:15" x14ac:dyDescent="0.2">
      <c r="B994" s="1">
        <v>979</v>
      </c>
      <c r="C994" s="106">
        <f t="shared" ca="1" si="60"/>
        <v>7.8317994906037872E-2</v>
      </c>
      <c r="D994" s="106">
        <f t="shared" ca="1" si="61"/>
        <v>0.66965558429912153</v>
      </c>
      <c r="E994" s="106">
        <f t="shared" ca="1" si="62"/>
        <v>0</v>
      </c>
      <c r="F994" s="21">
        <f t="shared" ca="1" si="63"/>
        <v>0</v>
      </c>
      <c r="H994" s="21">
        <v>979</v>
      </c>
      <c r="I994" s="107">
        <v>0.66779755870777091</v>
      </c>
      <c r="J994" s="108">
        <v>1.3687892480156144E-3</v>
      </c>
      <c r="K994" s="108"/>
      <c r="L994" s="108">
        <v>4.2799999999999998E-2</v>
      </c>
      <c r="O994" s="105"/>
    </row>
    <row r="995" spans="2:15" x14ac:dyDescent="0.2">
      <c r="B995" s="1">
        <v>980</v>
      </c>
      <c r="C995" s="106">
        <f t="shared" ca="1" si="60"/>
        <v>-3.5911598663036268E-2</v>
      </c>
      <c r="D995" s="106">
        <f t="shared" ca="1" si="61"/>
        <v>0.66215241817957138</v>
      </c>
      <c r="E995" s="106">
        <f t="shared" ca="1" si="62"/>
        <v>0</v>
      </c>
      <c r="F995" s="21">
        <f t="shared" ca="1" si="63"/>
        <v>0</v>
      </c>
      <c r="H995" s="21">
        <v>980</v>
      </c>
      <c r="I995" s="107">
        <v>0.66792909556525759</v>
      </c>
      <c r="J995" s="108">
        <v>1.5743040480175545E-3</v>
      </c>
      <c r="K995" s="108"/>
      <c r="L995" s="108">
        <v>4.48E-2</v>
      </c>
      <c r="O995" s="105"/>
    </row>
    <row r="996" spans="2:15" x14ac:dyDescent="0.2">
      <c r="B996" s="1">
        <v>981</v>
      </c>
      <c r="C996" s="106">
        <f t="shared" ca="1" si="60"/>
        <v>1.6562798203416764</v>
      </c>
      <c r="D996" s="106">
        <f t="shared" ca="1" si="61"/>
        <v>0.78243885078484121</v>
      </c>
      <c r="E996" s="106">
        <f t="shared" ca="1" si="62"/>
        <v>0</v>
      </c>
      <c r="F996" s="21">
        <f t="shared" ca="1" si="63"/>
        <v>0</v>
      </c>
      <c r="H996" s="21">
        <v>981</v>
      </c>
      <c r="I996" s="107">
        <v>0.66763413603270583</v>
      </c>
      <c r="J996" s="108">
        <v>1.3751362822265721E-3</v>
      </c>
      <c r="K996" s="108"/>
      <c r="L996" s="108">
        <v>4.02E-2</v>
      </c>
      <c r="O996" s="105"/>
    </row>
    <row r="997" spans="2:15" x14ac:dyDescent="0.2">
      <c r="B997" s="1">
        <v>982</v>
      </c>
      <c r="C997" s="106">
        <f t="shared" ca="1" si="60"/>
        <v>0.32100724844905237</v>
      </c>
      <c r="D997" s="106">
        <f t="shared" ca="1" si="61"/>
        <v>0.68588002149375005</v>
      </c>
      <c r="E997" s="106">
        <f t="shared" ca="1" si="62"/>
        <v>0</v>
      </c>
      <c r="F997" s="21">
        <f t="shared" ca="1" si="63"/>
        <v>0</v>
      </c>
      <c r="H997" s="21">
        <v>982</v>
      </c>
      <c r="I997" s="107">
        <v>0.66772472856375742</v>
      </c>
      <c r="J997" s="108">
        <v>1.4206745325026071E-3</v>
      </c>
      <c r="K997" s="108"/>
      <c r="L997" s="108">
        <v>4.2999999999999997E-2</v>
      </c>
      <c r="O997" s="105"/>
    </row>
    <row r="998" spans="2:15" x14ac:dyDescent="0.2">
      <c r="B998" s="1">
        <v>983</v>
      </c>
      <c r="C998" s="106">
        <f t="shared" ca="1" si="60"/>
        <v>0.14298502264562249</v>
      </c>
      <c r="D998" s="106">
        <f t="shared" ca="1" si="61"/>
        <v>0.67394086405957743</v>
      </c>
      <c r="E998" s="106">
        <f t="shared" ca="1" si="62"/>
        <v>0</v>
      </c>
      <c r="F998" s="21">
        <f t="shared" ca="1" si="63"/>
        <v>0</v>
      </c>
      <c r="H998" s="21">
        <v>983</v>
      </c>
      <c r="I998" s="107">
        <v>0.66778634480794841</v>
      </c>
      <c r="J998" s="108">
        <v>1.4818808408454207E-3</v>
      </c>
      <c r="K998" s="108"/>
      <c r="L998" s="108">
        <v>4.3200000000000002E-2</v>
      </c>
      <c r="O998" s="105"/>
    </row>
    <row r="999" spans="2:15" x14ac:dyDescent="0.2">
      <c r="B999" s="1">
        <v>984</v>
      </c>
      <c r="C999" s="106">
        <f t="shared" ca="1" si="60"/>
        <v>-1.0220071287619747</v>
      </c>
      <c r="D999" s="106">
        <f t="shared" ca="1" si="61"/>
        <v>0.60077831001374682</v>
      </c>
      <c r="E999" s="106">
        <f t="shared" ca="1" si="62"/>
        <v>0</v>
      </c>
      <c r="F999" s="21">
        <f t="shared" ca="1" si="63"/>
        <v>0</v>
      </c>
      <c r="H999" s="21">
        <v>984</v>
      </c>
      <c r="I999" s="107">
        <v>0.66780787042474798</v>
      </c>
      <c r="J999" s="108">
        <v>1.4389053364299543E-3</v>
      </c>
      <c r="K999" s="108"/>
      <c r="L999" s="108">
        <v>4.36E-2</v>
      </c>
      <c r="O999" s="105"/>
    </row>
    <row r="1000" spans="2:15" x14ac:dyDescent="0.2">
      <c r="B1000" s="1">
        <v>985</v>
      </c>
      <c r="C1000" s="106">
        <f t="shared" ca="1" si="60"/>
        <v>-0.434945526403828</v>
      </c>
      <c r="D1000" s="106">
        <f t="shared" ca="1" si="61"/>
        <v>0.63659555519282907</v>
      </c>
      <c r="E1000" s="106">
        <f t="shared" ca="1" si="62"/>
        <v>0</v>
      </c>
      <c r="F1000" s="21">
        <f t="shared" ca="1" si="63"/>
        <v>0</v>
      </c>
      <c r="H1000" s="21">
        <v>985</v>
      </c>
      <c r="I1000" s="107">
        <v>0.66784134047001531</v>
      </c>
      <c r="J1000" s="108">
        <v>1.5235404720614128E-3</v>
      </c>
      <c r="K1000" s="108"/>
      <c r="L1000" s="108">
        <v>4.4400000000000002E-2</v>
      </c>
      <c r="O1000" s="105"/>
    </row>
    <row r="1001" spans="2:15" x14ac:dyDescent="0.2">
      <c r="B1001" s="1">
        <v>986</v>
      </c>
      <c r="C1001" s="106">
        <f t="shared" ca="1" si="60"/>
        <v>0.53511783475824526</v>
      </c>
      <c r="D1001" s="106">
        <f t="shared" ca="1" si="61"/>
        <v>0.70051996661166738</v>
      </c>
      <c r="E1001" s="106">
        <f t="shared" ca="1" si="62"/>
        <v>0</v>
      </c>
      <c r="F1001" s="21">
        <f t="shared" ca="1" si="63"/>
        <v>0</v>
      </c>
      <c r="H1001" s="21">
        <v>986</v>
      </c>
      <c r="I1001" s="107">
        <v>0.6679764690557608</v>
      </c>
      <c r="J1001" s="108">
        <v>1.6133662385831482E-3</v>
      </c>
      <c r="K1001" s="108"/>
      <c r="L1001" s="108">
        <v>4.7800000000000002E-2</v>
      </c>
      <c r="O1001" s="105"/>
    </row>
    <row r="1002" spans="2:15" x14ac:dyDescent="0.2">
      <c r="B1002" s="1">
        <v>987</v>
      </c>
      <c r="C1002" s="106">
        <f t="shared" ca="1" si="60"/>
        <v>-1.3246251121454826</v>
      </c>
      <c r="D1002" s="106">
        <f t="shared" ca="1" si="61"/>
        <v>0.58310971490429742</v>
      </c>
      <c r="E1002" s="106">
        <f t="shared" ca="1" si="62"/>
        <v>0</v>
      </c>
      <c r="F1002" s="21">
        <f t="shared" ca="1" si="63"/>
        <v>0</v>
      </c>
      <c r="H1002" s="21">
        <v>987</v>
      </c>
      <c r="I1002" s="107">
        <v>0.66778147031303703</v>
      </c>
      <c r="J1002" s="108">
        <v>1.3875888980695102E-3</v>
      </c>
      <c r="K1002" s="108"/>
      <c r="L1002" s="108">
        <v>0.04</v>
      </c>
      <c r="O1002" s="105"/>
    </row>
    <row r="1003" spans="2:15" x14ac:dyDescent="0.2">
      <c r="B1003" s="1">
        <v>988</v>
      </c>
      <c r="C1003" s="106">
        <f t="shared" ca="1" si="60"/>
        <v>-0.6815427702366248</v>
      </c>
      <c r="D1003" s="106">
        <f t="shared" ca="1" si="61"/>
        <v>0.6212973884258467</v>
      </c>
      <c r="E1003" s="106">
        <f t="shared" ca="1" si="62"/>
        <v>0</v>
      </c>
      <c r="F1003" s="21">
        <f t="shared" ca="1" si="63"/>
        <v>0</v>
      </c>
      <c r="H1003" s="21">
        <v>988</v>
      </c>
      <c r="I1003" s="107">
        <v>0.66772321435949222</v>
      </c>
      <c r="J1003" s="108">
        <v>1.276429058110558E-3</v>
      </c>
      <c r="K1003" s="108"/>
      <c r="L1003" s="108">
        <v>4.0800000000000003E-2</v>
      </c>
      <c r="O1003" s="105"/>
    </row>
    <row r="1004" spans="2:15" x14ac:dyDescent="0.2">
      <c r="B1004" s="1">
        <v>989</v>
      </c>
      <c r="C1004" s="106">
        <f t="shared" ca="1" si="60"/>
        <v>0.26805987884392179</v>
      </c>
      <c r="D1004" s="106">
        <f t="shared" ca="1" si="61"/>
        <v>0.68230714651112612</v>
      </c>
      <c r="E1004" s="106">
        <f t="shared" ca="1" si="62"/>
        <v>0</v>
      </c>
      <c r="F1004" s="21">
        <f t="shared" ca="1" si="63"/>
        <v>0</v>
      </c>
      <c r="H1004" s="21">
        <v>989</v>
      </c>
      <c r="I1004" s="107">
        <v>0.66779803893365519</v>
      </c>
      <c r="J1004" s="108">
        <v>1.5664948400973375E-3</v>
      </c>
      <c r="K1004" s="108"/>
      <c r="L1004" s="108">
        <v>4.3200000000000002E-2</v>
      </c>
      <c r="O1004" s="105"/>
    </row>
    <row r="1005" spans="2:15" x14ac:dyDescent="0.2">
      <c r="B1005" s="1">
        <v>990</v>
      </c>
      <c r="C1005" s="106">
        <f t="shared" ca="1" si="60"/>
        <v>-1.7221447443982298</v>
      </c>
      <c r="D1005" s="106">
        <f t="shared" ca="1" si="61"/>
        <v>0.5606873800197697</v>
      </c>
      <c r="E1005" s="106">
        <f t="shared" ca="1" si="62"/>
        <v>0</v>
      </c>
      <c r="F1005" s="21">
        <f t="shared" ca="1" si="63"/>
        <v>0</v>
      </c>
      <c r="H1005" s="21">
        <v>990</v>
      </c>
      <c r="I1005" s="107">
        <v>0.66780412201520589</v>
      </c>
      <c r="J1005" s="108">
        <v>1.4913828686305666E-3</v>
      </c>
      <c r="K1005" s="108"/>
      <c r="L1005" s="108">
        <v>4.2799999999999998E-2</v>
      </c>
      <c r="O1005" s="105"/>
    </row>
    <row r="1006" spans="2:15" x14ac:dyDescent="0.2">
      <c r="B1006" s="1">
        <v>991</v>
      </c>
      <c r="C1006" s="106">
        <f t="shared" ca="1" si="60"/>
        <v>0.91205967416494127</v>
      </c>
      <c r="D1006" s="106">
        <f t="shared" ca="1" si="61"/>
        <v>0.72705702374304981</v>
      </c>
      <c r="E1006" s="106">
        <f t="shared" ca="1" si="62"/>
        <v>0</v>
      </c>
      <c r="F1006" s="21">
        <f t="shared" ca="1" si="63"/>
        <v>0</v>
      </c>
      <c r="H1006" s="21">
        <v>991</v>
      </c>
      <c r="I1006" s="107">
        <v>0.66790708277631861</v>
      </c>
      <c r="J1006" s="108">
        <v>1.5940977854155926E-3</v>
      </c>
      <c r="K1006" s="108"/>
      <c r="L1006" s="108">
        <v>4.7600000000000003E-2</v>
      </c>
      <c r="O1006" s="105"/>
    </row>
    <row r="1007" spans="2:15" x14ac:dyDescent="0.2">
      <c r="B1007" s="1">
        <v>992</v>
      </c>
      <c r="C1007" s="106">
        <f t="shared" ca="1" si="60"/>
        <v>-1.3643415342733507</v>
      </c>
      <c r="D1007" s="106">
        <f t="shared" ca="1" si="61"/>
        <v>0.58082974633574969</v>
      </c>
      <c r="E1007" s="106">
        <f t="shared" ca="1" si="62"/>
        <v>0</v>
      </c>
      <c r="F1007" s="21">
        <f t="shared" ca="1" si="63"/>
        <v>0</v>
      </c>
      <c r="H1007" s="21">
        <v>992</v>
      </c>
      <c r="I1007" s="107">
        <v>0.66786022978812665</v>
      </c>
      <c r="J1007" s="108">
        <v>1.4215234630723505E-3</v>
      </c>
      <c r="K1007" s="108"/>
      <c r="L1007" s="108">
        <v>4.6199999999999998E-2</v>
      </c>
      <c r="O1007" s="105"/>
    </row>
    <row r="1008" spans="2:15" x14ac:dyDescent="0.2">
      <c r="B1008" s="1">
        <v>993</v>
      </c>
      <c r="C1008" s="106">
        <f t="shared" ca="1" si="60"/>
        <v>1.7040491367626414</v>
      </c>
      <c r="D1008" s="106">
        <f t="shared" ca="1" si="61"/>
        <v>0.78613442509616893</v>
      </c>
      <c r="E1008" s="106">
        <f t="shared" ca="1" si="62"/>
        <v>0</v>
      </c>
      <c r="F1008" s="21">
        <f t="shared" ca="1" si="63"/>
        <v>0</v>
      </c>
      <c r="H1008" s="21">
        <v>993</v>
      </c>
      <c r="I1008" s="107">
        <v>0.66764790877975477</v>
      </c>
      <c r="J1008" s="108">
        <v>1.1888877692195505E-3</v>
      </c>
      <c r="K1008" s="108"/>
      <c r="L1008" s="108">
        <v>4.1599999999999998E-2</v>
      </c>
      <c r="O1008" s="105"/>
    </row>
    <row r="1009" spans="2:15" x14ac:dyDescent="0.2">
      <c r="B1009" s="1">
        <v>994</v>
      </c>
      <c r="C1009" s="106">
        <f t="shared" ca="1" si="60"/>
        <v>-0.59348263138281931</v>
      </c>
      <c r="D1009" s="106">
        <f t="shared" ca="1" si="61"/>
        <v>0.62671771409573851</v>
      </c>
      <c r="E1009" s="106">
        <f t="shared" ca="1" si="62"/>
        <v>0</v>
      </c>
      <c r="F1009" s="21">
        <f t="shared" ca="1" si="63"/>
        <v>0</v>
      </c>
      <c r="H1009" s="21">
        <v>994</v>
      </c>
      <c r="I1009" s="107">
        <v>0.66760544878544303</v>
      </c>
      <c r="J1009" s="108">
        <v>1.214416343492653E-3</v>
      </c>
      <c r="K1009" s="108"/>
      <c r="L1009" s="108">
        <v>3.8399999999999997E-2</v>
      </c>
      <c r="O1009" s="105"/>
    </row>
    <row r="1010" spans="2:15" x14ac:dyDescent="0.2">
      <c r="B1010" s="1">
        <v>995</v>
      </c>
      <c r="C1010" s="106">
        <f t="shared" ca="1" si="60"/>
        <v>1.342745041905979</v>
      </c>
      <c r="D1010" s="106">
        <f t="shared" ca="1" si="61"/>
        <v>0.7586103609729441</v>
      </c>
      <c r="E1010" s="106">
        <f t="shared" ca="1" si="62"/>
        <v>0</v>
      </c>
      <c r="F1010" s="21">
        <f t="shared" ca="1" si="63"/>
        <v>0</v>
      </c>
      <c r="H1010" s="21">
        <v>995</v>
      </c>
      <c r="I1010" s="107">
        <v>0.66766679984265465</v>
      </c>
      <c r="J1010" s="108">
        <v>1.3475669115550013E-3</v>
      </c>
      <c r="K1010" s="108"/>
      <c r="L1010" s="108">
        <v>3.8399999999999997E-2</v>
      </c>
      <c r="O1010" s="105"/>
    </row>
    <row r="1011" spans="2:15" x14ac:dyDescent="0.2">
      <c r="B1011" s="1">
        <v>996</v>
      </c>
      <c r="C1011" s="106">
        <f t="shared" ca="1" si="60"/>
        <v>0.730854914432437</v>
      </c>
      <c r="D1011" s="106">
        <f t="shared" ca="1" si="61"/>
        <v>0.71417685931113906</v>
      </c>
      <c r="E1011" s="106">
        <f t="shared" ca="1" si="62"/>
        <v>0</v>
      </c>
      <c r="F1011" s="21">
        <f t="shared" ca="1" si="63"/>
        <v>0</v>
      </c>
      <c r="H1011" s="21">
        <v>996</v>
      </c>
      <c r="I1011" s="107">
        <v>0.66763096972656233</v>
      </c>
      <c r="J1011" s="108">
        <v>1.2359623873164696E-3</v>
      </c>
      <c r="K1011" s="108"/>
      <c r="L1011" s="108">
        <v>3.7999999999999999E-2</v>
      </c>
      <c r="O1011" s="105"/>
    </row>
    <row r="1012" spans="2:15" x14ac:dyDescent="0.2">
      <c r="B1012" s="1">
        <v>997</v>
      </c>
      <c r="C1012" s="106">
        <f t="shared" ca="1" si="60"/>
        <v>1.0028374857906874</v>
      </c>
      <c r="D1012" s="106">
        <f t="shared" ca="1" si="61"/>
        <v>0.73359665058426693</v>
      </c>
      <c r="E1012" s="106">
        <f t="shared" ca="1" si="62"/>
        <v>0</v>
      </c>
      <c r="F1012" s="21">
        <f t="shared" ca="1" si="63"/>
        <v>0</v>
      </c>
      <c r="H1012" s="21">
        <v>997</v>
      </c>
      <c r="I1012" s="107">
        <v>0.66776036314562492</v>
      </c>
      <c r="J1012" s="108">
        <v>1.3781867175006175E-3</v>
      </c>
      <c r="K1012" s="108"/>
      <c r="L1012" s="108">
        <v>4.1000000000000002E-2</v>
      </c>
      <c r="O1012" s="105"/>
    </row>
    <row r="1013" spans="2:15" x14ac:dyDescent="0.2">
      <c r="B1013" s="1">
        <v>998</v>
      </c>
      <c r="C1013" s="106">
        <f t="shared" ca="1" si="60"/>
        <v>0.13284745673696424</v>
      </c>
      <c r="D1013" s="106">
        <f t="shared" ca="1" si="61"/>
        <v>0.67326727153873733</v>
      </c>
      <c r="E1013" s="106">
        <f t="shared" ca="1" si="62"/>
        <v>0</v>
      </c>
      <c r="F1013" s="21">
        <f t="shared" ca="1" si="63"/>
        <v>0</v>
      </c>
      <c r="H1013" s="21">
        <v>998</v>
      </c>
      <c r="I1013" s="107">
        <v>0.66759727478664044</v>
      </c>
      <c r="J1013" s="108">
        <v>1.1485508276923295E-3</v>
      </c>
      <c r="K1013" s="108"/>
      <c r="L1013" s="108">
        <v>4.1000000000000002E-2</v>
      </c>
      <c r="O1013" s="105"/>
    </row>
    <row r="1014" spans="2:15" x14ac:dyDescent="0.2">
      <c r="B1014" s="1">
        <v>999</v>
      </c>
      <c r="C1014" s="106">
        <f t="shared" ca="1" si="60"/>
        <v>-0.15235542612634939</v>
      </c>
      <c r="D1014" s="106">
        <f t="shared" ca="1" si="61"/>
        <v>0.65459033345746698</v>
      </c>
      <c r="E1014" s="106">
        <f t="shared" ca="1" si="62"/>
        <v>0</v>
      </c>
      <c r="F1014" s="21">
        <f t="shared" ca="1" si="63"/>
        <v>0</v>
      </c>
      <c r="H1014" s="21">
        <v>999</v>
      </c>
      <c r="I1014" s="107">
        <v>0.66780842282359476</v>
      </c>
      <c r="J1014" s="108">
        <v>1.3545639892836427E-3</v>
      </c>
      <c r="K1014" s="108"/>
      <c r="L1014" s="108">
        <v>4.2000000000000003E-2</v>
      </c>
      <c r="O1014" s="105"/>
    </row>
    <row r="1015" spans="2:15" x14ac:dyDescent="0.2">
      <c r="B1015" s="1">
        <v>1000</v>
      </c>
      <c r="C1015" s="106">
        <f t="shared" ca="1" si="60"/>
        <v>1.0523988926064123</v>
      </c>
      <c r="D1015" s="106">
        <f t="shared" ca="1" si="61"/>
        <v>0.73719184092674361</v>
      </c>
      <c r="E1015" s="106">
        <f t="shared" ca="1" si="62"/>
        <v>0</v>
      </c>
      <c r="F1015" s="21">
        <f t="shared" ca="1" si="63"/>
        <v>0</v>
      </c>
      <c r="H1015" s="21">
        <v>1000</v>
      </c>
      <c r="I1015" s="107">
        <v>0.66748672121234509</v>
      </c>
      <c r="J1015" s="108">
        <v>1.0464864503420728E-3</v>
      </c>
      <c r="K1015" s="108"/>
      <c r="L1015" s="108">
        <v>3.9E-2</v>
      </c>
      <c r="O1015" s="105"/>
    </row>
    <row r="1016" spans="2:15" x14ac:dyDescent="0.2">
      <c r="B1016" s="1">
        <v>1001</v>
      </c>
      <c r="C1016" s="106">
        <f t="shared" ca="1" si="60"/>
        <v>-0.39469494100896063</v>
      </c>
      <c r="D1016" s="106">
        <f t="shared" ca="1" si="61"/>
        <v>0.63912810003606124</v>
      </c>
      <c r="E1016" s="106">
        <f t="shared" ca="1" si="62"/>
        <v>0</v>
      </c>
      <c r="F1016" s="21">
        <f t="shared" ca="1" si="63"/>
        <v>0</v>
      </c>
      <c r="H1016" s="21">
        <v>1001</v>
      </c>
      <c r="I1016" s="107">
        <v>0.66747406724259228</v>
      </c>
      <c r="J1016" s="108">
        <v>1.1626044068424979E-3</v>
      </c>
      <c r="K1016" s="108"/>
      <c r="L1016" s="108">
        <v>3.9800000000000002E-2</v>
      </c>
      <c r="O1016" s="105"/>
    </row>
    <row r="1017" spans="2:15" x14ac:dyDescent="0.2">
      <c r="B1017" s="1">
        <v>1002</v>
      </c>
      <c r="C1017" s="106">
        <f t="shared" ca="1" si="60"/>
        <v>-1.3816343544217562</v>
      </c>
      <c r="D1017" s="106">
        <f t="shared" ca="1" si="61"/>
        <v>0.57983981921848071</v>
      </c>
      <c r="E1017" s="106">
        <f t="shared" ca="1" si="62"/>
        <v>0</v>
      </c>
      <c r="F1017" s="21">
        <f t="shared" ca="1" si="63"/>
        <v>0</v>
      </c>
      <c r="H1017" s="21">
        <v>1002</v>
      </c>
      <c r="I1017" s="107">
        <v>0.66771671629005458</v>
      </c>
      <c r="J1017" s="108">
        <v>1.3404465668534109E-3</v>
      </c>
      <c r="K1017" s="108"/>
      <c r="L1017" s="108">
        <v>3.8399999999999997E-2</v>
      </c>
      <c r="O1017" s="105"/>
    </row>
    <row r="1018" spans="2:15" x14ac:dyDescent="0.2">
      <c r="B1018" s="1">
        <v>1003</v>
      </c>
      <c r="C1018" s="106">
        <f t="shared" ca="1" si="60"/>
        <v>1.686131585088511</v>
      </c>
      <c r="D1018" s="106">
        <f t="shared" ca="1" si="61"/>
        <v>0.78474622954263962</v>
      </c>
      <c r="E1018" s="106">
        <f t="shared" ca="1" si="62"/>
        <v>0</v>
      </c>
      <c r="F1018" s="21">
        <f t="shared" ca="1" si="63"/>
        <v>0</v>
      </c>
      <c r="H1018" s="21">
        <v>1003</v>
      </c>
      <c r="I1018" s="107">
        <v>0.66767061634342051</v>
      </c>
      <c r="J1018" s="108">
        <v>1.1880743184266818E-3</v>
      </c>
      <c r="K1018" s="108"/>
      <c r="L1018" s="108">
        <v>3.9600000000000003E-2</v>
      </c>
      <c r="O1018" s="105"/>
    </row>
    <row r="1019" spans="2:15" x14ac:dyDescent="0.2">
      <c r="B1019" s="1">
        <v>1004</v>
      </c>
      <c r="C1019" s="106">
        <f t="shared" ca="1" si="60"/>
        <v>-2.1290491631214872</v>
      </c>
      <c r="D1019" s="106">
        <f t="shared" ca="1" si="61"/>
        <v>0.53862839769641679</v>
      </c>
      <c r="E1019" s="106">
        <f t="shared" ca="1" si="62"/>
        <v>0</v>
      </c>
      <c r="F1019" s="21">
        <f t="shared" ca="1" si="63"/>
        <v>0</v>
      </c>
      <c r="H1019" s="21">
        <v>1004</v>
      </c>
      <c r="I1019" s="107">
        <v>0.66767029265239997</v>
      </c>
      <c r="J1019" s="108">
        <v>1.2287383666801286E-3</v>
      </c>
      <c r="K1019" s="108"/>
      <c r="L1019" s="108">
        <v>4.0399999999999998E-2</v>
      </c>
      <c r="O1019" s="105"/>
    </row>
    <row r="1020" spans="2:15" x14ac:dyDescent="0.2">
      <c r="B1020" s="1">
        <v>1005</v>
      </c>
      <c r="C1020" s="106">
        <f t="shared" ca="1" si="60"/>
        <v>2.461818544282476</v>
      </c>
      <c r="D1020" s="106">
        <f t="shared" ca="1" si="61"/>
        <v>0.84714780290265601</v>
      </c>
      <c r="E1020" s="106">
        <f t="shared" ca="1" si="62"/>
        <v>5.8947802902655999E-2</v>
      </c>
      <c r="F1020" s="21">
        <f t="shared" ca="1" si="63"/>
        <v>1</v>
      </c>
      <c r="H1020" s="21">
        <v>1005</v>
      </c>
      <c r="I1020" s="107">
        <v>0.6677684690139909</v>
      </c>
      <c r="J1020" s="108">
        <v>1.5054217536658355E-3</v>
      </c>
      <c r="K1020" s="108"/>
      <c r="L1020" s="108">
        <v>4.3799999999999999E-2</v>
      </c>
      <c r="O1020" s="105"/>
    </row>
    <row r="1021" spans="2:15" x14ac:dyDescent="0.2">
      <c r="B1021" s="1">
        <v>1006</v>
      </c>
      <c r="C1021" s="106">
        <f t="shared" ca="1" si="60"/>
        <v>0.55097241119927565</v>
      </c>
      <c r="D1021" s="106">
        <f t="shared" ca="1" si="61"/>
        <v>0.70161637842848534</v>
      </c>
      <c r="E1021" s="106">
        <f t="shared" ca="1" si="62"/>
        <v>0</v>
      </c>
      <c r="F1021" s="21">
        <f t="shared" ca="1" si="63"/>
        <v>0</v>
      </c>
      <c r="H1021" s="21">
        <v>1006</v>
      </c>
      <c r="I1021" s="107">
        <v>0.66786156381392914</v>
      </c>
      <c r="J1021" s="108">
        <v>1.5399552442697082E-3</v>
      </c>
      <c r="K1021" s="108"/>
      <c r="L1021" s="108">
        <v>4.4600000000000001E-2</v>
      </c>
      <c r="O1021" s="105"/>
    </row>
    <row r="1022" spans="2:15" x14ac:dyDescent="0.2">
      <c r="B1022" s="1">
        <v>1007</v>
      </c>
      <c r="C1022" s="106">
        <f t="shared" ca="1" si="60"/>
        <v>0.87023070324626473</v>
      </c>
      <c r="D1022" s="106">
        <f t="shared" ca="1" si="61"/>
        <v>0.72406331945424096</v>
      </c>
      <c r="E1022" s="106">
        <f t="shared" ca="1" si="62"/>
        <v>0</v>
      </c>
      <c r="F1022" s="21">
        <f t="shared" ca="1" si="63"/>
        <v>0</v>
      </c>
      <c r="H1022" s="21">
        <v>1007</v>
      </c>
      <c r="I1022" s="107">
        <v>0.66784307292494971</v>
      </c>
      <c r="J1022" s="108">
        <v>1.5110510327972396E-3</v>
      </c>
      <c r="K1022" s="108"/>
      <c r="L1022" s="108">
        <v>4.5199999999999997E-2</v>
      </c>
      <c r="O1022" s="105"/>
    </row>
    <row r="1023" spans="2:15" x14ac:dyDescent="0.2">
      <c r="B1023" s="1">
        <v>1008</v>
      </c>
      <c r="C1023" s="106">
        <f t="shared" ca="1" si="60"/>
        <v>0.48348200059864388</v>
      </c>
      <c r="D1023" s="106">
        <f t="shared" ca="1" si="61"/>
        <v>0.69696099058936789</v>
      </c>
      <c r="E1023" s="106">
        <f t="shared" ca="1" si="62"/>
        <v>0</v>
      </c>
      <c r="F1023" s="21">
        <f t="shared" ca="1" si="63"/>
        <v>0</v>
      </c>
      <c r="H1023" s="21">
        <v>1008</v>
      </c>
      <c r="I1023" s="107">
        <v>0.66791765851352225</v>
      </c>
      <c r="J1023" s="108">
        <v>1.6619986479025656E-3</v>
      </c>
      <c r="K1023" s="108"/>
      <c r="L1023" s="108">
        <v>4.3400000000000001E-2</v>
      </c>
      <c r="O1023" s="105"/>
    </row>
    <row r="1024" spans="2:15" x14ac:dyDescent="0.2">
      <c r="B1024" s="1">
        <v>1009</v>
      </c>
      <c r="C1024" s="106">
        <f t="shared" ca="1" si="60"/>
        <v>0.14394285889415623</v>
      </c>
      <c r="D1024" s="106">
        <f t="shared" ca="1" si="61"/>
        <v>0.67400454250849795</v>
      </c>
      <c r="E1024" s="106">
        <f t="shared" ca="1" si="62"/>
        <v>0</v>
      </c>
      <c r="F1024" s="21">
        <f t="shared" ca="1" si="63"/>
        <v>0</v>
      </c>
      <c r="H1024" s="21">
        <v>1009</v>
      </c>
      <c r="I1024" s="107">
        <v>0.66783425425059384</v>
      </c>
      <c r="J1024" s="108">
        <v>1.4779235887721401E-3</v>
      </c>
      <c r="K1024" s="108"/>
      <c r="L1024" s="108">
        <v>4.1200000000000001E-2</v>
      </c>
      <c r="O1024" s="105"/>
    </row>
    <row r="1025" spans="2:15" x14ac:dyDescent="0.2">
      <c r="B1025" s="1">
        <v>1010</v>
      </c>
      <c r="C1025" s="106">
        <f t="shared" ca="1" si="60"/>
        <v>1.9805168218055789</v>
      </c>
      <c r="D1025" s="106">
        <f t="shared" ca="1" si="61"/>
        <v>0.80786821186100699</v>
      </c>
      <c r="E1025" s="106">
        <f t="shared" ca="1" si="62"/>
        <v>1.9668211861006979E-2</v>
      </c>
      <c r="F1025" s="21">
        <f t="shared" ca="1" si="63"/>
        <v>1</v>
      </c>
      <c r="H1025" s="21">
        <v>1010</v>
      </c>
      <c r="I1025" s="107">
        <v>0.66768256219676181</v>
      </c>
      <c r="J1025" s="108">
        <v>1.2846090422817067E-3</v>
      </c>
      <c r="K1025" s="108"/>
      <c r="L1025" s="108">
        <v>3.8600000000000002E-2</v>
      </c>
      <c r="O1025" s="105"/>
    </row>
    <row r="1026" spans="2:15" x14ac:dyDescent="0.2">
      <c r="B1026" s="1">
        <v>1011</v>
      </c>
      <c r="C1026" s="106">
        <f t="shared" ca="1" si="60"/>
        <v>1.8656788937264854</v>
      </c>
      <c r="D1026" s="106">
        <f t="shared" ca="1" si="61"/>
        <v>0.7987685071880366</v>
      </c>
      <c r="E1026" s="106">
        <f t="shared" ca="1" si="62"/>
        <v>1.0568507188036591E-2</v>
      </c>
      <c r="F1026" s="21">
        <f t="shared" ca="1" si="63"/>
        <v>1</v>
      </c>
      <c r="H1026" s="21">
        <v>1011</v>
      </c>
      <c r="I1026" s="107">
        <v>0.66767428680187746</v>
      </c>
      <c r="J1026" s="108">
        <v>1.3744019950506258E-3</v>
      </c>
      <c r="K1026" s="108"/>
      <c r="L1026" s="108">
        <v>3.9800000000000002E-2</v>
      </c>
      <c r="O1026" s="105"/>
    </row>
    <row r="1027" spans="2:15" x14ac:dyDescent="0.2">
      <c r="B1027" s="1">
        <v>1012</v>
      </c>
      <c r="C1027" s="106">
        <f t="shared" ca="1" si="60"/>
        <v>0.72295505894462297</v>
      </c>
      <c r="D1027" s="106">
        <f t="shared" ca="1" si="61"/>
        <v>0.71362055218892151</v>
      </c>
      <c r="E1027" s="106">
        <f t="shared" ca="1" si="62"/>
        <v>0</v>
      </c>
      <c r="F1027" s="21">
        <f t="shared" ca="1" si="63"/>
        <v>0</v>
      </c>
      <c r="H1027" s="21">
        <v>1012</v>
      </c>
      <c r="I1027" s="107">
        <v>0.66783771513471224</v>
      </c>
      <c r="J1027" s="108">
        <v>1.4854157225637661E-3</v>
      </c>
      <c r="K1027" s="108"/>
      <c r="L1027" s="108">
        <v>4.7E-2</v>
      </c>
      <c r="O1027" s="105"/>
    </row>
    <row r="1028" spans="2:15" x14ac:dyDescent="0.2">
      <c r="B1028" s="1">
        <v>1013</v>
      </c>
      <c r="C1028" s="106">
        <f t="shared" ca="1" si="60"/>
        <v>0.23066393701224278</v>
      </c>
      <c r="D1028" s="106">
        <f t="shared" ca="1" si="61"/>
        <v>0.67979489837294427</v>
      </c>
      <c r="E1028" s="106">
        <f t="shared" ca="1" si="62"/>
        <v>0</v>
      </c>
      <c r="F1028" s="21">
        <f t="shared" ca="1" si="63"/>
        <v>0</v>
      </c>
      <c r="H1028" s="21">
        <v>1013</v>
      </c>
      <c r="I1028" s="107">
        <v>0.66759562247564652</v>
      </c>
      <c r="J1028" s="108">
        <v>1.2567777712749961E-3</v>
      </c>
      <c r="K1028" s="108"/>
      <c r="L1028" s="108">
        <v>3.78E-2</v>
      </c>
      <c r="O1028" s="105"/>
    </row>
    <row r="1029" spans="2:15" x14ac:dyDescent="0.2">
      <c r="B1029" s="1">
        <v>1014</v>
      </c>
      <c r="C1029" s="106">
        <f t="shared" ca="1" si="60"/>
        <v>-2.3035885799722693</v>
      </c>
      <c r="D1029" s="106">
        <f t="shared" ca="1" si="61"/>
        <v>0.52943431403492458</v>
      </c>
      <c r="E1029" s="106">
        <f t="shared" ca="1" si="62"/>
        <v>0</v>
      </c>
      <c r="F1029" s="21">
        <f t="shared" ca="1" si="63"/>
        <v>0</v>
      </c>
      <c r="H1029" s="21">
        <v>1014</v>
      </c>
      <c r="I1029" s="107">
        <v>0.6676691966579712</v>
      </c>
      <c r="J1029" s="108">
        <v>1.3116716295902278E-3</v>
      </c>
      <c r="K1029" s="108"/>
      <c r="L1029" s="108">
        <v>3.9800000000000002E-2</v>
      </c>
      <c r="O1029" s="105"/>
    </row>
    <row r="1030" spans="2:15" x14ac:dyDescent="0.2">
      <c r="B1030" s="1">
        <v>1015</v>
      </c>
      <c r="C1030" s="106">
        <f t="shared" ca="1" si="60"/>
        <v>0.80808757430769762</v>
      </c>
      <c r="D1030" s="106">
        <f t="shared" ca="1" si="61"/>
        <v>0.71963847348473542</v>
      </c>
      <c r="E1030" s="106">
        <f t="shared" ca="1" si="62"/>
        <v>0</v>
      </c>
      <c r="F1030" s="21">
        <f t="shared" ca="1" si="63"/>
        <v>0</v>
      </c>
      <c r="H1030" s="21">
        <v>1015</v>
      </c>
      <c r="I1030" s="107">
        <v>0.6677671681768228</v>
      </c>
      <c r="J1030" s="108">
        <v>1.4343614698648492E-3</v>
      </c>
      <c r="K1030" s="108"/>
      <c r="L1030" s="108">
        <v>3.9800000000000002E-2</v>
      </c>
      <c r="O1030" s="105"/>
    </row>
    <row r="1031" spans="2:15" x14ac:dyDescent="0.2">
      <c r="B1031" s="1">
        <v>1016</v>
      </c>
      <c r="C1031" s="106">
        <f t="shared" ca="1" si="60"/>
        <v>-1.0269895513226914</v>
      </c>
      <c r="D1031" s="106">
        <f t="shared" ca="1" si="61"/>
        <v>0.60048311638117846</v>
      </c>
      <c r="E1031" s="106">
        <f t="shared" ca="1" si="62"/>
        <v>0</v>
      </c>
      <c r="F1031" s="21">
        <f t="shared" ca="1" si="63"/>
        <v>0</v>
      </c>
      <c r="H1031" s="21">
        <v>1016</v>
      </c>
      <c r="I1031" s="107">
        <v>0.66778165542572165</v>
      </c>
      <c r="J1031" s="108">
        <v>1.3800916704311116E-3</v>
      </c>
      <c r="K1031" s="108"/>
      <c r="L1031" s="108">
        <v>4.3400000000000001E-2</v>
      </c>
      <c r="O1031" s="105"/>
    </row>
    <row r="1032" spans="2:15" x14ac:dyDescent="0.2">
      <c r="B1032" s="1">
        <v>1017</v>
      </c>
      <c r="C1032" s="106">
        <f t="shared" ca="1" si="60"/>
        <v>-1.2413771188492961</v>
      </c>
      <c r="D1032" s="106">
        <f t="shared" ca="1" si="61"/>
        <v>0.58791774655445417</v>
      </c>
      <c r="E1032" s="106">
        <f t="shared" ca="1" si="62"/>
        <v>0</v>
      </c>
      <c r="F1032" s="21">
        <f t="shared" ca="1" si="63"/>
        <v>0</v>
      </c>
      <c r="H1032" s="21">
        <v>1017</v>
      </c>
      <c r="I1032" s="107">
        <v>0.66776651532148268</v>
      </c>
      <c r="J1032" s="108">
        <v>1.5347146803244777E-3</v>
      </c>
      <c r="K1032" s="108"/>
      <c r="L1032" s="108">
        <v>4.1799999999999997E-2</v>
      </c>
      <c r="O1032" s="105"/>
    </row>
    <row r="1033" spans="2:15" x14ac:dyDescent="0.2">
      <c r="B1033" s="1">
        <v>1018</v>
      </c>
      <c r="C1033" s="106">
        <f t="shared" ca="1" si="60"/>
        <v>-0.31409466816155579</v>
      </c>
      <c r="D1033" s="106">
        <f t="shared" ca="1" si="61"/>
        <v>0.64422975287072892</v>
      </c>
      <c r="E1033" s="106">
        <f t="shared" ca="1" si="62"/>
        <v>0</v>
      </c>
      <c r="F1033" s="21">
        <f t="shared" ca="1" si="63"/>
        <v>0</v>
      </c>
      <c r="H1033" s="21">
        <v>1018</v>
      </c>
      <c r="I1033" s="107">
        <v>0.66776451546528481</v>
      </c>
      <c r="J1033" s="108">
        <v>1.3486693629406181E-3</v>
      </c>
      <c r="K1033" s="108"/>
      <c r="L1033" s="108">
        <v>0.04</v>
      </c>
      <c r="O1033" s="105"/>
    </row>
    <row r="1034" spans="2:15" x14ac:dyDescent="0.2">
      <c r="B1034" s="1">
        <v>1019</v>
      </c>
      <c r="C1034" s="106">
        <f t="shared" ca="1" si="60"/>
        <v>0.12687846907946282</v>
      </c>
      <c r="D1034" s="106">
        <f t="shared" ca="1" si="61"/>
        <v>0.67287097595079526</v>
      </c>
      <c r="E1034" s="106">
        <f t="shared" ca="1" si="62"/>
        <v>0</v>
      </c>
      <c r="F1034" s="21">
        <f t="shared" ca="1" si="63"/>
        <v>0</v>
      </c>
      <c r="H1034" s="21">
        <v>1019</v>
      </c>
      <c r="I1034" s="107">
        <v>0.66765051004877041</v>
      </c>
      <c r="J1034" s="108">
        <v>1.2688481289879427E-3</v>
      </c>
      <c r="K1034" s="108"/>
      <c r="L1034" s="108">
        <v>3.9199999999999999E-2</v>
      </c>
      <c r="O1034" s="105"/>
    </row>
    <row r="1035" spans="2:15" x14ac:dyDescent="0.2">
      <c r="B1035" s="1">
        <v>1020</v>
      </c>
      <c r="C1035" s="106">
        <f t="shared" ca="1" si="60"/>
        <v>0.57819081580447151</v>
      </c>
      <c r="D1035" s="106">
        <f t="shared" ca="1" si="61"/>
        <v>0.7035026508935317</v>
      </c>
      <c r="E1035" s="106">
        <f t="shared" ca="1" si="62"/>
        <v>0</v>
      </c>
      <c r="F1035" s="21">
        <f t="shared" ca="1" si="63"/>
        <v>0</v>
      </c>
      <c r="H1035" s="21">
        <v>1020</v>
      </c>
      <c r="I1035" s="107">
        <v>0.66792821912249212</v>
      </c>
      <c r="J1035" s="108">
        <v>1.6595036732045226E-3</v>
      </c>
      <c r="K1035" s="108"/>
      <c r="L1035" s="108">
        <v>4.6199999999999998E-2</v>
      </c>
      <c r="O1035" s="105"/>
    </row>
    <row r="1036" spans="2:15" x14ac:dyDescent="0.2">
      <c r="B1036" s="1">
        <v>1021</v>
      </c>
      <c r="C1036" s="106">
        <f t="shared" ca="1" si="60"/>
        <v>1.3483266713417594</v>
      </c>
      <c r="D1036" s="106">
        <f t="shared" ca="1" si="61"/>
        <v>0.75902815115807432</v>
      </c>
      <c r="E1036" s="106">
        <f t="shared" ca="1" si="62"/>
        <v>0</v>
      </c>
      <c r="F1036" s="21">
        <f t="shared" ca="1" si="63"/>
        <v>0</v>
      </c>
      <c r="H1036" s="21">
        <v>1021</v>
      </c>
      <c r="I1036" s="107">
        <v>0.66794396547695734</v>
      </c>
      <c r="J1036" s="108">
        <v>1.6779627884553133E-3</v>
      </c>
      <c r="K1036" s="108"/>
      <c r="L1036" s="108">
        <v>4.3999999999999997E-2</v>
      </c>
      <c r="O1036" s="105"/>
    </row>
    <row r="1037" spans="2:15" x14ac:dyDescent="0.2">
      <c r="B1037" s="1">
        <v>1022</v>
      </c>
      <c r="C1037" s="106">
        <f t="shared" ca="1" si="60"/>
        <v>-2.4719794163558308</v>
      </c>
      <c r="D1037" s="106">
        <f t="shared" ca="1" si="61"/>
        <v>0.52071288697186391</v>
      </c>
      <c r="E1037" s="106">
        <f t="shared" ca="1" si="62"/>
        <v>0</v>
      </c>
      <c r="F1037" s="21">
        <f t="shared" ca="1" si="63"/>
        <v>0</v>
      </c>
      <c r="H1037" s="21">
        <v>1022</v>
      </c>
      <c r="I1037" s="107">
        <v>0.66787539218797742</v>
      </c>
      <c r="J1037" s="108">
        <v>1.5853867603548963E-3</v>
      </c>
      <c r="K1037" s="108"/>
      <c r="L1037" s="108">
        <v>4.6199999999999998E-2</v>
      </c>
      <c r="O1037" s="105"/>
    </row>
    <row r="1038" spans="2:15" x14ac:dyDescent="0.2">
      <c r="B1038" s="1">
        <v>1023</v>
      </c>
      <c r="C1038" s="106">
        <f t="shared" ca="1" si="60"/>
        <v>-3.2196678657620721E-2</v>
      </c>
      <c r="D1038" s="106">
        <f t="shared" ca="1" si="61"/>
        <v>0.66239510484329844</v>
      </c>
      <c r="E1038" s="106">
        <f t="shared" ca="1" si="62"/>
        <v>0</v>
      </c>
      <c r="F1038" s="21">
        <f t="shared" ca="1" si="63"/>
        <v>0</v>
      </c>
      <c r="H1038" s="21">
        <v>1023</v>
      </c>
      <c r="I1038" s="107">
        <v>0.66775776113992402</v>
      </c>
      <c r="J1038" s="108">
        <v>1.4456059246788628E-3</v>
      </c>
      <c r="K1038" s="108"/>
      <c r="L1038" s="108">
        <v>3.9600000000000003E-2</v>
      </c>
      <c r="O1038" s="105"/>
    </row>
    <row r="1039" spans="2:15" x14ac:dyDescent="0.2">
      <c r="B1039" s="1">
        <v>1024</v>
      </c>
      <c r="C1039" s="106">
        <f t="shared" ca="1" si="60"/>
        <v>-1.0099225708050414</v>
      </c>
      <c r="D1039" s="106">
        <f t="shared" ca="1" si="61"/>
        <v>0.6014948868869977</v>
      </c>
      <c r="E1039" s="106">
        <f t="shared" ca="1" si="62"/>
        <v>0</v>
      </c>
      <c r="F1039" s="21">
        <f t="shared" ca="1" si="63"/>
        <v>0</v>
      </c>
      <c r="H1039" s="21">
        <v>1024</v>
      </c>
      <c r="I1039" s="107">
        <v>0.66774131021684824</v>
      </c>
      <c r="J1039" s="108">
        <v>1.3330686507003581E-3</v>
      </c>
      <c r="K1039" s="108"/>
      <c r="L1039" s="108">
        <v>3.9600000000000003E-2</v>
      </c>
      <c r="O1039" s="105"/>
    </row>
    <row r="1040" spans="2:15" x14ac:dyDescent="0.2">
      <c r="B1040" s="1">
        <v>1025</v>
      </c>
      <c r="C1040" s="106">
        <f t="shared" ref="C1040:C1103" ca="1" si="64">_xlfn.NORM.S.INV(RAND())</f>
        <v>-0.70719628333406903</v>
      </c>
      <c r="D1040" s="106">
        <f t="shared" ref="D1040:D1103" ca="1" si="65">S0*EXP((μ-0.5*σ*σ)*T+σ*SQRT(T)*$C1040)</f>
        <v>0.61972718506754798</v>
      </c>
      <c r="E1040" s="106">
        <f t="shared" ref="E1040:E1103" ca="1" si="66">MAX(0,CP*(D1040-K))</f>
        <v>0</v>
      </c>
      <c r="F1040" s="21">
        <f t="shared" ref="F1040:F1103" ca="1" si="67">(CP*(D1040-K)&gt;0)*1</f>
        <v>0</v>
      </c>
      <c r="H1040" s="21">
        <v>1025</v>
      </c>
      <c r="I1040" s="107">
        <v>0.66778234882609755</v>
      </c>
      <c r="J1040" s="108">
        <v>1.2738496986030433E-3</v>
      </c>
      <c r="K1040" s="108"/>
      <c r="L1040" s="108">
        <v>4.02E-2</v>
      </c>
      <c r="O1040" s="105"/>
    </row>
    <row r="1041" spans="2:15" x14ac:dyDescent="0.2">
      <c r="B1041" s="1">
        <v>1026</v>
      </c>
      <c r="C1041" s="106">
        <f t="shared" ca="1" si="64"/>
        <v>-0.58587499049012581</v>
      </c>
      <c r="D1041" s="106">
        <f t="shared" ca="1" si="65"/>
        <v>0.62718819699051453</v>
      </c>
      <c r="E1041" s="106">
        <f t="shared" ca="1" si="66"/>
        <v>0</v>
      </c>
      <c r="F1041" s="21">
        <f t="shared" ca="1" si="67"/>
        <v>0</v>
      </c>
      <c r="H1041" s="21">
        <v>1026</v>
      </c>
      <c r="I1041" s="107">
        <v>0.66761005748501534</v>
      </c>
      <c r="J1041" s="108">
        <v>1.1400379872742296E-3</v>
      </c>
      <c r="K1041" s="108"/>
      <c r="L1041" s="108">
        <v>3.9199999999999999E-2</v>
      </c>
      <c r="O1041" s="105"/>
    </row>
    <row r="1042" spans="2:15" x14ac:dyDescent="0.2">
      <c r="B1042" s="1">
        <v>1027</v>
      </c>
      <c r="C1042" s="106">
        <f t="shared" ca="1" si="64"/>
        <v>-1.0252140701598469</v>
      </c>
      <c r="D1042" s="106">
        <f t="shared" ca="1" si="65"/>
        <v>0.60058829169133854</v>
      </c>
      <c r="E1042" s="106">
        <f t="shared" ca="1" si="66"/>
        <v>0</v>
      </c>
      <c r="F1042" s="21">
        <f t="shared" ca="1" si="67"/>
        <v>0</v>
      </c>
      <c r="H1042" s="21">
        <v>1027</v>
      </c>
      <c r="I1042" s="107">
        <v>0.66783312644649195</v>
      </c>
      <c r="J1042" s="108">
        <v>1.4228879912713882E-3</v>
      </c>
      <c r="K1042" s="108"/>
      <c r="L1042" s="108">
        <v>4.4600000000000001E-2</v>
      </c>
      <c r="O1042" s="105"/>
    </row>
    <row r="1043" spans="2:15" x14ac:dyDescent="0.2">
      <c r="B1043" s="1">
        <v>1028</v>
      </c>
      <c r="C1043" s="106">
        <f t="shared" ca="1" si="64"/>
        <v>-0.63273901684050049</v>
      </c>
      <c r="D1043" s="106">
        <f t="shared" ca="1" si="65"/>
        <v>0.62429556656657703</v>
      </c>
      <c r="E1043" s="106">
        <f t="shared" ca="1" si="66"/>
        <v>0</v>
      </c>
      <c r="F1043" s="21">
        <f t="shared" ca="1" si="67"/>
        <v>0</v>
      </c>
      <c r="H1043" s="21">
        <v>1028</v>
      </c>
      <c r="I1043" s="107">
        <v>0.6678091699651737</v>
      </c>
      <c r="J1043" s="108">
        <v>1.5360529742971829E-3</v>
      </c>
      <c r="K1043" s="108"/>
      <c r="L1043" s="108">
        <v>4.2599999999999999E-2</v>
      </c>
      <c r="O1043" s="105"/>
    </row>
    <row r="1044" spans="2:15" x14ac:dyDescent="0.2">
      <c r="B1044" s="1">
        <v>1029</v>
      </c>
      <c r="C1044" s="106">
        <f t="shared" ca="1" si="64"/>
        <v>0.97343575813180971</v>
      </c>
      <c r="D1044" s="106">
        <f t="shared" ca="1" si="65"/>
        <v>0.73147213722072313</v>
      </c>
      <c r="E1044" s="106">
        <f t="shared" ca="1" si="66"/>
        <v>0</v>
      </c>
      <c r="F1044" s="21">
        <f t="shared" ca="1" si="67"/>
        <v>0</v>
      </c>
      <c r="H1044" s="21">
        <v>1029</v>
      </c>
      <c r="I1044" s="107">
        <v>0.66786285988090344</v>
      </c>
      <c r="J1044" s="108">
        <v>1.656141006591637E-3</v>
      </c>
      <c r="K1044" s="108"/>
      <c r="L1044" s="108">
        <v>4.6199999999999998E-2</v>
      </c>
      <c r="O1044" s="105"/>
    </row>
    <row r="1045" spans="2:15" x14ac:dyDescent="0.2">
      <c r="B1045" s="1">
        <v>1030</v>
      </c>
      <c r="C1045" s="106">
        <f t="shared" ca="1" si="64"/>
        <v>1.3058049791282929</v>
      </c>
      <c r="D1045" s="106">
        <f t="shared" ca="1" si="65"/>
        <v>0.75585115389598678</v>
      </c>
      <c r="E1045" s="106">
        <f t="shared" ca="1" si="66"/>
        <v>0</v>
      </c>
      <c r="F1045" s="21">
        <f t="shared" ca="1" si="67"/>
        <v>0</v>
      </c>
      <c r="H1045" s="21">
        <v>1030</v>
      </c>
      <c r="I1045" s="107">
        <v>0.66787593590885641</v>
      </c>
      <c r="J1045" s="108">
        <v>1.4319039659103623E-3</v>
      </c>
      <c r="K1045" s="108"/>
      <c r="L1045" s="108">
        <v>4.4999999999999998E-2</v>
      </c>
      <c r="O1045" s="105"/>
    </row>
    <row r="1046" spans="2:15" x14ac:dyDescent="0.2">
      <c r="B1046" s="1">
        <v>1031</v>
      </c>
      <c r="C1046" s="106">
        <f t="shared" ca="1" si="64"/>
        <v>-0.66172109203084517</v>
      </c>
      <c r="D1046" s="106">
        <f t="shared" ca="1" si="65"/>
        <v>0.6225133601987084</v>
      </c>
      <c r="E1046" s="106">
        <f t="shared" ca="1" si="66"/>
        <v>0</v>
      </c>
      <c r="F1046" s="21">
        <f t="shared" ca="1" si="67"/>
        <v>0</v>
      </c>
      <c r="H1046" s="21">
        <v>1031</v>
      </c>
      <c r="I1046" s="107">
        <v>0.66776676160424842</v>
      </c>
      <c r="J1046" s="108">
        <v>1.3914540530586298E-3</v>
      </c>
      <c r="K1046" s="108"/>
      <c r="L1046" s="108">
        <v>4.2799999999999998E-2</v>
      </c>
      <c r="O1046" s="105"/>
    </row>
    <row r="1047" spans="2:15" x14ac:dyDescent="0.2">
      <c r="B1047" s="1">
        <v>1032</v>
      </c>
      <c r="C1047" s="106">
        <f t="shared" ca="1" si="64"/>
        <v>2.5229394394227218</v>
      </c>
      <c r="D1047" s="106">
        <f t="shared" ca="1" si="65"/>
        <v>0.85227072372921642</v>
      </c>
      <c r="E1047" s="106">
        <f t="shared" ca="1" si="66"/>
        <v>6.4070723729216406E-2</v>
      </c>
      <c r="F1047" s="21">
        <f t="shared" ca="1" si="67"/>
        <v>1</v>
      </c>
      <c r="H1047" s="21">
        <v>1032</v>
      </c>
      <c r="I1047" s="107">
        <v>0.66786541330778904</v>
      </c>
      <c r="J1047" s="108">
        <v>1.5266758419941718E-3</v>
      </c>
      <c r="K1047" s="108"/>
      <c r="L1047" s="108">
        <v>4.2799999999999998E-2</v>
      </c>
      <c r="O1047" s="105"/>
    </row>
    <row r="1048" spans="2:15" x14ac:dyDescent="0.2">
      <c r="B1048" s="1">
        <v>1033</v>
      </c>
      <c r="C1048" s="106">
        <f t="shared" ca="1" si="64"/>
        <v>0.41784662433939512</v>
      </c>
      <c r="D1048" s="106">
        <f t="shared" ca="1" si="65"/>
        <v>0.69246318976337073</v>
      </c>
      <c r="E1048" s="106">
        <f t="shared" ca="1" si="66"/>
        <v>0</v>
      </c>
      <c r="F1048" s="21">
        <f t="shared" ca="1" si="67"/>
        <v>0</v>
      </c>
      <c r="H1048" s="21">
        <v>1033</v>
      </c>
      <c r="I1048" s="107">
        <v>0.66765945087752665</v>
      </c>
      <c r="J1048" s="108">
        <v>1.2764560705319013E-3</v>
      </c>
      <c r="K1048" s="108"/>
      <c r="L1048" s="108">
        <v>3.8399999999999997E-2</v>
      </c>
      <c r="O1048" s="105"/>
    </row>
    <row r="1049" spans="2:15" x14ac:dyDescent="0.2">
      <c r="B1049" s="1">
        <v>1034</v>
      </c>
      <c r="C1049" s="106">
        <f t="shared" ca="1" si="64"/>
        <v>-0.18237389276392027</v>
      </c>
      <c r="D1049" s="106">
        <f t="shared" ca="1" si="65"/>
        <v>0.65265491817901855</v>
      </c>
      <c r="E1049" s="106">
        <f t="shared" ca="1" si="66"/>
        <v>0</v>
      </c>
      <c r="F1049" s="21">
        <f t="shared" ca="1" si="67"/>
        <v>0</v>
      </c>
      <c r="H1049" s="21">
        <v>1034</v>
      </c>
      <c r="I1049" s="107">
        <v>0.66772924315444815</v>
      </c>
      <c r="J1049" s="108">
        <v>1.3650789076582511E-3</v>
      </c>
      <c r="K1049" s="108"/>
      <c r="L1049" s="108">
        <v>4.0800000000000003E-2</v>
      </c>
      <c r="O1049" s="105"/>
    </row>
    <row r="1050" spans="2:15" x14ac:dyDescent="0.2">
      <c r="B1050" s="1">
        <v>1035</v>
      </c>
      <c r="C1050" s="106">
        <f t="shared" ca="1" si="64"/>
        <v>0.53957003758341759</v>
      </c>
      <c r="D1050" s="106">
        <f t="shared" ca="1" si="65"/>
        <v>0.70082768236350168</v>
      </c>
      <c r="E1050" s="106">
        <f t="shared" ca="1" si="66"/>
        <v>0</v>
      </c>
      <c r="F1050" s="21">
        <f t="shared" ca="1" si="67"/>
        <v>0</v>
      </c>
      <c r="H1050" s="21">
        <v>1035</v>
      </c>
      <c r="I1050" s="107">
        <v>0.66781499359525154</v>
      </c>
      <c r="J1050" s="108">
        <v>1.4714386567036921E-3</v>
      </c>
      <c r="K1050" s="108"/>
      <c r="L1050" s="108">
        <v>4.3799999999999999E-2</v>
      </c>
      <c r="O1050" s="105"/>
    </row>
    <row r="1051" spans="2:15" x14ac:dyDescent="0.2">
      <c r="B1051" s="1">
        <v>1036</v>
      </c>
      <c r="C1051" s="106">
        <f t="shared" ca="1" si="64"/>
        <v>-0.22543357220688165</v>
      </c>
      <c r="D1051" s="106">
        <f t="shared" ca="1" si="65"/>
        <v>0.64988866892690855</v>
      </c>
      <c r="E1051" s="106">
        <f t="shared" ca="1" si="66"/>
        <v>0</v>
      </c>
      <c r="F1051" s="21">
        <f t="shared" ca="1" si="67"/>
        <v>0</v>
      </c>
      <c r="H1051" s="21">
        <v>1036</v>
      </c>
      <c r="I1051" s="107">
        <v>0.66775391867550038</v>
      </c>
      <c r="J1051" s="108">
        <v>1.3274597645877013E-3</v>
      </c>
      <c r="K1051" s="108"/>
      <c r="L1051" s="108">
        <v>4.1000000000000002E-2</v>
      </c>
      <c r="O1051" s="105"/>
    </row>
    <row r="1052" spans="2:15" x14ac:dyDescent="0.2">
      <c r="B1052" s="1">
        <v>1037</v>
      </c>
      <c r="C1052" s="106">
        <f t="shared" ca="1" si="64"/>
        <v>-0.10328900045445208</v>
      </c>
      <c r="D1052" s="106">
        <f t="shared" ca="1" si="65"/>
        <v>0.65776621519642386</v>
      </c>
      <c r="E1052" s="106">
        <f t="shared" ca="1" si="66"/>
        <v>0</v>
      </c>
      <c r="F1052" s="21">
        <f t="shared" ca="1" si="67"/>
        <v>0</v>
      </c>
      <c r="H1052" s="21">
        <v>1037</v>
      </c>
      <c r="I1052" s="107">
        <v>0.66774438236158107</v>
      </c>
      <c r="J1052" s="108">
        <v>1.3865749941964006E-3</v>
      </c>
      <c r="K1052" s="108"/>
      <c r="L1052" s="108">
        <v>4.1000000000000002E-2</v>
      </c>
      <c r="O1052" s="105"/>
    </row>
    <row r="1053" spans="2:15" x14ac:dyDescent="0.2">
      <c r="B1053" s="1">
        <v>1038</v>
      </c>
      <c r="C1053" s="106">
        <f t="shared" ca="1" si="64"/>
        <v>5.0813401558460113E-2</v>
      </c>
      <c r="D1053" s="106">
        <f t="shared" ca="1" si="65"/>
        <v>0.66784121112101069</v>
      </c>
      <c r="E1053" s="106">
        <f t="shared" ca="1" si="66"/>
        <v>0</v>
      </c>
      <c r="F1053" s="21">
        <f t="shared" ca="1" si="67"/>
        <v>0</v>
      </c>
      <c r="H1053" s="21">
        <v>1038</v>
      </c>
      <c r="I1053" s="107">
        <v>0.66775585408064386</v>
      </c>
      <c r="J1053" s="108">
        <v>1.309161379092048E-3</v>
      </c>
      <c r="K1053" s="108"/>
      <c r="L1053" s="108">
        <v>4.2799999999999998E-2</v>
      </c>
      <c r="O1053" s="105"/>
    </row>
    <row r="1054" spans="2:15" x14ac:dyDescent="0.2">
      <c r="B1054" s="1">
        <v>1039</v>
      </c>
      <c r="C1054" s="106">
        <f t="shared" ca="1" si="64"/>
        <v>-0.19688063977899697</v>
      </c>
      <c r="D1054" s="106">
        <f t="shared" ca="1" si="65"/>
        <v>0.65172165988100617</v>
      </c>
      <c r="E1054" s="106">
        <f t="shared" ca="1" si="66"/>
        <v>0</v>
      </c>
      <c r="F1054" s="21">
        <f t="shared" ca="1" si="67"/>
        <v>0</v>
      </c>
      <c r="H1054" s="21">
        <v>1039</v>
      </c>
      <c r="I1054" s="107">
        <v>0.66768422271708106</v>
      </c>
      <c r="J1054" s="108">
        <v>1.3057587519481491E-3</v>
      </c>
      <c r="K1054" s="108"/>
      <c r="L1054" s="108">
        <v>4.0399999999999998E-2</v>
      </c>
      <c r="O1054" s="105"/>
    </row>
    <row r="1055" spans="2:15" x14ac:dyDescent="0.2">
      <c r="B1055" s="1">
        <v>1040</v>
      </c>
      <c r="C1055" s="106">
        <f t="shared" ca="1" si="64"/>
        <v>1.2618964952823886</v>
      </c>
      <c r="D1055" s="106">
        <f t="shared" ca="1" si="65"/>
        <v>0.75258449749948586</v>
      </c>
      <c r="E1055" s="106">
        <f t="shared" ca="1" si="66"/>
        <v>0</v>
      </c>
      <c r="F1055" s="21">
        <f t="shared" ca="1" si="67"/>
        <v>0</v>
      </c>
      <c r="H1055" s="21">
        <v>1040</v>
      </c>
      <c r="I1055" s="107">
        <v>0.66762972685765365</v>
      </c>
      <c r="J1055" s="108">
        <v>1.2518983687818486E-3</v>
      </c>
      <c r="K1055" s="108"/>
      <c r="L1055" s="108">
        <v>3.8199999999999998E-2</v>
      </c>
      <c r="O1055" s="105"/>
    </row>
    <row r="1056" spans="2:15" x14ac:dyDescent="0.2">
      <c r="B1056" s="1">
        <v>1041</v>
      </c>
      <c r="C1056" s="106">
        <f t="shared" ca="1" si="64"/>
        <v>0.26154482992961842</v>
      </c>
      <c r="D1056" s="106">
        <f t="shared" ca="1" si="65"/>
        <v>0.68186880060122224</v>
      </c>
      <c r="E1056" s="106">
        <f t="shared" ca="1" si="66"/>
        <v>0</v>
      </c>
      <c r="F1056" s="21">
        <f t="shared" ca="1" si="67"/>
        <v>0</v>
      </c>
      <c r="H1056" s="21">
        <v>1041</v>
      </c>
      <c r="I1056" s="107">
        <v>0.66776421284008147</v>
      </c>
      <c r="J1056" s="108">
        <v>1.4812372491592818E-3</v>
      </c>
      <c r="K1056" s="108"/>
      <c r="L1056" s="108">
        <v>4.8800000000000003E-2</v>
      </c>
      <c r="O1056" s="105"/>
    </row>
    <row r="1057" spans="2:15" x14ac:dyDescent="0.2">
      <c r="B1057" s="1">
        <v>1042</v>
      </c>
      <c r="C1057" s="106">
        <f t="shared" ca="1" si="64"/>
        <v>9.4129841354903293E-2</v>
      </c>
      <c r="D1057" s="106">
        <f t="shared" ca="1" si="65"/>
        <v>0.67070086206485779</v>
      </c>
      <c r="E1057" s="106">
        <f t="shared" ca="1" si="66"/>
        <v>0</v>
      </c>
      <c r="F1057" s="21">
        <f t="shared" ca="1" si="67"/>
        <v>0</v>
      </c>
      <c r="H1057" s="21">
        <v>1042</v>
      </c>
      <c r="I1057" s="107">
        <v>0.66793549152088016</v>
      </c>
      <c r="J1057" s="108">
        <v>1.5398776684966697E-3</v>
      </c>
      <c r="K1057" s="108"/>
      <c r="L1057" s="108">
        <v>4.7199999999999999E-2</v>
      </c>
      <c r="O1057" s="105"/>
    </row>
    <row r="1058" spans="2:15" x14ac:dyDescent="0.2">
      <c r="B1058" s="1">
        <v>1043</v>
      </c>
      <c r="C1058" s="106">
        <f t="shared" ca="1" si="64"/>
        <v>1.7032283532297685</v>
      </c>
      <c r="D1058" s="106">
        <f t="shared" ca="1" si="65"/>
        <v>0.78607077973296857</v>
      </c>
      <c r="E1058" s="106">
        <f t="shared" ca="1" si="66"/>
        <v>0</v>
      </c>
      <c r="F1058" s="21">
        <f t="shared" ca="1" si="67"/>
        <v>0</v>
      </c>
      <c r="H1058" s="21">
        <v>1043</v>
      </c>
      <c r="I1058" s="107">
        <v>0.66757839900048799</v>
      </c>
      <c r="J1058" s="108">
        <v>1.1188319361681925E-3</v>
      </c>
      <c r="K1058" s="108"/>
      <c r="L1058" s="108">
        <v>3.9600000000000003E-2</v>
      </c>
      <c r="O1058" s="105"/>
    </row>
    <row r="1059" spans="2:15" x14ac:dyDescent="0.2">
      <c r="B1059" s="1">
        <v>1044</v>
      </c>
      <c r="C1059" s="106">
        <f t="shared" ca="1" si="64"/>
        <v>-0.38102503811986466</v>
      </c>
      <c r="D1059" s="106">
        <f t="shared" ca="1" si="65"/>
        <v>0.63999049275321573</v>
      </c>
      <c r="E1059" s="106">
        <f t="shared" ca="1" si="66"/>
        <v>0</v>
      </c>
      <c r="F1059" s="21">
        <f t="shared" ca="1" si="67"/>
        <v>0</v>
      </c>
      <c r="H1059" s="21">
        <v>1044</v>
      </c>
      <c r="I1059" s="107">
        <v>0.66768589395115063</v>
      </c>
      <c r="J1059" s="108">
        <v>1.2731893046387178E-3</v>
      </c>
      <c r="K1059" s="108"/>
      <c r="L1059" s="108">
        <v>4.24E-2</v>
      </c>
      <c r="O1059" s="105"/>
    </row>
    <row r="1060" spans="2:15" x14ac:dyDescent="0.2">
      <c r="B1060" s="1">
        <v>1045</v>
      </c>
      <c r="C1060" s="106">
        <f t="shared" ca="1" si="64"/>
        <v>0.91647666976093278</v>
      </c>
      <c r="D1060" s="106">
        <f t="shared" ca="1" si="65"/>
        <v>0.72737387027311773</v>
      </c>
      <c r="E1060" s="106">
        <f t="shared" ca="1" si="66"/>
        <v>0</v>
      </c>
      <c r="F1060" s="21">
        <f t="shared" ca="1" si="67"/>
        <v>0</v>
      </c>
      <c r="H1060" s="21">
        <v>1045</v>
      </c>
      <c r="I1060" s="107">
        <v>0.66796545143925645</v>
      </c>
      <c r="J1060" s="108">
        <v>1.685087398082362E-3</v>
      </c>
      <c r="K1060" s="108"/>
      <c r="L1060" s="108">
        <v>4.82E-2</v>
      </c>
      <c r="O1060" s="105"/>
    </row>
    <row r="1061" spans="2:15" x14ac:dyDescent="0.2">
      <c r="B1061" s="1">
        <v>1046</v>
      </c>
      <c r="C1061" s="106">
        <f t="shared" ca="1" si="64"/>
        <v>2.1502307674636336</v>
      </c>
      <c r="D1061" s="106">
        <f t="shared" ca="1" si="65"/>
        <v>0.82150641775489075</v>
      </c>
      <c r="E1061" s="106">
        <f t="shared" ca="1" si="66"/>
        <v>3.3306417754890738E-2</v>
      </c>
      <c r="F1061" s="21">
        <f t="shared" ca="1" si="67"/>
        <v>1</v>
      </c>
      <c r="H1061" s="21">
        <v>1046</v>
      </c>
      <c r="I1061" s="107">
        <v>0.66781081545066712</v>
      </c>
      <c r="J1061" s="108">
        <v>1.5143400022366658E-3</v>
      </c>
      <c r="K1061" s="108"/>
      <c r="L1061" s="108">
        <v>4.3799999999999999E-2</v>
      </c>
      <c r="O1061" s="105"/>
    </row>
    <row r="1062" spans="2:15" x14ac:dyDescent="0.2">
      <c r="B1062" s="1">
        <v>1047</v>
      </c>
      <c r="C1062" s="106">
        <f t="shared" ca="1" si="64"/>
        <v>0.41801353495115851</v>
      </c>
      <c r="D1062" s="106">
        <f t="shared" ca="1" si="65"/>
        <v>0.69247459076786089</v>
      </c>
      <c r="E1062" s="106">
        <f t="shared" ca="1" si="66"/>
        <v>0</v>
      </c>
      <c r="F1062" s="21">
        <f t="shared" ca="1" si="67"/>
        <v>0</v>
      </c>
      <c r="H1062" s="21">
        <v>1047</v>
      </c>
      <c r="I1062" s="107">
        <v>0.66785787735515334</v>
      </c>
      <c r="J1062" s="108">
        <v>1.5725185637199422E-3</v>
      </c>
      <c r="K1062" s="108"/>
      <c r="L1062" s="108">
        <v>4.6199999999999998E-2</v>
      </c>
      <c r="O1062" s="105"/>
    </row>
    <row r="1063" spans="2:15" x14ac:dyDescent="0.2">
      <c r="B1063" s="1">
        <v>1048</v>
      </c>
      <c r="C1063" s="106">
        <f t="shared" ca="1" si="64"/>
        <v>-0.42933267326552438</v>
      </c>
      <c r="D1063" s="106">
        <f t="shared" ca="1" si="65"/>
        <v>0.63694810981487959</v>
      </c>
      <c r="E1063" s="106">
        <f t="shared" ca="1" si="66"/>
        <v>0</v>
      </c>
      <c r="F1063" s="21">
        <f t="shared" ca="1" si="67"/>
        <v>0</v>
      </c>
      <c r="H1063" s="21">
        <v>1048</v>
      </c>
      <c r="I1063" s="107">
        <v>0.66765824355612113</v>
      </c>
      <c r="J1063" s="108">
        <v>1.3220234233105898E-3</v>
      </c>
      <c r="K1063" s="108"/>
      <c r="L1063" s="108">
        <v>3.8800000000000001E-2</v>
      </c>
      <c r="O1063" s="105"/>
    </row>
    <row r="1064" spans="2:15" x14ac:dyDescent="0.2">
      <c r="B1064" s="1">
        <v>1049</v>
      </c>
      <c r="C1064" s="106">
        <f t="shared" ca="1" si="64"/>
        <v>-1.1804259582208496</v>
      </c>
      <c r="D1064" s="106">
        <f t="shared" ca="1" si="65"/>
        <v>0.59146313364855208</v>
      </c>
      <c r="E1064" s="106">
        <f t="shared" ca="1" si="66"/>
        <v>0</v>
      </c>
      <c r="F1064" s="21">
        <f t="shared" ca="1" si="67"/>
        <v>0</v>
      </c>
      <c r="H1064" s="21">
        <v>1049</v>
      </c>
      <c r="I1064" s="107">
        <v>0.66774571451774622</v>
      </c>
      <c r="J1064" s="108">
        <v>1.4265491364980193E-3</v>
      </c>
      <c r="K1064" s="108"/>
      <c r="L1064" s="108">
        <v>4.2000000000000003E-2</v>
      </c>
      <c r="O1064" s="105"/>
    </row>
    <row r="1065" spans="2:15" x14ac:dyDescent="0.2">
      <c r="B1065" s="1">
        <v>1050</v>
      </c>
      <c r="C1065" s="106">
        <f t="shared" ca="1" si="64"/>
        <v>1.5303993683455126</v>
      </c>
      <c r="D1065" s="106">
        <f t="shared" ca="1" si="65"/>
        <v>0.77278336629860511</v>
      </c>
      <c r="E1065" s="106">
        <f t="shared" ca="1" si="66"/>
        <v>0</v>
      </c>
      <c r="F1065" s="21">
        <f t="shared" ca="1" si="67"/>
        <v>0</v>
      </c>
      <c r="H1065" s="21">
        <v>1050</v>
      </c>
      <c r="I1065" s="107">
        <v>0.66783078675436736</v>
      </c>
      <c r="J1065" s="108">
        <v>1.5017705649984215E-3</v>
      </c>
      <c r="K1065" s="108"/>
      <c r="L1065" s="108">
        <v>4.5199999999999997E-2</v>
      </c>
      <c r="O1065" s="105"/>
    </row>
    <row r="1066" spans="2:15" x14ac:dyDescent="0.2">
      <c r="B1066" s="1">
        <v>1051</v>
      </c>
      <c r="C1066" s="106">
        <f t="shared" ca="1" si="64"/>
        <v>-0.39270865870472527</v>
      </c>
      <c r="D1066" s="106">
        <f t="shared" ca="1" si="65"/>
        <v>0.63925333636616111</v>
      </c>
      <c r="E1066" s="106">
        <f t="shared" ca="1" si="66"/>
        <v>0</v>
      </c>
      <c r="F1066" s="21">
        <f t="shared" ca="1" si="67"/>
        <v>0</v>
      </c>
      <c r="H1066" s="21">
        <v>1051</v>
      </c>
      <c r="I1066" s="107">
        <v>0.66751422415493011</v>
      </c>
      <c r="J1066" s="108">
        <v>1.1649000853411395E-3</v>
      </c>
      <c r="K1066" s="108"/>
      <c r="L1066" s="108">
        <v>3.6200000000000003E-2</v>
      </c>
      <c r="O1066" s="105"/>
    </row>
    <row r="1067" spans="2:15" x14ac:dyDescent="0.2">
      <c r="B1067" s="1">
        <v>1052</v>
      </c>
      <c r="C1067" s="106">
        <f t="shared" ca="1" si="64"/>
        <v>9.2045593211614152E-2</v>
      </c>
      <c r="D1067" s="106">
        <f t="shared" ca="1" si="65"/>
        <v>0.67056298483625187</v>
      </c>
      <c r="E1067" s="106">
        <f t="shared" ca="1" si="66"/>
        <v>0</v>
      </c>
      <c r="F1067" s="21">
        <f t="shared" ca="1" si="67"/>
        <v>0</v>
      </c>
      <c r="H1067" s="21">
        <v>1052</v>
      </c>
      <c r="I1067" s="107">
        <v>0.66773822754353596</v>
      </c>
      <c r="J1067" s="108">
        <v>1.3748157587939963E-3</v>
      </c>
      <c r="K1067" s="108"/>
      <c r="L1067" s="108">
        <v>4.2200000000000001E-2</v>
      </c>
      <c r="O1067" s="105"/>
    </row>
    <row r="1068" spans="2:15" x14ac:dyDescent="0.2">
      <c r="B1068" s="1">
        <v>1053</v>
      </c>
      <c r="C1068" s="106">
        <f t="shared" ca="1" si="64"/>
        <v>0.1679105809481628</v>
      </c>
      <c r="D1068" s="106">
        <f t="shared" ca="1" si="65"/>
        <v>0.67559991451080159</v>
      </c>
      <c r="E1068" s="106">
        <f t="shared" ca="1" si="66"/>
        <v>0</v>
      </c>
      <c r="F1068" s="21">
        <f t="shared" ca="1" si="67"/>
        <v>0</v>
      </c>
      <c r="H1068" s="21">
        <v>1053</v>
      </c>
      <c r="I1068" s="107">
        <v>0.66793425553472496</v>
      </c>
      <c r="J1068" s="108">
        <v>1.592936171597529E-3</v>
      </c>
      <c r="K1068" s="108"/>
      <c r="L1068" s="108">
        <v>4.5999999999999999E-2</v>
      </c>
      <c r="O1068" s="105"/>
    </row>
    <row r="1069" spans="2:15" x14ac:dyDescent="0.2">
      <c r="B1069" s="1">
        <v>1054</v>
      </c>
      <c r="C1069" s="106">
        <f t="shared" ca="1" si="64"/>
        <v>2.2675185737137871</v>
      </c>
      <c r="D1069" s="106">
        <f t="shared" ca="1" si="65"/>
        <v>0.83106596701239588</v>
      </c>
      <c r="E1069" s="106">
        <f t="shared" ca="1" si="66"/>
        <v>4.2865967012395867E-2</v>
      </c>
      <c r="F1069" s="21">
        <f t="shared" ca="1" si="67"/>
        <v>1</v>
      </c>
      <c r="H1069" s="21">
        <v>1054</v>
      </c>
      <c r="I1069" s="107">
        <v>0.66769136282419217</v>
      </c>
      <c r="J1069" s="108">
        <v>1.255358117308644E-3</v>
      </c>
      <c r="K1069" s="108"/>
      <c r="L1069" s="108">
        <v>4.2999999999999997E-2</v>
      </c>
      <c r="O1069" s="105"/>
    </row>
    <row r="1070" spans="2:15" x14ac:dyDescent="0.2">
      <c r="B1070" s="1">
        <v>1055</v>
      </c>
      <c r="C1070" s="106">
        <f t="shared" ca="1" si="64"/>
        <v>0.37521137453815068</v>
      </c>
      <c r="D1070" s="106">
        <f t="shared" ca="1" si="65"/>
        <v>0.68955708349889389</v>
      </c>
      <c r="E1070" s="106">
        <f t="shared" ca="1" si="66"/>
        <v>0</v>
      </c>
      <c r="F1070" s="21">
        <f t="shared" ca="1" si="67"/>
        <v>0</v>
      </c>
      <c r="H1070" s="21">
        <v>1055</v>
      </c>
      <c r="I1070" s="107">
        <v>0.66765629273633365</v>
      </c>
      <c r="J1070" s="108">
        <v>1.3405892044076383E-3</v>
      </c>
      <c r="K1070" s="108"/>
      <c r="L1070" s="108">
        <v>3.6600000000000001E-2</v>
      </c>
      <c r="O1070" s="105"/>
    </row>
    <row r="1071" spans="2:15" x14ac:dyDescent="0.2">
      <c r="B1071" s="1">
        <v>1056</v>
      </c>
      <c r="C1071" s="106">
        <f t="shared" ca="1" si="64"/>
        <v>1.7052776857917828</v>
      </c>
      <c r="D1071" s="106">
        <f t="shared" ca="1" si="65"/>
        <v>0.78622969912351015</v>
      </c>
      <c r="E1071" s="106">
        <f t="shared" ca="1" si="66"/>
        <v>0</v>
      </c>
      <c r="F1071" s="21">
        <f t="shared" ca="1" si="67"/>
        <v>0</v>
      </c>
      <c r="H1071" s="21">
        <v>1056</v>
      </c>
      <c r="I1071" s="107">
        <v>0.66773745463751888</v>
      </c>
      <c r="J1071" s="108">
        <v>1.4795780035714056E-3</v>
      </c>
      <c r="K1071" s="108"/>
      <c r="L1071" s="108">
        <v>4.3200000000000002E-2</v>
      </c>
      <c r="O1071" s="105"/>
    </row>
    <row r="1072" spans="2:15" x14ac:dyDescent="0.2">
      <c r="B1072" s="1">
        <v>1057</v>
      </c>
      <c r="C1072" s="106">
        <f t="shared" ca="1" si="64"/>
        <v>-0.39806980232666656</v>
      </c>
      <c r="D1072" s="106">
        <f t="shared" ca="1" si="65"/>
        <v>0.6389153691947701</v>
      </c>
      <c r="E1072" s="106">
        <f t="shared" ca="1" si="66"/>
        <v>0</v>
      </c>
      <c r="F1072" s="21">
        <f t="shared" ca="1" si="67"/>
        <v>0</v>
      </c>
      <c r="H1072" s="21">
        <v>1057</v>
      </c>
      <c r="I1072" s="107">
        <v>0.66778175387738992</v>
      </c>
      <c r="J1072" s="108">
        <v>1.4258951621380876E-3</v>
      </c>
      <c r="K1072" s="108"/>
      <c r="L1072" s="108">
        <v>4.2599999999999999E-2</v>
      </c>
      <c r="O1072" s="105"/>
    </row>
    <row r="1073" spans="2:15" x14ac:dyDescent="0.2">
      <c r="B1073" s="1">
        <v>1058</v>
      </c>
      <c r="C1073" s="106">
        <f t="shared" ca="1" si="64"/>
        <v>1.0119595289124055</v>
      </c>
      <c r="D1073" s="106">
        <f t="shared" ca="1" si="65"/>
        <v>0.73425704557042781</v>
      </c>
      <c r="E1073" s="106">
        <f t="shared" ca="1" si="66"/>
        <v>0</v>
      </c>
      <c r="F1073" s="21">
        <f t="shared" ca="1" si="67"/>
        <v>0</v>
      </c>
      <c r="H1073" s="21">
        <v>1058</v>
      </c>
      <c r="I1073" s="107">
        <v>0.66778274680853755</v>
      </c>
      <c r="J1073" s="108">
        <v>1.4417920954636898E-3</v>
      </c>
      <c r="K1073" s="108"/>
      <c r="L1073" s="108">
        <v>4.6399999999999997E-2</v>
      </c>
      <c r="O1073" s="105"/>
    </row>
    <row r="1074" spans="2:15" x14ac:dyDescent="0.2">
      <c r="B1074" s="1">
        <v>1059</v>
      </c>
      <c r="C1074" s="106">
        <f t="shared" ca="1" si="64"/>
        <v>-0.64695132436007063</v>
      </c>
      <c r="D1074" s="106">
        <f t="shared" ca="1" si="65"/>
        <v>0.62342096679461823</v>
      </c>
      <c r="E1074" s="106">
        <f t="shared" ca="1" si="66"/>
        <v>0</v>
      </c>
      <c r="F1074" s="21">
        <f t="shared" ca="1" si="67"/>
        <v>0</v>
      </c>
      <c r="H1074" s="21">
        <v>1059</v>
      </c>
      <c r="I1074" s="107">
        <v>0.66773563212389342</v>
      </c>
      <c r="J1074" s="108">
        <v>1.3720761667816047E-3</v>
      </c>
      <c r="K1074" s="108"/>
      <c r="L1074" s="108">
        <v>4.36E-2</v>
      </c>
      <c r="O1074" s="105"/>
    </row>
    <row r="1075" spans="2:15" x14ac:dyDescent="0.2">
      <c r="B1075" s="1">
        <v>1060</v>
      </c>
      <c r="C1075" s="106">
        <f t="shared" ca="1" si="64"/>
        <v>5.3475771741097466E-2</v>
      </c>
      <c r="D1075" s="106">
        <f t="shared" ca="1" si="65"/>
        <v>0.66801662242810878</v>
      </c>
      <c r="E1075" s="106">
        <f t="shared" ca="1" si="66"/>
        <v>0</v>
      </c>
      <c r="F1075" s="21">
        <f t="shared" ca="1" si="67"/>
        <v>0</v>
      </c>
      <c r="H1075" s="21">
        <v>1060</v>
      </c>
      <c r="I1075" s="107">
        <v>0.66761889254409656</v>
      </c>
      <c r="J1075" s="108">
        <v>1.1888308945674207E-3</v>
      </c>
      <c r="K1075" s="108"/>
      <c r="L1075" s="108">
        <v>3.7199999999999997E-2</v>
      </c>
      <c r="O1075" s="105"/>
    </row>
    <row r="1076" spans="2:15" x14ac:dyDescent="0.2">
      <c r="B1076" s="1">
        <v>1061</v>
      </c>
      <c r="C1076" s="106">
        <f t="shared" ca="1" si="64"/>
        <v>-1.2769271869863903</v>
      </c>
      <c r="D1076" s="106">
        <f t="shared" ca="1" si="65"/>
        <v>0.58585970253852004</v>
      </c>
      <c r="E1076" s="106">
        <f t="shared" ca="1" si="66"/>
        <v>0</v>
      </c>
      <c r="F1076" s="21">
        <f t="shared" ca="1" si="67"/>
        <v>0</v>
      </c>
      <c r="H1076" s="21">
        <v>1061</v>
      </c>
      <c r="I1076" s="107">
        <v>0.66774284302322517</v>
      </c>
      <c r="J1076" s="108">
        <v>1.3569889063588659E-3</v>
      </c>
      <c r="K1076" s="108"/>
      <c r="L1076" s="108">
        <v>4.2200000000000001E-2</v>
      </c>
      <c r="O1076" s="105"/>
    </row>
    <row r="1077" spans="2:15" x14ac:dyDescent="0.2">
      <c r="B1077" s="1">
        <v>1062</v>
      </c>
      <c r="C1077" s="106">
        <f t="shared" ca="1" si="64"/>
        <v>-7.1038414198325739E-2</v>
      </c>
      <c r="D1077" s="106">
        <f t="shared" ca="1" si="65"/>
        <v>0.65986205970092893</v>
      </c>
      <c r="E1077" s="106">
        <f t="shared" ca="1" si="66"/>
        <v>0</v>
      </c>
      <c r="F1077" s="21">
        <f t="shared" ca="1" si="67"/>
        <v>0</v>
      </c>
      <c r="H1077" s="21">
        <v>1062</v>
      </c>
      <c r="I1077" s="107">
        <v>0.66782872466948018</v>
      </c>
      <c r="J1077" s="108">
        <v>1.563579498196215E-3</v>
      </c>
      <c r="K1077" s="108"/>
      <c r="L1077" s="108">
        <v>4.1399999999999999E-2</v>
      </c>
      <c r="O1077" s="105"/>
    </row>
    <row r="1078" spans="2:15" x14ac:dyDescent="0.2">
      <c r="B1078" s="1">
        <v>1063</v>
      </c>
      <c r="C1078" s="106">
        <f t="shared" ca="1" si="64"/>
        <v>0.71582049180068918</v>
      </c>
      <c r="D1078" s="106">
        <f t="shared" ca="1" si="65"/>
        <v>0.71311850901322249</v>
      </c>
      <c r="E1078" s="106">
        <f t="shared" ca="1" si="66"/>
        <v>0</v>
      </c>
      <c r="F1078" s="21">
        <f t="shared" ca="1" si="67"/>
        <v>0</v>
      </c>
      <c r="H1078" s="21">
        <v>1063</v>
      </c>
      <c r="I1078" s="107">
        <v>0.66772808787285631</v>
      </c>
      <c r="J1078" s="108">
        <v>1.4506095289882543E-3</v>
      </c>
      <c r="K1078" s="108"/>
      <c r="L1078" s="108">
        <v>4.3200000000000002E-2</v>
      </c>
      <c r="O1078" s="105"/>
    </row>
    <row r="1079" spans="2:15" x14ac:dyDescent="0.2">
      <c r="B1079" s="1">
        <v>1064</v>
      </c>
      <c r="C1079" s="106">
        <f t="shared" ca="1" si="64"/>
        <v>-0.75890276178506044</v>
      </c>
      <c r="D1079" s="106">
        <f t="shared" ca="1" si="65"/>
        <v>0.61657437838426765</v>
      </c>
      <c r="E1079" s="106">
        <f t="shared" ca="1" si="66"/>
        <v>0</v>
      </c>
      <c r="F1079" s="21">
        <f t="shared" ca="1" si="67"/>
        <v>0</v>
      </c>
      <c r="H1079" s="21">
        <v>1064</v>
      </c>
      <c r="I1079" s="107">
        <v>0.66799067786658006</v>
      </c>
      <c r="J1079" s="108">
        <v>1.7494022008014564E-3</v>
      </c>
      <c r="K1079" s="108"/>
      <c r="L1079" s="108">
        <v>4.8399999999999999E-2</v>
      </c>
      <c r="O1079" s="105"/>
    </row>
    <row r="1080" spans="2:15" x14ac:dyDescent="0.2">
      <c r="B1080" s="1">
        <v>1065</v>
      </c>
      <c r="C1080" s="106">
        <f t="shared" ca="1" si="64"/>
        <v>-0.87693877204368187</v>
      </c>
      <c r="D1080" s="106">
        <f t="shared" ca="1" si="65"/>
        <v>0.60943709313662542</v>
      </c>
      <c r="E1080" s="106">
        <f t="shared" ca="1" si="66"/>
        <v>0</v>
      </c>
      <c r="F1080" s="21">
        <f t="shared" ca="1" si="67"/>
        <v>0</v>
      </c>
      <c r="H1080" s="21">
        <v>1065</v>
      </c>
      <c r="I1080" s="107">
        <v>0.66758509605237049</v>
      </c>
      <c r="J1080" s="108">
        <v>1.2188285994545213E-3</v>
      </c>
      <c r="K1080" s="108"/>
      <c r="L1080" s="108">
        <v>4.1000000000000002E-2</v>
      </c>
      <c r="O1080" s="105"/>
    </row>
    <row r="1081" spans="2:15" x14ac:dyDescent="0.2">
      <c r="B1081" s="1">
        <v>1066</v>
      </c>
      <c r="C1081" s="106">
        <f t="shared" ca="1" si="64"/>
        <v>1.2170620683130817</v>
      </c>
      <c r="D1081" s="106">
        <f t="shared" ca="1" si="65"/>
        <v>0.74926352096908444</v>
      </c>
      <c r="E1081" s="106">
        <f t="shared" ca="1" si="66"/>
        <v>0</v>
      </c>
      <c r="F1081" s="21">
        <f t="shared" ca="1" si="67"/>
        <v>0</v>
      </c>
      <c r="H1081" s="21">
        <v>1066</v>
      </c>
      <c r="I1081" s="107">
        <v>0.66778812083429273</v>
      </c>
      <c r="J1081" s="108">
        <v>1.3403498332659281E-3</v>
      </c>
      <c r="K1081" s="108"/>
      <c r="L1081" s="108">
        <v>4.3200000000000002E-2</v>
      </c>
      <c r="O1081" s="105"/>
    </row>
    <row r="1082" spans="2:15" x14ac:dyDescent="0.2">
      <c r="B1082" s="1">
        <v>1067</v>
      </c>
      <c r="C1082" s="106">
        <f t="shared" ca="1" si="64"/>
        <v>-0.33859513530197588</v>
      </c>
      <c r="D1082" s="106">
        <f t="shared" ca="1" si="65"/>
        <v>0.64267468496919566</v>
      </c>
      <c r="E1082" s="106">
        <f t="shared" ca="1" si="66"/>
        <v>0</v>
      </c>
      <c r="F1082" s="21">
        <f t="shared" ca="1" si="67"/>
        <v>0</v>
      </c>
      <c r="H1082" s="21">
        <v>1067</v>
      </c>
      <c r="I1082" s="107">
        <v>0.66767614677966369</v>
      </c>
      <c r="J1082" s="108">
        <v>1.2526725623305329E-3</v>
      </c>
      <c r="K1082" s="108"/>
      <c r="L1082" s="108">
        <v>3.8199999999999998E-2</v>
      </c>
      <c r="O1082" s="105"/>
    </row>
    <row r="1083" spans="2:15" x14ac:dyDescent="0.2">
      <c r="B1083" s="1">
        <v>1068</v>
      </c>
      <c r="C1083" s="106">
        <f t="shared" ca="1" si="64"/>
        <v>0.54468046062780873</v>
      </c>
      <c r="D1083" s="106">
        <f t="shared" ca="1" si="65"/>
        <v>0.70118105789092666</v>
      </c>
      <c r="E1083" s="106">
        <f t="shared" ca="1" si="66"/>
        <v>0</v>
      </c>
      <c r="F1083" s="21">
        <f t="shared" ca="1" si="67"/>
        <v>0</v>
      </c>
      <c r="H1083" s="21">
        <v>1068</v>
      </c>
      <c r="I1083" s="107">
        <v>0.66767148567405343</v>
      </c>
      <c r="J1083" s="108">
        <v>1.2936276856109713E-3</v>
      </c>
      <c r="K1083" s="108"/>
      <c r="L1083" s="108">
        <v>0.04</v>
      </c>
      <c r="O1083" s="105"/>
    </row>
    <row r="1084" spans="2:15" x14ac:dyDescent="0.2">
      <c r="B1084" s="1">
        <v>1069</v>
      </c>
      <c r="C1084" s="106">
        <f t="shared" ca="1" si="64"/>
        <v>4.1821191501712859E-2</v>
      </c>
      <c r="D1084" s="106">
        <f t="shared" ca="1" si="65"/>
        <v>0.66724909625770579</v>
      </c>
      <c r="E1084" s="106">
        <f t="shared" ca="1" si="66"/>
        <v>0</v>
      </c>
      <c r="F1084" s="21">
        <f t="shared" ca="1" si="67"/>
        <v>0</v>
      </c>
      <c r="H1084" s="21">
        <v>1069</v>
      </c>
      <c r="I1084" s="107">
        <v>0.66774568572903636</v>
      </c>
      <c r="J1084" s="108">
        <v>1.2701687355481156E-3</v>
      </c>
      <c r="K1084" s="108"/>
      <c r="L1084" s="108">
        <v>3.9600000000000003E-2</v>
      </c>
      <c r="O1084" s="105"/>
    </row>
    <row r="1085" spans="2:15" x14ac:dyDescent="0.2">
      <c r="B1085" s="1">
        <v>1070</v>
      </c>
      <c r="C1085" s="106">
        <f t="shared" ca="1" si="64"/>
        <v>-0.19074333458099177</v>
      </c>
      <c r="D1085" s="106">
        <f t="shared" ca="1" si="65"/>
        <v>0.65211632636077099</v>
      </c>
      <c r="E1085" s="106">
        <f t="shared" ca="1" si="66"/>
        <v>0</v>
      </c>
      <c r="F1085" s="21">
        <f t="shared" ca="1" si="67"/>
        <v>0</v>
      </c>
      <c r="H1085" s="21">
        <v>1070</v>
      </c>
      <c r="I1085" s="107">
        <v>0.66760562121919464</v>
      </c>
      <c r="J1085" s="108">
        <v>1.3659577043190823E-3</v>
      </c>
      <c r="K1085" s="108"/>
      <c r="L1085" s="108">
        <v>4.1399999999999999E-2</v>
      </c>
      <c r="O1085" s="105"/>
    </row>
    <row r="1086" spans="2:15" x14ac:dyDescent="0.2">
      <c r="B1086" s="1">
        <v>1071</v>
      </c>
      <c r="C1086" s="106">
        <f t="shared" ca="1" si="64"/>
        <v>-0.20986950674962238</v>
      </c>
      <c r="D1086" s="106">
        <f t="shared" ca="1" si="65"/>
        <v>0.65088718333143114</v>
      </c>
      <c r="E1086" s="106">
        <f t="shared" ca="1" si="66"/>
        <v>0</v>
      </c>
      <c r="F1086" s="21">
        <f t="shared" ca="1" si="67"/>
        <v>0</v>
      </c>
      <c r="H1086" s="21">
        <v>1071</v>
      </c>
      <c r="I1086" s="107">
        <v>0.66773474160809621</v>
      </c>
      <c r="J1086" s="108">
        <v>1.2912241330820711E-3</v>
      </c>
      <c r="K1086" s="108"/>
      <c r="L1086" s="108">
        <v>4.2000000000000003E-2</v>
      </c>
      <c r="O1086" s="105"/>
    </row>
    <row r="1087" spans="2:15" x14ac:dyDescent="0.2">
      <c r="B1087" s="1">
        <v>1072</v>
      </c>
      <c r="C1087" s="106">
        <f t="shared" ca="1" si="64"/>
        <v>0.23627177915339978</v>
      </c>
      <c r="D1087" s="106">
        <f t="shared" ca="1" si="65"/>
        <v>0.68017104113159033</v>
      </c>
      <c r="E1087" s="106">
        <f t="shared" ca="1" si="66"/>
        <v>0</v>
      </c>
      <c r="F1087" s="21">
        <f t="shared" ca="1" si="67"/>
        <v>0</v>
      </c>
      <c r="H1087" s="21">
        <v>1072</v>
      </c>
      <c r="I1087" s="107">
        <v>0.66781878071433465</v>
      </c>
      <c r="J1087" s="108">
        <v>1.4491883642291637E-3</v>
      </c>
      <c r="K1087" s="108"/>
      <c r="L1087" s="108">
        <v>4.1799999999999997E-2</v>
      </c>
      <c r="O1087" s="105"/>
    </row>
    <row r="1088" spans="2:15" x14ac:dyDescent="0.2">
      <c r="B1088" s="1">
        <v>1073</v>
      </c>
      <c r="C1088" s="106">
        <f t="shared" ca="1" si="64"/>
        <v>-0.4820755861449878</v>
      </c>
      <c r="D1088" s="106">
        <f t="shared" ca="1" si="65"/>
        <v>0.63364290925260225</v>
      </c>
      <c r="E1088" s="106">
        <f t="shared" ca="1" si="66"/>
        <v>0</v>
      </c>
      <c r="F1088" s="21">
        <f t="shared" ca="1" si="67"/>
        <v>0</v>
      </c>
      <c r="H1088" s="21">
        <v>1073</v>
      </c>
      <c r="I1088" s="107">
        <v>0.66789888790437257</v>
      </c>
      <c r="J1088" s="108">
        <v>1.6886510757752461E-3</v>
      </c>
      <c r="K1088" s="108"/>
      <c r="L1088" s="108">
        <v>4.5199999999999997E-2</v>
      </c>
      <c r="O1088" s="105"/>
    </row>
    <row r="1089" spans="2:15" x14ac:dyDescent="0.2">
      <c r="B1089" s="1">
        <v>1074</v>
      </c>
      <c r="C1089" s="106">
        <f t="shared" ca="1" si="64"/>
        <v>-0.88504804676723281</v>
      </c>
      <c r="D1089" s="106">
        <f t="shared" ca="1" si="65"/>
        <v>0.60894979347312261</v>
      </c>
      <c r="E1089" s="106">
        <f t="shared" ca="1" si="66"/>
        <v>0</v>
      </c>
      <c r="F1089" s="21">
        <f t="shared" ca="1" si="67"/>
        <v>0</v>
      </c>
      <c r="H1089" s="21">
        <v>1074</v>
      </c>
      <c r="I1089" s="107">
        <v>0.66766993364377514</v>
      </c>
      <c r="J1089" s="108">
        <v>1.3786007653684878E-3</v>
      </c>
      <c r="K1089" s="108"/>
      <c r="L1089" s="108">
        <v>4.2599999999999999E-2</v>
      </c>
      <c r="O1089" s="105"/>
    </row>
    <row r="1090" spans="2:15" x14ac:dyDescent="0.2">
      <c r="B1090" s="1">
        <v>1075</v>
      </c>
      <c r="C1090" s="106">
        <f t="shared" ca="1" si="64"/>
        <v>-8.4581689991499148E-2</v>
      </c>
      <c r="D1090" s="106">
        <f t="shared" ca="1" si="65"/>
        <v>0.65898112093643046</v>
      </c>
      <c r="E1090" s="106">
        <f t="shared" ca="1" si="66"/>
        <v>0</v>
      </c>
      <c r="F1090" s="21">
        <f t="shared" ca="1" si="67"/>
        <v>0</v>
      </c>
      <c r="H1090" s="21">
        <v>1075</v>
      </c>
      <c r="I1090" s="107">
        <v>0.6676396963229837</v>
      </c>
      <c r="J1090" s="108">
        <v>1.2704768279587493E-3</v>
      </c>
      <c r="K1090" s="108"/>
      <c r="L1090" s="108">
        <v>3.7199999999999997E-2</v>
      </c>
      <c r="O1090" s="105"/>
    </row>
    <row r="1091" spans="2:15" x14ac:dyDescent="0.2">
      <c r="B1091" s="1">
        <v>1076</v>
      </c>
      <c r="C1091" s="106">
        <f t="shared" ca="1" si="64"/>
        <v>-0.89127998038997047</v>
      </c>
      <c r="D1091" s="106">
        <f t="shared" ca="1" si="65"/>
        <v>0.60857557111778449</v>
      </c>
      <c r="E1091" s="106">
        <f t="shared" ca="1" si="66"/>
        <v>0</v>
      </c>
      <c r="F1091" s="21">
        <f t="shared" ca="1" si="67"/>
        <v>0</v>
      </c>
      <c r="H1091" s="21">
        <v>1076</v>
      </c>
      <c r="I1091" s="107">
        <v>0.66781736962750937</v>
      </c>
      <c r="J1091" s="108">
        <v>1.5328602122355647E-3</v>
      </c>
      <c r="K1091" s="108"/>
      <c r="L1091" s="108">
        <v>4.2599999999999999E-2</v>
      </c>
      <c r="O1091" s="105"/>
    </row>
    <row r="1092" spans="2:15" x14ac:dyDescent="0.2">
      <c r="B1092" s="1">
        <v>1077</v>
      </c>
      <c r="C1092" s="106">
        <f t="shared" ca="1" si="64"/>
        <v>1.0202310197282343</v>
      </c>
      <c r="D1092" s="106">
        <f t="shared" ca="1" si="65"/>
        <v>0.73485637830645378</v>
      </c>
      <c r="E1092" s="106">
        <f t="shared" ca="1" si="66"/>
        <v>0</v>
      </c>
      <c r="F1092" s="21">
        <f t="shared" ca="1" si="67"/>
        <v>0</v>
      </c>
      <c r="H1092" s="21">
        <v>1077</v>
      </c>
      <c r="I1092" s="107">
        <v>0.66773167371532594</v>
      </c>
      <c r="J1092" s="108">
        <v>1.2567843255561122E-3</v>
      </c>
      <c r="K1092" s="108"/>
      <c r="L1092" s="108">
        <v>3.9E-2</v>
      </c>
      <c r="O1092" s="105"/>
    </row>
    <row r="1093" spans="2:15" x14ac:dyDescent="0.2">
      <c r="B1093" s="1">
        <v>1078</v>
      </c>
      <c r="C1093" s="106">
        <f t="shared" ca="1" si="64"/>
        <v>0.37354432334497761</v>
      </c>
      <c r="D1093" s="106">
        <f t="shared" ca="1" si="65"/>
        <v>0.68944370195816662</v>
      </c>
      <c r="E1093" s="106">
        <f t="shared" ca="1" si="66"/>
        <v>0</v>
      </c>
      <c r="F1093" s="21">
        <f t="shared" ca="1" si="67"/>
        <v>0</v>
      </c>
      <c r="H1093" s="21">
        <v>1078</v>
      </c>
      <c r="I1093" s="107">
        <v>0.66767692321926619</v>
      </c>
      <c r="J1093" s="108">
        <v>1.2443084803601628E-3</v>
      </c>
      <c r="K1093" s="108"/>
      <c r="L1093" s="108">
        <v>4.02E-2</v>
      </c>
      <c r="O1093" s="105"/>
    </row>
    <row r="1094" spans="2:15" x14ac:dyDescent="0.2">
      <c r="B1094" s="1">
        <v>1079</v>
      </c>
      <c r="C1094" s="106">
        <f t="shared" ca="1" si="64"/>
        <v>-0.5330431877498869</v>
      </c>
      <c r="D1094" s="106">
        <f t="shared" ca="1" si="65"/>
        <v>0.63046525658978891</v>
      </c>
      <c r="E1094" s="106">
        <f t="shared" ca="1" si="66"/>
        <v>0</v>
      </c>
      <c r="F1094" s="21">
        <f t="shared" ca="1" si="67"/>
        <v>0</v>
      </c>
      <c r="H1094" s="21">
        <v>1079</v>
      </c>
      <c r="I1094" s="107">
        <v>0.66766237447396148</v>
      </c>
      <c r="J1094" s="108">
        <v>1.3161227325552928E-3</v>
      </c>
      <c r="K1094" s="108"/>
      <c r="L1094" s="108">
        <v>4.1200000000000001E-2</v>
      </c>
      <c r="O1094" s="105"/>
    </row>
    <row r="1095" spans="2:15" x14ac:dyDescent="0.2">
      <c r="B1095" s="1">
        <v>1080</v>
      </c>
      <c r="C1095" s="106">
        <f t="shared" ca="1" si="64"/>
        <v>1.3479490178634328</v>
      </c>
      <c r="D1095" s="106">
        <f t="shared" ca="1" si="65"/>
        <v>0.75899987618604214</v>
      </c>
      <c r="E1095" s="106">
        <f t="shared" ca="1" si="66"/>
        <v>0</v>
      </c>
      <c r="F1095" s="21">
        <f t="shared" ca="1" si="67"/>
        <v>0</v>
      </c>
      <c r="H1095" s="21">
        <v>1080</v>
      </c>
      <c r="I1095" s="107">
        <v>0.66767467992526131</v>
      </c>
      <c r="J1095" s="108">
        <v>1.2720038201987627E-3</v>
      </c>
      <c r="K1095" s="108"/>
      <c r="L1095" s="108">
        <v>4.1200000000000001E-2</v>
      </c>
      <c r="O1095" s="105"/>
    </row>
    <row r="1096" spans="2:15" x14ac:dyDescent="0.2">
      <c r="B1096" s="1">
        <v>1081</v>
      </c>
      <c r="C1096" s="106">
        <f t="shared" ca="1" si="64"/>
        <v>2.1772279265642314</v>
      </c>
      <c r="D1096" s="106">
        <f t="shared" ca="1" si="65"/>
        <v>0.82369703411277029</v>
      </c>
      <c r="E1096" s="106">
        <f t="shared" ca="1" si="66"/>
        <v>3.5497034112770276E-2</v>
      </c>
      <c r="F1096" s="21">
        <f t="shared" ca="1" si="67"/>
        <v>1</v>
      </c>
      <c r="H1096" s="21">
        <v>1081</v>
      </c>
      <c r="I1096" s="107">
        <v>0.66769287007396294</v>
      </c>
      <c r="J1096" s="108">
        <v>1.3844220902544779E-3</v>
      </c>
      <c r="K1096" s="108"/>
      <c r="L1096" s="108">
        <v>4.02E-2</v>
      </c>
      <c r="O1096" s="105"/>
    </row>
    <row r="1097" spans="2:15" x14ac:dyDescent="0.2">
      <c r="B1097" s="1">
        <v>1082</v>
      </c>
      <c r="C1097" s="106">
        <f t="shared" ca="1" si="64"/>
        <v>-2.5575907837770853</v>
      </c>
      <c r="D1097" s="106">
        <f t="shared" ca="1" si="65"/>
        <v>0.51633407615813365</v>
      </c>
      <c r="E1097" s="106">
        <f t="shared" ca="1" si="66"/>
        <v>0</v>
      </c>
      <c r="F1097" s="21">
        <f t="shared" ca="1" si="67"/>
        <v>0</v>
      </c>
      <c r="H1097" s="21">
        <v>1082</v>
      </c>
      <c r="I1097" s="107">
        <v>0.66759036154287188</v>
      </c>
      <c r="J1097" s="108">
        <v>1.1906710692370743E-3</v>
      </c>
      <c r="K1097" s="108"/>
      <c r="L1097" s="108">
        <v>3.5400000000000001E-2</v>
      </c>
      <c r="O1097" s="105"/>
    </row>
    <row r="1098" spans="2:15" x14ac:dyDescent="0.2">
      <c r="B1098" s="1">
        <v>1083</v>
      </c>
      <c r="C1098" s="106">
        <f t="shared" ca="1" si="64"/>
        <v>1.2948302417760709</v>
      </c>
      <c r="D1098" s="106">
        <f t="shared" ca="1" si="65"/>
        <v>0.75503334042062253</v>
      </c>
      <c r="E1098" s="106">
        <f t="shared" ca="1" si="66"/>
        <v>0</v>
      </c>
      <c r="F1098" s="21">
        <f t="shared" ca="1" si="67"/>
        <v>0</v>
      </c>
      <c r="H1098" s="21">
        <v>1083</v>
      </c>
      <c r="I1098" s="107">
        <v>0.66765752058361372</v>
      </c>
      <c r="J1098" s="108">
        <v>1.3347856445134452E-3</v>
      </c>
      <c r="K1098" s="108"/>
      <c r="L1098" s="108">
        <v>4.1599999999999998E-2</v>
      </c>
      <c r="O1098" s="105"/>
    </row>
    <row r="1099" spans="2:15" x14ac:dyDescent="0.2">
      <c r="B1099" s="1">
        <v>1084</v>
      </c>
      <c r="C1099" s="106">
        <f t="shared" ca="1" si="64"/>
        <v>-2.087617014802293</v>
      </c>
      <c r="D1099" s="106">
        <f t="shared" ca="1" si="65"/>
        <v>0.54083423443715695</v>
      </c>
      <c r="E1099" s="106">
        <f t="shared" ca="1" si="66"/>
        <v>0</v>
      </c>
      <c r="F1099" s="21">
        <f t="shared" ca="1" si="67"/>
        <v>0</v>
      </c>
      <c r="H1099" s="21">
        <v>1084</v>
      </c>
      <c r="I1099" s="107">
        <v>0.66774313315063971</v>
      </c>
      <c r="J1099" s="108">
        <v>1.4806278200571361E-3</v>
      </c>
      <c r="K1099" s="108"/>
      <c r="L1099" s="108">
        <v>4.2200000000000001E-2</v>
      </c>
      <c r="O1099" s="105"/>
    </row>
    <row r="1100" spans="2:15" x14ac:dyDescent="0.2">
      <c r="B1100" s="1">
        <v>1085</v>
      </c>
      <c r="C1100" s="106">
        <f t="shared" ca="1" si="64"/>
        <v>1.9784100978633146</v>
      </c>
      <c r="D1100" s="106">
        <f t="shared" ca="1" si="65"/>
        <v>0.80770034617610531</v>
      </c>
      <c r="E1100" s="106">
        <f t="shared" ca="1" si="66"/>
        <v>1.9500346176105299E-2</v>
      </c>
      <c r="F1100" s="21">
        <f t="shared" ca="1" si="67"/>
        <v>1</v>
      </c>
      <c r="H1100" s="21">
        <v>1085</v>
      </c>
      <c r="I1100" s="107">
        <v>0.66772446981311617</v>
      </c>
      <c r="J1100" s="108">
        <v>1.3243583564859402E-3</v>
      </c>
      <c r="K1100" s="108"/>
      <c r="L1100" s="108">
        <v>3.9199999999999999E-2</v>
      </c>
      <c r="O1100" s="105"/>
    </row>
    <row r="1101" spans="2:15" x14ac:dyDescent="0.2">
      <c r="B1101" s="1">
        <v>1086</v>
      </c>
      <c r="C1101" s="106">
        <f t="shared" ca="1" si="64"/>
        <v>1.7969313804277574</v>
      </c>
      <c r="D1101" s="106">
        <f t="shared" ca="1" si="65"/>
        <v>0.79337010658141494</v>
      </c>
      <c r="E1101" s="106">
        <f t="shared" ca="1" si="66"/>
        <v>5.1701065814149239E-3</v>
      </c>
      <c r="F1101" s="21">
        <f t="shared" ca="1" si="67"/>
        <v>1</v>
      </c>
      <c r="H1101" s="21">
        <v>1086</v>
      </c>
      <c r="I1101" s="107">
        <v>0.66774496981683795</v>
      </c>
      <c r="J1101" s="108">
        <v>1.3630298010846391E-3</v>
      </c>
      <c r="K1101" s="108"/>
      <c r="L1101" s="108">
        <v>4.2200000000000001E-2</v>
      </c>
      <c r="O1101" s="105"/>
    </row>
    <row r="1102" spans="2:15" x14ac:dyDescent="0.2">
      <c r="B1102" s="1">
        <v>1087</v>
      </c>
      <c r="C1102" s="106">
        <f t="shared" ca="1" si="64"/>
        <v>0.23002478411159999</v>
      </c>
      <c r="D1102" s="106">
        <f t="shared" ca="1" si="65"/>
        <v>0.67975204077014628</v>
      </c>
      <c r="E1102" s="106">
        <f t="shared" ca="1" si="66"/>
        <v>0</v>
      </c>
      <c r="F1102" s="21">
        <f t="shared" ca="1" si="67"/>
        <v>0</v>
      </c>
      <c r="H1102" s="21">
        <v>1087</v>
      </c>
      <c r="I1102" s="107">
        <v>0.66777991067696363</v>
      </c>
      <c r="J1102" s="108">
        <v>1.2005753108177528E-3</v>
      </c>
      <c r="K1102" s="108"/>
      <c r="L1102" s="108">
        <v>4.48E-2</v>
      </c>
      <c r="O1102" s="105"/>
    </row>
    <row r="1103" spans="2:15" x14ac:dyDescent="0.2">
      <c r="B1103" s="1">
        <v>1088</v>
      </c>
      <c r="C1103" s="106">
        <f t="shared" ca="1" si="64"/>
        <v>0.43637331189126505</v>
      </c>
      <c r="D1103" s="106">
        <f t="shared" ca="1" si="65"/>
        <v>0.69372982121070792</v>
      </c>
      <c r="E1103" s="106">
        <f t="shared" ca="1" si="66"/>
        <v>0</v>
      </c>
      <c r="F1103" s="21">
        <f t="shared" ca="1" si="67"/>
        <v>0</v>
      </c>
      <c r="H1103" s="21">
        <v>1088</v>
      </c>
      <c r="I1103" s="107">
        <v>0.66774278508494167</v>
      </c>
      <c r="J1103" s="108">
        <v>1.4555200235974377E-3</v>
      </c>
      <c r="K1103" s="108"/>
      <c r="L1103" s="108">
        <v>3.9199999999999999E-2</v>
      </c>
      <c r="O1103" s="105"/>
    </row>
    <row r="1104" spans="2:15" x14ac:dyDescent="0.2">
      <c r="B1104" s="1">
        <v>1089</v>
      </c>
      <c r="C1104" s="106">
        <f t="shared" ref="C1104:C1167" ca="1" si="68">_xlfn.NORM.S.INV(RAND())</f>
        <v>-2.7535270399185077</v>
      </c>
      <c r="D1104" s="106">
        <f t="shared" ref="D1104:D1167" ca="1" si="69">S0*EXP((μ-0.5*σ*σ)*T+σ*SQRT(T)*$C1104)</f>
        <v>0.50645049439523304</v>
      </c>
      <c r="E1104" s="106">
        <f t="shared" ref="E1104:E1167" ca="1" si="70">MAX(0,CP*(D1104-K))</f>
        <v>0</v>
      </c>
      <c r="F1104" s="21">
        <f t="shared" ref="F1104:F1167" ca="1" si="71">(CP*(D1104-K)&gt;0)*1</f>
        <v>0</v>
      </c>
      <c r="H1104" s="21">
        <v>1089</v>
      </c>
      <c r="I1104" s="107">
        <v>0.6677428152622068</v>
      </c>
      <c r="J1104" s="108">
        <v>1.479850780214413E-3</v>
      </c>
      <c r="K1104" s="108"/>
      <c r="L1104" s="108">
        <v>4.1000000000000002E-2</v>
      </c>
      <c r="O1104" s="105"/>
    </row>
    <row r="1105" spans="2:15" x14ac:dyDescent="0.2">
      <c r="B1105" s="1">
        <v>1090</v>
      </c>
      <c r="C1105" s="106">
        <f t="shared" ca="1" si="68"/>
        <v>-1.2046993695167139</v>
      </c>
      <c r="D1105" s="106">
        <f t="shared" ca="1" si="69"/>
        <v>0.59004865117670324</v>
      </c>
      <c r="E1105" s="106">
        <f t="shared" ca="1" si="70"/>
        <v>0</v>
      </c>
      <c r="F1105" s="21">
        <f t="shared" ca="1" si="71"/>
        <v>0</v>
      </c>
      <c r="H1105" s="21">
        <v>1090</v>
      </c>
      <c r="I1105" s="107">
        <v>0.66779309166341883</v>
      </c>
      <c r="J1105" s="108">
        <v>1.4832532834056279E-3</v>
      </c>
      <c r="K1105" s="108"/>
      <c r="L1105" s="108">
        <v>4.4200000000000003E-2</v>
      </c>
      <c r="O1105" s="105"/>
    </row>
    <row r="1106" spans="2:15" x14ac:dyDescent="0.2">
      <c r="B1106" s="1">
        <v>1091</v>
      </c>
      <c r="C1106" s="106">
        <f t="shared" ca="1" si="68"/>
        <v>-0.65179492965199504</v>
      </c>
      <c r="D1106" s="106">
        <f t="shared" ca="1" si="69"/>
        <v>0.62312318008874756</v>
      </c>
      <c r="E1106" s="106">
        <f t="shared" ca="1" si="70"/>
        <v>0</v>
      </c>
      <c r="F1106" s="21">
        <f t="shared" ca="1" si="71"/>
        <v>0</v>
      </c>
      <c r="H1106" s="21">
        <v>1091</v>
      </c>
      <c r="I1106" s="107">
        <v>0.6676790133531425</v>
      </c>
      <c r="J1106" s="108">
        <v>1.2313711774578375E-3</v>
      </c>
      <c r="K1106" s="108"/>
      <c r="L1106" s="108">
        <v>3.8399999999999997E-2</v>
      </c>
      <c r="O1106" s="105"/>
    </row>
    <row r="1107" spans="2:15" x14ac:dyDescent="0.2">
      <c r="B1107" s="1">
        <v>1092</v>
      </c>
      <c r="C1107" s="106">
        <f t="shared" ca="1" si="68"/>
        <v>-0.38382084582284703</v>
      </c>
      <c r="D1107" s="106">
        <f t="shared" ca="1" si="69"/>
        <v>0.63981401911622326</v>
      </c>
      <c r="E1107" s="106">
        <f t="shared" ca="1" si="70"/>
        <v>0</v>
      </c>
      <c r="F1107" s="21">
        <f t="shared" ca="1" si="71"/>
        <v>0</v>
      </c>
      <c r="H1107" s="21">
        <v>1092</v>
      </c>
      <c r="I1107" s="107">
        <v>0.66765706670362657</v>
      </c>
      <c r="J1107" s="108">
        <v>1.3807020955016376E-3</v>
      </c>
      <c r="K1107" s="108"/>
      <c r="L1107" s="108">
        <v>0.04</v>
      </c>
      <c r="O1107" s="105"/>
    </row>
    <row r="1108" spans="2:15" x14ac:dyDescent="0.2">
      <c r="B1108" s="1">
        <v>1093</v>
      </c>
      <c r="C1108" s="106">
        <f t="shared" ca="1" si="68"/>
        <v>0.97027620303815298</v>
      </c>
      <c r="D1108" s="106">
        <f t="shared" ca="1" si="69"/>
        <v>0.7312442001586561</v>
      </c>
      <c r="E1108" s="106">
        <f t="shared" ca="1" si="70"/>
        <v>0</v>
      </c>
      <c r="F1108" s="21">
        <f t="shared" ca="1" si="71"/>
        <v>0</v>
      </c>
      <c r="H1108" s="21">
        <v>1093</v>
      </c>
      <c r="I1108" s="107">
        <v>0.66785327335971489</v>
      </c>
      <c r="J1108" s="108">
        <v>1.4194518690451635E-3</v>
      </c>
      <c r="K1108" s="108"/>
      <c r="L1108" s="108">
        <v>4.2999999999999997E-2</v>
      </c>
      <c r="O1108" s="105"/>
    </row>
    <row r="1109" spans="2:15" x14ac:dyDescent="0.2">
      <c r="B1109" s="1">
        <v>1094</v>
      </c>
      <c r="C1109" s="106">
        <f t="shared" ca="1" si="68"/>
        <v>-3.5432522654103092E-2</v>
      </c>
      <c r="D1109" s="106">
        <f t="shared" ca="1" si="69"/>
        <v>0.6621837100522634</v>
      </c>
      <c r="E1109" s="106">
        <f t="shared" ca="1" si="70"/>
        <v>0</v>
      </c>
      <c r="F1109" s="21">
        <f t="shared" ca="1" si="71"/>
        <v>0</v>
      </c>
      <c r="H1109" s="21">
        <v>1094</v>
      </c>
      <c r="I1109" s="107">
        <v>0.66767748394037052</v>
      </c>
      <c r="J1109" s="108">
        <v>1.3669571256984378E-3</v>
      </c>
      <c r="K1109" s="108"/>
      <c r="L1109" s="108">
        <v>4.0399999999999998E-2</v>
      </c>
      <c r="O1109" s="105"/>
    </row>
    <row r="1110" spans="2:15" x14ac:dyDescent="0.2">
      <c r="B1110" s="1">
        <v>1095</v>
      </c>
      <c r="C1110" s="106">
        <f t="shared" ca="1" si="68"/>
        <v>-0.22487883079317478</v>
      </c>
      <c r="D1110" s="106">
        <f t="shared" ca="1" si="69"/>
        <v>0.64992423208635985</v>
      </c>
      <c r="E1110" s="106">
        <f t="shared" ca="1" si="70"/>
        <v>0</v>
      </c>
      <c r="F1110" s="21">
        <f t="shared" ca="1" si="71"/>
        <v>0</v>
      </c>
      <c r="H1110" s="21">
        <v>1095</v>
      </c>
      <c r="I1110" s="107">
        <v>0.66781982317774524</v>
      </c>
      <c r="J1110" s="108">
        <v>1.4220546143590416E-3</v>
      </c>
      <c r="K1110" s="108"/>
      <c r="L1110" s="108">
        <v>4.5400000000000003E-2</v>
      </c>
      <c r="O1110" s="105"/>
    </row>
    <row r="1111" spans="2:15" x14ac:dyDescent="0.2">
      <c r="B1111" s="1">
        <v>1096</v>
      </c>
      <c r="C1111" s="106">
        <f t="shared" ca="1" si="68"/>
        <v>-0.10117664786407771</v>
      </c>
      <c r="D1111" s="106">
        <f t="shared" ca="1" si="69"/>
        <v>0.65790328510468032</v>
      </c>
      <c r="E1111" s="106">
        <f t="shared" ca="1" si="70"/>
        <v>0</v>
      </c>
      <c r="F1111" s="21">
        <f t="shared" ca="1" si="71"/>
        <v>0</v>
      </c>
      <c r="H1111" s="21">
        <v>1096</v>
      </c>
      <c r="I1111" s="107">
        <v>0.66779825460389253</v>
      </c>
      <c r="J1111" s="108">
        <v>1.4259091784136141E-3</v>
      </c>
      <c r="K1111" s="108"/>
      <c r="L1111" s="108">
        <v>4.3799999999999999E-2</v>
      </c>
      <c r="O1111" s="105"/>
    </row>
    <row r="1112" spans="2:15" x14ac:dyDescent="0.2">
      <c r="B1112" s="1">
        <v>1097</v>
      </c>
      <c r="C1112" s="106">
        <f t="shared" ca="1" si="68"/>
        <v>-0.77893243022812564</v>
      </c>
      <c r="D1112" s="106">
        <f t="shared" ca="1" si="69"/>
        <v>0.61535738231343406</v>
      </c>
      <c r="E1112" s="106">
        <f t="shared" ca="1" si="70"/>
        <v>0</v>
      </c>
      <c r="F1112" s="21">
        <f t="shared" ca="1" si="71"/>
        <v>0</v>
      </c>
      <c r="H1112" s="21">
        <v>1097</v>
      </c>
      <c r="I1112" s="107">
        <v>0.66766737333101123</v>
      </c>
      <c r="J1112" s="108">
        <v>1.2627997380655492E-3</v>
      </c>
      <c r="K1112" s="108"/>
      <c r="L1112" s="108">
        <v>3.8800000000000001E-2</v>
      </c>
      <c r="O1112" s="105"/>
    </row>
    <row r="1113" spans="2:15" x14ac:dyDescent="0.2">
      <c r="B1113" s="1">
        <v>1098</v>
      </c>
      <c r="C1113" s="106">
        <f t="shared" ca="1" si="68"/>
        <v>1.8876577387523508</v>
      </c>
      <c r="D1113" s="106">
        <f t="shared" ca="1" si="69"/>
        <v>0.80050213380537938</v>
      </c>
      <c r="E1113" s="106">
        <f t="shared" ca="1" si="70"/>
        <v>1.2302133805379367E-2</v>
      </c>
      <c r="F1113" s="21">
        <f t="shared" ca="1" si="71"/>
        <v>1</v>
      </c>
      <c r="H1113" s="21">
        <v>1098</v>
      </c>
      <c r="I1113" s="107">
        <v>0.6677775722349315</v>
      </c>
      <c r="J1113" s="108">
        <v>1.3693532725898591E-3</v>
      </c>
      <c r="K1113" s="108"/>
      <c r="L1113" s="108">
        <v>4.2999999999999997E-2</v>
      </c>
      <c r="O1113" s="105"/>
    </row>
    <row r="1114" spans="2:15" x14ac:dyDescent="0.2">
      <c r="B1114" s="1">
        <v>1099</v>
      </c>
      <c r="C1114" s="106">
        <f t="shared" ca="1" si="68"/>
        <v>0.50470015292252746</v>
      </c>
      <c r="D1114" s="106">
        <f t="shared" ca="1" si="69"/>
        <v>0.69842124827291185</v>
      </c>
      <c r="E1114" s="106">
        <f t="shared" ca="1" si="70"/>
        <v>0</v>
      </c>
      <c r="F1114" s="21">
        <f t="shared" ca="1" si="71"/>
        <v>0</v>
      </c>
      <c r="H1114" s="21">
        <v>1099</v>
      </c>
      <c r="I1114" s="107">
        <v>0.66783342553093528</v>
      </c>
      <c r="J1114" s="108">
        <v>1.4830403833295779E-3</v>
      </c>
      <c r="K1114" s="108"/>
      <c r="L1114" s="108">
        <v>4.48E-2</v>
      </c>
      <c r="O1114" s="105"/>
    </row>
    <row r="1115" spans="2:15" x14ac:dyDescent="0.2">
      <c r="B1115" s="1">
        <v>1100</v>
      </c>
      <c r="C1115" s="106">
        <f t="shared" ca="1" si="68"/>
        <v>0.31647684888233513</v>
      </c>
      <c r="D1115" s="106">
        <f t="shared" ca="1" si="69"/>
        <v>0.68557358073824415</v>
      </c>
      <c r="E1115" s="106">
        <f t="shared" ca="1" si="70"/>
        <v>0</v>
      </c>
      <c r="F1115" s="21">
        <f t="shared" ca="1" si="71"/>
        <v>0</v>
      </c>
      <c r="H1115" s="21">
        <v>1100</v>
      </c>
      <c r="I1115" s="107">
        <v>0.66759395722989179</v>
      </c>
      <c r="J1115" s="108">
        <v>1.3431628352616426E-3</v>
      </c>
      <c r="K1115" s="108"/>
      <c r="L1115" s="108">
        <v>4.0599999999999997E-2</v>
      </c>
      <c r="O1115" s="105"/>
    </row>
    <row r="1116" spans="2:15" x14ac:dyDescent="0.2">
      <c r="B1116" s="1">
        <v>1101</v>
      </c>
      <c r="C1116" s="106">
        <f t="shared" ca="1" si="68"/>
        <v>-0.29479170113110437</v>
      </c>
      <c r="D1116" s="106">
        <f t="shared" ca="1" si="69"/>
        <v>0.64545758014694532</v>
      </c>
      <c r="E1116" s="106">
        <f t="shared" ca="1" si="70"/>
        <v>0</v>
      </c>
      <c r="F1116" s="21">
        <f t="shared" ca="1" si="71"/>
        <v>0</v>
      </c>
      <c r="H1116" s="21">
        <v>1101</v>
      </c>
      <c r="I1116" s="107">
        <v>0.66767175262951572</v>
      </c>
      <c r="J1116" s="108">
        <v>1.2888169525688128E-3</v>
      </c>
      <c r="K1116" s="108"/>
      <c r="L1116" s="108">
        <v>4.1200000000000001E-2</v>
      </c>
      <c r="O1116" s="105"/>
    </row>
    <row r="1117" spans="2:15" x14ac:dyDescent="0.2">
      <c r="B1117" s="1">
        <v>1102</v>
      </c>
      <c r="C1117" s="106">
        <f t="shared" ca="1" si="68"/>
        <v>-0.99628377121508549</v>
      </c>
      <c r="D1117" s="106">
        <f t="shared" ca="1" si="69"/>
        <v>0.60230465218247153</v>
      </c>
      <c r="E1117" s="106">
        <f t="shared" ca="1" si="70"/>
        <v>0</v>
      </c>
      <c r="F1117" s="21">
        <f t="shared" ca="1" si="71"/>
        <v>0</v>
      </c>
      <c r="H1117" s="21">
        <v>1102</v>
      </c>
      <c r="I1117" s="107">
        <v>0.66770816912189468</v>
      </c>
      <c r="J1117" s="108">
        <v>1.2426800581274275E-3</v>
      </c>
      <c r="K1117" s="108"/>
      <c r="L1117" s="108">
        <v>4.0599999999999997E-2</v>
      </c>
      <c r="O1117" s="105"/>
    </row>
    <row r="1118" spans="2:15" x14ac:dyDescent="0.2">
      <c r="B1118" s="1">
        <v>1103</v>
      </c>
      <c r="C1118" s="106">
        <f t="shared" ca="1" si="68"/>
        <v>3.312002679875832E-2</v>
      </c>
      <c r="D1118" s="106">
        <f t="shared" ca="1" si="69"/>
        <v>0.66667664578096464</v>
      </c>
      <c r="E1118" s="106">
        <f t="shared" ca="1" si="70"/>
        <v>0</v>
      </c>
      <c r="F1118" s="21">
        <f t="shared" ca="1" si="71"/>
        <v>0</v>
      </c>
      <c r="H1118" s="21">
        <v>1103</v>
      </c>
      <c r="I1118" s="107">
        <v>0.66762228848937943</v>
      </c>
      <c r="J1118" s="108">
        <v>1.2936104143936569E-3</v>
      </c>
      <c r="K1118" s="108"/>
      <c r="L1118" s="108">
        <v>0.04</v>
      </c>
      <c r="O1118" s="105"/>
    </row>
    <row r="1119" spans="2:15" x14ac:dyDescent="0.2">
      <c r="B1119" s="1">
        <v>1104</v>
      </c>
      <c r="C1119" s="106">
        <f t="shared" ca="1" si="68"/>
        <v>0.25125614475254726</v>
      </c>
      <c r="D1119" s="106">
        <f t="shared" ca="1" si="69"/>
        <v>0.68117713012750802</v>
      </c>
      <c r="E1119" s="106">
        <f t="shared" ca="1" si="70"/>
        <v>0</v>
      </c>
      <c r="F1119" s="21">
        <f t="shared" ca="1" si="71"/>
        <v>0</v>
      </c>
      <c r="H1119" s="21">
        <v>1104</v>
      </c>
      <c r="I1119" s="107">
        <v>0.66778533658816286</v>
      </c>
      <c r="J1119" s="108">
        <v>1.3555494653026432E-3</v>
      </c>
      <c r="K1119" s="108"/>
      <c r="L1119" s="108">
        <v>4.2999999999999997E-2</v>
      </c>
      <c r="O1119" s="105"/>
    </row>
    <row r="1120" spans="2:15" x14ac:dyDescent="0.2">
      <c r="B1120" s="1">
        <v>1105</v>
      </c>
      <c r="C1120" s="106">
        <f t="shared" ca="1" si="68"/>
        <v>6.3103763452738687E-2</v>
      </c>
      <c r="D1120" s="106">
        <f t="shared" ca="1" si="69"/>
        <v>0.66865135110869223</v>
      </c>
      <c r="E1120" s="106">
        <f t="shared" ca="1" si="70"/>
        <v>0</v>
      </c>
      <c r="F1120" s="21">
        <f t="shared" ca="1" si="71"/>
        <v>0</v>
      </c>
      <c r="H1120" s="21">
        <v>1105</v>
      </c>
      <c r="I1120" s="107">
        <v>0.66781928145064107</v>
      </c>
      <c r="J1120" s="108">
        <v>1.4239055377610311E-3</v>
      </c>
      <c r="K1120" s="108"/>
      <c r="L1120" s="108">
        <v>4.2999999999999997E-2</v>
      </c>
      <c r="O1120" s="105"/>
    </row>
    <row r="1121" spans="2:15" x14ac:dyDescent="0.2">
      <c r="B1121" s="1">
        <v>1106</v>
      </c>
      <c r="C1121" s="106">
        <f t="shared" ca="1" si="68"/>
        <v>-0.52161768715601065</v>
      </c>
      <c r="D1121" s="106">
        <f t="shared" ca="1" si="69"/>
        <v>0.63117620821317999</v>
      </c>
      <c r="E1121" s="106">
        <f t="shared" ca="1" si="70"/>
        <v>0</v>
      </c>
      <c r="F1121" s="21">
        <f t="shared" ca="1" si="71"/>
        <v>0</v>
      </c>
      <c r="H1121" s="21">
        <v>1106</v>
      </c>
      <c r="I1121" s="107">
        <v>0.66779498205112375</v>
      </c>
      <c r="J1121" s="108">
        <v>1.4570724825151032E-3</v>
      </c>
      <c r="K1121" s="108"/>
      <c r="L1121" s="108">
        <v>4.5400000000000003E-2</v>
      </c>
      <c r="O1121" s="105"/>
    </row>
    <row r="1122" spans="2:15" x14ac:dyDescent="0.2">
      <c r="B1122" s="1">
        <v>1107</v>
      </c>
      <c r="C1122" s="106">
        <f t="shared" ca="1" si="68"/>
        <v>-0.43642458811534973</v>
      </c>
      <c r="D1122" s="106">
        <f t="shared" ca="1" si="69"/>
        <v>0.63650268483548544</v>
      </c>
      <c r="E1122" s="106">
        <f t="shared" ca="1" si="70"/>
        <v>0</v>
      </c>
      <c r="F1122" s="21">
        <f t="shared" ca="1" si="71"/>
        <v>0</v>
      </c>
      <c r="H1122" s="21">
        <v>1107</v>
      </c>
      <c r="I1122" s="107">
        <v>0.66776449544832095</v>
      </c>
      <c r="J1122" s="108">
        <v>1.4575553322302829E-3</v>
      </c>
      <c r="K1122" s="108"/>
      <c r="L1122" s="108">
        <v>4.1799999999999997E-2</v>
      </c>
      <c r="O1122" s="105"/>
    </row>
    <row r="1123" spans="2:15" x14ac:dyDescent="0.2">
      <c r="B1123" s="1">
        <v>1108</v>
      </c>
      <c r="C1123" s="106">
        <f t="shared" ca="1" si="68"/>
        <v>0.77528730280371583</v>
      </c>
      <c r="D1123" s="106">
        <f t="shared" ca="1" si="69"/>
        <v>0.71731387296465154</v>
      </c>
      <c r="E1123" s="106">
        <f t="shared" ca="1" si="70"/>
        <v>0</v>
      </c>
      <c r="F1123" s="21">
        <f t="shared" ca="1" si="71"/>
        <v>0</v>
      </c>
      <c r="H1123" s="21">
        <v>1108</v>
      </c>
      <c r="I1123" s="107">
        <v>0.6677652831448958</v>
      </c>
      <c r="J1123" s="108">
        <v>1.2267812222318459E-3</v>
      </c>
      <c r="K1123" s="108"/>
      <c r="L1123" s="108">
        <v>4.1000000000000002E-2</v>
      </c>
      <c r="O1123" s="105"/>
    </row>
    <row r="1124" spans="2:15" x14ac:dyDescent="0.2">
      <c r="B1124" s="1">
        <v>1109</v>
      </c>
      <c r="C1124" s="106">
        <f t="shared" ca="1" si="68"/>
        <v>-2.2411714603965804</v>
      </c>
      <c r="D1124" s="106">
        <f t="shared" ca="1" si="69"/>
        <v>0.53270404748843869</v>
      </c>
      <c r="E1124" s="106">
        <f t="shared" ca="1" si="70"/>
        <v>0</v>
      </c>
      <c r="F1124" s="21">
        <f t="shared" ca="1" si="71"/>
        <v>0</v>
      </c>
      <c r="H1124" s="21">
        <v>1109</v>
      </c>
      <c r="I1124" s="107">
        <v>0.66774609239823013</v>
      </c>
      <c r="J1124" s="108">
        <v>1.4646415271263691E-3</v>
      </c>
      <c r="K1124" s="108"/>
      <c r="L1124" s="108">
        <v>4.1799999999999997E-2</v>
      </c>
      <c r="O1124" s="105"/>
    </row>
    <row r="1125" spans="2:15" x14ac:dyDescent="0.2">
      <c r="B1125" s="1">
        <v>1110</v>
      </c>
      <c r="C1125" s="106">
        <f t="shared" ca="1" si="68"/>
        <v>-2.4484282014712826</v>
      </c>
      <c r="D1125" s="106">
        <f t="shared" ca="1" si="69"/>
        <v>0.5219239732936326</v>
      </c>
      <c r="E1125" s="106">
        <f t="shared" ca="1" si="70"/>
        <v>0</v>
      </c>
      <c r="F1125" s="21">
        <f t="shared" ca="1" si="71"/>
        <v>0</v>
      </c>
      <c r="H1125" s="21">
        <v>1110</v>
      </c>
      <c r="I1125" s="107">
        <v>0.66790649821222203</v>
      </c>
      <c r="J1125" s="108">
        <v>1.6401439550738431E-3</v>
      </c>
      <c r="K1125" s="108"/>
      <c r="L1125" s="108">
        <v>4.3400000000000001E-2</v>
      </c>
      <c r="O1125" s="105"/>
    </row>
    <row r="1126" spans="2:15" x14ac:dyDescent="0.2">
      <c r="B1126" s="1">
        <v>1111</v>
      </c>
      <c r="C1126" s="106">
        <f t="shared" ca="1" si="68"/>
        <v>0.10506600541110159</v>
      </c>
      <c r="D1126" s="106">
        <f t="shared" ca="1" si="69"/>
        <v>0.67142477619226759</v>
      </c>
      <c r="E1126" s="106">
        <f t="shared" ca="1" si="70"/>
        <v>0</v>
      </c>
      <c r="F1126" s="21">
        <f t="shared" ca="1" si="71"/>
        <v>0</v>
      </c>
      <c r="H1126" s="21">
        <v>1111</v>
      </c>
      <c r="I1126" s="107">
        <v>0.66765472717929231</v>
      </c>
      <c r="J1126" s="108">
        <v>1.2995571085662079E-3</v>
      </c>
      <c r="K1126" s="108"/>
      <c r="L1126" s="108">
        <v>3.7600000000000001E-2</v>
      </c>
      <c r="O1126" s="105"/>
    </row>
    <row r="1127" spans="2:15" x14ac:dyDescent="0.2">
      <c r="B1127" s="1">
        <v>1112</v>
      </c>
      <c r="C1127" s="106">
        <f t="shared" ca="1" si="68"/>
        <v>0.52223606217368068</v>
      </c>
      <c r="D1127" s="106">
        <f t="shared" ca="1" si="69"/>
        <v>0.6996303986105139</v>
      </c>
      <c r="E1127" s="106">
        <f t="shared" ca="1" si="70"/>
        <v>0</v>
      </c>
      <c r="F1127" s="21">
        <f t="shared" ca="1" si="71"/>
        <v>0</v>
      </c>
      <c r="H1127" s="21">
        <v>1112</v>
      </c>
      <c r="I1127" s="107">
        <v>0.66760184942914014</v>
      </c>
      <c r="J1127" s="108">
        <v>1.1329277377648674E-3</v>
      </c>
      <c r="K1127" s="108"/>
      <c r="L1127" s="108">
        <v>3.6200000000000003E-2</v>
      </c>
      <c r="O1127" s="105"/>
    </row>
    <row r="1128" spans="2:15" x14ac:dyDescent="0.2">
      <c r="B1128" s="1">
        <v>1113</v>
      </c>
      <c r="C1128" s="106">
        <f t="shared" ca="1" si="68"/>
        <v>0.13617582063793851</v>
      </c>
      <c r="D1128" s="106">
        <f t="shared" ca="1" si="69"/>
        <v>0.67348835105290128</v>
      </c>
      <c r="E1128" s="106">
        <f t="shared" ca="1" si="70"/>
        <v>0</v>
      </c>
      <c r="F1128" s="21">
        <f t="shared" ca="1" si="71"/>
        <v>0</v>
      </c>
      <c r="H1128" s="21">
        <v>1113</v>
      </c>
      <c r="I1128" s="107">
        <v>0.66791504048391248</v>
      </c>
      <c r="J1128" s="108">
        <v>1.6025933147841699E-3</v>
      </c>
      <c r="K1128" s="108"/>
      <c r="L1128" s="108">
        <v>4.5600000000000002E-2</v>
      </c>
      <c r="O1128" s="105"/>
    </row>
    <row r="1129" spans="2:15" x14ac:dyDescent="0.2">
      <c r="B1129" s="1">
        <v>1114</v>
      </c>
      <c r="C1129" s="106">
        <f t="shared" ca="1" si="68"/>
        <v>-0.97817983945446219</v>
      </c>
      <c r="D1129" s="106">
        <f t="shared" ca="1" si="69"/>
        <v>0.60338120628581338</v>
      </c>
      <c r="E1129" s="106">
        <f t="shared" ca="1" si="70"/>
        <v>0</v>
      </c>
      <c r="F1129" s="21">
        <f t="shared" ca="1" si="71"/>
        <v>0</v>
      </c>
      <c r="H1129" s="21">
        <v>1114</v>
      </c>
      <c r="I1129" s="107">
        <v>0.66768347468981415</v>
      </c>
      <c r="J1129" s="108">
        <v>1.1719292042207943E-3</v>
      </c>
      <c r="K1129" s="108"/>
      <c r="L1129" s="108">
        <v>3.6600000000000001E-2</v>
      </c>
      <c r="O1129" s="105"/>
    </row>
    <row r="1130" spans="2:15" x14ac:dyDescent="0.2">
      <c r="B1130" s="1">
        <v>1115</v>
      </c>
      <c r="C1130" s="106">
        <f t="shared" ca="1" si="68"/>
        <v>-0.15149213252207624</v>
      </c>
      <c r="D1130" s="106">
        <f t="shared" ca="1" si="69"/>
        <v>0.65464607840401645</v>
      </c>
      <c r="E1130" s="106">
        <f t="shared" ca="1" si="70"/>
        <v>0</v>
      </c>
      <c r="F1130" s="21">
        <f t="shared" ca="1" si="71"/>
        <v>0</v>
      </c>
      <c r="H1130" s="21">
        <v>1115</v>
      </c>
      <c r="I1130" s="107">
        <v>0.66791045732658516</v>
      </c>
      <c r="J1130" s="108">
        <v>1.6064236964215112E-3</v>
      </c>
      <c r="K1130" s="108"/>
      <c r="L1130" s="108">
        <v>4.7600000000000003E-2</v>
      </c>
      <c r="O1130" s="105"/>
    </row>
    <row r="1131" spans="2:15" x14ac:dyDescent="0.2">
      <c r="B1131" s="1">
        <v>1116</v>
      </c>
      <c r="C1131" s="106">
        <f t="shared" ca="1" si="68"/>
        <v>1.5062315900490798E-2</v>
      </c>
      <c r="D1131" s="106">
        <f t="shared" ca="1" si="69"/>
        <v>0.66549019396629217</v>
      </c>
      <c r="E1131" s="106">
        <f t="shared" ca="1" si="70"/>
        <v>0</v>
      </c>
      <c r="F1131" s="21">
        <f t="shared" ca="1" si="71"/>
        <v>0</v>
      </c>
      <c r="H1131" s="21">
        <v>1116</v>
      </c>
      <c r="I1131" s="107">
        <v>0.66789892846815035</v>
      </c>
      <c r="J1131" s="108">
        <v>1.426762576607777E-3</v>
      </c>
      <c r="K1131" s="108"/>
      <c r="L1131" s="108">
        <v>4.3400000000000001E-2</v>
      </c>
      <c r="O1131" s="105"/>
    </row>
    <row r="1132" spans="2:15" x14ac:dyDescent="0.2">
      <c r="B1132" s="1">
        <v>1117</v>
      </c>
      <c r="C1132" s="106">
        <f t="shared" ca="1" si="68"/>
        <v>0.10449600320764112</v>
      </c>
      <c r="D1132" s="106">
        <f t="shared" ca="1" si="69"/>
        <v>0.67138702587646892</v>
      </c>
      <c r="E1132" s="106">
        <f t="shared" ca="1" si="70"/>
        <v>0</v>
      </c>
      <c r="F1132" s="21">
        <f t="shared" ca="1" si="71"/>
        <v>0</v>
      </c>
      <c r="H1132" s="21">
        <v>1117</v>
      </c>
      <c r="I1132" s="107">
        <v>0.66759394183974408</v>
      </c>
      <c r="J1132" s="108">
        <v>1.1994015635001258E-3</v>
      </c>
      <c r="K1132" s="108"/>
      <c r="L1132" s="108">
        <v>3.7199999999999997E-2</v>
      </c>
      <c r="O1132" s="105"/>
    </row>
    <row r="1133" spans="2:15" x14ac:dyDescent="0.2">
      <c r="B1133" s="1">
        <v>1118</v>
      </c>
      <c r="C1133" s="106">
        <f t="shared" ca="1" si="68"/>
        <v>0.9217557079412213</v>
      </c>
      <c r="D1133" s="106">
        <f t="shared" ca="1" si="69"/>
        <v>0.72775273526713802</v>
      </c>
      <c r="E1133" s="106">
        <f t="shared" ca="1" si="70"/>
        <v>0</v>
      </c>
      <c r="F1133" s="21">
        <f t="shared" ca="1" si="71"/>
        <v>0</v>
      </c>
      <c r="H1133" s="21">
        <v>1118</v>
      </c>
      <c r="I1133" s="107">
        <v>0.66771543951592971</v>
      </c>
      <c r="J1133" s="108">
        <v>1.3745453958665219E-3</v>
      </c>
      <c r="K1133" s="108"/>
      <c r="L1133" s="108">
        <v>4.0599999999999997E-2</v>
      </c>
      <c r="O1133" s="105"/>
    </row>
    <row r="1134" spans="2:15" x14ac:dyDescent="0.2">
      <c r="B1134" s="1">
        <v>1119</v>
      </c>
      <c r="C1134" s="106">
        <f t="shared" ca="1" si="68"/>
        <v>-1.110575030137152</v>
      </c>
      <c r="D1134" s="106">
        <f t="shared" ca="1" si="69"/>
        <v>0.59555249799090737</v>
      </c>
      <c r="E1134" s="106">
        <f t="shared" ca="1" si="70"/>
        <v>0</v>
      </c>
      <c r="F1134" s="21">
        <f t="shared" ca="1" si="71"/>
        <v>0</v>
      </c>
      <c r="H1134" s="21">
        <v>1119</v>
      </c>
      <c r="I1134" s="107">
        <v>0.66770488200854139</v>
      </c>
      <c r="J1134" s="108">
        <v>1.2895211573726768E-3</v>
      </c>
      <c r="K1134" s="108"/>
      <c r="L1134" s="108">
        <v>3.78E-2</v>
      </c>
      <c r="O1134" s="105"/>
    </row>
    <row r="1135" spans="2:15" x14ac:dyDescent="0.2">
      <c r="B1135" s="1">
        <v>1120</v>
      </c>
      <c r="C1135" s="106">
        <f t="shared" ca="1" si="68"/>
        <v>-1.4145550453140829</v>
      </c>
      <c r="D1135" s="106">
        <f t="shared" ca="1" si="69"/>
        <v>0.57795993579792915</v>
      </c>
      <c r="E1135" s="106">
        <f t="shared" ca="1" si="70"/>
        <v>0</v>
      </c>
      <c r="F1135" s="21">
        <f t="shared" ca="1" si="71"/>
        <v>0</v>
      </c>
      <c r="H1135" s="21">
        <v>1120</v>
      </c>
      <c r="I1135" s="107">
        <v>0.66773834575827862</v>
      </c>
      <c r="J1135" s="108">
        <v>1.3078755490384337E-3</v>
      </c>
      <c r="K1135" s="108"/>
      <c r="L1135" s="108">
        <v>3.9399999999999998E-2</v>
      </c>
      <c r="O1135" s="105"/>
    </row>
    <row r="1136" spans="2:15" x14ac:dyDescent="0.2">
      <c r="B1136" s="1">
        <v>1121</v>
      </c>
      <c r="C1136" s="106">
        <f t="shared" ca="1" si="68"/>
        <v>-8.6733739342575972E-2</v>
      </c>
      <c r="D1136" s="106">
        <f t="shared" ca="1" si="69"/>
        <v>0.65884124661122523</v>
      </c>
      <c r="E1136" s="106">
        <f t="shared" ca="1" si="70"/>
        <v>0</v>
      </c>
      <c r="F1136" s="21">
        <f t="shared" ca="1" si="71"/>
        <v>0</v>
      </c>
      <c r="H1136" s="21">
        <v>1121</v>
      </c>
      <c r="I1136" s="107">
        <v>0.66787838173261693</v>
      </c>
      <c r="J1136" s="108">
        <v>1.528499101925962E-3</v>
      </c>
      <c r="K1136" s="108"/>
      <c r="L1136" s="108">
        <v>4.5199999999999997E-2</v>
      </c>
      <c r="O1136" s="105"/>
    </row>
    <row r="1137" spans="2:15" x14ac:dyDescent="0.2">
      <c r="B1137" s="1">
        <v>1122</v>
      </c>
      <c r="C1137" s="106">
        <f t="shared" ca="1" si="68"/>
        <v>-2.0621214794824558</v>
      </c>
      <c r="D1137" s="106">
        <f t="shared" ca="1" si="69"/>
        <v>0.54219609746926911</v>
      </c>
      <c r="E1137" s="106">
        <f t="shared" ca="1" si="70"/>
        <v>0</v>
      </c>
      <c r="F1137" s="21">
        <f t="shared" ca="1" si="71"/>
        <v>0</v>
      </c>
      <c r="H1137" s="21">
        <v>1122</v>
      </c>
      <c r="I1137" s="107">
        <v>0.66767688708270256</v>
      </c>
      <c r="J1137" s="108">
        <v>1.374861390849534E-3</v>
      </c>
      <c r="K1137" s="108"/>
      <c r="L1137" s="108">
        <v>4.1399999999999999E-2</v>
      </c>
      <c r="O1137" s="105"/>
    </row>
    <row r="1138" spans="2:15" x14ac:dyDescent="0.2">
      <c r="B1138" s="1">
        <v>1123</v>
      </c>
      <c r="C1138" s="106">
        <f t="shared" ca="1" si="68"/>
        <v>-1.3377528351732009</v>
      </c>
      <c r="D1138" s="106">
        <f t="shared" ca="1" si="69"/>
        <v>0.58235511382583294</v>
      </c>
      <c r="E1138" s="106">
        <f t="shared" ca="1" si="70"/>
        <v>0</v>
      </c>
      <c r="F1138" s="21">
        <f t="shared" ca="1" si="71"/>
        <v>0</v>
      </c>
      <c r="H1138" s="21">
        <v>1123</v>
      </c>
      <c r="I1138" s="107">
        <v>0.6676583815611109</v>
      </c>
      <c r="J1138" s="108">
        <v>1.2984407805281587E-3</v>
      </c>
      <c r="K1138" s="108"/>
      <c r="L1138" s="108">
        <v>3.7600000000000001E-2</v>
      </c>
      <c r="O1138" s="105"/>
    </row>
    <row r="1139" spans="2:15" x14ac:dyDescent="0.2">
      <c r="B1139" s="1">
        <v>1124</v>
      </c>
      <c r="C1139" s="106">
        <f t="shared" ca="1" si="68"/>
        <v>4.8027832897002125E-2</v>
      </c>
      <c r="D1139" s="106">
        <f t="shared" ca="1" si="69"/>
        <v>0.66765773214029234</v>
      </c>
      <c r="E1139" s="106">
        <f t="shared" ca="1" si="70"/>
        <v>0</v>
      </c>
      <c r="F1139" s="21">
        <f t="shared" ca="1" si="71"/>
        <v>0</v>
      </c>
      <c r="H1139" s="21">
        <v>1124</v>
      </c>
      <c r="I1139" s="107">
        <v>0.66774757156382103</v>
      </c>
      <c r="J1139" s="108">
        <v>1.4161811532857594E-3</v>
      </c>
      <c r="K1139" s="108"/>
      <c r="L1139" s="108">
        <v>4.2000000000000003E-2</v>
      </c>
      <c r="O1139" s="105"/>
    </row>
    <row r="1140" spans="2:15" x14ac:dyDescent="0.2">
      <c r="B1140" s="1">
        <v>1125</v>
      </c>
      <c r="C1140" s="106">
        <f t="shared" ca="1" si="68"/>
        <v>-0.42518168875403306</v>
      </c>
      <c r="D1140" s="106">
        <f t="shared" ca="1" si="69"/>
        <v>0.63720896710752539</v>
      </c>
      <c r="E1140" s="106">
        <f t="shared" ca="1" si="70"/>
        <v>0</v>
      </c>
      <c r="F1140" s="21">
        <f t="shared" ca="1" si="71"/>
        <v>0</v>
      </c>
      <c r="H1140" s="21">
        <v>1125</v>
      </c>
      <c r="I1140" s="107">
        <v>0.66768014796164654</v>
      </c>
      <c r="J1140" s="108">
        <v>1.3102921157080864E-3</v>
      </c>
      <c r="K1140" s="108"/>
      <c r="L1140" s="108">
        <v>4.1799999999999997E-2</v>
      </c>
      <c r="O1140" s="105"/>
    </row>
    <row r="1141" spans="2:15" x14ac:dyDescent="0.2">
      <c r="B1141" s="1">
        <v>1126</v>
      </c>
      <c r="C1141" s="106">
        <f t="shared" ca="1" si="68"/>
        <v>1.1257282542926912</v>
      </c>
      <c r="D1141" s="106">
        <f t="shared" ca="1" si="69"/>
        <v>0.74254350647283818</v>
      </c>
      <c r="E1141" s="106">
        <f t="shared" ca="1" si="70"/>
        <v>0</v>
      </c>
      <c r="F1141" s="21">
        <f t="shared" ca="1" si="71"/>
        <v>0</v>
      </c>
      <c r="H1141" s="21">
        <v>1126</v>
      </c>
      <c r="I1141" s="107">
        <v>0.66766669257540612</v>
      </c>
      <c r="J1141" s="108">
        <v>1.3016669372181739E-3</v>
      </c>
      <c r="K1141" s="108"/>
      <c r="L1141" s="108">
        <v>3.8600000000000002E-2</v>
      </c>
      <c r="O1141" s="105"/>
    </row>
    <row r="1142" spans="2:15" x14ac:dyDescent="0.2">
      <c r="B1142" s="1">
        <v>1127</v>
      </c>
      <c r="C1142" s="106">
        <f t="shared" ca="1" si="68"/>
        <v>-1.0139978280170889</v>
      </c>
      <c r="D1142" s="106">
        <f t="shared" ca="1" si="69"/>
        <v>0.60125314128747365</v>
      </c>
      <c r="E1142" s="106">
        <f t="shared" ca="1" si="70"/>
        <v>0</v>
      </c>
      <c r="F1142" s="21">
        <f t="shared" ca="1" si="71"/>
        <v>0</v>
      </c>
      <c r="H1142" s="21">
        <v>1127</v>
      </c>
      <c r="I1142" s="107">
        <v>0.66775639555200517</v>
      </c>
      <c r="J1142" s="108">
        <v>1.4188445076783098E-3</v>
      </c>
      <c r="K1142" s="108"/>
      <c r="L1142" s="108">
        <v>4.5400000000000003E-2</v>
      </c>
      <c r="O1142" s="105"/>
    </row>
    <row r="1143" spans="2:15" x14ac:dyDescent="0.2">
      <c r="B1143" s="1">
        <v>1128</v>
      </c>
      <c r="C1143" s="106">
        <f t="shared" ca="1" si="68"/>
        <v>-1.5620932646799257</v>
      </c>
      <c r="D1143" s="106">
        <f t="shared" ca="1" si="69"/>
        <v>0.56960958381950533</v>
      </c>
      <c r="E1143" s="106">
        <f t="shared" ca="1" si="70"/>
        <v>0</v>
      </c>
      <c r="F1143" s="21">
        <f t="shared" ca="1" si="71"/>
        <v>0</v>
      </c>
      <c r="H1143" s="21">
        <v>1128</v>
      </c>
      <c r="I1143" s="107">
        <v>0.66765755360757029</v>
      </c>
      <c r="J1143" s="108">
        <v>1.3545156537590781E-3</v>
      </c>
      <c r="K1143" s="108"/>
      <c r="L1143" s="108">
        <v>3.9800000000000002E-2</v>
      </c>
      <c r="O1143" s="105"/>
    </row>
    <row r="1144" spans="2:15" x14ac:dyDescent="0.2">
      <c r="B1144" s="1">
        <v>1129</v>
      </c>
      <c r="C1144" s="106">
        <f t="shared" ca="1" si="68"/>
        <v>-1.6391203926498361</v>
      </c>
      <c r="D1144" s="106">
        <f t="shared" ca="1" si="69"/>
        <v>0.56529805750696949</v>
      </c>
      <c r="E1144" s="106">
        <f t="shared" ca="1" si="70"/>
        <v>0</v>
      </c>
      <c r="F1144" s="21">
        <f t="shared" ca="1" si="71"/>
        <v>0</v>
      </c>
      <c r="H1144" s="21">
        <v>1129</v>
      </c>
      <c r="I1144" s="107">
        <v>0.66776654575942307</v>
      </c>
      <c r="J1144" s="108">
        <v>1.4059626226651384E-3</v>
      </c>
      <c r="K1144" s="108"/>
      <c r="L1144" s="108">
        <v>4.0599999999999997E-2</v>
      </c>
      <c r="O1144" s="105"/>
    </row>
    <row r="1145" spans="2:15" x14ac:dyDescent="0.2">
      <c r="B1145" s="1">
        <v>1130</v>
      </c>
      <c r="C1145" s="106">
        <f t="shared" ca="1" si="68"/>
        <v>-0.85683811447741165</v>
      </c>
      <c r="D1145" s="106">
        <f t="shared" ca="1" si="69"/>
        <v>0.61064665662979278</v>
      </c>
      <c r="E1145" s="106">
        <f t="shared" ca="1" si="70"/>
        <v>0</v>
      </c>
      <c r="F1145" s="21">
        <f t="shared" ca="1" si="71"/>
        <v>0</v>
      </c>
      <c r="H1145" s="21">
        <v>1130</v>
      </c>
      <c r="I1145" s="107">
        <v>0.66776176365121476</v>
      </c>
      <c r="J1145" s="108">
        <v>1.3943361606805625E-3</v>
      </c>
      <c r="K1145" s="108"/>
      <c r="L1145" s="108">
        <v>4.0599999999999997E-2</v>
      </c>
      <c r="O1145" s="105"/>
    </row>
    <row r="1146" spans="2:15" x14ac:dyDescent="0.2">
      <c r="B1146" s="1">
        <v>1131</v>
      </c>
      <c r="C1146" s="106">
        <f t="shared" ca="1" si="68"/>
        <v>-0.96016254234318799</v>
      </c>
      <c r="D1146" s="106">
        <f t="shared" ca="1" si="69"/>
        <v>0.6044545190692987</v>
      </c>
      <c r="E1146" s="106">
        <f t="shared" ca="1" si="70"/>
        <v>0</v>
      </c>
      <c r="F1146" s="21">
        <f t="shared" ca="1" si="71"/>
        <v>0</v>
      </c>
      <c r="H1146" s="21">
        <v>1131</v>
      </c>
      <c r="I1146" s="107">
        <v>0.66773363943547193</v>
      </c>
      <c r="J1146" s="108">
        <v>1.3299632348469197E-3</v>
      </c>
      <c r="K1146" s="108"/>
      <c r="L1146" s="108">
        <v>4.2200000000000001E-2</v>
      </c>
      <c r="O1146" s="105"/>
    </row>
    <row r="1147" spans="2:15" x14ac:dyDescent="0.2">
      <c r="B1147" s="1">
        <v>1132</v>
      </c>
      <c r="C1147" s="106">
        <f t="shared" ca="1" si="68"/>
        <v>-0.30254281506062702</v>
      </c>
      <c r="D1147" s="106">
        <f t="shared" ca="1" si="69"/>
        <v>0.64496426470443491</v>
      </c>
      <c r="E1147" s="106">
        <f t="shared" ca="1" si="70"/>
        <v>0</v>
      </c>
      <c r="F1147" s="21">
        <f t="shared" ca="1" si="71"/>
        <v>0</v>
      </c>
      <c r="H1147" s="21">
        <v>1132</v>
      </c>
      <c r="I1147" s="107">
        <v>0.66752324722146494</v>
      </c>
      <c r="J1147" s="108">
        <v>1.1517392804376229E-3</v>
      </c>
      <c r="K1147" s="108"/>
      <c r="L1147" s="108">
        <v>3.6999999999999998E-2</v>
      </c>
      <c r="O1147" s="105"/>
    </row>
    <row r="1148" spans="2:15" x14ac:dyDescent="0.2">
      <c r="B1148" s="1">
        <v>1133</v>
      </c>
      <c r="C1148" s="106">
        <f t="shared" ca="1" si="68"/>
        <v>0.3847941983555892</v>
      </c>
      <c r="D1148" s="106">
        <f t="shared" ca="1" si="69"/>
        <v>0.6902092040782446</v>
      </c>
      <c r="E1148" s="106">
        <f t="shared" ca="1" si="70"/>
        <v>0</v>
      </c>
      <c r="F1148" s="21">
        <f t="shared" ca="1" si="71"/>
        <v>0</v>
      </c>
      <c r="H1148" s="21">
        <v>1133</v>
      </c>
      <c r="I1148" s="107">
        <v>0.66777810025031836</v>
      </c>
      <c r="J1148" s="108">
        <v>1.4809089488421437E-3</v>
      </c>
      <c r="K1148" s="108"/>
      <c r="L1148" s="108">
        <v>4.48E-2</v>
      </c>
      <c r="O1148" s="105"/>
    </row>
    <row r="1149" spans="2:15" x14ac:dyDescent="0.2">
      <c r="B1149" s="1">
        <v>1134</v>
      </c>
      <c r="C1149" s="106">
        <f t="shared" ca="1" si="68"/>
        <v>0.60333978862947724</v>
      </c>
      <c r="D1149" s="106">
        <f t="shared" ca="1" si="69"/>
        <v>0.70525001610534688</v>
      </c>
      <c r="E1149" s="106">
        <f t="shared" ca="1" si="70"/>
        <v>0</v>
      </c>
      <c r="F1149" s="21">
        <f t="shared" ca="1" si="71"/>
        <v>0</v>
      </c>
      <c r="H1149" s="21">
        <v>1134</v>
      </c>
      <c r="I1149" s="107">
        <v>0.66758687124507521</v>
      </c>
      <c r="J1149" s="108">
        <v>1.2553567166397734E-3</v>
      </c>
      <c r="K1149" s="108"/>
      <c r="L1149" s="108">
        <v>3.7400000000000003E-2</v>
      </c>
      <c r="O1149" s="105"/>
    </row>
    <row r="1150" spans="2:15" x14ac:dyDescent="0.2">
      <c r="B1150" s="1">
        <v>1135</v>
      </c>
      <c r="C1150" s="106">
        <f t="shared" ca="1" si="68"/>
        <v>1.4116563799801762</v>
      </c>
      <c r="D1150" s="106">
        <f t="shared" ca="1" si="69"/>
        <v>0.76378458524837722</v>
      </c>
      <c r="E1150" s="106">
        <f t="shared" ca="1" si="70"/>
        <v>0</v>
      </c>
      <c r="F1150" s="21">
        <f t="shared" ca="1" si="71"/>
        <v>0</v>
      </c>
      <c r="H1150" s="21">
        <v>1135</v>
      </c>
      <c r="I1150" s="107">
        <v>0.6676925517789033</v>
      </c>
      <c r="J1150" s="108">
        <v>1.2866002165737021E-3</v>
      </c>
      <c r="K1150" s="108"/>
      <c r="L1150" s="108">
        <v>4.0800000000000003E-2</v>
      </c>
      <c r="O1150" s="105"/>
    </row>
    <row r="1151" spans="2:15" x14ac:dyDescent="0.2">
      <c r="B1151" s="1">
        <v>1136</v>
      </c>
      <c r="C1151" s="106">
        <f t="shared" ca="1" si="68"/>
        <v>0.28364940307757225</v>
      </c>
      <c r="D1151" s="106">
        <f t="shared" ca="1" si="69"/>
        <v>0.68335718603848761</v>
      </c>
      <c r="E1151" s="106">
        <f t="shared" ca="1" si="70"/>
        <v>0</v>
      </c>
      <c r="F1151" s="21">
        <f t="shared" ca="1" si="71"/>
        <v>0</v>
      </c>
      <c r="H1151" s="21">
        <v>1136</v>
      </c>
      <c r="I1151" s="107">
        <v>0.66761686349265059</v>
      </c>
      <c r="J1151" s="108">
        <v>1.3414201712350408E-3</v>
      </c>
      <c r="K1151" s="108"/>
      <c r="L1151" s="108">
        <v>3.9E-2</v>
      </c>
      <c r="O1151" s="105"/>
    </row>
    <row r="1152" spans="2:15" x14ac:dyDescent="0.2">
      <c r="B1152" s="1">
        <v>1137</v>
      </c>
      <c r="C1152" s="106">
        <f t="shared" ca="1" si="68"/>
        <v>-0.46508375368283328</v>
      </c>
      <c r="D1152" s="106">
        <f t="shared" ca="1" si="69"/>
        <v>0.63470584670086427</v>
      </c>
      <c r="E1152" s="106">
        <f t="shared" ca="1" si="70"/>
        <v>0</v>
      </c>
      <c r="F1152" s="21">
        <f t="shared" ca="1" si="71"/>
        <v>0</v>
      </c>
      <c r="H1152" s="21">
        <v>1137</v>
      </c>
      <c r="I1152" s="107">
        <v>0.66781040802326541</v>
      </c>
      <c r="J1152" s="108">
        <v>1.3516599383309106E-3</v>
      </c>
      <c r="K1152" s="108"/>
      <c r="L1152" s="108">
        <v>4.02E-2</v>
      </c>
      <c r="O1152" s="105"/>
    </row>
    <row r="1153" spans="2:15" x14ac:dyDescent="0.2">
      <c r="B1153" s="1">
        <v>1138</v>
      </c>
      <c r="C1153" s="106">
        <f t="shared" ca="1" si="68"/>
        <v>-1.1097325953148596</v>
      </c>
      <c r="D1153" s="106">
        <f t="shared" ca="1" si="69"/>
        <v>0.5956019897974113</v>
      </c>
      <c r="E1153" s="106">
        <f t="shared" ca="1" si="70"/>
        <v>0</v>
      </c>
      <c r="F1153" s="21">
        <f t="shared" ca="1" si="71"/>
        <v>0</v>
      </c>
      <c r="H1153" s="21">
        <v>1138</v>
      </c>
      <c r="I1153" s="107">
        <v>0.66777990109507968</v>
      </c>
      <c r="J1153" s="108">
        <v>1.3746716902259496E-3</v>
      </c>
      <c r="K1153" s="108"/>
      <c r="L1153" s="108">
        <v>3.8600000000000002E-2</v>
      </c>
      <c r="O1153" s="105"/>
    </row>
    <row r="1154" spans="2:15" x14ac:dyDescent="0.2">
      <c r="B1154" s="1">
        <v>1139</v>
      </c>
      <c r="C1154" s="106">
        <f t="shared" ca="1" si="68"/>
        <v>1.5023785670373395</v>
      </c>
      <c r="D1154" s="106">
        <f t="shared" ca="1" si="69"/>
        <v>0.77065033534313199</v>
      </c>
      <c r="E1154" s="106">
        <f t="shared" ca="1" si="70"/>
        <v>0</v>
      </c>
      <c r="F1154" s="21">
        <f t="shared" ca="1" si="71"/>
        <v>0</v>
      </c>
      <c r="H1154" s="21">
        <v>1139</v>
      </c>
      <c r="I1154" s="107">
        <v>0.6677374226750854</v>
      </c>
      <c r="J1154" s="108">
        <v>1.3754480338341022E-3</v>
      </c>
      <c r="K1154" s="108"/>
      <c r="L1154" s="108">
        <v>4.1399999999999999E-2</v>
      </c>
      <c r="O1154" s="105"/>
    </row>
    <row r="1155" spans="2:15" x14ac:dyDescent="0.2">
      <c r="B1155" s="1">
        <v>1140</v>
      </c>
      <c r="C1155" s="106">
        <f t="shared" ca="1" si="68"/>
        <v>0.25321974262211011</v>
      </c>
      <c r="D1155" s="106">
        <f t="shared" ca="1" si="69"/>
        <v>0.68130908139665414</v>
      </c>
      <c r="E1155" s="106">
        <f t="shared" ca="1" si="70"/>
        <v>0</v>
      </c>
      <c r="F1155" s="21">
        <f t="shared" ca="1" si="71"/>
        <v>0</v>
      </c>
      <c r="H1155" s="21">
        <v>1140</v>
      </c>
      <c r="I1155" s="107">
        <v>0.66780705780248806</v>
      </c>
      <c r="J1155" s="108">
        <v>1.519131287189881E-3</v>
      </c>
      <c r="K1155" s="108"/>
      <c r="L1155" s="108">
        <v>4.4400000000000002E-2</v>
      </c>
      <c r="O1155" s="105"/>
    </row>
    <row r="1156" spans="2:15" x14ac:dyDescent="0.2">
      <c r="B1156" s="1">
        <v>1141</v>
      </c>
      <c r="C1156" s="106">
        <f t="shared" ca="1" si="68"/>
        <v>0.1590268213607284</v>
      </c>
      <c r="D1156" s="106">
        <f t="shared" ca="1" si="69"/>
        <v>0.67500814169621526</v>
      </c>
      <c r="E1156" s="106">
        <f t="shared" ca="1" si="70"/>
        <v>0</v>
      </c>
      <c r="F1156" s="21">
        <f t="shared" ca="1" si="71"/>
        <v>0</v>
      </c>
      <c r="H1156" s="21">
        <v>1141</v>
      </c>
      <c r="I1156" s="107">
        <v>0.66773184761492554</v>
      </c>
      <c r="J1156" s="108">
        <v>1.2755860350657578E-3</v>
      </c>
      <c r="K1156" s="108"/>
      <c r="L1156" s="108">
        <v>4.2200000000000001E-2</v>
      </c>
      <c r="O1156" s="105"/>
    </row>
    <row r="1157" spans="2:15" x14ac:dyDescent="0.2">
      <c r="B1157" s="1">
        <v>1142</v>
      </c>
      <c r="C1157" s="106">
        <f t="shared" ca="1" si="68"/>
        <v>-0.79926005910292863</v>
      </c>
      <c r="D1157" s="106">
        <f t="shared" ca="1" si="69"/>
        <v>0.61412473821689029</v>
      </c>
      <c r="E1157" s="106">
        <f t="shared" ca="1" si="70"/>
        <v>0</v>
      </c>
      <c r="F1157" s="21">
        <f t="shared" ca="1" si="71"/>
        <v>0</v>
      </c>
      <c r="H1157" s="21">
        <v>1142</v>
      </c>
      <c r="I1157" s="107">
        <v>0.6677722906993927</v>
      </c>
      <c r="J1157" s="108">
        <v>1.3951148104999749E-3</v>
      </c>
      <c r="K1157" s="108"/>
      <c r="L1157" s="108">
        <v>4.0599999999999997E-2</v>
      </c>
      <c r="O1157" s="105"/>
    </row>
    <row r="1158" spans="2:15" x14ac:dyDescent="0.2">
      <c r="B1158" s="1">
        <v>1143</v>
      </c>
      <c r="C1158" s="106">
        <f t="shared" ca="1" si="68"/>
        <v>0.86325489126082677</v>
      </c>
      <c r="D1158" s="106">
        <f t="shared" ca="1" si="69"/>
        <v>0.72356526044160208</v>
      </c>
      <c r="E1158" s="106">
        <f t="shared" ca="1" si="70"/>
        <v>0</v>
      </c>
      <c r="F1158" s="21">
        <f t="shared" ca="1" si="71"/>
        <v>0</v>
      </c>
      <c r="H1158" s="21">
        <v>1143</v>
      </c>
      <c r="I1158" s="107">
        <v>0.6678652304077648</v>
      </c>
      <c r="J1158" s="108">
        <v>1.4074520917999702E-3</v>
      </c>
      <c r="K1158" s="108"/>
      <c r="L1158" s="108">
        <v>4.4999999999999998E-2</v>
      </c>
      <c r="O1158" s="105"/>
    </row>
    <row r="1159" spans="2:15" x14ac:dyDescent="0.2">
      <c r="B1159" s="1">
        <v>1144</v>
      </c>
      <c r="C1159" s="106">
        <f t="shared" ca="1" si="68"/>
        <v>0.99347435412271934</v>
      </c>
      <c r="D1159" s="106">
        <f t="shared" ca="1" si="69"/>
        <v>0.73291941958181039</v>
      </c>
      <c r="E1159" s="106">
        <f t="shared" ca="1" si="70"/>
        <v>0</v>
      </c>
      <c r="F1159" s="21">
        <f t="shared" ca="1" si="71"/>
        <v>0</v>
      </c>
      <c r="H1159" s="21">
        <v>1144</v>
      </c>
      <c r="I1159" s="107">
        <v>0.66772217068042705</v>
      </c>
      <c r="J1159" s="108">
        <v>1.3312706329043408E-3</v>
      </c>
      <c r="K1159" s="108"/>
      <c r="L1159" s="108">
        <v>4.1399999999999999E-2</v>
      </c>
      <c r="O1159" s="105"/>
    </row>
    <row r="1160" spans="2:15" x14ac:dyDescent="0.2">
      <c r="B1160" s="1">
        <v>1145</v>
      </c>
      <c r="C1160" s="106">
        <f t="shared" ca="1" si="68"/>
        <v>1.8975495317517177</v>
      </c>
      <c r="D1160" s="106">
        <f t="shared" ca="1" si="69"/>
        <v>0.80128359660782689</v>
      </c>
      <c r="E1160" s="106">
        <f t="shared" ca="1" si="70"/>
        <v>1.3083596607826875E-2</v>
      </c>
      <c r="F1160" s="21">
        <f t="shared" ca="1" si="71"/>
        <v>1</v>
      </c>
      <c r="H1160" s="21">
        <v>1145</v>
      </c>
      <c r="I1160" s="107">
        <v>0.66802778070623803</v>
      </c>
      <c r="J1160" s="108">
        <v>1.9015382303311519E-3</v>
      </c>
      <c r="K1160" s="108"/>
      <c r="L1160" s="108">
        <v>4.8599999999999997E-2</v>
      </c>
      <c r="O1160" s="105"/>
    </row>
    <row r="1161" spans="2:15" x14ac:dyDescent="0.2">
      <c r="B1161" s="1">
        <v>1146</v>
      </c>
      <c r="C1161" s="106">
        <f t="shared" ca="1" si="68"/>
        <v>-0.66187260148597671</v>
      </c>
      <c r="D1161" s="106">
        <f t="shared" ca="1" si="69"/>
        <v>0.62250405674784326</v>
      </c>
      <c r="E1161" s="106">
        <f t="shared" ca="1" si="70"/>
        <v>0</v>
      </c>
      <c r="F1161" s="21">
        <f t="shared" ca="1" si="71"/>
        <v>0</v>
      </c>
      <c r="H1161" s="21">
        <v>1146</v>
      </c>
      <c r="I1161" s="107">
        <v>0.66757558624721525</v>
      </c>
      <c r="J1161" s="108">
        <v>1.0746709210569373E-3</v>
      </c>
      <c r="K1161" s="108"/>
      <c r="L1161" s="108">
        <v>3.5999999999999997E-2</v>
      </c>
      <c r="O1161" s="105"/>
    </row>
    <row r="1162" spans="2:15" x14ac:dyDescent="0.2">
      <c r="B1162" s="1">
        <v>1147</v>
      </c>
      <c r="C1162" s="106">
        <f t="shared" ca="1" si="68"/>
        <v>0.66586350158995555</v>
      </c>
      <c r="D1162" s="106">
        <f t="shared" ca="1" si="69"/>
        <v>0.70961303097374151</v>
      </c>
      <c r="E1162" s="106">
        <f t="shared" ca="1" si="70"/>
        <v>0</v>
      </c>
      <c r="F1162" s="21">
        <f t="shared" ca="1" si="71"/>
        <v>0</v>
      </c>
      <c r="H1162" s="21">
        <v>1147</v>
      </c>
      <c r="I1162" s="107">
        <v>0.66775625877452405</v>
      </c>
      <c r="J1162" s="108">
        <v>1.3309045121953401E-3</v>
      </c>
      <c r="K1162" s="108"/>
      <c r="L1162" s="108">
        <v>4.4200000000000003E-2</v>
      </c>
      <c r="O1162" s="105"/>
    </row>
    <row r="1163" spans="2:15" x14ac:dyDescent="0.2">
      <c r="B1163" s="1">
        <v>1148</v>
      </c>
      <c r="C1163" s="106">
        <f t="shared" ca="1" si="68"/>
        <v>0.39979740159439742</v>
      </c>
      <c r="D1163" s="106">
        <f t="shared" ca="1" si="69"/>
        <v>0.69123142565363971</v>
      </c>
      <c r="E1163" s="106">
        <f t="shared" ca="1" si="70"/>
        <v>0</v>
      </c>
      <c r="F1163" s="21">
        <f t="shared" ca="1" si="71"/>
        <v>0</v>
      </c>
      <c r="H1163" s="21">
        <v>1148</v>
      </c>
      <c r="I1163" s="107">
        <v>0.66791163550184418</v>
      </c>
      <c r="J1163" s="108">
        <v>1.5811843274507432E-3</v>
      </c>
      <c r="K1163" s="108"/>
      <c r="L1163" s="108">
        <v>4.4200000000000003E-2</v>
      </c>
      <c r="O1163" s="105"/>
    </row>
    <row r="1164" spans="2:15" x14ac:dyDescent="0.2">
      <c r="B1164" s="1">
        <v>1149</v>
      </c>
      <c r="C1164" s="106">
        <f t="shared" ca="1" si="68"/>
        <v>0.92053923463431153</v>
      </c>
      <c r="D1164" s="106">
        <f t="shared" ca="1" si="69"/>
        <v>0.72766541415174912</v>
      </c>
      <c r="E1164" s="106">
        <f t="shared" ca="1" si="70"/>
        <v>0</v>
      </c>
      <c r="F1164" s="21">
        <f t="shared" ca="1" si="71"/>
        <v>0</v>
      </c>
      <c r="H1164" s="21">
        <v>1149</v>
      </c>
      <c r="I1164" s="107">
        <v>0.66762224889450561</v>
      </c>
      <c r="J1164" s="108">
        <v>1.2634063328067992E-3</v>
      </c>
      <c r="K1164" s="108"/>
      <c r="L1164" s="108">
        <v>4.0599999999999997E-2</v>
      </c>
      <c r="O1164" s="105"/>
    </row>
    <row r="1165" spans="2:15" x14ac:dyDescent="0.2">
      <c r="B1165" s="1">
        <v>1150</v>
      </c>
      <c r="C1165" s="106">
        <f t="shared" ca="1" si="68"/>
        <v>1.2248602353684059</v>
      </c>
      <c r="D1165" s="106">
        <f t="shared" ca="1" si="69"/>
        <v>0.7498400923333407</v>
      </c>
      <c r="E1165" s="106">
        <f t="shared" ca="1" si="70"/>
        <v>0</v>
      </c>
      <c r="F1165" s="21">
        <f t="shared" ca="1" si="71"/>
        <v>0</v>
      </c>
      <c r="H1165" s="21">
        <v>1150</v>
      </c>
      <c r="I1165" s="107">
        <v>0.66748759079972142</v>
      </c>
      <c r="J1165" s="108">
        <v>1.0883685404938748E-3</v>
      </c>
      <c r="K1165" s="108"/>
      <c r="L1165" s="108">
        <v>3.8199999999999998E-2</v>
      </c>
      <c r="O1165" s="105"/>
    </row>
    <row r="1166" spans="2:15" x14ac:dyDescent="0.2">
      <c r="B1166" s="1">
        <v>1151</v>
      </c>
      <c r="C1166" s="106">
        <f t="shared" ca="1" si="68"/>
        <v>0.35980159241454163</v>
      </c>
      <c r="D1166" s="106">
        <f t="shared" ca="1" si="69"/>
        <v>0.68850972444295344</v>
      </c>
      <c r="E1166" s="106">
        <f t="shared" ca="1" si="70"/>
        <v>0</v>
      </c>
      <c r="F1166" s="21">
        <f t="shared" ca="1" si="71"/>
        <v>0</v>
      </c>
      <c r="H1166" s="21">
        <v>1151</v>
      </c>
      <c r="I1166" s="107">
        <v>0.66761794289285081</v>
      </c>
      <c r="J1166" s="108">
        <v>1.1994714948263213E-3</v>
      </c>
      <c r="K1166" s="108"/>
      <c r="L1166" s="108">
        <v>3.6999999999999998E-2</v>
      </c>
      <c r="O1166" s="105"/>
    </row>
    <row r="1167" spans="2:15" x14ac:dyDescent="0.2">
      <c r="B1167" s="1">
        <v>1152</v>
      </c>
      <c r="C1167" s="106">
        <f t="shared" ca="1" si="68"/>
        <v>0.64160603884328504</v>
      </c>
      <c r="D1167" s="106">
        <f t="shared" ca="1" si="69"/>
        <v>0.70791710702893651</v>
      </c>
      <c r="E1167" s="106">
        <f t="shared" ca="1" si="70"/>
        <v>0</v>
      </c>
      <c r="F1167" s="21">
        <f t="shared" ca="1" si="71"/>
        <v>0</v>
      </c>
      <c r="H1167" s="21">
        <v>1152</v>
      </c>
      <c r="I1167" s="107">
        <v>0.66750117726833325</v>
      </c>
      <c r="J1167" s="108">
        <v>1.0448157662571881E-3</v>
      </c>
      <c r="K1167" s="108"/>
      <c r="L1167" s="108">
        <v>3.6799999999999999E-2</v>
      </c>
      <c r="O1167" s="105"/>
    </row>
    <row r="1168" spans="2:15" x14ac:dyDescent="0.2">
      <c r="B1168" s="1">
        <v>1153</v>
      </c>
      <c r="C1168" s="106">
        <f t="shared" ref="C1168:C1231" ca="1" si="72">_xlfn.NORM.S.INV(RAND())</f>
        <v>7.8784927067345051E-2</v>
      </c>
      <c r="D1168" s="106">
        <f t="shared" ref="D1168:D1231" ca="1" si="73">S0*EXP((μ-0.5*σ*σ)*T+σ*SQRT(T)*$C1168)</f>
        <v>0.66968642854704519</v>
      </c>
      <c r="E1168" s="106">
        <f t="shared" ref="E1168:E1231" ca="1" si="74">MAX(0,CP*(D1168-K))</f>
        <v>0</v>
      </c>
      <c r="F1168" s="21">
        <f t="shared" ref="F1168:F1231" ca="1" si="75">(CP*(D1168-K)&gt;0)*1</f>
        <v>0</v>
      </c>
      <c r="H1168" s="21">
        <v>1153</v>
      </c>
      <c r="I1168" s="107">
        <v>0.66779319244582969</v>
      </c>
      <c r="J1168" s="108">
        <v>1.1919395015053155E-3</v>
      </c>
      <c r="K1168" s="108"/>
      <c r="L1168" s="108">
        <v>4.1599999999999998E-2</v>
      </c>
      <c r="O1168" s="105"/>
    </row>
    <row r="1169" spans="2:15" x14ac:dyDescent="0.2">
      <c r="B1169" s="1">
        <v>1154</v>
      </c>
      <c r="C1169" s="106">
        <f t="shared" ca="1" si="72"/>
        <v>-0.85145413100413625</v>
      </c>
      <c r="D1169" s="106">
        <f t="shared" ca="1" si="73"/>
        <v>0.61097104698313009</v>
      </c>
      <c r="E1169" s="106">
        <f t="shared" ca="1" si="74"/>
        <v>0</v>
      </c>
      <c r="F1169" s="21">
        <f t="shared" ca="1" si="75"/>
        <v>0</v>
      </c>
      <c r="H1169" s="21">
        <v>1154</v>
      </c>
      <c r="I1169" s="107">
        <v>0.66762187498155734</v>
      </c>
      <c r="J1169" s="108">
        <v>1.2567966442361632E-3</v>
      </c>
      <c r="K1169" s="108"/>
      <c r="L1169" s="108">
        <v>4.0599999999999997E-2</v>
      </c>
      <c r="O1169" s="105"/>
    </row>
    <row r="1170" spans="2:15" x14ac:dyDescent="0.2">
      <c r="B1170" s="1">
        <v>1155</v>
      </c>
      <c r="C1170" s="106">
        <f t="shared" ca="1" si="72"/>
        <v>0.73700307627140105</v>
      </c>
      <c r="D1170" s="106">
        <f t="shared" ca="1" si="73"/>
        <v>0.71461011239646832</v>
      </c>
      <c r="E1170" s="106">
        <f t="shared" ca="1" si="74"/>
        <v>0</v>
      </c>
      <c r="F1170" s="21">
        <f t="shared" ca="1" si="75"/>
        <v>0</v>
      </c>
      <c r="H1170" s="21">
        <v>1155</v>
      </c>
      <c r="I1170" s="107">
        <v>0.66767978328698196</v>
      </c>
      <c r="J1170" s="108">
        <v>1.2806930238839849E-3</v>
      </c>
      <c r="K1170" s="108"/>
      <c r="L1170" s="108">
        <v>4.1000000000000002E-2</v>
      </c>
      <c r="O1170" s="105"/>
    </row>
    <row r="1171" spans="2:15" x14ac:dyDescent="0.2">
      <c r="B1171" s="1">
        <v>1156</v>
      </c>
      <c r="C1171" s="106">
        <f t="shared" ca="1" si="72"/>
        <v>-1.2584481842994323E-2</v>
      </c>
      <c r="D1171" s="106">
        <f t="shared" ca="1" si="73"/>
        <v>0.66367779692212159</v>
      </c>
      <c r="E1171" s="106">
        <f t="shared" ca="1" si="74"/>
        <v>0</v>
      </c>
      <c r="F1171" s="21">
        <f t="shared" ca="1" si="75"/>
        <v>0</v>
      </c>
      <c r="H1171" s="21">
        <v>1156</v>
      </c>
      <c r="I1171" s="107">
        <v>0.66780528133394335</v>
      </c>
      <c r="J1171" s="108">
        <v>1.4274279068980712E-3</v>
      </c>
      <c r="K1171" s="108"/>
      <c r="L1171" s="108">
        <v>4.3999999999999997E-2</v>
      </c>
      <c r="O1171" s="105"/>
    </row>
    <row r="1172" spans="2:15" x14ac:dyDescent="0.2">
      <c r="B1172" s="1">
        <v>1157</v>
      </c>
      <c r="C1172" s="106">
        <f t="shared" ca="1" si="72"/>
        <v>-0.97243963793655719</v>
      </c>
      <c r="D1172" s="106">
        <f t="shared" ca="1" si="73"/>
        <v>0.60372295019102218</v>
      </c>
      <c r="E1172" s="106">
        <f t="shared" ca="1" si="74"/>
        <v>0</v>
      </c>
      <c r="F1172" s="21">
        <f t="shared" ca="1" si="75"/>
        <v>0</v>
      </c>
      <c r="H1172" s="21">
        <v>1157</v>
      </c>
      <c r="I1172" s="107">
        <v>0.66758691795989111</v>
      </c>
      <c r="J1172" s="108">
        <v>1.2656730347148607E-3</v>
      </c>
      <c r="K1172" s="108"/>
      <c r="L1172" s="108">
        <v>3.6400000000000002E-2</v>
      </c>
      <c r="O1172" s="105"/>
    </row>
    <row r="1173" spans="2:15" x14ac:dyDescent="0.2">
      <c r="B1173" s="1">
        <v>1158</v>
      </c>
      <c r="C1173" s="106">
        <f t="shared" ca="1" si="72"/>
        <v>-0.73170773432497727</v>
      </c>
      <c r="D1173" s="106">
        <f t="shared" ca="1" si="73"/>
        <v>0.61823059262832358</v>
      </c>
      <c r="E1173" s="106">
        <f t="shared" ca="1" si="74"/>
        <v>0</v>
      </c>
      <c r="F1173" s="21">
        <f t="shared" ca="1" si="75"/>
        <v>0</v>
      </c>
      <c r="H1173" s="21">
        <v>1158</v>
      </c>
      <c r="I1173" s="107">
        <v>0.6677800945979292</v>
      </c>
      <c r="J1173" s="108">
        <v>1.5531703561027265E-3</v>
      </c>
      <c r="K1173" s="108"/>
      <c r="L1173" s="108">
        <v>4.24E-2</v>
      </c>
      <c r="O1173" s="105"/>
    </row>
    <row r="1174" spans="2:15" x14ac:dyDescent="0.2">
      <c r="B1174" s="1">
        <v>1159</v>
      </c>
      <c r="C1174" s="106">
        <f t="shared" ca="1" si="72"/>
        <v>-2.3078709400087836</v>
      </c>
      <c r="D1174" s="106">
        <f t="shared" ca="1" si="73"/>
        <v>0.52921071885342807</v>
      </c>
      <c r="E1174" s="106">
        <f t="shared" ca="1" si="74"/>
        <v>0</v>
      </c>
      <c r="F1174" s="21">
        <f t="shared" ca="1" si="75"/>
        <v>0</v>
      </c>
      <c r="H1174" s="21">
        <v>1159</v>
      </c>
      <c r="I1174" s="107">
        <v>0.6677643657841803</v>
      </c>
      <c r="J1174" s="108">
        <v>1.4297194068272733E-3</v>
      </c>
      <c r="K1174" s="108"/>
      <c r="L1174" s="108">
        <v>4.3999999999999997E-2</v>
      </c>
      <c r="O1174" s="105"/>
    </row>
    <row r="1175" spans="2:15" x14ac:dyDescent="0.2">
      <c r="B1175" s="1">
        <v>1160</v>
      </c>
      <c r="C1175" s="106">
        <f t="shared" ca="1" si="72"/>
        <v>-1.4017785176404856</v>
      </c>
      <c r="D1175" s="106">
        <f t="shared" ca="1" si="73"/>
        <v>0.57868879421382879</v>
      </c>
      <c r="E1175" s="106">
        <f t="shared" ca="1" si="74"/>
        <v>0</v>
      </c>
      <c r="F1175" s="21">
        <f t="shared" ca="1" si="75"/>
        <v>0</v>
      </c>
      <c r="H1175" s="21">
        <v>1160</v>
      </c>
      <c r="I1175" s="107">
        <v>0.66757173643102174</v>
      </c>
      <c r="J1175" s="108">
        <v>1.2382550183960368E-3</v>
      </c>
      <c r="K1175" s="108"/>
      <c r="L1175" s="108">
        <v>3.8800000000000001E-2</v>
      </c>
      <c r="O1175" s="105"/>
    </row>
    <row r="1176" spans="2:15" x14ac:dyDescent="0.2">
      <c r="B1176" s="1">
        <v>1161</v>
      </c>
      <c r="C1176" s="106">
        <f t="shared" ca="1" si="72"/>
        <v>1.0961253475842956</v>
      </c>
      <c r="D1176" s="106">
        <f t="shared" ca="1" si="73"/>
        <v>0.74037839016644658</v>
      </c>
      <c r="E1176" s="106">
        <f t="shared" ca="1" si="74"/>
        <v>0</v>
      </c>
      <c r="F1176" s="21">
        <f t="shared" ca="1" si="75"/>
        <v>0</v>
      </c>
      <c r="H1176" s="21">
        <v>1161</v>
      </c>
      <c r="I1176" s="107">
        <v>0.66773039471659124</v>
      </c>
      <c r="J1176" s="108">
        <v>1.3074862162615313E-3</v>
      </c>
      <c r="K1176" s="108"/>
      <c r="L1176" s="108">
        <v>4.0800000000000003E-2</v>
      </c>
      <c r="O1176" s="105"/>
    </row>
    <row r="1177" spans="2:15" x14ac:dyDescent="0.2">
      <c r="B1177" s="1">
        <v>1162</v>
      </c>
      <c r="C1177" s="106">
        <f t="shared" ca="1" si="72"/>
        <v>-2.7556099754212009</v>
      </c>
      <c r="D1177" s="106">
        <f t="shared" ca="1" si="73"/>
        <v>0.50634644798345363</v>
      </c>
      <c r="E1177" s="106">
        <f t="shared" ca="1" si="74"/>
        <v>0</v>
      </c>
      <c r="F1177" s="21">
        <f t="shared" ca="1" si="75"/>
        <v>0</v>
      </c>
      <c r="H1177" s="21">
        <v>1162</v>
      </c>
      <c r="I1177" s="107">
        <v>0.66760063517094825</v>
      </c>
      <c r="J1177" s="108">
        <v>1.1391896961938915E-3</v>
      </c>
      <c r="K1177" s="108"/>
      <c r="L1177" s="108">
        <v>3.6999999999999998E-2</v>
      </c>
      <c r="O1177" s="105"/>
    </row>
    <row r="1178" spans="2:15" x14ac:dyDescent="0.2">
      <c r="B1178" s="1">
        <v>1163</v>
      </c>
      <c r="C1178" s="106">
        <f t="shared" ca="1" si="72"/>
        <v>0.80572652051946259</v>
      </c>
      <c r="D1178" s="106">
        <f t="shared" ca="1" si="73"/>
        <v>0.71947089101624129</v>
      </c>
      <c r="E1178" s="106">
        <f t="shared" ca="1" si="74"/>
        <v>0</v>
      </c>
      <c r="F1178" s="21">
        <f t="shared" ca="1" si="75"/>
        <v>0</v>
      </c>
      <c r="H1178" s="21">
        <v>1163</v>
      </c>
      <c r="I1178" s="107">
        <v>0.66779009908042175</v>
      </c>
      <c r="J1178" s="108">
        <v>1.4153601550377548E-3</v>
      </c>
      <c r="K1178" s="108"/>
      <c r="L1178" s="108">
        <v>4.6399999999999997E-2</v>
      </c>
      <c r="O1178" s="105"/>
    </row>
    <row r="1179" spans="2:15" x14ac:dyDescent="0.2">
      <c r="B1179" s="1">
        <v>1164</v>
      </c>
      <c r="C1179" s="106">
        <f t="shared" ca="1" si="72"/>
        <v>-0.17171341799405049</v>
      </c>
      <c r="D1179" s="106">
        <f t="shared" ca="1" si="73"/>
        <v>0.65334158715539381</v>
      </c>
      <c r="E1179" s="106">
        <f t="shared" ca="1" si="74"/>
        <v>0</v>
      </c>
      <c r="F1179" s="21">
        <f t="shared" ca="1" si="75"/>
        <v>0</v>
      </c>
      <c r="H1179" s="21">
        <v>1164</v>
      </c>
      <c r="I1179" s="107">
        <v>0.66762522107992794</v>
      </c>
      <c r="J1179" s="108">
        <v>1.191562721166503E-3</v>
      </c>
      <c r="K1179" s="108"/>
      <c r="L1179" s="108">
        <v>3.7199999999999997E-2</v>
      </c>
      <c r="O1179" s="105"/>
    </row>
    <row r="1180" spans="2:15" x14ac:dyDescent="0.2">
      <c r="B1180" s="1">
        <v>1165</v>
      </c>
      <c r="C1180" s="106">
        <f t="shared" ca="1" si="72"/>
        <v>0.80099453503086271</v>
      </c>
      <c r="D1180" s="106">
        <f t="shared" ca="1" si="73"/>
        <v>0.71913514244083288</v>
      </c>
      <c r="E1180" s="106">
        <f t="shared" ca="1" si="74"/>
        <v>0</v>
      </c>
      <c r="F1180" s="21">
        <f t="shared" ca="1" si="75"/>
        <v>0</v>
      </c>
      <c r="H1180" s="21">
        <v>1165</v>
      </c>
      <c r="I1180" s="107">
        <v>0.66787613311110872</v>
      </c>
      <c r="J1180" s="108">
        <v>1.527131162563151E-3</v>
      </c>
      <c r="K1180" s="108"/>
      <c r="L1180" s="108">
        <v>4.6600000000000003E-2</v>
      </c>
      <c r="O1180" s="105"/>
    </row>
    <row r="1181" spans="2:15" x14ac:dyDescent="0.2">
      <c r="B1181" s="1">
        <v>1166</v>
      </c>
      <c r="C1181" s="106">
        <f t="shared" ca="1" si="72"/>
        <v>-1.2974423212702451</v>
      </c>
      <c r="D1181" s="106">
        <f t="shared" ca="1" si="73"/>
        <v>0.58467533215812117</v>
      </c>
      <c r="E1181" s="106">
        <f t="shared" ca="1" si="74"/>
        <v>0</v>
      </c>
      <c r="F1181" s="21">
        <f t="shared" ca="1" si="75"/>
        <v>0</v>
      </c>
      <c r="H1181" s="21">
        <v>1166</v>
      </c>
      <c r="I1181" s="107">
        <v>0.66778836567117739</v>
      </c>
      <c r="J1181" s="108">
        <v>1.3289178389962243E-3</v>
      </c>
      <c r="K1181" s="108"/>
      <c r="L1181" s="108">
        <v>4.5199999999999997E-2</v>
      </c>
      <c r="O1181" s="105"/>
    </row>
    <row r="1182" spans="2:15" x14ac:dyDescent="0.2">
      <c r="B1182" s="1">
        <v>1167</v>
      </c>
      <c r="C1182" s="106">
        <f t="shared" ca="1" si="72"/>
        <v>1.0466825139474742</v>
      </c>
      <c r="D1182" s="106">
        <f t="shared" ca="1" si="73"/>
        <v>0.7367762768745596</v>
      </c>
      <c r="E1182" s="106">
        <f t="shared" ca="1" si="74"/>
        <v>0</v>
      </c>
      <c r="F1182" s="21">
        <f t="shared" ca="1" si="75"/>
        <v>0</v>
      </c>
      <c r="H1182" s="21">
        <v>1167</v>
      </c>
      <c r="I1182" s="107">
        <v>0.66770611847785599</v>
      </c>
      <c r="J1182" s="108">
        <v>1.3811797639330121E-3</v>
      </c>
      <c r="K1182" s="108"/>
      <c r="L1182" s="108">
        <v>3.9399999999999998E-2</v>
      </c>
      <c r="O1182" s="105"/>
    </row>
    <row r="1183" spans="2:15" x14ac:dyDescent="0.2">
      <c r="B1183" s="1">
        <v>1168</v>
      </c>
      <c r="C1183" s="106">
        <f t="shared" ca="1" si="72"/>
        <v>-0.83074035559386628</v>
      </c>
      <c r="D1183" s="106">
        <f t="shared" ca="1" si="73"/>
        <v>0.61222068017507081</v>
      </c>
      <c r="E1183" s="106">
        <f t="shared" ca="1" si="74"/>
        <v>0</v>
      </c>
      <c r="F1183" s="21">
        <f t="shared" ca="1" si="75"/>
        <v>0</v>
      </c>
      <c r="H1183" s="21">
        <v>1168</v>
      </c>
      <c r="I1183" s="107">
        <v>0.66771103220904204</v>
      </c>
      <c r="J1183" s="108">
        <v>1.4002611170554448E-3</v>
      </c>
      <c r="K1183" s="108"/>
      <c r="L1183" s="108">
        <v>4.0800000000000003E-2</v>
      </c>
      <c r="O1183" s="105"/>
    </row>
    <row r="1184" spans="2:15" x14ac:dyDescent="0.2">
      <c r="B1184" s="1">
        <v>1169</v>
      </c>
      <c r="C1184" s="106">
        <f t="shared" ca="1" si="72"/>
        <v>-0.10434102647678861</v>
      </c>
      <c r="D1184" s="106">
        <f t="shared" ca="1" si="73"/>
        <v>0.65769796020565063</v>
      </c>
      <c r="E1184" s="106">
        <f t="shared" ca="1" si="74"/>
        <v>0</v>
      </c>
      <c r="F1184" s="21">
        <f t="shared" ca="1" si="75"/>
        <v>0</v>
      </c>
      <c r="H1184" s="21">
        <v>1169</v>
      </c>
      <c r="I1184" s="107">
        <v>0.66787919104347548</v>
      </c>
      <c r="J1184" s="108">
        <v>1.4781134246443664E-3</v>
      </c>
      <c r="K1184" s="108"/>
      <c r="L1184" s="108">
        <v>4.5400000000000003E-2</v>
      </c>
      <c r="O1184" s="105"/>
    </row>
    <row r="1185" spans="2:15" x14ac:dyDescent="0.2">
      <c r="B1185" s="1">
        <v>1170</v>
      </c>
      <c r="C1185" s="106">
        <f t="shared" ca="1" si="72"/>
        <v>-0.66530531401799542</v>
      </c>
      <c r="D1185" s="106">
        <f t="shared" ca="1" si="73"/>
        <v>0.62229330800307558</v>
      </c>
      <c r="E1185" s="106">
        <f t="shared" ca="1" si="74"/>
        <v>0</v>
      </c>
      <c r="F1185" s="21">
        <f t="shared" ca="1" si="75"/>
        <v>0</v>
      </c>
      <c r="H1185" s="21">
        <v>1170</v>
      </c>
      <c r="I1185" s="107">
        <v>0.66766362872549034</v>
      </c>
      <c r="J1185" s="108">
        <v>1.2743029782061707E-3</v>
      </c>
      <c r="K1185" s="108"/>
      <c r="L1185" s="108">
        <v>3.9800000000000002E-2</v>
      </c>
      <c r="O1185" s="105"/>
    </row>
    <row r="1186" spans="2:15" x14ac:dyDescent="0.2">
      <c r="B1186" s="1">
        <v>1171</v>
      </c>
      <c r="C1186" s="106">
        <f t="shared" ca="1" si="72"/>
        <v>1.172994618314543</v>
      </c>
      <c r="D1186" s="106">
        <f t="shared" ca="1" si="73"/>
        <v>0.74601363711204982</v>
      </c>
      <c r="E1186" s="106">
        <f t="shared" ca="1" si="74"/>
        <v>0</v>
      </c>
      <c r="F1186" s="21">
        <f t="shared" ca="1" si="75"/>
        <v>0</v>
      </c>
      <c r="H1186" s="21">
        <v>1171</v>
      </c>
      <c r="I1186" s="107">
        <v>0.66763865530621092</v>
      </c>
      <c r="J1186" s="108">
        <v>1.4091548093059254E-3</v>
      </c>
      <c r="K1186" s="108"/>
      <c r="L1186" s="108">
        <v>4.0800000000000003E-2</v>
      </c>
      <c r="O1186" s="105"/>
    </row>
    <row r="1187" spans="2:15" x14ac:dyDescent="0.2">
      <c r="B1187" s="1">
        <v>1172</v>
      </c>
      <c r="C1187" s="106">
        <f t="shared" ca="1" si="72"/>
        <v>-0.95079744782343245</v>
      </c>
      <c r="D1187" s="106">
        <f t="shared" ca="1" si="73"/>
        <v>0.60501316328626242</v>
      </c>
      <c r="E1187" s="106">
        <f t="shared" ca="1" si="74"/>
        <v>0</v>
      </c>
      <c r="F1187" s="21">
        <f t="shared" ca="1" si="75"/>
        <v>0</v>
      </c>
      <c r="H1187" s="21">
        <v>1172</v>
      </c>
      <c r="I1187" s="107">
        <v>0.66787349229027981</v>
      </c>
      <c r="J1187" s="108">
        <v>1.411145648690233E-3</v>
      </c>
      <c r="K1187" s="108"/>
      <c r="L1187" s="108">
        <v>4.48E-2</v>
      </c>
      <c r="O1187" s="105"/>
    </row>
    <row r="1188" spans="2:15" x14ac:dyDescent="0.2">
      <c r="B1188" s="1">
        <v>1173</v>
      </c>
      <c r="C1188" s="106">
        <f t="shared" ca="1" si="72"/>
        <v>-0.2354266223288464</v>
      </c>
      <c r="D1188" s="106">
        <f t="shared" ca="1" si="73"/>
        <v>0.64924837128733093</v>
      </c>
      <c r="E1188" s="106">
        <f t="shared" ca="1" si="74"/>
        <v>0</v>
      </c>
      <c r="F1188" s="21">
        <f t="shared" ca="1" si="75"/>
        <v>0</v>
      </c>
      <c r="H1188" s="21">
        <v>1173</v>
      </c>
      <c r="I1188" s="107">
        <v>0.66766366494768725</v>
      </c>
      <c r="J1188" s="108">
        <v>1.1152569377345623E-3</v>
      </c>
      <c r="K1188" s="108"/>
      <c r="L1188" s="108">
        <v>3.8399999999999997E-2</v>
      </c>
      <c r="O1188" s="105"/>
    </row>
    <row r="1189" spans="2:15" x14ac:dyDescent="0.2">
      <c r="B1189" s="1">
        <v>1174</v>
      </c>
      <c r="C1189" s="106">
        <f t="shared" ca="1" si="72"/>
        <v>-1.5597415046593082</v>
      </c>
      <c r="D1189" s="106">
        <f t="shared" ca="1" si="73"/>
        <v>0.56974173759244873</v>
      </c>
      <c r="E1189" s="106">
        <f t="shared" ca="1" si="74"/>
        <v>0</v>
      </c>
      <c r="F1189" s="21">
        <f t="shared" ca="1" si="75"/>
        <v>0</v>
      </c>
      <c r="H1189" s="21">
        <v>1174</v>
      </c>
      <c r="I1189" s="107">
        <v>0.66774769678759238</v>
      </c>
      <c r="J1189" s="108">
        <v>1.286357165525517E-3</v>
      </c>
      <c r="K1189" s="108"/>
      <c r="L1189" s="108">
        <v>4.3200000000000002E-2</v>
      </c>
      <c r="O1189" s="105"/>
    </row>
    <row r="1190" spans="2:15" x14ac:dyDescent="0.2">
      <c r="B1190" s="1">
        <v>1175</v>
      </c>
      <c r="C1190" s="106">
        <f t="shared" ca="1" si="72"/>
        <v>-0.56365012771342748</v>
      </c>
      <c r="D1190" s="106">
        <f t="shared" ca="1" si="73"/>
        <v>0.62856468363613849</v>
      </c>
      <c r="E1190" s="106">
        <f t="shared" ca="1" si="74"/>
        <v>0</v>
      </c>
      <c r="F1190" s="21">
        <f t="shared" ca="1" si="75"/>
        <v>0</v>
      </c>
      <c r="H1190" s="21">
        <v>1175</v>
      </c>
      <c r="I1190" s="107">
        <v>0.66761513841843645</v>
      </c>
      <c r="J1190" s="108">
        <v>1.2079886891313671E-3</v>
      </c>
      <c r="K1190" s="108"/>
      <c r="L1190" s="108">
        <v>4.0599999999999997E-2</v>
      </c>
      <c r="O1190" s="105"/>
    </row>
    <row r="1191" spans="2:15" x14ac:dyDescent="0.2">
      <c r="B1191" s="1">
        <v>1176</v>
      </c>
      <c r="C1191" s="106">
        <f t="shared" ca="1" si="72"/>
        <v>-0.97897747665841739</v>
      </c>
      <c r="D1191" s="106">
        <f t="shared" ca="1" si="73"/>
        <v>0.60333373412534419</v>
      </c>
      <c r="E1191" s="106">
        <f t="shared" ca="1" si="74"/>
        <v>0</v>
      </c>
      <c r="F1191" s="21">
        <f t="shared" ca="1" si="75"/>
        <v>0</v>
      </c>
      <c r="H1191" s="21">
        <v>1176</v>
      </c>
      <c r="I1191" s="107">
        <v>0.66764595121962689</v>
      </c>
      <c r="J1191" s="108">
        <v>1.311971394922243E-3</v>
      </c>
      <c r="K1191" s="108"/>
      <c r="L1191" s="108">
        <v>3.8800000000000001E-2</v>
      </c>
      <c r="O1191" s="105"/>
    </row>
    <row r="1192" spans="2:15" x14ac:dyDescent="0.2">
      <c r="B1192" s="1">
        <v>1177</v>
      </c>
      <c r="C1192" s="106">
        <f t="shared" ca="1" si="72"/>
        <v>0.45575526614442713</v>
      </c>
      <c r="D1192" s="106">
        <f t="shared" ca="1" si="73"/>
        <v>0.69505740533490035</v>
      </c>
      <c r="E1192" s="106">
        <f t="shared" ca="1" si="74"/>
        <v>0</v>
      </c>
      <c r="F1192" s="21">
        <f t="shared" ca="1" si="75"/>
        <v>0</v>
      </c>
      <c r="H1192" s="21">
        <v>1177</v>
      </c>
      <c r="I1192" s="107">
        <v>0.66779230194363859</v>
      </c>
      <c r="J1192" s="108">
        <v>1.397909258992254E-3</v>
      </c>
      <c r="K1192" s="108"/>
      <c r="L1192" s="108">
        <v>4.1599999999999998E-2</v>
      </c>
      <c r="O1192" s="105"/>
    </row>
    <row r="1193" spans="2:15" x14ac:dyDescent="0.2">
      <c r="B1193" s="1">
        <v>1178</v>
      </c>
      <c r="C1193" s="106">
        <f t="shared" ca="1" si="72"/>
        <v>-1.9219950758565023E-2</v>
      </c>
      <c r="D1193" s="106">
        <f t="shared" ca="1" si="73"/>
        <v>0.66324354106332584</v>
      </c>
      <c r="E1193" s="106">
        <f t="shared" ca="1" si="74"/>
        <v>0</v>
      </c>
      <c r="F1193" s="21">
        <f t="shared" ca="1" si="75"/>
        <v>0</v>
      </c>
      <c r="H1193" s="21">
        <v>1178</v>
      </c>
      <c r="I1193" s="107">
        <v>0.66778774053332746</v>
      </c>
      <c r="J1193" s="108">
        <v>1.3941565067232039E-3</v>
      </c>
      <c r="K1193" s="108"/>
      <c r="L1193" s="108">
        <v>4.1799999999999997E-2</v>
      </c>
      <c r="O1193" s="105"/>
    </row>
    <row r="1194" spans="2:15" x14ac:dyDescent="0.2">
      <c r="B1194" s="1">
        <v>1179</v>
      </c>
      <c r="C1194" s="106">
        <f t="shared" ca="1" si="72"/>
        <v>0.23044824220238211</v>
      </c>
      <c r="D1194" s="106">
        <f t="shared" ca="1" si="73"/>
        <v>0.6797804349236749</v>
      </c>
      <c r="E1194" s="106">
        <f t="shared" ca="1" si="74"/>
        <v>0</v>
      </c>
      <c r="F1194" s="21">
        <f t="shared" ca="1" si="75"/>
        <v>0</v>
      </c>
      <c r="H1194" s="21">
        <v>1179</v>
      </c>
      <c r="I1194" s="107">
        <v>0.66773391159794715</v>
      </c>
      <c r="J1194" s="108">
        <v>1.3578571514138321E-3</v>
      </c>
      <c r="K1194" s="108"/>
      <c r="L1194" s="108">
        <v>4.1599999999999998E-2</v>
      </c>
      <c r="O1194" s="105"/>
    </row>
    <row r="1195" spans="2:15" x14ac:dyDescent="0.2">
      <c r="B1195" s="1">
        <v>1180</v>
      </c>
      <c r="C1195" s="106">
        <f t="shared" ca="1" si="72"/>
        <v>-0.1984864884269639</v>
      </c>
      <c r="D1195" s="106">
        <f t="shared" ca="1" si="73"/>
        <v>0.65161843336501069</v>
      </c>
      <c r="E1195" s="106">
        <f t="shared" ca="1" si="74"/>
        <v>0</v>
      </c>
      <c r="F1195" s="21">
        <f t="shared" ca="1" si="75"/>
        <v>0</v>
      </c>
      <c r="H1195" s="21">
        <v>1180</v>
      </c>
      <c r="I1195" s="107">
        <v>0.66784659001792535</v>
      </c>
      <c r="J1195" s="108">
        <v>1.444560232803517E-3</v>
      </c>
      <c r="K1195" s="108"/>
      <c r="L1195" s="108">
        <v>4.48E-2</v>
      </c>
      <c r="O1195" s="105"/>
    </row>
    <row r="1196" spans="2:15" x14ac:dyDescent="0.2">
      <c r="B1196" s="1">
        <v>1181</v>
      </c>
      <c r="C1196" s="106">
        <f t="shared" ca="1" si="72"/>
        <v>-0.25075209148056915</v>
      </c>
      <c r="D1196" s="106">
        <f t="shared" ca="1" si="73"/>
        <v>0.64826762804972948</v>
      </c>
      <c r="E1196" s="106">
        <f t="shared" ca="1" si="74"/>
        <v>0</v>
      </c>
      <c r="F1196" s="21">
        <f t="shared" ca="1" si="75"/>
        <v>0</v>
      </c>
      <c r="H1196" s="21">
        <v>1181</v>
      </c>
      <c r="I1196" s="107">
        <v>0.66778923465959883</v>
      </c>
      <c r="J1196" s="108">
        <v>1.488635689554537E-3</v>
      </c>
      <c r="K1196" s="108"/>
      <c r="L1196" s="108">
        <v>4.4999999999999998E-2</v>
      </c>
      <c r="O1196" s="105"/>
    </row>
    <row r="1197" spans="2:15" x14ac:dyDescent="0.2">
      <c r="B1197" s="1">
        <v>1182</v>
      </c>
      <c r="C1197" s="106">
        <f t="shared" ca="1" si="72"/>
        <v>0.97387109170783626</v>
      </c>
      <c r="D1197" s="106">
        <f t="shared" ca="1" si="73"/>
        <v>0.73150354868468914</v>
      </c>
      <c r="E1197" s="106">
        <f t="shared" ca="1" si="74"/>
        <v>0</v>
      </c>
      <c r="F1197" s="21">
        <f t="shared" ca="1" si="75"/>
        <v>0</v>
      </c>
      <c r="H1197" s="21">
        <v>1182</v>
      </c>
      <c r="I1197" s="107">
        <v>0.66774259598013463</v>
      </c>
      <c r="J1197" s="108">
        <v>1.4265690261142602E-3</v>
      </c>
      <c r="K1197" s="108"/>
      <c r="L1197" s="108">
        <v>4.3999999999999997E-2</v>
      </c>
      <c r="O1197" s="105"/>
    </row>
    <row r="1198" spans="2:15" x14ac:dyDescent="0.2">
      <c r="B1198" s="1">
        <v>1183</v>
      </c>
      <c r="C1198" s="106">
        <f t="shared" ca="1" si="72"/>
        <v>0.42994568754201645</v>
      </c>
      <c r="D1198" s="106">
        <f t="shared" ca="1" si="73"/>
        <v>0.69329011552508135</v>
      </c>
      <c r="E1198" s="106">
        <f t="shared" ca="1" si="74"/>
        <v>0</v>
      </c>
      <c r="F1198" s="21">
        <f t="shared" ca="1" si="75"/>
        <v>0</v>
      </c>
      <c r="H1198" s="21">
        <v>1183</v>
      </c>
      <c r="I1198" s="107">
        <v>0.66766168700768525</v>
      </c>
      <c r="J1198" s="108">
        <v>1.2571162207066033E-3</v>
      </c>
      <c r="K1198" s="108"/>
      <c r="L1198" s="108">
        <v>3.8600000000000002E-2</v>
      </c>
      <c r="O1198" s="105"/>
    </row>
    <row r="1199" spans="2:15" x14ac:dyDescent="0.2">
      <c r="B1199" s="1">
        <v>1184</v>
      </c>
      <c r="C1199" s="106">
        <f t="shared" ca="1" si="72"/>
        <v>5.1944679655209193E-2</v>
      </c>
      <c r="D1199" s="106">
        <f t="shared" ca="1" si="73"/>
        <v>0.6679157401951491</v>
      </c>
      <c r="E1199" s="106">
        <f t="shared" ca="1" si="74"/>
        <v>0</v>
      </c>
      <c r="F1199" s="21">
        <f t="shared" ca="1" si="75"/>
        <v>0</v>
      </c>
      <c r="H1199" s="21">
        <v>1184</v>
      </c>
      <c r="I1199" s="107">
        <v>0.6677410316357173</v>
      </c>
      <c r="J1199" s="108">
        <v>1.436264511490949E-3</v>
      </c>
      <c r="K1199" s="108"/>
      <c r="L1199" s="108">
        <v>4.1200000000000001E-2</v>
      </c>
      <c r="O1199" s="105"/>
    </row>
    <row r="1200" spans="2:15" x14ac:dyDescent="0.2">
      <c r="B1200" s="1">
        <v>1185</v>
      </c>
      <c r="C1200" s="106">
        <f t="shared" ca="1" si="72"/>
        <v>-0.30287368344996279</v>
      </c>
      <c r="D1200" s="106">
        <f t="shared" ca="1" si="73"/>
        <v>0.64494321515794739</v>
      </c>
      <c r="E1200" s="106">
        <f t="shared" ca="1" si="74"/>
        <v>0</v>
      </c>
      <c r="F1200" s="21">
        <f t="shared" ca="1" si="75"/>
        <v>0</v>
      </c>
      <c r="H1200" s="21">
        <v>1185</v>
      </c>
      <c r="I1200" s="107">
        <v>0.66768701321431378</v>
      </c>
      <c r="J1200" s="108">
        <v>1.334406605439367E-3</v>
      </c>
      <c r="K1200" s="108"/>
      <c r="L1200" s="108">
        <v>4.5400000000000003E-2</v>
      </c>
      <c r="O1200" s="105"/>
    </row>
    <row r="1201" spans="2:15" x14ac:dyDescent="0.2">
      <c r="B1201" s="1">
        <v>1186</v>
      </c>
      <c r="C1201" s="106">
        <f t="shared" ca="1" si="72"/>
        <v>0.53737064243158283</v>
      </c>
      <c r="D1201" s="106">
        <f t="shared" ca="1" si="73"/>
        <v>0.70067565341124505</v>
      </c>
      <c r="E1201" s="106">
        <f t="shared" ca="1" si="74"/>
        <v>0</v>
      </c>
      <c r="F1201" s="21">
        <f t="shared" ca="1" si="75"/>
        <v>0</v>
      </c>
      <c r="H1201" s="21">
        <v>1186</v>
      </c>
      <c r="I1201" s="107">
        <v>0.66769855353264762</v>
      </c>
      <c r="J1201" s="108">
        <v>1.2809108547609963E-3</v>
      </c>
      <c r="K1201" s="108"/>
      <c r="L1201" s="108">
        <v>4.1799999999999997E-2</v>
      </c>
      <c r="O1201" s="105"/>
    </row>
    <row r="1202" spans="2:15" x14ac:dyDescent="0.2">
      <c r="B1202" s="1">
        <v>1187</v>
      </c>
      <c r="C1202" s="106">
        <f t="shared" ca="1" si="72"/>
        <v>-0.22982231214220131</v>
      </c>
      <c r="D1202" s="106">
        <f t="shared" ca="1" si="73"/>
        <v>0.64960738578138222</v>
      </c>
      <c r="E1202" s="106">
        <f t="shared" ca="1" si="74"/>
        <v>0</v>
      </c>
      <c r="F1202" s="21">
        <f t="shared" ca="1" si="75"/>
        <v>0</v>
      </c>
      <c r="H1202" s="21">
        <v>1187</v>
      </c>
      <c r="I1202" s="107">
        <v>0.6676640406952532</v>
      </c>
      <c r="J1202" s="108">
        <v>1.2766187516578314E-3</v>
      </c>
      <c r="K1202" s="108"/>
      <c r="L1202" s="108">
        <v>0.04</v>
      </c>
      <c r="O1202" s="105"/>
    </row>
    <row r="1203" spans="2:15" x14ac:dyDescent="0.2">
      <c r="B1203" s="1">
        <v>1188</v>
      </c>
      <c r="C1203" s="106">
        <f t="shared" ca="1" si="72"/>
        <v>0.42072559019802119</v>
      </c>
      <c r="D1203" s="106">
        <f t="shared" ca="1" si="73"/>
        <v>0.69265986685398917</v>
      </c>
      <c r="E1203" s="106">
        <f t="shared" ca="1" si="74"/>
        <v>0</v>
      </c>
      <c r="F1203" s="21">
        <f t="shared" ca="1" si="75"/>
        <v>0</v>
      </c>
      <c r="H1203" s="21">
        <v>1188</v>
      </c>
      <c r="I1203" s="107">
        <v>0.66764973143135153</v>
      </c>
      <c r="J1203" s="108">
        <v>1.2289253744305062E-3</v>
      </c>
      <c r="K1203" s="108"/>
      <c r="L1203" s="108">
        <v>3.6400000000000002E-2</v>
      </c>
      <c r="O1203" s="105"/>
    </row>
    <row r="1204" spans="2:15" x14ac:dyDescent="0.2">
      <c r="B1204" s="1">
        <v>1189</v>
      </c>
      <c r="C1204" s="106">
        <f t="shared" ca="1" si="72"/>
        <v>0.26227821653928995</v>
      </c>
      <c r="D1204" s="106">
        <f t="shared" ca="1" si="73"/>
        <v>0.68191813029339343</v>
      </c>
      <c r="E1204" s="106">
        <f t="shared" ca="1" si="74"/>
        <v>0</v>
      </c>
      <c r="F1204" s="21">
        <f t="shared" ca="1" si="75"/>
        <v>0</v>
      </c>
      <c r="H1204" s="21">
        <v>1189</v>
      </c>
      <c r="I1204" s="107">
        <v>0.66768493562509323</v>
      </c>
      <c r="J1204" s="108">
        <v>1.2643975618255182E-3</v>
      </c>
      <c r="K1204" s="108"/>
      <c r="L1204" s="108">
        <v>4.2799999999999998E-2</v>
      </c>
      <c r="O1204" s="105"/>
    </row>
    <row r="1205" spans="2:15" x14ac:dyDescent="0.2">
      <c r="B1205" s="1">
        <v>1190</v>
      </c>
      <c r="C1205" s="106">
        <f t="shared" ca="1" si="72"/>
        <v>-0.47209325543645481</v>
      </c>
      <c r="D1205" s="106">
        <f t="shared" ca="1" si="73"/>
        <v>0.63426714591175648</v>
      </c>
      <c r="E1205" s="106">
        <f t="shared" ca="1" si="74"/>
        <v>0</v>
      </c>
      <c r="F1205" s="21">
        <f t="shared" ca="1" si="75"/>
        <v>0</v>
      </c>
      <c r="H1205" s="21">
        <v>1190</v>
      </c>
      <c r="I1205" s="107">
        <v>0.66771584881729729</v>
      </c>
      <c r="J1205" s="108">
        <v>1.3275326495883445E-3</v>
      </c>
      <c r="K1205" s="108"/>
      <c r="L1205" s="108">
        <v>0.04</v>
      </c>
      <c r="O1205" s="105"/>
    </row>
    <row r="1206" spans="2:15" x14ac:dyDescent="0.2">
      <c r="B1206" s="1">
        <v>1191</v>
      </c>
      <c r="C1206" s="106">
        <f t="shared" ca="1" si="72"/>
        <v>-1.104100209462366</v>
      </c>
      <c r="D1206" s="106">
        <f t="shared" ca="1" si="73"/>
        <v>0.59593298987010124</v>
      </c>
      <c r="E1206" s="106">
        <f t="shared" ca="1" si="74"/>
        <v>0</v>
      </c>
      <c r="F1206" s="21">
        <f t="shared" ca="1" si="75"/>
        <v>0</v>
      </c>
      <c r="H1206" s="21">
        <v>1191</v>
      </c>
      <c r="I1206" s="107">
        <v>0.66781556164589972</v>
      </c>
      <c r="J1206" s="108">
        <v>1.5668306750344903E-3</v>
      </c>
      <c r="K1206" s="108"/>
      <c r="L1206" s="108">
        <v>4.4999999999999998E-2</v>
      </c>
      <c r="O1206" s="105"/>
    </row>
    <row r="1207" spans="2:15" x14ac:dyDescent="0.2">
      <c r="B1207" s="1">
        <v>1192</v>
      </c>
      <c r="C1207" s="106">
        <f t="shared" ca="1" si="72"/>
        <v>-1.0006735702905398</v>
      </c>
      <c r="D1207" s="106">
        <f t="shared" ca="1" si="73"/>
        <v>0.60204390133040009</v>
      </c>
      <c r="E1207" s="106">
        <f t="shared" ca="1" si="74"/>
        <v>0</v>
      </c>
      <c r="F1207" s="21">
        <f t="shared" ca="1" si="75"/>
        <v>0</v>
      </c>
      <c r="H1207" s="21">
        <v>1192</v>
      </c>
      <c r="I1207" s="107">
        <v>0.66775048066512466</v>
      </c>
      <c r="J1207" s="108">
        <v>1.5072570453630542E-3</v>
      </c>
      <c r="K1207" s="108"/>
      <c r="L1207" s="108">
        <v>4.2799999999999998E-2</v>
      </c>
      <c r="O1207" s="105"/>
    </row>
    <row r="1208" spans="2:15" x14ac:dyDescent="0.2">
      <c r="B1208" s="1">
        <v>1193</v>
      </c>
      <c r="C1208" s="106">
        <f t="shared" ca="1" si="72"/>
        <v>-2.5404591987292623E-3</v>
      </c>
      <c r="D1208" s="106">
        <f t="shared" ca="1" si="73"/>
        <v>0.6643356653284207</v>
      </c>
      <c r="E1208" s="106">
        <f t="shared" ca="1" si="74"/>
        <v>0</v>
      </c>
      <c r="F1208" s="21">
        <f t="shared" ca="1" si="75"/>
        <v>0</v>
      </c>
      <c r="H1208" s="21">
        <v>1193</v>
      </c>
      <c r="I1208" s="107">
        <v>0.66784820165388437</v>
      </c>
      <c r="J1208" s="108">
        <v>1.5349030978639472E-3</v>
      </c>
      <c r="K1208" s="108"/>
      <c r="L1208" s="108">
        <v>4.48E-2</v>
      </c>
      <c r="O1208" s="105"/>
    </row>
    <row r="1209" spans="2:15" x14ac:dyDescent="0.2">
      <c r="B1209" s="1">
        <v>1194</v>
      </c>
      <c r="C1209" s="106">
        <f t="shared" ca="1" si="72"/>
        <v>-0.12512703152690938</v>
      </c>
      <c r="D1209" s="106">
        <f t="shared" ca="1" si="73"/>
        <v>0.65635082473850559</v>
      </c>
      <c r="E1209" s="106">
        <f t="shared" ca="1" si="74"/>
        <v>0</v>
      </c>
      <c r="F1209" s="21">
        <f t="shared" ca="1" si="75"/>
        <v>0</v>
      </c>
      <c r="H1209" s="21">
        <v>1194</v>
      </c>
      <c r="I1209" s="107">
        <v>0.66770706925608214</v>
      </c>
      <c r="J1209" s="108">
        <v>1.3532743426273928E-3</v>
      </c>
      <c r="K1209" s="108"/>
      <c r="L1209" s="108">
        <v>4.1399999999999999E-2</v>
      </c>
      <c r="O1209" s="105"/>
    </row>
    <row r="1210" spans="2:15" x14ac:dyDescent="0.2">
      <c r="B1210" s="1">
        <v>1195</v>
      </c>
      <c r="C1210" s="106">
        <f t="shared" ca="1" si="72"/>
        <v>1.3518448414395707</v>
      </c>
      <c r="D1210" s="106">
        <f t="shared" ca="1" si="73"/>
        <v>0.75929160769420467</v>
      </c>
      <c r="E1210" s="106">
        <f t="shared" ca="1" si="74"/>
        <v>0</v>
      </c>
      <c r="F1210" s="21">
        <f t="shared" ca="1" si="75"/>
        <v>0</v>
      </c>
      <c r="H1210" s="21">
        <v>1195</v>
      </c>
      <c r="I1210" s="107">
        <v>0.66763741922217001</v>
      </c>
      <c r="J1210" s="108">
        <v>1.2844787997949379E-3</v>
      </c>
      <c r="K1210" s="108"/>
      <c r="L1210" s="108">
        <v>4.1000000000000002E-2</v>
      </c>
      <c r="O1210" s="105"/>
    </row>
    <row r="1211" spans="2:15" x14ac:dyDescent="0.2">
      <c r="B1211" s="1">
        <v>1196</v>
      </c>
      <c r="C1211" s="106">
        <f t="shared" ca="1" si="72"/>
        <v>0.13785666823405721</v>
      </c>
      <c r="D1211" s="106">
        <f t="shared" ca="1" si="73"/>
        <v>0.67360002537636643</v>
      </c>
      <c r="E1211" s="106">
        <f t="shared" ca="1" si="74"/>
        <v>0</v>
      </c>
      <c r="F1211" s="21">
        <f t="shared" ca="1" si="75"/>
        <v>0</v>
      </c>
      <c r="H1211" s="21">
        <v>1196</v>
      </c>
      <c r="I1211" s="107">
        <v>0.66789264763705758</v>
      </c>
      <c r="J1211" s="108">
        <v>1.5764866991796118E-3</v>
      </c>
      <c r="K1211" s="108"/>
      <c r="L1211" s="108">
        <v>4.8000000000000001E-2</v>
      </c>
      <c r="O1211" s="105"/>
    </row>
    <row r="1212" spans="2:15" x14ac:dyDescent="0.2">
      <c r="B1212" s="1">
        <v>1197</v>
      </c>
      <c r="C1212" s="106">
        <f t="shared" ca="1" si="72"/>
        <v>0.12740648631857138</v>
      </c>
      <c r="D1212" s="106">
        <f t="shared" ca="1" si="73"/>
        <v>0.67290602289104728</v>
      </c>
      <c r="E1212" s="106">
        <f t="shared" ca="1" si="74"/>
        <v>0</v>
      </c>
      <c r="F1212" s="21">
        <f t="shared" ca="1" si="75"/>
        <v>0</v>
      </c>
      <c r="H1212" s="21">
        <v>1197</v>
      </c>
      <c r="I1212" s="107">
        <v>0.66777486223133919</v>
      </c>
      <c r="J1212" s="108">
        <v>1.4077103898581037E-3</v>
      </c>
      <c r="K1212" s="108"/>
      <c r="L1212" s="108">
        <v>4.3799999999999999E-2</v>
      </c>
      <c r="O1212" s="105"/>
    </row>
    <row r="1213" spans="2:15" x14ac:dyDescent="0.2">
      <c r="B1213" s="1">
        <v>1198</v>
      </c>
      <c r="C1213" s="106">
        <f t="shared" ca="1" si="72"/>
        <v>-0.35495787036847665</v>
      </c>
      <c r="D1213" s="106">
        <f t="shared" ca="1" si="73"/>
        <v>0.6416382177880916</v>
      </c>
      <c r="E1213" s="106">
        <f t="shared" ca="1" si="74"/>
        <v>0</v>
      </c>
      <c r="F1213" s="21">
        <f t="shared" ca="1" si="75"/>
        <v>0</v>
      </c>
      <c r="H1213" s="21">
        <v>1198</v>
      </c>
      <c r="I1213" s="107">
        <v>0.66779129380217706</v>
      </c>
      <c r="J1213" s="108">
        <v>1.4518865950838339E-3</v>
      </c>
      <c r="K1213" s="108"/>
      <c r="L1213" s="108">
        <v>4.2799999999999998E-2</v>
      </c>
      <c r="O1213" s="105"/>
    </row>
    <row r="1214" spans="2:15" x14ac:dyDescent="0.2">
      <c r="B1214" s="1">
        <v>1199</v>
      </c>
      <c r="C1214" s="106">
        <f t="shared" ca="1" si="72"/>
        <v>0.25049019067027578</v>
      </c>
      <c r="D1214" s="106">
        <f t="shared" ca="1" si="73"/>
        <v>0.68112566592018731</v>
      </c>
      <c r="E1214" s="106">
        <f t="shared" ca="1" si="74"/>
        <v>0</v>
      </c>
      <c r="F1214" s="21">
        <f t="shared" ca="1" si="75"/>
        <v>0</v>
      </c>
      <c r="H1214" s="21">
        <v>1199</v>
      </c>
      <c r="I1214" s="107">
        <v>0.66776448490267093</v>
      </c>
      <c r="J1214" s="108">
        <v>1.4072494777041097E-3</v>
      </c>
      <c r="K1214" s="108"/>
      <c r="L1214" s="108">
        <v>3.9399999999999998E-2</v>
      </c>
      <c r="O1214" s="105"/>
    </row>
    <row r="1215" spans="2:15" x14ac:dyDescent="0.2">
      <c r="B1215" s="1">
        <v>1200</v>
      </c>
      <c r="C1215" s="106">
        <f t="shared" ca="1" si="72"/>
        <v>0.17863799432767538</v>
      </c>
      <c r="D1215" s="106">
        <f t="shared" ca="1" si="73"/>
        <v>0.67631518993104212</v>
      </c>
      <c r="E1215" s="106">
        <f t="shared" ca="1" si="74"/>
        <v>0</v>
      </c>
      <c r="F1215" s="21">
        <f t="shared" ca="1" si="75"/>
        <v>0</v>
      </c>
      <c r="H1215" s="21">
        <v>1200</v>
      </c>
      <c r="I1215" s="107">
        <v>0.66776529216458003</v>
      </c>
      <c r="J1215" s="108">
        <v>1.354682807726511E-3</v>
      </c>
      <c r="K1215" s="108"/>
      <c r="L1215" s="108">
        <v>4.7E-2</v>
      </c>
      <c r="O1215" s="105"/>
    </row>
    <row r="1216" spans="2:15" x14ac:dyDescent="0.2">
      <c r="B1216" s="1">
        <v>1201</v>
      </c>
      <c r="C1216" s="106">
        <f t="shared" ca="1" si="72"/>
        <v>-1.1560319527791725</v>
      </c>
      <c r="D1216" s="106">
        <f t="shared" ca="1" si="73"/>
        <v>0.59288805965790847</v>
      </c>
      <c r="E1216" s="106">
        <f t="shared" ca="1" si="74"/>
        <v>0</v>
      </c>
      <c r="F1216" s="21">
        <f t="shared" ca="1" si="75"/>
        <v>0</v>
      </c>
      <c r="H1216" s="21">
        <v>1201</v>
      </c>
      <c r="I1216" s="107">
        <v>0.66780602141838352</v>
      </c>
      <c r="J1216" s="108">
        <v>1.2864111501909433E-3</v>
      </c>
      <c r="K1216" s="108"/>
      <c r="L1216" s="108">
        <v>4.2599999999999999E-2</v>
      </c>
      <c r="O1216" s="105"/>
    </row>
    <row r="1217" spans="2:15" x14ac:dyDescent="0.2">
      <c r="B1217" s="1">
        <v>1202</v>
      </c>
      <c r="C1217" s="106">
        <f t="shared" ca="1" si="72"/>
        <v>0.95961468283250906</v>
      </c>
      <c r="D1217" s="106">
        <f t="shared" ca="1" si="73"/>
        <v>0.73047557937617524</v>
      </c>
      <c r="E1217" s="106">
        <f t="shared" ca="1" si="74"/>
        <v>0</v>
      </c>
      <c r="F1217" s="21">
        <f t="shared" ca="1" si="75"/>
        <v>0</v>
      </c>
      <c r="H1217" s="21">
        <v>1202</v>
      </c>
      <c r="I1217" s="107">
        <v>0.66790995703500133</v>
      </c>
      <c r="J1217" s="108">
        <v>1.4916157719050576E-3</v>
      </c>
      <c r="K1217" s="108"/>
      <c r="L1217" s="108">
        <v>4.7800000000000002E-2</v>
      </c>
      <c r="O1217" s="105"/>
    </row>
    <row r="1218" spans="2:15" x14ac:dyDescent="0.2">
      <c r="B1218" s="1">
        <v>1203</v>
      </c>
      <c r="C1218" s="106">
        <f t="shared" ca="1" si="72"/>
        <v>1.2425146927479635E-2</v>
      </c>
      <c r="D1218" s="106">
        <f t="shared" ca="1" si="73"/>
        <v>0.66531709995892707</v>
      </c>
      <c r="E1218" s="106">
        <f t="shared" ca="1" si="74"/>
        <v>0</v>
      </c>
      <c r="F1218" s="21">
        <f t="shared" ca="1" si="75"/>
        <v>0</v>
      </c>
      <c r="H1218" s="21">
        <v>1203</v>
      </c>
      <c r="I1218" s="107">
        <v>0.66774951647015168</v>
      </c>
      <c r="J1218" s="108">
        <v>1.4414587038577354E-3</v>
      </c>
      <c r="K1218" s="108"/>
      <c r="L1218" s="108">
        <v>4.24E-2</v>
      </c>
      <c r="O1218" s="105"/>
    </row>
    <row r="1219" spans="2:15" x14ac:dyDescent="0.2">
      <c r="B1219" s="1">
        <v>1204</v>
      </c>
      <c r="C1219" s="106">
        <f t="shared" ca="1" si="72"/>
        <v>4.3398544901894973E-2</v>
      </c>
      <c r="D1219" s="106">
        <f t="shared" ca="1" si="73"/>
        <v>0.66735292311007188</v>
      </c>
      <c r="E1219" s="106">
        <f t="shared" ca="1" si="74"/>
        <v>0</v>
      </c>
      <c r="F1219" s="21">
        <f t="shared" ca="1" si="75"/>
        <v>0</v>
      </c>
      <c r="H1219" s="21">
        <v>1204</v>
      </c>
      <c r="I1219" s="107">
        <v>0.66762590063946958</v>
      </c>
      <c r="J1219" s="108">
        <v>1.3069896091182261E-3</v>
      </c>
      <c r="K1219" s="108"/>
      <c r="L1219" s="108">
        <v>3.8800000000000001E-2</v>
      </c>
      <c r="O1219" s="105"/>
    </row>
    <row r="1220" spans="2:15" x14ac:dyDescent="0.2">
      <c r="B1220" s="1">
        <v>1205</v>
      </c>
      <c r="C1220" s="106">
        <f t="shared" ca="1" si="72"/>
        <v>-0.72975478760947521</v>
      </c>
      <c r="D1220" s="106">
        <f t="shared" ca="1" si="73"/>
        <v>0.6183497008166412</v>
      </c>
      <c r="E1220" s="106">
        <f t="shared" ca="1" si="74"/>
        <v>0</v>
      </c>
      <c r="F1220" s="21">
        <f t="shared" ca="1" si="75"/>
        <v>0</v>
      </c>
      <c r="H1220" s="21">
        <v>1205</v>
      </c>
      <c r="I1220" s="107">
        <v>0.66763134744935626</v>
      </c>
      <c r="J1220" s="108">
        <v>1.2373593885032265E-3</v>
      </c>
      <c r="K1220" s="108"/>
      <c r="L1220" s="108">
        <v>4.2599999999999999E-2</v>
      </c>
      <c r="O1220" s="105"/>
    </row>
    <row r="1221" spans="2:15" x14ac:dyDescent="0.2">
      <c r="B1221" s="1">
        <v>1206</v>
      </c>
      <c r="C1221" s="106">
        <f t="shared" ca="1" si="72"/>
        <v>1.1770088822105085</v>
      </c>
      <c r="D1221" s="106">
        <f t="shared" ca="1" si="73"/>
        <v>0.74630909635020148</v>
      </c>
      <c r="E1221" s="106">
        <f t="shared" ca="1" si="74"/>
        <v>0</v>
      </c>
      <c r="F1221" s="21">
        <f t="shared" ca="1" si="75"/>
        <v>0</v>
      </c>
      <c r="H1221" s="21">
        <v>1206</v>
      </c>
      <c r="I1221" s="107">
        <v>0.66777707858200586</v>
      </c>
      <c r="J1221" s="108">
        <v>1.4992433051378051E-3</v>
      </c>
      <c r="K1221" s="108"/>
      <c r="L1221" s="108">
        <v>4.1599999999999998E-2</v>
      </c>
      <c r="O1221" s="105"/>
    </row>
    <row r="1222" spans="2:15" x14ac:dyDescent="0.2">
      <c r="B1222" s="1">
        <v>1207</v>
      </c>
      <c r="C1222" s="106">
        <f t="shared" ca="1" si="72"/>
        <v>0.60983208361110652</v>
      </c>
      <c r="D1222" s="106">
        <f t="shared" ca="1" si="73"/>
        <v>0.70570180892026313</v>
      </c>
      <c r="E1222" s="106">
        <f t="shared" ca="1" si="74"/>
        <v>0</v>
      </c>
      <c r="F1222" s="21">
        <f t="shared" ca="1" si="75"/>
        <v>0</v>
      </c>
      <c r="H1222" s="21">
        <v>1207</v>
      </c>
      <c r="I1222" s="107">
        <v>0.66779000276564382</v>
      </c>
      <c r="J1222" s="108">
        <v>1.3423685297870888E-3</v>
      </c>
      <c r="K1222" s="108"/>
      <c r="L1222" s="108">
        <v>4.2799999999999998E-2</v>
      </c>
      <c r="O1222" s="105"/>
    </row>
    <row r="1223" spans="2:15" x14ac:dyDescent="0.2">
      <c r="B1223" s="1">
        <v>1208</v>
      </c>
      <c r="C1223" s="106">
        <f t="shared" ca="1" si="72"/>
        <v>-0.99865374814205821</v>
      </c>
      <c r="D1223" s="106">
        <f t="shared" ca="1" si="73"/>
        <v>0.6021638632638896</v>
      </c>
      <c r="E1223" s="106">
        <f t="shared" ca="1" si="74"/>
        <v>0</v>
      </c>
      <c r="F1223" s="21">
        <f t="shared" ca="1" si="75"/>
        <v>0</v>
      </c>
      <c r="H1223" s="21">
        <v>1208</v>
      </c>
      <c r="I1223" s="107">
        <v>0.66788979697977491</v>
      </c>
      <c r="J1223" s="108">
        <v>1.4348763173893588E-3</v>
      </c>
      <c r="K1223" s="108"/>
      <c r="L1223" s="108">
        <v>4.7E-2</v>
      </c>
      <c r="O1223" s="105"/>
    </row>
    <row r="1224" spans="2:15" x14ac:dyDescent="0.2">
      <c r="B1224" s="1">
        <v>1209</v>
      </c>
      <c r="C1224" s="106">
        <f t="shared" ca="1" si="72"/>
        <v>-0.10948504209234068</v>
      </c>
      <c r="D1224" s="106">
        <f t="shared" ca="1" si="73"/>
        <v>0.65736432067980588</v>
      </c>
      <c r="E1224" s="106">
        <f t="shared" ca="1" si="74"/>
        <v>0</v>
      </c>
      <c r="F1224" s="21">
        <f t="shared" ca="1" si="75"/>
        <v>0</v>
      </c>
      <c r="H1224" s="21">
        <v>1209</v>
      </c>
      <c r="I1224" s="107">
        <v>0.6675936278224297</v>
      </c>
      <c r="J1224" s="108">
        <v>1.0888366999753589E-3</v>
      </c>
      <c r="K1224" s="108"/>
      <c r="L1224" s="108">
        <v>3.6600000000000001E-2</v>
      </c>
      <c r="O1224" s="105"/>
    </row>
    <row r="1225" spans="2:15" x14ac:dyDescent="0.2">
      <c r="B1225" s="1">
        <v>1210</v>
      </c>
      <c r="C1225" s="106">
        <f t="shared" ca="1" si="72"/>
        <v>-0.42253859853181452</v>
      </c>
      <c r="D1225" s="106">
        <f t="shared" ca="1" si="73"/>
        <v>0.63737512056500512</v>
      </c>
      <c r="E1225" s="106">
        <f t="shared" ca="1" si="74"/>
        <v>0</v>
      </c>
      <c r="F1225" s="21">
        <f t="shared" ca="1" si="75"/>
        <v>0</v>
      </c>
      <c r="H1225" s="21">
        <v>1210</v>
      </c>
      <c r="I1225" s="107">
        <v>0.66770293770694567</v>
      </c>
      <c r="J1225" s="108">
        <v>1.365377065563224E-3</v>
      </c>
      <c r="K1225" s="108"/>
      <c r="L1225" s="108">
        <v>4.1399999999999999E-2</v>
      </c>
      <c r="O1225" s="105"/>
    </row>
    <row r="1226" spans="2:15" x14ac:dyDescent="0.2">
      <c r="B1226" s="1">
        <v>1211</v>
      </c>
      <c r="C1226" s="106">
        <f t="shared" ca="1" si="72"/>
        <v>0.37364888607782837</v>
      </c>
      <c r="D1226" s="106">
        <f t="shared" ca="1" si="73"/>
        <v>0.68945081305961642</v>
      </c>
      <c r="E1226" s="106">
        <f t="shared" ca="1" si="74"/>
        <v>0</v>
      </c>
      <c r="F1226" s="21">
        <f t="shared" ca="1" si="75"/>
        <v>0</v>
      </c>
      <c r="H1226" s="21">
        <v>1211</v>
      </c>
      <c r="I1226" s="107">
        <v>0.6678491127517806</v>
      </c>
      <c r="J1226" s="108">
        <v>1.382666498818167E-3</v>
      </c>
      <c r="K1226" s="108"/>
      <c r="L1226" s="108">
        <v>4.48E-2</v>
      </c>
      <c r="O1226" s="105"/>
    </row>
    <row r="1227" spans="2:15" x14ac:dyDescent="0.2">
      <c r="B1227" s="1">
        <v>1212</v>
      </c>
      <c r="C1227" s="106">
        <f t="shared" ca="1" si="72"/>
        <v>-0.61000111726822825</v>
      </c>
      <c r="D1227" s="106">
        <f t="shared" ca="1" si="73"/>
        <v>0.62569736840519896</v>
      </c>
      <c r="E1227" s="106">
        <f t="shared" ca="1" si="74"/>
        <v>0</v>
      </c>
      <c r="F1227" s="21">
        <f t="shared" ca="1" si="75"/>
        <v>0</v>
      </c>
      <c r="H1227" s="21">
        <v>1212</v>
      </c>
      <c r="I1227" s="107">
        <v>0.66776924702071438</v>
      </c>
      <c r="J1227" s="108">
        <v>1.39446488196002E-3</v>
      </c>
      <c r="K1227" s="108"/>
      <c r="L1227" s="108">
        <v>4.0399999999999998E-2</v>
      </c>
      <c r="O1227" s="105"/>
    </row>
    <row r="1228" spans="2:15" x14ac:dyDescent="0.2">
      <c r="B1228" s="1">
        <v>1213</v>
      </c>
      <c r="C1228" s="106">
        <f t="shared" ca="1" si="72"/>
        <v>-0.11110785417714776</v>
      </c>
      <c r="D1228" s="106">
        <f t="shared" ca="1" si="73"/>
        <v>0.65725910063009796</v>
      </c>
      <c r="E1228" s="106">
        <f t="shared" ca="1" si="74"/>
        <v>0</v>
      </c>
      <c r="F1228" s="21">
        <f t="shared" ca="1" si="75"/>
        <v>0</v>
      </c>
      <c r="H1228" s="21">
        <v>1213</v>
      </c>
      <c r="I1228" s="107">
        <v>0.66755646346266784</v>
      </c>
      <c r="J1228" s="108">
        <v>1.1073137172853834E-3</v>
      </c>
      <c r="K1228" s="108"/>
      <c r="L1228" s="108">
        <v>3.56E-2</v>
      </c>
      <c r="O1228" s="105"/>
    </row>
    <row r="1229" spans="2:15" x14ac:dyDescent="0.2">
      <c r="B1229" s="1">
        <v>1214</v>
      </c>
      <c r="C1229" s="106">
        <f t="shared" ca="1" si="72"/>
        <v>1.0328523292726377</v>
      </c>
      <c r="D1229" s="106">
        <f t="shared" ca="1" si="73"/>
        <v>0.73577183153258074</v>
      </c>
      <c r="E1229" s="106">
        <f t="shared" ca="1" si="74"/>
        <v>0</v>
      </c>
      <c r="F1229" s="21">
        <f t="shared" ca="1" si="75"/>
        <v>0</v>
      </c>
      <c r="H1229" s="21">
        <v>1214</v>
      </c>
      <c r="I1229" s="107">
        <v>0.6675732345218095</v>
      </c>
      <c r="J1229" s="108">
        <v>1.1685769938224568E-3</v>
      </c>
      <c r="K1229" s="108"/>
      <c r="L1229" s="108">
        <v>3.5999999999999997E-2</v>
      </c>
      <c r="O1229" s="105"/>
    </row>
    <row r="1230" spans="2:15" x14ac:dyDescent="0.2">
      <c r="B1230" s="1">
        <v>1215</v>
      </c>
      <c r="C1230" s="106">
        <f t="shared" ca="1" si="72"/>
        <v>-8.5857966489901835E-2</v>
      </c>
      <c r="D1230" s="106">
        <f t="shared" ca="1" si="73"/>
        <v>0.65889816464887341</v>
      </c>
      <c r="E1230" s="106">
        <f t="shared" ca="1" si="74"/>
        <v>0</v>
      </c>
      <c r="F1230" s="21">
        <f t="shared" ca="1" si="75"/>
        <v>0</v>
      </c>
      <c r="H1230" s="21">
        <v>1215</v>
      </c>
      <c r="I1230" s="107">
        <v>0.6675604357831092</v>
      </c>
      <c r="J1230" s="108">
        <v>1.0801545860880995E-3</v>
      </c>
      <c r="K1230" s="108"/>
      <c r="L1230" s="108">
        <v>3.5999999999999997E-2</v>
      </c>
      <c r="O1230" s="105"/>
    </row>
    <row r="1231" spans="2:15" x14ac:dyDescent="0.2">
      <c r="B1231" s="1">
        <v>1216</v>
      </c>
      <c r="C1231" s="106">
        <f t="shared" ca="1" si="72"/>
        <v>5.5885745883941809E-2</v>
      </c>
      <c r="D1231" s="106">
        <f t="shared" ca="1" si="73"/>
        <v>0.66817544425043285</v>
      </c>
      <c r="E1231" s="106">
        <f t="shared" ca="1" si="74"/>
        <v>0</v>
      </c>
      <c r="F1231" s="21">
        <f t="shared" ca="1" si="75"/>
        <v>0</v>
      </c>
      <c r="H1231" s="21">
        <v>1216</v>
      </c>
      <c r="I1231" s="107">
        <v>0.66785123638477595</v>
      </c>
      <c r="J1231" s="108">
        <v>1.5032557022270666E-3</v>
      </c>
      <c r="K1231" s="108"/>
      <c r="L1231" s="108">
        <v>4.1799999999999997E-2</v>
      </c>
      <c r="O1231" s="105"/>
    </row>
    <row r="1232" spans="2:15" x14ac:dyDescent="0.2">
      <c r="B1232" s="1">
        <v>1217</v>
      </c>
      <c r="C1232" s="106">
        <f t="shared" ref="C1232:C1295" ca="1" si="76">_xlfn.NORM.S.INV(RAND())</f>
        <v>-0.63596111452982529</v>
      </c>
      <c r="D1232" s="106">
        <f t="shared" ref="D1232:D1295" ca="1" si="77">S0*EXP((μ-0.5*σ*σ)*T+σ*SQRT(T)*$C1232)</f>
        <v>0.62409717699461198</v>
      </c>
      <c r="E1232" s="106">
        <f t="shared" ref="E1232:E1295" ca="1" si="78">MAX(0,CP*(D1232-K))</f>
        <v>0</v>
      </c>
      <c r="F1232" s="21">
        <f t="shared" ref="F1232:F1295" ca="1" si="79">(CP*(D1232-K)&gt;0)*1</f>
        <v>0</v>
      </c>
      <c r="H1232" s="21">
        <v>1217</v>
      </c>
      <c r="I1232" s="107">
        <v>0.66797560022068825</v>
      </c>
      <c r="J1232" s="108">
        <v>1.5868262462864259E-3</v>
      </c>
      <c r="K1232" s="108"/>
      <c r="L1232" s="108">
        <v>4.8000000000000001E-2</v>
      </c>
      <c r="O1232" s="105"/>
    </row>
    <row r="1233" spans="2:15" x14ac:dyDescent="0.2">
      <c r="B1233" s="1">
        <v>1218</v>
      </c>
      <c r="C1233" s="106">
        <f t="shared" ca="1" si="76"/>
        <v>0.88648499601007802</v>
      </c>
      <c r="D1233" s="106">
        <f t="shared" ca="1" si="77"/>
        <v>0.72522517392607599</v>
      </c>
      <c r="E1233" s="106">
        <f t="shared" ca="1" si="78"/>
        <v>0</v>
      </c>
      <c r="F1233" s="21">
        <f t="shared" ca="1" si="79"/>
        <v>0</v>
      </c>
      <c r="H1233" s="21">
        <v>1218</v>
      </c>
      <c r="I1233" s="107">
        <v>0.66774973912254021</v>
      </c>
      <c r="J1233" s="108">
        <v>1.4463973536882405E-3</v>
      </c>
      <c r="K1233" s="108"/>
      <c r="L1233" s="108">
        <v>4.1399999999999999E-2</v>
      </c>
      <c r="O1233" s="105"/>
    </row>
    <row r="1234" spans="2:15" x14ac:dyDescent="0.2">
      <c r="B1234" s="1">
        <v>1219</v>
      </c>
      <c r="C1234" s="106">
        <f t="shared" ca="1" si="76"/>
        <v>-1.1144536369547007</v>
      </c>
      <c r="D1234" s="106">
        <f t="shared" ca="1" si="77"/>
        <v>0.59532468859530308</v>
      </c>
      <c r="E1234" s="106">
        <f t="shared" ca="1" si="78"/>
        <v>0</v>
      </c>
      <c r="F1234" s="21">
        <f t="shared" ca="1" si="79"/>
        <v>0</v>
      </c>
      <c r="H1234" s="21">
        <v>1219</v>
      </c>
      <c r="I1234" s="107">
        <v>0.66770785930587495</v>
      </c>
      <c r="J1234" s="108">
        <v>1.2725221660468528E-3</v>
      </c>
      <c r="K1234" s="108"/>
      <c r="L1234" s="108">
        <v>4.24E-2</v>
      </c>
      <c r="O1234" s="105"/>
    </row>
    <row r="1235" spans="2:15" x14ac:dyDescent="0.2">
      <c r="B1235" s="1">
        <v>1220</v>
      </c>
      <c r="C1235" s="106">
        <f t="shared" ca="1" si="76"/>
        <v>-0.86700540990485653</v>
      </c>
      <c r="D1235" s="106">
        <f t="shared" ca="1" si="77"/>
        <v>0.61003453663620177</v>
      </c>
      <c r="E1235" s="106">
        <f t="shared" ca="1" si="78"/>
        <v>0</v>
      </c>
      <c r="F1235" s="21">
        <f t="shared" ca="1" si="79"/>
        <v>0</v>
      </c>
      <c r="H1235" s="21">
        <v>1220</v>
      </c>
      <c r="I1235" s="107">
        <v>0.6677954139704263</v>
      </c>
      <c r="J1235" s="108">
        <v>1.2380928263009798E-3</v>
      </c>
      <c r="K1235" s="108"/>
      <c r="L1235" s="108">
        <v>4.0599999999999997E-2</v>
      </c>
      <c r="O1235" s="105"/>
    </row>
    <row r="1236" spans="2:15" x14ac:dyDescent="0.2">
      <c r="B1236" s="1">
        <v>1221</v>
      </c>
      <c r="C1236" s="106">
        <f t="shared" ca="1" si="76"/>
        <v>-0.44937790623038026</v>
      </c>
      <c r="D1236" s="106">
        <f t="shared" ca="1" si="77"/>
        <v>0.63568992404259983</v>
      </c>
      <c r="E1236" s="106">
        <f t="shared" ca="1" si="78"/>
        <v>0</v>
      </c>
      <c r="F1236" s="21">
        <f t="shared" ca="1" si="79"/>
        <v>0</v>
      </c>
      <c r="H1236" s="21">
        <v>1221</v>
      </c>
      <c r="I1236" s="107">
        <v>0.66775552518397752</v>
      </c>
      <c r="J1236" s="108">
        <v>1.369972748751014E-3</v>
      </c>
      <c r="K1236" s="108"/>
      <c r="L1236" s="108">
        <v>4.1200000000000001E-2</v>
      </c>
      <c r="O1236" s="105"/>
    </row>
    <row r="1237" spans="2:15" x14ac:dyDescent="0.2">
      <c r="B1237" s="1">
        <v>1222</v>
      </c>
      <c r="C1237" s="106">
        <f t="shared" ca="1" si="76"/>
        <v>-0.18923034387519944</v>
      </c>
      <c r="D1237" s="106">
        <f t="shared" ca="1" si="77"/>
        <v>0.65221365768729</v>
      </c>
      <c r="E1237" s="106">
        <f t="shared" ca="1" si="78"/>
        <v>0</v>
      </c>
      <c r="F1237" s="21">
        <f t="shared" ca="1" si="79"/>
        <v>0</v>
      </c>
      <c r="H1237" s="21">
        <v>1222</v>
      </c>
      <c r="I1237" s="107">
        <v>0.66774271237276528</v>
      </c>
      <c r="J1237" s="108">
        <v>1.3194863283291466E-3</v>
      </c>
      <c r="K1237" s="108"/>
      <c r="L1237" s="108">
        <v>4.0399999999999998E-2</v>
      </c>
      <c r="O1237" s="105"/>
    </row>
    <row r="1238" spans="2:15" x14ac:dyDescent="0.2">
      <c r="B1238" s="1">
        <v>1223</v>
      </c>
      <c r="C1238" s="106">
        <f t="shared" ca="1" si="76"/>
        <v>1.4457217172767647</v>
      </c>
      <c r="D1238" s="106">
        <f t="shared" ca="1" si="77"/>
        <v>0.7663554093134628</v>
      </c>
      <c r="E1238" s="106">
        <f t="shared" ca="1" si="78"/>
        <v>0</v>
      </c>
      <c r="F1238" s="21">
        <f t="shared" ca="1" si="79"/>
        <v>0</v>
      </c>
      <c r="H1238" s="21">
        <v>1223</v>
      </c>
      <c r="I1238" s="107">
        <v>0.66765904003610244</v>
      </c>
      <c r="J1238" s="108">
        <v>1.225250685556041E-3</v>
      </c>
      <c r="K1238" s="108"/>
      <c r="L1238" s="108">
        <v>0.04</v>
      </c>
      <c r="O1238" s="105"/>
    </row>
    <row r="1239" spans="2:15" x14ac:dyDescent="0.2">
      <c r="B1239" s="1">
        <v>1224</v>
      </c>
      <c r="C1239" s="106">
        <f t="shared" ca="1" si="76"/>
        <v>1.3918967304003143</v>
      </c>
      <c r="D1239" s="106">
        <f t="shared" ca="1" si="77"/>
        <v>0.76229732883128931</v>
      </c>
      <c r="E1239" s="106">
        <f t="shared" ca="1" si="78"/>
        <v>0</v>
      </c>
      <c r="F1239" s="21">
        <f t="shared" ca="1" si="79"/>
        <v>0</v>
      </c>
      <c r="H1239" s="21">
        <v>1224</v>
      </c>
      <c r="I1239" s="107">
        <v>0.66787264383531864</v>
      </c>
      <c r="J1239" s="108">
        <v>1.5674094981739824E-3</v>
      </c>
      <c r="K1239" s="108"/>
      <c r="L1239" s="108">
        <v>4.7399999999999998E-2</v>
      </c>
      <c r="O1239" s="105"/>
    </row>
    <row r="1240" spans="2:15" x14ac:dyDescent="0.2">
      <c r="B1240" s="1">
        <v>1225</v>
      </c>
      <c r="C1240" s="106">
        <f t="shared" ca="1" si="76"/>
        <v>-0.19638475125405971</v>
      </c>
      <c r="D1240" s="106">
        <f t="shared" ca="1" si="77"/>
        <v>0.65175353969186567</v>
      </c>
      <c r="E1240" s="106">
        <f t="shared" ca="1" si="78"/>
        <v>0</v>
      </c>
      <c r="F1240" s="21">
        <f t="shared" ca="1" si="79"/>
        <v>0</v>
      </c>
      <c r="H1240" s="21">
        <v>1225</v>
      </c>
      <c r="I1240" s="107">
        <v>0.66770967672535575</v>
      </c>
      <c r="J1240" s="108">
        <v>1.4019741778613078E-3</v>
      </c>
      <c r="K1240" s="108"/>
      <c r="L1240" s="108">
        <v>4.2000000000000003E-2</v>
      </c>
      <c r="O1240" s="105"/>
    </row>
    <row r="1241" spans="2:15" x14ac:dyDescent="0.2">
      <c r="B1241" s="1">
        <v>1226</v>
      </c>
      <c r="C1241" s="106">
        <f t="shared" ca="1" si="76"/>
        <v>-0.16309993200636194</v>
      </c>
      <c r="D1241" s="106">
        <f t="shared" ca="1" si="77"/>
        <v>0.65389693190043952</v>
      </c>
      <c r="E1241" s="106">
        <f t="shared" ca="1" si="78"/>
        <v>0</v>
      </c>
      <c r="F1241" s="21">
        <f t="shared" ca="1" si="79"/>
        <v>0</v>
      </c>
      <c r="H1241" s="21">
        <v>1226</v>
      </c>
      <c r="I1241" s="107">
        <v>0.66764252716259087</v>
      </c>
      <c r="J1241" s="108">
        <v>1.2424379240585858E-3</v>
      </c>
      <c r="K1241" s="108"/>
      <c r="L1241" s="108">
        <v>3.7999999999999999E-2</v>
      </c>
      <c r="O1241" s="105"/>
    </row>
    <row r="1242" spans="2:15" x14ac:dyDescent="0.2">
      <c r="B1242" s="1">
        <v>1227</v>
      </c>
      <c r="C1242" s="106">
        <f t="shared" ca="1" si="76"/>
        <v>0.25633953472125726</v>
      </c>
      <c r="D1242" s="106">
        <f t="shared" ca="1" si="77"/>
        <v>0.68151878001020705</v>
      </c>
      <c r="E1242" s="106">
        <f t="shared" ca="1" si="78"/>
        <v>0</v>
      </c>
      <c r="F1242" s="21">
        <f t="shared" ca="1" si="79"/>
        <v>0</v>
      </c>
      <c r="H1242" s="21">
        <v>1227</v>
      </c>
      <c r="I1242" s="107">
        <v>0.66766170199853159</v>
      </c>
      <c r="J1242" s="108">
        <v>1.2790943762621737E-3</v>
      </c>
      <c r="K1242" s="108"/>
      <c r="L1242" s="108">
        <v>4.0599999999999997E-2</v>
      </c>
      <c r="O1242" s="105"/>
    </row>
    <row r="1243" spans="2:15" x14ac:dyDescent="0.2">
      <c r="B1243" s="1">
        <v>1228</v>
      </c>
      <c r="C1243" s="106">
        <f t="shared" ca="1" si="76"/>
        <v>0.77474825333074937</v>
      </c>
      <c r="D1243" s="106">
        <f t="shared" ca="1" si="77"/>
        <v>0.71727573256754817</v>
      </c>
      <c r="E1243" s="106">
        <f t="shared" ca="1" si="78"/>
        <v>0</v>
      </c>
      <c r="F1243" s="21">
        <f t="shared" ca="1" si="79"/>
        <v>0</v>
      </c>
      <c r="H1243" s="21">
        <v>1228</v>
      </c>
      <c r="I1243" s="107">
        <v>0.66778377202313965</v>
      </c>
      <c r="J1243" s="108">
        <v>1.4818452786059789E-3</v>
      </c>
      <c r="K1243" s="108"/>
      <c r="L1243" s="108">
        <v>4.3200000000000002E-2</v>
      </c>
      <c r="O1243" s="105"/>
    </row>
    <row r="1244" spans="2:15" x14ac:dyDescent="0.2">
      <c r="B1244" s="1">
        <v>1229</v>
      </c>
      <c r="C1244" s="106">
        <f t="shared" ca="1" si="76"/>
        <v>-0.56003073609582765</v>
      </c>
      <c r="D1244" s="106">
        <f t="shared" ca="1" si="77"/>
        <v>0.62878913486199894</v>
      </c>
      <c r="E1244" s="106">
        <f t="shared" ca="1" si="78"/>
        <v>0</v>
      </c>
      <c r="F1244" s="21">
        <f t="shared" ca="1" si="79"/>
        <v>0</v>
      </c>
      <c r="H1244" s="21">
        <v>1229</v>
      </c>
      <c r="I1244" s="107">
        <v>0.66766682783018294</v>
      </c>
      <c r="J1244" s="108">
        <v>1.1321568979493853E-3</v>
      </c>
      <c r="K1244" s="108"/>
      <c r="L1244" s="108">
        <v>0.04</v>
      </c>
      <c r="O1244" s="105"/>
    </row>
    <row r="1245" spans="2:15" x14ac:dyDescent="0.2">
      <c r="B1245" s="1">
        <v>1230</v>
      </c>
      <c r="C1245" s="106">
        <f t="shared" ca="1" si="76"/>
        <v>0.44497977623201318</v>
      </c>
      <c r="D1245" s="106">
        <f t="shared" ca="1" si="77"/>
        <v>0.69431901532387885</v>
      </c>
      <c r="E1245" s="106">
        <f t="shared" ca="1" si="78"/>
        <v>0</v>
      </c>
      <c r="F1245" s="21">
        <f t="shared" ca="1" si="79"/>
        <v>0</v>
      </c>
      <c r="H1245" s="21">
        <v>1230</v>
      </c>
      <c r="I1245" s="107">
        <v>0.66772445810834813</v>
      </c>
      <c r="J1245" s="108">
        <v>1.3056719472988136E-3</v>
      </c>
      <c r="K1245" s="108"/>
      <c r="L1245" s="108">
        <v>4.0599999999999997E-2</v>
      </c>
      <c r="O1245" s="105"/>
    </row>
    <row r="1246" spans="2:15" x14ac:dyDescent="0.2">
      <c r="B1246" s="1">
        <v>1231</v>
      </c>
      <c r="C1246" s="106">
        <f t="shared" ca="1" si="76"/>
        <v>-0.88503808114107163</v>
      </c>
      <c r="D1246" s="106">
        <f t="shared" ca="1" si="77"/>
        <v>0.60895039208481183</v>
      </c>
      <c r="E1246" s="106">
        <f t="shared" ca="1" si="78"/>
        <v>0</v>
      </c>
      <c r="F1246" s="21">
        <f t="shared" ca="1" si="79"/>
        <v>0</v>
      </c>
      <c r="H1246" s="21">
        <v>1231</v>
      </c>
      <c r="I1246" s="107">
        <v>0.66767079346725133</v>
      </c>
      <c r="J1246" s="108">
        <v>1.3404693521508724E-3</v>
      </c>
      <c r="K1246" s="108"/>
      <c r="L1246" s="108">
        <v>4.0399999999999998E-2</v>
      </c>
      <c r="O1246" s="105"/>
    </row>
    <row r="1247" spans="2:15" x14ac:dyDescent="0.2">
      <c r="B1247" s="1">
        <v>1232</v>
      </c>
      <c r="C1247" s="106">
        <f t="shared" ca="1" si="76"/>
        <v>0.75235640833386142</v>
      </c>
      <c r="D1247" s="106">
        <f t="shared" ca="1" si="77"/>
        <v>0.71569319007730425</v>
      </c>
      <c r="E1247" s="106">
        <f t="shared" ca="1" si="78"/>
        <v>0</v>
      </c>
      <c r="F1247" s="21">
        <f t="shared" ca="1" si="79"/>
        <v>0</v>
      </c>
      <c r="H1247" s="21">
        <v>1232</v>
      </c>
      <c r="I1247" s="107">
        <v>0.66779256291413125</v>
      </c>
      <c r="J1247" s="108">
        <v>1.4936283411487738E-3</v>
      </c>
      <c r="K1247" s="108"/>
      <c r="L1247" s="108">
        <v>4.3200000000000002E-2</v>
      </c>
      <c r="O1247" s="105"/>
    </row>
    <row r="1248" spans="2:15" x14ac:dyDescent="0.2">
      <c r="B1248" s="1">
        <v>1233</v>
      </c>
      <c r="C1248" s="106">
        <f t="shared" ca="1" si="76"/>
        <v>1.5645647278773247</v>
      </c>
      <c r="D1248" s="106">
        <f t="shared" ca="1" si="77"/>
        <v>0.77539212961255144</v>
      </c>
      <c r="E1248" s="106">
        <f t="shared" ca="1" si="78"/>
        <v>0</v>
      </c>
      <c r="F1248" s="21">
        <f t="shared" ca="1" si="79"/>
        <v>0</v>
      </c>
      <c r="H1248" s="21">
        <v>1233</v>
      </c>
      <c r="I1248" s="107">
        <v>0.66780033646900805</v>
      </c>
      <c r="J1248" s="108">
        <v>1.4271987791952786E-3</v>
      </c>
      <c r="K1248" s="108"/>
      <c r="L1248" s="108">
        <v>4.4600000000000001E-2</v>
      </c>
      <c r="O1248" s="105"/>
    </row>
    <row r="1249" spans="2:15" x14ac:dyDescent="0.2">
      <c r="B1249" s="1">
        <v>1234</v>
      </c>
      <c r="C1249" s="106">
        <f t="shared" ca="1" si="76"/>
        <v>-0.85870422426094739</v>
      </c>
      <c r="D1249" s="106">
        <f t="shared" ca="1" si="77"/>
        <v>0.61053426185972925</v>
      </c>
      <c r="E1249" s="106">
        <f t="shared" ca="1" si="78"/>
        <v>0</v>
      </c>
      <c r="F1249" s="21">
        <f t="shared" ca="1" si="79"/>
        <v>0</v>
      </c>
      <c r="H1249" s="21">
        <v>1234</v>
      </c>
      <c r="I1249" s="107">
        <v>0.66781510554290779</v>
      </c>
      <c r="J1249" s="108">
        <v>1.3002564257017194E-3</v>
      </c>
      <c r="K1249" s="108"/>
      <c r="L1249" s="108">
        <v>3.9E-2</v>
      </c>
      <c r="O1249" s="105"/>
    </row>
    <row r="1250" spans="2:15" x14ac:dyDescent="0.2">
      <c r="B1250" s="1">
        <v>1235</v>
      </c>
      <c r="C1250" s="106">
        <f t="shared" ca="1" si="76"/>
        <v>1.6894594728947958</v>
      </c>
      <c r="D1250" s="106">
        <f t="shared" ca="1" si="77"/>
        <v>0.78500387832781526</v>
      </c>
      <c r="E1250" s="106">
        <f t="shared" ca="1" si="78"/>
        <v>0</v>
      </c>
      <c r="F1250" s="21">
        <f t="shared" ca="1" si="79"/>
        <v>0</v>
      </c>
      <c r="H1250" s="21">
        <v>1235</v>
      </c>
      <c r="I1250" s="107">
        <v>0.66758358852429311</v>
      </c>
      <c r="J1250" s="108">
        <v>1.1890672161975165E-3</v>
      </c>
      <c r="K1250" s="108"/>
      <c r="L1250" s="108">
        <v>3.9199999999999999E-2</v>
      </c>
      <c r="O1250" s="105"/>
    </row>
    <row r="1251" spans="2:15" x14ac:dyDescent="0.2">
      <c r="B1251" s="1">
        <v>1236</v>
      </c>
      <c r="C1251" s="106">
        <f t="shared" ca="1" si="76"/>
        <v>1.3636455547976714</v>
      </c>
      <c r="D1251" s="106">
        <f t="shared" ca="1" si="77"/>
        <v>0.76017596660054654</v>
      </c>
      <c r="E1251" s="106">
        <f t="shared" ca="1" si="78"/>
        <v>0</v>
      </c>
      <c r="F1251" s="21">
        <f t="shared" ca="1" si="79"/>
        <v>0</v>
      </c>
      <c r="H1251" s="21">
        <v>1236</v>
      </c>
      <c r="I1251" s="107">
        <v>0.66768789493451253</v>
      </c>
      <c r="J1251" s="108">
        <v>1.2919490184720149E-3</v>
      </c>
      <c r="K1251" s="108"/>
      <c r="L1251" s="108">
        <v>0.04</v>
      </c>
      <c r="O1251" s="105"/>
    </row>
    <row r="1252" spans="2:15" x14ac:dyDescent="0.2">
      <c r="B1252" s="1">
        <v>1237</v>
      </c>
      <c r="C1252" s="106">
        <f t="shared" ca="1" si="76"/>
        <v>-1.4955092668493708</v>
      </c>
      <c r="D1252" s="106">
        <f t="shared" ca="1" si="77"/>
        <v>0.57336305465073067</v>
      </c>
      <c r="E1252" s="106">
        <f t="shared" ca="1" si="78"/>
        <v>0</v>
      </c>
      <c r="F1252" s="21">
        <f t="shared" ca="1" si="79"/>
        <v>0</v>
      </c>
      <c r="H1252" s="21">
        <v>1237</v>
      </c>
      <c r="I1252" s="107">
        <v>0.6677783000111791</v>
      </c>
      <c r="J1252" s="108">
        <v>1.4656197175643242E-3</v>
      </c>
      <c r="K1252" s="108"/>
      <c r="L1252" s="108">
        <v>4.2999999999999997E-2</v>
      </c>
      <c r="O1252" s="105"/>
    </row>
    <row r="1253" spans="2:15" x14ac:dyDescent="0.2">
      <c r="B1253" s="1">
        <v>1238</v>
      </c>
      <c r="C1253" s="106">
        <f t="shared" ca="1" si="76"/>
        <v>-1.1290235918633931</v>
      </c>
      <c r="D1253" s="106">
        <f t="shared" ca="1" si="77"/>
        <v>0.59446970269007304</v>
      </c>
      <c r="E1253" s="106">
        <f t="shared" ca="1" si="78"/>
        <v>0</v>
      </c>
      <c r="F1253" s="21">
        <f t="shared" ca="1" si="79"/>
        <v>0</v>
      </c>
      <c r="H1253" s="21">
        <v>1238</v>
      </c>
      <c r="I1253" s="107">
        <v>0.66778535025121533</v>
      </c>
      <c r="J1253" s="108">
        <v>1.3626240403025775E-3</v>
      </c>
      <c r="K1253" s="108"/>
      <c r="L1253" s="108">
        <v>4.3400000000000001E-2</v>
      </c>
      <c r="O1253" s="105"/>
    </row>
    <row r="1254" spans="2:15" x14ac:dyDescent="0.2">
      <c r="B1254" s="1">
        <v>1239</v>
      </c>
      <c r="C1254" s="106">
        <f t="shared" ca="1" si="76"/>
        <v>-5.3465114468672227E-2</v>
      </c>
      <c r="D1254" s="106">
        <f t="shared" ca="1" si="77"/>
        <v>0.66100689192296758</v>
      </c>
      <c r="E1254" s="106">
        <f t="shared" ca="1" si="78"/>
        <v>0</v>
      </c>
      <c r="F1254" s="21">
        <f t="shared" ca="1" si="79"/>
        <v>0</v>
      </c>
      <c r="H1254" s="21">
        <v>1239</v>
      </c>
      <c r="I1254" s="107">
        <v>0.66781393518412679</v>
      </c>
      <c r="J1254" s="108">
        <v>1.4162338724694528E-3</v>
      </c>
      <c r="K1254" s="108"/>
      <c r="L1254" s="108">
        <v>4.0800000000000003E-2</v>
      </c>
      <c r="O1254" s="105"/>
    </row>
    <row r="1255" spans="2:15" x14ac:dyDescent="0.2">
      <c r="B1255" s="1">
        <v>1240</v>
      </c>
      <c r="C1255" s="106">
        <f t="shared" ca="1" si="76"/>
        <v>-0.66927820215102496</v>
      </c>
      <c r="D1255" s="106">
        <f t="shared" ca="1" si="77"/>
        <v>0.62204948466502941</v>
      </c>
      <c r="E1255" s="106">
        <f t="shared" ca="1" si="78"/>
        <v>0</v>
      </c>
      <c r="F1255" s="21">
        <f t="shared" ca="1" si="79"/>
        <v>0</v>
      </c>
      <c r="H1255" s="21">
        <v>1240</v>
      </c>
      <c r="I1255" s="107">
        <v>0.66765590103896388</v>
      </c>
      <c r="J1255" s="108">
        <v>1.3757001022576222E-3</v>
      </c>
      <c r="K1255" s="108"/>
      <c r="L1255" s="108">
        <v>4.1799999999999997E-2</v>
      </c>
      <c r="O1255" s="105"/>
    </row>
    <row r="1256" spans="2:15" x14ac:dyDescent="0.2">
      <c r="B1256" s="1">
        <v>1241</v>
      </c>
      <c r="C1256" s="106">
        <f t="shared" ca="1" si="76"/>
        <v>-0.33955601391623352</v>
      </c>
      <c r="D1256" s="106">
        <f t="shared" ca="1" si="77"/>
        <v>0.64261377364513605</v>
      </c>
      <c r="E1256" s="106">
        <f t="shared" ca="1" si="78"/>
        <v>0</v>
      </c>
      <c r="F1256" s="21">
        <f t="shared" ca="1" si="79"/>
        <v>0</v>
      </c>
      <c r="H1256" s="21">
        <v>1241</v>
      </c>
      <c r="I1256" s="107">
        <v>0.6677970427143507</v>
      </c>
      <c r="J1256" s="108">
        <v>1.5913532615780786E-3</v>
      </c>
      <c r="K1256" s="108"/>
      <c r="L1256" s="108">
        <v>4.3200000000000002E-2</v>
      </c>
      <c r="O1256" s="105"/>
    </row>
    <row r="1257" spans="2:15" x14ac:dyDescent="0.2">
      <c r="B1257" s="1">
        <v>1242</v>
      </c>
      <c r="C1257" s="106">
        <f t="shared" ca="1" si="76"/>
        <v>-2.3286615418676537</v>
      </c>
      <c r="D1257" s="106">
        <f t="shared" ca="1" si="77"/>
        <v>0.52812651900506469</v>
      </c>
      <c r="E1257" s="106">
        <f t="shared" ca="1" si="78"/>
        <v>0</v>
      </c>
      <c r="F1257" s="21">
        <f t="shared" ca="1" si="79"/>
        <v>0</v>
      </c>
      <c r="H1257" s="21">
        <v>1242</v>
      </c>
      <c r="I1257" s="107">
        <v>0.66796289560326971</v>
      </c>
      <c r="J1257" s="108">
        <v>1.7264685632246458E-3</v>
      </c>
      <c r="K1257" s="108"/>
      <c r="L1257" s="108">
        <v>4.7800000000000002E-2</v>
      </c>
      <c r="O1257" s="105"/>
    </row>
    <row r="1258" spans="2:15" x14ac:dyDescent="0.2">
      <c r="B1258" s="1">
        <v>1243</v>
      </c>
      <c r="C1258" s="106">
        <f t="shared" ca="1" si="76"/>
        <v>-0.14888029324149429</v>
      </c>
      <c r="D1258" s="106">
        <f t="shared" ca="1" si="77"/>
        <v>0.65481476006407258</v>
      </c>
      <c r="E1258" s="106">
        <f t="shared" ca="1" si="78"/>
        <v>0</v>
      </c>
      <c r="F1258" s="21">
        <f t="shared" ca="1" si="79"/>
        <v>0</v>
      </c>
      <c r="H1258" s="21">
        <v>1243</v>
      </c>
      <c r="I1258" s="107">
        <v>0.66779461507280025</v>
      </c>
      <c r="J1258" s="108">
        <v>1.3536158348297013E-3</v>
      </c>
      <c r="K1258" s="108"/>
      <c r="L1258" s="108">
        <v>4.24E-2</v>
      </c>
      <c r="O1258" s="105"/>
    </row>
    <row r="1259" spans="2:15" x14ac:dyDescent="0.2">
      <c r="B1259" s="1">
        <v>1244</v>
      </c>
      <c r="C1259" s="106">
        <f t="shared" ca="1" si="76"/>
        <v>1.5897857744147625</v>
      </c>
      <c r="D1259" s="106">
        <f t="shared" ca="1" si="77"/>
        <v>0.77732358077682062</v>
      </c>
      <c r="E1259" s="106">
        <f t="shared" ca="1" si="78"/>
        <v>0</v>
      </c>
      <c r="F1259" s="21">
        <f t="shared" ca="1" si="79"/>
        <v>0</v>
      </c>
      <c r="H1259" s="21">
        <v>1244</v>
      </c>
      <c r="I1259" s="107">
        <v>0.66755603790408335</v>
      </c>
      <c r="J1259" s="108">
        <v>1.0577705729534533E-3</v>
      </c>
      <c r="K1259" s="108"/>
      <c r="L1259" s="108">
        <v>3.6400000000000002E-2</v>
      </c>
      <c r="O1259" s="105"/>
    </row>
    <row r="1260" spans="2:15" x14ac:dyDescent="0.2">
      <c r="B1260" s="1">
        <v>1245</v>
      </c>
      <c r="C1260" s="106">
        <f t="shared" ca="1" si="76"/>
        <v>-0.96743512486165906</v>
      </c>
      <c r="D1260" s="106">
        <f t="shared" ca="1" si="77"/>
        <v>0.60402105268817963</v>
      </c>
      <c r="E1260" s="106">
        <f t="shared" ca="1" si="78"/>
        <v>0</v>
      </c>
      <c r="F1260" s="21">
        <f t="shared" ca="1" si="79"/>
        <v>0</v>
      </c>
      <c r="H1260" s="21">
        <v>1245</v>
      </c>
      <c r="I1260" s="107">
        <v>0.66782371211696734</v>
      </c>
      <c r="J1260" s="108">
        <v>1.415369033967233E-3</v>
      </c>
      <c r="K1260" s="108"/>
      <c r="L1260" s="108">
        <v>4.24E-2</v>
      </c>
      <c r="O1260" s="105"/>
    </row>
    <row r="1261" spans="2:15" x14ac:dyDescent="0.2">
      <c r="B1261" s="1">
        <v>1246</v>
      </c>
      <c r="C1261" s="106">
        <f t="shared" ca="1" si="76"/>
        <v>-1.1132889519687048</v>
      </c>
      <c r="D1261" s="106">
        <f t="shared" ca="1" si="77"/>
        <v>0.5953930870387546</v>
      </c>
      <c r="E1261" s="106">
        <f t="shared" ca="1" si="78"/>
        <v>0</v>
      </c>
      <c r="F1261" s="21">
        <f t="shared" ca="1" si="79"/>
        <v>0</v>
      </c>
      <c r="H1261" s="21">
        <v>1246</v>
      </c>
      <c r="I1261" s="107">
        <v>0.66760215981886251</v>
      </c>
      <c r="J1261" s="108">
        <v>1.1994715240652059E-3</v>
      </c>
      <c r="K1261" s="108"/>
      <c r="L1261" s="108">
        <v>4.1399999999999999E-2</v>
      </c>
      <c r="O1261" s="105"/>
    </row>
    <row r="1262" spans="2:15" x14ac:dyDescent="0.2">
      <c r="B1262" s="1">
        <v>1247</v>
      </c>
      <c r="C1262" s="106">
        <f t="shared" ca="1" si="76"/>
        <v>-0.53901136617633694</v>
      </c>
      <c r="D1262" s="106">
        <f t="shared" ca="1" si="77"/>
        <v>0.63009420522998372</v>
      </c>
      <c r="E1262" s="106">
        <f t="shared" ca="1" si="78"/>
        <v>0</v>
      </c>
      <c r="F1262" s="21">
        <f t="shared" ca="1" si="79"/>
        <v>0</v>
      </c>
      <c r="H1262" s="21">
        <v>1247</v>
      </c>
      <c r="I1262" s="107">
        <v>0.66775426181600994</v>
      </c>
      <c r="J1262" s="108">
        <v>1.3615787384432241E-3</v>
      </c>
      <c r="K1262" s="108"/>
      <c r="L1262" s="108">
        <v>4.1799999999999997E-2</v>
      </c>
      <c r="O1262" s="105"/>
    </row>
    <row r="1263" spans="2:15" x14ac:dyDescent="0.2">
      <c r="B1263" s="1">
        <v>1248</v>
      </c>
      <c r="C1263" s="106">
        <f t="shared" ca="1" si="76"/>
        <v>0.4221201608337391</v>
      </c>
      <c r="D1263" s="106">
        <f t="shared" ca="1" si="77"/>
        <v>0.69275515728992043</v>
      </c>
      <c r="E1263" s="106">
        <f t="shared" ca="1" si="78"/>
        <v>0</v>
      </c>
      <c r="F1263" s="21">
        <f t="shared" ca="1" si="79"/>
        <v>0</v>
      </c>
      <c r="H1263" s="21">
        <v>1248</v>
      </c>
      <c r="I1263" s="107">
        <v>0.66762185545181019</v>
      </c>
      <c r="J1263" s="108">
        <v>1.2607305723875183E-3</v>
      </c>
      <c r="K1263" s="108"/>
      <c r="L1263" s="108">
        <v>3.8600000000000002E-2</v>
      </c>
      <c r="O1263" s="105"/>
    </row>
    <row r="1264" spans="2:15" x14ac:dyDescent="0.2">
      <c r="B1264" s="1">
        <v>1249</v>
      </c>
      <c r="C1264" s="106">
        <f t="shared" ca="1" si="76"/>
        <v>-0.99308895307526668</v>
      </c>
      <c r="D1264" s="106">
        <f t="shared" ca="1" si="77"/>
        <v>0.60249449304298186</v>
      </c>
      <c r="E1264" s="106">
        <f t="shared" ca="1" si="78"/>
        <v>0</v>
      </c>
      <c r="F1264" s="21">
        <f t="shared" ca="1" si="79"/>
        <v>0</v>
      </c>
      <c r="H1264" s="21">
        <v>1249</v>
      </c>
      <c r="I1264" s="107">
        <v>0.66757866842243407</v>
      </c>
      <c r="J1264" s="108">
        <v>1.2266641624947561E-3</v>
      </c>
      <c r="K1264" s="108"/>
      <c r="L1264" s="108">
        <v>3.6999999999999998E-2</v>
      </c>
      <c r="O1264" s="105"/>
    </row>
    <row r="1265" spans="2:15" x14ac:dyDescent="0.2">
      <c r="B1265" s="1">
        <v>1250</v>
      </c>
      <c r="C1265" s="106">
        <f t="shared" ca="1" si="76"/>
        <v>1.0959425800776541</v>
      </c>
      <c r="D1265" s="106">
        <f t="shared" ca="1" si="77"/>
        <v>0.74036504242740608</v>
      </c>
      <c r="E1265" s="106">
        <f t="shared" ca="1" si="78"/>
        <v>0</v>
      </c>
      <c r="F1265" s="21">
        <f t="shared" ca="1" si="79"/>
        <v>0</v>
      </c>
      <c r="H1265" s="21">
        <v>1250</v>
      </c>
      <c r="I1265" s="107">
        <v>0.66776132039277558</v>
      </c>
      <c r="J1265" s="108">
        <v>1.2733018046375462E-3</v>
      </c>
      <c r="K1265" s="108"/>
      <c r="L1265" s="108">
        <v>4.2200000000000001E-2</v>
      </c>
      <c r="O1265" s="105"/>
    </row>
    <row r="1266" spans="2:15" x14ac:dyDescent="0.2">
      <c r="B1266" s="1">
        <v>1251</v>
      </c>
      <c r="C1266" s="106">
        <f t="shared" ca="1" si="76"/>
        <v>-0.40502747053989552</v>
      </c>
      <c r="D1266" s="106">
        <f t="shared" ca="1" si="77"/>
        <v>0.63847702331549139</v>
      </c>
      <c r="E1266" s="106">
        <f t="shared" ca="1" si="78"/>
        <v>0</v>
      </c>
      <c r="F1266" s="21">
        <f t="shared" ca="1" si="79"/>
        <v>0</v>
      </c>
      <c r="H1266" s="21">
        <v>1251</v>
      </c>
      <c r="I1266" s="107">
        <v>0.66773051791499627</v>
      </c>
      <c r="J1266" s="108">
        <v>1.3645572248784895E-3</v>
      </c>
      <c r="K1266" s="108"/>
      <c r="L1266" s="108">
        <v>4.2000000000000003E-2</v>
      </c>
      <c r="O1266" s="105"/>
    </row>
    <row r="1267" spans="2:15" x14ac:dyDescent="0.2">
      <c r="B1267" s="1">
        <v>1252</v>
      </c>
      <c r="C1267" s="106">
        <f t="shared" ca="1" si="76"/>
        <v>0.15686474357322033</v>
      </c>
      <c r="D1267" s="106">
        <f t="shared" ca="1" si="77"/>
        <v>0.67486419791176633</v>
      </c>
      <c r="E1267" s="106">
        <f t="shared" ca="1" si="78"/>
        <v>0</v>
      </c>
      <c r="F1267" s="21">
        <f t="shared" ca="1" si="79"/>
        <v>0</v>
      </c>
      <c r="H1267" s="21">
        <v>1252</v>
      </c>
      <c r="I1267" s="107">
        <v>0.66768347321698873</v>
      </c>
      <c r="J1267" s="108">
        <v>1.1771343220420621E-3</v>
      </c>
      <c r="K1267" s="108"/>
      <c r="L1267" s="108">
        <v>4.1399999999999999E-2</v>
      </c>
      <c r="O1267" s="105"/>
    </row>
    <row r="1268" spans="2:15" x14ac:dyDescent="0.2">
      <c r="B1268" s="1">
        <v>1253</v>
      </c>
      <c r="C1268" s="106">
        <f t="shared" ca="1" si="76"/>
        <v>-0.33243670661819535</v>
      </c>
      <c r="D1268" s="106">
        <f t="shared" ca="1" si="77"/>
        <v>0.64306521274580719</v>
      </c>
      <c r="E1268" s="106">
        <f t="shared" ca="1" si="78"/>
        <v>0</v>
      </c>
      <c r="F1268" s="21">
        <f t="shared" ca="1" si="79"/>
        <v>0</v>
      </c>
      <c r="H1268" s="21">
        <v>1253</v>
      </c>
      <c r="I1268" s="107">
        <v>0.66775688862339078</v>
      </c>
      <c r="J1268" s="108">
        <v>1.3555053363377249E-3</v>
      </c>
      <c r="K1268" s="108"/>
      <c r="L1268" s="108">
        <v>4.3400000000000001E-2</v>
      </c>
      <c r="O1268" s="105"/>
    </row>
    <row r="1269" spans="2:15" x14ac:dyDescent="0.2">
      <c r="B1269" s="1">
        <v>1254</v>
      </c>
      <c r="C1269" s="106">
        <f t="shared" ca="1" si="76"/>
        <v>4.1237782455703894E-3</v>
      </c>
      <c r="D1269" s="106">
        <f t="shared" ca="1" si="77"/>
        <v>0.66477252271694909</v>
      </c>
      <c r="E1269" s="106">
        <f t="shared" ca="1" si="78"/>
        <v>0</v>
      </c>
      <c r="F1269" s="21">
        <f t="shared" ca="1" si="79"/>
        <v>0</v>
      </c>
      <c r="H1269" s="21">
        <v>1254</v>
      </c>
      <c r="I1269" s="107">
        <v>0.6679813817138317</v>
      </c>
      <c r="J1269" s="108">
        <v>1.7611322914261502E-3</v>
      </c>
      <c r="K1269" s="108"/>
      <c r="L1269" s="108">
        <v>4.3999999999999997E-2</v>
      </c>
      <c r="O1269" s="105"/>
    </row>
    <row r="1270" spans="2:15" x14ac:dyDescent="0.2">
      <c r="B1270" s="1">
        <v>1255</v>
      </c>
      <c r="C1270" s="106">
        <f t="shared" ca="1" si="76"/>
        <v>2.0519113337442327</v>
      </c>
      <c r="D1270" s="106">
        <f t="shared" ca="1" si="77"/>
        <v>0.81357766345678573</v>
      </c>
      <c r="E1270" s="106">
        <f t="shared" ca="1" si="78"/>
        <v>2.5377663456785715E-2</v>
      </c>
      <c r="F1270" s="21">
        <f t="shared" ca="1" si="79"/>
        <v>1</v>
      </c>
      <c r="H1270" s="21">
        <v>1255</v>
      </c>
      <c r="I1270" s="107">
        <v>0.66784194798400598</v>
      </c>
      <c r="J1270" s="108">
        <v>1.4658097487379536E-3</v>
      </c>
      <c r="K1270" s="108"/>
      <c r="L1270" s="108">
        <v>4.2799999999999998E-2</v>
      </c>
      <c r="O1270" s="105"/>
    </row>
    <row r="1271" spans="2:15" x14ac:dyDescent="0.2">
      <c r="B1271" s="1">
        <v>1256</v>
      </c>
      <c r="C1271" s="106">
        <f t="shared" ca="1" si="76"/>
        <v>-2.2283337723063359</v>
      </c>
      <c r="D1271" s="106">
        <f t="shared" ca="1" si="77"/>
        <v>0.5333790520772369</v>
      </c>
      <c r="E1271" s="106">
        <f t="shared" ca="1" si="78"/>
        <v>0</v>
      </c>
      <c r="F1271" s="21">
        <f t="shared" ca="1" si="79"/>
        <v>0</v>
      </c>
      <c r="H1271" s="21">
        <v>1256</v>
      </c>
      <c r="I1271" s="107">
        <v>0.66770854307237304</v>
      </c>
      <c r="J1271" s="108">
        <v>1.3381366208447955E-3</v>
      </c>
      <c r="K1271" s="108"/>
      <c r="L1271" s="108">
        <v>4.1399999999999999E-2</v>
      </c>
      <c r="O1271" s="105"/>
    </row>
    <row r="1272" spans="2:15" x14ac:dyDescent="0.2">
      <c r="B1272" s="1">
        <v>1257</v>
      </c>
      <c r="C1272" s="106">
        <f t="shared" ca="1" si="76"/>
        <v>1.3785147089188445</v>
      </c>
      <c r="D1272" s="106">
        <f t="shared" ca="1" si="77"/>
        <v>0.76129174469359984</v>
      </c>
      <c r="E1272" s="106">
        <f t="shared" ca="1" si="78"/>
        <v>0</v>
      </c>
      <c r="F1272" s="21">
        <f t="shared" ca="1" si="79"/>
        <v>0</v>
      </c>
      <c r="H1272" s="21">
        <v>1257</v>
      </c>
      <c r="I1272" s="107">
        <v>0.66774399006961171</v>
      </c>
      <c r="J1272" s="108">
        <v>1.4260266474656279E-3</v>
      </c>
      <c r="K1272" s="108"/>
      <c r="L1272" s="108">
        <v>4.24E-2</v>
      </c>
      <c r="O1272" s="105"/>
    </row>
    <row r="1273" spans="2:15" x14ac:dyDescent="0.2">
      <c r="B1273" s="1">
        <v>1258</v>
      </c>
      <c r="C1273" s="106">
        <f t="shared" ca="1" si="76"/>
        <v>-0.11974639723021248</v>
      </c>
      <c r="D1273" s="106">
        <f t="shared" ca="1" si="77"/>
        <v>0.65669927730539956</v>
      </c>
      <c r="E1273" s="106">
        <f t="shared" ca="1" si="78"/>
        <v>0</v>
      </c>
      <c r="F1273" s="21">
        <f t="shared" ca="1" si="79"/>
        <v>0</v>
      </c>
      <c r="H1273" s="21">
        <v>1258</v>
      </c>
      <c r="I1273" s="107">
        <v>0.66773227640469202</v>
      </c>
      <c r="J1273" s="108">
        <v>1.4413756673643913E-3</v>
      </c>
      <c r="K1273" s="108"/>
      <c r="L1273" s="108">
        <v>4.3799999999999999E-2</v>
      </c>
      <c r="O1273" s="105"/>
    </row>
    <row r="1274" spans="2:15" x14ac:dyDescent="0.2">
      <c r="B1274" s="1">
        <v>1259</v>
      </c>
      <c r="C1274" s="106">
        <f t="shared" ca="1" si="76"/>
        <v>-1.374523600450436</v>
      </c>
      <c r="D1274" s="106">
        <f t="shared" ca="1" si="77"/>
        <v>0.58024666976948103</v>
      </c>
      <c r="E1274" s="106">
        <f t="shared" ca="1" si="78"/>
        <v>0</v>
      </c>
      <c r="F1274" s="21">
        <f t="shared" ca="1" si="79"/>
        <v>0</v>
      </c>
      <c r="H1274" s="21">
        <v>1259</v>
      </c>
      <c r="I1274" s="107">
        <v>0.66762013999284986</v>
      </c>
      <c r="J1274" s="108">
        <v>1.1937200041600403E-3</v>
      </c>
      <c r="K1274" s="108"/>
      <c r="L1274" s="108">
        <v>3.9399999999999998E-2</v>
      </c>
      <c r="O1274" s="105"/>
    </row>
    <row r="1275" spans="2:15" x14ac:dyDescent="0.2">
      <c r="B1275" s="1">
        <v>1260</v>
      </c>
      <c r="C1275" s="106">
        <f t="shared" ca="1" si="76"/>
        <v>1.5809816060329374</v>
      </c>
      <c r="D1275" s="106">
        <f t="shared" ca="1" si="77"/>
        <v>0.77664880339897069</v>
      </c>
      <c r="E1275" s="106">
        <f t="shared" ca="1" si="78"/>
        <v>0</v>
      </c>
      <c r="F1275" s="21">
        <f t="shared" ca="1" si="79"/>
        <v>0</v>
      </c>
      <c r="H1275" s="21">
        <v>1260</v>
      </c>
      <c r="I1275" s="107">
        <v>0.667840829328743</v>
      </c>
      <c r="J1275" s="108">
        <v>1.5630784672053147E-3</v>
      </c>
      <c r="K1275" s="108"/>
      <c r="L1275" s="108">
        <v>4.6800000000000001E-2</v>
      </c>
      <c r="O1275" s="105"/>
    </row>
    <row r="1276" spans="2:15" x14ac:dyDescent="0.2">
      <c r="B1276" s="1">
        <v>1261</v>
      </c>
      <c r="C1276" s="106">
        <f t="shared" ca="1" si="76"/>
        <v>-0.95258926194610771</v>
      </c>
      <c r="D1276" s="106">
        <f t="shared" ca="1" si="77"/>
        <v>0.6049062385223265</v>
      </c>
      <c r="E1276" s="106">
        <f t="shared" ca="1" si="78"/>
        <v>0</v>
      </c>
      <c r="F1276" s="21">
        <f t="shared" ca="1" si="79"/>
        <v>0</v>
      </c>
      <c r="H1276" s="21">
        <v>1261</v>
      </c>
      <c r="I1276" s="107">
        <v>0.66782051047248314</v>
      </c>
      <c r="J1276" s="108">
        <v>1.4250144906528084E-3</v>
      </c>
      <c r="K1276" s="108"/>
      <c r="L1276" s="108">
        <v>4.36E-2</v>
      </c>
      <c r="O1276" s="105"/>
    </row>
    <row r="1277" spans="2:15" x14ac:dyDescent="0.2">
      <c r="B1277" s="1">
        <v>1262</v>
      </c>
      <c r="C1277" s="106">
        <f t="shared" ca="1" si="76"/>
        <v>0.61124964384351854</v>
      </c>
      <c r="D1277" s="106">
        <f t="shared" ca="1" si="77"/>
        <v>0.70580049411821322</v>
      </c>
      <c r="E1277" s="106">
        <f t="shared" ca="1" si="78"/>
        <v>0</v>
      </c>
      <c r="F1277" s="21">
        <f t="shared" ca="1" si="79"/>
        <v>0</v>
      </c>
      <c r="H1277" s="21">
        <v>1262</v>
      </c>
      <c r="I1277" s="107">
        <v>0.66776829239279645</v>
      </c>
      <c r="J1277" s="108">
        <v>1.4217367364843404E-3</v>
      </c>
      <c r="K1277" s="108"/>
      <c r="L1277" s="108">
        <v>4.24E-2</v>
      </c>
      <c r="O1277" s="105"/>
    </row>
    <row r="1278" spans="2:15" x14ac:dyDescent="0.2">
      <c r="B1278" s="1">
        <v>1263</v>
      </c>
      <c r="C1278" s="106">
        <f t="shared" ca="1" si="76"/>
        <v>-0.42115274569276284</v>
      </c>
      <c r="D1278" s="106">
        <f t="shared" ca="1" si="77"/>
        <v>0.63746225720481564</v>
      </c>
      <c r="E1278" s="106">
        <f t="shared" ca="1" si="78"/>
        <v>0</v>
      </c>
      <c r="F1278" s="21">
        <f t="shared" ca="1" si="79"/>
        <v>0</v>
      </c>
      <c r="H1278" s="21">
        <v>1263</v>
      </c>
      <c r="I1278" s="107">
        <v>0.66762646996618813</v>
      </c>
      <c r="J1278" s="108">
        <v>1.3346311192547035E-3</v>
      </c>
      <c r="K1278" s="108"/>
      <c r="L1278" s="108">
        <v>4.1399999999999999E-2</v>
      </c>
      <c r="O1278" s="105"/>
    </row>
    <row r="1279" spans="2:15" x14ac:dyDescent="0.2">
      <c r="B1279" s="1">
        <v>1264</v>
      </c>
      <c r="C1279" s="106">
        <f t="shared" ca="1" si="76"/>
        <v>-2.0694137040920122</v>
      </c>
      <c r="D1279" s="106">
        <f t="shared" ca="1" si="77"/>
        <v>0.54180622808050505</v>
      </c>
      <c r="E1279" s="106">
        <f t="shared" ca="1" si="78"/>
        <v>0</v>
      </c>
      <c r="F1279" s="21">
        <f t="shared" ca="1" si="79"/>
        <v>0</v>
      </c>
      <c r="H1279" s="21">
        <v>1264</v>
      </c>
      <c r="I1279" s="107">
        <v>0.66780770502448905</v>
      </c>
      <c r="J1279" s="108">
        <v>1.3136130929854927E-3</v>
      </c>
      <c r="K1279" s="108"/>
      <c r="L1279" s="108">
        <v>4.2599999999999999E-2</v>
      </c>
      <c r="O1279" s="105"/>
    </row>
    <row r="1280" spans="2:15" x14ac:dyDescent="0.2">
      <c r="B1280" s="1">
        <v>1265</v>
      </c>
      <c r="C1280" s="106">
        <f t="shared" ca="1" si="76"/>
        <v>-1.1800825973249025</v>
      </c>
      <c r="D1280" s="106">
        <f t="shared" ca="1" si="77"/>
        <v>0.59148316659217282</v>
      </c>
      <c r="E1280" s="106">
        <f t="shared" ca="1" si="78"/>
        <v>0</v>
      </c>
      <c r="F1280" s="21">
        <f t="shared" ca="1" si="79"/>
        <v>0</v>
      </c>
      <c r="H1280" s="21">
        <v>1265</v>
      </c>
      <c r="I1280" s="107">
        <v>0.667806125023512</v>
      </c>
      <c r="J1280" s="108">
        <v>1.3756190428184344E-3</v>
      </c>
      <c r="K1280" s="108"/>
      <c r="L1280" s="108">
        <v>4.2799999999999998E-2</v>
      </c>
      <c r="O1280" s="105"/>
    </row>
    <row r="1281" spans="2:15" x14ac:dyDescent="0.2">
      <c r="B1281" s="1">
        <v>1266</v>
      </c>
      <c r="C1281" s="106">
        <f t="shared" ca="1" si="76"/>
        <v>0.3849441278060553</v>
      </c>
      <c r="D1281" s="106">
        <f t="shared" ca="1" si="77"/>
        <v>0.69021941182313418</v>
      </c>
      <c r="E1281" s="106">
        <f t="shared" ca="1" si="78"/>
        <v>0</v>
      </c>
      <c r="F1281" s="21">
        <f t="shared" ca="1" si="79"/>
        <v>0</v>
      </c>
      <c r="H1281" s="21">
        <v>1266</v>
      </c>
      <c r="I1281" s="107">
        <v>0.66777587332660959</v>
      </c>
      <c r="J1281" s="108">
        <v>1.3829412994136145E-3</v>
      </c>
      <c r="K1281" s="108"/>
      <c r="L1281" s="108">
        <v>4.0599999999999997E-2</v>
      </c>
      <c r="O1281" s="105"/>
    </row>
    <row r="1282" spans="2:15" x14ac:dyDescent="0.2">
      <c r="B1282" s="1">
        <v>1267</v>
      </c>
      <c r="C1282" s="106">
        <f t="shared" ca="1" si="76"/>
        <v>0.86980015702994051</v>
      </c>
      <c r="D1282" s="106">
        <f t="shared" ca="1" si="77"/>
        <v>0.72403256939176552</v>
      </c>
      <c r="E1282" s="106">
        <f t="shared" ca="1" si="78"/>
        <v>0</v>
      </c>
      <c r="F1282" s="21">
        <f t="shared" ca="1" si="79"/>
        <v>0</v>
      </c>
      <c r="H1282" s="21">
        <v>1267</v>
      </c>
      <c r="I1282" s="107">
        <v>0.66766622697600875</v>
      </c>
      <c r="J1282" s="108">
        <v>1.2396699093160527E-3</v>
      </c>
      <c r="K1282" s="108"/>
      <c r="L1282" s="108">
        <v>4.02E-2</v>
      </c>
      <c r="O1282" s="105"/>
    </row>
    <row r="1283" spans="2:15" x14ac:dyDescent="0.2">
      <c r="B1283" s="1">
        <v>1268</v>
      </c>
      <c r="C1283" s="106">
        <f t="shared" ca="1" si="76"/>
        <v>-0.46879250292823837</v>
      </c>
      <c r="D1283" s="106">
        <f t="shared" ca="1" si="77"/>
        <v>0.63447369095727224</v>
      </c>
      <c r="E1283" s="106">
        <f t="shared" ca="1" si="78"/>
        <v>0</v>
      </c>
      <c r="F1283" s="21">
        <f t="shared" ca="1" si="79"/>
        <v>0</v>
      </c>
      <c r="H1283" s="21">
        <v>1268</v>
      </c>
      <c r="I1283" s="107">
        <v>0.66770850669477333</v>
      </c>
      <c r="J1283" s="108">
        <v>1.2767302980331967E-3</v>
      </c>
      <c r="K1283" s="108"/>
      <c r="L1283" s="108">
        <v>3.7600000000000001E-2</v>
      </c>
      <c r="O1283" s="105"/>
    </row>
    <row r="1284" spans="2:15" x14ac:dyDescent="0.2">
      <c r="B1284" s="1">
        <v>1269</v>
      </c>
      <c r="C1284" s="106">
        <f t="shared" ca="1" si="76"/>
        <v>-0.30426159667170599</v>
      </c>
      <c r="D1284" s="106">
        <f t="shared" ca="1" si="77"/>
        <v>0.64485492486381046</v>
      </c>
      <c r="E1284" s="106">
        <f t="shared" ca="1" si="78"/>
        <v>0</v>
      </c>
      <c r="F1284" s="21">
        <f t="shared" ca="1" si="79"/>
        <v>0</v>
      </c>
      <c r="H1284" s="21">
        <v>1269</v>
      </c>
      <c r="I1284" s="107">
        <v>0.667763256531274</v>
      </c>
      <c r="J1284" s="108">
        <v>1.3829242956426117E-3</v>
      </c>
      <c r="K1284" s="108"/>
      <c r="L1284" s="108">
        <v>4.02E-2</v>
      </c>
      <c r="O1284" s="105"/>
    </row>
    <row r="1285" spans="2:15" x14ac:dyDescent="0.2">
      <c r="B1285" s="1">
        <v>1270</v>
      </c>
      <c r="C1285" s="106">
        <f t="shared" ca="1" si="76"/>
        <v>-1.3507352867364635</v>
      </c>
      <c r="D1285" s="106">
        <f t="shared" ca="1" si="77"/>
        <v>0.58160982355026636</v>
      </c>
      <c r="E1285" s="106">
        <f t="shared" ca="1" si="78"/>
        <v>0</v>
      </c>
      <c r="F1285" s="21">
        <f t="shared" ca="1" si="79"/>
        <v>0</v>
      </c>
      <c r="H1285" s="21">
        <v>1270</v>
      </c>
      <c r="I1285" s="107">
        <v>0.667636617956058</v>
      </c>
      <c r="J1285" s="108">
        <v>1.2262340627903585E-3</v>
      </c>
      <c r="K1285" s="108"/>
      <c r="L1285" s="108">
        <v>4.24E-2</v>
      </c>
      <c r="O1285" s="105"/>
    </row>
    <row r="1286" spans="2:15" x14ac:dyDescent="0.2">
      <c r="B1286" s="1">
        <v>1271</v>
      </c>
      <c r="C1286" s="106">
        <f t="shared" ca="1" si="76"/>
        <v>-0.52717416317850696</v>
      </c>
      <c r="D1286" s="106">
        <f t="shared" ca="1" si="77"/>
        <v>0.63083035648291597</v>
      </c>
      <c r="E1286" s="106">
        <f t="shared" ca="1" si="78"/>
        <v>0</v>
      </c>
      <c r="F1286" s="21">
        <f t="shared" ca="1" si="79"/>
        <v>0</v>
      </c>
      <c r="H1286" s="21">
        <v>1271</v>
      </c>
      <c r="I1286" s="107">
        <v>0.66778756032310005</v>
      </c>
      <c r="J1286" s="108">
        <v>1.4181574737363127E-3</v>
      </c>
      <c r="K1286" s="108"/>
      <c r="L1286" s="108">
        <v>4.24E-2</v>
      </c>
      <c r="O1286" s="105"/>
    </row>
    <row r="1287" spans="2:15" x14ac:dyDescent="0.2">
      <c r="B1287" s="1">
        <v>1272</v>
      </c>
      <c r="C1287" s="106">
        <f t="shared" ca="1" si="76"/>
        <v>-0.9713719354031054</v>
      </c>
      <c r="D1287" s="106">
        <f t="shared" ca="1" si="77"/>
        <v>0.60378653739510735</v>
      </c>
      <c r="E1287" s="106">
        <f t="shared" ca="1" si="78"/>
        <v>0</v>
      </c>
      <c r="F1287" s="21">
        <f t="shared" ca="1" si="79"/>
        <v>0</v>
      </c>
      <c r="H1287" s="21">
        <v>1272</v>
      </c>
      <c r="I1287" s="107">
        <v>0.66778793014948212</v>
      </c>
      <c r="J1287" s="108">
        <v>1.4393199529623042E-3</v>
      </c>
      <c r="K1287" s="108"/>
      <c r="L1287" s="108">
        <v>4.3200000000000002E-2</v>
      </c>
      <c r="O1287" s="105"/>
    </row>
    <row r="1288" spans="2:15" x14ac:dyDescent="0.2">
      <c r="B1288" s="1">
        <v>1273</v>
      </c>
      <c r="C1288" s="106">
        <f t="shared" ca="1" si="76"/>
        <v>1.0929819617933507</v>
      </c>
      <c r="D1288" s="106">
        <f t="shared" ca="1" si="77"/>
        <v>0.74014885829797306</v>
      </c>
      <c r="E1288" s="106">
        <f t="shared" ca="1" si="78"/>
        <v>0</v>
      </c>
      <c r="F1288" s="21">
        <f t="shared" ca="1" si="79"/>
        <v>0</v>
      </c>
      <c r="H1288" s="21">
        <v>1273</v>
      </c>
      <c r="I1288" s="107">
        <v>0.66785094387693134</v>
      </c>
      <c r="J1288" s="108">
        <v>1.5243535218481253E-3</v>
      </c>
      <c r="K1288" s="108"/>
      <c r="L1288" s="108">
        <v>4.3999999999999997E-2</v>
      </c>
      <c r="O1288" s="105"/>
    </row>
    <row r="1289" spans="2:15" x14ac:dyDescent="0.2">
      <c r="B1289" s="1">
        <v>1274</v>
      </c>
      <c r="C1289" s="106">
        <f t="shared" ca="1" si="76"/>
        <v>-1.6938652982851208</v>
      </c>
      <c r="D1289" s="106">
        <f t="shared" ca="1" si="77"/>
        <v>0.56225361333872004</v>
      </c>
      <c r="E1289" s="106">
        <f t="shared" ca="1" si="78"/>
        <v>0</v>
      </c>
      <c r="F1289" s="21">
        <f t="shared" ca="1" si="79"/>
        <v>0</v>
      </c>
      <c r="H1289" s="21">
        <v>1274</v>
      </c>
      <c r="I1289" s="107">
        <v>0.66779042279500744</v>
      </c>
      <c r="J1289" s="108">
        <v>1.4607623083622832E-3</v>
      </c>
      <c r="K1289" s="108"/>
      <c r="L1289" s="108">
        <v>4.4999999999999998E-2</v>
      </c>
      <c r="O1289" s="105"/>
    </row>
    <row r="1290" spans="2:15" x14ac:dyDescent="0.2">
      <c r="B1290" s="1">
        <v>1275</v>
      </c>
      <c r="C1290" s="106">
        <f t="shared" ca="1" si="76"/>
        <v>-0.90074769665405796</v>
      </c>
      <c r="D1290" s="106">
        <f t="shared" ca="1" si="77"/>
        <v>0.60800748278446293</v>
      </c>
      <c r="E1290" s="106">
        <f t="shared" ca="1" si="78"/>
        <v>0</v>
      </c>
      <c r="F1290" s="21">
        <f t="shared" ca="1" si="79"/>
        <v>0</v>
      </c>
      <c r="H1290" s="21">
        <v>1275</v>
      </c>
      <c r="I1290" s="107">
        <v>0.66759462115346446</v>
      </c>
      <c r="J1290" s="108">
        <v>1.231273622998555E-3</v>
      </c>
      <c r="K1290" s="108"/>
      <c r="L1290" s="108">
        <v>4.02E-2</v>
      </c>
      <c r="O1290" s="105"/>
    </row>
    <row r="1291" spans="2:15" x14ac:dyDescent="0.2">
      <c r="B1291" s="1">
        <v>1276</v>
      </c>
      <c r="C1291" s="106">
        <f t="shared" ca="1" si="76"/>
        <v>1.2986951684088686</v>
      </c>
      <c r="D1291" s="106">
        <f t="shared" ca="1" si="77"/>
        <v>0.75532124533125655</v>
      </c>
      <c r="E1291" s="106">
        <f t="shared" ca="1" si="78"/>
        <v>0</v>
      </c>
      <c r="F1291" s="21">
        <f t="shared" ca="1" si="79"/>
        <v>0</v>
      </c>
      <c r="H1291" s="21">
        <v>1276</v>
      </c>
      <c r="I1291" s="107">
        <v>0.6676819440206071</v>
      </c>
      <c r="J1291" s="108">
        <v>1.3225370299628134E-3</v>
      </c>
      <c r="K1291" s="108"/>
      <c r="L1291" s="108">
        <v>3.8199999999999998E-2</v>
      </c>
      <c r="O1291" s="105"/>
    </row>
    <row r="1292" spans="2:15" x14ac:dyDescent="0.2">
      <c r="B1292" s="1">
        <v>1277</v>
      </c>
      <c r="C1292" s="106">
        <f t="shared" ca="1" si="76"/>
        <v>-0.65460080271403032</v>
      </c>
      <c r="D1292" s="106">
        <f t="shared" ca="1" si="77"/>
        <v>0.62295073901121312</v>
      </c>
      <c r="E1292" s="106">
        <f t="shared" ca="1" si="78"/>
        <v>0</v>
      </c>
      <c r="F1292" s="21">
        <f t="shared" ca="1" si="79"/>
        <v>0</v>
      </c>
      <c r="H1292" s="21">
        <v>1277</v>
      </c>
      <c r="I1292" s="107">
        <v>0.66763599355881209</v>
      </c>
      <c r="J1292" s="108">
        <v>1.2581050714337357E-3</v>
      </c>
      <c r="K1292" s="108"/>
      <c r="L1292" s="108">
        <v>3.9600000000000003E-2</v>
      </c>
      <c r="O1292" s="105"/>
    </row>
    <row r="1293" spans="2:15" x14ac:dyDescent="0.2">
      <c r="B1293" s="1">
        <v>1278</v>
      </c>
      <c r="C1293" s="106">
        <f t="shared" ca="1" si="76"/>
        <v>0.55959313047902437</v>
      </c>
      <c r="D1293" s="106">
        <f t="shared" ca="1" si="77"/>
        <v>0.70221325810097401</v>
      </c>
      <c r="E1293" s="106">
        <f t="shared" ca="1" si="78"/>
        <v>0</v>
      </c>
      <c r="F1293" s="21">
        <f t="shared" ca="1" si="79"/>
        <v>0</v>
      </c>
      <c r="H1293" s="21">
        <v>1278</v>
      </c>
      <c r="I1293" s="107">
        <v>0.66771184541981787</v>
      </c>
      <c r="J1293" s="108">
        <v>1.2932386673962376E-3</v>
      </c>
      <c r="K1293" s="108"/>
      <c r="L1293" s="108">
        <v>3.8600000000000002E-2</v>
      </c>
      <c r="O1293" s="105"/>
    </row>
    <row r="1294" spans="2:15" x14ac:dyDescent="0.2">
      <c r="B1294" s="1">
        <v>1279</v>
      </c>
      <c r="C1294" s="106">
        <f t="shared" ca="1" si="76"/>
        <v>1.6109091097082271</v>
      </c>
      <c r="D1294" s="106">
        <f t="shared" ca="1" si="77"/>
        <v>0.77894492702099483</v>
      </c>
      <c r="E1294" s="106">
        <f t="shared" ca="1" si="78"/>
        <v>0</v>
      </c>
      <c r="F1294" s="21">
        <f t="shared" ca="1" si="79"/>
        <v>0</v>
      </c>
      <c r="H1294" s="21">
        <v>1279</v>
      </c>
      <c r="I1294" s="107">
        <v>0.66786969605255175</v>
      </c>
      <c r="J1294" s="108">
        <v>1.5416133172014379E-3</v>
      </c>
      <c r="K1294" s="108"/>
      <c r="L1294" s="108">
        <v>4.5999999999999999E-2</v>
      </c>
      <c r="O1294" s="105"/>
    </row>
    <row r="1295" spans="2:15" x14ac:dyDescent="0.2">
      <c r="B1295" s="1">
        <v>1280</v>
      </c>
      <c r="C1295" s="106">
        <f t="shared" ca="1" si="76"/>
        <v>1.2591885998069603</v>
      </c>
      <c r="D1295" s="106">
        <f t="shared" ca="1" si="77"/>
        <v>0.75238350119882247</v>
      </c>
      <c r="E1295" s="106">
        <f t="shared" ca="1" si="78"/>
        <v>0</v>
      </c>
      <c r="F1295" s="21">
        <f t="shared" ca="1" si="79"/>
        <v>0</v>
      </c>
      <c r="H1295" s="21">
        <v>1280</v>
      </c>
      <c r="I1295" s="107">
        <v>0.66768814560277101</v>
      </c>
      <c r="J1295" s="108">
        <v>1.3158970453850611E-3</v>
      </c>
      <c r="K1295" s="108"/>
      <c r="L1295" s="108">
        <v>4.2799999999999998E-2</v>
      </c>
      <c r="O1295" s="105"/>
    </row>
    <row r="1296" spans="2:15" x14ac:dyDescent="0.2">
      <c r="B1296" s="1">
        <v>1281</v>
      </c>
      <c r="C1296" s="106">
        <f t="shared" ref="C1296:C1359" ca="1" si="80">_xlfn.NORM.S.INV(RAND())</f>
        <v>-0.56195352845428237</v>
      </c>
      <c r="D1296" s="106">
        <f t="shared" ref="D1296:D1359" ca="1" si="81">S0*EXP((μ-0.5*σ*σ)*T+σ*SQRT(T)*$C1296)</f>
        <v>0.62866988575598559</v>
      </c>
      <c r="E1296" s="106">
        <f t="shared" ref="E1296:E1359" ca="1" si="82">MAX(0,CP*(D1296-K))</f>
        <v>0</v>
      </c>
      <c r="F1296" s="21">
        <f t="shared" ref="F1296:F1359" ca="1" si="83">(CP*(D1296-K)&gt;0)*1</f>
        <v>0</v>
      </c>
      <c r="H1296" s="21">
        <v>1281</v>
      </c>
      <c r="I1296" s="107">
        <v>0.6677585708462429</v>
      </c>
      <c r="J1296" s="108">
        <v>1.379517685824396E-3</v>
      </c>
      <c r="K1296" s="108"/>
      <c r="L1296" s="108">
        <v>4.2799999999999998E-2</v>
      </c>
      <c r="O1296" s="105"/>
    </row>
    <row r="1297" spans="2:15" x14ac:dyDescent="0.2">
      <c r="B1297" s="1">
        <v>1282</v>
      </c>
      <c r="C1297" s="106">
        <f t="shared" ca="1" si="80"/>
        <v>0.40713019397124744</v>
      </c>
      <c r="D1297" s="106">
        <f t="shared" ca="1" si="81"/>
        <v>0.69173158551858205</v>
      </c>
      <c r="E1297" s="106">
        <f t="shared" ca="1" si="82"/>
        <v>0</v>
      </c>
      <c r="F1297" s="21">
        <f t="shared" ca="1" si="83"/>
        <v>0</v>
      </c>
      <c r="H1297" s="21">
        <v>1282</v>
      </c>
      <c r="I1297" s="107">
        <v>0.66777440003864175</v>
      </c>
      <c r="J1297" s="108">
        <v>1.4737014692944421E-3</v>
      </c>
      <c r="K1297" s="108"/>
      <c r="L1297" s="108">
        <v>4.4600000000000001E-2</v>
      </c>
      <c r="O1297" s="105"/>
    </row>
    <row r="1298" spans="2:15" x14ac:dyDescent="0.2">
      <c r="B1298" s="1">
        <v>1283</v>
      </c>
      <c r="C1298" s="106">
        <f t="shared" ca="1" si="80"/>
        <v>-1.5369068249053601</v>
      </c>
      <c r="D1298" s="106">
        <f t="shared" ca="1" si="81"/>
        <v>0.57102649480723666</v>
      </c>
      <c r="E1298" s="106">
        <f t="shared" ca="1" si="82"/>
        <v>0</v>
      </c>
      <c r="F1298" s="21">
        <f t="shared" ca="1" si="83"/>
        <v>0</v>
      </c>
      <c r="H1298" s="21">
        <v>1283</v>
      </c>
      <c r="I1298" s="107">
        <v>0.66779851418716729</v>
      </c>
      <c r="J1298" s="108">
        <v>1.6550277759333977E-3</v>
      </c>
      <c r="K1298" s="108"/>
      <c r="L1298" s="108">
        <v>4.36E-2</v>
      </c>
      <c r="O1298" s="105"/>
    </row>
    <row r="1299" spans="2:15" x14ac:dyDescent="0.2">
      <c r="B1299" s="1">
        <v>1284</v>
      </c>
      <c r="C1299" s="106">
        <f t="shared" ca="1" si="80"/>
        <v>-1.2451270068492195</v>
      </c>
      <c r="D1299" s="106">
        <f t="shared" ca="1" si="81"/>
        <v>0.58770031956725666</v>
      </c>
      <c r="E1299" s="106">
        <f t="shared" ca="1" si="82"/>
        <v>0</v>
      </c>
      <c r="F1299" s="21">
        <f t="shared" ca="1" si="83"/>
        <v>0</v>
      </c>
      <c r="H1299" s="21">
        <v>1284</v>
      </c>
      <c r="I1299" s="107">
        <v>0.66776895771768552</v>
      </c>
      <c r="J1299" s="108">
        <v>1.3743273936568487E-3</v>
      </c>
      <c r="K1299" s="108"/>
      <c r="L1299" s="108">
        <v>4.2599999999999999E-2</v>
      </c>
      <c r="O1299" s="105"/>
    </row>
    <row r="1300" spans="2:15" x14ac:dyDescent="0.2">
      <c r="B1300" s="1">
        <v>1285</v>
      </c>
      <c r="C1300" s="106">
        <f t="shared" ca="1" si="80"/>
        <v>1.5561504002217359</v>
      </c>
      <c r="D1300" s="106">
        <f t="shared" ca="1" si="81"/>
        <v>0.77474882081760499</v>
      </c>
      <c r="E1300" s="106">
        <f t="shared" ca="1" si="82"/>
        <v>0</v>
      </c>
      <c r="F1300" s="21">
        <f t="shared" ca="1" si="83"/>
        <v>0</v>
      </c>
      <c r="H1300" s="21">
        <v>1285</v>
      </c>
      <c r="I1300" s="107">
        <v>0.66776427473550459</v>
      </c>
      <c r="J1300" s="108">
        <v>1.3996117026152642E-3</v>
      </c>
      <c r="K1300" s="108"/>
      <c r="L1300" s="108">
        <v>4.0800000000000003E-2</v>
      </c>
      <c r="O1300" s="105"/>
    </row>
    <row r="1301" spans="2:15" x14ac:dyDescent="0.2">
      <c r="B1301" s="1">
        <v>1286</v>
      </c>
      <c r="C1301" s="106">
        <f t="shared" ca="1" si="80"/>
        <v>0.68330009069306596</v>
      </c>
      <c r="D1301" s="106">
        <f t="shared" ca="1" si="81"/>
        <v>0.71083459309102992</v>
      </c>
      <c r="E1301" s="106">
        <f t="shared" ca="1" si="82"/>
        <v>0</v>
      </c>
      <c r="F1301" s="21">
        <f t="shared" ca="1" si="83"/>
        <v>0</v>
      </c>
      <c r="H1301" s="21">
        <v>1286</v>
      </c>
      <c r="I1301" s="107">
        <v>0.66769367341195252</v>
      </c>
      <c r="J1301" s="108">
        <v>1.3071150976587643E-3</v>
      </c>
      <c r="K1301" s="108"/>
      <c r="L1301" s="108">
        <v>4.1200000000000001E-2</v>
      </c>
      <c r="O1301" s="105"/>
    </row>
    <row r="1302" spans="2:15" x14ac:dyDescent="0.2">
      <c r="B1302" s="1">
        <v>1287</v>
      </c>
      <c r="C1302" s="106">
        <f t="shared" ca="1" si="80"/>
        <v>-1.5441571784167967</v>
      </c>
      <c r="D1302" s="106">
        <f t="shared" ca="1" si="81"/>
        <v>0.57061825152100598</v>
      </c>
      <c r="E1302" s="106">
        <f t="shared" ca="1" si="82"/>
        <v>0</v>
      </c>
      <c r="F1302" s="21">
        <f t="shared" ca="1" si="83"/>
        <v>0</v>
      </c>
      <c r="H1302" s="21">
        <v>1287</v>
      </c>
      <c r="I1302" s="107">
        <v>0.66768184297658939</v>
      </c>
      <c r="J1302" s="108">
        <v>1.2185505471191539E-3</v>
      </c>
      <c r="K1302" s="108"/>
      <c r="L1302" s="108">
        <v>4.0599999999999997E-2</v>
      </c>
      <c r="O1302" s="105"/>
    </row>
    <row r="1303" spans="2:15" x14ac:dyDescent="0.2">
      <c r="B1303" s="1">
        <v>1288</v>
      </c>
      <c r="C1303" s="106">
        <f t="shared" ca="1" si="80"/>
        <v>-0.36842463378073265</v>
      </c>
      <c r="D1303" s="106">
        <f t="shared" ca="1" si="81"/>
        <v>0.64078644466359225</v>
      </c>
      <c r="E1303" s="106">
        <f t="shared" ca="1" si="82"/>
        <v>0</v>
      </c>
      <c r="F1303" s="21">
        <f t="shared" ca="1" si="83"/>
        <v>0</v>
      </c>
      <c r="H1303" s="21">
        <v>1288</v>
      </c>
      <c r="I1303" s="107">
        <v>0.66779416614044129</v>
      </c>
      <c r="J1303" s="108">
        <v>1.4510915811960074E-3</v>
      </c>
      <c r="K1303" s="108"/>
      <c r="L1303" s="108">
        <v>4.4600000000000001E-2</v>
      </c>
      <c r="O1303" s="105"/>
    </row>
    <row r="1304" spans="2:15" x14ac:dyDescent="0.2">
      <c r="B1304" s="1">
        <v>1289</v>
      </c>
      <c r="C1304" s="106">
        <f t="shared" ca="1" si="80"/>
        <v>-1.1556244034831504</v>
      </c>
      <c r="D1304" s="106">
        <f t="shared" ca="1" si="81"/>
        <v>0.59291189495017727</v>
      </c>
      <c r="E1304" s="106">
        <f t="shared" ca="1" si="82"/>
        <v>0</v>
      </c>
      <c r="F1304" s="21">
        <f t="shared" ca="1" si="83"/>
        <v>0</v>
      </c>
      <c r="H1304" s="21">
        <v>1289</v>
      </c>
      <c r="I1304" s="107">
        <v>0.66778750358799666</v>
      </c>
      <c r="J1304" s="108">
        <v>1.3452346298178223E-3</v>
      </c>
      <c r="K1304" s="108"/>
      <c r="L1304" s="108">
        <v>4.2000000000000003E-2</v>
      </c>
      <c r="O1304" s="105"/>
    </row>
    <row r="1305" spans="2:15" x14ac:dyDescent="0.2">
      <c r="B1305" s="1">
        <v>1290</v>
      </c>
      <c r="C1305" s="106">
        <f t="shared" ca="1" si="80"/>
        <v>-0.27895586160615504</v>
      </c>
      <c r="D1305" s="106">
        <f t="shared" ca="1" si="81"/>
        <v>0.64646661679766237</v>
      </c>
      <c r="E1305" s="106">
        <f t="shared" ca="1" si="82"/>
        <v>0</v>
      </c>
      <c r="F1305" s="21">
        <f t="shared" ca="1" si="83"/>
        <v>0</v>
      </c>
      <c r="H1305" s="21">
        <v>1290</v>
      </c>
      <c r="I1305" s="107">
        <v>0.66757117959592582</v>
      </c>
      <c r="J1305" s="108">
        <v>1.1949310053898639E-3</v>
      </c>
      <c r="K1305" s="108"/>
      <c r="L1305" s="108">
        <v>3.7199999999999997E-2</v>
      </c>
      <c r="O1305" s="105"/>
    </row>
    <row r="1306" spans="2:15" x14ac:dyDescent="0.2">
      <c r="B1306" s="1">
        <v>1291</v>
      </c>
      <c r="C1306" s="106">
        <f t="shared" ca="1" si="80"/>
        <v>1.1269864098479072</v>
      </c>
      <c r="D1306" s="106">
        <f t="shared" ca="1" si="81"/>
        <v>0.74263566639394563</v>
      </c>
      <c r="E1306" s="106">
        <f t="shared" ca="1" si="82"/>
        <v>0</v>
      </c>
      <c r="F1306" s="21">
        <f t="shared" ca="1" si="83"/>
        <v>0</v>
      </c>
      <c r="H1306" s="21">
        <v>1291</v>
      </c>
      <c r="I1306" s="107">
        <v>0.66777980578272766</v>
      </c>
      <c r="J1306" s="108">
        <v>1.3996727729347011E-3</v>
      </c>
      <c r="K1306" s="108"/>
      <c r="L1306" s="108">
        <v>4.2599999999999999E-2</v>
      </c>
      <c r="O1306" s="105"/>
    </row>
    <row r="1307" spans="2:15" x14ac:dyDescent="0.2">
      <c r="B1307" s="1">
        <v>1292</v>
      </c>
      <c r="C1307" s="106">
        <f t="shared" ca="1" si="80"/>
        <v>0.52992653804999634</v>
      </c>
      <c r="D1307" s="106">
        <f t="shared" ca="1" si="81"/>
        <v>0.70016133870649699</v>
      </c>
      <c r="E1307" s="106">
        <f t="shared" ca="1" si="82"/>
        <v>0</v>
      </c>
      <c r="F1307" s="21">
        <f t="shared" ca="1" si="83"/>
        <v>0</v>
      </c>
      <c r="H1307" s="21">
        <v>1292</v>
      </c>
      <c r="I1307" s="107">
        <v>0.66780115335200563</v>
      </c>
      <c r="J1307" s="108">
        <v>1.35843075936758E-3</v>
      </c>
      <c r="K1307" s="108"/>
      <c r="L1307" s="108">
        <v>4.0800000000000003E-2</v>
      </c>
      <c r="O1307" s="105"/>
    </row>
    <row r="1308" spans="2:15" x14ac:dyDescent="0.2">
      <c r="B1308" s="1">
        <v>1293</v>
      </c>
      <c r="C1308" s="106">
        <f t="shared" ca="1" si="80"/>
        <v>7.2866432898148384E-2</v>
      </c>
      <c r="D1308" s="106">
        <f t="shared" ca="1" si="81"/>
        <v>0.66929557428101893</v>
      </c>
      <c r="E1308" s="106">
        <f t="shared" ca="1" si="82"/>
        <v>0</v>
      </c>
      <c r="F1308" s="21">
        <f t="shared" ca="1" si="83"/>
        <v>0</v>
      </c>
      <c r="H1308" s="21">
        <v>1293</v>
      </c>
      <c r="I1308" s="107">
        <v>0.6677464098262379</v>
      </c>
      <c r="J1308" s="108">
        <v>1.4394186836684563E-3</v>
      </c>
      <c r="K1308" s="108"/>
      <c r="L1308" s="108">
        <v>4.2799999999999998E-2</v>
      </c>
      <c r="O1308" s="105"/>
    </row>
    <row r="1309" spans="2:15" x14ac:dyDescent="0.2">
      <c r="B1309" s="1">
        <v>1294</v>
      </c>
      <c r="C1309" s="106">
        <f t="shared" ca="1" si="80"/>
        <v>-1.5303026565450211</v>
      </c>
      <c r="D1309" s="106">
        <f t="shared" ca="1" si="81"/>
        <v>0.57139860773914375</v>
      </c>
      <c r="E1309" s="106">
        <f t="shared" ca="1" si="82"/>
        <v>0</v>
      </c>
      <c r="F1309" s="21">
        <f t="shared" ca="1" si="83"/>
        <v>0</v>
      </c>
      <c r="H1309" s="21">
        <v>1294</v>
      </c>
      <c r="I1309" s="107">
        <v>0.66775685902948734</v>
      </c>
      <c r="J1309" s="108">
        <v>1.5525346805470199E-3</v>
      </c>
      <c r="K1309" s="108"/>
      <c r="L1309" s="108">
        <v>4.3400000000000001E-2</v>
      </c>
      <c r="O1309" s="105"/>
    </row>
    <row r="1310" spans="2:15" x14ac:dyDescent="0.2">
      <c r="B1310" s="1">
        <v>1295</v>
      </c>
      <c r="C1310" s="106">
        <f t="shared" ca="1" si="80"/>
        <v>0.41446184151473275</v>
      </c>
      <c r="D1310" s="106">
        <f t="shared" ca="1" si="81"/>
        <v>0.69223202911590753</v>
      </c>
      <c r="E1310" s="106">
        <f t="shared" ca="1" si="82"/>
        <v>0</v>
      </c>
      <c r="F1310" s="21">
        <f t="shared" ca="1" si="83"/>
        <v>0</v>
      </c>
      <c r="H1310" s="21">
        <v>1295</v>
      </c>
      <c r="I1310" s="107">
        <v>0.66769223888048668</v>
      </c>
      <c r="J1310" s="108">
        <v>1.2688677588442885E-3</v>
      </c>
      <c r="K1310" s="108"/>
      <c r="L1310" s="108">
        <v>4.4400000000000002E-2</v>
      </c>
      <c r="O1310" s="105"/>
    </row>
    <row r="1311" spans="2:15" x14ac:dyDescent="0.2">
      <c r="B1311" s="1">
        <v>1296</v>
      </c>
      <c r="C1311" s="106">
        <f t="shared" ca="1" si="80"/>
        <v>0.43379866379437243</v>
      </c>
      <c r="D1311" s="106">
        <f t="shared" ca="1" si="81"/>
        <v>0.69355365930674828</v>
      </c>
      <c r="E1311" s="106">
        <f t="shared" ca="1" si="82"/>
        <v>0</v>
      </c>
      <c r="F1311" s="21">
        <f t="shared" ca="1" si="83"/>
        <v>0</v>
      </c>
      <c r="H1311" s="21">
        <v>1296</v>
      </c>
      <c r="I1311" s="107">
        <v>0.6677971090866317</v>
      </c>
      <c r="J1311" s="108">
        <v>1.5177587673387747E-3</v>
      </c>
      <c r="K1311" s="108"/>
      <c r="L1311" s="108">
        <v>3.9E-2</v>
      </c>
      <c r="O1311" s="105"/>
    </row>
    <row r="1312" spans="2:15" x14ac:dyDescent="0.2">
      <c r="B1312" s="1">
        <v>1297</v>
      </c>
      <c r="C1312" s="106">
        <f t="shared" ca="1" si="80"/>
        <v>-0.33998380396734174</v>
      </c>
      <c r="D1312" s="106">
        <f t="shared" ca="1" si="81"/>
        <v>0.64258665734403819</v>
      </c>
      <c r="E1312" s="106">
        <f t="shared" ca="1" si="82"/>
        <v>0</v>
      </c>
      <c r="F1312" s="21">
        <f t="shared" ca="1" si="83"/>
        <v>0</v>
      </c>
      <c r="H1312" s="21">
        <v>1297</v>
      </c>
      <c r="I1312" s="107">
        <v>0.66769347742307583</v>
      </c>
      <c r="J1312" s="108">
        <v>1.2432764924200721E-3</v>
      </c>
      <c r="K1312" s="108"/>
      <c r="L1312" s="108">
        <v>4.2599999999999999E-2</v>
      </c>
      <c r="O1312" s="105"/>
    </row>
    <row r="1313" spans="2:15" x14ac:dyDescent="0.2">
      <c r="B1313" s="1">
        <v>1298</v>
      </c>
      <c r="C1313" s="106">
        <f t="shared" ca="1" si="80"/>
        <v>-0.21176353211905338</v>
      </c>
      <c r="D1313" s="106">
        <f t="shared" ca="1" si="81"/>
        <v>0.65076558997589029</v>
      </c>
      <c r="E1313" s="106">
        <f t="shared" ca="1" si="82"/>
        <v>0</v>
      </c>
      <c r="F1313" s="21">
        <f t="shared" ca="1" si="83"/>
        <v>0</v>
      </c>
      <c r="H1313" s="21">
        <v>1298</v>
      </c>
      <c r="I1313" s="107">
        <v>0.6677887278328305</v>
      </c>
      <c r="J1313" s="108">
        <v>1.3958792121482474E-3</v>
      </c>
      <c r="K1313" s="108"/>
      <c r="L1313" s="108">
        <v>4.1200000000000001E-2</v>
      </c>
      <c r="O1313" s="105"/>
    </row>
    <row r="1314" spans="2:15" x14ac:dyDescent="0.2">
      <c r="B1314" s="1">
        <v>1299</v>
      </c>
      <c r="C1314" s="106">
        <f t="shared" ca="1" si="80"/>
        <v>0.45745573372426629</v>
      </c>
      <c r="D1314" s="106">
        <f t="shared" ca="1" si="81"/>
        <v>0.69517400152396691</v>
      </c>
      <c r="E1314" s="106">
        <f t="shared" ca="1" si="82"/>
        <v>0</v>
      </c>
      <c r="F1314" s="21">
        <f t="shared" ca="1" si="83"/>
        <v>0</v>
      </c>
      <c r="H1314" s="21">
        <v>1299</v>
      </c>
      <c r="I1314" s="107">
        <v>0.6676227720219472</v>
      </c>
      <c r="J1314" s="108">
        <v>1.143779093311974E-3</v>
      </c>
      <c r="K1314" s="108"/>
      <c r="L1314" s="108">
        <v>3.8399999999999997E-2</v>
      </c>
      <c r="O1314" s="105"/>
    </row>
    <row r="1315" spans="2:15" x14ac:dyDescent="0.2">
      <c r="B1315" s="1">
        <v>1300</v>
      </c>
      <c r="C1315" s="106">
        <f t="shared" ca="1" si="80"/>
        <v>-0.57515608433182486</v>
      </c>
      <c r="D1315" s="106">
        <f t="shared" ca="1" si="81"/>
        <v>0.62785169078008518</v>
      </c>
      <c r="E1315" s="106">
        <f t="shared" ca="1" si="82"/>
        <v>0</v>
      </c>
      <c r="F1315" s="21">
        <f t="shared" ca="1" si="83"/>
        <v>0</v>
      </c>
      <c r="H1315" s="21">
        <v>1300</v>
      </c>
      <c r="I1315" s="107">
        <v>0.66769816688416317</v>
      </c>
      <c r="J1315" s="108">
        <v>1.4814560605614672E-3</v>
      </c>
      <c r="K1315" s="108"/>
      <c r="L1315" s="108">
        <v>4.2599999999999999E-2</v>
      </c>
      <c r="O1315" s="105"/>
    </row>
    <row r="1316" spans="2:15" x14ac:dyDescent="0.2">
      <c r="B1316" s="1">
        <v>1301</v>
      </c>
      <c r="C1316" s="106">
        <f t="shared" ca="1" si="80"/>
        <v>-0.75928025213860717</v>
      </c>
      <c r="D1316" s="106">
        <f t="shared" ca="1" si="81"/>
        <v>0.61655141995632723</v>
      </c>
      <c r="E1316" s="106">
        <f t="shared" ca="1" si="82"/>
        <v>0</v>
      </c>
      <c r="F1316" s="21">
        <f t="shared" ca="1" si="83"/>
        <v>0</v>
      </c>
      <c r="H1316" s="21">
        <v>1301</v>
      </c>
      <c r="I1316" s="107">
        <v>0.66780269273264259</v>
      </c>
      <c r="J1316" s="108">
        <v>1.4817534884741875E-3</v>
      </c>
      <c r="K1316" s="108"/>
      <c r="L1316" s="108">
        <v>4.3400000000000001E-2</v>
      </c>
      <c r="O1316" s="105"/>
    </row>
    <row r="1317" spans="2:15" x14ac:dyDescent="0.2">
      <c r="B1317" s="1">
        <v>1302</v>
      </c>
      <c r="C1317" s="106">
        <f t="shared" ca="1" si="80"/>
        <v>1.642893284972023</v>
      </c>
      <c r="D1317" s="106">
        <f t="shared" ca="1" si="81"/>
        <v>0.7814063490427271</v>
      </c>
      <c r="E1317" s="106">
        <f t="shared" ca="1" si="82"/>
        <v>0</v>
      </c>
      <c r="F1317" s="21">
        <f t="shared" ca="1" si="83"/>
        <v>0</v>
      </c>
      <c r="H1317" s="21">
        <v>1302</v>
      </c>
      <c r="I1317" s="107">
        <v>0.66768438661851748</v>
      </c>
      <c r="J1317" s="108">
        <v>1.3014072239275845E-3</v>
      </c>
      <c r="K1317" s="108"/>
      <c r="L1317" s="108">
        <v>4.02E-2</v>
      </c>
      <c r="O1317" s="105"/>
    </row>
    <row r="1318" spans="2:15" x14ac:dyDescent="0.2">
      <c r="B1318" s="1">
        <v>1303</v>
      </c>
      <c r="C1318" s="106">
        <f t="shared" ca="1" si="80"/>
        <v>0.92710971566442102</v>
      </c>
      <c r="D1318" s="106">
        <f t="shared" ca="1" si="81"/>
        <v>0.72813718222320611</v>
      </c>
      <c r="E1318" s="106">
        <f t="shared" ca="1" si="82"/>
        <v>0</v>
      </c>
      <c r="F1318" s="21">
        <f t="shared" ca="1" si="83"/>
        <v>0</v>
      </c>
      <c r="H1318" s="21">
        <v>1303</v>
      </c>
      <c r="I1318" s="107">
        <v>0.66778189929522813</v>
      </c>
      <c r="J1318" s="108">
        <v>1.5094266964750644E-3</v>
      </c>
      <c r="K1318" s="108"/>
      <c r="L1318" s="108">
        <v>4.3200000000000002E-2</v>
      </c>
      <c r="O1318" s="105"/>
    </row>
    <row r="1319" spans="2:15" x14ac:dyDescent="0.2">
      <c r="B1319" s="1">
        <v>1304</v>
      </c>
      <c r="C1319" s="106">
        <f t="shared" ca="1" si="80"/>
        <v>-1.2367563576141072</v>
      </c>
      <c r="D1319" s="106">
        <f t="shared" ca="1" si="81"/>
        <v>0.58818577937567185</v>
      </c>
      <c r="E1319" s="106">
        <f t="shared" ca="1" si="82"/>
        <v>0</v>
      </c>
      <c r="F1319" s="21">
        <f t="shared" ca="1" si="83"/>
        <v>0</v>
      </c>
      <c r="H1319" s="21">
        <v>1304</v>
      </c>
      <c r="I1319" s="107">
        <v>0.66775304993528872</v>
      </c>
      <c r="J1319" s="108">
        <v>1.2106797120213129E-3</v>
      </c>
      <c r="K1319" s="108"/>
      <c r="L1319" s="108">
        <v>0.04</v>
      </c>
      <c r="O1319" s="105"/>
    </row>
    <row r="1320" spans="2:15" x14ac:dyDescent="0.2">
      <c r="B1320" s="1">
        <v>1305</v>
      </c>
      <c r="C1320" s="106">
        <f t="shared" ca="1" si="80"/>
        <v>0.80139391489634082</v>
      </c>
      <c r="D1320" s="106">
        <f t="shared" ca="1" si="81"/>
        <v>0.71916347358629162</v>
      </c>
      <c r="E1320" s="106">
        <f t="shared" ca="1" si="82"/>
        <v>0</v>
      </c>
      <c r="F1320" s="21">
        <f t="shared" ca="1" si="83"/>
        <v>0</v>
      </c>
      <c r="H1320" s="21">
        <v>1305</v>
      </c>
      <c r="I1320" s="107">
        <v>0.66772169835566664</v>
      </c>
      <c r="J1320" s="108">
        <v>1.2679546486712228E-3</v>
      </c>
      <c r="K1320" s="108"/>
      <c r="L1320" s="108">
        <v>0.04</v>
      </c>
      <c r="O1320" s="105"/>
    </row>
    <row r="1321" spans="2:15" x14ac:dyDescent="0.2">
      <c r="B1321" s="1">
        <v>1306</v>
      </c>
      <c r="C1321" s="106">
        <f t="shared" ca="1" si="80"/>
        <v>-1.3337744642601528</v>
      </c>
      <c r="D1321" s="106">
        <f t="shared" ca="1" si="81"/>
        <v>0.5825836933284706</v>
      </c>
      <c r="E1321" s="106">
        <f t="shared" ca="1" si="82"/>
        <v>0</v>
      </c>
      <c r="F1321" s="21">
        <f t="shared" ca="1" si="83"/>
        <v>0</v>
      </c>
      <c r="H1321" s="21">
        <v>1306</v>
      </c>
      <c r="I1321" s="107">
        <v>0.66771566901223034</v>
      </c>
      <c r="J1321" s="108">
        <v>1.2652884336910124E-3</v>
      </c>
      <c r="K1321" s="108"/>
      <c r="L1321" s="108">
        <v>4.0399999999999998E-2</v>
      </c>
      <c r="O1321" s="105"/>
    </row>
    <row r="1322" spans="2:15" x14ac:dyDescent="0.2">
      <c r="B1322" s="1">
        <v>1307</v>
      </c>
      <c r="C1322" s="106">
        <f t="shared" ca="1" si="80"/>
        <v>-1.2658685419048055</v>
      </c>
      <c r="D1322" s="106">
        <f t="shared" ca="1" si="81"/>
        <v>0.58649913008494481</v>
      </c>
      <c r="E1322" s="106">
        <f t="shared" ca="1" si="82"/>
        <v>0</v>
      </c>
      <c r="F1322" s="21">
        <f t="shared" ca="1" si="83"/>
        <v>0</v>
      </c>
      <c r="H1322" s="21">
        <v>1307</v>
      </c>
      <c r="I1322" s="107">
        <v>0.66762715217960722</v>
      </c>
      <c r="J1322" s="108">
        <v>1.2096602715304858E-3</v>
      </c>
      <c r="K1322" s="108"/>
      <c r="L1322" s="108">
        <v>3.9199999999999999E-2</v>
      </c>
      <c r="O1322" s="105"/>
    </row>
    <row r="1323" spans="2:15" x14ac:dyDescent="0.2">
      <c r="B1323" s="1">
        <v>1308</v>
      </c>
      <c r="C1323" s="106">
        <f t="shared" ca="1" si="80"/>
        <v>-0.92462761956011053</v>
      </c>
      <c r="D1323" s="106">
        <f t="shared" ca="1" si="81"/>
        <v>0.60657697789995302</v>
      </c>
      <c r="E1323" s="106">
        <f t="shared" ca="1" si="82"/>
        <v>0</v>
      </c>
      <c r="F1323" s="21">
        <f t="shared" ca="1" si="83"/>
        <v>0</v>
      </c>
      <c r="H1323" s="21">
        <v>1308</v>
      </c>
      <c r="I1323" s="107">
        <v>0.66802917596212319</v>
      </c>
      <c r="J1323" s="108">
        <v>1.7336594258443177E-3</v>
      </c>
      <c r="K1323" s="108"/>
      <c r="L1323" s="108">
        <v>4.9599999999999998E-2</v>
      </c>
      <c r="O1323" s="105"/>
    </row>
    <row r="1324" spans="2:15" x14ac:dyDescent="0.2">
      <c r="B1324" s="1">
        <v>1309</v>
      </c>
      <c r="C1324" s="106">
        <f t="shared" ca="1" si="80"/>
        <v>-0.29964613026539361</v>
      </c>
      <c r="D1324" s="106">
        <f t="shared" ca="1" si="81"/>
        <v>0.64514857849908569</v>
      </c>
      <c r="E1324" s="106">
        <f t="shared" ca="1" si="82"/>
        <v>0</v>
      </c>
      <c r="F1324" s="21">
        <f t="shared" ca="1" si="83"/>
        <v>0</v>
      </c>
      <c r="H1324" s="21">
        <v>1309</v>
      </c>
      <c r="I1324" s="107">
        <v>0.66762984913707579</v>
      </c>
      <c r="J1324" s="108">
        <v>1.222380176801533E-3</v>
      </c>
      <c r="K1324" s="108"/>
      <c r="L1324" s="108">
        <v>3.9E-2</v>
      </c>
      <c r="O1324" s="105"/>
    </row>
    <row r="1325" spans="2:15" x14ac:dyDescent="0.2">
      <c r="B1325" s="1">
        <v>1310</v>
      </c>
      <c r="C1325" s="106">
        <f t="shared" ca="1" si="80"/>
        <v>0.78748306609825847</v>
      </c>
      <c r="D1325" s="106">
        <f t="shared" ca="1" si="81"/>
        <v>0.71817732530944201</v>
      </c>
      <c r="E1325" s="106">
        <f t="shared" ca="1" si="82"/>
        <v>0</v>
      </c>
      <c r="F1325" s="21">
        <f t="shared" ca="1" si="83"/>
        <v>0</v>
      </c>
      <c r="H1325" s="21">
        <v>1310</v>
      </c>
      <c r="I1325" s="107">
        <v>0.66768937681348473</v>
      </c>
      <c r="J1325" s="108">
        <v>1.3559472069166309E-3</v>
      </c>
      <c r="K1325" s="108"/>
      <c r="L1325" s="108">
        <v>3.8399999999999997E-2</v>
      </c>
      <c r="O1325" s="105"/>
    </row>
    <row r="1326" spans="2:15" x14ac:dyDescent="0.2">
      <c r="B1326" s="1">
        <v>1311</v>
      </c>
      <c r="C1326" s="106">
        <f t="shared" ca="1" si="80"/>
        <v>-1.5205248017923272</v>
      </c>
      <c r="D1326" s="106">
        <f t="shared" ca="1" si="81"/>
        <v>0.57194998787445972</v>
      </c>
      <c r="E1326" s="106">
        <f t="shared" ca="1" si="82"/>
        <v>0</v>
      </c>
      <c r="F1326" s="21">
        <f t="shared" ca="1" si="83"/>
        <v>0</v>
      </c>
      <c r="H1326" s="21">
        <v>1311</v>
      </c>
      <c r="I1326" s="107">
        <v>0.66774978259336593</v>
      </c>
      <c r="J1326" s="108">
        <v>1.3421350727232505E-3</v>
      </c>
      <c r="K1326" s="108"/>
      <c r="L1326" s="108">
        <v>4.3999999999999997E-2</v>
      </c>
      <c r="O1326" s="105"/>
    </row>
    <row r="1327" spans="2:15" x14ac:dyDescent="0.2">
      <c r="B1327" s="1">
        <v>1312</v>
      </c>
      <c r="C1327" s="106">
        <f t="shared" ca="1" si="80"/>
        <v>-0.2832232099033975</v>
      </c>
      <c r="D1327" s="106">
        <f t="shared" ca="1" si="81"/>
        <v>0.64619455241319179</v>
      </c>
      <c r="E1327" s="106">
        <f t="shared" ca="1" si="82"/>
        <v>0</v>
      </c>
      <c r="F1327" s="21">
        <f t="shared" ca="1" si="83"/>
        <v>0</v>
      </c>
      <c r="H1327" s="21">
        <v>1312</v>
      </c>
      <c r="I1327" s="107">
        <v>0.66765063148177761</v>
      </c>
      <c r="J1327" s="108">
        <v>1.3137943211104452E-3</v>
      </c>
      <c r="K1327" s="108"/>
      <c r="L1327" s="108">
        <v>4.02E-2</v>
      </c>
      <c r="O1327" s="105"/>
    </row>
    <row r="1328" spans="2:15" x14ac:dyDescent="0.2">
      <c r="B1328" s="1">
        <v>1313</v>
      </c>
      <c r="C1328" s="106">
        <f t="shared" ca="1" si="80"/>
        <v>0.27078334048464875</v>
      </c>
      <c r="D1328" s="106">
        <f t="shared" ca="1" si="81"/>
        <v>0.6824904701294664</v>
      </c>
      <c r="E1328" s="106">
        <f t="shared" ca="1" si="82"/>
        <v>0</v>
      </c>
      <c r="F1328" s="21">
        <f t="shared" ca="1" si="83"/>
        <v>0</v>
      </c>
      <c r="H1328" s="21">
        <v>1313</v>
      </c>
      <c r="I1328" s="107">
        <v>0.66789635227091904</v>
      </c>
      <c r="J1328" s="108">
        <v>1.3217385655728841E-3</v>
      </c>
      <c r="K1328" s="108"/>
      <c r="L1328" s="108">
        <v>4.1000000000000002E-2</v>
      </c>
      <c r="O1328" s="105"/>
    </row>
    <row r="1329" spans="2:15" x14ac:dyDescent="0.2">
      <c r="B1329" s="1">
        <v>1314</v>
      </c>
      <c r="C1329" s="106">
        <f t="shared" ca="1" si="80"/>
        <v>-2.021329351752962</v>
      </c>
      <c r="D1329" s="106">
        <f t="shared" ca="1" si="81"/>
        <v>0.54438217567556069</v>
      </c>
      <c r="E1329" s="106">
        <f t="shared" ca="1" si="82"/>
        <v>0</v>
      </c>
      <c r="F1329" s="21">
        <f t="shared" ca="1" si="83"/>
        <v>0</v>
      </c>
      <c r="H1329" s="21">
        <v>1314</v>
      </c>
      <c r="I1329" s="107">
        <v>0.66789477544967257</v>
      </c>
      <c r="J1329" s="108">
        <v>1.4760652856841321E-3</v>
      </c>
      <c r="K1329" s="108"/>
      <c r="L1329" s="108">
        <v>4.58E-2</v>
      </c>
      <c r="O1329" s="105"/>
    </row>
    <row r="1330" spans="2:15" x14ac:dyDescent="0.2">
      <c r="B1330" s="1">
        <v>1315</v>
      </c>
      <c r="C1330" s="106">
        <f t="shared" ca="1" si="80"/>
        <v>-0.73435827892047278</v>
      </c>
      <c r="D1330" s="106">
        <f t="shared" ca="1" si="81"/>
        <v>0.61806897536979999</v>
      </c>
      <c r="E1330" s="106">
        <f t="shared" ca="1" si="82"/>
        <v>0</v>
      </c>
      <c r="F1330" s="21">
        <f t="shared" ca="1" si="83"/>
        <v>0</v>
      </c>
      <c r="H1330" s="21">
        <v>1315</v>
      </c>
      <c r="I1330" s="107">
        <v>0.6677700678170887</v>
      </c>
      <c r="J1330" s="108">
        <v>1.3450628178395057E-3</v>
      </c>
      <c r="K1330" s="108"/>
      <c r="L1330" s="108">
        <v>3.9199999999999999E-2</v>
      </c>
      <c r="O1330" s="105"/>
    </row>
    <row r="1331" spans="2:15" x14ac:dyDescent="0.2">
      <c r="B1331" s="1">
        <v>1316</v>
      </c>
      <c r="C1331" s="106">
        <f t="shared" ca="1" si="80"/>
        <v>-0.2827001377923421</v>
      </c>
      <c r="D1331" s="106">
        <f t="shared" ca="1" si="81"/>
        <v>0.64622789466770814</v>
      </c>
      <c r="E1331" s="106">
        <f t="shared" ca="1" si="82"/>
        <v>0</v>
      </c>
      <c r="F1331" s="21">
        <f t="shared" ca="1" si="83"/>
        <v>0</v>
      </c>
      <c r="H1331" s="21">
        <v>1316</v>
      </c>
      <c r="I1331" s="107">
        <v>0.66774762335618454</v>
      </c>
      <c r="J1331" s="108">
        <v>1.3248139491797639E-3</v>
      </c>
      <c r="K1331" s="108"/>
      <c r="L1331" s="108">
        <v>4.1200000000000001E-2</v>
      </c>
      <c r="O1331" s="105"/>
    </row>
    <row r="1332" spans="2:15" x14ac:dyDescent="0.2">
      <c r="B1332" s="1">
        <v>1317</v>
      </c>
      <c r="C1332" s="106">
        <f t="shared" ca="1" si="80"/>
        <v>0.20273282087378275</v>
      </c>
      <c r="D1332" s="106">
        <f t="shared" ca="1" si="81"/>
        <v>0.677924530845745</v>
      </c>
      <c r="E1332" s="106">
        <f t="shared" ca="1" si="82"/>
        <v>0</v>
      </c>
      <c r="F1332" s="21">
        <f t="shared" ca="1" si="83"/>
        <v>0</v>
      </c>
      <c r="H1332" s="21">
        <v>1317</v>
      </c>
      <c r="I1332" s="107">
        <v>0.66765077572924669</v>
      </c>
      <c r="J1332" s="108">
        <v>1.2675399327575331E-3</v>
      </c>
      <c r="K1332" s="108"/>
      <c r="L1332" s="108">
        <v>3.9199999999999999E-2</v>
      </c>
      <c r="O1332" s="105"/>
    </row>
    <row r="1333" spans="2:15" x14ac:dyDescent="0.2">
      <c r="B1333" s="1">
        <v>1318</v>
      </c>
      <c r="C1333" s="106">
        <f t="shared" ca="1" si="80"/>
        <v>-2.4750697898659753</v>
      </c>
      <c r="D1333" s="106">
        <f t="shared" ca="1" si="81"/>
        <v>0.52055417780712443</v>
      </c>
      <c r="E1333" s="106">
        <f t="shared" ca="1" si="82"/>
        <v>0</v>
      </c>
      <c r="F1333" s="21">
        <f t="shared" ca="1" si="83"/>
        <v>0</v>
      </c>
      <c r="H1333" s="21">
        <v>1318</v>
      </c>
      <c r="I1333" s="107">
        <v>0.66776560164859933</v>
      </c>
      <c r="J1333" s="108">
        <v>1.4196677700291519E-3</v>
      </c>
      <c r="K1333" s="108"/>
      <c r="L1333" s="108">
        <v>4.3200000000000002E-2</v>
      </c>
      <c r="O1333" s="105"/>
    </row>
    <row r="1334" spans="2:15" x14ac:dyDescent="0.2">
      <c r="B1334" s="1">
        <v>1319</v>
      </c>
      <c r="C1334" s="106">
        <f t="shared" ca="1" si="80"/>
        <v>-1.0104957061839122</v>
      </c>
      <c r="D1334" s="106">
        <f t="shared" ca="1" si="81"/>
        <v>0.60146088243487417</v>
      </c>
      <c r="E1334" s="106">
        <f t="shared" ca="1" si="82"/>
        <v>0</v>
      </c>
      <c r="F1334" s="21">
        <f t="shared" ca="1" si="83"/>
        <v>0</v>
      </c>
      <c r="H1334" s="21">
        <v>1319</v>
      </c>
      <c r="I1334" s="107">
        <v>0.66766040176171748</v>
      </c>
      <c r="J1334" s="108">
        <v>1.1682051573957662E-3</v>
      </c>
      <c r="K1334" s="108"/>
      <c r="L1334" s="108">
        <v>3.8600000000000002E-2</v>
      </c>
      <c r="O1334" s="105"/>
    </row>
    <row r="1335" spans="2:15" x14ac:dyDescent="0.2">
      <c r="B1335" s="1">
        <v>1320</v>
      </c>
      <c r="C1335" s="106">
        <f t="shared" ca="1" si="80"/>
        <v>0.13102318496074242</v>
      </c>
      <c r="D1335" s="106">
        <f t="shared" ca="1" si="81"/>
        <v>0.67314612894489001</v>
      </c>
      <c r="E1335" s="106">
        <f t="shared" ca="1" si="82"/>
        <v>0</v>
      </c>
      <c r="F1335" s="21">
        <f t="shared" ca="1" si="83"/>
        <v>0</v>
      </c>
      <c r="H1335" s="21">
        <v>1320</v>
      </c>
      <c r="I1335" s="107">
        <v>0.66783679776348848</v>
      </c>
      <c r="J1335" s="108">
        <v>1.4659125301862681E-3</v>
      </c>
      <c r="K1335" s="108"/>
      <c r="L1335" s="108">
        <v>4.3999999999999997E-2</v>
      </c>
      <c r="O1335" s="105"/>
    </row>
    <row r="1336" spans="2:15" x14ac:dyDescent="0.2">
      <c r="B1336" s="1">
        <v>1321</v>
      </c>
      <c r="C1336" s="106">
        <f t="shared" ca="1" si="80"/>
        <v>-0.80884332868352171</v>
      </c>
      <c r="D1336" s="106">
        <f t="shared" ca="1" si="81"/>
        <v>0.61354447646704624</v>
      </c>
      <c r="E1336" s="106">
        <f t="shared" ca="1" si="82"/>
        <v>0</v>
      </c>
      <c r="F1336" s="21">
        <f t="shared" ca="1" si="83"/>
        <v>0</v>
      </c>
      <c r="H1336" s="21">
        <v>1321</v>
      </c>
      <c r="I1336" s="107">
        <v>0.6677446138785933</v>
      </c>
      <c r="J1336" s="108">
        <v>1.4495097422112472E-3</v>
      </c>
      <c r="K1336" s="108"/>
      <c r="L1336" s="108">
        <v>4.3999999999999997E-2</v>
      </c>
      <c r="O1336" s="105"/>
    </row>
    <row r="1337" spans="2:15" x14ac:dyDescent="0.2">
      <c r="B1337" s="1">
        <v>1322</v>
      </c>
      <c r="C1337" s="106">
        <f t="shared" ca="1" si="80"/>
        <v>-0.57494994146848721</v>
      </c>
      <c r="D1337" s="106">
        <f t="shared" ca="1" si="81"/>
        <v>0.62786445777508948</v>
      </c>
      <c r="E1337" s="106">
        <f t="shared" ca="1" si="82"/>
        <v>0</v>
      </c>
      <c r="F1337" s="21">
        <f t="shared" ca="1" si="83"/>
        <v>0</v>
      </c>
      <c r="H1337" s="21">
        <v>1322</v>
      </c>
      <c r="I1337" s="107">
        <v>0.66775460452612712</v>
      </c>
      <c r="J1337" s="108">
        <v>1.4503039237877978E-3</v>
      </c>
      <c r="K1337" s="108"/>
      <c r="L1337" s="108">
        <v>4.1599999999999998E-2</v>
      </c>
      <c r="O1337" s="105"/>
    </row>
    <row r="1338" spans="2:15" x14ac:dyDescent="0.2">
      <c r="B1338" s="1">
        <v>1323</v>
      </c>
      <c r="C1338" s="106">
        <f t="shared" ca="1" si="80"/>
        <v>-9.1726926600445569E-2</v>
      </c>
      <c r="D1338" s="106">
        <f t="shared" ca="1" si="81"/>
        <v>0.65851682439531412</v>
      </c>
      <c r="E1338" s="106">
        <f t="shared" ca="1" si="82"/>
        <v>0</v>
      </c>
      <c r="F1338" s="21">
        <f t="shared" ca="1" si="83"/>
        <v>0</v>
      </c>
      <c r="H1338" s="21">
        <v>1323</v>
      </c>
      <c r="I1338" s="107">
        <v>0.66784237677457081</v>
      </c>
      <c r="J1338" s="108">
        <v>1.5495024618450363E-3</v>
      </c>
      <c r="K1338" s="108"/>
      <c r="L1338" s="108">
        <v>4.2799999999999998E-2</v>
      </c>
      <c r="O1338" s="105"/>
    </row>
    <row r="1339" spans="2:15" x14ac:dyDescent="0.2">
      <c r="B1339" s="1">
        <v>1324</v>
      </c>
      <c r="C1339" s="106">
        <f t="shared" ca="1" si="80"/>
        <v>0.41823772002553372</v>
      </c>
      <c r="D1339" s="106">
        <f t="shared" ca="1" si="81"/>
        <v>0.69248990426000356</v>
      </c>
      <c r="E1339" s="106">
        <f t="shared" ca="1" si="82"/>
        <v>0</v>
      </c>
      <c r="F1339" s="21">
        <f t="shared" ca="1" si="83"/>
        <v>0</v>
      </c>
      <c r="H1339" s="21">
        <v>1324</v>
      </c>
      <c r="I1339" s="107">
        <v>0.66781981800699874</v>
      </c>
      <c r="J1339" s="108">
        <v>1.4628574249410998E-3</v>
      </c>
      <c r="K1339" s="108"/>
      <c r="L1339" s="108">
        <v>4.4999999999999998E-2</v>
      </c>
      <c r="O1339" s="105"/>
    </row>
    <row r="1340" spans="2:15" x14ac:dyDescent="0.2">
      <c r="B1340" s="1">
        <v>1325</v>
      </c>
      <c r="C1340" s="106">
        <f t="shared" ca="1" si="80"/>
        <v>0.21199828237744794</v>
      </c>
      <c r="D1340" s="106">
        <f t="shared" ca="1" si="81"/>
        <v>0.67854440821940731</v>
      </c>
      <c r="E1340" s="106">
        <f t="shared" ca="1" si="82"/>
        <v>0</v>
      </c>
      <c r="F1340" s="21">
        <f t="shared" ca="1" si="83"/>
        <v>0</v>
      </c>
      <c r="H1340" s="21">
        <v>1325</v>
      </c>
      <c r="I1340" s="107">
        <v>0.66766021420675037</v>
      </c>
      <c r="J1340" s="108">
        <v>1.2305988786559053E-3</v>
      </c>
      <c r="K1340" s="108"/>
      <c r="L1340" s="108">
        <v>4.1599999999999998E-2</v>
      </c>
      <c r="O1340" s="105"/>
    </row>
    <row r="1341" spans="2:15" x14ac:dyDescent="0.2">
      <c r="B1341" s="1">
        <v>1326</v>
      </c>
      <c r="C1341" s="106">
        <f t="shared" ca="1" si="80"/>
        <v>0.27173901713011983</v>
      </c>
      <c r="D1341" s="106">
        <f t="shared" ca="1" si="81"/>
        <v>0.68255481100044813</v>
      </c>
      <c r="E1341" s="106">
        <f t="shared" ca="1" si="82"/>
        <v>0</v>
      </c>
      <c r="F1341" s="21">
        <f t="shared" ca="1" si="83"/>
        <v>0</v>
      </c>
      <c r="H1341" s="21">
        <v>1326</v>
      </c>
      <c r="I1341" s="107">
        <v>0.66769429885166753</v>
      </c>
      <c r="J1341" s="108">
        <v>1.316039945643499E-3</v>
      </c>
      <c r="K1341" s="108"/>
      <c r="L1341" s="108">
        <v>4.1799999999999997E-2</v>
      </c>
      <c r="O1341" s="105"/>
    </row>
    <row r="1342" spans="2:15" x14ac:dyDescent="0.2">
      <c r="B1342" s="1">
        <v>1327</v>
      </c>
      <c r="C1342" s="106">
        <f t="shared" ca="1" si="80"/>
        <v>0.14366377675226832</v>
      </c>
      <c r="D1342" s="106">
        <f t="shared" ca="1" si="81"/>
        <v>0.673985988070954</v>
      </c>
      <c r="E1342" s="106">
        <f t="shared" ca="1" si="82"/>
        <v>0</v>
      </c>
      <c r="F1342" s="21">
        <f t="shared" ca="1" si="83"/>
        <v>0</v>
      </c>
      <c r="H1342" s="21">
        <v>1327</v>
      </c>
      <c r="I1342" s="107">
        <v>0.66777311443704546</v>
      </c>
      <c r="J1342" s="108">
        <v>1.3466038085275657E-3</v>
      </c>
      <c r="K1342" s="108"/>
      <c r="L1342" s="108">
        <v>4.1599999999999998E-2</v>
      </c>
      <c r="O1342" s="105"/>
    </row>
    <row r="1343" spans="2:15" x14ac:dyDescent="0.2">
      <c r="B1343" s="1">
        <v>1328</v>
      </c>
      <c r="C1343" s="106">
        <f t="shared" ca="1" si="80"/>
        <v>0.47993743828270818</v>
      </c>
      <c r="D1343" s="106">
        <f t="shared" ca="1" si="81"/>
        <v>0.69671734751753944</v>
      </c>
      <c r="E1343" s="106">
        <f t="shared" ca="1" si="82"/>
        <v>0</v>
      </c>
      <c r="F1343" s="21">
        <f t="shared" ca="1" si="83"/>
        <v>0</v>
      </c>
      <c r="H1343" s="21">
        <v>1328</v>
      </c>
      <c r="I1343" s="107">
        <v>0.66765754504856445</v>
      </c>
      <c r="J1343" s="108">
        <v>1.2532106055032758E-3</v>
      </c>
      <c r="K1343" s="108"/>
      <c r="L1343" s="108">
        <v>3.8399999999999997E-2</v>
      </c>
      <c r="O1343" s="105"/>
    </row>
    <row r="1344" spans="2:15" x14ac:dyDescent="0.2">
      <c r="B1344" s="1">
        <v>1329</v>
      </c>
      <c r="C1344" s="106">
        <f t="shared" ca="1" si="80"/>
        <v>0.49429241810266777</v>
      </c>
      <c r="D1344" s="106">
        <f t="shared" ca="1" si="81"/>
        <v>0.69770459407184338</v>
      </c>
      <c r="E1344" s="106">
        <f t="shared" ca="1" si="82"/>
        <v>0</v>
      </c>
      <c r="F1344" s="21">
        <f t="shared" ca="1" si="83"/>
        <v>0</v>
      </c>
      <c r="H1344" s="21">
        <v>1329</v>
      </c>
      <c r="I1344" s="107">
        <v>0.66783349873273268</v>
      </c>
      <c r="J1344" s="108">
        <v>1.4591767870509205E-3</v>
      </c>
      <c r="K1344" s="108"/>
      <c r="L1344" s="108">
        <v>4.5199999999999997E-2</v>
      </c>
      <c r="O1344" s="105"/>
    </row>
    <row r="1345" spans="2:15" x14ac:dyDescent="0.2">
      <c r="B1345" s="1">
        <v>1330</v>
      </c>
      <c r="C1345" s="106">
        <f t="shared" ca="1" si="80"/>
        <v>0.31120300651707616</v>
      </c>
      <c r="D1345" s="106">
        <f t="shared" ca="1" si="81"/>
        <v>0.68521702522233019</v>
      </c>
      <c r="E1345" s="106">
        <f t="shared" ca="1" si="82"/>
        <v>0</v>
      </c>
      <c r="F1345" s="21">
        <f t="shared" ca="1" si="83"/>
        <v>0</v>
      </c>
      <c r="H1345" s="21">
        <v>1330</v>
      </c>
      <c r="I1345" s="107">
        <v>0.66770254282633923</v>
      </c>
      <c r="J1345" s="108">
        <v>1.2729678040015301E-3</v>
      </c>
      <c r="K1345" s="108"/>
      <c r="L1345" s="108">
        <v>3.9800000000000002E-2</v>
      </c>
      <c r="O1345" s="105"/>
    </row>
    <row r="1346" spans="2:15" x14ac:dyDescent="0.2">
      <c r="B1346" s="1">
        <v>1331</v>
      </c>
      <c r="C1346" s="106">
        <f t="shared" ca="1" si="80"/>
        <v>0.54946161509108371</v>
      </c>
      <c r="D1346" s="106">
        <f t="shared" ca="1" si="81"/>
        <v>0.70151182648353771</v>
      </c>
      <c r="E1346" s="106">
        <f t="shared" ca="1" si="82"/>
        <v>0</v>
      </c>
      <c r="F1346" s="21">
        <f t="shared" ca="1" si="83"/>
        <v>0</v>
      </c>
      <c r="H1346" s="21">
        <v>1331</v>
      </c>
      <c r="I1346" s="107">
        <v>0.66779107728514409</v>
      </c>
      <c r="J1346" s="108">
        <v>1.3989590206370704E-3</v>
      </c>
      <c r="K1346" s="108"/>
      <c r="L1346" s="108">
        <v>4.36E-2</v>
      </c>
      <c r="O1346" s="105"/>
    </row>
    <row r="1347" spans="2:15" x14ac:dyDescent="0.2">
      <c r="B1347" s="1">
        <v>1332</v>
      </c>
      <c r="C1347" s="106">
        <f t="shared" ca="1" si="80"/>
        <v>0.79433225613330327</v>
      </c>
      <c r="D1347" s="106">
        <f t="shared" ca="1" si="81"/>
        <v>0.71866269932401439</v>
      </c>
      <c r="E1347" s="106">
        <f t="shared" ca="1" si="82"/>
        <v>0</v>
      </c>
      <c r="F1347" s="21">
        <f t="shared" ca="1" si="83"/>
        <v>0</v>
      </c>
      <c r="H1347" s="21">
        <v>1332</v>
      </c>
      <c r="I1347" s="107">
        <v>0.66769530145997724</v>
      </c>
      <c r="J1347" s="108">
        <v>1.4383674955093684E-3</v>
      </c>
      <c r="K1347" s="108"/>
      <c r="L1347" s="108">
        <v>3.9600000000000003E-2</v>
      </c>
      <c r="O1347" s="105"/>
    </row>
    <row r="1348" spans="2:15" x14ac:dyDescent="0.2">
      <c r="B1348" s="1">
        <v>1333</v>
      </c>
      <c r="C1348" s="106">
        <f t="shared" ca="1" si="80"/>
        <v>2.3230667304755412</v>
      </c>
      <c r="D1348" s="106">
        <f t="shared" ca="1" si="81"/>
        <v>0.83563216163930831</v>
      </c>
      <c r="E1348" s="106">
        <f t="shared" ca="1" si="82"/>
        <v>4.7432161639308301E-2</v>
      </c>
      <c r="F1348" s="21">
        <f t="shared" ca="1" si="83"/>
        <v>1</v>
      </c>
      <c r="H1348" s="21">
        <v>1333</v>
      </c>
      <c r="I1348" s="107">
        <v>0.66778568043206765</v>
      </c>
      <c r="J1348" s="108">
        <v>1.3569078365230603E-3</v>
      </c>
      <c r="K1348" s="108"/>
      <c r="L1348" s="108">
        <v>4.1399999999999999E-2</v>
      </c>
      <c r="O1348" s="105"/>
    </row>
    <row r="1349" spans="2:15" x14ac:dyDescent="0.2">
      <c r="B1349" s="1">
        <v>1334</v>
      </c>
      <c r="C1349" s="106">
        <f t="shared" ca="1" si="80"/>
        <v>-0.2377362790869145</v>
      </c>
      <c r="D1349" s="106">
        <f t="shared" ca="1" si="81"/>
        <v>0.64910047143453198</v>
      </c>
      <c r="E1349" s="106">
        <f t="shared" ca="1" si="82"/>
        <v>0</v>
      </c>
      <c r="F1349" s="21">
        <f t="shared" ca="1" si="83"/>
        <v>0</v>
      </c>
      <c r="H1349" s="21">
        <v>1334</v>
      </c>
      <c r="I1349" s="107">
        <v>0.66794014833570858</v>
      </c>
      <c r="J1349" s="108">
        <v>1.6800200591406327E-3</v>
      </c>
      <c r="K1349" s="108"/>
      <c r="L1349" s="108">
        <v>4.3799999999999999E-2</v>
      </c>
      <c r="O1349" s="105"/>
    </row>
    <row r="1350" spans="2:15" x14ac:dyDescent="0.2">
      <c r="B1350" s="1">
        <v>1335</v>
      </c>
      <c r="C1350" s="106">
        <f t="shared" ca="1" si="80"/>
        <v>-0.98688900196290941</v>
      </c>
      <c r="D1350" s="106">
        <f t="shared" ca="1" si="81"/>
        <v>0.60286307413736262</v>
      </c>
      <c r="E1350" s="106">
        <f t="shared" ca="1" si="82"/>
        <v>0</v>
      </c>
      <c r="F1350" s="21">
        <f t="shared" ca="1" si="83"/>
        <v>0</v>
      </c>
      <c r="H1350" s="21">
        <v>1335</v>
      </c>
      <c r="I1350" s="107">
        <v>0.6676527586815979</v>
      </c>
      <c r="J1350" s="108">
        <v>1.3174768620927489E-3</v>
      </c>
      <c r="K1350" s="108"/>
      <c r="L1350" s="108">
        <v>3.9800000000000002E-2</v>
      </c>
      <c r="O1350" s="105"/>
    </row>
    <row r="1351" spans="2:15" x14ac:dyDescent="0.2">
      <c r="B1351" s="1">
        <v>1336</v>
      </c>
      <c r="C1351" s="106">
        <f t="shared" ca="1" si="80"/>
        <v>-1.2262042256560679</v>
      </c>
      <c r="D1351" s="106">
        <f t="shared" ca="1" si="81"/>
        <v>0.58879832674289745</v>
      </c>
      <c r="E1351" s="106">
        <f t="shared" ca="1" si="82"/>
        <v>0</v>
      </c>
      <c r="F1351" s="21">
        <f t="shared" ca="1" si="83"/>
        <v>0</v>
      </c>
      <c r="H1351" s="21">
        <v>1336</v>
      </c>
      <c r="I1351" s="107">
        <v>0.66758029151362031</v>
      </c>
      <c r="J1351" s="108">
        <v>1.1252480951357312E-3</v>
      </c>
      <c r="K1351" s="108"/>
      <c r="L1351" s="108">
        <v>3.6400000000000002E-2</v>
      </c>
      <c r="O1351" s="105"/>
    </row>
    <row r="1352" spans="2:15" x14ac:dyDescent="0.2">
      <c r="B1352" s="1">
        <v>1337</v>
      </c>
      <c r="C1352" s="106">
        <f t="shared" ca="1" si="80"/>
        <v>-0.18929231835792357</v>
      </c>
      <c r="D1352" s="106">
        <f t="shared" ca="1" si="81"/>
        <v>0.65220967055750434</v>
      </c>
      <c r="E1352" s="106">
        <f t="shared" ca="1" si="82"/>
        <v>0</v>
      </c>
      <c r="F1352" s="21">
        <f t="shared" ca="1" si="83"/>
        <v>0</v>
      </c>
      <c r="H1352" s="21">
        <v>1337</v>
      </c>
      <c r="I1352" s="107">
        <v>0.6677508366940117</v>
      </c>
      <c r="J1352" s="108">
        <v>1.2812118553792529E-3</v>
      </c>
      <c r="K1352" s="108"/>
      <c r="L1352" s="108">
        <v>3.9800000000000002E-2</v>
      </c>
      <c r="O1352" s="105"/>
    </row>
    <row r="1353" spans="2:15" x14ac:dyDescent="0.2">
      <c r="B1353" s="1">
        <v>1338</v>
      </c>
      <c r="C1353" s="106">
        <f t="shared" ca="1" si="80"/>
        <v>0.509295101324445</v>
      </c>
      <c r="D1353" s="106">
        <f t="shared" ca="1" si="81"/>
        <v>0.69873788071407283</v>
      </c>
      <c r="E1353" s="106">
        <f t="shared" ca="1" si="82"/>
        <v>0</v>
      </c>
      <c r="F1353" s="21">
        <f t="shared" ca="1" si="83"/>
        <v>0</v>
      </c>
      <c r="H1353" s="21">
        <v>1338</v>
      </c>
      <c r="I1353" s="107">
        <v>0.66776810211819937</v>
      </c>
      <c r="J1353" s="108">
        <v>1.3435295895587018E-3</v>
      </c>
      <c r="K1353" s="108"/>
      <c r="L1353" s="108">
        <v>4.3999999999999997E-2</v>
      </c>
      <c r="O1353" s="105"/>
    </row>
    <row r="1354" spans="2:15" x14ac:dyDescent="0.2">
      <c r="B1354" s="1">
        <v>1339</v>
      </c>
      <c r="C1354" s="106">
        <f t="shared" ca="1" si="80"/>
        <v>0.39489735069296489</v>
      </c>
      <c r="D1354" s="106">
        <f t="shared" ca="1" si="81"/>
        <v>0.69089740139161426</v>
      </c>
      <c r="E1354" s="106">
        <f t="shared" ca="1" si="82"/>
        <v>0</v>
      </c>
      <c r="F1354" s="21">
        <f t="shared" ca="1" si="83"/>
        <v>0</v>
      </c>
      <c r="H1354" s="21">
        <v>1339</v>
      </c>
      <c r="I1354" s="107">
        <v>0.66769865468068723</v>
      </c>
      <c r="J1354" s="108">
        <v>1.2918439365844311E-3</v>
      </c>
      <c r="K1354" s="108"/>
      <c r="L1354" s="108">
        <v>4.2200000000000001E-2</v>
      </c>
      <c r="O1354" s="105"/>
    </row>
    <row r="1355" spans="2:15" x14ac:dyDescent="0.2">
      <c r="B1355" s="1">
        <v>1340</v>
      </c>
      <c r="C1355" s="106">
        <f t="shared" ca="1" si="80"/>
        <v>0.56690449434399148</v>
      </c>
      <c r="D1355" s="106">
        <f t="shared" ca="1" si="81"/>
        <v>0.70271987881201958</v>
      </c>
      <c r="E1355" s="106">
        <f t="shared" ca="1" si="82"/>
        <v>0</v>
      </c>
      <c r="F1355" s="21">
        <f t="shared" ca="1" si="83"/>
        <v>0</v>
      </c>
      <c r="H1355" s="21">
        <v>1340</v>
      </c>
      <c r="I1355" s="107">
        <v>0.66787992184396328</v>
      </c>
      <c r="J1355" s="108">
        <v>1.5817153636835464E-3</v>
      </c>
      <c r="K1355" s="108"/>
      <c r="L1355" s="108">
        <v>4.2999999999999997E-2</v>
      </c>
      <c r="O1355" s="105"/>
    </row>
    <row r="1356" spans="2:15" x14ac:dyDescent="0.2">
      <c r="B1356" s="1">
        <v>1341</v>
      </c>
      <c r="C1356" s="106">
        <f t="shared" ca="1" si="80"/>
        <v>1.1840472727960996</v>
      </c>
      <c r="D1356" s="106">
        <f t="shared" ca="1" si="81"/>
        <v>0.74682742088705645</v>
      </c>
      <c r="E1356" s="106">
        <f t="shared" ca="1" si="82"/>
        <v>0</v>
      </c>
      <c r="F1356" s="21">
        <f t="shared" ca="1" si="83"/>
        <v>0</v>
      </c>
      <c r="H1356" s="21">
        <v>1341</v>
      </c>
      <c r="I1356" s="107">
        <v>0.66769329986626058</v>
      </c>
      <c r="J1356" s="108">
        <v>1.3300243019214472E-3</v>
      </c>
      <c r="K1356" s="108"/>
      <c r="L1356" s="108">
        <v>3.9800000000000002E-2</v>
      </c>
      <c r="O1356" s="105"/>
    </row>
    <row r="1357" spans="2:15" x14ac:dyDescent="0.2">
      <c r="B1357" s="1">
        <v>1342</v>
      </c>
      <c r="C1357" s="106">
        <f t="shared" ca="1" si="80"/>
        <v>-0.99015278971526222</v>
      </c>
      <c r="D1357" s="106">
        <f t="shared" ca="1" si="81"/>
        <v>0.60266901701574405</v>
      </c>
      <c r="E1357" s="106">
        <f t="shared" ca="1" si="82"/>
        <v>0</v>
      </c>
      <c r="F1357" s="21">
        <f t="shared" ca="1" si="83"/>
        <v>0</v>
      </c>
      <c r="H1357" s="21">
        <v>1342</v>
      </c>
      <c r="I1357" s="107">
        <v>0.66766525729244863</v>
      </c>
      <c r="J1357" s="108">
        <v>1.2459225326694101E-3</v>
      </c>
      <c r="K1357" s="108"/>
      <c r="L1357" s="108">
        <v>4.02E-2</v>
      </c>
      <c r="O1357" s="105"/>
    </row>
    <row r="1358" spans="2:15" x14ac:dyDescent="0.2">
      <c r="B1358" s="1">
        <v>1343</v>
      </c>
      <c r="C1358" s="106">
        <f t="shared" ca="1" si="80"/>
        <v>0.83576149964505919</v>
      </c>
      <c r="D1358" s="106">
        <f t="shared" ca="1" si="81"/>
        <v>0.72160562105605464</v>
      </c>
      <c r="E1358" s="106">
        <f t="shared" ca="1" si="82"/>
        <v>0</v>
      </c>
      <c r="F1358" s="21">
        <f t="shared" ca="1" si="83"/>
        <v>0</v>
      </c>
      <c r="H1358" s="21">
        <v>1343</v>
      </c>
      <c r="I1358" s="107">
        <v>0.66773003642044182</v>
      </c>
      <c r="J1358" s="108">
        <v>1.3237512403267574E-3</v>
      </c>
      <c r="K1358" s="108"/>
      <c r="L1358" s="108">
        <v>4.1000000000000002E-2</v>
      </c>
      <c r="O1358" s="105"/>
    </row>
    <row r="1359" spans="2:15" x14ac:dyDescent="0.2">
      <c r="B1359" s="1">
        <v>1344</v>
      </c>
      <c r="C1359" s="106">
        <f t="shared" ca="1" si="80"/>
        <v>0.1132755092114357</v>
      </c>
      <c r="D1359" s="106">
        <f t="shared" ca="1" si="81"/>
        <v>0.67196871372736</v>
      </c>
      <c r="E1359" s="106">
        <f t="shared" ca="1" si="82"/>
        <v>0</v>
      </c>
      <c r="F1359" s="21">
        <f t="shared" ca="1" si="83"/>
        <v>0</v>
      </c>
      <c r="H1359" s="21">
        <v>1344</v>
      </c>
      <c r="I1359" s="107">
        <v>0.66780108156879325</v>
      </c>
      <c r="J1359" s="108">
        <v>1.4151870961786714E-3</v>
      </c>
      <c r="K1359" s="108"/>
      <c r="L1359" s="108">
        <v>4.0800000000000003E-2</v>
      </c>
      <c r="O1359" s="105"/>
    </row>
    <row r="1360" spans="2:15" x14ac:dyDescent="0.2">
      <c r="B1360" s="1">
        <v>1345</v>
      </c>
      <c r="C1360" s="106">
        <f t="shared" ref="C1360:C1423" ca="1" si="84">_xlfn.NORM.S.INV(RAND())</f>
        <v>-0.76770467805423215</v>
      </c>
      <c r="D1360" s="106">
        <f t="shared" ref="D1360:D1423" ca="1" si="85">S0*EXP((μ-0.5*σ*σ)*T+σ*SQRT(T)*$C1360)</f>
        <v>0.61603928068136549</v>
      </c>
      <c r="E1360" s="106">
        <f t="shared" ref="E1360:E1423" ca="1" si="86">MAX(0,CP*(D1360-K))</f>
        <v>0</v>
      </c>
      <c r="F1360" s="21">
        <f t="shared" ref="F1360:F1423" ca="1" si="87">(CP*(D1360-K)&gt;0)*1</f>
        <v>0</v>
      </c>
      <c r="H1360" s="21">
        <v>1345</v>
      </c>
      <c r="I1360" s="107">
        <v>0.66773505557835677</v>
      </c>
      <c r="J1360" s="108">
        <v>1.4067143150485123E-3</v>
      </c>
      <c r="K1360" s="108"/>
      <c r="L1360" s="108">
        <v>4.1799999999999997E-2</v>
      </c>
      <c r="O1360" s="105"/>
    </row>
    <row r="1361" spans="2:15" x14ac:dyDescent="0.2">
      <c r="B1361" s="1">
        <v>1346</v>
      </c>
      <c r="C1361" s="106">
        <f t="shared" ca="1" si="84"/>
        <v>-1.3421499840692879</v>
      </c>
      <c r="D1361" s="106">
        <f t="shared" ca="1" si="85"/>
        <v>0.58210257754284822</v>
      </c>
      <c r="E1361" s="106">
        <f t="shared" ca="1" si="86"/>
        <v>0</v>
      </c>
      <c r="F1361" s="21">
        <f t="shared" ca="1" si="87"/>
        <v>0</v>
      </c>
      <c r="H1361" s="21">
        <v>1346</v>
      </c>
      <c r="I1361" s="107">
        <v>0.66774111103150335</v>
      </c>
      <c r="J1361" s="108">
        <v>1.3186405247871242E-3</v>
      </c>
      <c r="K1361" s="108"/>
      <c r="L1361" s="108">
        <v>4.3400000000000001E-2</v>
      </c>
      <c r="O1361" s="105"/>
    </row>
    <row r="1362" spans="2:15" x14ac:dyDescent="0.2">
      <c r="B1362" s="1">
        <v>1347</v>
      </c>
      <c r="C1362" s="106">
        <f t="shared" ca="1" si="84"/>
        <v>3.077496264573595E-2</v>
      </c>
      <c r="D1362" s="106">
        <f t="shared" ca="1" si="85"/>
        <v>0.66652244781646197</v>
      </c>
      <c r="E1362" s="106">
        <f t="shared" ca="1" si="86"/>
        <v>0</v>
      </c>
      <c r="F1362" s="21">
        <f t="shared" ca="1" si="87"/>
        <v>0</v>
      </c>
      <c r="H1362" s="21">
        <v>1347</v>
      </c>
      <c r="I1362" s="107">
        <v>0.66774412855335485</v>
      </c>
      <c r="J1362" s="108">
        <v>1.3715294506391126E-3</v>
      </c>
      <c r="K1362" s="108"/>
      <c r="L1362" s="108">
        <v>4.0599999999999997E-2</v>
      </c>
      <c r="O1362" s="105"/>
    </row>
    <row r="1363" spans="2:15" x14ac:dyDescent="0.2">
      <c r="B1363" s="1">
        <v>1348</v>
      </c>
      <c r="C1363" s="106">
        <f t="shared" ca="1" si="84"/>
        <v>-1.186639625563976</v>
      </c>
      <c r="D1363" s="106">
        <f t="shared" ca="1" si="85"/>
        <v>0.59110072254799539</v>
      </c>
      <c r="E1363" s="106">
        <f t="shared" ca="1" si="86"/>
        <v>0</v>
      </c>
      <c r="F1363" s="21">
        <f t="shared" ca="1" si="87"/>
        <v>0</v>
      </c>
      <c r="H1363" s="21">
        <v>1348</v>
      </c>
      <c r="I1363" s="107">
        <v>0.66784274510350228</v>
      </c>
      <c r="J1363" s="108">
        <v>1.4008266169310171E-3</v>
      </c>
      <c r="K1363" s="108"/>
      <c r="L1363" s="108">
        <v>4.5400000000000003E-2</v>
      </c>
      <c r="O1363" s="105"/>
    </row>
    <row r="1364" spans="2:15" x14ac:dyDescent="0.2">
      <c r="B1364" s="1">
        <v>1349</v>
      </c>
      <c r="C1364" s="106">
        <f t="shared" ca="1" si="84"/>
        <v>1.0419345035361256</v>
      </c>
      <c r="D1364" s="106">
        <f t="shared" ca="1" si="85"/>
        <v>0.73643128846851513</v>
      </c>
      <c r="E1364" s="106">
        <f t="shared" ca="1" si="86"/>
        <v>0</v>
      </c>
      <c r="F1364" s="21">
        <f t="shared" ca="1" si="87"/>
        <v>0</v>
      </c>
      <c r="H1364" s="21">
        <v>1349</v>
      </c>
      <c r="I1364" s="107">
        <v>0.66778628795881034</v>
      </c>
      <c r="J1364" s="108">
        <v>1.3875616980594532E-3</v>
      </c>
      <c r="K1364" s="108"/>
      <c r="L1364" s="108">
        <v>4.82E-2</v>
      </c>
      <c r="O1364" s="105"/>
    </row>
    <row r="1365" spans="2:15" x14ac:dyDescent="0.2">
      <c r="B1365" s="1">
        <v>1350</v>
      </c>
      <c r="C1365" s="106">
        <f t="shared" ca="1" si="84"/>
        <v>-0.189363688065186</v>
      </c>
      <c r="D1365" s="106">
        <f t="shared" ca="1" si="85"/>
        <v>0.65220507901592673</v>
      </c>
      <c r="E1365" s="106">
        <f t="shared" ca="1" si="86"/>
        <v>0</v>
      </c>
      <c r="F1365" s="21">
        <f t="shared" ca="1" si="87"/>
        <v>0</v>
      </c>
      <c r="H1365" s="21">
        <v>1350</v>
      </c>
      <c r="I1365" s="107">
        <v>0.66767434623337241</v>
      </c>
      <c r="J1365" s="108">
        <v>1.309121229595504E-3</v>
      </c>
      <c r="K1365" s="108"/>
      <c r="L1365" s="108">
        <v>3.6600000000000001E-2</v>
      </c>
      <c r="O1365" s="105"/>
    </row>
    <row r="1366" spans="2:15" x14ac:dyDescent="0.2">
      <c r="B1366" s="1">
        <v>1351</v>
      </c>
      <c r="C1366" s="106">
        <f t="shared" ca="1" si="84"/>
        <v>-2.6262201469762019</v>
      </c>
      <c r="D1366" s="106">
        <f t="shared" ca="1" si="85"/>
        <v>0.51285045862936207</v>
      </c>
      <c r="E1366" s="106">
        <f t="shared" ca="1" si="86"/>
        <v>0</v>
      </c>
      <c r="F1366" s="21">
        <f t="shared" ca="1" si="87"/>
        <v>0</v>
      </c>
      <c r="H1366" s="21">
        <v>1351</v>
      </c>
      <c r="I1366" s="107">
        <v>0.66770051217613058</v>
      </c>
      <c r="J1366" s="108">
        <v>1.4343722634217889E-3</v>
      </c>
      <c r="K1366" s="108"/>
      <c r="L1366" s="108">
        <v>4.02E-2</v>
      </c>
      <c r="O1366" s="105"/>
    </row>
    <row r="1367" spans="2:15" x14ac:dyDescent="0.2">
      <c r="B1367" s="1">
        <v>1352</v>
      </c>
      <c r="C1367" s="106">
        <f t="shared" ca="1" si="84"/>
        <v>0.48378800867401217</v>
      </c>
      <c r="D1367" s="106">
        <f t="shared" ca="1" si="85"/>
        <v>0.69698202870383175</v>
      </c>
      <c r="E1367" s="106">
        <f t="shared" ca="1" si="86"/>
        <v>0</v>
      </c>
      <c r="F1367" s="21">
        <f t="shared" ca="1" si="87"/>
        <v>0</v>
      </c>
      <c r="H1367" s="21">
        <v>1352</v>
      </c>
      <c r="I1367" s="107">
        <v>0.66759933150265993</v>
      </c>
      <c r="J1367" s="108">
        <v>1.1509976129147205E-3</v>
      </c>
      <c r="K1367" s="108"/>
      <c r="L1367" s="108">
        <v>4.02E-2</v>
      </c>
      <c r="O1367" s="105"/>
    </row>
    <row r="1368" spans="2:15" x14ac:dyDescent="0.2">
      <c r="B1368" s="1">
        <v>1353</v>
      </c>
      <c r="C1368" s="106">
        <f t="shared" ca="1" si="84"/>
        <v>-0.67744189821782486</v>
      </c>
      <c r="D1368" s="106">
        <f t="shared" ca="1" si="85"/>
        <v>0.62154876365936251</v>
      </c>
      <c r="E1368" s="106">
        <f t="shared" ca="1" si="86"/>
        <v>0</v>
      </c>
      <c r="F1368" s="21">
        <f t="shared" ca="1" si="87"/>
        <v>0</v>
      </c>
      <c r="H1368" s="21">
        <v>1353</v>
      </c>
      <c r="I1368" s="107">
        <v>0.66787989180861451</v>
      </c>
      <c r="J1368" s="108">
        <v>1.6472550326440522E-3</v>
      </c>
      <c r="K1368" s="108"/>
      <c r="L1368" s="108">
        <v>4.4400000000000002E-2</v>
      </c>
      <c r="O1368" s="105"/>
    </row>
    <row r="1369" spans="2:15" x14ac:dyDescent="0.2">
      <c r="B1369" s="1">
        <v>1354</v>
      </c>
      <c r="C1369" s="106">
        <f t="shared" ca="1" si="84"/>
        <v>-1.2929367931007472</v>
      </c>
      <c r="D1369" s="106">
        <f t="shared" ca="1" si="85"/>
        <v>0.58493523791049429</v>
      </c>
      <c r="E1369" s="106">
        <f t="shared" ca="1" si="86"/>
        <v>0</v>
      </c>
      <c r="F1369" s="21">
        <f t="shared" ca="1" si="87"/>
        <v>0</v>
      </c>
      <c r="H1369" s="21">
        <v>1354</v>
      </c>
      <c r="I1369" s="107">
        <v>0.66773703679225294</v>
      </c>
      <c r="J1369" s="108">
        <v>1.4697571996711181E-3</v>
      </c>
      <c r="K1369" s="108"/>
      <c r="L1369" s="108">
        <v>4.2799999999999998E-2</v>
      </c>
      <c r="O1369" s="105"/>
    </row>
    <row r="1370" spans="2:15" x14ac:dyDescent="0.2">
      <c r="B1370" s="1">
        <v>1355</v>
      </c>
      <c r="C1370" s="106">
        <f t="shared" ca="1" si="84"/>
        <v>-0.74401640118950252</v>
      </c>
      <c r="D1370" s="106">
        <f t="shared" ca="1" si="85"/>
        <v>0.61748042764318489</v>
      </c>
      <c r="E1370" s="106">
        <f t="shared" ca="1" si="86"/>
        <v>0</v>
      </c>
      <c r="F1370" s="21">
        <f t="shared" ca="1" si="87"/>
        <v>0</v>
      </c>
      <c r="H1370" s="21">
        <v>1355</v>
      </c>
      <c r="I1370" s="107">
        <v>0.66778549822628064</v>
      </c>
      <c r="J1370" s="108">
        <v>1.4987646506319603E-3</v>
      </c>
      <c r="K1370" s="108"/>
      <c r="L1370" s="108">
        <v>4.2999999999999997E-2</v>
      </c>
      <c r="O1370" s="105"/>
    </row>
    <row r="1371" spans="2:15" x14ac:dyDescent="0.2">
      <c r="B1371" s="1">
        <v>1356</v>
      </c>
      <c r="C1371" s="106">
        <f t="shared" ca="1" si="84"/>
        <v>1.1121166942057277</v>
      </c>
      <c r="D1371" s="106">
        <f t="shared" ca="1" si="85"/>
        <v>0.7415471902840719</v>
      </c>
      <c r="E1371" s="106">
        <f t="shared" ca="1" si="86"/>
        <v>0</v>
      </c>
      <c r="F1371" s="21">
        <f t="shared" ca="1" si="87"/>
        <v>0</v>
      </c>
      <c r="H1371" s="21">
        <v>1356</v>
      </c>
      <c r="I1371" s="107">
        <v>0.66768266365122764</v>
      </c>
      <c r="J1371" s="108">
        <v>1.43935856129775E-3</v>
      </c>
      <c r="K1371" s="108"/>
      <c r="L1371" s="108">
        <v>3.9600000000000003E-2</v>
      </c>
      <c r="O1371" s="105"/>
    </row>
    <row r="1372" spans="2:15" x14ac:dyDescent="0.2">
      <c r="B1372" s="1">
        <v>1357</v>
      </c>
      <c r="C1372" s="106">
        <f t="shared" ca="1" si="84"/>
        <v>-1.4965545738555748</v>
      </c>
      <c r="D1372" s="106">
        <f t="shared" ca="1" si="85"/>
        <v>0.57330393796512846</v>
      </c>
      <c r="E1372" s="106">
        <f t="shared" ca="1" si="86"/>
        <v>0</v>
      </c>
      <c r="F1372" s="21">
        <f t="shared" ca="1" si="87"/>
        <v>0</v>
      </c>
      <c r="H1372" s="21">
        <v>1357</v>
      </c>
      <c r="I1372" s="107">
        <v>0.66779440466439088</v>
      </c>
      <c r="J1372" s="108">
        <v>1.3557502227704138E-3</v>
      </c>
      <c r="K1372" s="108"/>
      <c r="L1372" s="108">
        <v>4.36E-2</v>
      </c>
      <c r="O1372" s="105"/>
    </row>
    <row r="1373" spans="2:15" x14ac:dyDescent="0.2">
      <c r="B1373" s="1">
        <v>1358</v>
      </c>
      <c r="C1373" s="106">
        <f t="shared" ca="1" si="84"/>
        <v>0.22712861817698704</v>
      </c>
      <c r="D1373" s="106">
        <f t="shared" ca="1" si="85"/>
        <v>0.67955787582329719</v>
      </c>
      <c r="E1373" s="106">
        <f t="shared" ca="1" si="86"/>
        <v>0</v>
      </c>
      <c r="F1373" s="21">
        <f t="shared" ca="1" si="87"/>
        <v>0</v>
      </c>
      <c r="H1373" s="21">
        <v>1358</v>
      </c>
      <c r="I1373" s="107">
        <v>0.66771630938631688</v>
      </c>
      <c r="J1373" s="108">
        <v>1.434285275966963E-3</v>
      </c>
      <c r="K1373" s="108"/>
      <c r="L1373" s="108">
        <v>4.3400000000000001E-2</v>
      </c>
      <c r="O1373" s="105"/>
    </row>
    <row r="1374" spans="2:15" x14ac:dyDescent="0.2">
      <c r="B1374" s="1">
        <v>1359</v>
      </c>
      <c r="C1374" s="106">
        <f t="shared" ca="1" si="84"/>
        <v>1.1480461341827939</v>
      </c>
      <c r="D1374" s="106">
        <f t="shared" ca="1" si="85"/>
        <v>0.74417999087771536</v>
      </c>
      <c r="E1374" s="106">
        <f t="shared" ca="1" si="86"/>
        <v>0</v>
      </c>
      <c r="F1374" s="21">
        <f t="shared" ca="1" si="87"/>
        <v>0</v>
      </c>
      <c r="H1374" s="21">
        <v>1359</v>
      </c>
      <c r="I1374" s="107">
        <v>0.6675285448995868</v>
      </c>
      <c r="J1374" s="108">
        <v>1.175020853765746E-3</v>
      </c>
      <c r="K1374" s="108"/>
      <c r="L1374" s="108">
        <v>3.6799999999999999E-2</v>
      </c>
      <c r="O1374" s="105"/>
    </row>
    <row r="1375" spans="2:15" x14ac:dyDescent="0.2">
      <c r="B1375" s="1">
        <v>1360</v>
      </c>
      <c r="C1375" s="106">
        <f t="shared" ca="1" si="84"/>
        <v>1.8986953739345303</v>
      </c>
      <c r="D1375" s="106">
        <f t="shared" ca="1" si="85"/>
        <v>0.80137416872149747</v>
      </c>
      <c r="E1375" s="106">
        <f t="shared" ca="1" si="86"/>
        <v>1.3174168721497459E-2</v>
      </c>
      <c r="F1375" s="21">
        <f t="shared" ca="1" si="87"/>
        <v>1</v>
      </c>
      <c r="H1375" s="21">
        <v>1360</v>
      </c>
      <c r="I1375" s="107">
        <v>0.66765544688656653</v>
      </c>
      <c r="J1375" s="108">
        <v>1.1999011010895328E-3</v>
      </c>
      <c r="K1375" s="108"/>
      <c r="L1375" s="108">
        <v>4.0399999999999998E-2</v>
      </c>
      <c r="O1375" s="105"/>
    </row>
    <row r="1376" spans="2:15" x14ac:dyDescent="0.2">
      <c r="B1376" s="1">
        <v>1361</v>
      </c>
      <c r="C1376" s="106">
        <f t="shared" ca="1" si="84"/>
        <v>1.3306659025448897</v>
      </c>
      <c r="D1376" s="106">
        <f t="shared" ca="1" si="85"/>
        <v>0.75770701324467249</v>
      </c>
      <c r="E1376" s="106">
        <f t="shared" ca="1" si="86"/>
        <v>0</v>
      </c>
      <c r="F1376" s="21">
        <f t="shared" ca="1" si="87"/>
        <v>0</v>
      </c>
      <c r="H1376" s="21">
        <v>1361</v>
      </c>
      <c r="I1376" s="107">
        <v>0.6676818864667895</v>
      </c>
      <c r="J1376" s="108">
        <v>1.2866271757939441E-3</v>
      </c>
      <c r="K1376" s="108"/>
      <c r="L1376" s="108">
        <v>4.1799999999999997E-2</v>
      </c>
      <c r="O1376" s="105"/>
    </row>
    <row r="1377" spans="2:15" x14ac:dyDescent="0.2">
      <c r="B1377" s="1">
        <v>1362</v>
      </c>
      <c r="C1377" s="106">
        <f t="shared" ca="1" si="84"/>
        <v>-0.5062989320927076</v>
      </c>
      <c r="D1377" s="106">
        <f t="shared" ca="1" si="85"/>
        <v>0.6321306757397932</v>
      </c>
      <c r="E1377" s="106">
        <f t="shared" ca="1" si="86"/>
        <v>0</v>
      </c>
      <c r="F1377" s="21">
        <f t="shared" ca="1" si="87"/>
        <v>0</v>
      </c>
      <c r="H1377" s="21">
        <v>1362</v>
      </c>
      <c r="I1377" s="107">
        <v>0.66778372513733453</v>
      </c>
      <c r="J1377" s="108">
        <v>1.269274046447466E-3</v>
      </c>
      <c r="K1377" s="108"/>
      <c r="L1377" s="108">
        <v>4.1599999999999998E-2</v>
      </c>
      <c r="O1377" s="105"/>
    </row>
    <row r="1378" spans="2:15" x14ac:dyDescent="0.2">
      <c r="B1378" s="1">
        <v>1363</v>
      </c>
      <c r="C1378" s="106">
        <f t="shared" ca="1" si="84"/>
        <v>-0.2727158517415873</v>
      </c>
      <c r="D1378" s="106">
        <f t="shared" ca="1" si="85"/>
        <v>0.64686465425737905</v>
      </c>
      <c r="E1378" s="106">
        <f t="shared" ca="1" si="86"/>
        <v>0</v>
      </c>
      <c r="F1378" s="21">
        <f t="shared" ca="1" si="87"/>
        <v>0</v>
      </c>
      <c r="H1378" s="21">
        <v>1363</v>
      </c>
      <c r="I1378" s="107">
        <v>0.66768141687080085</v>
      </c>
      <c r="J1378" s="108">
        <v>1.3607644881515712E-3</v>
      </c>
      <c r="K1378" s="108"/>
      <c r="L1378" s="108">
        <v>3.9800000000000002E-2</v>
      </c>
      <c r="O1378" s="105"/>
    </row>
    <row r="1379" spans="2:15" x14ac:dyDescent="0.2">
      <c r="B1379" s="1">
        <v>1364</v>
      </c>
      <c r="C1379" s="106">
        <f t="shared" ca="1" si="84"/>
        <v>0.20194867309587228</v>
      </c>
      <c r="D1379" s="106">
        <f t="shared" ca="1" si="85"/>
        <v>0.67787209583396513</v>
      </c>
      <c r="E1379" s="106">
        <f t="shared" ca="1" si="86"/>
        <v>0</v>
      </c>
      <c r="F1379" s="21">
        <f t="shared" ca="1" si="87"/>
        <v>0</v>
      </c>
      <c r="H1379" s="21">
        <v>1364</v>
      </c>
      <c r="I1379" s="107">
        <v>0.66783214382711964</v>
      </c>
      <c r="J1379" s="108">
        <v>1.3874739584988844E-3</v>
      </c>
      <c r="K1379" s="108"/>
      <c r="L1379" s="108">
        <v>4.2599999999999999E-2</v>
      </c>
      <c r="O1379" s="105"/>
    </row>
    <row r="1380" spans="2:15" x14ac:dyDescent="0.2">
      <c r="B1380" s="1">
        <v>1365</v>
      </c>
      <c r="C1380" s="106">
        <f t="shared" ca="1" si="84"/>
        <v>-1.7750808627762609</v>
      </c>
      <c r="D1380" s="106">
        <f t="shared" ca="1" si="85"/>
        <v>0.55776727552600236</v>
      </c>
      <c r="E1380" s="106">
        <f t="shared" ca="1" si="86"/>
        <v>0</v>
      </c>
      <c r="F1380" s="21">
        <f t="shared" ca="1" si="87"/>
        <v>0</v>
      </c>
      <c r="H1380" s="21">
        <v>1365</v>
      </c>
      <c r="I1380" s="107">
        <v>0.66781294258224844</v>
      </c>
      <c r="J1380" s="108">
        <v>1.4329329543456403E-3</v>
      </c>
      <c r="K1380" s="108"/>
      <c r="L1380" s="108">
        <v>4.2999999999999997E-2</v>
      </c>
      <c r="O1380" s="105"/>
    </row>
    <row r="1381" spans="2:15" x14ac:dyDescent="0.2">
      <c r="B1381" s="1">
        <v>1366</v>
      </c>
      <c r="C1381" s="106">
        <f t="shared" ca="1" si="84"/>
        <v>0.28267865303970791</v>
      </c>
      <c r="D1381" s="106">
        <f t="shared" ca="1" si="85"/>
        <v>0.68329175357228045</v>
      </c>
      <c r="E1381" s="106">
        <f t="shared" ca="1" si="86"/>
        <v>0</v>
      </c>
      <c r="F1381" s="21">
        <f t="shared" ca="1" si="87"/>
        <v>0</v>
      </c>
      <c r="H1381" s="21">
        <v>1366</v>
      </c>
      <c r="I1381" s="107">
        <v>0.6676288906886596</v>
      </c>
      <c r="J1381" s="108">
        <v>1.2056081938237283E-3</v>
      </c>
      <c r="K1381" s="108"/>
      <c r="L1381" s="108">
        <v>3.7400000000000003E-2</v>
      </c>
      <c r="O1381" s="105"/>
    </row>
    <row r="1382" spans="2:15" x14ac:dyDescent="0.2">
      <c r="B1382" s="1">
        <v>1367</v>
      </c>
      <c r="C1382" s="106">
        <f t="shared" ca="1" si="84"/>
        <v>8.0563978774243067E-2</v>
      </c>
      <c r="D1382" s="106">
        <f t="shared" ca="1" si="85"/>
        <v>0.66980396080417515</v>
      </c>
      <c r="E1382" s="106">
        <f t="shared" ca="1" si="86"/>
        <v>0</v>
      </c>
      <c r="F1382" s="21">
        <f t="shared" ca="1" si="87"/>
        <v>0</v>
      </c>
      <c r="H1382" s="21">
        <v>1367</v>
      </c>
      <c r="I1382" s="107">
        <v>0.66771338314580331</v>
      </c>
      <c r="J1382" s="108">
        <v>1.284786573080359E-3</v>
      </c>
      <c r="K1382" s="108"/>
      <c r="L1382" s="108">
        <v>4.0399999999999998E-2</v>
      </c>
      <c r="O1382" s="105"/>
    </row>
    <row r="1383" spans="2:15" x14ac:dyDescent="0.2">
      <c r="B1383" s="1">
        <v>1368</v>
      </c>
      <c r="C1383" s="106">
        <f t="shared" ca="1" si="84"/>
        <v>-0.94182834927072501</v>
      </c>
      <c r="D1383" s="106">
        <f t="shared" ca="1" si="85"/>
        <v>0.60554866966697829</v>
      </c>
      <c r="E1383" s="106">
        <f t="shared" ca="1" si="86"/>
        <v>0</v>
      </c>
      <c r="F1383" s="21">
        <f t="shared" ca="1" si="87"/>
        <v>0</v>
      </c>
      <c r="H1383" s="21">
        <v>1368</v>
      </c>
      <c r="I1383" s="107">
        <v>0.66781055820356872</v>
      </c>
      <c r="J1383" s="108">
        <v>1.4049546694741598E-3</v>
      </c>
      <c r="K1383" s="108"/>
      <c r="L1383" s="108">
        <v>4.5199999999999997E-2</v>
      </c>
      <c r="O1383" s="105"/>
    </row>
    <row r="1384" spans="2:15" x14ac:dyDescent="0.2">
      <c r="B1384" s="1">
        <v>1369</v>
      </c>
      <c r="C1384" s="106">
        <f t="shared" ca="1" si="84"/>
        <v>2.3212702565136691</v>
      </c>
      <c r="D1384" s="106">
        <f t="shared" ca="1" si="85"/>
        <v>0.83548409524695832</v>
      </c>
      <c r="E1384" s="106">
        <f t="shared" ca="1" si="86"/>
        <v>4.7284095246958313E-2</v>
      </c>
      <c r="F1384" s="21">
        <f t="shared" ca="1" si="87"/>
        <v>1</v>
      </c>
      <c r="H1384" s="21">
        <v>1369</v>
      </c>
      <c r="I1384" s="107">
        <v>0.667656672219616</v>
      </c>
      <c r="J1384" s="108">
        <v>1.1786991391917448E-3</v>
      </c>
      <c r="K1384" s="108"/>
      <c r="L1384" s="108">
        <v>3.8399999999999997E-2</v>
      </c>
      <c r="O1384" s="105"/>
    </row>
    <row r="1385" spans="2:15" x14ac:dyDescent="0.2">
      <c r="B1385" s="1">
        <v>1370</v>
      </c>
      <c r="C1385" s="106">
        <f t="shared" ca="1" si="84"/>
        <v>-1.5963720863005855</v>
      </c>
      <c r="D1385" s="106">
        <f t="shared" ca="1" si="85"/>
        <v>0.56768681071949989</v>
      </c>
      <c r="E1385" s="106">
        <f t="shared" ca="1" si="86"/>
        <v>0</v>
      </c>
      <c r="F1385" s="21">
        <f t="shared" ca="1" si="87"/>
        <v>0</v>
      </c>
      <c r="H1385" s="21">
        <v>1370</v>
      </c>
      <c r="I1385" s="107">
        <v>0.66756272848353915</v>
      </c>
      <c r="J1385" s="108">
        <v>1.0816575274446073E-3</v>
      </c>
      <c r="K1385" s="108"/>
      <c r="L1385" s="108">
        <v>3.7400000000000003E-2</v>
      </c>
      <c r="O1385" s="105"/>
    </row>
    <row r="1386" spans="2:15" x14ac:dyDescent="0.2">
      <c r="B1386" s="1">
        <v>1371</v>
      </c>
      <c r="C1386" s="106">
        <f t="shared" ca="1" si="84"/>
        <v>-0.77328250279268507</v>
      </c>
      <c r="D1386" s="106">
        <f t="shared" ca="1" si="85"/>
        <v>0.61570042661627122</v>
      </c>
      <c r="E1386" s="106">
        <f t="shared" ca="1" si="86"/>
        <v>0</v>
      </c>
      <c r="F1386" s="21">
        <f t="shared" ca="1" si="87"/>
        <v>0</v>
      </c>
      <c r="H1386" s="21">
        <v>1371</v>
      </c>
      <c r="I1386" s="107">
        <v>0.66772864293454881</v>
      </c>
      <c r="J1386" s="108">
        <v>1.3675164132098097E-3</v>
      </c>
      <c r="K1386" s="108"/>
      <c r="L1386" s="108">
        <v>4.2000000000000003E-2</v>
      </c>
      <c r="O1386" s="105"/>
    </row>
    <row r="1387" spans="2:15" x14ac:dyDescent="0.2">
      <c r="B1387" s="1">
        <v>1372</v>
      </c>
      <c r="C1387" s="106">
        <f t="shared" ca="1" si="84"/>
        <v>0.66149292538383353</v>
      </c>
      <c r="D1387" s="106">
        <f t="shared" ca="1" si="85"/>
        <v>0.70930716894363044</v>
      </c>
      <c r="E1387" s="106">
        <f t="shared" ca="1" si="86"/>
        <v>0</v>
      </c>
      <c r="F1387" s="21">
        <f t="shared" ca="1" si="87"/>
        <v>0</v>
      </c>
      <c r="H1387" s="21">
        <v>1372</v>
      </c>
      <c r="I1387" s="107">
        <v>0.66790211056819926</v>
      </c>
      <c r="J1387" s="108">
        <v>1.4356709706475784E-3</v>
      </c>
      <c r="K1387" s="108"/>
      <c r="L1387" s="108">
        <v>4.5199999999999997E-2</v>
      </c>
      <c r="O1387" s="105"/>
    </row>
    <row r="1388" spans="2:15" x14ac:dyDescent="0.2">
      <c r="B1388" s="1">
        <v>1373</v>
      </c>
      <c r="C1388" s="106">
        <f t="shared" ca="1" si="84"/>
        <v>1.3192931154851686</v>
      </c>
      <c r="D1388" s="106">
        <f t="shared" ca="1" si="85"/>
        <v>0.75685747382293567</v>
      </c>
      <c r="E1388" s="106">
        <f t="shared" ca="1" si="86"/>
        <v>0</v>
      </c>
      <c r="F1388" s="21">
        <f t="shared" ca="1" si="87"/>
        <v>0</v>
      </c>
      <c r="H1388" s="21">
        <v>1373</v>
      </c>
      <c r="I1388" s="107">
        <v>0.66771177512500401</v>
      </c>
      <c r="J1388" s="108">
        <v>1.3793915748632143E-3</v>
      </c>
      <c r="K1388" s="108"/>
      <c r="L1388" s="108">
        <v>4.1599999999999998E-2</v>
      </c>
      <c r="O1388" s="105"/>
    </row>
    <row r="1389" spans="2:15" x14ac:dyDescent="0.2">
      <c r="B1389" s="1">
        <v>1374</v>
      </c>
      <c r="C1389" s="106">
        <f t="shared" ca="1" si="84"/>
        <v>-1.2479562345940165</v>
      </c>
      <c r="D1389" s="106">
        <f t="shared" ca="1" si="85"/>
        <v>0.58753632776600773</v>
      </c>
      <c r="E1389" s="106">
        <f t="shared" ca="1" si="86"/>
        <v>0</v>
      </c>
      <c r="F1389" s="21">
        <f t="shared" ca="1" si="87"/>
        <v>0</v>
      </c>
      <c r="H1389" s="21">
        <v>1374</v>
      </c>
      <c r="I1389" s="107">
        <v>0.66761201269766612</v>
      </c>
      <c r="J1389" s="108">
        <v>1.2287413081335818E-3</v>
      </c>
      <c r="K1389" s="108"/>
      <c r="L1389" s="108">
        <v>3.9199999999999999E-2</v>
      </c>
      <c r="O1389" s="105"/>
    </row>
    <row r="1390" spans="2:15" x14ac:dyDescent="0.2">
      <c r="B1390" s="1">
        <v>1375</v>
      </c>
      <c r="C1390" s="106">
        <f t="shared" ca="1" si="84"/>
        <v>-1.0231618948906946</v>
      </c>
      <c r="D1390" s="106">
        <f t="shared" ca="1" si="85"/>
        <v>0.60070988065852871</v>
      </c>
      <c r="E1390" s="106">
        <f t="shared" ca="1" si="86"/>
        <v>0</v>
      </c>
      <c r="F1390" s="21">
        <f t="shared" ca="1" si="87"/>
        <v>0</v>
      </c>
      <c r="H1390" s="21">
        <v>1375</v>
      </c>
      <c r="I1390" s="107">
        <v>0.66778978117717303</v>
      </c>
      <c r="J1390" s="108">
        <v>1.4465780518557688E-3</v>
      </c>
      <c r="K1390" s="108"/>
      <c r="L1390" s="108">
        <v>4.0599999999999997E-2</v>
      </c>
      <c r="O1390" s="105"/>
    </row>
    <row r="1391" spans="2:15" x14ac:dyDescent="0.2">
      <c r="B1391" s="1">
        <v>1376</v>
      </c>
      <c r="C1391" s="106">
        <f t="shared" ca="1" si="84"/>
        <v>0.40029389566137563</v>
      </c>
      <c r="D1391" s="106">
        <f t="shared" ca="1" si="85"/>
        <v>0.69126527942626137</v>
      </c>
      <c r="E1391" s="106">
        <f t="shared" ca="1" si="86"/>
        <v>0</v>
      </c>
      <c r="F1391" s="21">
        <f t="shared" ca="1" si="87"/>
        <v>0</v>
      </c>
      <c r="H1391" s="21">
        <v>1376</v>
      </c>
      <c r="I1391" s="107">
        <v>0.66778491385388306</v>
      </c>
      <c r="J1391" s="108">
        <v>1.4713207595541896E-3</v>
      </c>
      <c r="K1391" s="108"/>
      <c r="L1391" s="108">
        <v>4.1799999999999997E-2</v>
      </c>
      <c r="O1391" s="105"/>
    </row>
    <row r="1392" spans="2:15" x14ac:dyDescent="0.2">
      <c r="B1392" s="1">
        <v>1377</v>
      </c>
      <c r="C1392" s="106">
        <f t="shared" ca="1" si="84"/>
        <v>-0.2192356885903558</v>
      </c>
      <c r="D1392" s="106">
        <f t="shared" ca="1" si="85"/>
        <v>0.65028611118893787</v>
      </c>
      <c r="E1392" s="106">
        <f t="shared" ca="1" si="86"/>
        <v>0</v>
      </c>
      <c r="F1392" s="21">
        <f t="shared" ca="1" si="87"/>
        <v>0</v>
      </c>
      <c r="H1392" s="21">
        <v>1377</v>
      </c>
      <c r="I1392" s="107">
        <v>0.66783092639437891</v>
      </c>
      <c r="J1392" s="108">
        <v>1.5179454339225875E-3</v>
      </c>
      <c r="K1392" s="108"/>
      <c r="L1392" s="108">
        <v>4.5400000000000003E-2</v>
      </c>
      <c r="O1392" s="105"/>
    </row>
    <row r="1393" spans="2:15" x14ac:dyDescent="0.2">
      <c r="B1393" s="1">
        <v>1378</v>
      </c>
      <c r="C1393" s="106">
        <f t="shared" ca="1" si="84"/>
        <v>-9.0251257859239917E-2</v>
      </c>
      <c r="D1393" s="106">
        <f t="shared" ca="1" si="85"/>
        <v>0.65861268634605541</v>
      </c>
      <c r="E1393" s="106">
        <f t="shared" ca="1" si="86"/>
        <v>0</v>
      </c>
      <c r="F1393" s="21">
        <f t="shared" ca="1" si="87"/>
        <v>0</v>
      </c>
      <c r="H1393" s="21">
        <v>1378</v>
      </c>
      <c r="I1393" s="107">
        <v>0.66776349377832811</v>
      </c>
      <c r="J1393" s="108">
        <v>1.4339174304669393E-3</v>
      </c>
      <c r="K1393" s="108"/>
      <c r="L1393" s="108">
        <v>4.2799999999999998E-2</v>
      </c>
      <c r="O1393" s="105"/>
    </row>
    <row r="1394" spans="2:15" x14ac:dyDescent="0.2">
      <c r="B1394" s="1">
        <v>1379</v>
      </c>
      <c r="C1394" s="106">
        <f t="shared" ca="1" si="84"/>
        <v>-1.2123384113314566</v>
      </c>
      <c r="D1394" s="106">
        <f t="shared" ca="1" si="85"/>
        <v>0.58960420211443987</v>
      </c>
      <c r="E1394" s="106">
        <f t="shared" ca="1" si="86"/>
        <v>0</v>
      </c>
      <c r="F1394" s="21">
        <f t="shared" ca="1" si="87"/>
        <v>0</v>
      </c>
      <c r="H1394" s="21">
        <v>1379</v>
      </c>
      <c r="I1394" s="107">
        <v>0.66761068010370406</v>
      </c>
      <c r="J1394" s="108">
        <v>1.1756015080762446E-3</v>
      </c>
      <c r="K1394" s="108"/>
      <c r="L1394" s="108">
        <v>3.5999999999999997E-2</v>
      </c>
      <c r="O1394" s="105"/>
    </row>
    <row r="1395" spans="2:15" x14ac:dyDescent="0.2">
      <c r="B1395" s="1">
        <v>1380</v>
      </c>
      <c r="C1395" s="106">
        <f t="shared" ca="1" si="84"/>
        <v>0.30712540220176332</v>
      </c>
      <c r="D1395" s="106">
        <f t="shared" ca="1" si="85"/>
        <v>0.68494147244806058</v>
      </c>
      <c r="E1395" s="106">
        <f t="shared" ca="1" si="86"/>
        <v>0</v>
      </c>
      <c r="F1395" s="21">
        <f t="shared" ca="1" si="87"/>
        <v>0</v>
      </c>
      <c r="H1395" s="21">
        <v>1380</v>
      </c>
      <c r="I1395" s="107">
        <v>0.66760569692813243</v>
      </c>
      <c r="J1395" s="108">
        <v>1.1477666797608192E-3</v>
      </c>
      <c r="K1395" s="108"/>
      <c r="L1395" s="108">
        <v>3.6600000000000001E-2</v>
      </c>
      <c r="O1395" s="105"/>
    </row>
    <row r="1396" spans="2:15" x14ac:dyDescent="0.2">
      <c r="B1396" s="1">
        <v>1381</v>
      </c>
      <c r="C1396" s="106">
        <f t="shared" ca="1" si="84"/>
        <v>-0.37560597646662847</v>
      </c>
      <c r="D1396" s="106">
        <f t="shared" ca="1" si="85"/>
        <v>0.6403326869144168</v>
      </c>
      <c r="E1396" s="106">
        <f t="shared" ca="1" si="86"/>
        <v>0</v>
      </c>
      <c r="F1396" s="21">
        <f t="shared" ca="1" si="87"/>
        <v>0</v>
      </c>
      <c r="H1396" s="21">
        <v>1381</v>
      </c>
      <c r="I1396" s="107">
        <v>0.66780433247695359</v>
      </c>
      <c r="J1396" s="108">
        <v>1.3900336786442709E-3</v>
      </c>
      <c r="K1396" s="108"/>
      <c r="L1396" s="108">
        <v>4.3799999999999999E-2</v>
      </c>
      <c r="O1396" s="105"/>
    </row>
    <row r="1397" spans="2:15" x14ac:dyDescent="0.2">
      <c r="B1397" s="1">
        <v>1382</v>
      </c>
      <c r="C1397" s="106">
        <f t="shared" ca="1" si="84"/>
        <v>0.90066294180476802</v>
      </c>
      <c r="D1397" s="106">
        <f t="shared" ca="1" si="85"/>
        <v>0.72624013364307427</v>
      </c>
      <c r="E1397" s="106">
        <f t="shared" ca="1" si="86"/>
        <v>0</v>
      </c>
      <c r="F1397" s="21">
        <f t="shared" ca="1" si="87"/>
        <v>0</v>
      </c>
      <c r="H1397" s="21">
        <v>1382</v>
      </c>
      <c r="I1397" s="107">
        <v>0.66767100456910944</v>
      </c>
      <c r="J1397" s="108">
        <v>1.2392236856984811E-3</v>
      </c>
      <c r="K1397" s="108"/>
      <c r="L1397" s="108">
        <v>3.9800000000000002E-2</v>
      </c>
      <c r="O1397" s="105"/>
    </row>
    <row r="1398" spans="2:15" x14ac:dyDescent="0.2">
      <c r="B1398" s="1">
        <v>1383</v>
      </c>
      <c r="C1398" s="106">
        <f t="shared" ca="1" si="84"/>
        <v>-1.5116026017039228</v>
      </c>
      <c r="D1398" s="106">
        <f t="shared" ca="1" si="85"/>
        <v>0.57245358128529733</v>
      </c>
      <c r="E1398" s="106">
        <f t="shared" ca="1" si="86"/>
        <v>0</v>
      </c>
      <c r="F1398" s="21">
        <f t="shared" ca="1" si="87"/>
        <v>0</v>
      </c>
      <c r="H1398" s="21">
        <v>1383</v>
      </c>
      <c r="I1398" s="107">
        <v>0.66768528211493317</v>
      </c>
      <c r="J1398" s="108">
        <v>1.3643558933867808E-3</v>
      </c>
      <c r="K1398" s="108"/>
      <c r="L1398" s="108">
        <v>3.9800000000000002E-2</v>
      </c>
      <c r="O1398" s="105"/>
    </row>
    <row r="1399" spans="2:15" x14ac:dyDescent="0.2">
      <c r="B1399" s="1">
        <v>1384</v>
      </c>
      <c r="C1399" s="106">
        <f t="shared" ca="1" si="84"/>
        <v>0.45130945428094127</v>
      </c>
      <c r="D1399" s="106">
        <f t="shared" ca="1" si="85"/>
        <v>0.69475266114703715</v>
      </c>
      <c r="E1399" s="106">
        <f t="shared" ca="1" si="86"/>
        <v>0</v>
      </c>
      <c r="F1399" s="21">
        <f t="shared" ca="1" si="87"/>
        <v>0</v>
      </c>
      <c r="H1399" s="21">
        <v>1384</v>
      </c>
      <c r="I1399" s="107">
        <v>0.66769092888582382</v>
      </c>
      <c r="J1399" s="108">
        <v>1.2652070633268253E-3</v>
      </c>
      <c r="K1399" s="108"/>
      <c r="L1399" s="108">
        <v>4.1399999999999999E-2</v>
      </c>
      <c r="O1399" s="105"/>
    </row>
    <row r="1400" spans="2:15" x14ac:dyDescent="0.2">
      <c r="B1400" s="1">
        <v>1385</v>
      </c>
      <c r="C1400" s="106">
        <f t="shared" ca="1" si="84"/>
        <v>-0.26082253952807355</v>
      </c>
      <c r="D1400" s="106">
        <f t="shared" ca="1" si="85"/>
        <v>0.64762398313683023</v>
      </c>
      <c r="E1400" s="106">
        <f t="shared" ca="1" si="86"/>
        <v>0</v>
      </c>
      <c r="F1400" s="21">
        <f t="shared" ca="1" si="87"/>
        <v>0</v>
      </c>
      <c r="H1400" s="21">
        <v>1385</v>
      </c>
      <c r="I1400" s="107">
        <v>0.66777128550951281</v>
      </c>
      <c r="J1400" s="108">
        <v>1.4504583693236985E-3</v>
      </c>
      <c r="K1400" s="108"/>
      <c r="L1400" s="108">
        <v>4.4400000000000002E-2</v>
      </c>
      <c r="O1400" s="105"/>
    </row>
    <row r="1401" spans="2:15" x14ac:dyDescent="0.2">
      <c r="B1401" s="1">
        <v>1386</v>
      </c>
      <c r="C1401" s="106">
        <f t="shared" ca="1" si="84"/>
        <v>-0.22113944395005433</v>
      </c>
      <c r="D1401" s="106">
        <f t="shared" ca="1" si="85"/>
        <v>0.6501640061065691</v>
      </c>
      <c r="E1401" s="106">
        <f t="shared" ca="1" si="86"/>
        <v>0</v>
      </c>
      <c r="F1401" s="21">
        <f t="shared" ca="1" si="87"/>
        <v>0</v>
      </c>
      <c r="H1401" s="21">
        <v>1386</v>
      </c>
      <c r="I1401" s="107">
        <v>0.66776053663974411</v>
      </c>
      <c r="J1401" s="108">
        <v>1.3978128292464454E-3</v>
      </c>
      <c r="K1401" s="108"/>
      <c r="L1401" s="108">
        <v>4.5199999999999997E-2</v>
      </c>
      <c r="O1401" s="105"/>
    </row>
    <row r="1402" spans="2:15" x14ac:dyDescent="0.2">
      <c r="B1402" s="1">
        <v>1387</v>
      </c>
      <c r="C1402" s="106">
        <f t="shared" ca="1" si="84"/>
        <v>7.1492034868459023E-2</v>
      </c>
      <c r="D1402" s="106">
        <f t="shared" ca="1" si="85"/>
        <v>0.66920484239491396</v>
      </c>
      <c r="E1402" s="106">
        <f t="shared" ca="1" si="86"/>
        <v>0</v>
      </c>
      <c r="F1402" s="21">
        <f t="shared" ca="1" si="87"/>
        <v>0</v>
      </c>
      <c r="H1402" s="21">
        <v>1387</v>
      </c>
      <c r="I1402" s="107">
        <v>0.66765488143434115</v>
      </c>
      <c r="J1402" s="108">
        <v>1.3704571315883529E-3</v>
      </c>
      <c r="K1402" s="108"/>
      <c r="L1402" s="108">
        <v>4.02E-2</v>
      </c>
      <c r="O1402" s="105"/>
    </row>
    <row r="1403" spans="2:15" x14ac:dyDescent="0.2">
      <c r="B1403" s="1">
        <v>1388</v>
      </c>
      <c r="C1403" s="106">
        <f t="shared" ca="1" si="84"/>
        <v>-2.1772316306255561</v>
      </c>
      <c r="D1403" s="106">
        <f t="shared" ca="1" si="85"/>
        <v>0.53607448798439616</v>
      </c>
      <c r="E1403" s="106">
        <f t="shared" ca="1" si="86"/>
        <v>0</v>
      </c>
      <c r="F1403" s="21">
        <f t="shared" ca="1" si="87"/>
        <v>0</v>
      </c>
      <c r="H1403" s="21">
        <v>1388</v>
      </c>
      <c r="I1403" s="107">
        <v>0.66796262565442899</v>
      </c>
      <c r="J1403" s="108">
        <v>1.6708895073978716E-3</v>
      </c>
      <c r="K1403" s="108"/>
      <c r="L1403" s="108">
        <v>4.8399999999999999E-2</v>
      </c>
      <c r="O1403" s="105"/>
    </row>
    <row r="1404" spans="2:15" x14ac:dyDescent="0.2">
      <c r="B1404" s="1">
        <v>1389</v>
      </c>
      <c r="C1404" s="106">
        <f t="shared" ca="1" si="84"/>
        <v>0.58822924252391084</v>
      </c>
      <c r="D1404" s="106">
        <f t="shared" ca="1" si="85"/>
        <v>0.70419960684286553</v>
      </c>
      <c r="E1404" s="106">
        <f t="shared" ca="1" si="86"/>
        <v>0</v>
      </c>
      <c r="F1404" s="21">
        <f t="shared" ca="1" si="87"/>
        <v>0</v>
      </c>
      <c r="H1404" s="21">
        <v>1389</v>
      </c>
      <c r="I1404" s="107">
        <v>0.66762379681054207</v>
      </c>
      <c r="J1404" s="108">
        <v>1.2730760893522237E-3</v>
      </c>
      <c r="K1404" s="108"/>
      <c r="L1404" s="108">
        <v>3.9800000000000002E-2</v>
      </c>
      <c r="O1404" s="105"/>
    </row>
    <row r="1405" spans="2:15" x14ac:dyDescent="0.2">
      <c r="B1405" s="1">
        <v>1390</v>
      </c>
      <c r="C1405" s="106">
        <f t="shared" ca="1" si="84"/>
        <v>0.52206407396312926</v>
      </c>
      <c r="D1405" s="106">
        <f t="shared" ca="1" si="85"/>
        <v>0.69961852937996349</v>
      </c>
      <c r="E1405" s="106">
        <f t="shared" ca="1" si="86"/>
        <v>0</v>
      </c>
      <c r="F1405" s="21">
        <f t="shared" ca="1" si="87"/>
        <v>0</v>
      </c>
      <c r="H1405" s="21">
        <v>1390</v>
      </c>
      <c r="I1405" s="107">
        <v>0.66765175335522686</v>
      </c>
      <c r="J1405" s="108">
        <v>1.3016470356891486E-3</v>
      </c>
      <c r="K1405" s="108"/>
      <c r="L1405" s="108">
        <v>4.0599999999999997E-2</v>
      </c>
      <c r="O1405" s="105"/>
    </row>
    <row r="1406" spans="2:15" x14ac:dyDescent="0.2">
      <c r="B1406" s="1">
        <v>1391</v>
      </c>
      <c r="C1406" s="106">
        <f t="shared" ca="1" si="84"/>
        <v>-0.674377372865541</v>
      </c>
      <c r="D1406" s="106">
        <f t="shared" ca="1" si="85"/>
        <v>0.62173667931733856</v>
      </c>
      <c r="E1406" s="106">
        <f t="shared" ca="1" si="86"/>
        <v>0</v>
      </c>
      <c r="F1406" s="21">
        <f t="shared" ca="1" si="87"/>
        <v>0</v>
      </c>
      <c r="H1406" s="21">
        <v>1391</v>
      </c>
      <c r="I1406" s="107">
        <v>0.66772501985334332</v>
      </c>
      <c r="J1406" s="108">
        <v>1.4313524561503312E-3</v>
      </c>
      <c r="K1406" s="108"/>
      <c r="L1406" s="108">
        <v>4.36E-2</v>
      </c>
      <c r="O1406" s="105"/>
    </row>
    <row r="1407" spans="2:15" x14ac:dyDescent="0.2">
      <c r="B1407" s="1">
        <v>1392</v>
      </c>
      <c r="C1407" s="106">
        <f t="shared" ca="1" si="84"/>
        <v>1.500055194075163</v>
      </c>
      <c r="D1407" s="106">
        <f t="shared" ca="1" si="85"/>
        <v>0.77047373748235504</v>
      </c>
      <c r="E1407" s="106">
        <f t="shared" ca="1" si="86"/>
        <v>0</v>
      </c>
      <c r="F1407" s="21">
        <f t="shared" ca="1" si="87"/>
        <v>0</v>
      </c>
      <c r="H1407" s="21">
        <v>1392</v>
      </c>
      <c r="I1407" s="107">
        <v>0.66783670384008631</v>
      </c>
      <c r="J1407" s="108">
        <v>1.4395760629079683E-3</v>
      </c>
      <c r="K1407" s="108"/>
      <c r="L1407" s="108">
        <v>4.4200000000000003E-2</v>
      </c>
      <c r="O1407" s="105"/>
    </row>
    <row r="1408" spans="2:15" x14ac:dyDescent="0.2">
      <c r="B1408" s="1">
        <v>1393</v>
      </c>
      <c r="C1408" s="106">
        <f t="shared" ca="1" si="84"/>
        <v>-0.77908129225312961</v>
      </c>
      <c r="D1408" s="106">
        <f t="shared" ca="1" si="85"/>
        <v>0.61534834650427772</v>
      </c>
      <c r="E1408" s="106">
        <f t="shared" ca="1" si="86"/>
        <v>0</v>
      </c>
      <c r="F1408" s="21">
        <f t="shared" ca="1" si="87"/>
        <v>0</v>
      </c>
      <c r="H1408" s="21">
        <v>1393</v>
      </c>
      <c r="I1408" s="107">
        <v>0.6677336688922203</v>
      </c>
      <c r="J1408" s="108">
        <v>1.3273723713963547E-3</v>
      </c>
      <c r="K1408" s="108"/>
      <c r="L1408" s="108">
        <v>4.1799999999999997E-2</v>
      </c>
      <c r="O1408" s="105"/>
    </row>
    <row r="1409" spans="2:15" x14ac:dyDescent="0.2">
      <c r="B1409" s="1">
        <v>1394</v>
      </c>
      <c r="C1409" s="106">
        <f t="shared" ca="1" si="84"/>
        <v>-0.16539978853679008</v>
      </c>
      <c r="D1409" s="106">
        <f t="shared" ca="1" si="85"/>
        <v>0.65374860508118404</v>
      </c>
      <c r="E1409" s="106">
        <f t="shared" ca="1" si="86"/>
        <v>0</v>
      </c>
      <c r="F1409" s="21">
        <f t="shared" ca="1" si="87"/>
        <v>0</v>
      </c>
      <c r="H1409" s="21">
        <v>1394</v>
      </c>
      <c r="I1409" s="107">
        <v>0.667876903308396</v>
      </c>
      <c r="J1409" s="108">
        <v>1.5098882138291189E-3</v>
      </c>
      <c r="K1409" s="108"/>
      <c r="L1409" s="108">
        <v>4.7399999999999998E-2</v>
      </c>
      <c r="O1409" s="105"/>
    </row>
    <row r="1410" spans="2:15" x14ac:dyDescent="0.2">
      <c r="B1410" s="1">
        <v>1395</v>
      </c>
      <c r="C1410" s="106">
        <f t="shared" ca="1" si="84"/>
        <v>-0.33910090425110473</v>
      </c>
      <c r="D1410" s="106">
        <f t="shared" ca="1" si="85"/>
        <v>0.64264262290911156</v>
      </c>
      <c r="E1410" s="106">
        <f t="shared" ca="1" si="86"/>
        <v>0</v>
      </c>
      <c r="F1410" s="21">
        <f t="shared" ca="1" si="87"/>
        <v>0</v>
      </c>
      <c r="H1410" s="21">
        <v>1395</v>
      </c>
      <c r="I1410" s="107">
        <v>0.66783805582317068</v>
      </c>
      <c r="J1410" s="108">
        <v>1.4395458163968819E-3</v>
      </c>
      <c r="K1410" s="108"/>
      <c r="L1410" s="108">
        <v>4.2799999999999998E-2</v>
      </c>
      <c r="O1410" s="105"/>
    </row>
    <row r="1411" spans="2:15" x14ac:dyDescent="0.2">
      <c r="B1411" s="1">
        <v>1396</v>
      </c>
      <c r="C1411" s="106">
        <f t="shared" ca="1" si="84"/>
        <v>0.87848445893758453</v>
      </c>
      <c r="D1411" s="106">
        <f t="shared" ca="1" si="85"/>
        <v>0.72465306390395912</v>
      </c>
      <c r="E1411" s="106">
        <f t="shared" ca="1" si="86"/>
        <v>0</v>
      </c>
      <c r="F1411" s="21">
        <f t="shared" ca="1" si="87"/>
        <v>0</v>
      </c>
      <c r="H1411" s="21">
        <v>1396</v>
      </c>
      <c r="I1411" s="107">
        <v>0.66773504733298517</v>
      </c>
      <c r="J1411" s="108">
        <v>1.3596283583767787E-3</v>
      </c>
      <c r="K1411" s="108"/>
      <c r="L1411" s="108">
        <v>3.9E-2</v>
      </c>
      <c r="O1411" s="105"/>
    </row>
    <row r="1412" spans="2:15" x14ac:dyDescent="0.2">
      <c r="B1412" s="1">
        <v>1397</v>
      </c>
      <c r="C1412" s="106">
        <f t="shared" ca="1" si="84"/>
        <v>-0.51280628139335183</v>
      </c>
      <c r="D1412" s="106">
        <f t="shared" ca="1" si="85"/>
        <v>0.63172504532824425</v>
      </c>
      <c r="E1412" s="106">
        <f t="shared" ca="1" si="86"/>
        <v>0</v>
      </c>
      <c r="F1412" s="21">
        <f t="shared" ca="1" si="87"/>
        <v>0</v>
      </c>
      <c r="H1412" s="21">
        <v>1397</v>
      </c>
      <c r="I1412" s="107">
        <v>0.66780635708470903</v>
      </c>
      <c r="J1412" s="108">
        <v>1.4358098088365686E-3</v>
      </c>
      <c r="K1412" s="108"/>
      <c r="L1412" s="108">
        <v>4.1799999999999997E-2</v>
      </c>
      <c r="O1412" s="105"/>
    </row>
    <row r="1413" spans="2:15" x14ac:dyDescent="0.2">
      <c r="B1413" s="1">
        <v>1398</v>
      </c>
      <c r="C1413" s="106">
        <f t="shared" ca="1" si="84"/>
        <v>1.6671785902507572E-3</v>
      </c>
      <c r="D1413" s="106">
        <f t="shared" ca="1" si="85"/>
        <v>0.6646114530617504</v>
      </c>
      <c r="E1413" s="106">
        <f t="shared" ca="1" si="86"/>
        <v>0</v>
      </c>
      <c r="F1413" s="21">
        <f t="shared" ca="1" si="87"/>
        <v>0</v>
      </c>
      <c r="H1413" s="21">
        <v>1398</v>
      </c>
      <c r="I1413" s="107">
        <v>0.66788979154573291</v>
      </c>
      <c r="J1413" s="108">
        <v>1.6376000329303647E-3</v>
      </c>
      <c r="K1413" s="108"/>
      <c r="L1413" s="108">
        <v>4.8599999999999997E-2</v>
      </c>
      <c r="O1413" s="105"/>
    </row>
    <row r="1414" spans="2:15" x14ac:dyDescent="0.2">
      <c r="B1414" s="1">
        <v>1399</v>
      </c>
      <c r="C1414" s="106">
        <f t="shared" ca="1" si="84"/>
        <v>-1.0266049388283602</v>
      </c>
      <c r="D1414" s="106">
        <f t="shared" ca="1" si="85"/>
        <v>0.60050589835394386</v>
      </c>
      <c r="E1414" s="106">
        <f t="shared" ca="1" si="86"/>
        <v>0</v>
      </c>
      <c r="F1414" s="21">
        <f t="shared" ca="1" si="87"/>
        <v>0</v>
      </c>
      <c r="H1414" s="21">
        <v>1399</v>
      </c>
      <c r="I1414" s="107">
        <v>0.66785660040536499</v>
      </c>
      <c r="J1414" s="108">
        <v>1.411766029342247E-3</v>
      </c>
      <c r="K1414" s="108"/>
      <c r="L1414" s="108">
        <v>4.6600000000000003E-2</v>
      </c>
      <c r="O1414" s="105"/>
    </row>
    <row r="1415" spans="2:15" x14ac:dyDescent="0.2">
      <c r="B1415" s="1">
        <v>1400</v>
      </c>
      <c r="C1415" s="106">
        <f t="shared" ca="1" si="84"/>
        <v>-7.1194453818785655E-2</v>
      </c>
      <c r="D1415" s="106">
        <f t="shared" ca="1" si="85"/>
        <v>0.65985190321194154</v>
      </c>
      <c r="E1415" s="106">
        <f t="shared" ca="1" si="86"/>
        <v>0</v>
      </c>
      <c r="F1415" s="21">
        <f t="shared" ca="1" si="87"/>
        <v>0</v>
      </c>
      <c r="H1415" s="21">
        <v>1400</v>
      </c>
      <c r="I1415" s="107">
        <v>0.66775609930619106</v>
      </c>
      <c r="J1415" s="108">
        <v>1.5097523227787844E-3</v>
      </c>
      <c r="K1415" s="108"/>
      <c r="L1415" s="108">
        <v>4.3200000000000002E-2</v>
      </c>
      <c r="O1415" s="105"/>
    </row>
    <row r="1416" spans="2:15" x14ac:dyDescent="0.2">
      <c r="B1416" s="1">
        <v>1401</v>
      </c>
      <c r="C1416" s="106">
        <f t="shared" ca="1" si="84"/>
        <v>0.66116082189647729</v>
      </c>
      <c r="D1416" s="106">
        <f t="shared" ca="1" si="85"/>
        <v>0.70928393303968607</v>
      </c>
      <c r="E1416" s="106">
        <f t="shared" ca="1" si="86"/>
        <v>0</v>
      </c>
      <c r="F1416" s="21">
        <f t="shared" ca="1" si="87"/>
        <v>0</v>
      </c>
      <c r="H1416" s="21">
        <v>1401</v>
      </c>
      <c r="I1416" s="107">
        <v>0.66773662288984215</v>
      </c>
      <c r="J1416" s="108">
        <v>1.2756770438508611E-3</v>
      </c>
      <c r="K1416" s="108"/>
      <c r="L1416" s="108">
        <v>4.2999999999999997E-2</v>
      </c>
      <c r="O1416" s="105"/>
    </row>
    <row r="1417" spans="2:15" x14ac:dyDescent="0.2">
      <c r="B1417" s="1">
        <v>1402</v>
      </c>
      <c r="C1417" s="106">
        <f t="shared" ca="1" si="84"/>
        <v>1.2127721931619914E-2</v>
      </c>
      <c r="D1417" s="106">
        <f t="shared" ca="1" si="85"/>
        <v>0.66529758090877456</v>
      </c>
      <c r="E1417" s="106">
        <f t="shared" ca="1" si="86"/>
        <v>0</v>
      </c>
      <c r="F1417" s="21">
        <f t="shared" ca="1" si="87"/>
        <v>0</v>
      </c>
      <c r="H1417" s="21">
        <v>1402</v>
      </c>
      <c r="I1417" s="107">
        <v>0.66761369771189061</v>
      </c>
      <c r="J1417" s="108">
        <v>1.4030228258422757E-3</v>
      </c>
      <c r="K1417" s="108"/>
      <c r="L1417" s="108">
        <v>3.9399999999999998E-2</v>
      </c>
      <c r="O1417" s="105"/>
    </row>
    <row r="1418" spans="2:15" x14ac:dyDescent="0.2">
      <c r="B1418" s="1">
        <v>1403</v>
      </c>
      <c r="C1418" s="106">
        <f t="shared" ca="1" si="84"/>
        <v>1.6716373500055672</v>
      </c>
      <c r="D1418" s="106">
        <f t="shared" ca="1" si="85"/>
        <v>0.78362505555219464</v>
      </c>
      <c r="E1418" s="106">
        <f t="shared" ca="1" si="86"/>
        <v>0</v>
      </c>
      <c r="F1418" s="21">
        <f t="shared" ca="1" si="87"/>
        <v>0</v>
      </c>
      <c r="H1418" s="21">
        <v>1403</v>
      </c>
      <c r="I1418" s="107">
        <v>0.66769314458679896</v>
      </c>
      <c r="J1418" s="108">
        <v>1.3937468036214135E-3</v>
      </c>
      <c r="K1418" s="108"/>
      <c r="L1418" s="108">
        <v>4.3200000000000002E-2</v>
      </c>
      <c r="O1418" s="105"/>
    </row>
    <row r="1419" spans="2:15" x14ac:dyDescent="0.2">
      <c r="B1419" s="1">
        <v>1404</v>
      </c>
      <c r="C1419" s="106">
        <f t="shared" ca="1" si="84"/>
        <v>0.779497871459229</v>
      </c>
      <c r="D1419" s="106">
        <f t="shared" ca="1" si="85"/>
        <v>0.71761186117111053</v>
      </c>
      <c r="E1419" s="106">
        <f t="shared" ca="1" si="86"/>
        <v>0</v>
      </c>
      <c r="F1419" s="21">
        <f t="shared" ca="1" si="87"/>
        <v>0</v>
      </c>
      <c r="H1419" s="21">
        <v>1404</v>
      </c>
      <c r="I1419" s="107">
        <v>0.66764028172705359</v>
      </c>
      <c r="J1419" s="108">
        <v>1.2231374538004488E-3</v>
      </c>
      <c r="K1419" s="108"/>
      <c r="L1419" s="108">
        <v>3.8600000000000002E-2</v>
      </c>
      <c r="O1419" s="105"/>
    </row>
    <row r="1420" spans="2:15" x14ac:dyDescent="0.2">
      <c r="B1420" s="1">
        <v>1405</v>
      </c>
      <c r="C1420" s="106">
        <f t="shared" ca="1" si="84"/>
        <v>2.3426997300588575</v>
      </c>
      <c r="D1420" s="106">
        <f t="shared" ca="1" si="85"/>
        <v>0.83725203590261643</v>
      </c>
      <c r="E1420" s="106">
        <f t="shared" ca="1" si="86"/>
        <v>4.905203590261642E-2</v>
      </c>
      <c r="F1420" s="21">
        <f t="shared" ca="1" si="87"/>
        <v>1</v>
      </c>
      <c r="H1420" s="21">
        <v>1405</v>
      </c>
      <c r="I1420" s="107">
        <v>0.66766503986092851</v>
      </c>
      <c r="J1420" s="108">
        <v>1.1746053674963201E-3</v>
      </c>
      <c r="K1420" s="108"/>
      <c r="L1420" s="108">
        <v>4.0599999999999997E-2</v>
      </c>
      <c r="O1420" s="105"/>
    </row>
    <row r="1421" spans="2:15" x14ac:dyDescent="0.2">
      <c r="B1421" s="1">
        <v>1406</v>
      </c>
      <c r="C1421" s="106">
        <f t="shared" ca="1" si="84"/>
        <v>-0.3420815188370861</v>
      </c>
      <c r="D1421" s="106">
        <f t="shared" ca="1" si="85"/>
        <v>0.64245370618450259</v>
      </c>
      <c r="E1421" s="106">
        <f t="shared" ca="1" si="86"/>
        <v>0</v>
      </c>
      <c r="F1421" s="21">
        <f t="shared" ca="1" si="87"/>
        <v>0</v>
      </c>
      <c r="H1421" s="21">
        <v>1406</v>
      </c>
      <c r="I1421" s="107">
        <v>0.66781838980015751</v>
      </c>
      <c r="J1421" s="108">
        <v>1.5245540004985131E-3</v>
      </c>
      <c r="K1421" s="108"/>
      <c r="L1421" s="108">
        <v>4.1200000000000001E-2</v>
      </c>
      <c r="O1421" s="105"/>
    </row>
    <row r="1422" spans="2:15" x14ac:dyDescent="0.2">
      <c r="B1422" s="1">
        <v>1407</v>
      </c>
      <c r="C1422" s="106">
        <f t="shared" ca="1" si="84"/>
        <v>-0.11053369930262849</v>
      </c>
      <c r="D1422" s="106">
        <f t="shared" ca="1" si="85"/>
        <v>0.65729632581498443</v>
      </c>
      <c r="E1422" s="106">
        <f t="shared" ca="1" si="86"/>
        <v>0</v>
      </c>
      <c r="F1422" s="21">
        <f t="shared" ca="1" si="87"/>
        <v>0</v>
      </c>
      <c r="H1422" s="21">
        <v>1407</v>
      </c>
      <c r="I1422" s="107">
        <v>0.66766978777405073</v>
      </c>
      <c r="J1422" s="108">
        <v>1.2076385652155836E-3</v>
      </c>
      <c r="K1422" s="108"/>
      <c r="L1422" s="108">
        <v>3.8800000000000001E-2</v>
      </c>
      <c r="O1422" s="105"/>
    </row>
    <row r="1423" spans="2:15" x14ac:dyDescent="0.2">
      <c r="B1423" s="1">
        <v>1408</v>
      </c>
      <c r="C1423" s="106">
        <f t="shared" ca="1" si="84"/>
        <v>0.63570110173868088</v>
      </c>
      <c r="D1423" s="106">
        <f t="shared" ca="1" si="85"/>
        <v>0.70750488603288852</v>
      </c>
      <c r="E1423" s="106">
        <f t="shared" ca="1" si="86"/>
        <v>0</v>
      </c>
      <c r="F1423" s="21">
        <f t="shared" ca="1" si="87"/>
        <v>0</v>
      </c>
      <c r="H1423" s="21">
        <v>1408</v>
      </c>
      <c r="I1423" s="107">
        <v>0.66777615992519468</v>
      </c>
      <c r="J1423" s="108">
        <v>1.3927179662384691E-3</v>
      </c>
      <c r="K1423" s="108"/>
      <c r="L1423" s="108">
        <v>4.2200000000000001E-2</v>
      </c>
      <c r="O1423" s="105"/>
    </row>
    <row r="1424" spans="2:15" x14ac:dyDescent="0.2">
      <c r="B1424" s="1">
        <v>1409</v>
      </c>
      <c r="C1424" s="106">
        <f t="shared" ref="C1424:C1487" ca="1" si="88">_xlfn.NORM.S.INV(RAND())</f>
        <v>6.3276857317488E-2</v>
      </c>
      <c r="D1424" s="106">
        <f t="shared" ref="D1424:D1487" ca="1" si="89">S0*EXP((μ-0.5*σ*σ)*T+σ*SQRT(T)*$C1424)</f>
        <v>0.66866276789860779</v>
      </c>
      <c r="E1424" s="106">
        <f t="shared" ref="E1424:E1487" ca="1" si="90">MAX(0,CP*(D1424-K))</f>
        <v>0</v>
      </c>
      <c r="F1424" s="21">
        <f t="shared" ref="F1424:F1487" ca="1" si="91">(CP*(D1424-K)&gt;0)*1</f>
        <v>0</v>
      </c>
      <c r="H1424" s="21">
        <v>1409</v>
      </c>
      <c r="I1424" s="107">
        <v>0.66777664214591181</v>
      </c>
      <c r="J1424" s="108">
        <v>1.5280924388303876E-3</v>
      </c>
      <c r="K1424" s="108"/>
      <c r="L1424" s="108">
        <v>4.3200000000000002E-2</v>
      </c>
      <c r="O1424" s="105"/>
    </row>
    <row r="1425" spans="2:15" x14ac:dyDescent="0.2">
      <c r="B1425" s="1">
        <v>1410</v>
      </c>
      <c r="C1425" s="106">
        <f t="shared" ca="1" si="88"/>
        <v>-0.97708528473973777</v>
      </c>
      <c r="D1425" s="106">
        <f t="shared" ca="1" si="89"/>
        <v>0.60344635586289586</v>
      </c>
      <c r="E1425" s="106">
        <f t="shared" ca="1" si="90"/>
        <v>0</v>
      </c>
      <c r="F1425" s="21">
        <f t="shared" ca="1" si="91"/>
        <v>0</v>
      </c>
      <c r="H1425" s="21">
        <v>1410</v>
      </c>
      <c r="I1425" s="107">
        <v>0.6677610708697288</v>
      </c>
      <c r="J1425" s="108">
        <v>1.390556044208912E-3</v>
      </c>
      <c r="K1425" s="108"/>
      <c r="L1425" s="108">
        <v>4.2999999999999997E-2</v>
      </c>
      <c r="O1425" s="105"/>
    </row>
    <row r="1426" spans="2:15" x14ac:dyDescent="0.2">
      <c r="B1426" s="1">
        <v>1411</v>
      </c>
      <c r="C1426" s="106">
        <f t="shared" ca="1" si="88"/>
        <v>-0.28522662684616745</v>
      </c>
      <c r="D1426" s="106">
        <f t="shared" ca="1" si="89"/>
        <v>0.64606686425473514</v>
      </c>
      <c r="E1426" s="106">
        <f t="shared" ca="1" si="90"/>
        <v>0</v>
      </c>
      <c r="F1426" s="21">
        <f t="shared" ca="1" si="91"/>
        <v>0</v>
      </c>
      <c r="H1426" s="21">
        <v>1411</v>
      </c>
      <c r="I1426" s="107">
        <v>0.6676779928756359</v>
      </c>
      <c r="J1426" s="108">
        <v>1.3083457096690003E-3</v>
      </c>
      <c r="K1426" s="108"/>
      <c r="L1426" s="108">
        <v>4.2200000000000001E-2</v>
      </c>
      <c r="O1426" s="105"/>
    </row>
    <row r="1427" spans="2:15" x14ac:dyDescent="0.2">
      <c r="B1427" s="1">
        <v>1412</v>
      </c>
      <c r="C1427" s="106">
        <f t="shared" ca="1" si="88"/>
        <v>-1.2273731367299854</v>
      </c>
      <c r="D1427" s="106">
        <f t="shared" ca="1" si="89"/>
        <v>0.58873044047973244</v>
      </c>
      <c r="E1427" s="106">
        <f t="shared" ca="1" si="90"/>
        <v>0</v>
      </c>
      <c r="F1427" s="21">
        <f t="shared" ca="1" si="91"/>
        <v>0</v>
      </c>
      <c r="H1427" s="21">
        <v>1412</v>
      </c>
      <c r="I1427" s="107">
        <v>0.66772900571686333</v>
      </c>
      <c r="J1427" s="108">
        <v>1.3192856207873418E-3</v>
      </c>
      <c r="K1427" s="108"/>
      <c r="L1427" s="108">
        <v>4.0800000000000003E-2</v>
      </c>
      <c r="O1427" s="105"/>
    </row>
    <row r="1428" spans="2:15" x14ac:dyDescent="0.2">
      <c r="B1428" s="1">
        <v>1413</v>
      </c>
      <c r="C1428" s="106">
        <f t="shared" ca="1" si="88"/>
        <v>0.60538097334047658</v>
      </c>
      <c r="D1428" s="106">
        <f t="shared" ca="1" si="89"/>
        <v>0.70539202908326337</v>
      </c>
      <c r="E1428" s="106">
        <f t="shared" ca="1" si="90"/>
        <v>0</v>
      </c>
      <c r="F1428" s="21">
        <f t="shared" ca="1" si="91"/>
        <v>0</v>
      </c>
      <c r="H1428" s="21">
        <v>1413</v>
      </c>
      <c r="I1428" s="107">
        <v>0.66787991278842274</v>
      </c>
      <c r="J1428" s="108">
        <v>1.5880629789472558E-3</v>
      </c>
      <c r="K1428" s="108"/>
      <c r="L1428" s="108">
        <v>4.7399999999999998E-2</v>
      </c>
      <c r="O1428" s="105"/>
    </row>
    <row r="1429" spans="2:15" x14ac:dyDescent="0.2">
      <c r="B1429" s="1">
        <v>1414</v>
      </c>
      <c r="C1429" s="106">
        <f t="shared" ca="1" si="88"/>
        <v>0.48808291878672744</v>
      </c>
      <c r="D1429" s="106">
        <f t="shared" ca="1" si="89"/>
        <v>0.69727737162003045</v>
      </c>
      <c r="E1429" s="106">
        <f t="shared" ca="1" si="90"/>
        <v>0</v>
      </c>
      <c r="F1429" s="21">
        <f t="shared" ca="1" si="91"/>
        <v>0</v>
      </c>
      <c r="H1429" s="21">
        <v>1414</v>
      </c>
      <c r="I1429" s="107">
        <v>0.66774401146144269</v>
      </c>
      <c r="J1429" s="108">
        <v>1.2978466408979439E-3</v>
      </c>
      <c r="K1429" s="108"/>
      <c r="L1429" s="108">
        <v>3.8600000000000002E-2</v>
      </c>
      <c r="O1429" s="105"/>
    </row>
    <row r="1430" spans="2:15" x14ac:dyDescent="0.2">
      <c r="B1430" s="1">
        <v>1415</v>
      </c>
      <c r="C1430" s="106">
        <f t="shared" ca="1" si="88"/>
        <v>0.40287355774555433</v>
      </c>
      <c r="D1430" s="106">
        <f t="shared" ca="1" si="89"/>
        <v>0.69144120206142323</v>
      </c>
      <c r="E1430" s="106">
        <f t="shared" ca="1" si="90"/>
        <v>0</v>
      </c>
      <c r="F1430" s="21">
        <f t="shared" ca="1" si="91"/>
        <v>0</v>
      </c>
      <c r="H1430" s="21">
        <v>1415</v>
      </c>
      <c r="I1430" s="107">
        <v>0.66765511883205941</v>
      </c>
      <c r="J1430" s="108">
        <v>1.2136096821116617E-3</v>
      </c>
      <c r="K1430" s="108"/>
      <c r="L1430" s="108">
        <v>3.9800000000000002E-2</v>
      </c>
      <c r="O1430" s="105"/>
    </row>
    <row r="1431" spans="2:15" x14ac:dyDescent="0.2">
      <c r="B1431" s="1">
        <v>1416</v>
      </c>
      <c r="C1431" s="106">
        <f t="shared" ca="1" si="88"/>
        <v>0.14675520289004976</v>
      </c>
      <c r="D1431" s="106">
        <f t="shared" ca="1" si="89"/>
        <v>0.67419154629746303</v>
      </c>
      <c r="E1431" s="106">
        <f t="shared" ca="1" si="90"/>
        <v>0</v>
      </c>
      <c r="F1431" s="21">
        <f t="shared" ca="1" si="91"/>
        <v>0</v>
      </c>
      <c r="H1431" s="21">
        <v>1416</v>
      </c>
      <c r="I1431" s="107">
        <v>0.66774216947427323</v>
      </c>
      <c r="J1431" s="108">
        <v>1.4106620964645228E-3</v>
      </c>
      <c r="K1431" s="108"/>
      <c r="L1431" s="108">
        <v>3.9199999999999999E-2</v>
      </c>
      <c r="O1431" s="105"/>
    </row>
    <row r="1432" spans="2:15" x14ac:dyDescent="0.2">
      <c r="B1432" s="1">
        <v>1417</v>
      </c>
      <c r="C1432" s="106">
        <f t="shared" ca="1" si="88"/>
        <v>1.2446365618485633</v>
      </c>
      <c r="D1432" s="106">
        <f t="shared" ca="1" si="89"/>
        <v>0.75130428036610031</v>
      </c>
      <c r="E1432" s="106">
        <f t="shared" ca="1" si="90"/>
        <v>0</v>
      </c>
      <c r="F1432" s="21">
        <f t="shared" ca="1" si="91"/>
        <v>0</v>
      </c>
      <c r="H1432" s="21">
        <v>1417</v>
      </c>
      <c r="I1432" s="107">
        <v>0.66764728091770909</v>
      </c>
      <c r="J1432" s="108">
        <v>1.3234054619985032E-3</v>
      </c>
      <c r="K1432" s="108"/>
      <c r="L1432" s="108">
        <v>3.8800000000000001E-2</v>
      </c>
      <c r="O1432" s="105"/>
    </row>
    <row r="1433" spans="2:15" x14ac:dyDescent="0.2">
      <c r="B1433" s="1">
        <v>1418</v>
      </c>
      <c r="C1433" s="106">
        <f t="shared" ca="1" si="88"/>
        <v>0.16164125761030648</v>
      </c>
      <c r="D1433" s="106">
        <f t="shared" ca="1" si="89"/>
        <v>0.67518224297854912</v>
      </c>
      <c r="E1433" s="106">
        <f t="shared" ca="1" si="90"/>
        <v>0</v>
      </c>
      <c r="F1433" s="21">
        <f t="shared" ca="1" si="91"/>
        <v>0</v>
      </c>
      <c r="H1433" s="21">
        <v>1418</v>
      </c>
      <c r="I1433" s="107">
        <v>0.66774820817380132</v>
      </c>
      <c r="J1433" s="108">
        <v>1.25338620875989E-3</v>
      </c>
      <c r="K1433" s="108"/>
      <c r="L1433" s="108">
        <v>3.8199999999999998E-2</v>
      </c>
      <c r="O1433" s="105"/>
    </row>
    <row r="1434" spans="2:15" x14ac:dyDescent="0.2">
      <c r="B1434" s="1">
        <v>1419</v>
      </c>
      <c r="C1434" s="106">
        <f t="shared" ca="1" si="88"/>
        <v>1.4165375559860429</v>
      </c>
      <c r="D1434" s="106">
        <f t="shared" ca="1" si="89"/>
        <v>0.76415242513077375</v>
      </c>
      <c r="E1434" s="106">
        <f t="shared" ca="1" si="90"/>
        <v>0</v>
      </c>
      <c r="F1434" s="21">
        <f t="shared" ca="1" si="91"/>
        <v>0</v>
      </c>
      <c r="H1434" s="21">
        <v>1419</v>
      </c>
      <c r="I1434" s="107">
        <v>0.66773403827135558</v>
      </c>
      <c r="J1434" s="108">
        <v>1.3916151257521441E-3</v>
      </c>
      <c r="K1434" s="108"/>
      <c r="L1434" s="108">
        <v>4.2000000000000003E-2</v>
      </c>
      <c r="O1434" s="105"/>
    </row>
    <row r="1435" spans="2:15" x14ac:dyDescent="0.2">
      <c r="B1435" s="1">
        <v>1420</v>
      </c>
      <c r="C1435" s="106">
        <f t="shared" ca="1" si="88"/>
        <v>1.3086983785445179</v>
      </c>
      <c r="D1435" s="106">
        <f t="shared" ca="1" si="89"/>
        <v>0.75606691122037273</v>
      </c>
      <c r="E1435" s="106">
        <f t="shared" ca="1" si="90"/>
        <v>0</v>
      </c>
      <c r="F1435" s="21">
        <f t="shared" ca="1" si="91"/>
        <v>0</v>
      </c>
      <c r="H1435" s="21">
        <v>1420</v>
      </c>
      <c r="I1435" s="107">
        <v>0.66775040168346889</v>
      </c>
      <c r="J1435" s="108">
        <v>1.3519022952927725E-3</v>
      </c>
      <c r="K1435" s="108"/>
      <c r="L1435" s="108">
        <v>4.1200000000000001E-2</v>
      </c>
      <c r="O1435" s="105"/>
    </row>
    <row r="1436" spans="2:15" x14ac:dyDescent="0.2">
      <c r="B1436" s="1">
        <v>1421</v>
      </c>
      <c r="C1436" s="106">
        <f t="shared" ca="1" si="88"/>
        <v>-0.38615940920361386</v>
      </c>
      <c r="D1436" s="106">
        <f t="shared" ca="1" si="89"/>
        <v>0.63966644448489318</v>
      </c>
      <c r="E1436" s="106">
        <f t="shared" ca="1" si="90"/>
        <v>0</v>
      </c>
      <c r="F1436" s="21">
        <f t="shared" ca="1" si="91"/>
        <v>0</v>
      </c>
      <c r="H1436" s="21">
        <v>1421</v>
      </c>
      <c r="I1436" s="107">
        <v>0.66777903858844812</v>
      </c>
      <c r="J1436" s="108">
        <v>1.3510942390570291E-3</v>
      </c>
      <c r="K1436" s="108"/>
      <c r="L1436" s="108">
        <v>4.1799999999999997E-2</v>
      </c>
      <c r="O1436" s="105"/>
    </row>
    <row r="1437" spans="2:15" x14ac:dyDescent="0.2">
      <c r="B1437" s="1">
        <v>1422</v>
      </c>
      <c r="C1437" s="106">
        <f t="shared" ca="1" si="88"/>
        <v>-7.1244563186981386E-2</v>
      </c>
      <c r="D1437" s="106">
        <f t="shared" ca="1" si="89"/>
        <v>0.65984864166804513</v>
      </c>
      <c r="E1437" s="106">
        <f t="shared" ca="1" si="90"/>
        <v>0</v>
      </c>
      <c r="F1437" s="21">
        <f t="shared" ca="1" si="91"/>
        <v>0</v>
      </c>
      <c r="H1437" s="21">
        <v>1422</v>
      </c>
      <c r="I1437" s="107">
        <v>0.66775317756079855</v>
      </c>
      <c r="J1437" s="108">
        <v>1.4265599292629708E-3</v>
      </c>
      <c r="K1437" s="108"/>
      <c r="L1437" s="108">
        <v>4.3400000000000001E-2</v>
      </c>
      <c r="O1437" s="105"/>
    </row>
    <row r="1438" spans="2:15" x14ac:dyDescent="0.2">
      <c r="B1438" s="1">
        <v>1423</v>
      </c>
      <c r="C1438" s="106">
        <f t="shared" ca="1" si="88"/>
        <v>-0.1556957777331158</v>
      </c>
      <c r="D1438" s="106">
        <f t="shared" ca="1" si="89"/>
        <v>0.6543746836254356</v>
      </c>
      <c r="E1438" s="106">
        <f t="shared" ca="1" si="90"/>
        <v>0</v>
      </c>
      <c r="F1438" s="21">
        <f t="shared" ca="1" si="91"/>
        <v>0</v>
      </c>
      <c r="H1438" s="21">
        <v>1423</v>
      </c>
      <c r="I1438" s="107">
        <v>0.66767021487116618</v>
      </c>
      <c r="J1438" s="108">
        <v>1.296119914611014E-3</v>
      </c>
      <c r="K1438" s="108"/>
      <c r="L1438" s="108">
        <v>4.24E-2</v>
      </c>
      <c r="O1438" s="105"/>
    </row>
    <row r="1439" spans="2:15" x14ac:dyDescent="0.2">
      <c r="B1439" s="1">
        <v>1424</v>
      </c>
      <c r="C1439" s="106">
        <f t="shared" ca="1" si="88"/>
        <v>-1.0959744878454991</v>
      </c>
      <c r="D1439" s="106">
        <f t="shared" ca="1" si="89"/>
        <v>0.59641084068415062</v>
      </c>
      <c r="E1439" s="106">
        <f t="shared" ca="1" si="90"/>
        <v>0</v>
      </c>
      <c r="F1439" s="21">
        <f t="shared" ca="1" si="91"/>
        <v>0</v>
      </c>
      <c r="H1439" s="21">
        <v>1424</v>
      </c>
      <c r="I1439" s="107">
        <v>0.66792582007481915</v>
      </c>
      <c r="J1439" s="108">
        <v>1.5320048292425021E-3</v>
      </c>
      <c r="K1439" s="108"/>
      <c r="L1439" s="108">
        <v>4.58E-2</v>
      </c>
      <c r="O1439" s="105"/>
    </row>
    <row r="1440" spans="2:15" x14ac:dyDescent="0.2">
      <c r="B1440" s="1">
        <v>1425</v>
      </c>
      <c r="C1440" s="106">
        <f t="shared" ca="1" si="88"/>
        <v>0.43649795310201206</v>
      </c>
      <c r="D1440" s="106">
        <f t="shared" ca="1" si="89"/>
        <v>0.69373835051469912</v>
      </c>
      <c r="E1440" s="106">
        <f t="shared" ca="1" si="90"/>
        <v>0</v>
      </c>
      <c r="F1440" s="21">
        <f t="shared" ca="1" si="91"/>
        <v>0</v>
      </c>
      <c r="H1440" s="21">
        <v>1425</v>
      </c>
      <c r="I1440" s="107">
        <v>0.66775090866514553</v>
      </c>
      <c r="J1440" s="108">
        <v>1.3932687385705242E-3</v>
      </c>
      <c r="K1440" s="108"/>
      <c r="L1440" s="108">
        <v>3.9600000000000003E-2</v>
      </c>
      <c r="O1440" s="105"/>
    </row>
    <row r="1441" spans="2:15" x14ac:dyDescent="0.2">
      <c r="B1441" s="1">
        <v>1426</v>
      </c>
      <c r="C1441" s="106">
        <f t="shared" ca="1" si="88"/>
        <v>1.2531427120884973</v>
      </c>
      <c r="D1441" s="106">
        <f t="shared" ca="1" si="89"/>
        <v>0.7519349327254532</v>
      </c>
      <c r="E1441" s="106">
        <f t="shared" ca="1" si="90"/>
        <v>0</v>
      </c>
      <c r="F1441" s="21">
        <f t="shared" ca="1" si="91"/>
        <v>0</v>
      </c>
      <c r="H1441" s="21">
        <v>1426</v>
      </c>
      <c r="I1441" s="107">
        <v>0.66765124562419709</v>
      </c>
      <c r="J1441" s="108">
        <v>1.2335321918886509E-3</v>
      </c>
      <c r="K1441" s="108"/>
      <c r="L1441" s="108">
        <v>0.04</v>
      </c>
      <c r="O1441" s="105"/>
    </row>
    <row r="1442" spans="2:15" x14ac:dyDescent="0.2">
      <c r="B1442" s="1">
        <v>1427</v>
      </c>
      <c r="C1442" s="106">
        <f t="shared" ca="1" si="88"/>
        <v>0.46887609383949058</v>
      </c>
      <c r="D1442" s="106">
        <f t="shared" ca="1" si="89"/>
        <v>0.69595756983611468</v>
      </c>
      <c r="E1442" s="106">
        <f t="shared" ca="1" si="90"/>
        <v>0</v>
      </c>
      <c r="F1442" s="21">
        <f t="shared" ca="1" si="91"/>
        <v>0</v>
      </c>
      <c r="H1442" s="21">
        <v>1427</v>
      </c>
      <c r="I1442" s="107">
        <v>0.66772743675378377</v>
      </c>
      <c r="J1442" s="108">
        <v>1.3762505840820153E-3</v>
      </c>
      <c r="K1442" s="108"/>
      <c r="L1442" s="108">
        <v>4.2599999999999999E-2</v>
      </c>
      <c r="O1442" s="105"/>
    </row>
    <row r="1443" spans="2:15" x14ac:dyDescent="0.2">
      <c r="B1443" s="1">
        <v>1428</v>
      </c>
      <c r="C1443" s="106">
        <f t="shared" ca="1" si="88"/>
        <v>-1.4709303759051224</v>
      </c>
      <c r="D1443" s="106">
        <f t="shared" ca="1" si="89"/>
        <v>0.57475485668570503</v>
      </c>
      <c r="E1443" s="106">
        <f t="shared" ca="1" si="90"/>
        <v>0</v>
      </c>
      <c r="F1443" s="21">
        <f t="shared" ca="1" si="91"/>
        <v>0</v>
      </c>
      <c r="H1443" s="21">
        <v>1428</v>
      </c>
      <c r="I1443" s="107">
        <v>0.6678749026792743</v>
      </c>
      <c r="J1443" s="108">
        <v>1.4578078592476168E-3</v>
      </c>
      <c r="K1443" s="108"/>
      <c r="L1443" s="108">
        <v>4.48E-2</v>
      </c>
      <c r="O1443" s="105"/>
    </row>
    <row r="1444" spans="2:15" x14ac:dyDescent="0.2">
      <c r="B1444" s="1">
        <v>1429</v>
      </c>
      <c r="C1444" s="106">
        <f t="shared" ca="1" si="88"/>
        <v>-0.73018335399257672</v>
      </c>
      <c r="D1444" s="106">
        <f t="shared" ca="1" si="89"/>
        <v>0.61832356103365305</v>
      </c>
      <c r="E1444" s="106">
        <f t="shared" ca="1" si="90"/>
        <v>0</v>
      </c>
      <c r="F1444" s="21">
        <f t="shared" ca="1" si="91"/>
        <v>0</v>
      </c>
      <c r="H1444" s="21">
        <v>1429</v>
      </c>
      <c r="I1444" s="107">
        <v>0.6675357772370768</v>
      </c>
      <c r="J1444" s="108">
        <v>1.1703679362446249E-3</v>
      </c>
      <c r="K1444" s="108"/>
      <c r="L1444" s="108">
        <v>3.8199999999999998E-2</v>
      </c>
      <c r="O1444" s="105"/>
    </row>
    <row r="1445" spans="2:15" x14ac:dyDescent="0.2">
      <c r="B1445" s="1">
        <v>1430</v>
      </c>
      <c r="C1445" s="106">
        <f t="shared" ca="1" si="88"/>
        <v>-0.14345397622721962</v>
      </c>
      <c r="D1445" s="106">
        <f t="shared" ca="1" si="89"/>
        <v>0.65516534944574611</v>
      </c>
      <c r="E1445" s="106">
        <f t="shared" ca="1" si="90"/>
        <v>0</v>
      </c>
      <c r="F1445" s="21">
        <f t="shared" ca="1" si="91"/>
        <v>0</v>
      </c>
      <c r="H1445" s="21">
        <v>1430</v>
      </c>
      <c r="I1445" s="107">
        <v>0.66759448713019898</v>
      </c>
      <c r="J1445" s="108">
        <v>1.2506130987898006E-3</v>
      </c>
      <c r="K1445" s="108"/>
      <c r="L1445" s="108">
        <v>3.7199999999999997E-2</v>
      </c>
      <c r="O1445" s="105"/>
    </row>
    <row r="1446" spans="2:15" x14ac:dyDescent="0.2">
      <c r="B1446" s="1">
        <v>1431</v>
      </c>
      <c r="C1446" s="106">
        <f t="shared" ca="1" si="88"/>
        <v>-1.1216210252063652</v>
      </c>
      <c r="D1446" s="106">
        <f t="shared" ca="1" si="89"/>
        <v>0.5949039423874406</v>
      </c>
      <c r="E1446" s="106">
        <f t="shared" ca="1" si="90"/>
        <v>0</v>
      </c>
      <c r="F1446" s="21">
        <f t="shared" ca="1" si="91"/>
        <v>0</v>
      </c>
      <c r="H1446" s="21">
        <v>1431</v>
      </c>
      <c r="I1446" s="107">
        <v>0.66761524874483535</v>
      </c>
      <c r="J1446" s="108">
        <v>1.1902027179216141E-3</v>
      </c>
      <c r="K1446" s="108"/>
      <c r="L1446" s="108">
        <v>0.04</v>
      </c>
      <c r="O1446" s="105"/>
    </row>
    <row r="1447" spans="2:15" x14ac:dyDescent="0.2">
      <c r="B1447" s="1">
        <v>1432</v>
      </c>
      <c r="C1447" s="106">
        <f t="shared" ca="1" si="88"/>
        <v>1.5001294035587531</v>
      </c>
      <c r="D1447" s="106">
        <f t="shared" ca="1" si="89"/>
        <v>0.77047937746463513</v>
      </c>
      <c r="E1447" s="106">
        <f t="shared" ca="1" si="90"/>
        <v>0</v>
      </c>
      <c r="F1447" s="21">
        <f t="shared" ca="1" si="91"/>
        <v>0</v>
      </c>
      <c r="H1447" s="21">
        <v>1432</v>
      </c>
      <c r="I1447" s="107">
        <v>0.66774829938517155</v>
      </c>
      <c r="J1447" s="108">
        <v>1.373175868911338E-3</v>
      </c>
      <c r="K1447" s="108"/>
      <c r="L1447" s="108">
        <v>4.24E-2</v>
      </c>
      <c r="O1447" s="105"/>
    </row>
    <row r="1448" spans="2:15" x14ac:dyDescent="0.2">
      <c r="B1448" s="1">
        <v>1433</v>
      </c>
      <c r="C1448" s="106">
        <f t="shared" ca="1" si="88"/>
        <v>-3.5527096952659361</v>
      </c>
      <c r="D1448" s="106">
        <f t="shared" ca="1" si="89"/>
        <v>0.46805889952143109</v>
      </c>
      <c r="E1448" s="106">
        <f t="shared" ca="1" si="90"/>
        <v>0</v>
      </c>
      <c r="F1448" s="21">
        <f t="shared" ca="1" si="91"/>
        <v>0</v>
      </c>
      <c r="H1448" s="21">
        <v>1433</v>
      </c>
      <c r="I1448" s="107">
        <v>0.66771146285487459</v>
      </c>
      <c r="J1448" s="108">
        <v>1.2582773007572894E-3</v>
      </c>
      <c r="K1448" s="108"/>
      <c r="L1448" s="108">
        <v>4.24E-2</v>
      </c>
      <c r="O1448" s="105"/>
    </row>
    <row r="1449" spans="2:15" x14ac:dyDescent="0.2">
      <c r="B1449" s="1">
        <v>1434</v>
      </c>
      <c r="C1449" s="106">
        <f t="shared" ca="1" si="88"/>
        <v>1.757494176819836</v>
      </c>
      <c r="D1449" s="106">
        <f t="shared" ca="1" si="89"/>
        <v>0.7902897826705535</v>
      </c>
      <c r="E1449" s="106">
        <f t="shared" ca="1" si="90"/>
        <v>2.0897826705534861E-3</v>
      </c>
      <c r="F1449" s="21">
        <f t="shared" ca="1" si="91"/>
        <v>1</v>
      </c>
      <c r="H1449" s="21">
        <v>1434</v>
      </c>
      <c r="I1449" s="107">
        <v>0.66771242060794078</v>
      </c>
      <c r="J1449" s="108">
        <v>1.4177855368728356E-3</v>
      </c>
      <c r="K1449" s="108"/>
      <c r="L1449" s="108">
        <v>3.9399999999999998E-2</v>
      </c>
      <c r="O1449" s="105"/>
    </row>
    <row r="1450" spans="2:15" x14ac:dyDescent="0.2">
      <c r="B1450" s="1">
        <v>1435</v>
      </c>
      <c r="C1450" s="106">
        <f t="shared" ca="1" si="88"/>
        <v>2.4257544717559041</v>
      </c>
      <c r="D1450" s="106">
        <f t="shared" ca="1" si="89"/>
        <v>0.8441395066346814</v>
      </c>
      <c r="E1450" s="106">
        <f t="shared" ca="1" si="90"/>
        <v>5.5939506634681391E-2</v>
      </c>
      <c r="F1450" s="21">
        <f t="shared" ca="1" si="91"/>
        <v>1</v>
      </c>
      <c r="H1450" s="21">
        <v>1435</v>
      </c>
      <c r="I1450" s="107">
        <v>0.66781756256278346</v>
      </c>
      <c r="J1450" s="108">
        <v>1.6327665371384263E-3</v>
      </c>
      <c r="K1450" s="108"/>
      <c r="L1450" s="108">
        <v>4.4200000000000003E-2</v>
      </c>
      <c r="O1450" s="105"/>
    </row>
    <row r="1451" spans="2:15" x14ac:dyDescent="0.2">
      <c r="B1451" s="1">
        <v>1436</v>
      </c>
      <c r="C1451" s="106">
        <f t="shared" ca="1" si="88"/>
        <v>-5.1224339865116868E-2</v>
      </c>
      <c r="D1451" s="106">
        <f t="shared" ca="1" si="89"/>
        <v>0.661153012392655</v>
      </c>
      <c r="E1451" s="106">
        <f t="shared" ca="1" si="90"/>
        <v>0</v>
      </c>
      <c r="F1451" s="21">
        <f t="shared" ca="1" si="91"/>
        <v>0</v>
      </c>
      <c r="H1451" s="21">
        <v>1436</v>
      </c>
      <c r="I1451" s="107">
        <v>0.66760742769436854</v>
      </c>
      <c r="J1451" s="108">
        <v>1.2557766213201961E-3</v>
      </c>
      <c r="K1451" s="108"/>
      <c r="L1451" s="108">
        <v>4.0800000000000003E-2</v>
      </c>
      <c r="O1451" s="105"/>
    </row>
    <row r="1452" spans="2:15" x14ac:dyDescent="0.2">
      <c r="B1452" s="1">
        <v>1437</v>
      </c>
      <c r="C1452" s="106">
        <f t="shared" ca="1" si="88"/>
        <v>0.66411764517888527</v>
      </c>
      <c r="D1452" s="106">
        <f t="shared" ca="1" si="89"/>
        <v>0.70949083648754496</v>
      </c>
      <c r="E1452" s="106">
        <f t="shared" ca="1" si="90"/>
        <v>0</v>
      </c>
      <c r="F1452" s="21">
        <f t="shared" ca="1" si="91"/>
        <v>0</v>
      </c>
      <c r="H1452" s="21">
        <v>1437</v>
      </c>
      <c r="I1452" s="107">
        <v>0.66784440437400816</v>
      </c>
      <c r="J1452" s="108">
        <v>1.5121443954409504E-3</v>
      </c>
      <c r="K1452" s="108"/>
      <c r="L1452" s="108">
        <v>4.7199999999999999E-2</v>
      </c>
      <c r="O1452" s="105"/>
    </row>
    <row r="1453" spans="2:15" x14ac:dyDescent="0.2">
      <c r="B1453" s="1">
        <v>1438</v>
      </c>
      <c r="C1453" s="106">
        <f t="shared" ca="1" si="88"/>
        <v>-0.11944581376240743</v>
      </c>
      <c r="D1453" s="106">
        <f t="shared" ca="1" si="89"/>
        <v>0.65671874869595903</v>
      </c>
      <c r="E1453" s="106">
        <f t="shared" ca="1" si="90"/>
        <v>0</v>
      </c>
      <c r="F1453" s="21">
        <f t="shared" ca="1" si="91"/>
        <v>0</v>
      </c>
      <c r="H1453" s="21">
        <v>1438</v>
      </c>
      <c r="I1453" s="107">
        <v>0.66765961582955846</v>
      </c>
      <c r="J1453" s="108">
        <v>1.2896906804726782E-3</v>
      </c>
      <c r="K1453" s="108"/>
      <c r="L1453" s="108">
        <v>3.7400000000000003E-2</v>
      </c>
      <c r="O1453" s="105"/>
    </row>
    <row r="1454" spans="2:15" x14ac:dyDescent="0.2">
      <c r="B1454" s="1">
        <v>1439</v>
      </c>
      <c r="C1454" s="106">
        <f t="shared" ca="1" si="88"/>
        <v>1.2674925768240946</v>
      </c>
      <c r="D1454" s="106">
        <f t="shared" ca="1" si="89"/>
        <v>0.75300004251244357</v>
      </c>
      <c r="E1454" s="106">
        <f t="shared" ca="1" si="90"/>
        <v>0</v>
      </c>
      <c r="F1454" s="21">
        <f t="shared" ca="1" si="91"/>
        <v>0</v>
      </c>
      <c r="H1454" s="21">
        <v>1439</v>
      </c>
      <c r="I1454" s="107">
        <v>0.66770450512164303</v>
      </c>
      <c r="J1454" s="108">
        <v>1.2308218784713755E-3</v>
      </c>
      <c r="K1454" s="108"/>
      <c r="L1454" s="108">
        <v>4.0599999999999997E-2</v>
      </c>
      <c r="O1454" s="105"/>
    </row>
    <row r="1455" spans="2:15" x14ac:dyDescent="0.2">
      <c r="B1455" s="1">
        <v>1440</v>
      </c>
      <c r="C1455" s="106">
        <f t="shared" ca="1" si="88"/>
        <v>-0.4866391808551776</v>
      </c>
      <c r="D1455" s="106">
        <f t="shared" ca="1" si="89"/>
        <v>0.63335773336570622</v>
      </c>
      <c r="E1455" s="106">
        <f t="shared" ca="1" si="90"/>
        <v>0</v>
      </c>
      <c r="F1455" s="21">
        <f t="shared" ca="1" si="91"/>
        <v>0</v>
      </c>
      <c r="H1455" s="21">
        <v>1440</v>
      </c>
      <c r="I1455" s="107">
        <v>0.66779047470287034</v>
      </c>
      <c r="J1455" s="108">
        <v>1.3996134641847645E-3</v>
      </c>
      <c r="K1455" s="108"/>
      <c r="L1455" s="108">
        <v>4.2999999999999997E-2</v>
      </c>
      <c r="O1455" s="105"/>
    </row>
    <row r="1456" spans="2:15" x14ac:dyDescent="0.2">
      <c r="B1456" s="1">
        <v>1441</v>
      </c>
      <c r="C1456" s="106">
        <f t="shared" ca="1" si="88"/>
        <v>-0.65526288460402449</v>
      </c>
      <c r="D1456" s="106">
        <f t="shared" ca="1" si="89"/>
        <v>0.62291005627701157</v>
      </c>
      <c r="E1456" s="106">
        <f t="shared" ca="1" si="90"/>
        <v>0</v>
      </c>
      <c r="F1456" s="21">
        <f t="shared" ca="1" si="91"/>
        <v>0</v>
      </c>
      <c r="H1456" s="21">
        <v>1441</v>
      </c>
      <c r="I1456" s="107">
        <v>0.66752886857074778</v>
      </c>
      <c r="J1456" s="108">
        <v>1.1604732415503888E-3</v>
      </c>
      <c r="K1456" s="108"/>
      <c r="L1456" s="108">
        <v>3.5999999999999997E-2</v>
      </c>
      <c r="O1456" s="105"/>
    </row>
    <row r="1457" spans="2:15" x14ac:dyDescent="0.2">
      <c r="B1457" s="1">
        <v>1442</v>
      </c>
      <c r="C1457" s="106">
        <f t="shared" ca="1" si="88"/>
        <v>-1.2362914429844123</v>
      </c>
      <c r="D1457" s="106">
        <f t="shared" ca="1" si="89"/>
        <v>0.58821275407371776</v>
      </c>
      <c r="E1457" s="106">
        <f t="shared" ca="1" si="90"/>
        <v>0</v>
      </c>
      <c r="F1457" s="21">
        <f t="shared" ca="1" si="91"/>
        <v>0</v>
      </c>
      <c r="H1457" s="21">
        <v>1442</v>
      </c>
      <c r="I1457" s="107">
        <v>0.66762419089443115</v>
      </c>
      <c r="J1457" s="108">
        <v>1.2293082144634465E-3</v>
      </c>
      <c r="K1457" s="108"/>
      <c r="L1457" s="108">
        <v>3.7199999999999997E-2</v>
      </c>
      <c r="O1457" s="105"/>
    </row>
    <row r="1458" spans="2:15" x14ac:dyDescent="0.2">
      <c r="B1458" s="1">
        <v>1443</v>
      </c>
      <c r="C1458" s="106">
        <f t="shared" ca="1" si="88"/>
        <v>-1.2719004444069837</v>
      </c>
      <c r="D1458" s="106">
        <f t="shared" ca="1" si="89"/>
        <v>0.58615026991261787</v>
      </c>
      <c r="E1458" s="106">
        <f t="shared" ca="1" si="90"/>
        <v>0</v>
      </c>
      <c r="F1458" s="21">
        <f t="shared" ca="1" si="91"/>
        <v>0</v>
      </c>
      <c r="H1458" s="21">
        <v>1443</v>
      </c>
      <c r="I1458" s="107">
        <v>0.66785445492435058</v>
      </c>
      <c r="J1458" s="108">
        <v>1.6371302903962694E-3</v>
      </c>
      <c r="K1458" s="108"/>
      <c r="L1458" s="108">
        <v>5.0799999999999998E-2</v>
      </c>
      <c r="O1458" s="105"/>
    </row>
    <row r="1459" spans="2:15" x14ac:dyDescent="0.2">
      <c r="B1459" s="1">
        <v>1444</v>
      </c>
      <c r="C1459" s="106">
        <f t="shared" ca="1" si="88"/>
        <v>-0.80318305713653815</v>
      </c>
      <c r="D1459" s="106">
        <f t="shared" ca="1" si="89"/>
        <v>0.61388713650988913</v>
      </c>
      <c r="E1459" s="106">
        <f t="shared" ca="1" si="90"/>
        <v>0</v>
      </c>
      <c r="F1459" s="21">
        <f t="shared" ca="1" si="91"/>
        <v>0</v>
      </c>
      <c r="H1459" s="21">
        <v>1444</v>
      </c>
      <c r="I1459" s="107">
        <v>0.66786222356218428</v>
      </c>
      <c r="J1459" s="108">
        <v>1.4327935353460849E-3</v>
      </c>
      <c r="K1459" s="108"/>
      <c r="L1459" s="108">
        <v>4.2799999999999998E-2</v>
      </c>
      <c r="O1459" s="105"/>
    </row>
    <row r="1460" spans="2:15" x14ac:dyDescent="0.2">
      <c r="B1460" s="1">
        <v>1445</v>
      </c>
      <c r="C1460" s="106">
        <f t="shared" ca="1" si="88"/>
        <v>1.0609581527322209</v>
      </c>
      <c r="D1460" s="106">
        <f t="shared" ca="1" si="89"/>
        <v>0.73781451243702811</v>
      </c>
      <c r="E1460" s="106">
        <f t="shared" ca="1" si="90"/>
        <v>0</v>
      </c>
      <c r="F1460" s="21">
        <f t="shared" ca="1" si="91"/>
        <v>0</v>
      </c>
      <c r="H1460" s="21">
        <v>1445</v>
      </c>
      <c r="I1460" s="107">
        <v>0.66780887197287364</v>
      </c>
      <c r="J1460" s="108">
        <v>1.3843980197520438E-3</v>
      </c>
      <c r="K1460" s="108"/>
      <c r="L1460" s="108">
        <v>4.6600000000000003E-2</v>
      </c>
      <c r="O1460" s="105"/>
    </row>
    <row r="1461" spans="2:15" x14ac:dyDescent="0.2">
      <c r="B1461" s="1">
        <v>1446</v>
      </c>
      <c r="C1461" s="106">
        <f t="shared" ca="1" si="88"/>
        <v>2.0137211635326633</v>
      </c>
      <c r="D1461" s="106">
        <f t="shared" ca="1" si="89"/>
        <v>0.81051857703432617</v>
      </c>
      <c r="E1461" s="106">
        <f t="shared" ca="1" si="90"/>
        <v>2.2318577034326159E-2</v>
      </c>
      <c r="F1461" s="21">
        <f t="shared" ca="1" si="91"/>
        <v>1</v>
      </c>
      <c r="H1461" s="21">
        <v>1446</v>
      </c>
      <c r="I1461" s="107">
        <v>0.66778317276051813</v>
      </c>
      <c r="J1461" s="108">
        <v>1.5204959055984868E-3</v>
      </c>
      <c r="K1461" s="108"/>
      <c r="L1461" s="108">
        <v>4.1200000000000001E-2</v>
      </c>
      <c r="O1461" s="105"/>
    </row>
    <row r="1462" spans="2:15" x14ac:dyDescent="0.2">
      <c r="B1462" s="1">
        <v>1447</v>
      </c>
      <c r="C1462" s="106">
        <f t="shared" ca="1" si="88"/>
        <v>0.3786251532971277</v>
      </c>
      <c r="D1462" s="106">
        <f t="shared" ca="1" si="89"/>
        <v>0.68978932381864366</v>
      </c>
      <c r="E1462" s="106">
        <f t="shared" ca="1" si="90"/>
        <v>0</v>
      </c>
      <c r="F1462" s="21">
        <f t="shared" ca="1" si="91"/>
        <v>0</v>
      </c>
      <c r="H1462" s="21">
        <v>1447</v>
      </c>
      <c r="I1462" s="107">
        <v>0.66763512115747048</v>
      </c>
      <c r="J1462" s="108">
        <v>1.2192548615025348E-3</v>
      </c>
      <c r="K1462" s="108"/>
      <c r="L1462" s="108">
        <v>3.9E-2</v>
      </c>
      <c r="O1462" s="105"/>
    </row>
    <row r="1463" spans="2:15" x14ac:dyDescent="0.2">
      <c r="B1463" s="1">
        <v>1448</v>
      </c>
      <c r="C1463" s="106">
        <f t="shared" ca="1" si="88"/>
        <v>1.1823291152838542</v>
      </c>
      <c r="D1463" s="106">
        <f t="shared" ca="1" si="89"/>
        <v>0.74670085830413779</v>
      </c>
      <c r="E1463" s="106">
        <f t="shared" ca="1" si="90"/>
        <v>0</v>
      </c>
      <c r="F1463" s="21">
        <f t="shared" ca="1" si="91"/>
        <v>0</v>
      </c>
      <c r="H1463" s="21">
        <v>1448</v>
      </c>
      <c r="I1463" s="107">
        <v>0.66779725205396001</v>
      </c>
      <c r="J1463" s="108">
        <v>1.478544729969693E-3</v>
      </c>
      <c r="K1463" s="108"/>
      <c r="L1463" s="108">
        <v>4.4200000000000003E-2</v>
      </c>
      <c r="O1463" s="105"/>
    </row>
    <row r="1464" spans="2:15" x14ac:dyDescent="0.2">
      <c r="B1464" s="1">
        <v>1449</v>
      </c>
      <c r="C1464" s="106">
        <f t="shared" ca="1" si="88"/>
        <v>-9.7758432158014247E-2</v>
      </c>
      <c r="D1464" s="106">
        <f t="shared" ca="1" si="89"/>
        <v>0.65812515257933213</v>
      </c>
      <c r="E1464" s="106">
        <f t="shared" ca="1" si="90"/>
        <v>0</v>
      </c>
      <c r="F1464" s="21">
        <f t="shared" ca="1" si="91"/>
        <v>0</v>
      </c>
      <c r="H1464" s="21">
        <v>1449</v>
      </c>
      <c r="I1464" s="107">
        <v>0.66775270155454158</v>
      </c>
      <c r="J1464" s="108">
        <v>1.3497190627716107E-3</v>
      </c>
      <c r="K1464" s="108"/>
      <c r="L1464" s="108">
        <v>4.2599999999999999E-2</v>
      </c>
      <c r="O1464" s="105"/>
    </row>
    <row r="1465" spans="2:15" x14ac:dyDescent="0.2">
      <c r="B1465" s="1">
        <v>1450</v>
      </c>
      <c r="C1465" s="106">
        <f t="shared" ca="1" si="88"/>
        <v>0.35826218690552325</v>
      </c>
      <c r="D1465" s="106">
        <f t="shared" ca="1" si="89"/>
        <v>0.68840518286706676</v>
      </c>
      <c r="E1465" s="106">
        <f t="shared" ca="1" si="90"/>
        <v>0</v>
      </c>
      <c r="F1465" s="21">
        <f t="shared" ca="1" si="91"/>
        <v>0</v>
      </c>
      <c r="H1465" s="21">
        <v>1450</v>
      </c>
      <c r="I1465" s="107">
        <v>0.66769270142946924</v>
      </c>
      <c r="J1465" s="108">
        <v>1.3758691563934727E-3</v>
      </c>
      <c r="K1465" s="108"/>
      <c r="L1465" s="108">
        <v>3.9E-2</v>
      </c>
      <c r="O1465" s="105"/>
    </row>
    <row r="1466" spans="2:15" x14ac:dyDescent="0.2">
      <c r="B1466" s="1">
        <v>1451</v>
      </c>
      <c r="C1466" s="106">
        <f t="shared" ca="1" si="88"/>
        <v>0.77582233922352939</v>
      </c>
      <c r="D1466" s="106">
        <f t="shared" ca="1" si="89"/>
        <v>0.71735173142402375</v>
      </c>
      <c r="E1466" s="106">
        <f t="shared" ca="1" si="90"/>
        <v>0</v>
      </c>
      <c r="F1466" s="21">
        <f t="shared" ca="1" si="91"/>
        <v>0</v>
      </c>
      <c r="H1466" s="21">
        <v>1451</v>
      </c>
      <c r="I1466" s="107">
        <v>0.6676717168752121</v>
      </c>
      <c r="J1466" s="108">
        <v>1.4089786152301316E-3</v>
      </c>
      <c r="K1466" s="108"/>
      <c r="L1466" s="108">
        <v>3.9399999999999998E-2</v>
      </c>
      <c r="O1466" s="105"/>
    </row>
    <row r="1467" spans="2:15" x14ac:dyDescent="0.2">
      <c r="B1467" s="1">
        <v>1452</v>
      </c>
      <c r="C1467" s="106">
        <f t="shared" ca="1" si="88"/>
        <v>-0.74567799822839609</v>
      </c>
      <c r="D1467" s="106">
        <f t="shared" ca="1" si="89"/>
        <v>0.61737922957640956</v>
      </c>
      <c r="E1467" s="106">
        <f t="shared" ca="1" si="90"/>
        <v>0</v>
      </c>
      <c r="F1467" s="21">
        <f t="shared" ca="1" si="91"/>
        <v>0</v>
      </c>
      <c r="H1467" s="21">
        <v>1452</v>
      </c>
      <c r="I1467" s="107">
        <v>0.66788243796241431</v>
      </c>
      <c r="J1467" s="108">
        <v>1.4924341938159754E-3</v>
      </c>
      <c r="K1467" s="108"/>
      <c r="L1467" s="108">
        <v>4.36E-2</v>
      </c>
      <c r="O1467" s="105"/>
    </row>
    <row r="1468" spans="2:15" x14ac:dyDescent="0.2">
      <c r="B1468" s="1">
        <v>1453</v>
      </c>
      <c r="C1468" s="106">
        <f t="shared" ca="1" si="88"/>
        <v>0.15190287680825651</v>
      </c>
      <c r="D1468" s="106">
        <f t="shared" ca="1" si="89"/>
        <v>0.67453396974702806</v>
      </c>
      <c r="E1468" s="106">
        <f t="shared" ca="1" si="90"/>
        <v>0</v>
      </c>
      <c r="F1468" s="21">
        <f t="shared" ca="1" si="91"/>
        <v>0</v>
      </c>
      <c r="H1468" s="21">
        <v>1453</v>
      </c>
      <c r="I1468" s="107">
        <v>0.66770994263390315</v>
      </c>
      <c r="J1468" s="108">
        <v>1.409374011994429E-3</v>
      </c>
      <c r="K1468" s="108"/>
      <c r="L1468" s="108">
        <v>4.3200000000000002E-2</v>
      </c>
      <c r="O1468" s="105"/>
    </row>
    <row r="1469" spans="2:15" x14ac:dyDescent="0.2">
      <c r="B1469" s="1">
        <v>1454</v>
      </c>
      <c r="C1469" s="106">
        <f t="shared" ca="1" si="88"/>
        <v>-1.4765468659486018</v>
      </c>
      <c r="D1469" s="106">
        <f t="shared" ca="1" si="89"/>
        <v>0.57443652032587866</v>
      </c>
      <c r="E1469" s="106">
        <f t="shared" ca="1" si="90"/>
        <v>0</v>
      </c>
      <c r="F1469" s="21">
        <f t="shared" ca="1" si="91"/>
        <v>0</v>
      </c>
      <c r="H1469" s="21">
        <v>1454</v>
      </c>
      <c r="I1469" s="107">
        <v>0.66760337067226461</v>
      </c>
      <c r="J1469" s="108">
        <v>1.1633618770619887E-3</v>
      </c>
      <c r="K1469" s="108"/>
      <c r="L1469" s="108">
        <v>3.6600000000000001E-2</v>
      </c>
      <c r="O1469" s="105"/>
    </row>
    <row r="1470" spans="2:15" x14ac:dyDescent="0.2">
      <c r="B1470" s="1">
        <v>1455</v>
      </c>
      <c r="C1470" s="106">
        <f t="shared" ca="1" si="88"/>
        <v>-1.3945497113775274</v>
      </c>
      <c r="D1470" s="106">
        <f t="shared" ca="1" si="89"/>
        <v>0.57910158063917427</v>
      </c>
      <c r="E1470" s="106">
        <f t="shared" ca="1" si="90"/>
        <v>0</v>
      </c>
      <c r="F1470" s="21">
        <f t="shared" ca="1" si="91"/>
        <v>0</v>
      </c>
      <c r="H1470" s="21">
        <v>1455</v>
      </c>
      <c r="I1470" s="107">
        <v>0.66769122434431061</v>
      </c>
      <c r="J1470" s="108">
        <v>1.337593437695814E-3</v>
      </c>
      <c r="K1470" s="108"/>
      <c r="L1470" s="108">
        <v>4.0399999999999998E-2</v>
      </c>
      <c r="O1470" s="105"/>
    </row>
    <row r="1471" spans="2:15" x14ac:dyDescent="0.2">
      <c r="B1471" s="1">
        <v>1456</v>
      </c>
      <c r="C1471" s="106">
        <f t="shared" ca="1" si="88"/>
        <v>1.6444473341447561</v>
      </c>
      <c r="D1471" s="106">
        <f t="shared" ca="1" si="89"/>
        <v>0.78152614271556153</v>
      </c>
      <c r="E1471" s="106">
        <f t="shared" ca="1" si="90"/>
        <v>0</v>
      </c>
      <c r="F1471" s="21">
        <f t="shared" ca="1" si="91"/>
        <v>0</v>
      </c>
      <c r="H1471" s="21">
        <v>1456</v>
      </c>
      <c r="I1471" s="107">
        <v>0.66776489582661491</v>
      </c>
      <c r="J1471" s="108">
        <v>1.3310637824178197E-3</v>
      </c>
      <c r="K1471" s="108"/>
      <c r="L1471" s="108">
        <v>3.9E-2</v>
      </c>
      <c r="O1471" s="105"/>
    </row>
    <row r="1472" spans="2:15" x14ac:dyDescent="0.2">
      <c r="B1472" s="1">
        <v>1457</v>
      </c>
      <c r="C1472" s="106">
        <f t="shared" ca="1" si="88"/>
        <v>0.44621495539656358</v>
      </c>
      <c r="D1472" s="106">
        <f t="shared" ca="1" si="89"/>
        <v>0.69440361610535917</v>
      </c>
      <c r="E1472" s="106">
        <f t="shared" ca="1" si="90"/>
        <v>0</v>
      </c>
      <c r="F1472" s="21">
        <f t="shared" ca="1" si="91"/>
        <v>0</v>
      </c>
      <c r="H1472" s="21">
        <v>1457</v>
      </c>
      <c r="I1472" s="107">
        <v>0.66781603802795075</v>
      </c>
      <c r="J1472" s="108">
        <v>1.4978254473212776E-3</v>
      </c>
      <c r="K1472" s="108"/>
      <c r="L1472" s="108">
        <v>4.3799999999999999E-2</v>
      </c>
      <c r="O1472" s="105"/>
    </row>
    <row r="1473" spans="2:15" x14ac:dyDescent="0.2">
      <c r="B1473" s="1">
        <v>1458</v>
      </c>
      <c r="C1473" s="106">
        <f t="shared" ca="1" si="88"/>
        <v>0.27163758040033786</v>
      </c>
      <c r="D1473" s="106">
        <f t="shared" ca="1" si="89"/>
        <v>0.68254798149116624</v>
      </c>
      <c r="E1473" s="106">
        <f t="shared" ca="1" si="90"/>
        <v>0</v>
      </c>
      <c r="F1473" s="21">
        <f t="shared" ca="1" si="91"/>
        <v>0</v>
      </c>
      <c r="H1473" s="21">
        <v>1458</v>
      </c>
      <c r="I1473" s="107">
        <v>0.66774993516286985</v>
      </c>
      <c r="J1473" s="108">
        <v>1.3553403819247273E-3</v>
      </c>
      <c r="K1473" s="108"/>
      <c r="L1473" s="108">
        <v>4.1399999999999999E-2</v>
      </c>
      <c r="O1473" s="105"/>
    </row>
    <row r="1474" spans="2:15" x14ac:dyDescent="0.2">
      <c r="B1474" s="1">
        <v>1459</v>
      </c>
      <c r="C1474" s="106">
        <f t="shared" ca="1" si="88"/>
        <v>1.3377731606146042</v>
      </c>
      <c r="D1474" s="106">
        <f t="shared" ca="1" si="89"/>
        <v>0.75823840466377967</v>
      </c>
      <c r="E1474" s="106">
        <f t="shared" ca="1" si="90"/>
        <v>0</v>
      </c>
      <c r="F1474" s="21">
        <f t="shared" ca="1" si="91"/>
        <v>0</v>
      </c>
      <c r="H1474" s="21">
        <v>1459</v>
      </c>
      <c r="I1474" s="107">
        <v>0.6677640352567179</v>
      </c>
      <c r="J1474" s="108">
        <v>1.3701625723359519E-3</v>
      </c>
      <c r="K1474" s="108"/>
      <c r="L1474" s="108">
        <v>4.2999999999999997E-2</v>
      </c>
      <c r="O1474" s="105"/>
    </row>
    <row r="1475" spans="2:15" x14ac:dyDescent="0.2">
      <c r="B1475" s="1">
        <v>1460</v>
      </c>
      <c r="C1475" s="106">
        <f t="shared" ca="1" si="88"/>
        <v>0.852867045393226</v>
      </c>
      <c r="D1475" s="106">
        <f t="shared" ca="1" si="89"/>
        <v>0.72282422390760848</v>
      </c>
      <c r="E1475" s="106">
        <f t="shared" ca="1" si="90"/>
        <v>0</v>
      </c>
      <c r="F1475" s="21">
        <f t="shared" ca="1" si="91"/>
        <v>0</v>
      </c>
      <c r="H1475" s="21">
        <v>1460</v>
      </c>
      <c r="I1475" s="107">
        <v>0.66774669436340095</v>
      </c>
      <c r="J1475" s="108">
        <v>1.4271623887618817E-3</v>
      </c>
      <c r="K1475" s="108"/>
      <c r="L1475" s="108">
        <v>3.9800000000000002E-2</v>
      </c>
      <c r="O1475" s="105"/>
    </row>
    <row r="1476" spans="2:15" x14ac:dyDescent="0.2">
      <c r="B1476" s="1">
        <v>1461</v>
      </c>
      <c r="C1476" s="106">
        <f t="shared" ca="1" si="88"/>
        <v>-0.70431308157243988</v>
      </c>
      <c r="D1476" s="106">
        <f t="shared" ca="1" si="89"/>
        <v>0.61990346230730686</v>
      </c>
      <c r="E1476" s="106">
        <f t="shared" ca="1" si="90"/>
        <v>0</v>
      </c>
      <c r="F1476" s="21">
        <f t="shared" ca="1" si="91"/>
        <v>0</v>
      </c>
      <c r="H1476" s="21">
        <v>1461</v>
      </c>
      <c r="I1476" s="107">
        <v>0.66770893360554351</v>
      </c>
      <c r="J1476" s="108">
        <v>1.3661183575466086E-3</v>
      </c>
      <c r="K1476" s="108"/>
      <c r="L1476" s="108">
        <v>4.1200000000000001E-2</v>
      </c>
      <c r="O1476" s="105"/>
    </row>
    <row r="1477" spans="2:15" x14ac:dyDescent="0.2">
      <c r="B1477" s="1">
        <v>1462</v>
      </c>
      <c r="C1477" s="106">
        <f t="shared" ca="1" si="88"/>
        <v>-0.37529859790934023</v>
      </c>
      <c r="D1477" s="106">
        <f t="shared" ca="1" si="89"/>
        <v>0.64035210224207506</v>
      </c>
      <c r="E1477" s="106">
        <f t="shared" ca="1" si="90"/>
        <v>0</v>
      </c>
      <c r="F1477" s="21">
        <f t="shared" ca="1" si="91"/>
        <v>0</v>
      </c>
      <c r="H1477" s="21">
        <v>1462</v>
      </c>
      <c r="I1477" s="107">
        <v>0.66776313577918678</v>
      </c>
      <c r="J1477" s="108">
        <v>1.3963233329387344E-3</v>
      </c>
      <c r="K1477" s="108"/>
      <c r="L1477" s="108">
        <v>4.3200000000000002E-2</v>
      </c>
      <c r="O1477" s="105"/>
    </row>
    <row r="1478" spans="2:15" x14ac:dyDescent="0.2">
      <c r="B1478" s="1">
        <v>1463</v>
      </c>
      <c r="C1478" s="106">
        <f t="shared" ca="1" si="88"/>
        <v>0.25839720662513654</v>
      </c>
      <c r="D1478" s="106">
        <f t="shared" ca="1" si="89"/>
        <v>0.68165712292812086</v>
      </c>
      <c r="E1478" s="106">
        <f t="shared" ca="1" si="90"/>
        <v>0</v>
      </c>
      <c r="F1478" s="21">
        <f t="shared" ca="1" si="91"/>
        <v>0</v>
      </c>
      <c r="H1478" s="21">
        <v>1463</v>
      </c>
      <c r="I1478" s="107">
        <v>0.66779134913663862</v>
      </c>
      <c r="J1478" s="108">
        <v>1.5340358239988845E-3</v>
      </c>
      <c r="K1478" s="108"/>
      <c r="L1478" s="108">
        <v>4.6199999999999998E-2</v>
      </c>
      <c r="O1478" s="105"/>
    </row>
    <row r="1479" spans="2:15" x14ac:dyDescent="0.2">
      <c r="B1479" s="1">
        <v>1464</v>
      </c>
      <c r="C1479" s="106">
        <f t="shared" ca="1" si="88"/>
        <v>1.2350619753085026</v>
      </c>
      <c r="D1479" s="106">
        <f t="shared" ca="1" si="89"/>
        <v>0.75059504607699379</v>
      </c>
      <c r="E1479" s="106">
        <f t="shared" ca="1" si="90"/>
        <v>0</v>
      </c>
      <c r="F1479" s="21">
        <f t="shared" ca="1" si="91"/>
        <v>0</v>
      </c>
      <c r="H1479" s="21">
        <v>1464</v>
      </c>
      <c r="I1479" s="107">
        <v>0.66773861005879354</v>
      </c>
      <c r="J1479" s="108">
        <v>1.3525473474333949E-3</v>
      </c>
      <c r="K1479" s="108"/>
      <c r="L1479" s="108">
        <v>3.8399999999999997E-2</v>
      </c>
      <c r="O1479" s="105"/>
    </row>
    <row r="1480" spans="2:15" x14ac:dyDescent="0.2">
      <c r="B1480" s="1">
        <v>1465</v>
      </c>
      <c r="C1480" s="106">
        <f t="shared" ca="1" si="88"/>
        <v>0.13997094371150395</v>
      </c>
      <c r="D1480" s="106">
        <f t="shared" ca="1" si="89"/>
        <v>0.67374052263682549</v>
      </c>
      <c r="E1480" s="106">
        <f t="shared" ca="1" si="90"/>
        <v>0</v>
      </c>
      <c r="F1480" s="21">
        <f t="shared" ca="1" si="91"/>
        <v>0</v>
      </c>
      <c r="H1480" s="21">
        <v>1465</v>
      </c>
      <c r="I1480" s="107">
        <v>0.66783106962470495</v>
      </c>
      <c r="J1480" s="108">
        <v>1.4486615068382569E-3</v>
      </c>
      <c r="K1480" s="108"/>
      <c r="L1480" s="108">
        <v>4.58E-2</v>
      </c>
      <c r="O1480" s="105"/>
    </row>
    <row r="1481" spans="2:15" x14ac:dyDescent="0.2">
      <c r="B1481" s="1">
        <v>1466</v>
      </c>
      <c r="C1481" s="106">
        <f t="shared" ca="1" si="88"/>
        <v>-3.6878478849905201E-2</v>
      </c>
      <c r="D1481" s="106">
        <f t="shared" ca="1" si="89"/>
        <v>0.66208926883885866</v>
      </c>
      <c r="E1481" s="106">
        <f t="shared" ca="1" si="90"/>
        <v>0</v>
      </c>
      <c r="F1481" s="21">
        <f t="shared" ca="1" si="91"/>
        <v>0</v>
      </c>
      <c r="H1481" s="21">
        <v>1466</v>
      </c>
      <c r="I1481" s="107">
        <v>0.66790800719129706</v>
      </c>
      <c r="J1481" s="108">
        <v>1.4904420370724729E-3</v>
      </c>
      <c r="K1481" s="108"/>
      <c r="L1481" s="108">
        <v>4.4600000000000001E-2</v>
      </c>
      <c r="O1481" s="105"/>
    </row>
    <row r="1482" spans="2:15" x14ac:dyDescent="0.2">
      <c r="B1482" s="1">
        <v>1467</v>
      </c>
      <c r="C1482" s="106">
        <f t="shared" ca="1" si="88"/>
        <v>-1.3449782478536045</v>
      </c>
      <c r="D1482" s="106">
        <f t="shared" ca="1" si="89"/>
        <v>0.58194020306918126</v>
      </c>
      <c r="E1482" s="106">
        <f t="shared" ca="1" si="90"/>
        <v>0</v>
      </c>
      <c r="F1482" s="21">
        <f t="shared" ca="1" si="91"/>
        <v>0</v>
      </c>
      <c r="H1482" s="21">
        <v>1467</v>
      </c>
      <c r="I1482" s="107">
        <v>0.66772422641205575</v>
      </c>
      <c r="J1482" s="108">
        <v>1.3799458615225615E-3</v>
      </c>
      <c r="K1482" s="108"/>
      <c r="L1482" s="108">
        <v>4.2000000000000003E-2</v>
      </c>
      <c r="O1482" s="105"/>
    </row>
    <row r="1483" spans="2:15" x14ac:dyDescent="0.2">
      <c r="B1483" s="1">
        <v>1468</v>
      </c>
      <c r="C1483" s="106">
        <f t="shared" ca="1" si="88"/>
        <v>6.033197502088427E-2</v>
      </c>
      <c r="D1483" s="106">
        <f t="shared" ca="1" si="89"/>
        <v>0.66846855820339068</v>
      </c>
      <c r="E1483" s="106">
        <f t="shared" ca="1" si="90"/>
        <v>0</v>
      </c>
      <c r="F1483" s="21">
        <f t="shared" ca="1" si="91"/>
        <v>0</v>
      </c>
      <c r="H1483" s="21">
        <v>1468</v>
      </c>
      <c r="I1483" s="107">
        <v>0.66779954166929512</v>
      </c>
      <c r="J1483" s="108">
        <v>1.5336800498758553E-3</v>
      </c>
      <c r="K1483" s="108"/>
      <c r="L1483" s="108">
        <v>4.6800000000000001E-2</v>
      </c>
      <c r="O1483" s="105"/>
    </row>
    <row r="1484" spans="2:15" x14ac:dyDescent="0.2">
      <c r="B1484" s="1">
        <v>1469</v>
      </c>
      <c r="C1484" s="106">
        <f t="shared" ca="1" si="88"/>
        <v>0.37379297327988725</v>
      </c>
      <c r="D1484" s="106">
        <f t="shared" ca="1" si="89"/>
        <v>0.68946061226100552</v>
      </c>
      <c r="E1484" s="106">
        <f t="shared" ca="1" si="90"/>
        <v>0</v>
      </c>
      <c r="F1484" s="21">
        <f t="shared" ca="1" si="91"/>
        <v>0</v>
      </c>
      <c r="H1484" s="21">
        <v>1469</v>
      </c>
      <c r="I1484" s="107">
        <v>0.6676066312155472</v>
      </c>
      <c r="J1484" s="108">
        <v>1.2896579918460476E-3</v>
      </c>
      <c r="K1484" s="108"/>
      <c r="L1484" s="108">
        <v>4.1200000000000001E-2</v>
      </c>
      <c r="O1484" s="105"/>
    </row>
    <row r="1485" spans="2:15" x14ac:dyDescent="0.2">
      <c r="B1485" s="1">
        <v>1470</v>
      </c>
      <c r="C1485" s="106">
        <f t="shared" ca="1" si="88"/>
        <v>0.63469544380686749</v>
      </c>
      <c r="D1485" s="106">
        <f t="shared" ca="1" si="89"/>
        <v>0.70743470543129194</v>
      </c>
      <c r="E1485" s="106">
        <f t="shared" ca="1" si="90"/>
        <v>0</v>
      </c>
      <c r="F1485" s="21">
        <f t="shared" ca="1" si="91"/>
        <v>0</v>
      </c>
      <c r="H1485" s="21">
        <v>1470</v>
      </c>
      <c r="I1485" s="107">
        <v>0.66777179409994458</v>
      </c>
      <c r="J1485" s="108">
        <v>1.4568890850786866E-3</v>
      </c>
      <c r="K1485" s="108"/>
      <c r="L1485" s="108">
        <v>4.02E-2</v>
      </c>
      <c r="O1485" s="105"/>
    </row>
    <row r="1486" spans="2:15" x14ac:dyDescent="0.2">
      <c r="B1486" s="1">
        <v>1471</v>
      </c>
      <c r="C1486" s="106">
        <f t="shared" ca="1" si="88"/>
        <v>0.70544660026969663</v>
      </c>
      <c r="D1486" s="106">
        <f t="shared" ca="1" si="89"/>
        <v>0.7123891520635397</v>
      </c>
      <c r="E1486" s="106">
        <f t="shared" ca="1" si="90"/>
        <v>0</v>
      </c>
      <c r="F1486" s="21">
        <f t="shared" ca="1" si="91"/>
        <v>0</v>
      </c>
      <c r="H1486" s="21">
        <v>1471</v>
      </c>
      <c r="I1486" s="107">
        <v>0.66778055088825539</v>
      </c>
      <c r="J1486" s="108">
        <v>1.5248496571123129E-3</v>
      </c>
      <c r="K1486" s="108"/>
      <c r="L1486" s="108">
        <v>4.1799999999999997E-2</v>
      </c>
      <c r="O1486" s="105"/>
    </row>
    <row r="1487" spans="2:15" x14ac:dyDescent="0.2">
      <c r="B1487" s="1">
        <v>1472</v>
      </c>
      <c r="C1487" s="106">
        <f t="shared" ca="1" si="88"/>
        <v>0.44518215654893245</v>
      </c>
      <c r="D1487" s="106">
        <f t="shared" ca="1" si="89"/>
        <v>0.69433287619631645</v>
      </c>
      <c r="E1487" s="106">
        <f t="shared" ca="1" si="90"/>
        <v>0</v>
      </c>
      <c r="F1487" s="21">
        <f t="shared" ca="1" si="91"/>
        <v>0</v>
      </c>
      <c r="H1487" s="21">
        <v>1472</v>
      </c>
      <c r="I1487" s="107">
        <v>0.66770839952978567</v>
      </c>
      <c r="J1487" s="108">
        <v>1.3247115320940538E-3</v>
      </c>
      <c r="K1487" s="108"/>
      <c r="L1487" s="108">
        <v>3.6799999999999999E-2</v>
      </c>
      <c r="O1487" s="105"/>
    </row>
    <row r="1488" spans="2:15" x14ac:dyDescent="0.2">
      <c r="B1488" s="1">
        <v>1473</v>
      </c>
      <c r="C1488" s="106">
        <f t="shared" ref="C1488:C1551" ca="1" si="92">_xlfn.NORM.S.INV(RAND())</f>
        <v>-0.41558774793382169</v>
      </c>
      <c r="D1488" s="106">
        <f t="shared" ref="D1488:D1551" ca="1" si="93">S0*EXP((μ-0.5*σ*σ)*T+σ*SQRT(T)*$C1488)</f>
        <v>0.63781228100583598</v>
      </c>
      <c r="E1488" s="106">
        <f t="shared" ref="E1488:E1551" ca="1" si="94">MAX(0,CP*(D1488-K))</f>
        <v>0</v>
      </c>
      <c r="F1488" s="21">
        <f t="shared" ref="F1488:F1551" ca="1" si="95">(CP*(D1488-K)&gt;0)*1</f>
        <v>0</v>
      </c>
      <c r="H1488" s="21">
        <v>1473</v>
      </c>
      <c r="I1488" s="107">
        <v>0.66778077215471898</v>
      </c>
      <c r="J1488" s="108">
        <v>1.4652699325182028E-3</v>
      </c>
      <c r="K1488" s="108"/>
      <c r="L1488" s="108">
        <v>4.1599999999999998E-2</v>
      </c>
      <c r="O1488" s="105"/>
    </row>
    <row r="1489" spans="2:15" x14ac:dyDescent="0.2">
      <c r="B1489" s="1">
        <v>1474</v>
      </c>
      <c r="C1489" s="106">
        <f t="shared" ca="1" si="92"/>
        <v>0.13316757801331477</v>
      </c>
      <c r="D1489" s="106">
        <f t="shared" ca="1" si="93"/>
        <v>0.67328853176100978</v>
      </c>
      <c r="E1489" s="106">
        <f t="shared" ca="1" si="94"/>
        <v>0</v>
      </c>
      <c r="F1489" s="21">
        <f t="shared" ca="1" si="95"/>
        <v>0</v>
      </c>
      <c r="H1489" s="21">
        <v>1474</v>
      </c>
      <c r="I1489" s="107">
        <v>0.66779589463081734</v>
      </c>
      <c r="J1489" s="108">
        <v>1.3820756985133038E-3</v>
      </c>
      <c r="K1489" s="108"/>
      <c r="L1489" s="108">
        <v>4.4200000000000003E-2</v>
      </c>
      <c r="O1489" s="105"/>
    </row>
    <row r="1490" spans="2:15" x14ac:dyDescent="0.2">
      <c r="B1490" s="1">
        <v>1475</v>
      </c>
      <c r="C1490" s="106">
        <f t="shared" ca="1" si="92"/>
        <v>-1.0413760356148944</v>
      </c>
      <c r="D1490" s="106">
        <f t="shared" ca="1" si="93"/>
        <v>0.59963157401518752</v>
      </c>
      <c r="E1490" s="106">
        <f t="shared" ca="1" si="94"/>
        <v>0</v>
      </c>
      <c r="F1490" s="21">
        <f t="shared" ca="1" si="95"/>
        <v>0</v>
      </c>
      <c r="H1490" s="21">
        <v>1475</v>
      </c>
      <c r="I1490" s="107">
        <v>0.66768662006540536</v>
      </c>
      <c r="J1490" s="108">
        <v>1.3835796949976731E-3</v>
      </c>
      <c r="K1490" s="108"/>
      <c r="L1490" s="108">
        <v>4.1200000000000001E-2</v>
      </c>
      <c r="O1490" s="105"/>
    </row>
    <row r="1491" spans="2:15" x14ac:dyDescent="0.2">
      <c r="B1491" s="1">
        <v>1476</v>
      </c>
      <c r="C1491" s="106">
        <f t="shared" ca="1" si="92"/>
        <v>0.66720558241438943</v>
      </c>
      <c r="D1491" s="106">
        <f t="shared" ca="1" si="93"/>
        <v>0.70970697905207647</v>
      </c>
      <c r="E1491" s="106">
        <f t="shared" ca="1" si="94"/>
        <v>0</v>
      </c>
      <c r="F1491" s="21">
        <f t="shared" ca="1" si="95"/>
        <v>0</v>
      </c>
      <c r="H1491" s="21">
        <v>1476</v>
      </c>
      <c r="I1491" s="107">
        <v>0.66784735385902128</v>
      </c>
      <c r="J1491" s="108">
        <v>1.4831108026586333E-3</v>
      </c>
      <c r="K1491" s="108"/>
      <c r="L1491" s="108">
        <v>4.4600000000000001E-2</v>
      </c>
      <c r="O1491" s="105"/>
    </row>
    <row r="1492" spans="2:15" x14ac:dyDescent="0.2">
      <c r="B1492" s="1">
        <v>1477</v>
      </c>
      <c r="C1492" s="106">
        <f t="shared" ca="1" si="92"/>
        <v>2.0805441329882415</v>
      </c>
      <c r="D1492" s="106">
        <f t="shared" ca="1" si="93"/>
        <v>0.81587876177843222</v>
      </c>
      <c r="E1492" s="106">
        <f t="shared" ca="1" si="94"/>
        <v>2.7678761778432204E-2</v>
      </c>
      <c r="F1492" s="21">
        <f t="shared" ca="1" si="95"/>
        <v>1</v>
      </c>
      <c r="H1492" s="21">
        <v>1477</v>
      </c>
      <c r="I1492" s="107">
        <v>0.66787970852621048</v>
      </c>
      <c r="J1492" s="108">
        <v>1.5854479838444038E-3</v>
      </c>
      <c r="K1492" s="108"/>
      <c r="L1492" s="108">
        <v>4.5199999999999997E-2</v>
      </c>
      <c r="O1492" s="105"/>
    </row>
    <row r="1493" spans="2:15" x14ac:dyDescent="0.2">
      <c r="B1493" s="1">
        <v>1478</v>
      </c>
      <c r="C1493" s="106">
        <f t="shared" ca="1" si="92"/>
        <v>1.3416546358397181</v>
      </c>
      <c r="D1493" s="106">
        <f t="shared" ca="1" si="93"/>
        <v>0.75852876991327667</v>
      </c>
      <c r="E1493" s="106">
        <f t="shared" ca="1" si="94"/>
        <v>0</v>
      </c>
      <c r="F1493" s="21">
        <f t="shared" ca="1" si="95"/>
        <v>0</v>
      </c>
      <c r="H1493" s="21">
        <v>1478</v>
      </c>
      <c r="I1493" s="107">
        <v>0.66795893354745639</v>
      </c>
      <c r="J1493" s="108">
        <v>1.6697602283275376E-3</v>
      </c>
      <c r="K1493" s="108"/>
      <c r="L1493" s="108">
        <v>4.82E-2</v>
      </c>
      <c r="O1493" s="105"/>
    </row>
    <row r="1494" spans="2:15" x14ac:dyDescent="0.2">
      <c r="B1494" s="1">
        <v>1479</v>
      </c>
      <c r="C1494" s="106">
        <f t="shared" ca="1" si="92"/>
        <v>1.9005471971898402</v>
      </c>
      <c r="D1494" s="106">
        <f t="shared" ca="1" si="93"/>
        <v>0.80152056614713652</v>
      </c>
      <c r="E1494" s="106">
        <f t="shared" ca="1" si="94"/>
        <v>1.3320566147136503E-2</v>
      </c>
      <c r="F1494" s="21">
        <f t="shared" ca="1" si="95"/>
        <v>1</v>
      </c>
      <c r="H1494" s="21">
        <v>1479</v>
      </c>
      <c r="I1494" s="107">
        <v>0.66774238139218356</v>
      </c>
      <c r="J1494" s="108">
        <v>1.4556741690586387E-3</v>
      </c>
      <c r="K1494" s="108"/>
      <c r="L1494" s="108">
        <v>4.1799999999999997E-2</v>
      </c>
      <c r="O1494" s="105"/>
    </row>
    <row r="1495" spans="2:15" x14ac:dyDescent="0.2">
      <c r="B1495" s="1">
        <v>1480</v>
      </c>
      <c r="C1495" s="106">
        <f t="shared" ca="1" si="92"/>
        <v>1.7630433188977528</v>
      </c>
      <c r="D1495" s="106">
        <f t="shared" ca="1" si="93"/>
        <v>0.79072248574265547</v>
      </c>
      <c r="E1495" s="106">
        <f t="shared" ca="1" si="94"/>
        <v>2.5224857426554559E-3</v>
      </c>
      <c r="F1495" s="21">
        <f t="shared" ca="1" si="95"/>
        <v>1</v>
      </c>
      <c r="H1495" s="21">
        <v>1480</v>
      </c>
      <c r="I1495" s="107">
        <v>0.66781927507657124</v>
      </c>
      <c r="J1495" s="108">
        <v>1.5217260686434878E-3</v>
      </c>
      <c r="K1495" s="108"/>
      <c r="L1495" s="108">
        <v>4.3200000000000002E-2</v>
      </c>
      <c r="O1495" s="105"/>
    </row>
    <row r="1496" spans="2:15" x14ac:dyDescent="0.2">
      <c r="B1496" s="1">
        <v>1481</v>
      </c>
      <c r="C1496" s="106">
        <f t="shared" ca="1" si="92"/>
        <v>0.83153984722835206</v>
      </c>
      <c r="D1496" s="106">
        <f t="shared" ca="1" si="93"/>
        <v>0.72130518582588532</v>
      </c>
      <c r="E1496" s="106">
        <f t="shared" ca="1" si="94"/>
        <v>0</v>
      </c>
      <c r="F1496" s="21">
        <f t="shared" ca="1" si="95"/>
        <v>0</v>
      </c>
      <c r="H1496" s="21">
        <v>1481</v>
      </c>
      <c r="I1496" s="107">
        <v>0.66775687250729066</v>
      </c>
      <c r="J1496" s="108">
        <v>1.3094868445265465E-3</v>
      </c>
      <c r="K1496" s="108"/>
      <c r="L1496" s="108">
        <v>0.04</v>
      </c>
      <c r="O1496" s="105"/>
    </row>
    <row r="1497" spans="2:15" x14ac:dyDescent="0.2">
      <c r="B1497" s="1">
        <v>1482</v>
      </c>
      <c r="C1497" s="106">
        <f t="shared" ca="1" si="92"/>
        <v>-0.3674810443702784</v>
      </c>
      <c r="D1497" s="106">
        <f t="shared" ca="1" si="93"/>
        <v>0.64084608986185676</v>
      </c>
      <c r="E1497" s="106">
        <f t="shared" ca="1" si="94"/>
        <v>0</v>
      </c>
      <c r="F1497" s="21">
        <f t="shared" ca="1" si="95"/>
        <v>0</v>
      </c>
      <c r="H1497" s="21">
        <v>1482</v>
      </c>
      <c r="I1497" s="107">
        <v>0.66789179499454288</v>
      </c>
      <c r="J1497" s="108">
        <v>1.5703620649753947E-3</v>
      </c>
      <c r="K1497" s="108"/>
      <c r="L1497" s="108">
        <v>4.4200000000000003E-2</v>
      </c>
      <c r="O1497" s="105"/>
    </row>
    <row r="1498" spans="2:15" x14ac:dyDescent="0.2">
      <c r="B1498" s="1">
        <v>1483</v>
      </c>
      <c r="C1498" s="106">
        <f t="shared" ca="1" si="92"/>
        <v>0.33595237046587351</v>
      </c>
      <c r="D1498" s="106">
        <f t="shared" ca="1" si="93"/>
        <v>0.68689189605502543</v>
      </c>
      <c r="E1498" s="106">
        <f t="shared" ca="1" si="94"/>
        <v>0</v>
      </c>
      <c r="F1498" s="21">
        <f t="shared" ca="1" si="95"/>
        <v>0</v>
      </c>
      <c r="H1498" s="21">
        <v>1483</v>
      </c>
      <c r="I1498" s="107">
        <v>0.6677721440142278</v>
      </c>
      <c r="J1498" s="108">
        <v>1.4225235878625451E-3</v>
      </c>
      <c r="K1498" s="108"/>
      <c r="L1498" s="108">
        <v>4.3799999999999999E-2</v>
      </c>
      <c r="O1498" s="105"/>
    </row>
    <row r="1499" spans="2:15" x14ac:dyDescent="0.2">
      <c r="B1499" s="1">
        <v>1484</v>
      </c>
      <c r="C1499" s="106">
        <f t="shared" ca="1" si="92"/>
        <v>0.12175753834460652</v>
      </c>
      <c r="D1499" s="106">
        <f t="shared" ca="1" si="93"/>
        <v>0.67253117083435565</v>
      </c>
      <c r="E1499" s="106">
        <f t="shared" ca="1" si="94"/>
        <v>0</v>
      </c>
      <c r="F1499" s="21">
        <f t="shared" ca="1" si="95"/>
        <v>0</v>
      </c>
      <c r="H1499" s="21">
        <v>1484</v>
      </c>
      <c r="I1499" s="107">
        <v>0.6676798074253647</v>
      </c>
      <c r="J1499" s="108">
        <v>1.3218492274554555E-3</v>
      </c>
      <c r="K1499" s="108"/>
      <c r="L1499" s="108">
        <v>4.02E-2</v>
      </c>
      <c r="O1499" s="105"/>
    </row>
    <row r="1500" spans="2:15" x14ac:dyDescent="0.2">
      <c r="B1500" s="1">
        <v>1485</v>
      </c>
      <c r="C1500" s="106">
        <f t="shared" ca="1" si="92"/>
        <v>-0.5621038644747558</v>
      </c>
      <c r="D1500" s="106">
        <f t="shared" ca="1" si="93"/>
        <v>0.62866056306287954</v>
      </c>
      <c r="E1500" s="106">
        <f t="shared" ca="1" si="94"/>
        <v>0</v>
      </c>
      <c r="F1500" s="21">
        <f t="shared" ca="1" si="95"/>
        <v>0</v>
      </c>
      <c r="H1500" s="21">
        <v>1485</v>
      </c>
      <c r="I1500" s="107">
        <v>0.6677925846700643</v>
      </c>
      <c r="J1500" s="108">
        <v>1.5302976699732413E-3</v>
      </c>
      <c r="K1500" s="108"/>
      <c r="L1500" s="108">
        <v>4.1799999999999997E-2</v>
      </c>
      <c r="O1500" s="105"/>
    </row>
    <row r="1501" spans="2:15" x14ac:dyDescent="0.2">
      <c r="B1501" s="1">
        <v>1486</v>
      </c>
      <c r="C1501" s="106">
        <f t="shared" ca="1" si="92"/>
        <v>-1.1765324877138974</v>
      </c>
      <c r="D1501" s="106">
        <f t="shared" ca="1" si="93"/>
        <v>0.59169033288601003</v>
      </c>
      <c r="E1501" s="106">
        <f t="shared" ca="1" si="94"/>
        <v>0</v>
      </c>
      <c r="F1501" s="21">
        <f t="shared" ca="1" si="95"/>
        <v>0</v>
      </c>
      <c r="H1501" s="21">
        <v>1486</v>
      </c>
      <c r="I1501" s="107">
        <v>0.66773936310017734</v>
      </c>
      <c r="J1501" s="108">
        <v>1.4917666071440406E-3</v>
      </c>
      <c r="K1501" s="108"/>
      <c r="L1501" s="108">
        <v>4.2799999999999998E-2</v>
      </c>
      <c r="O1501" s="105"/>
    </row>
    <row r="1502" spans="2:15" x14ac:dyDescent="0.2">
      <c r="B1502" s="1">
        <v>1487</v>
      </c>
      <c r="C1502" s="106">
        <f t="shared" ca="1" si="92"/>
        <v>-0.26040271593813735</v>
      </c>
      <c r="D1502" s="106">
        <f t="shared" ca="1" si="93"/>
        <v>0.64765080306772915</v>
      </c>
      <c r="E1502" s="106">
        <f t="shared" ca="1" si="94"/>
        <v>0</v>
      </c>
      <c r="F1502" s="21">
        <f t="shared" ca="1" si="95"/>
        <v>0</v>
      </c>
      <c r="H1502" s="21">
        <v>1487</v>
      </c>
      <c r="I1502" s="107">
        <v>0.66783176764580499</v>
      </c>
      <c r="J1502" s="108">
        <v>1.4122394529070604E-3</v>
      </c>
      <c r="K1502" s="108"/>
      <c r="L1502" s="108">
        <v>4.3799999999999999E-2</v>
      </c>
      <c r="O1502" s="105"/>
    </row>
    <row r="1503" spans="2:15" x14ac:dyDescent="0.2">
      <c r="B1503" s="1">
        <v>1488</v>
      </c>
      <c r="C1503" s="106">
        <f t="shared" ca="1" si="92"/>
        <v>-0.99087351503495136</v>
      </c>
      <c r="D1503" s="106">
        <f t="shared" ca="1" si="93"/>
        <v>0.60262617280887143</v>
      </c>
      <c r="E1503" s="106">
        <f t="shared" ca="1" si="94"/>
        <v>0</v>
      </c>
      <c r="F1503" s="21">
        <f t="shared" ca="1" si="95"/>
        <v>0</v>
      </c>
      <c r="H1503" s="21">
        <v>1488</v>
      </c>
      <c r="I1503" s="107">
        <v>0.66773253260705645</v>
      </c>
      <c r="J1503" s="108">
        <v>1.4909011399184017E-3</v>
      </c>
      <c r="K1503" s="108"/>
      <c r="L1503" s="108">
        <v>4.3400000000000001E-2</v>
      </c>
      <c r="O1503" s="105"/>
    </row>
    <row r="1504" spans="2:15" x14ac:dyDescent="0.2">
      <c r="B1504" s="1">
        <v>1489</v>
      </c>
      <c r="C1504" s="106">
        <f t="shared" ca="1" si="92"/>
        <v>-2.5561926139508091</v>
      </c>
      <c r="D1504" s="106">
        <f t="shared" ca="1" si="93"/>
        <v>0.51640529248375355</v>
      </c>
      <c r="E1504" s="106">
        <f t="shared" ca="1" si="94"/>
        <v>0</v>
      </c>
      <c r="F1504" s="21">
        <f t="shared" ca="1" si="95"/>
        <v>0</v>
      </c>
      <c r="H1504" s="21">
        <v>1489</v>
      </c>
      <c r="I1504" s="107">
        <v>0.66776403444233301</v>
      </c>
      <c r="J1504" s="108">
        <v>1.4852666448141984E-3</v>
      </c>
      <c r="K1504" s="108"/>
      <c r="L1504" s="108">
        <v>4.2799999999999998E-2</v>
      </c>
      <c r="O1504" s="105"/>
    </row>
    <row r="1505" spans="2:15" x14ac:dyDescent="0.2">
      <c r="B1505" s="1">
        <v>1490</v>
      </c>
      <c r="C1505" s="106">
        <f t="shared" ca="1" si="92"/>
        <v>0.11123755400493998</v>
      </c>
      <c r="D1505" s="106">
        <f t="shared" ca="1" si="93"/>
        <v>0.67183364371602183</v>
      </c>
      <c r="E1505" s="106">
        <f t="shared" ca="1" si="94"/>
        <v>0</v>
      </c>
      <c r="F1505" s="21">
        <f t="shared" ca="1" si="95"/>
        <v>0</v>
      </c>
      <c r="H1505" s="21">
        <v>1490</v>
      </c>
      <c r="I1505" s="107">
        <v>0.66751271660247347</v>
      </c>
      <c r="J1505" s="108">
        <v>1.1171602466902163E-3</v>
      </c>
      <c r="K1505" s="108"/>
      <c r="L1505" s="108">
        <v>3.7600000000000001E-2</v>
      </c>
      <c r="O1505" s="105"/>
    </row>
    <row r="1506" spans="2:15" x14ac:dyDescent="0.2">
      <c r="B1506" s="1">
        <v>1491</v>
      </c>
      <c r="C1506" s="106">
        <f t="shared" ca="1" si="92"/>
        <v>-0.36431080498963675</v>
      </c>
      <c r="D1506" s="106">
        <f t="shared" ca="1" si="93"/>
        <v>0.64104652442011156</v>
      </c>
      <c r="E1506" s="106">
        <f t="shared" ca="1" si="94"/>
        <v>0</v>
      </c>
      <c r="F1506" s="21">
        <f t="shared" ca="1" si="95"/>
        <v>0</v>
      </c>
      <c r="H1506" s="21">
        <v>1491</v>
      </c>
      <c r="I1506" s="107">
        <v>0.6677354377905127</v>
      </c>
      <c r="J1506" s="108">
        <v>1.3254961734624601E-3</v>
      </c>
      <c r="K1506" s="108"/>
      <c r="L1506" s="108">
        <v>3.9E-2</v>
      </c>
      <c r="O1506" s="105"/>
    </row>
    <row r="1507" spans="2:15" x14ac:dyDescent="0.2">
      <c r="B1507" s="1">
        <v>1492</v>
      </c>
      <c r="C1507" s="106">
        <f t="shared" ca="1" si="92"/>
        <v>-0.23171053476033845</v>
      </c>
      <c r="D1507" s="106">
        <f t="shared" ca="1" si="93"/>
        <v>0.64948640326714335</v>
      </c>
      <c r="E1507" s="106">
        <f t="shared" ca="1" si="94"/>
        <v>0</v>
      </c>
      <c r="F1507" s="21">
        <f t="shared" ca="1" si="95"/>
        <v>0</v>
      </c>
      <c r="H1507" s="21">
        <v>1492</v>
      </c>
      <c r="I1507" s="107">
        <v>0.66762920696271399</v>
      </c>
      <c r="J1507" s="108">
        <v>1.1796421531697387E-3</v>
      </c>
      <c r="K1507" s="108"/>
      <c r="L1507" s="108">
        <v>3.8399999999999997E-2</v>
      </c>
      <c r="O1507" s="105"/>
    </row>
    <row r="1508" spans="2:15" x14ac:dyDescent="0.2">
      <c r="B1508" s="1">
        <v>1493</v>
      </c>
      <c r="C1508" s="106">
        <f t="shared" ca="1" si="92"/>
        <v>0.19788310893221076</v>
      </c>
      <c r="D1508" s="106">
        <f t="shared" ca="1" si="93"/>
        <v>0.67760030150124839</v>
      </c>
      <c r="E1508" s="106">
        <f t="shared" ca="1" si="94"/>
        <v>0</v>
      </c>
      <c r="F1508" s="21">
        <f t="shared" ca="1" si="95"/>
        <v>0</v>
      </c>
      <c r="H1508" s="21">
        <v>1493</v>
      </c>
      <c r="I1508" s="107">
        <v>0.66768158188695992</v>
      </c>
      <c r="J1508" s="108">
        <v>1.2381712111250809E-3</v>
      </c>
      <c r="K1508" s="108"/>
      <c r="L1508" s="108">
        <v>3.7999999999999999E-2</v>
      </c>
      <c r="O1508" s="105"/>
    </row>
    <row r="1509" spans="2:15" x14ac:dyDescent="0.2">
      <c r="B1509" s="1">
        <v>1494</v>
      </c>
      <c r="C1509" s="106">
        <f t="shared" ca="1" si="92"/>
        <v>-0.12362667409128414</v>
      </c>
      <c r="D1509" s="106">
        <f t="shared" ca="1" si="93"/>
        <v>0.65644797004179434</v>
      </c>
      <c r="E1509" s="106">
        <f t="shared" ca="1" si="94"/>
        <v>0</v>
      </c>
      <c r="F1509" s="21">
        <f t="shared" ca="1" si="95"/>
        <v>0</v>
      </c>
      <c r="H1509" s="21">
        <v>1494</v>
      </c>
      <c r="I1509" s="107">
        <v>0.66766744077560802</v>
      </c>
      <c r="J1509" s="108">
        <v>1.2621029443263122E-3</v>
      </c>
      <c r="K1509" s="108"/>
      <c r="L1509" s="108">
        <v>3.7999999999999999E-2</v>
      </c>
      <c r="O1509" s="105"/>
    </row>
    <row r="1510" spans="2:15" x14ac:dyDescent="0.2">
      <c r="B1510" s="1">
        <v>1495</v>
      </c>
      <c r="C1510" s="106">
        <f t="shared" ca="1" si="92"/>
        <v>0.88248852912717146</v>
      </c>
      <c r="D1510" s="106">
        <f t="shared" ca="1" si="93"/>
        <v>0.72493933432982893</v>
      </c>
      <c r="E1510" s="106">
        <f t="shared" ca="1" si="94"/>
        <v>0</v>
      </c>
      <c r="F1510" s="21">
        <f t="shared" ca="1" si="95"/>
        <v>0</v>
      </c>
      <c r="H1510" s="21">
        <v>1495</v>
      </c>
      <c r="I1510" s="107">
        <v>0.66766263788284108</v>
      </c>
      <c r="J1510" s="108">
        <v>1.2901816431648819E-3</v>
      </c>
      <c r="K1510" s="108"/>
      <c r="L1510" s="108">
        <v>3.9399999999999998E-2</v>
      </c>
      <c r="O1510" s="105"/>
    </row>
    <row r="1511" spans="2:15" x14ac:dyDescent="0.2">
      <c r="B1511" s="1">
        <v>1496</v>
      </c>
      <c r="C1511" s="106">
        <f t="shared" ca="1" si="92"/>
        <v>1.2775552276796098</v>
      </c>
      <c r="D1511" s="106">
        <f t="shared" ca="1" si="93"/>
        <v>0.75374783631627118</v>
      </c>
      <c r="E1511" s="106">
        <f t="shared" ca="1" si="94"/>
        <v>0</v>
      </c>
      <c r="F1511" s="21">
        <f t="shared" ca="1" si="95"/>
        <v>0</v>
      </c>
      <c r="H1511" s="21">
        <v>1496</v>
      </c>
      <c r="I1511" s="107">
        <v>0.66786667886740192</v>
      </c>
      <c r="J1511" s="108">
        <v>1.4389999208471161E-3</v>
      </c>
      <c r="K1511" s="108"/>
      <c r="L1511" s="108">
        <v>4.2200000000000001E-2</v>
      </c>
      <c r="O1511" s="105"/>
    </row>
    <row r="1512" spans="2:15" x14ac:dyDescent="0.2">
      <c r="B1512" s="1">
        <v>1497</v>
      </c>
      <c r="C1512" s="106">
        <f t="shared" ca="1" si="92"/>
        <v>-2.2316486085064215</v>
      </c>
      <c r="D1512" s="106">
        <f t="shared" ca="1" si="93"/>
        <v>0.53320467639169677</v>
      </c>
      <c r="E1512" s="106">
        <f t="shared" ca="1" si="94"/>
        <v>0</v>
      </c>
      <c r="F1512" s="21">
        <f t="shared" ca="1" si="95"/>
        <v>0</v>
      </c>
      <c r="H1512" s="21">
        <v>1497</v>
      </c>
      <c r="I1512" s="107">
        <v>0.6677570397827437</v>
      </c>
      <c r="J1512" s="108">
        <v>1.2551113427531971E-3</v>
      </c>
      <c r="K1512" s="108"/>
      <c r="L1512" s="108">
        <v>0.04</v>
      </c>
      <c r="O1512" s="105"/>
    </row>
    <row r="1513" spans="2:15" x14ac:dyDescent="0.2">
      <c r="B1513" s="1">
        <v>1498</v>
      </c>
      <c r="C1513" s="106">
        <f t="shared" ca="1" si="92"/>
        <v>0.97904411280155901</v>
      </c>
      <c r="D1513" s="106">
        <f t="shared" ca="1" si="93"/>
        <v>0.73187691092733342</v>
      </c>
      <c r="E1513" s="106">
        <f t="shared" ca="1" si="94"/>
        <v>0</v>
      </c>
      <c r="F1513" s="21">
        <f t="shared" ca="1" si="95"/>
        <v>0</v>
      </c>
      <c r="H1513" s="21">
        <v>1498</v>
      </c>
      <c r="I1513" s="107">
        <v>0.66762971662054937</v>
      </c>
      <c r="J1513" s="108">
        <v>1.3116648051290385E-3</v>
      </c>
      <c r="K1513" s="108"/>
      <c r="L1513" s="108">
        <v>4.1000000000000002E-2</v>
      </c>
      <c r="O1513" s="105"/>
    </row>
    <row r="1514" spans="2:15" x14ac:dyDescent="0.2">
      <c r="B1514" s="1">
        <v>1499</v>
      </c>
      <c r="C1514" s="106">
        <f t="shared" ca="1" si="92"/>
        <v>0.15978538970001888</v>
      </c>
      <c r="D1514" s="106">
        <f t="shared" ca="1" si="93"/>
        <v>0.67505865187114922</v>
      </c>
      <c r="E1514" s="106">
        <f t="shared" ca="1" si="94"/>
        <v>0</v>
      </c>
      <c r="F1514" s="21">
        <f t="shared" ca="1" si="95"/>
        <v>0</v>
      </c>
      <c r="H1514" s="21">
        <v>1499</v>
      </c>
      <c r="I1514" s="107">
        <v>0.66785719950046174</v>
      </c>
      <c r="J1514" s="108">
        <v>1.5050612746340503E-3</v>
      </c>
      <c r="K1514" s="108"/>
      <c r="L1514" s="108">
        <v>4.2599999999999999E-2</v>
      </c>
      <c r="O1514" s="105"/>
    </row>
    <row r="1515" spans="2:15" x14ac:dyDescent="0.2">
      <c r="B1515" s="1">
        <v>1500</v>
      </c>
      <c r="C1515" s="106">
        <f t="shared" ca="1" si="92"/>
        <v>0.69384835829273417</v>
      </c>
      <c r="D1515" s="106">
        <f t="shared" ca="1" si="93"/>
        <v>0.7115745979213931</v>
      </c>
      <c r="E1515" s="106">
        <f t="shared" ca="1" si="94"/>
        <v>0</v>
      </c>
      <c r="F1515" s="21">
        <f t="shared" ca="1" si="95"/>
        <v>0</v>
      </c>
      <c r="H1515" s="21">
        <v>1500</v>
      </c>
      <c r="I1515" s="107">
        <v>0.66757474534542738</v>
      </c>
      <c r="J1515" s="108">
        <v>1.1981642205370505E-3</v>
      </c>
      <c r="K1515" s="108"/>
      <c r="L1515" s="108">
        <v>3.8399999999999997E-2</v>
      </c>
      <c r="O1515" s="105"/>
    </row>
    <row r="1516" spans="2:15" x14ac:dyDescent="0.2">
      <c r="B1516" s="1">
        <v>1501</v>
      </c>
      <c r="C1516" s="106">
        <f t="shared" ca="1" si="92"/>
        <v>-0.37114294832887368</v>
      </c>
      <c r="D1516" s="106">
        <f t="shared" ca="1" si="93"/>
        <v>0.6406146484048072</v>
      </c>
      <c r="E1516" s="106">
        <f t="shared" ca="1" si="94"/>
        <v>0</v>
      </c>
      <c r="F1516" s="21">
        <f t="shared" ca="1" si="95"/>
        <v>0</v>
      </c>
      <c r="H1516" s="21">
        <v>1501</v>
      </c>
      <c r="I1516" s="107">
        <v>0.66768717490405793</v>
      </c>
      <c r="J1516" s="108">
        <v>1.3345893237366093E-3</v>
      </c>
      <c r="K1516" s="108"/>
      <c r="L1516" s="108">
        <v>4.02E-2</v>
      </c>
      <c r="O1516" s="105"/>
    </row>
    <row r="1517" spans="2:15" x14ac:dyDescent="0.2">
      <c r="B1517" s="1">
        <v>1502</v>
      </c>
      <c r="C1517" s="106">
        <f t="shared" ca="1" si="92"/>
        <v>-0.55807308172081249</v>
      </c>
      <c r="D1517" s="106">
        <f t="shared" ca="1" si="93"/>
        <v>0.6289105693040461</v>
      </c>
      <c r="E1517" s="106">
        <f t="shared" ca="1" si="94"/>
        <v>0</v>
      </c>
      <c r="F1517" s="21">
        <f t="shared" ca="1" si="95"/>
        <v>0</v>
      </c>
      <c r="H1517" s="21">
        <v>1502</v>
      </c>
      <c r="I1517" s="107">
        <v>0.66775334255870189</v>
      </c>
      <c r="J1517" s="108">
        <v>1.4110240946814347E-3</v>
      </c>
      <c r="K1517" s="108"/>
      <c r="L1517" s="108">
        <v>4.2599999999999999E-2</v>
      </c>
      <c r="O1517" s="105"/>
    </row>
    <row r="1518" spans="2:15" x14ac:dyDescent="0.2">
      <c r="B1518" s="1">
        <v>1503</v>
      </c>
      <c r="C1518" s="106">
        <f t="shared" ca="1" si="92"/>
        <v>-0.79460530385107386</v>
      </c>
      <c r="D1518" s="106">
        <f t="shared" ca="1" si="93"/>
        <v>0.61440677909005215</v>
      </c>
      <c r="E1518" s="106">
        <f t="shared" ca="1" si="94"/>
        <v>0</v>
      </c>
      <c r="F1518" s="21">
        <f t="shared" ca="1" si="95"/>
        <v>0</v>
      </c>
      <c r="H1518" s="21">
        <v>1503</v>
      </c>
      <c r="I1518" s="107">
        <v>0.66775040930510854</v>
      </c>
      <c r="J1518" s="108">
        <v>1.3649351269911551E-3</v>
      </c>
      <c r="K1518" s="108"/>
      <c r="L1518" s="108">
        <v>3.9199999999999999E-2</v>
      </c>
      <c r="O1518" s="105"/>
    </row>
    <row r="1519" spans="2:15" x14ac:dyDescent="0.2">
      <c r="B1519" s="1">
        <v>1504</v>
      </c>
      <c r="C1519" s="106">
        <f t="shared" ca="1" si="92"/>
        <v>-1.0102640373241032</v>
      </c>
      <c r="D1519" s="106">
        <f t="shared" ca="1" si="93"/>
        <v>0.60147462725027068</v>
      </c>
      <c r="E1519" s="106">
        <f t="shared" ca="1" si="94"/>
        <v>0</v>
      </c>
      <c r="F1519" s="21">
        <f t="shared" ca="1" si="95"/>
        <v>0</v>
      </c>
      <c r="H1519" s="21">
        <v>1504</v>
      </c>
      <c r="I1519" s="107">
        <v>0.66772837453667877</v>
      </c>
      <c r="J1519" s="108">
        <v>1.3801290204637437E-3</v>
      </c>
      <c r="K1519" s="108"/>
      <c r="L1519" s="108">
        <v>4.02E-2</v>
      </c>
      <c r="O1519" s="105"/>
    </row>
    <row r="1520" spans="2:15" x14ac:dyDescent="0.2">
      <c r="B1520" s="1">
        <v>1505</v>
      </c>
      <c r="C1520" s="106">
        <f t="shared" ca="1" si="92"/>
        <v>0.32112522233408913</v>
      </c>
      <c r="D1520" s="106">
        <f t="shared" ca="1" si="93"/>
        <v>0.68588800319488208</v>
      </c>
      <c r="E1520" s="106">
        <f t="shared" ca="1" si="94"/>
        <v>0</v>
      </c>
      <c r="F1520" s="21">
        <f t="shared" ca="1" si="95"/>
        <v>0</v>
      </c>
      <c r="H1520" s="21">
        <v>1505</v>
      </c>
      <c r="I1520" s="107">
        <v>0.66767776447392524</v>
      </c>
      <c r="J1520" s="108">
        <v>1.2381589567641599E-3</v>
      </c>
      <c r="K1520" s="108"/>
      <c r="L1520" s="108">
        <v>4.0599999999999997E-2</v>
      </c>
      <c r="O1520" s="105"/>
    </row>
    <row r="1521" spans="2:15" x14ac:dyDescent="0.2">
      <c r="B1521" s="1">
        <v>1506</v>
      </c>
      <c r="C1521" s="106">
        <f t="shared" ca="1" si="92"/>
        <v>0.97667447849766065</v>
      </c>
      <c r="D1521" s="106">
        <f t="shared" ca="1" si="93"/>
        <v>0.73170585917823661</v>
      </c>
      <c r="E1521" s="106">
        <f t="shared" ca="1" si="94"/>
        <v>0</v>
      </c>
      <c r="F1521" s="21">
        <f t="shared" ca="1" si="95"/>
        <v>0</v>
      </c>
      <c r="H1521" s="21">
        <v>1506</v>
      </c>
      <c r="I1521" s="107">
        <v>0.66798605358116447</v>
      </c>
      <c r="J1521" s="108">
        <v>1.773812528377147E-3</v>
      </c>
      <c r="K1521" s="108"/>
      <c r="L1521" s="108">
        <v>4.5999999999999999E-2</v>
      </c>
      <c r="O1521" s="105"/>
    </row>
    <row r="1522" spans="2:15" x14ac:dyDescent="0.2">
      <c r="B1522" s="1">
        <v>1507</v>
      </c>
      <c r="C1522" s="106">
        <f t="shared" ca="1" si="92"/>
        <v>1.4021579107918456</v>
      </c>
      <c r="D1522" s="106">
        <f t="shared" ca="1" si="93"/>
        <v>0.7630692988451121</v>
      </c>
      <c r="E1522" s="106">
        <f t="shared" ca="1" si="94"/>
        <v>0</v>
      </c>
      <c r="F1522" s="21">
        <f t="shared" ca="1" si="95"/>
        <v>0</v>
      </c>
      <c r="H1522" s="21">
        <v>1507</v>
      </c>
      <c r="I1522" s="107">
        <v>0.66776869810223127</v>
      </c>
      <c r="J1522" s="108">
        <v>1.5272654014705268E-3</v>
      </c>
      <c r="K1522" s="108"/>
      <c r="L1522" s="108">
        <v>4.2200000000000001E-2</v>
      </c>
      <c r="O1522" s="105"/>
    </row>
    <row r="1523" spans="2:15" x14ac:dyDescent="0.2">
      <c r="B1523" s="1">
        <v>1508</v>
      </c>
      <c r="C1523" s="106">
        <f t="shared" ca="1" si="92"/>
        <v>-9.002695952984914E-2</v>
      </c>
      <c r="D1523" s="106">
        <f t="shared" ca="1" si="93"/>
        <v>0.65862725836864811</v>
      </c>
      <c r="E1523" s="106">
        <f t="shared" ca="1" si="94"/>
        <v>0</v>
      </c>
      <c r="F1523" s="21">
        <f t="shared" ca="1" si="95"/>
        <v>0</v>
      </c>
      <c r="H1523" s="21">
        <v>1508</v>
      </c>
      <c r="I1523" s="107">
        <v>0.66775489272352784</v>
      </c>
      <c r="J1523" s="108">
        <v>1.5395291173372857E-3</v>
      </c>
      <c r="K1523" s="108"/>
      <c r="L1523" s="108">
        <v>4.24E-2</v>
      </c>
      <c r="O1523" s="105"/>
    </row>
    <row r="1524" spans="2:15" x14ac:dyDescent="0.2">
      <c r="B1524" s="1">
        <v>1509</v>
      </c>
      <c r="C1524" s="106">
        <f t="shared" ca="1" si="92"/>
        <v>-3.5847791997571356E-2</v>
      </c>
      <c r="D1524" s="106">
        <f t="shared" ca="1" si="93"/>
        <v>0.66215658576283998</v>
      </c>
      <c r="E1524" s="106">
        <f t="shared" ca="1" si="94"/>
        <v>0</v>
      </c>
      <c r="F1524" s="21">
        <f t="shared" ca="1" si="95"/>
        <v>0</v>
      </c>
      <c r="H1524" s="21">
        <v>1509</v>
      </c>
      <c r="I1524" s="107">
        <v>0.66765227525677273</v>
      </c>
      <c r="J1524" s="108">
        <v>1.3038239611204688E-3</v>
      </c>
      <c r="K1524" s="108"/>
      <c r="L1524" s="108">
        <v>3.8800000000000001E-2</v>
      </c>
      <c r="O1524" s="105"/>
    </row>
    <row r="1525" spans="2:15" x14ac:dyDescent="0.2">
      <c r="B1525" s="1">
        <v>1510</v>
      </c>
      <c r="C1525" s="106">
        <f t="shared" ca="1" si="92"/>
        <v>-0.64867978109613711</v>
      </c>
      <c r="D1525" s="106">
        <f t="shared" ca="1" si="93"/>
        <v>0.62331468428617087</v>
      </c>
      <c r="E1525" s="106">
        <f t="shared" ca="1" si="94"/>
        <v>0</v>
      </c>
      <c r="F1525" s="21">
        <f t="shared" ca="1" si="95"/>
        <v>0</v>
      </c>
      <c r="H1525" s="21">
        <v>1510</v>
      </c>
      <c r="I1525" s="107">
        <v>0.66768765179957412</v>
      </c>
      <c r="J1525" s="108">
        <v>1.2817618070055472E-3</v>
      </c>
      <c r="K1525" s="108"/>
      <c r="L1525" s="108">
        <v>3.6400000000000002E-2</v>
      </c>
      <c r="O1525" s="105"/>
    </row>
    <row r="1526" spans="2:15" x14ac:dyDescent="0.2">
      <c r="B1526" s="1">
        <v>1511</v>
      </c>
      <c r="C1526" s="106">
        <f t="shared" ca="1" si="92"/>
        <v>0.49555367303221609</v>
      </c>
      <c r="D1526" s="106">
        <f t="shared" ca="1" si="93"/>
        <v>0.69779140219686009</v>
      </c>
      <c r="E1526" s="106">
        <f t="shared" ca="1" si="94"/>
        <v>0</v>
      </c>
      <c r="F1526" s="21">
        <f t="shared" ca="1" si="95"/>
        <v>0</v>
      </c>
      <c r="H1526" s="21">
        <v>1511</v>
      </c>
      <c r="I1526" s="107">
        <v>0.66793120869206823</v>
      </c>
      <c r="J1526" s="108">
        <v>1.4785496776448027E-3</v>
      </c>
      <c r="K1526" s="108"/>
      <c r="L1526" s="108">
        <v>4.7E-2</v>
      </c>
      <c r="O1526" s="105"/>
    </row>
    <row r="1527" spans="2:15" x14ac:dyDescent="0.2">
      <c r="B1527" s="1">
        <v>1512</v>
      </c>
      <c r="C1527" s="106">
        <f t="shared" ca="1" si="92"/>
        <v>0.24147524684821331</v>
      </c>
      <c r="D1527" s="106">
        <f t="shared" ca="1" si="93"/>
        <v>0.68052024686237966</v>
      </c>
      <c r="E1527" s="106">
        <f t="shared" ca="1" si="94"/>
        <v>0</v>
      </c>
      <c r="F1527" s="21">
        <f t="shared" ca="1" si="95"/>
        <v>0</v>
      </c>
      <c r="H1527" s="21">
        <v>1512</v>
      </c>
      <c r="I1527" s="107">
        <v>0.66753600564550875</v>
      </c>
      <c r="J1527" s="108">
        <v>1.0725060186256607E-3</v>
      </c>
      <c r="K1527" s="108"/>
      <c r="L1527" s="108">
        <v>3.4599999999999999E-2</v>
      </c>
      <c r="O1527" s="105"/>
    </row>
    <row r="1528" spans="2:15" x14ac:dyDescent="0.2">
      <c r="B1528" s="1">
        <v>1513</v>
      </c>
      <c r="C1528" s="106">
        <f t="shared" ca="1" si="92"/>
        <v>-8.6971420770745628E-2</v>
      </c>
      <c r="D1528" s="106">
        <f t="shared" ca="1" si="93"/>
        <v>0.65882580012013503</v>
      </c>
      <c r="E1528" s="106">
        <f t="shared" ca="1" si="94"/>
        <v>0</v>
      </c>
      <c r="F1528" s="21">
        <f t="shared" ca="1" si="95"/>
        <v>0</v>
      </c>
      <c r="H1528" s="21">
        <v>1513</v>
      </c>
      <c r="I1528" s="107">
        <v>0.66784762837502665</v>
      </c>
      <c r="J1528" s="108">
        <v>1.4082066057477655E-3</v>
      </c>
      <c r="K1528" s="108"/>
      <c r="L1528" s="108">
        <v>4.58E-2</v>
      </c>
      <c r="O1528" s="105"/>
    </row>
    <row r="1529" spans="2:15" x14ac:dyDescent="0.2">
      <c r="B1529" s="1">
        <v>1514</v>
      </c>
      <c r="C1529" s="106">
        <f t="shared" ca="1" si="92"/>
        <v>2.4682772436653568</v>
      </c>
      <c r="D1529" s="106">
        <f t="shared" ca="1" si="93"/>
        <v>0.8476876882132286</v>
      </c>
      <c r="E1529" s="106">
        <f t="shared" ca="1" si="94"/>
        <v>5.9487688213228584E-2</v>
      </c>
      <c r="F1529" s="21">
        <f t="shared" ca="1" si="95"/>
        <v>1</v>
      </c>
      <c r="H1529" s="21">
        <v>1514</v>
      </c>
      <c r="I1529" s="107">
        <v>0.66786834779226223</v>
      </c>
      <c r="J1529" s="108">
        <v>1.4517591469145759E-3</v>
      </c>
      <c r="K1529" s="108"/>
      <c r="L1529" s="108">
        <v>4.2999999999999997E-2</v>
      </c>
      <c r="O1529" s="105"/>
    </row>
    <row r="1530" spans="2:15" x14ac:dyDescent="0.2">
      <c r="B1530" s="1">
        <v>1515</v>
      </c>
      <c r="C1530" s="106">
        <f t="shared" ca="1" si="92"/>
        <v>1.0503885050357111</v>
      </c>
      <c r="D1530" s="106">
        <f t="shared" ca="1" si="93"/>
        <v>0.73704566490103363</v>
      </c>
      <c r="E1530" s="106">
        <f t="shared" ca="1" si="94"/>
        <v>0</v>
      </c>
      <c r="F1530" s="21">
        <f t="shared" ca="1" si="95"/>
        <v>0</v>
      </c>
      <c r="H1530" s="21">
        <v>1515</v>
      </c>
      <c r="I1530" s="107">
        <v>0.66770782439953402</v>
      </c>
      <c r="J1530" s="108">
        <v>1.3347216176649874E-3</v>
      </c>
      <c r="K1530" s="108"/>
      <c r="L1530" s="108">
        <v>4.1599999999999998E-2</v>
      </c>
      <c r="O1530" s="105"/>
    </row>
    <row r="1531" spans="2:15" x14ac:dyDescent="0.2">
      <c r="B1531" s="1">
        <v>1516</v>
      </c>
      <c r="C1531" s="106">
        <f t="shared" ca="1" si="92"/>
        <v>-1.7429938479303011</v>
      </c>
      <c r="D1531" s="106">
        <f t="shared" ca="1" si="93"/>
        <v>0.55953546467691717</v>
      </c>
      <c r="E1531" s="106">
        <f t="shared" ca="1" si="94"/>
        <v>0</v>
      </c>
      <c r="F1531" s="21">
        <f t="shared" ca="1" si="95"/>
        <v>0</v>
      </c>
      <c r="H1531" s="21">
        <v>1516</v>
      </c>
      <c r="I1531" s="107">
        <v>0.66780662547996072</v>
      </c>
      <c r="J1531" s="108">
        <v>1.4085171083771829E-3</v>
      </c>
      <c r="K1531" s="108"/>
      <c r="L1531" s="108">
        <v>4.2999999999999997E-2</v>
      </c>
      <c r="O1531" s="105"/>
    </row>
    <row r="1532" spans="2:15" x14ac:dyDescent="0.2">
      <c r="B1532" s="1">
        <v>1517</v>
      </c>
      <c r="C1532" s="106">
        <f t="shared" ca="1" si="92"/>
        <v>2.2965551283932593</v>
      </c>
      <c r="D1532" s="106">
        <f t="shared" ca="1" si="93"/>
        <v>0.83344972183725574</v>
      </c>
      <c r="E1532" s="106">
        <f t="shared" ca="1" si="94"/>
        <v>4.524972183725573E-2</v>
      </c>
      <c r="F1532" s="21">
        <f t="shared" ca="1" si="95"/>
        <v>1</v>
      </c>
      <c r="H1532" s="21">
        <v>1517</v>
      </c>
      <c r="I1532" s="107">
        <v>0.66776785713236853</v>
      </c>
      <c r="J1532" s="108">
        <v>1.4685424521493451E-3</v>
      </c>
      <c r="K1532" s="108"/>
      <c r="L1532" s="108">
        <v>4.4999999999999998E-2</v>
      </c>
      <c r="O1532" s="105"/>
    </row>
    <row r="1533" spans="2:15" x14ac:dyDescent="0.2">
      <c r="B1533" s="1">
        <v>1518</v>
      </c>
      <c r="C1533" s="106">
        <f t="shared" ca="1" si="92"/>
        <v>0.43221815993208845</v>
      </c>
      <c r="D1533" s="106">
        <f t="shared" ca="1" si="93"/>
        <v>0.69344554064136088</v>
      </c>
      <c r="E1533" s="106">
        <f t="shared" ca="1" si="94"/>
        <v>0</v>
      </c>
      <c r="F1533" s="21">
        <f t="shared" ca="1" si="95"/>
        <v>0</v>
      </c>
      <c r="H1533" s="21">
        <v>1518</v>
      </c>
      <c r="I1533" s="107">
        <v>0.66764440209566633</v>
      </c>
      <c r="J1533" s="108">
        <v>1.2051257399616499E-3</v>
      </c>
      <c r="K1533" s="108"/>
      <c r="L1533" s="108">
        <v>4.02E-2</v>
      </c>
      <c r="O1533" s="105"/>
    </row>
    <row r="1534" spans="2:15" x14ac:dyDescent="0.2">
      <c r="B1534" s="1">
        <v>1519</v>
      </c>
      <c r="C1534" s="106">
        <f t="shared" ca="1" si="92"/>
        <v>0.11092832381360875</v>
      </c>
      <c r="D1534" s="106">
        <f t="shared" ca="1" si="93"/>
        <v>0.67181315117021068</v>
      </c>
      <c r="E1534" s="106">
        <f t="shared" ca="1" si="94"/>
        <v>0</v>
      </c>
      <c r="F1534" s="21">
        <f t="shared" ca="1" si="95"/>
        <v>0</v>
      </c>
      <c r="H1534" s="21">
        <v>1519</v>
      </c>
      <c r="I1534" s="107">
        <v>0.66778851005660145</v>
      </c>
      <c r="J1534" s="108">
        <v>1.4632073885366857E-3</v>
      </c>
      <c r="K1534" s="108"/>
      <c r="L1534" s="108">
        <v>4.1799999999999997E-2</v>
      </c>
      <c r="O1534" s="105"/>
    </row>
    <row r="1535" spans="2:15" x14ac:dyDescent="0.2">
      <c r="B1535" s="1">
        <v>1520</v>
      </c>
      <c r="C1535" s="106">
        <f t="shared" ca="1" si="92"/>
        <v>-1.1325336064298843</v>
      </c>
      <c r="D1535" s="106">
        <f t="shared" ca="1" si="93"/>
        <v>0.59426391359199604</v>
      </c>
      <c r="E1535" s="106">
        <f t="shared" ca="1" si="94"/>
        <v>0</v>
      </c>
      <c r="F1535" s="21">
        <f t="shared" ca="1" si="95"/>
        <v>0</v>
      </c>
      <c r="H1535" s="21">
        <v>1520</v>
      </c>
      <c r="I1535" s="107">
        <v>0.66787687690477038</v>
      </c>
      <c r="J1535" s="108">
        <v>1.5083244297599873E-3</v>
      </c>
      <c r="K1535" s="108"/>
      <c r="L1535" s="108">
        <v>4.3799999999999999E-2</v>
      </c>
      <c r="O1535" s="105"/>
    </row>
    <row r="1536" spans="2:15" x14ac:dyDescent="0.2">
      <c r="B1536" s="1">
        <v>1521</v>
      </c>
      <c r="C1536" s="106">
        <f t="shared" ca="1" si="92"/>
        <v>0.68104851385908349</v>
      </c>
      <c r="D1536" s="106">
        <f t="shared" ca="1" si="93"/>
        <v>0.71067673530775788</v>
      </c>
      <c r="E1536" s="106">
        <f t="shared" ca="1" si="94"/>
        <v>0</v>
      </c>
      <c r="F1536" s="21">
        <f t="shared" ca="1" si="95"/>
        <v>0</v>
      </c>
      <c r="H1536" s="21">
        <v>1521</v>
      </c>
      <c r="I1536" s="107">
        <v>0.66773326432775781</v>
      </c>
      <c r="J1536" s="108">
        <v>1.3753195628430138E-3</v>
      </c>
      <c r="K1536" s="108"/>
      <c r="L1536" s="108">
        <v>4.2599999999999999E-2</v>
      </c>
      <c r="O1536" s="105"/>
    </row>
    <row r="1537" spans="2:15" x14ac:dyDescent="0.2">
      <c r="B1537" s="1">
        <v>1522</v>
      </c>
      <c r="C1537" s="106">
        <f t="shared" ca="1" si="92"/>
        <v>2.9773465805696011</v>
      </c>
      <c r="D1537" s="106">
        <f t="shared" ca="1" si="93"/>
        <v>0.89134142762127999</v>
      </c>
      <c r="E1537" s="106">
        <f t="shared" ca="1" si="94"/>
        <v>0.10314142762127998</v>
      </c>
      <c r="F1537" s="21">
        <f t="shared" ca="1" si="95"/>
        <v>1</v>
      </c>
      <c r="H1537" s="21">
        <v>1522</v>
      </c>
      <c r="I1537" s="107">
        <v>0.66784869975883177</v>
      </c>
      <c r="J1537" s="108">
        <v>1.5706664046051194E-3</v>
      </c>
      <c r="K1537" s="108"/>
      <c r="L1537" s="108">
        <v>4.36E-2</v>
      </c>
      <c r="O1537" s="105"/>
    </row>
    <row r="1538" spans="2:15" x14ac:dyDescent="0.2">
      <c r="B1538" s="1">
        <v>1523</v>
      </c>
      <c r="C1538" s="106">
        <f t="shared" ca="1" si="92"/>
        <v>0.15626775448599381</v>
      </c>
      <c r="D1538" s="106">
        <f t="shared" ca="1" si="93"/>
        <v>0.67482445781732003</v>
      </c>
      <c r="E1538" s="106">
        <f t="shared" ca="1" si="94"/>
        <v>0</v>
      </c>
      <c r="F1538" s="21">
        <f t="shared" ca="1" si="95"/>
        <v>0</v>
      </c>
      <c r="H1538" s="21">
        <v>1523</v>
      </c>
      <c r="I1538" s="107">
        <v>0.66767872638001124</v>
      </c>
      <c r="J1538" s="108">
        <v>1.24216184960017E-3</v>
      </c>
      <c r="K1538" s="108"/>
      <c r="L1538" s="108">
        <v>4.0399999999999998E-2</v>
      </c>
      <c r="O1538" s="105"/>
    </row>
    <row r="1539" spans="2:15" x14ac:dyDescent="0.2">
      <c r="B1539" s="1">
        <v>1524</v>
      </c>
      <c r="C1539" s="106">
        <f t="shared" ca="1" si="92"/>
        <v>-0.13240324544026252</v>
      </c>
      <c r="D1539" s="106">
        <f t="shared" ca="1" si="93"/>
        <v>0.65587990754250647</v>
      </c>
      <c r="E1539" s="106">
        <f t="shared" ca="1" si="94"/>
        <v>0</v>
      </c>
      <c r="F1539" s="21">
        <f t="shared" ca="1" si="95"/>
        <v>0</v>
      </c>
      <c r="H1539" s="21">
        <v>1524</v>
      </c>
      <c r="I1539" s="107">
        <v>0.66777319585917816</v>
      </c>
      <c r="J1539" s="108">
        <v>1.4174769967576018E-3</v>
      </c>
      <c r="K1539" s="108"/>
      <c r="L1539" s="108">
        <v>4.0399999999999998E-2</v>
      </c>
      <c r="O1539" s="105"/>
    </row>
    <row r="1540" spans="2:15" x14ac:dyDescent="0.2">
      <c r="B1540" s="1">
        <v>1525</v>
      </c>
      <c r="C1540" s="106">
        <f t="shared" ca="1" si="92"/>
        <v>0.10172692115943208</v>
      </c>
      <c r="D1540" s="106">
        <f t="shared" ca="1" si="93"/>
        <v>0.67120366429003697</v>
      </c>
      <c r="E1540" s="106">
        <f t="shared" ca="1" si="94"/>
        <v>0</v>
      </c>
      <c r="F1540" s="21">
        <f t="shared" ca="1" si="95"/>
        <v>0</v>
      </c>
      <c r="H1540" s="21">
        <v>1525</v>
      </c>
      <c r="I1540" s="107">
        <v>0.66770272751555726</v>
      </c>
      <c r="J1540" s="108">
        <v>1.3923812090642675E-3</v>
      </c>
      <c r="K1540" s="108"/>
      <c r="L1540" s="108">
        <v>4.3400000000000001E-2</v>
      </c>
      <c r="O1540" s="105"/>
    </row>
    <row r="1541" spans="2:15" x14ac:dyDescent="0.2">
      <c r="B1541" s="1">
        <v>1526</v>
      </c>
      <c r="C1541" s="106">
        <f t="shared" ca="1" si="92"/>
        <v>-0.3599308659331672</v>
      </c>
      <c r="D1541" s="106">
        <f t="shared" ca="1" si="93"/>
        <v>0.64132354391850999</v>
      </c>
      <c r="E1541" s="106">
        <f t="shared" ca="1" si="94"/>
        <v>0</v>
      </c>
      <c r="F1541" s="21">
        <f t="shared" ca="1" si="95"/>
        <v>0</v>
      </c>
      <c r="H1541" s="21">
        <v>1526</v>
      </c>
      <c r="I1541" s="107">
        <v>0.66772923548702734</v>
      </c>
      <c r="J1541" s="108">
        <v>1.3511471130022621E-3</v>
      </c>
      <c r="K1541" s="108"/>
      <c r="L1541" s="108">
        <v>4.1599999999999998E-2</v>
      </c>
      <c r="O1541" s="105"/>
    </row>
    <row r="1542" spans="2:15" x14ac:dyDescent="0.2">
      <c r="B1542" s="1">
        <v>1527</v>
      </c>
      <c r="C1542" s="106">
        <f t="shared" ca="1" si="92"/>
        <v>0.27588340220447799</v>
      </c>
      <c r="D1542" s="106">
        <f t="shared" ca="1" si="93"/>
        <v>0.68283390166399971</v>
      </c>
      <c r="E1542" s="106">
        <f t="shared" ca="1" si="94"/>
        <v>0</v>
      </c>
      <c r="F1542" s="21">
        <f t="shared" ca="1" si="95"/>
        <v>0</v>
      </c>
      <c r="H1542" s="21">
        <v>1527</v>
      </c>
      <c r="I1542" s="107">
        <v>0.66773307957054695</v>
      </c>
      <c r="J1542" s="108">
        <v>1.4275351736718653E-3</v>
      </c>
      <c r="K1542" s="108"/>
      <c r="L1542" s="108">
        <v>4.3200000000000002E-2</v>
      </c>
      <c r="O1542" s="105"/>
    </row>
    <row r="1543" spans="2:15" x14ac:dyDescent="0.2">
      <c r="B1543" s="1">
        <v>1528</v>
      </c>
      <c r="C1543" s="106">
        <f t="shared" ca="1" si="92"/>
        <v>-0.62907835396269396</v>
      </c>
      <c r="D1543" s="106">
        <f t="shared" ca="1" si="93"/>
        <v>0.62452103580569696</v>
      </c>
      <c r="E1543" s="106">
        <f t="shared" ca="1" si="94"/>
        <v>0</v>
      </c>
      <c r="F1543" s="21">
        <f t="shared" ca="1" si="95"/>
        <v>0</v>
      </c>
      <c r="H1543" s="21">
        <v>1528</v>
      </c>
      <c r="I1543" s="107">
        <v>0.66764132799550269</v>
      </c>
      <c r="J1543" s="108">
        <v>1.2687886808981578E-3</v>
      </c>
      <c r="K1543" s="108"/>
      <c r="L1543" s="108">
        <v>4.3200000000000002E-2</v>
      </c>
      <c r="O1543" s="105"/>
    </row>
    <row r="1544" spans="2:15" x14ac:dyDescent="0.2">
      <c r="B1544" s="1">
        <v>1529</v>
      </c>
      <c r="C1544" s="106">
        <f t="shared" ca="1" si="92"/>
        <v>-0.88995100236973745</v>
      </c>
      <c r="D1544" s="106">
        <f t="shared" ca="1" si="93"/>
        <v>0.60865535582963126</v>
      </c>
      <c r="E1544" s="106">
        <f t="shared" ca="1" si="94"/>
        <v>0</v>
      </c>
      <c r="F1544" s="21">
        <f t="shared" ca="1" si="95"/>
        <v>0</v>
      </c>
      <c r="H1544" s="21">
        <v>1529</v>
      </c>
      <c r="I1544" s="107">
        <v>0.66768591697240498</v>
      </c>
      <c r="J1544" s="108">
        <v>1.4410587214997155E-3</v>
      </c>
      <c r="K1544" s="108"/>
      <c r="L1544" s="108">
        <v>4.1799999999999997E-2</v>
      </c>
      <c r="O1544" s="105"/>
    </row>
    <row r="1545" spans="2:15" x14ac:dyDescent="0.2">
      <c r="B1545" s="1">
        <v>1530</v>
      </c>
      <c r="C1545" s="106">
        <f t="shared" ca="1" si="92"/>
        <v>0.74928057556726324</v>
      </c>
      <c r="D1545" s="106">
        <f t="shared" ca="1" si="93"/>
        <v>0.71547607867974938</v>
      </c>
      <c r="E1545" s="106">
        <f t="shared" ca="1" si="94"/>
        <v>0</v>
      </c>
      <c r="F1545" s="21">
        <f t="shared" ca="1" si="95"/>
        <v>0</v>
      </c>
      <c r="H1545" s="21">
        <v>1530</v>
      </c>
      <c r="I1545" s="107">
        <v>0.66784517258019105</v>
      </c>
      <c r="J1545" s="108">
        <v>1.554712740053639E-3</v>
      </c>
      <c r="K1545" s="108"/>
      <c r="L1545" s="108">
        <v>4.2799999999999998E-2</v>
      </c>
      <c r="O1545" s="105"/>
    </row>
    <row r="1546" spans="2:15" x14ac:dyDescent="0.2">
      <c r="B1546" s="1">
        <v>1531</v>
      </c>
      <c r="C1546" s="106">
        <f t="shared" ca="1" si="92"/>
        <v>1.4280074387334114</v>
      </c>
      <c r="D1546" s="106">
        <f t="shared" ca="1" si="93"/>
        <v>0.76501747984894619</v>
      </c>
      <c r="E1546" s="106">
        <f t="shared" ca="1" si="94"/>
        <v>0</v>
      </c>
      <c r="F1546" s="21">
        <f t="shared" ca="1" si="95"/>
        <v>0</v>
      </c>
      <c r="H1546" s="21">
        <v>1531</v>
      </c>
      <c r="I1546" s="107">
        <v>0.66774025012041716</v>
      </c>
      <c r="J1546" s="108">
        <v>1.3580682468569273E-3</v>
      </c>
      <c r="K1546" s="108"/>
      <c r="L1546" s="108">
        <v>0.04</v>
      </c>
      <c r="O1546" s="105"/>
    </row>
    <row r="1547" spans="2:15" x14ac:dyDescent="0.2">
      <c r="B1547" s="1">
        <v>1532</v>
      </c>
      <c r="C1547" s="106">
        <f t="shared" ca="1" si="92"/>
        <v>1.0006835883243315</v>
      </c>
      <c r="D1547" s="106">
        <f t="shared" ca="1" si="93"/>
        <v>0.7334408047741513</v>
      </c>
      <c r="E1547" s="106">
        <f t="shared" ca="1" si="94"/>
        <v>0</v>
      </c>
      <c r="F1547" s="21">
        <f t="shared" ca="1" si="95"/>
        <v>0</v>
      </c>
      <c r="H1547" s="21">
        <v>1532</v>
      </c>
      <c r="I1547" s="107">
        <v>0.66761975614809166</v>
      </c>
      <c r="J1547" s="108">
        <v>1.2775673722792435E-3</v>
      </c>
      <c r="K1547" s="108"/>
      <c r="L1547" s="108">
        <v>4.0800000000000003E-2</v>
      </c>
      <c r="O1547" s="105"/>
    </row>
    <row r="1548" spans="2:15" x14ac:dyDescent="0.2">
      <c r="B1548" s="1">
        <v>1533</v>
      </c>
      <c r="C1548" s="106">
        <f t="shared" ca="1" si="92"/>
        <v>0.17285635274251204</v>
      </c>
      <c r="D1548" s="106">
        <f t="shared" ca="1" si="93"/>
        <v>0.67592959139826114</v>
      </c>
      <c r="E1548" s="106">
        <f t="shared" ca="1" si="94"/>
        <v>0</v>
      </c>
      <c r="F1548" s="21">
        <f t="shared" ca="1" si="95"/>
        <v>0</v>
      </c>
      <c r="H1548" s="21">
        <v>1533</v>
      </c>
      <c r="I1548" s="107">
        <v>0.66748874253826029</v>
      </c>
      <c r="J1548" s="108">
        <v>1.0589561561497095E-3</v>
      </c>
      <c r="K1548" s="108"/>
      <c r="L1548" s="108">
        <v>3.5000000000000003E-2</v>
      </c>
      <c r="O1548" s="105"/>
    </row>
    <row r="1549" spans="2:15" x14ac:dyDescent="0.2">
      <c r="B1549" s="1">
        <v>1534</v>
      </c>
      <c r="C1549" s="106">
        <f t="shared" ca="1" si="92"/>
        <v>-2.994840246418855</v>
      </c>
      <c r="D1549" s="106">
        <f t="shared" ca="1" si="93"/>
        <v>0.49453756990402753</v>
      </c>
      <c r="E1549" s="106">
        <f t="shared" ca="1" si="94"/>
        <v>0</v>
      </c>
      <c r="F1549" s="21">
        <f t="shared" ca="1" si="95"/>
        <v>0</v>
      </c>
      <c r="H1549" s="21">
        <v>1534</v>
      </c>
      <c r="I1549" s="107">
        <v>0.66785822577092691</v>
      </c>
      <c r="J1549" s="108">
        <v>1.5654749727747545E-3</v>
      </c>
      <c r="K1549" s="108"/>
      <c r="L1549" s="108">
        <v>4.5199999999999997E-2</v>
      </c>
      <c r="O1549" s="105"/>
    </row>
    <row r="1550" spans="2:15" x14ac:dyDescent="0.2">
      <c r="B1550" s="1">
        <v>1535</v>
      </c>
      <c r="C1550" s="106">
        <f t="shared" ca="1" si="92"/>
        <v>1.3553380158827473</v>
      </c>
      <c r="D1550" s="106">
        <f t="shared" ca="1" si="93"/>
        <v>0.75955328291504742</v>
      </c>
      <c r="E1550" s="106">
        <f t="shared" ca="1" si="94"/>
        <v>0</v>
      </c>
      <c r="F1550" s="21">
        <f t="shared" ca="1" si="95"/>
        <v>0</v>
      </c>
      <c r="H1550" s="21">
        <v>1535</v>
      </c>
      <c r="I1550" s="107">
        <v>0.66765201141856456</v>
      </c>
      <c r="J1550" s="108">
        <v>1.2073986862840239E-3</v>
      </c>
      <c r="K1550" s="108"/>
      <c r="L1550" s="108">
        <v>4.0800000000000003E-2</v>
      </c>
      <c r="O1550" s="105"/>
    </row>
    <row r="1551" spans="2:15" x14ac:dyDescent="0.2">
      <c r="B1551" s="1">
        <v>1536</v>
      </c>
      <c r="C1551" s="106">
        <f t="shared" ca="1" si="92"/>
        <v>-0.34500147755620886</v>
      </c>
      <c r="D1551" s="106">
        <f t="shared" ca="1" si="93"/>
        <v>0.64226868779000945</v>
      </c>
      <c r="E1551" s="106">
        <f t="shared" ca="1" si="94"/>
        <v>0</v>
      </c>
      <c r="F1551" s="21">
        <f t="shared" ca="1" si="95"/>
        <v>0</v>
      </c>
      <c r="H1551" s="21">
        <v>1536</v>
      </c>
      <c r="I1551" s="107">
        <v>0.66793382869253159</v>
      </c>
      <c r="J1551" s="108">
        <v>1.586434184702246E-3</v>
      </c>
      <c r="K1551" s="108"/>
      <c r="L1551" s="108">
        <v>4.5600000000000002E-2</v>
      </c>
      <c r="O1551" s="105"/>
    </row>
    <row r="1552" spans="2:15" x14ac:dyDescent="0.2">
      <c r="B1552" s="1">
        <v>1537</v>
      </c>
      <c r="C1552" s="106">
        <f t="shared" ref="C1552:C1615" ca="1" si="96">_xlfn.NORM.S.INV(RAND())</f>
        <v>0.18276472115636389</v>
      </c>
      <c r="D1552" s="106">
        <f t="shared" ref="D1552:D1615" ca="1" si="97">S0*EXP((μ-0.5*σ*σ)*T+σ*SQRT(T)*$C1552)</f>
        <v>0.67659055075976049</v>
      </c>
      <c r="E1552" s="106">
        <f t="shared" ref="E1552:E1615" ca="1" si="98">MAX(0,CP*(D1552-K))</f>
        <v>0</v>
      </c>
      <c r="F1552" s="21">
        <f t="shared" ref="F1552:F1615" ca="1" si="99">(CP*(D1552-K)&gt;0)*1</f>
        <v>0</v>
      </c>
      <c r="H1552" s="21">
        <v>1537</v>
      </c>
      <c r="I1552" s="107">
        <v>0.66765010759135879</v>
      </c>
      <c r="J1552" s="108">
        <v>1.3405241635053408E-3</v>
      </c>
      <c r="K1552" s="108"/>
      <c r="L1552" s="108">
        <v>3.8399999999999997E-2</v>
      </c>
      <c r="O1552" s="105"/>
    </row>
    <row r="1553" spans="2:15" x14ac:dyDescent="0.2">
      <c r="B1553" s="1">
        <v>1538</v>
      </c>
      <c r="C1553" s="106">
        <f t="shared" ca="1" si="96"/>
        <v>2.1741180544362089</v>
      </c>
      <c r="D1553" s="106">
        <f t="shared" ca="1" si="97"/>
        <v>0.82344439398975955</v>
      </c>
      <c r="E1553" s="106">
        <f t="shared" ca="1" si="98"/>
        <v>3.5244393989759537E-2</v>
      </c>
      <c r="F1553" s="21">
        <f t="shared" ca="1" si="99"/>
        <v>1</v>
      </c>
      <c r="H1553" s="21">
        <v>1538</v>
      </c>
      <c r="I1553" s="107">
        <v>0.66763917926433225</v>
      </c>
      <c r="J1553" s="108">
        <v>1.2638340706792313E-3</v>
      </c>
      <c r="K1553" s="108"/>
      <c r="L1553" s="108">
        <v>4.0800000000000003E-2</v>
      </c>
      <c r="O1553" s="105"/>
    </row>
    <row r="1554" spans="2:15" x14ac:dyDescent="0.2">
      <c r="B1554" s="1">
        <v>1539</v>
      </c>
      <c r="C1554" s="106">
        <f t="shared" ca="1" si="96"/>
        <v>-1.8429477508711722</v>
      </c>
      <c r="D1554" s="106">
        <f t="shared" ca="1" si="97"/>
        <v>0.55404578437946017</v>
      </c>
      <c r="E1554" s="106">
        <f t="shared" ca="1" si="98"/>
        <v>0</v>
      </c>
      <c r="F1554" s="21">
        <f t="shared" ca="1" si="99"/>
        <v>0</v>
      </c>
      <c r="H1554" s="21">
        <v>1539</v>
      </c>
      <c r="I1554" s="107">
        <v>0.6677430725095298</v>
      </c>
      <c r="J1554" s="108">
        <v>1.4038185844421295E-3</v>
      </c>
      <c r="K1554" s="108"/>
      <c r="L1554" s="108">
        <v>3.9800000000000002E-2</v>
      </c>
      <c r="O1554" s="105"/>
    </row>
    <row r="1555" spans="2:15" x14ac:dyDescent="0.2">
      <c r="B1555" s="1">
        <v>1540</v>
      </c>
      <c r="C1555" s="106">
        <f t="shared" ca="1" si="96"/>
        <v>0.40943325666344543</v>
      </c>
      <c r="D1555" s="106">
        <f t="shared" ca="1" si="97"/>
        <v>0.69188874898508057</v>
      </c>
      <c r="E1555" s="106">
        <f t="shared" ca="1" si="98"/>
        <v>0</v>
      </c>
      <c r="F1555" s="21">
        <f t="shared" ca="1" si="99"/>
        <v>0</v>
      </c>
      <c r="H1555" s="21">
        <v>1540</v>
      </c>
      <c r="I1555" s="107">
        <v>0.66769989159024057</v>
      </c>
      <c r="J1555" s="108">
        <v>1.2275545541712816E-3</v>
      </c>
      <c r="K1555" s="108"/>
      <c r="L1555" s="108">
        <v>0.04</v>
      </c>
      <c r="O1555" s="105"/>
    </row>
    <row r="1556" spans="2:15" x14ac:dyDescent="0.2">
      <c r="B1556" s="1">
        <v>1541</v>
      </c>
      <c r="C1556" s="106">
        <f t="shared" ca="1" si="96"/>
        <v>0.50015010305906238</v>
      </c>
      <c r="D1556" s="106">
        <f t="shared" ca="1" si="97"/>
        <v>0.69810785112251439</v>
      </c>
      <c r="E1556" s="106">
        <f t="shared" ca="1" si="98"/>
        <v>0</v>
      </c>
      <c r="F1556" s="21">
        <f t="shared" ca="1" si="99"/>
        <v>0</v>
      </c>
      <c r="H1556" s="21">
        <v>1541</v>
      </c>
      <c r="I1556" s="107">
        <v>0.66769072595834023</v>
      </c>
      <c r="J1556" s="108">
        <v>1.3758151700206088E-3</v>
      </c>
      <c r="K1556" s="108"/>
      <c r="L1556" s="108">
        <v>3.9E-2</v>
      </c>
      <c r="O1556" s="105"/>
    </row>
    <row r="1557" spans="2:15" x14ac:dyDescent="0.2">
      <c r="B1557" s="1">
        <v>1542</v>
      </c>
      <c r="C1557" s="106">
        <f t="shared" ca="1" si="96"/>
        <v>0.54909041447641371</v>
      </c>
      <c r="D1557" s="106">
        <f t="shared" ca="1" si="97"/>
        <v>0.70148614059264858</v>
      </c>
      <c r="E1557" s="106">
        <f t="shared" ca="1" si="98"/>
        <v>0</v>
      </c>
      <c r="F1557" s="21">
        <f t="shared" ca="1" si="99"/>
        <v>0</v>
      </c>
      <c r="H1557" s="21">
        <v>1542</v>
      </c>
      <c r="I1557" s="107">
        <v>0.66768390542380562</v>
      </c>
      <c r="J1557" s="108">
        <v>1.2851651323306382E-3</v>
      </c>
      <c r="K1557" s="108"/>
      <c r="L1557" s="108">
        <v>3.9600000000000003E-2</v>
      </c>
      <c r="O1557" s="105"/>
    </row>
    <row r="1558" spans="2:15" x14ac:dyDescent="0.2">
      <c r="B1558" s="1">
        <v>1543</v>
      </c>
      <c r="C1558" s="106">
        <f t="shared" ca="1" si="96"/>
        <v>1.778636124691519</v>
      </c>
      <c r="D1558" s="106">
        <f t="shared" ca="1" si="97"/>
        <v>0.7919396278729417</v>
      </c>
      <c r="E1558" s="106">
        <f t="shared" ca="1" si="98"/>
        <v>3.7396278729416865E-3</v>
      </c>
      <c r="F1558" s="21">
        <f t="shared" ca="1" si="99"/>
        <v>1</v>
      </c>
      <c r="H1558" s="21">
        <v>1543</v>
      </c>
      <c r="I1558" s="107">
        <v>0.66783183508307753</v>
      </c>
      <c r="J1558" s="108">
        <v>1.5199385069448097E-3</v>
      </c>
      <c r="K1558" s="108"/>
      <c r="L1558" s="108">
        <v>4.3999999999999997E-2</v>
      </c>
      <c r="O1558" s="105"/>
    </row>
    <row r="1559" spans="2:15" x14ac:dyDescent="0.2">
      <c r="B1559" s="1">
        <v>1544</v>
      </c>
      <c r="C1559" s="106">
        <f t="shared" ca="1" si="96"/>
        <v>-0.81589498104290359</v>
      </c>
      <c r="D1559" s="106">
        <f t="shared" ca="1" si="97"/>
        <v>0.61311785293233778</v>
      </c>
      <c r="E1559" s="106">
        <f t="shared" ca="1" si="98"/>
        <v>0</v>
      </c>
      <c r="F1559" s="21">
        <f t="shared" ca="1" si="99"/>
        <v>0</v>
      </c>
      <c r="H1559" s="21">
        <v>1544</v>
      </c>
      <c r="I1559" s="107">
        <v>0.66772931345823294</v>
      </c>
      <c r="J1559" s="108">
        <v>1.1684727538408346E-3</v>
      </c>
      <c r="K1559" s="108"/>
      <c r="L1559" s="108">
        <v>4.1599999999999998E-2</v>
      </c>
      <c r="O1559" s="105"/>
    </row>
    <row r="1560" spans="2:15" x14ac:dyDescent="0.2">
      <c r="B1560" s="1">
        <v>1545</v>
      </c>
      <c r="C1560" s="106">
        <f t="shared" ca="1" si="96"/>
        <v>0.61285078526065473</v>
      </c>
      <c r="D1560" s="106">
        <f t="shared" ca="1" si="97"/>
        <v>0.70591197614270373</v>
      </c>
      <c r="E1560" s="106">
        <f t="shared" ca="1" si="98"/>
        <v>0</v>
      </c>
      <c r="F1560" s="21">
        <f t="shared" ca="1" si="99"/>
        <v>0</v>
      </c>
      <c r="H1560" s="21">
        <v>1545</v>
      </c>
      <c r="I1560" s="107">
        <v>0.66786799081160408</v>
      </c>
      <c r="J1560" s="108">
        <v>1.5023449438878243E-3</v>
      </c>
      <c r="K1560" s="108"/>
      <c r="L1560" s="108">
        <v>4.36E-2</v>
      </c>
      <c r="O1560" s="105"/>
    </row>
    <row r="1561" spans="2:15" x14ac:dyDescent="0.2">
      <c r="B1561" s="1">
        <v>1546</v>
      </c>
      <c r="C1561" s="106">
        <f t="shared" ca="1" si="96"/>
        <v>-0.66929278099203404</v>
      </c>
      <c r="D1561" s="106">
        <f t="shared" ca="1" si="97"/>
        <v>0.62204859011111024</v>
      </c>
      <c r="E1561" s="106">
        <f t="shared" ca="1" si="98"/>
        <v>0</v>
      </c>
      <c r="F1561" s="21">
        <f t="shared" ca="1" si="99"/>
        <v>0</v>
      </c>
      <c r="H1561" s="21">
        <v>1546</v>
      </c>
      <c r="I1561" s="107">
        <v>0.66779098960270844</v>
      </c>
      <c r="J1561" s="108">
        <v>1.4323210762123553E-3</v>
      </c>
      <c r="K1561" s="108"/>
      <c r="L1561" s="108">
        <v>4.2599999999999999E-2</v>
      </c>
      <c r="O1561" s="105"/>
    </row>
    <row r="1562" spans="2:15" x14ac:dyDescent="0.2">
      <c r="B1562" s="1">
        <v>1547</v>
      </c>
      <c r="C1562" s="106">
        <f t="shared" ca="1" si="96"/>
        <v>0.68810311099782961</v>
      </c>
      <c r="D1562" s="106">
        <f t="shared" ca="1" si="97"/>
        <v>0.71117144945871402</v>
      </c>
      <c r="E1562" s="106">
        <f t="shared" ca="1" si="98"/>
        <v>0</v>
      </c>
      <c r="F1562" s="21">
        <f t="shared" ca="1" si="99"/>
        <v>0</v>
      </c>
      <c r="H1562" s="21">
        <v>1547</v>
      </c>
      <c r="I1562" s="107">
        <v>0.66781891838382457</v>
      </c>
      <c r="J1562" s="108">
        <v>1.4843869234445397E-3</v>
      </c>
      <c r="K1562" s="108"/>
      <c r="L1562" s="108">
        <v>4.48E-2</v>
      </c>
      <c r="O1562" s="105"/>
    </row>
    <row r="1563" spans="2:15" x14ac:dyDescent="0.2">
      <c r="B1563" s="1">
        <v>1548</v>
      </c>
      <c r="C1563" s="106">
        <f t="shared" ca="1" si="96"/>
        <v>-0.81288435518803293</v>
      </c>
      <c r="D1563" s="106">
        <f t="shared" ca="1" si="97"/>
        <v>0.61329995888329147</v>
      </c>
      <c r="E1563" s="106">
        <f t="shared" ca="1" si="98"/>
        <v>0</v>
      </c>
      <c r="F1563" s="21">
        <f t="shared" ca="1" si="99"/>
        <v>0</v>
      </c>
      <c r="H1563" s="21">
        <v>1548</v>
      </c>
      <c r="I1563" s="107">
        <v>0.66773316484928391</v>
      </c>
      <c r="J1563" s="108">
        <v>1.2948252803524568E-3</v>
      </c>
      <c r="K1563" s="108"/>
      <c r="L1563" s="108">
        <v>3.9800000000000002E-2</v>
      </c>
      <c r="O1563" s="105"/>
    </row>
    <row r="1564" spans="2:15" x14ac:dyDescent="0.2">
      <c r="B1564" s="1">
        <v>1549</v>
      </c>
      <c r="C1564" s="106">
        <f t="shared" ca="1" si="96"/>
        <v>-0.76308547199005938</v>
      </c>
      <c r="D1564" s="106">
        <f t="shared" ca="1" si="97"/>
        <v>0.61632003961754378</v>
      </c>
      <c r="E1564" s="106">
        <f t="shared" ca="1" si="98"/>
        <v>0</v>
      </c>
      <c r="F1564" s="21">
        <f t="shared" ca="1" si="99"/>
        <v>0</v>
      </c>
      <c r="H1564" s="21">
        <v>1549</v>
      </c>
      <c r="I1564" s="107">
        <v>0.66768407322500922</v>
      </c>
      <c r="J1564" s="108">
        <v>1.2052470543090583E-3</v>
      </c>
      <c r="K1564" s="108"/>
      <c r="L1564" s="108">
        <v>3.7999999999999999E-2</v>
      </c>
      <c r="O1564" s="105"/>
    </row>
    <row r="1565" spans="2:15" x14ac:dyDescent="0.2">
      <c r="B1565" s="1">
        <v>1550</v>
      </c>
      <c r="C1565" s="106">
        <f t="shared" ca="1" si="96"/>
        <v>-1.7616475138717975</v>
      </c>
      <c r="D1565" s="106">
        <f t="shared" ca="1" si="97"/>
        <v>0.55850685354646357</v>
      </c>
      <c r="E1565" s="106">
        <f t="shared" ca="1" si="98"/>
        <v>0</v>
      </c>
      <c r="F1565" s="21">
        <f t="shared" ca="1" si="99"/>
        <v>0</v>
      </c>
      <c r="H1565" s="21">
        <v>1550</v>
      </c>
      <c r="I1565" s="107">
        <v>0.66779123344794966</v>
      </c>
      <c r="J1565" s="108">
        <v>1.4515640113670805E-3</v>
      </c>
      <c r="K1565" s="108"/>
      <c r="L1565" s="108">
        <v>4.3200000000000002E-2</v>
      </c>
      <c r="O1565" s="105"/>
    </row>
    <row r="1566" spans="2:15" x14ac:dyDescent="0.2">
      <c r="B1566" s="1">
        <v>1551</v>
      </c>
      <c r="C1566" s="106">
        <f t="shared" ca="1" si="96"/>
        <v>0.88656587003439147</v>
      </c>
      <c r="D1566" s="106">
        <f t="shared" ca="1" si="97"/>
        <v>0.72523095944819194</v>
      </c>
      <c r="E1566" s="106">
        <f t="shared" ca="1" si="98"/>
        <v>0</v>
      </c>
      <c r="F1566" s="21">
        <f t="shared" ca="1" si="99"/>
        <v>0</v>
      </c>
      <c r="H1566" s="21">
        <v>1551</v>
      </c>
      <c r="I1566" s="107">
        <v>0.66778992801054726</v>
      </c>
      <c r="J1566" s="108">
        <v>1.4030638073076003E-3</v>
      </c>
      <c r="K1566" s="108"/>
      <c r="L1566" s="108">
        <v>4.2000000000000003E-2</v>
      </c>
      <c r="O1566" s="105"/>
    </row>
    <row r="1567" spans="2:15" x14ac:dyDescent="0.2">
      <c r="B1567" s="1">
        <v>1552</v>
      </c>
      <c r="C1567" s="106">
        <f t="shared" ca="1" si="96"/>
        <v>-0.96311295338501979</v>
      </c>
      <c r="D1567" s="106">
        <f t="shared" ca="1" si="97"/>
        <v>0.6042786287817703</v>
      </c>
      <c r="E1567" s="106">
        <f t="shared" ca="1" si="98"/>
        <v>0</v>
      </c>
      <c r="F1567" s="21">
        <f t="shared" ca="1" si="99"/>
        <v>0</v>
      </c>
      <c r="H1567" s="21">
        <v>1552</v>
      </c>
      <c r="I1567" s="107">
        <v>0.66782051582962354</v>
      </c>
      <c r="J1567" s="108">
        <v>1.3650886780671402E-3</v>
      </c>
      <c r="K1567" s="108"/>
      <c r="L1567" s="108">
        <v>4.2599999999999999E-2</v>
      </c>
      <c r="O1567" s="105"/>
    </row>
    <row r="1568" spans="2:15" x14ac:dyDescent="0.2">
      <c r="B1568" s="1">
        <v>1553</v>
      </c>
      <c r="C1568" s="106">
        <f t="shared" ca="1" si="96"/>
        <v>-0.70738068494821849</v>
      </c>
      <c r="D1568" s="106">
        <f t="shared" ca="1" si="97"/>
        <v>0.61971591256825975</v>
      </c>
      <c r="E1568" s="106">
        <f t="shared" ca="1" si="98"/>
        <v>0</v>
      </c>
      <c r="F1568" s="21">
        <f t="shared" ca="1" si="99"/>
        <v>0</v>
      </c>
      <c r="H1568" s="21">
        <v>1553</v>
      </c>
      <c r="I1568" s="107">
        <v>0.66779577236111998</v>
      </c>
      <c r="J1568" s="108">
        <v>1.4664302095050525E-3</v>
      </c>
      <c r="K1568" s="108"/>
      <c r="L1568" s="108">
        <v>4.4400000000000002E-2</v>
      </c>
      <c r="O1568" s="105"/>
    </row>
    <row r="1569" spans="2:15" x14ac:dyDescent="0.2">
      <c r="B1569" s="1">
        <v>1554</v>
      </c>
      <c r="C1569" s="106">
        <f t="shared" ca="1" si="96"/>
        <v>-1.2096215739262319</v>
      </c>
      <c r="D1569" s="106">
        <f t="shared" ca="1" si="97"/>
        <v>0.58976223275985107</v>
      </c>
      <c r="E1569" s="106">
        <f t="shared" ca="1" si="98"/>
        <v>0</v>
      </c>
      <c r="F1569" s="21">
        <f t="shared" ca="1" si="99"/>
        <v>0</v>
      </c>
      <c r="H1569" s="21">
        <v>1554</v>
      </c>
      <c r="I1569" s="107">
        <v>0.66779082798182843</v>
      </c>
      <c r="J1569" s="108">
        <v>1.261719791437672E-3</v>
      </c>
      <c r="K1569" s="108"/>
      <c r="L1569" s="108">
        <v>4.4600000000000001E-2</v>
      </c>
      <c r="O1569" s="105"/>
    </row>
    <row r="1570" spans="2:15" x14ac:dyDescent="0.2">
      <c r="B1570" s="1">
        <v>1555</v>
      </c>
      <c r="C1570" s="106">
        <f t="shared" ca="1" si="96"/>
        <v>-3.2661815266729825E-3</v>
      </c>
      <c r="D1570" s="106">
        <f t="shared" ca="1" si="97"/>
        <v>0.66428810975644892</v>
      </c>
      <c r="E1570" s="106">
        <f t="shared" ca="1" si="98"/>
        <v>0</v>
      </c>
      <c r="F1570" s="21">
        <f t="shared" ca="1" si="99"/>
        <v>0</v>
      </c>
      <c r="H1570" s="21">
        <v>1555</v>
      </c>
      <c r="I1570" s="107">
        <v>0.66765734877601579</v>
      </c>
      <c r="J1570" s="108">
        <v>1.1620415474781708E-3</v>
      </c>
      <c r="K1570" s="108"/>
      <c r="L1570" s="108">
        <v>3.8199999999999998E-2</v>
      </c>
      <c r="O1570" s="105"/>
    </row>
    <row r="1571" spans="2:15" x14ac:dyDescent="0.2">
      <c r="B1571" s="1">
        <v>1556</v>
      </c>
      <c r="C1571" s="106">
        <f t="shared" ca="1" si="96"/>
        <v>-1.0649041183533892</v>
      </c>
      <c r="D1571" s="106">
        <f t="shared" ca="1" si="97"/>
        <v>0.59824153795943702</v>
      </c>
      <c r="E1571" s="106">
        <f t="shared" ca="1" si="98"/>
        <v>0</v>
      </c>
      <c r="F1571" s="21">
        <f t="shared" ca="1" si="99"/>
        <v>0</v>
      </c>
      <c r="H1571" s="21">
        <v>1556</v>
      </c>
      <c r="I1571" s="107">
        <v>0.66776511157994833</v>
      </c>
      <c r="J1571" s="108">
        <v>1.4344168260105332E-3</v>
      </c>
      <c r="K1571" s="108"/>
      <c r="L1571" s="108">
        <v>4.3999999999999997E-2</v>
      </c>
      <c r="O1571" s="105"/>
    </row>
    <row r="1572" spans="2:15" x14ac:dyDescent="0.2">
      <c r="B1572" s="1">
        <v>1557</v>
      </c>
      <c r="C1572" s="106">
        <f t="shared" ca="1" si="96"/>
        <v>-0.21343187534728095</v>
      </c>
      <c r="D1572" s="106">
        <f t="shared" ca="1" si="97"/>
        <v>0.65065850386417534</v>
      </c>
      <c r="E1572" s="106">
        <f t="shared" ca="1" si="98"/>
        <v>0</v>
      </c>
      <c r="F1572" s="21">
        <f t="shared" ca="1" si="99"/>
        <v>0</v>
      </c>
      <c r="H1572" s="21">
        <v>1557</v>
      </c>
      <c r="I1572" s="107">
        <v>0.66768734007665187</v>
      </c>
      <c r="J1572" s="108">
        <v>1.3846070032792754E-3</v>
      </c>
      <c r="K1572" s="108"/>
      <c r="L1572" s="108">
        <v>4.2999999999999997E-2</v>
      </c>
      <c r="O1572" s="105"/>
    </row>
    <row r="1573" spans="2:15" x14ac:dyDescent="0.2">
      <c r="B1573" s="1">
        <v>1558</v>
      </c>
      <c r="C1573" s="106">
        <f t="shared" ca="1" si="96"/>
        <v>1.0630145990650104</v>
      </c>
      <c r="D1573" s="106">
        <f t="shared" ca="1" si="97"/>
        <v>0.73796419372908562</v>
      </c>
      <c r="E1573" s="106">
        <f t="shared" ca="1" si="98"/>
        <v>0</v>
      </c>
      <c r="F1573" s="21">
        <f t="shared" ca="1" si="99"/>
        <v>0</v>
      </c>
      <c r="H1573" s="21">
        <v>1558</v>
      </c>
      <c r="I1573" s="107">
        <v>0.66772499512453487</v>
      </c>
      <c r="J1573" s="108">
        <v>1.2442337855363297E-3</v>
      </c>
      <c r="K1573" s="108"/>
      <c r="L1573" s="108">
        <v>3.9399999999999998E-2</v>
      </c>
      <c r="O1573" s="105"/>
    </row>
    <row r="1574" spans="2:15" x14ac:dyDescent="0.2">
      <c r="B1574" s="1">
        <v>1559</v>
      </c>
      <c r="C1574" s="106">
        <f t="shared" ca="1" si="96"/>
        <v>1.0633950950511892</v>
      </c>
      <c r="D1574" s="106">
        <f t="shared" ca="1" si="97"/>
        <v>0.73799189198482484</v>
      </c>
      <c r="E1574" s="106">
        <f t="shared" ca="1" si="98"/>
        <v>0</v>
      </c>
      <c r="F1574" s="21">
        <f t="shared" ca="1" si="99"/>
        <v>0</v>
      </c>
      <c r="H1574" s="21">
        <v>1559</v>
      </c>
      <c r="I1574" s="107">
        <v>0.66770925768087552</v>
      </c>
      <c r="J1574" s="108">
        <v>1.398448734643848E-3</v>
      </c>
      <c r="K1574" s="108"/>
      <c r="L1574" s="108">
        <v>4.3999999999999997E-2</v>
      </c>
      <c r="O1574" s="105"/>
    </row>
    <row r="1575" spans="2:15" x14ac:dyDescent="0.2">
      <c r="B1575" s="1">
        <v>1560</v>
      </c>
      <c r="C1575" s="106">
        <f t="shared" ca="1" si="96"/>
        <v>-1.2400865477180887</v>
      </c>
      <c r="D1575" s="106">
        <f t="shared" ca="1" si="97"/>
        <v>0.58799259539211268</v>
      </c>
      <c r="E1575" s="106">
        <f t="shared" ca="1" si="98"/>
        <v>0</v>
      </c>
      <c r="F1575" s="21">
        <f t="shared" ca="1" si="99"/>
        <v>0</v>
      </c>
      <c r="H1575" s="21">
        <v>1560</v>
      </c>
      <c r="I1575" s="107">
        <v>0.66790536696336189</v>
      </c>
      <c r="J1575" s="108">
        <v>1.5252317120074198E-3</v>
      </c>
      <c r="K1575" s="108"/>
      <c r="L1575" s="108">
        <v>4.7199999999999999E-2</v>
      </c>
      <c r="O1575" s="105"/>
    </row>
    <row r="1576" spans="2:15" x14ac:dyDescent="0.2">
      <c r="B1576" s="1">
        <v>1561</v>
      </c>
      <c r="C1576" s="106">
        <f t="shared" ca="1" si="96"/>
        <v>-1.7366245326211287</v>
      </c>
      <c r="D1576" s="106">
        <f t="shared" ca="1" si="97"/>
        <v>0.55988711879192199</v>
      </c>
      <c r="E1576" s="106">
        <f t="shared" ca="1" si="98"/>
        <v>0</v>
      </c>
      <c r="F1576" s="21">
        <f t="shared" ca="1" si="99"/>
        <v>0</v>
      </c>
      <c r="H1576" s="21">
        <v>1561</v>
      </c>
      <c r="I1576" s="107">
        <v>0.66778115911479918</v>
      </c>
      <c r="J1576" s="108">
        <v>1.3310247905988499E-3</v>
      </c>
      <c r="K1576" s="108"/>
      <c r="L1576" s="108">
        <v>4.2200000000000001E-2</v>
      </c>
      <c r="O1576" s="105"/>
    </row>
    <row r="1577" spans="2:15" x14ac:dyDescent="0.2">
      <c r="B1577" s="1">
        <v>1562</v>
      </c>
      <c r="C1577" s="106">
        <f t="shared" ca="1" si="96"/>
        <v>-0.10105321411599953</v>
      </c>
      <c r="D1577" s="106">
        <f t="shared" ca="1" si="97"/>
        <v>0.65791129556578709</v>
      </c>
      <c r="E1577" s="106">
        <f t="shared" ca="1" si="98"/>
        <v>0</v>
      </c>
      <c r="F1577" s="21">
        <f t="shared" ca="1" si="99"/>
        <v>0</v>
      </c>
      <c r="H1577" s="21">
        <v>1562</v>
      </c>
      <c r="I1577" s="107">
        <v>0.66781151905771197</v>
      </c>
      <c r="J1577" s="108">
        <v>1.5043744190276693E-3</v>
      </c>
      <c r="K1577" s="108"/>
      <c r="L1577" s="108">
        <v>4.2799999999999998E-2</v>
      </c>
      <c r="O1577" s="105"/>
    </row>
    <row r="1578" spans="2:15" x14ac:dyDescent="0.2">
      <c r="B1578" s="1">
        <v>1563</v>
      </c>
      <c r="C1578" s="106">
        <f t="shared" ca="1" si="96"/>
        <v>9.303534691074318E-2</v>
      </c>
      <c r="D1578" s="106">
        <f t="shared" ca="1" si="97"/>
        <v>0.67062845551016093</v>
      </c>
      <c r="E1578" s="106">
        <f t="shared" ca="1" si="98"/>
        <v>0</v>
      </c>
      <c r="F1578" s="21">
        <f t="shared" ca="1" si="99"/>
        <v>0</v>
      </c>
      <c r="H1578" s="21">
        <v>1563</v>
      </c>
      <c r="I1578" s="107">
        <v>0.66784030058044019</v>
      </c>
      <c r="J1578" s="108">
        <v>1.4526807594061439E-3</v>
      </c>
      <c r="K1578" s="108"/>
      <c r="L1578" s="108">
        <v>4.7800000000000002E-2</v>
      </c>
      <c r="O1578" s="105"/>
    </row>
    <row r="1579" spans="2:15" x14ac:dyDescent="0.2">
      <c r="B1579" s="1">
        <v>1564</v>
      </c>
      <c r="C1579" s="106">
        <f t="shared" ca="1" si="96"/>
        <v>-2.1161405364791649E-2</v>
      </c>
      <c r="D1579" s="106">
        <f t="shared" ca="1" si="97"/>
        <v>0.66311653700875106</v>
      </c>
      <c r="E1579" s="106">
        <f t="shared" ca="1" si="98"/>
        <v>0</v>
      </c>
      <c r="F1579" s="21">
        <f t="shared" ca="1" si="99"/>
        <v>0</v>
      </c>
      <c r="H1579" s="21">
        <v>1564</v>
      </c>
      <c r="I1579" s="107">
        <v>0.66765606383567633</v>
      </c>
      <c r="J1579" s="108">
        <v>1.2435801874263271E-3</v>
      </c>
      <c r="K1579" s="108"/>
      <c r="L1579" s="108">
        <v>4.1000000000000002E-2</v>
      </c>
      <c r="O1579" s="105"/>
    </row>
    <row r="1580" spans="2:15" x14ac:dyDescent="0.2">
      <c r="B1580" s="1">
        <v>1565</v>
      </c>
      <c r="C1580" s="106">
        <f t="shared" ca="1" si="96"/>
        <v>-0.52065348806446554</v>
      </c>
      <c r="D1580" s="106">
        <f t="shared" ca="1" si="97"/>
        <v>0.63123624215937979</v>
      </c>
      <c r="E1580" s="106">
        <f t="shared" ca="1" si="98"/>
        <v>0</v>
      </c>
      <c r="F1580" s="21">
        <f t="shared" ca="1" si="99"/>
        <v>0</v>
      </c>
      <c r="H1580" s="21">
        <v>1565</v>
      </c>
      <c r="I1580" s="107">
        <v>0.66764243943210622</v>
      </c>
      <c r="J1580" s="108">
        <v>1.2867335394129366E-3</v>
      </c>
      <c r="K1580" s="108"/>
      <c r="L1580" s="108">
        <v>4.1599999999999998E-2</v>
      </c>
      <c r="O1580" s="105"/>
    </row>
    <row r="1581" spans="2:15" x14ac:dyDescent="0.2">
      <c r="B1581" s="1">
        <v>1566</v>
      </c>
      <c r="C1581" s="106">
        <f t="shared" ca="1" si="96"/>
        <v>1.4444849337418382</v>
      </c>
      <c r="D1581" s="106">
        <f t="shared" ca="1" si="97"/>
        <v>0.76626192121388448</v>
      </c>
      <c r="E1581" s="106">
        <f t="shared" ca="1" si="98"/>
        <v>0</v>
      </c>
      <c r="F1581" s="21">
        <f t="shared" ca="1" si="99"/>
        <v>0</v>
      </c>
      <c r="H1581" s="21">
        <v>1566</v>
      </c>
      <c r="I1581" s="107">
        <v>0.66782104186837354</v>
      </c>
      <c r="J1581" s="108">
        <v>1.4925573027018085E-3</v>
      </c>
      <c r="K1581" s="108"/>
      <c r="L1581" s="108">
        <v>4.5600000000000002E-2</v>
      </c>
      <c r="O1581" s="105"/>
    </row>
    <row r="1582" spans="2:15" x14ac:dyDescent="0.2">
      <c r="B1582" s="1">
        <v>1567</v>
      </c>
      <c r="C1582" s="106">
        <f t="shared" ca="1" si="96"/>
        <v>-0.29922293633835267</v>
      </c>
      <c r="D1582" s="106">
        <f t="shared" ca="1" si="97"/>
        <v>0.64517551040799448</v>
      </c>
      <c r="E1582" s="106">
        <f t="shared" ca="1" si="98"/>
        <v>0</v>
      </c>
      <c r="F1582" s="21">
        <f t="shared" ca="1" si="99"/>
        <v>0</v>
      </c>
      <c r="H1582" s="21">
        <v>1567</v>
      </c>
      <c r="I1582" s="107">
        <v>0.66771509066929779</v>
      </c>
      <c r="J1582" s="108">
        <v>1.29588658908086E-3</v>
      </c>
      <c r="K1582" s="108"/>
      <c r="L1582" s="108">
        <v>4.1000000000000002E-2</v>
      </c>
      <c r="O1582" s="105"/>
    </row>
    <row r="1583" spans="2:15" x14ac:dyDescent="0.2">
      <c r="B1583" s="1">
        <v>1568</v>
      </c>
      <c r="C1583" s="106">
        <f t="shared" ca="1" si="96"/>
        <v>-6.6389893145077511E-3</v>
      </c>
      <c r="D1583" s="106">
        <f t="shared" ca="1" si="97"/>
        <v>0.66406713903728465</v>
      </c>
      <c r="E1583" s="106">
        <f t="shared" ca="1" si="98"/>
        <v>0</v>
      </c>
      <c r="F1583" s="21">
        <f t="shared" ca="1" si="99"/>
        <v>0</v>
      </c>
      <c r="H1583" s="21">
        <v>1568</v>
      </c>
      <c r="I1583" s="107">
        <v>0.66767739340129006</v>
      </c>
      <c r="J1583" s="108">
        <v>1.2326100887441501E-3</v>
      </c>
      <c r="K1583" s="108"/>
      <c r="L1583" s="108">
        <v>3.7400000000000003E-2</v>
      </c>
      <c r="O1583" s="105"/>
    </row>
    <row r="1584" spans="2:15" x14ac:dyDescent="0.2">
      <c r="B1584" s="1">
        <v>1569</v>
      </c>
      <c r="C1584" s="106">
        <f t="shared" ca="1" si="96"/>
        <v>0.42689847236902395</v>
      </c>
      <c r="D1584" s="106">
        <f t="shared" ca="1" si="97"/>
        <v>0.6930817567659342</v>
      </c>
      <c r="E1584" s="106">
        <f t="shared" ca="1" si="98"/>
        <v>0</v>
      </c>
      <c r="F1584" s="21">
        <f t="shared" ca="1" si="99"/>
        <v>0</v>
      </c>
      <c r="H1584" s="21">
        <v>1569</v>
      </c>
      <c r="I1584" s="107">
        <v>0.66763520738825455</v>
      </c>
      <c r="J1584" s="108">
        <v>1.2235377826251841E-3</v>
      </c>
      <c r="K1584" s="108"/>
      <c r="L1584" s="108">
        <v>3.8800000000000001E-2</v>
      </c>
      <c r="O1584" s="105"/>
    </row>
    <row r="1585" spans="2:15" x14ac:dyDescent="0.2">
      <c r="B1585" s="1">
        <v>1570</v>
      </c>
      <c r="C1585" s="106">
        <f t="shared" ca="1" si="96"/>
        <v>-0.42557969384224564</v>
      </c>
      <c r="D1585" s="106">
        <f t="shared" ca="1" si="97"/>
        <v>0.63718395093412505</v>
      </c>
      <c r="E1585" s="106">
        <f t="shared" ca="1" si="98"/>
        <v>0</v>
      </c>
      <c r="F1585" s="21">
        <f t="shared" ca="1" si="99"/>
        <v>0</v>
      </c>
      <c r="H1585" s="21">
        <v>1570</v>
      </c>
      <c r="I1585" s="107">
        <v>0.66756671884603302</v>
      </c>
      <c r="J1585" s="108">
        <v>1.1551922210731062E-3</v>
      </c>
      <c r="K1585" s="108"/>
      <c r="L1585" s="108">
        <v>3.4799999999999998E-2</v>
      </c>
      <c r="O1585" s="105"/>
    </row>
    <row r="1586" spans="2:15" x14ac:dyDescent="0.2">
      <c r="B1586" s="1">
        <v>1571</v>
      </c>
      <c r="C1586" s="106">
        <f t="shared" ca="1" si="96"/>
        <v>0.55582933811846202</v>
      </c>
      <c r="D1586" s="106">
        <f t="shared" ca="1" si="97"/>
        <v>0.70195259895668394</v>
      </c>
      <c r="E1586" s="106">
        <f t="shared" ca="1" si="98"/>
        <v>0</v>
      </c>
      <c r="F1586" s="21">
        <f t="shared" ca="1" si="99"/>
        <v>0</v>
      </c>
      <c r="H1586" s="21">
        <v>1571</v>
      </c>
      <c r="I1586" s="107">
        <v>0.6676070599200592</v>
      </c>
      <c r="J1586" s="108">
        <v>1.1905065056079126E-3</v>
      </c>
      <c r="K1586" s="108"/>
      <c r="L1586" s="108">
        <v>3.7600000000000001E-2</v>
      </c>
      <c r="O1586" s="105"/>
    </row>
    <row r="1587" spans="2:15" x14ac:dyDescent="0.2">
      <c r="B1587" s="1">
        <v>1572</v>
      </c>
      <c r="C1587" s="106">
        <f t="shared" ca="1" si="96"/>
        <v>-1.211586876933691</v>
      </c>
      <c r="D1587" s="106">
        <f t="shared" ca="1" si="97"/>
        <v>0.58964791247928794</v>
      </c>
      <c r="E1587" s="106">
        <f t="shared" ca="1" si="98"/>
        <v>0</v>
      </c>
      <c r="F1587" s="21">
        <f t="shared" ca="1" si="99"/>
        <v>0</v>
      </c>
      <c r="H1587" s="21">
        <v>1572</v>
      </c>
      <c r="I1587" s="107">
        <v>0.66785438949391429</v>
      </c>
      <c r="J1587" s="108">
        <v>1.4478929736751129E-3</v>
      </c>
      <c r="K1587" s="108"/>
      <c r="L1587" s="108">
        <v>4.6399999999999997E-2</v>
      </c>
      <c r="O1587" s="105"/>
    </row>
    <row r="1588" spans="2:15" x14ac:dyDescent="0.2">
      <c r="B1588" s="1">
        <v>1573</v>
      </c>
      <c r="C1588" s="106">
        <f t="shared" ca="1" si="96"/>
        <v>-0.69870207117643635</v>
      </c>
      <c r="D1588" s="106">
        <f t="shared" ca="1" si="97"/>
        <v>0.62024665989587369</v>
      </c>
      <c r="E1588" s="106">
        <f t="shared" ca="1" si="98"/>
        <v>0</v>
      </c>
      <c r="F1588" s="21">
        <f t="shared" ca="1" si="99"/>
        <v>0</v>
      </c>
      <c r="H1588" s="21">
        <v>1573</v>
      </c>
      <c r="I1588" s="107">
        <v>0.66781053386412337</v>
      </c>
      <c r="J1588" s="108">
        <v>1.6010613827294438E-3</v>
      </c>
      <c r="K1588" s="108"/>
      <c r="L1588" s="108">
        <v>4.58E-2</v>
      </c>
      <c r="O1588" s="105"/>
    </row>
    <row r="1589" spans="2:15" x14ac:dyDescent="0.2">
      <c r="B1589" s="1">
        <v>1574</v>
      </c>
      <c r="C1589" s="106">
        <f t="shared" ca="1" si="96"/>
        <v>0.25850021535129447</v>
      </c>
      <c r="D1589" s="106">
        <f t="shared" ca="1" si="97"/>
        <v>0.68166404922497204</v>
      </c>
      <c r="E1589" s="106">
        <f t="shared" ca="1" si="98"/>
        <v>0</v>
      </c>
      <c r="F1589" s="21">
        <f t="shared" ca="1" si="99"/>
        <v>0</v>
      </c>
      <c r="H1589" s="21">
        <v>1574</v>
      </c>
      <c r="I1589" s="107">
        <v>0.66775563213053146</v>
      </c>
      <c r="J1589" s="108">
        <v>1.4203747732813357E-3</v>
      </c>
      <c r="K1589" s="108"/>
      <c r="L1589" s="108">
        <v>4.3200000000000002E-2</v>
      </c>
      <c r="O1589" s="105"/>
    </row>
    <row r="1590" spans="2:15" x14ac:dyDescent="0.2">
      <c r="B1590" s="1">
        <v>1575</v>
      </c>
      <c r="C1590" s="106">
        <f t="shared" ca="1" si="96"/>
        <v>1.3722262210340377</v>
      </c>
      <c r="D1590" s="106">
        <f t="shared" ca="1" si="97"/>
        <v>0.760819658217739</v>
      </c>
      <c r="E1590" s="106">
        <f t="shared" ca="1" si="98"/>
        <v>0</v>
      </c>
      <c r="F1590" s="21">
        <f t="shared" ca="1" si="99"/>
        <v>0</v>
      </c>
      <c r="H1590" s="21">
        <v>1575</v>
      </c>
      <c r="I1590" s="107">
        <v>0.66783904756410128</v>
      </c>
      <c r="J1590" s="108">
        <v>1.51220492441248E-3</v>
      </c>
      <c r="K1590" s="108"/>
      <c r="L1590" s="108">
        <v>4.4999999999999998E-2</v>
      </c>
      <c r="O1590" s="105"/>
    </row>
    <row r="1591" spans="2:15" x14ac:dyDescent="0.2">
      <c r="B1591" s="1">
        <v>1576</v>
      </c>
      <c r="C1591" s="106">
        <f t="shared" ca="1" si="96"/>
        <v>-0.63905469035117768</v>
      </c>
      <c r="D1591" s="106">
        <f t="shared" ca="1" si="97"/>
        <v>0.62390676003707335</v>
      </c>
      <c r="E1591" s="106">
        <f t="shared" ca="1" si="98"/>
        <v>0</v>
      </c>
      <c r="F1591" s="21">
        <f t="shared" ca="1" si="99"/>
        <v>0</v>
      </c>
      <c r="H1591" s="21">
        <v>1576</v>
      </c>
      <c r="I1591" s="107">
        <v>0.66775120460365101</v>
      </c>
      <c r="J1591" s="108">
        <v>1.3723783600286584E-3</v>
      </c>
      <c r="K1591" s="108"/>
      <c r="L1591" s="108">
        <v>4.2000000000000003E-2</v>
      </c>
      <c r="O1591" s="105"/>
    </row>
    <row r="1592" spans="2:15" x14ac:dyDescent="0.2">
      <c r="B1592" s="1">
        <v>1577</v>
      </c>
      <c r="C1592" s="106">
        <f t="shared" ca="1" si="96"/>
        <v>0.56563513575012747</v>
      </c>
      <c r="D1592" s="106">
        <f t="shared" ca="1" si="97"/>
        <v>0.70263189591082797</v>
      </c>
      <c r="E1592" s="106">
        <f t="shared" ca="1" si="98"/>
        <v>0</v>
      </c>
      <c r="F1592" s="21">
        <f t="shared" ca="1" si="99"/>
        <v>0</v>
      </c>
      <c r="H1592" s="21">
        <v>1577</v>
      </c>
      <c r="I1592" s="107">
        <v>0.66783803634499284</v>
      </c>
      <c r="J1592" s="108">
        <v>1.5208816189868255E-3</v>
      </c>
      <c r="K1592" s="108"/>
      <c r="L1592" s="108">
        <v>4.3799999999999999E-2</v>
      </c>
      <c r="O1592" s="105"/>
    </row>
    <row r="1593" spans="2:15" x14ac:dyDescent="0.2">
      <c r="B1593" s="1">
        <v>1578</v>
      </c>
      <c r="C1593" s="106">
        <f t="shared" ca="1" si="96"/>
        <v>0.89212538186614088</v>
      </c>
      <c r="D1593" s="106">
        <f t="shared" ca="1" si="97"/>
        <v>0.72562878345153092</v>
      </c>
      <c r="E1593" s="106">
        <f t="shared" ca="1" si="98"/>
        <v>0</v>
      </c>
      <c r="F1593" s="21">
        <f t="shared" ca="1" si="99"/>
        <v>0</v>
      </c>
      <c r="H1593" s="21">
        <v>1578</v>
      </c>
      <c r="I1593" s="107">
        <v>0.66771247758687668</v>
      </c>
      <c r="J1593" s="108">
        <v>1.2541922552433541E-3</v>
      </c>
      <c r="K1593" s="108"/>
      <c r="L1593" s="108">
        <v>0.04</v>
      </c>
      <c r="O1593" s="105"/>
    </row>
    <row r="1594" spans="2:15" x14ac:dyDescent="0.2">
      <c r="B1594" s="1">
        <v>1579</v>
      </c>
      <c r="C1594" s="106">
        <f t="shared" ca="1" si="96"/>
        <v>0.3271469828620911</v>
      </c>
      <c r="D1594" s="106">
        <f t="shared" ca="1" si="97"/>
        <v>0.6862955378812523</v>
      </c>
      <c r="E1594" s="106">
        <f t="shared" ca="1" si="98"/>
        <v>0</v>
      </c>
      <c r="F1594" s="21">
        <f t="shared" ca="1" si="99"/>
        <v>0</v>
      </c>
      <c r="H1594" s="21">
        <v>1579</v>
      </c>
      <c r="I1594" s="107">
        <v>0.6678458357855146</v>
      </c>
      <c r="J1594" s="108">
        <v>1.4863303667635209E-3</v>
      </c>
      <c r="K1594" s="108"/>
      <c r="L1594" s="108">
        <v>4.4400000000000002E-2</v>
      </c>
      <c r="O1594" s="105"/>
    </row>
    <row r="1595" spans="2:15" x14ac:dyDescent="0.2">
      <c r="B1595" s="1">
        <v>1580</v>
      </c>
      <c r="C1595" s="106">
        <f t="shared" ca="1" si="96"/>
        <v>-0.33178472662527519</v>
      </c>
      <c r="D1595" s="106">
        <f t="shared" ca="1" si="97"/>
        <v>0.64310657099555812</v>
      </c>
      <c r="E1595" s="106">
        <f t="shared" ca="1" si="98"/>
        <v>0</v>
      </c>
      <c r="F1595" s="21">
        <f t="shared" ca="1" si="99"/>
        <v>0</v>
      </c>
      <c r="H1595" s="21">
        <v>1580</v>
      </c>
      <c r="I1595" s="107">
        <v>0.6677735463026564</v>
      </c>
      <c r="J1595" s="108">
        <v>1.3767739101948106E-3</v>
      </c>
      <c r="K1595" s="108"/>
      <c r="L1595" s="108">
        <v>4.48E-2</v>
      </c>
      <c r="O1595" s="105"/>
    </row>
    <row r="1596" spans="2:15" x14ac:dyDescent="0.2">
      <c r="B1596" s="1">
        <v>1581</v>
      </c>
      <c r="C1596" s="106">
        <f t="shared" ca="1" si="96"/>
        <v>-1.3939823920631063</v>
      </c>
      <c r="D1596" s="106">
        <f t="shared" ca="1" si="97"/>
        <v>0.57913398872439847</v>
      </c>
      <c r="E1596" s="106">
        <f t="shared" ca="1" si="98"/>
        <v>0</v>
      </c>
      <c r="F1596" s="21">
        <f t="shared" ca="1" si="99"/>
        <v>0</v>
      </c>
      <c r="H1596" s="21">
        <v>1581</v>
      </c>
      <c r="I1596" s="107">
        <v>0.66774042086973961</v>
      </c>
      <c r="J1596" s="108">
        <v>1.3854492540920811E-3</v>
      </c>
      <c r="K1596" s="108"/>
      <c r="L1596" s="108">
        <v>4.0800000000000003E-2</v>
      </c>
      <c r="O1596" s="105"/>
    </row>
    <row r="1597" spans="2:15" x14ac:dyDescent="0.2">
      <c r="B1597" s="1">
        <v>1582</v>
      </c>
      <c r="C1597" s="106">
        <f t="shared" ca="1" si="96"/>
        <v>0.85896307879290845</v>
      </c>
      <c r="D1597" s="106">
        <f t="shared" ca="1" si="97"/>
        <v>0.72325900386810515</v>
      </c>
      <c r="E1597" s="106">
        <f t="shared" ca="1" si="98"/>
        <v>0</v>
      </c>
      <c r="F1597" s="21">
        <f t="shared" ca="1" si="99"/>
        <v>0</v>
      </c>
      <c r="H1597" s="21">
        <v>1582</v>
      </c>
      <c r="I1597" s="107">
        <v>0.66769898281016704</v>
      </c>
      <c r="J1597" s="108">
        <v>1.3665871696995214E-3</v>
      </c>
      <c r="K1597" s="108"/>
      <c r="L1597" s="108">
        <v>4.2999999999999997E-2</v>
      </c>
      <c r="O1597" s="105"/>
    </row>
    <row r="1598" spans="2:15" x14ac:dyDescent="0.2">
      <c r="B1598" s="1">
        <v>1583</v>
      </c>
      <c r="C1598" s="106">
        <f t="shared" ca="1" si="96"/>
        <v>5.666686963162576E-2</v>
      </c>
      <c r="D1598" s="106">
        <f t="shared" ca="1" si="97"/>
        <v>0.66822692987490373</v>
      </c>
      <c r="E1598" s="106">
        <f t="shared" ca="1" si="98"/>
        <v>0</v>
      </c>
      <c r="F1598" s="21">
        <f t="shared" ca="1" si="99"/>
        <v>0</v>
      </c>
      <c r="H1598" s="21">
        <v>1583</v>
      </c>
      <c r="I1598" s="107">
        <v>0.66772227032645903</v>
      </c>
      <c r="J1598" s="108">
        <v>1.4057412648862851E-3</v>
      </c>
      <c r="K1598" s="108"/>
      <c r="L1598" s="108">
        <v>4.2000000000000003E-2</v>
      </c>
      <c r="O1598" s="105"/>
    </row>
    <row r="1599" spans="2:15" x14ac:dyDescent="0.2">
      <c r="B1599" s="1">
        <v>1584</v>
      </c>
      <c r="C1599" s="106">
        <f t="shared" ca="1" si="96"/>
        <v>-0.75566813498359475</v>
      </c>
      <c r="D1599" s="106">
        <f t="shared" ca="1" si="97"/>
        <v>0.61677113884991164</v>
      </c>
      <c r="E1599" s="106">
        <f t="shared" ca="1" si="98"/>
        <v>0</v>
      </c>
      <c r="F1599" s="21">
        <f t="shared" ca="1" si="99"/>
        <v>0</v>
      </c>
      <c r="H1599" s="21">
        <v>1584</v>
      </c>
      <c r="I1599" s="107">
        <v>0.6675947013493494</v>
      </c>
      <c r="J1599" s="108">
        <v>1.2476825234288189E-3</v>
      </c>
      <c r="K1599" s="108"/>
      <c r="L1599" s="108">
        <v>0.04</v>
      </c>
      <c r="O1599" s="105"/>
    </row>
    <row r="1600" spans="2:15" x14ac:dyDescent="0.2">
      <c r="B1600" s="1">
        <v>1585</v>
      </c>
      <c r="C1600" s="106">
        <f t="shared" ca="1" si="96"/>
        <v>1.0762631025185214</v>
      </c>
      <c r="D1600" s="106">
        <f t="shared" ca="1" si="97"/>
        <v>0.73892923263830323</v>
      </c>
      <c r="E1600" s="106">
        <f t="shared" ca="1" si="98"/>
        <v>0</v>
      </c>
      <c r="F1600" s="21">
        <f t="shared" ca="1" si="99"/>
        <v>0</v>
      </c>
      <c r="H1600" s="21">
        <v>1585</v>
      </c>
      <c r="I1600" s="107">
        <v>0.66770798546200072</v>
      </c>
      <c r="J1600" s="108">
        <v>1.2837167877618311E-3</v>
      </c>
      <c r="K1600" s="108"/>
      <c r="L1600" s="108">
        <v>4.1799999999999997E-2</v>
      </c>
      <c r="O1600" s="105"/>
    </row>
    <row r="1601" spans="2:15" x14ac:dyDescent="0.2">
      <c r="B1601" s="1">
        <v>1586</v>
      </c>
      <c r="C1601" s="106">
        <f t="shared" ca="1" si="96"/>
        <v>-1.0021884275996262</v>
      </c>
      <c r="D1601" s="106">
        <f t="shared" ca="1" si="97"/>
        <v>0.60195394611633724</v>
      </c>
      <c r="E1601" s="106">
        <f t="shared" ca="1" si="98"/>
        <v>0</v>
      </c>
      <c r="F1601" s="21">
        <f t="shared" ca="1" si="99"/>
        <v>0</v>
      </c>
      <c r="H1601" s="21">
        <v>1586</v>
      </c>
      <c r="I1601" s="107">
        <v>0.66766831917060476</v>
      </c>
      <c r="J1601" s="108">
        <v>1.2695999945371752E-3</v>
      </c>
      <c r="K1601" s="108"/>
      <c r="L1601" s="108">
        <v>4.1799999999999997E-2</v>
      </c>
      <c r="O1601" s="105"/>
    </row>
    <row r="1602" spans="2:15" x14ac:dyDescent="0.2">
      <c r="B1602" s="1">
        <v>1587</v>
      </c>
      <c r="C1602" s="106">
        <f t="shared" ca="1" si="96"/>
        <v>-1.1236366136918687</v>
      </c>
      <c r="D1602" s="106">
        <f t="shared" ca="1" si="97"/>
        <v>0.59478567515235681</v>
      </c>
      <c r="E1602" s="106">
        <f t="shared" ca="1" si="98"/>
        <v>0</v>
      </c>
      <c r="F1602" s="21">
        <f t="shared" ca="1" si="99"/>
        <v>0</v>
      </c>
      <c r="H1602" s="21">
        <v>1587</v>
      </c>
      <c r="I1602" s="107">
        <v>0.66764830791325636</v>
      </c>
      <c r="J1602" s="108">
        <v>1.2734540915565989E-3</v>
      </c>
      <c r="K1602" s="108"/>
      <c r="L1602" s="108">
        <v>4.0800000000000003E-2</v>
      </c>
      <c r="O1602" s="105"/>
    </row>
    <row r="1603" spans="2:15" x14ac:dyDescent="0.2">
      <c r="B1603" s="1">
        <v>1588</v>
      </c>
      <c r="C1603" s="106">
        <f t="shared" ca="1" si="96"/>
        <v>-0.45404684873944123</v>
      </c>
      <c r="D1603" s="106">
        <f t="shared" ca="1" si="97"/>
        <v>0.63539722402320586</v>
      </c>
      <c r="E1603" s="106">
        <f t="shared" ca="1" si="98"/>
        <v>0</v>
      </c>
      <c r="F1603" s="21">
        <f t="shared" ca="1" si="99"/>
        <v>0</v>
      </c>
      <c r="H1603" s="21">
        <v>1588</v>
      </c>
      <c r="I1603" s="107">
        <v>0.66783407150830221</v>
      </c>
      <c r="J1603" s="108">
        <v>1.4184784595615018E-3</v>
      </c>
      <c r="K1603" s="108"/>
      <c r="L1603" s="108">
        <v>4.4400000000000002E-2</v>
      </c>
      <c r="O1603" s="105"/>
    </row>
    <row r="1604" spans="2:15" x14ac:dyDescent="0.2">
      <c r="B1604" s="1">
        <v>1589</v>
      </c>
      <c r="C1604" s="106">
        <f t="shared" ca="1" si="96"/>
        <v>0.97935389886926305</v>
      </c>
      <c r="D1604" s="106">
        <f t="shared" ca="1" si="97"/>
        <v>0.73189927575028546</v>
      </c>
      <c r="E1604" s="106">
        <f t="shared" ca="1" si="98"/>
        <v>0</v>
      </c>
      <c r="F1604" s="21">
        <f t="shared" ca="1" si="99"/>
        <v>0</v>
      </c>
      <c r="H1604" s="21">
        <v>1589</v>
      </c>
      <c r="I1604" s="107">
        <v>0.66773331014322956</v>
      </c>
      <c r="J1604" s="108">
        <v>1.4441740829960431E-3</v>
      </c>
      <c r="K1604" s="108"/>
      <c r="L1604" s="108">
        <v>3.9E-2</v>
      </c>
      <c r="O1604" s="105"/>
    </row>
    <row r="1605" spans="2:15" x14ac:dyDescent="0.2">
      <c r="B1605" s="1">
        <v>1590</v>
      </c>
      <c r="C1605" s="106">
        <f t="shared" ca="1" si="96"/>
        <v>-1.8974894975159449</v>
      </c>
      <c r="D1605" s="106">
        <f t="shared" ca="1" si="97"/>
        <v>0.551072983276225</v>
      </c>
      <c r="E1605" s="106">
        <f t="shared" ca="1" si="98"/>
        <v>0</v>
      </c>
      <c r="F1605" s="21">
        <f t="shared" ca="1" si="99"/>
        <v>0</v>
      </c>
      <c r="H1605" s="21">
        <v>1590</v>
      </c>
      <c r="I1605" s="107">
        <v>0.6678154382563074</v>
      </c>
      <c r="J1605" s="108">
        <v>1.4879156543497799E-3</v>
      </c>
      <c r="K1605" s="108"/>
      <c r="L1605" s="108">
        <v>4.6800000000000001E-2</v>
      </c>
      <c r="O1605" s="105"/>
    </row>
    <row r="1606" spans="2:15" x14ac:dyDescent="0.2">
      <c r="B1606" s="1">
        <v>1591</v>
      </c>
      <c r="C1606" s="106">
        <f t="shared" ca="1" si="96"/>
        <v>0.95469569608471638</v>
      </c>
      <c r="D1606" s="106">
        <f t="shared" ca="1" si="97"/>
        <v>0.73012122737003604</v>
      </c>
      <c r="E1606" s="106">
        <f t="shared" ca="1" si="98"/>
        <v>0</v>
      </c>
      <c r="F1606" s="21">
        <f t="shared" ca="1" si="99"/>
        <v>0</v>
      </c>
      <c r="H1606" s="21">
        <v>1591</v>
      </c>
      <c r="I1606" s="107">
        <v>0.66769415185854664</v>
      </c>
      <c r="J1606" s="108">
        <v>1.351563909658556E-3</v>
      </c>
      <c r="K1606" s="108"/>
      <c r="L1606" s="108">
        <v>4.1599999999999998E-2</v>
      </c>
      <c r="O1606" s="105"/>
    </row>
    <row r="1607" spans="2:15" x14ac:dyDescent="0.2">
      <c r="B1607" s="1">
        <v>1592</v>
      </c>
      <c r="C1607" s="106">
        <f t="shared" ca="1" si="96"/>
        <v>0.80585361848541204</v>
      </c>
      <c r="D1607" s="106">
        <f t="shared" ca="1" si="97"/>
        <v>0.71947991115982757</v>
      </c>
      <c r="E1607" s="106">
        <f t="shared" ca="1" si="98"/>
        <v>0</v>
      </c>
      <c r="F1607" s="21">
        <f t="shared" ca="1" si="99"/>
        <v>0</v>
      </c>
      <c r="H1607" s="21">
        <v>1592</v>
      </c>
      <c r="I1607" s="107">
        <v>0.667943751827629</v>
      </c>
      <c r="J1607" s="108">
        <v>1.6493098414191402E-3</v>
      </c>
      <c r="K1607" s="108"/>
      <c r="L1607" s="108">
        <v>4.3999999999999997E-2</v>
      </c>
      <c r="O1607" s="105"/>
    </row>
    <row r="1608" spans="2:15" x14ac:dyDescent="0.2">
      <c r="B1608" s="1">
        <v>1593</v>
      </c>
      <c r="C1608" s="106">
        <f t="shared" ca="1" si="96"/>
        <v>-0.40372720314914412</v>
      </c>
      <c r="D1608" s="106">
        <f t="shared" ca="1" si="97"/>
        <v>0.63855891969379275</v>
      </c>
      <c r="E1608" s="106">
        <f t="shared" ca="1" si="98"/>
        <v>0</v>
      </c>
      <c r="F1608" s="21">
        <f t="shared" ca="1" si="99"/>
        <v>0</v>
      </c>
      <c r="H1608" s="21">
        <v>1593</v>
      </c>
      <c r="I1608" s="107">
        <v>0.66784935242236176</v>
      </c>
      <c r="J1608" s="108">
        <v>1.5397522103606841E-3</v>
      </c>
      <c r="K1608" s="108"/>
      <c r="L1608" s="108">
        <v>4.36E-2</v>
      </c>
      <c r="O1608" s="105"/>
    </row>
    <row r="1609" spans="2:15" x14ac:dyDescent="0.2">
      <c r="B1609" s="1">
        <v>1594</v>
      </c>
      <c r="C1609" s="106">
        <f t="shared" ca="1" si="96"/>
        <v>-0.43740921133332505</v>
      </c>
      <c r="D1609" s="106">
        <f t="shared" ca="1" si="97"/>
        <v>0.63644086780728959</v>
      </c>
      <c r="E1609" s="106">
        <f t="shared" ca="1" si="98"/>
        <v>0</v>
      </c>
      <c r="F1609" s="21">
        <f t="shared" ca="1" si="99"/>
        <v>0</v>
      </c>
      <c r="H1609" s="21">
        <v>1594</v>
      </c>
      <c r="I1609" s="107">
        <v>0.6677115578983136</v>
      </c>
      <c r="J1609" s="108">
        <v>1.330858217692774E-3</v>
      </c>
      <c r="K1609" s="108"/>
      <c r="L1609" s="108">
        <v>4.2999999999999997E-2</v>
      </c>
      <c r="O1609" s="105"/>
    </row>
    <row r="1610" spans="2:15" x14ac:dyDescent="0.2">
      <c r="B1610" s="1">
        <v>1595</v>
      </c>
      <c r="C1610" s="106">
        <f t="shared" ca="1" si="96"/>
        <v>-1.922334739169516</v>
      </c>
      <c r="D1610" s="106">
        <f t="shared" ca="1" si="97"/>
        <v>0.54972408507011883</v>
      </c>
      <c r="E1610" s="106">
        <f t="shared" ca="1" si="98"/>
        <v>0</v>
      </c>
      <c r="F1610" s="21">
        <f t="shared" ca="1" si="99"/>
        <v>0</v>
      </c>
      <c r="H1610" s="21">
        <v>1595</v>
      </c>
      <c r="I1610" s="107">
        <v>0.66762312282847314</v>
      </c>
      <c r="J1610" s="108">
        <v>1.1825672283601151E-3</v>
      </c>
      <c r="K1610" s="108"/>
      <c r="L1610" s="108">
        <v>3.8399999999999997E-2</v>
      </c>
      <c r="O1610" s="105"/>
    </row>
    <row r="1611" spans="2:15" x14ac:dyDescent="0.2">
      <c r="B1611" s="1">
        <v>1596</v>
      </c>
      <c r="C1611" s="106">
        <f t="shared" ca="1" si="96"/>
        <v>0.80899730301673145</v>
      </c>
      <c r="D1611" s="106">
        <f t="shared" ca="1" si="97"/>
        <v>0.71970305446917127</v>
      </c>
      <c r="E1611" s="106">
        <f t="shared" ca="1" si="98"/>
        <v>0</v>
      </c>
      <c r="F1611" s="21">
        <f t="shared" ca="1" si="99"/>
        <v>0</v>
      </c>
      <c r="H1611" s="21">
        <v>1596</v>
      </c>
      <c r="I1611" s="107">
        <v>0.66780210625381042</v>
      </c>
      <c r="J1611" s="108">
        <v>1.4205191109966243E-3</v>
      </c>
      <c r="K1611" s="108"/>
      <c r="L1611" s="108">
        <v>4.5600000000000002E-2</v>
      </c>
      <c r="O1611" s="105"/>
    </row>
    <row r="1612" spans="2:15" x14ac:dyDescent="0.2">
      <c r="B1612" s="1">
        <v>1597</v>
      </c>
      <c r="C1612" s="106">
        <f t="shared" ca="1" si="96"/>
        <v>1.2925480696490863</v>
      </c>
      <c r="D1612" s="106">
        <f t="shared" ca="1" si="97"/>
        <v>0.75486338909968831</v>
      </c>
      <c r="E1612" s="106">
        <f t="shared" ca="1" si="98"/>
        <v>0</v>
      </c>
      <c r="F1612" s="21">
        <f t="shared" ca="1" si="99"/>
        <v>0</v>
      </c>
      <c r="H1612" s="21">
        <v>1597</v>
      </c>
      <c r="I1612" s="107">
        <v>0.66770780051300516</v>
      </c>
      <c r="J1612" s="108">
        <v>1.4770168415908771E-3</v>
      </c>
      <c r="K1612" s="108"/>
      <c r="L1612" s="108">
        <v>4.24E-2</v>
      </c>
      <c r="O1612" s="105"/>
    </row>
    <row r="1613" spans="2:15" x14ac:dyDescent="0.2">
      <c r="B1613" s="1">
        <v>1598</v>
      </c>
      <c r="C1613" s="106">
        <f t="shared" ca="1" si="96"/>
        <v>-0.86108503755044408</v>
      </c>
      <c r="D1613" s="106">
        <f t="shared" ca="1" si="97"/>
        <v>0.6103908968118541</v>
      </c>
      <c r="E1613" s="106">
        <f t="shared" ca="1" si="98"/>
        <v>0</v>
      </c>
      <c r="F1613" s="21">
        <f t="shared" ca="1" si="99"/>
        <v>0</v>
      </c>
      <c r="H1613" s="21">
        <v>1598</v>
      </c>
      <c r="I1613" s="107">
        <v>0.66761299657112172</v>
      </c>
      <c r="J1613" s="108">
        <v>1.2199011534397505E-3</v>
      </c>
      <c r="K1613" s="108"/>
      <c r="L1613" s="108">
        <v>3.8600000000000002E-2</v>
      </c>
      <c r="O1613" s="105"/>
    </row>
    <row r="1614" spans="2:15" x14ac:dyDescent="0.2">
      <c r="B1614" s="1">
        <v>1599</v>
      </c>
      <c r="C1614" s="106">
        <f t="shared" ca="1" si="96"/>
        <v>0.88796957159070111</v>
      </c>
      <c r="D1614" s="106">
        <f t="shared" ca="1" si="97"/>
        <v>0.72533138404221842</v>
      </c>
      <c r="E1614" s="106">
        <f t="shared" ca="1" si="98"/>
        <v>0</v>
      </c>
      <c r="F1614" s="21">
        <f t="shared" ca="1" si="99"/>
        <v>0</v>
      </c>
      <c r="H1614" s="21">
        <v>1599</v>
      </c>
      <c r="I1614" s="107">
        <v>0.66753503430980077</v>
      </c>
      <c r="J1614" s="108">
        <v>1.2345878443554715E-3</v>
      </c>
      <c r="K1614" s="108"/>
      <c r="L1614" s="108">
        <v>3.8199999999999998E-2</v>
      </c>
      <c r="O1614" s="105"/>
    </row>
    <row r="1615" spans="2:15" x14ac:dyDescent="0.2">
      <c r="B1615" s="1">
        <v>1600</v>
      </c>
      <c r="C1615" s="106">
        <f t="shared" ca="1" si="96"/>
        <v>1.2897260289887209</v>
      </c>
      <c r="D1615" s="106">
        <f t="shared" ca="1" si="97"/>
        <v>0.7546532871491819</v>
      </c>
      <c r="E1615" s="106">
        <f t="shared" ca="1" si="98"/>
        <v>0</v>
      </c>
      <c r="F1615" s="21">
        <f t="shared" ca="1" si="99"/>
        <v>0</v>
      </c>
      <c r="H1615" s="21">
        <v>1600</v>
      </c>
      <c r="I1615" s="107">
        <v>0.66785199788404048</v>
      </c>
      <c r="J1615" s="108">
        <v>1.5221783379059904E-3</v>
      </c>
      <c r="K1615" s="108"/>
      <c r="L1615" s="108">
        <v>4.5999999999999999E-2</v>
      </c>
      <c r="O1615" s="105"/>
    </row>
    <row r="1616" spans="2:15" x14ac:dyDescent="0.2">
      <c r="B1616" s="1">
        <v>1601</v>
      </c>
      <c r="C1616" s="106">
        <f t="shared" ref="C1616:C1679" ca="1" si="100">_xlfn.NORM.S.INV(RAND())</f>
        <v>9.5177382477929048E-2</v>
      </c>
      <c r="D1616" s="106">
        <f t="shared" ref="D1616:D1679" ca="1" si="101">S0*EXP((μ-0.5*σ*σ)*T+σ*SQRT(T)*$C1616)</f>
        <v>0.67077016973253933</v>
      </c>
      <c r="E1616" s="106">
        <f t="shared" ref="E1616:E1679" ca="1" si="102">MAX(0,CP*(D1616-K))</f>
        <v>0</v>
      </c>
      <c r="F1616" s="21">
        <f t="shared" ref="F1616:F1679" ca="1" si="103">(CP*(D1616-K)&gt;0)*1</f>
        <v>0</v>
      </c>
      <c r="H1616" s="21">
        <v>1601</v>
      </c>
      <c r="I1616" s="107">
        <v>0.66746784538174719</v>
      </c>
      <c r="J1616" s="108">
        <v>1.03262429788641E-3</v>
      </c>
      <c r="K1616" s="108"/>
      <c r="L1616" s="108">
        <v>3.2199999999999999E-2</v>
      </c>
      <c r="O1616" s="105"/>
    </row>
    <row r="1617" spans="2:15" x14ac:dyDescent="0.2">
      <c r="B1617" s="1">
        <v>1602</v>
      </c>
      <c r="C1617" s="106">
        <f t="shared" ca="1" si="100"/>
        <v>-0.30899699129756403</v>
      </c>
      <c r="D1617" s="106">
        <f t="shared" ca="1" si="101"/>
        <v>0.64455377985342699</v>
      </c>
      <c r="E1617" s="106">
        <f t="shared" ca="1" si="102"/>
        <v>0</v>
      </c>
      <c r="F1617" s="21">
        <f t="shared" ca="1" si="103"/>
        <v>0</v>
      </c>
      <c r="H1617" s="21">
        <v>1602</v>
      </c>
      <c r="I1617" s="107">
        <v>0.66780228639680117</v>
      </c>
      <c r="J1617" s="108">
        <v>1.443538560829924E-3</v>
      </c>
      <c r="K1617" s="108"/>
      <c r="L1617" s="108">
        <v>4.3799999999999999E-2</v>
      </c>
      <c r="O1617" s="105"/>
    </row>
    <row r="1618" spans="2:15" x14ac:dyDescent="0.2">
      <c r="B1618" s="1">
        <v>1603</v>
      </c>
      <c r="C1618" s="106">
        <f t="shared" ca="1" si="100"/>
        <v>-1.5188315697552846E-2</v>
      </c>
      <c r="D1618" s="106">
        <f t="shared" ca="1" si="101"/>
        <v>0.66350735607400546</v>
      </c>
      <c r="E1618" s="106">
        <f t="shared" ca="1" si="102"/>
        <v>0</v>
      </c>
      <c r="F1618" s="21">
        <f t="shared" ca="1" si="103"/>
        <v>0</v>
      </c>
      <c r="H1618" s="21">
        <v>1603</v>
      </c>
      <c r="I1618" s="107">
        <v>0.66757461223604297</v>
      </c>
      <c r="J1618" s="108">
        <v>1.165302785013318E-3</v>
      </c>
      <c r="K1618" s="108"/>
      <c r="L1618" s="108">
        <v>3.6400000000000002E-2</v>
      </c>
      <c r="O1618" s="105"/>
    </row>
    <row r="1619" spans="2:15" x14ac:dyDescent="0.2">
      <c r="B1619" s="1">
        <v>1604</v>
      </c>
      <c r="C1619" s="106">
        <f t="shared" ca="1" si="100"/>
        <v>0.63902462910217006</v>
      </c>
      <c r="D1619" s="106">
        <f t="shared" ca="1" si="101"/>
        <v>0.70773687043952527</v>
      </c>
      <c r="E1619" s="106">
        <f t="shared" ca="1" si="102"/>
        <v>0</v>
      </c>
      <c r="F1619" s="21">
        <f t="shared" ca="1" si="103"/>
        <v>0</v>
      </c>
      <c r="H1619" s="21">
        <v>1604</v>
      </c>
      <c r="I1619" s="107">
        <v>0.66787662738255771</v>
      </c>
      <c r="J1619" s="108">
        <v>1.5632096897805043E-3</v>
      </c>
      <c r="K1619" s="108"/>
      <c r="L1619" s="108">
        <v>4.5999999999999999E-2</v>
      </c>
      <c r="O1619" s="105"/>
    </row>
    <row r="1620" spans="2:15" x14ac:dyDescent="0.2">
      <c r="B1620" s="1">
        <v>1605</v>
      </c>
      <c r="C1620" s="106">
        <f t="shared" ca="1" si="100"/>
        <v>-2.5963732179697281E-2</v>
      </c>
      <c r="D1620" s="106">
        <f t="shared" ca="1" si="101"/>
        <v>0.66280248786695162</v>
      </c>
      <c r="E1620" s="106">
        <f t="shared" ca="1" si="102"/>
        <v>0</v>
      </c>
      <c r="F1620" s="21">
        <f t="shared" ca="1" si="103"/>
        <v>0</v>
      </c>
      <c r="H1620" s="21">
        <v>1605</v>
      </c>
      <c r="I1620" s="107">
        <v>0.66770502682069122</v>
      </c>
      <c r="J1620" s="108">
        <v>1.404548775575259E-3</v>
      </c>
      <c r="K1620" s="108"/>
      <c r="L1620" s="108">
        <v>4.24E-2</v>
      </c>
      <c r="O1620" s="105"/>
    </row>
    <row r="1621" spans="2:15" x14ac:dyDescent="0.2">
      <c r="B1621" s="1">
        <v>1606</v>
      </c>
      <c r="C1621" s="106">
        <f t="shared" ca="1" si="100"/>
        <v>1.3657195983903607</v>
      </c>
      <c r="D1621" s="106">
        <f t="shared" ca="1" si="101"/>
        <v>0.76033150418217343</v>
      </c>
      <c r="E1621" s="106">
        <f t="shared" ca="1" si="102"/>
        <v>0</v>
      </c>
      <c r="F1621" s="21">
        <f t="shared" ca="1" si="103"/>
        <v>0</v>
      </c>
      <c r="H1621" s="21">
        <v>1606</v>
      </c>
      <c r="I1621" s="107">
        <v>0.6677761164003061</v>
      </c>
      <c r="J1621" s="108">
        <v>1.501848472610479E-3</v>
      </c>
      <c r="K1621" s="108"/>
      <c r="L1621" s="108">
        <v>4.3200000000000002E-2</v>
      </c>
      <c r="O1621" s="105"/>
    </row>
    <row r="1622" spans="2:15" x14ac:dyDescent="0.2">
      <c r="B1622" s="1">
        <v>1607</v>
      </c>
      <c r="C1622" s="106">
        <f t="shared" ca="1" si="100"/>
        <v>-1.2666491879122594</v>
      </c>
      <c r="D1622" s="106">
        <f t="shared" ca="1" si="101"/>
        <v>0.58645396906988612</v>
      </c>
      <c r="E1622" s="106">
        <f t="shared" ca="1" si="102"/>
        <v>0</v>
      </c>
      <c r="F1622" s="21">
        <f t="shared" ca="1" si="103"/>
        <v>0</v>
      </c>
      <c r="H1622" s="21">
        <v>1607</v>
      </c>
      <c r="I1622" s="107">
        <v>0.66778060391313443</v>
      </c>
      <c r="J1622" s="108">
        <v>1.3027436041966242E-3</v>
      </c>
      <c r="K1622" s="108"/>
      <c r="L1622" s="108">
        <v>4.02E-2</v>
      </c>
      <c r="O1622" s="105"/>
    </row>
    <row r="1623" spans="2:15" x14ac:dyDescent="0.2">
      <c r="B1623" s="1">
        <v>1608</v>
      </c>
      <c r="C1623" s="106">
        <f t="shared" ca="1" si="100"/>
        <v>0.2153792379472689</v>
      </c>
      <c r="D1623" s="106">
        <f t="shared" ca="1" si="101"/>
        <v>0.6787707418350164</v>
      </c>
      <c r="E1623" s="106">
        <f t="shared" ca="1" si="102"/>
        <v>0</v>
      </c>
      <c r="F1623" s="21">
        <f t="shared" ca="1" si="103"/>
        <v>0</v>
      </c>
      <c r="H1623" s="21">
        <v>1608</v>
      </c>
      <c r="I1623" s="107">
        <v>0.66761219056852839</v>
      </c>
      <c r="J1623" s="108">
        <v>1.1721607044735767E-3</v>
      </c>
      <c r="K1623" s="108"/>
      <c r="L1623" s="108">
        <v>3.5799999999999998E-2</v>
      </c>
      <c r="O1623" s="105"/>
    </row>
    <row r="1624" spans="2:15" x14ac:dyDescent="0.2">
      <c r="B1624" s="1">
        <v>1609</v>
      </c>
      <c r="C1624" s="106">
        <f t="shared" ca="1" si="100"/>
        <v>1.0585158605817848</v>
      </c>
      <c r="D1624" s="106">
        <f t="shared" ca="1" si="101"/>
        <v>0.73763678626146667</v>
      </c>
      <c r="E1624" s="106">
        <f t="shared" ca="1" si="102"/>
        <v>0</v>
      </c>
      <c r="F1624" s="21">
        <f t="shared" ca="1" si="103"/>
        <v>0</v>
      </c>
      <c r="H1624" s="21">
        <v>1609</v>
      </c>
      <c r="I1624" s="107">
        <v>0.66779524292628156</v>
      </c>
      <c r="J1624" s="108">
        <v>1.3725312262340991E-3</v>
      </c>
      <c r="K1624" s="108"/>
      <c r="L1624" s="108">
        <v>4.5999999999999999E-2</v>
      </c>
      <c r="O1624" s="105"/>
    </row>
    <row r="1625" spans="2:15" x14ac:dyDescent="0.2">
      <c r="B1625" s="1">
        <v>1610</v>
      </c>
      <c r="C1625" s="106">
        <f t="shared" ca="1" si="100"/>
        <v>0.79097656539918881</v>
      </c>
      <c r="D1625" s="106">
        <f t="shared" ca="1" si="101"/>
        <v>0.71842485430663672</v>
      </c>
      <c r="E1625" s="106">
        <f t="shared" ca="1" si="102"/>
        <v>0</v>
      </c>
      <c r="F1625" s="21">
        <f t="shared" ca="1" si="103"/>
        <v>0</v>
      </c>
      <c r="H1625" s="21">
        <v>1610</v>
      </c>
      <c r="I1625" s="107">
        <v>0.66789987132025375</v>
      </c>
      <c r="J1625" s="108">
        <v>1.4821797011358082E-3</v>
      </c>
      <c r="K1625" s="108"/>
      <c r="L1625" s="108">
        <v>4.4600000000000001E-2</v>
      </c>
      <c r="O1625" s="105"/>
    </row>
    <row r="1626" spans="2:15" x14ac:dyDescent="0.2">
      <c r="B1626" s="1">
        <v>1611</v>
      </c>
      <c r="C1626" s="106">
        <f t="shared" ca="1" si="100"/>
        <v>0.19014677513320488</v>
      </c>
      <c r="D1626" s="106">
        <f t="shared" ca="1" si="101"/>
        <v>0.67708340690515867</v>
      </c>
      <c r="E1626" s="106">
        <f t="shared" ca="1" si="102"/>
        <v>0</v>
      </c>
      <c r="F1626" s="21">
        <f t="shared" ca="1" si="103"/>
        <v>0</v>
      </c>
      <c r="H1626" s="21">
        <v>1611</v>
      </c>
      <c r="I1626" s="107">
        <v>0.6677044201574196</v>
      </c>
      <c r="J1626" s="108">
        <v>1.3709234095381298E-3</v>
      </c>
      <c r="K1626" s="108"/>
      <c r="L1626" s="108">
        <v>4.3799999999999999E-2</v>
      </c>
      <c r="O1626" s="105"/>
    </row>
    <row r="1627" spans="2:15" x14ac:dyDescent="0.2">
      <c r="B1627" s="1">
        <v>1612</v>
      </c>
      <c r="C1627" s="106">
        <f t="shared" ca="1" si="100"/>
        <v>-0.87155021504510088</v>
      </c>
      <c r="D1627" s="106">
        <f t="shared" ca="1" si="101"/>
        <v>0.60976111602713567</v>
      </c>
      <c r="E1627" s="106">
        <f t="shared" ca="1" si="102"/>
        <v>0</v>
      </c>
      <c r="F1627" s="21">
        <f t="shared" ca="1" si="103"/>
        <v>0</v>
      </c>
      <c r="H1627" s="21">
        <v>1612</v>
      </c>
      <c r="I1627" s="107">
        <v>0.66778706248066</v>
      </c>
      <c r="J1627" s="108">
        <v>1.4909493833580763E-3</v>
      </c>
      <c r="K1627" s="108"/>
      <c r="L1627" s="108">
        <v>4.36E-2</v>
      </c>
      <c r="O1627" s="105"/>
    </row>
    <row r="1628" spans="2:15" x14ac:dyDescent="0.2">
      <c r="B1628" s="1">
        <v>1613</v>
      </c>
      <c r="C1628" s="106">
        <f t="shared" ca="1" si="100"/>
        <v>0.52180437842457328</v>
      </c>
      <c r="D1628" s="106">
        <f t="shared" ca="1" si="101"/>
        <v>0.69960060768298182</v>
      </c>
      <c r="E1628" s="106">
        <f t="shared" ca="1" si="102"/>
        <v>0</v>
      </c>
      <c r="F1628" s="21">
        <f t="shared" ca="1" si="103"/>
        <v>0</v>
      </c>
      <c r="H1628" s="21">
        <v>1613</v>
      </c>
      <c r="I1628" s="107">
        <v>0.66786946629267929</v>
      </c>
      <c r="J1628" s="108">
        <v>1.5237058971861494E-3</v>
      </c>
      <c r="K1628" s="108"/>
      <c r="L1628" s="108">
        <v>4.5199999999999997E-2</v>
      </c>
      <c r="O1628" s="105"/>
    </row>
    <row r="1629" spans="2:15" x14ac:dyDescent="0.2">
      <c r="B1629" s="1">
        <v>1614</v>
      </c>
      <c r="C1629" s="106">
        <f t="shared" ca="1" si="100"/>
        <v>0.39734029939903515</v>
      </c>
      <c r="D1629" s="106">
        <f t="shared" ca="1" si="101"/>
        <v>0.69106391093752373</v>
      </c>
      <c r="E1629" s="106">
        <f t="shared" ca="1" si="102"/>
        <v>0</v>
      </c>
      <c r="F1629" s="21">
        <f t="shared" ca="1" si="103"/>
        <v>0</v>
      </c>
      <c r="H1629" s="21">
        <v>1614</v>
      </c>
      <c r="I1629" s="107">
        <v>0.66768364012507553</v>
      </c>
      <c r="J1629" s="108">
        <v>1.2603571870729304E-3</v>
      </c>
      <c r="K1629" s="108"/>
      <c r="L1629" s="108">
        <v>3.9199999999999999E-2</v>
      </c>
      <c r="O1629" s="105"/>
    </row>
    <row r="1630" spans="2:15" x14ac:dyDescent="0.2">
      <c r="B1630" s="1">
        <v>1615</v>
      </c>
      <c r="C1630" s="106">
        <f t="shared" ca="1" si="100"/>
        <v>0.90369832949219597</v>
      </c>
      <c r="D1630" s="106">
        <f t="shared" ca="1" si="101"/>
        <v>0.72645761314656043</v>
      </c>
      <c r="E1630" s="106">
        <f t="shared" ca="1" si="102"/>
        <v>0</v>
      </c>
      <c r="F1630" s="21">
        <f t="shared" ca="1" si="103"/>
        <v>0</v>
      </c>
      <c r="H1630" s="21">
        <v>1615</v>
      </c>
      <c r="I1630" s="107">
        <v>0.66773352318320311</v>
      </c>
      <c r="J1630" s="108">
        <v>1.3661276061177291E-3</v>
      </c>
      <c r="K1630" s="108"/>
      <c r="L1630" s="108">
        <v>3.9E-2</v>
      </c>
      <c r="O1630" s="105"/>
    </row>
    <row r="1631" spans="2:15" x14ac:dyDescent="0.2">
      <c r="B1631" s="1">
        <v>1616</v>
      </c>
      <c r="C1631" s="106">
        <f t="shared" ca="1" si="100"/>
        <v>0.14250444659694447</v>
      </c>
      <c r="D1631" s="106">
        <f t="shared" ca="1" si="101"/>
        <v>0.67390891688024679</v>
      </c>
      <c r="E1631" s="106">
        <f t="shared" ca="1" si="102"/>
        <v>0</v>
      </c>
      <c r="F1631" s="21">
        <f t="shared" ca="1" si="103"/>
        <v>0</v>
      </c>
      <c r="H1631" s="21">
        <v>1616</v>
      </c>
      <c r="I1631" s="107">
        <v>0.66766800198094933</v>
      </c>
      <c r="J1631" s="108">
        <v>1.2023775252645906E-3</v>
      </c>
      <c r="K1631" s="108"/>
      <c r="L1631" s="108">
        <v>3.9199999999999999E-2</v>
      </c>
      <c r="O1631" s="105"/>
    </row>
    <row r="1632" spans="2:15" x14ac:dyDescent="0.2">
      <c r="B1632" s="1">
        <v>1617</v>
      </c>
      <c r="C1632" s="106">
        <f t="shared" ca="1" si="100"/>
        <v>-0.48961323153587488</v>
      </c>
      <c r="D1632" s="106">
        <f t="shared" ca="1" si="101"/>
        <v>0.63317195606786181</v>
      </c>
      <c r="E1632" s="106">
        <f t="shared" ca="1" si="102"/>
        <v>0</v>
      </c>
      <c r="F1632" s="21">
        <f t="shared" ca="1" si="103"/>
        <v>0</v>
      </c>
      <c r="H1632" s="21">
        <v>1617</v>
      </c>
      <c r="I1632" s="107">
        <v>0.66784735253773764</v>
      </c>
      <c r="J1632" s="108">
        <v>1.5788035687628974E-3</v>
      </c>
      <c r="K1632" s="108"/>
      <c r="L1632" s="108">
        <v>4.1799999999999997E-2</v>
      </c>
      <c r="O1632" s="105"/>
    </row>
    <row r="1633" spans="2:15" x14ac:dyDescent="0.2">
      <c r="B1633" s="1">
        <v>1618</v>
      </c>
      <c r="C1633" s="106">
        <f t="shared" ca="1" si="100"/>
        <v>0.33822116665103352</v>
      </c>
      <c r="D1633" s="106">
        <f t="shared" ca="1" si="101"/>
        <v>0.68704563764718818</v>
      </c>
      <c r="E1633" s="106">
        <f t="shared" ca="1" si="102"/>
        <v>0</v>
      </c>
      <c r="F1633" s="21">
        <f t="shared" ca="1" si="103"/>
        <v>0</v>
      </c>
      <c r="H1633" s="21">
        <v>1618</v>
      </c>
      <c r="I1633" s="107">
        <v>0.66772753888969649</v>
      </c>
      <c r="J1633" s="108">
        <v>1.2909830674791738E-3</v>
      </c>
      <c r="K1633" s="108"/>
      <c r="L1633" s="108">
        <v>4.0399999999999998E-2</v>
      </c>
      <c r="O1633" s="105"/>
    </row>
    <row r="1634" spans="2:15" x14ac:dyDescent="0.2">
      <c r="B1634" s="1">
        <v>1619</v>
      </c>
      <c r="C1634" s="106">
        <f t="shared" ca="1" si="100"/>
        <v>0.46662317369375833</v>
      </c>
      <c r="D1634" s="106">
        <f t="shared" ca="1" si="101"/>
        <v>0.69580292365274621</v>
      </c>
      <c r="E1634" s="106">
        <f t="shared" ca="1" si="102"/>
        <v>0</v>
      </c>
      <c r="F1634" s="21">
        <f t="shared" ca="1" si="103"/>
        <v>0</v>
      </c>
      <c r="H1634" s="21">
        <v>1619</v>
      </c>
      <c r="I1634" s="107">
        <v>0.66768848012962811</v>
      </c>
      <c r="J1634" s="108">
        <v>1.2501371427518018E-3</v>
      </c>
      <c r="K1634" s="108"/>
      <c r="L1634" s="108">
        <v>4.0800000000000003E-2</v>
      </c>
      <c r="O1634" s="105"/>
    </row>
    <row r="1635" spans="2:15" x14ac:dyDescent="0.2">
      <c r="B1635" s="1">
        <v>1620</v>
      </c>
      <c r="C1635" s="106">
        <f t="shared" ca="1" si="100"/>
        <v>-1.9190731246857675</v>
      </c>
      <c r="D1635" s="106">
        <f t="shared" ca="1" si="101"/>
        <v>0.54990097624133349</v>
      </c>
      <c r="E1635" s="106">
        <f t="shared" ca="1" si="102"/>
        <v>0</v>
      </c>
      <c r="F1635" s="21">
        <f t="shared" ca="1" si="103"/>
        <v>0</v>
      </c>
      <c r="H1635" s="21">
        <v>1620</v>
      </c>
      <c r="I1635" s="107">
        <v>0.66774525536307894</v>
      </c>
      <c r="J1635" s="108">
        <v>1.3959957479822182E-3</v>
      </c>
      <c r="K1635" s="108"/>
      <c r="L1635" s="108">
        <v>3.9399999999999998E-2</v>
      </c>
      <c r="O1635" s="105"/>
    </row>
    <row r="1636" spans="2:15" x14ac:dyDescent="0.2">
      <c r="B1636" s="1">
        <v>1621</v>
      </c>
      <c r="C1636" s="106">
        <f t="shared" ca="1" si="100"/>
        <v>-0.26076548280589956</v>
      </c>
      <c r="D1636" s="106">
        <f t="shared" ca="1" si="101"/>
        <v>0.64762762807247376</v>
      </c>
      <c r="E1636" s="106">
        <f t="shared" ca="1" si="102"/>
        <v>0</v>
      </c>
      <c r="F1636" s="21">
        <f t="shared" ca="1" si="103"/>
        <v>0</v>
      </c>
      <c r="H1636" s="21">
        <v>1621</v>
      </c>
      <c r="I1636" s="107">
        <v>0.6678128435847106</v>
      </c>
      <c r="J1636" s="108">
        <v>1.5522569991549755E-3</v>
      </c>
      <c r="K1636" s="108"/>
      <c r="L1636" s="108">
        <v>4.2799999999999998E-2</v>
      </c>
      <c r="O1636" s="105"/>
    </row>
    <row r="1637" spans="2:15" x14ac:dyDescent="0.2">
      <c r="B1637" s="1">
        <v>1622</v>
      </c>
      <c r="C1637" s="106">
        <f t="shared" ca="1" si="100"/>
        <v>-0.70615740912140135</v>
      </c>
      <c r="D1637" s="106">
        <f t="shared" ca="1" si="101"/>
        <v>0.61979069544104892</v>
      </c>
      <c r="E1637" s="106">
        <f t="shared" ca="1" si="102"/>
        <v>0</v>
      </c>
      <c r="F1637" s="21">
        <f t="shared" ca="1" si="103"/>
        <v>0</v>
      </c>
      <c r="H1637" s="21">
        <v>1622</v>
      </c>
      <c r="I1637" s="107">
        <v>0.66762361408919491</v>
      </c>
      <c r="J1637" s="108">
        <v>1.2591404975680544E-3</v>
      </c>
      <c r="K1637" s="108"/>
      <c r="L1637" s="108">
        <v>4.24E-2</v>
      </c>
      <c r="O1637" s="105"/>
    </row>
    <row r="1638" spans="2:15" x14ac:dyDescent="0.2">
      <c r="B1638" s="1">
        <v>1623</v>
      </c>
      <c r="C1638" s="106">
        <f t="shared" ca="1" si="100"/>
        <v>-0.15085398833241015</v>
      </c>
      <c r="D1638" s="106">
        <f t="shared" ca="1" si="101"/>
        <v>0.65468728796230813</v>
      </c>
      <c r="E1638" s="106">
        <f t="shared" ca="1" si="102"/>
        <v>0</v>
      </c>
      <c r="F1638" s="21">
        <f t="shared" ca="1" si="103"/>
        <v>0</v>
      </c>
      <c r="H1638" s="21">
        <v>1623</v>
      </c>
      <c r="I1638" s="107">
        <v>0.66771086163053206</v>
      </c>
      <c r="J1638" s="108">
        <v>1.3009019005700373E-3</v>
      </c>
      <c r="K1638" s="108"/>
      <c r="L1638" s="108">
        <v>4.1000000000000002E-2</v>
      </c>
      <c r="O1638" s="105"/>
    </row>
    <row r="1639" spans="2:15" x14ac:dyDescent="0.2">
      <c r="B1639" s="1">
        <v>1624</v>
      </c>
      <c r="C1639" s="106">
        <f t="shared" ca="1" si="100"/>
        <v>0.70761114148627147</v>
      </c>
      <c r="D1639" s="106">
        <f t="shared" ca="1" si="101"/>
        <v>0.71254127280124235</v>
      </c>
      <c r="E1639" s="106">
        <f t="shared" ca="1" si="102"/>
        <v>0</v>
      </c>
      <c r="F1639" s="21">
        <f t="shared" ca="1" si="103"/>
        <v>0</v>
      </c>
      <c r="H1639" s="21">
        <v>1624</v>
      </c>
      <c r="I1639" s="107">
        <v>0.66766775071148099</v>
      </c>
      <c r="J1639" s="108">
        <v>1.2940398872776982E-3</v>
      </c>
      <c r="K1639" s="108"/>
      <c r="L1639" s="108">
        <v>3.8600000000000002E-2</v>
      </c>
      <c r="O1639" s="105"/>
    </row>
    <row r="1640" spans="2:15" x14ac:dyDescent="0.2">
      <c r="B1640" s="1">
        <v>1625</v>
      </c>
      <c r="C1640" s="106">
        <f t="shared" ca="1" si="100"/>
        <v>-0.62672834186112869</v>
      </c>
      <c r="D1640" s="106">
        <f t="shared" ca="1" si="101"/>
        <v>0.62466582175175189</v>
      </c>
      <c r="E1640" s="106">
        <f t="shared" ca="1" si="102"/>
        <v>0</v>
      </c>
      <c r="F1640" s="21">
        <f t="shared" ca="1" si="103"/>
        <v>0</v>
      </c>
      <c r="H1640" s="21">
        <v>1625</v>
      </c>
      <c r="I1640" s="107">
        <v>0.66785813371455305</v>
      </c>
      <c r="J1640" s="108">
        <v>1.3291808269647286E-3</v>
      </c>
      <c r="K1640" s="108"/>
      <c r="L1640" s="108">
        <v>4.4200000000000003E-2</v>
      </c>
      <c r="O1640" s="105"/>
    </row>
    <row r="1641" spans="2:15" x14ac:dyDescent="0.2">
      <c r="B1641" s="1">
        <v>1626</v>
      </c>
      <c r="C1641" s="106">
        <f t="shared" ca="1" si="100"/>
        <v>1.5458680208026183</v>
      </c>
      <c r="D1641" s="106">
        <f t="shared" ca="1" si="101"/>
        <v>0.77396341661092471</v>
      </c>
      <c r="E1641" s="106">
        <f t="shared" ca="1" si="102"/>
        <v>0</v>
      </c>
      <c r="F1641" s="21">
        <f t="shared" ca="1" si="103"/>
        <v>0</v>
      </c>
      <c r="H1641" s="21">
        <v>1626</v>
      </c>
      <c r="I1641" s="107">
        <v>0.66767671495929426</v>
      </c>
      <c r="J1641" s="108">
        <v>1.152863118883718E-3</v>
      </c>
      <c r="K1641" s="108"/>
      <c r="L1641" s="108">
        <v>4.24E-2</v>
      </c>
      <c r="O1641" s="105"/>
    </row>
    <row r="1642" spans="2:15" x14ac:dyDescent="0.2">
      <c r="B1642" s="1">
        <v>1627</v>
      </c>
      <c r="C1642" s="106">
        <f t="shared" ca="1" si="100"/>
        <v>1.8353394173768827</v>
      </c>
      <c r="D1642" s="106">
        <f t="shared" ca="1" si="101"/>
        <v>0.79638158525604785</v>
      </c>
      <c r="E1642" s="106">
        <f t="shared" ca="1" si="102"/>
        <v>8.1815852560478408E-3</v>
      </c>
      <c r="F1642" s="21">
        <f t="shared" ca="1" si="103"/>
        <v>1</v>
      </c>
      <c r="H1642" s="21">
        <v>1627</v>
      </c>
      <c r="I1642" s="107">
        <v>0.66769048743729587</v>
      </c>
      <c r="J1642" s="108">
        <v>1.1791120452542088E-3</v>
      </c>
      <c r="K1642" s="108"/>
      <c r="L1642" s="108">
        <v>3.9E-2</v>
      </c>
      <c r="O1642" s="105"/>
    </row>
    <row r="1643" spans="2:15" x14ac:dyDescent="0.2">
      <c r="B1643" s="1">
        <v>1628</v>
      </c>
      <c r="C1643" s="106">
        <f t="shared" ca="1" si="100"/>
        <v>-1.0822064202368826</v>
      </c>
      <c r="D1643" s="106">
        <f t="shared" ca="1" si="101"/>
        <v>0.59722137678072229</v>
      </c>
      <c r="E1643" s="106">
        <f t="shared" ca="1" si="102"/>
        <v>0</v>
      </c>
      <c r="F1643" s="21">
        <f t="shared" ca="1" si="103"/>
        <v>0</v>
      </c>
      <c r="H1643" s="21">
        <v>1628</v>
      </c>
      <c r="I1643" s="107">
        <v>0.66755652216459471</v>
      </c>
      <c r="J1643" s="108">
        <v>1.0137567157255123E-3</v>
      </c>
      <c r="K1643" s="108"/>
      <c r="L1643" s="108">
        <v>3.3000000000000002E-2</v>
      </c>
      <c r="O1643" s="105"/>
    </row>
    <row r="1644" spans="2:15" x14ac:dyDescent="0.2">
      <c r="B1644" s="1">
        <v>1629</v>
      </c>
      <c r="C1644" s="106">
        <f t="shared" ca="1" si="100"/>
        <v>-1.2747060636736947</v>
      </c>
      <c r="D1644" s="106">
        <f t="shared" ca="1" si="101"/>
        <v>0.58598807526775731</v>
      </c>
      <c r="E1644" s="106">
        <f t="shared" ca="1" si="102"/>
        <v>0</v>
      </c>
      <c r="F1644" s="21">
        <f t="shared" ca="1" si="103"/>
        <v>0</v>
      </c>
      <c r="H1644" s="21">
        <v>1629</v>
      </c>
      <c r="I1644" s="107">
        <v>0.6677116979152965</v>
      </c>
      <c r="J1644" s="108">
        <v>1.3279907398580217E-3</v>
      </c>
      <c r="K1644" s="108"/>
      <c r="L1644" s="108">
        <v>3.9600000000000003E-2</v>
      </c>
      <c r="O1644" s="105"/>
    </row>
    <row r="1645" spans="2:15" x14ac:dyDescent="0.2">
      <c r="B1645" s="1">
        <v>1630</v>
      </c>
      <c r="C1645" s="106">
        <f t="shared" ca="1" si="100"/>
        <v>-0.88139951653485227</v>
      </c>
      <c r="D1645" s="106">
        <f t="shared" ca="1" si="101"/>
        <v>0.60916899142411807</v>
      </c>
      <c r="E1645" s="106">
        <f t="shared" ca="1" si="102"/>
        <v>0</v>
      </c>
      <c r="F1645" s="21">
        <f t="shared" ca="1" si="103"/>
        <v>0</v>
      </c>
      <c r="H1645" s="21">
        <v>1630</v>
      </c>
      <c r="I1645" s="107">
        <v>0.66780381255853904</v>
      </c>
      <c r="J1645" s="108">
        <v>1.407441278449987E-3</v>
      </c>
      <c r="K1645" s="108"/>
      <c r="L1645" s="108">
        <v>4.3200000000000002E-2</v>
      </c>
      <c r="O1645" s="105"/>
    </row>
    <row r="1646" spans="2:15" x14ac:dyDescent="0.2">
      <c r="B1646" s="1">
        <v>1631</v>
      </c>
      <c r="C1646" s="106">
        <f t="shared" ca="1" si="100"/>
        <v>-1.9099557012897981</v>
      </c>
      <c r="D1646" s="106">
        <f t="shared" ca="1" si="101"/>
        <v>0.55039575474343416</v>
      </c>
      <c r="E1646" s="106">
        <f t="shared" ca="1" si="102"/>
        <v>0</v>
      </c>
      <c r="F1646" s="21">
        <f t="shared" ca="1" si="103"/>
        <v>0</v>
      </c>
      <c r="H1646" s="21">
        <v>1631</v>
      </c>
      <c r="I1646" s="107">
        <v>0.6676966477806433</v>
      </c>
      <c r="J1646" s="108">
        <v>1.3151909968552929E-3</v>
      </c>
      <c r="K1646" s="108"/>
      <c r="L1646" s="108">
        <v>3.9399999999999998E-2</v>
      </c>
      <c r="O1646" s="105"/>
    </row>
    <row r="1647" spans="2:15" x14ac:dyDescent="0.2">
      <c r="B1647" s="1">
        <v>1632</v>
      </c>
      <c r="C1647" s="106">
        <f t="shared" ca="1" si="100"/>
        <v>-2.2912340008999781</v>
      </c>
      <c r="D1647" s="106">
        <f t="shared" ca="1" si="101"/>
        <v>0.53007991414800903</v>
      </c>
      <c r="E1647" s="106">
        <f t="shared" ca="1" si="102"/>
        <v>0</v>
      </c>
      <c r="F1647" s="21">
        <f t="shared" ca="1" si="103"/>
        <v>0</v>
      </c>
      <c r="H1647" s="21">
        <v>1632</v>
      </c>
      <c r="I1647" s="107">
        <v>0.66774053884054807</v>
      </c>
      <c r="J1647" s="108">
        <v>1.3470914905466811E-3</v>
      </c>
      <c r="K1647" s="108"/>
      <c r="L1647" s="108">
        <v>4.2000000000000003E-2</v>
      </c>
      <c r="O1647" s="105"/>
    </row>
    <row r="1648" spans="2:15" x14ac:dyDescent="0.2">
      <c r="B1648" s="1">
        <v>1633</v>
      </c>
      <c r="C1648" s="106">
        <f t="shared" ca="1" si="100"/>
        <v>-1.7058578004339906</v>
      </c>
      <c r="D1648" s="106">
        <f t="shared" ca="1" si="101"/>
        <v>0.56158888512804905</v>
      </c>
      <c r="E1648" s="106">
        <f t="shared" ca="1" si="102"/>
        <v>0</v>
      </c>
      <c r="F1648" s="21">
        <f t="shared" ca="1" si="103"/>
        <v>0</v>
      </c>
      <c r="H1648" s="21">
        <v>1633</v>
      </c>
      <c r="I1648" s="107">
        <v>0.66782321517327792</v>
      </c>
      <c r="J1648" s="108">
        <v>1.5833863328891023E-3</v>
      </c>
      <c r="K1648" s="108"/>
      <c r="L1648" s="108">
        <v>4.2799999999999998E-2</v>
      </c>
      <c r="O1648" s="105"/>
    </row>
    <row r="1649" spans="2:15" x14ac:dyDescent="0.2">
      <c r="B1649" s="1">
        <v>1634</v>
      </c>
      <c r="C1649" s="106">
        <f t="shared" ca="1" si="100"/>
        <v>0.52598226887982302</v>
      </c>
      <c r="D1649" s="106">
        <f t="shared" ca="1" si="101"/>
        <v>0.69988898136288247</v>
      </c>
      <c r="E1649" s="106">
        <f t="shared" ca="1" si="102"/>
        <v>0</v>
      </c>
      <c r="F1649" s="21">
        <f t="shared" ca="1" si="103"/>
        <v>0</v>
      </c>
      <c r="H1649" s="21">
        <v>1634</v>
      </c>
      <c r="I1649" s="107">
        <v>0.66768264011842215</v>
      </c>
      <c r="J1649" s="108">
        <v>1.1945476015977274E-3</v>
      </c>
      <c r="K1649" s="108"/>
      <c r="L1649" s="108">
        <v>3.9800000000000002E-2</v>
      </c>
      <c r="O1649" s="105"/>
    </row>
    <row r="1650" spans="2:15" x14ac:dyDescent="0.2">
      <c r="B1650" s="1">
        <v>1635</v>
      </c>
      <c r="C1650" s="106">
        <f t="shared" ca="1" si="100"/>
        <v>-1.498994967286011</v>
      </c>
      <c r="D1650" s="106">
        <f t="shared" ca="1" si="101"/>
        <v>0.57316594676196242</v>
      </c>
      <c r="E1650" s="106">
        <f t="shared" ca="1" si="102"/>
        <v>0</v>
      </c>
      <c r="F1650" s="21">
        <f t="shared" ca="1" si="103"/>
        <v>0</v>
      </c>
      <c r="H1650" s="21">
        <v>1635</v>
      </c>
      <c r="I1650" s="107">
        <v>0.66772956809117445</v>
      </c>
      <c r="J1650" s="108">
        <v>1.289094510442873E-3</v>
      </c>
      <c r="K1650" s="108"/>
      <c r="L1650" s="108">
        <v>3.8800000000000001E-2</v>
      </c>
      <c r="O1650" s="105"/>
    </row>
    <row r="1651" spans="2:15" x14ac:dyDescent="0.2">
      <c r="B1651" s="1">
        <v>1636</v>
      </c>
      <c r="C1651" s="106">
        <f t="shared" ca="1" si="100"/>
        <v>0.78526087084146534</v>
      </c>
      <c r="D1651" s="106">
        <f t="shared" ca="1" si="101"/>
        <v>0.7180199178866683</v>
      </c>
      <c r="E1651" s="106">
        <f t="shared" ca="1" si="102"/>
        <v>0</v>
      </c>
      <c r="F1651" s="21">
        <f t="shared" ca="1" si="103"/>
        <v>0</v>
      </c>
      <c r="H1651" s="21">
        <v>1636</v>
      </c>
      <c r="I1651" s="107">
        <v>0.66774161868143067</v>
      </c>
      <c r="J1651" s="108">
        <v>1.3667950898562816E-3</v>
      </c>
      <c r="K1651" s="108"/>
      <c r="L1651" s="108">
        <v>4.2999999999999997E-2</v>
      </c>
      <c r="O1651" s="105"/>
    </row>
    <row r="1652" spans="2:15" x14ac:dyDescent="0.2">
      <c r="B1652" s="1">
        <v>1637</v>
      </c>
      <c r="C1652" s="106">
        <f t="shared" ca="1" si="100"/>
        <v>0.95155834418830954</v>
      </c>
      <c r="D1652" s="106">
        <f t="shared" ca="1" si="101"/>
        <v>0.72989530985109774</v>
      </c>
      <c r="E1652" s="106">
        <f t="shared" ca="1" si="102"/>
        <v>0</v>
      </c>
      <c r="F1652" s="21">
        <f t="shared" ca="1" si="103"/>
        <v>0</v>
      </c>
      <c r="H1652" s="21">
        <v>1637</v>
      </c>
      <c r="I1652" s="107">
        <v>0.66767408120634197</v>
      </c>
      <c r="J1652" s="108">
        <v>1.259915330847702E-3</v>
      </c>
      <c r="K1652" s="108"/>
      <c r="L1652" s="108">
        <v>3.8199999999999998E-2</v>
      </c>
      <c r="O1652" s="105"/>
    </row>
    <row r="1653" spans="2:15" x14ac:dyDescent="0.2">
      <c r="B1653" s="1">
        <v>1638</v>
      </c>
      <c r="C1653" s="106">
        <f t="shared" ca="1" si="100"/>
        <v>-0.51005165481695725</v>
      </c>
      <c r="D1653" s="106">
        <f t="shared" ca="1" si="101"/>
        <v>0.63189672099140837</v>
      </c>
      <c r="E1653" s="106">
        <f t="shared" ca="1" si="102"/>
        <v>0</v>
      </c>
      <c r="F1653" s="21">
        <f t="shared" ca="1" si="103"/>
        <v>0</v>
      </c>
      <c r="H1653" s="21">
        <v>1638</v>
      </c>
      <c r="I1653" s="107">
        <v>0.66764377201730263</v>
      </c>
      <c r="J1653" s="108">
        <v>1.2136249949561706E-3</v>
      </c>
      <c r="K1653" s="108"/>
      <c r="L1653" s="108">
        <v>3.8800000000000001E-2</v>
      </c>
      <c r="O1653" s="105"/>
    </row>
    <row r="1654" spans="2:15" x14ac:dyDescent="0.2">
      <c r="B1654" s="1">
        <v>1639</v>
      </c>
      <c r="C1654" s="106">
        <f t="shared" ca="1" si="100"/>
        <v>1.0368874947368765</v>
      </c>
      <c r="D1654" s="106">
        <f t="shared" ca="1" si="101"/>
        <v>0.73606475208238287</v>
      </c>
      <c r="E1654" s="106">
        <f t="shared" ca="1" si="102"/>
        <v>0</v>
      </c>
      <c r="F1654" s="21">
        <f t="shared" ca="1" si="103"/>
        <v>0</v>
      </c>
      <c r="H1654" s="21">
        <v>1639</v>
      </c>
      <c r="I1654" s="107">
        <v>0.66764609384386386</v>
      </c>
      <c r="J1654" s="108">
        <v>1.2406787755274346E-3</v>
      </c>
      <c r="K1654" s="108"/>
      <c r="L1654" s="108">
        <v>3.9E-2</v>
      </c>
      <c r="O1654" s="105"/>
    </row>
    <row r="1655" spans="2:15" x14ac:dyDescent="0.2">
      <c r="B1655" s="1">
        <v>1640</v>
      </c>
      <c r="C1655" s="106">
        <f t="shared" ca="1" si="100"/>
        <v>0.13792253837475327</v>
      </c>
      <c r="D1655" s="106">
        <f t="shared" ca="1" si="101"/>
        <v>0.67360440211887951</v>
      </c>
      <c r="E1655" s="106">
        <f t="shared" ca="1" si="102"/>
        <v>0</v>
      </c>
      <c r="F1655" s="21">
        <f t="shared" ca="1" si="103"/>
        <v>0</v>
      </c>
      <c r="H1655" s="21">
        <v>1640</v>
      </c>
      <c r="I1655" s="107">
        <v>0.66775189009379676</v>
      </c>
      <c r="J1655" s="108">
        <v>1.3201201537947275E-3</v>
      </c>
      <c r="K1655" s="108"/>
      <c r="L1655" s="108">
        <v>3.9600000000000003E-2</v>
      </c>
      <c r="O1655" s="105"/>
    </row>
    <row r="1656" spans="2:15" x14ac:dyDescent="0.2">
      <c r="B1656" s="1">
        <v>1641</v>
      </c>
      <c r="C1656" s="106">
        <f t="shared" ca="1" si="100"/>
        <v>0.91831712111294239</v>
      </c>
      <c r="D1656" s="106">
        <f t="shared" ca="1" si="101"/>
        <v>0.72750593303062383</v>
      </c>
      <c r="E1656" s="106">
        <f t="shared" ca="1" si="102"/>
        <v>0</v>
      </c>
      <c r="F1656" s="21">
        <f t="shared" ca="1" si="103"/>
        <v>0</v>
      </c>
      <c r="H1656" s="21">
        <v>1641</v>
      </c>
      <c r="I1656" s="107">
        <v>0.66785323955332787</v>
      </c>
      <c r="J1656" s="108">
        <v>1.4053752083140127E-3</v>
      </c>
      <c r="K1656" s="108"/>
      <c r="L1656" s="108">
        <v>4.1399999999999999E-2</v>
      </c>
      <c r="O1656" s="105"/>
    </row>
    <row r="1657" spans="2:15" x14ac:dyDescent="0.2">
      <c r="B1657" s="1">
        <v>1642</v>
      </c>
      <c r="C1657" s="106">
        <f t="shared" ca="1" si="100"/>
        <v>-1.7719573141716065</v>
      </c>
      <c r="D1657" s="106">
        <f t="shared" ca="1" si="101"/>
        <v>0.55793915622314827</v>
      </c>
      <c r="E1657" s="106">
        <f t="shared" ca="1" si="102"/>
        <v>0</v>
      </c>
      <c r="F1657" s="21">
        <f t="shared" ca="1" si="103"/>
        <v>0</v>
      </c>
      <c r="H1657" s="21">
        <v>1642</v>
      </c>
      <c r="I1657" s="107">
        <v>0.66769336463615558</v>
      </c>
      <c r="J1657" s="108">
        <v>1.2645712881467841E-3</v>
      </c>
      <c r="K1657" s="108"/>
      <c r="L1657" s="108">
        <v>3.9E-2</v>
      </c>
      <c r="O1657" s="105"/>
    </row>
    <row r="1658" spans="2:15" x14ac:dyDescent="0.2">
      <c r="B1658" s="1">
        <v>1643</v>
      </c>
      <c r="C1658" s="106">
        <f t="shared" ca="1" si="100"/>
        <v>0.37026238592152733</v>
      </c>
      <c r="D1658" s="106">
        <f t="shared" ca="1" si="101"/>
        <v>0.68922054126111199</v>
      </c>
      <c r="E1658" s="106">
        <f t="shared" ca="1" si="102"/>
        <v>0</v>
      </c>
      <c r="F1658" s="21">
        <f t="shared" ca="1" si="103"/>
        <v>0</v>
      </c>
      <c r="H1658" s="21">
        <v>1643</v>
      </c>
      <c r="I1658" s="107">
        <v>0.66774108503618113</v>
      </c>
      <c r="J1658" s="108">
        <v>1.4867062731235324E-3</v>
      </c>
      <c r="K1658" s="108"/>
      <c r="L1658" s="108">
        <v>4.1000000000000002E-2</v>
      </c>
      <c r="O1658" s="105"/>
    </row>
    <row r="1659" spans="2:15" x14ac:dyDescent="0.2">
      <c r="B1659" s="1">
        <v>1644</v>
      </c>
      <c r="C1659" s="106">
        <f t="shared" ca="1" si="100"/>
        <v>-0.28537581853657501</v>
      </c>
      <c r="D1659" s="106">
        <f t="shared" ca="1" si="101"/>
        <v>0.64605735650356666</v>
      </c>
      <c r="E1659" s="106">
        <f t="shared" ca="1" si="102"/>
        <v>0</v>
      </c>
      <c r="F1659" s="21">
        <f t="shared" ca="1" si="103"/>
        <v>0</v>
      </c>
      <c r="H1659" s="21">
        <v>1644</v>
      </c>
      <c r="I1659" s="107">
        <v>0.66778331298422833</v>
      </c>
      <c r="J1659" s="108">
        <v>1.4949093626371699E-3</v>
      </c>
      <c r="K1659" s="108"/>
      <c r="L1659" s="108">
        <v>3.9399999999999998E-2</v>
      </c>
      <c r="O1659" s="105"/>
    </row>
    <row r="1660" spans="2:15" x14ac:dyDescent="0.2">
      <c r="B1660" s="1">
        <v>1645</v>
      </c>
      <c r="C1660" s="106">
        <f t="shared" ca="1" si="100"/>
        <v>-0.43617629283166609</v>
      </c>
      <c r="D1660" s="106">
        <f t="shared" ca="1" si="101"/>
        <v>0.63651827436215391</v>
      </c>
      <c r="E1660" s="106">
        <f t="shared" ca="1" si="102"/>
        <v>0</v>
      </c>
      <c r="F1660" s="21">
        <f t="shared" ca="1" si="103"/>
        <v>0</v>
      </c>
      <c r="H1660" s="21">
        <v>1645</v>
      </c>
      <c r="I1660" s="107">
        <v>0.66763865056146354</v>
      </c>
      <c r="J1660" s="108">
        <v>1.3085804674243973E-3</v>
      </c>
      <c r="K1660" s="108"/>
      <c r="L1660" s="108">
        <v>0.04</v>
      </c>
      <c r="O1660" s="105"/>
    </row>
    <row r="1661" spans="2:15" x14ac:dyDescent="0.2">
      <c r="B1661" s="1">
        <v>1646</v>
      </c>
      <c r="C1661" s="106">
        <f t="shared" ca="1" si="100"/>
        <v>0.41577659369309394</v>
      </c>
      <c r="D1661" s="106">
        <f t="shared" ca="1" si="101"/>
        <v>0.69232180974652335</v>
      </c>
      <c r="E1661" s="106">
        <f t="shared" ca="1" si="102"/>
        <v>0</v>
      </c>
      <c r="F1661" s="21">
        <f t="shared" ca="1" si="103"/>
        <v>0</v>
      </c>
      <c r="H1661" s="21">
        <v>1646</v>
      </c>
      <c r="I1661" s="107">
        <v>0.66778592202760489</v>
      </c>
      <c r="J1661" s="108">
        <v>1.4622834881875065E-3</v>
      </c>
      <c r="K1661" s="108"/>
      <c r="L1661" s="108">
        <v>3.9199999999999999E-2</v>
      </c>
      <c r="O1661" s="105"/>
    </row>
    <row r="1662" spans="2:15" x14ac:dyDescent="0.2">
      <c r="B1662" s="1">
        <v>1647</v>
      </c>
      <c r="C1662" s="106">
        <f t="shared" ca="1" si="100"/>
        <v>-0.70743428043668932</v>
      </c>
      <c r="D1662" s="106">
        <f t="shared" ca="1" si="101"/>
        <v>0.61971263630619022</v>
      </c>
      <c r="E1662" s="106">
        <f t="shared" ca="1" si="102"/>
        <v>0</v>
      </c>
      <c r="F1662" s="21">
        <f t="shared" ca="1" si="103"/>
        <v>0</v>
      </c>
      <c r="H1662" s="21">
        <v>1647</v>
      </c>
      <c r="I1662" s="107">
        <v>0.66771552439134441</v>
      </c>
      <c r="J1662" s="108">
        <v>1.1964455666993023E-3</v>
      </c>
      <c r="K1662" s="108"/>
      <c r="L1662" s="108">
        <v>4.02E-2</v>
      </c>
      <c r="O1662" s="105"/>
    </row>
    <row r="1663" spans="2:15" x14ac:dyDescent="0.2">
      <c r="B1663" s="1">
        <v>1648</v>
      </c>
      <c r="C1663" s="106">
        <f t="shared" ca="1" si="100"/>
        <v>0.27887480896621458</v>
      </c>
      <c r="D1663" s="106">
        <f t="shared" ca="1" si="101"/>
        <v>0.68303541951505176</v>
      </c>
      <c r="E1663" s="106">
        <f t="shared" ca="1" si="102"/>
        <v>0</v>
      </c>
      <c r="F1663" s="21">
        <f t="shared" ca="1" si="103"/>
        <v>0</v>
      </c>
      <c r="H1663" s="21">
        <v>1648</v>
      </c>
      <c r="I1663" s="107">
        <v>0.66770666499115905</v>
      </c>
      <c r="J1663" s="108">
        <v>1.4324520804865979E-3</v>
      </c>
      <c r="K1663" s="108"/>
      <c r="L1663" s="108">
        <v>4.0399999999999998E-2</v>
      </c>
      <c r="O1663" s="105"/>
    </row>
    <row r="1664" spans="2:15" x14ac:dyDescent="0.2">
      <c r="B1664" s="1">
        <v>1649</v>
      </c>
      <c r="C1664" s="106">
        <f t="shared" ca="1" si="100"/>
        <v>-1.1138780124038634</v>
      </c>
      <c r="D1664" s="106">
        <f t="shared" ca="1" si="101"/>
        <v>0.59535849231038462</v>
      </c>
      <c r="E1664" s="106">
        <f t="shared" ca="1" si="102"/>
        <v>0</v>
      </c>
      <c r="F1664" s="21">
        <f t="shared" ca="1" si="103"/>
        <v>0</v>
      </c>
      <c r="H1664" s="21">
        <v>1649</v>
      </c>
      <c r="I1664" s="107">
        <v>0.66778742599178054</v>
      </c>
      <c r="J1664" s="108">
        <v>1.3191899545877542E-3</v>
      </c>
      <c r="K1664" s="108"/>
      <c r="L1664" s="108">
        <v>4.36E-2</v>
      </c>
      <c r="O1664" s="105"/>
    </row>
    <row r="1665" spans="2:15" x14ac:dyDescent="0.2">
      <c r="B1665" s="1">
        <v>1650</v>
      </c>
      <c r="C1665" s="106">
        <f t="shared" ca="1" si="100"/>
        <v>0.41427675349611498</v>
      </c>
      <c r="D1665" s="106">
        <f t="shared" ca="1" si="101"/>
        <v>0.69221939092438856</v>
      </c>
      <c r="E1665" s="106">
        <f t="shared" ca="1" si="102"/>
        <v>0</v>
      </c>
      <c r="F1665" s="21">
        <f t="shared" ca="1" si="103"/>
        <v>0</v>
      </c>
      <c r="H1665" s="21">
        <v>1650</v>
      </c>
      <c r="I1665" s="107">
        <v>0.66769104458196671</v>
      </c>
      <c r="J1665" s="108">
        <v>1.2852069966790413E-3</v>
      </c>
      <c r="K1665" s="108"/>
      <c r="L1665" s="108">
        <v>3.9600000000000003E-2</v>
      </c>
      <c r="O1665" s="105"/>
    </row>
    <row r="1666" spans="2:15" x14ac:dyDescent="0.2">
      <c r="B1666" s="1">
        <v>1651</v>
      </c>
      <c r="C1666" s="106">
        <f t="shared" ca="1" si="100"/>
        <v>-0.2999508540130762</v>
      </c>
      <c r="D1666" s="106">
        <f t="shared" ca="1" si="101"/>
        <v>0.64512918668587582</v>
      </c>
      <c r="E1666" s="106">
        <f t="shared" ca="1" si="102"/>
        <v>0</v>
      </c>
      <c r="F1666" s="21">
        <f t="shared" ca="1" si="103"/>
        <v>0</v>
      </c>
      <c r="H1666" s="21">
        <v>1651</v>
      </c>
      <c r="I1666" s="107">
        <v>0.66782283725937197</v>
      </c>
      <c r="J1666" s="108">
        <v>1.4548796244617166E-3</v>
      </c>
      <c r="K1666" s="108"/>
      <c r="L1666" s="108">
        <v>4.1799999999999997E-2</v>
      </c>
      <c r="O1666" s="105"/>
    </row>
    <row r="1667" spans="2:15" x14ac:dyDescent="0.2">
      <c r="B1667" s="1">
        <v>1652</v>
      </c>
      <c r="C1667" s="106">
        <f t="shared" ca="1" si="100"/>
        <v>-0.39351943401729739</v>
      </c>
      <c r="D1667" s="106">
        <f t="shared" ca="1" si="101"/>
        <v>0.63920221351651485</v>
      </c>
      <c r="E1667" s="106">
        <f t="shared" ca="1" si="102"/>
        <v>0</v>
      </c>
      <c r="F1667" s="21">
        <f t="shared" ca="1" si="103"/>
        <v>0</v>
      </c>
      <c r="H1667" s="21">
        <v>1652</v>
      </c>
      <c r="I1667" s="107">
        <v>0.66761262903720819</v>
      </c>
      <c r="J1667" s="108">
        <v>1.3182370625140138E-3</v>
      </c>
      <c r="K1667" s="108"/>
      <c r="L1667" s="108">
        <v>3.8800000000000001E-2</v>
      </c>
      <c r="O1667" s="105"/>
    </row>
    <row r="1668" spans="2:15" x14ac:dyDescent="0.2">
      <c r="B1668" s="1">
        <v>1653</v>
      </c>
      <c r="C1668" s="106">
        <f t="shared" ca="1" si="100"/>
        <v>0.51205003195786314</v>
      </c>
      <c r="D1668" s="106">
        <f t="shared" ca="1" si="101"/>
        <v>0.69892778854275461</v>
      </c>
      <c r="E1668" s="106">
        <f t="shared" ca="1" si="102"/>
        <v>0</v>
      </c>
      <c r="F1668" s="21">
        <f t="shared" ca="1" si="103"/>
        <v>0</v>
      </c>
      <c r="H1668" s="21">
        <v>1653</v>
      </c>
      <c r="I1668" s="107">
        <v>0.66803010205746616</v>
      </c>
      <c r="J1668" s="108">
        <v>1.8358530396648718E-3</v>
      </c>
      <c r="K1668" s="108"/>
      <c r="L1668" s="108">
        <v>4.7600000000000003E-2</v>
      </c>
      <c r="O1668" s="105"/>
    </row>
    <row r="1669" spans="2:15" x14ac:dyDescent="0.2">
      <c r="B1669" s="1">
        <v>1654</v>
      </c>
      <c r="C1669" s="106">
        <f t="shared" ca="1" si="100"/>
        <v>-0.10739692379617505</v>
      </c>
      <c r="D1669" s="106">
        <f t="shared" ca="1" si="101"/>
        <v>0.65749973508157333</v>
      </c>
      <c r="E1669" s="106">
        <f t="shared" ca="1" si="102"/>
        <v>0</v>
      </c>
      <c r="F1669" s="21">
        <f t="shared" ca="1" si="103"/>
        <v>0</v>
      </c>
      <c r="H1669" s="21">
        <v>1654</v>
      </c>
      <c r="I1669" s="107">
        <v>0.66764655042348875</v>
      </c>
      <c r="J1669" s="108">
        <v>1.1906884397875504E-3</v>
      </c>
      <c r="K1669" s="108"/>
      <c r="L1669" s="108">
        <v>3.9199999999999999E-2</v>
      </c>
      <c r="O1669" s="105"/>
    </row>
    <row r="1670" spans="2:15" x14ac:dyDescent="0.2">
      <c r="B1670" s="1">
        <v>1655</v>
      </c>
      <c r="C1670" s="106">
        <f t="shared" ca="1" si="100"/>
        <v>-0.19325765486373278</v>
      </c>
      <c r="D1670" s="106">
        <f t="shared" ca="1" si="101"/>
        <v>0.65195461120704712</v>
      </c>
      <c r="E1670" s="106">
        <f t="shared" ca="1" si="102"/>
        <v>0</v>
      </c>
      <c r="F1670" s="21">
        <f t="shared" ca="1" si="103"/>
        <v>0</v>
      </c>
      <c r="H1670" s="21">
        <v>1655</v>
      </c>
      <c r="I1670" s="107">
        <v>0.6676723212853819</v>
      </c>
      <c r="J1670" s="108">
        <v>1.3101371351100779E-3</v>
      </c>
      <c r="K1670" s="108"/>
      <c r="L1670" s="108">
        <v>4.1000000000000002E-2</v>
      </c>
      <c r="O1670" s="105"/>
    </row>
    <row r="1671" spans="2:15" x14ac:dyDescent="0.2">
      <c r="B1671" s="1">
        <v>1656</v>
      </c>
      <c r="C1671" s="106">
        <f t="shared" ca="1" si="100"/>
        <v>-2.4263307749049092</v>
      </c>
      <c r="D1671" s="106">
        <f t="shared" ca="1" si="101"/>
        <v>0.52306286190887463</v>
      </c>
      <c r="E1671" s="106">
        <f t="shared" ca="1" si="102"/>
        <v>0</v>
      </c>
      <c r="F1671" s="21">
        <f t="shared" ca="1" si="103"/>
        <v>0</v>
      </c>
      <c r="H1671" s="21">
        <v>1656</v>
      </c>
      <c r="I1671" s="107">
        <v>0.66782247937414319</v>
      </c>
      <c r="J1671" s="108">
        <v>1.3911023185653423E-3</v>
      </c>
      <c r="K1671" s="108"/>
      <c r="L1671" s="108">
        <v>4.1200000000000001E-2</v>
      </c>
      <c r="O1671" s="105"/>
    </row>
    <row r="1672" spans="2:15" x14ac:dyDescent="0.2">
      <c r="B1672" s="1">
        <v>1657</v>
      </c>
      <c r="C1672" s="106">
        <f t="shared" ca="1" si="100"/>
        <v>-1.0807665162898801</v>
      </c>
      <c r="D1672" s="106">
        <f t="shared" ca="1" si="101"/>
        <v>0.59730620856659933</v>
      </c>
      <c r="E1672" s="106">
        <f t="shared" ca="1" si="102"/>
        <v>0</v>
      </c>
      <c r="F1672" s="21">
        <f t="shared" ca="1" si="103"/>
        <v>0</v>
      </c>
      <c r="H1672" s="21">
        <v>1657</v>
      </c>
      <c r="I1672" s="107">
        <v>0.66769722995874381</v>
      </c>
      <c r="J1672" s="108">
        <v>1.4344220709591213E-3</v>
      </c>
      <c r="K1672" s="108"/>
      <c r="L1672" s="108">
        <v>4.1599999999999998E-2</v>
      </c>
      <c r="O1672" s="105"/>
    </row>
    <row r="1673" spans="2:15" x14ac:dyDescent="0.2">
      <c r="B1673" s="1">
        <v>1658</v>
      </c>
      <c r="C1673" s="106">
        <f t="shared" ca="1" si="100"/>
        <v>-1.9397058053326861</v>
      </c>
      <c r="D1673" s="106">
        <f t="shared" ca="1" si="101"/>
        <v>0.54878293666528277</v>
      </c>
      <c r="E1673" s="106">
        <f t="shared" ca="1" si="102"/>
        <v>0</v>
      </c>
      <c r="F1673" s="21">
        <f t="shared" ca="1" si="103"/>
        <v>0</v>
      </c>
      <c r="H1673" s="21">
        <v>1658</v>
      </c>
      <c r="I1673" s="107">
        <v>0.66755922918698607</v>
      </c>
      <c r="J1673" s="108">
        <v>1.2255359617504968E-3</v>
      </c>
      <c r="K1673" s="108"/>
      <c r="L1673" s="108">
        <v>3.7600000000000001E-2</v>
      </c>
      <c r="O1673" s="105"/>
    </row>
    <row r="1674" spans="2:15" x14ac:dyDescent="0.2">
      <c r="B1674" s="1">
        <v>1659</v>
      </c>
      <c r="C1674" s="106">
        <f t="shared" ca="1" si="100"/>
        <v>2.0424125456224154</v>
      </c>
      <c r="D1674" s="106">
        <f t="shared" ca="1" si="101"/>
        <v>0.81281572012511916</v>
      </c>
      <c r="E1674" s="106">
        <f t="shared" ca="1" si="102"/>
        <v>2.4615720125119145E-2</v>
      </c>
      <c r="F1674" s="21">
        <f t="shared" ca="1" si="103"/>
        <v>1</v>
      </c>
      <c r="H1674" s="21">
        <v>1659</v>
      </c>
      <c r="I1674" s="107">
        <v>0.66772454457468611</v>
      </c>
      <c r="J1674" s="108">
        <v>1.2788744118108276E-3</v>
      </c>
      <c r="K1674" s="108"/>
      <c r="L1674" s="108">
        <v>4.3200000000000002E-2</v>
      </c>
      <c r="O1674" s="105"/>
    </row>
    <row r="1675" spans="2:15" x14ac:dyDescent="0.2">
      <c r="B1675" s="1">
        <v>1660</v>
      </c>
      <c r="C1675" s="106">
        <f t="shared" ca="1" si="100"/>
        <v>-3.4505945886163313E-2</v>
      </c>
      <c r="D1675" s="106">
        <f t="shared" ca="1" si="101"/>
        <v>0.66224423558873058</v>
      </c>
      <c r="E1675" s="106">
        <f t="shared" ca="1" si="102"/>
        <v>0</v>
      </c>
      <c r="F1675" s="21">
        <f t="shared" ca="1" si="103"/>
        <v>0</v>
      </c>
      <c r="H1675" s="21">
        <v>1660</v>
      </c>
      <c r="I1675" s="107">
        <v>0.66767570076441884</v>
      </c>
      <c r="J1675" s="108">
        <v>1.4114271328416149E-3</v>
      </c>
      <c r="K1675" s="108"/>
      <c r="L1675" s="108">
        <v>4.02E-2</v>
      </c>
      <c r="O1675" s="105"/>
    </row>
    <row r="1676" spans="2:15" x14ac:dyDescent="0.2">
      <c r="B1676" s="1">
        <v>1661</v>
      </c>
      <c r="C1676" s="106">
        <f t="shared" ca="1" si="100"/>
        <v>0.33727267551322765</v>
      </c>
      <c r="D1676" s="106">
        <f t="shared" ca="1" si="101"/>
        <v>0.68698136037344748</v>
      </c>
      <c r="E1676" s="106">
        <f t="shared" ca="1" si="102"/>
        <v>0</v>
      </c>
      <c r="F1676" s="21">
        <f t="shared" ca="1" si="103"/>
        <v>0</v>
      </c>
      <c r="H1676" s="21">
        <v>1661</v>
      </c>
      <c r="I1676" s="107">
        <v>0.66765297130259771</v>
      </c>
      <c r="J1676" s="108">
        <v>1.2697503003065377E-3</v>
      </c>
      <c r="K1676" s="108"/>
      <c r="L1676" s="108">
        <v>3.9399999999999998E-2</v>
      </c>
      <c r="O1676" s="105"/>
    </row>
    <row r="1677" spans="2:15" x14ac:dyDescent="0.2">
      <c r="B1677" s="1">
        <v>1662</v>
      </c>
      <c r="C1677" s="106">
        <f t="shared" ca="1" si="100"/>
        <v>1.1432030208106683</v>
      </c>
      <c r="D1677" s="106">
        <f t="shared" ca="1" si="101"/>
        <v>0.74382455784178914</v>
      </c>
      <c r="E1677" s="106">
        <f t="shared" ca="1" si="102"/>
        <v>0</v>
      </c>
      <c r="F1677" s="21">
        <f t="shared" ca="1" si="103"/>
        <v>0</v>
      </c>
      <c r="H1677" s="21">
        <v>1662</v>
      </c>
      <c r="I1677" s="107">
        <v>0.6678482189652919</v>
      </c>
      <c r="J1677" s="108">
        <v>1.5057678067120453E-3</v>
      </c>
      <c r="K1677" s="108"/>
      <c r="L1677" s="108">
        <v>4.3999999999999997E-2</v>
      </c>
      <c r="O1677" s="105"/>
    </row>
    <row r="1678" spans="2:15" x14ac:dyDescent="0.2">
      <c r="B1678" s="1">
        <v>1663</v>
      </c>
      <c r="C1678" s="106">
        <f t="shared" ca="1" si="100"/>
        <v>-0.67045006772784321</v>
      </c>
      <c r="D1678" s="106">
        <f t="shared" ca="1" si="101"/>
        <v>0.62197758339995057</v>
      </c>
      <c r="E1678" s="106">
        <f t="shared" ca="1" si="102"/>
        <v>0</v>
      </c>
      <c r="F1678" s="21">
        <f t="shared" ca="1" si="103"/>
        <v>0</v>
      </c>
      <c r="H1678" s="21">
        <v>1663</v>
      </c>
      <c r="I1678" s="107">
        <v>0.66767678280585929</v>
      </c>
      <c r="J1678" s="108">
        <v>1.3106238562824966E-3</v>
      </c>
      <c r="K1678" s="108"/>
      <c r="L1678" s="108">
        <v>3.9399999999999998E-2</v>
      </c>
      <c r="O1678" s="105"/>
    </row>
    <row r="1679" spans="2:15" x14ac:dyDescent="0.2">
      <c r="B1679" s="1">
        <v>1664</v>
      </c>
      <c r="C1679" s="106">
        <f t="shared" ca="1" si="100"/>
        <v>-0.62337500456891271</v>
      </c>
      <c r="D1679" s="106">
        <f t="shared" ca="1" si="101"/>
        <v>0.62487248141302709</v>
      </c>
      <c r="E1679" s="106">
        <f t="shared" ca="1" si="102"/>
        <v>0</v>
      </c>
      <c r="F1679" s="21">
        <f t="shared" ca="1" si="103"/>
        <v>0</v>
      </c>
      <c r="H1679" s="21">
        <v>1664</v>
      </c>
      <c r="I1679" s="107">
        <v>0.66781450131460374</v>
      </c>
      <c r="J1679" s="108">
        <v>1.623759057146209E-3</v>
      </c>
      <c r="K1679" s="108"/>
      <c r="L1679" s="108">
        <v>4.82E-2</v>
      </c>
      <c r="O1679" s="105"/>
    </row>
    <row r="1680" spans="2:15" x14ac:dyDescent="0.2">
      <c r="B1680" s="1">
        <v>1665</v>
      </c>
      <c r="C1680" s="106">
        <f t="shared" ref="C1680:C1743" ca="1" si="104">_xlfn.NORM.S.INV(RAND())</f>
        <v>1.4903374485577077</v>
      </c>
      <c r="D1680" s="106">
        <f t="shared" ref="D1680:D1743" ca="1" si="105">S0*EXP((μ-0.5*σ*σ)*T+σ*SQRT(T)*$C1680)</f>
        <v>0.76973553733446209</v>
      </c>
      <c r="E1680" s="106">
        <f t="shared" ref="E1680:E1743" ca="1" si="106">MAX(0,CP*(D1680-K))</f>
        <v>0</v>
      </c>
      <c r="F1680" s="21">
        <f t="shared" ref="F1680:F1743" ca="1" si="107">(CP*(D1680-K)&gt;0)*1</f>
        <v>0</v>
      </c>
      <c r="H1680" s="21">
        <v>1665</v>
      </c>
      <c r="I1680" s="107">
        <v>0.66785297609543481</v>
      </c>
      <c r="J1680" s="108">
        <v>1.4414051708599028E-3</v>
      </c>
      <c r="K1680" s="108"/>
      <c r="L1680" s="108">
        <v>3.8800000000000001E-2</v>
      </c>
      <c r="O1680" s="105"/>
    </row>
    <row r="1681" spans="2:15" x14ac:dyDescent="0.2">
      <c r="B1681" s="1">
        <v>1666</v>
      </c>
      <c r="C1681" s="106">
        <f t="shared" ca="1" si="104"/>
        <v>0.84426685897668596</v>
      </c>
      <c r="D1681" s="106">
        <f t="shared" ca="1" si="105"/>
        <v>0.7222112877182626</v>
      </c>
      <c r="E1681" s="106">
        <f t="shared" ca="1" si="106"/>
        <v>0</v>
      </c>
      <c r="F1681" s="21">
        <f t="shared" ca="1" si="107"/>
        <v>0</v>
      </c>
      <c r="H1681" s="21">
        <v>1666</v>
      </c>
      <c r="I1681" s="107">
        <v>0.66774836581597985</v>
      </c>
      <c r="J1681" s="108">
        <v>1.4934553895045895E-3</v>
      </c>
      <c r="K1681" s="108"/>
      <c r="L1681" s="108">
        <v>4.1000000000000002E-2</v>
      </c>
      <c r="O1681" s="105"/>
    </row>
    <row r="1682" spans="2:15" x14ac:dyDescent="0.2">
      <c r="B1682" s="1">
        <v>1667</v>
      </c>
      <c r="C1682" s="106">
        <f t="shared" ca="1" si="104"/>
        <v>-0.95832652195746637</v>
      </c>
      <c r="D1682" s="106">
        <f t="shared" ca="1" si="105"/>
        <v>0.60456400022066181</v>
      </c>
      <c r="E1682" s="106">
        <f t="shared" ca="1" si="106"/>
        <v>0</v>
      </c>
      <c r="F1682" s="21">
        <f t="shared" ca="1" si="107"/>
        <v>0</v>
      </c>
      <c r="H1682" s="21">
        <v>1667</v>
      </c>
      <c r="I1682" s="107">
        <v>0.66771684763540273</v>
      </c>
      <c r="J1682" s="108">
        <v>1.3413630412835002E-3</v>
      </c>
      <c r="K1682" s="108"/>
      <c r="L1682" s="108">
        <v>3.9800000000000002E-2</v>
      </c>
      <c r="O1682" s="105"/>
    </row>
    <row r="1683" spans="2:15" x14ac:dyDescent="0.2">
      <c r="B1683" s="1">
        <v>1668</v>
      </c>
      <c r="C1683" s="106">
        <f t="shared" ca="1" si="104"/>
        <v>1.0976712622876419</v>
      </c>
      <c r="D1683" s="106">
        <f t="shared" ca="1" si="105"/>
        <v>0.74049129987234863</v>
      </c>
      <c r="E1683" s="106">
        <f t="shared" ca="1" si="106"/>
        <v>0</v>
      </c>
      <c r="F1683" s="21">
        <f t="shared" ca="1" si="107"/>
        <v>0</v>
      </c>
      <c r="H1683" s="21">
        <v>1668</v>
      </c>
      <c r="I1683" s="107">
        <v>0.66776288767699066</v>
      </c>
      <c r="J1683" s="108">
        <v>1.3203594728834523E-3</v>
      </c>
      <c r="K1683" s="108"/>
      <c r="L1683" s="108">
        <v>4.2599999999999999E-2</v>
      </c>
      <c r="O1683" s="105"/>
    </row>
    <row r="1684" spans="2:15" x14ac:dyDescent="0.2">
      <c r="B1684" s="1">
        <v>1669</v>
      </c>
      <c r="C1684" s="106">
        <f t="shared" ca="1" si="104"/>
        <v>-1.5940428536851985</v>
      </c>
      <c r="D1684" s="106">
        <f t="shared" ca="1" si="105"/>
        <v>0.56781725662746918</v>
      </c>
      <c r="E1684" s="106">
        <f t="shared" ca="1" si="106"/>
        <v>0</v>
      </c>
      <c r="F1684" s="21">
        <f t="shared" ca="1" si="107"/>
        <v>0</v>
      </c>
      <c r="H1684" s="21">
        <v>1669</v>
      </c>
      <c r="I1684" s="107">
        <v>0.66764859712041791</v>
      </c>
      <c r="J1684" s="108">
        <v>1.3482420329327556E-3</v>
      </c>
      <c r="K1684" s="108"/>
      <c r="L1684" s="108">
        <v>4.02E-2</v>
      </c>
      <c r="O1684" s="105"/>
    </row>
    <row r="1685" spans="2:15" x14ac:dyDescent="0.2">
      <c r="B1685" s="1">
        <v>1670</v>
      </c>
      <c r="C1685" s="106">
        <f t="shared" ca="1" si="104"/>
        <v>-7.7119417840995824E-2</v>
      </c>
      <c r="D1685" s="106">
        <f t="shared" ca="1" si="105"/>
        <v>0.65946636787775059</v>
      </c>
      <c r="E1685" s="106">
        <f t="shared" ca="1" si="106"/>
        <v>0</v>
      </c>
      <c r="F1685" s="21">
        <f t="shared" ca="1" si="107"/>
        <v>0</v>
      </c>
      <c r="H1685" s="21">
        <v>1670</v>
      </c>
      <c r="I1685" s="107">
        <v>0.66777734142307099</v>
      </c>
      <c r="J1685" s="108">
        <v>1.5180176485039853E-3</v>
      </c>
      <c r="K1685" s="108"/>
      <c r="L1685" s="108">
        <v>4.3799999999999999E-2</v>
      </c>
      <c r="O1685" s="105"/>
    </row>
    <row r="1686" spans="2:15" x14ac:dyDescent="0.2">
      <c r="B1686" s="1">
        <v>1671</v>
      </c>
      <c r="C1686" s="106">
        <f t="shared" ca="1" si="104"/>
        <v>0.19733034327331042</v>
      </c>
      <c r="D1686" s="106">
        <f t="shared" ca="1" si="105"/>
        <v>0.67756335598789119</v>
      </c>
      <c r="E1686" s="106">
        <f t="shared" ca="1" si="106"/>
        <v>0</v>
      </c>
      <c r="F1686" s="21">
        <f t="shared" ca="1" si="107"/>
        <v>0</v>
      </c>
      <c r="H1686" s="21">
        <v>1671</v>
      </c>
      <c r="I1686" s="107">
        <v>0.66773424167452633</v>
      </c>
      <c r="J1686" s="108">
        <v>1.3607532059271659E-3</v>
      </c>
      <c r="K1686" s="108"/>
      <c r="L1686" s="108">
        <v>4.2599999999999999E-2</v>
      </c>
      <c r="O1686" s="105"/>
    </row>
    <row r="1687" spans="2:15" x14ac:dyDescent="0.2">
      <c r="B1687" s="1">
        <v>1672</v>
      </c>
      <c r="C1687" s="106">
        <f t="shared" ca="1" si="104"/>
        <v>-1.3511187145648973</v>
      </c>
      <c r="D1687" s="106">
        <f t="shared" ca="1" si="105"/>
        <v>0.58158782641877049</v>
      </c>
      <c r="E1687" s="106">
        <f t="shared" ca="1" si="106"/>
        <v>0</v>
      </c>
      <c r="F1687" s="21">
        <f t="shared" ca="1" si="107"/>
        <v>0</v>
      </c>
      <c r="H1687" s="21">
        <v>1672</v>
      </c>
      <c r="I1687" s="107">
        <v>0.66785377482244801</v>
      </c>
      <c r="J1687" s="108">
        <v>1.5384932888088858E-3</v>
      </c>
      <c r="K1687" s="108"/>
      <c r="L1687" s="108">
        <v>4.4400000000000002E-2</v>
      </c>
      <c r="O1687" s="105"/>
    </row>
    <row r="1688" spans="2:15" x14ac:dyDescent="0.2">
      <c r="B1688" s="1">
        <v>1673</v>
      </c>
      <c r="C1688" s="106">
        <f t="shared" ca="1" si="104"/>
        <v>-0.10520622115738758</v>
      </c>
      <c r="D1688" s="106">
        <f t="shared" ca="1" si="105"/>
        <v>0.65764183205872906</v>
      </c>
      <c r="E1688" s="106">
        <f t="shared" ca="1" si="106"/>
        <v>0</v>
      </c>
      <c r="F1688" s="21">
        <f t="shared" ca="1" si="107"/>
        <v>0</v>
      </c>
      <c r="H1688" s="21">
        <v>1673</v>
      </c>
      <c r="I1688" s="107">
        <v>0.66770949387479828</v>
      </c>
      <c r="J1688" s="108">
        <v>1.3754467739240533E-3</v>
      </c>
      <c r="K1688" s="108"/>
      <c r="L1688" s="108">
        <v>3.9600000000000003E-2</v>
      </c>
      <c r="O1688" s="105"/>
    </row>
    <row r="1689" spans="2:15" x14ac:dyDescent="0.2">
      <c r="B1689" s="1">
        <v>1674</v>
      </c>
      <c r="C1689" s="106">
        <f t="shared" ca="1" si="104"/>
        <v>-0.94390697400168788</v>
      </c>
      <c r="D1689" s="106">
        <f t="shared" ca="1" si="105"/>
        <v>0.60542452172562344</v>
      </c>
      <c r="E1689" s="106">
        <f t="shared" ca="1" si="106"/>
        <v>0</v>
      </c>
      <c r="F1689" s="21">
        <f t="shared" ca="1" si="107"/>
        <v>0</v>
      </c>
      <c r="H1689" s="21">
        <v>1674</v>
      </c>
      <c r="I1689" s="107">
        <v>0.66776030060169278</v>
      </c>
      <c r="J1689" s="108">
        <v>1.5015755457654337E-3</v>
      </c>
      <c r="K1689" s="108"/>
      <c r="L1689" s="108">
        <v>4.2999999999999997E-2</v>
      </c>
      <c r="O1689" s="105"/>
    </row>
    <row r="1690" spans="2:15" x14ac:dyDescent="0.2">
      <c r="B1690" s="1">
        <v>1675</v>
      </c>
      <c r="C1690" s="106">
        <f t="shared" ca="1" si="104"/>
        <v>-0.65131719735220306</v>
      </c>
      <c r="D1690" s="106">
        <f t="shared" ca="1" si="105"/>
        <v>0.62315254492923344</v>
      </c>
      <c r="E1690" s="106">
        <f t="shared" ca="1" si="106"/>
        <v>0</v>
      </c>
      <c r="F1690" s="21">
        <f t="shared" ca="1" si="107"/>
        <v>0</v>
      </c>
      <c r="H1690" s="21">
        <v>1675</v>
      </c>
      <c r="I1690" s="107">
        <v>0.66765499611473234</v>
      </c>
      <c r="J1690" s="108">
        <v>1.2341956316307787E-3</v>
      </c>
      <c r="K1690" s="108"/>
      <c r="L1690" s="108">
        <v>3.7400000000000003E-2</v>
      </c>
      <c r="O1690" s="105"/>
    </row>
    <row r="1691" spans="2:15" x14ac:dyDescent="0.2">
      <c r="B1691" s="1">
        <v>1676</v>
      </c>
      <c r="C1691" s="106">
        <f t="shared" ca="1" si="104"/>
        <v>-1.3551256166201935</v>
      </c>
      <c r="D1691" s="106">
        <f t="shared" ca="1" si="105"/>
        <v>0.58135800150226735</v>
      </c>
      <c r="E1691" s="106">
        <f t="shared" ca="1" si="106"/>
        <v>0</v>
      </c>
      <c r="F1691" s="21">
        <f t="shared" ca="1" si="107"/>
        <v>0</v>
      </c>
      <c r="H1691" s="21">
        <v>1676</v>
      </c>
      <c r="I1691" s="107">
        <v>0.66781293395168317</v>
      </c>
      <c r="J1691" s="108">
        <v>1.4970272016811177E-3</v>
      </c>
      <c r="K1691" s="108"/>
      <c r="L1691" s="108">
        <v>4.2799999999999998E-2</v>
      </c>
      <c r="O1691" s="105"/>
    </row>
    <row r="1692" spans="2:15" x14ac:dyDescent="0.2">
      <c r="B1692" s="1">
        <v>1677</v>
      </c>
      <c r="C1692" s="106">
        <f t="shared" ca="1" si="104"/>
        <v>-1.2407542941084244</v>
      </c>
      <c r="D1692" s="106">
        <f t="shared" ca="1" si="105"/>
        <v>0.58795386713045317</v>
      </c>
      <c r="E1692" s="106">
        <f t="shared" ca="1" si="106"/>
        <v>0</v>
      </c>
      <c r="F1692" s="21">
        <f t="shared" ca="1" si="107"/>
        <v>0</v>
      </c>
      <c r="H1692" s="21">
        <v>1677</v>
      </c>
      <c r="I1692" s="107">
        <v>0.66771609926584696</v>
      </c>
      <c r="J1692" s="108">
        <v>1.2477870738253629E-3</v>
      </c>
      <c r="K1692" s="108"/>
      <c r="L1692" s="108">
        <v>4.3400000000000001E-2</v>
      </c>
      <c r="O1692" s="105"/>
    </row>
    <row r="1693" spans="2:15" x14ac:dyDescent="0.2">
      <c r="B1693" s="1">
        <v>1678</v>
      </c>
      <c r="C1693" s="106">
        <f t="shared" ca="1" si="104"/>
        <v>1.1560429145773063</v>
      </c>
      <c r="D1693" s="106">
        <f t="shared" ca="1" si="105"/>
        <v>0.744767241328676</v>
      </c>
      <c r="E1693" s="106">
        <f t="shared" ca="1" si="106"/>
        <v>0</v>
      </c>
      <c r="F1693" s="21">
        <f t="shared" ca="1" si="107"/>
        <v>0</v>
      </c>
      <c r="H1693" s="21">
        <v>1678</v>
      </c>
      <c r="I1693" s="107">
        <v>0.66770434343252427</v>
      </c>
      <c r="J1693" s="108">
        <v>1.2606028755154702E-3</v>
      </c>
      <c r="K1693" s="108"/>
      <c r="L1693" s="108">
        <v>3.9399999999999998E-2</v>
      </c>
      <c r="O1693" s="105"/>
    </row>
    <row r="1694" spans="2:15" x14ac:dyDescent="0.2">
      <c r="B1694" s="1">
        <v>1679</v>
      </c>
      <c r="C1694" s="106">
        <f t="shared" ca="1" si="104"/>
        <v>-1.6183299293370383</v>
      </c>
      <c r="D1694" s="106">
        <f t="shared" ca="1" si="105"/>
        <v>0.56645855969293923</v>
      </c>
      <c r="E1694" s="106">
        <f t="shared" ca="1" si="106"/>
        <v>0</v>
      </c>
      <c r="F1694" s="21">
        <f t="shared" ca="1" si="107"/>
        <v>0</v>
      </c>
      <c r="H1694" s="21">
        <v>1679</v>
      </c>
      <c r="I1694" s="107">
        <v>0.66784643403227817</v>
      </c>
      <c r="J1694" s="108">
        <v>1.4606848861541944E-3</v>
      </c>
      <c r="K1694" s="108"/>
      <c r="L1694" s="108">
        <v>4.1799999999999997E-2</v>
      </c>
      <c r="O1694" s="105"/>
    </row>
    <row r="1695" spans="2:15" x14ac:dyDescent="0.2">
      <c r="B1695" s="1">
        <v>1680</v>
      </c>
      <c r="C1695" s="106">
        <f t="shared" ca="1" si="104"/>
        <v>-0.28953549283794516</v>
      </c>
      <c r="D1695" s="106">
        <f t="shared" ca="1" si="105"/>
        <v>0.64579232334770376</v>
      </c>
      <c r="E1695" s="106">
        <f t="shared" ca="1" si="106"/>
        <v>0</v>
      </c>
      <c r="F1695" s="21">
        <f t="shared" ca="1" si="107"/>
        <v>0</v>
      </c>
      <c r="H1695" s="21">
        <v>1680</v>
      </c>
      <c r="I1695" s="107">
        <v>0.66786823584362864</v>
      </c>
      <c r="J1695" s="108">
        <v>1.4701978622085863E-3</v>
      </c>
      <c r="K1695" s="108"/>
      <c r="L1695" s="108">
        <v>4.3200000000000002E-2</v>
      </c>
      <c r="O1695" s="105"/>
    </row>
    <row r="1696" spans="2:15" x14ac:dyDescent="0.2">
      <c r="B1696" s="1">
        <v>1681</v>
      </c>
      <c r="C1696" s="106">
        <f t="shared" ca="1" si="104"/>
        <v>0.58808633250305453</v>
      </c>
      <c r="D1696" s="106">
        <f t="shared" ca="1" si="105"/>
        <v>0.7041896799279288</v>
      </c>
      <c r="E1696" s="106">
        <f t="shared" ca="1" si="106"/>
        <v>0</v>
      </c>
      <c r="F1696" s="21">
        <f t="shared" ca="1" si="107"/>
        <v>0</v>
      </c>
      <c r="H1696" s="21">
        <v>1681</v>
      </c>
      <c r="I1696" s="107">
        <v>0.6678896678734203</v>
      </c>
      <c r="J1696" s="108">
        <v>1.5793924746127848E-3</v>
      </c>
      <c r="K1696" s="108"/>
      <c r="L1696" s="108">
        <v>4.5400000000000003E-2</v>
      </c>
      <c r="O1696" s="105"/>
    </row>
    <row r="1697" spans="2:15" x14ac:dyDescent="0.2">
      <c r="B1697" s="1">
        <v>1682</v>
      </c>
      <c r="C1697" s="106">
        <f t="shared" ca="1" si="104"/>
        <v>-1.4879283148753062</v>
      </c>
      <c r="D1697" s="106">
        <f t="shared" ca="1" si="105"/>
        <v>0.5737919731156621</v>
      </c>
      <c r="E1697" s="106">
        <f t="shared" ca="1" si="106"/>
        <v>0</v>
      </c>
      <c r="F1697" s="21">
        <f t="shared" ca="1" si="107"/>
        <v>0</v>
      </c>
      <c r="H1697" s="21">
        <v>1682</v>
      </c>
      <c r="I1697" s="107">
        <v>0.66765834871938734</v>
      </c>
      <c r="J1697" s="108">
        <v>1.2098860089586056E-3</v>
      </c>
      <c r="K1697" s="108"/>
      <c r="L1697" s="108">
        <v>4.2599999999999999E-2</v>
      </c>
      <c r="O1697" s="105"/>
    </row>
    <row r="1698" spans="2:15" x14ac:dyDescent="0.2">
      <c r="B1698" s="1">
        <v>1683</v>
      </c>
      <c r="C1698" s="106">
        <f t="shared" ca="1" si="104"/>
        <v>1.3134983822540476</v>
      </c>
      <c r="D1698" s="106">
        <f t="shared" ca="1" si="105"/>
        <v>0.75642497758269689</v>
      </c>
      <c r="E1698" s="106">
        <f t="shared" ca="1" si="106"/>
        <v>0</v>
      </c>
      <c r="F1698" s="21">
        <f t="shared" ca="1" si="107"/>
        <v>0</v>
      </c>
      <c r="H1698" s="21">
        <v>1683</v>
      </c>
      <c r="I1698" s="107">
        <v>0.66787202125581047</v>
      </c>
      <c r="J1698" s="108">
        <v>1.4250086321520243E-3</v>
      </c>
      <c r="K1698" s="108"/>
      <c r="L1698" s="108">
        <v>4.2200000000000001E-2</v>
      </c>
      <c r="O1698" s="105"/>
    </row>
    <row r="1699" spans="2:15" x14ac:dyDescent="0.2">
      <c r="B1699" s="1">
        <v>1684</v>
      </c>
      <c r="C1699" s="106">
        <f t="shared" ca="1" si="104"/>
        <v>0.60216083618482708</v>
      </c>
      <c r="D1699" s="106">
        <f t="shared" ca="1" si="105"/>
        <v>0.70516800492921916</v>
      </c>
      <c r="E1699" s="106">
        <f t="shared" ca="1" si="106"/>
        <v>0</v>
      </c>
      <c r="F1699" s="21">
        <f t="shared" ca="1" si="107"/>
        <v>0</v>
      </c>
      <c r="H1699" s="21">
        <v>1684</v>
      </c>
      <c r="I1699" s="107">
        <v>0.66795101301587434</v>
      </c>
      <c r="J1699" s="108">
        <v>1.6525172372551839E-3</v>
      </c>
      <c r="K1699" s="108"/>
      <c r="L1699" s="108">
        <v>4.6600000000000003E-2</v>
      </c>
      <c r="O1699" s="105"/>
    </row>
    <row r="1700" spans="2:15" x14ac:dyDescent="0.2">
      <c r="B1700" s="1">
        <v>1685</v>
      </c>
      <c r="C1700" s="106">
        <f t="shared" ca="1" si="104"/>
        <v>-1.1742544752901145</v>
      </c>
      <c r="D1700" s="106">
        <f t="shared" ca="1" si="105"/>
        <v>0.59182330429111962</v>
      </c>
      <c r="E1700" s="106">
        <f t="shared" ca="1" si="106"/>
        <v>0</v>
      </c>
      <c r="F1700" s="21">
        <f t="shared" ca="1" si="107"/>
        <v>0</v>
      </c>
      <c r="H1700" s="21">
        <v>1685</v>
      </c>
      <c r="I1700" s="107">
        <v>0.66785869433289224</v>
      </c>
      <c r="J1700" s="108">
        <v>1.3476679411132191E-3</v>
      </c>
      <c r="K1700" s="108"/>
      <c r="L1700" s="108">
        <v>4.3400000000000001E-2</v>
      </c>
      <c r="O1700" s="105"/>
    </row>
    <row r="1701" spans="2:15" x14ac:dyDescent="0.2">
      <c r="B1701" s="1">
        <v>1686</v>
      </c>
      <c r="C1701" s="106">
        <f t="shared" ca="1" si="104"/>
        <v>-0.22434838537814858</v>
      </c>
      <c r="D1701" s="106">
        <f t="shared" ca="1" si="105"/>
        <v>0.64995823950692344</v>
      </c>
      <c r="E1701" s="106">
        <f t="shared" ca="1" si="106"/>
        <v>0</v>
      </c>
      <c r="F1701" s="21">
        <f t="shared" ca="1" si="107"/>
        <v>0</v>
      </c>
      <c r="H1701" s="21">
        <v>1686</v>
      </c>
      <c r="I1701" s="107">
        <v>0.66771321606117473</v>
      </c>
      <c r="J1701" s="108">
        <v>1.3705535588247684E-3</v>
      </c>
      <c r="K1701" s="108"/>
      <c r="L1701" s="108">
        <v>4.1200000000000001E-2</v>
      </c>
      <c r="O1701" s="105"/>
    </row>
    <row r="1702" spans="2:15" x14ac:dyDescent="0.2">
      <c r="B1702" s="1">
        <v>1687</v>
      </c>
      <c r="C1702" s="106">
        <f t="shared" ca="1" si="104"/>
        <v>-0.44474100123094834</v>
      </c>
      <c r="D1702" s="106">
        <f t="shared" ca="1" si="105"/>
        <v>0.63598074905243296</v>
      </c>
      <c r="E1702" s="106">
        <f t="shared" ca="1" si="106"/>
        <v>0</v>
      </c>
      <c r="F1702" s="21">
        <f t="shared" ca="1" si="107"/>
        <v>0</v>
      </c>
      <c r="H1702" s="21">
        <v>1687</v>
      </c>
      <c r="I1702" s="107">
        <v>0.66768353291578564</v>
      </c>
      <c r="J1702" s="108">
        <v>1.3004808351267728E-3</v>
      </c>
      <c r="K1702" s="108"/>
      <c r="L1702" s="108">
        <v>3.9600000000000003E-2</v>
      </c>
      <c r="O1702" s="105"/>
    </row>
    <row r="1703" spans="2:15" x14ac:dyDescent="0.2">
      <c r="B1703" s="1">
        <v>1688</v>
      </c>
      <c r="C1703" s="106">
        <f t="shared" ca="1" si="104"/>
        <v>4.8061640160556765E-2</v>
      </c>
      <c r="D1703" s="106">
        <f t="shared" ca="1" si="105"/>
        <v>0.66765995864453498</v>
      </c>
      <c r="E1703" s="106">
        <f t="shared" ca="1" si="106"/>
        <v>0</v>
      </c>
      <c r="F1703" s="21">
        <f t="shared" ca="1" si="107"/>
        <v>0</v>
      </c>
      <c r="H1703" s="21">
        <v>1688</v>
      </c>
      <c r="I1703" s="107">
        <v>0.66769482074097142</v>
      </c>
      <c r="J1703" s="108">
        <v>1.3103711644532402E-3</v>
      </c>
      <c r="K1703" s="108"/>
      <c r="L1703" s="108">
        <v>4.2000000000000003E-2</v>
      </c>
      <c r="O1703" s="105"/>
    </row>
    <row r="1704" spans="2:15" x14ac:dyDescent="0.2">
      <c r="B1704" s="1">
        <v>1689</v>
      </c>
      <c r="C1704" s="106">
        <f t="shared" ca="1" si="104"/>
        <v>-0.53107627320309192</v>
      </c>
      <c r="D1704" s="106">
        <f t="shared" ca="1" si="105"/>
        <v>0.63058759073252402</v>
      </c>
      <c r="E1704" s="106">
        <f t="shared" ca="1" si="106"/>
        <v>0</v>
      </c>
      <c r="F1704" s="21">
        <f t="shared" ca="1" si="107"/>
        <v>0</v>
      </c>
      <c r="H1704" s="21">
        <v>1689</v>
      </c>
      <c r="I1704" s="107">
        <v>0.66775927775247612</v>
      </c>
      <c r="J1704" s="108">
        <v>1.3537532361233618E-3</v>
      </c>
      <c r="K1704" s="108"/>
      <c r="L1704" s="108">
        <v>4.2599999999999999E-2</v>
      </c>
      <c r="O1704" s="105"/>
    </row>
    <row r="1705" spans="2:15" x14ac:dyDescent="0.2">
      <c r="B1705" s="1">
        <v>1690</v>
      </c>
      <c r="C1705" s="106">
        <f t="shared" ca="1" si="104"/>
        <v>0.12650003771943538</v>
      </c>
      <c r="D1705" s="106">
        <f t="shared" ca="1" si="105"/>
        <v>0.67284585883840464</v>
      </c>
      <c r="E1705" s="106">
        <f t="shared" ca="1" si="106"/>
        <v>0</v>
      </c>
      <c r="F1705" s="21">
        <f t="shared" ca="1" si="107"/>
        <v>0</v>
      </c>
      <c r="H1705" s="21">
        <v>1690</v>
      </c>
      <c r="I1705" s="107">
        <v>0.66768189358360508</v>
      </c>
      <c r="J1705" s="108">
        <v>1.2902082745192937E-3</v>
      </c>
      <c r="K1705" s="108"/>
      <c r="L1705" s="108">
        <v>4.1000000000000002E-2</v>
      </c>
      <c r="O1705" s="105"/>
    </row>
    <row r="1706" spans="2:15" x14ac:dyDescent="0.2">
      <c r="B1706" s="1">
        <v>1691</v>
      </c>
      <c r="C1706" s="106">
        <f t="shared" ca="1" si="104"/>
        <v>-0.62103301430972535</v>
      </c>
      <c r="D1706" s="106">
        <f t="shared" ca="1" si="105"/>
        <v>0.62501685426977549</v>
      </c>
      <c r="E1706" s="106">
        <f t="shared" ca="1" si="106"/>
        <v>0</v>
      </c>
      <c r="F1706" s="21">
        <f t="shared" ca="1" si="107"/>
        <v>0</v>
      </c>
      <c r="H1706" s="21">
        <v>1691</v>
      </c>
      <c r="I1706" s="107">
        <v>0.66763897344144196</v>
      </c>
      <c r="J1706" s="108">
        <v>1.2682476748354079E-3</v>
      </c>
      <c r="K1706" s="108"/>
      <c r="L1706" s="108">
        <v>3.9E-2</v>
      </c>
      <c r="O1706" s="105"/>
    </row>
    <row r="1707" spans="2:15" x14ac:dyDescent="0.2">
      <c r="B1707" s="1">
        <v>1692</v>
      </c>
      <c r="C1707" s="106">
        <f t="shared" ca="1" si="104"/>
        <v>-0.13184644828995956</v>
      </c>
      <c r="D1707" s="106">
        <f t="shared" ca="1" si="105"/>
        <v>0.65591593156107386</v>
      </c>
      <c r="E1707" s="106">
        <f t="shared" ca="1" si="106"/>
        <v>0</v>
      </c>
      <c r="F1707" s="21">
        <f t="shared" ca="1" si="107"/>
        <v>0</v>
      </c>
      <c r="H1707" s="21">
        <v>1692</v>
      </c>
      <c r="I1707" s="107">
        <v>0.66764252354287335</v>
      </c>
      <c r="J1707" s="108">
        <v>1.2736871581880281E-3</v>
      </c>
      <c r="K1707" s="108"/>
      <c r="L1707" s="108">
        <v>4.1599999999999998E-2</v>
      </c>
      <c r="O1707" s="105"/>
    </row>
    <row r="1708" spans="2:15" x14ac:dyDescent="0.2">
      <c r="B1708" s="1">
        <v>1693</v>
      </c>
      <c r="C1708" s="106">
        <f t="shared" ca="1" si="104"/>
        <v>0.75019801358539484</v>
      </c>
      <c r="D1708" s="106">
        <f t="shared" ca="1" si="105"/>
        <v>0.71554083026469129</v>
      </c>
      <c r="E1708" s="106">
        <f t="shared" ca="1" si="106"/>
        <v>0</v>
      </c>
      <c r="F1708" s="21">
        <f t="shared" ca="1" si="107"/>
        <v>0</v>
      </c>
      <c r="H1708" s="21">
        <v>1693</v>
      </c>
      <c r="I1708" s="107">
        <v>0.66786519058195581</v>
      </c>
      <c r="J1708" s="108">
        <v>1.4079351033008422E-3</v>
      </c>
      <c r="K1708" s="108"/>
      <c r="L1708" s="108">
        <v>4.4999999999999998E-2</v>
      </c>
      <c r="O1708" s="105"/>
    </row>
    <row r="1709" spans="2:15" x14ac:dyDescent="0.2">
      <c r="B1709" s="1">
        <v>1694</v>
      </c>
      <c r="C1709" s="106">
        <f t="shared" ca="1" si="104"/>
        <v>2.2091149915589559</v>
      </c>
      <c r="D1709" s="106">
        <f t="shared" ca="1" si="105"/>
        <v>0.82629195510867259</v>
      </c>
      <c r="E1709" s="106">
        <f t="shared" ca="1" si="106"/>
        <v>3.8091955108672582E-2</v>
      </c>
      <c r="F1709" s="21">
        <f t="shared" ca="1" si="107"/>
        <v>1</v>
      </c>
      <c r="H1709" s="21">
        <v>1694</v>
      </c>
      <c r="I1709" s="107">
        <v>0.66779102246098032</v>
      </c>
      <c r="J1709" s="108">
        <v>1.4239776526548821E-3</v>
      </c>
      <c r="K1709" s="108"/>
      <c r="L1709" s="108">
        <v>4.3400000000000001E-2</v>
      </c>
      <c r="O1709" s="105"/>
    </row>
    <row r="1710" spans="2:15" x14ac:dyDescent="0.2">
      <c r="B1710" s="1">
        <v>1695</v>
      </c>
      <c r="C1710" s="106">
        <f t="shared" ca="1" si="104"/>
        <v>-1.6559822920240086</v>
      </c>
      <c r="D1710" s="106">
        <f t="shared" ca="1" si="105"/>
        <v>0.56435859000753497</v>
      </c>
      <c r="E1710" s="106">
        <f t="shared" ca="1" si="106"/>
        <v>0</v>
      </c>
      <c r="F1710" s="21">
        <f t="shared" ca="1" si="107"/>
        <v>0</v>
      </c>
      <c r="H1710" s="21">
        <v>1695</v>
      </c>
      <c r="I1710" s="107">
        <v>0.66765211904426824</v>
      </c>
      <c r="J1710" s="108">
        <v>1.24631258072681E-3</v>
      </c>
      <c r="K1710" s="108"/>
      <c r="L1710" s="108">
        <v>3.9600000000000003E-2</v>
      </c>
      <c r="O1710" s="105"/>
    </row>
    <row r="1711" spans="2:15" x14ac:dyDescent="0.2">
      <c r="B1711" s="1">
        <v>1696</v>
      </c>
      <c r="C1711" s="106">
        <f t="shared" ca="1" si="104"/>
        <v>-0.42543274292224947</v>
      </c>
      <c r="D1711" s="106">
        <f t="shared" ca="1" si="105"/>
        <v>0.63719318725870044</v>
      </c>
      <c r="E1711" s="106">
        <f t="shared" ca="1" si="106"/>
        <v>0</v>
      </c>
      <c r="F1711" s="21">
        <f t="shared" ca="1" si="107"/>
        <v>0</v>
      </c>
      <c r="H1711" s="21">
        <v>1696</v>
      </c>
      <c r="I1711" s="107">
        <v>0.6678278230663115</v>
      </c>
      <c r="J1711" s="108">
        <v>1.5809039607719998E-3</v>
      </c>
      <c r="K1711" s="108"/>
      <c r="L1711" s="108">
        <v>4.2200000000000001E-2</v>
      </c>
      <c r="O1711" s="105"/>
    </row>
    <row r="1712" spans="2:15" x14ac:dyDescent="0.2">
      <c r="B1712" s="1">
        <v>1697</v>
      </c>
      <c r="C1712" s="106">
        <f t="shared" ca="1" si="104"/>
        <v>0.22255754628807534</v>
      </c>
      <c r="D1712" s="106">
        <f t="shared" ca="1" si="105"/>
        <v>0.67925153456280596</v>
      </c>
      <c r="E1712" s="106">
        <f t="shared" ca="1" si="106"/>
        <v>0</v>
      </c>
      <c r="F1712" s="21">
        <f t="shared" ca="1" si="107"/>
        <v>0</v>
      </c>
      <c r="H1712" s="21">
        <v>1697</v>
      </c>
      <c r="I1712" s="107">
        <v>0.66764919433857406</v>
      </c>
      <c r="J1712" s="108">
        <v>1.2478996124559382E-3</v>
      </c>
      <c r="K1712" s="108"/>
      <c r="L1712" s="108">
        <v>3.8800000000000001E-2</v>
      </c>
      <c r="O1712" s="105"/>
    </row>
    <row r="1713" spans="2:15" x14ac:dyDescent="0.2">
      <c r="B1713" s="1">
        <v>1698</v>
      </c>
      <c r="C1713" s="106">
        <f t="shared" ca="1" si="104"/>
        <v>0.62401533528230846</v>
      </c>
      <c r="D1713" s="106">
        <f t="shared" ca="1" si="105"/>
        <v>0.70668981536347086</v>
      </c>
      <c r="E1713" s="106">
        <f t="shared" ca="1" si="106"/>
        <v>0</v>
      </c>
      <c r="F1713" s="21">
        <f t="shared" ca="1" si="107"/>
        <v>0</v>
      </c>
      <c r="H1713" s="21">
        <v>1698</v>
      </c>
      <c r="I1713" s="107">
        <v>0.66771754983026743</v>
      </c>
      <c r="J1713" s="108">
        <v>1.360051091725436E-3</v>
      </c>
      <c r="K1713" s="108"/>
      <c r="L1713" s="108">
        <v>4.02E-2</v>
      </c>
      <c r="O1713" s="105"/>
    </row>
    <row r="1714" spans="2:15" x14ac:dyDescent="0.2">
      <c r="B1714" s="1">
        <v>1699</v>
      </c>
      <c r="C1714" s="106">
        <f t="shared" ca="1" si="104"/>
        <v>-0.28108397157769455</v>
      </c>
      <c r="D1714" s="106">
        <f t="shared" ca="1" si="105"/>
        <v>0.64633092503385992</v>
      </c>
      <c r="E1714" s="106">
        <f t="shared" ca="1" si="106"/>
        <v>0</v>
      </c>
      <c r="F1714" s="21">
        <f t="shared" ca="1" si="107"/>
        <v>0</v>
      </c>
      <c r="H1714" s="21">
        <v>1699</v>
      </c>
      <c r="I1714" s="107">
        <v>0.66763577946068753</v>
      </c>
      <c r="J1714" s="108">
        <v>1.251317100571454E-3</v>
      </c>
      <c r="K1714" s="108"/>
      <c r="L1714" s="108">
        <v>4.1000000000000002E-2</v>
      </c>
      <c r="O1714" s="105"/>
    </row>
    <row r="1715" spans="2:15" x14ac:dyDescent="0.2">
      <c r="B1715" s="1">
        <v>1700</v>
      </c>
      <c r="C1715" s="106">
        <f t="shared" ca="1" si="104"/>
        <v>1.5438835038912126</v>
      </c>
      <c r="D1715" s="106">
        <f t="shared" ca="1" si="105"/>
        <v>0.77381192393709708</v>
      </c>
      <c r="E1715" s="106">
        <f t="shared" ca="1" si="106"/>
        <v>0</v>
      </c>
      <c r="F1715" s="21">
        <f t="shared" ca="1" si="107"/>
        <v>0</v>
      </c>
      <c r="H1715" s="21">
        <v>1700</v>
      </c>
      <c r="I1715" s="107">
        <v>0.66778167587097892</v>
      </c>
      <c r="J1715" s="108">
        <v>1.2882098863794952E-3</v>
      </c>
      <c r="K1715" s="108"/>
      <c r="L1715" s="108">
        <v>4.36E-2</v>
      </c>
      <c r="O1715" s="105"/>
    </row>
    <row r="1716" spans="2:15" x14ac:dyDescent="0.2">
      <c r="B1716" s="1">
        <v>1701</v>
      </c>
      <c r="C1716" s="106">
        <f t="shared" ca="1" si="104"/>
        <v>0.97077489810651474</v>
      </c>
      <c r="D1716" s="106">
        <f t="shared" ca="1" si="105"/>
        <v>0.73128017236621135</v>
      </c>
      <c r="E1716" s="106">
        <f t="shared" ca="1" si="106"/>
        <v>0</v>
      </c>
      <c r="F1716" s="21">
        <f t="shared" ca="1" si="107"/>
        <v>0</v>
      </c>
      <c r="H1716" s="21">
        <v>1701</v>
      </c>
      <c r="I1716" s="107">
        <v>0.66771856954047693</v>
      </c>
      <c r="J1716" s="108">
        <v>1.3218832468999725E-3</v>
      </c>
      <c r="K1716" s="108"/>
      <c r="L1716" s="108">
        <v>4.1799999999999997E-2</v>
      </c>
      <c r="O1716" s="105"/>
    </row>
    <row r="1717" spans="2:15" x14ac:dyDescent="0.2">
      <c r="B1717" s="1">
        <v>1702</v>
      </c>
      <c r="C1717" s="106">
        <f t="shared" ca="1" si="104"/>
        <v>0.33773383827080539</v>
      </c>
      <c r="D1717" s="106">
        <f t="shared" ca="1" si="105"/>
        <v>0.68701261166422256</v>
      </c>
      <c r="E1717" s="106">
        <f t="shared" ca="1" si="106"/>
        <v>0</v>
      </c>
      <c r="F1717" s="21">
        <f t="shared" ca="1" si="107"/>
        <v>0</v>
      </c>
      <c r="H1717" s="21">
        <v>1702</v>
      </c>
      <c r="I1717" s="107">
        <v>0.66773307767698975</v>
      </c>
      <c r="J1717" s="108">
        <v>1.4281197405265089E-3</v>
      </c>
      <c r="K1717" s="108"/>
      <c r="L1717" s="108">
        <v>4.4200000000000003E-2</v>
      </c>
      <c r="O1717" s="105"/>
    </row>
    <row r="1718" spans="2:15" x14ac:dyDescent="0.2">
      <c r="B1718" s="1">
        <v>1703</v>
      </c>
      <c r="C1718" s="106">
        <f t="shared" ca="1" si="104"/>
        <v>-0.87450934076862319</v>
      </c>
      <c r="D1718" s="106">
        <f t="shared" ca="1" si="105"/>
        <v>0.60958315755754322</v>
      </c>
      <c r="E1718" s="106">
        <f t="shared" ca="1" si="106"/>
        <v>0</v>
      </c>
      <c r="F1718" s="21">
        <f t="shared" ca="1" si="107"/>
        <v>0</v>
      </c>
      <c r="H1718" s="21">
        <v>1703</v>
      </c>
      <c r="I1718" s="107">
        <v>0.66756414696895172</v>
      </c>
      <c r="J1718" s="108">
        <v>1.0217377048408682E-3</v>
      </c>
      <c r="K1718" s="108"/>
      <c r="L1718" s="108">
        <v>3.5000000000000003E-2</v>
      </c>
      <c r="O1718" s="105"/>
    </row>
    <row r="1719" spans="2:15" x14ac:dyDescent="0.2">
      <c r="B1719" s="1">
        <v>1704</v>
      </c>
      <c r="C1719" s="106">
        <f t="shared" ca="1" si="104"/>
        <v>0.71068493009763223</v>
      </c>
      <c r="D1719" s="106">
        <f t="shared" ca="1" si="105"/>
        <v>0.71275734991209783</v>
      </c>
      <c r="E1719" s="106">
        <f t="shared" ca="1" si="106"/>
        <v>0</v>
      </c>
      <c r="F1719" s="21">
        <f t="shared" ca="1" si="107"/>
        <v>0</v>
      </c>
      <c r="H1719" s="21">
        <v>1704</v>
      </c>
      <c r="I1719" s="107">
        <v>0.66788768027590018</v>
      </c>
      <c r="J1719" s="108">
        <v>1.4269505761852848E-3</v>
      </c>
      <c r="K1719" s="108"/>
      <c r="L1719" s="108">
        <v>4.8399999999999999E-2</v>
      </c>
      <c r="O1719" s="105"/>
    </row>
    <row r="1720" spans="2:15" x14ac:dyDescent="0.2">
      <c r="B1720" s="1">
        <v>1705</v>
      </c>
      <c r="C1720" s="106">
        <f t="shared" ca="1" si="104"/>
        <v>0.66040202144618043</v>
      </c>
      <c r="D1720" s="106">
        <f t="shared" ca="1" si="105"/>
        <v>0.70923084577492157</v>
      </c>
      <c r="E1720" s="106">
        <f t="shared" ca="1" si="106"/>
        <v>0</v>
      </c>
      <c r="F1720" s="21">
        <f t="shared" ca="1" si="107"/>
        <v>0</v>
      </c>
      <c r="H1720" s="21">
        <v>1705</v>
      </c>
      <c r="I1720" s="107">
        <v>0.66767924440891069</v>
      </c>
      <c r="J1720" s="108">
        <v>1.0985947168401604E-3</v>
      </c>
      <c r="K1720" s="108"/>
      <c r="L1720" s="108">
        <v>3.9800000000000002E-2</v>
      </c>
      <c r="O1720" s="105"/>
    </row>
    <row r="1721" spans="2:15" x14ac:dyDescent="0.2">
      <c r="B1721" s="1">
        <v>1706</v>
      </c>
      <c r="C1721" s="106">
        <f t="shared" ca="1" si="104"/>
        <v>1.1671512382689435</v>
      </c>
      <c r="D1721" s="106">
        <f t="shared" ca="1" si="105"/>
        <v>0.74558375968297286</v>
      </c>
      <c r="E1721" s="106">
        <f t="shared" ca="1" si="106"/>
        <v>0</v>
      </c>
      <c r="F1721" s="21">
        <f t="shared" ca="1" si="107"/>
        <v>0</v>
      </c>
      <c r="H1721" s="21">
        <v>1706</v>
      </c>
      <c r="I1721" s="107">
        <v>0.66772045252812873</v>
      </c>
      <c r="J1721" s="108">
        <v>1.338430196507369E-3</v>
      </c>
      <c r="K1721" s="108"/>
      <c r="L1721" s="108">
        <v>4.2999999999999997E-2</v>
      </c>
      <c r="O1721" s="105"/>
    </row>
    <row r="1722" spans="2:15" x14ac:dyDescent="0.2">
      <c r="B1722" s="1">
        <v>1707</v>
      </c>
      <c r="C1722" s="106">
        <f t="shared" ca="1" si="104"/>
        <v>-0.53999991328245112</v>
      </c>
      <c r="D1722" s="106">
        <f t="shared" ca="1" si="105"/>
        <v>0.63003276673322139</v>
      </c>
      <c r="E1722" s="106">
        <f t="shared" ca="1" si="106"/>
        <v>0</v>
      </c>
      <c r="F1722" s="21">
        <f t="shared" ca="1" si="107"/>
        <v>0</v>
      </c>
      <c r="H1722" s="21">
        <v>1707</v>
      </c>
      <c r="I1722" s="107">
        <v>0.66770510661659621</v>
      </c>
      <c r="J1722" s="108">
        <v>1.4617408549385149E-3</v>
      </c>
      <c r="K1722" s="108"/>
      <c r="L1722" s="108">
        <v>3.9800000000000002E-2</v>
      </c>
      <c r="O1722" s="105"/>
    </row>
    <row r="1723" spans="2:15" x14ac:dyDescent="0.2">
      <c r="B1723" s="1">
        <v>1708</v>
      </c>
      <c r="C1723" s="106">
        <f t="shared" ca="1" si="104"/>
        <v>0.95122182301593705</v>
      </c>
      <c r="D1723" s="106">
        <f t="shared" ca="1" si="105"/>
        <v>0.72987108145535629</v>
      </c>
      <c r="E1723" s="106">
        <f t="shared" ca="1" si="106"/>
        <v>0</v>
      </c>
      <c r="F1723" s="21">
        <f t="shared" ca="1" si="107"/>
        <v>0</v>
      </c>
      <c r="H1723" s="21">
        <v>1708</v>
      </c>
      <c r="I1723" s="107">
        <v>0.66769694693967863</v>
      </c>
      <c r="J1723" s="108">
        <v>1.3109915773823983E-3</v>
      </c>
      <c r="K1723" s="108"/>
      <c r="L1723" s="108">
        <v>4.0399999999999998E-2</v>
      </c>
      <c r="O1723" s="105"/>
    </row>
    <row r="1724" spans="2:15" x14ac:dyDescent="0.2">
      <c r="B1724" s="1">
        <v>1709</v>
      </c>
      <c r="C1724" s="106">
        <f t="shared" ca="1" si="104"/>
        <v>0.17100768406665134</v>
      </c>
      <c r="D1724" s="106">
        <f t="shared" ca="1" si="105"/>
        <v>0.67580634340815937</v>
      </c>
      <c r="E1724" s="106">
        <f t="shared" ca="1" si="106"/>
        <v>0</v>
      </c>
      <c r="F1724" s="21">
        <f t="shared" ca="1" si="107"/>
        <v>0</v>
      </c>
      <c r="H1724" s="21">
        <v>1709</v>
      </c>
      <c r="I1724" s="107">
        <v>0.66774244303610064</v>
      </c>
      <c r="J1724" s="108">
        <v>1.3393309092429564E-3</v>
      </c>
      <c r="K1724" s="108"/>
      <c r="L1724" s="108">
        <v>4.0800000000000003E-2</v>
      </c>
      <c r="O1724" s="105"/>
    </row>
    <row r="1725" spans="2:15" x14ac:dyDescent="0.2">
      <c r="B1725" s="1">
        <v>1710</v>
      </c>
      <c r="C1725" s="106">
        <f t="shared" ca="1" si="104"/>
        <v>0.45777939099694553</v>
      </c>
      <c r="D1725" s="106">
        <f t="shared" ca="1" si="105"/>
        <v>0.69519619599124216</v>
      </c>
      <c r="E1725" s="106">
        <f t="shared" ca="1" si="106"/>
        <v>0</v>
      </c>
      <c r="F1725" s="21">
        <f t="shared" ca="1" si="107"/>
        <v>0</v>
      </c>
      <c r="H1725" s="21">
        <v>1710</v>
      </c>
      <c r="I1725" s="107">
        <v>0.66772508159999644</v>
      </c>
      <c r="J1725" s="108">
        <v>1.3882643949806746E-3</v>
      </c>
      <c r="K1725" s="108"/>
      <c r="L1725" s="108">
        <v>4.3999999999999997E-2</v>
      </c>
      <c r="O1725" s="105"/>
    </row>
    <row r="1726" spans="2:15" x14ac:dyDescent="0.2">
      <c r="B1726" s="1">
        <v>1711</v>
      </c>
      <c r="C1726" s="106">
        <f t="shared" ca="1" si="104"/>
        <v>0.17303799229838462</v>
      </c>
      <c r="D1726" s="106">
        <f t="shared" ca="1" si="105"/>
        <v>0.67594170224985772</v>
      </c>
      <c r="E1726" s="106">
        <f t="shared" ca="1" si="106"/>
        <v>0</v>
      </c>
      <c r="F1726" s="21">
        <f t="shared" ca="1" si="107"/>
        <v>0</v>
      </c>
      <c r="H1726" s="21">
        <v>1711</v>
      </c>
      <c r="I1726" s="107">
        <v>0.66803190039322558</v>
      </c>
      <c r="J1726" s="108">
        <v>1.736152014484669E-3</v>
      </c>
      <c r="K1726" s="108"/>
      <c r="L1726" s="108">
        <v>0.05</v>
      </c>
      <c r="O1726" s="105"/>
    </row>
    <row r="1727" spans="2:15" x14ac:dyDescent="0.2">
      <c r="B1727" s="1">
        <v>1712</v>
      </c>
      <c r="C1727" s="106">
        <f t="shared" ca="1" si="104"/>
        <v>-0.4757440408952161</v>
      </c>
      <c r="D1727" s="106">
        <f t="shared" ca="1" si="105"/>
        <v>0.63403877581676804</v>
      </c>
      <c r="E1727" s="106">
        <f t="shared" ca="1" si="106"/>
        <v>0</v>
      </c>
      <c r="F1727" s="21">
        <f t="shared" ca="1" si="107"/>
        <v>0</v>
      </c>
      <c r="H1727" s="21">
        <v>1712</v>
      </c>
      <c r="I1727" s="107">
        <v>0.66767775795474182</v>
      </c>
      <c r="J1727" s="108">
        <v>1.2722245765850583E-3</v>
      </c>
      <c r="K1727" s="108"/>
      <c r="L1727" s="108">
        <v>0.04</v>
      </c>
      <c r="O1727" s="105"/>
    </row>
    <row r="1728" spans="2:15" x14ac:dyDescent="0.2">
      <c r="B1728" s="1">
        <v>1713</v>
      </c>
      <c r="C1728" s="106">
        <f t="shared" ca="1" si="104"/>
        <v>-1.4925130788270726</v>
      </c>
      <c r="D1728" s="106">
        <f t="shared" ca="1" si="105"/>
        <v>0.57353253597485954</v>
      </c>
      <c r="E1728" s="106">
        <f t="shared" ca="1" si="106"/>
        <v>0</v>
      </c>
      <c r="F1728" s="21">
        <f t="shared" ca="1" si="107"/>
        <v>0</v>
      </c>
      <c r="H1728" s="21">
        <v>1713</v>
      </c>
      <c r="I1728" s="107">
        <v>0.66786521900426865</v>
      </c>
      <c r="J1728" s="108">
        <v>1.5383569871987993E-3</v>
      </c>
      <c r="K1728" s="108"/>
      <c r="L1728" s="108">
        <v>4.4400000000000002E-2</v>
      </c>
      <c r="O1728" s="105"/>
    </row>
    <row r="1729" spans="2:15" x14ac:dyDescent="0.2">
      <c r="B1729" s="1">
        <v>1714</v>
      </c>
      <c r="C1729" s="106">
        <f t="shared" ca="1" si="104"/>
        <v>1.731353675809727</v>
      </c>
      <c r="D1729" s="106">
        <f t="shared" ca="1" si="105"/>
        <v>0.78825461884911996</v>
      </c>
      <c r="E1729" s="106">
        <f t="shared" ca="1" si="106"/>
        <v>5.4618849119947299E-5</v>
      </c>
      <c r="F1729" s="21">
        <f t="shared" ca="1" si="107"/>
        <v>1</v>
      </c>
      <c r="H1729" s="21">
        <v>1714</v>
      </c>
      <c r="I1729" s="107">
        <v>0.66783733741822193</v>
      </c>
      <c r="J1729" s="108">
        <v>1.4575898038117641E-3</v>
      </c>
      <c r="K1729" s="108"/>
      <c r="L1729" s="108">
        <v>3.9800000000000002E-2</v>
      </c>
      <c r="O1729" s="105"/>
    </row>
    <row r="1730" spans="2:15" x14ac:dyDescent="0.2">
      <c r="B1730" s="1">
        <v>1715</v>
      </c>
      <c r="C1730" s="106">
        <f t="shared" ca="1" si="104"/>
        <v>1.4406025234736681</v>
      </c>
      <c r="D1730" s="106">
        <f t="shared" ca="1" si="105"/>
        <v>0.76596852506136348</v>
      </c>
      <c r="E1730" s="106">
        <f t="shared" ca="1" si="106"/>
        <v>0</v>
      </c>
      <c r="F1730" s="21">
        <f t="shared" ca="1" si="107"/>
        <v>0</v>
      </c>
      <c r="H1730" s="21">
        <v>1715</v>
      </c>
      <c r="I1730" s="107">
        <v>0.66778150991613394</v>
      </c>
      <c r="J1730" s="108">
        <v>1.4538925083240675E-3</v>
      </c>
      <c r="K1730" s="108"/>
      <c r="L1730" s="108">
        <v>4.2000000000000003E-2</v>
      </c>
      <c r="O1730" s="105"/>
    </row>
    <row r="1731" spans="2:15" x14ac:dyDescent="0.2">
      <c r="B1731" s="1">
        <v>1716</v>
      </c>
      <c r="C1731" s="106">
        <f t="shared" ca="1" si="104"/>
        <v>2.2810993036025988</v>
      </c>
      <c r="D1731" s="106">
        <f t="shared" ca="1" si="105"/>
        <v>0.8321800266436673</v>
      </c>
      <c r="E1731" s="106">
        <f t="shared" ca="1" si="106"/>
        <v>4.3980026643667292E-2</v>
      </c>
      <c r="F1731" s="21">
        <f t="shared" ca="1" si="107"/>
        <v>1</v>
      </c>
      <c r="H1731" s="21">
        <v>1716</v>
      </c>
      <c r="I1731" s="107">
        <v>0.66761496649883478</v>
      </c>
      <c r="J1731" s="108">
        <v>1.1852857716191728E-3</v>
      </c>
      <c r="K1731" s="108"/>
      <c r="L1731" s="108">
        <v>3.7999999999999999E-2</v>
      </c>
      <c r="O1731" s="105"/>
    </row>
    <row r="1732" spans="2:15" x14ac:dyDescent="0.2">
      <c r="B1732" s="1">
        <v>1717</v>
      </c>
      <c r="C1732" s="106">
        <f t="shared" ca="1" si="104"/>
        <v>0.91665267115162075</v>
      </c>
      <c r="D1732" s="106">
        <f t="shared" ca="1" si="105"/>
        <v>0.72738649832814495</v>
      </c>
      <c r="E1732" s="106">
        <f t="shared" ca="1" si="106"/>
        <v>0</v>
      </c>
      <c r="F1732" s="21">
        <f t="shared" ca="1" si="107"/>
        <v>0</v>
      </c>
      <c r="H1732" s="21">
        <v>1717</v>
      </c>
      <c r="I1732" s="107">
        <v>0.66773927918388953</v>
      </c>
      <c r="J1732" s="108">
        <v>1.4867677566735035E-3</v>
      </c>
      <c r="K1732" s="108"/>
      <c r="L1732" s="108">
        <v>3.8199999999999998E-2</v>
      </c>
      <c r="O1732" s="105"/>
    </row>
    <row r="1733" spans="2:15" x14ac:dyDescent="0.2">
      <c r="B1733" s="1">
        <v>1718</v>
      </c>
      <c r="C1733" s="106">
        <f t="shared" ca="1" si="104"/>
        <v>0.1274336794061903</v>
      </c>
      <c r="D1733" s="106">
        <f t="shared" ca="1" si="105"/>
        <v>0.67290782787115777</v>
      </c>
      <c r="E1733" s="106">
        <f t="shared" ca="1" si="106"/>
        <v>0</v>
      </c>
      <c r="F1733" s="21">
        <f t="shared" ca="1" si="107"/>
        <v>0</v>
      </c>
      <c r="H1733" s="21">
        <v>1718</v>
      </c>
      <c r="I1733" s="107">
        <v>0.66778754794513984</v>
      </c>
      <c r="J1733" s="108">
        <v>1.3795690673907436E-3</v>
      </c>
      <c r="K1733" s="108"/>
      <c r="L1733" s="108">
        <v>4.4200000000000003E-2</v>
      </c>
      <c r="O1733" s="105"/>
    </row>
    <row r="1734" spans="2:15" x14ac:dyDescent="0.2">
      <c r="B1734" s="1">
        <v>1719</v>
      </c>
      <c r="C1734" s="106">
        <f t="shared" ca="1" si="104"/>
        <v>0.29281661383543583</v>
      </c>
      <c r="D1734" s="106">
        <f t="shared" ca="1" si="105"/>
        <v>0.68397540206022556</v>
      </c>
      <c r="E1734" s="106">
        <f t="shared" ca="1" si="106"/>
        <v>0</v>
      </c>
      <c r="F1734" s="21">
        <f t="shared" ca="1" si="107"/>
        <v>0</v>
      </c>
      <c r="H1734" s="21">
        <v>1719</v>
      </c>
      <c r="I1734" s="107">
        <v>0.66777316791636543</v>
      </c>
      <c r="J1734" s="108">
        <v>1.4310170918904201E-3</v>
      </c>
      <c r="K1734" s="108"/>
      <c r="L1734" s="108">
        <v>4.4999999999999998E-2</v>
      </c>
      <c r="O1734" s="105"/>
    </row>
    <row r="1735" spans="2:15" x14ac:dyDescent="0.2">
      <c r="B1735" s="1">
        <v>1720</v>
      </c>
      <c r="C1735" s="106">
        <f t="shared" ca="1" si="104"/>
        <v>-0.3598000869386252</v>
      </c>
      <c r="D1735" s="106">
        <f t="shared" ca="1" si="105"/>
        <v>0.6413318171824508</v>
      </c>
      <c r="E1735" s="106">
        <f t="shared" ca="1" si="106"/>
        <v>0</v>
      </c>
      <c r="F1735" s="21">
        <f t="shared" ca="1" si="107"/>
        <v>0</v>
      </c>
      <c r="H1735" s="21">
        <v>1720</v>
      </c>
      <c r="I1735" s="107">
        <v>0.6676419687630657</v>
      </c>
      <c r="J1735" s="108">
        <v>1.2132688862529137E-3</v>
      </c>
      <c r="K1735" s="108"/>
      <c r="L1735" s="108">
        <v>3.6999999999999998E-2</v>
      </c>
      <c r="O1735" s="105"/>
    </row>
    <row r="1736" spans="2:15" x14ac:dyDescent="0.2">
      <c r="B1736" s="1">
        <v>1721</v>
      </c>
      <c r="C1736" s="106">
        <f t="shared" ca="1" si="104"/>
        <v>-4.7416729659250229E-2</v>
      </c>
      <c r="D1736" s="106">
        <f t="shared" ca="1" si="105"/>
        <v>0.66140137998328485</v>
      </c>
      <c r="E1736" s="106">
        <f t="shared" ca="1" si="106"/>
        <v>0</v>
      </c>
      <c r="F1736" s="21">
        <f t="shared" ca="1" si="107"/>
        <v>0</v>
      </c>
      <c r="H1736" s="21">
        <v>1721</v>
      </c>
      <c r="I1736" s="107">
        <v>0.66777152085038738</v>
      </c>
      <c r="J1736" s="108">
        <v>1.3790877367877285E-3</v>
      </c>
      <c r="K1736" s="108"/>
      <c r="L1736" s="108">
        <v>4.1000000000000002E-2</v>
      </c>
      <c r="O1736" s="105"/>
    </row>
    <row r="1737" spans="2:15" x14ac:dyDescent="0.2">
      <c r="B1737" s="1">
        <v>1722</v>
      </c>
      <c r="C1737" s="106">
        <f t="shared" ca="1" si="104"/>
        <v>2.6400109892072394</v>
      </c>
      <c r="D1737" s="106">
        <f t="shared" ca="1" si="105"/>
        <v>0.86216987334453121</v>
      </c>
      <c r="E1737" s="106">
        <f t="shared" ca="1" si="106"/>
        <v>7.3969873344531201E-2</v>
      </c>
      <c r="F1737" s="21">
        <f t="shared" ca="1" si="107"/>
        <v>1</v>
      </c>
      <c r="H1737" s="21">
        <v>1722</v>
      </c>
      <c r="I1737" s="107">
        <v>0.66765104573516165</v>
      </c>
      <c r="J1737" s="108">
        <v>1.2767918560555962E-3</v>
      </c>
      <c r="K1737" s="108"/>
      <c r="L1737" s="108">
        <v>3.7400000000000003E-2</v>
      </c>
      <c r="O1737" s="105"/>
    </row>
    <row r="1738" spans="2:15" x14ac:dyDescent="0.2">
      <c r="B1738" s="1">
        <v>1723</v>
      </c>
      <c r="C1738" s="106">
        <f t="shared" ca="1" si="104"/>
        <v>-1.2856327661699867</v>
      </c>
      <c r="D1738" s="106">
        <f t="shared" ca="1" si="105"/>
        <v>0.58535682326064442</v>
      </c>
      <c r="E1738" s="106">
        <f t="shared" ca="1" si="106"/>
        <v>0</v>
      </c>
      <c r="F1738" s="21">
        <f t="shared" ca="1" si="107"/>
        <v>0</v>
      </c>
      <c r="H1738" s="21">
        <v>1723</v>
      </c>
      <c r="I1738" s="107">
        <v>0.66756986222912917</v>
      </c>
      <c r="J1738" s="108">
        <v>1.1622810041964002E-3</v>
      </c>
      <c r="K1738" s="108"/>
      <c r="L1738" s="108">
        <v>3.7999999999999999E-2</v>
      </c>
      <c r="O1738" s="105"/>
    </row>
    <row r="1739" spans="2:15" x14ac:dyDescent="0.2">
      <c r="B1739" s="1">
        <v>1724</v>
      </c>
      <c r="C1739" s="106">
        <f t="shared" ca="1" si="104"/>
        <v>-0.70464731953158921</v>
      </c>
      <c r="D1739" s="106">
        <f t="shared" ca="1" si="105"/>
        <v>0.61988302462828149</v>
      </c>
      <c r="E1739" s="106">
        <f t="shared" ca="1" si="106"/>
        <v>0</v>
      </c>
      <c r="F1739" s="21">
        <f t="shared" ca="1" si="107"/>
        <v>0</v>
      </c>
      <c r="H1739" s="21">
        <v>1724</v>
      </c>
      <c r="I1739" s="107">
        <v>0.66766215871374779</v>
      </c>
      <c r="J1739" s="108">
        <v>1.3856267720440533E-3</v>
      </c>
      <c r="K1739" s="108"/>
      <c r="L1739" s="108">
        <v>3.9199999999999999E-2</v>
      </c>
      <c r="O1739" s="105"/>
    </row>
    <row r="1740" spans="2:15" x14ac:dyDescent="0.2">
      <c r="B1740" s="1">
        <v>1725</v>
      </c>
      <c r="C1740" s="106">
        <f t="shared" ca="1" si="104"/>
        <v>2.3474869014927058</v>
      </c>
      <c r="D1740" s="106">
        <f t="shared" ca="1" si="105"/>
        <v>0.83764749050746157</v>
      </c>
      <c r="E1740" s="106">
        <f t="shared" ca="1" si="106"/>
        <v>4.9447490507461556E-2</v>
      </c>
      <c r="F1740" s="21">
        <f t="shared" ca="1" si="107"/>
        <v>1</v>
      </c>
      <c r="H1740" s="21">
        <v>1725</v>
      </c>
      <c r="I1740" s="107">
        <v>0.66763982405461653</v>
      </c>
      <c r="J1740" s="108">
        <v>1.2779266414935126E-3</v>
      </c>
      <c r="K1740" s="108"/>
      <c r="L1740" s="108">
        <v>4.2200000000000001E-2</v>
      </c>
      <c r="O1740" s="105"/>
    </row>
    <row r="1741" spans="2:15" x14ac:dyDescent="0.2">
      <c r="B1741" s="1">
        <v>1726</v>
      </c>
      <c r="C1741" s="106">
        <f t="shared" ca="1" si="104"/>
        <v>-0.58672869887456247</v>
      </c>
      <c r="D1741" s="106">
        <f t="shared" ca="1" si="105"/>
        <v>0.62713538311491512</v>
      </c>
      <c r="E1741" s="106">
        <f t="shared" ca="1" si="106"/>
        <v>0</v>
      </c>
      <c r="F1741" s="21">
        <f t="shared" ca="1" si="107"/>
        <v>0</v>
      </c>
      <c r="H1741" s="21">
        <v>1726</v>
      </c>
      <c r="I1741" s="107">
        <v>0.66767371645568474</v>
      </c>
      <c r="J1741" s="108">
        <v>1.2012951118669831E-3</v>
      </c>
      <c r="K1741" s="108"/>
      <c r="L1741" s="108">
        <v>4.1399999999999999E-2</v>
      </c>
      <c r="O1741" s="105"/>
    </row>
    <row r="1742" spans="2:15" x14ac:dyDescent="0.2">
      <c r="B1742" s="1">
        <v>1727</v>
      </c>
      <c r="C1742" s="106">
        <f t="shared" ca="1" si="104"/>
        <v>1.5351382910569209</v>
      </c>
      <c r="D1742" s="106">
        <f t="shared" ca="1" si="105"/>
        <v>0.7731446911245704</v>
      </c>
      <c r="E1742" s="106">
        <f t="shared" ca="1" si="106"/>
        <v>0</v>
      </c>
      <c r="F1742" s="21">
        <f t="shared" ca="1" si="107"/>
        <v>0</v>
      </c>
      <c r="H1742" s="21">
        <v>1727</v>
      </c>
      <c r="I1742" s="107">
        <v>0.66771032562280797</v>
      </c>
      <c r="J1742" s="108">
        <v>1.3523675509260534E-3</v>
      </c>
      <c r="K1742" s="108"/>
      <c r="L1742" s="108">
        <v>4.0599999999999997E-2</v>
      </c>
      <c r="O1742" s="105"/>
    </row>
    <row r="1743" spans="2:15" x14ac:dyDescent="0.2">
      <c r="B1743" s="1">
        <v>1728</v>
      </c>
      <c r="C1743" s="106">
        <f t="shared" ca="1" si="104"/>
        <v>1.1320884455883771</v>
      </c>
      <c r="D1743" s="106">
        <f t="shared" ca="1" si="105"/>
        <v>0.74300950787537701</v>
      </c>
      <c r="E1743" s="106">
        <f t="shared" ca="1" si="106"/>
        <v>0</v>
      </c>
      <c r="F1743" s="21">
        <f t="shared" ca="1" si="107"/>
        <v>0</v>
      </c>
      <c r="H1743" s="21">
        <v>1728</v>
      </c>
      <c r="I1743" s="107">
        <v>0.66781169925075734</v>
      </c>
      <c r="J1743" s="108">
        <v>1.4196784026666266E-3</v>
      </c>
      <c r="K1743" s="108"/>
      <c r="L1743" s="108">
        <v>4.5199999999999997E-2</v>
      </c>
      <c r="O1743" s="105"/>
    </row>
    <row r="1744" spans="2:15" x14ac:dyDescent="0.2">
      <c r="B1744" s="1">
        <v>1729</v>
      </c>
      <c r="C1744" s="106">
        <f t="shared" ref="C1744:C1807" ca="1" si="108">_xlfn.NORM.S.INV(RAND())</f>
        <v>0.69585564541635248</v>
      </c>
      <c r="D1744" s="106">
        <f t="shared" ref="D1744:D1807" ca="1" si="109">S0*EXP((μ-0.5*σ*σ)*T+σ*SQRT(T)*$C1744)</f>
        <v>0.71171550468227496</v>
      </c>
      <c r="E1744" s="106">
        <f t="shared" ref="E1744:E1807" ca="1" si="110">MAX(0,CP*(D1744-K))</f>
        <v>0</v>
      </c>
      <c r="F1744" s="21">
        <f t="shared" ref="F1744:F1807" ca="1" si="111">(CP*(D1744-K)&gt;0)*1</f>
        <v>0</v>
      </c>
      <c r="H1744" s="21">
        <v>1729</v>
      </c>
      <c r="I1744" s="107">
        <v>0.66784185227532789</v>
      </c>
      <c r="J1744" s="108">
        <v>1.280072783496227E-3</v>
      </c>
      <c r="K1744" s="108"/>
      <c r="L1744" s="108">
        <v>4.2200000000000001E-2</v>
      </c>
      <c r="O1744" s="105"/>
    </row>
    <row r="1745" spans="2:15" x14ac:dyDescent="0.2">
      <c r="B1745" s="1">
        <v>1730</v>
      </c>
      <c r="C1745" s="106">
        <f t="shared" ca="1" si="108"/>
        <v>0.11149046310374693</v>
      </c>
      <c r="D1745" s="106">
        <f t="shared" ca="1" si="109"/>
        <v>0.67185040435302579</v>
      </c>
      <c r="E1745" s="106">
        <f t="shared" ca="1" si="110"/>
        <v>0</v>
      </c>
      <c r="F1745" s="21">
        <f t="shared" ca="1" si="111"/>
        <v>0</v>
      </c>
      <c r="H1745" s="21">
        <v>1730</v>
      </c>
      <c r="I1745" s="107">
        <v>0.66752287884329986</v>
      </c>
      <c r="J1745" s="108">
        <v>1.1148105898026897E-3</v>
      </c>
      <c r="K1745" s="108"/>
      <c r="L1745" s="108">
        <v>3.6799999999999999E-2</v>
      </c>
      <c r="O1745" s="105"/>
    </row>
    <row r="1746" spans="2:15" x14ac:dyDescent="0.2">
      <c r="B1746" s="1">
        <v>1731</v>
      </c>
      <c r="C1746" s="106">
        <f t="shared" ca="1" si="108"/>
        <v>0.27031596738312391</v>
      </c>
      <c r="D1746" s="106">
        <f t="shared" ca="1" si="109"/>
        <v>0.68245900647273239</v>
      </c>
      <c r="E1746" s="106">
        <f t="shared" ca="1" si="110"/>
        <v>0</v>
      </c>
      <c r="F1746" s="21">
        <f t="shared" ca="1" si="111"/>
        <v>0</v>
      </c>
      <c r="H1746" s="21">
        <v>1731</v>
      </c>
      <c r="I1746" s="107">
        <v>0.66776463139489539</v>
      </c>
      <c r="J1746" s="108">
        <v>1.4504839424503719E-3</v>
      </c>
      <c r="K1746" s="108"/>
      <c r="L1746" s="108">
        <v>3.9600000000000003E-2</v>
      </c>
      <c r="O1746" s="105"/>
    </row>
    <row r="1747" spans="2:15" x14ac:dyDescent="0.2">
      <c r="B1747" s="1">
        <v>1732</v>
      </c>
      <c r="C1747" s="106">
        <f t="shared" ca="1" si="108"/>
        <v>0.77690401531093645</v>
      </c>
      <c r="D1747" s="106">
        <f t="shared" ca="1" si="109"/>
        <v>0.71742827547621935</v>
      </c>
      <c r="E1747" s="106">
        <f t="shared" ca="1" si="110"/>
        <v>0</v>
      </c>
      <c r="F1747" s="21">
        <f t="shared" ca="1" si="111"/>
        <v>0</v>
      </c>
      <c r="H1747" s="21">
        <v>1732</v>
      </c>
      <c r="I1747" s="107">
        <v>0.66771131254918603</v>
      </c>
      <c r="J1747" s="108">
        <v>1.2680530112475186E-3</v>
      </c>
      <c r="K1747" s="108"/>
      <c r="L1747" s="108">
        <v>3.9399999999999998E-2</v>
      </c>
      <c r="O1747" s="105"/>
    </row>
    <row r="1748" spans="2:15" x14ac:dyDescent="0.2">
      <c r="B1748" s="1">
        <v>1733</v>
      </c>
      <c r="C1748" s="106">
        <f t="shared" ca="1" si="108"/>
        <v>1.3446069776911234</v>
      </c>
      <c r="D1748" s="106">
        <f t="shared" ca="1" si="109"/>
        <v>0.75874970304109302</v>
      </c>
      <c r="E1748" s="106">
        <f t="shared" ca="1" si="110"/>
        <v>0</v>
      </c>
      <c r="F1748" s="21">
        <f t="shared" ca="1" si="111"/>
        <v>0</v>
      </c>
      <c r="H1748" s="21">
        <v>1733</v>
      </c>
      <c r="I1748" s="107">
        <v>0.66795920521525598</v>
      </c>
      <c r="J1748" s="108">
        <v>1.5991337832687432E-3</v>
      </c>
      <c r="K1748" s="108"/>
      <c r="L1748" s="108">
        <v>4.82E-2</v>
      </c>
      <c r="O1748" s="105"/>
    </row>
    <row r="1749" spans="2:15" x14ac:dyDescent="0.2">
      <c r="B1749" s="1">
        <v>1734</v>
      </c>
      <c r="C1749" s="106">
        <f t="shared" ca="1" si="108"/>
        <v>1.6360731921690554</v>
      </c>
      <c r="D1749" s="106">
        <f t="shared" ca="1" si="109"/>
        <v>0.78088084018045356</v>
      </c>
      <c r="E1749" s="106">
        <f t="shared" ca="1" si="110"/>
        <v>0</v>
      </c>
      <c r="F1749" s="21">
        <f t="shared" ca="1" si="111"/>
        <v>0</v>
      </c>
      <c r="H1749" s="21">
        <v>1734</v>
      </c>
      <c r="I1749" s="107">
        <v>0.66781052950631903</v>
      </c>
      <c r="J1749" s="108">
        <v>1.4352035572040712E-3</v>
      </c>
      <c r="K1749" s="108"/>
      <c r="L1749" s="108">
        <v>4.1200000000000001E-2</v>
      </c>
      <c r="O1749" s="105"/>
    </row>
    <row r="1750" spans="2:15" x14ac:dyDescent="0.2">
      <c r="B1750" s="1">
        <v>1735</v>
      </c>
      <c r="C1750" s="106">
        <f t="shared" ca="1" si="108"/>
        <v>-0.45498872528335693</v>
      </c>
      <c r="D1750" s="106">
        <f t="shared" ca="1" si="109"/>
        <v>0.63533819331130448</v>
      </c>
      <c r="E1750" s="106">
        <f t="shared" ca="1" si="110"/>
        <v>0</v>
      </c>
      <c r="F1750" s="21">
        <f t="shared" ca="1" si="111"/>
        <v>0</v>
      </c>
      <c r="H1750" s="21">
        <v>1735</v>
      </c>
      <c r="I1750" s="107">
        <v>0.6677416629000309</v>
      </c>
      <c r="J1750" s="108">
        <v>1.4011317616805532E-3</v>
      </c>
      <c r="K1750" s="108"/>
      <c r="L1750" s="108">
        <v>4.2799999999999998E-2</v>
      </c>
      <c r="O1750" s="105"/>
    </row>
    <row r="1751" spans="2:15" x14ac:dyDescent="0.2">
      <c r="B1751" s="1">
        <v>1736</v>
      </c>
      <c r="C1751" s="106">
        <f t="shared" ca="1" si="108"/>
        <v>0.82590358937143193</v>
      </c>
      <c r="D1751" s="106">
        <f t="shared" ca="1" si="109"/>
        <v>0.72090427471948593</v>
      </c>
      <c r="E1751" s="106">
        <f t="shared" ca="1" si="110"/>
        <v>0</v>
      </c>
      <c r="F1751" s="21">
        <f t="shared" ca="1" si="111"/>
        <v>0</v>
      </c>
      <c r="H1751" s="21">
        <v>1736</v>
      </c>
      <c r="I1751" s="107">
        <v>0.66777446873900637</v>
      </c>
      <c r="J1751" s="108">
        <v>1.4495999914379489E-3</v>
      </c>
      <c r="K1751" s="108"/>
      <c r="L1751" s="108">
        <v>4.2200000000000001E-2</v>
      </c>
      <c r="O1751" s="105"/>
    </row>
    <row r="1752" spans="2:15" x14ac:dyDescent="0.2">
      <c r="B1752" s="1">
        <v>1737</v>
      </c>
      <c r="C1752" s="106">
        <f t="shared" ca="1" si="108"/>
        <v>0.10646939269492357</v>
      </c>
      <c r="D1752" s="106">
        <f t="shared" ca="1" si="109"/>
        <v>0.67151772928865294</v>
      </c>
      <c r="E1752" s="106">
        <f t="shared" ca="1" si="110"/>
        <v>0</v>
      </c>
      <c r="F1752" s="21">
        <f t="shared" ca="1" si="111"/>
        <v>0</v>
      </c>
      <c r="H1752" s="21">
        <v>1737</v>
      </c>
      <c r="I1752" s="107">
        <v>0.66773573385563212</v>
      </c>
      <c r="J1752" s="108">
        <v>1.3617830507757062E-3</v>
      </c>
      <c r="K1752" s="108"/>
      <c r="L1752" s="108">
        <v>4.4600000000000001E-2</v>
      </c>
      <c r="O1752" s="105"/>
    </row>
    <row r="1753" spans="2:15" x14ac:dyDescent="0.2">
      <c r="B1753" s="1">
        <v>1738</v>
      </c>
      <c r="C1753" s="106">
        <f t="shared" ca="1" si="108"/>
        <v>-0.86506367884866753</v>
      </c>
      <c r="D1753" s="106">
        <f t="shared" ca="1" si="109"/>
        <v>0.61015139074629332</v>
      </c>
      <c r="E1753" s="106">
        <f t="shared" ca="1" si="110"/>
        <v>0</v>
      </c>
      <c r="F1753" s="21">
        <f t="shared" ca="1" si="111"/>
        <v>0</v>
      </c>
      <c r="H1753" s="21">
        <v>1738</v>
      </c>
      <c r="I1753" s="107">
        <v>0.66768435344899413</v>
      </c>
      <c r="J1753" s="108">
        <v>1.4396061669014666E-3</v>
      </c>
      <c r="K1753" s="108"/>
      <c r="L1753" s="108">
        <v>4.2200000000000001E-2</v>
      </c>
      <c r="O1753" s="105"/>
    </row>
    <row r="1754" spans="2:15" x14ac:dyDescent="0.2">
      <c r="B1754" s="1">
        <v>1739</v>
      </c>
      <c r="C1754" s="106">
        <f t="shared" ca="1" si="108"/>
        <v>-5.1449009628112642E-2</v>
      </c>
      <c r="D1754" s="106">
        <f t="shared" ca="1" si="109"/>
        <v>0.66113836026490636</v>
      </c>
      <c r="E1754" s="106">
        <f t="shared" ca="1" si="110"/>
        <v>0</v>
      </c>
      <c r="F1754" s="21">
        <f t="shared" ca="1" si="111"/>
        <v>0</v>
      </c>
      <c r="H1754" s="21">
        <v>1739</v>
      </c>
      <c r="I1754" s="107">
        <v>0.66771910450084726</v>
      </c>
      <c r="J1754" s="108">
        <v>1.2779297801963024E-3</v>
      </c>
      <c r="K1754" s="108"/>
      <c r="L1754" s="108">
        <v>3.8399999999999997E-2</v>
      </c>
      <c r="O1754" s="105"/>
    </row>
    <row r="1755" spans="2:15" x14ac:dyDescent="0.2">
      <c r="B1755" s="1">
        <v>1740</v>
      </c>
      <c r="C1755" s="106">
        <f t="shared" ca="1" si="108"/>
        <v>-0.70380891479162999</v>
      </c>
      <c r="D1755" s="106">
        <f t="shared" ca="1" si="109"/>
        <v>0.61993429191431604</v>
      </c>
      <c r="E1755" s="106">
        <f t="shared" ca="1" si="110"/>
        <v>0</v>
      </c>
      <c r="F1755" s="21">
        <f t="shared" ca="1" si="111"/>
        <v>0</v>
      </c>
      <c r="H1755" s="21">
        <v>1740</v>
      </c>
      <c r="I1755" s="107">
        <v>0.66763120718702718</v>
      </c>
      <c r="J1755" s="108">
        <v>1.2446117339557185E-3</v>
      </c>
      <c r="K1755" s="108"/>
      <c r="L1755" s="108">
        <v>3.8199999999999998E-2</v>
      </c>
      <c r="O1755" s="105"/>
    </row>
    <row r="1756" spans="2:15" x14ac:dyDescent="0.2">
      <c r="B1756" s="1">
        <v>1741</v>
      </c>
      <c r="C1756" s="106">
        <f t="shared" ca="1" si="108"/>
        <v>-1.4129567868674231</v>
      </c>
      <c r="D1756" s="106">
        <f t="shared" ca="1" si="109"/>
        <v>0.57805106086852764</v>
      </c>
      <c r="E1756" s="106">
        <f t="shared" ca="1" si="110"/>
        <v>0</v>
      </c>
      <c r="F1756" s="21">
        <f t="shared" ca="1" si="111"/>
        <v>0</v>
      </c>
      <c r="H1756" s="21">
        <v>1741</v>
      </c>
      <c r="I1756" s="107">
        <v>0.66774320593138181</v>
      </c>
      <c r="J1756" s="108">
        <v>1.5189945510920299E-3</v>
      </c>
      <c r="K1756" s="108"/>
      <c r="L1756" s="108">
        <v>4.1799999999999997E-2</v>
      </c>
      <c r="O1756" s="105"/>
    </row>
    <row r="1757" spans="2:15" x14ac:dyDescent="0.2">
      <c r="B1757" s="1">
        <v>1742</v>
      </c>
      <c r="C1757" s="106">
        <f t="shared" ca="1" si="108"/>
        <v>2.2147155978803159</v>
      </c>
      <c r="D1757" s="106">
        <f t="shared" ca="1" si="109"/>
        <v>0.82674856723414014</v>
      </c>
      <c r="E1757" s="106">
        <f t="shared" ca="1" si="110"/>
        <v>3.854856723414013E-2</v>
      </c>
      <c r="F1757" s="21">
        <f t="shared" ca="1" si="111"/>
        <v>1</v>
      </c>
      <c r="H1757" s="21">
        <v>1742</v>
      </c>
      <c r="I1757" s="107">
        <v>0.66766069470285605</v>
      </c>
      <c r="J1757" s="108">
        <v>1.2414191895438274E-3</v>
      </c>
      <c r="K1757" s="108"/>
      <c r="L1757" s="108">
        <v>3.78E-2</v>
      </c>
      <c r="O1757" s="105"/>
    </row>
    <row r="1758" spans="2:15" x14ac:dyDescent="0.2">
      <c r="B1758" s="1">
        <v>1743</v>
      </c>
      <c r="C1758" s="106">
        <f t="shared" ca="1" si="108"/>
        <v>0.11886389010021861</v>
      </c>
      <c r="D1758" s="106">
        <f t="shared" ca="1" si="109"/>
        <v>0.67233923543717833</v>
      </c>
      <c r="E1758" s="106">
        <f t="shared" ca="1" si="110"/>
        <v>0</v>
      </c>
      <c r="F1758" s="21">
        <f t="shared" ca="1" si="111"/>
        <v>0</v>
      </c>
      <c r="H1758" s="21">
        <v>1743</v>
      </c>
      <c r="I1758" s="107">
        <v>0.66778886753967415</v>
      </c>
      <c r="J1758" s="108">
        <v>1.4199757390497541E-3</v>
      </c>
      <c r="K1758" s="108"/>
      <c r="L1758" s="108">
        <v>4.4200000000000003E-2</v>
      </c>
      <c r="O1758" s="105"/>
    </row>
    <row r="1759" spans="2:15" x14ac:dyDescent="0.2">
      <c r="B1759" s="1">
        <v>1744</v>
      </c>
      <c r="C1759" s="106">
        <f t="shared" ca="1" si="108"/>
        <v>-1.0584336958755749</v>
      </c>
      <c r="D1759" s="106">
        <f t="shared" ca="1" si="109"/>
        <v>0.59862348812716015</v>
      </c>
      <c r="E1759" s="106">
        <f t="shared" ca="1" si="110"/>
        <v>0</v>
      </c>
      <c r="F1759" s="21">
        <f t="shared" ca="1" si="111"/>
        <v>0</v>
      </c>
      <c r="H1759" s="21">
        <v>1744</v>
      </c>
      <c r="I1759" s="107">
        <v>0.66773202582805002</v>
      </c>
      <c r="J1759" s="108">
        <v>1.2317380382543953E-3</v>
      </c>
      <c r="K1759" s="108"/>
      <c r="L1759" s="108">
        <v>4.1200000000000001E-2</v>
      </c>
      <c r="O1759" s="105"/>
    </row>
    <row r="1760" spans="2:15" x14ac:dyDescent="0.2">
      <c r="B1760" s="1">
        <v>1745</v>
      </c>
      <c r="C1760" s="106">
        <f t="shared" ca="1" si="108"/>
        <v>-0.1831750211196034</v>
      </c>
      <c r="D1760" s="106">
        <f t="shared" ca="1" si="109"/>
        <v>0.65260334457758895</v>
      </c>
      <c r="E1760" s="106">
        <f t="shared" ca="1" si="110"/>
        <v>0</v>
      </c>
      <c r="F1760" s="21">
        <f t="shared" ca="1" si="111"/>
        <v>0</v>
      </c>
      <c r="H1760" s="21">
        <v>1745</v>
      </c>
      <c r="I1760" s="107">
        <v>0.66785122874297453</v>
      </c>
      <c r="J1760" s="108">
        <v>1.3969140297869849E-3</v>
      </c>
      <c r="K1760" s="108"/>
      <c r="L1760" s="108">
        <v>4.1599999999999998E-2</v>
      </c>
      <c r="O1760" s="105"/>
    </row>
    <row r="1761" spans="2:15" x14ac:dyDescent="0.2">
      <c r="B1761" s="1">
        <v>1746</v>
      </c>
      <c r="C1761" s="106">
        <f t="shared" ca="1" si="108"/>
        <v>1.2213743122522001</v>
      </c>
      <c r="D1761" s="106">
        <f t="shared" ca="1" si="109"/>
        <v>0.7495822995846293</v>
      </c>
      <c r="E1761" s="106">
        <f t="shared" ca="1" si="110"/>
        <v>0</v>
      </c>
      <c r="F1761" s="21">
        <f t="shared" ca="1" si="111"/>
        <v>0</v>
      </c>
      <c r="H1761" s="21">
        <v>1746</v>
      </c>
      <c r="I1761" s="107">
        <v>0.66763391009869366</v>
      </c>
      <c r="J1761" s="108">
        <v>1.3067618003142268E-3</v>
      </c>
      <c r="K1761" s="108"/>
      <c r="L1761" s="108">
        <v>3.78E-2</v>
      </c>
      <c r="O1761" s="105"/>
    </row>
    <row r="1762" spans="2:15" x14ac:dyDescent="0.2">
      <c r="B1762" s="1">
        <v>1747</v>
      </c>
      <c r="C1762" s="106">
        <f t="shared" ca="1" si="108"/>
        <v>-0.64757623563038014</v>
      </c>
      <c r="D1762" s="106">
        <f t="shared" ca="1" si="109"/>
        <v>0.62338253901628105</v>
      </c>
      <c r="E1762" s="106">
        <f t="shared" ca="1" si="110"/>
        <v>0</v>
      </c>
      <c r="F1762" s="21">
        <f t="shared" ca="1" si="111"/>
        <v>0</v>
      </c>
      <c r="H1762" s="21">
        <v>1747</v>
      </c>
      <c r="I1762" s="107">
        <v>0.66770151019376922</v>
      </c>
      <c r="J1762" s="108">
        <v>1.4324069497812562E-3</v>
      </c>
      <c r="K1762" s="108"/>
      <c r="L1762" s="108">
        <v>3.9800000000000002E-2</v>
      </c>
      <c r="O1762" s="105"/>
    </row>
    <row r="1763" spans="2:15" x14ac:dyDescent="0.2">
      <c r="B1763" s="1">
        <v>1748</v>
      </c>
      <c r="C1763" s="106">
        <f t="shared" ca="1" si="108"/>
        <v>-1.0223838221549348</v>
      </c>
      <c r="D1763" s="106">
        <f t="shared" ca="1" si="109"/>
        <v>0.60075598698698818</v>
      </c>
      <c r="E1763" s="106">
        <f t="shared" ca="1" si="110"/>
        <v>0</v>
      </c>
      <c r="F1763" s="21">
        <f t="shared" ca="1" si="111"/>
        <v>0</v>
      </c>
      <c r="H1763" s="21">
        <v>1748</v>
      </c>
      <c r="I1763" s="107">
        <v>0.66783222585418989</v>
      </c>
      <c r="J1763" s="108">
        <v>1.5548803990841614E-3</v>
      </c>
      <c r="K1763" s="108"/>
      <c r="L1763" s="108">
        <v>4.3400000000000001E-2</v>
      </c>
      <c r="O1763" s="105"/>
    </row>
    <row r="1764" spans="2:15" x14ac:dyDescent="0.2">
      <c r="B1764" s="1">
        <v>1749</v>
      </c>
      <c r="C1764" s="106">
        <f t="shared" ca="1" si="108"/>
        <v>-0.30865528028657313</v>
      </c>
      <c r="D1764" s="106">
        <f t="shared" ca="1" si="109"/>
        <v>0.64457550608243452</v>
      </c>
      <c r="E1764" s="106">
        <f t="shared" ca="1" si="110"/>
        <v>0</v>
      </c>
      <c r="F1764" s="21">
        <f t="shared" ca="1" si="111"/>
        <v>0</v>
      </c>
      <c r="H1764" s="21">
        <v>1749</v>
      </c>
      <c r="I1764" s="107">
        <v>0.66768400531438377</v>
      </c>
      <c r="J1764" s="108">
        <v>1.2189059677230538E-3</v>
      </c>
      <c r="K1764" s="108"/>
      <c r="L1764" s="108">
        <v>4.02E-2</v>
      </c>
      <c r="O1764" s="105"/>
    </row>
    <row r="1765" spans="2:15" x14ac:dyDescent="0.2">
      <c r="B1765" s="1">
        <v>1750</v>
      </c>
      <c r="C1765" s="106">
        <f t="shared" ca="1" si="108"/>
        <v>-1.690030151856772</v>
      </c>
      <c r="D1765" s="106">
        <f t="shared" ca="1" si="109"/>
        <v>0.56246635632750763</v>
      </c>
      <c r="E1765" s="106">
        <f t="shared" ca="1" si="110"/>
        <v>0</v>
      </c>
      <c r="F1765" s="21">
        <f t="shared" ca="1" si="111"/>
        <v>0</v>
      </c>
      <c r="H1765" s="21">
        <v>1750</v>
      </c>
      <c r="I1765" s="107">
        <v>0.6677610452771825</v>
      </c>
      <c r="J1765" s="108">
        <v>1.3176781758108499E-3</v>
      </c>
      <c r="K1765" s="108"/>
      <c r="L1765" s="108">
        <v>4.1399999999999999E-2</v>
      </c>
      <c r="O1765" s="105"/>
    </row>
    <row r="1766" spans="2:15" x14ac:dyDescent="0.2">
      <c r="B1766" s="1">
        <v>1751</v>
      </c>
      <c r="C1766" s="106">
        <f t="shared" ca="1" si="108"/>
        <v>1.3165924346954752</v>
      </c>
      <c r="D1766" s="106">
        <f t="shared" ca="1" si="109"/>
        <v>0.75665587480447261</v>
      </c>
      <c r="E1766" s="106">
        <f t="shared" ca="1" si="110"/>
        <v>0</v>
      </c>
      <c r="F1766" s="21">
        <f t="shared" ca="1" si="111"/>
        <v>0</v>
      </c>
      <c r="H1766" s="21">
        <v>1751</v>
      </c>
      <c r="I1766" s="107">
        <v>0.66766731402336177</v>
      </c>
      <c r="J1766" s="108">
        <v>1.2350213978664973E-3</v>
      </c>
      <c r="K1766" s="108"/>
      <c r="L1766" s="108">
        <v>0.04</v>
      </c>
      <c r="O1766" s="105"/>
    </row>
    <row r="1767" spans="2:15" x14ac:dyDescent="0.2">
      <c r="B1767" s="1">
        <v>1752</v>
      </c>
      <c r="C1767" s="106">
        <f t="shared" ca="1" si="108"/>
        <v>-0.17679290669651901</v>
      </c>
      <c r="D1767" s="106">
        <f t="shared" ca="1" si="109"/>
        <v>0.65301431398316634</v>
      </c>
      <c r="E1767" s="106">
        <f t="shared" ca="1" si="110"/>
        <v>0</v>
      </c>
      <c r="F1767" s="21">
        <f t="shared" ca="1" si="111"/>
        <v>0</v>
      </c>
      <c r="H1767" s="21">
        <v>1752</v>
      </c>
      <c r="I1767" s="107">
        <v>0.66776467556916497</v>
      </c>
      <c r="J1767" s="108">
        <v>1.4252800638302854E-3</v>
      </c>
      <c r="K1767" s="108"/>
      <c r="L1767" s="108">
        <v>4.2000000000000003E-2</v>
      </c>
      <c r="O1767" s="105"/>
    </row>
    <row r="1768" spans="2:15" x14ac:dyDescent="0.2">
      <c r="B1768" s="1">
        <v>1753</v>
      </c>
      <c r="C1768" s="106">
        <f t="shared" ca="1" si="108"/>
        <v>-1.6477471666394619</v>
      </c>
      <c r="D1768" s="106">
        <f t="shared" ca="1" si="109"/>
        <v>0.56481721810948848</v>
      </c>
      <c r="E1768" s="106">
        <f t="shared" ca="1" si="110"/>
        <v>0</v>
      </c>
      <c r="F1768" s="21">
        <f t="shared" ca="1" si="111"/>
        <v>0</v>
      </c>
      <c r="H1768" s="21">
        <v>1753</v>
      </c>
      <c r="I1768" s="107">
        <v>0.66785795264811387</v>
      </c>
      <c r="J1768" s="108">
        <v>1.4702914328494131E-3</v>
      </c>
      <c r="K1768" s="108"/>
      <c r="L1768" s="108">
        <v>4.4999999999999998E-2</v>
      </c>
      <c r="O1768" s="105"/>
    </row>
    <row r="1769" spans="2:15" x14ac:dyDescent="0.2">
      <c r="B1769" s="1">
        <v>1754</v>
      </c>
      <c r="C1769" s="106">
        <f t="shared" ca="1" si="108"/>
        <v>-0.53065237024444067</v>
      </c>
      <c r="D1769" s="106">
        <f t="shared" ca="1" si="109"/>
        <v>0.63061395889392613</v>
      </c>
      <c r="E1769" s="106">
        <f t="shared" ca="1" si="110"/>
        <v>0</v>
      </c>
      <c r="F1769" s="21">
        <f t="shared" ca="1" si="111"/>
        <v>0</v>
      </c>
      <c r="H1769" s="21">
        <v>1754</v>
      </c>
      <c r="I1769" s="107">
        <v>0.66786358956949943</v>
      </c>
      <c r="J1769" s="108">
        <v>1.4487532203392298E-3</v>
      </c>
      <c r="K1769" s="108"/>
      <c r="L1769" s="108">
        <v>4.4600000000000001E-2</v>
      </c>
      <c r="O1769" s="105"/>
    </row>
    <row r="1770" spans="2:15" x14ac:dyDescent="0.2">
      <c r="B1770" s="1">
        <v>1755</v>
      </c>
      <c r="C1770" s="106">
        <f t="shared" ca="1" si="108"/>
        <v>-2.1733409750187991</v>
      </c>
      <c r="D1770" s="106">
        <f t="shared" ca="1" si="109"/>
        <v>0.53628026182766297</v>
      </c>
      <c r="E1770" s="106">
        <f t="shared" ca="1" si="110"/>
        <v>0</v>
      </c>
      <c r="F1770" s="21">
        <f t="shared" ca="1" si="111"/>
        <v>0</v>
      </c>
      <c r="H1770" s="21">
        <v>1755</v>
      </c>
      <c r="I1770" s="107">
        <v>0.66787252005379871</v>
      </c>
      <c r="J1770" s="108">
        <v>1.5597333990144437E-3</v>
      </c>
      <c r="K1770" s="108"/>
      <c r="L1770" s="108">
        <v>4.7199999999999999E-2</v>
      </c>
      <c r="O1770" s="105"/>
    </row>
    <row r="1771" spans="2:15" x14ac:dyDescent="0.2">
      <c r="B1771" s="1">
        <v>1756</v>
      </c>
      <c r="C1771" s="106">
        <f t="shared" ca="1" si="108"/>
        <v>0.43871236450595924</v>
      </c>
      <c r="D1771" s="106">
        <f t="shared" ca="1" si="109"/>
        <v>0.69388990205205425</v>
      </c>
      <c r="E1771" s="106">
        <f t="shared" ca="1" si="110"/>
        <v>0</v>
      </c>
      <c r="F1771" s="21">
        <f t="shared" ca="1" si="111"/>
        <v>0</v>
      </c>
      <c r="H1771" s="21">
        <v>1756</v>
      </c>
      <c r="I1771" s="107">
        <v>0.66781421460727775</v>
      </c>
      <c r="J1771" s="108">
        <v>1.3564147535608119E-3</v>
      </c>
      <c r="K1771" s="108"/>
      <c r="L1771" s="108">
        <v>4.3200000000000002E-2</v>
      </c>
      <c r="O1771" s="105"/>
    </row>
    <row r="1772" spans="2:15" x14ac:dyDescent="0.2">
      <c r="B1772" s="1">
        <v>1757</v>
      </c>
      <c r="C1772" s="106">
        <f t="shared" ca="1" si="108"/>
        <v>2.4816285305824</v>
      </c>
      <c r="D1772" s="106">
        <f t="shared" ca="1" si="109"/>
        <v>0.84880481873335845</v>
      </c>
      <c r="E1772" s="106">
        <f t="shared" ca="1" si="110"/>
        <v>6.0604818733358434E-2</v>
      </c>
      <c r="F1772" s="21">
        <f t="shared" ca="1" si="111"/>
        <v>1</v>
      </c>
      <c r="H1772" s="21">
        <v>1757</v>
      </c>
      <c r="I1772" s="107">
        <v>0.66795549981712787</v>
      </c>
      <c r="J1772" s="108">
        <v>1.6061939911114092E-3</v>
      </c>
      <c r="K1772" s="108"/>
      <c r="L1772" s="108">
        <v>4.6800000000000001E-2</v>
      </c>
      <c r="O1772" s="105"/>
    </row>
    <row r="1773" spans="2:15" x14ac:dyDescent="0.2">
      <c r="B1773" s="1">
        <v>1758</v>
      </c>
      <c r="C1773" s="106">
        <f t="shared" ca="1" si="108"/>
        <v>-0.26462713384606656</v>
      </c>
      <c r="D1773" s="106">
        <f t="shared" ca="1" si="109"/>
        <v>0.64738098178571346</v>
      </c>
      <c r="E1773" s="106">
        <f t="shared" ca="1" si="110"/>
        <v>0</v>
      </c>
      <c r="F1773" s="21">
        <f t="shared" ca="1" si="111"/>
        <v>0</v>
      </c>
      <c r="H1773" s="21">
        <v>1758</v>
      </c>
      <c r="I1773" s="107">
        <v>0.66763364683449122</v>
      </c>
      <c r="J1773" s="108">
        <v>1.2517664864265419E-3</v>
      </c>
      <c r="K1773" s="108"/>
      <c r="L1773" s="108">
        <v>3.8199999999999998E-2</v>
      </c>
      <c r="O1773" s="105"/>
    </row>
    <row r="1774" spans="2:15" x14ac:dyDescent="0.2">
      <c r="B1774" s="1">
        <v>1759</v>
      </c>
      <c r="C1774" s="106">
        <f t="shared" ca="1" si="108"/>
        <v>0.23941542776789068</v>
      </c>
      <c r="D1774" s="106">
        <f t="shared" ca="1" si="109"/>
        <v>0.68038199056932591</v>
      </c>
      <c r="E1774" s="106">
        <f t="shared" ca="1" si="110"/>
        <v>0</v>
      </c>
      <c r="F1774" s="21">
        <f t="shared" ca="1" si="111"/>
        <v>0</v>
      </c>
      <c r="H1774" s="21">
        <v>1759</v>
      </c>
      <c r="I1774" s="107">
        <v>0.66794960516392443</v>
      </c>
      <c r="J1774" s="108">
        <v>1.6342010800071947E-3</v>
      </c>
      <c r="K1774" s="108"/>
      <c r="L1774" s="108">
        <v>4.2599999999999999E-2</v>
      </c>
      <c r="O1774" s="105"/>
    </row>
    <row r="1775" spans="2:15" x14ac:dyDescent="0.2">
      <c r="B1775" s="1">
        <v>1760</v>
      </c>
      <c r="C1775" s="106">
        <f t="shared" ca="1" si="108"/>
        <v>0.61716674705986319</v>
      </c>
      <c r="D1775" s="106">
        <f t="shared" ca="1" si="109"/>
        <v>0.70621256957856926</v>
      </c>
      <c r="E1775" s="106">
        <f t="shared" ca="1" si="110"/>
        <v>0</v>
      </c>
      <c r="F1775" s="21">
        <f t="shared" ca="1" si="111"/>
        <v>0</v>
      </c>
      <c r="H1775" s="21">
        <v>1760</v>
      </c>
      <c r="I1775" s="107">
        <v>0.66772561117090312</v>
      </c>
      <c r="J1775" s="108">
        <v>1.329570396934613E-3</v>
      </c>
      <c r="K1775" s="108"/>
      <c r="L1775" s="108">
        <v>4.02E-2</v>
      </c>
      <c r="O1775" s="105"/>
    </row>
    <row r="1776" spans="2:15" x14ac:dyDescent="0.2">
      <c r="B1776" s="1">
        <v>1761</v>
      </c>
      <c r="C1776" s="106">
        <f t="shared" ca="1" si="108"/>
        <v>-1.2867649440407996</v>
      </c>
      <c r="D1776" s="106">
        <f t="shared" ca="1" si="109"/>
        <v>0.58529145453821829</v>
      </c>
      <c r="E1776" s="106">
        <f t="shared" ca="1" si="110"/>
        <v>0</v>
      </c>
      <c r="F1776" s="21">
        <f t="shared" ca="1" si="111"/>
        <v>0</v>
      </c>
      <c r="H1776" s="21">
        <v>1761</v>
      </c>
      <c r="I1776" s="107">
        <v>0.66766909623617843</v>
      </c>
      <c r="J1776" s="108">
        <v>1.1267521427802873E-3</v>
      </c>
      <c r="K1776" s="108"/>
      <c r="L1776" s="108">
        <v>4.1000000000000002E-2</v>
      </c>
      <c r="O1776" s="105"/>
    </row>
    <row r="1777" spans="2:15" x14ac:dyDescent="0.2">
      <c r="B1777" s="1">
        <v>1762</v>
      </c>
      <c r="C1777" s="106">
        <f t="shared" ca="1" si="108"/>
        <v>-0.36533353190839191</v>
      </c>
      <c r="D1777" s="106">
        <f t="shared" ca="1" si="109"/>
        <v>0.64098185689636489</v>
      </c>
      <c r="E1777" s="106">
        <f t="shared" ca="1" si="110"/>
        <v>0</v>
      </c>
      <c r="F1777" s="21">
        <f t="shared" ca="1" si="111"/>
        <v>0</v>
      </c>
      <c r="H1777" s="21">
        <v>1762</v>
      </c>
      <c r="I1777" s="107">
        <v>0.66777532032402265</v>
      </c>
      <c r="J1777" s="108">
        <v>1.3987462493666122E-3</v>
      </c>
      <c r="K1777" s="108"/>
      <c r="L1777" s="108">
        <v>4.2000000000000003E-2</v>
      </c>
      <c r="O1777" s="105"/>
    </row>
    <row r="1778" spans="2:15" x14ac:dyDescent="0.2">
      <c r="B1778" s="1">
        <v>1763</v>
      </c>
      <c r="C1778" s="106">
        <f t="shared" ca="1" si="108"/>
        <v>0.73876827932427802</v>
      </c>
      <c r="D1778" s="106">
        <f t="shared" ca="1" si="109"/>
        <v>0.71473455255014728</v>
      </c>
      <c r="E1778" s="106">
        <f t="shared" ca="1" si="110"/>
        <v>0</v>
      </c>
      <c r="F1778" s="21">
        <f t="shared" ca="1" si="111"/>
        <v>0</v>
      </c>
      <c r="H1778" s="21">
        <v>1763</v>
      </c>
      <c r="I1778" s="107">
        <v>0.66784469827026038</v>
      </c>
      <c r="J1778" s="108">
        <v>1.4071671637032714E-3</v>
      </c>
      <c r="K1778" s="108"/>
      <c r="L1778" s="108">
        <v>4.36E-2</v>
      </c>
      <c r="O1778" s="105"/>
    </row>
    <row r="1779" spans="2:15" x14ac:dyDescent="0.2">
      <c r="B1779" s="1">
        <v>1764</v>
      </c>
      <c r="C1779" s="106">
        <f t="shared" ca="1" si="108"/>
        <v>-0.28310162447673304</v>
      </c>
      <c r="D1779" s="106">
        <f t="shared" ca="1" si="109"/>
        <v>0.64620230249560251</v>
      </c>
      <c r="E1779" s="106">
        <f t="shared" ca="1" si="110"/>
        <v>0</v>
      </c>
      <c r="F1779" s="21">
        <f t="shared" ca="1" si="111"/>
        <v>0</v>
      </c>
      <c r="H1779" s="21">
        <v>1764</v>
      </c>
      <c r="I1779" s="107">
        <v>0.66778358462443199</v>
      </c>
      <c r="J1779" s="108">
        <v>1.4768825340211872E-3</v>
      </c>
      <c r="K1779" s="108"/>
      <c r="L1779" s="108">
        <v>4.24E-2</v>
      </c>
      <c r="O1779" s="105"/>
    </row>
    <row r="1780" spans="2:15" x14ac:dyDescent="0.2">
      <c r="B1780" s="1">
        <v>1765</v>
      </c>
      <c r="C1780" s="106">
        <f t="shared" ca="1" si="108"/>
        <v>1.0002444046164658</v>
      </c>
      <c r="D1780" s="106">
        <f t="shared" ca="1" si="109"/>
        <v>0.73340903158686921</v>
      </c>
      <c r="E1780" s="106">
        <f t="shared" ca="1" si="110"/>
        <v>0</v>
      </c>
      <c r="F1780" s="21">
        <f t="shared" ca="1" si="111"/>
        <v>0</v>
      </c>
      <c r="H1780" s="21">
        <v>1765</v>
      </c>
      <c r="I1780" s="107">
        <v>0.66776653646054396</v>
      </c>
      <c r="J1780" s="108">
        <v>1.3756803141333988E-3</v>
      </c>
      <c r="K1780" s="108"/>
      <c r="L1780" s="108">
        <v>4.0800000000000003E-2</v>
      </c>
      <c r="O1780" s="105"/>
    </row>
    <row r="1781" spans="2:15" x14ac:dyDescent="0.2">
      <c r="B1781" s="1">
        <v>1766</v>
      </c>
      <c r="C1781" s="106">
        <f t="shared" ca="1" si="108"/>
        <v>-1.8106018997781741</v>
      </c>
      <c r="D1781" s="106">
        <f t="shared" ca="1" si="109"/>
        <v>0.55581636685199887</v>
      </c>
      <c r="E1781" s="106">
        <f t="shared" ca="1" si="110"/>
        <v>0</v>
      </c>
      <c r="F1781" s="21">
        <f t="shared" ca="1" si="111"/>
        <v>0</v>
      </c>
      <c r="H1781" s="21">
        <v>1766</v>
      </c>
      <c r="I1781" s="107">
        <v>0.6675556756457931</v>
      </c>
      <c r="J1781" s="108">
        <v>1.1584925808819694E-3</v>
      </c>
      <c r="K1781" s="108"/>
      <c r="L1781" s="108">
        <v>3.78E-2</v>
      </c>
      <c r="O1781" s="105"/>
    </row>
    <row r="1782" spans="2:15" x14ac:dyDescent="0.2">
      <c r="B1782" s="1">
        <v>1767</v>
      </c>
      <c r="C1782" s="106">
        <f t="shared" ca="1" si="108"/>
        <v>-0.62016156378134912</v>
      </c>
      <c r="D1782" s="106">
        <f t="shared" ca="1" si="109"/>
        <v>0.62507058367503232</v>
      </c>
      <c r="E1782" s="106">
        <f t="shared" ca="1" si="110"/>
        <v>0</v>
      </c>
      <c r="F1782" s="21">
        <f t="shared" ca="1" si="111"/>
        <v>0</v>
      </c>
      <c r="H1782" s="21">
        <v>1767</v>
      </c>
      <c r="I1782" s="107">
        <v>0.66790096074828698</v>
      </c>
      <c r="J1782" s="108">
        <v>1.7012374127003634E-3</v>
      </c>
      <c r="K1782" s="108"/>
      <c r="L1782" s="108">
        <v>4.6800000000000001E-2</v>
      </c>
      <c r="O1782" s="105"/>
    </row>
    <row r="1783" spans="2:15" x14ac:dyDescent="0.2">
      <c r="B1783" s="1">
        <v>1768</v>
      </c>
      <c r="C1783" s="106">
        <f t="shared" ca="1" si="108"/>
        <v>-0.22816865494806199</v>
      </c>
      <c r="D1783" s="106">
        <f t="shared" ca="1" si="109"/>
        <v>0.64971335769104088</v>
      </c>
      <c r="E1783" s="106">
        <f t="shared" ca="1" si="110"/>
        <v>0</v>
      </c>
      <c r="F1783" s="21">
        <f t="shared" ca="1" si="111"/>
        <v>0</v>
      </c>
      <c r="H1783" s="21">
        <v>1768</v>
      </c>
      <c r="I1783" s="107">
        <v>0.66764363761191681</v>
      </c>
      <c r="J1783" s="108">
        <v>1.1645340446582689E-3</v>
      </c>
      <c r="K1783" s="108"/>
      <c r="L1783" s="108">
        <v>3.9600000000000003E-2</v>
      </c>
      <c r="O1783" s="105"/>
    </row>
    <row r="1784" spans="2:15" x14ac:dyDescent="0.2">
      <c r="B1784" s="1">
        <v>1769</v>
      </c>
      <c r="C1784" s="106">
        <f t="shared" ca="1" si="108"/>
        <v>-0.71666219259958719</v>
      </c>
      <c r="D1784" s="106">
        <f t="shared" ca="1" si="109"/>
        <v>0.6191487973734271</v>
      </c>
      <c r="E1784" s="106">
        <f t="shared" ca="1" si="110"/>
        <v>0</v>
      </c>
      <c r="F1784" s="21">
        <f t="shared" ca="1" si="111"/>
        <v>0</v>
      </c>
      <c r="H1784" s="21">
        <v>1769</v>
      </c>
      <c r="I1784" s="107">
        <v>0.66788124900491885</v>
      </c>
      <c r="J1784" s="108">
        <v>1.6292725002185256E-3</v>
      </c>
      <c r="K1784" s="108"/>
      <c r="L1784" s="108">
        <v>4.3999999999999997E-2</v>
      </c>
      <c r="O1784" s="105"/>
    </row>
    <row r="1785" spans="2:15" x14ac:dyDescent="0.2">
      <c r="B1785" s="1">
        <v>1770</v>
      </c>
      <c r="C1785" s="106">
        <f t="shared" ca="1" si="108"/>
        <v>-1.4101296575226316</v>
      </c>
      <c r="D1785" s="106">
        <f t="shared" ca="1" si="109"/>
        <v>0.57821228548011883</v>
      </c>
      <c r="E1785" s="106">
        <f t="shared" ca="1" si="110"/>
        <v>0</v>
      </c>
      <c r="F1785" s="21">
        <f t="shared" ca="1" si="111"/>
        <v>0</v>
      </c>
      <c r="H1785" s="21">
        <v>1770</v>
      </c>
      <c r="I1785" s="107">
        <v>0.66777975211438556</v>
      </c>
      <c r="J1785" s="108">
        <v>1.2932868781176559E-3</v>
      </c>
      <c r="K1785" s="108"/>
      <c r="L1785" s="108">
        <v>3.9600000000000003E-2</v>
      </c>
      <c r="O1785" s="105"/>
    </row>
    <row r="1786" spans="2:15" x14ac:dyDescent="0.2">
      <c r="B1786" s="1">
        <v>1771</v>
      </c>
      <c r="C1786" s="106">
        <f t="shared" ca="1" si="108"/>
        <v>-0.33804598301451066</v>
      </c>
      <c r="D1786" s="106">
        <f t="shared" ca="1" si="109"/>
        <v>0.6427094990276111</v>
      </c>
      <c r="E1786" s="106">
        <f t="shared" ca="1" si="110"/>
        <v>0</v>
      </c>
      <c r="F1786" s="21">
        <f t="shared" ca="1" si="111"/>
        <v>0</v>
      </c>
      <c r="H1786" s="21">
        <v>1771</v>
      </c>
      <c r="I1786" s="107">
        <v>0.66759042720138395</v>
      </c>
      <c r="J1786" s="108">
        <v>1.0791369336920773E-3</v>
      </c>
      <c r="K1786" s="108"/>
      <c r="L1786" s="108">
        <v>3.5999999999999997E-2</v>
      </c>
      <c r="O1786" s="105"/>
    </row>
    <row r="1787" spans="2:15" x14ac:dyDescent="0.2">
      <c r="B1787" s="1">
        <v>1772</v>
      </c>
      <c r="C1787" s="106">
        <f t="shared" ca="1" si="108"/>
        <v>1.2503615585460899</v>
      </c>
      <c r="D1787" s="106">
        <f t="shared" ca="1" si="109"/>
        <v>0.7517286776909643</v>
      </c>
      <c r="E1787" s="106">
        <f t="shared" ca="1" si="110"/>
        <v>0</v>
      </c>
      <c r="F1787" s="21">
        <f t="shared" ca="1" si="111"/>
        <v>0</v>
      </c>
      <c r="H1787" s="21">
        <v>1772</v>
      </c>
      <c r="I1787" s="107">
        <v>0.66785610465091827</v>
      </c>
      <c r="J1787" s="108">
        <v>1.5492197915241484E-3</v>
      </c>
      <c r="K1787" s="108"/>
      <c r="L1787" s="108">
        <v>4.3200000000000002E-2</v>
      </c>
      <c r="O1787" s="105"/>
    </row>
    <row r="1788" spans="2:15" x14ac:dyDescent="0.2">
      <c r="B1788" s="1">
        <v>1773</v>
      </c>
      <c r="C1788" s="106">
        <f t="shared" ca="1" si="108"/>
        <v>0.22646239799745388</v>
      </c>
      <c r="D1788" s="106">
        <f t="shared" ca="1" si="109"/>
        <v>0.67951321889327632</v>
      </c>
      <c r="E1788" s="106">
        <f t="shared" ca="1" si="110"/>
        <v>0</v>
      </c>
      <c r="F1788" s="21">
        <f t="shared" ca="1" si="111"/>
        <v>0</v>
      </c>
      <c r="H1788" s="21">
        <v>1773</v>
      </c>
      <c r="I1788" s="107">
        <v>0.6678540012287012</v>
      </c>
      <c r="J1788" s="108">
        <v>1.4815859953868785E-3</v>
      </c>
      <c r="K1788" s="108"/>
      <c r="L1788" s="108">
        <v>4.2000000000000003E-2</v>
      </c>
      <c r="O1788" s="105"/>
    </row>
    <row r="1789" spans="2:15" x14ac:dyDescent="0.2">
      <c r="B1789" s="1">
        <v>1774</v>
      </c>
      <c r="C1789" s="106">
        <f t="shared" ca="1" si="108"/>
        <v>0.8607723077117555</v>
      </c>
      <c r="D1789" s="106">
        <f t="shared" ca="1" si="109"/>
        <v>0.72338809161604545</v>
      </c>
      <c r="E1789" s="106">
        <f t="shared" ca="1" si="110"/>
        <v>0</v>
      </c>
      <c r="F1789" s="21">
        <f t="shared" ca="1" si="111"/>
        <v>0</v>
      </c>
      <c r="H1789" s="21">
        <v>1774</v>
      </c>
      <c r="I1789" s="107">
        <v>0.6677423392088323</v>
      </c>
      <c r="J1789" s="108">
        <v>1.4067085539664361E-3</v>
      </c>
      <c r="K1789" s="108"/>
      <c r="L1789" s="108">
        <v>3.9600000000000003E-2</v>
      </c>
      <c r="O1789" s="105"/>
    </row>
    <row r="1790" spans="2:15" x14ac:dyDescent="0.2">
      <c r="B1790" s="1">
        <v>1775</v>
      </c>
      <c r="C1790" s="106">
        <f t="shared" ca="1" si="108"/>
        <v>-3.0684998740135367</v>
      </c>
      <c r="D1790" s="106">
        <f t="shared" ca="1" si="109"/>
        <v>0.49095734013985515</v>
      </c>
      <c r="E1790" s="106">
        <f t="shared" ca="1" si="110"/>
        <v>0</v>
      </c>
      <c r="F1790" s="21">
        <f t="shared" ca="1" si="111"/>
        <v>0</v>
      </c>
      <c r="H1790" s="21">
        <v>1775</v>
      </c>
      <c r="I1790" s="107">
        <v>0.66780063148538527</v>
      </c>
      <c r="J1790" s="108">
        <v>1.4546351479804559E-3</v>
      </c>
      <c r="K1790" s="108"/>
      <c r="L1790" s="108">
        <v>4.4200000000000003E-2</v>
      </c>
      <c r="O1790" s="105"/>
    </row>
    <row r="1791" spans="2:15" x14ac:dyDescent="0.2">
      <c r="B1791" s="1">
        <v>1776</v>
      </c>
      <c r="C1791" s="106">
        <f t="shared" ca="1" si="108"/>
        <v>-0.55217469339603742</v>
      </c>
      <c r="D1791" s="106">
        <f t="shared" ca="1" si="109"/>
        <v>0.62927659156817006</v>
      </c>
      <c r="E1791" s="106">
        <f t="shared" ca="1" si="110"/>
        <v>0</v>
      </c>
      <c r="F1791" s="21">
        <f t="shared" ca="1" si="111"/>
        <v>0</v>
      </c>
      <c r="H1791" s="21">
        <v>1776</v>
      </c>
      <c r="I1791" s="107">
        <v>0.66771215181737209</v>
      </c>
      <c r="J1791" s="108">
        <v>1.1738417223438552E-3</v>
      </c>
      <c r="K1791" s="108"/>
      <c r="L1791" s="108">
        <v>4.3999999999999997E-2</v>
      </c>
      <c r="O1791" s="105"/>
    </row>
    <row r="1792" spans="2:15" x14ac:dyDescent="0.2">
      <c r="B1792" s="1">
        <v>1777</v>
      </c>
      <c r="C1792" s="106">
        <f t="shared" ca="1" si="108"/>
        <v>-0.68727682177064442</v>
      </c>
      <c r="D1792" s="106">
        <f t="shared" ca="1" si="109"/>
        <v>0.62094607301201132</v>
      </c>
      <c r="E1792" s="106">
        <f t="shared" ca="1" si="110"/>
        <v>0</v>
      </c>
      <c r="F1792" s="21">
        <f t="shared" ca="1" si="111"/>
        <v>0</v>
      </c>
      <c r="H1792" s="21">
        <v>1777</v>
      </c>
      <c r="I1792" s="107">
        <v>0.66775038647333318</v>
      </c>
      <c r="J1792" s="108">
        <v>1.5277777202954599E-3</v>
      </c>
      <c r="K1792" s="108"/>
      <c r="L1792" s="108">
        <v>4.3799999999999999E-2</v>
      </c>
      <c r="O1792" s="105"/>
    </row>
    <row r="1793" spans="2:15" x14ac:dyDescent="0.2">
      <c r="B1793" s="1">
        <v>1778</v>
      </c>
      <c r="C1793" s="106">
        <f t="shared" ca="1" si="108"/>
        <v>-1.0936591154864257</v>
      </c>
      <c r="D1793" s="106">
        <f t="shared" ca="1" si="109"/>
        <v>0.59654707134688123</v>
      </c>
      <c r="E1793" s="106">
        <f t="shared" ca="1" si="110"/>
        <v>0</v>
      </c>
      <c r="F1793" s="21">
        <f t="shared" ca="1" si="111"/>
        <v>0</v>
      </c>
      <c r="H1793" s="21">
        <v>1778</v>
      </c>
      <c r="I1793" s="107">
        <v>0.66770237792503517</v>
      </c>
      <c r="J1793" s="108">
        <v>1.4219261632969803E-3</v>
      </c>
      <c r="K1793" s="108"/>
      <c r="L1793" s="108">
        <v>4.4400000000000002E-2</v>
      </c>
      <c r="O1793" s="105"/>
    </row>
    <row r="1794" spans="2:15" x14ac:dyDescent="0.2">
      <c r="B1794" s="1">
        <v>1779</v>
      </c>
      <c r="C1794" s="106">
        <f t="shared" ca="1" si="108"/>
        <v>0.42188187454748738</v>
      </c>
      <c r="D1794" s="106">
        <f t="shared" ca="1" si="109"/>
        <v>0.69273887435777759</v>
      </c>
      <c r="E1794" s="106">
        <f t="shared" ca="1" si="110"/>
        <v>0</v>
      </c>
      <c r="F1794" s="21">
        <f t="shared" ca="1" si="111"/>
        <v>0</v>
      </c>
      <c r="H1794" s="21">
        <v>1779</v>
      </c>
      <c r="I1794" s="107">
        <v>0.66774918774517322</v>
      </c>
      <c r="J1794" s="108">
        <v>1.3759136167297934E-3</v>
      </c>
      <c r="K1794" s="108"/>
      <c r="L1794" s="108">
        <v>4.2799999999999998E-2</v>
      </c>
      <c r="O1794" s="105"/>
    </row>
    <row r="1795" spans="2:15" x14ac:dyDescent="0.2">
      <c r="B1795" s="1">
        <v>1780</v>
      </c>
      <c r="C1795" s="106">
        <f t="shared" ca="1" si="108"/>
        <v>-1.8123149631758495</v>
      </c>
      <c r="D1795" s="106">
        <f t="shared" ca="1" si="109"/>
        <v>0.5557224535793821</v>
      </c>
      <c r="E1795" s="106">
        <f t="shared" ca="1" si="110"/>
        <v>0</v>
      </c>
      <c r="F1795" s="21">
        <f t="shared" ca="1" si="111"/>
        <v>0</v>
      </c>
      <c r="H1795" s="21">
        <v>1780</v>
      </c>
      <c r="I1795" s="107">
        <v>0.6677113756616595</v>
      </c>
      <c r="J1795" s="108">
        <v>1.3845419894256163E-3</v>
      </c>
      <c r="K1795" s="108"/>
      <c r="L1795" s="108">
        <v>4.1599999999999998E-2</v>
      </c>
      <c r="O1795" s="105"/>
    </row>
    <row r="1796" spans="2:15" x14ac:dyDescent="0.2">
      <c r="B1796" s="1">
        <v>1781</v>
      </c>
      <c r="C1796" s="106">
        <f t="shared" ca="1" si="108"/>
        <v>7.8676062601389637E-2</v>
      </c>
      <c r="D1796" s="106">
        <f t="shared" ca="1" si="109"/>
        <v>0.66967923713433797</v>
      </c>
      <c r="E1796" s="106">
        <f t="shared" ca="1" si="110"/>
        <v>0</v>
      </c>
      <c r="F1796" s="21">
        <f t="shared" ca="1" si="111"/>
        <v>0</v>
      </c>
      <c r="H1796" s="21">
        <v>1781</v>
      </c>
      <c r="I1796" s="107">
        <v>0.66765839470392774</v>
      </c>
      <c r="J1796" s="108">
        <v>1.2779762181001552E-3</v>
      </c>
      <c r="K1796" s="108"/>
      <c r="L1796" s="108">
        <v>4.1200000000000001E-2</v>
      </c>
      <c r="O1796" s="105"/>
    </row>
    <row r="1797" spans="2:15" x14ac:dyDescent="0.2">
      <c r="B1797" s="1">
        <v>1782</v>
      </c>
      <c r="C1797" s="106">
        <f t="shared" ca="1" si="108"/>
        <v>0.54662947964530617</v>
      </c>
      <c r="D1797" s="106">
        <f t="shared" ca="1" si="109"/>
        <v>0.70131587558689157</v>
      </c>
      <c r="E1797" s="106">
        <f t="shared" ca="1" si="110"/>
        <v>0</v>
      </c>
      <c r="F1797" s="21">
        <f t="shared" ca="1" si="111"/>
        <v>0</v>
      </c>
      <c r="H1797" s="21">
        <v>1782</v>
      </c>
      <c r="I1797" s="107">
        <v>0.66790429656688599</v>
      </c>
      <c r="J1797" s="108">
        <v>1.6166167972678194E-3</v>
      </c>
      <c r="K1797" s="108"/>
      <c r="L1797" s="108">
        <v>4.7E-2</v>
      </c>
      <c r="O1797" s="105"/>
    </row>
    <row r="1798" spans="2:15" x14ac:dyDescent="0.2">
      <c r="B1798" s="1">
        <v>1783</v>
      </c>
      <c r="C1798" s="106">
        <f t="shared" ca="1" si="108"/>
        <v>5.3235154996247806E-2</v>
      </c>
      <c r="D1798" s="106">
        <f t="shared" ca="1" si="109"/>
        <v>0.668000767405589</v>
      </c>
      <c r="E1798" s="106">
        <f t="shared" ca="1" si="110"/>
        <v>0</v>
      </c>
      <c r="F1798" s="21">
        <f t="shared" ca="1" si="111"/>
        <v>0</v>
      </c>
      <c r="H1798" s="21">
        <v>1783</v>
      </c>
      <c r="I1798" s="107">
        <v>0.66772661925041621</v>
      </c>
      <c r="J1798" s="108">
        <v>1.3105289316648794E-3</v>
      </c>
      <c r="K1798" s="108"/>
      <c r="L1798" s="108">
        <v>4.0800000000000003E-2</v>
      </c>
      <c r="O1798" s="105"/>
    </row>
    <row r="1799" spans="2:15" x14ac:dyDescent="0.2">
      <c r="B1799" s="1">
        <v>1784</v>
      </c>
      <c r="C1799" s="106">
        <f t="shared" ca="1" si="108"/>
        <v>0.98661570157572132</v>
      </c>
      <c r="D1799" s="106">
        <f t="shared" ca="1" si="109"/>
        <v>0.73242373315131259</v>
      </c>
      <c r="E1799" s="106">
        <f t="shared" ca="1" si="110"/>
        <v>0</v>
      </c>
      <c r="F1799" s="21">
        <f t="shared" ca="1" si="111"/>
        <v>0</v>
      </c>
      <c r="H1799" s="21">
        <v>1784</v>
      </c>
      <c r="I1799" s="107">
        <v>0.66781783445780862</v>
      </c>
      <c r="J1799" s="108">
        <v>1.5205894653764402E-3</v>
      </c>
      <c r="K1799" s="108"/>
      <c r="L1799" s="108">
        <v>4.5400000000000003E-2</v>
      </c>
      <c r="O1799" s="105"/>
    </row>
    <row r="1800" spans="2:15" x14ac:dyDescent="0.2">
      <c r="B1800" s="1">
        <v>1785</v>
      </c>
      <c r="C1800" s="106">
        <f t="shared" ca="1" si="108"/>
        <v>0.59155893323868891</v>
      </c>
      <c r="D1800" s="106">
        <f t="shared" ca="1" si="109"/>
        <v>0.70443093574507376</v>
      </c>
      <c r="E1800" s="106">
        <f t="shared" ca="1" si="110"/>
        <v>0</v>
      </c>
      <c r="F1800" s="21">
        <f t="shared" ca="1" si="111"/>
        <v>0</v>
      </c>
      <c r="H1800" s="21">
        <v>1785</v>
      </c>
      <c r="I1800" s="107">
        <v>0.66783327218526989</v>
      </c>
      <c r="J1800" s="108">
        <v>1.2987796630118222E-3</v>
      </c>
      <c r="K1800" s="108"/>
      <c r="L1800" s="108">
        <v>4.3999999999999997E-2</v>
      </c>
      <c r="O1800" s="105"/>
    </row>
    <row r="1801" spans="2:15" x14ac:dyDescent="0.2">
      <c r="B1801" s="1">
        <v>1786</v>
      </c>
      <c r="C1801" s="106">
        <f t="shared" ca="1" si="108"/>
        <v>-0.16228561601639024</v>
      </c>
      <c r="D1801" s="106">
        <f t="shared" ca="1" si="109"/>
        <v>0.65394945841762997</v>
      </c>
      <c r="E1801" s="106">
        <f t="shared" ca="1" si="110"/>
        <v>0</v>
      </c>
      <c r="F1801" s="21">
        <f t="shared" ca="1" si="111"/>
        <v>0</v>
      </c>
      <c r="H1801" s="21">
        <v>1786</v>
      </c>
      <c r="I1801" s="107">
        <v>0.66765026834030039</v>
      </c>
      <c r="J1801" s="108">
        <v>1.4066369867705404E-3</v>
      </c>
      <c r="K1801" s="108"/>
      <c r="L1801" s="108">
        <v>4.02E-2</v>
      </c>
      <c r="O1801" s="105"/>
    </row>
    <row r="1802" spans="2:15" x14ac:dyDescent="0.2">
      <c r="B1802" s="1">
        <v>1787</v>
      </c>
      <c r="C1802" s="106">
        <f t="shared" ca="1" si="108"/>
        <v>0.13266358968405048</v>
      </c>
      <c r="D1802" s="106">
        <f t="shared" ca="1" si="109"/>
        <v>0.67325506067511831</v>
      </c>
      <c r="E1802" s="106">
        <f t="shared" ca="1" si="110"/>
        <v>0</v>
      </c>
      <c r="F1802" s="21">
        <f t="shared" ca="1" si="111"/>
        <v>0</v>
      </c>
      <c r="H1802" s="21">
        <v>1787</v>
      </c>
      <c r="I1802" s="107">
        <v>0.66769005514756774</v>
      </c>
      <c r="J1802" s="108">
        <v>1.2550732533867612E-3</v>
      </c>
      <c r="K1802" s="108"/>
      <c r="L1802" s="108">
        <v>3.9800000000000002E-2</v>
      </c>
      <c r="O1802" s="105"/>
    </row>
    <row r="1803" spans="2:15" x14ac:dyDescent="0.2">
      <c r="B1803" s="1">
        <v>1788</v>
      </c>
      <c r="C1803" s="106">
        <f t="shared" ca="1" si="108"/>
        <v>0.60483100897659925</v>
      </c>
      <c r="D1803" s="106">
        <f t="shared" ca="1" si="109"/>
        <v>0.7053537631580975</v>
      </c>
      <c r="E1803" s="106">
        <f t="shared" ca="1" si="110"/>
        <v>0</v>
      </c>
      <c r="F1803" s="21">
        <f t="shared" ca="1" si="111"/>
        <v>0</v>
      </c>
      <c r="H1803" s="21">
        <v>1788</v>
      </c>
      <c r="I1803" s="107">
        <v>0.66776754795816051</v>
      </c>
      <c r="J1803" s="108">
        <v>1.5044522577965908E-3</v>
      </c>
      <c r="K1803" s="108"/>
      <c r="L1803" s="108">
        <v>4.2000000000000003E-2</v>
      </c>
      <c r="O1803" s="105"/>
    </row>
    <row r="1804" spans="2:15" x14ac:dyDescent="0.2">
      <c r="B1804" s="1">
        <v>1789</v>
      </c>
      <c r="C1804" s="106">
        <f t="shared" ca="1" si="108"/>
        <v>-1.25810786885084</v>
      </c>
      <c r="D1804" s="106">
        <f t="shared" ca="1" si="109"/>
        <v>0.58694828060037696</v>
      </c>
      <c r="E1804" s="106">
        <f t="shared" ca="1" si="110"/>
        <v>0</v>
      </c>
      <c r="F1804" s="21">
        <f t="shared" ca="1" si="111"/>
        <v>0</v>
      </c>
      <c r="H1804" s="21">
        <v>1789</v>
      </c>
      <c r="I1804" s="107">
        <v>0.6676193005144252</v>
      </c>
      <c r="J1804" s="108">
        <v>1.1072079751996554E-3</v>
      </c>
      <c r="K1804" s="108"/>
      <c r="L1804" s="108">
        <v>3.5999999999999997E-2</v>
      </c>
      <c r="O1804" s="105"/>
    </row>
    <row r="1805" spans="2:15" x14ac:dyDescent="0.2">
      <c r="B1805" s="1">
        <v>1790</v>
      </c>
      <c r="C1805" s="106">
        <f t="shared" ca="1" si="108"/>
        <v>8.5346699008651369E-2</v>
      </c>
      <c r="D1805" s="106">
        <f t="shared" ca="1" si="109"/>
        <v>0.67012003135840026</v>
      </c>
      <c r="E1805" s="106">
        <f t="shared" ca="1" si="110"/>
        <v>0</v>
      </c>
      <c r="F1805" s="21">
        <f t="shared" ca="1" si="111"/>
        <v>0</v>
      </c>
      <c r="H1805" s="21">
        <v>1790</v>
      </c>
      <c r="I1805" s="107">
        <v>0.66783587719218962</v>
      </c>
      <c r="J1805" s="108">
        <v>1.3784124862891304E-3</v>
      </c>
      <c r="K1805" s="108"/>
      <c r="L1805" s="108">
        <v>4.5999999999999999E-2</v>
      </c>
      <c r="O1805" s="105"/>
    </row>
    <row r="1806" spans="2:15" x14ac:dyDescent="0.2">
      <c r="B1806" s="1">
        <v>1791</v>
      </c>
      <c r="C1806" s="106">
        <f t="shared" ca="1" si="108"/>
        <v>-0.17033241991723919</v>
      </c>
      <c r="D1806" s="106">
        <f t="shared" ca="1" si="109"/>
        <v>0.65343059368304579</v>
      </c>
      <c r="E1806" s="106">
        <f t="shared" ca="1" si="110"/>
        <v>0</v>
      </c>
      <c r="F1806" s="21">
        <f t="shared" ca="1" si="111"/>
        <v>0</v>
      </c>
      <c r="H1806" s="21">
        <v>1791</v>
      </c>
      <c r="I1806" s="107">
        <v>0.66773506680359629</v>
      </c>
      <c r="J1806" s="108">
        <v>1.400570832606926E-3</v>
      </c>
      <c r="K1806" s="108"/>
      <c r="L1806" s="108">
        <v>4.0800000000000003E-2</v>
      </c>
      <c r="O1806" s="105"/>
    </row>
    <row r="1807" spans="2:15" x14ac:dyDescent="0.2">
      <c r="B1807" s="1">
        <v>1792</v>
      </c>
      <c r="C1807" s="106">
        <f t="shared" ca="1" si="108"/>
        <v>7.128864531736763E-2</v>
      </c>
      <c r="D1807" s="106">
        <f t="shared" ca="1" si="109"/>
        <v>0.66919141653050651</v>
      </c>
      <c r="E1807" s="106">
        <f t="shared" ca="1" si="110"/>
        <v>0</v>
      </c>
      <c r="F1807" s="21">
        <f t="shared" ca="1" si="111"/>
        <v>0</v>
      </c>
      <c r="H1807" s="21">
        <v>1792</v>
      </c>
      <c r="I1807" s="107">
        <v>0.66764138816172636</v>
      </c>
      <c r="J1807" s="108">
        <v>1.2037518440245068E-3</v>
      </c>
      <c r="K1807" s="108"/>
      <c r="L1807" s="108">
        <v>4.02E-2</v>
      </c>
      <c r="O1807" s="105"/>
    </row>
    <row r="1808" spans="2:15" x14ac:dyDescent="0.2">
      <c r="B1808" s="1">
        <v>1793</v>
      </c>
      <c r="C1808" s="106">
        <f t="shared" ref="C1808:C1871" ca="1" si="112">_xlfn.NORM.S.INV(RAND())</f>
        <v>-1.0570457075427462</v>
      </c>
      <c r="D1808" s="106">
        <f t="shared" ref="D1808:D1871" ca="1" si="113">S0*EXP((μ-0.5*σ*σ)*T+σ*SQRT(T)*$C1808)</f>
        <v>0.59870545308126255</v>
      </c>
      <c r="E1808" s="106">
        <f t="shared" ref="E1808:E1871" ca="1" si="114">MAX(0,CP*(D1808-K))</f>
        <v>0</v>
      </c>
      <c r="F1808" s="21">
        <f t="shared" ref="F1808:F1871" ca="1" si="115">(CP*(D1808-K)&gt;0)*1</f>
        <v>0</v>
      </c>
      <c r="H1808" s="21">
        <v>1793</v>
      </c>
      <c r="I1808" s="107">
        <v>0.66761949333643344</v>
      </c>
      <c r="J1808" s="108">
        <v>1.2329667317376787E-3</v>
      </c>
      <c r="K1808" s="108"/>
      <c r="L1808" s="108">
        <v>3.8199999999999998E-2</v>
      </c>
      <c r="O1808" s="105"/>
    </row>
    <row r="1809" spans="2:15" x14ac:dyDescent="0.2">
      <c r="B1809" s="1">
        <v>1794</v>
      </c>
      <c r="C1809" s="106">
        <f t="shared" ca="1" si="112"/>
        <v>-0.96851694029551072</v>
      </c>
      <c r="D1809" s="106">
        <f t="shared" ca="1" si="113"/>
        <v>0.60395660000858808</v>
      </c>
      <c r="E1809" s="106">
        <f t="shared" ca="1" si="114"/>
        <v>0</v>
      </c>
      <c r="F1809" s="21">
        <f t="shared" ca="1" si="115"/>
        <v>0</v>
      </c>
      <c r="H1809" s="21">
        <v>1794</v>
      </c>
      <c r="I1809" s="107">
        <v>0.66761150625483723</v>
      </c>
      <c r="J1809" s="108">
        <v>1.3282075493028388E-3</v>
      </c>
      <c r="K1809" s="108"/>
      <c r="L1809" s="108">
        <v>3.9800000000000002E-2</v>
      </c>
      <c r="O1809" s="105"/>
    </row>
    <row r="1810" spans="2:15" x14ac:dyDescent="0.2">
      <c r="B1810" s="1">
        <v>1795</v>
      </c>
      <c r="C1810" s="106">
        <f t="shared" ca="1" si="112"/>
        <v>1.0713049514729169</v>
      </c>
      <c r="D1810" s="106">
        <f t="shared" ca="1" si="113"/>
        <v>0.73856792652999992</v>
      </c>
      <c r="E1810" s="106">
        <f t="shared" ca="1" si="114"/>
        <v>0</v>
      </c>
      <c r="F1810" s="21">
        <f t="shared" ca="1" si="115"/>
        <v>0</v>
      </c>
      <c r="H1810" s="21">
        <v>1795</v>
      </c>
      <c r="I1810" s="107">
        <v>0.66751119224505051</v>
      </c>
      <c r="J1810" s="108">
        <v>1.0641050307353208E-3</v>
      </c>
      <c r="K1810" s="108"/>
      <c r="L1810" s="108">
        <v>3.6600000000000001E-2</v>
      </c>
      <c r="O1810" s="105"/>
    </row>
    <row r="1811" spans="2:15" x14ac:dyDescent="0.2">
      <c r="B1811" s="1">
        <v>1796</v>
      </c>
      <c r="C1811" s="106">
        <f t="shared" ca="1" si="112"/>
        <v>1.68194289036438</v>
      </c>
      <c r="D1811" s="106">
        <f t="shared" ca="1" si="113"/>
        <v>0.78442205632576645</v>
      </c>
      <c r="E1811" s="106">
        <f t="shared" ca="1" si="114"/>
        <v>0</v>
      </c>
      <c r="F1811" s="21">
        <f t="shared" ca="1" si="115"/>
        <v>0</v>
      </c>
      <c r="H1811" s="21">
        <v>1796</v>
      </c>
      <c r="I1811" s="107">
        <v>0.66767766428884867</v>
      </c>
      <c r="J1811" s="108">
        <v>1.3291457424103282E-3</v>
      </c>
      <c r="K1811" s="108"/>
      <c r="L1811" s="108">
        <v>4.1799999999999997E-2</v>
      </c>
      <c r="O1811" s="105"/>
    </row>
    <row r="1812" spans="2:15" x14ac:dyDescent="0.2">
      <c r="B1812" s="1">
        <v>1797</v>
      </c>
      <c r="C1812" s="106">
        <f t="shared" ca="1" si="112"/>
        <v>6.7788172841443825E-2</v>
      </c>
      <c r="D1812" s="106">
        <f t="shared" ca="1" si="113"/>
        <v>0.66896039048052336</v>
      </c>
      <c r="E1812" s="106">
        <f t="shared" ca="1" si="114"/>
        <v>0</v>
      </c>
      <c r="F1812" s="21">
        <f t="shared" ca="1" si="115"/>
        <v>0</v>
      </c>
      <c r="H1812" s="21">
        <v>1797</v>
      </c>
      <c r="I1812" s="107">
        <v>0.66770946056300085</v>
      </c>
      <c r="J1812" s="108">
        <v>1.389104625061506E-3</v>
      </c>
      <c r="K1812" s="108"/>
      <c r="L1812" s="108">
        <v>4.1399999999999999E-2</v>
      </c>
      <c r="O1812" s="105"/>
    </row>
    <row r="1813" spans="2:15" x14ac:dyDescent="0.2">
      <c r="B1813" s="1">
        <v>1798</v>
      </c>
      <c r="C1813" s="106">
        <f t="shared" ca="1" si="112"/>
        <v>1.9737501174829128</v>
      </c>
      <c r="D1813" s="106">
        <f t="shared" ca="1" si="113"/>
        <v>0.8073291585874286</v>
      </c>
      <c r="E1813" s="106">
        <f t="shared" ca="1" si="114"/>
        <v>1.9129158587428585E-2</v>
      </c>
      <c r="F1813" s="21">
        <f t="shared" ca="1" si="115"/>
        <v>1</v>
      </c>
      <c r="H1813" s="21">
        <v>1798</v>
      </c>
      <c r="I1813" s="107">
        <v>0.66768122663521312</v>
      </c>
      <c r="J1813" s="108">
        <v>1.3185327732487331E-3</v>
      </c>
      <c r="K1813" s="108"/>
      <c r="L1813" s="108">
        <v>3.7400000000000003E-2</v>
      </c>
      <c r="O1813" s="105"/>
    </row>
    <row r="1814" spans="2:15" x14ac:dyDescent="0.2">
      <c r="B1814" s="1">
        <v>1799</v>
      </c>
      <c r="C1814" s="106">
        <f t="shared" ca="1" si="112"/>
        <v>0.36377555022279789</v>
      </c>
      <c r="D1814" s="106">
        <f t="shared" ca="1" si="113"/>
        <v>0.68877967072779334</v>
      </c>
      <c r="E1814" s="106">
        <f t="shared" ca="1" si="114"/>
        <v>0</v>
      </c>
      <c r="F1814" s="21">
        <f t="shared" ca="1" si="115"/>
        <v>0</v>
      </c>
      <c r="H1814" s="21">
        <v>1799</v>
      </c>
      <c r="I1814" s="107">
        <v>0.66766275494776539</v>
      </c>
      <c r="J1814" s="108">
        <v>1.2709744936060872E-3</v>
      </c>
      <c r="K1814" s="108"/>
      <c r="L1814" s="108">
        <v>3.9600000000000003E-2</v>
      </c>
      <c r="O1814" s="105"/>
    </row>
    <row r="1815" spans="2:15" x14ac:dyDescent="0.2">
      <c r="B1815" s="1">
        <v>1800</v>
      </c>
      <c r="C1815" s="106">
        <f t="shared" ca="1" si="112"/>
        <v>-0.22864342519764341</v>
      </c>
      <c r="D1815" s="106">
        <f t="shared" ca="1" si="113"/>
        <v>0.64968293104908481</v>
      </c>
      <c r="E1815" s="106">
        <f t="shared" ca="1" si="114"/>
        <v>0</v>
      </c>
      <c r="F1815" s="21">
        <f t="shared" ca="1" si="115"/>
        <v>0</v>
      </c>
      <c r="H1815" s="21">
        <v>1800</v>
      </c>
      <c r="I1815" s="107">
        <v>0.66777807847556359</v>
      </c>
      <c r="J1815" s="108">
        <v>1.3808761242287723E-3</v>
      </c>
      <c r="K1815" s="108"/>
      <c r="L1815" s="108">
        <v>4.2000000000000003E-2</v>
      </c>
      <c r="O1815" s="105"/>
    </row>
    <row r="1816" spans="2:15" x14ac:dyDescent="0.2">
      <c r="B1816" s="1">
        <v>1801</v>
      </c>
      <c r="C1816" s="106">
        <f t="shared" ca="1" si="112"/>
        <v>-0.97712410027494001</v>
      </c>
      <c r="D1816" s="106">
        <f t="shared" ca="1" si="113"/>
        <v>0.60344404538234564</v>
      </c>
      <c r="E1816" s="106">
        <f t="shared" ca="1" si="114"/>
        <v>0</v>
      </c>
      <c r="F1816" s="21">
        <f t="shared" ca="1" si="115"/>
        <v>0</v>
      </c>
      <c r="H1816" s="21">
        <v>1801</v>
      </c>
      <c r="I1816" s="107">
        <v>0.66784406947810626</v>
      </c>
      <c r="J1816" s="108">
        <v>1.4588490139992975E-3</v>
      </c>
      <c r="K1816" s="108"/>
      <c r="L1816" s="108">
        <v>4.2999999999999997E-2</v>
      </c>
      <c r="O1816" s="105"/>
    </row>
    <row r="1817" spans="2:15" x14ac:dyDescent="0.2">
      <c r="B1817" s="1">
        <v>1802</v>
      </c>
      <c r="C1817" s="106">
        <f t="shared" ca="1" si="112"/>
        <v>1.048020296658968</v>
      </c>
      <c r="D1817" s="106">
        <f t="shared" ca="1" si="113"/>
        <v>0.73687350877376334</v>
      </c>
      <c r="E1817" s="106">
        <f t="shared" ca="1" si="114"/>
        <v>0</v>
      </c>
      <c r="F1817" s="21">
        <f t="shared" ca="1" si="115"/>
        <v>0</v>
      </c>
      <c r="H1817" s="21">
        <v>1802</v>
      </c>
      <c r="I1817" s="107">
        <v>0.66774538039296116</v>
      </c>
      <c r="J1817" s="108">
        <v>1.3559569805162402E-3</v>
      </c>
      <c r="K1817" s="108"/>
      <c r="L1817" s="108">
        <v>4.2000000000000003E-2</v>
      </c>
      <c r="O1817" s="105"/>
    </row>
    <row r="1818" spans="2:15" x14ac:dyDescent="0.2">
      <c r="B1818" s="1">
        <v>1803</v>
      </c>
      <c r="C1818" s="106">
        <f t="shared" ca="1" si="112"/>
        <v>-0.49342552298200598</v>
      </c>
      <c r="D1818" s="106">
        <f t="shared" ca="1" si="113"/>
        <v>0.63293389684530743</v>
      </c>
      <c r="E1818" s="106">
        <f t="shared" ca="1" si="114"/>
        <v>0</v>
      </c>
      <c r="F1818" s="21">
        <f t="shared" ca="1" si="115"/>
        <v>0</v>
      </c>
      <c r="H1818" s="21">
        <v>1803</v>
      </c>
      <c r="I1818" s="107">
        <v>0.66777790849757801</v>
      </c>
      <c r="J1818" s="108">
        <v>1.5019943198087923E-3</v>
      </c>
      <c r="K1818" s="108"/>
      <c r="L1818" s="108">
        <v>4.7600000000000003E-2</v>
      </c>
      <c r="O1818" s="105"/>
    </row>
    <row r="1819" spans="2:15" x14ac:dyDescent="0.2">
      <c r="B1819" s="1">
        <v>1804</v>
      </c>
      <c r="C1819" s="106">
        <f t="shared" ca="1" si="112"/>
        <v>2.3859327714539753</v>
      </c>
      <c r="D1819" s="106">
        <f t="shared" ca="1" si="113"/>
        <v>0.84083017540989968</v>
      </c>
      <c r="E1819" s="106">
        <f t="shared" ca="1" si="114"/>
        <v>5.2630175409899671E-2</v>
      </c>
      <c r="F1819" s="21">
        <f t="shared" ca="1" si="115"/>
        <v>1</v>
      </c>
      <c r="H1819" s="21">
        <v>1804</v>
      </c>
      <c r="I1819" s="107">
        <v>0.66785773357731182</v>
      </c>
      <c r="J1819" s="108">
        <v>1.6191817249978375E-3</v>
      </c>
      <c r="K1819" s="108"/>
      <c r="L1819" s="108">
        <v>4.48E-2</v>
      </c>
      <c r="O1819" s="105"/>
    </row>
    <row r="1820" spans="2:15" x14ac:dyDescent="0.2">
      <c r="B1820" s="1">
        <v>1805</v>
      </c>
      <c r="C1820" s="106">
        <f t="shared" ca="1" si="112"/>
        <v>-0.41114597855308693</v>
      </c>
      <c r="D1820" s="106">
        <f t="shared" ca="1" si="113"/>
        <v>0.6380917945961655</v>
      </c>
      <c r="E1820" s="106">
        <f t="shared" ca="1" si="114"/>
        <v>0</v>
      </c>
      <c r="F1820" s="21">
        <f t="shared" ca="1" si="115"/>
        <v>0</v>
      </c>
      <c r="H1820" s="21">
        <v>1805</v>
      </c>
      <c r="I1820" s="107">
        <v>0.66761490986644068</v>
      </c>
      <c r="J1820" s="108">
        <v>1.0854895283809935E-3</v>
      </c>
      <c r="K1820" s="108"/>
      <c r="L1820" s="108">
        <v>3.7600000000000001E-2</v>
      </c>
      <c r="O1820" s="105"/>
    </row>
    <row r="1821" spans="2:15" x14ac:dyDescent="0.2">
      <c r="B1821" s="1">
        <v>1806</v>
      </c>
      <c r="C1821" s="106">
        <f t="shared" ca="1" si="112"/>
        <v>0.8064546969208255</v>
      </c>
      <c r="D1821" s="106">
        <f t="shared" ca="1" si="113"/>
        <v>0.71952257123292651</v>
      </c>
      <c r="E1821" s="106">
        <f t="shared" ca="1" si="114"/>
        <v>0</v>
      </c>
      <c r="F1821" s="21">
        <f t="shared" ca="1" si="115"/>
        <v>0</v>
      </c>
      <c r="H1821" s="21">
        <v>1806</v>
      </c>
      <c r="I1821" s="107">
        <v>0.66769943133479814</v>
      </c>
      <c r="J1821" s="108">
        <v>1.3162646244231008E-3</v>
      </c>
      <c r="K1821" s="108"/>
      <c r="L1821" s="108">
        <v>4.2200000000000001E-2</v>
      </c>
      <c r="O1821" s="105"/>
    </row>
    <row r="1822" spans="2:15" x14ac:dyDescent="0.2">
      <c r="B1822" s="1">
        <v>1807</v>
      </c>
      <c r="C1822" s="106">
        <f t="shared" ca="1" si="112"/>
        <v>0.45688493462205165</v>
      </c>
      <c r="D1822" s="106">
        <f t="shared" ca="1" si="113"/>
        <v>0.6951348612845818</v>
      </c>
      <c r="E1822" s="106">
        <f t="shared" ca="1" si="114"/>
        <v>0</v>
      </c>
      <c r="F1822" s="21">
        <f t="shared" ca="1" si="115"/>
        <v>0</v>
      </c>
      <c r="H1822" s="21">
        <v>1807</v>
      </c>
      <c r="I1822" s="107">
        <v>0.66770054501927301</v>
      </c>
      <c r="J1822" s="108">
        <v>1.3205592870441177E-3</v>
      </c>
      <c r="K1822" s="108"/>
      <c r="L1822" s="108">
        <v>4.3400000000000001E-2</v>
      </c>
      <c r="O1822" s="105"/>
    </row>
    <row r="1823" spans="2:15" x14ac:dyDescent="0.2">
      <c r="B1823" s="1">
        <v>1808</v>
      </c>
      <c r="C1823" s="106">
        <f t="shared" ca="1" si="112"/>
        <v>-0.92016191455587859</v>
      </c>
      <c r="D1823" s="106">
        <f t="shared" ca="1" si="113"/>
        <v>0.60684423577575097</v>
      </c>
      <c r="E1823" s="106">
        <f t="shared" ca="1" si="114"/>
        <v>0</v>
      </c>
      <c r="F1823" s="21">
        <f t="shared" ca="1" si="115"/>
        <v>0</v>
      </c>
      <c r="H1823" s="21">
        <v>1808</v>
      </c>
      <c r="I1823" s="107">
        <v>0.66781330297886665</v>
      </c>
      <c r="J1823" s="108">
        <v>1.4102972519028434E-3</v>
      </c>
      <c r="K1823" s="108"/>
      <c r="L1823" s="108">
        <v>4.4200000000000003E-2</v>
      </c>
      <c r="O1823" s="105"/>
    </row>
    <row r="1824" spans="2:15" x14ac:dyDescent="0.2">
      <c r="B1824" s="1">
        <v>1809</v>
      </c>
      <c r="C1824" s="106">
        <f t="shared" ca="1" si="112"/>
        <v>-1.3258974858505088</v>
      </c>
      <c r="D1824" s="106">
        <f t="shared" ca="1" si="113"/>
        <v>0.58303653419584633</v>
      </c>
      <c r="E1824" s="106">
        <f t="shared" ca="1" si="114"/>
        <v>0</v>
      </c>
      <c r="F1824" s="21">
        <f t="shared" ca="1" si="115"/>
        <v>0</v>
      </c>
      <c r="H1824" s="21">
        <v>1809</v>
      </c>
      <c r="I1824" s="107">
        <v>0.66775422515019156</v>
      </c>
      <c r="J1824" s="108">
        <v>1.3597908566456189E-3</v>
      </c>
      <c r="K1824" s="108"/>
      <c r="L1824" s="108">
        <v>4.2799999999999998E-2</v>
      </c>
      <c r="O1824" s="105"/>
    </row>
    <row r="1825" spans="2:15" x14ac:dyDescent="0.2">
      <c r="B1825" s="1">
        <v>1810</v>
      </c>
      <c r="C1825" s="106">
        <f t="shared" ca="1" si="112"/>
        <v>-1.7948577763648541</v>
      </c>
      <c r="D1825" s="106">
        <f t="shared" ca="1" si="113"/>
        <v>0.55668023208353334</v>
      </c>
      <c r="E1825" s="106">
        <f t="shared" ca="1" si="114"/>
        <v>0</v>
      </c>
      <c r="F1825" s="21">
        <f t="shared" ca="1" si="115"/>
        <v>0</v>
      </c>
      <c r="H1825" s="21">
        <v>1810</v>
      </c>
      <c r="I1825" s="107">
        <v>0.66791084964739289</v>
      </c>
      <c r="J1825" s="108">
        <v>1.4307005085860407E-3</v>
      </c>
      <c r="K1825" s="108"/>
      <c r="L1825" s="108">
        <v>4.4200000000000003E-2</v>
      </c>
      <c r="O1825" s="105"/>
    </row>
    <row r="1826" spans="2:15" x14ac:dyDescent="0.2">
      <c r="B1826" s="1">
        <v>1811</v>
      </c>
      <c r="C1826" s="106">
        <f t="shared" ca="1" si="112"/>
        <v>-0.19900218272910744</v>
      </c>
      <c r="D1826" s="106">
        <f t="shared" ca="1" si="113"/>
        <v>0.6515852871800818</v>
      </c>
      <c r="E1826" s="106">
        <f t="shared" ca="1" si="114"/>
        <v>0</v>
      </c>
      <c r="F1826" s="21">
        <f t="shared" ca="1" si="115"/>
        <v>0</v>
      </c>
      <c r="H1826" s="21">
        <v>1811</v>
      </c>
      <c r="I1826" s="107">
        <v>0.66759658301942859</v>
      </c>
      <c r="J1826" s="108">
        <v>1.1574645736108621E-3</v>
      </c>
      <c r="K1826" s="108"/>
      <c r="L1826" s="108">
        <v>3.5400000000000001E-2</v>
      </c>
      <c r="O1826" s="105"/>
    </row>
    <row r="1827" spans="2:15" x14ac:dyDescent="0.2">
      <c r="B1827" s="1">
        <v>1812</v>
      </c>
      <c r="C1827" s="106">
        <f t="shared" ca="1" si="112"/>
        <v>1.3181312558066187</v>
      </c>
      <c r="D1827" s="106">
        <f t="shared" ca="1" si="113"/>
        <v>0.75677073734196432</v>
      </c>
      <c r="E1827" s="106">
        <f t="shared" ca="1" si="114"/>
        <v>0</v>
      </c>
      <c r="F1827" s="21">
        <f t="shared" ca="1" si="115"/>
        <v>0</v>
      </c>
      <c r="H1827" s="21">
        <v>1812</v>
      </c>
      <c r="I1827" s="107">
        <v>0.66779379881354339</v>
      </c>
      <c r="J1827" s="108">
        <v>1.319725916999774E-3</v>
      </c>
      <c r="K1827" s="108"/>
      <c r="L1827" s="108">
        <v>4.1200000000000001E-2</v>
      </c>
      <c r="O1827" s="105"/>
    </row>
    <row r="1828" spans="2:15" x14ac:dyDescent="0.2">
      <c r="B1828" s="1">
        <v>1813</v>
      </c>
      <c r="C1828" s="106">
        <f t="shared" ca="1" si="112"/>
        <v>1.1616748519257507</v>
      </c>
      <c r="D1828" s="106">
        <f t="shared" ca="1" si="113"/>
        <v>0.74518110558648765</v>
      </c>
      <c r="E1828" s="106">
        <f t="shared" ca="1" si="114"/>
        <v>0</v>
      </c>
      <c r="F1828" s="21">
        <f t="shared" ca="1" si="115"/>
        <v>0</v>
      </c>
      <c r="H1828" s="21">
        <v>1813</v>
      </c>
      <c r="I1828" s="107">
        <v>0.66793591477375069</v>
      </c>
      <c r="J1828" s="108">
        <v>1.5503870517459039E-3</v>
      </c>
      <c r="K1828" s="108"/>
      <c r="L1828" s="108">
        <v>4.6800000000000001E-2</v>
      </c>
      <c r="O1828" s="105"/>
    </row>
    <row r="1829" spans="2:15" x14ac:dyDescent="0.2">
      <c r="B1829" s="1">
        <v>1814</v>
      </c>
      <c r="C1829" s="106">
        <f t="shared" ca="1" si="112"/>
        <v>-0.8827396816312193</v>
      </c>
      <c r="D1829" s="106">
        <f t="shared" ca="1" si="113"/>
        <v>0.60908846724870802</v>
      </c>
      <c r="E1829" s="106">
        <f t="shared" ca="1" si="114"/>
        <v>0</v>
      </c>
      <c r="F1829" s="21">
        <f t="shared" ca="1" si="115"/>
        <v>0</v>
      </c>
      <c r="H1829" s="21">
        <v>1814</v>
      </c>
      <c r="I1829" s="107">
        <v>0.66787624376381349</v>
      </c>
      <c r="J1829" s="108">
        <v>1.4081570411573457E-3</v>
      </c>
      <c r="K1829" s="108"/>
      <c r="L1829" s="108">
        <v>4.4200000000000003E-2</v>
      </c>
      <c r="O1829" s="105"/>
    </row>
    <row r="1830" spans="2:15" x14ac:dyDescent="0.2">
      <c r="B1830" s="1">
        <v>1815</v>
      </c>
      <c r="C1830" s="106">
        <f t="shared" ca="1" si="112"/>
        <v>-1.7015655675206458</v>
      </c>
      <c r="D1830" s="106">
        <f t="shared" ca="1" si="113"/>
        <v>0.56182670745624619</v>
      </c>
      <c r="E1830" s="106">
        <f t="shared" ca="1" si="114"/>
        <v>0</v>
      </c>
      <c r="F1830" s="21">
        <f t="shared" ca="1" si="115"/>
        <v>0</v>
      </c>
      <c r="H1830" s="21">
        <v>1815</v>
      </c>
      <c r="I1830" s="107">
        <v>0.66764542249445524</v>
      </c>
      <c r="J1830" s="108">
        <v>1.2255441446802047E-3</v>
      </c>
      <c r="K1830" s="108"/>
      <c r="L1830" s="108">
        <v>3.9399999999999998E-2</v>
      </c>
      <c r="O1830" s="105"/>
    </row>
    <row r="1831" spans="2:15" x14ac:dyDescent="0.2">
      <c r="B1831" s="1">
        <v>1816</v>
      </c>
      <c r="C1831" s="106">
        <f t="shared" ca="1" si="112"/>
        <v>0.37179018593117469</v>
      </c>
      <c r="D1831" s="106">
        <f t="shared" ca="1" si="113"/>
        <v>0.68932441753122686</v>
      </c>
      <c r="E1831" s="106">
        <f t="shared" ca="1" si="114"/>
        <v>0</v>
      </c>
      <c r="F1831" s="21">
        <f t="shared" ca="1" si="115"/>
        <v>0</v>
      </c>
      <c r="H1831" s="21">
        <v>1816</v>
      </c>
      <c r="I1831" s="107">
        <v>0.6676871902399798</v>
      </c>
      <c r="J1831" s="108">
        <v>1.2154866297534699E-3</v>
      </c>
      <c r="K1831" s="108"/>
      <c r="L1831" s="108">
        <v>4.24E-2</v>
      </c>
      <c r="O1831" s="105"/>
    </row>
    <row r="1832" spans="2:15" x14ac:dyDescent="0.2">
      <c r="B1832" s="1">
        <v>1817</v>
      </c>
      <c r="C1832" s="106">
        <f t="shared" ca="1" si="112"/>
        <v>-0.18243622228796127</v>
      </c>
      <c r="D1832" s="106">
        <f t="shared" ca="1" si="113"/>
        <v>0.65265090549473281</v>
      </c>
      <c r="E1832" s="106">
        <f t="shared" ca="1" si="114"/>
        <v>0</v>
      </c>
      <c r="F1832" s="21">
        <f t="shared" ca="1" si="115"/>
        <v>0</v>
      </c>
      <c r="H1832" s="21">
        <v>1817</v>
      </c>
      <c r="I1832" s="107">
        <v>0.66786841742516079</v>
      </c>
      <c r="J1832" s="108">
        <v>1.5344536246544864E-3</v>
      </c>
      <c r="K1832" s="108"/>
      <c r="L1832" s="108">
        <v>4.5199999999999997E-2</v>
      </c>
      <c r="O1832" s="105"/>
    </row>
    <row r="1833" spans="2:15" x14ac:dyDescent="0.2">
      <c r="B1833" s="1">
        <v>1818</v>
      </c>
      <c r="C1833" s="106">
        <f t="shared" ca="1" si="112"/>
        <v>2.2234450351706148</v>
      </c>
      <c r="D1833" s="106">
        <f t="shared" ca="1" si="113"/>
        <v>0.82746077318212785</v>
      </c>
      <c r="E1833" s="106">
        <f t="shared" ca="1" si="114"/>
        <v>3.9260773182127839E-2</v>
      </c>
      <c r="F1833" s="21">
        <f t="shared" ca="1" si="115"/>
        <v>1</v>
      </c>
      <c r="H1833" s="21">
        <v>1818</v>
      </c>
      <c r="I1833" s="107">
        <v>0.66794227260455719</v>
      </c>
      <c r="J1833" s="108">
        <v>1.5561903665385305E-3</v>
      </c>
      <c r="K1833" s="108"/>
      <c r="L1833" s="108">
        <v>4.58E-2</v>
      </c>
      <c r="O1833" s="105"/>
    </row>
    <row r="1834" spans="2:15" x14ac:dyDescent="0.2">
      <c r="B1834" s="1">
        <v>1819</v>
      </c>
      <c r="C1834" s="106">
        <f t="shared" ca="1" si="112"/>
        <v>0.91318403147001037</v>
      </c>
      <c r="D1834" s="106">
        <f t="shared" ca="1" si="113"/>
        <v>0.72713766472444619</v>
      </c>
      <c r="E1834" s="106">
        <f t="shared" ca="1" si="114"/>
        <v>0</v>
      </c>
      <c r="F1834" s="21">
        <f t="shared" ca="1" si="115"/>
        <v>0</v>
      </c>
      <c r="H1834" s="21">
        <v>1819</v>
      </c>
      <c r="I1834" s="107">
        <v>0.66768640091750076</v>
      </c>
      <c r="J1834" s="108">
        <v>1.2725306454705206E-3</v>
      </c>
      <c r="K1834" s="108"/>
      <c r="L1834" s="108">
        <v>3.9800000000000002E-2</v>
      </c>
      <c r="O1834" s="105"/>
    </row>
    <row r="1835" spans="2:15" x14ac:dyDescent="0.2">
      <c r="B1835" s="1">
        <v>1820</v>
      </c>
      <c r="C1835" s="106">
        <f t="shared" ca="1" si="112"/>
        <v>2.0352077067525114</v>
      </c>
      <c r="D1835" s="106">
        <f t="shared" ca="1" si="113"/>
        <v>0.81223826139505695</v>
      </c>
      <c r="E1835" s="106">
        <f t="shared" ca="1" si="114"/>
        <v>2.4038261395056937E-2</v>
      </c>
      <c r="F1835" s="21">
        <f t="shared" ca="1" si="115"/>
        <v>1</v>
      </c>
      <c r="H1835" s="21">
        <v>1820</v>
      </c>
      <c r="I1835" s="107">
        <v>0.66771003469984846</v>
      </c>
      <c r="J1835" s="108">
        <v>1.3016189713421075E-3</v>
      </c>
      <c r="K1835" s="108"/>
      <c r="L1835" s="108">
        <v>4.0599999999999997E-2</v>
      </c>
      <c r="O1835" s="105"/>
    </row>
    <row r="1836" spans="2:15" x14ac:dyDescent="0.2">
      <c r="B1836" s="1">
        <v>1821</v>
      </c>
      <c r="C1836" s="106">
        <f t="shared" ca="1" si="112"/>
        <v>1.2970155732625599</v>
      </c>
      <c r="D1836" s="106">
        <f t="shared" ca="1" si="113"/>
        <v>0.75519611596753478</v>
      </c>
      <c r="E1836" s="106">
        <f t="shared" ca="1" si="114"/>
        <v>0</v>
      </c>
      <c r="F1836" s="21">
        <f t="shared" ca="1" si="115"/>
        <v>0</v>
      </c>
      <c r="H1836" s="21">
        <v>1821</v>
      </c>
      <c r="I1836" s="107">
        <v>0.66762299854884455</v>
      </c>
      <c r="J1836" s="108">
        <v>1.1525231434743851E-3</v>
      </c>
      <c r="K1836" s="108"/>
      <c r="L1836" s="108">
        <v>3.7199999999999997E-2</v>
      </c>
      <c r="O1836" s="105"/>
    </row>
    <row r="1837" spans="2:15" x14ac:dyDescent="0.2">
      <c r="B1837" s="1">
        <v>1822</v>
      </c>
      <c r="C1837" s="106">
        <f t="shared" ca="1" si="112"/>
        <v>1.5132975995670119</v>
      </c>
      <c r="D1837" s="106">
        <f t="shared" ca="1" si="113"/>
        <v>0.77148082520560046</v>
      </c>
      <c r="E1837" s="106">
        <f t="shared" ca="1" si="114"/>
        <v>0</v>
      </c>
      <c r="F1837" s="21">
        <f t="shared" ca="1" si="115"/>
        <v>0</v>
      </c>
      <c r="H1837" s="21">
        <v>1822</v>
      </c>
      <c r="I1837" s="107">
        <v>0.66756380327488773</v>
      </c>
      <c r="J1837" s="108">
        <v>1.0650757399668065E-3</v>
      </c>
      <c r="K1837" s="108"/>
      <c r="L1837" s="108">
        <v>3.5200000000000002E-2</v>
      </c>
      <c r="O1837" s="105"/>
    </row>
    <row r="1838" spans="2:15" x14ac:dyDescent="0.2">
      <c r="B1838" s="1">
        <v>1823</v>
      </c>
      <c r="C1838" s="106">
        <f t="shared" ca="1" si="112"/>
        <v>-1.353576519231227</v>
      </c>
      <c r="D1838" s="106">
        <f t="shared" ca="1" si="113"/>
        <v>0.58144684271094216</v>
      </c>
      <c r="E1838" s="106">
        <f t="shared" ca="1" si="114"/>
        <v>0</v>
      </c>
      <c r="F1838" s="21">
        <f t="shared" ca="1" si="115"/>
        <v>0</v>
      </c>
      <c r="H1838" s="21">
        <v>1823</v>
      </c>
      <c r="I1838" s="107">
        <v>0.66778105070778715</v>
      </c>
      <c r="J1838" s="108">
        <v>1.4385676618272512E-3</v>
      </c>
      <c r="K1838" s="108"/>
      <c r="L1838" s="108">
        <v>4.2200000000000001E-2</v>
      </c>
      <c r="O1838" s="105"/>
    </row>
    <row r="1839" spans="2:15" x14ac:dyDescent="0.2">
      <c r="B1839" s="1">
        <v>1824</v>
      </c>
      <c r="C1839" s="106">
        <f t="shared" ca="1" si="112"/>
        <v>0.20558285316765626</v>
      </c>
      <c r="D1839" s="106">
        <f t="shared" ca="1" si="113"/>
        <v>0.67811514321484712</v>
      </c>
      <c r="E1839" s="106">
        <f t="shared" ca="1" si="114"/>
        <v>0</v>
      </c>
      <c r="F1839" s="21">
        <f t="shared" ca="1" si="115"/>
        <v>0</v>
      </c>
      <c r="H1839" s="21">
        <v>1824</v>
      </c>
      <c r="I1839" s="107">
        <v>0.66774643363611264</v>
      </c>
      <c r="J1839" s="108">
        <v>1.3057384382638743E-3</v>
      </c>
      <c r="K1839" s="108"/>
      <c r="L1839" s="108">
        <v>4.2200000000000001E-2</v>
      </c>
      <c r="O1839" s="105"/>
    </row>
    <row r="1840" spans="2:15" x14ac:dyDescent="0.2">
      <c r="B1840" s="1">
        <v>1825</v>
      </c>
      <c r="C1840" s="106">
        <f t="shared" ca="1" si="112"/>
        <v>1.240284243384868</v>
      </c>
      <c r="D1840" s="106">
        <f t="shared" ca="1" si="113"/>
        <v>0.75098180079506593</v>
      </c>
      <c r="E1840" s="106">
        <f t="shared" ca="1" si="114"/>
        <v>0</v>
      </c>
      <c r="F1840" s="21">
        <f t="shared" ca="1" si="115"/>
        <v>0</v>
      </c>
      <c r="H1840" s="21">
        <v>1825</v>
      </c>
      <c r="I1840" s="107">
        <v>0.66788269416940049</v>
      </c>
      <c r="J1840" s="108">
        <v>1.4639853621084282E-3</v>
      </c>
      <c r="K1840" s="108"/>
      <c r="L1840" s="108">
        <v>4.3400000000000001E-2</v>
      </c>
      <c r="O1840" s="105"/>
    </row>
    <row r="1841" spans="2:15" x14ac:dyDescent="0.2">
      <c r="B1841" s="1">
        <v>1826</v>
      </c>
      <c r="C1841" s="106">
        <f t="shared" ca="1" si="112"/>
        <v>0.72979073610871625</v>
      </c>
      <c r="D1841" s="106">
        <f t="shared" ca="1" si="113"/>
        <v>0.71410189470058805</v>
      </c>
      <c r="E1841" s="106">
        <f t="shared" ca="1" si="114"/>
        <v>0</v>
      </c>
      <c r="F1841" s="21">
        <f t="shared" ca="1" si="115"/>
        <v>0</v>
      </c>
      <c r="H1841" s="21">
        <v>1826</v>
      </c>
      <c r="I1841" s="107">
        <v>0.6676371688141669</v>
      </c>
      <c r="J1841" s="108">
        <v>1.2516535697770683E-3</v>
      </c>
      <c r="K1841" s="108"/>
      <c r="L1841" s="108">
        <v>3.9399999999999998E-2</v>
      </c>
      <c r="O1841" s="105"/>
    </row>
    <row r="1842" spans="2:15" x14ac:dyDescent="0.2">
      <c r="B1842" s="1">
        <v>1827</v>
      </c>
      <c r="C1842" s="106">
        <f t="shared" ca="1" si="112"/>
        <v>-0.61176222388726786</v>
      </c>
      <c r="D1842" s="106">
        <f t="shared" ca="1" si="113"/>
        <v>0.62558868301807768</v>
      </c>
      <c r="E1842" s="106">
        <f t="shared" ca="1" si="114"/>
        <v>0</v>
      </c>
      <c r="F1842" s="21">
        <f t="shared" ca="1" si="115"/>
        <v>0</v>
      </c>
      <c r="H1842" s="21">
        <v>1827</v>
      </c>
      <c r="I1842" s="107">
        <v>0.66785960541627687</v>
      </c>
      <c r="J1842" s="108">
        <v>1.4801475274994007E-3</v>
      </c>
      <c r="K1842" s="108"/>
      <c r="L1842" s="108">
        <v>4.6399999999999997E-2</v>
      </c>
      <c r="O1842" s="105"/>
    </row>
    <row r="1843" spans="2:15" x14ac:dyDescent="0.2">
      <c r="B1843" s="1">
        <v>1828</v>
      </c>
      <c r="C1843" s="106">
        <f t="shared" ca="1" si="112"/>
        <v>-0.67088682984363524</v>
      </c>
      <c r="D1843" s="106">
        <f t="shared" ca="1" si="113"/>
        <v>0.62195078744498788</v>
      </c>
      <c r="E1843" s="106">
        <f t="shared" ca="1" si="114"/>
        <v>0</v>
      </c>
      <c r="F1843" s="21">
        <f t="shared" ca="1" si="115"/>
        <v>0</v>
      </c>
      <c r="H1843" s="21">
        <v>1828</v>
      </c>
      <c r="I1843" s="107">
        <v>0.66767660776364224</v>
      </c>
      <c r="J1843" s="108">
        <v>1.2157902686278648E-3</v>
      </c>
      <c r="K1843" s="108"/>
      <c r="L1843" s="108">
        <v>4.1399999999999999E-2</v>
      </c>
      <c r="O1843" s="105"/>
    </row>
    <row r="1844" spans="2:15" x14ac:dyDescent="0.2">
      <c r="B1844" s="1">
        <v>1829</v>
      </c>
      <c r="C1844" s="106">
        <f t="shared" ca="1" si="112"/>
        <v>0.66579343003703662</v>
      </c>
      <c r="D1844" s="106">
        <f t="shared" ca="1" si="113"/>
        <v>0.70960812618027957</v>
      </c>
      <c r="E1844" s="106">
        <f t="shared" ca="1" si="114"/>
        <v>0</v>
      </c>
      <c r="F1844" s="21">
        <f t="shared" ca="1" si="115"/>
        <v>0</v>
      </c>
      <c r="H1844" s="21">
        <v>1829</v>
      </c>
      <c r="I1844" s="107">
        <v>0.66770970572806276</v>
      </c>
      <c r="J1844" s="108">
        <v>1.2947371770121417E-3</v>
      </c>
      <c r="K1844" s="108"/>
      <c r="L1844" s="108">
        <v>3.9E-2</v>
      </c>
      <c r="O1844" s="105"/>
    </row>
    <row r="1845" spans="2:15" x14ac:dyDescent="0.2">
      <c r="B1845" s="1">
        <v>1830</v>
      </c>
      <c r="C1845" s="106">
        <f t="shared" ca="1" si="112"/>
        <v>-1.6402569070611359</v>
      </c>
      <c r="D1845" s="106">
        <f t="shared" ca="1" si="113"/>
        <v>0.56523468702688351</v>
      </c>
      <c r="E1845" s="106">
        <f t="shared" ca="1" si="114"/>
        <v>0</v>
      </c>
      <c r="F1845" s="21">
        <f t="shared" ca="1" si="115"/>
        <v>0</v>
      </c>
      <c r="H1845" s="21">
        <v>1830</v>
      </c>
      <c r="I1845" s="107">
        <v>0.66772407498868314</v>
      </c>
      <c r="J1845" s="108">
        <v>1.2734207643038868E-3</v>
      </c>
      <c r="K1845" s="108"/>
      <c r="L1845" s="108">
        <v>4.2599999999999999E-2</v>
      </c>
      <c r="O1845" s="105"/>
    </row>
    <row r="1846" spans="2:15" x14ac:dyDescent="0.2">
      <c r="B1846" s="1">
        <v>1831</v>
      </c>
      <c r="C1846" s="106">
        <f t="shared" ca="1" si="112"/>
        <v>-0.28970957066578645</v>
      </c>
      <c r="D1846" s="106">
        <f t="shared" ca="1" si="113"/>
        <v>0.6457812343700311</v>
      </c>
      <c r="E1846" s="106">
        <f t="shared" ca="1" si="114"/>
        <v>0</v>
      </c>
      <c r="F1846" s="21">
        <f t="shared" ca="1" si="115"/>
        <v>0</v>
      </c>
      <c r="H1846" s="21">
        <v>1831</v>
      </c>
      <c r="I1846" s="107">
        <v>0.66784378228394004</v>
      </c>
      <c r="J1846" s="108">
        <v>1.6033306690403897E-3</v>
      </c>
      <c r="K1846" s="108"/>
      <c r="L1846" s="108">
        <v>4.4999999999999998E-2</v>
      </c>
      <c r="O1846" s="105"/>
    </row>
    <row r="1847" spans="2:15" x14ac:dyDescent="0.2">
      <c r="B1847" s="1">
        <v>1832</v>
      </c>
      <c r="C1847" s="106">
        <f t="shared" ca="1" si="112"/>
        <v>0.65726222554573432</v>
      </c>
      <c r="D1847" s="106">
        <f t="shared" ca="1" si="113"/>
        <v>0.70901122132708572</v>
      </c>
      <c r="E1847" s="106">
        <f t="shared" ca="1" si="114"/>
        <v>0</v>
      </c>
      <c r="F1847" s="21">
        <f t="shared" ca="1" si="115"/>
        <v>0</v>
      </c>
      <c r="H1847" s="21">
        <v>1832</v>
      </c>
      <c r="I1847" s="107">
        <v>0.66773058323510126</v>
      </c>
      <c r="J1847" s="108">
        <v>1.3988631228864061E-3</v>
      </c>
      <c r="K1847" s="108"/>
      <c r="L1847" s="108">
        <v>3.8399999999999997E-2</v>
      </c>
      <c r="O1847" s="105"/>
    </row>
    <row r="1848" spans="2:15" x14ac:dyDescent="0.2">
      <c r="B1848" s="1">
        <v>1833</v>
      </c>
      <c r="C1848" s="106">
        <f t="shared" ca="1" si="112"/>
        <v>0.81018644769212333</v>
      </c>
      <c r="D1848" s="106">
        <f t="shared" ca="1" si="113"/>
        <v>0.7197874797304713</v>
      </c>
      <c r="E1848" s="106">
        <f t="shared" ca="1" si="114"/>
        <v>0</v>
      </c>
      <c r="F1848" s="21">
        <f t="shared" ca="1" si="115"/>
        <v>0</v>
      </c>
      <c r="H1848" s="21">
        <v>1833</v>
      </c>
      <c r="I1848" s="107">
        <v>0.66774931471079491</v>
      </c>
      <c r="J1848" s="108">
        <v>1.3102524482362956E-3</v>
      </c>
      <c r="K1848" s="108"/>
      <c r="L1848" s="108">
        <v>4.0800000000000003E-2</v>
      </c>
      <c r="O1848" s="105"/>
    </row>
    <row r="1849" spans="2:15" x14ac:dyDescent="0.2">
      <c r="B1849" s="1">
        <v>1834</v>
      </c>
      <c r="C1849" s="106">
        <f t="shared" ca="1" si="112"/>
        <v>1.6809431023748476</v>
      </c>
      <c r="D1849" s="106">
        <f t="shared" ca="1" si="113"/>
        <v>0.78434470011329716</v>
      </c>
      <c r="E1849" s="106">
        <f t="shared" ca="1" si="114"/>
        <v>0</v>
      </c>
      <c r="F1849" s="21">
        <f t="shared" ca="1" si="115"/>
        <v>0</v>
      </c>
      <c r="H1849" s="21">
        <v>1834</v>
      </c>
      <c r="I1849" s="107">
        <v>0.66781242628340609</v>
      </c>
      <c r="J1849" s="108">
        <v>1.4197469528526496E-3</v>
      </c>
      <c r="K1849" s="108"/>
      <c r="L1849" s="108">
        <v>4.3999999999999997E-2</v>
      </c>
      <c r="O1849" s="105"/>
    </row>
    <row r="1850" spans="2:15" x14ac:dyDescent="0.2">
      <c r="B1850" s="1">
        <v>1835</v>
      </c>
      <c r="C1850" s="106">
        <f t="shared" ca="1" si="112"/>
        <v>-0.57491639636994829</v>
      </c>
      <c r="D1850" s="106">
        <f t="shared" ca="1" si="113"/>
        <v>0.62786653533994607</v>
      </c>
      <c r="E1850" s="106">
        <f t="shared" ca="1" si="114"/>
        <v>0</v>
      </c>
      <c r="F1850" s="21">
        <f t="shared" ca="1" si="115"/>
        <v>0</v>
      </c>
      <c r="H1850" s="21">
        <v>1835</v>
      </c>
      <c r="I1850" s="107">
        <v>0.66757784315746271</v>
      </c>
      <c r="J1850" s="108">
        <v>1.1301884590674837E-3</v>
      </c>
      <c r="K1850" s="108"/>
      <c r="L1850" s="108">
        <v>3.8199999999999998E-2</v>
      </c>
      <c r="O1850" s="105"/>
    </row>
    <row r="1851" spans="2:15" x14ac:dyDescent="0.2">
      <c r="B1851" s="1">
        <v>1836</v>
      </c>
      <c r="C1851" s="106">
        <f t="shared" ca="1" si="112"/>
        <v>1.3686839894265908</v>
      </c>
      <c r="D1851" s="106">
        <f t="shared" ca="1" si="113"/>
        <v>0.76055386633787947</v>
      </c>
      <c r="E1851" s="106">
        <f t="shared" ca="1" si="114"/>
        <v>0</v>
      </c>
      <c r="F1851" s="21">
        <f t="shared" ca="1" si="115"/>
        <v>0</v>
      </c>
      <c r="H1851" s="21">
        <v>1836</v>
      </c>
      <c r="I1851" s="107">
        <v>0.66783407235133141</v>
      </c>
      <c r="J1851" s="108">
        <v>1.5771980932081987E-3</v>
      </c>
      <c r="K1851" s="108"/>
      <c r="L1851" s="108">
        <v>4.2200000000000001E-2</v>
      </c>
      <c r="O1851" s="105"/>
    </row>
    <row r="1852" spans="2:15" x14ac:dyDescent="0.2">
      <c r="B1852" s="1">
        <v>1837</v>
      </c>
      <c r="C1852" s="106">
        <f t="shared" ca="1" si="112"/>
        <v>2.4853454086583917</v>
      </c>
      <c r="D1852" s="106">
        <f t="shared" ca="1" si="113"/>
        <v>0.84911607970523828</v>
      </c>
      <c r="E1852" s="106">
        <f t="shared" ca="1" si="114"/>
        <v>6.0916079705238269E-2</v>
      </c>
      <c r="F1852" s="21">
        <f t="shared" ca="1" si="115"/>
        <v>1</v>
      </c>
      <c r="H1852" s="21">
        <v>1837</v>
      </c>
      <c r="I1852" s="107">
        <v>0.66789164762883946</v>
      </c>
      <c r="J1852" s="108">
        <v>1.5116658295758305E-3</v>
      </c>
      <c r="K1852" s="108"/>
      <c r="L1852" s="108">
        <v>4.6800000000000001E-2</v>
      </c>
      <c r="O1852" s="105"/>
    </row>
    <row r="1853" spans="2:15" x14ac:dyDescent="0.2">
      <c r="B1853" s="1">
        <v>1838</v>
      </c>
      <c r="C1853" s="106">
        <f t="shared" ca="1" si="112"/>
        <v>-0.25427814798665543</v>
      </c>
      <c r="D1853" s="106">
        <f t="shared" ca="1" si="113"/>
        <v>0.64804219012457587</v>
      </c>
      <c r="E1853" s="106">
        <f t="shared" ca="1" si="114"/>
        <v>0</v>
      </c>
      <c r="F1853" s="21">
        <f t="shared" ca="1" si="115"/>
        <v>0</v>
      </c>
      <c r="H1853" s="21">
        <v>1838</v>
      </c>
      <c r="I1853" s="107">
        <v>0.66776174238024244</v>
      </c>
      <c r="J1853" s="108">
        <v>1.3244887978053651E-3</v>
      </c>
      <c r="K1853" s="108"/>
      <c r="L1853" s="108">
        <v>4.0599999999999997E-2</v>
      </c>
      <c r="O1853" s="105"/>
    </row>
    <row r="1854" spans="2:15" x14ac:dyDescent="0.2">
      <c r="B1854" s="1">
        <v>1839</v>
      </c>
      <c r="C1854" s="106">
        <f t="shared" ca="1" si="112"/>
        <v>1.1571280139762941</v>
      </c>
      <c r="D1854" s="106">
        <f t="shared" ca="1" si="113"/>
        <v>0.74484696223587676</v>
      </c>
      <c r="E1854" s="106">
        <f t="shared" ca="1" si="114"/>
        <v>0</v>
      </c>
      <c r="F1854" s="21">
        <f t="shared" ca="1" si="115"/>
        <v>0</v>
      </c>
      <c r="H1854" s="21">
        <v>1839</v>
      </c>
      <c r="I1854" s="107">
        <v>0.66793749608367647</v>
      </c>
      <c r="J1854" s="108">
        <v>1.6018380781773719E-3</v>
      </c>
      <c r="K1854" s="108"/>
      <c r="L1854" s="108">
        <v>4.6399999999999997E-2</v>
      </c>
      <c r="O1854" s="105"/>
    </row>
    <row r="1855" spans="2:15" x14ac:dyDescent="0.2">
      <c r="B1855" s="1">
        <v>1840</v>
      </c>
      <c r="C1855" s="106">
        <f t="shared" ca="1" si="112"/>
        <v>0.86867556706073656</v>
      </c>
      <c r="D1855" s="106">
        <f t="shared" ca="1" si="113"/>
        <v>0.72395225615656067</v>
      </c>
      <c r="E1855" s="106">
        <f t="shared" ca="1" si="114"/>
        <v>0</v>
      </c>
      <c r="F1855" s="21">
        <f t="shared" ca="1" si="115"/>
        <v>0</v>
      </c>
      <c r="H1855" s="21">
        <v>1840</v>
      </c>
      <c r="I1855" s="107">
        <v>0.66763873908696347</v>
      </c>
      <c r="J1855" s="108">
        <v>1.2974887047597001E-3</v>
      </c>
      <c r="K1855" s="108"/>
      <c r="L1855" s="108">
        <v>0.04</v>
      </c>
      <c r="O1855" s="105"/>
    </row>
    <row r="1856" spans="2:15" x14ac:dyDescent="0.2">
      <c r="B1856" s="1">
        <v>1841</v>
      </c>
      <c r="C1856" s="106">
        <f t="shared" ca="1" si="112"/>
        <v>-0.13072759606427134</v>
      </c>
      <c r="D1856" s="106">
        <f t="shared" ca="1" si="113"/>
        <v>0.65598832576154908</v>
      </c>
      <c r="E1856" s="106">
        <f t="shared" ca="1" si="114"/>
        <v>0</v>
      </c>
      <c r="F1856" s="21">
        <f t="shared" ca="1" si="115"/>
        <v>0</v>
      </c>
      <c r="H1856" s="21">
        <v>1841</v>
      </c>
      <c r="I1856" s="107">
        <v>0.66770324375971035</v>
      </c>
      <c r="J1856" s="108">
        <v>1.3567889964323069E-3</v>
      </c>
      <c r="K1856" s="108"/>
      <c r="L1856" s="108">
        <v>4.1599999999999998E-2</v>
      </c>
      <c r="O1856" s="105"/>
    </row>
    <row r="1857" spans="2:15" x14ac:dyDescent="0.2">
      <c r="B1857" s="1">
        <v>1842</v>
      </c>
      <c r="C1857" s="106">
        <f t="shared" ca="1" si="112"/>
        <v>1.2072503228860969</v>
      </c>
      <c r="D1857" s="106">
        <f t="shared" ca="1" si="113"/>
        <v>0.74853870189515725</v>
      </c>
      <c r="E1857" s="106">
        <f t="shared" ca="1" si="114"/>
        <v>0</v>
      </c>
      <c r="F1857" s="21">
        <f t="shared" ca="1" si="115"/>
        <v>0</v>
      </c>
      <c r="H1857" s="21">
        <v>1842</v>
      </c>
      <c r="I1857" s="107">
        <v>0.66777456368514709</v>
      </c>
      <c r="J1857" s="108">
        <v>1.289860502451577E-3</v>
      </c>
      <c r="K1857" s="108"/>
      <c r="L1857" s="108">
        <v>4.1399999999999999E-2</v>
      </c>
      <c r="O1857" s="105"/>
    </row>
    <row r="1858" spans="2:15" x14ac:dyDescent="0.2">
      <c r="B1858" s="1">
        <v>1843</v>
      </c>
      <c r="C1858" s="106">
        <f t="shared" ca="1" si="112"/>
        <v>-0.31984753830978657</v>
      </c>
      <c r="D1858" s="106">
        <f t="shared" ca="1" si="113"/>
        <v>0.64386427504597277</v>
      </c>
      <c r="E1858" s="106">
        <f t="shared" ca="1" si="114"/>
        <v>0</v>
      </c>
      <c r="F1858" s="21">
        <f t="shared" ca="1" si="115"/>
        <v>0</v>
      </c>
      <c r="H1858" s="21">
        <v>1843</v>
      </c>
      <c r="I1858" s="107">
        <v>0.66772377197546207</v>
      </c>
      <c r="J1858" s="108">
        <v>1.4047112991352525E-3</v>
      </c>
      <c r="K1858" s="108"/>
      <c r="L1858" s="108">
        <v>4.1799999999999997E-2</v>
      </c>
      <c r="O1858" s="105"/>
    </row>
    <row r="1859" spans="2:15" x14ac:dyDescent="0.2">
      <c r="B1859" s="1">
        <v>1844</v>
      </c>
      <c r="C1859" s="106">
        <f t="shared" ca="1" si="112"/>
        <v>-3.2522922799453173</v>
      </c>
      <c r="D1859" s="106">
        <f t="shared" ca="1" si="113"/>
        <v>0.48213671446800221</v>
      </c>
      <c r="E1859" s="106">
        <f t="shared" ca="1" si="114"/>
        <v>0</v>
      </c>
      <c r="F1859" s="21">
        <f t="shared" ca="1" si="115"/>
        <v>0</v>
      </c>
      <c r="H1859" s="21">
        <v>1844</v>
      </c>
      <c r="I1859" s="107">
        <v>0.66777810604193988</v>
      </c>
      <c r="J1859" s="108">
        <v>1.3810243369951792E-3</v>
      </c>
      <c r="K1859" s="108"/>
      <c r="L1859" s="108">
        <v>4.24E-2</v>
      </c>
      <c r="O1859" s="105"/>
    </row>
    <row r="1860" spans="2:15" x14ac:dyDescent="0.2">
      <c r="B1860" s="1">
        <v>1845</v>
      </c>
      <c r="C1860" s="106">
        <f t="shared" ca="1" si="112"/>
        <v>1.376485143956748</v>
      </c>
      <c r="D1860" s="106">
        <f t="shared" ca="1" si="113"/>
        <v>0.76113935011903133</v>
      </c>
      <c r="E1860" s="106">
        <f t="shared" ca="1" si="114"/>
        <v>0</v>
      </c>
      <c r="F1860" s="21">
        <f t="shared" ca="1" si="115"/>
        <v>0</v>
      </c>
      <c r="H1860" s="21">
        <v>1845</v>
      </c>
      <c r="I1860" s="107">
        <v>0.66788639401404026</v>
      </c>
      <c r="J1860" s="108">
        <v>1.5168671346997245E-3</v>
      </c>
      <c r="K1860" s="108"/>
      <c r="L1860" s="108">
        <v>4.7199999999999999E-2</v>
      </c>
      <c r="O1860" s="105"/>
    </row>
    <row r="1861" spans="2:15" x14ac:dyDescent="0.2">
      <c r="B1861" s="1">
        <v>1846</v>
      </c>
      <c r="C1861" s="106">
        <f t="shared" ca="1" si="112"/>
        <v>-0.52382510752994138</v>
      </c>
      <c r="D1861" s="106">
        <f t="shared" ca="1" si="113"/>
        <v>0.63103878905429844</v>
      </c>
      <c r="E1861" s="106">
        <f t="shared" ca="1" si="114"/>
        <v>0</v>
      </c>
      <c r="F1861" s="21">
        <f t="shared" ca="1" si="115"/>
        <v>0</v>
      </c>
      <c r="H1861" s="21">
        <v>1846</v>
      </c>
      <c r="I1861" s="107">
        <v>0.66758637098481111</v>
      </c>
      <c r="J1861" s="108">
        <v>1.146778333785285E-3</v>
      </c>
      <c r="K1861" s="108"/>
      <c r="L1861" s="108">
        <v>3.9199999999999999E-2</v>
      </c>
      <c r="O1861" s="105"/>
    </row>
    <row r="1862" spans="2:15" x14ac:dyDescent="0.2">
      <c r="B1862" s="1">
        <v>1847</v>
      </c>
      <c r="C1862" s="106">
        <f t="shared" ca="1" si="112"/>
        <v>1.9656202521614778</v>
      </c>
      <c r="D1862" s="106">
        <f t="shared" ca="1" si="113"/>
        <v>0.8066819880129148</v>
      </c>
      <c r="E1862" s="106">
        <f t="shared" ca="1" si="114"/>
        <v>1.8481988012914785E-2</v>
      </c>
      <c r="F1862" s="21">
        <f t="shared" ca="1" si="115"/>
        <v>1</v>
      </c>
      <c r="H1862" s="21">
        <v>1847</v>
      </c>
      <c r="I1862" s="107">
        <v>0.66776792374085781</v>
      </c>
      <c r="J1862" s="108">
        <v>1.3976504227406364E-3</v>
      </c>
      <c r="K1862" s="108"/>
      <c r="L1862" s="108">
        <v>4.1200000000000001E-2</v>
      </c>
      <c r="O1862" s="105"/>
    </row>
    <row r="1863" spans="2:15" x14ac:dyDescent="0.2">
      <c r="B1863" s="1">
        <v>1848</v>
      </c>
      <c r="C1863" s="106">
        <f t="shared" ca="1" si="112"/>
        <v>-0.95162207404437582</v>
      </c>
      <c r="D1863" s="106">
        <f t="shared" ca="1" si="113"/>
        <v>0.60496395217169363</v>
      </c>
      <c r="E1863" s="106">
        <f t="shared" ca="1" si="114"/>
        <v>0</v>
      </c>
      <c r="F1863" s="21">
        <f t="shared" ca="1" si="115"/>
        <v>0</v>
      </c>
      <c r="H1863" s="21">
        <v>1848</v>
      </c>
      <c r="I1863" s="107">
        <v>0.6677875367824162</v>
      </c>
      <c r="J1863" s="108">
        <v>1.3916825389177294E-3</v>
      </c>
      <c r="K1863" s="108"/>
      <c r="L1863" s="108">
        <v>4.2000000000000003E-2</v>
      </c>
      <c r="O1863" s="105"/>
    </row>
    <row r="1864" spans="2:15" x14ac:dyDescent="0.2">
      <c r="B1864" s="1">
        <v>1849</v>
      </c>
      <c r="C1864" s="106">
        <f t="shared" ca="1" si="112"/>
        <v>-1.0107395714089316</v>
      </c>
      <c r="D1864" s="106">
        <f t="shared" ca="1" si="113"/>
        <v>0.60144641435362534</v>
      </c>
      <c r="E1864" s="106">
        <f t="shared" ca="1" si="114"/>
        <v>0</v>
      </c>
      <c r="F1864" s="21">
        <f t="shared" ca="1" si="115"/>
        <v>0</v>
      </c>
      <c r="H1864" s="21">
        <v>1849</v>
      </c>
      <c r="I1864" s="107">
        <v>0.66763185952983539</v>
      </c>
      <c r="J1864" s="108">
        <v>1.350554976681782E-3</v>
      </c>
      <c r="K1864" s="108"/>
      <c r="L1864" s="108">
        <v>4.2000000000000003E-2</v>
      </c>
      <c r="O1864" s="105"/>
    </row>
    <row r="1865" spans="2:15" x14ac:dyDescent="0.2">
      <c r="B1865" s="1">
        <v>1850</v>
      </c>
      <c r="C1865" s="106">
        <f t="shared" ca="1" si="112"/>
        <v>1.4075344654384958</v>
      </c>
      <c r="D1865" s="106">
        <f t="shared" ca="1" si="113"/>
        <v>0.76347410034665375</v>
      </c>
      <c r="E1865" s="106">
        <f t="shared" ca="1" si="114"/>
        <v>0</v>
      </c>
      <c r="F1865" s="21">
        <f t="shared" ca="1" si="115"/>
        <v>0</v>
      </c>
      <c r="H1865" s="21">
        <v>1850</v>
      </c>
      <c r="I1865" s="107">
        <v>0.66781871417516681</v>
      </c>
      <c r="J1865" s="108">
        <v>1.4585449707416483E-3</v>
      </c>
      <c r="K1865" s="108"/>
      <c r="L1865" s="108">
        <v>4.3200000000000002E-2</v>
      </c>
      <c r="O1865" s="105"/>
    </row>
    <row r="1866" spans="2:15" x14ac:dyDescent="0.2">
      <c r="B1866" s="1">
        <v>1851</v>
      </c>
      <c r="C1866" s="106">
        <f t="shared" ca="1" si="112"/>
        <v>-0.4759807372470512</v>
      </c>
      <c r="D1866" s="106">
        <f t="shared" ca="1" si="113"/>
        <v>0.63402397242564867</v>
      </c>
      <c r="E1866" s="106">
        <f t="shared" ca="1" si="114"/>
        <v>0</v>
      </c>
      <c r="F1866" s="21">
        <f t="shared" ca="1" si="115"/>
        <v>0</v>
      </c>
      <c r="H1866" s="21">
        <v>1851</v>
      </c>
      <c r="I1866" s="107">
        <v>0.66778116271427457</v>
      </c>
      <c r="J1866" s="108">
        <v>1.5103226655077356E-3</v>
      </c>
      <c r="K1866" s="108"/>
      <c r="L1866" s="108">
        <v>4.24E-2</v>
      </c>
      <c r="O1866" s="105"/>
    </row>
    <row r="1867" spans="2:15" x14ac:dyDescent="0.2">
      <c r="B1867" s="1">
        <v>1852</v>
      </c>
      <c r="C1867" s="106">
        <f t="shared" ca="1" si="112"/>
        <v>0.73159232239939131</v>
      </c>
      <c r="D1867" s="106">
        <f t="shared" ca="1" si="113"/>
        <v>0.71422880963930924</v>
      </c>
      <c r="E1867" s="106">
        <f t="shared" ca="1" si="114"/>
        <v>0</v>
      </c>
      <c r="F1867" s="21">
        <f t="shared" ca="1" si="115"/>
        <v>0</v>
      </c>
      <c r="H1867" s="21">
        <v>1852</v>
      </c>
      <c r="I1867" s="107">
        <v>0.6678586673598732</v>
      </c>
      <c r="J1867" s="108">
        <v>1.4746614373929311E-3</v>
      </c>
      <c r="K1867" s="108"/>
      <c r="L1867" s="108">
        <v>4.3200000000000002E-2</v>
      </c>
      <c r="O1867" s="105"/>
    </row>
    <row r="1868" spans="2:15" x14ac:dyDescent="0.2">
      <c r="B1868" s="1">
        <v>1853</v>
      </c>
      <c r="C1868" s="106">
        <f t="shared" ca="1" si="112"/>
        <v>1.5397328299479935</v>
      </c>
      <c r="D1868" s="106">
        <f t="shared" ca="1" si="113"/>
        <v>0.77349516853241673</v>
      </c>
      <c r="E1868" s="106">
        <f t="shared" ca="1" si="114"/>
        <v>0</v>
      </c>
      <c r="F1868" s="21">
        <f t="shared" ca="1" si="115"/>
        <v>0</v>
      </c>
      <c r="H1868" s="21">
        <v>1853</v>
      </c>
      <c r="I1868" s="107">
        <v>0.66773664746603245</v>
      </c>
      <c r="J1868" s="108">
        <v>1.4971483491442461E-3</v>
      </c>
      <c r="K1868" s="108"/>
      <c r="L1868" s="108">
        <v>4.3400000000000001E-2</v>
      </c>
      <c r="O1868" s="105"/>
    </row>
    <row r="1869" spans="2:15" x14ac:dyDescent="0.2">
      <c r="B1869" s="1">
        <v>1854</v>
      </c>
      <c r="C1869" s="106">
        <f t="shared" ca="1" si="112"/>
        <v>-1.3802469359426435</v>
      </c>
      <c r="D1869" s="106">
        <f t="shared" ca="1" si="113"/>
        <v>0.57991917966997653</v>
      </c>
      <c r="E1869" s="106">
        <f t="shared" ca="1" si="114"/>
        <v>0</v>
      </c>
      <c r="F1869" s="21">
        <f t="shared" ca="1" si="115"/>
        <v>0</v>
      </c>
      <c r="H1869" s="21">
        <v>1854</v>
      </c>
      <c r="I1869" s="107">
        <v>0.667698104115792</v>
      </c>
      <c r="J1869" s="108">
        <v>1.2834753407920895E-3</v>
      </c>
      <c r="K1869" s="108"/>
      <c r="L1869" s="108">
        <v>4.24E-2</v>
      </c>
      <c r="O1869" s="105"/>
    </row>
    <row r="1870" spans="2:15" x14ac:dyDescent="0.2">
      <c r="B1870" s="1">
        <v>1855</v>
      </c>
      <c r="C1870" s="106">
        <f t="shared" ca="1" si="112"/>
        <v>3.4786513851755374</v>
      </c>
      <c r="D1870" s="106">
        <f t="shared" ca="1" si="113"/>
        <v>0.93652565924213715</v>
      </c>
      <c r="E1870" s="106">
        <f t="shared" ca="1" si="114"/>
        <v>0.14832565924213714</v>
      </c>
      <c r="F1870" s="21">
        <f t="shared" ca="1" si="115"/>
        <v>1</v>
      </c>
      <c r="H1870" s="21">
        <v>1855</v>
      </c>
      <c r="I1870" s="107">
        <v>0.6677879928769801</v>
      </c>
      <c r="J1870" s="108">
        <v>1.4977852396723848E-3</v>
      </c>
      <c r="K1870" s="108"/>
      <c r="L1870" s="108">
        <v>4.6600000000000003E-2</v>
      </c>
      <c r="O1870" s="105"/>
    </row>
    <row r="1871" spans="2:15" x14ac:dyDescent="0.2">
      <c r="B1871" s="1">
        <v>1856</v>
      </c>
      <c r="C1871" s="106">
        <f t="shared" ca="1" si="112"/>
        <v>0.44386972703408123</v>
      </c>
      <c r="D1871" s="106">
        <f t="shared" ca="1" si="113"/>
        <v>0.69424299382803656</v>
      </c>
      <c r="E1871" s="106">
        <f t="shared" ca="1" si="114"/>
        <v>0</v>
      </c>
      <c r="F1871" s="21">
        <f t="shared" ca="1" si="115"/>
        <v>0</v>
      </c>
      <c r="H1871" s="21">
        <v>1856</v>
      </c>
      <c r="I1871" s="107">
        <v>0.66761738894815303</v>
      </c>
      <c r="J1871" s="108">
        <v>1.2243335931163965E-3</v>
      </c>
      <c r="K1871" s="108"/>
      <c r="L1871" s="108">
        <v>3.8399999999999997E-2</v>
      </c>
      <c r="O1871" s="105"/>
    </row>
    <row r="1872" spans="2:15" x14ac:dyDescent="0.2">
      <c r="B1872" s="1">
        <v>1857</v>
      </c>
      <c r="C1872" s="106">
        <f t="shared" ref="C1872:C1935" ca="1" si="116">_xlfn.NORM.S.INV(RAND())</f>
        <v>-0.88374296900154536</v>
      </c>
      <c r="D1872" s="106">
        <f t="shared" ref="D1872:D1935" ca="1" si="117">S0*EXP((μ-0.5*σ*σ)*T+σ*SQRT(T)*$C1872)</f>
        <v>0.60902819142799236</v>
      </c>
      <c r="E1872" s="106">
        <f t="shared" ref="E1872:E1935" ca="1" si="118">MAX(0,CP*(D1872-K))</f>
        <v>0</v>
      </c>
      <c r="F1872" s="21">
        <f t="shared" ref="F1872:F1935" ca="1" si="119">(CP*(D1872-K)&gt;0)*1</f>
        <v>0</v>
      </c>
      <c r="H1872" s="21">
        <v>1857</v>
      </c>
      <c r="I1872" s="107">
        <v>0.6676853106624826</v>
      </c>
      <c r="J1872" s="108">
        <v>1.2513230794103788E-3</v>
      </c>
      <c r="K1872" s="108"/>
      <c r="L1872" s="108">
        <v>3.9399999999999998E-2</v>
      </c>
      <c r="O1872" s="105"/>
    </row>
    <row r="1873" spans="2:15" x14ac:dyDescent="0.2">
      <c r="B1873" s="1">
        <v>1858</v>
      </c>
      <c r="C1873" s="106">
        <f t="shared" ca="1" si="116"/>
        <v>-1.4177531163089812</v>
      </c>
      <c r="D1873" s="106">
        <f t="shared" ca="1" si="117"/>
        <v>0.57777764017732336</v>
      </c>
      <c r="E1873" s="106">
        <f t="shared" ca="1" si="118"/>
        <v>0</v>
      </c>
      <c r="F1873" s="21">
        <f t="shared" ca="1" si="119"/>
        <v>0</v>
      </c>
      <c r="H1873" s="21">
        <v>1858</v>
      </c>
      <c r="I1873" s="107">
        <v>0.6676165886037998</v>
      </c>
      <c r="J1873" s="108">
        <v>1.1499757478206304E-3</v>
      </c>
      <c r="K1873" s="108"/>
      <c r="L1873" s="108">
        <v>3.9E-2</v>
      </c>
      <c r="O1873" s="105"/>
    </row>
    <row r="1874" spans="2:15" x14ac:dyDescent="0.2">
      <c r="B1874" s="1">
        <v>1859</v>
      </c>
      <c r="C1874" s="106">
        <f t="shared" ca="1" si="116"/>
        <v>-0.12889113519730264</v>
      </c>
      <c r="D1874" s="106">
        <f t="shared" ca="1" si="117"/>
        <v>0.65610716942386604</v>
      </c>
      <c r="E1874" s="106">
        <f t="shared" ca="1" si="118"/>
        <v>0</v>
      </c>
      <c r="F1874" s="21">
        <f t="shared" ca="1" si="119"/>
        <v>0</v>
      </c>
      <c r="H1874" s="21">
        <v>1859</v>
      </c>
      <c r="I1874" s="107">
        <v>0.66779135209868967</v>
      </c>
      <c r="J1874" s="108">
        <v>1.4429711047804488E-3</v>
      </c>
      <c r="K1874" s="108"/>
      <c r="L1874" s="108">
        <v>4.2200000000000001E-2</v>
      </c>
      <c r="O1874" s="105"/>
    </row>
    <row r="1875" spans="2:15" x14ac:dyDescent="0.2">
      <c r="B1875" s="1">
        <v>1860</v>
      </c>
      <c r="C1875" s="106">
        <f t="shared" ca="1" si="116"/>
        <v>-0.72767744103109899</v>
      </c>
      <c r="D1875" s="106">
        <f t="shared" ca="1" si="117"/>
        <v>0.61847642120975765</v>
      </c>
      <c r="E1875" s="106">
        <f t="shared" ca="1" si="118"/>
        <v>0</v>
      </c>
      <c r="F1875" s="21">
        <f t="shared" ca="1" si="119"/>
        <v>0</v>
      </c>
      <c r="H1875" s="21">
        <v>1860</v>
      </c>
      <c r="I1875" s="107">
        <v>0.66792881228425838</v>
      </c>
      <c r="J1875" s="108">
        <v>1.7133003714932653E-3</v>
      </c>
      <c r="K1875" s="108"/>
      <c r="L1875" s="108">
        <v>4.7199999999999999E-2</v>
      </c>
      <c r="O1875" s="105"/>
    </row>
    <row r="1876" spans="2:15" x14ac:dyDescent="0.2">
      <c r="B1876" s="1">
        <v>1861</v>
      </c>
      <c r="C1876" s="106">
        <f t="shared" ca="1" si="116"/>
        <v>-0.78577060328871273</v>
      </c>
      <c r="D1876" s="106">
        <f t="shared" ca="1" si="117"/>
        <v>0.61494244743686022</v>
      </c>
      <c r="E1876" s="106">
        <f t="shared" ca="1" si="118"/>
        <v>0</v>
      </c>
      <c r="F1876" s="21">
        <f t="shared" ca="1" si="119"/>
        <v>0</v>
      </c>
      <c r="H1876" s="21">
        <v>1861</v>
      </c>
      <c r="I1876" s="107">
        <v>0.66763523845026362</v>
      </c>
      <c r="J1876" s="108">
        <v>1.2167364034415659E-3</v>
      </c>
      <c r="K1876" s="108"/>
      <c r="L1876" s="108">
        <v>3.6999999999999998E-2</v>
      </c>
      <c r="O1876" s="105"/>
    </row>
    <row r="1877" spans="2:15" x14ac:dyDescent="0.2">
      <c r="B1877" s="1">
        <v>1862</v>
      </c>
      <c r="C1877" s="106">
        <f t="shared" ca="1" si="116"/>
        <v>0.35530584043262714</v>
      </c>
      <c r="D1877" s="106">
        <f t="shared" ca="1" si="117"/>
        <v>0.68820446083733866</v>
      </c>
      <c r="E1877" s="106">
        <f t="shared" ca="1" si="118"/>
        <v>0</v>
      </c>
      <c r="F1877" s="21">
        <f t="shared" ca="1" si="119"/>
        <v>0</v>
      </c>
      <c r="H1877" s="21">
        <v>1862</v>
      </c>
      <c r="I1877" s="107">
        <v>0.66776655425418041</v>
      </c>
      <c r="J1877" s="108">
        <v>1.5335786832378513E-3</v>
      </c>
      <c r="K1877" s="108"/>
      <c r="L1877" s="108">
        <v>4.7E-2</v>
      </c>
      <c r="O1877" s="105"/>
    </row>
    <row r="1878" spans="2:15" x14ac:dyDescent="0.2">
      <c r="B1878" s="1">
        <v>1863</v>
      </c>
      <c r="C1878" s="106">
        <f t="shared" ca="1" si="116"/>
        <v>-0.70055654760522523</v>
      </c>
      <c r="D1878" s="106">
        <f t="shared" ca="1" si="117"/>
        <v>0.6201332097833937</v>
      </c>
      <c r="E1878" s="106">
        <f t="shared" ca="1" si="118"/>
        <v>0</v>
      </c>
      <c r="F1878" s="21">
        <f t="shared" ca="1" si="119"/>
        <v>0</v>
      </c>
      <c r="H1878" s="21">
        <v>1863</v>
      </c>
      <c r="I1878" s="107">
        <v>0.66770837687847517</v>
      </c>
      <c r="J1878" s="108">
        <v>1.2083526897018124E-3</v>
      </c>
      <c r="K1878" s="108"/>
      <c r="L1878" s="108">
        <v>0.04</v>
      </c>
      <c r="O1878" s="105"/>
    </row>
    <row r="1879" spans="2:15" x14ac:dyDescent="0.2">
      <c r="B1879" s="1">
        <v>1864</v>
      </c>
      <c r="C1879" s="106">
        <f t="shared" ca="1" si="116"/>
        <v>1.1244695960036886</v>
      </c>
      <c r="D1879" s="106">
        <f t="shared" ca="1" si="117"/>
        <v>0.74245132117022739</v>
      </c>
      <c r="E1879" s="106">
        <f t="shared" ca="1" si="118"/>
        <v>0</v>
      </c>
      <c r="F1879" s="21">
        <f t="shared" ca="1" si="119"/>
        <v>0</v>
      </c>
      <c r="H1879" s="21">
        <v>1864</v>
      </c>
      <c r="I1879" s="107">
        <v>0.66756040017188878</v>
      </c>
      <c r="J1879" s="108">
        <v>1.0401702727609128E-3</v>
      </c>
      <c r="K1879" s="108"/>
      <c r="L1879" s="108">
        <v>3.6799999999999999E-2</v>
      </c>
      <c r="O1879" s="105"/>
    </row>
    <row r="1880" spans="2:15" x14ac:dyDescent="0.2">
      <c r="B1880" s="1">
        <v>1865</v>
      </c>
      <c r="C1880" s="106">
        <f t="shared" ca="1" si="116"/>
        <v>1.7207339505377277</v>
      </c>
      <c r="D1880" s="106">
        <f t="shared" ca="1" si="117"/>
        <v>0.7874293199698309</v>
      </c>
      <c r="E1880" s="106">
        <f t="shared" ca="1" si="118"/>
        <v>0</v>
      </c>
      <c r="F1880" s="21">
        <f t="shared" ca="1" si="119"/>
        <v>0</v>
      </c>
      <c r="H1880" s="21">
        <v>1865</v>
      </c>
      <c r="I1880" s="107">
        <v>0.66755146241024799</v>
      </c>
      <c r="J1880" s="108">
        <v>1.2499656276171158E-3</v>
      </c>
      <c r="K1880" s="108"/>
      <c r="L1880" s="108">
        <v>3.8199999999999998E-2</v>
      </c>
      <c r="O1880" s="105"/>
    </row>
    <row r="1881" spans="2:15" x14ac:dyDescent="0.2">
      <c r="B1881" s="1">
        <v>1866</v>
      </c>
      <c r="C1881" s="106">
        <f t="shared" ca="1" si="116"/>
        <v>-0.10569922976009173</v>
      </c>
      <c r="D1881" s="106">
        <f t="shared" ca="1" si="117"/>
        <v>0.65760985104184555</v>
      </c>
      <c r="E1881" s="106">
        <f t="shared" ca="1" si="118"/>
        <v>0</v>
      </c>
      <c r="F1881" s="21">
        <f t="shared" ca="1" si="119"/>
        <v>0</v>
      </c>
      <c r="H1881" s="21">
        <v>1866</v>
      </c>
      <c r="I1881" s="107">
        <v>0.66775264425499681</v>
      </c>
      <c r="J1881" s="108">
        <v>1.4354106145255633E-3</v>
      </c>
      <c r="K1881" s="108"/>
      <c r="L1881" s="108">
        <v>4.2999999999999997E-2</v>
      </c>
      <c r="O1881" s="105"/>
    </row>
    <row r="1882" spans="2:15" x14ac:dyDescent="0.2">
      <c r="B1882" s="1">
        <v>1867</v>
      </c>
      <c r="C1882" s="106">
        <f t="shared" ca="1" si="116"/>
        <v>0.26798654008545392</v>
      </c>
      <c r="D1882" s="106">
        <f t="shared" ca="1" si="117"/>
        <v>0.68230221056053753</v>
      </c>
      <c r="E1882" s="106">
        <f t="shared" ca="1" si="118"/>
        <v>0</v>
      </c>
      <c r="F1882" s="21">
        <f t="shared" ca="1" si="119"/>
        <v>0</v>
      </c>
      <c r="H1882" s="21">
        <v>1867</v>
      </c>
      <c r="I1882" s="107">
        <v>0.66786943829259893</v>
      </c>
      <c r="J1882" s="108">
        <v>1.5398460249153776E-3</v>
      </c>
      <c r="K1882" s="108"/>
      <c r="L1882" s="108">
        <v>4.5600000000000002E-2</v>
      </c>
      <c r="O1882" s="105"/>
    </row>
    <row r="1883" spans="2:15" x14ac:dyDescent="0.2">
      <c r="B1883" s="1">
        <v>1868</v>
      </c>
      <c r="C1883" s="106">
        <f t="shared" ca="1" si="116"/>
        <v>-1.4329156032943879</v>
      </c>
      <c r="D1883" s="106">
        <f t="shared" ca="1" si="117"/>
        <v>0.57691413422178262</v>
      </c>
      <c r="E1883" s="106">
        <f t="shared" ca="1" si="118"/>
        <v>0</v>
      </c>
      <c r="F1883" s="21">
        <f t="shared" ca="1" si="119"/>
        <v>0</v>
      </c>
      <c r="H1883" s="21">
        <v>1868</v>
      </c>
      <c r="I1883" s="107">
        <v>0.66786006916685869</v>
      </c>
      <c r="J1883" s="108">
        <v>1.4414820894216411E-3</v>
      </c>
      <c r="K1883" s="108"/>
      <c r="L1883" s="108">
        <v>4.6800000000000001E-2</v>
      </c>
      <c r="O1883" s="105"/>
    </row>
    <row r="1884" spans="2:15" x14ac:dyDescent="0.2">
      <c r="B1884" s="1">
        <v>1869</v>
      </c>
      <c r="C1884" s="106">
        <f t="shared" ca="1" si="116"/>
        <v>0.40749303607430398</v>
      </c>
      <c r="D1884" s="106">
        <f t="shared" ca="1" si="117"/>
        <v>0.69175634388321583</v>
      </c>
      <c r="E1884" s="106">
        <f t="shared" ca="1" si="118"/>
        <v>0</v>
      </c>
      <c r="F1884" s="21">
        <f t="shared" ca="1" si="119"/>
        <v>0</v>
      </c>
      <c r="H1884" s="21">
        <v>1869</v>
      </c>
      <c r="I1884" s="107">
        <v>0.66782792806334912</v>
      </c>
      <c r="J1884" s="108">
        <v>1.3956356905139903E-3</v>
      </c>
      <c r="K1884" s="108"/>
      <c r="L1884" s="108">
        <v>4.1399999999999999E-2</v>
      </c>
      <c r="O1884" s="105"/>
    </row>
    <row r="1885" spans="2:15" x14ac:dyDescent="0.2">
      <c r="B1885" s="1">
        <v>1870</v>
      </c>
      <c r="C1885" s="106">
        <f t="shared" ca="1" si="116"/>
        <v>-0.18091337045431488</v>
      </c>
      <c r="D1885" s="106">
        <f t="shared" ca="1" si="117"/>
        <v>0.65274895154782619</v>
      </c>
      <c r="E1885" s="106">
        <f t="shared" ca="1" si="118"/>
        <v>0</v>
      </c>
      <c r="F1885" s="21">
        <f t="shared" ca="1" si="119"/>
        <v>0</v>
      </c>
      <c r="H1885" s="21">
        <v>1870</v>
      </c>
      <c r="I1885" s="107">
        <v>0.6677523539022332</v>
      </c>
      <c r="J1885" s="108">
        <v>1.5251584749038723E-3</v>
      </c>
      <c r="K1885" s="108"/>
      <c r="L1885" s="108">
        <v>3.9399999999999998E-2</v>
      </c>
      <c r="O1885" s="105"/>
    </row>
    <row r="1886" spans="2:15" x14ac:dyDescent="0.2">
      <c r="B1886" s="1">
        <v>1871</v>
      </c>
      <c r="C1886" s="106">
        <f t="shared" ca="1" si="116"/>
        <v>0.84588653301163652</v>
      </c>
      <c r="D1886" s="106">
        <f t="shared" ca="1" si="117"/>
        <v>0.72232668231824337</v>
      </c>
      <c r="E1886" s="106">
        <f t="shared" ca="1" si="118"/>
        <v>0</v>
      </c>
      <c r="F1886" s="21">
        <f t="shared" ca="1" si="119"/>
        <v>0</v>
      </c>
      <c r="H1886" s="21">
        <v>1871</v>
      </c>
      <c r="I1886" s="107">
        <v>0.66760348874412379</v>
      </c>
      <c r="J1886" s="108">
        <v>1.2158163175131768E-3</v>
      </c>
      <c r="K1886" s="108"/>
      <c r="L1886" s="108">
        <v>3.9600000000000003E-2</v>
      </c>
      <c r="O1886" s="105"/>
    </row>
    <row r="1887" spans="2:15" x14ac:dyDescent="0.2">
      <c r="B1887" s="1">
        <v>1872</v>
      </c>
      <c r="C1887" s="106">
        <f t="shared" ca="1" si="116"/>
        <v>0.60367613920441698</v>
      </c>
      <c r="D1887" s="106">
        <f t="shared" ca="1" si="117"/>
        <v>0.70527341532554333</v>
      </c>
      <c r="E1887" s="106">
        <f t="shared" ca="1" si="118"/>
        <v>0</v>
      </c>
      <c r="F1887" s="21">
        <f t="shared" ca="1" si="119"/>
        <v>0</v>
      </c>
      <c r="H1887" s="21">
        <v>1872</v>
      </c>
      <c r="I1887" s="107">
        <v>0.66767915576855708</v>
      </c>
      <c r="J1887" s="108">
        <v>1.2567010707045865E-3</v>
      </c>
      <c r="K1887" s="108"/>
      <c r="L1887" s="108">
        <v>3.9800000000000002E-2</v>
      </c>
      <c r="O1887" s="105"/>
    </row>
    <row r="1888" spans="2:15" x14ac:dyDescent="0.2">
      <c r="B1888" s="1">
        <v>1873</v>
      </c>
      <c r="C1888" s="106">
        <f t="shared" ca="1" si="116"/>
        <v>9.7512277403657754E-2</v>
      </c>
      <c r="D1888" s="106">
        <f t="shared" ca="1" si="117"/>
        <v>0.67092467738578832</v>
      </c>
      <c r="E1888" s="106">
        <f t="shared" ca="1" si="118"/>
        <v>0</v>
      </c>
      <c r="F1888" s="21">
        <f t="shared" ca="1" si="119"/>
        <v>0</v>
      </c>
      <c r="H1888" s="21">
        <v>1873</v>
      </c>
      <c r="I1888" s="107">
        <v>0.66785895602431389</v>
      </c>
      <c r="J1888" s="108">
        <v>1.4494464451787709E-3</v>
      </c>
      <c r="K1888" s="108"/>
      <c r="L1888" s="108">
        <v>4.5600000000000002E-2</v>
      </c>
      <c r="O1888" s="105"/>
    </row>
    <row r="1889" spans="2:15" x14ac:dyDescent="0.2">
      <c r="B1889" s="1">
        <v>1874</v>
      </c>
      <c r="C1889" s="106">
        <f t="shared" ca="1" si="116"/>
        <v>-1.0093318651687793</v>
      </c>
      <c r="D1889" s="106">
        <f t="shared" ca="1" si="117"/>
        <v>0.60152993580441161</v>
      </c>
      <c r="E1889" s="106">
        <f t="shared" ca="1" si="118"/>
        <v>0</v>
      </c>
      <c r="F1889" s="21">
        <f t="shared" ca="1" si="119"/>
        <v>0</v>
      </c>
      <c r="H1889" s="21">
        <v>1874</v>
      </c>
      <c r="I1889" s="107">
        <v>0.66772841252024417</v>
      </c>
      <c r="J1889" s="108">
        <v>1.4077638670964223E-3</v>
      </c>
      <c r="K1889" s="108"/>
      <c r="L1889" s="108">
        <v>4.3799999999999999E-2</v>
      </c>
      <c r="O1889" s="105"/>
    </row>
    <row r="1890" spans="2:15" x14ac:dyDescent="0.2">
      <c r="B1890" s="1">
        <v>1875</v>
      </c>
      <c r="C1890" s="106">
        <f t="shared" ca="1" si="116"/>
        <v>-0.77085233397363595</v>
      </c>
      <c r="D1890" s="106">
        <f t="shared" ca="1" si="117"/>
        <v>0.61584803698119761</v>
      </c>
      <c r="E1890" s="106">
        <f t="shared" ca="1" si="118"/>
        <v>0</v>
      </c>
      <c r="F1890" s="21">
        <f t="shared" ca="1" si="119"/>
        <v>0</v>
      </c>
      <c r="H1890" s="21">
        <v>1875</v>
      </c>
      <c r="I1890" s="107">
        <v>0.6676325313193443</v>
      </c>
      <c r="J1890" s="108">
        <v>1.3211808426618718E-3</v>
      </c>
      <c r="K1890" s="108"/>
      <c r="L1890" s="108">
        <v>4.1399999999999999E-2</v>
      </c>
      <c r="O1890" s="105"/>
    </row>
    <row r="1891" spans="2:15" x14ac:dyDescent="0.2">
      <c r="B1891" s="1">
        <v>1876</v>
      </c>
      <c r="C1891" s="106">
        <f t="shared" ca="1" si="116"/>
        <v>1.3646436692849082</v>
      </c>
      <c r="D1891" s="106">
        <f t="shared" ca="1" si="117"/>
        <v>0.76025081366546177</v>
      </c>
      <c r="E1891" s="106">
        <f t="shared" ca="1" si="118"/>
        <v>0</v>
      </c>
      <c r="F1891" s="21">
        <f t="shared" ca="1" si="119"/>
        <v>0</v>
      </c>
      <c r="H1891" s="21">
        <v>1876</v>
      </c>
      <c r="I1891" s="107">
        <v>0.66772814299432748</v>
      </c>
      <c r="J1891" s="108">
        <v>1.5361729829724605E-3</v>
      </c>
      <c r="K1891" s="108"/>
      <c r="L1891" s="108">
        <v>4.0399999999999998E-2</v>
      </c>
      <c r="O1891" s="105"/>
    </row>
    <row r="1892" spans="2:15" x14ac:dyDescent="0.2">
      <c r="B1892" s="1">
        <v>1877</v>
      </c>
      <c r="C1892" s="106">
        <f t="shared" ca="1" si="116"/>
        <v>-0.37391453928075041</v>
      </c>
      <c r="D1892" s="106">
        <f t="shared" ca="1" si="117"/>
        <v>0.64043953252301689</v>
      </c>
      <c r="E1892" s="106">
        <f t="shared" ca="1" si="118"/>
        <v>0</v>
      </c>
      <c r="F1892" s="21">
        <f t="shared" ca="1" si="119"/>
        <v>0</v>
      </c>
      <c r="H1892" s="21">
        <v>1877</v>
      </c>
      <c r="I1892" s="107">
        <v>0.66786324831587718</v>
      </c>
      <c r="J1892" s="108">
        <v>1.4759275268148135E-3</v>
      </c>
      <c r="K1892" s="108"/>
      <c r="L1892" s="108">
        <v>4.9000000000000002E-2</v>
      </c>
      <c r="O1892" s="105"/>
    </row>
    <row r="1893" spans="2:15" x14ac:dyDescent="0.2">
      <c r="B1893" s="1">
        <v>1878</v>
      </c>
      <c r="C1893" s="106">
        <f t="shared" ca="1" si="116"/>
        <v>-0.60549569223126942</v>
      </c>
      <c r="D1893" s="106">
        <f t="shared" ca="1" si="117"/>
        <v>0.62597550331710683</v>
      </c>
      <c r="E1893" s="106">
        <f t="shared" ca="1" si="118"/>
        <v>0</v>
      </c>
      <c r="F1893" s="21">
        <f t="shared" ca="1" si="119"/>
        <v>0</v>
      </c>
      <c r="H1893" s="21">
        <v>1878</v>
      </c>
      <c r="I1893" s="107">
        <v>0.66762117482646277</v>
      </c>
      <c r="J1893" s="108">
        <v>1.1244797561038337E-3</v>
      </c>
      <c r="K1893" s="108"/>
      <c r="L1893" s="108">
        <v>3.9199999999999999E-2</v>
      </c>
      <c r="O1893" s="105"/>
    </row>
    <row r="1894" spans="2:15" x14ac:dyDescent="0.2">
      <c r="B1894" s="1">
        <v>1879</v>
      </c>
      <c r="C1894" s="106">
        <f t="shared" ca="1" si="116"/>
        <v>-2.7560578349116304E-2</v>
      </c>
      <c r="D1894" s="106">
        <f t="shared" ca="1" si="117"/>
        <v>0.66269809473965957</v>
      </c>
      <c r="E1894" s="106">
        <f t="shared" ca="1" si="118"/>
        <v>0</v>
      </c>
      <c r="F1894" s="21">
        <f t="shared" ca="1" si="119"/>
        <v>0</v>
      </c>
      <c r="H1894" s="21">
        <v>1879</v>
      </c>
      <c r="I1894" s="107">
        <v>0.66773308481443194</v>
      </c>
      <c r="J1894" s="108">
        <v>1.4003758395557523E-3</v>
      </c>
      <c r="K1894" s="108"/>
      <c r="L1894" s="108">
        <v>4.3200000000000002E-2</v>
      </c>
      <c r="O1894" s="105"/>
    </row>
    <row r="1895" spans="2:15" x14ac:dyDescent="0.2">
      <c r="B1895" s="1">
        <v>1880</v>
      </c>
      <c r="C1895" s="106">
        <f t="shared" ca="1" si="116"/>
        <v>-1.3396354552111265</v>
      </c>
      <c r="D1895" s="106">
        <f t="shared" ca="1" si="117"/>
        <v>0.58224697811324511</v>
      </c>
      <c r="E1895" s="106">
        <f t="shared" ca="1" si="118"/>
        <v>0</v>
      </c>
      <c r="F1895" s="21">
        <f t="shared" ca="1" si="119"/>
        <v>0</v>
      </c>
      <c r="H1895" s="21">
        <v>1880</v>
      </c>
      <c r="I1895" s="107">
        <v>0.66778471444824816</v>
      </c>
      <c r="J1895" s="108">
        <v>1.5321094469582135E-3</v>
      </c>
      <c r="K1895" s="108"/>
      <c r="L1895" s="108">
        <v>4.3200000000000002E-2</v>
      </c>
      <c r="O1895" s="105"/>
    </row>
    <row r="1896" spans="2:15" x14ac:dyDescent="0.2">
      <c r="B1896" s="1">
        <v>1881</v>
      </c>
      <c r="C1896" s="106">
        <f t="shared" ca="1" si="116"/>
        <v>-0.52458863193925653</v>
      </c>
      <c r="D1896" s="106">
        <f t="shared" ca="1" si="117"/>
        <v>0.63099126411973905</v>
      </c>
      <c r="E1896" s="106">
        <f t="shared" ca="1" si="118"/>
        <v>0</v>
      </c>
      <c r="F1896" s="21">
        <f t="shared" ca="1" si="119"/>
        <v>0</v>
      </c>
      <c r="H1896" s="21">
        <v>1881</v>
      </c>
      <c r="I1896" s="107">
        <v>0.66774130560121314</v>
      </c>
      <c r="J1896" s="108">
        <v>1.4383508966923266E-3</v>
      </c>
      <c r="K1896" s="108"/>
      <c r="L1896" s="108">
        <v>3.9399999999999998E-2</v>
      </c>
      <c r="O1896" s="105"/>
    </row>
    <row r="1897" spans="2:15" x14ac:dyDescent="0.2">
      <c r="B1897" s="1">
        <v>1882</v>
      </c>
      <c r="C1897" s="106">
        <f t="shared" ca="1" si="116"/>
        <v>-0.15215142537976264</v>
      </c>
      <c r="D1897" s="106">
        <f t="shared" ca="1" si="117"/>
        <v>0.65460350584850524</v>
      </c>
      <c r="E1897" s="106">
        <f t="shared" ca="1" si="118"/>
        <v>0</v>
      </c>
      <c r="F1897" s="21">
        <f t="shared" ca="1" si="119"/>
        <v>0</v>
      </c>
      <c r="H1897" s="21">
        <v>1882</v>
      </c>
      <c r="I1897" s="107">
        <v>0.66755230491672957</v>
      </c>
      <c r="J1897" s="108">
        <v>1.130195596824744E-3</v>
      </c>
      <c r="K1897" s="108"/>
      <c r="L1897" s="108">
        <v>3.6400000000000002E-2</v>
      </c>
      <c r="O1897" s="105"/>
    </row>
    <row r="1898" spans="2:15" x14ac:dyDescent="0.2">
      <c r="B1898" s="1">
        <v>1883</v>
      </c>
      <c r="C1898" s="106">
        <f t="shared" ca="1" si="116"/>
        <v>0.67123560048587128</v>
      </c>
      <c r="D1898" s="106">
        <f t="shared" ca="1" si="117"/>
        <v>0.70998916234352039</v>
      </c>
      <c r="E1898" s="106">
        <f t="shared" ca="1" si="118"/>
        <v>0</v>
      </c>
      <c r="F1898" s="21">
        <f t="shared" ca="1" si="119"/>
        <v>0</v>
      </c>
      <c r="H1898" s="21">
        <v>1883</v>
      </c>
      <c r="I1898" s="107">
        <v>0.66773148436872221</v>
      </c>
      <c r="J1898" s="108">
        <v>1.3135993717023182E-3</v>
      </c>
      <c r="K1898" s="108"/>
      <c r="L1898" s="108">
        <v>4.2000000000000003E-2</v>
      </c>
      <c r="O1898" s="105"/>
    </row>
    <row r="1899" spans="2:15" x14ac:dyDescent="0.2">
      <c r="B1899" s="1">
        <v>1884</v>
      </c>
      <c r="C1899" s="106">
        <f t="shared" ca="1" si="116"/>
        <v>0.35628627493045062</v>
      </c>
      <c r="D1899" s="106">
        <f t="shared" ca="1" si="117"/>
        <v>0.68827102124432604</v>
      </c>
      <c r="E1899" s="106">
        <f t="shared" ca="1" si="118"/>
        <v>0</v>
      </c>
      <c r="F1899" s="21">
        <f t="shared" ca="1" si="119"/>
        <v>0</v>
      </c>
      <c r="H1899" s="21">
        <v>1884</v>
      </c>
      <c r="I1899" s="107">
        <v>0.66766955328910238</v>
      </c>
      <c r="J1899" s="108">
        <v>1.2346501301867929E-3</v>
      </c>
      <c r="K1899" s="108"/>
      <c r="L1899" s="108">
        <v>3.9E-2</v>
      </c>
      <c r="O1899" s="105"/>
    </row>
    <row r="1900" spans="2:15" x14ac:dyDescent="0.2">
      <c r="B1900" s="1">
        <v>1885</v>
      </c>
      <c r="C1900" s="106">
        <f t="shared" ca="1" si="116"/>
        <v>-1.1511183904323163</v>
      </c>
      <c r="D1900" s="106">
        <f t="shared" ca="1" si="117"/>
        <v>0.59317549047337859</v>
      </c>
      <c r="E1900" s="106">
        <f t="shared" ca="1" si="118"/>
        <v>0</v>
      </c>
      <c r="F1900" s="21">
        <f t="shared" ca="1" si="119"/>
        <v>0</v>
      </c>
      <c r="H1900" s="21">
        <v>1885</v>
      </c>
      <c r="I1900" s="107">
        <v>0.66761796346356328</v>
      </c>
      <c r="J1900" s="108">
        <v>1.1772627970894737E-3</v>
      </c>
      <c r="K1900" s="108"/>
      <c r="L1900" s="108">
        <v>3.6999999999999998E-2</v>
      </c>
      <c r="O1900" s="105"/>
    </row>
    <row r="1901" spans="2:15" x14ac:dyDescent="0.2">
      <c r="B1901" s="1">
        <v>1886</v>
      </c>
      <c r="C1901" s="106">
        <f t="shared" ca="1" si="116"/>
        <v>-0.20848942106216489</v>
      </c>
      <c r="D1901" s="106">
        <f t="shared" ca="1" si="117"/>
        <v>0.65097579690151042</v>
      </c>
      <c r="E1901" s="106">
        <f t="shared" ca="1" si="118"/>
        <v>0</v>
      </c>
      <c r="F1901" s="21">
        <f t="shared" ca="1" si="119"/>
        <v>0</v>
      </c>
      <c r="H1901" s="21">
        <v>1886</v>
      </c>
      <c r="I1901" s="107">
        <v>0.66776685088935883</v>
      </c>
      <c r="J1901" s="108">
        <v>1.514494826993749E-3</v>
      </c>
      <c r="K1901" s="108"/>
      <c r="L1901" s="108">
        <v>4.2599999999999999E-2</v>
      </c>
      <c r="O1901" s="105"/>
    </row>
    <row r="1902" spans="2:15" x14ac:dyDescent="0.2">
      <c r="B1902" s="1">
        <v>1887</v>
      </c>
      <c r="C1902" s="106">
        <f t="shared" ca="1" si="116"/>
        <v>0.39663336291218454</v>
      </c>
      <c r="D1902" s="106">
        <f t="shared" ca="1" si="117"/>
        <v>0.69101572255276011</v>
      </c>
      <c r="E1902" s="106">
        <f t="shared" ca="1" si="118"/>
        <v>0</v>
      </c>
      <c r="F1902" s="21">
        <f t="shared" ca="1" si="119"/>
        <v>0</v>
      </c>
      <c r="H1902" s="21">
        <v>1887</v>
      </c>
      <c r="I1902" s="107">
        <v>0.66771587629288653</v>
      </c>
      <c r="J1902" s="108">
        <v>1.3988897918258308E-3</v>
      </c>
      <c r="K1902" s="108"/>
      <c r="L1902" s="108">
        <v>4.2599999999999999E-2</v>
      </c>
      <c r="O1902" s="105"/>
    </row>
    <row r="1903" spans="2:15" x14ac:dyDescent="0.2">
      <c r="B1903" s="1">
        <v>1888</v>
      </c>
      <c r="C1903" s="106">
        <f t="shared" ca="1" si="116"/>
        <v>-0.61162772459680415</v>
      </c>
      <c r="D1903" s="106">
        <f t="shared" ca="1" si="117"/>
        <v>0.62559698287600773</v>
      </c>
      <c r="E1903" s="106">
        <f t="shared" ca="1" si="118"/>
        <v>0</v>
      </c>
      <c r="F1903" s="21">
        <f t="shared" ca="1" si="119"/>
        <v>0</v>
      </c>
      <c r="H1903" s="21">
        <v>1888</v>
      </c>
      <c r="I1903" s="107">
        <v>0.66764153925188507</v>
      </c>
      <c r="J1903" s="108">
        <v>1.2194599392135706E-3</v>
      </c>
      <c r="K1903" s="108"/>
      <c r="L1903" s="108">
        <v>4.2000000000000003E-2</v>
      </c>
      <c r="O1903" s="105"/>
    </row>
    <row r="1904" spans="2:15" x14ac:dyDescent="0.2">
      <c r="B1904" s="1">
        <v>1889</v>
      </c>
      <c r="C1904" s="106">
        <f t="shared" ca="1" si="116"/>
        <v>0.8250132285536389</v>
      </c>
      <c r="D1904" s="106">
        <f t="shared" ca="1" si="117"/>
        <v>0.72084096309311063</v>
      </c>
      <c r="E1904" s="106">
        <f t="shared" ca="1" si="118"/>
        <v>0</v>
      </c>
      <c r="F1904" s="21">
        <f t="shared" ca="1" si="119"/>
        <v>0</v>
      </c>
      <c r="H1904" s="21">
        <v>1889</v>
      </c>
      <c r="I1904" s="107">
        <v>0.66777208755236284</v>
      </c>
      <c r="J1904" s="108">
        <v>1.2422598457666521E-3</v>
      </c>
      <c r="K1904" s="108"/>
      <c r="L1904" s="108">
        <v>4.1399999999999999E-2</v>
      </c>
      <c r="O1904" s="105"/>
    </row>
    <row r="1905" spans="2:15" x14ac:dyDescent="0.2">
      <c r="B1905" s="1">
        <v>1890</v>
      </c>
      <c r="C1905" s="106">
        <f t="shared" ca="1" si="116"/>
        <v>1.0005963359402947</v>
      </c>
      <c r="D1905" s="106">
        <f t="shared" ca="1" si="117"/>
        <v>0.73343449230306168</v>
      </c>
      <c r="E1905" s="106">
        <f t="shared" ca="1" si="118"/>
        <v>0</v>
      </c>
      <c r="F1905" s="21">
        <f t="shared" ca="1" si="119"/>
        <v>0</v>
      </c>
      <c r="H1905" s="21">
        <v>1890</v>
      </c>
      <c r="I1905" s="107">
        <v>0.66775056626844231</v>
      </c>
      <c r="J1905" s="108">
        <v>1.3679955127558769E-3</v>
      </c>
      <c r="K1905" s="108"/>
      <c r="L1905" s="108">
        <v>4.2599999999999999E-2</v>
      </c>
      <c r="O1905" s="105"/>
    </row>
    <row r="1906" spans="2:15" x14ac:dyDescent="0.2">
      <c r="B1906" s="1">
        <v>1891</v>
      </c>
      <c r="C1906" s="106">
        <f t="shared" ca="1" si="116"/>
        <v>-0.34916382262708151</v>
      </c>
      <c r="D1906" s="106">
        <f t="shared" ca="1" si="117"/>
        <v>0.64200503973072676</v>
      </c>
      <c r="E1906" s="106">
        <f t="shared" ca="1" si="118"/>
        <v>0</v>
      </c>
      <c r="F1906" s="21">
        <f t="shared" ca="1" si="119"/>
        <v>0</v>
      </c>
      <c r="H1906" s="21">
        <v>1891</v>
      </c>
      <c r="I1906" s="107">
        <v>0.66774852520145855</v>
      </c>
      <c r="J1906" s="108">
        <v>1.3247626552215788E-3</v>
      </c>
      <c r="K1906" s="108"/>
      <c r="L1906" s="108">
        <v>4.24E-2</v>
      </c>
      <c r="O1906" s="105"/>
    </row>
    <row r="1907" spans="2:15" x14ac:dyDescent="0.2">
      <c r="B1907" s="1">
        <v>1892</v>
      </c>
      <c r="C1907" s="106">
        <f t="shared" ca="1" si="116"/>
        <v>0.20024920372136334</v>
      </c>
      <c r="D1907" s="106">
        <f t="shared" ca="1" si="117"/>
        <v>0.67775846829548825</v>
      </c>
      <c r="E1907" s="106">
        <f t="shared" ca="1" si="118"/>
        <v>0</v>
      </c>
      <c r="F1907" s="21">
        <f t="shared" ca="1" si="119"/>
        <v>0</v>
      </c>
      <c r="H1907" s="21">
        <v>1892</v>
      </c>
      <c r="I1907" s="107">
        <v>0.66769315375535909</v>
      </c>
      <c r="J1907" s="108">
        <v>1.4139046822461668E-3</v>
      </c>
      <c r="K1907" s="108"/>
      <c r="L1907" s="108">
        <v>4.2599999999999999E-2</v>
      </c>
      <c r="O1907" s="105"/>
    </row>
    <row r="1908" spans="2:15" x14ac:dyDescent="0.2">
      <c r="B1908" s="1">
        <v>1893</v>
      </c>
      <c r="C1908" s="106">
        <f t="shared" ca="1" si="116"/>
        <v>-0.23188127720143029</v>
      </c>
      <c r="D1908" s="106">
        <f t="shared" ca="1" si="117"/>
        <v>0.64947546453990013</v>
      </c>
      <c r="E1908" s="106">
        <f t="shared" ca="1" si="118"/>
        <v>0</v>
      </c>
      <c r="F1908" s="21">
        <f t="shared" ca="1" si="119"/>
        <v>0</v>
      </c>
      <c r="H1908" s="21">
        <v>1893</v>
      </c>
      <c r="I1908" s="107">
        <v>0.66768637096646288</v>
      </c>
      <c r="J1908" s="108">
        <v>1.3396475574006905E-3</v>
      </c>
      <c r="K1908" s="108"/>
      <c r="L1908" s="108">
        <v>4.0399999999999998E-2</v>
      </c>
      <c r="O1908" s="105"/>
    </row>
    <row r="1909" spans="2:15" x14ac:dyDescent="0.2">
      <c r="B1909" s="1">
        <v>1894</v>
      </c>
      <c r="C1909" s="106">
        <f t="shared" ca="1" si="116"/>
        <v>-1.2889311026206527</v>
      </c>
      <c r="D1909" s="106">
        <f t="shared" ca="1" si="117"/>
        <v>0.58516640706124967</v>
      </c>
      <c r="E1909" s="106">
        <f t="shared" ca="1" si="118"/>
        <v>0</v>
      </c>
      <c r="F1909" s="21">
        <f t="shared" ca="1" si="119"/>
        <v>0</v>
      </c>
      <c r="H1909" s="21">
        <v>1894</v>
      </c>
      <c r="I1909" s="107">
        <v>0.66784431683069867</v>
      </c>
      <c r="J1909" s="108">
        <v>1.5726522259950607E-3</v>
      </c>
      <c r="K1909" s="108"/>
      <c r="L1909" s="108">
        <v>4.1399999999999999E-2</v>
      </c>
      <c r="O1909" s="105"/>
    </row>
    <row r="1910" spans="2:15" x14ac:dyDescent="0.2">
      <c r="B1910" s="1">
        <v>1895</v>
      </c>
      <c r="C1910" s="106">
        <f t="shared" ca="1" si="116"/>
        <v>1.7044664454859662</v>
      </c>
      <c r="D1910" s="106">
        <f t="shared" ca="1" si="117"/>
        <v>0.78616678610985413</v>
      </c>
      <c r="E1910" s="106">
        <f t="shared" ca="1" si="118"/>
        <v>0</v>
      </c>
      <c r="F1910" s="21">
        <f t="shared" ca="1" si="119"/>
        <v>0</v>
      </c>
      <c r="H1910" s="21">
        <v>1895</v>
      </c>
      <c r="I1910" s="107">
        <v>0.66774874389613814</v>
      </c>
      <c r="J1910" s="108">
        <v>1.381988789405688E-3</v>
      </c>
      <c r="K1910" s="108"/>
      <c r="L1910" s="108">
        <v>4.3999999999999997E-2</v>
      </c>
      <c r="O1910" s="105"/>
    </row>
    <row r="1911" spans="2:15" x14ac:dyDescent="0.2">
      <c r="B1911" s="1">
        <v>1896</v>
      </c>
      <c r="C1911" s="106">
        <f t="shared" ca="1" si="116"/>
        <v>0.66716952622648307</v>
      </c>
      <c r="D1911" s="106">
        <f t="shared" ca="1" si="117"/>
        <v>0.70970445489130662</v>
      </c>
      <c r="E1911" s="106">
        <f t="shared" ca="1" si="118"/>
        <v>0</v>
      </c>
      <c r="F1911" s="21">
        <f t="shared" ca="1" si="119"/>
        <v>0</v>
      </c>
      <c r="H1911" s="21">
        <v>1896</v>
      </c>
      <c r="I1911" s="107">
        <v>0.66767759974926588</v>
      </c>
      <c r="J1911" s="108">
        <v>1.3517376167697011E-3</v>
      </c>
      <c r="K1911" s="108"/>
      <c r="L1911" s="108">
        <v>4.2599999999999999E-2</v>
      </c>
      <c r="O1911" s="105"/>
    </row>
    <row r="1912" spans="2:15" x14ac:dyDescent="0.2">
      <c r="B1912" s="1">
        <v>1897</v>
      </c>
      <c r="C1912" s="106">
        <f t="shared" ca="1" si="116"/>
        <v>0.20837439369179858</v>
      </c>
      <c r="D1912" s="106">
        <f t="shared" ca="1" si="117"/>
        <v>0.67830189556490972</v>
      </c>
      <c r="E1912" s="106">
        <f t="shared" ca="1" si="118"/>
        <v>0</v>
      </c>
      <c r="F1912" s="21">
        <f t="shared" ca="1" si="119"/>
        <v>0</v>
      </c>
      <c r="H1912" s="21">
        <v>1897</v>
      </c>
      <c r="I1912" s="107">
        <v>0.66779291412127095</v>
      </c>
      <c r="J1912" s="108">
        <v>1.543356547792884E-3</v>
      </c>
      <c r="K1912" s="108"/>
      <c r="L1912" s="108">
        <v>4.3400000000000001E-2</v>
      </c>
      <c r="O1912" s="105"/>
    </row>
    <row r="1913" spans="2:15" x14ac:dyDescent="0.2">
      <c r="B1913" s="1">
        <v>1898</v>
      </c>
      <c r="C1913" s="106">
        <f t="shared" ca="1" si="116"/>
        <v>0.26114107978679951</v>
      </c>
      <c r="D1913" s="106">
        <f t="shared" ca="1" si="117"/>
        <v>0.68184164472872566</v>
      </c>
      <c r="E1913" s="106">
        <f t="shared" ca="1" si="118"/>
        <v>0</v>
      </c>
      <c r="F1913" s="21">
        <f t="shared" ca="1" si="119"/>
        <v>0</v>
      </c>
      <c r="H1913" s="21">
        <v>1898</v>
      </c>
      <c r="I1913" s="107">
        <v>0.66773375247297451</v>
      </c>
      <c r="J1913" s="108">
        <v>1.3818863873618881E-3</v>
      </c>
      <c r="K1913" s="108"/>
      <c r="L1913" s="108">
        <v>4.4200000000000003E-2</v>
      </c>
      <c r="O1913" s="105"/>
    </row>
    <row r="1914" spans="2:15" x14ac:dyDescent="0.2">
      <c r="B1914" s="1">
        <v>1899</v>
      </c>
      <c r="C1914" s="106">
        <f t="shared" ca="1" si="116"/>
        <v>-0.99133979014903961</v>
      </c>
      <c r="D1914" s="106">
        <f t="shared" ca="1" si="117"/>
        <v>0.60259845626083841</v>
      </c>
      <c r="E1914" s="106">
        <f t="shared" ca="1" si="118"/>
        <v>0</v>
      </c>
      <c r="F1914" s="21">
        <f t="shared" ca="1" si="119"/>
        <v>0</v>
      </c>
      <c r="H1914" s="21">
        <v>1899</v>
      </c>
      <c r="I1914" s="107">
        <v>0.66776929124007289</v>
      </c>
      <c r="J1914" s="108">
        <v>1.3848798672763275E-3</v>
      </c>
      <c r="K1914" s="108"/>
      <c r="L1914" s="108">
        <v>4.3200000000000002E-2</v>
      </c>
      <c r="O1914" s="105"/>
    </row>
    <row r="1915" spans="2:15" x14ac:dyDescent="0.2">
      <c r="B1915" s="1">
        <v>1900</v>
      </c>
      <c r="C1915" s="106">
        <f t="shared" ca="1" si="116"/>
        <v>-0.56984155492637534</v>
      </c>
      <c r="D1915" s="106">
        <f t="shared" ca="1" si="117"/>
        <v>0.62818091715777613</v>
      </c>
      <c r="E1915" s="106">
        <f t="shared" ca="1" si="118"/>
        <v>0</v>
      </c>
      <c r="F1915" s="21">
        <f t="shared" ca="1" si="119"/>
        <v>0</v>
      </c>
      <c r="H1915" s="21">
        <v>1900</v>
      </c>
      <c r="I1915" s="107">
        <v>0.66771788479086758</v>
      </c>
      <c r="J1915" s="108">
        <v>1.44124698674832E-3</v>
      </c>
      <c r="K1915" s="108"/>
      <c r="L1915" s="108">
        <v>4.1399999999999999E-2</v>
      </c>
      <c r="O1915" s="105"/>
    </row>
    <row r="1916" spans="2:15" x14ac:dyDescent="0.2">
      <c r="B1916" s="1">
        <v>1901</v>
      </c>
      <c r="C1916" s="106">
        <f t="shared" ca="1" si="116"/>
        <v>-0.39641712210540941</v>
      </c>
      <c r="D1916" s="106">
        <f t="shared" ca="1" si="117"/>
        <v>0.63901953530953293</v>
      </c>
      <c r="E1916" s="106">
        <f t="shared" ca="1" si="118"/>
        <v>0</v>
      </c>
      <c r="F1916" s="21">
        <f t="shared" ca="1" si="119"/>
        <v>0</v>
      </c>
      <c r="H1916" s="21">
        <v>1901</v>
      </c>
      <c r="I1916" s="107">
        <v>0.66770004841347941</v>
      </c>
      <c r="J1916" s="108">
        <v>1.4231031878444253E-3</v>
      </c>
      <c r="K1916" s="108"/>
      <c r="L1916" s="108">
        <v>4.1599999999999998E-2</v>
      </c>
      <c r="O1916" s="105"/>
    </row>
    <row r="1917" spans="2:15" x14ac:dyDescent="0.2">
      <c r="B1917" s="1">
        <v>1902</v>
      </c>
      <c r="C1917" s="106">
        <f t="shared" ca="1" si="116"/>
        <v>-0.61080031203881124</v>
      </c>
      <c r="D1917" s="106">
        <f t="shared" ca="1" si="117"/>
        <v>0.62564804435351518</v>
      </c>
      <c r="E1917" s="106">
        <f t="shared" ca="1" si="118"/>
        <v>0</v>
      </c>
      <c r="F1917" s="21">
        <f t="shared" ca="1" si="119"/>
        <v>0</v>
      </c>
      <c r="H1917" s="21">
        <v>1902</v>
      </c>
      <c r="I1917" s="107">
        <v>0.66777217454835702</v>
      </c>
      <c r="J1917" s="108">
        <v>1.497577695843786E-3</v>
      </c>
      <c r="K1917" s="108"/>
      <c r="L1917" s="108">
        <v>4.2200000000000001E-2</v>
      </c>
      <c r="O1917" s="105"/>
    </row>
    <row r="1918" spans="2:15" x14ac:dyDescent="0.2">
      <c r="B1918" s="1">
        <v>1903</v>
      </c>
      <c r="C1918" s="106">
        <f t="shared" ca="1" si="116"/>
        <v>-1.6064875616523153</v>
      </c>
      <c r="D1918" s="106">
        <f t="shared" ca="1" si="117"/>
        <v>0.56712065311020554</v>
      </c>
      <c r="E1918" s="106">
        <f t="shared" ca="1" si="118"/>
        <v>0</v>
      </c>
      <c r="F1918" s="21">
        <f t="shared" ca="1" si="119"/>
        <v>0</v>
      </c>
      <c r="H1918" s="21">
        <v>1903</v>
      </c>
      <c r="I1918" s="107">
        <v>0.66773763122873497</v>
      </c>
      <c r="J1918" s="108">
        <v>1.365021512188883E-3</v>
      </c>
      <c r="K1918" s="108"/>
      <c r="L1918" s="108">
        <v>4.1599999999999998E-2</v>
      </c>
      <c r="O1918" s="105"/>
    </row>
    <row r="1919" spans="2:15" x14ac:dyDescent="0.2">
      <c r="B1919" s="1">
        <v>1904</v>
      </c>
      <c r="C1919" s="106">
        <f t="shared" ca="1" si="116"/>
        <v>0.57806957212459353</v>
      </c>
      <c r="D1919" s="106">
        <f t="shared" ca="1" si="117"/>
        <v>0.70349423730728244</v>
      </c>
      <c r="E1919" s="106">
        <f t="shared" ca="1" si="118"/>
        <v>0</v>
      </c>
      <c r="F1919" s="21">
        <f t="shared" ca="1" si="119"/>
        <v>0</v>
      </c>
      <c r="H1919" s="21">
        <v>1904</v>
      </c>
      <c r="I1919" s="107">
        <v>0.66753647095859181</v>
      </c>
      <c r="J1919" s="108">
        <v>1.2602996995160526E-3</v>
      </c>
      <c r="K1919" s="108"/>
      <c r="L1919" s="108">
        <v>3.7199999999999997E-2</v>
      </c>
      <c r="O1919" s="105"/>
    </row>
    <row r="1920" spans="2:15" x14ac:dyDescent="0.2">
      <c r="B1920" s="1">
        <v>1905</v>
      </c>
      <c r="C1920" s="106">
        <f t="shared" ca="1" si="116"/>
        <v>-0.13294862944986052</v>
      </c>
      <c r="D1920" s="106">
        <f t="shared" ca="1" si="117"/>
        <v>0.65584462385670894</v>
      </c>
      <c r="E1920" s="106">
        <f t="shared" ca="1" si="118"/>
        <v>0</v>
      </c>
      <c r="F1920" s="21">
        <f t="shared" ca="1" si="119"/>
        <v>0</v>
      </c>
      <c r="H1920" s="21">
        <v>1905</v>
      </c>
      <c r="I1920" s="107">
        <v>0.66783463870207116</v>
      </c>
      <c r="J1920" s="108">
        <v>1.4672729183799881E-3</v>
      </c>
      <c r="K1920" s="108"/>
      <c r="L1920" s="108">
        <v>4.6399999999999997E-2</v>
      </c>
      <c r="O1920" s="105"/>
    </row>
    <row r="1921" spans="2:15" x14ac:dyDescent="0.2">
      <c r="B1921" s="1">
        <v>1906</v>
      </c>
      <c r="C1921" s="106">
        <f t="shared" ca="1" si="116"/>
        <v>0.12432960988595959</v>
      </c>
      <c r="D1921" s="106">
        <f t="shared" ca="1" si="117"/>
        <v>0.67270182207777907</v>
      </c>
      <c r="E1921" s="106">
        <f t="shared" ca="1" si="118"/>
        <v>0</v>
      </c>
      <c r="F1921" s="21">
        <f t="shared" ca="1" si="119"/>
        <v>0</v>
      </c>
      <c r="H1921" s="21">
        <v>1906</v>
      </c>
      <c r="I1921" s="107">
        <v>0.66770552001352168</v>
      </c>
      <c r="J1921" s="108">
        <v>1.5046762964025207E-3</v>
      </c>
      <c r="K1921" s="108"/>
      <c r="L1921" s="108">
        <v>3.9600000000000003E-2</v>
      </c>
      <c r="O1921" s="105"/>
    </row>
    <row r="1922" spans="2:15" x14ac:dyDescent="0.2">
      <c r="B1922" s="1">
        <v>1907</v>
      </c>
      <c r="C1922" s="106">
        <f t="shared" ca="1" si="116"/>
        <v>5.5280656501239103E-2</v>
      </c>
      <c r="D1922" s="106">
        <f t="shared" ca="1" si="117"/>
        <v>0.66813556417385644</v>
      </c>
      <c r="E1922" s="106">
        <f t="shared" ca="1" si="118"/>
        <v>0</v>
      </c>
      <c r="F1922" s="21">
        <f t="shared" ca="1" si="119"/>
        <v>0</v>
      </c>
      <c r="H1922" s="21">
        <v>1907</v>
      </c>
      <c r="I1922" s="107">
        <v>0.66762078141984826</v>
      </c>
      <c r="J1922" s="108">
        <v>1.2555671355548791E-3</v>
      </c>
      <c r="K1922" s="108"/>
      <c r="L1922" s="108">
        <v>4.02E-2</v>
      </c>
      <c r="O1922" s="105"/>
    </row>
    <row r="1923" spans="2:15" x14ac:dyDescent="0.2">
      <c r="B1923" s="1">
        <v>1908</v>
      </c>
      <c r="C1923" s="106">
        <f t="shared" ca="1" si="116"/>
        <v>-0.53212435724008622</v>
      </c>
      <c r="D1923" s="106">
        <f t="shared" ca="1" si="117"/>
        <v>0.6305224011833368</v>
      </c>
      <c r="E1923" s="106">
        <f t="shared" ca="1" si="118"/>
        <v>0</v>
      </c>
      <c r="F1923" s="21">
        <f t="shared" ca="1" si="119"/>
        <v>0</v>
      </c>
      <c r="H1923" s="21">
        <v>1908</v>
      </c>
      <c r="I1923" s="107">
        <v>0.66792116633823639</v>
      </c>
      <c r="J1923" s="108">
        <v>1.6118128013418269E-3</v>
      </c>
      <c r="K1923" s="108"/>
      <c r="L1923" s="108">
        <v>4.3799999999999999E-2</v>
      </c>
      <c r="O1923" s="105"/>
    </row>
    <row r="1924" spans="2:15" x14ac:dyDescent="0.2">
      <c r="B1924" s="1">
        <v>1909</v>
      </c>
      <c r="C1924" s="106">
        <f t="shared" ca="1" si="116"/>
        <v>-1.0883438630983533</v>
      </c>
      <c r="D1924" s="106">
        <f t="shared" ca="1" si="117"/>
        <v>0.59685992509755992</v>
      </c>
      <c r="E1924" s="106">
        <f t="shared" ca="1" si="118"/>
        <v>0</v>
      </c>
      <c r="F1924" s="21">
        <f t="shared" ca="1" si="119"/>
        <v>0</v>
      </c>
      <c r="H1924" s="21">
        <v>1909</v>
      </c>
      <c r="I1924" s="107">
        <v>0.66779364318642342</v>
      </c>
      <c r="J1924" s="108">
        <v>1.4909909977137178E-3</v>
      </c>
      <c r="K1924" s="108"/>
      <c r="L1924" s="108">
        <v>4.3200000000000002E-2</v>
      </c>
      <c r="O1924" s="105"/>
    </row>
    <row r="1925" spans="2:15" x14ac:dyDescent="0.2">
      <c r="B1925" s="1">
        <v>1910</v>
      </c>
      <c r="C1925" s="106">
        <f t="shared" ca="1" si="116"/>
        <v>0.46093044597024518</v>
      </c>
      <c r="D1925" s="106">
        <f t="shared" ca="1" si="117"/>
        <v>0.69541231340612697</v>
      </c>
      <c r="E1925" s="106">
        <f t="shared" ca="1" si="118"/>
        <v>0</v>
      </c>
      <c r="F1925" s="21">
        <f t="shared" ca="1" si="119"/>
        <v>0</v>
      </c>
      <c r="H1925" s="21">
        <v>1910</v>
      </c>
      <c r="I1925" s="107">
        <v>0.66775546769032179</v>
      </c>
      <c r="J1925" s="108">
        <v>1.3730991543451242E-3</v>
      </c>
      <c r="K1925" s="108"/>
      <c r="L1925" s="108">
        <v>4.2799999999999998E-2</v>
      </c>
      <c r="O1925" s="105"/>
    </row>
    <row r="1926" spans="2:15" x14ac:dyDescent="0.2">
      <c r="B1926" s="1">
        <v>1911</v>
      </c>
      <c r="C1926" s="106">
        <f t="shared" ca="1" si="116"/>
        <v>-2.0002268817003506</v>
      </c>
      <c r="D1926" s="106">
        <f t="shared" ca="1" si="117"/>
        <v>0.54551652855306232</v>
      </c>
      <c r="E1926" s="106">
        <f t="shared" ca="1" si="118"/>
        <v>0</v>
      </c>
      <c r="F1926" s="21">
        <f t="shared" ca="1" si="119"/>
        <v>0</v>
      </c>
      <c r="H1926" s="21">
        <v>1911</v>
      </c>
      <c r="I1926" s="107">
        <v>0.66772207997261379</v>
      </c>
      <c r="J1926" s="108">
        <v>1.3754142505526892E-3</v>
      </c>
      <c r="K1926" s="108"/>
      <c r="L1926" s="108">
        <v>3.9800000000000002E-2</v>
      </c>
      <c r="O1926" s="105"/>
    </row>
    <row r="1927" spans="2:15" x14ac:dyDescent="0.2">
      <c r="B1927" s="1">
        <v>1912</v>
      </c>
      <c r="C1927" s="106">
        <f t="shared" ca="1" si="116"/>
        <v>0.80613400368416011</v>
      </c>
      <c r="D1927" s="106">
        <f t="shared" ca="1" si="117"/>
        <v>0.71949981049938316</v>
      </c>
      <c r="E1927" s="106">
        <f t="shared" ca="1" si="118"/>
        <v>0</v>
      </c>
      <c r="F1927" s="21">
        <f t="shared" ca="1" si="119"/>
        <v>0</v>
      </c>
      <c r="H1927" s="21">
        <v>1912</v>
      </c>
      <c r="I1927" s="107">
        <v>0.66783067939774254</v>
      </c>
      <c r="J1927" s="108">
        <v>1.5402776083609593E-3</v>
      </c>
      <c r="K1927" s="108"/>
      <c r="L1927" s="108">
        <v>4.5400000000000003E-2</v>
      </c>
      <c r="O1927" s="105"/>
    </row>
    <row r="1928" spans="2:15" x14ac:dyDescent="0.2">
      <c r="B1928" s="1">
        <v>1913</v>
      </c>
      <c r="C1928" s="106">
        <f t="shared" ca="1" si="116"/>
        <v>0.81245587625310745</v>
      </c>
      <c r="D1928" s="106">
        <f t="shared" ca="1" si="117"/>
        <v>0.71994862899075185</v>
      </c>
      <c r="E1928" s="106">
        <f t="shared" ca="1" si="118"/>
        <v>0</v>
      </c>
      <c r="F1928" s="21">
        <f t="shared" ca="1" si="119"/>
        <v>0</v>
      </c>
      <c r="H1928" s="21">
        <v>1913</v>
      </c>
      <c r="I1928" s="107">
        <v>0.66764145359336313</v>
      </c>
      <c r="J1928" s="108">
        <v>1.1648196729282031E-3</v>
      </c>
      <c r="K1928" s="108"/>
      <c r="L1928" s="108">
        <v>3.8600000000000002E-2</v>
      </c>
      <c r="O1928" s="105"/>
    </row>
    <row r="1929" spans="2:15" x14ac:dyDescent="0.2">
      <c r="B1929" s="1">
        <v>1914</v>
      </c>
      <c r="C1929" s="106">
        <f t="shared" ca="1" si="116"/>
        <v>0.72274219138033446</v>
      </c>
      <c r="D1929" s="106">
        <f t="shared" ca="1" si="117"/>
        <v>0.7136055680710367</v>
      </c>
      <c r="E1929" s="106">
        <f t="shared" ca="1" si="118"/>
        <v>0</v>
      </c>
      <c r="F1929" s="21">
        <f t="shared" ca="1" si="119"/>
        <v>0</v>
      </c>
      <c r="H1929" s="21">
        <v>1914</v>
      </c>
      <c r="I1929" s="107">
        <v>0.6676839516659816</v>
      </c>
      <c r="J1929" s="108">
        <v>1.2597430076613798E-3</v>
      </c>
      <c r="K1929" s="108"/>
      <c r="L1929" s="108">
        <v>3.9399999999999998E-2</v>
      </c>
      <c r="O1929" s="105"/>
    </row>
    <row r="1930" spans="2:15" x14ac:dyDescent="0.2">
      <c r="B1930" s="1">
        <v>1915</v>
      </c>
      <c r="C1930" s="106">
        <f t="shared" ca="1" si="116"/>
        <v>0.86804784213730612</v>
      </c>
      <c r="D1930" s="106">
        <f t="shared" ca="1" si="117"/>
        <v>0.7239074306967308</v>
      </c>
      <c r="E1930" s="106">
        <f t="shared" ca="1" si="118"/>
        <v>0</v>
      </c>
      <c r="F1930" s="21">
        <f t="shared" ca="1" si="119"/>
        <v>0</v>
      </c>
      <c r="H1930" s="21">
        <v>1915</v>
      </c>
      <c r="I1930" s="107">
        <v>0.66799313043593</v>
      </c>
      <c r="J1930" s="108">
        <v>1.6486013656993592E-3</v>
      </c>
      <c r="K1930" s="108"/>
      <c r="L1930" s="108">
        <v>4.8599999999999997E-2</v>
      </c>
      <c r="O1930" s="105"/>
    </row>
    <row r="1931" spans="2:15" x14ac:dyDescent="0.2">
      <c r="B1931" s="1">
        <v>1916</v>
      </c>
      <c r="C1931" s="106">
        <f t="shared" ca="1" si="116"/>
        <v>-7.3600968545209533E-2</v>
      </c>
      <c r="D1931" s="106">
        <f t="shared" ca="1" si="117"/>
        <v>0.65969528496728058</v>
      </c>
      <c r="E1931" s="106">
        <f t="shared" ca="1" si="118"/>
        <v>0</v>
      </c>
      <c r="F1931" s="21">
        <f t="shared" ca="1" si="119"/>
        <v>0</v>
      </c>
      <c r="H1931" s="21">
        <v>1916</v>
      </c>
      <c r="I1931" s="107">
        <v>0.66766713414514756</v>
      </c>
      <c r="J1931" s="108">
        <v>1.249599538579341E-3</v>
      </c>
      <c r="K1931" s="108"/>
      <c r="L1931" s="108">
        <v>4.2000000000000003E-2</v>
      </c>
      <c r="O1931" s="105"/>
    </row>
    <row r="1932" spans="2:15" x14ac:dyDescent="0.2">
      <c r="B1932" s="1">
        <v>1917</v>
      </c>
      <c r="C1932" s="106">
        <f t="shared" ca="1" si="116"/>
        <v>0.13413411225009772</v>
      </c>
      <c r="D1932" s="106">
        <f t="shared" ca="1" si="117"/>
        <v>0.67335272629686327</v>
      </c>
      <c r="E1932" s="106">
        <f t="shared" ca="1" si="118"/>
        <v>0</v>
      </c>
      <c r="F1932" s="21">
        <f t="shared" ca="1" si="119"/>
        <v>0</v>
      </c>
      <c r="H1932" s="21">
        <v>1917</v>
      </c>
      <c r="I1932" s="107">
        <v>0.66759748855948708</v>
      </c>
      <c r="J1932" s="108">
        <v>1.0953001807163434E-3</v>
      </c>
      <c r="K1932" s="108"/>
      <c r="L1932" s="108">
        <v>3.78E-2</v>
      </c>
      <c r="O1932" s="105"/>
    </row>
    <row r="1933" spans="2:15" x14ac:dyDescent="0.2">
      <c r="B1933" s="1">
        <v>1918</v>
      </c>
      <c r="C1933" s="106">
        <f t="shared" ca="1" si="116"/>
        <v>1.0423846864884627</v>
      </c>
      <c r="D1933" s="106">
        <f t="shared" ca="1" si="117"/>
        <v>0.73646399163613818</v>
      </c>
      <c r="E1933" s="106">
        <f t="shared" ca="1" si="118"/>
        <v>0</v>
      </c>
      <c r="F1933" s="21">
        <f t="shared" ca="1" si="119"/>
        <v>0</v>
      </c>
      <c r="H1933" s="21">
        <v>1918</v>
      </c>
      <c r="I1933" s="107">
        <v>0.66767782362224548</v>
      </c>
      <c r="J1933" s="108">
        <v>1.3372877524774366E-3</v>
      </c>
      <c r="K1933" s="108"/>
      <c r="L1933" s="108">
        <v>4.1399999999999999E-2</v>
      </c>
      <c r="O1933" s="105"/>
    </row>
    <row r="1934" spans="2:15" x14ac:dyDescent="0.2">
      <c r="B1934" s="1">
        <v>1919</v>
      </c>
      <c r="C1934" s="106">
        <f t="shared" ca="1" si="116"/>
        <v>-0.78327549249729</v>
      </c>
      <c r="D1934" s="106">
        <f t="shared" ca="1" si="117"/>
        <v>0.61509381633612048</v>
      </c>
      <c r="E1934" s="106">
        <f t="shared" ca="1" si="118"/>
        <v>0</v>
      </c>
      <c r="F1934" s="21">
        <f t="shared" ca="1" si="119"/>
        <v>0</v>
      </c>
      <c r="H1934" s="21">
        <v>1919</v>
      </c>
      <c r="I1934" s="107">
        <v>0.66772950021738275</v>
      </c>
      <c r="J1934" s="108">
        <v>1.3337721168763966E-3</v>
      </c>
      <c r="K1934" s="108"/>
      <c r="L1934" s="108">
        <v>4.1799999999999997E-2</v>
      </c>
      <c r="O1934" s="105"/>
    </row>
    <row r="1935" spans="2:15" x14ac:dyDescent="0.2">
      <c r="B1935" s="1">
        <v>1920</v>
      </c>
      <c r="C1935" s="106">
        <f t="shared" ca="1" si="116"/>
        <v>1.50876538650097</v>
      </c>
      <c r="D1935" s="106">
        <f t="shared" ca="1" si="117"/>
        <v>0.77113600136828619</v>
      </c>
      <c r="E1935" s="106">
        <f t="shared" ca="1" si="118"/>
        <v>0</v>
      </c>
      <c r="F1935" s="21">
        <f t="shared" ca="1" si="119"/>
        <v>0</v>
      </c>
      <c r="H1935" s="21">
        <v>1920</v>
      </c>
      <c r="I1935" s="107">
        <v>0.66768464957024276</v>
      </c>
      <c r="J1935" s="108">
        <v>1.2401960342076327E-3</v>
      </c>
      <c r="K1935" s="108"/>
      <c r="L1935" s="108">
        <v>0.04</v>
      </c>
      <c r="O1935" s="105"/>
    </row>
    <row r="1936" spans="2:15" x14ac:dyDescent="0.2">
      <c r="B1936" s="1">
        <v>1921</v>
      </c>
      <c r="C1936" s="106">
        <f t="shared" ref="C1936:C1999" ca="1" si="120">_xlfn.NORM.S.INV(RAND())</f>
        <v>-0.8650561953997058</v>
      </c>
      <c r="D1936" s="106">
        <f t="shared" ref="D1936:D1999" ca="1" si="121">S0*EXP((μ-0.5*σ*σ)*T+σ*SQRT(T)*$C1936)</f>
        <v>0.6101518411463821</v>
      </c>
      <c r="E1936" s="106">
        <f t="shared" ref="E1936:E1999" ca="1" si="122">MAX(0,CP*(D1936-K))</f>
        <v>0</v>
      </c>
      <c r="F1936" s="21">
        <f t="shared" ref="F1936:F1999" ca="1" si="123">(CP*(D1936-K)&gt;0)*1</f>
        <v>0</v>
      </c>
      <c r="H1936" s="21">
        <v>1921</v>
      </c>
      <c r="I1936" s="107">
        <v>0.66784361705906869</v>
      </c>
      <c r="J1936" s="108">
        <v>1.4518250233751901E-3</v>
      </c>
      <c r="K1936" s="108"/>
      <c r="L1936" s="108">
        <v>4.5400000000000003E-2</v>
      </c>
      <c r="O1936" s="105"/>
    </row>
    <row r="1937" spans="2:15" x14ac:dyDescent="0.2">
      <c r="B1937" s="1">
        <v>1922</v>
      </c>
      <c r="C1937" s="106">
        <f t="shared" ca="1" si="120"/>
        <v>-2.8837985377362951</v>
      </c>
      <c r="D1937" s="106">
        <f t="shared" ca="1" si="121"/>
        <v>0.49998416357747666</v>
      </c>
      <c r="E1937" s="106">
        <f t="shared" ca="1" si="122"/>
        <v>0</v>
      </c>
      <c r="F1937" s="21">
        <f t="shared" ca="1" si="123"/>
        <v>0</v>
      </c>
      <c r="H1937" s="21">
        <v>1922</v>
      </c>
      <c r="I1937" s="107">
        <v>0.66762942306714068</v>
      </c>
      <c r="J1937" s="108">
        <v>1.1716412385684902E-3</v>
      </c>
      <c r="K1937" s="108"/>
      <c r="L1937" s="108">
        <v>3.7600000000000001E-2</v>
      </c>
      <c r="O1937" s="105"/>
    </row>
    <row r="1938" spans="2:15" x14ac:dyDescent="0.2">
      <c r="B1938" s="1">
        <v>1923</v>
      </c>
      <c r="C1938" s="106">
        <f t="shared" ca="1" si="120"/>
        <v>-0.42116568803572463</v>
      </c>
      <c r="D1938" s="106">
        <f t="shared" ca="1" si="121"/>
        <v>0.63746144338922839</v>
      </c>
      <c r="E1938" s="106">
        <f t="shared" ca="1" si="122"/>
        <v>0</v>
      </c>
      <c r="F1938" s="21">
        <f t="shared" ca="1" si="123"/>
        <v>0</v>
      </c>
      <c r="H1938" s="21">
        <v>1923</v>
      </c>
      <c r="I1938" s="107">
        <v>0.66773034623398786</v>
      </c>
      <c r="J1938" s="108">
        <v>1.330001827943001E-3</v>
      </c>
      <c r="K1938" s="108"/>
      <c r="L1938" s="108">
        <v>4.24E-2</v>
      </c>
      <c r="O1938" s="105"/>
    </row>
    <row r="1939" spans="2:15" x14ac:dyDescent="0.2">
      <c r="B1939" s="1">
        <v>1924</v>
      </c>
      <c r="C1939" s="106">
        <f t="shared" ca="1" si="120"/>
        <v>0.15376561456892177</v>
      </c>
      <c r="D1939" s="106">
        <f t="shared" ca="1" si="121"/>
        <v>0.67465792197712149</v>
      </c>
      <c r="E1939" s="106">
        <f t="shared" ca="1" si="122"/>
        <v>0</v>
      </c>
      <c r="F1939" s="21">
        <f t="shared" ca="1" si="123"/>
        <v>0</v>
      </c>
      <c r="H1939" s="21">
        <v>1924</v>
      </c>
      <c r="I1939" s="107">
        <v>0.66776224861787381</v>
      </c>
      <c r="J1939" s="108">
        <v>1.3664048842710892E-3</v>
      </c>
      <c r="K1939" s="108"/>
      <c r="L1939" s="108">
        <v>4.24E-2</v>
      </c>
      <c r="O1939" s="105"/>
    </row>
    <row r="1940" spans="2:15" x14ac:dyDescent="0.2">
      <c r="B1940" s="1">
        <v>1925</v>
      </c>
      <c r="C1940" s="106">
        <f t="shared" ca="1" si="120"/>
        <v>1.1895212455459185</v>
      </c>
      <c r="D1940" s="106">
        <f t="shared" ca="1" si="121"/>
        <v>0.74723078665927734</v>
      </c>
      <c r="E1940" s="106">
        <f t="shared" ca="1" si="122"/>
        <v>0</v>
      </c>
      <c r="F1940" s="21">
        <f t="shared" ca="1" si="123"/>
        <v>0</v>
      </c>
      <c r="H1940" s="21">
        <v>1925</v>
      </c>
      <c r="I1940" s="107">
        <v>0.66782992108539008</v>
      </c>
      <c r="J1940" s="108">
        <v>1.4011924436032493E-3</v>
      </c>
      <c r="K1940" s="108"/>
      <c r="L1940" s="108">
        <v>4.4400000000000002E-2</v>
      </c>
      <c r="O1940" s="105"/>
    </row>
    <row r="1941" spans="2:15" x14ac:dyDescent="0.2">
      <c r="B1941" s="1">
        <v>1926</v>
      </c>
      <c r="C1941" s="106">
        <f t="shared" ca="1" si="120"/>
        <v>-0.24759547274055563</v>
      </c>
      <c r="D1941" s="106">
        <f t="shared" ca="1" si="121"/>
        <v>0.64846951255218976</v>
      </c>
      <c r="E1941" s="106">
        <f t="shared" ca="1" si="122"/>
        <v>0</v>
      </c>
      <c r="F1941" s="21">
        <f t="shared" ca="1" si="123"/>
        <v>0</v>
      </c>
      <c r="H1941" s="21">
        <v>1926</v>
      </c>
      <c r="I1941" s="107">
        <v>0.66753033131664874</v>
      </c>
      <c r="J1941" s="108">
        <v>1.2837605598498879E-3</v>
      </c>
      <c r="K1941" s="108"/>
      <c r="L1941" s="108">
        <v>4.0800000000000003E-2</v>
      </c>
      <c r="O1941" s="105"/>
    </row>
    <row r="1942" spans="2:15" x14ac:dyDescent="0.2">
      <c r="B1942" s="1">
        <v>1927</v>
      </c>
      <c r="C1942" s="106">
        <f t="shared" ca="1" si="120"/>
        <v>0.81795765039074853</v>
      </c>
      <c r="D1942" s="106">
        <f t="shared" ca="1" si="121"/>
        <v>0.72033945280488776</v>
      </c>
      <c r="E1942" s="106">
        <f t="shared" ca="1" si="122"/>
        <v>0</v>
      </c>
      <c r="F1942" s="21">
        <f t="shared" ca="1" si="123"/>
        <v>0</v>
      </c>
      <c r="H1942" s="21">
        <v>1927</v>
      </c>
      <c r="I1942" s="107">
        <v>0.6677599385552252</v>
      </c>
      <c r="J1942" s="108">
        <v>1.1953360690812314E-3</v>
      </c>
      <c r="K1942" s="108"/>
      <c r="L1942" s="108">
        <v>3.9E-2</v>
      </c>
      <c r="O1942" s="105"/>
    </row>
    <row r="1943" spans="2:15" x14ac:dyDescent="0.2">
      <c r="B1943" s="1">
        <v>1928</v>
      </c>
      <c r="C1943" s="106">
        <f t="shared" ca="1" si="120"/>
        <v>1.5654971664240438</v>
      </c>
      <c r="D1943" s="106">
        <f t="shared" ca="1" si="121"/>
        <v>0.7754634511145585</v>
      </c>
      <c r="E1943" s="106">
        <f t="shared" ca="1" si="122"/>
        <v>0</v>
      </c>
      <c r="F1943" s="21">
        <f t="shared" ca="1" si="123"/>
        <v>0</v>
      </c>
      <c r="H1943" s="21">
        <v>1928</v>
      </c>
      <c r="I1943" s="107">
        <v>0.6676858085701719</v>
      </c>
      <c r="J1943" s="108">
        <v>1.3011585636403676E-3</v>
      </c>
      <c r="K1943" s="108"/>
      <c r="L1943" s="108">
        <v>4.0800000000000003E-2</v>
      </c>
      <c r="O1943" s="105"/>
    </row>
    <row r="1944" spans="2:15" x14ac:dyDescent="0.2">
      <c r="B1944" s="1">
        <v>1929</v>
      </c>
      <c r="C1944" s="106">
        <f t="shared" ca="1" si="120"/>
        <v>-0.45761468721525606</v>
      </c>
      <c r="D1944" s="106">
        <f t="shared" ca="1" si="121"/>
        <v>0.63517364400938436</v>
      </c>
      <c r="E1944" s="106">
        <f t="shared" ca="1" si="122"/>
        <v>0</v>
      </c>
      <c r="F1944" s="21">
        <f t="shared" ca="1" si="123"/>
        <v>0</v>
      </c>
      <c r="H1944" s="21">
        <v>1929</v>
      </c>
      <c r="I1944" s="107">
        <v>0.66778791585535979</v>
      </c>
      <c r="J1944" s="108">
        <v>1.4787608213752939E-3</v>
      </c>
      <c r="K1944" s="108"/>
      <c r="L1944" s="108">
        <v>4.1200000000000001E-2</v>
      </c>
      <c r="O1944" s="105"/>
    </row>
    <row r="1945" spans="2:15" x14ac:dyDescent="0.2">
      <c r="B1945" s="1">
        <v>1930</v>
      </c>
      <c r="C1945" s="106">
        <f t="shared" ca="1" si="120"/>
        <v>-0.68605292729945389</v>
      </c>
      <c r="D1945" s="106">
        <f t="shared" ca="1" si="121"/>
        <v>0.62102104222886778</v>
      </c>
      <c r="E1945" s="106">
        <f t="shared" ca="1" si="122"/>
        <v>0</v>
      </c>
      <c r="F1945" s="21">
        <f t="shared" ca="1" si="123"/>
        <v>0</v>
      </c>
      <c r="H1945" s="21">
        <v>1930</v>
      </c>
      <c r="I1945" s="107">
        <v>0.66771828633385832</v>
      </c>
      <c r="J1945" s="108">
        <v>1.2319376098050277E-3</v>
      </c>
      <c r="K1945" s="108"/>
      <c r="L1945" s="108">
        <v>3.8600000000000002E-2</v>
      </c>
      <c r="O1945" s="105"/>
    </row>
    <row r="1946" spans="2:15" x14ac:dyDescent="0.2">
      <c r="B1946" s="1">
        <v>1931</v>
      </c>
      <c r="C1946" s="106">
        <f t="shared" ca="1" si="120"/>
        <v>1.0431155911901415</v>
      </c>
      <c r="D1946" s="106">
        <f t="shared" ca="1" si="121"/>
        <v>0.73651709069572602</v>
      </c>
      <c r="E1946" s="106">
        <f t="shared" ca="1" si="122"/>
        <v>0</v>
      </c>
      <c r="F1946" s="21">
        <f t="shared" ca="1" si="123"/>
        <v>0</v>
      </c>
      <c r="H1946" s="21">
        <v>1931</v>
      </c>
      <c r="I1946" s="107">
        <v>0.66768610338574064</v>
      </c>
      <c r="J1946" s="108">
        <v>1.4282540151286855E-3</v>
      </c>
      <c r="K1946" s="108"/>
      <c r="L1946" s="108">
        <v>4.0399999999999998E-2</v>
      </c>
      <c r="O1946" s="105"/>
    </row>
    <row r="1947" spans="2:15" x14ac:dyDescent="0.2">
      <c r="B1947" s="1">
        <v>1932</v>
      </c>
      <c r="C1947" s="106">
        <f t="shared" ca="1" si="120"/>
        <v>-2.1045733470503247</v>
      </c>
      <c r="D1947" s="106">
        <f t="shared" ca="1" si="121"/>
        <v>0.53993039384085517</v>
      </c>
      <c r="E1947" s="106">
        <f t="shared" ca="1" si="122"/>
        <v>0</v>
      </c>
      <c r="F1947" s="21">
        <f t="shared" ca="1" si="123"/>
        <v>0</v>
      </c>
      <c r="H1947" s="21">
        <v>1932</v>
      </c>
      <c r="I1947" s="107">
        <v>0.66758654091620107</v>
      </c>
      <c r="J1947" s="108">
        <v>1.2143677040673279E-3</v>
      </c>
      <c r="K1947" s="108"/>
      <c r="L1947" s="108">
        <v>3.8399999999999997E-2</v>
      </c>
      <c r="O1947" s="105"/>
    </row>
    <row r="1948" spans="2:15" x14ac:dyDescent="0.2">
      <c r="B1948" s="1">
        <v>1933</v>
      </c>
      <c r="C1948" s="106">
        <f t="shared" ca="1" si="120"/>
        <v>0.56980074249212431</v>
      </c>
      <c r="D1948" s="106">
        <f t="shared" ca="1" si="121"/>
        <v>0.70292066736374303</v>
      </c>
      <c r="E1948" s="106">
        <f t="shared" ca="1" si="122"/>
        <v>0</v>
      </c>
      <c r="F1948" s="21">
        <f t="shared" ca="1" si="123"/>
        <v>0</v>
      </c>
      <c r="H1948" s="21">
        <v>1933</v>
      </c>
      <c r="I1948" s="107">
        <v>0.6677054513344769</v>
      </c>
      <c r="J1948" s="108">
        <v>1.2655718415261463E-3</v>
      </c>
      <c r="K1948" s="108"/>
      <c r="L1948" s="108">
        <v>4.02E-2</v>
      </c>
      <c r="O1948" s="105"/>
    </row>
    <row r="1949" spans="2:15" x14ac:dyDescent="0.2">
      <c r="B1949" s="1">
        <v>1934</v>
      </c>
      <c r="C1949" s="106">
        <f t="shared" ca="1" si="120"/>
        <v>-0.87338863352472396</v>
      </c>
      <c r="D1949" s="106">
        <f t="shared" ca="1" si="121"/>
        <v>0.60965054951086428</v>
      </c>
      <c r="E1949" s="106">
        <f t="shared" ca="1" si="122"/>
        <v>0</v>
      </c>
      <c r="F1949" s="21">
        <f t="shared" ca="1" si="123"/>
        <v>0</v>
      </c>
      <c r="H1949" s="21">
        <v>1934</v>
      </c>
      <c r="I1949" s="107">
        <v>0.66784102347094143</v>
      </c>
      <c r="J1949" s="108">
        <v>1.4020669449830978E-3</v>
      </c>
      <c r="K1949" s="108"/>
      <c r="L1949" s="108">
        <v>4.4400000000000002E-2</v>
      </c>
      <c r="O1949" s="105"/>
    </row>
    <row r="1950" spans="2:15" x14ac:dyDescent="0.2">
      <c r="B1950" s="1">
        <v>1935</v>
      </c>
      <c r="C1950" s="106">
        <f t="shared" ca="1" si="120"/>
        <v>-0.60674347201454459</v>
      </c>
      <c r="D1950" s="106">
        <f t="shared" ca="1" si="121"/>
        <v>0.62589846133338045</v>
      </c>
      <c r="E1950" s="106">
        <f t="shared" ca="1" si="122"/>
        <v>0</v>
      </c>
      <c r="F1950" s="21">
        <f t="shared" ca="1" si="123"/>
        <v>0</v>
      </c>
      <c r="H1950" s="21">
        <v>1935</v>
      </c>
      <c r="I1950" s="107">
        <v>0.66771342729414496</v>
      </c>
      <c r="J1950" s="108">
        <v>1.2287288558919512E-3</v>
      </c>
      <c r="K1950" s="108"/>
      <c r="L1950" s="108">
        <v>4.2799999999999998E-2</v>
      </c>
      <c r="O1950" s="105"/>
    </row>
    <row r="1951" spans="2:15" x14ac:dyDescent="0.2">
      <c r="B1951" s="1">
        <v>1936</v>
      </c>
      <c r="C1951" s="106">
        <f t="shared" ca="1" si="120"/>
        <v>0.7078963214627122</v>
      </c>
      <c r="D1951" s="106">
        <f t="shared" ca="1" si="121"/>
        <v>0.71256131724750504</v>
      </c>
      <c r="E1951" s="106">
        <f t="shared" ca="1" si="122"/>
        <v>0</v>
      </c>
      <c r="F1951" s="21">
        <f t="shared" ca="1" si="123"/>
        <v>0</v>
      </c>
      <c r="H1951" s="21">
        <v>1936</v>
      </c>
      <c r="I1951" s="107">
        <v>0.66779231294607888</v>
      </c>
      <c r="J1951" s="108">
        <v>1.5720991212993284E-3</v>
      </c>
      <c r="K1951" s="108"/>
      <c r="L1951" s="108">
        <v>4.02E-2</v>
      </c>
      <c r="O1951" s="105"/>
    </row>
    <row r="1952" spans="2:15" x14ac:dyDescent="0.2">
      <c r="B1952" s="1">
        <v>1937</v>
      </c>
      <c r="C1952" s="106">
        <f t="shared" ca="1" si="120"/>
        <v>0.5144624447836883</v>
      </c>
      <c r="D1952" s="106">
        <f t="shared" ca="1" si="121"/>
        <v>0.69909412770560941</v>
      </c>
      <c r="E1952" s="106">
        <f t="shared" ca="1" si="122"/>
        <v>0</v>
      </c>
      <c r="F1952" s="21">
        <f t="shared" ca="1" si="123"/>
        <v>0</v>
      </c>
      <c r="H1952" s="21">
        <v>1937</v>
      </c>
      <c r="I1952" s="107">
        <v>0.6677049908430126</v>
      </c>
      <c r="J1952" s="108">
        <v>1.2950192639966632E-3</v>
      </c>
      <c r="K1952" s="108"/>
      <c r="L1952" s="108">
        <v>4.02E-2</v>
      </c>
      <c r="O1952" s="105"/>
    </row>
    <row r="1953" spans="2:15" x14ac:dyDescent="0.2">
      <c r="B1953" s="1">
        <v>1938</v>
      </c>
      <c r="C1953" s="106">
        <f t="shared" ca="1" si="120"/>
        <v>0.64549785381344615</v>
      </c>
      <c r="D1953" s="106">
        <f t="shared" ca="1" si="121"/>
        <v>0.70818892418007129</v>
      </c>
      <c r="E1953" s="106">
        <f t="shared" ca="1" si="122"/>
        <v>0</v>
      </c>
      <c r="F1953" s="21">
        <f t="shared" ca="1" si="123"/>
        <v>0</v>
      </c>
      <c r="H1953" s="21">
        <v>1938</v>
      </c>
      <c r="I1953" s="107">
        <v>0.66773589808139744</v>
      </c>
      <c r="J1953" s="108">
        <v>1.3630927486158089E-3</v>
      </c>
      <c r="K1953" s="108"/>
      <c r="L1953" s="108">
        <v>4.0399999999999998E-2</v>
      </c>
      <c r="O1953" s="105"/>
    </row>
    <row r="1954" spans="2:15" x14ac:dyDescent="0.2">
      <c r="B1954" s="1">
        <v>1939</v>
      </c>
      <c r="C1954" s="106">
        <f t="shared" ca="1" si="120"/>
        <v>1.3906553377177289</v>
      </c>
      <c r="D1954" s="106">
        <f t="shared" ca="1" si="121"/>
        <v>0.76220398924110511</v>
      </c>
      <c r="E1954" s="106">
        <f t="shared" ca="1" si="122"/>
        <v>0</v>
      </c>
      <c r="F1954" s="21">
        <f t="shared" ca="1" si="123"/>
        <v>0</v>
      </c>
      <c r="H1954" s="21">
        <v>1939</v>
      </c>
      <c r="I1954" s="107">
        <v>0.66791444591065441</v>
      </c>
      <c r="J1954" s="108">
        <v>1.6399468814223672E-3</v>
      </c>
      <c r="K1954" s="108"/>
      <c r="L1954" s="108">
        <v>4.8399999999999999E-2</v>
      </c>
      <c r="O1954" s="105"/>
    </row>
    <row r="1955" spans="2:15" x14ac:dyDescent="0.2">
      <c r="B1955" s="1">
        <v>1940</v>
      </c>
      <c r="C1955" s="106">
        <f t="shared" ca="1" si="120"/>
        <v>-0.70146985851564914</v>
      </c>
      <c r="D1955" s="106">
        <f t="shared" ca="1" si="121"/>
        <v>0.62007734437559303</v>
      </c>
      <c r="E1955" s="106">
        <f t="shared" ca="1" si="122"/>
        <v>0</v>
      </c>
      <c r="F1955" s="21">
        <f t="shared" ca="1" si="123"/>
        <v>0</v>
      </c>
      <c r="H1955" s="21">
        <v>1940</v>
      </c>
      <c r="I1955" s="107">
        <v>0.66781116216103187</v>
      </c>
      <c r="J1955" s="108">
        <v>1.5045097230658732E-3</v>
      </c>
      <c r="K1955" s="108"/>
      <c r="L1955" s="108">
        <v>4.3799999999999999E-2</v>
      </c>
      <c r="O1955" s="105"/>
    </row>
    <row r="1956" spans="2:15" x14ac:dyDescent="0.2">
      <c r="B1956" s="1">
        <v>1941</v>
      </c>
      <c r="C1956" s="106">
        <f t="shared" ca="1" si="120"/>
        <v>4.5706098859887814E-2</v>
      </c>
      <c r="D1956" s="106">
        <f t="shared" ca="1" si="121"/>
        <v>0.66750484339308913</v>
      </c>
      <c r="E1956" s="106">
        <f t="shared" ca="1" si="122"/>
        <v>0</v>
      </c>
      <c r="F1956" s="21">
        <f t="shared" ca="1" si="123"/>
        <v>0</v>
      </c>
      <c r="H1956" s="21">
        <v>1941</v>
      </c>
      <c r="I1956" s="107">
        <v>0.66777014321575789</v>
      </c>
      <c r="J1956" s="108">
        <v>1.4643794705533231E-3</v>
      </c>
      <c r="K1956" s="108"/>
      <c r="L1956" s="108">
        <v>4.1000000000000002E-2</v>
      </c>
      <c r="O1956" s="105"/>
    </row>
    <row r="1957" spans="2:15" x14ac:dyDescent="0.2">
      <c r="B1957" s="1">
        <v>1942</v>
      </c>
      <c r="C1957" s="106">
        <f t="shared" ca="1" si="120"/>
        <v>1.2764764186659789</v>
      </c>
      <c r="D1957" s="106">
        <f t="shared" ca="1" si="121"/>
        <v>0.753667630393826</v>
      </c>
      <c r="E1957" s="106">
        <f t="shared" ca="1" si="122"/>
        <v>0</v>
      </c>
      <c r="F1957" s="21">
        <f t="shared" ca="1" si="123"/>
        <v>0</v>
      </c>
      <c r="H1957" s="21">
        <v>1942</v>
      </c>
      <c r="I1957" s="107">
        <v>0.66774838705960204</v>
      </c>
      <c r="J1957" s="108">
        <v>1.3132432230730086E-3</v>
      </c>
      <c r="K1957" s="108"/>
      <c r="L1957" s="108">
        <v>4.1799999999999997E-2</v>
      </c>
      <c r="O1957" s="105"/>
    </row>
    <row r="1958" spans="2:15" x14ac:dyDescent="0.2">
      <c r="B1958" s="1">
        <v>1943</v>
      </c>
      <c r="C1958" s="106">
        <f t="shared" ca="1" si="120"/>
        <v>5.0635527063992727E-2</v>
      </c>
      <c r="D1958" s="106">
        <f t="shared" ca="1" si="121"/>
        <v>0.66782949343154574</v>
      </c>
      <c r="E1958" s="106">
        <f t="shared" ca="1" si="122"/>
        <v>0</v>
      </c>
      <c r="F1958" s="21">
        <f t="shared" ca="1" si="123"/>
        <v>0</v>
      </c>
      <c r="H1958" s="21">
        <v>1943</v>
      </c>
      <c r="I1958" s="107">
        <v>0.66784336030396185</v>
      </c>
      <c r="J1958" s="108">
        <v>1.4888643966104987E-3</v>
      </c>
      <c r="K1958" s="108"/>
      <c r="L1958" s="108">
        <v>4.3200000000000002E-2</v>
      </c>
      <c r="O1958" s="105"/>
    </row>
    <row r="1959" spans="2:15" x14ac:dyDescent="0.2">
      <c r="B1959" s="1">
        <v>1944</v>
      </c>
      <c r="C1959" s="106">
        <f t="shared" ca="1" si="120"/>
        <v>-0.5558714013543381</v>
      </c>
      <c r="D1959" s="106">
        <f t="shared" ca="1" si="121"/>
        <v>0.62904716883995959</v>
      </c>
      <c r="E1959" s="106">
        <f t="shared" ca="1" si="122"/>
        <v>0</v>
      </c>
      <c r="F1959" s="21">
        <f t="shared" ca="1" si="123"/>
        <v>0</v>
      </c>
      <c r="H1959" s="21">
        <v>1944</v>
      </c>
      <c r="I1959" s="107">
        <v>0.66765595533364508</v>
      </c>
      <c r="J1959" s="108">
        <v>1.2842885214973585E-3</v>
      </c>
      <c r="K1959" s="108"/>
      <c r="L1959" s="108">
        <v>4.1399999999999999E-2</v>
      </c>
      <c r="O1959" s="105"/>
    </row>
    <row r="1960" spans="2:15" x14ac:dyDescent="0.2">
      <c r="B1960" s="1">
        <v>1945</v>
      </c>
      <c r="C1960" s="106">
        <f t="shared" ca="1" si="120"/>
        <v>-1.8645245051305945</v>
      </c>
      <c r="D1960" s="106">
        <f t="shared" ca="1" si="121"/>
        <v>0.55286782969029835</v>
      </c>
      <c r="E1960" s="106">
        <f t="shared" ca="1" si="122"/>
        <v>0</v>
      </c>
      <c r="F1960" s="21">
        <f t="shared" ca="1" si="123"/>
        <v>0</v>
      </c>
      <c r="H1960" s="21">
        <v>1945</v>
      </c>
      <c r="I1960" s="107">
        <v>0.66772331547668085</v>
      </c>
      <c r="J1960" s="108">
        <v>1.3381503535719527E-3</v>
      </c>
      <c r="K1960" s="108"/>
      <c r="L1960" s="108">
        <v>4.1000000000000002E-2</v>
      </c>
      <c r="O1960" s="105"/>
    </row>
    <row r="1961" spans="2:15" x14ac:dyDescent="0.2">
      <c r="B1961" s="1">
        <v>1946</v>
      </c>
      <c r="C1961" s="106">
        <f t="shared" ca="1" si="120"/>
        <v>1.2241750160167248</v>
      </c>
      <c r="D1961" s="106">
        <f t="shared" ca="1" si="121"/>
        <v>0.74978941164548019</v>
      </c>
      <c r="E1961" s="106">
        <f t="shared" ca="1" si="122"/>
        <v>0</v>
      </c>
      <c r="F1961" s="21">
        <f t="shared" ca="1" si="123"/>
        <v>0</v>
      </c>
      <c r="H1961" s="21">
        <v>1946</v>
      </c>
      <c r="I1961" s="107">
        <v>0.66779073361179386</v>
      </c>
      <c r="J1961" s="108">
        <v>1.5091781862893289E-3</v>
      </c>
      <c r="K1961" s="108"/>
      <c r="L1961" s="108">
        <v>4.6199999999999998E-2</v>
      </c>
      <c r="O1961" s="105"/>
    </row>
    <row r="1962" spans="2:15" x14ac:dyDescent="0.2">
      <c r="B1962" s="1">
        <v>1947</v>
      </c>
      <c r="C1962" s="106">
        <f t="shared" ca="1" si="120"/>
        <v>-1.1595456690616905</v>
      </c>
      <c r="D1962" s="106">
        <f t="shared" ca="1" si="121"/>
        <v>0.5926826016677923</v>
      </c>
      <c r="E1962" s="106">
        <f t="shared" ca="1" si="122"/>
        <v>0</v>
      </c>
      <c r="F1962" s="21">
        <f t="shared" ca="1" si="123"/>
        <v>0</v>
      </c>
      <c r="H1962" s="21">
        <v>1947</v>
      </c>
      <c r="I1962" s="107">
        <v>0.66786679918686409</v>
      </c>
      <c r="J1962" s="108">
        <v>1.5453429301771925E-3</v>
      </c>
      <c r="K1962" s="108"/>
      <c r="L1962" s="108">
        <v>4.2599999999999999E-2</v>
      </c>
      <c r="O1962" s="105"/>
    </row>
    <row r="1963" spans="2:15" x14ac:dyDescent="0.2">
      <c r="B1963" s="1">
        <v>1948</v>
      </c>
      <c r="C1963" s="106">
        <f t="shared" ca="1" si="120"/>
        <v>-0.83358963295345401</v>
      </c>
      <c r="D1963" s="106">
        <f t="shared" ca="1" si="121"/>
        <v>0.61204863575401769</v>
      </c>
      <c r="E1963" s="106">
        <f t="shared" ca="1" si="122"/>
        <v>0</v>
      </c>
      <c r="F1963" s="21">
        <f t="shared" ca="1" si="123"/>
        <v>0</v>
      </c>
      <c r="H1963" s="21">
        <v>1948</v>
      </c>
      <c r="I1963" s="107">
        <v>0.66767502601090023</v>
      </c>
      <c r="J1963" s="108">
        <v>1.2981023637462751E-3</v>
      </c>
      <c r="K1963" s="108"/>
      <c r="L1963" s="108">
        <v>3.9800000000000002E-2</v>
      </c>
      <c r="O1963" s="105"/>
    </row>
    <row r="1964" spans="2:15" x14ac:dyDescent="0.2">
      <c r="B1964" s="1">
        <v>1949</v>
      </c>
      <c r="C1964" s="106">
        <f t="shared" ca="1" si="120"/>
        <v>0.76789131861081028</v>
      </c>
      <c r="D1964" s="106">
        <f t="shared" ca="1" si="121"/>
        <v>0.71679074769990936</v>
      </c>
      <c r="E1964" s="106">
        <f t="shared" ca="1" si="122"/>
        <v>0</v>
      </c>
      <c r="F1964" s="21">
        <f t="shared" ca="1" si="123"/>
        <v>0</v>
      </c>
      <c r="H1964" s="21">
        <v>1949</v>
      </c>
      <c r="I1964" s="107">
        <v>0.66765566041148861</v>
      </c>
      <c r="J1964" s="108">
        <v>1.2117238892681511E-3</v>
      </c>
      <c r="K1964" s="108"/>
      <c r="L1964" s="108">
        <v>3.6799999999999999E-2</v>
      </c>
      <c r="O1964" s="105"/>
    </row>
    <row r="1965" spans="2:15" x14ac:dyDescent="0.2">
      <c r="B1965" s="1">
        <v>1950</v>
      </c>
      <c r="C1965" s="106">
        <f t="shared" ca="1" si="120"/>
        <v>-2.507849722646005</v>
      </c>
      <c r="D1965" s="106">
        <f t="shared" ca="1" si="121"/>
        <v>0.5188737070912457</v>
      </c>
      <c r="E1965" s="106">
        <f t="shared" ca="1" si="122"/>
        <v>0</v>
      </c>
      <c r="F1965" s="21">
        <f t="shared" ca="1" si="123"/>
        <v>0</v>
      </c>
      <c r="H1965" s="21">
        <v>1950</v>
      </c>
      <c r="I1965" s="107">
        <v>0.66780365944034126</v>
      </c>
      <c r="J1965" s="108">
        <v>1.4768683956549095E-3</v>
      </c>
      <c r="K1965" s="108"/>
      <c r="L1965" s="108">
        <v>4.3400000000000001E-2</v>
      </c>
      <c r="O1965" s="105"/>
    </row>
    <row r="1966" spans="2:15" x14ac:dyDescent="0.2">
      <c r="B1966" s="1">
        <v>1951</v>
      </c>
      <c r="C1966" s="106">
        <f t="shared" ca="1" si="120"/>
        <v>0.46031629184536044</v>
      </c>
      <c r="D1966" s="106">
        <f t="shared" ca="1" si="121"/>
        <v>0.69537018592476596</v>
      </c>
      <c r="E1966" s="106">
        <f t="shared" ca="1" si="122"/>
        <v>0</v>
      </c>
      <c r="F1966" s="21">
        <f t="shared" ca="1" si="123"/>
        <v>0</v>
      </c>
      <c r="H1966" s="21">
        <v>1951</v>
      </c>
      <c r="I1966" s="107">
        <v>0.6676980620549049</v>
      </c>
      <c r="J1966" s="108">
        <v>1.3045434541436723E-3</v>
      </c>
      <c r="K1966" s="108"/>
      <c r="L1966" s="108">
        <v>3.9800000000000002E-2</v>
      </c>
      <c r="O1966" s="105"/>
    </row>
    <row r="1967" spans="2:15" x14ac:dyDescent="0.2">
      <c r="B1967" s="1">
        <v>1952</v>
      </c>
      <c r="C1967" s="106">
        <f t="shared" ca="1" si="120"/>
        <v>3.5372446945568986E-2</v>
      </c>
      <c r="D1967" s="106">
        <f t="shared" ca="1" si="121"/>
        <v>0.66682478559415292</v>
      </c>
      <c r="E1967" s="106">
        <f t="shared" ca="1" si="122"/>
        <v>0</v>
      </c>
      <c r="F1967" s="21">
        <f t="shared" ca="1" si="123"/>
        <v>0</v>
      </c>
      <c r="H1967" s="21">
        <v>1952</v>
      </c>
      <c r="I1967" s="107">
        <v>0.66798549362186876</v>
      </c>
      <c r="J1967" s="108">
        <v>1.6844041799659909E-3</v>
      </c>
      <c r="K1967" s="108"/>
      <c r="L1967" s="108">
        <v>4.6600000000000003E-2</v>
      </c>
      <c r="O1967" s="105"/>
    </row>
    <row r="1968" spans="2:15" x14ac:dyDescent="0.2">
      <c r="B1968" s="1">
        <v>1953</v>
      </c>
      <c r="C1968" s="106">
        <f t="shared" ca="1" si="120"/>
        <v>-0.52470379749569007</v>
      </c>
      <c r="D1968" s="106">
        <f t="shared" ca="1" si="121"/>
        <v>0.63098409604721473</v>
      </c>
      <c r="E1968" s="106">
        <f t="shared" ca="1" si="122"/>
        <v>0</v>
      </c>
      <c r="F1968" s="21">
        <f t="shared" ca="1" si="123"/>
        <v>0</v>
      </c>
      <c r="H1968" s="21">
        <v>1953</v>
      </c>
      <c r="I1968" s="107">
        <v>0.66776136680142273</v>
      </c>
      <c r="J1968" s="108">
        <v>1.4471101420071889E-3</v>
      </c>
      <c r="K1968" s="108"/>
      <c r="L1968" s="108">
        <v>4.2799999999999998E-2</v>
      </c>
      <c r="O1968" s="105"/>
    </row>
    <row r="1969" spans="2:15" x14ac:dyDescent="0.2">
      <c r="B1969" s="1">
        <v>1954</v>
      </c>
      <c r="C1969" s="106">
        <f t="shared" ca="1" si="120"/>
        <v>-0.20237187837473086</v>
      </c>
      <c r="D1969" s="106">
        <f t="shared" ca="1" si="121"/>
        <v>0.65136874192552463</v>
      </c>
      <c r="E1969" s="106">
        <f t="shared" ca="1" si="122"/>
        <v>0</v>
      </c>
      <c r="F1969" s="21">
        <f t="shared" ca="1" si="123"/>
        <v>0</v>
      </c>
      <c r="H1969" s="21">
        <v>1954</v>
      </c>
      <c r="I1969" s="107">
        <v>0.66784608934935785</v>
      </c>
      <c r="J1969" s="108">
        <v>1.5812681607183972E-3</v>
      </c>
      <c r="K1969" s="108"/>
      <c r="L1969" s="108">
        <v>4.1599999999999998E-2</v>
      </c>
      <c r="O1969" s="105"/>
    </row>
    <row r="1970" spans="2:15" x14ac:dyDescent="0.2">
      <c r="B1970" s="1">
        <v>1955</v>
      </c>
      <c r="C1970" s="106">
        <f t="shared" ca="1" si="120"/>
        <v>0.47123027638919474</v>
      </c>
      <c r="D1970" s="106">
        <f t="shared" ca="1" si="121"/>
        <v>0.69611920365225377</v>
      </c>
      <c r="E1970" s="106">
        <f t="shared" ca="1" si="122"/>
        <v>0</v>
      </c>
      <c r="F1970" s="21">
        <f t="shared" ca="1" si="123"/>
        <v>0</v>
      </c>
      <c r="H1970" s="21">
        <v>1955</v>
      </c>
      <c r="I1970" s="107">
        <v>0.66766318365755395</v>
      </c>
      <c r="J1970" s="108">
        <v>1.1928502616042056E-3</v>
      </c>
      <c r="K1970" s="108"/>
      <c r="L1970" s="108">
        <v>3.9600000000000003E-2</v>
      </c>
      <c r="O1970" s="105"/>
    </row>
    <row r="1971" spans="2:15" x14ac:dyDescent="0.2">
      <c r="B1971" s="1">
        <v>1956</v>
      </c>
      <c r="C1971" s="106">
        <f t="shared" ca="1" si="120"/>
        <v>-0.33078270246410191</v>
      </c>
      <c r="D1971" s="106">
        <f t="shared" ca="1" si="121"/>
        <v>0.64317013942834089</v>
      </c>
      <c r="E1971" s="106">
        <f t="shared" ca="1" si="122"/>
        <v>0</v>
      </c>
      <c r="F1971" s="21">
        <f t="shared" ca="1" si="123"/>
        <v>0</v>
      </c>
      <c r="H1971" s="21">
        <v>1956</v>
      </c>
      <c r="I1971" s="107">
        <v>0.66764497871048856</v>
      </c>
      <c r="J1971" s="108">
        <v>1.3036372516989428E-3</v>
      </c>
      <c r="K1971" s="108"/>
      <c r="L1971" s="108">
        <v>4.2799999999999998E-2</v>
      </c>
      <c r="O1971" s="105"/>
    </row>
    <row r="1972" spans="2:15" x14ac:dyDescent="0.2">
      <c r="B1972" s="1">
        <v>1957</v>
      </c>
      <c r="C1972" s="106">
        <f t="shared" ca="1" si="120"/>
        <v>1.2583577424093737</v>
      </c>
      <c r="D1972" s="106">
        <f t="shared" ca="1" si="121"/>
        <v>0.75232184072488095</v>
      </c>
      <c r="E1972" s="106">
        <f t="shared" ca="1" si="122"/>
        <v>0</v>
      </c>
      <c r="F1972" s="21">
        <f t="shared" ca="1" si="123"/>
        <v>0</v>
      </c>
      <c r="H1972" s="21">
        <v>1957</v>
      </c>
      <c r="I1972" s="107">
        <v>0.6676219581990217</v>
      </c>
      <c r="J1972" s="108">
        <v>1.2517700424705971E-3</v>
      </c>
      <c r="K1972" s="108"/>
      <c r="L1972" s="108">
        <v>4.2000000000000003E-2</v>
      </c>
      <c r="O1972" s="105"/>
    </row>
    <row r="1973" spans="2:15" x14ac:dyDescent="0.2">
      <c r="B1973" s="1">
        <v>1958</v>
      </c>
      <c r="C1973" s="106">
        <f t="shared" ca="1" si="120"/>
        <v>0.85950573045077738</v>
      </c>
      <c r="D1973" s="106">
        <f t="shared" ca="1" si="121"/>
        <v>0.72329771942469356</v>
      </c>
      <c r="E1973" s="106">
        <f t="shared" ca="1" si="122"/>
        <v>0</v>
      </c>
      <c r="F1973" s="21">
        <f t="shared" ca="1" si="123"/>
        <v>0</v>
      </c>
      <c r="H1973" s="21">
        <v>1958</v>
      </c>
      <c r="I1973" s="107">
        <v>0.6677019795619894</v>
      </c>
      <c r="J1973" s="108">
        <v>1.3973160568368326E-3</v>
      </c>
      <c r="K1973" s="108"/>
      <c r="L1973" s="108">
        <v>4.6399999999999997E-2</v>
      </c>
      <c r="O1973" s="105"/>
    </row>
    <row r="1974" spans="2:15" x14ac:dyDescent="0.2">
      <c r="B1974" s="1">
        <v>1959</v>
      </c>
      <c r="C1974" s="106">
        <f t="shared" ca="1" si="120"/>
        <v>0.24849524851198115</v>
      </c>
      <c r="D1974" s="106">
        <f t="shared" ca="1" si="121"/>
        <v>0.68099164465173556</v>
      </c>
      <c r="E1974" s="106">
        <f t="shared" ca="1" si="122"/>
        <v>0</v>
      </c>
      <c r="F1974" s="21">
        <f t="shared" ca="1" si="123"/>
        <v>0</v>
      </c>
      <c r="H1974" s="21">
        <v>1959</v>
      </c>
      <c r="I1974" s="107">
        <v>0.66783436742756941</v>
      </c>
      <c r="J1974" s="108">
        <v>1.4745930934197877E-3</v>
      </c>
      <c r="K1974" s="108"/>
      <c r="L1974" s="108">
        <v>4.6600000000000003E-2</v>
      </c>
      <c r="O1974" s="105"/>
    </row>
    <row r="1975" spans="2:15" x14ac:dyDescent="0.2">
      <c r="B1975" s="1">
        <v>1960</v>
      </c>
      <c r="C1975" s="106">
        <f t="shared" ca="1" si="120"/>
        <v>-0.49925562443678156</v>
      </c>
      <c r="D1975" s="106">
        <f t="shared" ca="1" si="121"/>
        <v>0.63257000820766784</v>
      </c>
      <c r="E1975" s="106">
        <f t="shared" ca="1" si="122"/>
        <v>0</v>
      </c>
      <c r="F1975" s="21">
        <f t="shared" ca="1" si="123"/>
        <v>0</v>
      </c>
      <c r="H1975" s="21">
        <v>1960</v>
      </c>
      <c r="I1975" s="107">
        <v>0.66765333160128681</v>
      </c>
      <c r="J1975" s="108">
        <v>1.1796366676127133E-3</v>
      </c>
      <c r="K1975" s="108"/>
      <c r="L1975" s="108">
        <v>3.78E-2</v>
      </c>
      <c r="O1975" s="105"/>
    </row>
    <row r="1976" spans="2:15" x14ac:dyDescent="0.2">
      <c r="B1976" s="1">
        <v>1961</v>
      </c>
      <c r="C1976" s="106">
        <f t="shared" ca="1" si="120"/>
        <v>1.2653046305081384</v>
      </c>
      <c r="D1976" s="106">
        <f t="shared" ca="1" si="121"/>
        <v>0.75283754612928089</v>
      </c>
      <c r="E1976" s="106">
        <f t="shared" ca="1" si="122"/>
        <v>0</v>
      </c>
      <c r="F1976" s="21">
        <f t="shared" ca="1" si="123"/>
        <v>0</v>
      </c>
      <c r="H1976" s="21">
        <v>1961</v>
      </c>
      <c r="I1976" s="107">
        <v>0.66781284178402922</v>
      </c>
      <c r="J1976" s="108">
        <v>1.5103446088069598E-3</v>
      </c>
      <c r="K1976" s="108"/>
      <c r="L1976" s="108">
        <v>4.3999999999999997E-2</v>
      </c>
      <c r="O1976" s="105"/>
    </row>
    <row r="1977" spans="2:15" x14ac:dyDescent="0.2">
      <c r="B1977" s="1">
        <v>1962</v>
      </c>
      <c r="C1977" s="106">
        <f t="shared" ca="1" si="120"/>
        <v>0.7713636654135011</v>
      </c>
      <c r="D1977" s="106">
        <f t="shared" ca="1" si="121"/>
        <v>0.71703630269008978</v>
      </c>
      <c r="E1977" s="106">
        <f t="shared" ca="1" si="122"/>
        <v>0</v>
      </c>
      <c r="F1977" s="21">
        <f t="shared" ca="1" si="123"/>
        <v>0</v>
      </c>
      <c r="H1977" s="21">
        <v>1962</v>
      </c>
      <c r="I1977" s="107">
        <v>0.6677030331810242</v>
      </c>
      <c r="J1977" s="108">
        <v>1.3044224150409074E-3</v>
      </c>
      <c r="K1977" s="108"/>
      <c r="L1977" s="108">
        <v>0.04</v>
      </c>
      <c r="O1977" s="105"/>
    </row>
    <row r="1978" spans="2:15" x14ac:dyDescent="0.2">
      <c r="B1978" s="1">
        <v>1963</v>
      </c>
      <c r="C1978" s="106">
        <f t="shared" ca="1" si="120"/>
        <v>3.7995102912852206E-2</v>
      </c>
      <c r="D1978" s="106">
        <f t="shared" ca="1" si="121"/>
        <v>0.66699731699047371</v>
      </c>
      <c r="E1978" s="106">
        <f t="shared" ca="1" si="122"/>
        <v>0</v>
      </c>
      <c r="F1978" s="21">
        <f t="shared" ca="1" si="123"/>
        <v>0</v>
      </c>
      <c r="H1978" s="21">
        <v>1963</v>
      </c>
      <c r="I1978" s="107">
        <v>0.66770853036574807</v>
      </c>
      <c r="J1978" s="108">
        <v>1.224421313063821E-3</v>
      </c>
      <c r="K1978" s="108"/>
      <c r="L1978" s="108">
        <v>3.9600000000000003E-2</v>
      </c>
      <c r="O1978" s="105"/>
    </row>
    <row r="1979" spans="2:15" x14ac:dyDescent="0.2">
      <c r="B1979" s="1">
        <v>1964</v>
      </c>
      <c r="C1979" s="106">
        <f t="shared" ca="1" si="120"/>
        <v>-1.5213084085539277</v>
      </c>
      <c r="D1979" s="106">
        <f t="shared" ca="1" si="121"/>
        <v>0.57190578013113003</v>
      </c>
      <c r="E1979" s="106">
        <f t="shared" ca="1" si="122"/>
        <v>0</v>
      </c>
      <c r="F1979" s="21">
        <f t="shared" ca="1" si="123"/>
        <v>0</v>
      </c>
      <c r="H1979" s="21">
        <v>1964</v>
      </c>
      <c r="I1979" s="107">
        <v>0.66780678792634207</v>
      </c>
      <c r="J1979" s="108">
        <v>1.4243332196094696E-3</v>
      </c>
      <c r="K1979" s="108"/>
      <c r="L1979" s="108">
        <v>4.5199999999999997E-2</v>
      </c>
      <c r="O1979" s="105"/>
    </row>
    <row r="1980" spans="2:15" x14ac:dyDescent="0.2">
      <c r="B1980" s="1">
        <v>1965</v>
      </c>
      <c r="C1980" s="106">
        <f t="shared" ca="1" si="120"/>
        <v>0.10356953932987192</v>
      </c>
      <c r="D1980" s="106">
        <f t="shared" ca="1" si="121"/>
        <v>0.67132567221412431</v>
      </c>
      <c r="E1980" s="106">
        <f t="shared" ca="1" si="122"/>
        <v>0</v>
      </c>
      <c r="F1980" s="21">
        <f t="shared" ca="1" si="123"/>
        <v>0</v>
      </c>
      <c r="H1980" s="21">
        <v>1965</v>
      </c>
      <c r="I1980" s="107">
        <v>0.66766778702617924</v>
      </c>
      <c r="J1980" s="108">
        <v>1.2692895790187354E-3</v>
      </c>
      <c r="K1980" s="108"/>
      <c r="L1980" s="108">
        <v>4.0399999999999998E-2</v>
      </c>
      <c r="O1980" s="105"/>
    </row>
    <row r="1981" spans="2:15" x14ac:dyDescent="0.2">
      <c r="B1981" s="1">
        <v>1966</v>
      </c>
      <c r="C1981" s="106">
        <f t="shared" ca="1" si="120"/>
        <v>-2.6068184921566404</v>
      </c>
      <c r="D1981" s="106">
        <f t="shared" ca="1" si="121"/>
        <v>0.51383289417261602</v>
      </c>
      <c r="E1981" s="106">
        <f t="shared" ca="1" si="122"/>
        <v>0</v>
      </c>
      <c r="F1981" s="21">
        <f t="shared" ca="1" si="123"/>
        <v>0</v>
      </c>
      <c r="H1981" s="21">
        <v>1966</v>
      </c>
      <c r="I1981" s="107">
        <v>0.66768858074768533</v>
      </c>
      <c r="J1981" s="108">
        <v>1.3298963541609006E-3</v>
      </c>
      <c r="K1981" s="108"/>
      <c r="L1981" s="108">
        <v>3.9600000000000003E-2</v>
      </c>
      <c r="O1981" s="105"/>
    </row>
    <row r="1982" spans="2:15" x14ac:dyDescent="0.2">
      <c r="B1982" s="1">
        <v>1967</v>
      </c>
      <c r="C1982" s="106">
        <f t="shared" ca="1" si="120"/>
        <v>1.1911499261660361</v>
      </c>
      <c r="D1982" s="106">
        <f t="shared" ca="1" si="121"/>
        <v>0.74735084282599107</v>
      </c>
      <c r="E1982" s="106">
        <f t="shared" ca="1" si="122"/>
        <v>0</v>
      </c>
      <c r="F1982" s="21">
        <f t="shared" ca="1" si="123"/>
        <v>0</v>
      </c>
      <c r="H1982" s="21">
        <v>1967</v>
      </c>
      <c r="I1982" s="107">
        <v>0.66766808421983581</v>
      </c>
      <c r="J1982" s="108">
        <v>1.3029410076713325E-3</v>
      </c>
      <c r="K1982" s="108"/>
      <c r="L1982" s="108">
        <v>3.9E-2</v>
      </c>
      <c r="O1982" s="105"/>
    </row>
    <row r="1983" spans="2:15" x14ac:dyDescent="0.2">
      <c r="B1983" s="1">
        <v>1968</v>
      </c>
      <c r="C1983" s="106">
        <f t="shared" ca="1" si="120"/>
        <v>-0.35180114501658205</v>
      </c>
      <c r="D1983" s="106">
        <f t="shared" ca="1" si="121"/>
        <v>0.64183804449919035</v>
      </c>
      <c r="E1983" s="106">
        <f t="shared" ca="1" si="122"/>
        <v>0</v>
      </c>
      <c r="F1983" s="21">
        <f t="shared" ca="1" si="123"/>
        <v>0</v>
      </c>
      <c r="H1983" s="21">
        <v>1968</v>
      </c>
      <c r="I1983" s="107">
        <v>0.66766531696850639</v>
      </c>
      <c r="J1983" s="108">
        <v>1.3273686672183897E-3</v>
      </c>
      <c r="K1983" s="108"/>
      <c r="L1983" s="108">
        <v>4.0599999999999997E-2</v>
      </c>
      <c r="O1983" s="105"/>
    </row>
    <row r="1984" spans="2:15" x14ac:dyDescent="0.2">
      <c r="B1984" s="1">
        <v>1969</v>
      </c>
      <c r="C1984" s="106">
        <f t="shared" ca="1" si="120"/>
        <v>0.28620448601945669</v>
      </c>
      <c r="D1984" s="106">
        <f t="shared" ca="1" si="121"/>
        <v>0.68352943888172679</v>
      </c>
      <c r="E1984" s="106">
        <f t="shared" ca="1" si="122"/>
        <v>0</v>
      </c>
      <c r="F1984" s="21">
        <f t="shared" ca="1" si="123"/>
        <v>0</v>
      </c>
      <c r="H1984" s="21">
        <v>1969</v>
      </c>
      <c r="I1984" s="107">
        <v>0.66777956349799472</v>
      </c>
      <c r="J1984" s="108">
        <v>1.2837909550605963E-3</v>
      </c>
      <c r="K1984" s="108"/>
      <c r="L1984" s="108">
        <v>3.7199999999999997E-2</v>
      </c>
      <c r="O1984" s="105"/>
    </row>
    <row r="1985" spans="2:15" x14ac:dyDescent="0.2">
      <c r="B1985" s="1">
        <v>1970</v>
      </c>
      <c r="C1985" s="106">
        <f t="shared" ca="1" si="120"/>
        <v>0.37796795741311712</v>
      </c>
      <c r="D1985" s="106">
        <f t="shared" ca="1" si="121"/>
        <v>0.68974460852089936</v>
      </c>
      <c r="E1985" s="106">
        <f t="shared" ca="1" si="122"/>
        <v>0</v>
      </c>
      <c r="F1985" s="21">
        <f t="shared" ca="1" si="123"/>
        <v>0</v>
      </c>
      <c r="H1985" s="21">
        <v>1970</v>
      </c>
      <c r="I1985" s="107">
        <v>0.66772129290805948</v>
      </c>
      <c r="J1985" s="108">
        <v>1.4140477015105784E-3</v>
      </c>
      <c r="K1985" s="108"/>
      <c r="L1985" s="108">
        <v>3.9399999999999998E-2</v>
      </c>
      <c r="O1985" s="105"/>
    </row>
    <row r="1986" spans="2:15" x14ac:dyDescent="0.2">
      <c r="B1986" s="1">
        <v>1971</v>
      </c>
      <c r="C1986" s="106">
        <f t="shared" ca="1" si="120"/>
        <v>0.82866317261206446</v>
      </c>
      <c r="D1986" s="106">
        <f t="shared" ca="1" si="121"/>
        <v>0.72110053802584073</v>
      </c>
      <c r="E1986" s="106">
        <f t="shared" ca="1" si="122"/>
        <v>0</v>
      </c>
      <c r="F1986" s="21">
        <f t="shared" ca="1" si="123"/>
        <v>0</v>
      </c>
      <c r="H1986" s="21">
        <v>1971</v>
      </c>
      <c r="I1986" s="107">
        <v>0.66774663684795688</v>
      </c>
      <c r="J1986" s="108">
        <v>1.3867635906175011E-3</v>
      </c>
      <c r="K1986" s="108"/>
      <c r="L1986" s="108">
        <v>4.5199999999999997E-2</v>
      </c>
      <c r="O1986" s="105"/>
    </row>
    <row r="1987" spans="2:15" x14ac:dyDescent="0.2">
      <c r="B1987" s="1">
        <v>1972</v>
      </c>
      <c r="C1987" s="106">
        <f t="shared" ca="1" si="120"/>
        <v>1.4064471551797142</v>
      </c>
      <c r="D1987" s="106">
        <f t="shared" ca="1" si="121"/>
        <v>0.76339221929621282</v>
      </c>
      <c r="E1987" s="106">
        <f t="shared" ca="1" si="122"/>
        <v>0</v>
      </c>
      <c r="F1987" s="21">
        <f t="shared" ca="1" si="123"/>
        <v>0</v>
      </c>
      <c r="H1987" s="21">
        <v>1972</v>
      </c>
      <c r="I1987" s="107">
        <v>0.66774641408166457</v>
      </c>
      <c r="J1987" s="108">
        <v>1.4969115368185639E-3</v>
      </c>
      <c r="K1987" s="108"/>
      <c r="L1987" s="108">
        <v>4.24E-2</v>
      </c>
      <c r="O1987" s="105"/>
    </row>
    <row r="1988" spans="2:15" x14ac:dyDescent="0.2">
      <c r="B1988" s="1">
        <v>1973</v>
      </c>
      <c r="C1988" s="106">
        <f t="shared" ca="1" si="120"/>
        <v>-0.11665278351516689</v>
      </c>
      <c r="D1988" s="106">
        <f t="shared" ca="1" si="121"/>
        <v>0.65689970502691508</v>
      </c>
      <c r="E1988" s="106">
        <f t="shared" ca="1" si="122"/>
        <v>0</v>
      </c>
      <c r="F1988" s="21">
        <f t="shared" ca="1" si="123"/>
        <v>0</v>
      </c>
      <c r="H1988" s="21">
        <v>1973</v>
      </c>
      <c r="I1988" s="107">
        <v>0.66776636965528546</v>
      </c>
      <c r="J1988" s="108">
        <v>1.3426306820892556E-3</v>
      </c>
      <c r="K1988" s="108"/>
      <c r="L1988" s="108">
        <v>4.48E-2</v>
      </c>
      <c r="O1988" s="105"/>
    </row>
    <row r="1989" spans="2:15" x14ac:dyDescent="0.2">
      <c r="B1989" s="1">
        <v>1974</v>
      </c>
      <c r="C1989" s="106">
        <f t="shared" ca="1" si="120"/>
        <v>1.1706024791048957</v>
      </c>
      <c r="D1989" s="106">
        <f t="shared" ca="1" si="121"/>
        <v>0.74583762567900336</v>
      </c>
      <c r="E1989" s="106">
        <f t="shared" ca="1" si="122"/>
        <v>0</v>
      </c>
      <c r="F1989" s="21">
        <f t="shared" ca="1" si="123"/>
        <v>0</v>
      </c>
      <c r="H1989" s="21">
        <v>1974</v>
      </c>
      <c r="I1989" s="107">
        <v>0.66769778604903163</v>
      </c>
      <c r="J1989" s="108">
        <v>1.2281842327797579E-3</v>
      </c>
      <c r="K1989" s="108"/>
      <c r="L1989" s="108">
        <v>0.04</v>
      </c>
      <c r="O1989" s="105"/>
    </row>
    <row r="1990" spans="2:15" x14ac:dyDescent="0.2">
      <c r="B1990" s="1">
        <v>1975</v>
      </c>
      <c r="C1990" s="106">
        <f t="shared" ca="1" si="120"/>
        <v>0.26289389691120263</v>
      </c>
      <c r="D1990" s="106">
        <f t="shared" ca="1" si="121"/>
        <v>0.68195954548109938</v>
      </c>
      <c r="E1990" s="106">
        <f t="shared" ca="1" si="122"/>
        <v>0</v>
      </c>
      <c r="F1990" s="21">
        <f t="shared" ca="1" si="123"/>
        <v>0</v>
      </c>
      <c r="H1990" s="21">
        <v>1975</v>
      </c>
      <c r="I1990" s="107">
        <v>0.6677920992626124</v>
      </c>
      <c r="J1990" s="108">
        <v>1.4741886612668303E-3</v>
      </c>
      <c r="K1990" s="108"/>
      <c r="L1990" s="108">
        <v>4.36E-2</v>
      </c>
      <c r="O1990" s="105"/>
    </row>
    <row r="1991" spans="2:15" x14ac:dyDescent="0.2">
      <c r="B1991" s="1">
        <v>1976</v>
      </c>
      <c r="C1991" s="106">
        <f t="shared" ca="1" si="120"/>
        <v>0.90527335579430956</v>
      </c>
      <c r="D1991" s="106">
        <f t="shared" ca="1" si="121"/>
        <v>0.72657048631801524</v>
      </c>
      <c r="E1991" s="106">
        <f t="shared" ca="1" si="122"/>
        <v>0</v>
      </c>
      <c r="F1991" s="21">
        <f t="shared" ca="1" si="123"/>
        <v>0</v>
      </c>
      <c r="H1991" s="21">
        <v>1976</v>
      </c>
      <c r="I1991" s="107">
        <v>0.66778357002273492</v>
      </c>
      <c r="J1991" s="108">
        <v>1.439912331494757E-3</v>
      </c>
      <c r="K1991" s="108"/>
      <c r="L1991" s="108">
        <v>4.5400000000000003E-2</v>
      </c>
      <c r="O1991" s="105"/>
    </row>
    <row r="1992" spans="2:15" x14ac:dyDescent="0.2">
      <c r="B1992" s="1">
        <v>1977</v>
      </c>
      <c r="C1992" s="106">
        <f t="shared" ca="1" si="120"/>
        <v>0.5594596128709125</v>
      </c>
      <c r="D1992" s="106">
        <f t="shared" ca="1" si="121"/>
        <v>0.70220400976476949</v>
      </c>
      <c r="E1992" s="106">
        <f t="shared" ca="1" si="122"/>
        <v>0</v>
      </c>
      <c r="F1992" s="21">
        <f t="shared" ca="1" si="123"/>
        <v>0</v>
      </c>
      <c r="H1992" s="21">
        <v>1977</v>
      </c>
      <c r="I1992" s="107">
        <v>0.6677411278426959</v>
      </c>
      <c r="J1992" s="108">
        <v>1.4618264967431692E-3</v>
      </c>
      <c r="K1992" s="108"/>
      <c r="L1992" s="108">
        <v>4.24E-2</v>
      </c>
      <c r="O1992" s="105"/>
    </row>
    <row r="1993" spans="2:15" x14ac:dyDescent="0.2">
      <c r="B1993" s="1">
        <v>1978</v>
      </c>
      <c r="C1993" s="106">
        <f t="shared" ca="1" si="120"/>
        <v>-2.2787986322741602</v>
      </c>
      <c r="D1993" s="106">
        <f t="shared" ca="1" si="121"/>
        <v>0.53073053099039813</v>
      </c>
      <c r="E1993" s="106">
        <f t="shared" ca="1" si="122"/>
        <v>0</v>
      </c>
      <c r="F1993" s="21">
        <f t="shared" ca="1" si="123"/>
        <v>0</v>
      </c>
      <c r="H1993" s="21">
        <v>1978</v>
      </c>
      <c r="I1993" s="107">
        <v>0.66766613611156567</v>
      </c>
      <c r="J1993" s="108">
        <v>1.2446396322170015E-3</v>
      </c>
      <c r="K1993" s="108"/>
      <c r="L1993" s="108">
        <v>4.1799999999999997E-2</v>
      </c>
      <c r="O1993" s="105"/>
    </row>
    <row r="1994" spans="2:15" x14ac:dyDescent="0.2">
      <c r="B1994" s="1">
        <v>1979</v>
      </c>
      <c r="C1994" s="106">
        <f t="shared" ca="1" si="120"/>
        <v>1.4295552862465868</v>
      </c>
      <c r="D1994" s="106">
        <f t="shared" ca="1" si="121"/>
        <v>0.7651342929592363</v>
      </c>
      <c r="E1994" s="106">
        <f t="shared" ca="1" si="122"/>
        <v>0</v>
      </c>
      <c r="F1994" s="21">
        <f t="shared" ca="1" si="123"/>
        <v>0</v>
      </c>
      <c r="H1994" s="21">
        <v>1979</v>
      </c>
      <c r="I1994" s="107">
        <v>0.66775708191653593</v>
      </c>
      <c r="J1994" s="108">
        <v>1.4642005395077223E-3</v>
      </c>
      <c r="K1994" s="108"/>
      <c r="L1994" s="108">
        <v>4.3999999999999997E-2</v>
      </c>
      <c r="O1994" s="105"/>
    </row>
    <row r="1995" spans="2:15" x14ac:dyDescent="0.2">
      <c r="B1995" s="1">
        <v>1980</v>
      </c>
      <c r="C1995" s="106">
        <f t="shared" ca="1" si="120"/>
        <v>0.93327445456170233</v>
      </c>
      <c r="D1995" s="106">
        <f t="shared" ca="1" si="121"/>
        <v>0.72858009565416582</v>
      </c>
      <c r="E1995" s="106">
        <f t="shared" ca="1" si="122"/>
        <v>0</v>
      </c>
      <c r="F1995" s="21">
        <f t="shared" ca="1" si="123"/>
        <v>0</v>
      </c>
      <c r="H1995" s="21">
        <v>1980</v>
      </c>
      <c r="I1995" s="107">
        <v>0.66762562868712161</v>
      </c>
      <c r="J1995" s="108">
        <v>1.2539131011677967E-3</v>
      </c>
      <c r="K1995" s="108"/>
      <c r="L1995" s="108">
        <v>4.2599999999999999E-2</v>
      </c>
      <c r="O1995" s="105"/>
    </row>
    <row r="1996" spans="2:15" x14ac:dyDescent="0.2">
      <c r="B1996" s="1">
        <v>1981</v>
      </c>
      <c r="C1996" s="106">
        <f t="shared" ca="1" si="120"/>
        <v>1.3366911835640676</v>
      </c>
      <c r="D1996" s="106">
        <f t="shared" ca="1" si="121"/>
        <v>0.75815748397848326</v>
      </c>
      <c r="E1996" s="106">
        <f t="shared" ca="1" si="122"/>
        <v>0</v>
      </c>
      <c r="F1996" s="21">
        <f t="shared" ca="1" si="123"/>
        <v>0</v>
      </c>
      <c r="H1996" s="21">
        <v>1981</v>
      </c>
      <c r="I1996" s="107">
        <v>0.66769854463345923</v>
      </c>
      <c r="J1996" s="108">
        <v>1.2604443521021735E-3</v>
      </c>
      <c r="K1996" s="108"/>
      <c r="L1996" s="108">
        <v>3.9E-2</v>
      </c>
      <c r="O1996" s="105"/>
    </row>
    <row r="1997" spans="2:15" x14ac:dyDescent="0.2">
      <c r="B1997" s="1">
        <v>1982</v>
      </c>
      <c r="C1997" s="106">
        <f t="shared" ca="1" si="120"/>
        <v>-0.91626695373427602</v>
      </c>
      <c r="D1997" s="106">
        <f t="shared" ca="1" si="121"/>
        <v>0.60707743261346447</v>
      </c>
      <c r="E1997" s="106">
        <f t="shared" ca="1" si="122"/>
        <v>0</v>
      </c>
      <c r="F1997" s="21">
        <f t="shared" ca="1" si="123"/>
        <v>0</v>
      </c>
      <c r="H1997" s="21">
        <v>1982</v>
      </c>
      <c r="I1997" s="107">
        <v>0.66763602225193031</v>
      </c>
      <c r="J1997" s="108">
        <v>1.2038431388185055E-3</v>
      </c>
      <c r="K1997" s="108"/>
      <c r="L1997" s="108">
        <v>3.78E-2</v>
      </c>
      <c r="O1997" s="105"/>
    </row>
    <row r="1998" spans="2:15" x14ac:dyDescent="0.2">
      <c r="B1998" s="1">
        <v>1983</v>
      </c>
      <c r="C1998" s="106">
        <f t="shared" ca="1" si="120"/>
        <v>-0.39639653869426761</v>
      </c>
      <c r="D1998" s="106">
        <f t="shared" ca="1" si="121"/>
        <v>0.63902083276011601</v>
      </c>
      <c r="E1998" s="106">
        <f t="shared" ca="1" si="122"/>
        <v>0</v>
      </c>
      <c r="F1998" s="21">
        <f t="shared" ca="1" si="123"/>
        <v>0</v>
      </c>
      <c r="H1998" s="21">
        <v>1983</v>
      </c>
      <c r="I1998" s="107">
        <v>0.6677155560473077</v>
      </c>
      <c r="J1998" s="108">
        <v>1.350001116876732E-3</v>
      </c>
      <c r="K1998" s="108"/>
      <c r="L1998" s="108">
        <v>4.1799999999999997E-2</v>
      </c>
      <c r="O1998" s="105"/>
    </row>
    <row r="1999" spans="2:15" x14ac:dyDescent="0.2">
      <c r="B1999" s="1">
        <v>1984</v>
      </c>
      <c r="C1999" s="106">
        <f t="shared" ca="1" si="120"/>
        <v>0.5349323138227754</v>
      </c>
      <c r="D1999" s="106">
        <f t="shared" ca="1" si="121"/>
        <v>0.70050714719183804</v>
      </c>
      <c r="E1999" s="106">
        <f t="shared" ca="1" si="122"/>
        <v>0</v>
      </c>
      <c r="F1999" s="21">
        <f t="shared" ca="1" si="123"/>
        <v>0</v>
      </c>
      <c r="H1999" s="21">
        <v>1984</v>
      </c>
      <c r="I1999" s="107">
        <v>0.6675875861907058</v>
      </c>
      <c r="J1999" s="108">
        <v>1.3069766618720559E-3</v>
      </c>
      <c r="K1999" s="108"/>
      <c r="L1999" s="108">
        <v>4.1000000000000002E-2</v>
      </c>
      <c r="O1999" s="105"/>
    </row>
    <row r="2000" spans="2:15" x14ac:dyDescent="0.2">
      <c r="B2000" s="1">
        <v>1985</v>
      </c>
      <c r="C2000" s="106">
        <f t="shared" ref="C2000:C2063" ca="1" si="124">_xlfn.NORM.S.INV(RAND())</f>
        <v>-1.6618174290973622</v>
      </c>
      <c r="D2000" s="106">
        <f t="shared" ref="D2000:D2063" ca="1" si="125">S0*EXP((μ-0.5*σ*σ)*T+σ*SQRT(T)*$C2000)</f>
        <v>0.56403384676549562</v>
      </c>
      <c r="E2000" s="106">
        <f t="shared" ref="E2000:E2063" ca="1" si="126">MAX(0,CP*(D2000-K))</f>
        <v>0</v>
      </c>
      <c r="F2000" s="21">
        <f t="shared" ref="F2000:F2063" ca="1" si="127">(CP*(D2000-K)&gt;0)*1</f>
        <v>0</v>
      </c>
      <c r="H2000" s="21">
        <v>1985</v>
      </c>
      <c r="I2000" s="107">
        <v>0.66771166712439933</v>
      </c>
      <c r="J2000" s="108">
        <v>1.3169271610901352E-3</v>
      </c>
      <c r="K2000" s="108"/>
      <c r="L2000" s="108">
        <v>4.1599999999999998E-2</v>
      </c>
      <c r="O2000" s="105"/>
    </row>
    <row r="2001" spans="2:15" x14ac:dyDescent="0.2">
      <c r="B2001" s="1">
        <v>1986</v>
      </c>
      <c r="C2001" s="106">
        <f t="shared" ca="1" si="124"/>
        <v>-1.3062711759611749</v>
      </c>
      <c r="D2001" s="106">
        <f t="shared" ca="1" si="125"/>
        <v>0.58416636595696392</v>
      </c>
      <c r="E2001" s="106">
        <f t="shared" ca="1" si="126"/>
        <v>0</v>
      </c>
      <c r="F2001" s="21">
        <f t="shared" ca="1" si="127"/>
        <v>0</v>
      </c>
      <c r="H2001" s="21">
        <v>1986</v>
      </c>
      <c r="I2001" s="107">
        <v>0.66765525561539907</v>
      </c>
      <c r="J2001" s="108">
        <v>1.2918073038604579E-3</v>
      </c>
      <c r="K2001" s="108"/>
      <c r="L2001" s="108">
        <v>3.9E-2</v>
      </c>
      <c r="O2001" s="105"/>
    </row>
    <row r="2002" spans="2:15" x14ac:dyDescent="0.2">
      <c r="B2002" s="1">
        <v>1987</v>
      </c>
      <c r="C2002" s="106">
        <f t="shared" ca="1" si="124"/>
        <v>-2.7780207520829034E-2</v>
      </c>
      <c r="D2002" s="106">
        <f t="shared" ca="1" si="125"/>
        <v>0.66268373786390455</v>
      </c>
      <c r="E2002" s="106">
        <f t="shared" ca="1" si="126"/>
        <v>0</v>
      </c>
      <c r="F2002" s="21">
        <f t="shared" ca="1" si="127"/>
        <v>0</v>
      </c>
      <c r="H2002" s="21">
        <v>1987</v>
      </c>
      <c r="I2002" s="107">
        <v>0.66791590959158886</v>
      </c>
      <c r="J2002" s="108">
        <v>1.7463300265919419E-3</v>
      </c>
      <c r="K2002" s="108"/>
      <c r="L2002" s="108">
        <v>4.4600000000000001E-2</v>
      </c>
      <c r="O2002" s="105"/>
    </row>
    <row r="2003" spans="2:15" x14ac:dyDescent="0.2">
      <c r="B2003" s="1">
        <v>1988</v>
      </c>
      <c r="C2003" s="106">
        <f t="shared" ca="1" si="124"/>
        <v>-0.2093875893234117</v>
      </c>
      <c r="D2003" s="106">
        <f t="shared" ca="1" si="125"/>
        <v>0.65091812527386961</v>
      </c>
      <c r="E2003" s="106">
        <f t="shared" ca="1" si="126"/>
        <v>0</v>
      </c>
      <c r="F2003" s="21">
        <f t="shared" ca="1" si="127"/>
        <v>0</v>
      </c>
      <c r="H2003" s="21">
        <v>1988</v>
      </c>
      <c r="I2003" s="107">
        <v>0.66772820075043993</v>
      </c>
      <c r="J2003" s="108">
        <v>1.3041357399489189E-3</v>
      </c>
      <c r="K2003" s="108"/>
      <c r="L2003" s="108">
        <v>4.2799999999999998E-2</v>
      </c>
      <c r="O2003" s="105"/>
    </row>
    <row r="2004" spans="2:15" x14ac:dyDescent="0.2">
      <c r="B2004" s="1">
        <v>1989</v>
      </c>
      <c r="C2004" s="106">
        <f t="shared" ca="1" si="124"/>
        <v>0.47058711237671236</v>
      </c>
      <c r="D2004" s="106">
        <f t="shared" ca="1" si="125"/>
        <v>0.69607504147515553</v>
      </c>
      <c r="E2004" s="106">
        <f t="shared" ca="1" si="126"/>
        <v>0</v>
      </c>
      <c r="F2004" s="21">
        <f t="shared" ca="1" si="127"/>
        <v>0</v>
      </c>
      <c r="H2004" s="21">
        <v>1989</v>
      </c>
      <c r="I2004" s="107">
        <v>0.66774685680755608</v>
      </c>
      <c r="J2004" s="108">
        <v>1.4030598193037996E-3</v>
      </c>
      <c r="K2004" s="108"/>
      <c r="L2004" s="108">
        <v>0.04</v>
      </c>
      <c r="O2004" s="105"/>
    </row>
    <row r="2005" spans="2:15" x14ac:dyDescent="0.2">
      <c r="B2005" s="1">
        <v>1990</v>
      </c>
      <c r="C2005" s="106">
        <f t="shared" ca="1" si="124"/>
        <v>0.64774933223766107</v>
      </c>
      <c r="D2005" s="106">
        <f t="shared" ca="1" si="125"/>
        <v>0.70834622248669243</v>
      </c>
      <c r="E2005" s="106">
        <f t="shared" ca="1" si="126"/>
        <v>0</v>
      </c>
      <c r="F2005" s="21">
        <f t="shared" ca="1" si="127"/>
        <v>0</v>
      </c>
      <c r="H2005" s="21">
        <v>1990</v>
      </c>
      <c r="I2005" s="107">
        <v>0.66789460273946377</v>
      </c>
      <c r="J2005" s="108">
        <v>1.5372930854619128E-3</v>
      </c>
      <c r="K2005" s="108"/>
      <c r="L2005" s="108">
        <v>4.82E-2</v>
      </c>
      <c r="O2005" s="105"/>
    </row>
    <row r="2006" spans="2:15" x14ac:dyDescent="0.2">
      <c r="B2006" s="1">
        <v>1991</v>
      </c>
      <c r="C2006" s="106">
        <f t="shared" ca="1" si="124"/>
        <v>-0.95851291412377537</v>
      </c>
      <c r="D2006" s="106">
        <f t="shared" ca="1" si="125"/>
        <v>0.6045528848270344</v>
      </c>
      <c r="E2006" s="106">
        <f t="shared" ca="1" si="126"/>
        <v>0</v>
      </c>
      <c r="F2006" s="21">
        <f t="shared" ca="1" si="127"/>
        <v>0</v>
      </c>
      <c r="H2006" s="21">
        <v>1991</v>
      </c>
      <c r="I2006" s="107">
        <v>0.66776787986874053</v>
      </c>
      <c r="J2006" s="108">
        <v>1.3652523645911803E-3</v>
      </c>
      <c r="K2006" s="108"/>
      <c r="L2006" s="108">
        <v>4.0399999999999998E-2</v>
      </c>
      <c r="O2006" s="105"/>
    </row>
    <row r="2007" spans="2:15" x14ac:dyDescent="0.2">
      <c r="B2007" s="1">
        <v>1992</v>
      </c>
      <c r="C2007" s="106">
        <f t="shared" ca="1" si="124"/>
        <v>2.0023805691935803</v>
      </c>
      <c r="D2007" s="106">
        <f t="shared" ca="1" si="125"/>
        <v>0.80961239635097992</v>
      </c>
      <c r="E2007" s="106">
        <f t="shared" ca="1" si="126"/>
        <v>2.1412396350979912E-2</v>
      </c>
      <c r="F2007" s="21">
        <f t="shared" ca="1" si="127"/>
        <v>1</v>
      </c>
      <c r="H2007" s="21">
        <v>1992</v>
      </c>
      <c r="I2007" s="107">
        <v>0.66770979107381478</v>
      </c>
      <c r="J2007" s="108">
        <v>1.4305384476903306E-3</v>
      </c>
      <c r="K2007" s="108"/>
      <c r="L2007" s="108">
        <v>4.0800000000000003E-2</v>
      </c>
      <c r="O2007" s="105"/>
    </row>
    <row r="2008" spans="2:15" x14ac:dyDescent="0.2">
      <c r="B2008" s="1">
        <v>1993</v>
      </c>
      <c r="C2008" s="106">
        <f t="shared" ca="1" si="124"/>
        <v>1.7442382476826612</v>
      </c>
      <c r="D2008" s="106">
        <f t="shared" ca="1" si="125"/>
        <v>0.78925708895380309</v>
      </c>
      <c r="E2008" s="106">
        <f t="shared" ca="1" si="126"/>
        <v>1.0570889538030759E-3</v>
      </c>
      <c r="F2008" s="21">
        <f t="shared" ca="1" si="127"/>
        <v>1</v>
      </c>
      <c r="H2008" s="21">
        <v>1993</v>
      </c>
      <c r="I2008" s="107">
        <v>0.66784191855171626</v>
      </c>
      <c r="J2008" s="108">
        <v>1.5224636104539705E-3</v>
      </c>
      <c r="K2008" s="108"/>
      <c r="L2008" s="108">
        <v>4.6399999999999997E-2</v>
      </c>
      <c r="O2008" s="105"/>
    </row>
    <row r="2009" spans="2:15" x14ac:dyDescent="0.2">
      <c r="B2009" s="1">
        <v>1994</v>
      </c>
      <c r="C2009" s="106">
        <f t="shared" ca="1" si="124"/>
        <v>0.42430875779475796</v>
      </c>
      <c r="D2009" s="106">
        <f t="shared" ca="1" si="125"/>
        <v>0.69290472964781857</v>
      </c>
      <c r="E2009" s="106">
        <f t="shared" ca="1" si="126"/>
        <v>0</v>
      </c>
      <c r="F2009" s="21">
        <f t="shared" ca="1" si="127"/>
        <v>0</v>
      </c>
      <c r="H2009" s="21">
        <v>1994</v>
      </c>
      <c r="I2009" s="107">
        <v>0.66785400304674458</v>
      </c>
      <c r="J2009" s="108">
        <v>1.5714351713121829E-3</v>
      </c>
      <c r="K2009" s="108"/>
      <c r="L2009" s="108">
        <v>4.6399999999999997E-2</v>
      </c>
      <c r="O2009" s="105"/>
    </row>
    <row r="2010" spans="2:15" x14ac:dyDescent="0.2">
      <c r="B2010" s="1">
        <v>1995</v>
      </c>
      <c r="C2010" s="106">
        <f t="shared" ca="1" si="124"/>
        <v>0.37936510505328164</v>
      </c>
      <c r="D2010" s="106">
        <f t="shared" ca="1" si="125"/>
        <v>0.68983967325624118</v>
      </c>
      <c r="E2010" s="106">
        <f t="shared" ca="1" si="126"/>
        <v>0</v>
      </c>
      <c r="F2010" s="21">
        <f t="shared" ca="1" si="127"/>
        <v>0</v>
      </c>
      <c r="H2010" s="21">
        <v>1995</v>
      </c>
      <c r="I2010" s="107">
        <v>0.6677873140082895</v>
      </c>
      <c r="J2010" s="108">
        <v>1.3244766459753971E-3</v>
      </c>
      <c r="K2010" s="108"/>
      <c r="L2010" s="108">
        <v>4.1599999999999998E-2</v>
      </c>
      <c r="O2010" s="105"/>
    </row>
    <row r="2011" spans="2:15" x14ac:dyDescent="0.2">
      <c r="B2011" s="1">
        <v>1996</v>
      </c>
      <c r="C2011" s="106">
        <f t="shared" ca="1" si="124"/>
        <v>0.33546050737687305</v>
      </c>
      <c r="D2011" s="106">
        <f t="shared" ca="1" si="125"/>
        <v>0.68685857022379126</v>
      </c>
      <c r="E2011" s="106">
        <f t="shared" ca="1" si="126"/>
        <v>0</v>
      </c>
      <c r="F2011" s="21">
        <f t="shared" ca="1" si="127"/>
        <v>0</v>
      </c>
      <c r="H2011" s="21">
        <v>1996</v>
      </c>
      <c r="I2011" s="107">
        <v>0.66789772820766413</v>
      </c>
      <c r="J2011" s="108">
        <v>1.351383817666749E-3</v>
      </c>
      <c r="K2011" s="108"/>
      <c r="L2011" s="108">
        <v>4.58E-2</v>
      </c>
      <c r="O2011" s="105"/>
    </row>
    <row r="2012" spans="2:15" x14ac:dyDescent="0.2">
      <c r="B2012" s="1">
        <v>1997</v>
      </c>
      <c r="C2012" s="106">
        <f t="shared" ca="1" si="124"/>
        <v>0.55930395052883364</v>
      </c>
      <c r="D2012" s="106">
        <f t="shared" ca="1" si="125"/>
        <v>0.7021932276876951</v>
      </c>
      <c r="E2012" s="106">
        <f t="shared" ca="1" si="126"/>
        <v>0</v>
      </c>
      <c r="F2012" s="21">
        <f t="shared" ca="1" si="127"/>
        <v>0</v>
      </c>
      <c r="H2012" s="21">
        <v>1997</v>
      </c>
      <c r="I2012" s="107">
        <v>0.66766005614792989</v>
      </c>
      <c r="J2012" s="108">
        <v>1.2203849291789544E-3</v>
      </c>
      <c r="K2012" s="108"/>
      <c r="L2012" s="108">
        <v>4.2000000000000003E-2</v>
      </c>
      <c r="O2012" s="105"/>
    </row>
    <row r="2013" spans="2:15" x14ac:dyDescent="0.2">
      <c r="B2013" s="1">
        <v>1998</v>
      </c>
      <c r="C2013" s="106">
        <f t="shared" ca="1" si="124"/>
        <v>0.57724248941214618</v>
      </c>
      <c r="D2013" s="106">
        <f t="shared" ca="1" si="125"/>
        <v>0.70343684539804163</v>
      </c>
      <c r="E2013" s="106">
        <f t="shared" ca="1" si="126"/>
        <v>0</v>
      </c>
      <c r="F2013" s="21">
        <f t="shared" ca="1" si="127"/>
        <v>0</v>
      </c>
      <c r="H2013" s="21">
        <v>1998</v>
      </c>
      <c r="I2013" s="107">
        <v>0.66769832596676781</v>
      </c>
      <c r="J2013" s="108">
        <v>1.3677863731245854E-3</v>
      </c>
      <c r="K2013" s="108"/>
      <c r="L2013" s="108">
        <v>4.2200000000000001E-2</v>
      </c>
      <c r="O2013" s="105"/>
    </row>
    <row r="2014" spans="2:15" x14ac:dyDescent="0.2">
      <c r="B2014" s="1">
        <v>1999</v>
      </c>
      <c r="C2014" s="106">
        <f t="shared" ca="1" si="124"/>
        <v>-0.41521044347532376</v>
      </c>
      <c r="D2014" s="106">
        <f t="shared" ca="1" si="125"/>
        <v>0.63783601942514745</v>
      </c>
      <c r="E2014" s="106">
        <f t="shared" ca="1" si="126"/>
        <v>0</v>
      </c>
      <c r="F2014" s="21">
        <f t="shared" ca="1" si="127"/>
        <v>0</v>
      </c>
      <c r="H2014" s="21">
        <v>1999</v>
      </c>
      <c r="I2014" s="107">
        <v>0.66769356690305981</v>
      </c>
      <c r="J2014" s="108">
        <v>1.3923306263684656E-3</v>
      </c>
      <c r="K2014" s="108"/>
      <c r="L2014" s="108">
        <v>4.1200000000000001E-2</v>
      </c>
      <c r="O2014" s="105"/>
    </row>
    <row r="2015" spans="2:15" x14ac:dyDescent="0.2">
      <c r="B2015" s="1">
        <v>2000</v>
      </c>
      <c r="C2015" s="106">
        <f t="shared" ca="1" si="124"/>
        <v>-0.96459909240236164</v>
      </c>
      <c r="D2015" s="106">
        <f t="shared" ca="1" si="125"/>
        <v>0.60419005121626379</v>
      </c>
      <c r="E2015" s="106">
        <f t="shared" ca="1" si="126"/>
        <v>0</v>
      </c>
      <c r="F2015" s="21">
        <f t="shared" ca="1" si="127"/>
        <v>0</v>
      </c>
      <c r="H2015" s="21">
        <v>2000</v>
      </c>
      <c r="I2015" s="107">
        <v>0.66766937615259936</v>
      </c>
      <c r="J2015" s="108">
        <v>1.3935585292075077E-3</v>
      </c>
      <c r="K2015" s="108"/>
      <c r="L2015" s="108">
        <v>3.5400000000000001E-2</v>
      </c>
      <c r="O2015" s="105"/>
    </row>
    <row r="2016" spans="2:15" x14ac:dyDescent="0.2">
      <c r="B2016" s="1">
        <v>2001</v>
      </c>
      <c r="C2016" s="106">
        <f t="shared" ca="1" si="124"/>
        <v>-1.579134543092561</v>
      </c>
      <c r="D2016" s="106">
        <f t="shared" ca="1" si="125"/>
        <v>0.56865288906562683</v>
      </c>
      <c r="E2016" s="106">
        <f t="shared" ca="1" si="126"/>
        <v>0</v>
      </c>
      <c r="F2016" s="21">
        <f t="shared" ca="1" si="127"/>
        <v>0</v>
      </c>
      <c r="H2016" s="21">
        <v>2001</v>
      </c>
      <c r="I2016" s="107">
        <v>0.66763327512655446</v>
      </c>
      <c r="J2016" s="108">
        <v>1.242176946176899E-3</v>
      </c>
      <c r="K2016" s="108"/>
      <c r="L2016" s="108">
        <v>3.8600000000000002E-2</v>
      </c>
      <c r="O2016" s="105"/>
    </row>
    <row r="2017" spans="2:15" x14ac:dyDescent="0.2">
      <c r="B2017" s="1">
        <v>2002</v>
      </c>
      <c r="C2017" s="106">
        <f t="shared" ca="1" si="124"/>
        <v>0.22183074589077492</v>
      </c>
      <c r="D2017" s="106">
        <f t="shared" ca="1" si="125"/>
        <v>0.6792028390305449</v>
      </c>
      <c r="E2017" s="106">
        <f t="shared" ca="1" si="126"/>
        <v>0</v>
      </c>
      <c r="F2017" s="21">
        <f t="shared" ca="1" si="127"/>
        <v>0</v>
      </c>
      <c r="H2017" s="21">
        <v>2002</v>
      </c>
      <c r="I2017" s="107">
        <v>0.66781744201638527</v>
      </c>
      <c r="J2017" s="108">
        <v>1.4495211451528477E-3</v>
      </c>
      <c r="K2017" s="108"/>
      <c r="L2017" s="108">
        <v>4.2000000000000003E-2</v>
      </c>
      <c r="O2017" s="105"/>
    </row>
    <row r="2018" spans="2:15" x14ac:dyDescent="0.2">
      <c r="B2018" s="1">
        <v>2003</v>
      </c>
      <c r="C2018" s="106">
        <f t="shared" ca="1" si="124"/>
        <v>0.44810974244575674</v>
      </c>
      <c r="D2018" s="106">
        <f t="shared" ca="1" si="125"/>
        <v>0.6945334152613446</v>
      </c>
      <c r="E2018" s="106">
        <f t="shared" ca="1" si="126"/>
        <v>0</v>
      </c>
      <c r="F2018" s="21">
        <f t="shared" ca="1" si="127"/>
        <v>0</v>
      </c>
      <c r="H2018" s="21">
        <v>2003</v>
      </c>
      <c r="I2018" s="107">
        <v>0.66766342243045329</v>
      </c>
      <c r="J2018" s="108">
        <v>1.2826439189051718E-3</v>
      </c>
      <c r="K2018" s="108"/>
      <c r="L2018" s="108">
        <v>4.1000000000000002E-2</v>
      </c>
      <c r="O2018" s="105"/>
    </row>
    <row r="2019" spans="2:15" x14ac:dyDescent="0.2">
      <c r="B2019" s="1">
        <v>2004</v>
      </c>
      <c r="C2019" s="106">
        <f t="shared" ca="1" si="124"/>
        <v>-0.77372068910528868</v>
      </c>
      <c r="D2019" s="106">
        <f t="shared" ca="1" si="125"/>
        <v>0.61567381460020287</v>
      </c>
      <c r="E2019" s="106">
        <f t="shared" ca="1" si="126"/>
        <v>0</v>
      </c>
      <c r="F2019" s="21">
        <f t="shared" ca="1" si="127"/>
        <v>0</v>
      </c>
      <c r="H2019" s="21">
        <v>2004</v>
      </c>
      <c r="I2019" s="107">
        <v>0.66780141984972241</v>
      </c>
      <c r="J2019" s="108">
        <v>1.5241053794196311E-3</v>
      </c>
      <c r="K2019" s="108"/>
      <c r="L2019" s="108">
        <v>4.1799999999999997E-2</v>
      </c>
      <c r="O2019" s="105"/>
    </row>
    <row r="2020" spans="2:15" x14ac:dyDescent="0.2">
      <c r="B2020" s="1">
        <v>2005</v>
      </c>
      <c r="C2020" s="106">
        <f t="shared" ca="1" si="124"/>
        <v>0.40281729476947142</v>
      </c>
      <c r="D2020" s="106">
        <f t="shared" ca="1" si="125"/>
        <v>0.69143736467396877</v>
      </c>
      <c r="E2020" s="106">
        <f t="shared" ca="1" si="126"/>
        <v>0</v>
      </c>
      <c r="F2020" s="21">
        <f t="shared" ca="1" si="127"/>
        <v>0</v>
      </c>
      <c r="H2020" s="21">
        <v>2005</v>
      </c>
      <c r="I2020" s="107">
        <v>0.6678468690053998</v>
      </c>
      <c r="J2020" s="108">
        <v>1.4383314485611103E-3</v>
      </c>
      <c r="K2020" s="108"/>
      <c r="L2020" s="108">
        <v>4.1799999999999997E-2</v>
      </c>
      <c r="O2020" s="105"/>
    </row>
    <row r="2021" spans="2:15" x14ac:dyDescent="0.2">
      <c r="B2021" s="1">
        <v>2006</v>
      </c>
      <c r="C2021" s="106">
        <f t="shared" ca="1" si="124"/>
        <v>0.77170544900162064</v>
      </c>
      <c r="D2021" s="106">
        <f t="shared" ca="1" si="125"/>
        <v>0.71706047724965272</v>
      </c>
      <c r="E2021" s="106">
        <f t="shared" ca="1" si="126"/>
        <v>0</v>
      </c>
      <c r="F2021" s="21">
        <f t="shared" ca="1" si="127"/>
        <v>0</v>
      </c>
      <c r="H2021" s="21">
        <v>2006</v>
      </c>
      <c r="I2021" s="107">
        <v>0.66786263951259894</v>
      </c>
      <c r="J2021" s="108">
        <v>1.4293035730069434E-3</v>
      </c>
      <c r="K2021" s="108"/>
      <c r="L2021" s="108">
        <v>4.58E-2</v>
      </c>
      <c r="O2021" s="105"/>
    </row>
    <row r="2022" spans="2:15" x14ac:dyDescent="0.2">
      <c r="B2022" s="1">
        <v>2007</v>
      </c>
      <c r="C2022" s="106">
        <f t="shared" ca="1" si="124"/>
        <v>-0.12610621026929941</v>
      </c>
      <c r="D2022" s="106">
        <f t="shared" ca="1" si="125"/>
        <v>0.65628743252173338</v>
      </c>
      <c r="E2022" s="106">
        <f t="shared" ca="1" si="126"/>
        <v>0</v>
      </c>
      <c r="F2022" s="21">
        <f t="shared" ca="1" si="127"/>
        <v>0</v>
      </c>
      <c r="H2022" s="21">
        <v>2007</v>
      </c>
      <c r="I2022" s="107">
        <v>0.66758075800777361</v>
      </c>
      <c r="J2022" s="108">
        <v>1.1592489438387867E-3</v>
      </c>
      <c r="K2022" s="108"/>
      <c r="L2022" s="108">
        <v>3.8199999999999998E-2</v>
      </c>
      <c r="O2022" s="105"/>
    </row>
    <row r="2023" spans="2:15" x14ac:dyDescent="0.2">
      <c r="B2023" s="1">
        <v>2008</v>
      </c>
      <c r="C2023" s="106">
        <f t="shared" ca="1" si="124"/>
        <v>-0.25817032911729443</v>
      </c>
      <c r="D2023" s="106">
        <f t="shared" ca="1" si="125"/>
        <v>0.64779343510218923</v>
      </c>
      <c r="E2023" s="106">
        <f t="shared" ca="1" si="126"/>
        <v>0</v>
      </c>
      <c r="F2023" s="21">
        <f t="shared" ca="1" si="127"/>
        <v>0</v>
      </c>
      <c r="H2023" s="21">
        <v>2008</v>
      </c>
      <c r="I2023" s="107">
        <v>0.66776228813305394</v>
      </c>
      <c r="J2023" s="108">
        <v>1.2775359599532139E-3</v>
      </c>
      <c r="K2023" s="108"/>
      <c r="L2023" s="108">
        <v>4.1599999999999998E-2</v>
      </c>
      <c r="O2023" s="105"/>
    </row>
    <row r="2024" spans="2:15" x14ac:dyDescent="0.2">
      <c r="B2024" s="1">
        <v>2009</v>
      </c>
      <c r="C2024" s="106">
        <f t="shared" ca="1" si="124"/>
        <v>0.42143249998231441</v>
      </c>
      <c r="D2024" s="106">
        <f t="shared" ca="1" si="125"/>
        <v>0.69270816806953905</v>
      </c>
      <c r="E2024" s="106">
        <f t="shared" ca="1" si="126"/>
        <v>0</v>
      </c>
      <c r="F2024" s="21">
        <f t="shared" ca="1" si="127"/>
        <v>0</v>
      </c>
      <c r="H2024" s="21">
        <v>2009</v>
      </c>
      <c r="I2024" s="107">
        <v>0.6677407503389422</v>
      </c>
      <c r="J2024" s="108">
        <v>1.3915044992522259E-3</v>
      </c>
      <c r="K2024" s="108"/>
      <c r="L2024" s="108">
        <v>4.0599999999999997E-2</v>
      </c>
      <c r="O2024" s="105"/>
    </row>
    <row r="2025" spans="2:15" x14ac:dyDescent="0.2">
      <c r="B2025" s="1">
        <v>2010</v>
      </c>
      <c r="C2025" s="106">
        <f t="shared" ca="1" si="124"/>
        <v>-1.7240512457912864</v>
      </c>
      <c r="D2025" s="106">
        <f t="shared" ca="1" si="125"/>
        <v>0.56058194716336429</v>
      </c>
      <c r="E2025" s="106">
        <f t="shared" ca="1" si="126"/>
        <v>0</v>
      </c>
      <c r="F2025" s="21">
        <f t="shared" ca="1" si="127"/>
        <v>0</v>
      </c>
      <c r="H2025" s="21">
        <v>2010</v>
      </c>
      <c r="I2025" s="107">
        <v>0.66784279070540542</v>
      </c>
      <c r="J2025" s="108">
        <v>1.4145094326216759E-3</v>
      </c>
      <c r="K2025" s="108"/>
      <c r="L2025" s="108">
        <v>4.4999999999999998E-2</v>
      </c>
      <c r="O2025" s="105"/>
    </row>
    <row r="2026" spans="2:15" x14ac:dyDescent="0.2">
      <c r="B2026" s="1">
        <v>2011</v>
      </c>
      <c r="C2026" s="106">
        <f t="shared" ca="1" si="124"/>
        <v>-0.37613414917753241</v>
      </c>
      <c r="D2026" s="106">
        <f t="shared" ca="1" si="125"/>
        <v>0.6402993266704593</v>
      </c>
      <c r="E2026" s="106">
        <f t="shared" ca="1" si="126"/>
        <v>0</v>
      </c>
      <c r="F2026" s="21">
        <f t="shared" ca="1" si="127"/>
        <v>0</v>
      </c>
      <c r="H2026" s="21">
        <v>2011</v>
      </c>
      <c r="I2026" s="107">
        <v>0.667704205647763</v>
      </c>
      <c r="J2026" s="108">
        <v>1.3341121807991609E-3</v>
      </c>
      <c r="K2026" s="108"/>
      <c r="L2026" s="108">
        <v>4.24E-2</v>
      </c>
      <c r="O2026" s="105"/>
    </row>
    <row r="2027" spans="2:15" x14ac:dyDescent="0.2">
      <c r="B2027" s="1">
        <v>2012</v>
      </c>
      <c r="C2027" s="106">
        <f t="shared" ca="1" si="124"/>
        <v>-2.527731936137013</v>
      </c>
      <c r="D2027" s="106">
        <f t="shared" ca="1" si="125"/>
        <v>0.51785708510826234</v>
      </c>
      <c r="E2027" s="106">
        <f t="shared" ca="1" si="126"/>
        <v>0</v>
      </c>
      <c r="F2027" s="21">
        <f t="shared" ca="1" si="127"/>
        <v>0</v>
      </c>
      <c r="H2027" s="21">
        <v>2012</v>
      </c>
      <c r="I2027" s="107">
        <v>0.6677823325795027</v>
      </c>
      <c r="J2027" s="108">
        <v>1.3758492410114414E-3</v>
      </c>
      <c r="K2027" s="108"/>
      <c r="L2027" s="108">
        <v>4.3200000000000002E-2</v>
      </c>
      <c r="O2027" s="105"/>
    </row>
    <row r="2028" spans="2:15" x14ac:dyDescent="0.2">
      <c r="B2028" s="1">
        <v>2013</v>
      </c>
      <c r="C2028" s="106">
        <f t="shared" ca="1" si="124"/>
        <v>-0.61661096165450024</v>
      </c>
      <c r="D2028" s="106">
        <f t="shared" ca="1" si="125"/>
        <v>0.62528954430086603</v>
      </c>
      <c r="E2028" s="106">
        <f t="shared" ca="1" si="126"/>
        <v>0</v>
      </c>
      <c r="F2028" s="21">
        <f t="shared" ca="1" si="127"/>
        <v>0</v>
      </c>
      <c r="H2028" s="21">
        <v>2013</v>
      </c>
      <c r="I2028" s="107">
        <v>0.66778527664949561</v>
      </c>
      <c r="J2028" s="108">
        <v>1.4313005962704793E-3</v>
      </c>
      <c r="K2028" s="108"/>
      <c r="L2028" s="108">
        <v>4.1200000000000001E-2</v>
      </c>
      <c r="O2028" s="105"/>
    </row>
    <row r="2029" spans="2:15" x14ac:dyDescent="0.2">
      <c r="B2029" s="1">
        <v>2014</v>
      </c>
      <c r="C2029" s="106">
        <f t="shared" ca="1" si="124"/>
        <v>-0.12713407244593866</v>
      </c>
      <c r="D2029" s="106">
        <f t="shared" ca="1" si="125"/>
        <v>0.65622089511699766</v>
      </c>
      <c r="E2029" s="106">
        <f t="shared" ca="1" si="126"/>
        <v>0</v>
      </c>
      <c r="F2029" s="21">
        <f t="shared" ca="1" si="127"/>
        <v>0</v>
      </c>
      <c r="H2029" s="21">
        <v>2014</v>
      </c>
      <c r="I2029" s="107">
        <v>0.66765100067394489</v>
      </c>
      <c r="J2029" s="108">
        <v>1.2942287488403113E-3</v>
      </c>
      <c r="K2029" s="108"/>
      <c r="L2029" s="108">
        <v>3.7199999999999997E-2</v>
      </c>
      <c r="O2029" s="105"/>
    </row>
    <row r="2030" spans="2:15" x14ac:dyDescent="0.2">
      <c r="B2030" s="1">
        <v>2015</v>
      </c>
      <c r="C2030" s="106">
        <f t="shared" ca="1" si="124"/>
        <v>-1.4174926765848406</v>
      </c>
      <c r="D2030" s="106">
        <f t="shared" ca="1" si="125"/>
        <v>0.57779248354470614</v>
      </c>
      <c r="E2030" s="106">
        <f t="shared" ca="1" si="126"/>
        <v>0</v>
      </c>
      <c r="F2030" s="21">
        <f t="shared" ca="1" si="127"/>
        <v>0</v>
      </c>
      <c r="H2030" s="21">
        <v>2015</v>
      </c>
      <c r="I2030" s="107">
        <v>0.66765753115977655</v>
      </c>
      <c r="J2030" s="108">
        <v>1.3382054461453276E-3</v>
      </c>
      <c r="K2030" s="108"/>
      <c r="L2030" s="108">
        <v>4.2999999999999997E-2</v>
      </c>
      <c r="O2030" s="105"/>
    </row>
    <row r="2031" spans="2:15" x14ac:dyDescent="0.2">
      <c r="B2031" s="1">
        <v>2016</v>
      </c>
      <c r="C2031" s="106">
        <f t="shared" ca="1" si="124"/>
        <v>-0.55854658910215627</v>
      </c>
      <c r="D2031" s="106">
        <f t="shared" ca="1" si="125"/>
        <v>0.62888119521512664</v>
      </c>
      <c r="E2031" s="106">
        <f t="shared" ca="1" si="126"/>
        <v>0</v>
      </c>
      <c r="F2031" s="21">
        <f t="shared" ca="1" si="127"/>
        <v>0</v>
      </c>
      <c r="H2031" s="21">
        <v>2016</v>
      </c>
      <c r="I2031" s="107">
        <v>0.66769507846346965</v>
      </c>
      <c r="J2031" s="108">
        <v>1.2958016597818818E-3</v>
      </c>
      <c r="K2031" s="108"/>
      <c r="L2031" s="108">
        <v>4.2999999999999997E-2</v>
      </c>
      <c r="O2031" s="105"/>
    </row>
    <row r="2032" spans="2:15" x14ac:dyDescent="0.2">
      <c r="B2032" s="1">
        <v>2017</v>
      </c>
      <c r="C2032" s="106">
        <f t="shared" ca="1" si="124"/>
        <v>-0.41969606687147537</v>
      </c>
      <c r="D2032" s="106">
        <f t="shared" ca="1" si="125"/>
        <v>0.63755385992805214</v>
      </c>
      <c r="E2032" s="106">
        <f t="shared" ca="1" si="126"/>
        <v>0</v>
      </c>
      <c r="F2032" s="21">
        <f t="shared" ca="1" si="127"/>
        <v>0</v>
      </c>
      <c r="H2032" s="21">
        <v>2017</v>
      </c>
      <c r="I2032" s="107">
        <v>0.66780885341995111</v>
      </c>
      <c r="J2032" s="108">
        <v>1.4207143412459733E-3</v>
      </c>
      <c r="K2032" s="108"/>
      <c r="L2032" s="108">
        <v>4.2599999999999999E-2</v>
      </c>
      <c r="O2032" s="105"/>
    </row>
    <row r="2033" spans="2:15" x14ac:dyDescent="0.2">
      <c r="B2033" s="1">
        <v>2018</v>
      </c>
      <c r="C2033" s="106">
        <f t="shared" ca="1" si="124"/>
        <v>-0.83806011512848488</v>
      </c>
      <c r="D2033" s="106">
        <f t="shared" ca="1" si="125"/>
        <v>0.61177879754253162</v>
      </c>
      <c r="E2033" s="106">
        <f t="shared" ca="1" si="126"/>
        <v>0</v>
      </c>
      <c r="F2033" s="21">
        <f t="shared" ca="1" si="127"/>
        <v>0</v>
      </c>
      <c r="H2033" s="21">
        <v>2018</v>
      </c>
      <c r="I2033" s="107">
        <v>0.66778949597256165</v>
      </c>
      <c r="J2033" s="108">
        <v>1.4400688505860836E-3</v>
      </c>
      <c r="K2033" s="108"/>
      <c r="L2033" s="108">
        <v>4.24E-2</v>
      </c>
      <c r="O2033" s="105"/>
    </row>
    <row r="2034" spans="2:15" x14ac:dyDescent="0.2">
      <c r="B2034" s="1">
        <v>2019</v>
      </c>
      <c r="C2034" s="106">
        <f t="shared" ca="1" si="124"/>
        <v>-0.19653752003393557</v>
      </c>
      <c r="D2034" s="106">
        <f t="shared" ca="1" si="125"/>
        <v>0.65174371828648603</v>
      </c>
      <c r="E2034" s="106">
        <f t="shared" ca="1" si="126"/>
        <v>0</v>
      </c>
      <c r="F2034" s="21">
        <f t="shared" ca="1" si="127"/>
        <v>0</v>
      </c>
      <c r="H2034" s="21">
        <v>2019</v>
      </c>
      <c r="I2034" s="107">
        <v>0.66755598679949912</v>
      </c>
      <c r="J2034" s="108">
        <v>1.2090731676596691E-3</v>
      </c>
      <c r="K2034" s="108"/>
      <c r="L2034" s="108">
        <v>3.9399999999999998E-2</v>
      </c>
      <c r="O2034" s="105"/>
    </row>
    <row r="2035" spans="2:15" x14ac:dyDescent="0.2">
      <c r="B2035" s="1">
        <v>2020</v>
      </c>
      <c r="C2035" s="106">
        <f t="shared" ca="1" si="124"/>
        <v>-1.2418305045493774</v>
      </c>
      <c r="D2035" s="106">
        <f t="shared" ca="1" si="125"/>
        <v>0.58789145395185483</v>
      </c>
      <c r="E2035" s="106">
        <f t="shared" ca="1" si="126"/>
        <v>0</v>
      </c>
      <c r="F2035" s="21">
        <f t="shared" ca="1" si="127"/>
        <v>0</v>
      </c>
      <c r="H2035" s="21">
        <v>2020</v>
      </c>
      <c r="I2035" s="107">
        <v>0.66773607830998194</v>
      </c>
      <c r="J2035" s="108">
        <v>1.3346971176645883E-3</v>
      </c>
      <c r="K2035" s="108"/>
      <c r="L2035" s="108">
        <v>4.0800000000000003E-2</v>
      </c>
      <c r="O2035" s="105"/>
    </row>
    <row r="2036" spans="2:15" x14ac:dyDescent="0.2">
      <c r="B2036" s="1">
        <v>2021</v>
      </c>
      <c r="C2036" s="106">
        <f t="shared" ca="1" si="124"/>
        <v>-0.41986018721167101</v>
      </c>
      <c r="D2036" s="106">
        <f t="shared" ca="1" si="125"/>
        <v>0.6375435386215943</v>
      </c>
      <c r="E2036" s="106">
        <f t="shared" ca="1" si="126"/>
        <v>0</v>
      </c>
      <c r="F2036" s="21">
        <f t="shared" ca="1" si="127"/>
        <v>0</v>
      </c>
      <c r="H2036" s="21">
        <v>2021</v>
      </c>
      <c r="I2036" s="107">
        <v>0.66770810633518562</v>
      </c>
      <c r="J2036" s="108">
        <v>1.3422608540627054E-3</v>
      </c>
      <c r="K2036" s="108"/>
      <c r="L2036" s="108">
        <v>4.0399999999999998E-2</v>
      </c>
      <c r="O2036" s="105"/>
    </row>
    <row r="2037" spans="2:15" x14ac:dyDescent="0.2">
      <c r="B2037" s="1">
        <v>2022</v>
      </c>
      <c r="C2037" s="106">
        <f t="shared" ca="1" si="124"/>
        <v>-0.52093457036921653</v>
      </c>
      <c r="D2037" s="106">
        <f t="shared" ca="1" si="125"/>
        <v>0.63121874053689953</v>
      </c>
      <c r="E2037" s="106">
        <f t="shared" ca="1" si="126"/>
        <v>0</v>
      </c>
      <c r="F2037" s="21">
        <f t="shared" ca="1" si="127"/>
        <v>0</v>
      </c>
      <c r="H2037" s="21">
        <v>2022</v>
      </c>
      <c r="I2037" s="107">
        <v>0.66772182920862</v>
      </c>
      <c r="J2037" s="108">
        <v>1.3758771552288248E-3</v>
      </c>
      <c r="K2037" s="108"/>
      <c r="L2037" s="108">
        <v>4.2599999999999999E-2</v>
      </c>
      <c r="O2037" s="105"/>
    </row>
    <row r="2038" spans="2:15" x14ac:dyDescent="0.2">
      <c r="B2038" s="1">
        <v>2023</v>
      </c>
      <c r="C2038" s="106">
        <f t="shared" ca="1" si="124"/>
        <v>0.7506261015007698</v>
      </c>
      <c r="D2038" s="106">
        <f t="shared" ca="1" si="125"/>
        <v>0.71557104615943312</v>
      </c>
      <c r="E2038" s="106">
        <f t="shared" ca="1" si="126"/>
        <v>0</v>
      </c>
      <c r="F2038" s="21">
        <f t="shared" ca="1" si="127"/>
        <v>0</v>
      </c>
      <c r="H2038" s="21">
        <v>2023</v>
      </c>
      <c r="I2038" s="107">
        <v>0.66766828189231198</v>
      </c>
      <c r="J2038" s="108">
        <v>1.2360568524347924E-3</v>
      </c>
      <c r="K2038" s="108"/>
      <c r="L2038" s="108">
        <v>3.9199999999999999E-2</v>
      </c>
      <c r="O2038" s="105"/>
    </row>
    <row r="2039" spans="2:15" x14ac:dyDescent="0.2">
      <c r="B2039" s="1">
        <v>2024</v>
      </c>
      <c r="C2039" s="106">
        <f t="shared" ca="1" si="124"/>
        <v>1.0084639219640161</v>
      </c>
      <c r="D2039" s="106">
        <f t="shared" ca="1" si="125"/>
        <v>0.73400390908592816</v>
      </c>
      <c r="E2039" s="106">
        <f t="shared" ca="1" si="126"/>
        <v>0</v>
      </c>
      <c r="F2039" s="21">
        <f t="shared" ca="1" si="127"/>
        <v>0</v>
      </c>
      <c r="H2039" s="21">
        <v>2024</v>
      </c>
      <c r="I2039" s="107">
        <v>0.66778804760680999</v>
      </c>
      <c r="J2039" s="108">
        <v>1.5284665807035031E-3</v>
      </c>
      <c r="K2039" s="108"/>
      <c r="L2039" s="108">
        <v>4.1799999999999997E-2</v>
      </c>
      <c r="O2039" s="105"/>
    </row>
    <row r="2040" spans="2:15" x14ac:dyDescent="0.2">
      <c r="B2040" s="1">
        <v>2025</v>
      </c>
      <c r="C2040" s="106">
        <f t="shared" ca="1" si="124"/>
        <v>-0.64579223166281752</v>
      </c>
      <c r="D2040" s="106">
        <f t="shared" ca="1" si="125"/>
        <v>0.62349224935690295</v>
      </c>
      <c r="E2040" s="106">
        <f t="shared" ca="1" si="126"/>
        <v>0</v>
      </c>
      <c r="F2040" s="21">
        <f t="shared" ca="1" si="127"/>
        <v>0</v>
      </c>
      <c r="H2040" s="21">
        <v>2025</v>
      </c>
      <c r="I2040" s="107">
        <v>0.66771601007278392</v>
      </c>
      <c r="J2040" s="108">
        <v>1.3133884117263017E-3</v>
      </c>
      <c r="K2040" s="108"/>
      <c r="L2040" s="108">
        <v>3.9800000000000002E-2</v>
      </c>
      <c r="O2040" s="105"/>
    </row>
    <row r="2041" spans="2:15" x14ac:dyDescent="0.2">
      <c r="B2041" s="1">
        <v>2026</v>
      </c>
      <c r="C2041" s="106">
        <f t="shared" ca="1" si="124"/>
        <v>-0.42939265246042035</v>
      </c>
      <c r="D2041" s="106">
        <f t="shared" ca="1" si="125"/>
        <v>0.63694434136884015</v>
      </c>
      <c r="E2041" s="106">
        <f t="shared" ca="1" si="126"/>
        <v>0</v>
      </c>
      <c r="F2041" s="21">
        <f t="shared" ca="1" si="127"/>
        <v>0</v>
      </c>
      <c r="H2041" s="21">
        <v>2026</v>
      </c>
      <c r="I2041" s="107">
        <v>0.66762889920326629</v>
      </c>
      <c r="J2041" s="108">
        <v>1.1172878665313963E-3</v>
      </c>
      <c r="K2041" s="108"/>
      <c r="L2041" s="108">
        <v>3.5400000000000001E-2</v>
      </c>
      <c r="O2041" s="105"/>
    </row>
    <row r="2042" spans="2:15" x14ac:dyDescent="0.2">
      <c r="B2042" s="1">
        <v>2027</v>
      </c>
      <c r="C2042" s="106">
        <f t="shared" ca="1" si="124"/>
        <v>-0.26778177848359186</v>
      </c>
      <c r="D2042" s="106">
        <f t="shared" ca="1" si="125"/>
        <v>0.64717956219366901</v>
      </c>
      <c r="E2042" s="106">
        <f t="shared" ca="1" si="126"/>
        <v>0</v>
      </c>
      <c r="F2042" s="21">
        <f t="shared" ca="1" si="127"/>
        <v>0</v>
      </c>
      <c r="H2042" s="21">
        <v>2027</v>
      </c>
      <c r="I2042" s="107">
        <v>0.6677426951691624</v>
      </c>
      <c r="J2042" s="108">
        <v>1.3844665499462257E-3</v>
      </c>
      <c r="K2042" s="108"/>
      <c r="L2042" s="108">
        <v>4.1000000000000002E-2</v>
      </c>
      <c r="O2042" s="105"/>
    </row>
    <row r="2043" spans="2:15" x14ac:dyDescent="0.2">
      <c r="B2043" s="1">
        <v>2028</v>
      </c>
      <c r="C2043" s="106">
        <f t="shared" ca="1" si="124"/>
        <v>0.2392183130629752</v>
      </c>
      <c r="D2043" s="106">
        <f t="shared" ca="1" si="125"/>
        <v>0.68036876158468496</v>
      </c>
      <c r="E2043" s="106">
        <f t="shared" ca="1" si="126"/>
        <v>0</v>
      </c>
      <c r="F2043" s="21">
        <f t="shared" ca="1" si="127"/>
        <v>0</v>
      </c>
      <c r="H2043" s="21">
        <v>2028</v>
      </c>
      <c r="I2043" s="107">
        <v>0.66784353837021004</v>
      </c>
      <c r="J2043" s="108">
        <v>1.5790056125100965E-3</v>
      </c>
      <c r="K2043" s="108"/>
      <c r="L2043" s="108">
        <v>4.2799999999999998E-2</v>
      </c>
      <c r="O2043" s="105"/>
    </row>
    <row r="2044" spans="2:15" x14ac:dyDescent="0.2">
      <c r="B2044" s="1">
        <v>2029</v>
      </c>
      <c r="C2044" s="106">
        <f t="shared" ca="1" si="124"/>
        <v>-0.77645776983600368</v>
      </c>
      <c r="D2044" s="106">
        <f t="shared" ca="1" si="125"/>
        <v>0.61550761171271318</v>
      </c>
      <c r="E2044" s="106">
        <f t="shared" ca="1" si="126"/>
        <v>0</v>
      </c>
      <c r="F2044" s="21">
        <f t="shared" ca="1" si="127"/>
        <v>0</v>
      </c>
      <c r="H2044" s="21">
        <v>2029</v>
      </c>
      <c r="I2044" s="107">
        <v>0.66794173393135292</v>
      </c>
      <c r="J2044" s="108">
        <v>1.5321067528558823E-3</v>
      </c>
      <c r="K2044" s="108"/>
      <c r="L2044" s="108">
        <v>4.5600000000000002E-2</v>
      </c>
      <c r="O2044" s="105"/>
    </row>
    <row r="2045" spans="2:15" x14ac:dyDescent="0.2">
      <c r="B2045" s="1">
        <v>2030</v>
      </c>
      <c r="C2045" s="106">
        <f t="shared" ca="1" si="124"/>
        <v>1.0648527547774984</v>
      </c>
      <c r="D2045" s="106">
        <f t="shared" ca="1" si="125"/>
        <v>0.73809801213818049</v>
      </c>
      <c r="E2045" s="106">
        <f t="shared" ca="1" si="126"/>
        <v>0</v>
      </c>
      <c r="F2045" s="21">
        <f t="shared" ca="1" si="127"/>
        <v>0</v>
      </c>
      <c r="H2045" s="21">
        <v>2030</v>
      </c>
      <c r="I2045" s="107">
        <v>0.66763152709537898</v>
      </c>
      <c r="J2045" s="108">
        <v>1.2971488521092941E-3</v>
      </c>
      <c r="K2045" s="108"/>
      <c r="L2045" s="108">
        <v>0.04</v>
      </c>
      <c r="O2045" s="105"/>
    </row>
    <row r="2046" spans="2:15" x14ac:dyDescent="0.2">
      <c r="B2046" s="1">
        <v>2031</v>
      </c>
      <c r="C2046" s="106">
        <f t="shared" ca="1" si="124"/>
        <v>1.8758578719951797</v>
      </c>
      <c r="D2046" s="106">
        <f t="shared" ca="1" si="125"/>
        <v>0.79957092778969185</v>
      </c>
      <c r="E2046" s="106">
        <f t="shared" ca="1" si="126"/>
        <v>1.1370927789691843E-2</v>
      </c>
      <c r="F2046" s="21">
        <f t="shared" ca="1" si="127"/>
        <v>1</v>
      </c>
      <c r="H2046" s="21">
        <v>2031</v>
      </c>
      <c r="I2046" s="107">
        <v>0.66774460431517624</v>
      </c>
      <c r="J2046" s="108">
        <v>1.4605861094744547E-3</v>
      </c>
      <c r="K2046" s="108"/>
      <c r="L2046" s="108">
        <v>4.2000000000000003E-2</v>
      </c>
      <c r="O2046" s="105"/>
    </row>
    <row r="2047" spans="2:15" x14ac:dyDescent="0.2">
      <c r="B2047" s="1">
        <v>2032</v>
      </c>
      <c r="C2047" s="106">
        <f t="shared" ca="1" si="124"/>
        <v>0.55836407480202599</v>
      </c>
      <c r="D2047" s="106">
        <f t="shared" ca="1" si="125"/>
        <v>0.7021281299585147</v>
      </c>
      <c r="E2047" s="106">
        <f t="shared" ca="1" si="126"/>
        <v>0</v>
      </c>
      <c r="F2047" s="21">
        <f t="shared" ca="1" si="127"/>
        <v>0</v>
      </c>
      <c r="H2047" s="21">
        <v>2032</v>
      </c>
      <c r="I2047" s="107">
        <v>0.66771974169204573</v>
      </c>
      <c r="J2047" s="108">
        <v>1.3366543298712148E-3</v>
      </c>
      <c r="K2047" s="108"/>
      <c r="L2047" s="108">
        <v>3.7600000000000001E-2</v>
      </c>
      <c r="O2047" s="105"/>
    </row>
    <row r="2048" spans="2:15" x14ac:dyDescent="0.2">
      <c r="B2048" s="1">
        <v>2033</v>
      </c>
      <c r="C2048" s="106">
        <f t="shared" ca="1" si="124"/>
        <v>0.40951669736039503</v>
      </c>
      <c r="D2048" s="106">
        <f t="shared" ca="1" si="125"/>
        <v>0.69189444373791376</v>
      </c>
      <c r="E2048" s="106">
        <f t="shared" ca="1" si="126"/>
        <v>0</v>
      </c>
      <c r="F2048" s="21">
        <f t="shared" ca="1" si="127"/>
        <v>0</v>
      </c>
      <c r="H2048" s="21">
        <v>2033</v>
      </c>
      <c r="I2048" s="107">
        <v>0.66777742730407641</v>
      </c>
      <c r="J2048" s="108">
        <v>1.414996642000381E-3</v>
      </c>
      <c r="K2048" s="108"/>
      <c r="L2048" s="108">
        <v>4.24E-2</v>
      </c>
      <c r="O2048" s="105"/>
    </row>
    <row r="2049" spans="2:15" x14ac:dyDescent="0.2">
      <c r="B2049" s="1">
        <v>2034</v>
      </c>
      <c r="C2049" s="106">
        <f t="shared" ca="1" si="124"/>
        <v>0.16084877045925144</v>
      </c>
      <c r="D2049" s="106">
        <f t="shared" ca="1" si="125"/>
        <v>0.67512946470648982</v>
      </c>
      <c r="E2049" s="106">
        <f t="shared" ca="1" si="126"/>
        <v>0</v>
      </c>
      <c r="F2049" s="21">
        <f t="shared" ca="1" si="127"/>
        <v>0</v>
      </c>
      <c r="H2049" s="21">
        <v>2034</v>
      </c>
      <c r="I2049" s="107">
        <v>0.66762113306464943</v>
      </c>
      <c r="J2049" s="108">
        <v>1.2205639999514186E-3</v>
      </c>
      <c r="K2049" s="108"/>
      <c r="L2049" s="108">
        <v>3.8199999999999998E-2</v>
      </c>
      <c r="O2049" s="105"/>
    </row>
    <row r="2050" spans="2:15" x14ac:dyDescent="0.2">
      <c r="B2050" s="1">
        <v>2035</v>
      </c>
      <c r="C2050" s="106">
        <f t="shared" ca="1" si="124"/>
        <v>-2.1690026241935336</v>
      </c>
      <c r="D2050" s="106">
        <f t="shared" ca="1" si="125"/>
        <v>0.53650980707836615</v>
      </c>
      <c r="E2050" s="106">
        <f t="shared" ca="1" si="126"/>
        <v>0</v>
      </c>
      <c r="F2050" s="21">
        <f t="shared" ca="1" si="127"/>
        <v>0</v>
      </c>
      <c r="H2050" s="21">
        <v>2035</v>
      </c>
      <c r="I2050" s="107">
        <v>0.66788422353554844</v>
      </c>
      <c r="J2050" s="108">
        <v>1.5599648462524607E-3</v>
      </c>
      <c r="K2050" s="108"/>
      <c r="L2050" s="108">
        <v>4.4999999999999998E-2</v>
      </c>
      <c r="O2050" s="105"/>
    </row>
    <row r="2051" spans="2:15" x14ac:dyDescent="0.2">
      <c r="B2051" s="1">
        <v>2036</v>
      </c>
      <c r="C2051" s="106">
        <f t="shared" ca="1" si="124"/>
        <v>-0.39182611129920264</v>
      </c>
      <c r="D2051" s="106">
        <f t="shared" ca="1" si="125"/>
        <v>0.63930898940082104</v>
      </c>
      <c r="E2051" s="106">
        <f t="shared" ca="1" si="126"/>
        <v>0</v>
      </c>
      <c r="F2051" s="21">
        <f t="shared" ca="1" si="127"/>
        <v>0</v>
      </c>
      <c r="H2051" s="21">
        <v>2036</v>
      </c>
      <c r="I2051" s="107">
        <v>0.66770975992496773</v>
      </c>
      <c r="J2051" s="108">
        <v>1.2905096118324792E-3</v>
      </c>
      <c r="K2051" s="108"/>
      <c r="L2051" s="108">
        <v>0.04</v>
      </c>
      <c r="O2051" s="105"/>
    </row>
    <row r="2052" spans="2:15" x14ac:dyDescent="0.2">
      <c r="B2052" s="1">
        <v>2037</v>
      </c>
      <c r="C2052" s="106">
        <f t="shared" ca="1" si="124"/>
        <v>1.4574900954588532</v>
      </c>
      <c r="D2052" s="106">
        <f t="shared" ca="1" si="125"/>
        <v>0.76724554834240555</v>
      </c>
      <c r="E2052" s="106">
        <f t="shared" ca="1" si="126"/>
        <v>0</v>
      </c>
      <c r="F2052" s="21">
        <f t="shared" ca="1" si="127"/>
        <v>0</v>
      </c>
      <c r="H2052" s="21">
        <v>2037</v>
      </c>
      <c r="I2052" s="107">
        <v>0.6678188584760314</v>
      </c>
      <c r="J2052" s="108">
        <v>1.5495913919028534E-3</v>
      </c>
      <c r="K2052" s="108"/>
      <c r="L2052" s="108">
        <v>4.3799999999999999E-2</v>
      </c>
      <c r="O2052" s="105"/>
    </row>
    <row r="2053" spans="2:15" x14ac:dyDescent="0.2">
      <c r="B2053" s="1">
        <v>2038</v>
      </c>
      <c r="C2053" s="106">
        <f t="shared" ca="1" si="124"/>
        <v>0.10687454074145147</v>
      </c>
      <c r="D2053" s="106">
        <f t="shared" ca="1" si="125"/>
        <v>0.67154456658806239</v>
      </c>
      <c r="E2053" s="106">
        <f t="shared" ca="1" si="126"/>
        <v>0</v>
      </c>
      <c r="F2053" s="21">
        <f t="shared" ca="1" si="127"/>
        <v>0</v>
      </c>
      <c r="H2053" s="21">
        <v>2038</v>
      </c>
      <c r="I2053" s="107">
        <v>0.66780473938316831</v>
      </c>
      <c r="J2053" s="108">
        <v>1.3956401357218423E-3</v>
      </c>
      <c r="K2053" s="108"/>
      <c r="L2053" s="108">
        <v>4.2999999999999997E-2</v>
      </c>
      <c r="O2053" s="105"/>
    </row>
    <row r="2054" spans="2:15" x14ac:dyDescent="0.2">
      <c r="B2054" s="1">
        <v>2039</v>
      </c>
      <c r="C2054" s="106">
        <f t="shared" ca="1" si="124"/>
        <v>-9.9619476765172896E-2</v>
      </c>
      <c r="D2054" s="106">
        <f t="shared" ca="1" si="125"/>
        <v>0.65800434774605854</v>
      </c>
      <c r="E2054" s="106">
        <f t="shared" ca="1" si="126"/>
        <v>0</v>
      </c>
      <c r="F2054" s="21">
        <f t="shared" ca="1" si="127"/>
        <v>0</v>
      </c>
      <c r="H2054" s="21">
        <v>2039</v>
      </c>
      <c r="I2054" s="107">
        <v>0.66779371573554402</v>
      </c>
      <c r="J2054" s="108">
        <v>1.359028075275549E-3</v>
      </c>
      <c r="K2054" s="108"/>
      <c r="L2054" s="108">
        <v>4.1399999999999999E-2</v>
      </c>
      <c r="O2054" s="105"/>
    </row>
    <row r="2055" spans="2:15" x14ac:dyDescent="0.2">
      <c r="B2055" s="1">
        <v>2040</v>
      </c>
      <c r="C2055" s="106">
        <f t="shared" ca="1" si="124"/>
        <v>1.867841119201576E-2</v>
      </c>
      <c r="D2055" s="106">
        <f t="shared" ca="1" si="125"/>
        <v>0.6657276142860844</v>
      </c>
      <c r="E2055" s="106">
        <f t="shared" ca="1" si="126"/>
        <v>0</v>
      </c>
      <c r="F2055" s="21">
        <f t="shared" ca="1" si="127"/>
        <v>0</v>
      </c>
      <c r="H2055" s="21">
        <v>2040</v>
      </c>
      <c r="I2055" s="107">
        <v>0.66797534089397181</v>
      </c>
      <c r="J2055" s="108">
        <v>1.5315529409708985E-3</v>
      </c>
      <c r="K2055" s="108"/>
      <c r="L2055" s="108">
        <v>4.7E-2</v>
      </c>
      <c r="O2055" s="105"/>
    </row>
    <row r="2056" spans="2:15" x14ac:dyDescent="0.2">
      <c r="B2056" s="1">
        <v>2041</v>
      </c>
      <c r="C2056" s="106">
        <f t="shared" ca="1" si="124"/>
        <v>-2.0213772271934354</v>
      </c>
      <c r="D2056" s="106">
        <f t="shared" ca="1" si="125"/>
        <v>0.54437960483848313</v>
      </c>
      <c r="E2056" s="106">
        <f t="shared" ca="1" si="126"/>
        <v>0</v>
      </c>
      <c r="F2056" s="21">
        <f t="shared" ca="1" si="127"/>
        <v>0</v>
      </c>
      <c r="H2056" s="21">
        <v>2041</v>
      </c>
      <c r="I2056" s="107">
        <v>0.66762980276770523</v>
      </c>
      <c r="J2056" s="108">
        <v>1.2764613281076181E-3</v>
      </c>
      <c r="K2056" s="108"/>
      <c r="L2056" s="108">
        <v>4.2000000000000003E-2</v>
      </c>
      <c r="O2056" s="105"/>
    </row>
    <row r="2057" spans="2:15" x14ac:dyDescent="0.2">
      <c r="B2057" s="1">
        <v>2042</v>
      </c>
      <c r="C2057" s="106">
        <f t="shared" ca="1" si="124"/>
        <v>-1.1004937909900485</v>
      </c>
      <c r="D2057" s="106">
        <f t="shared" ca="1" si="125"/>
        <v>0.59614502591663598</v>
      </c>
      <c r="E2057" s="106">
        <f t="shared" ca="1" si="126"/>
        <v>0</v>
      </c>
      <c r="F2057" s="21">
        <f t="shared" ca="1" si="127"/>
        <v>0</v>
      </c>
      <c r="H2057" s="21">
        <v>2042</v>
      </c>
      <c r="I2057" s="107">
        <v>0.66771755969534463</v>
      </c>
      <c r="J2057" s="108">
        <v>1.4287139858866309E-3</v>
      </c>
      <c r="K2057" s="108"/>
      <c r="L2057" s="108">
        <v>3.9399999999999998E-2</v>
      </c>
      <c r="O2057" s="105"/>
    </row>
    <row r="2058" spans="2:15" x14ac:dyDescent="0.2">
      <c r="B2058" s="1">
        <v>2043</v>
      </c>
      <c r="C2058" s="106">
        <f t="shared" ca="1" si="124"/>
        <v>0.512749501213137</v>
      </c>
      <c r="D2058" s="106">
        <f t="shared" ca="1" si="125"/>
        <v>0.69897601382977848</v>
      </c>
      <c r="E2058" s="106">
        <f t="shared" ca="1" si="126"/>
        <v>0</v>
      </c>
      <c r="F2058" s="21">
        <f t="shared" ca="1" si="127"/>
        <v>0</v>
      </c>
      <c r="H2058" s="21">
        <v>2043</v>
      </c>
      <c r="I2058" s="107">
        <v>0.66763763582715818</v>
      </c>
      <c r="J2058" s="108">
        <v>1.2627237824583365E-3</v>
      </c>
      <c r="K2058" s="108"/>
      <c r="L2058" s="108">
        <v>4.0800000000000003E-2</v>
      </c>
      <c r="O2058" s="105"/>
    </row>
    <row r="2059" spans="2:15" x14ac:dyDescent="0.2">
      <c r="B2059" s="1">
        <v>2044</v>
      </c>
      <c r="C2059" s="106">
        <f t="shared" ca="1" si="124"/>
        <v>-1.2808739147541452</v>
      </c>
      <c r="D2059" s="106">
        <f t="shared" ca="1" si="125"/>
        <v>0.58563166562001057</v>
      </c>
      <c r="E2059" s="106">
        <f t="shared" ca="1" si="126"/>
        <v>0</v>
      </c>
      <c r="F2059" s="21">
        <f t="shared" ca="1" si="127"/>
        <v>0</v>
      </c>
      <c r="H2059" s="21">
        <v>2044</v>
      </c>
      <c r="I2059" s="107">
        <v>0.66774173090783129</v>
      </c>
      <c r="J2059" s="108">
        <v>1.5090533357879547E-3</v>
      </c>
      <c r="K2059" s="108"/>
      <c r="L2059" s="108">
        <v>4.6800000000000001E-2</v>
      </c>
      <c r="O2059" s="105"/>
    </row>
    <row r="2060" spans="2:15" x14ac:dyDescent="0.2">
      <c r="B2060" s="1">
        <v>2045</v>
      </c>
      <c r="C2060" s="106">
        <f t="shared" ca="1" si="124"/>
        <v>1.2497823526825274</v>
      </c>
      <c r="D2060" s="106">
        <f t="shared" ca="1" si="125"/>
        <v>0.75168572992651272</v>
      </c>
      <c r="E2060" s="106">
        <f t="shared" ca="1" si="126"/>
        <v>0</v>
      </c>
      <c r="F2060" s="21">
        <f t="shared" ca="1" si="127"/>
        <v>0</v>
      </c>
      <c r="H2060" s="21">
        <v>2045</v>
      </c>
      <c r="I2060" s="107">
        <v>0.66768896868918037</v>
      </c>
      <c r="J2060" s="108">
        <v>1.2515484011339612E-3</v>
      </c>
      <c r="K2060" s="108"/>
      <c r="L2060" s="108">
        <v>3.78E-2</v>
      </c>
      <c r="O2060" s="105"/>
    </row>
    <row r="2061" spans="2:15" x14ac:dyDescent="0.2">
      <c r="B2061" s="1">
        <v>2046</v>
      </c>
      <c r="C2061" s="106">
        <f t="shared" ca="1" si="124"/>
        <v>-5.6327491595596253E-2</v>
      </c>
      <c r="D2061" s="106">
        <f t="shared" ca="1" si="125"/>
        <v>0.66082028384861435</v>
      </c>
      <c r="E2061" s="106">
        <f t="shared" ca="1" si="126"/>
        <v>0</v>
      </c>
      <c r="F2061" s="21">
        <f t="shared" ca="1" si="127"/>
        <v>0</v>
      </c>
      <c r="H2061" s="21">
        <v>2046</v>
      </c>
      <c r="I2061" s="107">
        <v>0.6677560989954423</v>
      </c>
      <c r="J2061" s="108">
        <v>1.3843169679713515E-3</v>
      </c>
      <c r="K2061" s="108"/>
      <c r="L2061" s="108">
        <v>4.2599999999999999E-2</v>
      </c>
      <c r="O2061" s="105"/>
    </row>
    <row r="2062" spans="2:15" x14ac:dyDescent="0.2">
      <c r="B2062" s="1">
        <v>2047</v>
      </c>
      <c r="C2062" s="106">
        <f t="shared" ca="1" si="124"/>
        <v>0.39716109723047582</v>
      </c>
      <c r="D2062" s="106">
        <f t="shared" ca="1" si="125"/>
        <v>0.69105169528876809</v>
      </c>
      <c r="E2062" s="106">
        <f t="shared" ca="1" si="126"/>
        <v>0</v>
      </c>
      <c r="F2062" s="21">
        <f t="shared" ca="1" si="127"/>
        <v>0</v>
      </c>
      <c r="H2062" s="21">
        <v>2047</v>
      </c>
      <c r="I2062" s="107">
        <v>0.66771829543527295</v>
      </c>
      <c r="J2062" s="108">
        <v>1.343998806641744E-3</v>
      </c>
      <c r="K2062" s="108"/>
      <c r="L2062" s="108">
        <v>4.0599999999999997E-2</v>
      </c>
      <c r="O2062" s="105"/>
    </row>
    <row r="2063" spans="2:15" x14ac:dyDescent="0.2">
      <c r="B2063" s="1">
        <v>2048</v>
      </c>
      <c r="C2063" s="106">
        <f t="shared" ca="1" si="124"/>
        <v>0.30214302031009771</v>
      </c>
      <c r="D2063" s="106">
        <f t="shared" ca="1" si="125"/>
        <v>0.68460492782252369</v>
      </c>
      <c r="E2063" s="106">
        <f t="shared" ca="1" si="126"/>
        <v>0</v>
      </c>
      <c r="F2063" s="21">
        <f t="shared" ca="1" si="127"/>
        <v>0</v>
      </c>
      <c r="H2063" s="21">
        <v>2048</v>
      </c>
      <c r="I2063" s="107">
        <v>0.66773023670749276</v>
      </c>
      <c r="J2063" s="108">
        <v>1.3754401460456236E-3</v>
      </c>
      <c r="K2063" s="108"/>
      <c r="L2063" s="108">
        <v>0.04</v>
      </c>
      <c r="O2063" s="105"/>
    </row>
    <row r="2064" spans="2:15" x14ac:dyDescent="0.2">
      <c r="B2064" s="1">
        <v>2049</v>
      </c>
      <c r="C2064" s="106">
        <f t="shared" ref="C2064:C2127" ca="1" si="128">_xlfn.NORM.S.INV(RAND())</f>
        <v>-0.27082339789688209</v>
      </c>
      <c r="D2064" s="106">
        <f t="shared" ref="D2064:D2127" ca="1" si="129">S0*EXP((μ-0.5*σ*σ)*T+σ*SQRT(T)*$C2064)</f>
        <v>0.64698541844230917</v>
      </c>
      <c r="E2064" s="106">
        <f t="shared" ref="E2064:E2127" ca="1" si="130">MAX(0,CP*(D2064-K))</f>
        <v>0</v>
      </c>
      <c r="F2064" s="21">
        <f t="shared" ref="F2064:F2127" ca="1" si="131">(CP*(D2064-K)&gt;0)*1</f>
        <v>0</v>
      </c>
      <c r="H2064" s="21">
        <v>2049</v>
      </c>
      <c r="I2064" s="107">
        <v>0.66780008481831465</v>
      </c>
      <c r="J2064" s="108">
        <v>1.3734323993680455E-3</v>
      </c>
      <c r="K2064" s="108"/>
      <c r="L2064" s="108">
        <v>4.3400000000000001E-2</v>
      </c>
      <c r="O2064" s="105"/>
    </row>
    <row r="2065" spans="2:15" x14ac:dyDescent="0.2">
      <c r="B2065" s="1">
        <v>2050</v>
      </c>
      <c r="C2065" s="106">
        <f t="shared" ca="1" si="128"/>
        <v>1.6492136909515709</v>
      </c>
      <c r="D2065" s="106">
        <f t="shared" ca="1" si="129"/>
        <v>0.78189367124674714</v>
      </c>
      <c r="E2065" s="106">
        <f t="shared" ca="1" si="130"/>
        <v>0</v>
      </c>
      <c r="F2065" s="21">
        <f t="shared" ca="1" si="131"/>
        <v>0</v>
      </c>
      <c r="H2065" s="21">
        <v>2050</v>
      </c>
      <c r="I2065" s="107">
        <v>0.66770040394467234</v>
      </c>
      <c r="J2065" s="108">
        <v>1.2093605240539307E-3</v>
      </c>
      <c r="K2065" s="108"/>
      <c r="L2065" s="108">
        <v>4.2999999999999997E-2</v>
      </c>
      <c r="O2065" s="105"/>
    </row>
    <row r="2066" spans="2:15" x14ac:dyDescent="0.2">
      <c r="B2066" s="1">
        <v>2051</v>
      </c>
      <c r="C2066" s="106">
        <f t="shared" ca="1" si="128"/>
        <v>-0.19381070086461369</v>
      </c>
      <c r="D2066" s="106">
        <f t="shared" ca="1" si="129"/>
        <v>0.65191904597289763</v>
      </c>
      <c r="E2066" s="106">
        <f t="shared" ca="1" si="130"/>
        <v>0</v>
      </c>
      <c r="F2066" s="21">
        <f t="shared" ca="1" si="131"/>
        <v>0</v>
      </c>
      <c r="H2066" s="21">
        <v>2051</v>
      </c>
      <c r="I2066" s="107">
        <v>0.66784712171534066</v>
      </c>
      <c r="J2066" s="108">
        <v>1.5407040451895081E-3</v>
      </c>
      <c r="K2066" s="108"/>
      <c r="L2066" s="108">
        <v>4.5199999999999997E-2</v>
      </c>
      <c r="O2066" s="105"/>
    </row>
    <row r="2067" spans="2:15" x14ac:dyDescent="0.2">
      <c r="B2067" s="1">
        <v>2052</v>
      </c>
      <c r="C2067" s="106">
        <f t="shared" ca="1" si="128"/>
        <v>1.3426264954584657</v>
      </c>
      <c r="D2067" s="106">
        <f t="shared" ca="1" si="129"/>
        <v>0.75860149015481526</v>
      </c>
      <c r="E2067" s="106">
        <f t="shared" ca="1" si="130"/>
        <v>0</v>
      </c>
      <c r="F2067" s="21">
        <f t="shared" ca="1" si="131"/>
        <v>0</v>
      </c>
      <c r="H2067" s="21">
        <v>2052</v>
      </c>
      <c r="I2067" s="107">
        <v>0.66791284614764512</v>
      </c>
      <c r="J2067" s="108">
        <v>1.7244256049629915E-3</v>
      </c>
      <c r="K2067" s="108"/>
      <c r="L2067" s="108">
        <v>4.9000000000000002E-2</v>
      </c>
      <c r="O2067" s="105"/>
    </row>
    <row r="2068" spans="2:15" x14ac:dyDescent="0.2">
      <c r="B2068" s="1">
        <v>2053</v>
      </c>
      <c r="C2068" s="106">
        <f t="shared" ca="1" si="128"/>
        <v>4.3371174883048008E-3</v>
      </c>
      <c r="D2068" s="106">
        <f t="shared" ca="1" si="129"/>
        <v>0.66478651238081932</v>
      </c>
      <c r="E2068" s="106">
        <f t="shared" ca="1" si="130"/>
        <v>0</v>
      </c>
      <c r="F2068" s="21">
        <f t="shared" ca="1" si="131"/>
        <v>0</v>
      </c>
      <c r="H2068" s="21">
        <v>2053</v>
      </c>
      <c r="I2068" s="107">
        <v>0.66769754974836171</v>
      </c>
      <c r="J2068" s="108">
        <v>1.3130936362068294E-3</v>
      </c>
      <c r="K2068" s="108"/>
      <c r="L2068" s="108">
        <v>4.0800000000000003E-2</v>
      </c>
      <c r="O2068" s="105"/>
    </row>
    <row r="2069" spans="2:15" x14ac:dyDescent="0.2">
      <c r="B2069" s="1">
        <v>2054</v>
      </c>
      <c r="C2069" s="106">
        <f t="shared" ca="1" si="128"/>
        <v>0.36422752996311941</v>
      </c>
      <c r="D2069" s="106">
        <f t="shared" ca="1" si="129"/>
        <v>0.68881037988309524</v>
      </c>
      <c r="E2069" s="106">
        <f t="shared" ca="1" si="130"/>
        <v>0</v>
      </c>
      <c r="F2069" s="21">
        <f t="shared" ca="1" si="131"/>
        <v>0</v>
      </c>
      <c r="H2069" s="21">
        <v>2054</v>
      </c>
      <c r="I2069" s="107">
        <v>0.66782733647873005</v>
      </c>
      <c r="J2069" s="108">
        <v>1.3880381769108723E-3</v>
      </c>
      <c r="K2069" s="108"/>
      <c r="L2069" s="108">
        <v>4.0599999999999997E-2</v>
      </c>
      <c r="O2069" s="105"/>
    </row>
    <row r="2070" spans="2:15" x14ac:dyDescent="0.2">
      <c r="B2070" s="1">
        <v>2055</v>
      </c>
      <c r="C2070" s="106">
        <f t="shared" ca="1" si="128"/>
        <v>-7.3570602976651273E-2</v>
      </c>
      <c r="D2070" s="106">
        <f t="shared" ca="1" si="129"/>
        <v>0.65969726095548764</v>
      </c>
      <c r="E2070" s="106">
        <f t="shared" ca="1" si="130"/>
        <v>0</v>
      </c>
      <c r="F2070" s="21">
        <f t="shared" ca="1" si="131"/>
        <v>0</v>
      </c>
      <c r="H2070" s="21">
        <v>2055</v>
      </c>
      <c r="I2070" s="107">
        <v>0.66769618368556061</v>
      </c>
      <c r="J2070" s="108">
        <v>1.4069264767304444E-3</v>
      </c>
      <c r="K2070" s="108"/>
      <c r="L2070" s="108">
        <v>3.8600000000000002E-2</v>
      </c>
      <c r="O2070" s="105"/>
    </row>
    <row r="2071" spans="2:15" x14ac:dyDescent="0.2">
      <c r="B2071" s="1">
        <v>2056</v>
      </c>
      <c r="C2071" s="106">
        <f t="shared" ca="1" si="128"/>
        <v>1.540591486428184</v>
      </c>
      <c r="D2071" s="106">
        <f t="shared" ca="1" si="129"/>
        <v>0.77356068558477886</v>
      </c>
      <c r="E2071" s="106">
        <f t="shared" ca="1" si="130"/>
        <v>0</v>
      </c>
      <c r="F2071" s="21">
        <f t="shared" ca="1" si="131"/>
        <v>0</v>
      </c>
      <c r="H2071" s="21">
        <v>2056</v>
      </c>
      <c r="I2071" s="107">
        <v>0.66765908268631968</v>
      </c>
      <c r="J2071" s="108">
        <v>1.3358491622618453E-3</v>
      </c>
      <c r="K2071" s="108"/>
      <c r="L2071" s="108">
        <v>4.0800000000000003E-2</v>
      </c>
      <c r="O2071" s="105"/>
    </row>
    <row r="2072" spans="2:15" x14ac:dyDescent="0.2">
      <c r="B2072" s="1">
        <v>2057</v>
      </c>
      <c r="C2072" s="106">
        <f t="shared" ca="1" si="128"/>
        <v>-0.78915331381997322</v>
      </c>
      <c r="D2072" s="106">
        <f t="shared" ca="1" si="129"/>
        <v>0.61473729071379379</v>
      </c>
      <c r="E2072" s="106">
        <f t="shared" ca="1" si="130"/>
        <v>0</v>
      </c>
      <c r="F2072" s="21">
        <f t="shared" ca="1" si="131"/>
        <v>0</v>
      </c>
      <c r="H2072" s="21">
        <v>2057</v>
      </c>
      <c r="I2072" s="107">
        <v>0.6677179261922318</v>
      </c>
      <c r="J2072" s="108">
        <v>1.4329427070876972E-3</v>
      </c>
      <c r="K2072" s="108"/>
      <c r="L2072" s="108">
        <v>4.1399999999999999E-2</v>
      </c>
      <c r="O2072" s="105"/>
    </row>
    <row r="2073" spans="2:15" x14ac:dyDescent="0.2">
      <c r="B2073" s="1">
        <v>2058</v>
      </c>
      <c r="C2073" s="106">
        <f t="shared" ca="1" si="128"/>
        <v>-0.69946357925329194</v>
      </c>
      <c r="D2073" s="106">
        <f t="shared" ca="1" si="129"/>
        <v>0.62020007109444064</v>
      </c>
      <c r="E2073" s="106">
        <f t="shared" ca="1" si="130"/>
        <v>0</v>
      </c>
      <c r="F2073" s="21">
        <f t="shared" ca="1" si="131"/>
        <v>0</v>
      </c>
      <c r="H2073" s="21">
        <v>2058</v>
      </c>
      <c r="I2073" s="107">
        <v>0.66777377530056115</v>
      </c>
      <c r="J2073" s="108">
        <v>1.4181625188186412E-3</v>
      </c>
      <c r="K2073" s="108"/>
      <c r="L2073" s="108">
        <v>4.2000000000000003E-2</v>
      </c>
      <c r="O2073" s="105"/>
    </row>
    <row r="2074" spans="2:15" x14ac:dyDescent="0.2">
      <c r="B2074" s="1">
        <v>2059</v>
      </c>
      <c r="C2074" s="106">
        <f t="shared" ca="1" si="128"/>
        <v>1.1471873658383327</v>
      </c>
      <c r="D2074" s="106">
        <f t="shared" ca="1" si="129"/>
        <v>0.74411695402491485</v>
      </c>
      <c r="E2074" s="106">
        <f t="shared" ca="1" si="130"/>
        <v>0</v>
      </c>
      <c r="F2074" s="21">
        <f t="shared" ca="1" si="131"/>
        <v>0</v>
      </c>
      <c r="H2074" s="21">
        <v>2059</v>
      </c>
      <c r="I2074" s="107">
        <v>0.66767711509052408</v>
      </c>
      <c r="J2074" s="108">
        <v>1.4680398319491333E-3</v>
      </c>
      <c r="K2074" s="108"/>
      <c r="L2074" s="108">
        <v>4.36E-2</v>
      </c>
      <c r="O2074" s="105"/>
    </row>
    <row r="2075" spans="2:15" x14ac:dyDescent="0.2">
      <c r="B2075" s="1">
        <v>2060</v>
      </c>
      <c r="C2075" s="106">
        <f t="shared" ca="1" si="128"/>
        <v>-0.675479514505822</v>
      </c>
      <c r="D2075" s="106">
        <f t="shared" ca="1" si="129"/>
        <v>0.62166908982359337</v>
      </c>
      <c r="E2075" s="106">
        <f t="shared" ca="1" si="130"/>
        <v>0</v>
      </c>
      <c r="F2075" s="21">
        <f t="shared" ca="1" si="131"/>
        <v>0</v>
      </c>
      <c r="H2075" s="21">
        <v>2060</v>
      </c>
      <c r="I2075" s="107">
        <v>0.6676932304139761</v>
      </c>
      <c r="J2075" s="108">
        <v>1.3543360399252884E-3</v>
      </c>
      <c r="K2075" s="108"/>
      <c r="L2075" s="108">
        <v>0.04</v>
      </c>
      <c r="O2075" s="105"/>
    </row>
    <row r="2076" spans="2:15" x14ac:dyDescent="0.2">
      <c r="B2076" s="1">
        <v>2061</v>
      </c>
      <c r="C2076" s="106">
        <f t="shared" ca="1" si="128"/>
        <v>0.23310802404290387</v>
      </c>
      <c r="D2076" s="106">
        <f t="shared" ca="1" si="129"/>
        <v>0.67995880851278978</v>
      </c>
      <c r="E2076" s="106">
        <f t="shared" ca="1" si="130"/>
        <v>0</v>
      </c>
      <c r="F2076" s="21">
        <f t="shared" ca="1" si="131"/>
        <v>0</v>
      </c>
      <c r="H2076" s="21">
        <v>2061</v>
      </c>
      <c r="I2076" s="107">
        <v>0.66771886192421315</v>
      </c>
      <c r="J2076" s="108">
        <v>1.4249241062388876E-3</v>
      </c>
      <c r="K2076" s="108"/>
      <c r="L2076" s="108">
        <v>4.2599999999999999E-2</v>
      </c>
      <c r="O2076" s="105"/>
    </row>
    <row r="2077" spans="2:15" x14ac:dyDescent="0.2">
      <c r="B2077" s="1">
        <v>2062</v>
      </c>
      <c r="C2077" s="106">
        <f t="shared" ca="1" si="128"/>
        <v>-1.3427656754005373</v>
      </c>
      <c r="D2077" s="106">
        <f t="shared" ca="1" si="129"/>
        <v>0.58206722600801153</v>
      </c>
      <c r="E2077" s="106">
        <f t="shared" ca="1" si="130"/>
        <v>0</v>
      </c>
      <c r="F2077" s="21">
        <f t="shared" ca="1" si="131"/>
        <v>0</v>
      </c>
      <c r="H2077" s="21">
        <v>2062</v>
      </c>
      <c r="I2077" s="107">
        <v>0.66780851901806382</v>
      </c>
      <c r="J2077" s="108">
        <v>1.5168957511274498E-3</v>
      </c>
      <c r="K2077" s="108"/>
      <c r="L2077" s="108">
        <v>4.4999999999999998E-2</v>
      </c>
      <c r="O2077" s="105"/>
    </row>
    <row r="2078" spans="2:15" x14ac:dyDescent="0.2">
      <c r="B2078" s="1">
        <v>2063</v>
      </c>
      <c r="C2078" s="106">
        <f t="shared" ca="1" si="128"/>
        <v>0.91219842515182403</v>
      </c>
      <c r="D2078" s="106">
        <f t="shared" ca="1" si="129"/>
        <v>0.72706697473621062</v>
      </c>
      <c r="E2078" s="106">
        <f t="shared" ca="1" si="130"/>
        <v>0</v>
      </c>
      <c r="F2078" s="21">
        <f t="shared" ca="1" si="131"/>
        <v>0</v>
      </c>
      <c r="H2078" s="21">
        <v>2063</v>
      </c>
      <c r="I2078" s="107">
        <v>0.6677247628730012</v>
      </c>
      <c r="J2078" s="108">
        <v>1.3828671208410736E-3</v>
      </c>
      <c r="K2078" s="108"/>
      <c r="L2078" s="108">
        <v>4.0399999999999998E-2</v>
      </c>
      <c r="O2078" s="105"/>
    </row>
    <row r="2079" spans="2:15" x14ac:dyDescent="0.2">
      <c r="B2079" s="1">
        <v>2064</v>
      </c>
      <c r="C2079" s="106">
        <f t="shared" ca="1" si="128"/>
        <v>0.11554864327134652</v>
      </c>
      <c r="D2079" s="106">
        <f t="shared" ca="1" si="129"/>
        <v>0.67211940277700333</v>
      </c>
      <c r="E2079" s="106">
        <f t="shared" ca="1" si="130"/>
        <v>0</v>
      </c>
      <c r="F2079" s="21">
        <f t="shared" ca="1" si="131"/>
        <v>0</v>
      </c>
      <c r="H2079" s="21">
        <v>2064</v>
      </c>
      <c r="I2079" s="107">
        <v>0.66743586478632233</v>
      </c>
      <c r="J2079" s="108">
        <v>9.7379784109833506E-4</v>
      </c>
      <c r="K2079" s="108"/>
      <c r="L2079" s="108">
        <v>3.4599999999999999E-2</v>
      </c>
      <c r="O2079" s="105"/>
    </row>
    <row r="2080" spans="2:15" x14ac:dyDescent="0.2">
      <c r="B2080" s="1">
        <v>2065</v>
      </c>
      <c r="C2080" s="106">
        <f t="shared" ca="1" si="128"/>
        <v>-0.5929956241203892</v>
      </c>
      <c r="D2080" s="106">
        <f t="shared" ca="1" si="129"/>
        <v>0.62674782173750843</v>
      </c>
      <c r="E2080" s="106">
        <f t="shared" ca="1" si="130"/>
        <v>0</v>
      </c>
      <c r="F2080" s="21">
        <f t="shared" ca="1" si="131"/>
        <v>0</v>
      </c>
      <c r="H2080" s="21">
        <v>2065</v>
      </c>
      <c r="I2080" s="107">
        <v>0.66788892506289088</v>
      </c>
      <c r="J2080" s="108">
        <v>1.6389872184958626E-3</v>
      </c>
      <c r="K2080" s="108"/>
      <c r="L2080" s="108">
        <v>4.7600000000000003E-2</v>
      </c>
      <c r="O2080" s="105"/>
    </row>
    <row r="2081" spans="2:15" x14ac:dyDescent="0.2">
      <c r="B2081" s="1">
        <v>2066</v>
      </c>
      <c r="C2081" s="106">
        <f t="shared" ca="1" si="128"/>
        <v>0.5443310319547604</v>
      </c>
      <c r="D2081" s="106">
        <f t="shared" ca="1" si="129"/>
        <v>0.7011568899233116</v>
      </c>
      <c r="E2081" s="106">
        <f t="shared" ca="1" si="130"/>
        <v>0</v>
      </c>
      <c r="F2081" s="21">
        <f t="shared" ca="1" si="131"/>
        <v>0</v>
      </c>
      <c r="H2081" s="21">
        <v>2066</v>
      </c>
      <c r="I2081" s="107">
        <v>0.66776928031100358</v>
      </c>
      <c r="J2081" s="108">
        <v>1.5265865082556009E-3</v>
      </c>
      <c r="K2081" s="108"/>
      <c r="L2081" s="108">
        <v>4.6399999999999997E-2</v>
      </c>
      <c r="O2081" s="105"/>
    </row>
    <row r="2082" spans="2:15" x14ac:dyDescent="0.2">
      <c r="B2082" s="1">
        <v>2067</v>
      </c>
      <c r="C2082" s="106">
        <f t="shared" ca="1" si="128"/>
        <v>0.24407237943499033</v>
      </c>
      <c r="D2082" s="106">
        <f t="shared" ca="1" si="129"/>
        <v>0.68069460800403525</v>
      </c>
      <c r="E2082" s="106">
        <f t="shared" ca="1" si="130"/>
        <v>0</v>
      </c>
      <c r="F2082" s="21">
        <f t="shared" ca="1" si="131"/>
        <v>0</v>
      </c>
      <c r="H2082" s="21">
        <v>2067</v>
      </c>
      <c r="I2082" s="107">
        <v>0.66760232272399145</v>
      </c>
      <c r="J2082" s="108">
        <v>1.1660034746383842E-3</v>
      </c>
      <c r="K2082" s="108"/>
      <c r="L2082" s="108">
        <v>3.9600000000000003E-2</v>
      </c>
      <c r="O2082" s="105"/>
    </row>
    <row r="2083" spans="2:15" x14ac:dyDescent="0.2">
      <c r="B2083" s="1">
        <v>2068</v>
      </c>
      <c r="C2083" s="106">
        <f t="shared" ca="1" si="128"/>
        <v>-0.61399232159214612</v>
      </c>
      <c r="D2083" s="106">
        <f t="shared" ca="1" si="129"/>
        <v>0.62545108128369076</v>
      </c>
      <c r="E2083" s="106">
        <f t="shared" ca="1" si="130"/>
        <v>0</v>
      </c>
      <c r="F2083" s="21">
        <f t="shared" ca="1" si="131"/>
        <v>0</v>
      </c>
      <c r="H2083" s="21">
        <v>2068</v>
      </c>
      <c r="I2083" s="107">
        <v>0.66755175423602364</v>
      </c>
      <c r="J2083" s="108">
        <v>1.1145325183965459E-3</v>
      </c>
      <c r="K2083" s="108"/>
      <c r="L2083" s="108">
        <v>3.9600000000000003E-2</v>
      </c>
      <c r="O2083" s="105"/>
    </row>
    <row r="2084" spans="2:15" x14ac:dyDescent="0.2">
      <c r="B2084" s="1">
        <v>2069</v>
      </c>
      <c r="C2084" s="106">
        <f t="shared" ca="1" si="128"/>
        <v>0.7042844315250858</v>
      </c>
      <c r="D2084" s="106">
        <f t="shared" ca="1" si="129"/>
        <v>0.71230748997244964</v>
      </c>
      <c r="E2084" s="106">
        <f t="shared" ca="1" si="130"/>
        <v>0</v>
      </c>
      <c r="F2084" s="21">
        <f t="shared" ca="1" si="131"/>
        <v>0</v>
      </c>
      <c r="H2084" s="21">
        <v>2069</v>
      </c>
      <c r="I2084" s="107">
        <v>0.66772083683508421</v>
      </c>
      <c r="J2084" s="108">
        <v>1.3290694971572563E-3</v>
      </c>
      <c r="K2084" s="108"/>
      <c r="L2084" s="108">
        <v>4.2999999999999997E-2</v>
      </c>
      <c r="O2084" s="105"/>
    </row>
    <row r="2085" spans="2:15" x14ac:dyDescent="0.2">
      <c r="B2085" s="1">
        <v>2070</v>
      </c>
      <c r="C2085" s="106">
        <f t="shared" ca="1" si="128"/>
        <v>1.0660611834821789</v>
      </c>
      <c r="D2085" s="106">
        <f t="shared" ca="1" si="129"/>
        <v>0.73818599941033647</v>
      </c>
      <c r="E2085" s="106">
        <f t="shared" ca="1" si="130"/>
        <v>0</v>
      </c>
      <c r="F2085" s="21">
        <f t="shared" ca="1" si="131"/>
        <v>0</v>
      </c>
      <c r="H2085" s="21">
        <v>2070</v>
      </c>
      <c r="I2085" s="107">
        <v>0.66768493509463633</v>
      </c>
      <c r="J2085" s="108">
        <v>1.3138880455121715E-3</v>
      </c>
      <c r="K2085" s="108"/>
      <c r="L2085" s="108">
        <v>3.9E-2</v>
      </c>
      <c r="O2085" s="105"/>
    </row>
    <row r="2086" spans="2:15" x14ac:dyDescent="0.2">
      <c r="B2086" s="1">
        <v>2071</v>
      </c>
      <c r="C2086" s="106">
        <f t="shared" ca="1" si="128"/>
        <v>0.20477062533585891</v>
      </c>
      <c r="D2086" s="106">
        <f t="shared" ca="1" si="129"/>
        <v>0.67806081532800122</v>
      </c>
      <c r="E2086" s="106">
        <f t="shared" ca="1" si="130"/>
        <v>0</v>
      </c>
      <c r="F2086" s="21">
        <f t="shared" ca="1" si="131"/>
        <v>0</v>
      </c>
      <c r="H2086" s="21">
        <v>2071</v>
      </c>
      <c r="I2086" s="107">
        <v>0.66777689052295286</v>
      </c>
      <c r="J2086" s="108">
        <v>1.3316719303319868E-3</v>
      </c>
      <c r="K2086" s="108"/>
      <c r="L2086" s="108">
        <v>4.2999999999999997E-2</v>
      </c>
      <c r="O2086" s="105"/>
    </row>
    <row r="2087" spans="2:15" x14ac:dyDescent="0.2">
      <c r="B2087" s="1">
        <v>2072</v>
      </c>
      <c r="C2087" s="106">
        <f t="shared" ca="1" si="128"/>
        <v>-0.6050412375467541</v>
      </c>
      <c r="D2087" s="106">
        <f t="shared" ca="1" si="129"/>
        <v>0.62600356518381917</v>
      </c>
      <c r="E2087" s="106">
        <f t="shared" ca="1" si="130"/>
        <v>0</v>
      </c>
      <c r="F2087" s="21">
        <f t="shared" ca="1" si="131"/>
        <v>0</v>
      </c>
      <c r="H2087" s="21">
        <v>2072</v>
      </c>
      <c r="I2087" s="107">
        <v>0.66767359812483962</v>
      </c>
      <c r="J2087" s="108">
        <v>1.209980450729119E-3</v>
      </c>
      <c r="K2087" s="108"/>
      <c r="L2087" s="108">
        <v>4.1599999999999998E-2</v>
      </c>
      <c r="O2087" s="105"/>
    </row>
    <row r="2088" spans="2:15" x14ac:dyDescent="0.2">
      <c r="B2088" s="1">
        <v>2073</v>
      </c>
      <c r="C2088" s="106">
        <f t="shared" ca="1" si="128"/>
        <v>0.48986976476978261</v>
      </c>
      <c r="D2088" s="106">
        <f t="shared" ca="1" si="129"/>
        <v>0.69740028236941931</v>
      </c>
      <c r="E2088" s="106">
        <f t="shared" ca="1" si="130"/>
        <v>0</v>
      </c>
      <c r="F2088" s="21">
        <f t="shared" ca="1" si="131"/>
        <v>0</v>
      </c>
      <c r="H2088" s="21">
        <v>2073</v>
      </c>
      <c r="I2088" s="107">
        <v>0.6678232750846641</v>
      </c>
      <c r="J2088" s="108">
        <v>1.562504779298879E-3</v>
      </c>
      <c r="K2088" s="108"/>
      <c r="L2088" s="108">
        <v>4.2000000000000003E-2</v>
      </c>
      <c r="O2088" s="105"/>
    </row>
    <row r="2089" spans="2:15" x14ac:dyDescent="0.2">
      <c r="B2089" s="1">
        <v>2074</v>
      </c>
      <c r="C2089" s="106">
        <f t="shared" ca="1" si="128"/>
        <v>1.074893370762759</v>
      </c>
      <c r="D2089" s="106">
        <f t="shared" ca="1" si="129"/>
        <v>0.73882940106068618</v>
      </c>
      <c r="E2089" s="106">
        <f t="shared" ca="1" si="130"/>
        <v>0</v>
      </c>
      <c r="F2089" s="21">
        <f t="shared" ca="1" si="131"/>
        <v>0</v>
      </c>
      <c r="H2089" s="21">
        <v>2074</v>
      </c>
      <c r="I2089" s="107">
        <v>0.66771290303520281</v>
      </c>
      <c r="J2089" s="108">
        <v>1.3310540293182465E-3</v>
      </c>
      <c r="K2089" s="108"/>
      <c r="L2089" s="108">
        <v>4.0800000000000003E-2</v>
      </c>
      <c r="O2089" s="105"/>
    </row>
    <row r="2090" spans="2:15" x14ac:dyDescent="0.2">
      <c r="B2090" s="1">
        <v>2075</v>
      </c>
      <c r="C2090" s="106">
        <f t="shared" ca="1" si="128"/>
        <v>0.24340737184666131</v>
      </c>
      <c r="D2090" s="106">
        <f t="shared" ca="1" si="129"/>
        <v>0.68064995778764825</v>
      </c>
      <c r="E2090" s="106">
        <f t="shared" ca="1" si="130"/>
        <v>0</v>
      </c>
      <c r="F2090" s="21">
        <f t="shared" ca="1" si="131"/>
        <v>0</v>
      </c>
      <c r="H2090" s="21">
        <v>2075</v>
      </c>
      <c r="I2090" s="107">
        <v>0.66779141336055825</v>
      </c>
      <c r="J2090" s="108">
        <v>1.3920435902220272E-3</v>
      </c>
      <c r="K2090" s="108"/>
      <c r="L2090" s="108">
        <v>4.4400000000000002E-2</v>
      </c>
      <c r="O2090" s="105"/>
    </row>
    <row r="2091" spans="2:15" x14ac:dyDescent="0.2">
      <c r="B2091" s="1">
        <v>2076</v>
      </c>
      <c r="C2091" s="106">
        <f t="shared" ca="1" si="128"/>
        <v>1.7729180939507601</v>
      </c>
      <c r="D2091" s="106">
        <f t="shared" ca="1" si="129"/>
        <v>0.79149307283949322</v>
      </c>
      <c r="E2091" s="106">
        <f t="shared" ca="1" si="130"/>
        <v>3.2930728394932052E-3</v>
      </c>
      <c r="F2091" s="21">
        <f t="shared" ca="1" si="131"/>
        <v>1</v>
      </c>
      <c r="H2091" s="21">
        <v>2076</v>
      </c>
      <c r="I2091" s="107">
        <v>0.66775712260722431</v>
      </c>
      <c r="J2091" s="108">
        <v>1.2872121589001871E-3</v>
      </c>
      <c r="K2091" s="108"/>
      <c r="L2091" s="108">
        <v>4.4200000000000003E-2</v>
      </c>
      <c r="O2091" s="105"/>
    </row>
    <row r="2092" spans="2:15" x14ac:dyDescent="0.2">
      <c r="B2092" s="1">
        <v>2077</v>
      </c>
      <c r="C2092" s="106">
        <f t="shared" ca="1" si="128"/>
        <v>0.71227500021486023</v>
      </c>
      <c r="D2092" s="106">
        <f t="shared" ca="1" si="129"/>
        <v>0.71286915226414693</v>
      </c>
      <c r="E2092" s="106">
        <f t="shared" ca="1" si="130"/>
        <v>0</v>
      </c>
      <c r="F2092" s="21">
        <f t="shared" ca="1" si="131"/>
        <v>0</v>
      </c>
      <c r="H2092" s="21">
        <v>2077</v>
      </c>
      <c r="I2092" s="107">
        <v>0.66773683063615208</v>
      </c>
      <c r="J2092" s="108">
        <v>1.2635843538933095E-3</v>
      </c>
      <c r="K2092" s="108"/>
      <c r="L2092" s="108">
        <v>3.9800000000000002E-2</v>
      </c>
      <c r="O2092" s="105"/>
    </row>
    <row r="2093" spans="2:15" x14ac:dyDescent="0.2">
      <c r="B2093" s="1">
        <v>2078</v>
      </c>
      <c r="C2093" s="106">
        <f t="shared" ca="1" si="128"/>
        <v>6.5741774506102885E-2</v>
      </c>
      <c r="D2093" s="106">
        <f t="shared" ca="1" si="129"/>
        <v>0.66882536813570481</v>
      </c>
      <c r="E2093" s="106">
        <f t="shared" ca="1" si="130"/>
        <v>0</v>
      </c>
      <c r="F2093" s="21">
        <f t="shared" ca="1" si="131"/>
        <v>0</v>
      </c>
      <c r="H2093" s="21">
        <v>2078</v>
      </c>
      <c r="I2093" s="107">
        <v>0.66756226736660185</v>
      </c>
      <c r="J2093" s="108">
        <v>1.2149907045916322E-3</v>
      </c>
      <c r="K2093" s="108"/>
      <c r="L2093" s="108">
        <v>3.6999999999999998E-2</v>
      </c>
      <c r="O2093" s="105"/>
    </row>
    <row r="2094" spans="2:15" x14ac:dyDescent="0.2">
      <c r="B2094" s="1">
        <v>2079</v>
      </c>
      <c r="C2094" s="106">
        <f t="shared" ca="1" si="128"/>
        <v>2.9532808439297069</v>
      </c>
      <c r="D2094" s="106">
        <f t="shared" ca="1" si="129"/>
        <v>0.88922800294568072</v>
      </c>
      <c r="E2094" s="106">
        <f t="shared" ca="1" si="130"/>
        <v>0.10102800294568071</v>
      </c>
      <c r="F2094" s="21">
        <f t="shared" ca="1" si="131"/>
        <v>1</v>
      </c>
      <c r="H2094" s="21">
        <v>2079</v>
      </c>
      <c r="I2094" s="107">
        <v>0.6677133319095252</v>
      </c>
      <c r="J2094" s="108">
        <v>1.3161123773780335E-3</v>
      </c>
      <c r="K2094" s="108"/>
      <c r="L2094" s="108">
        <v>4.02E-2</v>
      </c>
      <c r="O2094" s="105"/>
    </row>
    <row r="2095" spans="2:15" x14ac:dyDescent="0.2">
      <c r="B2095" s="1">
        <v>2080</v>
      </c>
      <c r="C2095" s="106">
        <f t="shared" ca="1" si="128"/>
        <v>-2.4426340363507045E-2</v>
      </c>
      <c r="D2095" s="106">
        <f t="shared" ca="1" si="129"/>
        <v>0.66290300972936211</v>
      </c>
      <c r="E2095" s="106">
        <f t="shared" ca="1" si="130"/>
        <v>0</v>
      </c>
      <c r="F2095" s="21">
        <f t="shared" ca="1" si="131"/>
        <v>0</v>
      </c>
      <c r="H2095" s="21">
        <v>2080</v>
      </c>
      <c r="I2095" s="107">
        <v>0.66774870026249</v>
      </c>
      <c r="J2095" s="108">
        <v>1.3624211140460774E-3</v>
      </c>
      <c r="K2095" s="108"/>
      <c r="L2095" s="108">
        <v>4.36E-2</v>
      </c>
      <c r="O2095" s="105"/>
    </row>
    <row r="2096" spans="2:15" x14ac:dyDescent="0.2">
      <c r="B2096" s="1">
        <v>2081</v>
      </c>
      <c r="C2096" s="106">
        <f t="shared" ca="1" si="128"/>
        <v>0.30879753437214535</v>
      </c>
      <c r="D2096" s="106">
        <f t="shared" ca="1" si="129"/>
        <v>0.6850544569259851</v>
      </c>
      <c r="E2096" s="106">
        <f t="shared" ca="1" si="130"/>
        <v>0</v>
      </c>
      <c r="F2096" s="21">
        <f t="shared" ca="1" si="131"/>
        <v>0</v>
      </c>
      <c r="H2096" s="21">
        <v>2081</v>
      </c>
      <c r="I2096" s="107">
        <v>0.66778706072375293</v>
      </c>
      <c r="J2096" s="108">
        <v>1.4157194178799422E-3</v>
      </c>
      <c r="K2096" s="108"/>
      <c r="L2096" s="108">
        <v>4.8399999999999999E-2</v>
      </c>
      <c r="O2096" s="105"/>
    </row>
    <row r="2097" spans="2:15" x14ac:dyDescent="0.2">
      <c r="B2097" s="1">
        <v>2082</v>
      </c>
      <c r="C2097" s="106">
        <f t="shared" ca="1" si="128"/>
        <v>7.3134237284598821E-2</v>
      </c>
      <c r="D2097" s="106">
        <f t="shared" ca="1" si="129"/>
        <v>0.66931325501444794</v>
      </c>
      <c r="E2097" s="106">
        <f t="shared" ca="1" si="130"/>
        <v>0</v>
      </c>
      <c r="F2097" s="21">
        <f t="shared" ca="1" si="131"/>
        <v>0</v>
      </c>
      <c r="H2097" s="21">
        <v>2082</v>
      </c>
      <c r="I2097" s="107">
        <v>0.66774835936775945</v>
      </c>
      <c r="J2097" s="108">
        <v>1.3000696013797707E-3</v>
      </c>
      <c r="K2097" s="108"/>
      <c r="L2097" s="108">
        <v>4.1799999999999997E-2</v>
      </c>
      <c r="O2097" s="105"/>
    </row>
    <row r="2098" spans="2:15" x14ac:dyDescent="0.2">
      <c r="B2098" s="1">
        <v>2083</v>
      </c>
      <c r="C2098" s="106">
        <f t="shared" ca="1" si="128"/>
        <v>0.30711214992340818</v>
      </c>
      <c r="D2098" s="106">
        <f t="shared" ca="1" si="129"/>
        <v>0.68494057707787448</v>
      </c>
      <c r="E2098" s="106">
        <f t="shared" ca="1" si="130"/>
        <v>0</v>
      </c>
      <c r="F2098" s="21">
        <f t="shared" ca="1" si="131"/>
        <v>0</v>
      </c>
      <c r="H2098" s="21">
        <v>2083</v>
      </c>
      <c r="I2098" s="107">
        <v>0.66768647165510364</v>
      </c>
      <c r="J2098" s="108">
        <v>1.3141041301335456E-3</v>
      </c>
      <c r="K2098" s="108"/>
      <c r="L2098" s="108">
        <v>4.0599999999999997E-2</v>
      </c>
      <c r="O2098" s="105"/>
    </row>
    <row r="2099" spans="2:15" x14ac:dyDescent="0.2">
      <c r="B2099" s="1">
        <v>2084</v>
      </c>
      <c r="C2099" s="106">
        <f t="shared" ca="1" si="128"/>
        <v>-0.10423338332867745</v>
      </c>
      <c r="D2099" s="106">
        <f t="shared" ca="1" si="129"/>
        <v>0.65770494372099708</v>
      </c>
      <c r="E2099" s="106">
        <f t="shared" ca="1" si="130"/>
        <v>0</v>
      </c>
      <c r="F2099" s="21">
        <f t="shared" ca="1" si="131"/>
        <v>0</v>
      </c>
      <c r="H2099" s="21">
        <v>2084</v>
      </c>
      <c r="I2099" s="107">
        <v>0.66773014714510692</v>
      </c>
      <c r="J2099" s="108">
        <v>1.3289181056370669E-3</v>
      </c>
      <c r="K2099" s="108"/>
      <c r="L2099" s="108">
        <v>4.3200000000000002E-2</v>
      </c>
      <c r="O2099" s="105"/>
    </row>
    <row r="2100" spans="2:15" x14ac:dyDescent="0.2">
      <c r="B2100" s="1">
        <v>2085</v>
      </c>
      <c r="C2100" s="106">
        <f t="shared" ca="1" si="128"/>
        <v>0.70745134475746119</v>
      </c>
      <c r="D2100" s="106">
        <f t="shared" ca="1" si="129"/>
        <v>0.71253004141435239</v>
      </c>
      <c r="E2100" s="106">
        <f t="shared" ca="1" si="130"/>
        <v>0</v>
      </c>
      <c r="F2100" s="21">
        <f t="shared" ca="1" si="131"/>
        <v>0</v>
      </c>
      <c r="H2100" s="21">
        <v>2085</v>
      </c>
      <c r="I2100" s="107">
        <v>0.66777372947732561</v>
      </c>
      <c r="J2100" s="108">
        <v>1.4966991477764775E-3</v>
      </c>
      <c r="K2100" s="108"/>
      <c r="L2100" s="108">
        <v>3.8600000000000002E-2</v>
      </c>
      <c r="O2100" s="105"/>
    </row>
    <row r="2101" spans="2:15" x14ac:dyDescent="0.2">
      <c r="B2101" s="1">
        <v>2086</v>
      </c>
      <c r="C2101" s="106">
        <f t="shared" ca="1" si="128"/>
        <v>-0.31437628021413166</v>
      </c>
      <c r="D2101" s="106">
        <f t="shared" ca="1" si="129"/>
        <v>0.64421185732755237</v>
      </c>
      <c r="E2101" s="106">
        <f t="shared" ca="1" si="130"/>
        <v>0</v>
      </c>
      <c r="F2101" s="21">
        <f t="shared" ca="1" si="131"/>
        <v>0</v>
      </c>
      <c r="H2101" s="21">
        <v>2086</v>
      </c>
      <c r="I2101" s="107">
        <v>0.66769579116574307</v>
      </c>
      <c r="J2101" s="108">
        <v>1.2227371136237896E-3</v>
      </c>
      <c r="K2101" s="108"/>
      <c r="L2101" s="108">
        <v>3.8199999999999998E-2</v>
      </c>
      <c r="O2101" s="105"/>
    </row>
    <row r="2102" spans="2:15" x14ac:dyDescent="0.2">
      <c r="B2102" s="1">
        <v>2087</v>
      </c>
      <c r="C2102" s="106">
        <f t="shared" ca="1" si="128"/>
        <v>0.10113573885475181</v>
      </c>
      <c r="D2102" s="106">
        <f t="shared" ca="1" si="129"/>
        <v>0.67116452418536199</v>
      </c>
      <c r="E2102" s="106">
        <f t="shared" ca="1" si="130"/>
        <v>0</v>
      </c>
      <c r="F2102" s="21">
        <f t="shared" ca="1" si="131"/>
        <v>0</v>
      </c>
      <c r="H2102" s="21">
        <v>2087</v>
      </c>
      <c r="I2102" s="107">
        <v>0.66774939812299783</v>
      </c>
      <c r="J2102" s="108">
        <v>1.3245067457209115E-3</v>
      </c>
      <c r="K2102" s="108"/>
      <c r="L2102" s="108">
        <v>4.5400000000000003E-2</v>
      </c>
      <c r="O2102" s="105"/>
    </row>
    <row r="2103" spans="2:15" x14ac:dyDescent="0.2">
      <c r="B2103" s="1">
        <v>2088</v>
      </c>
      <c r="C2103" s="106">
        <f t="shared" ca="1" si="128"/>
        <v>-0.88943276439998575</v>
      </c>
      <c r="D2103" s="106">
        <f t="shared" ca="1" si="129"/>
        <v>0.60868647089218342</v>
      </c>
      <c r="E2103" s="106">
        <f t="shared" ca="1" si="130"/>
        <v>0</v>
      </c>
      <c r="F2103" s="21">
        <f t="shared" ca="1" si="131"/>
        <v>0</v>
      </c>
      <c r="H2103" s="21">
        <v>2088</v>
      </c>
      <c r="I2103" s="107">
        <v>0.66767276923994989</v>
      </c>
      <c r="J2103" s="108">
        <v>1.3995186048749221E-3</v>
      </c>
      <c r="K2103" s="108"/>
      <c r="L2103" s="108">
        <v>4.2999999999999997E-2</v>
      </c>
      <c r="O2103" s="105"/>
    </row>
    <row r="2104" spans="2:15" x14ac:dyDescent="0.2">
      <c r="B2104" s="1">
        <v>2089</v>
      </c>
      <c r="C2104" s="106">
        <f t="shared" ca="1" si="128"/>
        <v>-1.6864015085680815</v>
      </c>
      <c r="D2104" s="106">
        <f t="shared" ca="1" si="129"/>
        <v>0.56266771829921403</v>
      </c>
      <c r="E2104" s="106">
        <f t="shared" ca="1" si="130"/>
        <v>0</v>
      </c>
      <c r="F2104" s="21">
        <f t="shared" ca="1" si="131"/>
        <v>0</v>
      </c>
      <c r="H2104" s="21">
        <v>2089</v>
      </c>
      <c r="I2104" s="107">
        <v>0.66769800075456587</v>
      </c>
      <c r="J2104" s="108">
        <v>1.3368567971523105E-3</v>
      </c>
      <c r="K2104" s="108"/>
      <c r="L2104" s="108">
        <v>4.1399999999999999E-2</v>
      </c>
      <c r="O2104" s="105"/>
    </row>
    <row r="2105" spans="2:15" x14ac:dyDescent="0.2">
      <c r="B2105" s="1">
        <v>2090</v>
      </c>
      <c r="C2105" s="106">
        <f t="shared" ca="1" si="128"/>
        <v>1.0504713991808938</v>
      </c>
      <c r="D2105" s="106">
        <f t="shared" ca="1" si="129"/>
        <v>0.73705169159210071</v>
      </c>
      <c r="E2105" s="106">
        <f t="shared" ca="1" si="130"/>
        <v>0</v>
      </c>
      <c r="F2105" s="21">
        <f t="shared" ca="1" si="131"/>
        <v>0</v>
      </c>
      <c r="H2105" s="21">
        <v>2090</v>
      </c>
      <c r="I2105" s="107">
        <v>0.66778658104838429</v>
      </c>
      <c r="J2105" s="108">
        <v>1.3139880723615071E-3</v>
      </c>
      <c r="K2105" s="108"/>
      <c r="L2105" s="108">
        <v>4.36E-2</v>
      </c>
      <c r="O2105" s="105"/>
    </row>
    <row r="2106" spans="2:15" x14ac:dyDescent="0.2">
      <c r="B2106" s="1">
        <v>2091</v>
      </c>
      <c r="C2106" s="106">
        <f t="shared" ca="1" si="128"/>
        <v>-3.1923655320997044E-2</v>
      </c>
      <c r="D2106" s="106">
        <f t="shared" ca="1" si="129"/>
        <v>0.66241294430037312</v>
      </c>
      <c r="E2106" s="106">
        <f t="shared" ca="1" si="130"/>
        <v>0</v>
      </c>
      <c r="F2106" s="21">
        <f t="shared" ca="1" si="131"/>
        <v>0</v>
      </c>
      <c r="H2106" s="21">
        <v>2091</v>
      </c>
      <c r="I2106" s="107">
        <v>0.66795461708371873</v>
      </c>
      <c r="J2106" s="108">
        <v>1.5206697879842797E-3</v>
      </c>
      <c r="K2106" s="108"/>
      <c r="L2106" s="108">
        <v>4.4999999999999998E-2</v>
      </c>
      <c r="O2106" s="105"/>
    </row>
    <row r="2107" spans="2:15" x14ac:dyDescent="0.2">
      <c r="B2107" s="1">
        <v>2092</v>
      </c>
      <c r="C2107" s="106">
        <f t="shared" ca="1" si="128"/>
        <v>8.6500934193561405E-2</v>
      </c>
      <c r="D2107" s="106">
        <f t="shared" ca="1" si="129"/>
        <v>0.67019633241171539</v>
      </c>
      <c r="E2107" s="106">
        <f t="shared" ca="1" si="130"/>
        <v>0</v>
      </c>
      <c r="F2107" s="21">
        <f t="shared" ca="1" si="131"/>
        <v>0</v>
      </c>
      <c r="H2107" s="21">
        <v>2092</v>
      </c>
      <c r="I2107" s="107">
        <v>0.66776660647599007</v>
      </c>
      <c r="J2107" s="108">
        <v>1.3888505710092686E-3</v>
      </c>
      <c r="K2107" s="108"/>
      <c r="L2107" s="108">
        <v>4.5600000000000002E-2</v>
      </c>
      <c r="O2107" s="105"/>
    </row>
    <row r="2108" spans="2:15" x14ac:dyDescent="0.2">
      <c r="B2108" s="1">
        <v>2093</v>
      </c>
      <c r="C2108" s="106">
        <f t="shared" ca="1" si="128"/>
        <v>-0.44148278278012026</v>
      </c>
      <c r="D2108" s="106">
        <f t="shared" ca="1" si="129"/>
        <v>0.63618518292765647</v>
      </c>
      <c r="E2108" s="106">
        <f t="shared" ca="1" si="130"/>
        <v>0</v>
      </c>
      <c r="F2108" s="21">
        <f t="shared" ca="1" si="131"/>
        <v>0</v>
      </c>
      <c r="H2108" s="21">
        <v>2093</v>
      </c>
      <c r="I2108" s="107">
        <v>0.66779799070137613</v>
      </c>
      <c r="J2108" s="108">
        <v>1.458638770973039E-3</v>
      </c>
      <c r="K2108" s="108"/>
      <c r="L2108" s="108">
        <v>4.2799999999999998E-2</v>
      </c>
      <c r="O2108" s="105"/>
    </row>
    <row r="2109" spans="2:15" x14ac:dyDescent="0.2">
      <c r="B2109" s="1">
        <v>2094</v>
      </c>
      <c r="C2109" s="106">
        <f t="shared" ca="1" si="128"/>
        <v>1.8375882383715798</v>
      </c>
      <c r="D2109" s="106">
        <f t="shared" ca="1" si="129"/>
        <v>0.79655826353781911</v>
      </c>
      <c r="E2109" s="106">
        <f t="shared" ca="1" si="130"/>
        <v>8.3582635378190995E-3</v>
      </c>
      <c r="F2109" s="21">
        <f t="shared" ca="1" si="131"/>
        <v>1</v>
      </c>
      <c r="H2109" s="21">
        <v>2094</v>
      </c>
      <c r="I2109" s="107">
        <v>0.66774191514628245</v>
      </c>
      <c r="J2109" s="108">
        <v>1.3397097419168872E-3</v>
      </c>
      <c r="K2109" s="108"/>
      <c r="L2109" s="108">
        <v>4.24E-2</v>
      </c>
      <c r="O2109" s="105"/>
    </row>
    <row r="2110" spans="2:15" x14ac:dyDescent="0.2">
      <c r="B2110" s="1">
        <v>2095</v>
      </c>
      <c r="C2110" s="106">
        <f t="shared" ca="1" si="128"/>
        <v>1.0116292847109167</v>
      </c>
      <c r="D2110" s="106">
        <f t="shared" ca="1" si="129"/>
        <v>0.73423312700378396</v>
      </c>
      <c r="E2110" s="106">
        <f t="shared" ca="1" si="130"/>
        <v>0</v>
      </c>
      <c r="F2110" s="21">
        <f t="shared" ca="1" si="131"/>
        <v>0</v>
      </c>
      <c r="H2110" s="21">
        <v>2095</v>
      </c>
      <c r="I2110" s="107">
        <v>0.66776834967569609</v>
      </c>
      <c r="J2110" s="108">
        <v>1.5159382567182158E-3</v>
      </c>
      <c r="K2110" s="108"/>
      <c r="L2110" s="108">
        <v>4.4200000000000003E-2</v>
      </c>
      <c r="O2110" s="105"/>
    </row>
    <row r="2111" spans="2:15" x14ac:dyDescent="0.2">
      <c r="B2111" s="1">
        <v>2096</v>
      </c>
      <c r="C2111" s="106">
        <f t="shared" ca="1" si="128"/>
        <v>0.16581943508800887</v>
      </c>
      <c r="D2111" s="106">
        <f t="shared" ca="1" si="129"/>
        <v>0.67546057059135078</v>
      </c>
      <c r="E2111" s="106">
        <f t="shared" ca="1" si="130"/>
        <v>0</v>
      </c>
      <c r="F2111" s="21">
        <f t="shared" ca="1" si="131"/>
        <v>0</v>
      </c>
      <c r="H2111" s="21">
        <v>2096</v>
      </c>
      <c r="I2111" s="107">
        <v>0.66780600847461014</v>
      </c>
      <c r="J2111" s="108">
        <v>1.32792697568507E-3</v>
      </c>
      <c r="K2111" s="108"/>
      <c r="L2111" s="108">
        <v>4.2000000000000003E-2</v>
      </c>
      <c r="O2111" s="105"/>
    </row>
    <row r="2112" spans="2:15" x14ac:dyDescent="0.2">
      <c r="B2112" s="1">
        <v>2097</v>
      </c>
      <c r="C2112" s="106">
        <f t="shared" ca="1" si="128"/>
        <v>1.1127204183444614</v>
      </c>
      <c r="D2112" s="106">
        <f t="shared" ca="1" si="129"/>
        <v>0.74159135232812523</v>
      </c>
      <c r="E2112" s="106">
        <f t="shared" ca="1" si="130"/>
        <v>0</v>
      </c>
      <c r="F2112" s="21">
        <f t="shared" ca="1" si="131"/>
        <v>0</v>
      </c>
      <c r="H2112" s="21">
        <v>2097</v>
      </c>
      <c r="I2112" s="107">
        <v>0.66776731936204026</v>
      </c>
      <c r="J2112" s="108">
        <v>1.4258432467290816E-3</v>
      </c>
      <c r="K2112" s="108"/>
      <c r="L2112" s="108">
        <v>4.2799999999999998E-2</v>
      </c>
      <c r="O2112" s="105"/>
    </row>
    <row r="2113" spans="2:15" x14ac:dyDescent="0.2">
      <c r="B2113" s="1">
        <v>2098</v>
      </c>
      <c r="C2113" s="106">
        <f t="shared" ca="1" si="128"/>
        <v>-1.1716728397733758</v>
      </c>
      <c r="D2113" s="106">
        <f t="shared" ca="1" si="129"/>
        <v>0.59197403480831257</v>
      </c>
      <c r="E2113" s="106">
        <f t="shared" ca="1" si="130"/>
        <v>0</v>
      </c>
      <c r="F2113" s="21">
        <f t="shared" ca="1" si="131"/>
        <v>0</v>
      </c>
      <c r="H2113" s="21">
        <v>2098</v>
      </c>
      <c r="I2113" s="107">
        <v>0.66765918882324105</v>
      </c>
      <c r="J2113" s="108">
        <v>1.2035760211358759E-3</v>
      </c>
      <c r="K2113" s="108"/>
      <c r="L2113" s="108">
        <v>4.1599999999999998E-2</v>
      </c>
      <c r="O2113" s="105"/>
    </row>
    <row r="2114" spans="2:15" x14ac:dyDescent="0.2">
      <c r="B2114" s="1">
        <v>2099</v>
      </c>
      <c r="C2114" s="106">
        <f t="shared" ca="1" si="128"/>
        <v>-0.53359066949869915</v>
      </c>
      <c r="D2114" s="106">
        <f t="shared" ca="1" si="129"/>
        <v>0.63043120965818222</v>
      </c>
      <c r="E2114" s="106">
        <f t="shared" ca="1" si="130"/>
        <v>0</v>
      </c>
      <c r="F2114" s="21">
        <f t="shared" ca="1" si="131"/>
        <v>0</v>
      </c>
      <c r="H2114" s="21">
        <v>2099</v>
      </c>
      <c r="I2114" s="107">
        <v>0.66765176038814578</v>
      </c>
      <c r="J2114" s="108">
        <v>1.2562832556595785E-3</v>
      </c>
      <c r="K2114" s="108"/>
      <c r="L2114" s="108">
        <v>3.6200000000000003E-2</v>
      </c>
      <c r="O2114" s="105"/>
    </row>
    <row r="2115" spans="2:15" x14ac:dyDescent="0.2">
      <c r="B2115" s="1">
        <v>2100</v>
      </c>
      <c r="C2115" s="106">
        <f t="shared" ca="1" si="128"/>
        <v>-0.95963995419152071</v>
      </c>
      <c r="D2115" s="106">
        <f t="shared" ca="1" si="129"/>
        <v>0.60448567877033998</v>
      </c>
      <c r="E2115" s="106">
        <f t="shared" ca="1" si="130"/>
        <v>0</v>
      </c>
      <c r="F2115" s="21">
        <f t="shared" ca="1" si="131"/>
        <v>0</v>
      </c>
      <c r="H2115" s="21">
        <v>2100</v>
      </c>
      <c r="I2115" s="107">
        <v>0.6677756082991857</v>
      </c>
      <c r="J2115" s="108">
        <v>1.3177844591774201E-3</v>
      </c>
      <c r="K2115" s="108"/>
      <c r="L2115" s="108">
        <v>4.2999999999999997E-2</v>
      </c>
      <c r="O2115" s="105"/>
    </row>
    <row r="2116" spans="2:15" x14ac:dyDescent="0.2">
      <c r="B2116" s="1">
        <v>2101</v>
      </c>
      <c r="C2116" s="106">
        <f t="shared" ca="1" si="128"/>
        <v>0.2229916887500461</v>
      </c>
      <c r="D2116" s="106">
        <f t="shared" ca="1" si="129"/>
        <v>0.67928062371694353</v>
      </c>
      <c r="E2116" s="106">
        <f t="shared" ca="1" si="130"/>
        <v>0</v>
      </c>
      <c r="F2116" s="21">
        <f t="shared" ca="1" si="131"/>
        <v>0</v>
      </c>
      <c r="H2116" s="21">
        <v>2101</v>
      </c>
      <c r="I2116" s="107">
        <v>0.66778554287155234</v>
      </c>
      <c r="J2116" s="108">
        <v>1.4302011503710761E-3</v>
      </c>
      <c r="K2116" s="108"/>
      <c r="L2116" s="108">
        <v>4.4400000000000002E-2</v>
      </c>
      <c r="O2116" s="105"/>
    </row>
    <row r="2117" spans="2:15" x14ac:dyDescent="0.2">
      <c r="B2117" s="1">
        <v>2102</v>
      </c>
      <c r="C2117" s="106">
        <f t="shared" ca="1" si="128"/>
        <v>1.5787212134549709</v>
      </c>
      <c r="D2117" s="106">
        <f t="shared" ca="1" si="129"/>
        <v>0.77647565477890601</v>
      </c>
      <c r="E2117" s="106">
        <f t="shared" ca="1" si="130"/>
        <v>0</v>
      </c>
      <c r="F2117" s="21">
        <f t="shared" ca="1" si="131"/>
        <v>0</v>
      </c>
      <c r="H2117" s="21">
        <v>2102</v>
      </c>
      <c r="I2117" s="107">
        <v>0.66773780212742517</v>
      </c>
      <c r="J2117" s="108">
        <v>1.3755311510316051E-3</v>
      </c>
      <c r="K2117" s="108"/>
      <c r="L2117" s="108">
        <v>3.9800000000000002E-2</v>
      </c>
      <c r="O2117" s="105"/>
    </row>
    <row r="2118" spans="2:15" x14ac:dyDescent="0.2">
      <c r="B2118" s="1">
        <v>2103</v>
      </c>
      <c r="C2118" s="106">
        <f t="shared" ca="1" si="128"/>
        <v>-0.7899483940653329</v>
      </c>
      <c r="D2118" s="106">
        <f t="shared" ca="1" si="129"/>
        <v>0.61468908012980805</v>
      </c>
      <c r="E2118" s="106">
        <f t="shared" ca="1" si="130"/>
        <v>0</v>
      </c>
      <c r="F2118" s="21">
        <f t="shared" ca="1" si="131"/>
        <v>0</v>
      </c>
      <c r="H2118" s="21">
        <v>2103</v>
      </c>
      <c r="I2118" s="107">
        <v>0.66767292184131644</v>
      </c>
      <c r="J2118" s="108">
        <v>1.3188662411876598E-3</v>
      </c>
      <c r="K2118" s="108"/>
      <c r="L2118" s="108">
        <v>3.9199999999999999E-2</v>
      </c>
      <c r="O2118" s="105"/>
    </row>
    <row r="2119" spans="2:15" x14ac:dyDescent="0.2">
      <c r="B2119" s="1">
        <v>2104</v>
      </c>
      <c r="C2119" s="106">
        <f t="shared" ca="1" si="128"/>
        <v>-0.20145407074859689</v>
      </c>
      <c r="D2119" s="106">
        <f t="shared" ca="1" si="129"/>
        <v>0.65142771545706268</v>
      </c>
      <c r="E2119" s="106">
        <f t="shared" ca="1" si="130"/>
        <v>0</v>
      </c>
      <c r="F2119" s="21">
        <f t="shared" ca="1" si="131"/>
        <v>0</v>
      </c>
      <c r="H2119" s="21">
        <v>2104</v>
      </c>
      <c r="I2119" s="107">
        <v>0.66788568762880229</v>
      </c>
      <c r="J2119" s="108">
        <v>1.4967353055547936E-3</v>
      </c>
      <c r="K2119" s="108"/>
      <c r="L2119" s="108">
        <v>4.2000000000000003E-2</v>
      </c>
      <c r="O2119" s="105"/>
    </row>
    <row r="2120" spans="2:15" x14ac:dyDescent="0.2">
      <c r="B2120" s="1">
        <v>2105</v>
      </c>
      <c r="C2120" s="106">
        <f t="shared" ca="1" si="128"/>
        <v>-0.10378314545154051</v>
      </c>
      <c r="D2120" s="106">
        <f t="shared" ca="1" si="129"/>
        <v>0.65773415440179905</v>
      </c>
      <c r="E2120" s="106">
        <f t="shared" ca="1" si="130"/>
        <v>0</v>
      </c>
      <c r="F2120" s="21">
        <f t="shared" ca="1" si="131"/>
        <v>0</v>
      </c>
      <c r="H2120" s="21">
        <v>2105</v>
      </c>
      <c r="I2120" s="107">
        <v>0.66781785052228837</v>
      </c>
      <c r="J2120" s="108">
        <v>1.4492771601181773E-3</v>
      </c>
      <c r="K2120" s="108"/>
      <c r="L2120" s="108">
        <v>4.48E-2</v>
      </c>
      <c r="O2120" s="105"/>
    </row>
    <row r="2121" spans="2:15" x14ac:dyDescent="0.2">
      <c r="B2121" s="1">
        <v>2106</v>
      </c>
      <c r="C2121" s="106">
        <f t="shared" ca="1" si="128"/>
        <v>0.12399511270257663</v>
      </c>
      <c r="D2121" s="106">
        <f t="shared" ca="1" si="129"/>
        <v>0.67267962648209767</v>
      </c>
      <c r="E2121" s="106">
        <f t="shared" ca="1" si="130"/>
        <v>0</v>
      </c>
      <c r="F2121" s="21">
        <f t="shared" ca="1" si="131"/>
        <v>0</v>
      </c>
      <c r="H2121" s="21">
        <v>2106</v>
      </c>
      <c r="I2121" s="107">
        <v>0.66770675704522009</v>
      </c>
      <c r="J2121" s="108">
        <v>1.3739062817687366E-3</v>
      </c>
      <c r="K2121" s="108"/>
      <c r="L2121" s="108">
        <v>3.6200000000000003E-2</v>
      </c>
      <c r="O2121" s="105"/>
    </row>
    <row r="2122" spans="2:15" x14ac:dyDescent="0.2">
      <c r="B2122" s="1">
        <v>2107</v>
      </c>
      <c r="C2122" s="106">
        <f t="shared" ca="1" si="128"/>
        <v>-1.3575352364983884</v>
      </c>
      <c r="D2122" s="106">
        <f t="shared" ca="1" si="129"/>
        <v>0.58121983604462513</v>
      </c>
      <c r="E2122" s="106">
        <f t="shared" ca="1" si="130"/>
        <v>0</v>
      </c>
      <c r="F2122" s="21">
        <f t="shared" ca="1" si="131"/>
        <v>0</v>
      </c>
      <c r="H2122" s="21">
        <v>2107</v>
      </c>
      <c r="I2122" s="107">
        <v>0.66760412123904567</v>
      </c>
      <c r="J2122" s="108">
        <v>1.2519578136922095E-3</v>
      </c>
      <c r="K2122" s="108"/>
      <c r="L2122" s="108">
        <v>3.6600000000000001E-2</v>
      </c>
      <c r="O2122" s="105"/>
    </row>
    <row r="2123" spans="2:15" x14ac:dyDescent="0.2">
      <c r="B2123" s="1">
        <v>2108</v>
      </c>
      <c r="C2123" s="106">
        <f t="shared" ca="1" si="128"/>
        <v>1.6355721807908936</v>
      </c>
      <c r="D2123" s="106">
        <f t="shared" ca="1" si="129"/>
        <v>0.78084224966982241</v>
      </c>
      <c r="E2123" s="106">
        <f t="shared" ca="1" si="130"/>
        <v>0</v>
      </c>
      <c r="F2123" s="21">
        <f t="shared" ca="1" si="131"/>
        <v>0</v>
      </c>
      <c r="H2123" s="21">
        <v>2108</v>
      </c>
      <c r="I2123" s="107">
        <v>0.66792798702492007</v>
      </c>
      <c r="J2123" s="108">
        <v>1.5650828220210289E-3</v>
      </c>
      <c r="K2123" s="108"/>
      <c r="L2123" s="108">
        <v>4.7E-2</v>
      </c>
      <c r="O2123" s="105"/>
    </row>
    <row r="2124" spans="2:15" x14ac:dyDescent="0.2">
      <c r="B2124" s="1">
        <v>2109</v>
      </c>
      <c r="C2124" s="106">
        <f t="shared" ca="1" si="128"/>
        <v>2.1204315040229602</v>
      </c>
      <c r="D2124" s="106">
        <f t="shared" ca="1" si="129"/>
        <v>0.81909519542927833</v>
      </c>
      <c r="E2124" s="106">
        <f t="shared" ca="1" si="130"/>
        <v>3.0895195429278322E-2</v>
      </c>
      <c r="F2124" s="21">
        <f t="shared" ca="1" si="131"/>
        <v>1</v>
      </c>
      <c r="H2124" s="21">
        <v>2109</v>
      </c>
      <c r="I2124" s="107">
        <v>0.66770231429922755</v>
      </c>
      <c r="J2124" s="108">
        <v>1.3950059903792861E-3</v>
      </c>
      <c r="K2124" s="108"/>
      <c r="L2124" s="108">
        <v>3.8800000000000001E-2</v>
      </c>
      <c r="O2124" s="105"/>
    </row>
    <row r="2125" spans="2:15" x14ac:dyDescent="0.2">
      <c r="B2125" s="1">
        <v>2110</v>
      </c>
      <c r="C2125" s="106">
        <f t="shared" ca="1" si="128"/>
        <v>0.79457367208370266</v>
      </c>
      <c r="D2125" s="106">
        <f t="shared" ca="1" si="129"/>
        <v>0.71867981346623311</v>
      </c>
      <c r="E2125" s="106">
        <f t="shared" ca="1" si="130"/>
        <v>0</v>
      </c>
      <c r="F2125" s="21">
        <f t="shared" ca="1" si="131"/>
        <v>0</v>
      </c>
      <c r="H2125" s="21">
        <v>2110</v>
      </c>
      <c r="I2125" s="107">
        <v>0.66775619698430888</v>
      </c>
      <c r="J2125" s="108">
        <v>1.4115723762147302E-3</v>
      </c>
      <c r="K2125" s="108"/>
      <c r="L2125" s="108">
        <v>4.1799999999999997E-2</v>
      </c>
      <c r="O2125" s="105"/>
    </row>
    <row r="2126" spans="2:15" x14ac:dyDescent="0.2">
      <c r="B2126" s="1">
        <v>2111</v>
      </c>
      <c r="C2126" s="106">
        <f t="shared" ca="1" si="128"/>
        <v>1.8691230194821855</v>
      </c>
      <c r="D2126" s="106">
        <f t="shared" ca="1" si="129"/>
        <v>0.7990399214152385</v>
      </c>
      <c r="E2126" s="106">
        <f t="shared" ca="1" si="130"/>
        <v>1.0839921415238485E-2</v>
      </c>
      <c r="F2126" s="21">
        <f t="shared" ca="1" si="131"/>
        <v>1</v>
      </c>
      <c r="H2126" s="21">
        <v>2111</v>
      </c>
      <c r="I2126" s="107">
        <v>0.66776947928594055</v>
      </c>
      <c r="J2126" s="108">
        <v>1.3043463639463297E-3</v>
      </c>
      <c r="K2126" s="108"/>
      <c r="L2126" s="108">
        <v>3.78E-2</v>
      </c>
      <c r="O2126" s="105"/>
    </row>
    <row r="2127" spans="2:15" x14ac:dyDescent="0.2">
      <c r="B2127" s="1">
        <v>2112</v>
      </c>
      <c r="C2127" s="106">
        <f t="shared" ca="1" si="128"/>
        <v>0.72682114216658611</v>
      </c>
      <c r="D2127" s="106">
        <f t="shared" ca="1" si="129"/>
        <v>0.71389274726285856</v>
      </c>
      <c r="E2127" s="106">
        <f t="shared" ca="1" si="130"/>
        <v>0</v>
      </c>
      <c r="F2127" s="21">
        <f t="shared" ca="1" si="131"/>
        <v>0</v>
      </c>
      <c r="H2127" s="21">
        <v>2112</v>
      </c>
      <c r="I2127" s="107">
        <v>0.66763020579558574</v>
      </c>
      <c r="J2127" s="108">
        <v>1.2927458067519258E-3</v>
      </c>
      <c r="K2127" s="108"/>
      <c r="L2127" s="108">
        <v>3.9800000000000002E-2</v>
      </c>
      <c r="O2127" s="105"/>
    </row>
    <row r="2128" spans="2:15" x14ac:dyDescent="0.2">
      <c r="B2128" s="1">
        <v>2113</v>
      </c>
      <c r="C2128" s="106">
        <f t="shared" ref="C2128:C2191" ca="1" si="132">_xlfn.NORM.S.INV(RAND())</f>
        <v>0.77493255943314243</v>
      </c>
      <c r="D2128" s="106">
        <f t="shared" ref="D2128:D2191" ca="1" si="133">S0*EXP((μ-0.5*σ*σ)*T+σ*SQRT(T)*$C2128)</f>
        <v>0.71728877290113013</v>
      </c>
      <c r="E2128" s="106">
        <f t="shared" ref="E2128:E2191" ca="1" si="134">MAX(0,CP*(D2128-K))</f>
        <v>0</v>
      </c>
      <c r="F2128" s="21">
        <f t="shared" ref="F2128:F2191" ca="1" si="135">(CP*(D2128-K)&gt;0)*1</f>
        <v>0</v>
      </c>
      <c r="H2128" s="21">
        <v>2113</v>
      </c>
      <c r="I2128" s="107">
        <v>0.66771430382734009</v>
      </c>
      <c r="J2128" s="108">
        <v>1.4425430711420366E-3</v>
      </c>
      <c r="K2128" s="108"/>
      <c r="L2128" s="108">
        <v>4.1399999999999999E-2</v>
      </c>
      <c r="O2128" s="105"/>
    </row>
    <row r="2129" spans="2:15" x14ac:dyDescent="0.2">
      <c r="B2129" s="1">
        <v>2114</v>
      </c>
      <c r="C2129" s="106">
        <f t="shared" ca="1" si="132"/>
        <v>-0.30943564801788537</v>
      </c>
      <c r="D2129" s="106">
        <f t="shared" ca="1" si="133"/>
        <v>0.64452589082071987</v>
      </c>
      <c r="E2129" s="106">
        <f t="shared" ca="1" si="134"/>
        <v>0</v>
      </c>
      <c r="F2129" s="21">
        <f t="shared" ca="1" si="135"/>
        <v>0</v>
      </c>
      <c r="H2129" s="21">
        <v>2114</v>
      </c>
      <c r="I2129" s="107">
        <v>0.6677691261230696</v>
      </c>
      <c r="J2129" s="108">
        <v>1.4302031454454375E-3</v>
      </c>
      <c r="K2129" s="108"/>
      <c r="L2129" s="108">
        <v>4.1399999999999999E-2</v>
      </c>
      <c r="O2129" s="105"/>
    </row>
    <row r="2130" spans="2:15" x14ac:dyDescent="0.2">
      <c r="B2130" s="1">
        <v>2115</v>
      </c>
      <c r="C2130" s="106">
        <f t="shared" ca="1" si="132"/>
        <v>2.8443739992265123E-2</v>
      </c>
      <c r="D2130" s="106">
        <f t="shared" ca="1" si="133"/>
        <v>0.6663691953394163</v>
      </c>
      <c r="E2130" s="106">
        <f t="shared" ca="1" si="134"/>
        <v>0</v>
      </c>
      <c r="F2130" s="21">
        <f t="shared" ca="1" si="135"/>
        <v>0</v>
      </c>
      <c r="H2130" s="21">
        <v>2115</v>
      </c>
      <c r="I2130" s="107">
        <v>0.66771516644328754</v>
      </c>
      <c r="J2130" s="108">
        <v>1.4417625392229847E-3</v>
      </c>
      <c r="K2130" s="108"/>
      <c r="L2130" s="108">
        <v>0.04</v>
      </c>
      <c r="O2130" s="105"/>
    </row>
    <row r="2131" spans="2:15" x14ac:dyDescent="0.2">
      <c r="B2131" s="1">
        <v>2116</v>
      </c>
      <c r="C2131" s="106">
        <f t="shared" ca="1" si="132"/>
        <v>-0.25336507630740701</v>
      </c>
      <c r="D2131" s="106">
        <f t="shared" ca="1" si="133"/>
        <v>0.6481005597104551</v>
      </c>
      <c r="E2131" s="106">
        <f t="shared" ca="1" si="134"/>
        <v>0</v>
      </c>
      <c r="F2131" s="21">
        <f t="shared" ca="1" si="135"/>
        <v>0</v>
      </c>
      <c r="H2131" s="21">
        <v>2116</v>
      </c>
      <c r="I2131" s="107">
        <v>0.66767753232415838</v>
      </c>
      <c r="J2131" s="108">
        <v>1.3025696704670349E-3</v>
      </c>
      <c r="K2131" s="108"/>
      <c r="L2131" s="108">
        <v>4.02E-2</v>
      </c>
      <c r="O2131" s="105"/>
    </row>
    <row r="2132" spans="2:15" x14ac:dyDescent="0.2">
      <c r="B2132" s="1">
        <v>2117</v>
      </c>
      <c r="C2132" s="106">
        <f t="shared" ca="1" si="132"/>
        <v>0.1876721746911188</v>
      </c>
      <c r="D2132" s="106">
        <f t="shared" ca="1" si="133"/>
        <v>0.67691815245878828</v>
      </c>
      <c r="E2132" s="106">
        <f t="shared" ca="1" si="134"/>
        <v>0</v>
      </c>
      <c r="F2132" s="21">
        <f t="shared" ca="1" si="135"/>
        <v>0</v>
      </c>
      <c r="H2132" s="21">
        <v>2117</v>
      </c>
      <c r="I2132" s="107">
        <v>0.66765910157403874</v>
      </c>
      <c r="J2132" s="108">
        <v>1.2707748752071081E-3</v>
      </c>
      <c r="K2132" s="108"/>
      <c r="L2132" s="108">
        <v>4.0399999999999998E-2</v>
      </c>
      <c r="O2132" s="105"/>
    </row>
    <row r="2133" spans="2:15" x14ac:dyDescent="0.2">
      <c r="B2133" s="1">
        <v>2118</v>
      </c>
      <c r="C2133" s="106">
        <f t="shared" ca="1" si="132"/>
        <v>-7.2259818470579329E-2</v>
      </c>
      <c r="D2133" s="106">
        <f t="shared" ca="1" si="133"/>
        <v>0.65978256369084887</v>
      </c>
      <c r="E2133" s="106">
        <f t="shared" ca="1" si="134"/>
        <v>0</v>
      </c>
      <c r="F2133" s="21">
        <f t="shared" ca="1" si="135"/>
        <v>0</v>
      </c>
      <c r="H2133" s="21">
        <v>2118</v>
      </c>
      <c r="I2133" s="107">
        <v>0.66775451852029377</v>
      </c>
      <c r="J2133" s="108">
        <v>1.4082625545324533E-3</v>
      </c>
      <c r="K2133" s="108"/>
      <c r="L2133" s="108">
        <v>4.2599999999999999E-2</v>
      </c>
      <c r="O2133" s="105"/>
    </row>
    <row r="2134" spans="2:15" x14ac:dyDescent="0.2">
      <c r="B2134" s="1">
        <v>2119</v>
      </c>
      <c r="C2134" s="106">
        <f t="shared" ca="1" si="132"/>
        <v>1.9567266334587163</v>
      </c>
      <c r="D2134" s="106">
        <f t="shared" ca="1" si="133"/>
        <v>0.80597461370525159</v>
      </c>
      <c r="E2134" s="106">
        <f t="shared" ca="1" si="134"/>
        <v>1.7774613705251574E-2</v>
      </c>
      <c r="F2134" s="21">
        <f t="shared" ca="1" si="135"/>
        <v>1</v>
      </c>
      <c r="H2134" s="21">
        <v>2119</v>
      </c>
      <c r="I2134" s="107">
        <v>0.66787105062618801</v>
      </c>
      <c r="J2134" s="108">
        <v>1.6158768209573215E-3</v>
      </c>
      <c r="K2134" s="108"/>
      <c r="L2134" s="108">
        <v>4.9000000000000002E-2</v>
      </c>
      <c r="O2134" s="105"/>
    </row>
    <row r="2135" spans="2:15" x14ac:dyDescent="0.2">
      <c r="B2135" s="1">
        <v>2120</v>
      </c>
      <c r="C2135" s="106">
        <f t="shared" ca="1" si="132"/>
        <v>2.392929919304946</v>
      </c>
      <c r="D2135" s="106">
        <f t="shared" ca="1" si="133"/>
        <v>0.84141072340003464</v>
      </c>
      <c r="E2135" s="106">
        <f t="shared" ca="1" si="134"/>
        <v>5.3210723400034632E-2</v>
      </c>
      <c r="F2135" s="21">
        <f t="shared" ca="1" si="135"/>
        <v>1</v>
      </c>
      <c r="H2135" s="21">
        <v>2120</v>
      </c>
      <c r="I2135" s="107">
        <v>0.66776770740199753</v>
      </c>
      <c r="J2135" s="108">
        <v>1.3787702583728607E-3</v>
      </c>
      <c r="K2135" s="108"/>
      <c r="L2135" s="108">
        <v>4.1599999999999998E-2</v>
      </c>
      <c r="O2135" s="105"/>
    </row>
    <row r="2136" spans="2:15" x14ac:dyDescent="0.2">
      <c r="B2136" s="1">
        <v>2121</v>
      </c>
      <c r="C2136" s="106">
        <f t="shared" ca="1" si="132"/>
        <v>-1.9940361127817634</v>
      </c>
      <c r="D2136" s="106">
        <f t="shared" ca="1" si="133"/>
        <v>0.54584975849622863</v>
      </c>
      <c r="E2136" s="106">
        <f t="shared" ca="1" si="134"/>
        <v>0</v>
      </c>
      <c r="F2136" s="21">
        <f t="shared" ca="1" si="135"/>
        <v>0</v>
      </c>
      <c r="H2136" s="21">
        <v>2121</v>
      </c>
      <c r="I2136" s="107">
        <v>0.6677969765100098</v>
      </c>
      <c r="J2136" s="108">
        <v>1.3394228328370858E-3</v>
      </c>
      <c r="K2136" s="108"/>
      <c r="L2136" s="108">
        <v>4.2999999999999997E-2</v>
      </c>
      <c r="O2136" s="105"/>
    </row>
    <row r="2137" spans="2:15" x14ac:dyDescent="0.2">
      <c r="B2137" s="1">
        <v>2122</v>
      </c>
      <c r="C2137" s="106">
        <f t="shared" ca="1" si="132"/>
        <v>0.14522654924698578</v>
      </c>
      <c r="D2137" s="106">
        <f t="shared" ca="1" si="133"/>
        <v>0.67408989368228966</v>
      </c>
      <c r="E2137" s="106">
        <f t="shared" ca="1" si="134"/>
        <v>0</v>
      </c>
      <c r="F2137" s="21">
        <f t="shared" ca="1" si="135"/>
        <v>0</v>
      </c>
      <c r="H2137" s="21">
        <v>2122</v>
      </c>
      <c r="I2137" s="107">
        <v>0.66769610958705827</v>
      </c>
      <c r="J2137" s="108">
        <v>1.258580403741566E-3</v>
      </c>
      <c r="K2137" s="108"/>
      <c r="L2137" s="108">
        <v>3.9199999999999999E-2</v>
      </c>
      <c r="O2137" s="105"/>
    </row>
    <row r="2138" spans="2:15" x14ac:dyDescent="0.2">
      <c r="B2138" s="1">
        <v>2123</v>
      </c>
      <c r="C2138" s="106">
        <f t="shared" ca="1" si="132"/>
        <v>0.19521545970265997</v>
      </c>
      <c r="D2138" s="106">
        <f t="shared" ca="1" si="133"/>
        <v>0.67742202090591086</v>
      </c>
      <c r="E2138" s="106">
        <f t="shared" ca="1" si="134"/>
        <v>0</v>
      </c>
      <c r="F2138" s="21">
        <f t="shared" ca="1" si="135"/>
        <v>0</v>
      </c>
      <c r="H2138" s="21">
        <v>2123</v>
      </c>
      <c r="I2138" s="107">
        <v>0.6676281641998818</v>
      </c>
      <c r="J2138" s="108">
        <v>1.3066949756774132E-3</v>
      </c>
      <c r="K2138" s="108"/>
      <c r="L2138" s="108">
        <v>4.2200000000000001E-2</v>
      </c>
      <c r="O2138" s="105"/>
    </row>
    <row r="2139" spans="2:15" x14ac:dyDescent="0.2">
      <c r="B2139" s="1">
        <v>2124</v>
      </c>
      <c r="C2139" s="106">
        <f t="shared" ca="1" si="132"/>
        <v>-1.1887625790366105</v>
      </c>
      <c r="D2139" s="106">
        <f t="shared" ca="1" si="133"/>
        <v>0.59097695254689753</v>
      </c>
      <c r="E2139" s="106">
        <f t="shared" ca="1" si="134"/>
        <v>0</v>
      </c>
      <c r="F2139" s="21">
        <f t="shared" ca="1" si="135"/>
        <v>0</v>
      </c>
      <c r="H2139" s="21">
        <v>2124</v>
      </c>
      <c r="I2139" s="107">
        <v>0.66773480733975366</v>
      </c>
      <c r="J2139" s="108">
        <v>1.2430178088265699E-3</v>
      </c>
      <c r="K2139" s="108"/>
      <c r="L2139" s="108">
        <v>4.0599999999999997E-2</v>
      </c>
      <c r="O2139" s="105"/>
    </row>
    <row r="2140" spans="2:15" x14ac:dyDescent="0.2">
      <c r="B2140" s="1">
        <v>2125</v>
      </c>
      <c r="C2140" s="106">
        <f t="shared" ca="1" si="132"/>
        <v>-0.4761773906284566</v>
      </c>
      <c r="D2140" s="106">
        <f t="shared" ca="1" si="133"/>
        <v>0.63401167365265143</v>
      </c>
      <c r="E2140" s="106">
        <f t="shared" ca="1" si="134"/>
        <v>0</v>
      </c>
      <c r="F2140" s="21">
        <f t="shared" ca="1" si="135"/>
        <v>0</v>
      </c>
      <c r="H2140" s="21">
        <v>2125</v>
      </c>
      <c r="I2140" s="107">
        <v>0.66786165404053588</v>
      </c>
      <c r="J2140" s="108">
        <v>1.5466902229828508E-3</v>
      </c>
      <c r="K2140" s="108"/>
      <c r="L2140" s="108">
        <v>4.5199999999999997E-2</v>
      </c>
      <c r="O2140" s="105"/>
    </row>
    <row r="2141" spans="2:15" x14ac:dyDescent="0.2">
      <c r="B2141" s="1">
        <v>2126</v>
      </c>
      <c r="C2141" s="106">
        <f t="shared" ca="1" si="132"/>
        <v>0.2943851144498878</v>
      </c>
      <c r="D2141" s="106">
        <f t="shared" ca="1" si="133"/>
        <v>0.68408123422373968</v>
      </c>
      <c r="E2141" s="106">
        <f t="shared" ca="1" si="134"/>
        <v>0</v>
      </c>
      <c r="F2141" s="21">
        <f t="shared" ca="1" si="135"/>
        <v>0</v>
      </c>
      <c r="H2141" s="21">
        <v>2126</v>
      </c>
      <c r="I2141" s="107">
        <v>0.66774694819836244</v>
      </c>
      <c r="J2141" s="108">
        <v>1.383638594312822E-3</v>
      </c>
      <c r="K2141" s="108"/>
      <c r="L2141" s="108">
        <v>0.04</v>
      </c>
      <c r="O2141" s="105"/>
    </row>
    <row r="2142" spans="2:15" x14ac:dyDescent="0.2">
      <c r="B2142" s="1">
        <v>2127</v>
      </c>
      <c r="C2142" s="106">
        <f t="shared" ca="1" si="132"/>
        <v>0.58780581134984966</v>
      </c>
      <c r="D2142" s="106">
        <f t="shared" ca="1" si="133"/>
        <v>0.70417019458005603</v>
      </c>
      <c r="E2142" s="106">
        <f t="shared" ca="1" si="134"/>
        <v>0</v>
      </c>
      <c r="F2142" s="21">
        <f t="shared" ca="1" si="135"/>
        <v>0</v>
      </c>
      <c r="H2142" s="21">
        <v>2127</v>
      </c>
      <c r="I2142" s="107">
        <v>0.66788426435839843</v>
      </c>
      <c r="J2142" s="108">
        <v>1.5510213074809353E-3</v>
      </c>
      <c r="K2142" s="108"/>
      <c r="L2142" s="108">
        <v>4.3200000000000002E-2</v>
      </c>
      <c r="O2142" s="105"/>
    </row>
    <row r="2143" spans="2:15" x14ac:dyDescent="0.2">
      <c r="B2143" s="1">
        <v>2128</v>
      </c>
      <c r="C2143" s="106">
        <f t="shared" ca="1" si="132"/>
        <v>-0.10433239165855847</v>
      </c>
      <c r="D2143" s="106">
        <f t="shared" ca="1" si="133"/>
        <v>0.65769852040007293</v>
      </c>
      <c r="E2143" s="106">
        <f t="shared" ca="1" si="134"/>
        <v>0</v>
      </c>
      <c r="F2143" s="21">
        <f t="shared" ca="1" si="135"/>
        <v>0</v>
      </c>
      <c r="H2143" s="21">
        <v>2128</v>
      </c>
      <c r="I2143" s="107">
        <v>0.66779273026450203</v>
      </c>
      <c r="J2143" s="108">
        <v>1.4806695232618256E-3</v>
      </c>
      <c r="K2143" s="108"/>
      <c r="L2143" s="108">
        <v>4.3200000000000002E-2</v>
      </c>
      <c r="O2143" s="105"/>
    </row>
    <row r="2144" spans="2:15" x14ac:dyDescent="0.2">
      <c r="B2144" s="1">
        <v>2129</v>
      </c>
      <c r="C2144" s="106">
        <f t="shared" ca="1" si="132"/>
        <v>-0.11392159915457473</v>
      </c>
      <c r="D2144" s="106">
        <f t="shared" ca="1" si="133"/>
        <v>0.65707670267145146</v>
      </c>
      <c r="E2144" s="106">
        <f t="shared" ca="1" si="134"/>
        <v>0</v>
      </c>
      <c r="F2144" s="21">
        <f t="shared" ca="1" si="135"/>
        <v>0</v>
      </c>
      <c r="H2144" s="21">
        <v>2129</v>
      </c>
      <c r="I2144" s="107">
        <v>0.66757646776033575</v>
      </c>
      <c r="J2144" s="108">
        <v>1.1042568100671597E-3</v>
      </c>
      <c r="K2144" s="108"/>
      <c r="L2144" s="108">
        <v>3.78E-2</v>
      </c>
      <c r="O2144" s="105"/>
    </row>
    <row r="2145" spans="2:15" x14ac:dyDescent="0.2">
      <c r="B2145" s="1">
        <v>2130</v>
      </c>
      <c r="C2145" s="106">
        <f t="shared" ca="1" si="132"/>
        <v>-0.96545592584964901</v>
      </c>
      <c r="D2145" s="106">
        <f t="shared" ca="1" si="133"/>
        <v>0.60413898772217278</v>
      </c>
      <c r="E2145" s="106">
        <f t="shared" ca="1" si="134"/>
        <v>0</v>
      </c>
      <c r="F2145" s="21">
        <f t="shared" ca="1" si="135"/>
        <v>0</v>
      </c>
      <c r="H2145" s="21">
        <v>2130</v>
      </c>
      <c r="I2145" s="107">
        <v>0.66766790026265699</v>
      </c>
      <c r="J2145" s="108">
        <v>1.3192237471971297E-3</v>
      </c>
      <c r="K2145" s="108"/>
      <c r="L2145" s="108">
        <v>3.9600000000000003E-2</v>
      </c>
      <c r="O2145" s="105"/>
    </row>
    <row r="2146" spans="2:15" x14ac:dyDescent="0.2">
      <c r="B2146" s="1">
        <v>2131</v>
      </c>
      <c r="C2146" s="106">
        <f t="shared" ca="1" si="132"/>
        <v>1.3464673627084949</v>
      </c>
      <c r="D2146" s="106">
        <f t="shared" ca="1" si="133"/>
        <v>0.75888895461659578</v>
      </c>
      <c r="E2146" s="106">
        <f t="shared" ca="1" si="134"/>
        <v>0</v>
      </c>
      <c r="F2146" s="21">
        <f t="shared" ca="1" si="135"/>
        <v>0</v>
      </c>
      <c r="H2146" s="21">
        <v>2131</v>
      </c>
      <c r="I2146" s="107">
        <v>0.6677354414097233</v>
      </c>
      <c r="J2146" s="108">
        <v>1.4428706452393387E-3</v>
      </c>
      <c r="K2146" s="108"/>
      <c r="L2146" s="108">
        <v>3.8800000000000001E-2</v>
      </c>
      <c r="O2146" s="105"/>
    </row>
    <row r="2147" spans="2:15" x14ac:dyDescent="0.2">
      <c r="B2147" s="1">
        <v>2132</v>
      </c>
      <c r="C2147" s="106">
        <f t="shared" ca="1" si="132"/>
        <v>0.16760444357655366</v>
      </c>
      <c r="D2147" s="106">
        <f t="shared" ca="1" si="133"/>
        <v>0.67557951319030796</v>
      </c>
      <c r="E2147" s="106">
        <f t="shared" ca="1" si="134"/>
        <v>0</v>
      </c>
      <c r="F2147" s="21">
        <f t="shared" ca="1" si="135"/>
        <v>0</v>
      </c>
      <c r="H2147" s="21">
        <v>2132</v>
      </c>
      <c r="I2147" s="107">
        <v>0.66766838138374729</v>
      </c>
      <c r="J2147" s="108">
        <v>1.2777143858482816E-3</v>
      </c>
      <c r="K2147" s="108"/>
      <c r="L2147" s="108">
        <v>3.9399999999999998E-2</v>
      </c>
      <c r="O2147" s="105"/>
    </row>
    <row r="2148" spans="2:15" x14ac:dyDescent="0.2">
      <c r="B2148" s="1">
        <v>2133</v>
      </c>
      <c r="C2148" s="106">
        <f t="shared" ca="1" si="132"/>
        <v>-1.4431353564602352</v>
      </c>
      <c r="D2148" s="106">
        <f t="shared" ca="1" si="133"/>
        <v>0.57633284589617706</v>
      </c>
      <c r="E2148" s="106">
        <f t="shared" ca="1" si="134"/>
        <v>0</v>
      </c>
      <c r="F2148" s="21">
        <f t="shared" ca="1" si="135"/>
        <v>0</v>
      </c>
      <c r="H2148" s="21">
        <v>2133</v>
      </c>
      <c r="I2148" s="107">
        <v>0.66779436680885396</v>
      </c>
      <c r="J2148" s="108">
        <v>1.4010221634739861E-3</v>
      </c>
      <c r="K2148" s="108"/>
      <c r="L2148" s="108">
        <v>4.2200000000000001E-2</v>
      </c>
      <c r="O2148" s="105"/>
    </row>
    <row r="2149" spans="2:15" x14ac:dyDescent="0.2">
      <c r="B2149" s="1">
        <v>2134</v>
      </c>
      <c r="C2149" s="106">
        <f t="shared" ca="1" si="132"/>
        <v>-0.84120567381358446</v>
      </c>
      <c r="D2149" s="106">
        <f t="shared" ca="1" si="133"/>
        <v>0.61158900299180474</v>
      </c>
      <c r="E2149" s="106">
        <f t="shared" ca="1" si="134"/>
        <v>0</v>
      </c>
      <c r="F2149" s="21">
        <f t="shared" ca="1" si="135"/>
        <v>0</v>
      </c>
      <c r="H2149" s="21">
        <v>2134</v>
      </c>
      <c r="I2149" s="107">
        <v>0.66767602559515138</v>
      </c>
      <c r="J2149" s="108">
        <v>1.2324689131153462E-3</v>
      </c>
      <c r="K2149" s="108"/>
      <c r="L2149" s="108">
        <v>4.24E-2</v>
      </c>
      <c r="O2149" s="105"/>
    </row>
    <row r="2150" spans="2:15" x14ac:dyDescent="0.2">
      <c r="B2150" s="1">
        <v>2135</v>
      </c>
      <c r="C2150" s="106">
        <f t="shared" ca="1" si="132"/>
        <v>-1.3496232500847474</v>
      </c>
      <c r="D2150" s="106">
        <f t="shared" ca="1" si="133"/>
        <v>0.58167362544189216</v>
      </c>
      <c r="E2150" s="106">
        <f t="shared" ca="1" si="134"/>
        <v>0</v>
      </c>
      <c r="F2150" s="21">
        <f t="shared" ca="1" si="135"/>
        <v>0</v>
      </c>
      <c r="H2150" s="21">
        <v>2135</v>
      </c>
      <c r="I2150" s="107">
        <v>0.66770535748521964</v>
      </c>
      <c r="J2150" s="108">
        <v>1.2665877661589197E-3</v>
      </c>
      <c r="K2150" s="108"/>
      <c r="L2150" s="108">
        <v>3.9199999999999999E-2</v>
      </c>
      <c r="O2150" s="105"/>
    </row>
    <row r="2151" spans="2:15" x14ac:dyDescent="0.2">
      <c r="B2151" s="1">
        <v>2136</v>
      </c>
      <c r="C2151" s="106">
        <f t="shared" ca="1" si="132"/>
        <v>0.4906656621326555</v>
      </c>
      <c r="D2151" s="106">
        <f t="shared" ca="1" si="133"/>
        <v>0.69745503627884831</v>
      </c>
      <c r="E2151" s="106">
        <f t="shared" ca="1" si="134"/>
        <v>0</v>
      </c>
      <c r="F2151" s="21">
        <f t="shared" ca="1" si="135"/>
        <v>0</v>
      </c>
      <c r="H2151" s="21">
        <v>2136</v>
      </c>
      <c r="I2151" s="107">
        <v>0.66755231458445552</v>
      </c>
      <c r="J2151" s="108">
        <v>1.1256896487957144E-3</v>
      </c>
      <c r="K2151" s="108"/>
      <c r="L2151" s="108">
        <v>3.5200000000000002E-2</v>
      </c>
      <c r="O2151" s="105"/>
    </row>
    <row r="2152" spans="2:15" x14ac:dyDescent="0.2">
      <c r="B2152" s="1">
        <v>2137</v>
      </c>
      <c r="C2152" s="106">
        <f t="shared" ca="1" si="132"/>
        <v>1.4693816548726302</v>
      </c>
      <c r="D2152" s="106">
        <f t="shared" ca="1" si="133"/>
        <v>0.76814605478948761</v>
      </c>
      <c r="E2152" s="106">
        <f t="shared" ca="1" si="134"/>
        <v>0</v>
      </c>
      <c r="F2152" s="21">
        <f t="shared" ca="1" si="135"/>
        <v>0</v>
      </c>
      <c r="H2152" s="21">
        <v>2137</v>
      </c>
      <c r="I2152" s="107">
        <v>0.66784561865670344</v>
      </c>
      <c r="J2152" s="108">
        <v>1.4344914871592435E-3</v>
      </c>
      <c r="K2152" s="108"/>
      <c r="L2152" s="108">
        <v>4.5600000000000002E-2</v>
      </c>
      <c r="O2152" s="105"/>
    </row>
    <row r="2153" spans="2:15" x14ac:dyDescent="0.2">
      <c r="B2153" s="1">
        <v>2138</v>
      </c>
      <c r="C2153" s="106">
        <f t="shared" ca="1" si="132"/>
        <v>0.57166586540250075</v>
      </c>
      <c r="D2153" s="106">
        <f t="shared" ca="1" si="133"/>
        <v>0.7030500013374259</v>
      </c>
      <c r="E2153" s="106">
        <f t="shared" ca="1" si="134"/>
        <v>0</v>
      </c>
      <c r="F2153" s="21">
        <f t="shared" ca="1" si="135"/>
        <v>0</v>
      </c>
      <c r="H2153" s="21">
        <v>2138</v>
      </c>
      <c r="I2153" s="107">
        <v>0.66776946923756919</v>
      </c>
      <c r="J2153" s="108">
        <v>1.3318737428392549E-3</v>
      </c>
      <c r="K2153" s="108"/>
      <c r="L2153" s="108">
        <v>4.48E-2</v>
      </c>
      <c r="O2153" s="105"/>
    </row>
    <row r="2154" spans="2:15" x14ac:dyDescent="0.2">
      <c r="B2154" s="1">
        <v>2139</v>
      </c>
      <c r="C2154" s="106">
        <f t="shared" ca="1" si="132"/>
        <v>-1.3242148672693692</v>
      </c>
      <c r="D2154" s="106">
        <f t="shared" ca="1" si="133"/>
        <v>0.58313331214000108</v>
      </c>
      <c r="E2154" s="106">
        <f t="shared" ca="1" si="134"/>
        <v>0</v>
      </c>
      <c r="F2154" s="21">
        <f t="shared" ca="1" si="135"/>
        <v>0</v>
      </c>
      <c r="H2154" s="21">
        <v>2139</v>
      </c>
      <c r="I2154" s="107">
        <v>0.66773707947986427</v>
      </c>
      <c r="J2154" s="108">
        <v>1.22997021579048E-3</v>
      </c>
      <c r="K2154" s="108"/>
      <c r="L2154" s="108">
        <v>3.6999999999999998E-2</v>
      </c>
      <c r="O2154" s="105"/>
    </row>
    <row r="2155" spans="2:15" x14ac:dyDescent="0.2">
      <c r="B2155" s="1">
        <v>2140</v>
      </c>
      <c r="C2155" s="106">
        <f t="shared" ca="1" si="132"/>
        <v>-1.0445324329959487</v>
      </c>
      <c r="D2155" s="106">
        <f t="shared" ca="1" si="133"/>
        <v>0.59944490705268239</v>
      </c>
      <c r="E2155" s="106">
        <f t="shared" ca="1" si="134"/>
        <v>0</v>
      </c>
      <c r="F2155" s="21">
        <f t="shared" ca="1" si="135"/>
        <v>0</v>
      </c>
      <c r="H2155" s="21">
        <v>2140</v>
      </c>
      <c r="I2155" s="107">
        <v>0.66776340675673851</v>
      </c>
      <c r="J2155" s="108">
        <v>1.5552531349638595E-3</v>
      </c>
      <c r="K2155" s="108"/>
      <c r="L2155" s="108">
        <v>4.36E-2</v>
      </c>
      <c r="O2155" s="105"/>
    </row>
    <row r="2156" spans="2:15" x14ac:dyDescent="0.2">
      <c r="B2156" s="1">
        <v>2141</v>
      </c>
      <c r="C2156" s="106">
        <f t="shared" ca="1" si="132"/>
        <v>0.66636185027267569</v>
      </c>
      <c r="D2156" s="106">
        <f t="shared" ca="1" si="133"/>
        <v>0.70964791482868228</v>
      </c>
      <c r="E2156" s="106">
        <f t="shared" ca="1" si="134"/>
        <v>0</v>
      </c>
      <c r="F2156" s="21">
        <f t="shared" ca="1" si="135"/>
        <v>0</v>
      </c>
      <c r="H2156" s="21">
        <v>2141</v>
      </c>
      <c r="I2156" s="107">
        <v>0.66773579106760739</v>
      </c>
      <c r="J2156" s="108">
        <v>1.254018406927774E-3</v>
      </c>
      <c r="K2156" s="108"/>
      <c r="L2156" s="108">
        <v>3.6999999999999998E-2</v>
      </c>
      <c r="O2156" s="105"/>
    </row>
    <row r="2157" spans="2:15" x14ac:dyDescent="0.2">
      <c r="B2157" s="1">
        <v>2142</v>
      </c>
      <c r="C2157" s="106">
        <f t="shared" ca="1" si="132"/>
        <v>-0.52789774209987239</v>
      </c>
      <c r="D2157" s="106">
        <f t="shared" ca="1" si="133"/>
        <v>0.63078533270921844</v>
      </c>
      <c r="E2157" s="106">
        <f t="shared" ca="1" si="134"/>
        <v>0</v>
      </c>
      <c r="F2157" s="21">
        <f t="shared" ca="1" si="135"/>
        <v>0</v>
      </c>
      <c r="H2157" s="21">
        <v>2142</v>
      </c>
      <c r="I2157" s="107">
        <v>0.66774169473888756</v>
      </c>
      <c r="J2157" s="108">
        <v>1.3429928491181871E-3</v>
      </c>
      <c r="K2157" s="108"/>
      <c r="L2157" s="108">
        <v>4.3799999999999999E-2</v>
      </c>
      <c r="O2157" s="105"/>
    </row>
    <row r="2158" spans="2:15" x14ac:dyDescent="0.2">
      <c r="B2158" s="1">
        <v>2143</v>
      </c>
      <c r="C2158" s="106">
        <f t="shared" ca="1" si="132"/>
        <v>-1.0809955418121209</v>
      </c>
      <c r="D2158" s="106">
        <f t="shared" ca="1" si="133"/>
        <v>0.59729271474680212</v>
      </c>
      <c r="E2158" s="106">
        <f t="shared" ca="1" si="134"/>
        <v>0</v>
      </c>
      <c r="F2158" s="21">
        <f t="shared" ca="1" si="135"/>
        <v>0</v>
      </c>
      <c r="H2158" s="21">
        <v>2143</v>
      </c>
      <c r="I2158" s="107">
        <v>0.66746242745545514</v>
      </c>
      <c r="J2158" s="108">
        <v>9.9621347117089085E-4</v>
      </c>
      <c r="K2158" s="108"/>
      <c r="L2158" s="108">
        <v>3.6400000000000002E-2</v>
      </c>
      <c r="O2158" s="105"/>
    </row>
    <row r="2159" spans="2:15" x14ac:dyDescent="0.2">
      <c r="B2159" s="1">
        <v>2144</v>
      </c>
      <c r="C2159" s="106">
        <f t="shared" ca="1" si="132"/>
        <v>-0.58564513770833571</v>
      </c>
      <c r="D2159" s="106">
        <f t="shared" ca="1" si="133"/>
        <v>0.62720241737913096</v>
      </c>
      <c r="E2159" s="106">
        <f t="shared" ca="1" si="134"/>
        <v>0</v>
      </c>
      <c r="F2159" s="21">
        <f t="shared" ca="1" si="135"/>
        <v>0</v>
      </c>
      <c r="H2159" s="21">
        <v>2144</v>
      </c>
      <c r="I2159" s="107">
        <v>0.66774937843182713</v>
      </c>
      <c r="J2159" s="108">
        <v>1.2614095711641405E-3</v>
      </c>
      <c r="K2159" s="108"/>
      <c r="L2159" s="108">
        <v>4.1799999999999997E-2</v>
      </c>
      <c r="O2159" s="105"/>
    </row>
    <row r="2160" spans="2:15" x14ac:dyDescent="0.2">
      <c r="B2160" s="1">
        <v>2145</v>
      </c>
      <c r="C2160" s="106">
        <f t="shared" ca="1" si="132"/>
        <v>0.52519720706589301</v>
      </c>
      <c r="D2160" s="106">
        <f t="shared" ca="1" si="133"/>
        <v>0.69983478438194202</v>
      </c>
      <c r="E2160" s="106">
        <f t="shared" ca="1" si="134"/>
        <v>0</v>
      </c>
      <c r="F2160" s="21">
        <f t="shared" ca="1" si="135"/>
        <v>0</v>
      </c>
      <c r="H2160" s="21">
        <v>2145</v>
      </c>
      <c r="I2160" s="107">
        <v>0.6677472074032369</v>
      </c>
      <c r="J2160" s="108">
        <v>1.435555410353432E-3</v>
      </c>
      <c r="K2160" s="108"/>
      <c r="L2160" s="108">
        <v>3.9199999999999999E-2</v>
      </c>
      <c r="O2160" s="105"/>
    </row>
    <row r="2161" spans="2:15" x14ac:dyDescent="0.2">
      <c r="B2161" s="1">
        <v>2146</v>
      </c>
      <c r="C2161" s="106">
        <f t="shared" ca="1" si="132"/>
        <v>-0.84461586227584862</v>
      </c>
      <c r="D2161" s="106">
        <f t="shared" ca="1" si="133"/>
        <v>0.61138330791085493</v>
      </c>
      <c r="E2161" s="106">
        <f t="shared" ca="1" si="134"/>
        <v>0</v>
      </c>
      <c r="F2161" s="21">
        <f t="shared" ca="1" si="135"/>
        <v>0</v>
      </c>
      <c r="H2161" s="21">
        <v>2146</v>
      </c>
      <c r="I2161" s="107">
        <v>0.66764821843845135</v>
      </c>
      <c r="J2161" s="108">
        <v>1.359831114126752E-3</v>
      </c>
      <c r="K2161" s="108"/>
      <c r="L2161" s="108">
        <v>3.7600000000000001E-2</v>
      </c>
      <c r="O2161" s="105"/>
    </row>
    <row r="2162" spans="2:15" x14ac:dyDescent="0.2">
      <c r="B2162" s="1">
        <v>2147</v>
      </c>
      <c r="C2162" s="106">
        <f t="shared" ca="1" si="132"/>
        <v>2.8498700878533553E-2</v>
      </c>
      <c r="D2162" s="106">
        <f t="shared" ca="1" si="133"/>
        <v>0.66637280801295173</v>
      </c>
      <c r="E2162" s="106">
        <f t="shared" ca="1" si="134"/>
        <v>0</v>
      </c>
      <c r="F2162" s="21">
        <f t="shared" ca="1" si="135"/>
        <v>0</v>
      </c>
      <c r="H2162" s="21">
        <v>2147</v>
      </c>
      <c r="I2162" s="107">
        <v>0.6675798149325689</v>
      </c>
      <c r="J2162" s="108">
        <v>1.1586672199374081E-3</v>
      </c>
      <c r="K2162" s="108"/>
      <c r="L2162" s="108">
        <v>3.6200000000000003E-2</v>
      </c>
      <c r="O2162" s="105"/>
    </row>
    <row r="2163" spans="2:15" x14ac:dyDescent="0.2">
      <c r="B2163" s="1">
        <v>2148</v>
      </c>
      <c r="C2163" s="106">
        <f t="shared" ca="1" si="132"/>
        <v>-0.49241594714017417</v>
      </c>
      <c r="D2163" s="106">
        <f t="shared" ca="1" si="133"/>
        <v>0.63299693127536683</v>
      </c>
      <c r="E2163" s="106">
        <f t="shared" ca="1" si="134"/>
        <v>0</v>
      </c>
      <c r="F2163" s="21">
        <f t="shared" ca="1" si="135"/>
        <v>0</v>
      </c>
      <c r="H2163" s="21">
        <v>2148</v>
      </c>
      <c r="I2163" s="107">
        <v>0.66748118540328405</v>
      </c>
      <c r="J2163" s="108">
        <v>1.1880487406944944E-3</v>
      </c>
      <c r="K2163" s="108"/>
      <c r="L2163" s="108">
        <v>3.6400000000000002E-2</v>
      </c>
      <c r="O2163" s="105"/>
    </row>
    <row r="2164" spans="2:15" x14ac:dyDescent="0.2">
      <c r="B2164" s="1">
        <v>2149</v>
      </c>
      <c r="C2164" s="106">
        <f t="shared" ca="1" si="132"/>
        <v>1.5818459195177742E-2</v>
      </c>
      <c r="D2164" s="106">
        <f t="shared" ca="1" si="133"/>
        <v>0.66553983271930051</v>
      </c>
      <c r="E2164" s="106">
        <f t="shared" ca="1" si="134"/>
        <v>0</v>
      </c>
      <c r="F2164" s="21">
        <f t="shared" ca="1" si="135"/>
        <v>0</v>
      </c>
      <c r="H2164" s="21">
        <v>2149</v>
      </c>
      <c r="I2164" s="107">
        <v>0.66777409973190571</v>
      </c>
      <c r="J2164" s="108">
        <v>1.3607926566528547E-3</v>
      </c>
      <c r="K2164" s="108"/>
      <c r="L2164" s="108">
        <v>4.36E-2</v>
      </c>
      <c r="O2164" s="105"/>
    </row>
    <row r="2165" spans="2:15" x14ac:dyDescent="0.2">
      <c r="B2165" s="1">
        <v>2150</v>
      </c>
      <c r="C2165" s="106">
        <f t="shared" ca="1" si="132"/>
        <v>0.68244489217376236</v>
      </c>
      <c r="D2165" s="106">
        <f t="shared" ca="1" si="133"/>
        <v>0.71077463109549277</v>
      </c>
      <c r="E2165" s="106">
        <f t="shared" ca="1" si="134"/>
        <v>0</v>
      </c>
      <c r="F2165" s="21">
        <f t="shared" ca="1" si="135"/>
        <v>0</v>
      </c>
      <c r="H2165" s="21">
        <v>2150</v>
      </c>
      <c r="I2165" s="107">
        <v>0.66763164691906551</v>
      </c>
      <c r="J2165" s="108">
        <v>1.0998888576396577E-3</v>
      </c>
      <c r="K2165" s="108"/>
      <c r="L2165" s="108">
        <v>3.6999999999999998E-2</v>
      </c>
      <c r="O2165" s="105"/>
    </row>
    <row r="2166" spans="2:15" x14ac:dyDescent="0.2">
      <c r="B2166" s="1">
        <v>2151</v>
      </c>
      <c r="C2166" s="106">
        <f t="shared" ca="1" si="132"/>
        <v>-0.59251932218334169</v>
      </c>
      <c r="D2166" s="106">
        <f t="shared" ca="1" si="133"/>
        <v>0.62677726895635177</v>
      </c>
      <c r="E2166" s="106">
        <f t="shared" ca="1" si="134"/>
        <v>0</v>
      </c>
      <c r="F2166" s="21">
        <f t="shared" ca="1" si="135"/>
        <v>0</v>
      </c>
      <c r="H2166" s="21">
        <v>2151</v>
      </c>
      <c r="I2166" s="107">
        <v>0.66781994811936773</v>
      </c>
      <c r="J2166" s="108">
        <v>1.5022368907643376E-3</v>
      </c>
      <c r="K2166" s="108"/>
      <c r="L2166" s="108">
        <v>4.2000000000000003E-2</v>
      </c>
      <c r="O2166" s="105"/>
    </row>
    <row r="2167" spans="2:15" x14ac:dyDescent="0.2">
      <c r="B2167" s="1">
        <v>2152</v>
      </c>
      <c r="C2167" s="106">
        <f t="shared" ca="1" si="132"/>
        <v>-1.2428064394856313</v>
      </c>
      <c r="D2167" s="106">
        <f t="shared" ca="1" si="133"/>
        <v>0.58783486182595612</v>
      </c>
      <c r="E2167" s="106">
        <f t="shared" ca="1" si="134"/>
        <v>0</v>
      </c>
      <c r="F2167" s="21">
        <f t="shared" ca="1" si="135"/>
        <v>0</v>
      </c>
      <c r="H2167" s="21">
        <v>2152</v>
      </c>
      <c r="I2167" s="107">
        <v>0.66775393346774892</v>
      </c>
      <c r="J2167" s="108">
        <v>1.309383083122934E-3</v>
      </c>
      <c r="K2167" s="108"/>
      <c r="L2167" s="108">
        <v>4.1399999999999999E-2</v>
      </c>
      <c r="O2167" s="105"/>
    </row>
    <row r="2168" spans="2:15" x14ac:dyDescent="0.2">
      <c r="B2168" s="1">
        <v>2153</v>
      </c>
      <c r="C2168" s="106">
        <f t="shared" ca="1" si="132"/>
        <v>1.3531661238296568</v>
      </c>
      <c r="D2168" s="106">
        <f t="shared" ca="1" si="133"/>
        <v>0.75939057493195683</v>
      </c>
      <c r="E2168" s="106">
        <f t="shared" ca="1" si="134"/>
        <v>0</v>
      </c>
      <c r="F2168" s="21">
        <f t="shared" ca="1" si="135"/>
        <v>0</v>
      </c>
      <c r="H2168" s="21">
        <v>2153</v>
      </c>
      <c r="I2168" s="107">
        <v>0.66781491100052148</v>
      </c>
      <c r="J2168" s="108">
        <v>1.5274337786912995E-3</v>
      </c>
      <c r="K2168" s="108"/>
      <c r="L2168" s="108">
        <v>4.2799999999999998E-2</v>
      </c>
      <c r="O2168" s="105"/>
    </row>
    <row r="2169" spans="2:15" x14ac:dyDescent="0.2">
      <c r="B2169" s="1">
        <v>2154</v>
      </c>
      <c r="C2169" s="106">
        <f t="shared" ca="1" si="132"/>
        <v>-0.84120782011265383</v>
      </c>
      <c r="D2169" s="106">
        <f t="shared" ca="1" si="133"/>
        <v>0.61158887350999536</v>
      </c>
      <c r="E2169" s="106">
        <f t="shared" ca="1" si="134"/>
        <v>0</v>
      </c>
      <c r="F2169" s="21">
        <f t="shared" ca="1" si="135"/>
        <v>0</v>
      </c>
      <c r="H2169" s="21">
        <v>2154</v>
      </c>
      <c r="I2169" s="107">
        <v>0.66767321108205813</v>
      </c>
      <c r="J2169" s="108">
        <v>1.2695912636479327E-3</v>
      </c>
      <c r="K2169" s="108"/>
      <c r="L2169" s="108">
        <v>3.78E-2</v>
      </c>
      <c r="O2169" s="105"/>
    </row>
    <row r="2170" spans="2:15" x14ac:dyDescent="0.2">
      <c r="B2170" s="1">
        <v>2155</v>
      </c>
      <c r="C2170" s="106">
        <f t="shared" ca="1" si="132"/>
        <v>-6.7210923220183279E-4</v>
      </c>
      <c r="D2170" s="106">
        <f t="shared" ca="1" si="133"/>
        <v>0.66445811136096244</v>
      </c>
      <c r="E2170" s="106">
        <f t="shared" ca="1" si="134"/>
        <v>0</v>
      </c>
      <c r="F2170" s="21">
        <f t="shared" ca="1" si="135"/>
        <v>0</v>
      </c>
      <c r="H2170" s="21">
        <v>2155</v>
      </c>
      <c r="I2170" s="107">
        <v>0.66788444539020242</v>
      </c>
      <c r="J2170" s="108">
        <v>1.4977167279347958E-3</v>
      </c>
      <c r="K2170" s="108"/>
      <c r="L2170" s="108">
        <v>4.5999999999999999E-2</v>
      </c>
      <c r="O2170" s="105"/>
    </row>
    <row r="2171" spans="2:15" x14ac:dyDescent="0.2">
      <c r="B2171" s="1">
        <v>2156</v>
      </c>
      <c r="C2171" s="106">
        <f t="shared" ca="1" si="132"/>
        <v>0.81314279688900615</v>
      </c>
      <c r="D2171" s="106">
        <f t="shared" ca="1" si="133"/>
        <v>0.7199974134714846</v>
      </c>
      <c r="E2171" s="106">
        <f t="shared" ca="1" si="134"/>
        <v>0</v>
      </c>
      <c r="F2171" s="21">
        <f t="shared" ca="1" si="135"/>
        <v>0</v>
      </c>
      <c r="H2171" s="21">
        <v>2156</v>
      </c>
      <c r="I2171" s="107">
        <v>0.66777324673572724</v>
      </c>
      <c r="J2171" s="108">
        <v>1.2152906651174769E-3</v>
      </c>
      <c r="K2171" s="108"/>
      <c r="L2171" s="108">
        <v>4.2799999999999998E-2</v>
      </c>
      <c r="O2171" s="105"/>
    </row>
    <row r="2172" spans="2:15" x14ac:dyDescent="0.2">
      <c r="B2172" s="1">
        <v>2157</v>
      </c>
      <c r="C2172" s="106">
        <f t="shared" ca="1" si="132"/>
        <v>1.6596449579233046</v>
      </c>
      <c r="D2172" s="106">
        <f t="shared" ca="1" si="133"/>
        <v>0.78269861792563256</v>
      </c>
      <c r="E2172" s="106">
        <f t="shared" ca="1" si="134"/>
        <v>0</v>
      </c>
      <c r="F2172" s="21">
        <f t="shared" ca="1" si="135"/>
        <v>0</v>
      </c>
      <c r="H2172" s="21">
        <v>2157</v>
      </c>
      <c r="I2172" s="107">
        <v>0.66759937619181986</v>
      </c>
      <c r="J2172" s="108">
        <v>1.0949354493902089E-3</v>
      </c>
      <c r="K2172" s="108"/>
      <c r="L2172" s="108">
        <v>3.8600000000000002E-2</v>
      </c>
      <c r="O2172" s="105"/>
    </row>
    <row r="2173" spans="2:15" x14ac:dyDescent="0.2">
      <c r="B2173" s="1">
        <v>2158</v>
      </c>
      <c r="C2173" s="106">
        <f t="shared" ca="1" si="132"/>
        <v>-1.2553176134625363</v>
      </c>
      <c r="D2173" s="106">
        <f t="shared" ca="1" si="133"/>
        <v>0.58710985124535908</v>
      </c>
      <c r="E2173" s="106">
        <f t="shared" ca="1" si="134"/>
        <v>0</v>
      </c>
      <c r="F2173" s="21">
        <f t="shared" ca="1" si="135"/>
        <v>0</v>
      </c>
      <c r="H2173" s="21">
        <v>2158</v>
      </c>
      <c r="I2173" s="107">
        <v>0.66772931755579412</v>
      </c>
      <c r="J2173" s="108">
        <v>1.3833857019185135E-3</v>
      </c>
      <c r="K2173" s="108"/>
      <c r="L2173" s="108">
        <v>4.2799999999999998E-2</v>
      </c>
      <c r="O2173" s="105"/>
    </row>
    <row r="2174" spans="2:15" x14ac:dyDescent="0.2">
      <c r="B2174" s="1">
        <v>2159</v>
      </c>
      <c r="C2174" s="106">
        <f t="shared" ca="1" si="132"/>
        <v>2.7644539197511722</v>
      </c>
      <c r="D2174" s="106">
        <f t="shared" ca="1" si="133"/>
        <v>0.87281841734399013</v>
      </c>
      <c r="E2174" s="106">
        <f t="shared" ca="1" si="134"/>
        <v>8.4618417343990115E-2</v>
      </c>
      <c r="F2174" s="21">
        <f t="shared" ca="1" si="135"/>
        <v>1</v>
      </c>
      <c r="H2174" s="21">
        <v>2159</v>
      </c>
      <c r="I2174" s="107">
        <v>0.66768141104295076</v>
      </c>
      <c r="J2174" s="108">
        <v>1.2270189234002149E-3</v>
      </c>
      <c r="K2174" s="108"/>
      <c r="L2174" s="108">
        <v>4.0599999999999997E-2</v>
      </c>
      <c r="O2174" s="105"/>
    </row>
    <row r="2175" spans="2:15" x14ac:dyDescent="0.2">
      <c r="B2175" s="1">
        <v>2160</v>
      </c>
      <c r="C2175" s="106">
        <f t="shared" ca="1" si="132"/>
        <v>0.83495125680572813</v>
      </c>
      <c r="D2175" s="106">
        <f t="shared" ca="1" si="133"/>
        <v>0.72154795016591211</v>
      </c>
      <c r="E2175" s="106">
        <f t="shared" ca="1" si="134"/>
        <v>0</v>
      </c>
      <c r="F2175" s="21">
        <f t="shared" ca="1" si="135"/>
        <v>0</v>
      </c>
      <c r="H2175" s="21">
        <v>2160</v>
      </c>
      <c r="I2175" s="107">
        <v>0.66767303409111844</v>
      </c>
      <c r="J2175" s="108">
        <v>1.3550883880351762E-3</v>
      </c>
      <c r="K2175" s="108"/>
      <c r="L2175" s="108">
        <v>4.2200000000000001E-2</v>
      </c>
      <c r="O2175" s="105"/>
    </row>
    <row r="2176" spans="2:15" x14ac:dyDescent="0.2">
      <c r="B2176" s="1">
        <v>2161</v>
      </c>
      <c r="C2176" s="106">
        <f t="shared" ca="1" si="132"/>
        <v>-0.1542334692326606</v>
      </c>
      <c r="D2176" s="106">
        <f t="shared" ca="1" si="133"/>
        <v>0.65446908008737259</v>
      </c>
      <c r="E2176" s="106">
        <f t="shared" ca="1" si="134"/>
        <v>0</v>
      </c>
      <c r="F2176" s="21">
        <f t="shared" ca="1" si="135"/>
        <v>0</v>
      </c>
      <c r="H2176" s="21">
        <v>2161</v>
      </c>
      <c r="I2176" s="107">
        <v>0.66778255658653229</v>
      </c>
      <c r="J2176" s="108">
        <v>1.3866182718690438E-3</v>
      </c>
      <c r="K2176" s="108"/>
      <c r="L2176" s="108">
        <v>3.9199999999999999E-2</v>
      </c>
      <c r="O2176" s="105"/>
    </row>
    <row r="2177" spans="2:15" x14ac:dyDescent="0.2">
      <c r="B2177" s="1">
        <v>2162</v>
      </c>
      <c r="C2177" s="106">
        <f t="shared" ca="1" si="132"/>
        <v>-1.9195311885027269</v>
      </c>
      <c r="D2177" s="106">
        <f t="shared" ca="1" si="133"/>
        <v>0.54987613006474989</v>
      </c>
      <c r="E2177" s="106">
        <f t="shared" ca="1" si="134"/>
        <v>0</v>
      </c>
      <c r="F2177" s="21">
        <f t="shared" ca="1" si="135"/>
        <v>0</v>
      </c>
      <c r="H2177" s="21">
        <v>2162</v>
      </c>
      <c r="I2177" s="107">
        <v>0.6677535661562447</v>
      </c>
      <c r="J2177" s="108">
        <v>1.4255532870701729E-3</v>
      </c>
      <c r="K2177" s="108"/>
      <c r="L2177" s="108">
        <v>3.9E-2</v>
      </c>
      <c r="O2177" s="105"/>
    </row>
    <row r="2178" spans="2:15" x14ac:dyDescent="0.2">
      <c r="B2178" s="1">
        <v>2163</v>
      </c>
      <c r="C2178" s="106">
        <f t="shared" ca="1" si="132"/>
        <v>-0.88525419712262876</v>
      </c>
      <c r="D2178" s="106">
        <f t="shared" ca="1" si="133"/>
        <v>0.60893741063885465</v>
      </c>
      <c r="E2178" s="106">
        <f t="shared" ca="1" si="134"/>
        <v>0</v>
      </c>
      <c r="F2178" s="21">
        <f t="shared" ca="1" si="135"/>
        <v>0</v>
      </c>
      <c r="H2178" s="21">
        <v>2163</v>
      </c>
      <c r="I2178" s="107">
        <v>0.66755992571466072</v>
      </c>
      <c r="J2178" s="108">
        <v>1.0827402400140243E-3</v>
      </c>
      <c r="K2178" s="108"/>
      <c r="L2178" s="108">
        <v>3.6400000000000002E-2</v>
      </c>
      <c r="O2178" s="105"/>
    </row>
    <row r="2179" spans="2:15" x14ac:dyDescent="0.2">
      <c r="B2179" s="1">
        <v>2164</v>
      </c>
      <c r="C2179" s="106">
        <f t="shared" ca="1" si="132"/>
        <v>-0.78887232184002398</v>
      </c>
      <c r="D2179" s="106">
        <f t="shared" ca="1" si="133"/>
        <v>0.61475432988249024</v>
      </c>
      <c r="E2179" s="106">
        <f t="shared" ca="1" si="134"/>
        <v>0</v>
      </c>
      <c r="F2179" s="21">
        <f t="shared" ca="1" si="135"/>
        <v>0</v>
      </c>
      <c r="H2179" s="21">
        <v>2164</v>
      </c>
      <c r="I2179" s="107">
        <v>0.6677812775652443</v>
      </c>
      <c r="J2179" s="108">
        <v>1.4365331135483132E-3</v>
      </c>
      <c r="K2179" s="108"/>
      <c r="L2179" s="108">
        <v>4.1599999999999998E-2</v>
      </c>
      <c r="O2179" s="105"/>
    </row>
    <row r="2180" spans="2:15" x14ac:dyDescent="0.2">
      <c r="B2180" s="1">
        <v>2165</v>
      </c>
      <c r="C2180" s="106">
        <f t="shared" ca="1" si="132"/>
        <v>1.4981817462358151</v>
      </c>
      <c r="D2180" s="106">
        <f t="shared" ca="1" si="133"/>
        <v>0.77033136756976073</v>
      </c>
      <c r="E2180" s="106">
        <f t="shared" ca="1" si="134"/>
        <v>0</v>
      </c>
      <c r="F2180" s="21">
        <f t="shared" ca="1" si="135"/>
        <v>0</v>
      </c>
      <c r="H2180" s="21">
        <v>2165</v>
      </c>
      <c r="I2180" s="107">
        <v>0.66775802406621509</v>
      </c>
      <c r="J2180" s="108">
        <v>1.3474488684188429E-3</v>
      </c>
      <c r="K2180" s="108"/>
      <c r="L2180" s="108">
        <v>3.9199999999999999E-2</v>
      </c>
      <c r="O2180" s="105"/>
    </row>
    <row r="2181" spans="2:15" x14ac:dyDescent="0.2">
      <c r="B2181" s="1">
        <v>2166</v>
      </c>
      <c r="C2181" s="106">
        <f t="shared" ca="1" si="132"/>
        <v>0.68974705097771694</v>
      </c>
      <c r="D2181" s="106">
        <f t="shared" ca="1" si="133"/>
        <v>0.71128678266999579</v>
      </c>
      <c r="E2181" s="106">
        <f t="shared" ca="1" si="134"/>
        <v>0</v>
      </c>
      <c r="F2181" s="21">
        <f t="shared" ca="1" si="135"/>
        <v>0</v>
      </c>
      <c r="H2181" s="21">
        <v>2166</v>
      </c>
      <c r="I2181" s="107">
        <v>0.6677969532566419</v>
      </c>
      <c r="J2181" s="108">
        <v>1.5232674796686291E-3</v>
      </c>
      <c r="K2181" s="108"/>
      <c r="L2181" s="108">
        <v>4.3999999999999997E-2</v>
      </c>
      <c r="O2181" s="105"/>
    </row>
    <row r="2182" spans="2:15" x14ac:dyDescent="0.2">
      <c r="B2182" s="1">
        <v>2167</v>
      </c>
      <c r="C2182" s="106">
        <f t="shared" ca="1" si="132"/>
        <v>-0.30356715176906934</v>
      </c>
      <c r="D2182" s="106">
        <f t="shared" ca="1" si="133"/>
        <v>0.64489909956199554</v>
      </c>
      <c r="E2182" s="106">
        <f t="shared" ca="1" si="134"/>
        <v>0</v>
      </c>
      <c r="F2182" s="21">
        <f t="shared" ca="1" si="135"/>
        <v>0</v>
      </c>
      <c r="H2182" s="21">
        <v>2167</v>
      </c>
      <c r="I2182" s="107">
        <v>0.6679367103423548</v>
      </c>
      <c r="J2182" s="108">
        <v>1.6129211729247028E-3</v>
      </c>
      <c r="K2182" s="108"/>
      <c r="L2182" s="108">
        <v>4.4400000000000002E-2</v>
      </c>
      <c r="O2182" s="105"/>
    </row>
    <row r="2183" spans="2:15" x14ac:dyDescent="0.2">
      <c r="B2183" s="1">
        <v>2168</v>
      </c>
      <c r="C2183" s="106">
        <f t="shared" ca="1" si="132"/>
        <v>0.68414426893909441</v>
      </c>
      <c r="D2183" s="106">
        <f t="shared" ca="1" si="133"/>
        <v>0.71089378736443398</v>
      </c>
      <c r="E2183" s="106">
        <f t="shared" ca="1" si="134"/>
        <v>0</v>
      </c>
      <c r="F2183" s="21">
        <f t="shared" ca="1" si="135"/>
        <v>0</v>
      </c>
      <c r="H2183" s="21">
        <v>2168</v>
      </c>
      <c r="I2183" s="107">
        <v>0.66771363224521296</v>
      </c>
      <c r="J2183" s="108">
        <v>1.2961434255854079E-3</v>
      </c>
      <c r="K2183" s="108"/>
      <c r="L2183" s="108">
        <v>4.0399999999999998E-2</v>
      </c>
      <c r="O2183" s="105"/>
    </row>
    <row r="2184" spans="2:15" x14ac:dyDescent="0.2">
      <c r="B2184" s="1">
        <v>2169</v>
      </c>
      <c r="C2184" s="106">
        <f t="shared" ca="1" si="132"/>
        <v>-0.46382297156763747</v>
      </c>
      <c r="D2184" s="106">
        <f t="shared" ca="1" si="133"/>
        <v>0.63478478694131735</v>
      </c>
      <c r="E2184" s="106">
        <f t="shared" ca="1" si="134"/>
        <v>0</v>
      </c>
      <c r="F2184" s="21">
        <f t="shared" ca="1" si="135"/>
        <v>0</v>
      </c>
      <c r="H2184" s="21">
        <v>2169</v>
      </c>
      <c r="I2184" s="107">
        <v>0.66784069881106711</v>
      </c>
      <c r="J2184" s="108">
        <v>1.4866967197605344E-3</v>
      </c>
      <c r="K2184" s="108"/>
      <c r="L2184" s="108">
        <v>4.1399999999999999E-2</v>
      </c>
      <c r="O2184" s="105"/>
    </row>
    <row r="2185" spans="2:15" x14ac:dyDescent="0.2">
      <c r="B2185" s="1">
        <v>2170</v>
      </c>
      <c r="C2185" s="106">
        <f t="shared" ca="1" si="132"/>
        <v>1.7277192753071042</v>
      </c>
      <c r="D2185" s="106">
        <f t="shared" ca="1" si="133"/>
        <v>0.78797207857424867</v>
      </c>
      <c r="E2185" s="106">
        <f t="shared" ca="1" si="134"/>
        <v>0</v>
      </c>
      <c r="F2185" s="21">
        <f t="shared" ca="1" si="135"/>
        <v>0</v>
      </c>
      <c r="H2185" s="21">
        <v>2170</v>
      </c>
      <c r="I2185" s="107">
        <v>0.66778686567658918</v>
      </c>
      <c r="J2185" s="108">
        <v>1.4243661617485746E-3</v>
      </c>
      <c r="K2185" s="108"/>
      <c r="L2185" s="108">
        <v>4.1200000000000001E-2</v>
      </c>
      <c r="O2185" s="105"/>
    </row>
    <row r="2186" spans="2:15" x14ac:dyDescent="0.2">
      <c r="B2186" s="1">
        <v>2171</v>
      </c>
      <c r="C2186" s="106">
        <f t="shared" ca="1" si="132"/>
        <v>-0.99123545866985685</v>
      </c>
      <c r="D2186" s="106">
        <f t="shared" ca="1" si="133"/>
        <v>0.60260465787174622</v>
      </c>
      <c r="E2186" s="106">
        <f t="shared" ca="1" si="134"/>
        <v>0</v>
      </c>
      <c r="F2186" s="21">
        <f t="shared" ca="1" si="135"/>
        <v>0</v>
      </c>
      <c r="H2186" s="21">
        <v>2171</v>
      </c>
      <c r="I2186" s="107">
        <v>0.66790368526397892</v>
      </c>
      <c r="J2186" s="108">
        <v>1.5278097145981554E-3</v>
      </c>
      <c r="K2186" s="108"/>
      <c r="L2186" s="108">
        <v>4.6800000000000001E-2</v>
      </c>
      <c r="O2186" s="105"/>
    </row>
    <row r="2187" spans="2:15" x14ac:dyDescent="0.2">
      <c r="B2187" s="1">
        <v>2172</v>
      </c>
      <c r="C2187" s="106">
        <f t="shared" ca="1" si="132"/>
        <v>-0.67153669380499204</v>
      </c>
      <c r="D2187" s="106">
        <f t="shared" ca="1" si="133"/>
        <v>0.62191091953616151</v>
      </c>
      <c r="E2187" s="106">
        <f t="shared" ca="1" si="134"/>
        <v>0</v>
      </c>
      <c r="F2187" s="21">
        <f t="shared" ca="1" si="135"/>
        <v>0</v>
      </c>
      <c r="H2187" s="21">
        <v>2172</v>
      </c>
      <c r="I2187" s="107">
        <v>0.66768167869931272</v>
      </c>
      <c r="J2187" s="108">
        <v>1.2841537910123488E-3</v>
      </c>
      <c r="K2187" s="108"/>
      <c r="L2187" s="108">
        <v>4.2200000000000001E-2</v>
      </c>
      <c r="O2187" s="105"/>
    </row>
    <row r="2188" spans="2:15" x14ac:dyDescent="0.2">
      <c r="B2188" s="1">
        <v>2173</v>
      </c>
      <c r="C2188" s="106">
        <f t="shared" ca="1" si="132"/>
        <v>-1.3594404306221357</v>
      </c>
      <c r="D2188" s="106">
        <f t="shared" ca="1" si="133"/>
        <v>0.5811106171558521</v>
      </c>
      <c r="E2188" s="106">
        <f t="shared" ca="1" si="134"/>
        <v>0</v>
      </c>
      <c r="F2188" s="21">
        <f t="shared" ca="1" si="135"/>
        <v>0</v>
      </c>
      <c r="H2188" s="21">
        <v>2173</v>
      </c>
      <c r="I2188" s="107">
        <v>0.66779836280868199</v>
      </c>
      <c r="J2188" s="108">
        <v>1.3784003598713251E-3</v>
      </c>
      <c r="K2188" s="108"/>
      <c r="L2188" s="108">
        <v>4.3200000000000002E-2</v>
      </c>
      <c r="O2188" s="105"/>
    </row>
    <row r="2189" spans="2:15" x14ac:dyDescent="0.2">
      <c r="B2189" s="1">
        <v>2174</v>
      </c>
      <c r="C2189" s="106">
        <f t="shared" ca="1" si="132"/>
        <v>-0.57076436501250361</v>
      </c>
      <c r="D2189" s="106">
        <f t="shared" ca="1" si="133"/>
        <v>0.62812373820376699</v>
      </c>
      <c r="E2189" s="106">
        <f t="shared" ca="1" si="134"/>
        <v>0</v>
      </c>
      <c r="F2189" s="21">
        <f t="shared" ca="1" si="135"/>
        <v>0</v>
      </c>
      <c r="H2189" s="21">
        <v>2174</v>
      </c>
      <c r="I2189" s="107">
        <v>0.66778602698341805</v>
      </c>
      <c r="J2189" s="108">
        <v>1.3129402278893691E-3</v>
      </c>
      <c r="K2189" s="108"/>
      <c r="L2189" s="108">
        <v>4.2799999999999998E-2</v>
      </c>
      <c r="O2189" s="105"/>
    </row>
    <row r="2190" spans="2:15" x14ac:dyDescent="0.2">
      <c r="B2190" s="1">
        <v>2175</v>
      </c>
      <c r="C2190" s="106">
        <f t="shared" ca="1" si="132"/>
        <v>1.1902267777974822</v>
      </c>
      <c r="D2190" s="106">
        <f t="shared" ca="1" si="133"/>
        <v>0.7472827917239957</v>
      </c>
      <c r="E2190" s="106">
        <f t="shared" ca="1" si="134"/>
        <v>0</v>
      </c>
      <c r="F2190" s="21">
        <f t="shared" ca="1" si="135"/>
        <v>0</v>
      </c>
      <c r="H2190" s="21">
        <v>2175</v>
      </c>
      <c r="I2190" s="107">
        <v>0.66777418062400129</v>
      </c>
      <c r="J2190" s="108">
        <v>1.6298239245585067E-3</v>
      </c>
      <c r="K2190" s="108"/>
      <c r="L2190" s="108">
        <v>4.5600000000000002E-2</v>
      </c>
      <c r="O2190" s="105"/>
    </row>
    <row r="2191" spans="2:15" x14ac:dyDescent="0.2">
      <c r="B2191" s="1">
        <v>2176</v>
      </c>
      <c r="C2191" s="106">
        <f t="shared" ca="1" si="132"/>
        <v>1.6897604118668959</v>
      </c>
      <c r="D2191" s="106">
        <f t="shared" ca="1" si="133"/>
        <v>0.78502718152887807</v>
      </c>
      <c r="E2191" s="106">
        <f t="shared" ca="1" si="134"/>
        <v>0</v>
      </c>
      <c r="F2191" s="21">
        <f t="shared" ca="1" si="135"/>
        <v>0</v>
      </c>
      <c r="H2191" s="21">
        <v>2176</v>
      </c>
      <c r="I2191" s="107">
        <v>0.66778592172390561</v>
      </c>
      <c r="J2191" s="108">
        <v>1.5307028096243265E-3</v>
      </c>
      <c r="K2191" s="108"/>
      <c r="L2191" s="108">
        <v>4.4600000000000001E-2</v>
      </c>
      <c r="O2191" s="105"/>
    </row>
    <row r="2192" spans="2:15" x14ac:dyDescent="0.2">
      <c r="B2192" s="1">
        <v>2177</v>
      </c>
      <c r="C2192" s="106">
        <f t="shared" ref="C2192:C2255" ca="1" si="136">_xlfn.NORM.S.INV(RAND())</f>
        <v>-1.2984594936275933</v>
      </c>
      <c r="D2192" s="106">
        <f t="shared" ref="D2192:D2255" ca="1" si="137">S0*EXP((μ-0.5*σ*σ)*T+σ*SQRT(T)*$C2192)</f>
        <v>0.58461667156718577</v>
      </c>
      <c r="E2192" s="106">
        <f t="shared" ref="E2192:E2255" ca="1" si="138">MAX(0,CP*(D2192-K))</f>
        <v>0</v>
      </c>
      <c r="F2192" s="21">
        <f t="shared" ref="F2192:F2255" ca="1" si="139">(CP*(D2192-K)&gt;0)*1</f>
        <v>0</v>
      </c>
      <c r="H2192" s="21">
        <v>2177</v>
      </c>
      <c r="I2192" s="107">
        <v>0.66770337795258605</v>
      </c>
      <c r="J2192" s="108">
        <v>1.1795195545212418E-3</v>
      </c>
      <c r="K2192" s="108"/>
      <c r="L2192" s="108">
        <v>3.7400000000000003E-2</v>
      </c>
      <c r="O2192" s="105"/>
    </row>
    <row r="2193" spans="2:15" x14ac:dyDescent="0.2">
      <c r="B2193" s="1">
        <v>2178</v>
      </c>
      <c r="C2193" s="106">
        <f t="shared" ca="1" si="136"/>
        <v>0.71094154956861411</v>
      </c>
      <c r="D2193" s="106">
        <f t="shared" ca="1" si="137"/>
        <v>0.71277539237027043</v>
      </c>
      <c r="E2193" s="106">
        <f t="shared" ca="1" si="138"/>
        <v>0</v>
      </c>
      <c r="F2193" s="21">
        <f t="shared" ca="1" si="139"/>
        <v>0</v>
      </c>
      <c r="H2193" s="21">
        <v>2178</v>
      </c>
      <c r="I2193" s="107">
        <v>0.6676972366070506</v>
      </c>
      <c r="J2193" s="108">
        <v>1.3952908862410946E-3</v>
      </c>
      <c r="K2193" s="108"/>
      <c r="L2193" s="108">
        <v>4.02E-2</v>
      </c>
      <c r="O2193" s="105"/>
    </row>
    <row r="2194" spans="2:15" x14ac:dyDescent="0.2">
      <c r="B2194" s="1">
        <v>2179</v>
      </c>
      <c r="C2194" s="106">
        <f t="shared" ca="1" si="136"/>
        <v>0.76839787034102303</v>
      </c>
      <c r="D2194" s="106">
        <f t="shared" ca="1" si="137"/>
        <v>0.71682656443088033</v>
      </c>
      <c r="E2194" s="106">
        <f t="shared" ca="1" si="138"/>
        <v>0</v>
      </c>
      <c r="F2194" s="21">
        <f t="shared" ca="1" si="139"/>
        <v>0</v>
      </c>
      <c r="H2194" s="21">
        <v>2179</v>
      </c>
      <c r="I2194" s="107">
        <v>0.66772250441566683</v>
      </c>
      <c r="J2194" s="108">
        <v>1.238423821197173E-3</v>
      </c>
      <c r="K2194" s="108"/>
      <c r="L2194" s="108">
        <v>3.9199999999999999E-2</v>
      </c>
      <c r="O2194" s="105"/>
    </row>
    <row r="2195" spans="2:15" x14ac:dyDescent="0.2">
      <c r="B2195" s="1">
        <v>2180</v>
      </c>
      <c r="C2195" s="106">
        <f t="shared" ca="1" si="136"/>
        <v>-0.75271907766444535</v>
      </c>
      <c r="D2195" s="106">
        <f t="shared" ca="1" si="137"/>
        <v>0.6169505830091766</v>
      </c>
      <c r="E2195" s="106">
        <f t="shared" ca="1" si="138"/>
        <v>0</v>
      </c>
      <c r="F2195" s="21">
        <f t="shared" ca="1" si="139"/>
        <v>0</v>
      </c>
      <c r="H2195" s="21">
        <v>2180</v>
      </c>
      <c r="I2195" s="107">
        <v>0.66777425632585607</v>
      </c>
      <c r="J2195" s="108">
        <v>1.3593232319561023E-3</v>
      </c>
      <c r="K2195" s="108"/>
      <c r="L2195" s="108">
        <v>4.3200000000000002E-2</v>
      </c>
      <c r="O2195" s="105"/>
    </row>
    <row r="2196" spans="2:15" x14ac:dyDescent="0.2">
      <c r="B2196" s="1">
        <v>2181</v>
      </c>
      <c r="C2196" s="106">
        <f t="shared" ca="1" si="136"/>
        <v>0.51444530668667976</v>
      </c>
      <c r="D2196" s="106">
        <f t="shared" ca="1" si="137"/>
        <v>0.69909294587078064</v>
      </c>
      <c r="E2196" s="106">
        <f t="shared" ca="1" si="138"/>
        <v>0</v>
      </c>
      <c r="F2196" s="21">
        <f t="shared" ca="1" si="139"/>
        <v>0</v>
      </c>
      <c r="H2196" s="21">
        <v>2181</v>
      </c>
      <c r="I2196" s="107">
        <v>0.66783383355813819</v>
      </c>
      <c r="J2196" s="108">
        <v>1.3945544060158458E-3</v>
      </c>
      <c r="K2196" s="108"/>
      <c r="L2196" s="108">
        <v>4.3999999999999997E-2</v>
      </c>
      <c r="O2196" s="105"/>
    </row>
    <row r="2197" spans="2:15" x14ac:dyDescent="0.2">
      <c r="B2197" s="1">
        <v>2182</v>
      </c>
      <c r="C2197" s="106">
        <f t="shared" ca="1" si="136"/>
        <v>-1.2262260434086645</v>
      </c>
      <c r="D2197" s="106">
        <f t="shared" ca="1" si="137"/>
        <v>0.58879705957251605</v>
      </c>
      <c r="E2197" s="106">
        <f t="shared" ca="1" si="138"/>
        <v>0</v>
      </c>
      <c r="F2197" s="21">
        <f t="shared" ca="1" si="139"/>
        <v>0</v>
      </c>
      <c r="H2197" s="21">
        <v>2182</v>
      </c>
      <c r="I2197" s="107">
        <v>0.66771866488611809</v>
      </c>
      <c r="J2197" s="108">
        <v>1.3614834668166523E-3</v>
      </c>
      <c r="K2197" s="108"/>
      <c r="L2197" s="108">
        <v>4.2200000000000001E-2</v>
      </c>
      <c r="O2197" s="105"/>
    </row>
    <row r="2198" spans="2:15" x14ac:dyDescent="0.2">
      <c r="B2198" s="1">
        <v>2183</v>
      </c>
      <c r="C2198" s="106">
        <f t="shared" ca="1" si="136"/>
        <v>-0.21093036019075842</v>
      </c>
      <c r="D2198" s="106">
        <f t="shared" ca="1" si="137"/>
        <v>0.65081907546320905</v>
      </c>
      <c r="E2198" s="106">
        <f t="shared" ca="1" si="138"/>
        <v>0</v>
      </c>
      <c r="F2198" s="21">
        <f t="shared" ca="1" si="139"/>
        <v>0</v>
      </c>
      <c r="H2198" s="21">
        <v>2183</v>
      </c>
      <c r="I2198" s="107">
        <v>0.66778412648082275</v>
      </c>
      <c r="J2198" s="108">
        <v>1.2402986167439102E-3</v>
      </c>
      <c r="K2198" s="108"/>
      <c r="L2198" s="108">
        <v>4.1000000000000002E-2</v>
      </c>
      <c r="O2198" s="105"/>
    </row>
    <row r="2199" spans="2:15" x14ac:dyDescent="0.2">
      <c r="B2199" s="1">
        <v>2184</v>
      </c>
      <c r="C2199" s="106">
        <f t="shared" ca="1" si="136"/>
        <v>1.1080571850349359</v>
      </c>
      <c r="D2199" s="106">
        <f t="shared" ca="1" si="137"/>
        <v>0.74125030800815228</v>
      </c>
      <c r="E2199" s="106">
        <f t="shared" ca="1" si="138"/>
        <v>0</v>
      </c>
      <c r="F2199" s="21">
        <f t="shared" ca="1" si="139"/>
        <v>0</v>
      </c>
      <c r="H2199" s="21">
        <v>2184</v>
      </c>
      <c r="I2199" s="107">
        <v>0.66770832042370931</v>
      </c>
      <c r="J2199" s="108">
        <v>1.3503992501836877E-3</v>
      </c>
      <c r="K2199" s="108"/>
      <c r="L2199" s="108">
        <v>4.1599999999999998E-2</v>
      </c>
      <c r="O2199" s="105"/>
    </row>
    <row r="2200" spans="2:15" x14ac:dyDescent="0.2">
      <c r="B2200" s="1">
        <v>2185</v>
      </c>
      <c r="C2200" s="106">
        <f t="shared" ca="1" si="136"/>
        <v>-2.3912945124185496</v>
      </c>
      <c r="D2200" s="106">
        <f t="shared" ca="1" si="137"/>
        <v>0.52487370674829514</v>
      </c>
      <c r="E2200" s="106">
        <f t="shared" ca="1" si="138"/>
        <v>0</v>
      </c>
      <c r="F2200" s="21">
        <f t="shared" ca="1" si="139"/>
        <v>0</v>
      </c>
      <c r="H2200" s="21">
        <v>2185</v>
      </c>
      <c r="I2200" s="107">
        <v>0.66768822898027136</v>
      </c>
      <c r="J2200" s="108">
        <v>1.3081086343781666E-3</v>
      </c>
      <c r="K2200" s="108"/>
      <c r="L2200" s="108">
        <v>4.1799999999999997E-2</v>
      </c>
      <c r="O2200" s="105"/>
    </row>
    <row r="2201" spans="2:15" x14ac:dyDescent="0.2">
      <c r="B2201" s="1">
        <v>2186</v>
      </c>
      <c r="C2201" s="106">
        <f t="shared" ca="1" si="136"/>
        <v>1.1600239444107452</v>
      </c>
      <c r="D2201" s="106">
        <f t="shared" ca="1" si="137"/>
        <v>0.74505976443322253</v>
      </c>
      <c r="E2201" s="106">
        <f t="shared" ca="1" si="138"/>
        <v>0</v>
      </c>
      <c r="F2201" s="21">
        <f t="shared" ca="1" si="139"/>
        <v>0</v>
      </c>
      <c r="H2201" s="21">
        <v>2186</v>
      </c>
      <c r="I2201" s="107">
        <v>0.66774291372144545</v>
      </c>
      <c r="J2201" s="108">
        <v>1.5489631110031557E-3</v>
      </c>
      <c r="K2201" s="108"/>
      <c r="L2201" s="108">
        <v>4.3999999999999997E-2</v>
      </c>
      <c r="O2201" s="105"/>
    </row>
    <row r="2202" spans="2:15" x14ac:dyDescent="0.2">
      <c r="B2202" s="1">
        <v>2187</v>
      </c>
      <c r="C2202" s="106">
        <f t="shared" ca="1" si="136"/>
        <v>1.457875964352074</v>
      </c>
      <c r="D2202" s="106">
        <f t="shared" ca="1" si="137"/>
        <v>0.76727475227332997</v>
      </c>
      <c r="E2202" s="106">
        <f t="shared" ca="1" si="138"/>
        <v>0</v>
      </c>
      <c r="F2202" s="21">
        <f t="shared" ca="1" si="139"/>
        <v>0</v>
      </c>
      <c r="H2202" s="21">
        <v>2187</v>
      </c>
      <c r="I2202" s="107">
        <v>0.66778440161227148</v>
      </c>
      <c r="J2202" s="108">
        <v>1.3952832602897906E-3</v>
      </c>
      <c r="K2202" s="108"/>
      <c r="L2202" s="108">
        <v>4.36E-2</v>
      </c>
      <c r="O2202" s="105"/>
    </row>
    <row r="2203" spans="2:15" x14ac:dyDescent="0.2">
      <c r="B2203" s="1">
        <v>2188</v>
      </c>
      <c r="C2203" s="106">
        <f t="shared" ca="1" si="136"/>
        <v>-0.83826620060305623</v>
      </c>
      <c r="D2203" s="106">
        <f t="shared" ca="1" si="137"/>
        <v>0.61176636109647053</v>
      </c>
      <c r="E2203" s="106">
        <f t="shared" ca="1" si="138"/>
        <v>0</v>
      </c>
      <c r="F2203" s="21">
        <f t="shared" ca="1" si="139"/>
        <v>0</v>
      </c>
      <c r="H2203" s="21">
        <v>2188</v>
      </c>
      <c r="I2203" s="107">
        <v>0.66772607454679245</v>
      </c>
      <c r="J2203" s="108">
        <v>1.2296848334761789E-3</v>
      </c>
      <c r="K2203" s="108"/>
      <c r="L2203" s="108">
        <v>3.8800000000000001E-2</v>
      </c>
      <c r="O2203" s="105"/>
    </row>
    <row r="2204" spans="2:15" x14ac:dyDescent="0.2">
      <c r="B2204" s="1">
        <v>2189</v>
      </c>
      <c r="C2204" s="106">
        <f t="shared" ca="1" si="136"/>
        <v>1.1060763819457136</v>
      </c>
      <c r="D2204" s="106">
        <f t="shared" ca="1" si="137"/>
        <v>0.74110548996838321</v>
      </c>
      <c r="E2204" s="106">
        <f t="shared" ca="1" si="138"/>
        <v>0</v>
      </c>
      <c r="F2204" s="21">
        <f t="shared" ca="1" si="139"/>
        <v>0</v>
      </c>
      <c r="H2204" s="21">
        <v>2189</v>
      </c>
      <c r="I2204" s="107">
        <v>0.66763590270038253</v>
      </c>
      <c r="J2204" s="108">
        <v>1.1879731391960912E-3</v>
      </c>
      <c r="K2204" s="108"/>
      <c r="L2204" s="108">
        <v>3.7199999999999997E-2</v>
      </c>
      <c r="O2204" s="105"/>
    </row>
    <row r="2205" spans="2:15" x14ac:dyDescent="0.2">
      <c r="B2205" s="1">
        <v>2190</v>
      </c>
      <c r="C2205" s="106">
        <f t="shared" ca="1" si="136"/>
        <v>-0.14572873708241499</v>
      </c>
      <c r="D2205" s="106">
        <f t="shared" ca="1" si="137"/>
        <v>0.6550183563815124</v>
      </c>
      <c r="E2205" s="106">
        <f t="shared" ca="1" si="138"/>
        <v>0</v>
      </c>
      <c r="F2205" s="21">
        <f t="shared" ca="1" si="139"/>
        <v>0</v>
      </c>
      <c r="H2205" s="21">
        <v>2190</v>
      </c>
      <c r="I2205" s="107">
        <v>0.66767812908007784</v>
      </c>
      <c r="J2205" s="108">
        <v>1.2561751285082518E-3</v>
      </c>
      <c r="K2205" s="108"/>
      <c r="L2205" s="108">
        <v>3.8399999999999997E-2</v>
      </c>
      <c r="O2205" s="105"/>
    </row>
    <row r="2206" spans="2:15" x14ac:dyDescent="0.2">
      <c r="B2206" s="1">
        <v>2191</v>
      </c>
      <c r="C2206" s="106">
        <f t="shared" ca="1" si="136"/>
        <v>-2.7126043734103891</v>
      </c>
      <c r="D2206" s="106">
        <f t="shared" ca="1" si="137"/>
        <v>0.50849899770654483</v>
      </c>
      <c r="E2206" s="106">
        <f t="shared" ca="1" si="138"/>
        <v>0</v>
      </c>
      <c r="F2206" s="21">
        <f t="shared" ca="1" si="139"/>
        <v>0</v>
      </c>
      <c r="H2206" s="21">
        <v>2191</v>
      </c>
      <c r="I2206" s="107">
        <v>0.66783716638583057</v>
      </c>
      <c r="J2206" s="108">
        <v>1.4608176636133566E-3</v>
      </c>
      <c r="K2206" s="108"/>
      <c r="L2206" s="108">
        <v>4.3799999999999999E-2</v>
      </c>
      <c r="O2206" s="105"/>
    </row>
    <row r="2207" spans="2:15" x14ac:dyDescent="0.2">
      <c r="B2207" s="1">
        <v>2192</v>
      </c>
      <c r="C2207" s="106">
        <f t="shared" ca="1" si="136"/>
        <v>-0.69794387025237037</v>
      </c>
      <c r="D2207" s="106">
        <f t="shared" ca="1" si="137"/>
        <v>0.62029304984377798</v>
      </c>
      <c r="E2207" s="106">
        <f t="shared" ca="1" si="138"/>
        <v>0</v>
      </c>
      <c r="F2207" s="21">
        <f t="shared" ca="1" si="139"/>
        <v>0</v>
      </c>
      <c r="H2207" s="21">
        <v>2192</v>
      </c>
      <c r="I2207" s="107">
        <v>0.66763278582953123</v>
      </c>
      <c r="J2207" s="108">
        <v>1.3432187295063982E-3</v>
      </c>
      <c r="K2207" s="108"/>
      <c r="L2207" s="108">
        <v>3.8600000000000002E-2</v>
      </c>
      <c r="O2207" s="105"/>
    </row>
    <row r="2208" spans="2:15" x14ac:dyDescent="0.2">
      <c r="B2208" s="1">
        <v>2193</v>
      </c>
      <c r="C2208" s="106">
        <f t="shared" ca="1" si="136"/>
        <v>0.73516537195358622</v>
      </c>
      <c r="D2208" s="106">
        <f t="shared" ca="1" si="137"/>
        <v>0.7144805841961227</v>
      </c>
      <c r="E2208" s="106">
        <f t="shared" ca="1" si="138"/>
        <v>0</v>
      </c>
      <c r="F2208" s="21">
        <f t="shared" ca="1" si="139"/>
        <v>0</v>
      </c>
      <c r="H2208" s="21">
        <v>2193</v>
      </c>
      <c r="I2208" s="107">
        <v>0.66771950296604632</v>
      </c>
      <c r="J2208" s="108">
        <v>1.3783744868483782E-3</v>
      </c>
      <c r="K2208" s="108"/>
      <c r="L2208" s="108">
        <v>0.04</v>
      </c>
      <c r="O2208" s="105"/>
    </row>
    <row r="2209" spans="2:15" x14ac:dyDescent="0.2">
      <c r="B2209" s="1">
        <v>2194</v>
      </c>
      <c r="C2209" s="106">
        <f t="shared" ca="1" si="136"/>
        <v>-1.1826516432348997</v>
      </c>
      <c r="D2209" s="106">
        <f t="shared" ca="1" si="137"/>
        <v>0.59133329541162594</v>
      </c>
      <c r="E2209" s="106">
        <f t="shared" ca="1" si="138"/>
        <v>0</v>
      </c>
      <c r="F2209" s="21">
        <f t="shared" ca="1" si="139"/>
        <v>0</v>
      </c>
      <c r="H2209" s="21">
        <v>2194</v>
      </c>
      <c r="I2209" s="107">
        <v>0.66772581548943355</v>
      </c>
      <c r="J2209" s="108">
        <v>1.2904728501098692E-3</v>
      </c>
      <c r="K2209" s="108"/>
      <c r="L2209" s="108">
        <v>4.0399999999999998E-2</v>
      </c>
      <c r="O2209" s="105"/>
    </row>
    <row r="2210" spans="2:15" x14ac:dyDescent="0.2">
      <c r="B2210" s="1">
        <v>2195</v>
      </c>
      <c r="C2210" s="106">
        <f t="shared" ca="1" si="136"/>
        <v>0.19216280591905066</v>
      </c>
      <c r="D2210" s="106">
        <f t="shared" ca="1" si="137"/>
        <v>0.67721806777475002</v>
      </c>
      <c r="E2210" s="106">
        <f t="shared" ca="1" si="138"/>
        <v>0</v>
      </c>
      <c r="F2210" s="21">
        <f t="shared" ca="1" si="139"/>
        <v>0</v>
      </c>
      <c r="H2210" s="21">
        <v>2195</v>
      </c>
      <c r="I2210" s="107">
        <v>0.66764591153187636</v>
      </c>
      <c r="J2210" s="108">
        <v>1.1976293347942856E-3</v>
      </c>
      <c r="K2210" s="108"/>
      <c r="L2210" s="108">
        <v>3.9199999999999999E-2</v>
      </c>
      <c r="O2210" s="105"/>
    </row>
    <row r="2211" spans="2:15" x14ac:dyDescent="0.2">
      <c r="B2211" s="1">
        <v>2196</v>
      </c>
      <c r="C2211" s="106">
        <f t="shared" ca="1" si="136"/>
        <v>2.212143881511228E-2</v>
      </c>
      <c r="D2211" s="106">
        <f t="shared" ca="1" si="137"/>
        <v>0.66595375029871962</v>
      </c>
      <c r="E2211" s="106">
        <f t="shared" ca="1" si="138"/>
        <v>0</v>
      </c>
      <c r="F2211" s="21">
        <f t="shared" ca="1" si="139"/>
        <v>0</v>
      </c>
      <c r="H2211" s="21">
        <v>2196</v>
      </c>
      <c r="I2211" s="107">
        <v>0.66778641336764788</v>
      </c>
      <c r="J2211" s="108">
        <v>1.4370968168856545E-3</v>
      </c>
      <c r="K2211" s="108"/>
      <c r="L2211" s="108">
        <v>4.24E-2</v>
      </c>
      <c r="O2211" s="105"/>
    </row>
    <row r="2212" spans="2:15" x14ac:dyDescent="0.2">
      <c r="B2212" s="1">
        <v>2197</v>
      </c>
      <c r="C2212" s="106">
        <f t="shared" ca="1" si="136"/>
        <v>0.48933325162541946</v>
      </c>
      <c r="D2212" s="106">
        <f t="shared" ca="1" si="137"/>
        <v>0.69736337527175041</v>
      </c>
      <c r="E2212" s="106">
        <f t="shared" ca="1" si="138"/>
        <v>0</v>
      </c>
      <c r="F2212" s="21">
        <f t="shared" ca="1" si="139"/>
        <v>0</v>
      </c>
      <c r="H2212" s="21">
        <v>2197</v>
      </c>
      <c r="I2212" s="107">
        <v>0.6676888343402605</v>
      </c>
      <c r="J2212" s="108">
        <v>1.2785791653376921E-3</v>
      </c>
      <c r="K2212" s="108"/>
      <c r="L2212" s="108">
        <v>4.2200000000000001E-2</v>
      </c>
      <c r="O2212" s="105"/>
    </row>
    <row r="2213" spans="2:15" x14ac:dyDescent="0.2">
      <c r="B2213" s="1">
        <v>2198</v>
      </c>
      <c r="C2213" s="106">
        <f t="shared" ca="1" si="136"/>
        <v>-0.65429447216569103</v>
      </c>
      <c r="D2213" s="106">
        <f t="shared" ca="1" si="137"/>
        <v>0.62296956290552818</v>
      </c>
      <c r="E2213" s="106">
        <f t="shared" ca="1" si="138"/>
        <v>0</v>
      </c>
      <c r="F2213" s="21">
        <f t="shared" ca="1" si="139"/>
        <v>0</v>
      </c>
      <c r="H2213" s="21">
        <v>2198</v>
      </c>
      <c r="I2213" s="107">
        <v>0.66764313066097047</v>
      </c>
      <c r="J2213" s="108">
        <v>1.3137642432038599E-3</v>
      </c>
      <c r="K2213" s="108"/>
      <c r="L2213" s="108">
        <v>3.6600000000000001E-2</v>
      </c>
      <c r="O2213" s="105"/>
    </row>
    <row r="2214" spans="2:15" x14ac:dyDescent="0.2">
      <c r="B2214" s="1">
        <v>2199</v>
      </c>
      <c r="C2214" s="106">
        <f t="shared" ca="1" si="136"/>
        <v>-0.37626206306478532</v>
      </c>
      <c r="D2214" s="106">
        <f t="shared" ca="1" si="137"/>
        <v>0.64029124768357482</v>
      </c>
      <c r="E2214" s="106">
        <f t="shared" ca="1" si="138"/>
        <v>0</v>
      </c>
      <c r="F2214" s="21">
        <f t="shared" ca="1" si="139"/>
        <v>0</v>
      </c>
      <c r="H2214" s="21">
        <v>2199</v>
      </c>
      <c r="I2214" s="107">
        <v>0.66786696877799767</v>
      </c>
      <c r="J2214" s="108">
        <v>1.674114723718878E-3</v>
      </c>
      <c r="K2214" s="108"/>
      <c r="L2214" s="108">
        <v>4.4400000000000002E-2</v>
      </c>
      <c r="O2214" s="105"/>
    </row>
    <row r="2215" spans="2:15" x14ac:dyDescent="0.2">
      <c r="B2215" s="1">
        <v>2200</v>
      </c>
      <c r="C2215" s="106">
        <f t="shared" ca="1" si="136"/>
        <v>0.11135658717963617</v>
      </c>
      <c r="D2215" s="106">
        <f t="shared" ca="1" si="137"/>
        <v>0.67184153215763498</v>
      </c>
      <c r="E2215" s="106">
        <f t="shared" ca="1" si="138"/>
        <v>0</v>
      </c>
      <c r="F2215" s="21">
        <f t="shared" ca="1" si="139"/>
        <v>0</v>
      </c>
      <c r="H2215" s="21">
        <v>2200</v>
      </c>
      <c r="I2215" s="107">
        <v>0.66760004188105226</v>
      </c>
      <c r="J2215" s="108">
        <v>1.284557675624625E-3</v>
      </c>
      <c r="K2215" s="108"/>
      <c r="L2215" s="108">
        <v>3.56E-2</v>
      </c>
      <c r="O2215" s="105"/>
    </row>
    <row r="2216" spans="2:15" x14ac:dyDescent="0.2">
      <c r="B2216" s="1">
        <v>2201</v>
      </c>
      <c r="C2216" s="106">
        <f t="shared" ca="1" si="136"/>
        <v>-0.35151455381548102</v>
      </c>
      <c r="D2216" s="106">
        <f t="shared" ca="1" si="137"/>
        <v>0.6418561893477559</v>
      </c>
      <c r="E2216" s="106">
        <f t="shared" ca="1" si="138"/>
        <v>0</v>
      </c>
      <c r="F2216" s="21">
        <f t="shared" ca="1" si="139"/>
        <v>0</v>
      </c>
      <c r="H2216" s="21">
        <v>2201</v>
      </c>
      <c r="I2216" s="107">
        <v>0.66775511062011583</v>
      </c>
      <c r="J2216" s="108">
        <v>1.482608030363088E-3</v>
      </c>
      <c r="K2216" s="108"/>
      <c r="L2216" s="108">
        <v>4.2999999999999997E-2</v>
      </c>
      <c r="O2216" s="105"/>
    </row>
    <row r="2217" spans="2:15" x14ac:dyDescent="0.2">
      <c r="B2217" s="1">
        <v>2202</v>
      </c>
      <c r="C2217" s="106">
        <f t="shared" ca="1" si="136"/>
        <v>9.5177666815300835E-2</v>
      </c>
      <c r="D2217" s="106">
        <f t="shared" ca="1" si="137"/>
        <v>0.67077018854590909</v>
      </c>
      <c r="E2217" s="106">
        <f t="shared" ca="1" si="138"/>
        <v>0</v>
      </c>
      <c r="F2217" s="21">
        <f t="shared" ca="1" si="139"/>
        <v>0</v>
      </c>
      <c r="H2217" s="21">
        <v>2202</v>
      </c>
      <c r="I2217" s="107">
        <v>0.66775122712642299</v>
      </c>
      <c r="J2217" s="108">
        <v>1.421917585603022E-3</v>
      </c>
      <c r="K2217" s="108"/>
      <c r="L2217" s="108">
        <v>4.1000000000000002E-2</v>
      </c>
      <c r="O2217" s="105"/>
    </row>
    <row r="2218" spans="2:15" x14ac:dyDescent="0.2">
      <c r="B2218" s="1">
        <v>2203</v>
      </c>
      <c r="C2218" s="106">
        <f t="shared" ca="1" si="136"/>
        <v>0.18667051677007318</v>
      </c>
      <c r="D2218" s="106">
        <f t="shared" ca="1" si="137"/>
        <v>0.67685127295598246</v>
      </c>
      <c r="E2218" s="106">
        <f t="shared" ca="1" si="138"/>
        <v>0</v>
      </c>
      <c r="F2218" s="21">
        <f t="shared" ca="1" si="139"/>
        <v>0</v>
      </c>
      <c r="H2218" s="21">
        <v>2203</v>
      </c>
      <c r="I2218" s="107">
        <v>0.66757944175916339</v>
      </c>
      <c r="J2218" s="108">
        <v>1.2384574748147651E-3</v>
      </c>
      <c r="K2218" s="108"/>
      <c r="L2218" s="108">
        <v>3.9600000000000003E-2</v>
      </c>
      <c r="O2218" s="105"/>
    </row>
    <row r="2219" spans="2:15" x14ac:dyDescent="0.2">
      <c r="B2219" s="1">
        <v>2204</v>
      </c>
      <c r="C2219" s="106">
        <f t="shared" ca="1" si="136"/>
        <v>-0.77582113830832711</v>
      </c>
      <c r="D2219" s="106">
        <f t="shared" ca="1" si="137"/>
        <v>0.61554626568290804</v>
      </c>
      <c r="E2219" s="106">
        <f t="shared" ca="1" si="138"/>
        <v>0</v>
      </c>
      <c r="F2219" s="21">
        <f t="shared" ca="1" si="139"/>
        <v>0</v>
      </c>
      <c r="H2219" s="21">
        <v>2204</v>
      </c>
      <c r="I2219" s="107">
        <v>0.66791437055655112</v>
      </c>
      <c r="J2219" s="108">
        <v>1.6199414141274549E-3</v>
      </c>
      <c r="K2219" s="108"/>
      <c r="L2219" s="108">
        <v>5.0200000000000002E-2</v>
      </c>
      <c r="O2219" s="105"/>
    </row>
    <row r="2220" spans="2:15" x14ac:dyDescent="0.2">
      <c r="B2220" s="1">
        <v>2205</v>
      </c>
      <c r="C2220" s="106">
        <f t="shared" ca="1" si="136"/>
        <v>7.9001141816154551E-3</v>
      </c>
      <c r="D2220" s="106">
        <f t="shared" ca="1" si="137"/>
        <v>0.66502019845899041</v>
      </c>
      <c r="E2220" s="106">
        <f t="shared" ca="1" si="138"/>
        <v>0</v>
      </c>
      <c r="F2220" s="21">
        <f t="shared" ca="1" si="139"/>
        <v>0</v>
      </c>
      <c r="H2220" s="21">
        <v>2205</v>
      </c>
      <c r="I2220" s="107">
        <v>0.66771349759733001</v>
      </c>
      <c r="J2220" s="108">
        <v>1.2872823928225504E-3</v>
      </c>
      <c r="K2220" s="108"/>
      <c r="L2220" s="108">
        <v>3.8600000000000002E-2</v>
      </c>
      <c r="O2220" s="105"/>
    </row>
    <row r="2221" spans="2:15" x14ac:dyDescent="0.2">
      <c r="B2221" s="1">
        <v>2206</v>
      </c>
      <c r="C2221" s="106">
        <f t="shared" ca="1" si="136"/>
        <v>0.94810368033611636</v>
      </c>
      <c r="D2221" s="106">
        <f t="shared" ca="1" si="137"/>
        <v>0.72964662388733126</v>
      </c>
      <c r="E2221" s="106">
        <f t="shared" ca="1" si="138"/>
        <v>0</v>
      </c>
      <c r="F2221" s="21">
        <f t="shared" ca="1" si="139"/>
        <v>0</v>
      </c>
      <c r="H2221" s="21">
        <v>2206</v>
      </c>
      <c r="I2221" s="107">
        <v>0.66779887457786935</v>
      </c>
      <c r="J2221" s="108">
        <v>1.4707088436259643E-3</v>
      </c>
      <c r="K2221" s="108"/>
      <c r="L2221" s="108">
        <v>4.2999999999999997E-2</v>
      </c>
      <c r="O2221" s="105"/>
    </row>
    <row r="2222" spans="2:15" x14ac:dyDescent="0.2">
      <c r="B2222" s="1">
        <v>2207</v>
      </c>
      <c r="C2222" s="106">
        <f t="shared" ca="1" si="136"/>
        <v>-1.0100838798893865</v>
      </c>
      <c r="D2222" s="106">
        <f t="shared" ca="1" si="137"/>
        <v>0.60148531613172451</v>
      </c>
      <c r="E2222" s="106">
        <f t="shared" ca="1" si="138"/>
        <v>0</v>
      </c>
      <c r="F2222" s="21">
        <f t="shared" ca="1" si="139"/>
        <v>0</v>
      </c>
      <c r="H2222" s="21">
        <v>2207</v>
      </c>
      <c r="I2222" s="107">
        <v>0.66783058719865329</v>
      </c>
      <c r="J2222" s="108">
        <v>1.3312576654263843E-3</v>
      </c>
      <c r="K2222" s="108"/>
      <c r="L2222" s="108">
        <v>4.36E-2</v>
      </c>
      <c r="O2222" s="105"/>
    </row>
    <row r="2223" spans="2:15" x14ac:dyDescent="0.2">
      <c r="B2223" s="1">
        <v>2208</v>
      </c>
      <c r="C2223" s="106">
        <f t="shared" ca="1" si="136"/>
        <v>0.22508101562851485</v>
      </c>
      <c r="D2223" s="106">
        <f t="shared" ca="1" si="137"/>
        <v>0.67942063378675821</v>
      </c>
      <c r="E2223" s="106">
        <f t="shared" ca="1" si="138"/>
        <v>0</v>
      </c>
      <c r="F2223" s="21">
        <f t="shared" ca="1" si="139"/>
        <v>0</v>
      </c>
      <c r="H2223" s="21">
        <v>2208</v>
      </c>
      <c r="I2223" s="107">
        <v>0.66768609474314478</v>
      </c>
      <c r="J2223" s="108">
        <v>1.4133986542908578E-3</v>
      </c>
      <c r="K2223" s="108"/>
      <c r="L2223" s="108">
        <v>0.04</v>
      </c>
      <c r="O2223" s="105"/>
    </row>
    <row r="2224" spans="2:15" x14ac:dyDescent="0.2">
      <c r="B2224" s="1">
        <v>2209</v>
      </c>
      <c r="C2224" s="106">
        <f t="shared" ca="1" si="136"/>
        <v>1.693752766698267</v>
      </c>
      <c r="D2224" s="106">
        <f t="shared" ca="1" si="137"/>
        <v>0.78533639488630325</v>
      </c>
      <c r="E2224" s="106">
        <f t="shared" ca="1" si="138"/>
        <v>0</v>
      </c>
      <c r="F2224" s="21">
        <f t="shared" ca="1" si="139"/>
        <v>0</v>
      </c>
      <c r="H2224" s="21">
        <v>2209</v>
      </c>
      <c r="I2224" s="107">
        <v>0.66772908529876152</v>
      </c>
      <c r="J2224" s="108">
        <v>1.3323226192774398E-3</v>
      </c>
      <c r="K2224" s="108"/>
      <c r="L2224" s="108">
        <v>3.9199999999999999E-2</v>
      </c>
      <c r="O2224" s="105"/>
    </row>
    <row r="2225" spans="2:15" x14ac:dyDescent="0.2">
      <c r="B2225" s="1">
        <v>2210</v>
      </c>
      <c r="C2225" s="106">
        <f t="shared" ca="1" si="136"/>
        <v>1.785754286083399</v>
      </c>
      <c r="D2225" s="106">
        <f t="shared" ca="1" si="137"/>
        <v>0.79249587948707623</v>
      </c>
      <c r="E2225" s="106">
        <f t="shared" ca="1" si="138"/>
        <v>4.2958794870762151E-3</v>
      </c>
      <c r="F2225" s="21">
        <f t="shared" ca="1" si="139"/>
        <v>1</v>
      </c>
      <c r="H2225" s="21">
        <v>2210</v>
      </c>
      <c r="I2225" s="107">
        <v>0.66785358954823182</v>
      </c>
      <c r="J2225" s="108">
        <v>1.44184251436638E-3</v>
      </c>
      <c r="K2225" s="108"/>
      <c r="L2225" s="108">
        <v>4.3799999999999999E-2</v>
      </c>
      <c r="O2225" s="105"/>
    </row>
    <row r="2226" spans="2:15" x14ac:dyDescent="0.2">
      <c r="B2226" s="1">
        <v>2211</v>
      </c>
      <c r="C2226" s="106">
        <f t="shared" ca="1" si="136"/>
        <v>-0.54520064659573841</v>
      </c>
      <c r="D2226" s="106">
        <f t="shared" ca="1" si="137"/>
        <v>0.6297096382601014</v>
      </c>
      <c r="E2226" s="106">
        <f t="shared" ca="1" si="138"/>
        <v>0</v>
      </c>
      <c r="F2226" s="21">
        <f t="shared" ca="1" si="139"/>
        <v>0</v>
      </c>
      <c r="H2226" s="21">
        <v>2211</v>
      </c>
      <c r="I2226" s="107">
        <v>0.66755428415691054</v>
      </c>
      <c r="J2226" s="108">
        <v>1.114178568902867E-3</v>
      </c>
      <c r="K2226" s="108"/>
      <c r="L2226" s="108">
        <v>3.8800000000000001E-2</v>
      </c>
      <c r="O2226" s="105"/>
    </row>
    <row r="2227" spans="2:15" x14ac:dyDescent="0.2">
      <c r="B2227" s="1">
        <v>2212</v>
      </c>
      <c r="C2227" s="106">
        <f t="shared" ca="1" si="136"/>
        <v>1.5250335443122487</v>
      </c>
      <c r="D2227" s="106">
        <f t="shared" ca="1" si="137"/>
        <v>0.77237444647635967</v>
      </c>
      <c r="E2227" s="106">
        <f t="shared" ca="1" si="138"/>
        <v>0</v>
      </c>
      <c r="F2227" s="21">
        <f t="shared" ca="1" si="139"/>
        <v>0</v>
      </c>
      <c r="H2227" s="21">
        <v>2212</v>
      </c>
      <c r="I2227" s="107">
        <v>0.6677630043969609</v>
      </c>
      <c r="J2227" s="108">
        <v>1.4314792675294238E-3</v>
      </c>
      <c r="K2227" s="108"/>
      <c r="L2227" s="108">
        <v>3.9800000000000002E-2</v>
      </c>
      <c r="O2227" s="105"/>
    </row>
    <row r="2228" spans="2:15" x14ac:dyDescent="0.2">
      <c r="B2228" s="1">
        <v>2213</v>
      </c>
      <c r="C2228" s="106">
        <f t="shared" ca="1" si="136"/>
        <v>2.2371776973693964</v>
      </c>
      <c r="D2228" s="106">
        <f t="shared" ca="1" si="137"/>
        <v>0.82858241769259211</v>
      </c>
      <c r="E2228" s="106">
        <f t="shared" ca="1" si="138"/>
        <v>4.0382417692592099E-2</v>
      </c>
      <c r="F2228" s="21">
        <f t="shared" ca="1" si="139"/>
        <v>1</v>
      </c>
      <c r="H2228" s="21">
        <v>2213</v>
      </c>
      <c r="I2228" s="107">
        <v>0.66776101124859688</v>
      </c>
      <c r="J2228" s="108">
        <v>1.4268364379442142E-3</v>
      </c>
      <c r="K2228" s="108"/>
      <c r="L2228" s="108">
        <v>4.4600000000000001E-2</v>
      </c>
      <c r="O2228" s="105"/>
    </row>
    <row r="2229" spans="2:15" x14ac:dyDescent="0.2">
      <c r="B2229" s="1">
        <v>2214</v>
      </c>
      <c r="C2229" s="106">
        <f t="shared" ca="1" si="136"/>
        <v>0.2874760197333211</v>
      </c>
      <c r="D2229" s="106">
        <f t="shared" ca="1" si="137"/>
        <v>0.68361517646553815</v>
      </c>
      <c r="E2229" s="106">
        <f t="shared" ca="1" si="138"/>
        <v>0</v>
      </c>
      <c r="F2229" s="21">
        <f t="shared" ca="1" si="139"/>
        <v>0</v>
      </c>
      <c r="H2229" s="21">
        <v>2214</v>
      </c>
      <c r="I2229" s="107">
        <v>0.66780437470203036</v>
      </c>
      <c r="J2229" s="108">
        <v>1.4173296745730631E-3</v>
      </c>
      <c r="K2229" s="108"/>
      <c r="L2229" s="108">
        <v>4.5999999999999999E-2</v>
      </c>
      <c r="O2229" s="105"/>
    </row>
    <row r="2230" spans="2:15" x14ac:dyDescent="0.2">
      <c r="B2230" s="1">
        <v>2215</v>
      </c>
      <c r="C2230" s="106">
        <f t="shared" ca="1" si="136"/>
        <v>0.51535780919800622</v>
      </c>
      <c r="D2230" s="106">
        <f t="shared" ca="1" si="137"/>
        <v>0.69915587437873061</v>
      </c>
      <c r="E2230" s="106">
        <f t="shared" ca="1" si="138"/>
        <v>0</v>
      </c>
      <c r="F2230" s="21">
        <f t="shared" ca="1" si="139"/>
        <v>0</v>
      </c>
      <c r="H2230" s="21">
        <v>2215</v>
      </c>
      <c r="I2230" s="107">
        <v>0.66766533915539494</v>
      </c>
      <c r="J2230" s="108">
        <v>1.2033509909130855E-3</v>
      </c>
      <c r="K2230" s="108"/>
      <c r="L2230" s="108">
        <v>4.02E-2</v>
      </c>
      <c r="O2230" s="105"/>
    </row>
    <row r="2231" spans="2:15" x14ac:dyDescent="0.2">
      <c r="B2231" s="1">
        <v>2216</v>
      </c>
      <c r="C2231" s="106">
        <f t="shared" ca="1" si="136"/>
        <v>0.49171201773739959</v>
      </c>
      <c r="D2231" s="106">
        <f t="shared" ca="1" si="137"/>
        <v>0.69752702705121972</v>
      </c>
      <c r="E2231" s="106">
        <f t="shared" ca="1" si="138"/>
        <v>0</v>
      </c>
      <c r="F2231" s="21">
        <f t="shared" ca="1" si="139"/>
        <v>0</v>
      </c>
      <c r="H2231" s="21">
        <v>2216</v>
      </c>
      <c r="I2231" s="107">
        <v>0.667722842651992</v>
      </c>
      <c r="J2231" s="108">
        <v>1.3936772198520114E-3</v>
      </c>
      <c r="K2231" s="108"/>
      <c r="L2231" s="108">
        <v>4.1399999999999999E-2</v>
      </c>
      <c r="O2231" s="105"/>
    </row>
    <row r="2232" spans="2:15" x14ac:dyDescent="0.2">
      <c r="B2232" s="1">
        <v>2217</v>
      </c>
      <c r="C2232" s="106">
        <f t="shared" ca="1" si="136"/>
        <v>1.0424671902991243</v>
      </c>
      <c r="D2232" s="106">
        <f t="shared" ca="1" si="137"/>
        <v>0.73646998521457774</v>
      </c>
      <c r="E2232" s="106">
        <f t="shared" ca="1" si="138"/>
        <v>0</v>
      </c>
      <c r="F2232" s="21">
        <f t="shared" ca="1" si="139"/>
        <v>0</v>
      </c>
      <c r="H2232" s="21">
        <v>2217</v>
      </c>
      <c r="I2232" s="107">
        <v>0.66779143495110682</v>
      </c>
      <c r="J2232" s="108">
        <v>1.4671669909808039E-3</v>
      </c>
      <c r="K2232" s="108"/>
      <c r="L2232" s="108">
        <v>4.1599999999999998E-2</v>
      </c>
      <c r="O2232" s="105"/>
    </row>
    <row r="2233" spans="2:15" x14ac:dyDescent="0.2">
      <c r="B2233" s="1">
        <v>2218</v>
      </c>
      <c r="C2233" s="106">
        <f t="shared" ca="1" si="136"/>
        <v>-1.0642895911475965</v>
      </c>
      <c r="D2233" s="106">
        <f t="shared" ca="1" si="137"/>
        <v>0.59827780313150025</v>
      </c>
      <c r="E2233" s="106">
        <f t="shared" ca="1" si="138"/>
        <v>0</v>
      </c>
      <c r="F2233" s="21">
        <f t="shared" ca="1" si="139"/>
        <v>0</v>
      </c>
      <c r="H2233" s="21">
        <v>2218</v>
      </c>
      <c r="I2233" s="107">
        <v>0.66765640140662297</v>
      </c>
      <c r="J2233" s="108">
        <v>1.2324327167314768E-3</v>
      </c>
      <c r="K2233" s="108"/>
      <c r="L2233" s="108">
        <v>3.6799999999999999E-2</v>
      </c>
      <c r="O2233" s="105"/>
    </row>
    <row r="2234" spans="2:15" x14ac:dyDescent="0.2">
      <c r="B2234" s="1">
        <v>2219</v>
      </c>
      <c r="C2234" s="106">
        <f t="shared" ca="1" si="136"/>
        <v>5.4156887957054346E-2</v>
      </c>
      <c r="D2234" s="106">
        <f t="shared" ca="1" si="137"/>
        <v>0.66806150543861986</v>
      </c>
      <c r="E2234" s="106">
        <f t="shared" ca="1" si="138"/>
        <v>0</v>
      </c>
      <c r="F2234" s="21">
        <f t="shared" ca="1" si="139"/>
        <v>0</v>
      </c>
      <c r="H2234" s="21">
        <v>2219</v>
      </c>
      <c r="I2234" s="107">
        <v>0.66786126791057754</v>
      </c>
      <c r="J2234" s="108">
        <v>1.5764425338950824E-3</v>
      </c>
      <c r="K2234" s="108"/>
      <c r="L2234" s="108">
        <v>4.3799999999999999E-2</v>
      </c>
      <c r="O2234" s="105"/>
    </row>
    <row r="2235" spans="2:15" x14ac:dyDescent="0.2">
      <c r="B2235" s="1">
        <v>2220</v>
      </c>
      <c r="C2235" s="106">
        <f t="shared" ca="1" si="136"/>
        <v>0.28257297194578779</v>
      </c>
      <c r="D2235" s="106">
        <f t="shared" ca="1" si="137"/>
        <v>0.68328463061866107</v>
      </c>
      <c r="E2235" s="106">
        <f t="shared" ca="1" si="138"/>
        <v>0</v>
      </c>
      <c r="F2235" s="21">
        <f t="shared" ca="1" si="139"/>
        <v>0</v>
      </c>
      <c r="H2235" s="21">
        <v>2220</v>
      </c>
      <c r="I2235" s="107">
        <v>0.66788953872960999</v>
      </c>
      <c r="J2235" s="108">
        <v>1.4338796251369313E-3</v>
      </c>
      <c r="K2235" s="108"/>
      <c r="L2235" s="108">
        <v>4.58E-2</v>
      </c>
      <c r="O2235" s="105"/>
    </row>
    <row r="2236" spans="2:15" x14ac:dyDescent="0.2">
      <c r="B2236" s="1">
        <v>2221</v>
      </c>
      <c r="C2236" s="106">
        <f t="shared" ca="1" si="136"/>
        <v>0.61123200012730827</v>
      </c>
      <c r="D2236" s="106">
        <f t="shared" ca="1" si="137"/>
        <v>0.70579926574441387</v>
      </c>
      <c r="E2236" s="106">
        <f t="shared" ca="1" si="138"/>
        <v>0</v>
      </c>
      <c r="F2236" s="21">
        <f t="shared" ca="1" si="139"/>
        <v>0</v>
      </c>
      <c r="H2236" s="21">
        <v>2221</v>
      </c>
      <c r="I2236" s="107">
        <v>0.66790393065806841</v>
      </c>
      <c r="J2236" s="108">
        <v>1.5005274056193057E-3</v>
      </c>
      <c r="K2236" s="108"/>
      <c r="L2236" s="108">
        <v>4.6399999999999997E-2</v>
      </c>
      <c r="O2236" s="105"/>
    </row>
    <row r="2237" spans="2:15" x14ac:dyDescent="0.2">
      <c r="B2237" s="1">
        <v>2222</v>
      </c>
      <c r="C2237" s="106">
        <f t="shared" ca="1" si="136"/>
        <v>-0.77198945918833672</v>
      </c>
      <c r="D2237" s="106">
        <f t="shared" ca="1" si="137"/>
        <v>0.6157789626966701</v>
      </c>
      <c r="E2237" s="106">
        <f t="shared" ca="1" si="138"/>
        <v>0</v>
      </c>
      <c r="F2237" s="21">
        <f t="shared" ca="1" si="139"/>
        <v>0</v>
      </c>
      <c r="H2237" s="21">
        <v>2222</v>
      </c>
      <c r="I2237" s="107">
        <v>0.66789006674712526</v>
      </c>
      <c r="J2237" s="108">
        <v>1.4707128416002436E-3</v>
      </c>
      <c r="K2237" s="108"/>
      <c r="L2237" s="108">
        <v>4.3999999999999997E-2</v>
      </c>
      <c r="O2237" s="105"/>
    </row>
    <row r="2238" spans="2:15" x14ac:dyDescent="0.2">
      <c r="B2238" s="1">
        <v>2223</v>
      </c>
      <c r="C2238" s="106">
        <f t="shared" ca="1" si="136"/>
        <v>1.7004391570448723</v>
      </c>
      <c r="D2238" s="106">
        <f t="shared" ca="1" si="137"/>
        <v>0.78585453782055659</v>
      </c>
      <c r="E2238" s="106">
        <f t="shared" ca="1" si="138"/>
        <v>0</v>
      </c>
      <c r="F2238" s="21">
        <f t="shared" ca="1" si="139"/>
        <v>0</v>
      </c>
      <c r="H2238" s="21">
        <v>2223</v>
      </c>
      <c r="I2238" s="107">
        <v>0.66774021878138934</v>
      </c>
      <c r="J2238" s="108">
        <v>1.3990650509528605E-3</v>
      </c>
      <c r="K2238" s="108"/>
      <c r="L2238" s="108">
        <v>4.02E-2</v>
      </c>
      <c r="O2238" s="105"/>
    </row>
    <row r="2239" spans="2:15" x14ac:dyDescent="0.2">
      <c r="B2239" s="1">
        <v>2224</v>
      </c>
      <c r="C2239" s="106">
        <f t="shared" ca="1" si="136"/>
        <v>-1.1777885232940246</v>
      </c>
      <c r="D2239" s="106">
        <f t="shared" ca="1" si="137"/>
        <v>0.59161702876123456</v>
      </c>
      <c r="E2239" s="106">
        <f t="shared" ca="1" si="138"/>
        <v>0</v>
      </c>
      <c r="F2239" s="21">
        <f t="shared" ca="1" si="139"/>
        <v>0</v>
      </c>
      <c r="H2239" s="21">
        <v>2224</v>
      </c>
      <c r="I2239" s="107">
        <v>0.66768552339362575</v>
      </c>
      <c r="J2239" s="108">
        <v>1.2664569939693626E-3</v>
      </c>
      <c r="K2239" s="108"/>
      <c r="L2239" s="108">
        <v>4.1399999999999999E-2</v>
      </c>
      <c r="O2239" s="105"/>
    </row>
    <row r="2240" spans="2:15" x14ac:dyDescent="0.2">
      <c r="B2240" s="1">
        <v>2225</v>
      </c>
      <c r="C2240" s="106">
        <f t="shared" ca="1" si="136"/>
        <v>-0.86384279344751458</v>
      </c>
      <c r="D2240" s="106">
        <f t="shared" ca="1" si="137"/>
        <v>0.61022487555332627</v>
      </c>
      <c r="E2240" s="106">
        <f t="shared" ca="1" si="138"/>
        <v>0</v>
      </c>
      <c r="F2240" s="21">
        <f t="shared" ca="1" si="139"/>
        <v>0</v>
      </c>
      <c r="H2240" s="21">
        <v>2225</v>
      </c>
      <c r="I2240" s="107">
        <v>0.66781487166265485</v>
      </c>
      <c r="J2240" s="108">
        <v>1.4928918973935027E-3</v>
      </c>
      <c r="K2240" s="108"/>
      <c r="L2240" s="108">
        <v>4.3400000000000001E-2</v>
      </c>
      <c r="O2240" s="105"/>
    </row>
    <row r="2241" spans="2:15" x14ac:dyDescent="0.2">
      <c r="B2241" s="1">
        <v>2226</v>
      </c>
      <c r="C2241" s="106">
        <f t="shared" ca="1" si="136"/>
        <v>1.8476630263338354</v>
      </c>
      <c r="D2241" s="106">
        <f t="shared" ca="1" si="137"/>
        <v>0.79735026900469752</v>
      </c>
      <c r="E2241" s="106">
        <f t="shared" ca="1" si="138"/>
        <v>9.1502690046975088E-3</v>
      </c>
      <c r="F2241" s="21">
        <f t="shared" ca="1" si="139"/>
        <v>1</v>
      </c>
      <c r="H2241" s="21">
        <v>2226</v>
      </c>
      <c r="I2241" s="107">
        <v>0.66790198588456118</v>
      </c>
      <c r="J2241" s="108">
        <v>1.480284751134026E-3</v>
      </c>
      <c r="K2241" s="108"/>
      <c r="L2241" s="108">
        <v>4.8599999999999997E-2</v>
      </c>
      <c r="O2241" s="105"/>
    </row>
    <row r="2242" spans="2:15" x14ac:dyDescent="0.2">
      <c r="B2242" s="1">
        <v>2227</v>
      </c>
      <c r="C2242" s="106">
        <f t="shared" ca="1" si="136"/>
        <v>7.0336738603695048E-2</v>
      </c>
      <c r="D2242" s="106">
        <f t="shared" ca="1" si="137"/>
        <v>0.66912858418632226</v>
      </c>
      <c r="E2242" s="106">
        <f t="shared" ca="1" si="138"/>
        <v>0</v>
      </c>
      <c r="F2242" s="21">
        <f t="shared" ca="1" si="139"/>
        <v>0</v>
      </c>
      <c r="H2242" s="21">
        <v>2227</v>
      </c>
      <c r="I2242" s="107">
        <v>0.66765902013098821</v>
      </c>
      <c r="J2242" s="108">
        <v>1.1448833810939988E-3</v>
      </c>
      <c r="K2242" s="108"/>
      <c r="L2242" s="108">
        <v>3.7600000000000001E-2</v>
      </c>
      <c r="O2242" s="105"/>
    </row>
    <row r="2243" spans="2:15" x14ac:dyDescent="0.2">
      <c r="B2243" s="1">
        <v>2228</v>
      </c>
      <c r="C2243" s="106">
        <f t="shared" ca="1" si="136"/>
        <v>-1.3260790910758373</v>
      </c>
      <c r="D2243" s="106">
        <f t="shared" ca="1" si="137"/>
        <v>0.58302608990107729</v>
      </c>
      <c r="E2243" s="106">
        <f t="shared" ca="1" si="138"/>
        <v>0</v>
      </c>
      <c r="F2243" s="21">
        <f t="shared" ca="1" si="139"/>
        <v>0</v>
      </c>
      <c r="H2243" s="21">
        <v>2228</v>
      </c>
      <c r="I2243" s="107">
        <v>0.66775946764414829</v>
      </c>
      <c r="J2243" s="108">
        <v>1.3247744665196232E-3</v>
      </c>
      <c r="K2243" s="108"/>
      <c r="L2243" s="108">
        <v>4.1000000000000002E-2</v>
      </c>
      <c r="O2243" s="105"/>
    </row>
    <row r="2244" spans="2:15" x14ac:dyDescent="0.2">
      <c r="B2244" s="1">
        <v>2229</v>
      </c>
      <c r="C2244" s="106">
        <f t="shared" ca="1" si="136"/>
        <v>-5.9269452023354499E-2</v>
      </c>
      <c r="D2244" s="106">
        <f t="shared" ca="1" si="137"/>
        <v>0.66062854236730539</v>
      </c>
      <c r="E2244" s="106">
        <f t="shared" ca="1" si="138"/>
        <v>0</v>
      </c>
      <c r="F2244" s="21">
        <f t="shared" ca="1" si="139"/>
        <v>0</v>
      </c>
      <c r="H2244" s="21">
        <v>2229</v>
      </c>
      <c r="I2244" s="107">
        <v>0.66753416524189613</v>
      </c>
      <c r="J2244" s="108">
        <v>1.0875246308408196E-3</v>
      </c>
      <c r="K2244" s="108"/>
      <c r="L2244" s="108">
        <v>3.8399999999999997E-2</v>
      </c>
      <c r="O2244" s="105"/>
    </row>
    <row r="2245" spans="2:15" x14ac:dyDescent="0.2">
      <c r="B2245" s="1">
        <v>2230</v>
      </c>
      <c r="C2245" s="106">
        <f t="shared" ca="1" si="136"/>
        <v>-1.2037576178032889</v>
      </c>
      <c r="D2245" s="106">
        <f t="shared" ca="1" si="137"/>
        <v>0.59010346666836333</v>
      </c>
      <c r="E2245" s="106">
        <f t="shared" ca="1" si="138"/>
        <v>0</v>
      </c>
      <c r="F2245" s="21">
        <f t="shared" ca="1" si="139"/>
        <v>0</v>
      </c>
      <c r="H2245" s="21">
        <v>2230</v>
      </c>
      <c r="I2245" s="107">
        <v>0.66782975782797105</v>
      </c>
      <c r="J2245" s="108">
        <v>1.4773891997749494E-3</v>
      </c>
      <c r="K2245" s="108"/>
      <c r="L2245" s="108">
        <v>4.3200000000000002E-2</v>
      </c>
      <c r="O2245" s="105"/>
    </row>
    <row r="2246" spans="2:15" x14ac:dyDescent="0.2">
      <c r="B2246" s="1">
        <v>2231</v>
      </c>
      <c r="C2246" s="106">
        <f t="shared" ca="1" si="136"/>
        <v>0.92334127034095803</v>
      </c>
      <c r="D2246" s="106">
        <f t="shared" ca="1" si="137"/>
        <v>0.72786656613529732</v>
      </c>
      <c r="E2246" s="106">
        <f t="shared" ca="1" si="138"/>
        <v>0</v>
      </c>
      <c r="F2246" s="21">
        <f t="shared" ca="1" si="139"/>
        <v>0</v>
      </c>
      <c r="H2246" s="21">
        <v>2231</v>
      </c>
      <c r="I2246" s="107">
        <v>0.6676220264930417</v>
      </c>
      <c r="J2246" s="108">
        <v>1.2466826243429027E-3</v>
      </c>
      <c r="K2246" s="108"/>
      <c r="L2246" s="108">
        <v>4.24E-2</v>
      </c>
      <c r="O2246" s="105"/>
    </row>
    <row r="2247" spans="2:15" x14ac:dyDescent="0.2">
      <c r="B2247" s="1">
        <v>2232</v>
      </c>
      <c r="C2247" s="106">
        <f t="shared" ca="1" si="136"/>
        <v>0.83336694623957797</v>
      </c>
      <c r="D2247" s="106">
        <f t="shared" ca="1" si="137"/>
        <v>0.72143519654913979</v>
      </c>
      <c r="E2247" s="106">
        <f t="shared" ca="1" si="138"/>
        <v>0</v>
      </c>
      <c r="F2247" s="21">
        <f t="shared" ca="1" si="139"/>
        <v>0</v>
      </c>
      <c r="H2247" s="21">
        <v>2232</v>
      </c>
      <c r="I2247" s="107">
        <v>0.66776918159377563</v>
      </c>
      <c r="J2247" s="108">
        <v>1.3946991673635361E-3</v>
      </c>
      <c r="K2247" s="108"/>
      <c r="L2247" s="108">
        <v>4.2200000000000001E-2</v>
      </c>
      <c r="O2247" s="105"/>
    </row>
    <row r="2248" spans="2:15" x14ac:dyDescent="0.2">
      <c r="B2248" s="1">
        <v>2233</v>
      </c>
      <c r="C2248" s="106">
        <f t="shared" ca="1" si="136"/>
        <v>6.6840026925111429E-2</v>
      </c>
      <c r="D2248" s="106">
        <f t="shared" ca="1" si="137"/>
        <v>0.6688978279690575</v>
      </c>
      <c r="E2248" s="106">
        <f t="shared" ca="1" si="138"/>
        <v>0</v>
      </c>
      <c r="F2248" s="21">
        <f t="shared" ca="1" si="139"/>
        <v>0</v>
      </c>
      <c r="H2248" s="21">
        <v>2233</v>
      </c>
      <c r="I2248" s="107">
        <v>0.66765289951619999</v>
      </c>
      <c r="J2248" s="108">
        <v>1.29816683370942E-3</v>
      </c>
      <c r="K2248" s="108"/>
      <c r="L2248" s="108">
        <v>3.6600000000000001E-2</v>
      </c>
      <c r="O2248" s="105"/>
    </row>
    <row r="2249" spans="2:15" x14ac:dyDescent="0.2">
      <c r="B2249" s="1">
        <v>2234</v>
      </c>
      <c r="C2249" s="106">
        <f t="shared" ca="1" si="136"/>
        <v>-1.1444552110830986</v>
      </c>
      <c r="D2249" s="106">
        <f t="shared" ca="1" si="137"/>
        <v>0.59356549202319264</v>
      </c>
      <c r="E2249" s="106">
        <f t="shared" ca="1" si="138"/>
        <v>0</v>
      </c>
      <c r="F2249" s="21">
        <f t="shared" ca="1" si="139"/>
        <v>0</v>
      </c>
      <c r="H2249" s="21">
        <v>2234</v>
      </c>
      <c r="I2249" s="107">
        <v>0.66778048696418868</v>
      </c>
      <c r="J2249" s="108">
        <v>1.4422123862506866E-3</v>
      </c>
      <c r="K2249" s="108"/>
      <c r="L2249" s="108">
        <v>4.4200000000000003E-2</v>
      </c>
      <c r="O2249" s="105"/>
    </row>
    <row r="2250" spans="2:15" x14ac:dyDescent="0.2">
      <c r="B2250" s="1">
        <v>2235</v>
      </c>
      <c r="C2250" s="106">
        <f t="shared" ca="1" si="136"/>
        <v>-2.1503676899088249</v>
      </c>
      <c r="D2250" s="106">
        <f t="shared" ca="1" si="137"/>
        <v>0.53749691274930267</v>
      </c>
      <c r="E2250" s="106">
        <f t="shared" ca="1" si="138"/>
        <v>0</v>
      </c>
      <c r="F2250" s="21">
        <f t="shared" ca="1" si="139"/>
        <v>0</v>
      </c>
      <c r="H2250" s="21">
        <v>2235</v>
      </c>
      <c r="I2250" s="107">
        <v>0.66775737344103758</v>
      </c>
      <c r="J2250" s="108">
        <v>1.4458263619474218E-3</v>
      </c>
      <c r="K2250" s="108"/>
      <c r="L2250" s="108">
        <v>4.36E-2</v>
      </c>
      <c r="O2250" s="105"/>
    </row>
    <row r="2251" spans="2:15" x14ac:dyDescent="0.2">
      <c r="B2251" s="1">
        <v>2236</v>
      </c>
      <c r="C2251" s="106">
        <f t="shared" ca="1" si="136"/>
        <v>0.49419069752829126</v>
      </c>
      <c r="D2251" s="106">
        <f t="shared" ca="1" si="137"/>
        <v>0.69769759344210924</v>
      </c>
      <c r="E2251" s="106">
        <f t="shared" ca="1" si="138"/>
        <v>0</v>
      </c>
      <c r="F2251" s="21">
        <f t="shared" ca="1" si="139"/>
        <v>0</v>
      </c>
      <c r="H2251" s="21">
        <v>2236</v>
      </c>
      <c r="I2251" s="107">
        <v>0.66765271978516216</v>
      </c>
      <c r="J2251" s="108">
        <v>1.3686358777832484E-3</v>
      </c>
      <c r="K2251" s="108"/>
      <c r="L2251" s="108">
        <v>4.02E-2</v>
      </c>
      <c r="O2251" s="105"/>
    </row>
    <row r="2252" spans="2:15" x14ac:dyDescent="0.2">
      <c r="B2252" s="1">
        <v>2237</v>
      </c>
      <c r="C2252" s="106">
        <f t="shared" ca="1" si="136"/>
        <v>-0.43702221224797427</v>
      </c>
      <c r="D2252" s="106">
        <f t="shared" ca="1" si="137"/>
        <v>0.63646516383017127</v>
      </c>
      <c r="E2252" s="106">
        <f t="shared" ca="1" si="138"/>
        <v>0</v>
      </c>
      <c r="F2252" s="21">
        <f t="shared" ca="1" si="139"/>
        <v>0</v>
      </c>
      <c r="H2252" s="21">
        <v>2237</v>
      </c>
      <c r="I2252" s="107">
        <v>0.66777414230842147</v>
      </c>
      <c r="J2252" s="108">
        <v>1.4462134712280193E-3</v>
      </c>
      <c r="K2252" s="108"/>
      <c r="L2252" s="108">
        <v>4.1399999999999999E-2</v>
      </c>
      <c r="O2252" s="105"/>
    </row>
    <row r="2253" spans="2:15" x14ac:dyDescent="0.2">
      <c r="B2253" s="1">
        <v>2238</v>
      </c>
      <c r="C2253" s="106">
        <f t="shared" ca="1" si="136"/>
        <v>-0.86348349065737418</v>
      </c>
      <c r="D2253" s="106">
        <f t="shared" ca="1" si="137"/>
        <v>0.61024650358983656</v>
      </c>
      <c r="E2253" s="106">
        <f t="shared" ca="1" si="138"/>
        <v>0</v>
      </c>
      <c r="F2253" s="21">
        <f t="shared" ca="1" si="139"/>
        <v>0</v>
      </c>
      <c r="H2253" s="21">
        <v>2238</v>
      </c>
      <c r="I2253" s="107">
        <v>0.6677241218715495</v>
      </c>
      <c r="J2253" s="108">
        <v>1.3187168824366606E-3</v>
      </c>
      <c r="K2253" s="108"/>
      <c r="L2253" s="108">
        <v>4.1200000000000001E-2</v>
      </c>
      <c r="O2253" s="105"/>
    </row>
    <row r="2254" spans="2:15" x14ac:dyDescent="0.2">
      <c r="B2254" s="1">
        <v>2239</v>
      </c>
      <c r="C2254" s="106">
        <f t="shared" ca="1" si="136"/>
        <v>-1.8422324916466002</v>
      </c>
      <c r="D2254" s="106">
        <f t="shared" ca="1" si="137"/>
        <v>0.55408487597022771</v>
      </c>
      <c r="E2254" s="106">
        <f t="shared" ca="1" si="138"/>
        <v>0</v>
      </c>
      <c r="F2254" s="21">
        <f t="shared" ca="1" si="139"/>
        <v>0</v>
      </c>
      <c r="H2254" s="21">
        <v>2239</v>
      </c>
      <c r="I2254" s="107">
        <v>0.66772687770764827</v>
      </c>
      <c r="J2254" s="108">
        <v>1.2615088836785235E-3</v>
      </c>
      <c r="K2254" s="108"/>
      <c r="L2254" s="108">
        <v>4.2599999999999999E-2</v>
      </c>
      <c r="O2254" s="105"/>
    </row>
    <row r="2255" spans="2:15" x14ac:dyDescent="0.2">
      <c r="B2255" s="1">
        <v>2240</v>
      </c>
      <c r="C2255" s="106">
        <f t="shared" ca="1" si="136"/>
        <v>-1.2014000351215601</v>
      </c>
      <c r="D2255" s="106">
        <f t="shared" ca="1" si="137"/>
        <v>0.59024071418623236</v>
      </c>
      <c r="E2255" s="106">
        <f t="shared" ca="1" si="138"/>
        <v>0</v>
      </c>
      <c r="F2255" s="21">
        <f t="shared" ca="1" si="139"/>
        <v>0</v>
      </c>
      <c r="H2255" s="21">
        <v>2240</v>
      </c>
      <c r="I2255" s="107">
        <v>0.6675090884912992</v>
      </c>
      <c r="J2255" s="108">
        <v>1.078557729189709E-3</v>
      </c>
      <c r="K2255" s="108"/>
      <c r="L2255" s="108">
        <v>3.7199999999999997E-2</v>
      </c>
      <c r="O2255" s="105"/>
    </row>
    <row r="2256" spans="2:15" x14ac:dyDescent="0.2">
      <c r="B2256" s="1">
        <v>2241</v>
      </c>
      <c r="C2256" s="106">
        <f t="shared" ref="C2256:C2319" ca="1" si="140">_xlfn.NORM.S.INV(RAND())</f>
        <v>0.74883622976894793</v>
      </c>
      <c r="D2256" s="106">
        <f t="shared" ref="D2256:D2319" ca="1" si="141">S0*EXP((μ-0.5*σ*σ)*T+σ*SQRT(T)*$C2256)</f>
        <v>0.71544471943613752</v>
      </c>
      <c r="E2256" s="106">
        <f t="shared" ref="E2256:E2319" ca="1" si="142">MAX(0,CP*(D2256-K))</f>
        <v>0</v>
      </c>
      <c r="F2256" s="21">
        <f t="shared" ref="F2256:F2319" ca="1" si="143">(CP*(D2256-K)&gt;0)*1</f>
        <v>0</v>
      </c>
      <c r="H2256" s="21">
        <v>2241</v>
      </c>
      <c r="I2256" s="107">
        <v>0.6677159797040918</v>
      </c>
      <c r="J2256" s="108">
        <v>1.322517161939752E-3</v>
      </c>
      <c r="K2256" s="108"/>
      <c r="L2256" s="108">
        <v>4.0399999999999998E-2</v>
      </c>
      <c r="O2256" s="105"/>
    </row>
    <row r="2257" spans="2:15" x14ac:dyDescent="0.2">
      <c r="B2257" s="1">
        <v>2242</v>
      </c>
      <c r="C2257" s="106">
        <f t="shared" ca="1" si="140"/>
        <v>-0.11477885930425885</v>
      </c>
      <c r="D2257" s="106">
        <f t="shared" ca="1" si="141"/>
        <v>0.65702114177511561</v>
      </c>
      <c r="E2257" s="106">
        <f t="shared" ca="1" si="142"/>
        <v>0</v>
      </c>
      <c r="F2257" s="21">
        <f t="shared" ca="1" si="143"/>
        <v>0</v>
      </c>
      <c r="H2257" s="21">
        <v>2242</v>
      </c>
      <c r="I2257" s="107">
        <v>0.66770855918268668</v>
      </c>
      <c r="J2257" s="108">
        <v>1.3135717901500579E-3</v>
      </c>
      <c r="K2257" s="108"/>
      <c r="L2257" s="108">
        <v>4.2000000000000003E-2</v>
      </c>
      <c r="O2257" s="105"/>
    </row>
    <row r="2258" spans="2:15" x14ac:dyDescent="0.2">
      <c r="B2258" s="1">
        <v>2243</v>
      </c>
      <c r="C2258" s="106">
        <f t="shared" ca="1" si="140"/>
        <v>-0.7343668338914936</v>
      </c>
      <c r="D2258" s="106">
        <f t="shared" ca="1" si="141"/>
        <v>0.61806845379787712</v>
      </c>
      <c r="E2258" s="106">
        <f t="shared" ca="1" si="142"/>
        <v>0</v>
      </c>
      <c r="F2258" s="21">
        <f t="shared" ca="1" si="143"/>
        <v>0</v>
      </c>
      <c r="H2258" s="21">
        <v>2243</v>
      </c>
      <c r="I2258" s="107">
        <v>0.66766323168390374</v>
      </c>
      <c r="J2258" s="108">
        <v>1.235512689524191E-3</v>
      </c>
      <c r="K2258" s="108"/>
      <c r="L2258" s="108">
        <v>4.3200000000000002E-2</v>
      </c>
      <c r="O2258" s="105"/>
    </row>
    <row r="2259" spans="2:15" x14ac:dyDescent="0.2">
      <c r="B2259" s="1">
        <v>2244</v>
      </c>
      <c r="C2259" s="106">
        <f t="shared" ca="1" si="140"/>
        <v>-4.6967036701555734E-2</v>
      </c>
      <c r="D2259" s="106">
        <f t="shared" ca="1" si="141"/>
        <v>0.66143071928114094</v>
      </c>
      <c r="E2259" s="106">
        <f t="shared" ca="1" si="142"/>
        <v>0</v>
      </c>
      <c r="F2259" s="21">
        <f t="shared" ca="1" si="143"/>
        <v>0</v>
      </c>
      <c r="H2259" s="21">
        <v>2244</v>
      </c>
      <c r="I2259" s="107">
        <v>0.66776019791394758</v>
      </c>
      <c r="J2259" s="108">
        <v>1.3430331936255624E-3</v>
      </c>
      <c r="K2259" s="108"/>
      <c r="L2259" s="108">
        <v>4.2999999999999997E-2</v>
      </c>
      <c r="O2259" s="105"/>
    </row>
    <row r="2260" spans="2:15" x14ac:dyDescent="0.2">
      <c r="B2260" s="1">
        <v>2245</v>
      </c>
      <c r="C2260" s="106">
        <f t="shared" ca="1" si="140"/>
        <v>-0.56787396983835781</v>
      </c>
      <c r="D2260" s="106">
        <f t="shared" ca="1" si="141"/>
        <v>0.6283028496100086</v>
      </c>
      <c r="E2260" s="106">
        <f t="shared" ca="1" si="142"/>
        <v>0</v>
      </c>
      <c r="F2260" s="21">
        <f t="shared" ca="1" si="143"/>
        <v>0</v>
      </c>
      <c r="H2260" s="21">
        <v>2245</v>
      </c>
      <c r="I2260" s="107">
        <v>0.66765819497578927</v>
      </c>
      <c r="J2260" s="108">
        <v>1.2809854405964793E-3</v>
      </c>
      <c r="K2260" s="108"/>
      <c r="L2260" s="108">
        <v>4.0399999999999998E-2</v>
      </c>
      <c r="O2260" s="105"/>
    </row>
    <row r="2261" spans="2:15" x14ac:dyDescent="0.2">
      <c r="B2261" s="1">
        <v>2246</v>
      </c>
      <c r="C2261" s="106">
        <f t="shared" ca="1" si="140"/>
        <v>0.11195019265896583</v>
      </c>
      <c r="D2261" s="106">
        <f t="shared" ca="1" si="141"/>
        <v>0.67188087233959914</v>
      </c>
      <c r="E2261" s="106">
        <f t="shared" ca="1" si="142"/>
        <v>0</v>
      </c>
      <c r="F2261" s="21">
        <f t="shared" ca="1" si="143"/>
        <v>0</v>
      </c>
      <c r="H2261" s="21">
        <v>2246</v>
      </c>
      <c r="I2261" s="107">
        <v>0.66774957374397759</v>
      </c>
      <c r="J2261" s="108">
        <v>1.390998924465489E-3</v>
      </c>
      <c r="K2261" s="108"/>
      <c r="L2261" s="108">
        <v>4.2599999999999999E-2</v>
      </c>
      <c r="O2261" s="105"/>
    </row>
    <row r="2262" spans="2:15" x14ac:dyDescent="0.2">
      <c r="B2262" s="1">
        <v>2247</v>
      </c>
      <c r="C2262" s="106">
        <f t="shared" ca="1" si="140"/>
        <v>-0.76500260438564283</v>
      </c>
      <c r="D2262" s="106">
        <f t="shared" ca="1" si="141"/>
        <v>0.61620349929066653</v>
      </c>
      <c r="E2262" s="106">
        <f t="shared" ca="1" si="142"/>
        <v>0</v>
      </c>
      <c r="F2262" s="21">
        <f t="shared" ca="1" si="143"/>
        <v>0</v>
      </c>
      <c r="H2262" s="21">
        <v>2247</v>
      </c>
      <c r="I2262" s="107">
        <v>0.66782905868873232</v>
      </c>
      <c r="J2262" s="108">
        <v>1.4919016070804932E-3</v>
      </c>
      <c r="K2262" s="108"/>
      <c r="L2262" s="108">
        <v>4.6600000000000003E-2</v>
      </c>
      <c r="O2262" s="105"/>
    </row>
    <row r="2263" spans="2:15" x14ac:dyDescent="0.2">
      <c r="B2263" s="1">
        <v>2248</v>
      </c>
      <c r="C2263" s="106">
        <f t="shared" ca="1" si="140"/>
        <v>0.33647120513357476</v>
      </c>
      <c r="D2263" s="106">
        <f t="shared" ca="1" si="141"/>
        <v>0.68692705107862673</v>
      </c>
      <c r="E2263" s="106">
        <f t="shared" ca="1" si="142"/>
        <v>0</v>
      </c>
      <c r="F2263" s="21">
        <f t="shared" ca="1" si="143"/>
        <v>0</v>
      </c>
      <c r="H2263" s="21">
        <v>2248</v>
      </c>
      <c r="I2263" s="107">
        <v>0.66765622092378851</v>
      </c>
      <c r="J2263" s="108">
        <v>1.1636003523901948E-3</v>
      </c>
      <c r="K2263" s="108"/>
      <c r="L2263" s="108">
        <v>3.9800000000000002E-2</v>
      </c>
      <c r="O2263" s="105"/>
    </row>
    <row r="2264" spans="2:15" x14ac:dyDescent="0.2">
      <c r="B2264" s="1">
        <v>2249</v>
      </c>
      <c r="C2264" s="106">
        <f t="shared" ca="1" si="140"/>
        <v>0.22401965502411791</v>
      </c>
      <c r="D2264" s="106">
        <f t="shared" ca="1" si="141"/>
        <v>0.67934950623466295</v>
      </c>
      <c r="E2264" s="106">
        <f t="shared" ca="1" si="142"/>
        <v>0</v>
      </c>
      <c r="F2264" s="21">
        <f t="shared" ca="1" si="143"/>
        <v>0</v>
      </c>
      <c r="H2264" s="21">
        <v>2249</v>
      </c>
      <c r="I2264" s="107">
        <v>0.66785623096263258</v>
      </c>
      <c r="J2264" s="108">
        <v>1.5488467317177029E-3</v>
      </c>
      <c r="K2264" s="108"/>
      <c r="L2264" s="108">
        <v>4.24E-2</v>
      </c>
      <c r="O2264" s="105"/>
    </row>
    <row r="2265" spans="2:15" x14ac:dyDescent="0.2">
      <c r="B2265" s="1">
        <v>2250</v>
      </c>
      <c r="C2265" s="106">
        <f t="shared" ca="1" si="140"/>
        <v>0.44210485599106497</v>
      </c>
      <c r="D2265" s="106">
        <f t="shared" ca="1" si="141"/>
        <v>0.69412214412672535</v>
      </c>
      <c r="E2265" s="106">
        <f t="shared" ca="1" si="142"/>
        <v>0</v>
      </c>
      <c r="F2265" s="21">
        <f t="shared" ca="1" si="143"/>
        <v>0</v>
      </c>
      <c r="H2265" s="21">
        <v>2250</v>
      </c>
      <c r="I2265" s="107">
        <v>0.66772691484962121</v>
      </c>
      <c r="J2265" s="108">
        <v>1.429893671133548E-3</v>
      </c>
      <c r="K2265" s="108"/>
      <c r="L2265" s="108">
        <v>4.2200000000000001E-2</v>
      </c>
      <c r="O2265" s="105"/>
    </row>
    <row r="2266" spans="2:15" x14ac:dyDescent="0.2">
      <c r="B2266" s="1">
        <v>2251</v>
      </c>
      <c r="C2266" s="106">
        <f t="shared" ca="1" si="140"/>
        <v>0.44190858970289826</v>
      </c>
      <c r="D2266" s="106">
        <f t="shared" ca="1" si="141"/>
        <v>0.69410870607509323</v>
      </c>
      <c r="E2266" s="106">
        <f t="shared" ca="1" si="142"/>
        <v>0</v>
      </c>
      <c r="F2266" s="21">
        <f t="shared" ca="1" si="143"/>
        <v>0</v>
      </c>
      <c r="H2266" s="21">
        <v>2251</v>
      </c>
      <c r="I2266" s="107">
        <v>0.66767136104531288</v>
      </c>
      <c r="J2266" s="108">
        <v>1.3884176780607203E-3</v>
      </c>
      <c r="K2266" s="108"/>
      <c r="L2266" s="108">
        <v>4.0800000000000003E-2</v>
      </c>
      <c r="O2266" s="105"/>
    </row>
    <row r="2267" spans="2:15" x14ac:dyDescent="0.2">
      <c r="B2267" s="1">
        <v>2252</v>
      </c>
      <c r="C2267" s="106">
        <f t="shared" ca="1" si="140"/>
        <v>0.98656196614746816</v>
      </c>
      <c r="D2267" s="106">
        <f t="shared" ca="1" si="141"/>
        <v>0.73241985092478679</v>
      </c>
      <c r="E2267" s="106">
        <f t="shared" ca="1" si="142"/>
        <v>0</v>
      </c>
      <c r="F2267" s="21">
        <f t="shared" ca="1" si="143"/>
        <v>0</v>
      </c>
      <c r="H2267" s="21">
        <v>2252</v>
      </c>
      <c r="I2267" s="107">
        <v>0.66775858848643477</v>
      </c>
      <c r="J2267" s="108">
        <v>1.3048124188975306E-3</v>
      </c>
      <c r="K2267" s="108"/>
      <c r="L2267" s="108">
        <v>4.1599999999999998E-2</v>
      </c>
      <c r="O2267" s="105"/>
    </row>
    <row r="2268" spans="2:15" x14ac:dyDescent="0.2">
      <c r="B2268" s="1">
        <v>2253</v>
      </c>
      <c r="C2268" s="106">
        <f t="shared" ca="1" si="140"/>
        <v>-2.3488224578675516</v>
      </c>
      <c r="D2268" s="106">
        <f t="shared" ca="1" si="141"/>
        <v>0.52707727772841628</v>
      </c>
      <c r="E2268" s="106">
        <f t="shared" ca="1" si="142"/>
        <v>0</v>
      </c>
      <c r="F2268" s="21">
        <f t="shared" ca="1" si="143"/>
        <v>0</v>
      </c>
      <c r="H2268" s="21">
        <v>2253</v>
      </c>
      <c r="I2268" s="107">
        <v>0.66775075764002934</v>
      </c>
      <c r="J2268" s="108">
        <v>1.3344340758346944E-3</v>
      </c>
      <c r="K2268" s="108"/>
      <c r="L2268" s="108">
        <v>3.9800000000000002E-2</v>
      </c>
      <c r="O2268" s="105"/>
    </row>
    <row r="2269" spans="2:15" x14ac:dyDescent="0.2">
      <c r="B2269" s="1">
        <v>2254</v>
      </c>
      <c r="C2269" s="106">
        <f t="shared" ca="1" si="140"/>
        <v>-0.17830707502731308</v>
      </c>
      <c r="D2269" s="106">
        <f t="shared" ca="1" si="141"/>
        <v>0.65291678732844338</v>
      </c>
      <c r="E2269" s="106">
        <f t="shared" ca="1" si="142"/>
        <v>0</v>
      </c>
      <c r="F2269" s="21">
        <f t="shared" ca="1" si="143"/>
        <v>0</v>
      </c>
      <c r="H2269" s="21">
        <v>2254</v>
      </c>
      <c r="I2269" s="107">
        <v>0.66793334799799753</v>
      </c>
      <c r="J2269" s="108">
        <v>1.6762108484330792E-3</v>
      </c>
      <c r="K2269" s="108"/>
      <c r="L2269" s="108">
        <v>4.3200000000000002E-2</v>
      </c>
      <c r="O2269" s="105"/>
    </row>
    <row r="2270" spans="2:15" x14ac:dyDescent="0.2">
      <c r="B2270" s="1">
        <v>2255</v>
      </c>
      <c r="C2270" s="106">
        <f t="shared" ca="1" si="140"/>
        <v>0.36806357494864878</v>
      </c>
      <c r="D2270" s="106">
        <f t="shared" ca="1" si="141"/>
        <v>0.68907106992668588</v>
      </c>
      <c r="E2270" s="106">
        <f t="shared" ca="1" si="142"/>
        <v>0</v>
      </c>
      <c r="F2270" s="21">
        <f t="shared" ca="1" si="143"/>
        <v>0</v>
      </c>
      <c r="H2270" s="21">
        <v>2255</v>
      </c>
      <c r="I2270" s="107">
        <v>0.66769735891996429</v>
      </c>
      <c r="J2270" s="108">
        <v>1.1555731996293476E-3</v>
      </c>
      <c r="K2270" s="108"/>
      <c r="L2270" s="108">
        <v>4.0599999999999997E-2</v>
      </c>
      <c r="O2270" s="105"/>
    </row>
    <row r="2271" spans="2:15" x14ac:dyDescent="0.2">
      <c r="B2271" s="1">
        <v>2256</v>
      </c>
      <c r="C2271" s="106">
        <f t="shared" ca="1" si="140"/>
        <v>-0.29129071909709603</v>
      </c>
      <c r="D2271" s="106">
        <f t="shared" ca="1" si="141"/>
        <v>0.64568052193518533</v>
      </c>
      <c r="E2271" s="106">
        <f t="shared" ca="1" si="142"/>
        <v>0</v>
      </c>
      <c r="F2271" s="21">
        <f t="shared" ca="1" si="143"/>
        <v>0</v>
      </c>
      <c r="H2271" s="21">
        <v>2256</v>
      </c>
      <c r="I2271" s="107">
        <v>0.66768259838852939</v>
      </c>
      <c r="J2271" s="108">
        <v>1.2380063595232877E-3</v>
      </c>
      <c r="K2271" s="108"/>
      <c r="L2271" s="108">
        <v>4.2799999999999998E-2</v>
      </c>
      <c r="O2271" s="105"/>
    </row>
    <row r="2272" spans="2:15" x14ac:dyDescent="0.2">
      <c r="B2272" s="1">
        <v>2257</v>
      </c>
      <c r="C2272" s="106">
        <f t="shared" ca="1" si="140"/>
        <v>9.2510848453404293E-2</v>
      </c>
      <c r="D2272" s="106">
        <f t="shared" ca="1" si="141"/>
        <v>0.67059375995361137</v>
      </c>
      <c r="E2272" s="106">
        <f t="shared" ca="1" si="142"/>
        <v>0</v>
      </c>
      <c r="F2272" s="21">
        <f t="shared" ca="1" si="143"/>
        <v>0</v>
      </c>
      <c r="H2272" s="21">
        <v>2257</v>
      </c>
      <c r="I2272" s="107">
        <v>0.66769089347503163</v>
      </c>
      <c r="J2272" s="108">
        <v>1.2567604513748307E-3</v>
      </c>
      <c r="K2272" s="108"/>
      <c r="L2272" s="108">
        <v>3.9800000000000002E-2</v>
      </c>
      <c r="O2272" s="105"/>
    </row>
    <row r="2273" spans="2:15" x14ac:dyDescent="0.2">
      <c r="B2273" s="1">
        <v>2258</v>
      </c>
      <c r="C2273" s="106">
        <f t="shared" ca="1" si="140"/>
        <v>0.60126257499995939</v>
      </c>
      <c r="D2273" s="106">
        <f t="shared" ca="1" si="141"/>
        <v>0.70510552581078967</v>
      </c>
      <c r="E2273" s="106">
        <f t="shared" ca="1" si="142"/>
        <v>0</v>
      </c>
      <c r="F2273" s="21">
        <f t="shared" ca="1" si="143"/>
        <v>0</v>
      </c>
      <c r="H2273" s="21">
        <v>2258</v>
      </c>
      <c r="I2273" s="107">
        <v>0.6677032858380576</v>
      </c>
      <c r="J2273" s="108">
        <v>1.2794735933036277E-3</v>
      </c>
      <c r="K2273" s="108"/>
      <c r="L2273" s="108">
        <v>3.9600000000000003E-2</v>
      </c>
      <c r="O2273" s="105"/>
    </row>
    <row r="2274" spans="2:15" x14ac:dyDescent="0.2">
      <c r="B2274" s="1">
        <v>2259</v>
      </c>
      <c r="C2274" s="106">
        <f t="shared" ca="1" si="140"/>
        <v>1.1839230355201344</v>
      </c>
      <c r="D2274" s="106">
        <f t="shared" ca="1" si="141"/>
        <v>0.74681826862566225</v>
      </c>
      <c r="E2274" s="106">
        <f t="shared" ca="1" si="142"/>
        <v>0</v>
      </c>
      <c r="F2274" s="21">
        <f t="shared" ca="1" si="143"/>
        <v>0</v>
      </c>
      <c r="H2274" s="21">
        <v>2259</v>
      </c>
      <c r="I2274" s="107">
        <v>0.66781753708306024</v>
      </c>
      <c r="J2274" s="108">
        <v>1.3751800012524464E-3</v>
      </c>
      <c r="K2274" s="108"/>
      <c r="L2274" s="108">
        <v>4.0800000000000003E-2</v>
      </c>
      <c r="O2274" s="105"/>
    </row>
    <row r="2275" spans="2:15" x14ac:dyDescent="0.2">
      <c r="B2275" s="1">
        <v>2260</v>
      </c>
      <c r="C2275" s="106">
        <f t="shared" ca="1" si="140"/>
        <v>1.0968290300641845</v>
      </c>
      <c r="D2275" s="106">
        <f t="shared" ca="1" si="141"/>
        <v>0.74042978322278497</v>
      </c>
      <c r="E2275" s="106">
        <f t="shared" ca="1" si="142"/>
        <v>0</v>
      </c>
      <c r="F2275" s="21">
        <f t="shared" ca="1" si="143"/>
        <v>0</v>
      </c>
      <c r="H2275" s="21">
        <v>2260</v>
      </c>
      <c r="I2275" s="107">
        <v>0.66770610977651013</v>
      </c>
      <c r="J2275" s="108">
        <v>1.200346710996357E-3</v>
      </c>
      <c r="K2275" s="108"/>
      <c r="L2275" s="108">
        <v>3.9800000000000002E-2</v>
      </c>
      <c r="O2275" s="105"/>
    </row>
    <row r="2276" spans="2:15" x14ac:dyDescent="0.2">
      <c r="B2276" s="1">
        <v>2261</v>
      </c>
      <c r="C2276" s="106">
        <f t="shared" ca="1" si="140"/>
        <v>2.2238372137789724</v>
      </c>
      <c r="D2276" s="106">
        <f t="shared" ca="1" si="141"/>
        <v>0.82749278413608962</v>
      </c>
      <c r="E2276" s="106">
        <f t="shared" ca="1" si="142"/>
        <v>3.9292784136089609E-2</v>
      </c>
      <c r="F2276" s="21">
        <f t="shared" ca="1" si="143"/>
        <v>1</v>
      </c>
      <c r="H2276" s="21">
        <v>2261</v>
      </c>
      <c r="I2276" s="107">
        <v>0.66766323693093965</v>
      </c>
      <c r="J2276" s="108">
        <v>1.3217418543584702E-3</v>
      </c>
      <c r="K2276" s="108"/>
      <c r="L2276" s="108">
        <v>3.8399999999999997E-2</v>
      </c>
      <c r="O2276" s="105"/>
    </row>
    <row r="2277" spans="2:15" x14ac:dyDescent="0.2">
      <c r="B2277" s="1">
        <v>2262</v>
      </c>
      <c r="C2277" s="106">
        <f t="shared" ca="1" si="140"/>
        <v>0.42014970265124824</v>
      </c>
      <c r="D2277" s="106">
        <f t="shared" ca="1" si="141"/>
        <v>0.69262052051967271</v>
      </c>
      <c r="E2277" s="106">
        <f t="shared" ca="1" si="142"/>
        <v>0</v>
      </c>
      <c r="F2277" s="21">
        <f t="shared" ca="1" si="143"/>
        <v>0</v>
      </c>
      <c r="H2277" s="21">
        <v>2262</v>
      </c>
      <c r="I2277" s="107">
        <v>0.66769706444521193</v>
      </c>
      <c r="J2277" s="108">
        <v>1.3362647601044652E-3</v>
      </c>
      <c r="K2277" s="108"/>
      <c r="L2277" s="108">
        <v>4.4999999999999998E-2</v>
      </c>
      <c r="O2277" s="105"/>
    </row>
    <row r="2278" spans="2:15" x14ac:dyDescent="0.2">
      <c r="B2278" s="1">
        <v>2263</v>
      </c>
      <c r="C2278" s="106">
        <f t="shared" ca="1" si="140"/>
        <v>0.4290702623701253</v>
      </c>
      <c r="D2278" s="106">
        <f t="shared" ca="1" si="141"/>
        <v>0.6932302503595168</v>
      </c>
      <c r="E2278" s="106">
        <f t="shared" ca="1" si="142"/>
        <v>0</v>
      </c>
      <c r="F2278" s="21">
        <f t="shared" ca="1" si="143"/>
        <v>0</v>
      </c>
      <c r="H2278" s="21">
        <v>2263</v>
      </c>
      <c r="I2278" s="107">
        <v>0.66777899956396192</v>
      </c>
      <c r="J2278" s="108">
        <v>1.4835559701417806E-3</v>
      </c>
      <c r="K2278" s="108"/>
      <c r="L2278" s="108">
        <v>4.24E-2</v>
      </c>
      <c r="O2278" s="105"/>
    </row>
    <row r="2279" spans="2:15" x14ac:dyDescent="0.2">
      <c r="B2279" s="1">
        <v>2264</v>
      </c>
      <c r="C2279" s="106">
        <f t="shared" ca="1" si="140"/>
        <v>3.7506218267573693E-2</v>
      </c>
      <c r="D2279" s="106">
        <f t="shared" ca="1" si="141"/>
        <v>0.66696515233430942</v>
      </c>
      <c r="E2279" s="106">
        <f t="shared" ca="1" si="142"/>
        <v>0</v>
      </c>
      <c r="F2279" s="21">
        <f t="shared" ca="1" si="143"/>
        <v>0</v>
      </c>
      <c r="H2279" s="21">
        <v>2264</v>
      </c>
      <c r="I2279" s="107">
        <v>0.66762049511236754</v>
      </c>
      <c r="J2279" s="108">
        <v>1.0703021898903506E-3</v>
      </c>
      <c r="K2279" s="108"/>
      <c r="L2279" s="108">
        <v>4.0599999999999997E-2</v>
      </c>
      <c r="O2279" s="105"/>
    </row>
    <row r="2280" spans="2:15" x14ac:dyDescent="0.2">
      <c r="B2280" s="1">
        <v>2265</v>
      </c>
      <c r="C2280" s="106">
        <f t="shared" ca="1" si="140"/>
        <v>-1.4166497255810115</v>
      </c>
      <c r="D2280" s="106">
        <f t="shared" ca="1" si="141"/>
        <v>0.57784052887424919</v>
      </c>
      <c r="E2280" s="106">
        <f t="shared" ca="1" si="142"/>
        <v>0</v>
      </c>
      <c r="F2280" s="21">
        <f t="shared" ca="1" si="143"/>
        <v>0</v>
      </c>
      <c r="H2280" s="21">
        <v>2265</v>
      </c>
      <c r="I2280" s="107">
        <v>0.66770127125270751</v>
      </c>
      <c r="J2280" s="108">
        <v>1.4723800730300259E-3</v>
      </c>
      <c r="K2280" s="108"/>
      <c r="L2280" s="108">
        <v>3.9E-2</v>
      </c>
      <c r="O2280" s="105"/>
    </row>
    <row r="2281" spans="2:15" x14ac:dyDescent="0.2">
      <c r="B2281" s="1">
        <v>2266</v>
      </c>
      <c r="C2281" s="106">
        <f t="shared" ca="1" si="140"/>
        <v>-1.9632583620167616</v>
      </c>
      <c r="D2281" s="106">
        <f t="shared" ca="1" si="141"/>
        <v>0.54750945362118542</v>
      </c>
      <c r="E2281" s="106">
        <f t="shared" ca="1" si="142"/>
        <v>0</v>
      </c>
      <c r="F2281" s="21">
        <f t="shared" ca="1" si="143"/>
        <v>0</v>
      </c>
      <c r="H2281" s="21">
        <v>2266</v>
      </c>
      <c r="I2281" s="107">
        <v>0.66759513254748937</v>
      </c>
      <c r="J2281" s="108">
        <v>1.1218640144719952E-3</v>
      </c>
      <c r="K2281" s="108"/>
      <c r="L2281" s="108">
        <v>3.2800000000000003E-2</v>
      </c>
      <c r="O2281" s="105"/>
    </row>
    <row r="2282" spans="2:15" x14ac:dyDescent="0.2">
      <c r="B2282" s="1">
        <v>2267</v>
      </c>
      <c r="C2282" s="106">
        <f t="shared" ca="1" si="140"/>
        <v>0.4222004248683589</v>
      </c>
      <c r="D2282" s="106">
        <f t="shared" ca="1" si="141"/>
        <v>0.69276064209722221</v>
      </c>
      <c r="E2282" s="106">
        <f t="shared" ca="1" si="142"/>
        <v>0</v>
      </c>
      <c r="F2282" s="21">
        <f t="shared" ca="1" si="143"/>
        <v>0</v>
      </c>
      <c r="H2282" s="21">
        <v>2267</v>
      </c>
      <c r="I2282" s="107">
        <v>0.66789349805375664</v>
      </c>
      <c r="J2282" s="108">
        <v>1.4670507307614055E-3</v>
      </c>
      <c r="K2282" s="108"/>
      <c r="L2282" s="108">
        <v>4.3200000000000002E-2</v>
      </c>
      <c r="O2282" s="105"/>
    </row>
    <row r="2283" spans="2:15" x14ac:dyDescent="0.2">
      <c r="B2283" s="1">
        <v>2268</v>
      </c>
      <c r="C2283" s="106">
        <f t="shared" ca="1" si="140"/>
        <v>2.3866836186973135</v>
      </c>
      <c r="D2283" s="106">
        <f t="shared" ca="1" si="141"/>
        <v>0.84089245343947738</v>
      </c>
      <c r="E2283" s="106">
        <f t="shared" ca="1" si="142"/>
        <v>5.2692453439477371E-2</v>
      </c>
      <c r="F2283" s="21">
        <f t="shared" ca="1" si="143"/>
        <v>1</v>
      </c>
      <c r="H2283" s="21">
        <v>2268</v>
      </c>
      <c r="I2283" s="107">
        <v>0.66774510630423733</v>
      </c>
      <c r="J2283" s="108">
        <v>1.502222558341404E-3</v>
      </c>
      <c r="K2283" s="108"/>
      <c r="L2283" s="108">
        <v>4.0399999999999998E-2</v>
      </c>
      <c r="O2283" s="105"/>
    </row>
    <row r="2284" spans="2:15" x14ac:dyDescent="0.2">
      <c r="B2284" s="1">
        <v>2269</v>
      </c>
      <c r="C2284" s="106">
        <f t="shared" ca="1" si="140"/>
        <v>0.49996773084154644</v>
      </c>
      <c r="D2284" s="106">
        <f t="shared" ca="1" si="141"/>
        <v>0.69809529266804493</v>
      </c>
      <c r="E2284" s="106">
        <f t="shared" ca="1" si="142"/>
        <v>0</v>
      </c>
      <c r="F2284" s="21">
        <f t="shared" ca="1" si="143"/>
        <v>0</v>
      </c>
      <c r="H2284" s="21">
        <v>2269</v>
      </c>
      <c r="I2284" s="107">
        <v>0.66772843432394469</v>
      </c>
      <c r="J2284" s="108">
        <v>1.278438191141127E-3</v>
      </c>
      <c r="K2284" s="108"/>
      <c r="L2284" s="108">
        <v>4.24E-2</v>
      </c>
      <c r="O2284" s="105"/>
    </row>
    <row r="2285" spans="2:15" x14ac:dyDescent="0.2">
      <c r="B2285" s="1">
        <v>2270</v>
      </c>
      <c r="C2285" s="106">
        <f t="shared" ca="1" si="140"/>
        <v>-0.34207772574940015</v>
      </c>
      <c r="D2285" s="106">
        <f t="shared" ca="1" si="141"/>
        <v>0.64245394656194132</v>
      </c>
      <c r="E2285" s="106">
        <f t="shared" ca="1" si="142"/>
        <v>0</v>
      </c>
      <c r="F2285" s="21">
        <f t="shared" ca="1" si="143"/>
        <v>0</v>
      </c>
      <c r="H2285" s="21">
        <v>2270</v>
      </c>
      <c r="I2285" s="107">
        <v>0.66784675690103312</v>
      </c>
      <c r="J2285" s="108">
        <v>1.5089386932234396E-3</v>
      </c>
      <c r="K2285" s="108"/>
      <c r="L2285" s="108">
        <v>4.36E-2</v>
      </c>
      <c r="O2285" s="105"/>
    </row>
    <row r="2286" spans="2:15" x14ac:dyDescent="0.2">
      <c r="B2286" s="1">
        <v>2271</v>
      </c>
      <c r="C2286" s="106">
        <f t="shared" ca="1" si="140"/>
        <v>0.33361257181551796</v>
      </c>
      <c r="D2286" s="106">
        <f t="shared" ca="1" si="141"/>
        <v>0.68673337912143495</v>
      </c>
      <c r="E2286" s="106">
        <f t="shared" ca="1" si="142"/>
        <v>0</v>
      </c>
      <c r="F2286" s="21">
        <f t="shared" ca="1" si="143"/>
        <v>0</v>
      </c>
      <c r="H2286" s="21">
        <v>2271</v>
      </c>
      <c r="I2286" s="107">
        <v>0.66765245359811787</v>
      </c>
      <c r="J2286" s="108">
        <v>1.1779031729441569E-3</v>
      </c>
      <c r="K2286" s="108"/>
      <c r="L2286" s="108">
        <v>3.8199999999999998E-2</v>
      </c>
      <c r="O2286" s="105"/>
    </row>
    <row r="2287" spans="2:15" x14ac:dyDescent="0.2">
      <c r="B2287" s="1">
        <v>2272</v>
      </c>
      <c r="C2287" s="106">
        <f t="shared" ca="1" si="140"/>
        <v>0.37510516075227507</v>
      </c>
      <c r="D2287" s="106">
        <f t="shared" ca="1" si="141"/>
        <v>0.68954985899983545</v>
      </c>
      <c r="E2287" s="106">
        <f t="shared" ca="1" si="142"/>
        <v>0</v>
      </c>
      <c r="F2287" s="21">
        <f t="shared" ca="1" si="143"/>
        <v>0</v>
      </c>
      <c r="H2287" s="21">
        <v>2272</v>
      </c>
      <c r="I2287" s="107">
        <v>0.66773606278756648</v>
      </c>
      <c r="J2287" s="108">
        <v>1.5225628083353807E-3</v>
      </c>
      <c r="K2287" s="108"/>
      <c r="L2287" s="108">
        <v>4.24E-2</v>
      </c>
      <c r="O2287" s="105"/>
    </row>
    <row r="2288" spans="2:15" x14ac:dyDescent="0.2">
      <c r="B2288" s="1">
        <v>2273</v>
      </c>
      <c r="C2288" s="106">
        <f t="shared" ca="1" si="140"/>
        <v>-1.412382739828991</v>
      </c>
      <c r="D2288" s="106">
        <f t="shared" ca="1" si="141"/>
        <v>0.57808379379838915</v>
      </c>
      <c r="E2288" s="106">
        <f t="shared" ca="1" si="142"/>
        <v>0</v>
      </c>
      <c r="F2288" s="21">
        <f t="shared" ca="1" si="143"/>
        <v>0</v>
      </c>
      <c r="H2288" s="21">
        <v>2273</v>
      </c>
      <c r="I2288" s="107">
        <v>0.66782534697764717</v>
      </c>
      <c r="J2288" s="108">
        <v>1.4905378868794309E-3</v>
      </c>
      <c r="K2288" s="108"/>
      <c r="L2288" s="108">
        <v>4.48E-2</v>
      </c>
      <c r="O2288" s="105"/>
    </row>
    <row r="2289" spans="2:15" x14ac:dyDescent="0.2">
      <c r="B2289" s="1">
        <v>2274</v>
      </c>
      <c r="C2289" s="106">
        <f t="shared" ca="1" si="140"/>
        <v>1.5152370923967184</v>
      </c>
      <c r="D2289" s="106">
        <f t="shared" ca="1" si="141"/>
        <v>0.77162843451873953</v>
      </c>
      <c r="E2289" s="106">
        <f t="shared" ca="1" si="142"/>
        <v>0</v>
      </c>
      <c r="F2289" s="21">
        <f t="shared" ca="1" si="143"/>
        <v>0</v>
      </c>
      <c r="H2289" s="21">
        <v>2274</v>
      </c>
      <c r="I2289" s="107">
        <v>0.66758286268066291</v>
      </c>
      <c r="J2289" s="108">
        <v>1.0866797773348676E-3</v>
      </c>
      <c r="K2289" s="108"/>
      <c r="L2289" s="108">
        <v>3.5200000000000002E-2</v>
      </c>
      <c r="O2289" s="105"/>
    </row>
    <row r="2290" spans="2:15" x14ac:dyDescent="0.2">
      <c r="B2290" s="1">
        <v>2275</v>
      </c>
      <c r="C2290" s="106">
        <f t="shared" ca="1" si="140"/>
        <v>0.37000208746857999</v>
      </c>
      <c r="D2290" s="106">
        <f t="shared" ca="1" si="141"/>
        <v>0.68920284493452588</v>
      </c>
      <c r="E2290" s="106">
        <f t="shared" ca="1" si="142"/>
        <v>0</v>
      </c>
      <c r="F2290" s="21">
        <f t="shared" ca="1" si="143"/>
        <v>0</v>
      </c>
      <c r="H2290" s="21">
        <v>2275</v>
      </c>
      <c r="I2290" s="107">
        <v>0.66783271204177841</v>
      </c>
      <c r="J2290" s="108">
        <v>1.4210141073830891E-3</v>
      </c>
      <c r="K2290" s="108"/>
      <c r="L2290" s="108">
        <v>4.3999999999999997E-2</v>
      </c>
      <c r="O2290" s="105"/>
    </row>
    <row r="2291" spans="2:15" x14ac:dyDescent="0.2">
      <c r="B2291" s="1">
        <v>2276</v>
      </c>
      <c r="C2291" s="106">
        <f t="shared" ca="1" si="140"/>
        <v>9.367924103479762E-2</v>
      </c>
      <c r="D2291" s="106">
        <f t="shared" ca="1" si="141"/>
        <v>0.67067105154089579</v>
      </c>
      <c r="E2291" s="106">
        <f t="shared" ca="1" si="142"/>
        <v>0</v>
      </c>
      <c r="F2291" s="21">
        <f t="shared" ca="1" si="143"/>
        <v>0</v>
      </c>
      <c r="H2291" s="21">
        <v>2276</v>
      </c>
      <c r="I2291" s="107">
        <v>0.66783685481184629</v>
      </c>
      <c r="J2291" s="108">
        <v>1.5114741947223945E-3</v>
      </c>
      <c r="K2291" s="108"/>
      <c r="L2291" s="108">
        <v>4.1399999999999999E-2</v>
      </c>
      <c r="O2291" s="105"/>
    </row>
    <row r="2292" spans="2:15" x14ac:dyDescent="0.2">
      <c r="B2292" s="1">
        <v>2277</v>
      </c>
      <c r="C2292" s="106">
        <f t="shared" ca="1" si="140"/>
        <v>0.67669848142912215</v>
      </c>
      <c r="D2292" s="106">
        <f t="shared" ca="1" si="141"/>
        <v>0.71037185433534333</v>
      </c>
      <c r="E2292" s="106">
        <f t="shared" ca="1" si="142"/>
        <v>0</v>
      </c>
      <c r="F2292" s="21">
        <f t="shared" ca="1" si="143"/>
        <v>0</v>
      </c>
      <c r="H2292" s="21">
        <v>2277</v>
      </c>
      <c r="I2292" s="107">
        <v>0.66781191879050916</v>
      </c>
      <c r="J2292" s="108">
        <v>1.3834935558293645E-3</v>
      </c>
      <c r="K2292" s="108"/>
      <c r="L2292" s="108">
        <v>4.5400000000000003E-2</v>
      </c>
      <c r="O2292" s="105"/>
    </row>
    <row r="2293" spans="2:15" x14ac:dyDescent="0.2">
      <c r="B2293" s="1">
        <v>2278</v>
      </c>
      <c r="C2293" s="106">
        <f t="shared" ca="1" si="140"/>
        <v>-1.0581564281694757</v>
      </c>
      <c r="D2293" s="106">
        <f t="shared" ca="1" si="141"/>
        <v>0.59863986073585385</v>
      </c>
      <c r="E2293" s="106">
        <f t="shared" ca="1" si="142"/>
        <v>0</v>
      </c>
      <c r="F2293" s="21">
        <f t="shared" ca="1" si="143"/>
        <v>0</v>
      </c>
      <c r="H2293" s="21">
        <v>2278</v>
      </c>
      <c r="I2293" s="107">
        <v>0.66770963412549933</v>
      </c>
      <c r="J2293" s="108">
        <v>1.4451013456573836E-3</v>
      </c>
      <c r="K2293" s="108"/>
      <c r="L2293" s="108">
        <v>4.2200000000000001E-2</v>
      </c>
      <c r="O2293" s="105"/>
    </row>
    <row r="2294" spans="2:15" x14ac:dyDescent="0.2">
      <c r="B2294" s="1">
        <v>2279</v>
      </c>
      <c r="C2294" s="106">
        <f t="shared" ca="1" si="140"/>
        <v>-0.15868697221478542</v>
      </c>
      <c r="D2294" s="106">
        <f t="shared" ca="1" si="141"/>
        <v>0.65418163532978324</v>
      </c>
      <c r="E2294" s="106">
        <f t="shared" ca="1" si="142"/>
        <v>0</v>
      </c>
      <c r="F2294" s="21">
        <f t="shared" ca="1" si="143"/>
        <v>0</v>
      </c>
      <c r="H2294" s="21">
        <v>2279</v>
      </c>
      <c r="I2294" s="107">
        <v>0.66756171488780092</v>
      </c>
      <c r="J2294" s="108">
        <v>1.1339887434282886E-3</v>
      </c>
      <c r="K2294" s="108"/>
      <c r="L2294" s="108">
        <v>3.32E-2</v>
      </c>
      <c r="O2294" s="105"/>
    </row>
    <row r="2295" spans="2:15" x14ac:dyDescent="0.2">
      <c r="B2295" s="1">
        <v>2280</v>
      </c>
      <c r="C2295" s="106">
        <f t="shared" ca="1" si="140"/>
        <v>0.31684671048942881</v>
      </c>
      <c r="D2295" s="106">
        <f t="shared" ca="1" si="141"/>
        <v>0.68559859341373341</v>
      </c>
      <c r="E2295" s="106">
        <f t="shared" ca="1" si="142"/>
        <v>0</v>
      </c>
      <c r="F2295" s="21">
        <f t="shared" ca="1" si="143"/>
        <v>0</v>
      </c>
      <c r="H2295" s="21">
        <v>2280</v>
      </c>
      <c r="I2295" s="107">
        <v>0.66777392411442993</v>
      </c>
      <c r="J2295" s="108">
        <v>1.2210357371380655E-3</v>
      </c>
      <c r="K2295" s="108"/>
      <c r="L2295" s="108">
        <v>4.4600000000000001E-2</v>
      </c>
      <c r="O2295" s="105"/>
    </row>
    <row r="2296" spans="2:15" x14ac:dyDescent="0.2">
      <c r="B2296" s="1">
        <v>2281</v>
      </c>
      <c r="C2296" s="106">
        <f t="shared" ca="1" si="140"/>
        <v>1.6686747960699551</v>
      </c>
      <c r="D2296" s="106">
        <f t="shared" ca="1" si="141"/>
        <v>0.78339609006492905</v>
      </c>
      <c r="E2296" s="106">
        <f t="shared" ca="1" si="142"/>
        <v>0</v>
      </c>
      <c r="F2296" s="21">
        <f t="shared" ca="1" si="143"/>
        <v>0</v>
      </c>
      <c r="H2296" s="21">
        <v>2281</v>
      </c>
      <c r="I2296" s="107">
        <v>0.66789664034198326</v>
      </c>
      <c r="J2296" s="108">
        <v>1.6218511911056319E-3</v>
      </c>
      <c r="K2296" s="108"/>
      <c r="L2296" s="108">
        <v>4.7600000000000003E-2</v>
      </c>
      <c r="O2296" s="105"/>
    </row>
    <row r="2297" spans="2:15" x14ac:dyDescent="0.2">
      <c r="B2297" s="1">
        <v>2282</v>
      </c>
      <c r="C2297" s="106">
        <f t="shared" ca="1" si="140"/>
        <v>0.29388074229372207</v>
      </c>
      <c r="D2297" s="106">
        <f t="shared" ca="1" si="141"/>
        <v>0.68404720070309932</v>
      </c>
      <c r="E2297" s="106">
        <f t="shared" ca="1" si="142"/>
        <v>0</v>
      </c>
      <c r="F2297" s="21">
        <f t="shared" ca="1" si="143"/>
        <v>0</v>
      </c>
      <c r="H2297" s="21">
        <v>2282</v>
      </c>
      <c r="I2297" s="107">
        <v>0.6674948121974108</v>
      </c>
      <c r="J2297" s="108">
        <v>1.1142429673980281E-3</v>
      </c>
      <c r="K2297" s="108"/>
      <c r="L2297" s="108">
        <v>3.5999999999999997E-2</v>
      </c>
      <c r="O2297" s="105"/>
    </row>
    <row r="2298" spans="2:15" x14ac:dyDescent="0.2">
      <c r="B2298" s="1">
        <v>2283</v>
      </c>
      <c r="C2298" s="106">
        <f t="shared" ca="1" si="140"/>
        <v>0.75435520686902779</v>
      </c>
      <c r="D2298" s="106">
        <f t="shared" ca="1" si="141"/>
        <v>0.71583431301953793</v>
      </c>
      <c r="E2298" s="106">
        <f t="shared" ca="1" si="142"/>
        <v>0</v>
      </c>
      <c r="F2298" s="21">
        <f t="shared" ca="1" si="143"/>
        <v>0</v>
      </c>
      <c r="H2298" s="21">
        <v>2283</v>
      </c>
      <c r="I2298" s="107">
        <v>0.6676586254842104</v>
      </c>
      <c r="J2298" s="108">
        <v>1.2353935727077523E-3</v>
      </c>
      <c r="K2298" s="108"/>
      <c r="L2298" s="108">
        <v>3.8800000000000001E-2</v>
      </c>
      <c r="O2298" s="105"/>
    </row>
    <row r="2299" spans="2:15" x14ac:dyDescent="0.2">
      <c r="B2299" s="1">
        <v>2284</v>
      </c>
      <c r="C2299" s="106">
        <f t="shared" ca="1" si="140"/>
        <v>-0.17516005186565689</v>
      </c>
      <c r="D2299" s="106">
        <f t="shared" ca="1" si="141"/>
        <v>0.65311950148790565</v>
      </c>
      <c r="E2299" s="106">
        <f t="shared" ca="1" si="142"/>
        <v>0</v>
      </c>
      <c r="F2299" s="21">
        <f t="shared" ca="1" si="143"/>
        <v>0</v>
      </c>
      <c r="H2299" s="21">
        <v>2284</v>
      </c>
      <c r="I2299" s="107">
        <v>0.66778554305167714</v>
      </c>
      <c r="J2299" s="108">
        <v>1.2850374215268093E-3</v>
      </c>
      <c r="K2299" s="108"/>
      <c r="L2299" s="108">
        <v>4.3400000000000001E-2</v>
      </c>
      <c r="O2299" s="105"/>
    </row>
    <row r="2300" spans="2:15" x14ac:dyDescent="0.2">
      <c r="B2300" s="1">
        <v>2285</v>
      </c>
      <c r="C2300" s="106">
        <f t="shared" ca="1" si="140"/>
        <v>0.37185319495544505</v>
      </c>
      <c r="D2300" s="106">
        <f t="shared" ca="1" si="141"/>
        <v>0.68932870189824336</v>
      </c>
      <c r="E2300" s="106">
        <f t="shared" ca="1" si="142"/>
        <v>0</v>
      </c>
      <c r="F2300" s="21">
        <f t="shared" ca="1" si="143"/>
        <v>0</v>
      </c>
      <c r="H2300" s="21">
        <v>2285</v>
      </c>
      <c r="I2300" s="107">
        <v>0.66781442747594166</v>
      </c>
      <c r="J2300" s="108">
        <v>1.5396357835715715E-3</v>
      </c>
      <c r="K2300" s="108"/>
      <c r="L2300" s="108">
        <v>4.2200000000000001E-2</v>
      </c>
      <c r="O2300" s="105"/>
    </row>
    <row r="2301" spans="2:15" x14ac:dyDescent="0.2">
      <c r="B2301" s="1">
        <v>2286</v>
      </c>
      <c r="C2301" s="106">
        <f t="shared" ca="1" si="140"/>
        <v>0.19888565761541568</v>
      </c>
      <c r="D2301" s="106">
        <f t="shared" ca="1" si="141"/>
        <v>0.67766731455926166</v>
      </c>
      <c r="E2301" s="106">
        <f t="shared" ca="1" si="142"/>
        <v>0</v>
      </c>
      <c r="F2301" s="21">
        <f t="shared" ca="1" si="143"/>
        <v>0</v>
      </c>
      <c r="H2301" s="21">
        <v>2286</v>
      </c>
      <c r="I2301" s="107">
        <v>0.6677749685153016</v>
      </c>
      <c r="J2301" s="108">
        <v>1.4008923687396286E-3</v>
      </c>
      <c r="K2301" s="108"/>
      <c r="L2301" s="108">
        <v>4.3999999999999997E-2</v>
      </c>
      <c r="O2301" s="105"/>
    </row>
    <row r="2302" spans="2:15" x14ac:dyDescent="0.2">
      <c r="B2302" s="1">
        <v>2287</v>
      </c>
      <c r="C2302" s="106">
        <f t="shared" ca="1" si="140"/>
        <v>5.6268585358965691E-4</v>
      </c>
      <c r="D2302" s="106">
        <f t="shared" ca="1" si="141"/>
        <v>0.66453904850015066</v>
      </c>
      <c r="E2302" s="106">
        <f t="shared" ca="1" si="142"/>
        <v>0</v>
      </c>
      <c r="F2302" s="21">
        <f t="shared" ca="1" si="143"/>
        <v>0</v>
      </c>
      <c r="H2302" s="21">
        <v>2287</v>
      </c>
      <c r="I2302" s="107">
        <v>0.66788115395871572</v>
      </c>
      <c r="J2302" s="108">
        <v>1.4768164224519664E-3</v>
      </c>
      <c r="K2302" s="108"/>
      <c r="L2302" s="108">
        <v>4.4200000000000003E-2</v>
      </c>
      <c r="O2302" s="105"/>
    </row>
    <row r="2303" spans="2:15" x14ac:dyDescent="0.2">
      <c r="B2303" s="1">
        <v>2288</v>
      </c>
      <c r="C2303" s="106">
        <f t="shared" ca="1" si="140"/>
        <v>1.0325063448464862</v>
      </c>
      <c r="D2303" s="106">
        <f t="shared" ca="1" si="141"/>
        <v>0.73574672127329277</v>
      </c>
      <c r="E2303" s="106">
        <f t="shared" ca="1" si="142"/>
        <v>0</v>
      </c>
      <c r="F2303" s="21">
        <f t="shared" ca="1" si="143"/>
        <v>0</v>
      </c>
      <c r="H2303" s="21">
        <v>2288</v>
      </c>
      <c r="I2303" s="107">
        <v>0.66780587219692933</v>
      </c>
      <c r="J2303" s="108">
        <v>1.4049358779425771E-3</v>
      </c>
      <c r="K2303" s="108"/>
      <c r="L2303" s="108">
        <v>4.2000000000000003E-2</v>
      </c>
      <c r="O2303" s="105"/>
    </row>
    <row r="2304" spans="2:15" x14ac:dyDescent="0.2">
      <c r="B2304" s="1">
        <v>2289</v>
      </c>
      <c r="C2304" s="106">
        <f t="shared" ca="1" si="140"/>
        <v>1.3122419258963169</v>
      </c>
      <c r="D2304" s="106">
        <f t="shared" ca="1" si="141"/>
        <v>0.75633123319919815</v>
      </c>
      <c r="E2304" s="106">
        <f t="shared" ca="1" si="142"/>
        <v>0</v>
      </c>
      <c r="F2304" s="21">
        <f t="shared" ca="1" si="143"/>
        <v>0</v>
      </c>
      <c r="H2304" s="21">
        <v>2289</v>
      </c>
      <c r="I2304" s="107">
        <v>0.66764048306954038</v>
      </c>
      <c r="J2304" s="108">
        <v>1.2372148455386581E-3</v>
      </c>
      <c r="K2304" s="108"/>
      <c r="L2304" s="108">
        <v>3.8800000000000001E-2</v>
      </c>
      <c r="O2304" s="105"/>
    </row>
    <row r="2305" spans="2:15" x14ac:dyDescent="0.2">
      <c r="B2305" s="1">
        <v>2290</v>
      </c>
      <c r="C2305" s="106">
        <f t="shared" ca="1" si="140"/>
        <v>-1.4489679565060614</v>
      </c>
      <c r="D2305" s="106">
        <f t="shared" ca="1" si="141"/>
        <v>0.5760013565749823</v>
      </c>
      <c r="E2305" s="106">
        <f t="shared" ca="1" si="142"/>
        <v>0</v>
      </c>
      <c r="F2305" s="21">
        <f t="shared" ca="1" si="143"/>
        <v>0</v>
      </c>
      <c r="H2305" s="21">
        <v>2290</v>
      </c>
      <c r="I2305" s="107">
        <v>0.66775555158765232</v>
      </c>
      <c r="J2305" s="108">
        <v>1.3349747675948723E-3</v>
      </c>
      <c r="K2305" s="108"/>
      <c r="L2305" s="108">
        <v>3.9800000000000002E-2</v>
      </c>
      <c r="O2305" s="105"/>
    </row>
    <row r="2306" spans="2:15" x14ac:dyDescent="0.2">
      <c r="B2306" s="1">
        <v>2291</v>
      </c>
      <c r="C2306" s="106">
        <f t="shared" ca="1" si="140"/>
        <v>0.55904129845621475</v>
      </c>
      <c r="D2306" s="106">
        <f t="shared" ca="1" si="141"/>
        <v>0.70217503525639546</v>
      </c>
      <c r="E2306" s="106">
        <f t="shared" ca="1" si="142"/>
        <v>0</v>
      </c>
      <c r="F2306" s="21">
        <f t="shared" ca="1" si="143"/>
        <v>0</v>
      </c>
      <c r="H2306" s="21">
        <v>2291</v>
      </c>
      <c r="I2306" s="107">
        <v>0.66778361971320943</v>
      </c>
      <c r="J2306" s="108">
        <v>1.4282270018210097E-3</v>
      </c>
      <c r="K2306" s="108"/>
      <c r="L2306" s="108">
        <v>4.1599999999999998E-2</v>
      </c>
      <c r="O2306" s="105"/>
    </row>
    <row r="2307" spans="2:15" x14ac:dyDescent="0.2">
      <c r="B2307" s="1">
        <v>2292</v>
      </c>
      <c r="C2307" s="106">
        <f t="shared" ca="1" si="140"/>
        <v>1.1712376011182219</v>
      </c>
      <c r="D2307" s="106">
        <f t="shared" ca="1" si="141"/>
        <v>0.74588435333103453</v>
      </c>
      <c r="E2307" s="106">
        <f t="shared" ca="1" si="142"/>
        <v>0</v>
      </c>
      <c r="F2307" s="21">
        <f t="shared" ca="1" si="143"/>
        <v>0</v>
      </c>
      <c r="H2307" s="21">
        <v>2292</v>
      </c>
      <c r="I2307" s="107">
        <v>0.66783786854219118</v>
      </c>
      <c r="J2307" s="108">
        <v>1.4195649347524761E-3</v>
      </c>
      <c r="K2307" s="108"/>
      <c r="L2307" s="108">
        <v>4.36E-2</v>
      </c>
      <c r="O2307" s="105"/>
    </row>
    <row r="2308" spans="2:15" x14ac:dyDescent="0.2">
      <c r="B2308" s="1">
        <v>2293</v>
      </c>
      <c r="C2308" s="106">
        <f t="shared" ca="1" si="140"/>
        <v>-0.141679748028705</v>
      </c>
      <c r="D2308" s="106">
        <f t="shared" ca="1" si="141"/>
        <v>0.65528002142334829</v>
      </c>
      <c r="E2308" s="106">
        <f t="shared" ca="1" si="142"/>
        <v>0</v>
      </c>
      <c r="F2308" s="21">
        <f t="shared" ca="1" si="143"/>
        <v>0</v>
      </c>
      <c r="H2308" s="21">
        <v>2293</v>
      </c>
      <c r="I2308" s="107">
        <v>0.66784490299352961</v>
      </c>
      <c r="J2308" s="108">
        <v>1.5391132081392454E-3</v>
      </c>
      <c r="K2308" s="108"/>
      <c r="L2308" s="108">
        <v>4.3200000000000002E-2</v>
      </c>
      <c r="O2308" s="105"/>
    </row>
    <row r="2309" spans="2:15" x14ac:dyDescent="0.2">
      <c r="B2309" s="1">
        <v>2294</v>
      </c>
      <c r="C2309" s="106">
        <f t="shared" ca="1" si="140"/>
        <v>0.44669794189685014</v>
      </c>
      <c r="D2309" s="106">
        <f t="shared" ca="1" si="141"/>
        <v>0.69443669996823076</v>
      </c>
      <c r="E2309" s="106">
        <f t="shared" ca="1" si="142"/>
        <v>0</v>
      </c>
      <c r="F2309" s="21">
        <f t="shared" ca="1" si="143"/>
        <v>0</v>
      </c>
      <c r="H2309" s="21">
        <v>2294</v>
      </c>
      <c r="I2309" s="107">
        <v>0.66778079545214797</v>
      </c>
      <c r="J2309" s="108">
        <v>1.4595528620824673E-3</v>
      </c>
      <c r="K2309" s="108"/>
      <c r="L2309" s="108">
        <v>4.3799999999999999E-2</v>
      </c>
      <c r="O2309" s="105"/>
    </row>
    <row r="2310" spans="2:15" x14ac:dyDescent="0.2">
      <c r="B2310" s="1">
        <v>2295</v>
      </c>
      <c r="C2310" s="106">
        <f t="shared" ca="1" si="140"/>
        <v>0.48229550310122415</v>
      </c>
      <c r="D2310" s="106">
        <f t="shared" ca="1" si="141"/>
        <v>0.69687942466091979</v>
      </c>
      <c r="E2310" s="106">
        <f t="shared" ca="1" si="142"/>
        <v>0</v>
      </c>
      <c r="F2310" s="21">
        <f t="shared" ca="1" si="143"/>
        <v>0</v>
      </c>
      <c r="H2310" s="21">
        <v>2295</v>
      </c>
      <c r="I2310" s="107">
        <v>0.66773263999073018</v>
      </c>
      <c r="J2310" s="108">
        <v>1.44030965875136E-3</v>
      </c>
      <c r="K2310" s="108"/>
      <c r="L2310" s="108">
        <v>4.02E-2</v>
      </c>
      <c r="O2310" s="105"/>
    </row>
    <row r="2311" spans="2:15" x14ac:dyDescent="0.2">
      <c r="B2311" s="1">
        <v>2296</v>
      </c>
      <c r="C2311" s="106">
        <f t="shared" ca="1" si="140"/>
        <v>0.5694299612918432</v>
      </c>
      <c r="D2311" s="106">
        <f t="shared" ca="1" si="141"/>
        <v>0.70289495896795651</v>
      </c>
      <c r="E2311" s="106">
        <f t="shared" ca="1" si="142"/>
        <v>0</v>
      </c>
      <c r="F2311" s="21">
        <f t="shared" ca="1" si="143"/>
        <v>0</v>
      </c>
      <c r="H2311" s="21">
        <v>2296</v>
      </c>
      <c r="I2311" s="107">
        <v>0.66773518332748372</v>
      </c>
      <c r="J2311" s="108">
        <v>1.3748617459523583E-3</v>
      </c>
      <c r="K2311" s="108"/>
      <c r="L2311" s="108">
        <v>4.02E-2</v>
      </c>
      <c r="O2311" s="105"/>
    </row>
    <row r="2312" spans="2:15" x14ac:dyDescent="0.2">
      <c r="B2312" s="1">
        <v>2297</v>
      </c>
      <c r="C2312" s="106">
        <f t="shared" ca="1" si="140"/>
        <v>1.4159330657093305</v>
      </c>
      <c r="D2312" s="106">
        <f t="shared" ca="1" si="141"/>
        <v>0.76410686182059906</v>
      </c>
      <c r="E2312" s="106">
        <f t="shared" ca="1" si="142"/>
        <v>0</v>
      </c>
      <c r="F2312" s="21">
        <f t="shared" ca="1" si="143"/>
        <v>0</v>
      </c>
      <c r="H2312" s="21">
        <v>2297</v>
      </c>
      <c r="I2312" s="107">
        <v>0.66778107202107317</v>
      </c>
      <c r="J2312" s="108">
        <v>1.4357506089063765E-3</v>
      </c>
      <c r="K2312" s="108"/>
      <c r="L2312" s="108">
        <v>4.2599999999999999E-2</v>
      </c>
      <c r="O2312" s="105"/>
    </row>
    <row r="2313" spans="2:15" x14ac:dyDescent="0.2">
      <c r="B2313" s="1">
        <v>2298</v>
      </c>
      <c r="C2313" s="106">
        <f t="shared" ca="1" si="140"/>
        <v>0.14414366314023988</v>
      </c>
      <c r="D2313" s="106">
        <f t="shared" ca="1" si="141"/>
        <v>0.67401789305110871</v>
      </c>
      <c r="E2313" s="106">
        <f t="shared" ca="1" si="142"/>
        <v>0</v>
      </c>
      <c r="F2313" s="21">
        <f t="shared" ca="1" si="143"/>
        <v>0</v>
      </c>
      <c r="H2313" s="21">
        <v>2298</v>
      </c>
      <c r="I2313" s="107">
        <v>0.66765052673852532</v>
      </c>
      <c r="J2313" s="108">
        <v>1.3384386079899953E-3</v>
      </c>
      <c r="K2313" s="108"/>
      <c r="L2313" s="108">
        <v>0.04</v>
      </c>
      <c r="O2313" s="105"/>
    </row>
    <row r="2314" spans="2:15" x14ac:dyDescent="0.2">
      <c r="B2314" s="1">
        <v>2299</v>
      </c>
      <c r="C2314" s="106">
        <f t="shared" ca="1" si="140"/>
        <v>-0.25147039481471906</v>
      </c>
      <c r="D2314" s="106">
        <f t="shared" ca="1" si="141"/>
        <v>0.64822169706754917</v>
      </c>
      <c r="E2314" s="106">
        <f t="shared" ca="1" si="142"/>
        <v>0</v>
      </c>
      <c r="F2314" s="21">
        <f t="shared" ca="1" si="143"/>
        <v>0</v>
      </c>
      <c r="H2314" s="21">
        <v>2299</v>
      </c>
      <c r="I2314" s="107">
        <v>0.66783654291603178</v>
      </c>
      <c r="J2314" s="108">
        <v>1.6758400563794136E-3</v>
      </c>
      <c r="K2314" s="108"/>
      <c r="L2314" s="108">
        <v>4.3400000000000001E-2</v>
      </c>
      <c r="O2314" s="105"/>
    </row>
    <row r="2315" spans="2:15" x14ac:dyDescent="0.2">
      <c r="B2315" s="1">
        <v>2300</v>
      </c>
      <c r="C2315" s="106">
        <f t="shared" ca="1" si="140"/>
        <v>-1.8001194095466786</v>
      </c>
      <c r="D2315" s="106">
        <f t="shared" ca="1" si="141"/>
        <v>0.55639138195157145</v>
      </c>
      <c r="E2315" s="106">
        <f t="shared" ca="1" si="142"/>
        <v>0</v>
      </c>
      <c r="F2315" s="21">
        <f t="shared" ca="1" si="143"/>
        <v>0</v>
      </c>
      <c r="H2315" s="21">
        <v>2300</v>
      </c>
      <c r="I2315" s="107">
        <v>0.66752411565929637</v>
      </c>
      <c r="J2315" s="108">
        <v>1.0870703913782344E-3</v>
      </c>
      <c r="K2315" s="108"/>
      <c r="L2315" s="108">
        <v>3.6400000000000002E-2</v>
      </c>
      <c r="O2315" s="105"/>
    </row>
    <row r="2316" spans="2:15" x14ac:dyDescent="0.2">
      <c r="B2316" s="1">
        <v>2301</v>
      </c>
      <c r="C2316" s="106">
        <f t="shared" ca="1" si="140"/>
        <v>0.59517134465338928</v>
      </c>
      <c r="D2316" s="106">
        <f t="shared" ca="1" si="141"/>
        <v>0.70468199249699137</v>
      </c>
      <c r="E2316" s="106">
        <f t="shared" ca="1" si="142"/>
        <v>0</v>
      </c>
      <c r="F2316" s="21">
        <f t="shared" ca="1" si="143"/>
        <v>0</v>
      </c>
      <c r="H2316" s="21">
        <v>2301</v>
      </c>
      <c r="I2316" s="107">
        <v>0.66754618418029299</v>
      </c>
      <c r="J2316" s="108">
        <v>1.0928810399209322E-3</v>
      </c>
      <c r="K2316" s="108"/>
      <c r="L2316" s="108">
        <v>3.5799999999999998E-2</v>
      </c>
      <c r="O2316" s="105"/>
    </row>
    <row r="2317" spans="2:15" x14ac:dyDescent="0.2">
      <c r="B2317" s="1">
        <v>2302</v>
      </c>
      <c r="C2317" s="106">
        <f t="shared" ca="1" si="140"/>
        <v>0.42839929385808573</v>
      </c>
      <c r="D2317" s="106">
        <f t="shared" ca="1" si="141"/>
        <v>0.69318437027871638</v>
      </c>
      <c r="E2317" s="106">
        <f t="shared" ca="1" si="142"/>
        <v>0</v>
      </c>
      <c r="F2317" s="21">
        <f t="shared" ca="1" si="143"/>
        <v>0</v>
      </c>
      <c r="H2317" s="21">
        <v>2302</v>
      </c>
      <c r="I2317" s="107">
        <v>0.66782029541227717</v>
      </c>
      <c r="J2317" s="108">
        <v>1.4023760609232735E-3</v>
      </c>
      <c r="K2317" s="108"/>
      <c r="L2317" s="108">
        <v>4.3400000000000001E-2</v>
      </c>
      <c r="O2317" s="105"/>
    </row>
    <row r="2318" spans="2:15" x14ac:dyDescent="0.2">
      <c r="B2318" s="1">
        <v>2303</v>
      </c>
      <c r="C2318" s="106">
        <f t="shared" ca="1" si="140"/>
        <v>0.13986640160902736</v>
      </c>
      <c r="D2318" s="106">
        <f t="shared" ca="1" si="141"/>
        <v>0.67373357494477415</v>
      </c>
      <c r="E2318" s="106">
        <f t="shared" ca="1" si="142"/>
        <v>0</v>
      </c>
      <c r="F2318" s="21">
        <f t="shared" ca="1" si="143"/>
        <v>0</v>
      </c>
      <c r="H2318" s="21">
        <v>2303</v>
      </c>
      <c r="I2318" s="107">
        <v>0.66785000402416428</v>
      </c>
      <c r="J2318" s="108">
        <v>1.5119730942569757E-3</v>
      </c>
      <c r="K2318" s="108"/>
      <c r="L2318" s="108">
        <v>4.6600000000000003E-2</v>
      </c>
      <c r="O2318" s="105"/>
    </row>
    <row r="2319" spans="2:15" x14ac:dyDescent="0.2">
      <c r="B2319" s="1">
        <v>2304</v>
      </c>
      <c r="C2319" s="106">
        <f t="shared" ca="1" si="140"/>
        <v>0.22632506648120679</v>
      </c>
      <c r="D2319" s="106">
        <f t="shared" ca="1" si="141"/>
        <v>0.67950401388710946</v>
      </c>
      <c r="E2319" s="106">
        <f t="shared" ca="1" si="142"/>
        <v>0</v>
      </c>
      <c r="F2319" s="21">
        <f t="shared" ca="1" si="143"/>
        <v>0</v>
      </c>
      <c r="H2319" s="21">
        <v>2304</v>
      </c>
      <c r="I2319" s="107">
        <v>0.66766739856666379</v>
      </c>
      <c r="J2319" s="108">
        <v>1.22596947149614E-3</v>
      </c>
      <c r="K2319" s="108"/>
      <c r="L2319" s="108">
        <v>4.1200000000000001E-2</v>
      </c>
      <c r="O2319" s="105"/>
    </row>
    <row r="2320" spans="2:15" x14ac:dyDescent="0.2">
      <c r="B2320" s="1">
        <v>2305</v>
      </c>
      <c r="C2320" s="106">
        <f t="shared" ref="C2320:C2383" ca="1" si="144">_xlfn.NORM.S.INV(RAND())</f>
        <v>-1.1985789643943808E-2</v>
      </c>
      <c r="D2320" s="106">
        <f t="shared" ref="D2320:D2383" ca="1" si="145">S0*EXP((μ-0.5*σ*σ)*T+σ*SQRT(T)*$C2320)</f>
        <v>0.66371699209755075</v>
      </c>
      <c r="E2320" s="106">
        <f t="shared" ref="E2320:E2383" ca="1" si="146">MAX(0,CP*(D2320-K))</f>
        <v>0</v>
      </c>
      <c r="F2320" s="21">
        <f t="shared" ref="F2320:F2383" ca="1" si="147">(CP*(D2320-K)&gt;0)*1</f>
        <v>0</v>
      </c>
      <c r="H2320" s="21">
        <v>2305</v>
      </c>
      <c r="I2320" s="107">
        <v>0.66765457982883558</v>
      </c>
      <c r="J2320" s="108">
        <v>1.2240253106059952E-3</v>
      </c>
      <c r="K2320" s="108"/>
      <c r="L2320" s="108">
        <v>4.0399999999999998E-2</v>
      </c>
      <c r="O2320" s="105"/>
    </row>
    <row r="2321" spans="2:15" x14ac:dyDescent="0.2">
      <c r="B2321" s="1">
        <v>2306</v>
      </c>
      <c r="C2321" s="106">
        <f t="shared" ca="1" si="144"/>
        <v>-0.68116845214039912</v>
      </c>
      <c r="D2321" s="106">
        <f t="shared" ca="1" si="145"/>
        <v>0.62132032915777002</v>
      </c>
      <c r="E2321" s="106">
        <f t="shared" ca="1" si="146"/>
        <v>0</v>
      </c>
      <c r="F2321" s="21">
        <f t="shared" ca="1" si="147"/>
        <v>0</v>
      </c>
      <c r="H2321" s="21">
        <v>2306</v>
      </c>
      <c r="I2321" s="107">
        <v>0.66774352168299933</v>
      </c>
      <c r="J2321" s="108">
        <v>1.5408068937778246E-3</v>
      </c>
      <c r="K2321" s="108"/>
      <c r="L2321" s="108">
        <v>4.24E-2</v>
      </c>
      <c r="O2321" s="105"/>
    </row>
    <row r="2322" spans="2:15" x14ac:dyDescent="0.2">
      <c r="B2322" s="1">
        <v>2307</v>
      </c>
      <c r="C2322" s="106">
        <f t="shared" ca="1" si="144"/>
        <v>2.1511986735753021</v>
      </c>
      <c r="D2322" s="106">
        <f t="shared" ca="1" si="145"/>
        <v>0.8215848552698144</v>
      </c>
      <c r="E2322" s="106">
        <f t="shared" ca="1" si="146"/>
        <v>3.3384855269814384E-2</v>
      </c>
      <c r="F2322" s="21">
        <f t="shared" ca="1" si="147"/>
        <v>1</v>
      </c>
      <c r="H2322" s="21">
        <v>2307</v>
      </c>
      <c r="I2322" s="107">
        <v>0.6677096546469613</v>
      </c>
      <c r="J2322" s="108">
        <v>1.2903311583928861E-3</v>
      </c>
      <c r="K2322" s="108"/>
      <c r="L2322" s="108">
        <v>4.4400000000000002E-2</v>
      </c>
      <c r="O2322" s="105"/>
    </row>
    <row r="2323" spans="2:15" x14ac:dyDescent="0.2">
      <c r="B2323" s="1">
        <v>2308</v>
      </c>
      <c r="C2323" s="106">
        <f t="shared" ca="1" si="144"/>
        <v>1.4043354765381149</v>
      </c>
      <c r="D2323" s="106">
        <f t="shared" ca="1" si="145"/>
        <v>0.76323322218768841</v>
      </c>
      <c r="E2323" s="106">
        <f t="shared" ca="1" si="146"/>
        <v>0</v>
      </c>
      <c r="F2323" s="21">
        <f t="shared" ca="1" si="147"/>
        <v>0</v>
      </c>
      <c r="H2323" s="21">
        <v>2308</v>
      </c>
      <c r="I2323" s="107">
        <v>0.66774698531408772</v>
      </c>
      <c r="J2323" s="108">
        <v>1.3856244819963951E-3</v>
      </c>
      <c r="K2323" s="108"/>
      <c r="L2323" s="108">
        <v>4.4200000000000003E-2</v>
      </c>
      <c r="O2323" s="105"/>
    </row>
    <row r="2324" spans="2:15" x14ac:dyDescent="0.2">
      <c r="B2324" s="1">
        <v>2309</v>
      </c>
      <c r="C2324" s="106">
        <f t="shared" ca="1" si="144"/>
        <v>0.29216728253406216</v>
      </c>
      <c r="D2324" s="106">
        <f t="shared" ca="1" si="145"/>
        <v>0.68393159422283301</v>
      </c>
      <c r="E2324" s="106">
        <f t="shared" ca="1" si="146"/>
        <v>0</v>
      </c>
      <c r="F2324" s="21">
        <f t="shared" ca="1" si="147"/>
        <v>0</v>
      </c>
      <c r="H2324" s="21">
        <v>2309</v>
      </c>
      <c r="I2324" s="107">
        <v>0.66793602912680583</v>
      </c>
      <c r="J2324" s="108">
        <v>1.5825878107754037E-3</v>
      </c>
      <c r="K2324" s="108"/>
      <c r="L2324" s="108">
        <v>4.3999999999999997E-2</v>
      </c>
      <c r="O2324" s="105"/>
    </row>
    <row r="2325" spans="2:15" x14ac:dyDescent="0.2">
      <c r="B2325" s="1">
        <v>2310</v>
      </c>
      <c r="C2325" s="106">
        <f t="shared" ca="1" si="144"/>
        <v>-0.51245266216658869</v>
      </c>
      <c r="D2325" s="106">
        <f t="shared" ca="1" si="145"/>
        <v>0.63174708121036671</v>
      </c>
      <c r="E2325" s="106">
        <f t="shared" ca="1" si="146"/>
        <v>0</v>
      </c>
      <c r="F2325" s="21">
        <f t="shared" ca="1" si="147"/>
        <v>0</v>
      </c>
      <c r="H2325" s="21">
        <v>2310</v>
      </c>
      <c r="I2325" s="107">
        <v>0.66780249891270449</v>
      </c>
      <c r="J2325" s="108">
        <v>1.3847732908711379E-3</v>
      </c>
      <c r="K2325" s="108"/>
      <c r="L2325" s="108">
        <v>4.5400000000000003E-2</v>
      </c>
      <c r="O2325" s="105"/>
    </row>
    <row r="2326" spans="2:15" x14ac:dyDescent="0.2">
      <c r="B2326" s="1">
        <v>2311</v>
      </c>
      <c r="C2326" s="106">
        <f t="shared" ca="1" si="144"/>
        <v>1.5376500591154196</v>
      </c>
      <c r="D2326" s="106">
        <f t="shared" ca="1" si="145"/>
        <v>0.77333627237984348</v>
      </c>
      <c r="E2326" s="106">
        <f t="shared" ca="1" si="146"/>
        <v>0</v>
      </c>
      <c r="F2326" s="21">
        <f t="shared" ca="1" si="147"/>
        <v>0</v>
      </c>
      <c r="H2326" s="21">
        <v>2311</v>
      </c>
      <c r="I2326" s="107">
        <v>0.66770035455653165</v>
      </c>
      <c r="J2326" s="108">
        <v>1.4269034884916651E-3</v>
      </c>
      <c r="K2326" s="108"/>
      <c r="L2326" s="108">
        <v>3.9399999999999998E-2</v>
      </c>
      <c r="O2326" s="105"/>
    </row>
    <row r="2327" spans="2:15" x14ac:dyDescent="0.2">
      <c r="B2327" s="1">
        <v>2312</v>
      </c>
      <c r="C2327" s="106">
        <f t="shared" ca="1" si="144"/>
        <v>-0.32862119019473829</v>
      </c>
      <c r="D2327" s="106">
        <f t="shared" ca="1" si="145"/>
        <v>0.64330728720723684</v>
      </c>
      <c r="E2327" s="106">
        <f t="shared" ca="1" si="146"/>
        <v>0</v>
      </c>
      <c r="F2327" s="21">
        <f t="shared" ca="1" si="147"/>
        <v>0</v>
      </c>
      <c r="H2327" s="21">
        <v>2312</v>
      </c>
      <c r="I2327" s="107">
        <v>0.66762529754130073</v>
      </c>
      <c r="J2327" s="108">
        <v>1.2201131443293513E-3</v>
      </c>
      <c r="K2327" s="108"/>
      <c r="L2327" s="108">
        <v>3.9800000000000002E-2</v>
      </c>
      <c r="O2327" s="105"/>
    </row>
    <row r="2328" spans="2:15" x14ac:dyDescent="0.2">
      <c r="B2328" s="1">
        <v>2313</v>
      </c>
      <c r="C2328" s="106">
        <f t="shared" ca="1" si="144"/>
        <v>-1.1891783449000448</v>
      </c>
      <c r="D2328" s="106">
        <f t="shared" ca="1" si="145"/>
        <v>0.59095271607678268</v>
      </c>
      <c r="E2328" s="106">
        <f t="shared" ca="1" si="146"/>
        <v>0</v>
      </c>
      <c r="F2328" s="21">
        <f t="shared" ca="1" si="147"/>
        <v>0</v>
      </c>
      <c r="H2328" s="21">
        <v>2313</v>
      </c>
      <c r="I2328" s="107">
        <v>0.66783009023132622</v>
      </c>
      <c r="J2328" s="108">
        <v>1.4601269337443502E-3</v>
      </c>
      <c r="K2328" s="108"/>
      <c r="L2328" s="108">
        <v>4.3799999999999999E-2</v>
      </c>
      <c r="O2328" s="105"/>
    </row>
    <row r="2329" spans="2:15" x14ac:dyDescent="0.2">
      <c r="B2329" s="1">
        <v>2314</v>
      </c>
      <c r="C2329" s="106">
        <f t="shared" ca="1" si="144"/>
        <v>-1.0453912743841565</v>
      </c>
      <c r="D2329" s="106">
        <f t="shared" ca="1" si="145"/>
        <v>0.59939412587778984</v>
      </c>
      <c r="E2329" s="106">
        <f t="shared" ca="1" si="146"/>
        <v>0</v>
      </c>
      <c r="F2329" s="21">
        <f t="shared" ca="1" si="147"/>
        <v>0</v>
      </c>
      <c r="H2329" s="21">
        <v>2314</v>
      </c>
      <c r="I2329" s="107">
        <v>0.6677213491567846</v>
      </c>
      <c r="J2329" s="108">
        <v>1.2913762091842629E-3</v>
      </c>
      <c r="K2329" s="108"/>
      <c r="L2329" s="108">
        <v>4.1799999999999997E-2</v>
      </c>
      <c r="O2329" s="105"/>
    </row>
    <row r="2330" spans="2:15" x14ac:dyDescent="0.2">
      <c r="B2330" s="1">
        <v>2315</v>
      </c>
      <c r="C2330" s="106">
        <f t="shared" ca="1" si="144"/>
        <v>-0.54085233218167783</v>
      </c>
      <c r="D2330" s="106">
        <f t="shared" ca="1" si="145"/>
        <v>0.62997979345509225</v>
      </c>
      <c r="E2330" s="106">
        <f t="shared" ca="1" si="146"/>
        <v>0</v>
      </c>
      <c r="F2330" s="21">
        <f t="shared" ca="1" si="147"/>
        <v>0</v>
      </c>
      <c r="H2330" s="21">
        <v>2315</v>
      </c>
      <c r="I2330" s="107">
        <v>0.66773891698542109</v>
      </c>
      <c r="J2330" s="108">
        <v>1.381058725771149E-3</v>
      </c>
      <c r="K2330" s="108"/>
      <c r="L2330" s="108">
        <v>4.4200000000000003E-2</v>
      </c>
      <c r="O2330" s="105"/>
    </row>
    <row r="2331" spans="2:15" x14ac:dyDescent="0.2">
      <c r="B2331" s="1">
        <v>2316</v>
      </c>
      <c r="C2331" s="106">
        <f t="shared" ca="1" si="144"/>
        <v>0.11756463612022351</v>
      </c>
      <c r="D2331" s="106">
        <f t="shared" ca="1" si="145"/>
        <v>0.67225307387129285</v>
      </c>
      <c r="E2331" s="106">
        <f t="shared" ca="1" si="146"/>
        <v>0</v>
      </c>
      <c r="F2331" s="21">
        <f t="shared" ca="1" si="147"/>
        <v>0</v>
      </c>
      <c r="H2331" s="21">
        <v>2316</v>
      </c>
      <c r="I2331" s="107">
        <v>0.66768022504947544</v>
      </c>
      <c r="J2331" s="108">
        <v>1.2905043827937217E-3</v>
      </c>
      <c r="K2331" s="108"/>
      <c r="L2331" s="108">
        <v>4.24E-2</v>
      </c>
      <c r="O2331" s="105"/>
    </row>
    <row r="2332" spans="2:15" x14ac:dyDescent="0.2">
      <c r="B2332" s="1">
        <v>2317</v>
      </c>
      <c r="C2332" s="106">
        <f t="shared" ca="1" si="144"/>
        <v>0.8300255464331775</v>
      </c>
      <c r="D2332" s="106">
        <f t="shared" ca="1" si="145"/>
        <v>0.72119745061398977</v>
      </c>
      <c r="E2332" s="106">
        <f t="shared" ca="1" si="146"/>
        <v>0</v>
      </c>
      <c r="F2332" s="21">
        <f t="shared" ca="1" si="147"/>
        <v>0</v>
      </c>
      <c r="H2332" s="21">
        <v>2317</v>
      </c>
      <c r="I2332" s="107">
        <v>0.66776912324330528</v>
      </c>
      <c r="J2332" s="108">
        <v>1.4887212643861418E-3</v>
      </c>
      <c r="K2332" s="108"/>
      <c r="L2332" s="108">
        <v>4.48E-2</v>
      </c>
      <c r="O2332" s="105"/>
    </row>
    <row r="2333" spans="2:15" x14ac:dyDescent="0.2">
      <c r="B2333" s="1">
        <v>2318</v>
      </c>
      <c r="C2333" s="106">
        <f t="shared" ca="1" si="144"/>
        <v>-1.6179350722111636</v>
      </c>
      <c r="D2333" s="106">
        <f t="shared" ca="1" si="145"/>
        <v>0.56648062324756043</v>
      </c>
      <c r="E2333" s="106">
        <f t="shared" ca="1" si="146"/>
        <v>0</v>
      </c>
      <c r="F2333" s="21">
        <f t="shared" ca="1" si="147"/>
        <v>0</v>
      </c>
      <c r="H2333" s="21">
        <v>2318</v>
      </c>
      <c r="I2333" s="107">
        <v>0.66768777886641384</v>
      </c>
      <c r="J2333" s="108">
        <v>1.2123969677443034E-3</v>
      </c>
      <c r="K2333" s="108"/>
      <c r="L2333" s="108">
        <v>3.8199999999999998E-2</v>
      </c>
      <c r="O2333" s="105"/>
    </row>
    <row r="2334" spans="2:15" x14ac:dyDescent="0.2">
      <c r="B2334" s="1">
        <v>2319</v>
      </c>
      <c r="C2334" s="106">
        <f t="shared" ca="1" si="144"/>
        <v>-2.7392616874142042E-2</v>
      </c>
      <c r="D2334" s="106">
        <f t="shared" ca="1" si="145"/>
        <v>0.66270907437458859</v>
      </c>
      <c r="E2334" s="106">
        <f t="shared" ca="1" si="146"/>
        <v>0</v>
      </c>
      <c r="F2334" s="21">
        <f t="shared" ca="1" si="147"/>
        <v>0</v>
      </c>
      <c r="H2334" s="21">
        <v>2319</v>
      </c>
      <c r="I2334" s="107">
        <v>0.66778210657613313</v>
      </c>
      <c r="J2334" s="108">
        <v>1.4455771034054617E-3</v>
      </c>
      <c r="K2334" s="108"/>
      <c r="L2334" s="108">
        <v>4.48E-2</v>
      </c>
      <c r="O2334" s="105"/>
    </row>
    <row r="2335" spans="2:15" x14ac:dyDescent="0.2">
      <c r="B2335" s="1">
        <v>2320</v>
      </c>
      <c r="C2335" s="106">
        <f t="shared" ca="1" si="144"/>
        <v>-1.562541888830022</v>
      </c>
      <c r="D2335" s="106">
        <f t="shared" ca="1" si="145"/>
        <v>0.56958437751214241</v>
      </c>
      <c r="E2335" s="106">
        <f t="shared" ca="1" si="146"/>
        <v>0</v>
      </c>
      <c r="F2335" s="21">
        <f t="shared" ca="1" si="147"/>
        <v>0</v>
      </c>
      <c r="H2335" s="21">
        <v>2320</v>
      </c>
      <c r="I2335" s="107">
        <v>0.66767253559277906</v>
      </c>
      <c r="J2335" s="108">
        <v>1.3499589516052703E-3</v>
      </c>
      <c r="K2335" s="108"/>
      <c r="L2335" s="108">
        <v>3.8800000000000001E-2</v>
      </c>
      <c r="O2335" s="105"/>
    </row>
    <row r="2336" spans="2:15" x14ac:dyDescent="0.2">
      <c r="B2336" s="1">
        <v>2321</v>
      </c>
      <c r="C2336" s="106">
        <f t="shared" ca="1" si="144"/>
        <v>-0.65225401666205352</v>
      </c>
      <c r="D2336" s="106">
        <f t="shared" ca="1" si="145"/>
        <v>0.62309496262479247</v>
      </c>
      <c r="E2336" s="106">
        <f t="shared" ca="1" si="146"/>
        <v>0</v>
      </c>
      <c r="F2336" s="21">
        <f t="shared" ca="1" si="147"/>
        <v>0</v>
      </c>
      <c r="H2336" s="21">
        <v>2321</v>
      </c>
      <c r="I2336" s="107">
        <v>0.66773853027488939</v>
      </c>
      <c r="J2336" s="108">
        <v>1.2804388950399066E-3</v>
      </c>
      <c r="K2336" s="108"/>
      <c r="L2336" s="108">
        <v>4.0599999999999997E-2</v>
      </c>
      <c r="O2336" s="105"/>
    </row>
    <row r="2337" spans="2:15" x14ac:dyDescent="0.2">
      <c r="B2337" s="1">
        <v>2322</v>
      </c>
      <c r="C2337" s="106">
        <f t="shared" ca="1" si="144"/>
        <v>-0.86084247122334467</v>
      </c>
      <c r="D2337" s="106">
        <f t="shared" ca="1" si="145"/>
        <v>0.61040550184869002</v>
      </c>
      <c r="E2337" s="106">
        <f t="shared" ca="1" si="146"/>
        <v>0</v>
      </c>
      <c r="F2337" s="21">
        <f t="shared" ca="1" si="147"/>
        <v>0</v>
      </c>
      <c r="H2337" s="21">
        <v>2322</v>
      </c>
      <c r="I2337" s="107">
        <v>0.66778547852281589</v>
      </c>
      <c r="J2337" s="108">
        <v>1.5480568353134351E-3</v>
      </c>
      <c r="K2337" s="108"/>
      <c r="L2337" s="108">
        <v>4.3400000000000001E-2</v>
      </c>
      <c r="O2337" s="105"/>
    </row>
    <row r="2338" spans="2:15" x14ac:dyDescent="0.2">
      <c r="B2338" s="1">
        <v>2323</v>
      </c>
      <c r="C2338" s="106">
        <f t="shared" ca="1" si="144"/>
        <v>-1.0110395758347535</v>
      </c>
      <c r="D2338" s="106">
        <f t="shared" ca="1" si="145"/>
        <v>0.60142861611289722</v>
      </c>
      <c r="E2338" s="106">
        <f t="shared" ca="1" si="146"/>
        <v>0</v>
      </c>
      <c r="F2338" s="21">
        <f t="shared" ca="1" si="147"/>
        <v>0</v>
      </c>
      <c r="H2338" s="21">
        <v>2323</v>
      </c>
      <c r="I2338" s="107">
        <v>0.66782403955110858</v>
      </c>
      <c r="J2338" s="108">
        <v>1.3598539761783966E-3</v>
      </c>
      <c r="K2338" s="108"/>
      <c r="L2338" s="108">
        <v>4.3200000000000002E-2</v>
      </c>
      <c r="O2338" s="105"/>
    </row>
    <row r="2339" spans="2:15" x14ac:dyDescent="0.2">
      <c r="B2339" s="1">
        <v>2324</v>
      </c>
      <c r="C2339" s="106">
        <f t="shared" ca="1" si="144"/>
        <v>1.9790292033643027</v>
      </c>
      <c r="D2339" s="106">
        <f t="shared" ca="1" si="145"/>
        <v>0.80774967344763227</v>
      </c>
      <c r="E2339" s="106">
        <f t="shared" ca="1" si="146"/>
        <v>1.9549673447632254E-2</v>
      </c>
      <c r="F2339" s="21">
        <f t="shared" ca="1" si="147"/>
        <v>1</v>
      </c>
      <c r="H2339" s="21">
        <v>2324</v>
      </c>
      <c r="I2339" s="107">
        <v>0.66795651756169561</v>
      </c>
      <c r="J2339" s="108">
        <v>1.5719212432207638E-3</v>
      </c>
      <c r="K2339" s="108"/>
      <c r="L2339" s="108">
        <v>4.6600000000000003E-2</v>
      </c>
      <c r="O2339" s="105"/>
    </row>
    <row r="2340" spans="2:15" x14ac:dyDescent="0.2">
      <c r="B2340" s="1">
        <v>2325</v>
      </c>
      <c r="C2340" s="106">
        <f t="shared" ca="1" si="144"/>
        <v>-1.5041546177308984</v>
      </c>
      <c r="D2340" s="106">
        <f t="shared" ca="1" si="145"/>
        <v>0.57287430544728679</v>
      </c>
      <c r="E2340" s="106">
        <f t="shared" ca="1" si="146"/>
        <v>0</v>
      </c>
      <c r="F2340" s="21">
        <f t="shared" ca="1" si="147"/>
        <v>0</v>
      </c>
      <c r="H2340" s="21">
        <v>2325</v>
      </c>
      <c r="I2340" s="107">
        <v>0.66766344956969814</v>
      </c>
      <c r="J2340" s="108">
        <v>1.310017055495227E-3</v>
      </c>
      <c r="K2340" s="108"/>
      <c r="L2340" s="108">
        <v>3.8600000000000002E-2</v>
      </c>
      <c r="O2340" s="105"/>
    </row>
    <row r="2341" spans="2:15" x14ac:dyDescent="0.2">
      <c r="B2341" s="1">
        <v>2326</v>
      </c>
      <c r="C2341" s="106">
        <f t="shared" ca="1" si="144"/>
        <v>-0.5689813978547601</v>
      </c>
      <c r="D2341" s="106">
        <f t="shared" ca="1" si="145"/>
        <v>0.62823421870656382</v>
      </c>
      <c r="E2341" s="106">
        <f t="shared" ca="1" si="146"/>
        <v>0</v>
      </c>
      <c r="F2341" s="21">
        <f t="shared" ca="1" si="147"/>
        <v>0</v>
      </c>
      <c r="H2341" s="21">
        <v>2326</v>
      </c>
      <c r="I2341" s="107">
        <v>0.66760406973559439</v>
      </c>
      <c r="J2341" s="108">
        <v>1.1556551203679107E-3</v>
      </c>
      <c r="K2341" s="108"/>
      <c r="L2341" s="108">
        <v>4.0599999999999997E-2</v>
      </c>
      <c r="O2341" s="105"/>
    </row>
    <row r="2342" spans="2:15" x14ac:dyDescent="0.2">
      <c r="B2342" s="1">
        <v>2327</v>
      </c>
      <c r="C2342" s="106">
        <f t="shared" ca="1" si="144"/>
        <v>-0.50047164370992148</v>
      </c>
      <c r="D2342" s="106">
        <f t="shared" ca="1" si="145"/>
        <v>0.63249413614177252</v>
      </c>
      <c r="E2342" s="106">
        <f t="shared" ca="1" si="146"/>
        <v>0</v>
      </c>
      <c r="F2342" s="21">
        <f t="shared" ca="1" si="147"/>
        <v>0</v>
      </c>
      <c r="H2342" s="21">
        <v>2327</v>
      </c>
      <c r="I2342" s="107">
        <v>0.66767186950072654</v>
      </c>
      <c r="J2342" s="108">
        <v>1.3959924302912137E-3</v>
      </c>
      <c r="K2342" s="108"/>
      <c r="L2342" s="108">
        <v>3.6799999999999999E-2</v>
      </c>
      <c r="O2342" s="105"/>
    </row>
    <row r="2343" spans="2:15" x14ac:dyDescent="0.2">
      <c r="B2343" s="1">
        <v>2328</v>
      </c>
      <c r="C2343" s="106">
        <f t="shared" ca="1" si="144"/>
        <v>-1.8309383529559244</v>
      </c>
      <c r="D2343" s="106">
        <f t="shared" ca="1" si="145"/>
        <v>0.55470250862952508</v>
      </c>
      <c r="E2343" s="106">
        <f t="shared" ca="1" si="146"/>
        <v>0</v>
      </c>
      <c r="F2343" s="21">
        <f t="shared" ca="1" si="147"/>
        <v>0</v>
      </c>
      <c r="H2343" s="21">
        <v>2328</v>
      </c>
      <c r="I2343" s="107">
        <v>0.66771811166930239</v>
      </c>
      <c r="J2343" s="108">
        <v>1.3502705165382377E-3</v>
      </c>
      <c r="K2343" s="108"/>
      <c r="L2343" s="108">
        <v>4.24E-2</v>
      </c>
      <c r="O2343" s="105"/>
    </row>
    <row r="2344" spans="2:15" x14ac:dyDescent="0.2">
      <c r="B2344" s="1">
        <v>2329</v>
      </c>
      <c r="C2344" s="106">
        <f t="shared" ca="1" si="144"/>
        <v>-1.0215372930184807</v>
      </c>
      <c r="D2344" s="106">
        <f t="shared" ca="1" si="145"/>
        <v>0.60080615386228409</v>
      </c>
      <c r="E2344" s="106">
        <f t="shared" ca="1" si="146"/>
        <v>0</v>
      </c>
      <c r="F2344" s="21">
        <f t="shared" ca="1" si="147"/>
        <v>0</v>
      </c>
      <c r="H2344" s="21">
        <v>2329</v>
      </c>
      <c r="I2344" s="107">
        <v>0.66759556082592175</v>
      </c>
      <c r="J2344" s="108">
        <v>1.2058267683725959E-3</v>
      </c>
      <c r="K2344" s="108"/>
      <c r="L2344" s="108">
        <v>3.9199999999999999E-2</v>
      </c>
      <c r="O2344" s="105"/>
    </row>
    <row r="2345" spans="2:15" x14ac:dyDescent="0.2">
      <c r="B2345" s="1">
        <v>2330</v>
      </c>
      <c r="C2345" s="106">
        <f t="shared" ca="1" si="144"/>
        <v>-0.14163187934567151</v>
      </c>
      <c r="D2345" s="106">
        <f t="shared" ca="1" si="145"/>
        <v>0.65528311555175078</v>
      </c>
      <c r="E2345" s="106">
        <f t="shared" ca="1" si="146"/>
        <v>0</v>
      </c>
      <c r="F2345" s="21">
        <f t="shared" ca="1" si="147"/>
        <v>0</v>
      </c>
      <c r="H2345" s="21">
        <v>2330</v>
      </c>
      <c r="I2345" s="107">
        <v>0.66784713130568363</v>
      </c>
      <c r="J2345" s="108">
        <v>1.5026119083574043E-3</v>
      </c>
      <c r="K2345" s="108"/>
      <c r="L2345" s="108">
        <v>4.4400000000000002E-2</v>
      </c>
      <c r="O2345" s="105"/>
    </row>
    <row r="2346" spans="2:15" x14ac:dyDescent="0.2">
      <c r="B2346" s="1">
        <v>2331</v>
      </c>
      <c r="C2346" s="106">
        <f t="shared" ca="1" si="144"/>
        <v>-0.96623745644676418</v>
      </c>
      <c r="D2346" s="106">
        <f t="shared" ca="1" si="145"/>
        <v>0.60409241570921746</v>
      </c>
      <c r="E2346" s="106">
        <f t="shared" ca="1" si="146"/>
        <v>0</v>
      </c>
      <c r="F2346" s="21">
        <f t="shared" ca="1" si="147"/>
        <v>0</v>
      </c>
      <c r="H2346" s="21">
        <v>2331</v>
      </c>
      <c r="I2346" s="107">
        <v>0.66788623098555688</v>
      </c>
      <c r="J2346" s="108">
        <v>1.4302072856023529E-3</v>
      </c>
      <c r="K2346" s="108"/>
      <c r="L2346" s="108">
        <v>4.2200000000000001E-2</v>
      </c>
      <c r="O2346" s="105"/>
    </row>
    <row r="2347" spans="2:15" x14ac:dyDescent="0.2">
      <c r="B2347" s="1">
        <v>2332</v>
      </c>
      <c r="C2347" s="106">
        <f t="shared" ca="1" si="144"/>
        <v>-0.52967368354112898</v>
      </c>
      <c r="D2347" s="106">
        <f t="shared" ca="1" si="145"/>
        <v>0.63067484064453083</v>
      </c>
      <c r="E2347" s="106">
        <f t="shared" ca="1" si="146"/>
        <v>0</v>
      </c>
      <c r="F2347" s="21">
        <f t="shared" ca="1" si="147"/>
        <v>0</v>
      </c>
      <c r="H2347" s="21">
        <v>2332</v>
      </c>
      <c r="I2347" s="107">
        <v>0.66771506840210526</v>
      </c>
      <c r="J2347" s="108">
        <v>1.3259163713454775E-3</v>
      </c>
      <c r="K2347" s="108"/>
      <c r="L2347" s="108">
        <v>3.9399999999999998E-2</v>
      </c>
      <c r="O2347" s="105"/>
    </row>
    <row r="2348" spans="2:15" x14ac:dyDescent="0.2">
      <c r="B2348" s="1">
        <v>2333</v>
      </c>
      <c r="C2348" s="106">
        <f t="shared" ca="1" si="144"/>
        <v>-0.93936254703530375</v>
      </c>
      <c r="D2348" s="106">
        <f t="shared" ca="1" si="145"/>
        <v>0.6056959751846922</v>
      </c>
      <c r="E2348" s="106">
        <f t="shared" ca="1" si="146"/>
        <v>0</v>
      </c>
      <c r="F2348" s="21">
        <f t="shared" ca="1" si="147"/>
        <v>0</v>
      </c>
      <c r="H2348" s="21">
        <v>2333</v>
      </c>
      <c r="I2348" s="107">
        <v>0.66778775479213848</v>
      </c>
      <c r="J2348" s="108">
        <v>1.3728846101793621E-3</v>
      </c>
      <c r="K2348" s="108"/>
      <c r="L2348" s="108">
        <v>4.2000000000000003E-2</v>
      </c>
      <c r="O2348" s="105"/>
    </row>
    <row r="2349" spans="2:15" x14ac:dyDescent="0.2">
      <c r="B2349" s="1">
        <v>2334</v>
      </c>
      <c r="C2349" s="106">
        <f t="shared" ca="1" si="144"/>
        <v>1.6658531429973631</v>
      </c>
      <c r="D2349" s="106">
        <f t="shared" ca="1" si="145"/>
        <v>0.7831780765192371</v>
      </c>
      <c r="E2349" s="106">
        <f t="shared" ca="1" si="146"/>
        <v>0</v>
      </c>
      <c r="F2349" s="21">
        <f t="shared" ca="1" si="147"/>
        <v>0</v>
      </c>
      <c r="H2349" s="21">
        <v>2334</v>
      </c>
      <c r="I2349" s="107">
        <v>0.66776895153072513</v>
      </c>
      <c r="J2349" s="108">
        <v>1.3305233047029047E-3</v>
      </c>
      <c r="K2349" s="108"/>
      <c r="L2349" s="108">
        <v>4.2599999999999999E-2</v>
      </c>
      <c r="O2349" s="105"/>
    </row>
    <row r="2350" spans="2:15" x14ac:dyDescent="0.2">
      <c r="B2350" s="1">
        <v>2335</v>
      </c>
      <c r="C2350" s="106">
        <f t="shared" ca="1" si="144"/>
        <v>-1.4081942901448301</v>
      </c>
      <c r="D2350" s="106">
        <f t="shared" ca="1" si="145"/>
        <v>0.57832268090815908</v>
      </c>
      <c r="E2350" s="106">
        <f t="shared" ca="1" si="146"/>
        <v>0</v>
      </c>
      <c r="F2350" s="21">
        <f t="shared" ca="1" si="147"/>
        <v>0</v>
      </c>
      <c r="H2350" s="21">
        <v>2335</v>
      </c>
      <c r="I2350" s="107">
        <v>0.6675467417713502</v>
      </c>
      <c r="J2350" s="108">
        <v>1.2590261936818651E-3</v>
      </c>
      <c r="K2350" s="108"/>
      <c r="L2350" s="108">
        <v>3.9399999999999998E-2</v>
      </c>
      <c r="O2350" s="105"/>
    </row>
    <row r="2351" spans="2:15" x14ac:dyDescent="0.2">
      <c r="B2351" s="1">
        <v>2336</v>
      </c>
      <c r="C2351" s="106">
        <f t="shared" ca="1" si="144"/>
        <v>0.28225840078743902</v>
      </c>
      <c r="D2351" s="106">
        <f t="shared" ca="1" si="145"/>
        <v>0.68326342881949698</v>
      </c>
      <c r="E2351" s="106">
        <f t="shared" ca="1" si="146"/>
        <v>0</v>
      </c>
      <c r="F2351" s="21">
        <f t="shared" ca="1" si="147"/>
        <v>0</v>
      </c>
      <c r="H2351" s="21">
        <v>2336</v>
      </c>
      <c r="I2351" s="107">
        <v>0.66769313118388529</v>
      </c>
      <c r="J2351" s="108">
        <v>1.3594348369617136E-3</v>
      </c>
      <c r="K2351" s="108"/>
      <c r="L2351" s="108">
        <v>0.04</v>
      </c>
      <c r="O2351" s="105"/>
    </row>
    <row r="2352" spans="2:15" x14ac:dyDescent="0.2">
      <c r="B2352" s="1">
        <v>2337</v>
      </c>
      <c r="C2352" s="106">
        <f t="shared" ca="1" si="144"/>
        <v>-1.1577601730143559</v>
      </c>
      <c r="D2352" s="106">
        <f t="shared" ca="1" si="145"/>
        <v>0.59278699631181486</v>
      </c>
      <c r="E2352" s="106">
        <f t="shared" ca="1" si="146"/>
        <v>0</v>
      </c>
      <c r="F2352" s="21">
        <f t="shared" ca="1" si="147"/>
        <v>0</v>
      </c>
      <c r="H2352" s="21">
        <v>2337</v>
      </c>
      <c r="I2352" s="107">
        <v>0.66787993382791855</v>
      </c>
      <c r="J2352" s="108">
        <v>1.5355776638297076E-3</v>
      </c>
      <c r="K2352" s="108"/>
      <c r="L2352" s="108">
        <v>4.36E-2</v>
      </c>
      <c r="O2352" s="105"/>
    </row>
    <row r="2353" spans="2:15" x14ac:dyDescent="0.2">
      <c r="B2353" s="1">
        <v>2338</v>
      </c>
      <c r="C2353" s="106">
        <f t="shared" ca="1" si="144"/>
        <v>0.18668044270331222</v>
      </c>
      <c r="D2353" s="106">
        <f t="shared" ca="1" si="145"/>
        <v>0.67685193566627122</v>
      </c>
      <c r="E2353" s="106">
        <f t="shared" ca="1" si="146"/>
        <v>0</v>
      </c>
      <c r="F2353" s="21">
        <f t="shared" ca="1" si="147"/>
        <v>0</v>
      </c>
      <c r="H2353" s="21">
        <v>2338</v>
      </c>
      <c r="I2353" s="107">
        <v>0.66789054616079024</v>
      </c>
      <c r="J2353" s="108">
        <v>1.4131040541888074E-3</v>
      </c>
      <c r="K2353" s="108"/>
      <c r="L2353" s="108">
        <v>4.7600000000000003E-2</v>
      </c>
      <c r="O2353" s="105"/>
    </row>
    <row r="2354" spans="2:15" x14ac:dyDescent="0.2">
      <c r="B2354" s="1">
        <v>2339</v>
      </c>
      <c r="C2354" s="106">
        <f t="shared" ca="1" si="144"/>
        <v>0.57666567327455487</v>
      </c>
      <c r="D2354" s="106">
        <f t="shared" ca="1" si="145"/>
        <v>0.70339682245137358</v>
      </c>
      <c r="E2354" s="106">
        <f t="shared" ca="1" si="146"/>
        <v>0</v>
      </c>
      <c r="F2354" s="21">
        <f t="shared" ca="1" si="147"/>
        <v>0</v>
      </c>
      <c r="H2354" s="21">
        <v>2339</v>
      </c>
      <c r="I2354" s="107">
        <v>0.66779002840603485</v>
      </c>
      <c r="J2354" s="108">
        <v>1.4739862298738453E-3</v>
      </c>
      <c r="K2354" s="108"/>
      <c r="L2354" s="108">
        <v>4.3799999999999999E-2</v>
      </c>
      <c r="O2354" s="105"/>
    </row>
    <row r="2355" spans="2:15" x14ac:dyDescent="0.2">
      <c r="B2355" s="1">
        <v>2340</v>
      </c>
      <c r="C2355" s="106">
        <f t="shared" ca="1" si="144"/>
        <v>0.74466818822962599</v>
      </c>
      <c r="D2355" s="106">
        <f t="shared" ca="1" si="145"/>
        <v>0.7151506311362722</v>
      </c>
      <c r="E2355" s="106">
        <f t="shared" ca="1" si="146"/>
        <v>0</v>
      </c>
      <c r="F2355" s="21">
        <f t="shared" ca="1" si="147"/>
        <v>0</v>
      </c>
      <c r="H2355" s="21">
        <v>2340</v>
      </c>
      <c r="I2355" s="107">
        <v>0.66788636564350923</v>
      </c>
      <c r="J2355" s="108">
        <v>1.5467733591789444E-3</v>
      </c>
      <c r="K2355" s="108"/>
      <c r="L2355" s="108">
        <v>4.4600000000000001E-2</v>
      </c>
      <c r="O2355" s="105"/>
    </row>
    <row r="2356" spans="2:15" x14ac:dyDescent="0.2">
      <c r="B2356" s="1">
        <v>2341</v>
      </c>
      <c r="C2356" s="106">
        <f t="shared" ca="1" si="144"/>
        <v>3.1455138498003493E-2</v>
      </c>
      <c r="D2356" s="106">
        <f t="shared" ca="1" si="145"/>
        <v>0.66656716860575582</v>
      </c>
      <c r="E2356" s="106">
        <f t="shared" ca="1" si="146"/>
        <v>0</v>
      </c>
      <c r="F2356" s="21">
        <f t="shared" ca="1" si="147"/>
        <v>0</v>
      </c>
      <c r="H2356" s="21">
        <v>2341</v>
      </c>
      <c r="I2356" s="107">
        <v>0.66784285291313961</v>
      </c>
      <c r="J2356" s="108">
        <v>1.3696096960884646E-3</v>
      </c>
      <c r="K2356" s="108"/>
      <c r="L2356" s="108">
        <v>4.2200000000000001E-2</v>
      </c>
      <c r="O2356" s="105"/>
    </row>
    <row r="2357" spans="2:15" x14ac:dyDescent="0.2">
      <c r="B2357" s="1">
        <v>2342</v>
      </c>
      <c r="C2357" s="106">
        <f t="shared" ca="1" si="144"/>
        <v>-0.6225254923322131</v>
      </c>
      <c r="D2357" s="106">
        <f t="shared" ca="1" si="145"/>
        <v>0.62492484605462173</v>
      </c>
      <c r="E2357" s="106">
        <f t="shared" ca="1" si="146"/>
        <v>0</v>
      </c>
      <c r="F2357" s="21">
        <f t="shared" ca="1" si="147"/>
        <v>0</v>
      </c>
      <c r="H2357" s="21">
        <v>2342</v>
      </c>
      <c r="I2357" s="107">
        <v>0.66765743106048614</v>
      </c>
      <c r="J2357" s="108">
        <v>1.3371291699862393E-3</v>
      </c>
      <c r="K2357" s="108"/>
      <c r="L2357" s="108">
        <v>4.0800000000000003E-2</v>
      </c>
      <c r="O2357" s="105"/>
    </row>
    <row r="2358" spans="2:15" x14ac:dyDescent="0.2">
      <c r="B2358" s="1">
        <v>2343</v>
      </c>
      <c r="C2358" s="106">
        <f t="shared" ca="1" si="144"/>
        <v>1.3333924514662858</v>
      </c>
      <c r="D2358" s="106">
        <f t="shared" ca="1" si="145"/>
        <v>0.75791082625581685</v>
      </c>
      <c r="E2358" s="106">
        <f t="shared" ca="1" si="146"/>
        <v>0</v>
      </c>
      <c r="F2358" s="21">
        <f t="shared" ca="1" si="147"/>
        <v>0</v>
      </c>
      <c r="H2358" s="21">
        <v>2343</v>
      </c>
      <c r="I2358" s="107">
        <v>0.667752232194049</v>
      </c>
      <c r="J2358" s="108">
        <v>1.3133491065815352E-3</v>
      </c>
      <c r="K2358" s="108"/>
      <c r="L2358" s="108">
        <v>4.3400000000000001E-2</v>
      </c>
      <c r="O2358" s="105"/>
    </row>
    <row r="2359" spans="2:15" x14ac:dyDescent="0.2">
      <c r="B2359" s="1">
        <v>2344</v>
      </c>
      <c r="C2359" s="106">
        <f t="shared" ca="1" si="144"/>
        <v>-0.21899734894216075</v>
      </c>
      <c r="D2359" s="106">
        <f t="shared" ca="1" si="145"/>
        <v>0.65030139968544076</v>
      </c>
      <c r="E2359" s="106">
        <f t="shared" ca="1" si="146"/>
        <v>0</v>
      </c>
      <c r="F2359" s="21">
        <f t="shared" ca="1" si="147"/>
        <v>0</v>
      </c>
      <c r="H2359" s="21">
        <v>2344</v>
      </c>
      <c r="I2359" s="107">
        <v>0.6678199012398861</v>
      </c>
      <c r="J2359" s="108">
        <v>1.4079100875666573E-3</v>
      </c>
      <c r="K2359" s="108"/>
      <c r="L2359" s="108">
        <v>4.5400000000000003E-2</v>
      </c>
      <c r="O2359" s="105"/>
    </row>
    <row r="2360" spans="2:15" x14ac:dyDescent="0.2">
      <c r="B2360" s="1">
        <v>2345</v>
      </c>
      <c r="C2360" s="106">
        <f t="shared" ca="1" si="144"/>
        <v>0.31702885030468925</v>
      </c>
      <c r="D2360" s="106">
        <f t="shared" ca="1" si="145"/>
        <v>0.68561091134032814</v>
      </c>
      <c r="E2360" s="106">
        <f t="shared" ca="1" si="146"/>
        <v>0</v>
      </c>
      <c r="F2360" s="21">
        <f t="shared" ca="1" si="147"/>
        <v>0</v>
      </c>
      <c r="H2360" s="21">
        <v>2345</v>
      </c>
      <c r="I2360" s="107">
        <v>0.66779653912126502</v>
      </c>
      <c r="J2360" s="108">
        <v>1.3518826339205764E-3</v>
      </c>
      <c r="K2360" s="108"/>
      <c r="L2360" s="108">
        <v>4.1200000000000001E-2</v>
      </c>
      <c r="O2360" s="105"/>
    </row>
    <row r="2361" spans="2:15" x14ac:dyDescent="0.2">
      <c r="B2361" s="1">
        <v>2346</v>
      </c>
      <c r="C2361" s="106">
        <f t="shared" ca="1" si="144"/>
        <v>0.1717251801220761</v>
      </c>
      <c r="D2361" s="106">
        <f t="shared" ca="1" si="145"/>
        <v>0.67585417513398593</v>
      </c>
      <c r="E2361" s="106">
        <f t="shared" ca="1" si="146"/>
        <v>0</v>
      </c>
      <c r="F2361" s="21">
        <f t="shared" ca="1" si="147"/>
        <v>0</v>
      </c>
      <c r="H2361" s="21">
        <v>2346</v>
      </c>
      <c r="I2361" s="107">
        <v>0.66778685000733928</v>
      </c>
      <c r="J2361" s="108">
        <v>1.488898272150525E-3</v>
      </c>
      <c r="K2361" s="108"/>
      <c r="L2361" s="108">
        <v>4.48E-2</v>
      </c>
      <c r="O2361" s="105"/>
    </row>
    <row r="2362" spans="2:15" x14ac:dyDescent="0.2">
      <c r="B2362" s="1">
        <v>2347</v>
      </c>
      <c r="C2362" s="106">
        <f t="shared" ca="1" si="144"/>
        <v>0.140796068848588</v>
      </c>
      <c r="D2362" s="106">
        <f t="shared" ca="1" si="145"/>
        <v>0.67379536157810782</v>
      </c>
      <c r="E2362" s="106">
        <f t="shared" ca="1" si="146"/>
        <v>0</v>
      </c>
      <c r="F2362" s="21">
        <f t="shared" ca="1" si="147"/>
        <v>0</v>
      </c>
      <c r="H2362" s="21">
        <v>2347</v>
      </c>
      <c r="I2362" s="107">
        <v>0.66765324502942036</v>
      </c>
      <c r="J2362" s="108">
        <v>1.3242856757603124E-3</v>
      </c>
      <c r="K2362" s="108"/>
      <c r="L2362" s="108">
        <v>4.0399999999999998E-2</v>
      </c>
      <c r="O2362" s="105"/>
    </row>
    <row r="2363" spans="2:15" x14ac:dyDescent="0.2">
      <c r="B2363" s="1">
        <v>2348</v>
      </c>
      <c r="C2363" s="106">
        <f t="shared" ca="1" si="144"/>
        <v>-0.90753860749376403</v>
      </c>
      <c r="D2363" s="106">
        <f t="shared" ca="1" si="145"/>
        <v>0.60760033656900325</v>
      </c>
      <c r="E2363" s="106">
        <f t="shared" ca="1" si="146"/>
        <v>0</v>
      </c>
      <c r="F2363" s="21">
        <f t="shared" ca="1" si="147"/>
        <v>0</v>
      </c>
      <c r="H2363" s="21">
        <v>2348</v>
      </c>
      <c r="I2363" s="107">
        <v>0.6677595586201599</v>
      </c>
      <c r="J2363" s="108">
        <v>1.3322168910478939E-3</v>
      </c>
      <c r="K2363" s="108"/>
      <c r="L2363" s="108">
        <v>4.3799999999999999E-2</v>
      </c>
      <c r="O2363" s="105"/>
    </row>
    <row r="2364" spans="2:15" x14ac:dyDescent="0.2">
      <c r="B2364" s="1">
        <v>2349</v>
      </c>
      <c r="C2364" s="106">
        <f t="shared" ca="1" si="144"/>
        <v>-0.2981273006053537</v>
      </c>
      <c r="D2364" s="106">
        <f t="shared" ca="1" si="145"/>
        <v>0.64524524149431195</v>
      </c>
      <c r="E2364" s="106">
        <f t="shared" ca="1" si="146"/>
        <v>0</v>
      </c>
      <c r="F2364" s="21">
        <f t="shared" ca="1" si="147"/>
        <v>0</v>
      </c>
      <c r="H2364" s="21">
        <v>2349</v>
      </c>
      <c r="I2364" s="107">
        <v>0.66774131559839367</v>
      </c>
      <c r="J2364" s="108">
        <v>1.3196408643454769E-3</v>
      </c>
      <c r="K2364" s="108"/>
      <c r="L2364" s="108">
        <v>3.9399999999999998E-2</v>
      </c>
      <c r="O2364" s="105"/>
    </row>
    <row r="2365" spans="2:15" x14ac:dyDescent="0.2">
      <c r="B2365" s="1">
        <v>2350</v>
      </c>
      <c r="C2365" s="106">
        <f t="shared" ca="1" si="144"/>
        <v>-1.5389208763602091</v>
      </c>
      <c r="D2365" s="106">
        <f t="shared" ca="1" si="145"/>
        <v>0.57091306098086025</v>
      </c>
      <c r="E2365" s="106">
        <f t="shared" ca="1" si="146"/>
        <v>0</v>
      </c>
      <c r="F2365" s="21">
        <f t="shared" ca="1" si="147"/>
        <v>0</v>
      </c>
      <c r="H2365" s="21">
        <v>2350</v>
      </c>
      <c r="I2365" s="107">
        <v>0.66765643660098128</v>
      </c>
      <c r="J2365" s="108">
        <v>1.2877585529817855E-3</v>
      </c>
      <c r="K2365" s="108"/>
      <c r="L2365" s="108">
        <v>4.02E-2</v>
      </c>
      <c r="O2365" s="105"/>
    </row>
    <row r="2366" spans="2:15" x14ac:dyDescent="0.2">
      <c r="B2366" s="1">
        <v>2351</v>
      </c>
      <c r="C2366" s="106">
        <f t="shared" ca="1" si="144"/>
        <v>-0.64728564938203248</v>
      </c>
      <c r="D2366" s="106">
        <f t="shared" ca="1" si="145"/>
        <v>0.62340040779276606</v>
      </c>
      <c r="E2366" s="106">
        <f t="shared" ca="1" si="146"/>
        <v>0</v>
      </c>
      <c r="F2366" s="21">
        <f t="shared" ca="1" si="147"/>
        <v>0</v>
      </c>
      <c r="H2366" s="21">
        <v>2351</v>
      </c>
      <c r="I2366" s="107">
        <v>0.66763789241108551</v>
      </c>
      <c r="J2366" s="108">
        <v>1.2036845860614698E-3</v>
      </c>
      <c r="K2366" s="108"/>
      <c r="L2366" s="108">
        <v>4.1000000000000002E-2</v>
      </c>
      <c r="O2366" s="105"/>
    </row>
    <row r="2367" spans="2:15" x14ac:dyDescent="0.2">
      <c r="B2367" s="1">
        <v>2352</v>
      </c>
      <c r="C2367" s="106">
        <f t="shared" ca="1" si="144"/>
        <v>1.6658983366019788</v>
      </c>
      <c r="D2367" s="106">
        <f t="shared" ca="1" si="145"/>
        <v>0.78318156790126692</v>
      </c>
      <c r="E2367" s="106">
        <f t="shared" ca="1" si="146"/>
        <v>0</v>
      </c>
      <c r="F2367" s="21">
        <f t="shared" ca="1" si="147"/>
        <v>0</v>
      </c>
      <c r="H2367" s="21">
        <v>2352</v>
      </c>
      <c r="I2367" s="107">
        <v>0.66776628091780166</v>
      </c>
      <c r="J2367" s="108">
        <v>1.4524778545148712E-3</v>
      </c>
      <c r="K2367" s="108"/>
      <c r="L2367" s="108">
        <v>4.2999999999999997E-2</v>
      </c>
      <c r="O2367" s="105"/>
    </row>
    <row r="2368" spans="2:15" x14ac:dyDescent="0.2">
      <c r="B2368" s="1">
        <v>2353</v>
      </c>
      <c r="C2368" s="106">
        <f t="shared" ca="1" si="144"/>
        <v>-1.5669273992909845</v>
      </c>
      <c r="D2368" s="106">
        <f t="shared" ca="1" si="145"/>
        <v>0.56933803283198359</v>
      </c>
      <c r="E2368" s="106">
        <f t="shared" ca="1" si="146"/>
        <v>0</v>
      </c>
      <c r="F2368" s="21">
        <f t="shared" ca="1" si="147"/>
        <v>0</v>
      </c>
      <c r="H2368" s="21">
        <v>2353</v>
      </c>
      <c r="I2368" s="107">
        <v>0.66770030185083162</v>
      </c>
      <c r="J2368" s="108">
        <v>1.345361535982382E-3</v>
      </c>
      <c r="K2368" s="108"/>
      <c r="L2368" s="108">
        <v>4.0599999999999997E-2</v>
      </c>
      <c r="O2368" s="105"/>
    </row>
    <row r="2369" spans="2:15" x14ac:dyDescent="0.2">
      <c r="B2369" s="1">
        <v>2354</v>
      </c>
      <c r="C2369" s="106">
        <f t="shared" ca="1" si="144"/>
        <v>-1.0159153030491481</v>
      </c>
      <c r="D2369" s="106">
        <f t="shared" ca="1" si="145"/>
        <v>0.60113942965208056</v>
      </c>
      <c r="E2369" s="106">
        <f t="shared" ca="1" si="146"/>
        <v>0</v>
      </c>
      <c r="F2369" s="21">
        <f t="shared" ca="1" si="147"/>
        <v>0</v>
      </c>
      <c r="H2369" s="21">
        <v>2354</v>
      </c>
      <c r="I2369" s="107">
        <v>0.66764548602793006</v>
      </c>
      <c r="J2369" s="108">
        <v>1.3150101576702687E-3</v>
      </c>
      <c r="K2369" s="108"/>
      <c r="L2369" s="108">
        <v>3.9399999999999998E-2</v>
      </c>
      <c r="O2369" s="105"/>
    </row>
    <row r="2370" spans="2:15" x14ac:dyDescent="0.2">
      <c r="B2370" s="1">
        <v>2355</v>
      </c>
      <c r="C2370" s="106">
        <f t="shared" ca="1" si="144"/>
        <v>1.2454356215436742</v>
      </c>
      <c r="D2370" s="106">
        <f t="shared" ca="1" si="145"/>
        <v>0.75136350073450231</v>
      </c>
      <c r="E2370" s="106">
        <f t="shared" ca="1" si="146"/>
        <v>0</v>
      </c>
      <c r="F2370" s="21">
        <f t="shared" ca="1" si="147"/>
        <v>0</v>
      </c>
      <c r="H2370" s="21">
        <v>2355</v>
      </c>
      <c r="I2370" s="107">
        <v>0.66775152343916011</v>
      </c>
      <c r="J2370" s="108">
        <v>1.3544636167920781E-3</v>
      </c>
      <c r="K2370" s="108"/>
      <c r="L2370" s="108">
        <v>3.8399999999999997E-2</v>
      </c>
      <c r="O2370" s="105"/>
    </row>
    <row r="2371" spans="2:15" x14ac:dyDescent="0.2">
      <c r="B2371" s="1">
        <v>2356</v>
      </c>
      <c r="C2371" s="106">
        <f t="shared" ca="1" si="144"/>
        <v>-0.10751410796605994</v>
      </c>
      <c r="D2371" s="106">
        <f t="shared" ca="1" si="145"/>
        <v>0.65749213495332781</v>
      </c>
      <c r="E2371" s="106">
        <f t="shared" ca="1" si="146"/>
        <v>0</v>
      </c>
      <c r="F2371" s="21">
        <f t="shared" ca="1" si="147"/>
        <v>0</v>
      </c>
      <c r="H2371" s="21">
        <v>2356</v>
      </c>
      <c r="I2371" s="107">
        <v>0.66775255615070883</v>
      </c>
      <c r="J2371" s="108">
        <v>1.3090538693147314E-3</v>
      </c>
      <c r="K2371" s="108"/>
      <c r="L2371" s="108">
        <v>4.36E-2</v>
      </c>
      <c r="O2371" s="105"/>
    </row>
    <row r="2372" spans="2:15" x14ac:dyDescent="0.2">
      <c r="B2372" s="1">
        <v>2357</v>
      </c>
      <c r="C2372" s="106">
        <f t="shared" ca="1" si="144"/>
        <v>-0.50337663289720103</v>
      </c>
      <c r="D2372" s="106">
        <f t="shared" ca="1" si="145"/>
        <v>0.63231291965691749</v>
      </c>
      <c r="E2372" s="106">
        <f t="shared" ca="1" si="146"/>
        <v>0</v>
      </c>
      <c r="F2372" s="21">
        <f t="shared" ca="1" si="147"/>
        <v>0</v>
      </c>
      <c r="H2372" s="21">
        <v>2357</v>
      </c>
      <c r="I2372" s="107">
        <v>0.66764544280357074</v>
      </c>
      <c r="J2372" s="108">
        <v>1.1703687605210511E-3</v>
      </c>
      <c r="K2372" s="108"/>
      <c r="L2372" s="108">
        <v>3.78E-2</v>
      </c>
      <c r="O2372" s="105"/>
    </row>
    <row r="2373" spans="2:15" x14ac:dyDescent="0.2">
      <c r="B2373" s="1">
        <v>2358</v>
      </c>
      <c r="C2373" s="106">
        <f t="shared" ca="1" si="144"/>
        <v>-0.98496402935552152</v>
      </c>
      <c r="D2373" s="106">
        <f t="shared" ca="1" si="145"/>
        <v>0.60297755776204776</v>
      </c>
      <c r="E2373" s="106">
        <f t="shared" ca="1" si="146"/>
        <v>0</v>
      </c>
      <c r="F2373" s="21">
        <f t="shared" ca="1" si="147"/>
        <v>0</v>
      </c>
      <c r="H2373" s="21">
        <v>2358</v>
      </c>
      <c r="I2373" s="107">
        <v>0.66773472129641565</v>
      </c>
      <c r="J2373" s="108">
        <v>1.1989727327242241E-3</v>
      </c>
      <c r="K2373" s="108"/>
      <c r="L2373" s="108">
        <v>3.6400000000000002E-2</v>
      </c>
      <c r="O2373" s="105"/>
    </row>
    <row r="2374" spans="2:15" x14ac:dyDescent="0.2">
      <c r="B2374" s="1">
        <v>2359</v>
      </c>
      <c r="C2374" s="106">
        <f t="shared" ca="1" si="144"/>
        <v>-0.80980949732313567</v>
      </c>
      <c r="D2374" s="106">
        <f t="shared" ca="1" si="145"/>
        <v>0.61348600591512692</v>
      </c>
      <c r="E2374" s="106">
        <f t="shared" ca="1" si="146"/>
        <v>0</v>
      </c>
      <c r="F2374" s="21">
        <f t="shared" ca="1" si="147"/>
        <v>0</v>
      </c>
      <c r="H2374" s="21">
        <v>2359</v>
      </c>
      <c r="I2374" s="107">
        <v>0.66773526230336977</v>
      </c>
      <c r="J2374" s="108">
        <v>1.38127587900123E-3</v>
      </c>
      <c r="K2374" s="108"/>
      <c r="L2374" s="108">
        <v>4.1399999999999999E-2</v>
      </c>
      <c r="O2374" s="105"/>
    </row>
    <row r="2375" spans="2:15" x14ac:dyDescent="0.2">
      <c r="B2375" s="1">
        <v>2360</v>
      </c>
      <c r="C2375" s="106">
        <f t="shared" ca="1" si="144"/>
        <v>0.42177631971860396</v>
      </c>
      <c r="D2375" s="106">
        <f t="shared" ca="1" si="145"/>
        <v>0.69273166155088006</v>
      </c>
      <c r="E2375" s="106">
        <f t="shared" ca="1" si="146"/>
        <v>0</v>
      </c>
      <c r="F2375" s="21">
        <f t="shared" ca="1" si="147"/>
        <v>0</v>
      </c>
      <c r="H2375" s="21">
        <v>2360</v>
      </c>
      <c r="I2375" s="107">
        <v>0.6677688683717784</v>
      </c>
      <c r="J2375" s="108">
        <v>1.4916503323017763E-3</v>
      </c>
      <c r="K2375" s="108"/>
      <c r="L2375" s="108">
        <v>4.4600000000000001E-2</v>
      </c>
      <c r="O2375" s="105"/>
    </row>
    <row r="2376" spans="2:15" x14ac:dyDescent="0.2">
      <c r="B2376" s="1">
        <v>2361</v>
      </c>
      <c r="C2376" s="106">
        <f t="shared" ca="1" si="144"/>
        <v>-0.76143981250794524</v>
      </c>
      <c r="D2376" s="106">
        <f t="shared" ca="1" si="145"/>
        <v>0.61642009499073624</v>
      </c>
      <c r="E2376" s="106">
        <f t="shared" ca="1" si="146"/>
        <v>0</v>
      </c>
      <c r="F2376" s="21">
        <f t="shared" ca="1" si="147"/>
        <v>0</v>
      </c>
      <c r="H2376" s="21">
        <v>2361</v>
      </c>
      <c r="I2376" s="107">
        <v>0.66771442311808582</v>
      </c>
      <c r="J2376" s="108">
        <v>1.2571051068419278E-3</v>
      </c>
      <c r="K2376" s="108"/>
      <c r="L2376" s="108">
        <v>4.2799999999999998E-2</v>
      </c>
      <c r="O2376" s="105"/>
    </row>
    <row r="2377" spans="2:15" x14ac:dyDescent="0.2">
      <c r="B2377" s="1">
        <v>2362</v>
      </c>
      <c r="C2377" s="106">
        <f t="shared" ca="1" si="144"/>
        <v>9.0150335192612632E-2</v>
      </c>
      <c r="D2377" s="106">
        <f t="shared" ca="1" si="145"/>
        <v>0.67043763429170755</v>
      </c>
      <c r="E2377" s="106">
        <f t="shared" ca="1" si="146"/>
        <v>0</v>
      </c>
      <c r="F2377" s="21">
        <f t="shared" ca="1" si="147"/>
        <v>0</v>
      </c>
      <c r="H2377" s="21">
        <v>2362</v>
      </c>
      <c r="I2377" s="107">
        <v>0.66785324815842007</v>
      </c>
      <c r="J2377" s="108">
        <v>1.5026708475784831E-3</v>
      </c>
      <c r="K2377" s="108"/>
      <c r="L2377" s="108">
        <v>4.2200000000000001E-2</v>
      </c>
      <c r="O2377" s="105"/>
    </row>
    <row r="2378" spans="2:15" x14ac:dyDescent="0.2">
      <c r="B2378" s="1">
        <v>2363</v>
      </c>
      <c r="C2378" s="106">
        <f t="shared" ca="1" si="144"/>
        <v>0.36475860879429861</v>
      </c>
      <c r="D2378" s="106">
        <f t="shared" ca="1" si="145"/>
        <v>0.68884646506924785</v>
      </c>
      <c r="E2378" s="106">
        <f t="shared" ca="1" si="146"/>
        <v>0</v>
      </c>
      <c r="F2378" s="21">
        <f t="shared" ca="1" si="147"/>
        <v>0</v>
      </c>
      <c r="H2378" s="21">
        <v>2363</v>
      </c>
      <c r="I2378" s="107">
        <v>0.66764366538954623</v>
      </c>
      <c r="J2378" s="108">
        <v>1.1630055369634905E-3</v>
      </c>
      <c r="K2378" s="108"/>
      <c r="L2378" s="108">
        <v>3.8399999999999997E-2</v>
      </c>
      <c r="O2378" s="105"/>
    </row>
    <row r="2379" spans="2:15" x14ac:dyDescent="0.2">
      <c r="B2379" s="1">
        <v>2364</v>
      </c>
      <c r="C2379" s="106">
        <f t="shared" ca="1" si="144"/>
        <v>0.73777704818316214</v>
      </c>
      <c r="D2379" s="106">
        <f t="shared" ca="1" si="145"/>
        <v>0.7146646718279891</v>
      </c>
      <c r="E2379" s="106">
        <f t="shared" ca="1" si="146"/>
        <v>0</v>
      </c>
      <c r="F2379" s="21">
        <f t="shared" ca="1" si="147"/>
        <v>0</v>
      </c>
      <c r="H2379" s="21">
        <v>2364</v>
      </c>
      <c r="I2379" s="107">
        <v>0.66777645595959068</v>
      </c>
      <c r="J2379" s="108">
        <v>1.3473325621010043E-3</v>
      </c>
      <c r="K2379" s="108"/>
      <c r="L2379" s="108">
        <v>4.2599999999999999E-2</v>
      </c>
      <c r="O2379" s="105"/>
    </row>
    <row r="2380" spans="2:15" x14ac:dyDescent="0.2">
      <c r="B2380" s="1">
        <v>2365</v>
      </c>
      <c r="C2380" s="106">
        <f t="shared" ca="1" si="144"/>
        <v>1.1103704985694742</v>
      </c>
      <c r="D2380" s="106">
        <f t="shared" ca="1" si="145"/>
        <v>0.74141947196604396</v>
      </c>
      <c r="E2380" s="106">
        <f t="shared" ca="1" si="146"/>
        <v>0</v>
      </c>
      <c r="F2380" s="21">
        <f t="shared" ca="1" si="147"/>
        <v>0</v>
      </c>
      <c r="H2380" s="21">
        <v>2365</v>
      </c>
      <c r="I2380" s="107">
        <v>0.66777612359413197</v>
      </c>
      <c r="J2380" s="108">
        <v>1.4374215176055944E-3</v>
      </c>
      <c r="K2380" s="108"/>
      <c r="L2380" s="108">
        <v>4.4400000000000002E-2</v>
      </c>
      <c r="O2380" s="105"/>
    </row>
    <row r="2381" spans="2:15" x14ac:dyDescent="0.2">
      <c r="B2381" s="1">
        <v>2366</v>
      </c>
      <c r="C2381" s="106">
        <f t="shared" ca="1" si="144"/>
        <v>-1.4354918939148036</v>
      </c>
      <c r="D2381" s="106">
        <f t="shared" ca="1" si="145"/>
        <v>0.57676754239732875</v>
      </c>
      <c r="E2381" s="106">
        <f t="shared" ca="1" si="146"/>
        <v>0</v>
      </c>
      <c r="F2381" s="21">
        <f t="shared" ca="1" si="147"/>
        <v>0</v>
      </c>
      <c r="H2381" s="21">
        <v>2366</v>
      </c>
      <c r="I2381" s="107">
        <v>0.66767619068582729</v>
      </c>
      <c r="J2381" s="108">
        <v>1.2001391125080771E-3</v>
      </c>
      <c r="K2381" s="108"/>
      <c r="L2381" s="108">
        <v>3.9399999999999998E-2</v>
      </c>
      <c r="O2381" s="105"/>
    </row>
    <row r="2382" spans="2:15" x14ac:dyDescent="0.2">
      <c r="B2382" s="1">
        <v>2367</v>
      </c>
      <c r="C2382" s="106">
        <f t="shared" ca="1" si="144"/>
        <v>-0.2145127851567413</v>
      </c>
      <c r="D2382" s="106">
        <f t="shared" ca="1" si="145"/>
        <v>0.65058913280643227</v>
      </c>
      <c r="E2382" s="106">
        <f t="shared" ca="1" si="146"/>
        <v>0</v>
      </c>
      <c r="F2382" s="21">
        <f t="shared" ca="1" si="147"/>
        <v>0</v>
      </c>
      <c r="H2382" s="21">
        <v>2367</v>
      </c>
      <c r="I2382" s="107">
        <v>0.6676701131598648</v>
      </c>
      <c r="J2382" s="108">
        <v>1.3302840082745826E-3</v>
      </c>
      <c r="K2382" s="108"/>
      <c r="L2382" s="108">
        <v>3.8399999999999997E-2</v>
      </c>
      <c r="O2382" s="105"/>
    </row>
    <row r="2383" spans="2:15" x14ac:dyDescent="0.2">
      <c r="B2383" s="1">
        <v>2368</v>
      </c>
      <c r="C2383" s="106">
        <f t="shared" ca="1" si="144"/>
        <v>-1.071428442168024</v>
      </c>
      <c r="D2383" s="106">
        <f t="shared" ca="1" si="145"/>
        <v>0.59785665274194644</v>
      </c>
      <c r="E2383" s="106">
        <f t="shared" ca="1" si="146"/>
        <v>0</v>
      </c>
      <c r="F2383" s="21">
        <f t="shared" ca="1" si="147"/>
        <v>0</v>
      </c>
      <c r="H2383" s="21">
        <v>2368</v>
      </c>
      <c r="I2383" s="107">
        <v>0.66773206505098537</v>
      </c>
      <c r="J2383" s="108">
        <v>1.3105400254845539E-3</v>
      </c>
      <c r="K2383" s="108"/>
      <c r="L2383" s="108">
        <v>3.5999999999999997E-2</v>
      </c>
      <c r="O2383" s="105"/>
    </row>
    <row r="2384" spans="2:15" x14ac:dyDescent="0.2">
      <c r="B2384" s="1">
        <v>2369</v>
      </c>
      <c r="C2384" s="106">
        <f t="shared" ref="C2384:C2447" ca="1" si="148">_xlfn.NORM.S.INV(RAND())</f>
        <v>-0.67175790054549855</v>
      </c>
      <c r="D2384" s="106">
        <f t="shared" ref="D2384:D2447" ca="1" si="149">S0*EXP((μ-0.5*σ*σ)*T+σ*SQRT(T)*$C2384)</f>
        <v>0.62189734950949238</v>
      </c>
      <c r="E2384" s="106">
        <f t="shared" ref="E2384:E2447" ca="1" si="150">MAX(0,CP*(D2384-K))</f>
        <v>0</v>
      </c>
      <c r="F2384" s="21">
        <f t="shared" ref="F2384:F2447" ca="1" si="151">(CP*(D2384-K)&gt;0)*1</f>
        <v>0</v>
      </c>
      <c r="H2384" s="21">
        <v>2369</v>
      </c>
      <c r="I2384" s="107">
        <v>0.66778157203628674</v>
      </c>
      <c r="J2384" s="108">
        <v>1.446138198900572E-3</v>
      </c>
      <c r="K2384" s="108"/>
      <c r="L2384" s="108">
        <v>4.36E-2</v>
      </c>
      <c r="O2384" s="105"/>
    </row>
    <row r="2385" spans="2:15" x14ac:dyDescent="0.2">
      <c r="B2385" s="1">
        <v>2370</v>
      </c>
      <c r="C2385" s="106">
        <f t="shared" ca="1" si="148"/>
        <v>0.69142184561764208</v>
      </c>
      <c r="D2385" s="106">
        <f t="shared" ca="1" si="149"/>
        <v>0.71140429977267605</v>
      </c>
      <c r="E2385" s="106">
        <f t="shared" ca="1" si="150"/>
        <v>0</v>
      </c>
      <c r="F2385" s="21">
        <f t="shared" ca="1" si="151"/>
        <v>0</v>
      </c>
      <c r="H2385" s="21">
        <v>2370</v>
      </c>
      <c r="I2385" s="107">
        <v>0.6677882753237393</v>
      </c>
      <c r="J2385" s="108">
        <v>1.4259824830616049E-3</v>
      </c>
      <c r="K2385" s="108"/>
      <c r="L2385" s="108">
        <v>4.3799999999999999E-2</v>
      </c>
      <c r="O2385" s="105"/>
    </row>
    <row r="2386" spans="2:15" x14ac:dyDescent="0.2">
      <c r="B2386" s="1">
        <v>2371</v>
      </c>
      <c r="C2386" s="106">
        <f t="shared" ca="1" si="148"/>
        <v>0.60809182016950947</v>
      </c>
      <c r="D2386" s="106">
        <f t="shared" ca="1" si="149"/>
        <v>0.70558067720895379</v>
      </c>
      <c r="E2386" s="106">
        <f t="shared" ca="1" si="150"/>
        <v>0</v>
      </c>
      <c r="F2386" s="21">
        <f t="shared" ca="1" si="151"/>
        <v>0</v>
      </c>
      <c r="H2386" s="21">
        <v>2371</v>
      </c>
      <c r="I2386" s="107">
        <v>0.66772955875919315</v>
      </c>
      <c r="J2386" s="108">
        <v>1.4526290172666404E-3</v>
      </c>
      <c r="K2386" s="108"/>
      <c r="L2386" s="108">
        <v>3.8399999999999997E-2</v>
      </c>
      <c r="O2386" s="105"/>
    </row>
    <row r="2387" spans="2:15" x14ac:dyDescent="0.2">
      <c r="B2387" s="1">
        <v>2372</v>
      </c>
      <c r="C2387" s="106">
        <f t="shared" ca="1" si="148"/>
        <v>2.7042383786785384</v>
      </c>
      <c r="D2387" s="106">
        <f t="shared" ca="1" si="149"/>
        <v>0.86764946848192215</v>
      </c>
      <c r="E2387" s="106">
        <f t="shared" ca="1" si="150"/>
        <v>7.9449468481922136E-2</v>
      </c>
      <c r="F2387" s="21">
        <f t="shared" ca="1" si="151"/>
        <v>1</v>
      </c>
      <c r="H2387" s="21">
        <v>2372</v>
      </c>
      <c r="I2387" s="107">
        <v>0.6677588298553232</v>
      </c>
      <c r="J2387" s="108">
        <v>1.3487017359776177E-3</v>
      </c>
      <c r="K2387" s="108"/>
      <c r="L2387" s="108">
        <v>4.2799999999999998E-2</v>
      </c>
      <c r="O2387" s="105"/>
    </row>
    <row r="2388" spans="2:15" x14ac:dyDescent="0.2">
      <c r="B2388" s="1">
        <v>2373</v>
      </c>
      <c r="C2388" s="106">
        <f t="shared" ca="1" si="148"/>
        <v>-1.7057468732022179</v>
      </c>
      <c r="D2388" s="106">
        <f t="shared" ca="1" si="149"/>
        <v>0.56159503007241884</v>
      </c>
      <c r="E2388" s="106">
        <f t="shared" ca="1" si="150"/>
        <v>0</v>
      </c>
      <c r="F2388" s="21">
        <f t="shared" ca="1" si="151"/>
        <v>0</v>
      </c>
      <c r="H2388" s="21">
        <v>2373</v>
      </c>
      <c r="I2388" s="107">
        <v>0.66788241632314493</v>
      </c>
      <c r="J2388" s="108">
        <v>1.3922160428248374E-3</v>
      </c>
      <c r="K2388" s="108"/>
      <c r="L2388" s="108">
        <v>4.58E-2</v>
      </c>
      <c r="O2388" s="105"/>
    </row>
    <row r="2389" spans="2:15" x14ac:dyDescent="0.2">
      <c r="B2389" s="1">
        <v>2374</v>
      </c>
      <c r="C2389" s="106">
        <f t="shared" ca="1" si="148"/>
        <v>-0.18712217880211393</v>
      </c>
      <c r="D2389" s="106">
        <f t="shared" ca="1" si="149"/>
        <v>0.65234930105398348</v>
      </c>
      <c r="E2389" s="106">
        <f t="shared" ca="1" si="150"/>
        <v>0</v>
      </c>
      <c r="F2389" s="21">
        <f t="shared" ca="1" si="151"/>
        <v>0</v>
      </c>
      <c r="H2389" s="21">
        <v>2374</v>
      </c>
      <c r="I2389" s="107">
        <v>0.66777673005501281</v>
      </c>
      <c r="J2389" s="108">
        <v>1.4301624848767063E-3</v>
      </c>
      <c r="K2389" s="108"/>
      <c r="L2389" s="108">
        <v>4.3400000000000001E-2</v>
      </c>
      <c r="O2389" s="105"/>
    </row>
    <row r="2390" spans="2:15" x14ac:dyDescent="0.2">
      <c r="B2390" s="1">
        <v>2375</v>
      </c>
      <c r="C2390" s="106">
        <f t="shared" ca="1" si="148"/>
        <v>0.13241104257388062</v>
      </c>
      <c r="D2390" s="106">
        <f t="shared" ca="1" si="149"/>
        <v>0.67323828903552996</v>
      </c>
      <c r="E2390" s="106">
        <f t="shared" ca="1" si="150"/>
        <v>0</v>
      </c>
      <c r="F2390" s="21">
        <f t="shared" ca="1" si="151"/>
        <v>0</v>
      </c>
      <c r="H2390" s="21">
        <v>2375</v>
      </c>
      <c r="I2390" s="107">
        <v>0.66760967342174848</v>
      </c>
      <c r="J2390" s="108">
        <v>1.2368915647166165E-3</v>
      </c>
      <c r="K2390" s="108"/>
      <c r="L2390" s="108">
        <v>4.02E-2</v>
      </c>
      <c r="O2390" s="105"/>
    </row>
    <row r="2391" spans="2:15" x14ac:dyDescent="0.2">
      <c r="B2391" s="1">
        <v>2376</v>
      </c>
      <c r="C2391" s="106">
        <f t="shared" ca="1" si="148"/>
        <v>1.5135078398022916</v>
      </c>
      <c r="D2391" s="106">
        <f t="shared" ca="1" si="149"/>
        <v>0.77149682463057401</v>
      </c>
      <c r="E2391" s="106">
        <f t="shared" ca="1" si="150"/>
        <v>0</v>
      </c>
      <c r="F2391" s="21">
        <f t="shared" ca="1" si="151"/>
        <v>0</v>
      </c>
      <c r="H2391" s="21">
        <v>2376</v>
      </c>
      <c r="I2391" s="107">
        <v>0.6676961700127958</v>
      </c>
      <c r="J2391" s="108">
        <v>1.2341052054682228E-3</v>
      </c>
      <c r="K2391" s="108"/>
      <c r="L2391" s="108">
        <v>3.9399999999999998E-2</v>
      </c>
      <c r="O2391" s="105"/>
    </row>
    <row r="2392" spans="2:15" x14ac:dyDescent="0.2">
      <c r="B2392" s="1">
        <v>2377</v>
      </c>
      <c r="C2392" s="106">
        <f t="shared" ca="1" si="148"/>
        <v>0.46467198918656949</v>
      </c>
      <c r="D2392" s="106">
        <f t="shared" ca="1" si="149"/>
        <v>0.69566901714134166</v>
      </c>
      <c r="E2392" s="106">
        <f t="shared" ca="1" si="150"/>
        <v>0</v>
      </c>
      <c r="F2392" s="21">
        <f t="shared" ca="1" si="151"/>
        <v>0</v>
      </c>
      <c r="H2392" s="21">
        <v>2377</v>
      </c>
      <c r="I2392" s="107">
        <v>0.66783420787514702</v>
      </c>
      <c r="J2392" s="108">
        <v>1.3904886318835577E-3</v>
      </c>
      <c r="K2392" s="108"/>
      <c r="L2392" s="108">
        <v>4.4999999999999998E-2</v>
      </c>
      <c r="O2392" s="105"/>
    </row>
    <row r="2393" spans="2:15" x14ac:dyDescent="0.2">
      <c r="B2393" s="1">
        <v>2378</v>
      </c>
      <c r="C2393" s="106">
        <f t="shared" ca="1" si="148"/>
        <v>-0.31652942391168937</v>
      </c>
      <c r="D2393" s="106">
        <f t="shared" ca="1" si="149"/>
        <v>0.64407504837717944</v>
      </c>
      <c r="E2393" s="106">
        <f t="shared" ca="1" si="150"/>
        <v>0</v>
      </c>
      <c r="F2393" s="21">
        <f t="shared" ca="1" si="151"/>
        <v>0</v>
      </c>
      <c r="H2393" s="21">
        <v>2378</v>
      </c>
      <c r="I2393" s="107">
        <v>0.66775856157853763</v>
      </c>
      <c r="J2393" s="108">
        <v>1.2165726448806512E-3</v>
      </c>
      <c r="K2393" s="108"/>
      <c r="L2393" s="108">
        <v>4.2999999999999997E-2</v>
      </c>
      <c r="O2393" s="105"/>
    </row>
    <row r="2394" spans="2:15" x14ac:dyDescent="0.2">
      <c r="B2394" s="1">
        <v>2379</v>
      </c>
      <c r="C2394" s="106">
        <f t="shared" ca="1" si="148"/>
        <v>-0.23899113161735955</v>
      </c>
      <c r="D2394" s="106">
        <f t="shared" ca="1" si="149"/>
        <v>0.64902013054466745</v>
      </c>
      <c r="E2394" s="106">
        <f t="shared" ca="1" si="150"/>
        <v>0</v>
      </c>
      <c r="F2394" s="21">
        <f t="shared" ca="1" si="151"/>
        <v>0</v>
      </c>
      <c r="H2394" s="21">
        <v>2379</v>
      </c>
      <c r="I2394" s="107">
        <v>0.66785997829817934</v>
      </c>
      <c r="J2394" s="108">
        <v>1.5903124922582079E-3</v>
      </c>
      <c r="K2394" s="108"/>
      <c r="L2394" s="108">
        <v>4.3799999999999999E-2</v>
      </c>
      <c r="O2394" s="105"/>
    </row>
    <row r="2395" spans="2:15" x14ac:dyDescent="0.2">
      <c r="B2395" s="1">
        <v>2380</v>
      </c>
      <c r="C2395" s="106">
        <f t="shared" ca="1" si="148"/>
        <v>-1.5786438030748098</v>
      </c>
      <c r="D2395" s="106">
        <f t="shared" ca="1" si="149"/>
        <v>0.56868041665215419</v>
      </c>
      <c r="E2395" s="106">
        <f t="shared" ca="1" si="150"/>
        <v>0</v>
      </c>
      <c r="F2395" s="21">
        <f t="shared" ca="1" si="151"/>
        <v>0</v>
      </c>
      <c r="H2395" s="21">
        <v>2380</v>
      </c>
      <c r="I2395" s="107">
        <v>0.66789640293442798</v>
      </c>
      <c r="J2395" s="108">
        <v>1.5646374941064196E-3</v>
      </c>
      <c r="K2395" s="108"/>
      <c r="L2395" s="108">
        <v>4.6800000000000001E-2</v>
      </c>
      <c r="O2395" s="105"/>
    </row>
    <row r="2396" spans="2:15" x14ac:dyDescent="0.2">
      <c r="B2396" s="1">
        <v>2381</v>
      </c>
      <c r="C2396" s="106">
        <f t="shared" ca="1" si="148"/>
        <v>-0.64898984193742471</v>
      </c>
      <c r="D2396" s="106">
        <f t="shared" ca="1" si="149"/>
        <v>0.62329562061498378</v>
      </c>
      <c r="E2396" s="106">
        <f t="shared" ca="1" si="150"/>
        <v>0</v>
      </c>
      <c r="F2396" s="21">
        <f t="shared" ca="1" si="151"/>
        <v>0</v>
      </c>
      <c r="H2396" s="21">
        <v>2381</v>
      </c>
      <c r="I2396" s="107">
        <v>0.6679150492570709</v>
      </c>
      <c r="J2396" s="108">
        <v>1.6967286870529768E-3</v>
      </c>
      <c r="K2396" s="108"/>
      <c r="L2396" s="108">
        <v>4.2999999999999997E-2</v>
      </c>
      <c r="O2396" s="105"/>
    </row>
    <row r="2397" spans="2:15" x14ac:dyDescent="0.2">
      <c r="B2397" s="1">
        <v>2382</v>
      </c>
      <c r="C2397" s="106">
        <f t="shared" ca="1" si="148"/>
        <v>1.3450666490499685</v>
      </c>
      <c r="D2397" s="106">
        <f t="shared" ca="1" si="149"/>
        <v>0.75878410749948799</v>
      </c>
      <c r="E2397" s="106">
        <f t="shared" ca="1" si="150"/>
        <v>0</v>
      </c>
      <c r="F2397" s="21">
        <f t="shared" ca="1" si="151"/>
        <v>0</v>
      </c>
      <c r="H2397" s="21">
        <v>2382</v>
      </c>
      <c r="I2397" s="107">
        <v>0.6676587518332967</v>
      </c>
      <c r="J2397" s="108">
        <v>1.1918758774565835E-3</v>
      </c>
      <c r="K2397" s="108"/>
      <c r="L2397" s="108">
        <v>4.1399999999999999E-2</v>
      </c>
      <c r="O2397" s="105"/>
    </row>
    <row r="2398" spans="2:15" x14ac:dyDescent="0.2">
      <c r="B2398" s="1">
        <v>2383</v>
      </c>
      <c r="C2398" s="106">
        <f t="shared" ca="1" si="148"/>
        <v>-0.48685277326277099</v>
      </c>
      <c r="D2398" s="106">
        <f t="shared" ca="1" si="149"/>
        <v>0.63334438926796466</v>
      </c>
      <c r="E2398" s="106">
        <f t="shared" ca="1" si="150"/>
        <v>0</v>
      </c>
      <c r="F2398" s="21">
        <f t="shared" ca="1" si="151"/>
        <v>0</v>
      </c>
      <c r="H2398" s="21">
        <v>2383</v>
      </c>
      <c r="I2398" s="107">
        <v>0.66784065835537199</v>
      </c>
      <c r="J2398" s="108">
        <v>1.5007971006794354E-3</v>
      </c>
      <c r="K2398" s="108"/>
      <c r="L2398" s="108">
        <v>4.5400000000000003E-2</v>
      </c>
      <c r="O2398" s="105"/>
    </row>
    <row r="2399" spans="2:15" x14ac:dyDescent="0.2">
      <c r="B2399" s="1">
        <v>2384</v>
      </c>
      <c r="C2399" s="106">
        <f t="shared" ca="1" si="148"/>
        <v>1.7884363931986964</v>
      </c>
      <c r="D2399" s="106">
        <f t="shared" ca="1" si="149"/>
        <v>0.79270557516678675</v>
      </c>
      <c r="E2399" s="106">
        <f t="shared" ca="1" si="150"/>
        <v>4.505575166786735E-3</v>
      </c>
      <c r="F2399" s="21">
        <f t="shared" ca="1" si="151"/>
        <v>1</v>
      </c>
      <c r="H2399" s="21">
        <v>2384</v>
      </c>
      <c r="I2399" s="107">
        <v>0.66796120420676386</v>
      </c>
      <c r="J2399" s="108">
        <v>1.6360568678064752E-3</v>
      </c>
      <c r="K2399" s="108"/>
      <c r="L2399" s="108">
        <v>4.82E-2</v>
      </c>
      <c r="O2399" s="105"/>
    </row>
    <row r="2400" spans="2:15" x14ac:dyDescent="0.2">
      <c r="B2400" s="1">
        <v>2385</v>
      </c>
      <c r="C2400" s="106">
        <f t="shared" ca="1" si="148"/>
        <v>0.10676608553165917</v>
      </c>
      <c r="D2400" s="106">
        <f t="shared" ca="1" si="149"/>
        <v>0.67153738233145666</v>
      </c>
      <c r="E2400" s="106">
        <f t="shared" ca="1" si="150"/>
        <v>0</v>
      </c>
      <c r="F2400" s="21">
        <f t="shared" ca="1" si="151"/>
        <v>0</v>
      </c>
      <c r="H2400" s="21">
        <v>2385</v>
      </c>
      <c r="I2400" s="107">
        <v>0.66760347978469092</v>
      </c>
      <c r="J2400" s="108">
        <v>1.2715771110652187E-3</v>
      </c>
      <c r="K2400" s="108"/>
      <c r="L2400" s="108">
        <v>3.4799999999999998E-2</v>
      </c>
      <c r="O2400" s="105"/>
    </row>
    <row r="2401" spans="2:15" x14ac:dyDescent="0.2">
      <c r="B2401" s="1">
        <v>2386</v>
      </c>
      <c r="C2401" s="106">
        <f t="shared" ca="1" si="148"/>
        <v>-3.1430200401092674</v>
      </c>
      <c r="D2401" s="106">
        <f t="shared" ca="1" si="149"/>
        <v>0.48736165834638334</v>
      </c>
      <c r="E2401" s="106">
        <f t="shared" ca="1" si="150"/>
        <v>0</v>
      </c>
      <c r="F2401" s="21">
        <f t="shared" ca="1" si="151"/>
        <v>0</v>
      </c>
      <c r="H2401" s="21">
        <v>2386</v>
      </c>
      <c r="I2401" s="107">
        <v>0.66779425112501467</v>
      </c>
      <c r="J2401" s="108">
        <v>1.3908779676516016E-3</v>
      </c>
      <c r="K2401" s="108"/>
      <c r="L2401" s="108">
        <v>4.1399999999999999E-2</v>
      </c>
      <c r="O2401" s="105"/>
    </row>
    <row r="2402" spans="2:15" x14ac:dyDescent="0.2">
      <c r="B2402" s="1">
        <v>2387</v>
      </c>
      <c r="C2402" s="106">
        <f t="shared" ca="1" si="148"/>
        <v>-1.0926258016516284</v>
      </c>
      <c r="D2402" s="106">
        <f t="shared" ca="1" si="149"/>
        <v>0.59660787896556855</v>
      </c>
      <c r="E2402" s="106">
        <f t="shared" ca="1" si="150"/>
        <v>0</v>
      </c>
      <c r="F2402" s="21">
        <f t="shared" ca="1" si="151"/>
        <v>0</v>
      </c>
      <c r="H2402" s="21">
        <v>2387</v>
      </c>
      <c r="I2402" s="107">
        <v>0.66760857758161052</v>
      </c>
      <c r="J2402" s="108">
        <v>1.2520519716392754E-3</v>
      </c>
      <c r="K2402" s="108"/>
      <c r="L2402" s="108">
        <v>4.0599999999999997E-2</v>
      </c>
      <c r="O2402" s="105"/>
    </row>
    <row r="2403" spans="2:15" x14ac:dyDescent="0.2">
      <c r="B2403" s="1">
        <v>2388</v>
      </c>
      <c r="C2403" s="106">
        <f t="shared" ca="1" si="148"/>
        <v>-1.5673057111848645</v>
      </c>
      <c r="D2403" s="106">
        <f t="shared" ca="1" si="149"/>
        <v>0.56931678713469702</v>
      </c>
      <c r="E2403" s="106">
        <f t="shared" ca="1" si="150"/>
        <v>0</v>
      </c>
      <c r="F2403" s="21">
        <f t="shared" ca="1" si="151"/>
        <v>0</v>
      </c>
      <c r="H2403" s="21">
        <v>2388</v>
      </c>
      <c r="I2403" s="107">
        <v>0.66771271879059069</v>
      </c>
      <c r="J2403" s="108">
        <v>1.3402787509339896E-3</v>
      </c>
      <c r="K2403" s="108"/>
      <c r="L2403" s="108">
        <v>4.0599999999999997E-2</v>
      </c>
      <c r="O2403" s="105"/>
    </row>
    <row r="2404" spans="2:15" x14ac:dyDescent="0.2">
      <c r="B2404" s="1">
        <v>2389</v>
      </c>
      <c r="C2404" s="106">
        <f t="shared" ca="1" si="148"/>
        <v>-2.0017763575445136</v>
      </c>
      <c r="D2404" s="106">
        <f t="shared" ca="1" si="149"/>
        <v>0.54543315689557259</v>
      </c>
      <c r="E2404" s="106">
        <f t="shared" ca="1" si="150"/>
        <v>0</v>
      </c>
      <c r="F2404" s="21">
        <f t="shared" ca="1" si="151"/>
        <v>0</v>
      </c>
      <c r="H2404" s="21">
        <v>2389</v>
      </c>
      <c r="I2404" s="107">
        <v>0.66777764851319998</v>
      </c>
      <c r="J2404" s="108">
        <v>1.2992283679334555E-3</v>
      </c>
      <c r="K2404" s="108"/>
      <c r="L2404" s="108">
        <v>3.8199999999999998E-2</v>
      </c>
      <c r="O2404" s="105"/>
    </row>
    <row r="2405" spans="2:15" x14ac:dyDescent="0.2">
      <c r="B2405" s="1">
        <v>2390</v>
      </c>
      <c r="C2405" s="106">
        <f t="shared" ca="1" si="148"/>
        <v>0.35493289269260392</v>
      </c>
      <c r="D2405" s="106">
        <f t="shared" ca="1" si="149"/>
        <v>0.68817914359636223</v>
      </c>
      <c r="E2405" s="106">
        <f t="shared" ca="1" si="150"/>
        <v>0</v>
      </c>
      <c r="F2405" s="21">
        <f t="shared" ca="1" si="151"/>
        <v>0</v>
      </c>
      <c r="H2405" s="21">
        <v>2390</v>
      </c>
      <c r="I2405" s="107">
        <v>0.66787585067964228</v>
      </c>
      <c r="J2405" s="108">
        <v>1.4932619717758443E-3</v>
      </c>
      <c r="K2405" s="108"/>
      <c r="L2405" s="108">
        <v>4.4200000000000003E-2</v>
      </c>
      <c r="O2405" s="105"/>
    </row>
    <row r="2406" spans="2:15" x14ac:dyDescent="0.2">
      <c r="B2406" s="1">
        <v>2391</v>
      </c>
      <c r="C2406" s="106">
        <f t="shared" ca="1" si="148"/>
        <v>-0.94714242593916009</v>
      </c>
      <c r="D2406" s="106">
        <f t="shared" ca="1" si="149"/>
        <v>0.6052313317622009</v>
      </c>
      <c r="E2406" s="106">
        <f t="shared" ca="1" si="150"/>
        <v>0</v>
      </c>
      <c r="F2406" s="21">
        <f t="shared" ca="1" si="151"/>
        <v>0</v>
      </c>
      <c r="H2406" s="21">
        <v>2391</v>
      </c>
      <c r="I2406" s="107">
        <v>0.66764214683926981</v>
      </c>
      <c r="J2406" s="108">
        <v>1.2771816062606871E-3</v>
      </c>
      <c r="K2406" s="108"/>
      <c r="L2406" s="108">
        <v>3.6799999999999999E-2</v>
      </c>
      <c r="O2406" s="105"/>
    </row>
    <row r="2407" spans="2:15" x14ac:dyDescent="0.2">
      <c r="B2407" s="1">
        <v>2392</v>
      </c>
      <c r="C2407" s="106">
        <f t="shared" ca="1" si="148"/>
        <v>-0.61502030464700286</v>
      </c>
      <c r="D2407" s="106">
        <f t="shared" ca="1" si="149"/>
        <v>0.62538766275162405</v>
      </c>
      <c r="E2407" s="106">
        <f t="shared" ca="1" si="150"/>
        <v>0</v>
      </c>
      <c r="F2407" s="21">
        <f t="shared" ca="1" si="151"/>
        <v>0</v>
      </c>
      <c r="H2407" s="21">
        <v>2392</v>
      </c>
      <c r="I2407" s="107">
        <v>0.66777528071928283</v>
      </c>
      <c r="J2407" s="108">
        <v>1.2258057822478222E-3</v>
      </c>
      <c r="K2407" s="108"/>
      <c r="L2407" s="108">
        <v>4.1000000000000002E-2</v>
      </c>
      <c r="O2407" s="105"/>
    </row>
    <row r="2408" spans="2:15" x14ac:dyDescent="0.2">
      <c r="B2408" s="1">
        <v>2393</v>
      </c>
      <c r="C2408" s="106">
        <f t="shared" ca="1" si="148"/>
        <v>1.5740875523821636</v>
      </c>
      <c r="D2408" s="106">
        <f t="shared" ca="1" si="149"/>
        <v>0.77612083178110125</v>
      </c>
      <c r="E2408" s="106">
        <f t="shared" ca="1" si="150"/>
        <v>0</v>
      </c>
      <c r="F2408" s="21">
        <f t="shared" ca="1" si="151"/>
        <v>0</v>
      </c>
      <c r="H2408" s="21">
        <v>2393</v>
      </c>
      <c r="I2408" s="107">
        <v>0.66775224726144944</v>
      </c>
      <c r="J2408" s="108">
        <v>1.2841029404274029E-3</v>
      </c>
      <c r="K2408" s="108"/>
      <c r="L2408" s="108">
        <v>4.2000000000000003E-2</v>
      </c>
      <c r="O2408" s="105"/>
    </row>
    <row r="2409" spans="2:15" x14ac:dyDescent="0.2">
      <c r="B2409" s="1">
        <v>2394</v>
      </c>
      <c r="C2409" s="106">
        <f t="shared" ca="1" si="148"/>
        <v>6.0192326148243387E-2</v>
      </c>
      <c r="D2409" s="106">
        <f t="shared" ca="1" si="149"/>
        <v>0.66845935001219414</v>
      </c>
      <c r="E2409" s="106">
        <f t="shared" ca="1" si="150"/>
        <v>0</v>
      </c>
      <c r="F2409" s="21">
        <f t="shared" ca="1" si="151"/>
        <v>0</v>
      </c>
      <c r="H2409" s="21">
        <v>2394</v>
      </c>
      <c r="I2409" s="107">
        <v>0.6678461785980323</v>
      </c>
      <c r="J2409" s="108">
        <v>1.5594446389210197E-3</v>
      </c>
      <c r="K2409" s="108"/>
      <c r="L2409" s="108">
        <v>4.36E-2</v>
      </c>
      <c r="O2409" s="105"/>
    </row>
    <row r="2410" spans="2:15" x14ac:dyDescent="0.2">
      <c r="B2410" s="1">
        <v>2395</v>
      </c>
      <c r="C2410" s="106">
        <f t="shared" ca="1" si="148"/>
        <v>-1.1954591297762476</v>
      </c>
      <c r="D2410" s="106">
        <f t="shared" ca="1" si="149"/>
        <v>0.59058670769862498</v>
      </c>
      <c r="E2410" s="106">
        <f t="shared" ca="1" si="150"/>
        <v>0</v>
      </c>
      <c r="F2410" s="21">
        <f t="shared" ca="1" si="151"/>
        <v>0</v>
      </c>
      <c r="H2410" s="21">
        <v>2395</v>
      </c>
      <c r="I2410" s="107">
        <v>0.66786787317603746</v>
      </c>
      <c r="J2410" s="108">
        <v>1.4580215933065908E-3</v>
      </c>
      <c r="K2410" s="108"/>
      <c r="L2410" s="108">
        <v>4.3400000000000001E-2</v>
      </c>
      <c r="O2410" s="105"/>
    </row>
    <row r="2411" spans="2:15" x14ac:dyDescent="0.2">
      <c r="B2411" s="1">
        <v>2396</v>
      </c>
      <c r="C2411" s="106">
        <f t="shared" ca="1" si="148"/>
        <v>-4.5225884865362866E-2</v>
      </c>
      <c r="D2411" s="106">
        <f t="shared" ca="1" si="149"/>
        <v>0.66154432944928387</v>
      </c>
      <c r="E2411" s="106">
        <f t="shared" ca="1" si="150"/>
        <v>0</v>
      </c>
      <c r="F2411" s="21">
        <f t="shared" ca="1" si="151"/>
        <v>0</v>
      </c>
      <c r="H2411" s="21">
        <v>2396</v>
      </c>
      <c r="I2411" s="107">
        <v>0.66755091265957822</v>
      </c>
      <c r="J2411" s="108">
        <v>1.2140082158101917E-3</v>
      </c>
      <c r="K2411" s="108"/>
      <c r="L2411" s="108">
        <v>3.4599999999999999E-2</v>
      </c>
      <c r="O2411" s="105"/>
    </row>
    <row r="2412" spans="2:15" x14ac:dyDescent="0.2">
      <c r="B2412" s="1">
        <v>2397</v>
      </c>
      <c r="C2412" s="106">
        <f t="shared" ca="1" si="148"/>
        <v>-0.95509191957481288</v>
      </c>
      <c r="D2412" s="106">
        <f t="shared" ca="1" si="149"/>
        <v>0.6047569264923548</v>
      </c>
      <c r="E2412" s="106">
        <f t="shared" ca="1" si="150"/>
        <v>0</v>
      </c>
      <c r="F2412" s="21">
        <f t="shared" ca="1" si="151"/>
        <v>0</v>
      </c>
      <c r="H2412" s="21">
        <v>2397</v>
      </c>
      <c r="I2412" s="107">
        <v>0.66780197248141582</v>
      </c>
      <c r="J2412" s="108">
        <v>1.425187762658708E-3</v>
      </c>
      <c r="K2412" s="108"/>
      <c r="L2412" s="108">
        <v>4.4200000000000003E-2</v>
      </c>
      <c r="O2412" s="105"/>
    </row>
    <row r="2413" spans="2:15" x14ac:dyDescent="0.2">
      <c r="B2413" s="1">
        <v>2398</v>
      </c>
      <c r="C2413" s="106">
        <f t="shared" ca="1" si="148"/>
        <v>0.29994626319977713</v>
      </c>
      <c r="D2413" s="106">
        <f t="shared" ca="1" si="149"/>
        <v>0.68445659614465737</v>
      </c>
      <c r="E2413" s="106">
        <f t="shared" ca="1" si="150"/>
        <v>0</v>
      </c>
      <c r="F2413" s="21">
        <f t="shared" ca="1" si="151"/>
        <v>0</v>
      </c>
      <c r="H2413" s="21">
        <v>2398</v>
      </c>
      <c r="I2413" s="107">
        <v>0.66763707644502435</v>
      </c>
      <c r="J2413" s="108">
        <v>1.1737221274114547E-3</v>
      </c>
      <c r="K2413" s="108"/>
      <c r="L2413" s="108">
        <v>3.7199999999999997E-2</v>
      </c>
      <c r="O2413" s="105"/>
    </row>
    <row r="2414" spans="2:15" x14ac:dyDescent="0.2">
      <c r="B2414" s="1">
        <v>2399</v>
      </c>
      <c r="C2414" s="106">
        <f t="shared" ca="1" si="148"/>
        <v>0.19847359584906094</v>
      </c>
      <c r="D2414" s="106">
        <f t="shared" ca="1" si="149"/>
        <v>0.67763977043725254</v>
      </c>
      <c r="E2414" s="106">
        <f t="shared" ca="1" si="150"/>
        <v>0</v>
      </c>
      <c r="F2414" s="21">
        <f t="shared" ca="1" si="151"/>
        <v>0</v>
      </c>
      <c r="H2414" s="21">
        <v>2399</v>
      </c>
      <c r="I2414" s="107">
        <v>0.66769992135395817</v>
      </c>
      <c r="J2414" s="108">
        <v>1.3884348869640606E-3</v>
      </c>
      <c r="K2414" s="108"/>
      <c r="L2414" s="108">
        <v>4.5400000000000003E-2</v>
      </c>
      <c r="O2414" s="105"/>
    </row>
    <row r="2415" spans="2:15" x14ac:dyDescent="0.2">
      <c r="B2415" s="1">
        <v>2400</v>
      </c>
      <c r="C2415" s="106">
        <f t="shared" ca="1" si="148"/>
        <v>0.58041405212778996</v>
      </c>
      <c r="D2415" s="106">
        <f t="shared" ca="1" si="149"/>
        <v>0.70365694803849499</v>
      </c>
      <c r="E2415" s="106">
        <f t="shared" ca="1" si="150"/>
        <v>0</v>
      </c>
      <c r="F2415" s="21">
        <f t="shared" ca="1" si="151"/>
        <v>0</v>
      </c>
      <c r="H2415" s="21">
        <v>2400</v>
      </c>
      <c r="I2415" s="107">
        <v>0.66778948649812331</v>
      </c>
      <c r="J2415" s="108">
        <v>1.4135800987572877E-3</v>
      </c>
      <c r="K2415" s="108"/>
      <c r="L2415" s="108">
        <v>4.3999999999999997E-2</v>
      </c>
      <c r="O2415" s="105"/>
    </row>
    <row r="2416" spans="2:15" x14ac:dyDescent="0.2">
      <c r="B2416" s="1">
        <v>2401</v>
      </c>
      <c r="C2416" s="106">
        <f t="shared" ca="1" si="148"/>
        <v>1.0295698389242081</v>
      </c>
      <c r="D2416" s="106">
        <f t="shared" ca="1" si="149"/>
        <v>0.7355336351248184</v>
      </c>
      <c r="E2416" s="106">
        <f t="shared" ca="1" si="150"/>
        <v>0</v>
      </c>
      <c r="F2416" s="21">
        <f t="shared" ca="1" si="151"/>
        <v>0</v>
      </c>
      <c r="H2416" s="21">
        <v>2401</v>
      </c>
      <c r="I2416" s="107">
        <v>0.66771409931890968</v>
      </c>
      <c r="J2416" s="108">
        <v>1.3086518780027385E-3</v>
      </c>
      <c r="K2416" s="108"/>
      <c r="L2416" s="108">
        <v>4.3799999999999999E-2</v>
      </c>
      <c r="O2416" s="105"/>
    </row>
    <row r="2417" spans="2:15" x14ac:dyDescent="0.2">
      <c r="B2417" s="1">
        <v>2402</v>
      </c>
      <c r="C2417" s="106">
        <f t="shared" ca="1" si="148"/>
        <v>1.1264301767815124</v>
      </c>
      <c r="D2417" s="106">
        <f t="shared" ca="1" si="149"/>
        <v>0.74259492089949919</v>
      </c>
      <c r="E2417" s="106">
        <f t="shared" ca="1" si="150"/>
        <v>0</v>
      </c>
      <c r="F2417" s="21">
        <f t="shared" ca="1" si="151"/>
        <v>0</v>
      </c>
      <c r="H2417" s="21">
        <v>2402</v>
      </c>
      <c r="I2417" s="107">
        <v>0.6675113175402243</v>
      </c>
      <c r="J2417" s="108">
        <v>1.1830850711938422E-3</v>
      </c>
      <c r="K2417" s="108"/>
      <c r="L2417" s="108">
        <v>3.5400000000000001E-2</v>
      </c>
      <c r="O2417" s="105"/>
    </row>
    <row r="2418" spans="2:15" x14ac:dyDescent="0.2">
      <c r="B2418" s="1">
        <v>2403</v>
      </c>
      <c r="C2418" s="106">
        <f t="shared" ca="1" si="148"/>
        <v>0.65518944995369477</v>
      </c>
      <c r="D2418" s="106">
        <f t="shared" ca="1" si="149"/>
        <v>0.70886627076697351</v>
      </c>
      <c r="E2418" s="106">
        <f t="shared" ca="1" si="150"/>
        <v>0</v>
      </c>
      <c r="F2418" s="21">
        <f t="shared" ca="1" si="151"/>
        <v>0</v>
      </c>
      <c r="H2418" s="21">
        <v>2403</v>
      </c>
      <c r="I2418" s="107">
        <v>0.66789482410801226</v>
      </c>
      <c r="J2418" s="108">
        <v>1.6392915659270868E-3</v>
      </c>
      <c r="K2418" s="108"/>
      <c r="L2418" s="108">
        <v>4.6600000000000003E-2</v>
      </c>
      <c r="O2418" s="105"/>
    </row>
    <row r="2419" spans="2:15" x14ac:dyDescent="0.2">
      <c r="B2419" s="1">
        <v>2404</v>
      </c>
      <c r="C2419" s="106">
        <f t="shared" ca="1" si="148"/>
        <v>0.10524852237538423</v>
      </c>
      <c r="D2419" s="106">
        <f t="shared" ca="1" si="149"/>
        <v>0.6714368644416211</v>
      </c>
      <c r="E2419" s="106">
        <f t="shared" ca="1" si="150"/>
        <v>0</v>
      </c>
      <c r="F2419" s="21">
        <f t="shared" ca="1" si="151"/>
        <v>0</v>
      </c>
      <c r="H2419" s="21">
        <v>2404</v>
      </c>
      <c r="I2419" s="107">
        <v>0.66762502007189062</v>
      </c>
      <c r="J2419" s="108">
        <v>1.2146783817879362E-3</v>
      </c>
      <c r="K2419" s="108"/>
      <c r="L2419" s="108">
        <v>3.8800000000000001E-2</v>
      </c>
      <c r="O2419" s="105"/>
    </row>
    <row r="2420" spans="2:15" x14ac:dyDescent="0.2">
      <c r="B2420" s="1">
        <v>2405</v>
      </c>
      <c r="C2420" s="106">
        <f t="shared" ca="1" si="148"/>
        <v>-0.72273599645914566</v>
      </c>
      <c r="D2420" s="106">
        <f t="shared" ca="1" si="149"/>
        <v>0.61877795905333177</v>
      </c>
      <c r="E2420" s="106">
        <f t="shared" ca="1" si="150"/>
        <v>0</v>
      </c>
      <c r="F2420" s="21">
        <f t="shared" ca="1" si="151"/>
        <v>0</v>
      </c>
      <c r="H2420" s="21">
        <v>2405</v>
      </c>
      <c r="I2420" s="107">
        <v>0.66771453644646994</v>
      </c>
      <c r="J2420" s="108">
        <v>1.3093749403823409E-3</v>
      </c>
      <c r="K2420" s="108"/>
      <c r="L2420" s="108">
        <v>0.04</v>
      </c>
      <c r="O2420" s="105"/>
    </row>
    <row r="2421" spans="2:15" x14ac:dyDescent="0.2">
      <c r="B2421" s="1">
        <v>2406</v>
      </c>
      <c r="C2421" s="106">
        <f t="shared" ca="1" si="148"/>
        <v>-0.28957932417608584</v>
      </c>
      <c r="D2421" s="106">
        <f t="shared" ca="1" si="149"/>
        <v>0.64578953121812399</v>
      </c>
      <c r="E2421" s="106">
        <f t="shared" ca="1" si="150"/>
        <v>0</v>
      </c>
      <c r="F2421" s="21">
        <f t="shared" ca="1" si="151"/>
        <v>0</v>
      </c>
      <c r="H2421" s="21">
        <v>2406</v>
      </c>
      <c r="I2421" s="107">
        <v>0.66771654517434964</v>
      </c>
      <c r="J2421" s="108">
        <v>1.2193038193436493E-3</v>
      </c>
      <c r="K2421" s="108"/>
      <c r="L2421" s="108">
        <v>3.9E-2</v>
      </c>
      <c r="O2421" s="105"/>
    </row>
    <row r="2422" spans="2:15" x14ac:dyDescent="0.2">
      <c r="B2422" s="1">
        <v>2407</v>
      </c>
      <c r="C2422" s="106">
        <f t="shared" ca="1" si="148"/>
        <v>0.73701811605880863</v>
      </c>
      <c r="D2422" s="106">
        <f t="shared" ca="1" si="149"/>
        <v>0.71461117255320605</v>
      </c>
      <c r="E2422" s="106">
        <f t="shared" ca="1" si="150"/>
        <v>0</v>
      </c>
      <c r="F2422" s="21">
        <f t="shared" ca="1" si="151"/>
        <v>0</v>
      </c>
      <c r="H2422" s="21">
        <v>2407</v>
      </c>
      <c r="I2422" s="107">
        <v>0.66755027323699956</v>
      </c>
      <c r="J2422" s="108">
        <v>1.1898930127391301E-3</v>
      </c>
      <c r="K2422" s="108"/>
      <c r="L2422" s="108">
        <v>3.7400000000000003E-2</v>
      </c>
      <c r="O2422" s="105"/>
    </row>
    <row r="2423" spans="2:15" x14ac:dyDescent="0.2">
      <c r="B2423" s="1">
        <v>2408</v>
      </c>
      <c r="C2423" s="106">
        <f t="shared" ca="1" si="148"/>
        <v>0.9032679620107037</v>
      </c>
      <c r="D2423" s="106">
        <f t="shared" ca="1" si="149"/>
        <v>0.72642677420879953</v>
      </c>
      <c r="E2423" s="106">
        <f t="shared" ca="1" si="150"/>
        <v>0</v>
      </c>
      <c r="F2423" s="21">
        <f t="shared" ca="1" si="151"/>
        <v>0</v>
      </c>
      <c r="H2423" s="21">
        <v>2408</v>
      </c>
      <c r="I2423" s="107">
        <v>0.66771653589594304</v>
      </c>
      <c r="J2423" s="108">
        <v>1.2896899805908907E-3</v>
      </c>
      <c r="K2423" s="108"/>
      <c r="L2423" s="108">
        <v>4.0800000000000003E-2</v>
      </c>
      <c r="O2423" s="105"/>
    </row>
    <row r="2424" spans="2:15" x14ac:dyDescent="0.2">
      <c r="B2424" s="1">
        <v>2409</v>
      </c>
      <c r="C2424" s="106">
        <f t="shared" ca="1" si="148"/>
        <v>-0.67378887670318</v>
      </c>
      <c r="D2424" s="106">
        <f t="shared" ca="1" si="149"/>
        <v>0.62177277220506344</v>
      </c>
      <c r="E2424" s="106">
        <f t="shared" ca="1" si="150"/>
        <v>0</v>
      </c>
      <c r="F2424" s="21">
        <f t="shared" ca="1" si="151"/>
        <v>0</v>
      </c>
      <c r="H2424" s="21">
        <v>2409</v>
      </c>
      <c r="I2424" s="107">
        <v>0.66777495541165699</v>
      </c>
      <c r="J2424" s="108">
        <v>1.5050011597544486E-3</v>
      </c>
      <c r="K2424" s="108"/>
      <c r="L2424" s="108">
        <v>4.1599999999999998E-2</v>
      </c>
      <c r="O2424" s="105"/>
    </row>
    <row r="2425" spans="2:15" x14ac:dyDescent="0.2">
      <c r="B2425" s="1">
        <v>2410</v>
      </c>
      <c r="C2425" s="106">
        <f t="shared" ca="1" si="148"/>
        <v>5.5561884704641198E-2</v>
      </c>
      <c r="D2425" s="106">
        <f t="shared" ca="1" si="149"/>
        <v>0.66815409899443612</v>
      </c>
      <c r="E2425" s="106">
        <f t="shared" ca="1" si="150"/>
        <v>0</v>
      </c>
      <c r="F2425" s="21">
        <f t="shared" ca="1" si="151"/>
        <v>0</v>
      </c>
      <c r="H2425" s="21">
        <v>2410</v>
      </c>
      <c r="I2425" s="107">
        <v>0.66770901970658669</v>
      </c>
      <c r="J2425" s="108">
        <v>1.2765631610818413E-3</v>
      </c>
      <c r="K2425" s="108"/>
      <c r="L2425" s="108">
        <v>4.1200000000000001E-2</v>
      </c>
      <c r="O2425" s="105"/>
    </row>
    <row r="2426" spans="2:15" x14ac:dyDescent="0.2">
      <c r="B2426" s="1">
        <v>2411</v>
      </c>
      <c r="C2426" s="106">
        <f t="shared" ca="1" si="148"/>
        <v>-0.66732133379311409</v>
      </c>
      <c r="D2426" s="106">
        <f t="shared" ca="1" si="149"/>
        <v>0.6221695692779049</v>
      </c>
      <c r="E2426" s="106">
        <f t="shared" ca="1" si="150"/>
        <v>0</v>
      </c>
      <c r="F2426" s="21">
        <f t="shared" ca="1" si="151"/>
        <v>0</v>
      </c>
      <c r="H2426" s="21">
        <v>2411</v>
      </c>
      <c r="I2426" s="107">
        <v>0.66760678849187527</v>
      </c>
      <c r="J2426" s="108">
        <v>1.1854987210972376E-3</v>
      </c>
      <c r="K2426" s="108"/>
      <c r="L2426" s="108">
        <v>3.8199999999999998E-2</v>
      </c>
      <c r="O2426" s="105"/>
    </row>
    <row r="2427" spans="2:15" x14ac:dyDescent="0.2">
      <c r="B2427" s="1">
        <v>2412</v>
      </c>
      <c r="C2427" s="106">
        <f t="shared" ca="1" si="148"/>
        <v>0.11851274929263717</v>
      </c>
      <c r="D2427" s="106">
        <f t="shared" ca="1" si="149"/>
        <v>0.67231594802988826</v>
      </c>
      <c r="E2427" s="106">
        <f t="shared" ca="1" si="150"/>
        <v>0</v>
      </c>
      <c r="F2427" s="21">
        <f t="shared" ca="1" si="151"/>
        <v>0</v>
      </c>
      <c r="H2427" s="21">
        <v>2412</v>
      </c>
      <c r="I2427" s="107">
        <v>0.66785664961084568</v>
      </c>
      <c r="J2427" s="108">
        <v>1.4354348670237653E-3</v>
      </c>
      <c r="K2427" s="108"/>
      <c r="L2427" s="108">
        <v>4.2599999999999999E-2</v>
      </c>
      <c r="O2427" s="105"/>
    </row>
    <row r="2428" spans="2:15" x14ac:dyDescent="0.2">
      <c r="B2428" s="1">
        <v>2413</v>
      </c>
      <c r="C2428" s="106">
        <f t="shared" ca="1" si="148"/>
        <v>-0.76631561713825413</v>
      </c>
      <c r="D2428" s="106">
        <f t="shared" ca="1" si="149"/>
        <v>0.61612369543378853</v>
      </c>
      <c r="E2428" s="106">
        <f t="shared" ca="1" si="150"/>
        <v>0</v>
      </c>
      <c r="F2428" s="21">
        <f t="shared" ca="1" si="151"/>
        <v>0</v>
      </c>
      <c r="H2428" s="21">
        <v>2413</v>
      </c>
      <c r="I2428" s="107">
        <v>0.66771939108730427</v>
      </c>
      <c r="J2428" s="108">
        <v>1.4313098257028028E-3</v>
      </c>
      <c r="K2428" s="108"/>
      <c r="L2428" s="108">
        <v>4.5400000000000003E-2</v>
      </c>
      <c r="O2428" s="105"/>
    </row>
    <row r="2429" spans="2:15" x14ac:dyDescent="0.2">
      <c r="B2429" s="1">
        <v>2414</v>
      </c>
      <c r="C2429" s="106">
        <f t="shared" ca="1" si="148"/>
        <v>-5.7370703592802941E-2</v>
      </c>
      <c r="D2429" s="106">
        <f t="shared" ca="1" si="149"/>
        <v>0.66075228641939143</v>
      </c>
      <c r="E2429" s="106">
        <f t="shared" ca="1" si="150"/>
        <v>0</v>
      </c>
      <c r="F2429" s="21">
        <f t="shared" ca="1" si="151"/>
        <v>0</v>
      </c>
      <c r="H2429" s="21">
        <v>2414</v>
      </c>
      <c r="I2429" s="107">
        <v>0.66780643745333568</v>
      </c>
      <c r="J2429" s="108">
        <v>1.4227832710728492E-3</v>
      </c>
      <c r="K2429" s="108"/>
      <c r="L2429" s="108">
        <v>4.1399999999999999E-2</v>
      </c>
      <c r="O2429" s="105"/>
    </row>
    <row r="2430" spans="2:15" x14ac:dyDescent="0.2">
      <c r="B2430" s="1">
        <v>2415</v>
      </c>
      <c r="C2430" s="106">
        <f t="shared" ca="1" si="148"/>
        <v>-0.85647535168821398</v>
      </c>
      <c r="D2430" s="106">
        <f t="shared" ca="1" si="149"/>
        <v>0.6106685080358274</v>
      </c>
      <c r="E2430" s="106">
        <f t="shared" ca="1" si="150"/>
        <v>0</v>
      </c>
      <c r="F2430" s="21">
        <f t="shared" ca="1" si="151"/>
        <v>0</v>
      </c>
      <c r="H2430" s="21">
        <v>2415</v>
      </c>
      <c r="I2430" s="107">
        <v>0.6677229325141899</v>
      </c>
      <c r="J2430" s="108">
        <v>1.4481447988103464E-3</v>
      </c>
      <c r="K2430" s="108"/>
      <c r="L2430" s="108">
        <v>4.2999999999999997E-2</v>
      </c>
      <c r="O2430" s="105"/>
    </row>
    <row r="2431" spans="2:15" x14ac:dyDescent="0.2">
      <c r="B2431" s="1">
        <v>2416</v>
      </c>
      <c r="C2431" s="106">
        <f t="shared" ca="1" si="148"/>
        <v>-1.0158305353663468</v>
      </c>
      <c r="D2431" s="106">
        <f t="shared" ca="1" si="149"/>
        <v>0.60114445615851475</v>
      </c>
      <c r="E2431" s="106">
        <f t="shared" ca="1" si="150"/>
        <v>0</v>
      </c>
      <c r="F2431" s="21">
        <f t="shared" ca="1" si="151"/>
        <v>0</v>
      </c>
      <c r="H2431" s="21">
        <v>2416</v>
      </c>
      <c r="I2431" s="107">
        <v>0.66763579480401236</v>
      </c>
      <c r="J2431" s="108">
        <v>1.2550939586726071E-3</v>
      </c>
      <c r="K2431" s="108"/>
      <c r="L2431" s="108">
        <v>3.6200000000000003E-2</v>
      </c>
      <c r="O2431" s="105"/>
    </row>
    <row r="2432" spans="2:15" x14ac:dyDescent="0.2">
      <c r="B2432" s="1">
        <v>2417</v>
      </c>
      <c r="C2432" s="106">
        <f t="shared" ca="1" si="148"/>
        <v>0.48464207741900184</v>
      </c>
      <c r="D2432" s="106">
        <f t="shared" ca="1" si="149"/>
        <v>0.6970407494551778</v>
      </c>
      <c r="E2432" s="106">
        <f t="shared" ca="1" si="150"/>
        <v>0</v>
      </c>
      <c r="F2432" s="21">
        <f t="shared" ca="1" si="151"/>
        <v>0</v>
      </c>
      <c r="H2432" s="21">
        <v>2417</v>
      </c>
      <c r="I2432" s="107">
        <v>0.66761822765177092</v>
      </c>
      <c r="J2432" s="108">
        <v>1.2144867494745483E-3</v>
      </c>
      <c r="K2432" s="108"/>
      <c r="L2432" s="108">
        <v>3.9199999999999999E-2</v>
      </c>
      <c r="O2432" s="105"/>
    </row>
    <row r="2433" spans="2:15" x14ac:dyDescent="0.2">
      <c r="B2433" s="1">
        <v>2418</v>
      </c>
      <c r="C2433" s="106">
        <f t="shared" ca="1" si="148"/>
        <v>-0.1217938563171834</v>
      </c>
      <c r="D2433" s="106">
        <f t="shared" ca="1" si="149"/>
        <v>0.65656666103312833</v>
      </c>
      <c r="E2433" s="106">
        <f t="shared" ca="1" si="150"/>
        <v>0</v>
      </c>
      <c r="F2433" s="21">
        <f t="shared" ca="1" si="151"/>
        <v>0</v>
      </c>
      <c r="H2433" s="21">
        <v>2418</v>
      </c>
      <c r="I2433" s="107">
        <v>0.66765780557052201</v>
      </c>
      <c r="J2433" s="108">
        <v>1.2376099793560765E-3</v>
      </c>
      <c r="K2433" s="108"/>
      <c r="L2433" s="108">
        <v>3.9800000000000002E-2</v>
      </c>
      <c r="O2433" s="105"/>
    </row>
    <row r="2434" spans="2:15" x14ac:dyDescent="0.2">
      <c r="B2434" s="1">
        <v>2419</v>
      </c>
      <c r="C2434" s="106">
        <f t="shared" ca="1" si="148"/>
        <v>-0.90283608714842489</v>
      </c>
      <c r="D2434" s="106">
        <f t="shared" ca="1" si="149"/>
        <v>0.60788224516590972</v>
      </c>
      <c r="E2434" s="106">
        <f t="shared" ca="1" si="150"/>
        <v>0</v>
      </c>
      <c r="F2434" s="21">
        <f t="shared" ca="1" si="151"/>
        <v>0</v>
      </c>
      <c r="H2434" s="21">
        <v>2419</v>
      </c>
      <c r="I2434" s="107">
        <v>0.66773561479629029</v>
      </c>
      <c r="J2434" s="108">
        <v>1.3814762386830583E-3</v>
      </c>
      <c r="K2434" s="108"/>
      <c r="L2434" s="108">
        <v>4.5400000000000003E-2</v>
      </c>
      <c r="O2434" s="105"/>
    </row>
    <row r="2435" spans="2:15" x14ac:dyDescent="0.2">
      <c r="B2435" s="1">
        <v>2420</v>
      </c>
      <c r="C2435" s="106">
        <f t="shared" ca="1" si="148"/>
        <v>0.40410186384483365</v>
      </c>
      <c r="D2435" s="106">
        <f t="shared" ca="1" si="149"/>
        <v>0.69152498335745205</v>
      </c>
      <c r="E2435" s="106">
        <f t="shared" ca="1" si="150"/>
        <v>0</v>
      </c>
      <c r="F2435" s="21">
        <f t="shared" ca="1" si="151"/>
        <v>0</v>
      </c>
      <c r="H2435" s="21">
        <v>2420</v>
      </c>
      <c r="I2435" s="107">
        <v>0.66780251518377287</v>
      </c>
      <c r="J2435" s="108">
        <v>1.3385022669550673E-3</v>
      </c>
      <c r="K2435" s="108"/>
      <c r="L2435" s="108">
        <v>4.4400000000000002E-2</v>
      </c>
      <c r="O2435" s="105"/>
    </row>
    <row r="2436" spans="2:15" x14ac:dyDescent="0.2">
      <c r="B2436" s="1">
        <v>2421</v>
      </c>
      <c r="C2436" s="106">
        <f t="shared" ca="1" si="148"/>
        <v>0.37436424604752239</v>
      </c>
      <c r="D2436" s="106">
        <f t="shared" ca="1" si="149"/>
        <v>0.68949946522179462</v>
      </c>
      <c r="E2436" s="106">
        <f t="shared" ca="1" si="150"/>
        <v>0</v>
      </c>
      <c r="F2436" s="21">
        <f t="shared" ca="1" si="151"/>
        <v>0</v>
      </c>
      <c r="H2436" s="21">
        <v>2421</v>
      </c>
      <c r="I2436" s="107">
        <v>0.66763037007334236</v>
      </c>
      <c r="J2436" s="108">
        <v>1.3157513526105013E-3</v>
      </c>
      <c r="K2436" s="108"/>
      <c r="L2436" s="108">
        <v>4.1000000000000002E-2</v>
      </c>
      <c r="O2436" s="105"/>
    </row>
    <row r="2437" spans="2:15" x14ac:dyDescent="0.2">
      <c r="B2437" s="1">
        <v>2422</v>
      </c>
      <c r="C2437" s="106">
        <f t="shared" ca="1" si="148"/>
        <v>-2.357415529256127</v>
      </c>
      <c r="D2437" s="106">
        <f t="shared" ca="1" si="149"/>
        <v>0.52663069947923036</v>
      </c>
      <c r="E2437" s="106">
        <f t="shared" ca="1" si="150"/>
        <v>0</v>
      </c>
      <c r="F2437" s="21">
        <f t="shared" ca="1" si="151"/>
        <v>0</v>
      </c>
      <c r="H2437" s="21">
        <v>2422</v>
      </c>
      <c r="I2437" s="107">
        <v>0.66761528486666788</v>
      </c>
      <c r="J2437" s="108">
        <v>1.2003974316882537E-3</v>
      </c>
      <c r="K2437" s="108"/>
      <c r="L2437" s="108">
        <v>3.9399999999999998E-2</v>
      </c>
      <c r="O2437" s="105"/>
    </row>
    <row r="2438" spans="2:15" x14ac:dyDescent="0.2">
      <c r="B2438" s="1">
        <v>2423</v>
      </c>
      <c r="C2438" s="106">
        <f t="shared" ca="1" si="148"/>
        <v>0.52287457046999875</v>
      </c>
      <c r="D2438" s="106">
        <f t="shared" ca="1" si="149"/>
        <v>0.69967446503290975</v>
      </c>
      <c r="E2438" s="106">
        <f t="shared" ca="1" si="150"/>
        <v>0</v>
      </c>
      <c r="F2438" s="21">
        <f t="shared" ca="1" si="151"/>
        <v>0</v>
      </c>
      <c r="H2438" s="21">
        <v>2423</v>
      </c>
      <c r="I2438" s="107">
        <v>0.66780625581170139</v>
      </c>
      <c r="J2438" s="108">
        <v>1.4633593695393369E-3</v>
      </c>
      <c r="K2438" s="108"/>
      <c r="L2438" s="108">
        <v>4.5199999999999997E-2</v>
      </c>
      <c r="O2438" s="105"/>
    </row>
    <row r="2439" spans="2:15" x14ac:dyDescent="0.2">
      <c r="B2439" s="1">
        <v>2424</v>
      </c>
      <c r="C2439" s="106">
        <f t="shared" ca="1" si="148"/>
        <v>-1.4588255042532015</v>
      </c>
      <c r="D2439" s="106">
        <f t="shared" ca="1" si="149"/>
        <v>0.57544154719930962</v>
      </c>
      <c r="E2439" s="106">
        <f t="shared" ca="1" si="150"/>
        <v>0</v>
      </c>
      <c r="F2439" s="21">
        <f t="shared" ca="1" si="151"/>
        <v>0</v>
      </c>
      <c r="H2439" s="21">
        <v>2424</v>
      </c>
      <c r="I2439" s="107">
        <v>0.66778322576109617</v>
      </c>
      <c r="J2439" s="108">
        <v>1.5468954007500336E-3</v>
      </c>
      <c r="K2439" s="108"/>
      <c r="L2439" s="108">
        <v>4.3400000000000001E-2</v>
      </c>
      <c r="O2439" s="105"/>
    </row>
    <row r="2440" spans="2:15" x14ac:dyDescent="0.2">
      <c r="B2440" s="1">
        <v>2425</v>
      </c>
      <c r="C2440" s="106">
        <f t="shared" ca="1" si="148"/>
        <v>0.31046582859792282</v>
      </c>
      <c r="D2440" s="106">
        <f t="shared" ca="1" si="149"/>
        <v>0.68516720065064751</v>
      </c>
      <c r="E2440" s="106">
        <f t="shared" ca="1" si="150"/>
        <v>0</v>
      </c>
      <c r="F2440" s="21">
        <f t="shared" ca="1" si="151"/>
        <v>0</v>
      </c>
      <c r="H2440" s="21">
        <v>2425</v>
      </c>
      <c r="I2440" s="107">
        <v>0.66777251469613585</v>
      </c>
      <c r="J2440" s="108">
        <v>1.411647942252083E-3</v>
      </c>
      <c r="K2440" s="108"/>
      <c r="L2440" s="108">
        <v>4.4400000000000002E-2</v>
      </c>
      <c r="O2440" s="105"/>
    </row>
    <row r="2441" spans="2:15" x14ac:dyDescent="0.2">
      <c r="B2441" s="1">
        <v>2426</v>
      </c>
      <c r="C2441" s="106">
        <f t="shared" ca="1" si="148"/>
        <v>-1.149695083191059E-2</v>
      </c>
      <c r="D2441" s="106">
        <f t="shared" ca="1" si="149"/>
        <v>0.66374899710906954</v>
      </c>
      <c r="E2441" s="106">
        <f t="shared" ca="1" si="150"/>
        <v>0</v>
      </c>
      <c r="F2441" s="21">
        <f t="shared" ca="1" si="151"/>
        <v>0</v>
      </c>
      <c r="H2441" s="21">
        <v>2426</v>
      </c>
      <c r="I2441" s="107">
        <v>0.66774156255510286</v>
      </c>
      <c r="J2441" s="108">
        <v>1.5610439874903391E-3</v>
      </c>
      <c r="K2441" s="108"/>
      <c r="L2441" s="108">
        <v>4.3799999999999999E-2</v>
      </c>
      <c r="O2441" s="105"/>
    </row>
    <row r="2442" spans="2:15" x14ac:dyDescent="0.2">
      <c r="B2442" s="1">
        <v>2427</v>
      </c>
      <c r="C2442" s="106">
        <f t="shared" ca="1" si="148"/>
        <v>0.83510246081454409</v>
      </c>
      <c r="D2442" s="106">
        <f t="shared" ca="1" si="149"/>
        <v>0.7215587121077911</v>
      </c>
      <c r="E2442" s="106">
        <f t="shared" ca="1" si="150"/>
        <v>0</v>
      </c>
      <c r="F2442" s="21">
        <f t="shared" ca="1" si="151"/>
        <v>0</v>
      </c>
      <c r="H2442" s="21">
        <v>2427</v>
      </c>
      <c r="I2442" s="107">
        <v>0.66781561445415394</v>
      </c>
      <c r="J2442" s="108">
        <v>1.3390604722723952E-3</v>
      </c>
      <c r="K2442" s="108"/>
      <c r="L2442" s="108">
        <v>4.3799999999999999E-2</v>
      </c>
      <c r="O2442" s="105"/>
    </row>
    <row r="2443" spans="2:15" x14ac:dyDescent="0.2">
      <c r="B2443" s="1">
        <v>2428</v>
      </c>
      <c r="C2443" s="106">
        <f t="shared" ca="1" si="148"/>
        <v>-0.24873898796407193</v>
      </c>
      <c r="D2443" s="106">
        <f t="shared" ca="1" si="149"/>
        <v>0.64839637070560141</v>
      </c>
      <c r="E2443" s="106">
        <f t="shared" ca="1" si="150"/>
        <v>0</v>
      </c>
      <c r="F2443" s="21">
        <f t="shared" ca="1" si="151"/>
        <v>0</v>
      </c>
      <c r="H2443" s="21">
        <v>2428</v>
      </c>
      <c r="I2443" s="107">
        <v>0.66792883652564605</v>
      </c>
      <c r="J2443" s="108">
        <v>1.4966451757720365E-3</v>
      </c>
      <c r="K2443" s="108"/>
      <c r="L2443" s="108">
        <v>4.36E-2</v>
      </c>
      <c r="O2443" s="105"/>
    </row>
    <row r="2444" spans="2:15" x14ac:dyDescent="0.2">
      <c r="B2444" s="1">
        <v>2429</v>
      </c>
      <c r="C2444" s="106">
        <f t="shared" ca="1" si="148"/>
        <v>1.3375691838942991</v>
      </c>
      <c r="D2444" s="106">
        <f t="shared" ca="1" si="149"/>
        <v>0.75822314865557039</v>
      </c>
      <c r="E2444" s="106">
        <f t="shared" ca="1" si="150"/>
        <v>0</v>
      </c>
      <c r="F2444" s="21">
        <f t="shared" ca="1" si="151"/>
        <v>0</v>
      </c>
      <c r="H2444" s="21">
        <v>2429</v>
      </c>
      <c r="I2444" s="107">
        <v>0.66781441038111522</v>
      </c>
      <c r="J2444" s="108">
        <v>1.275261487909645E-3</v>
      </c>
      <c r="K2444" s="108"/>
      <c r="L2444" s="108">
        <v>4.2999999999999997E-2</v>
      </c>
      <c r="O2444" s="105"/>
    </row>
    <row r="2445" spans="2:15" x14ac:dyDescent="0.2">
      <c r="B2445" s="1">
        <v>2430</v>
      </c>
      <c r="C2445" s="106">
        <f t="shared" ca="1" si="148"/>
        <v>0.54986929679277452</v>
      </c>
      <c r="D2445" s="106">
        <f t="shared" ca="1" si="149"/>
        <v>0.70154003783225372</v>
      </c>
      <c r="E2445" s="106">
        <f t="shared" ca="1" si="150"/>
        <v>0</v>
      </c>
      <c r="F2445" s="21">
        <f t="shared" ca="1" si="151"/>
        <v>0</v>
      </c>
      <c r="H2445" s="21">
        <v>2430</v>
      </c>
      <c r="I2445" s="107">
        <v>0.66765559608628289</v>
      </c>
      <c r="J2445" s="108">
        <v>1.352287593823599E-3</v>
      </c>
      <c r="K2445" s="108"/>
      <c r="L2445" s="108">
        <v>3.78E-2</v>
      </c>
      <c r="O2445" s="105"/>
    </row>
    <row r="2446" spans="2:15" x14ac:dyDescent="0.2">
      <c r="B2446" s="1">
        <v>2431</v>
      </c>
      <c r="C2446" s="106">
        <f t="shared" ca="1" si="148"/>
        <v>9.1507322955208734E-2</v>
      </c>
      <c r="D2446" s="106">
        <f t="shared" ca="1" si="149"/>
        <v>0.67052738177592819</v>
      </c>
      <c r="E2446" s="106">
        <f t="shared" ca="1" si="150"/>
        <v>0</v>
      </c>
      <c r="F2446" s="21">
        <f t="shared" ca="1" si="151"/>
        <v>0</v>
      </c>
      <c r="H2446" s="21">
        <v>2431</v>
      </c>
      <c r="I2446" s="107">
        <v>0.66783821957573286</v>
      </c>
      <c r="J2446" s="108">
        <v>1.4867231270056258E-3</v>
      </c>
      <c r="K2446" s="108"/>
      <c r="L2446" s="108">
        <v>4.24E-2</v>
      </c>
      <c r="O2446" s="105"/>
    </row>
    <row r="2447" spans="2:15" x14ac:dyDescent="0.2">
      <c r="B2447" s="1">
        <v>2432</v>
      </c>
      <c r="C2447" s="106">
        <f t="shared" ca="1" si="148"/>
        <v>-0.50221624229511741</v>
      </c>
      <c r="D2447" s="106">
        <f t="shared" ca="1" si="149"/>
        <v>0.6323852998961994</v>
      </c>
      <c r="E2447" s="106">
        <f t="shared" ca="1" si="150"/>
        <v>0</v>
      </c>
      <c r="F2447" s="21">
        <f t="shared" ca="1" si="151"/>
        <v>0</v>
      </c>
      <c r="H2447" s="21">
        <v>2432</v>
      </c>
      <c r="I2447" s="107">
        <v>0.66770451730423264</v>
      </c>
      <c r="J2447" s="108">
        <v>1.2325003670698065E-3</v>
      </c>
      <c r="K2447" s="108"/>
      <c r="L2447" s="108">
        <v>4.2999999999999997E-2</v>
      </c>
      <c r="O2447" s="105"/>
    </row>
    <row r="2448" spans="2:15" x14ac:dyDescent="0.2">
      <c r="B2448" s="1">
        <v>2433</v>
      </c>
      <c r="C2448" s="106">
        <f t="shared" ref="C2448:C2515" ca="1" si="152">_xlfn.NORM.S.INV(RAND())</f>
        <v>-0.56998668640238026</v>
      </c>
      <c r="D2448" s="106">
        <f t="shared" ref="D2448:D2511" ca="1" si="153">S0*EXP((μ-0.5*σ*σ)*T+σ*SQRT(T)*$C2448)</f>
        <v>0.62817192420850876</v>
      </c>
      <c r="E2448" s="106">
        <f t="shared" ref="E2448:E2511" ca="1" si="154">MAX(0,CP*(D2448-K))</f>
        <v>0</v>
      </c>
      <c r="F2448" s="21">
        <f t="shared" ref="F2448:F2511" ca="1" si="155">(CP*(D2448-K)&gt;0)*1</f>
        <v>0</v>
      </c>
      <c r="H2448" s="21">
        <v>2433</v>
      </c>
      <c r="I2448" s="107">
        <v>0.6678235804544228</v>
      </c>
      <c r="J2448" s="108">
        <v>1.376264973817175E-3</v>
      </c>
      <c r="K2448" s="108"/>
      <c r="L2448" s="108">
        <v>4.4600000000000001E-2</v>
      </c>
      <c r="O2448" s="105"/>
    </row>
    <row r="2449" spans="2:15" x14ac:dyDescent="0.2">
      <c r="B2449" s="1">
        <v>2434</v>
      </c>
      <c r="C2449" s="106">
        <f t="shared" ca="1" si="152"/>
        <v>-0.26468617567731534</v>
      </c>
      <c r="D2449" s="106">
        <f t="shared" ca="1" si="153"/>
        <v>0.64737721147283023</v>
      </c>
      <c r="E2449" s="106">
        <f t="shared" ca="1" si="154"/>
        <v>0</v>
      </c>
      <c r="F2449" s="21">
        <f t="shared" ca="1" si="155"/>
        <v>0</v>
      </c>
      <c r="H2449" s="21">
        <v>2434</v>
      </c>
      <c r="I2449" s="107">
        <v>0.66770549298847648</v>
      </c>
      <c r="J2449" s="108">
        <v>1.2893731524685685E-3</v>
      </c>
      <c r="K2449" s="108"/>
      <c r="L2449" s="108">
        <v>4.3200000000000002E-2</v>
      </c>
      <c r="O2449" s="105"/>
    </row>
    <row r="2450" spans="2:15" x14ac:dyDescent="0.2">
      <c r="B2450" s="1">
        <v>2435</v>
      </c>
      <c r="C2450" s="106">
        <f t="shared" ca="1" si="152"/>
        <v>2.2882624377637346</v>
      </c>
      <c r="D2450" s="106">
        <f t="shared" ca="1" si="153"/>
        <v>0.83276823706562497</v>
      </c>
      <c r="E2450" s="106">
        <f t="shared" ca="1" si="154"/>
        <v>4.456823706562496E-2</v>
      </c>
      <c r="F2450" s="21">
        <f t="shared" ca="1" si="155"/>
        <v>1</v>
      </c>
      <c r="H2450" s="21">
        <v>2435</v>
      </c>
      <c r="I2450" s="107">
        <v>0.66776951275565655</v>
      </c>
      <c r="J2450" s="108">
        <v>1.5194605897300797E-3</v>
      </c>
      <c r="K2450" s="108"/>
      <c r="L2450" s="108">
        <v>4.24E-2</v>
      </c>
      <c r="O2450" s="105"/>
    </row>
    <row r="2451" spans="2:15" x14ac:dyDescent="0.2">
      <c r="B2451" s="1">
        <v>2436</v>
      </c>
      <c r="C2451" s="106">
        <f t="shared" ca="1" si="152"/>
        <v>-0.46467876580134515</v>
      </c>
      <c r="D2451" s="106">
        <f t="shared" ca="1" si="153"/>
        <v>0.63473120278021855</v>
      </c>
      <c r="E2451" s="106">
        <f t="shared" ca="1" si="154"/>
        <v>0</v>
      </c>
      <c r="F2451" s="21">
        <f t="shared" ca="1" si="155"/>
        <v>0</v>
      </c>
      <c r="H2451" s="21">
        <v>2436</v>
      </c>
      <c r="I2451" s="107">
        <v>0.66778819199576722</v>
      </c>
      <c r="J2451" s="108">
        <v>1.3508353384400018E-3</v>
      </c>
      <c r="K2451" s="108"/>
      <c r="L2451" s="108">
        <v>4.2799999999999998E-2</v>
      </c>
      <c r="O2451" s="105"/>
    </row>
    <row r="2452" spans="2:15" x14ac:dyDescent="0.2">
      <c r="B2452" s="1">
        <v>2437</v>
      </c>
      <c r="C2452" s="106">
        <f t="shared" ca="1" si="152"/>
        <v>0.422085187998605</v>
      </c>
      <c r="D2452" s="106">
        <f t="shared" ca="1" si="153"/>
        <v>0.69275276745028425</v>
      </c>
      <c r="E2452" s="106">
        <f t="shared" ca="1" si="154"/>
        <v>0</v>
      </c>
      <c r="F2452" s="21">
        <f t="shared" ca="1" si="155"/>
        <v>0</v>
      </c>
      <c r="H2452" s="21">
        <v>2437</v>
      </c>
      <c r="I2452" s="107">
        <v>0.66765137778285433</v>
      </c>
      <c r="J2452" s="108">
        <v>1.2925235840749395E-3</v>
      </c>
      <c r="K2452" s="108"/>
      <c r="L2452" s="108">
        <v>4.1399999999999999E-2</v>
      </c>
      <c r="O2452" s="105"/>
    </row>
    <row r="2453" spans="2:15" x14ac:dyDescent="0.2">
      <c r="B2453" s="1">
        <v>2438</v>
      </c>
      <c r="C2453" s="106">
        <f t="shared" ca="1" si="152"/>
        <v>-0.25868121389091464</v>
      </c>
      <c r="D2453" s="106">
        <f t="shared" ca="1" si="153"/>
        <v>0.64776079079474791</v>
      </c>
      <c r="E2453" s="106">
        <f t="shared" ca="1" si="154"/>
        <v>0</v>
      </c>
      <c r="F2453" s="21">
        <f t="shared" ca="1" si="155"/>
        <v>0</v>
      </c>
      <c r="H2453" s="21">
        <v>2438</v>
      </c>
      <c r="I2453" s="107">
        <v>0.667830826043876</v>
      </c>
      <c r="J2453" s="108">
        <v>1.5911211808146224E-3</v>
      </c>
      <c r="K2453" s="108"/>
      <c r="L2453" s="108">
        <v>4.36E-2</v>
      </c>
      <c r="O2453" s="105"/>
    </row>
    <row r="2454" spans="2:15" x14ac:dyDescent="0.2">
      <c r="B2454" s="1">
        <v>2439</v>
      </c>
      <c r="C2454" s="106">
        <f t="shared" ca="1" si="152"/>
        <v>1.1167738933502436</v>
      </c>
      <c r="D2454" s="106">
        <f t="shared" ca="1" si="153"/>
        <v>0.74188792961239058</v>
      </c>
      <c r="E2454" s="106">
        <f t="shared" ca="1" si="154"/>
        <v>0</v>
      </c>
      <c r="F2454" s="21">
        <f t="shared" ca="1" si="155"/>
        <v>0</v>
      </c>
      <c r="H2454" s="21">
        <v>2439</v>
      </c>
      <c r="I2454" s="107">
        <v>0.66774362792117847</v>
      </c>
      <c r="J2454" s="108">
        <v>1.4869783739780787E-3</v>
      </c>
      <c r="K2454" s="108"/>
      <c r="L2454" s="108">
        <v>4.0800000000000003E-2</v>
      </c>
      <c r="O2454" s="105"/>
    </row>
    <row r="2455" spans="2:15" x14ac:dyDescent="0.2">
      <c r="B2455" s="1">
        <v>2440</v>
      </c>
      <c r="C2455" s="106">
        <f t="shared" ca="1" si="152"/>
        <v>0.18475748404914027</v>
      </c>
      <c r="D2455" s="106">
        <f t="shared" ca="1" si="153"/>
        <v>0.67672356040695092</v>
      </c>
      <c r="E2455" s="106">
        <f t="shared" ca="1" si="154"/>
        <v>0</v>
      </c>
      <c r="F2455" s="21">
        <f t="shared" ca="1" si="155"/>
        <v>0</v>
      </c>
      <c r="H2455" s="21">
        <v>2440</v>
      </c>
      <c r="I2455" s="107">
        <v>0.66775812672829093</v>
      </c>
      <c r="J2455" s="108">
        <v>1.5149586775987803E-3</v>
      </c>
      <c r="K2455" s="108"/>
      <c r="L2455" s="108">
        <v>4.1799999999999997E-2</v>
      </c>
      <c r="O2455" s="105"/>
    </row>
    <row r="2456" spans="2:15" x14ac:dyDescent="0.2">
      <c r="B2456" s="1">
        <v>2441</v>
      </c>
      <c r="C2456" s="106">
        <f t="shared" ca="1" si="152"/>
        <v>-0.19225389090276496</v>
      </c>
      <c r="D2456" s="106">
        <f t="shared" ca="1" si="153"/>
        <v>0.65201916612913602</v>
      </c>
      <c r="E2456" s="106">
        <f t="shared" ca="1" si="154"/>
        <v>0</v>
      </c>
      <c r="F2456" s="21">
        <f t="shared" ca="1" si="155"/>
        <v>0</v>
      </c>
      <c r="H2456" s="21">
        <v>2441</v>
      </c>
      <c r="I2456" s="107">
        <v>0.66781350001064943</v>
      </c>
      <c r="J2456" s="108">
        <v>1.4813041059704986E-3</v>
      </c>
      <c r="K2456" s="108"/>
      <c r="L2456" s="108">
        <v>4.2599999999999999E-2</v>
      </c>
      <c r="O2456" s="105"/>
    </row>
    <row r="2457" spans="2:15" x14ac:dyDescent="0.2">
      <c r="B2457" s="1">
        <v>2442</v>
      </c>
      <c r="C2457" s="106">
        <f t="shared" ca="1" si="152"/>
        <v>-0.83047933839983035</v>
      </c>
      <c r="D2457" s="106">
        <f t="shared" ca="1" si="153"/>
        <v>0.61223644327409266</v>
      </c>
      <c r="E2457" s="106">
        <f t="shared" ca="1" si="154"/>
        <v>0</v>
      </c>
      <c r="F2457" s="21">
        <f t="shared" ca="1" si="155"/>
        <v>0</v>
      </c>
      <c r="H2457" s="21">
        <v>2442</v>
      </c>
      <c r="I2457" s="107">
        <v>0.66782161510050586</v>
      </c>
      <c r="J2457" s="108">
        <v>1.5094310463887404E-3</v>
      </c>
      <c r="K2457" s="108"/>
      <c r="L2457" s="108">
        <v>4.5199999999999997E-2</v>
      </c>
      <c r="O2457" s="105"/>
    </row>
    <row r="2458" spans="2:15" x14ac:dyDescent="0.2">
      <c r="B2458" s="1">
        <v>2443</v>
      </c>
      <c r="C2458" s="106">
        <f t="shared" ca="1" si="152"/>
        <v>-6.5973021589072122E-3</v>
      </c>
      <c r="D2458" s="106">
        <f t="shared" ca="1" si="153"/>
        <v>0.66406986973764037</v>
      </c>
      <c r="E2458" s="106">
        <f t="shared" ca="1" si="154"/>
        <v>0</v>
      </c>
      <c r="F2458" s="21">
        <f t="shared" ca="1" si="155"/>
        <v>0</v>
      </c>
      <c r="H2458" s="21">
        <v>2443</v>
      </c>
      <c r="I2458" s="107">
        <v>0.66773523465319462</v>
      </c>
      <c r="J2458" s="108">
        <v>1.588039946438993E-3</v>
      </c>
      <c r="K2458" s="108"/>
      <c r="L2458" s="108">
        <v>3.9800000000000002E-2</v>
      </c>
      <c r="O2458" s="105"/>
    </row>
    <row r="2459" spans="2:15" x14ac:dyDescent="0.2">
      <c r="B2459" s="1">
        <v>2444</v>
      </c>
      <c r="C2459" s="106">
        <f t="shared" ca="1" si="152"/>
        <v>1.6354553714960876</v>
      </c>
      <c r="D2459" s="106">
        <f t="shared" ca="1" si="153"/>
        <v>0.78083325268257886</v>
      </c>
      <c r="E2459" s="106">
        <f t="shared" ca="1" si="154"/>
        <v>0</v>
      </c>
      <c r="F2459" s="21">
        <f t="shared" ca="1" si="155"/>
        <v>0</v>
      </c>
      <c r="H2459" s="21">
        <v>2444</v>
      </c>
      <c r="I2459" s="107">
        <v>0.66774285559636926</v>
      </c>
      <c r="J2459" s="108">
        <v>1.511774703526226E-3</v>
      </c>
      <c r="K2459" s="108"/>
      <c r="L2459" s="108">
        <v>0.04</v>
      </c>
      <c r="O2459" s="105"/>
    </row>
    <row r="2460" spans="2:15" x14ac:dyDescent="0.2">
      <c r="B2460" s="1">
        <v>2445</v>
      </c>
      <c r="C2460" s="106">
        <f t="shared" ca="1" si="152"/>
        <v>0.60645935786990079</v>
      </c>
      <c r="D2460" s="106">
        <f t="shared" ca="1" si="153"/>
        <v>0.70546706793784264</v>
      </c>
      <c r="E2460" s="106">
        <f t="shared" ca="1" si="154"/>
        <v>0</v>
      </c>
      <c r="F2460" s="21">
        <f t="shared" ca="1" si="155"/>
        <v>0</v>
      </c>
      <c r="H2460" s="21">
        <v>2445</v>
      </c>
      <c r="I2460" s="107">
        <v>0.66770217567788825</v>
      </c>
      <c r="J2460" s="108">
        <v>1.3218668919053505E-3</v>
      </c>
      <c r="K2460" s="108"/>
      <c r="L2460" s="108">
        <v>4.02E-2</v>
      </c>
      <c r="O2460" s="105"/>
    </row>
    <row r="2461" spans="2:15" x14ac:dyDescent="0.2">
      <c r="B2461" s="1">
        <v>2446</v>
      </c>
      <c r="C2461" s="106">
        <f t="shared" ca="1" si="152"/>
        <v>-0.50499384603445996</v>
      </c>
      <c r="D2461" s="106">
        <f t="shared" ca="1" si="153"/>
        <v>0.63221205858552787</v>
      </c>
      <c r="E2461" s="106">
        <f t="shared" ca="1" si="154"/>
        <v>0</v>
      </c>
      <c r="F2461" s="21">
        <f t="shared" ca="1" si="155"/>
        <v>0</v>
      </c>
      <c r="H2461" s="21">
        <v>2446</v>
      </c>
      <c r="I2461" s="107">
        <v>0.66781130219505636</v>
      </c>
      <c r="J2461" s="108">
        <v>1.41643821708375E-3</v>
      </c>
      <c r="K2461" s="108"/>
      <c r="L2461" s="108">
        <v>4.3200000000000002E-2</v>
      </c>
      <c r="O2461" s="105"/>
    </row>
    <row r="2462" spans="2:15" x14ac:dyDescent="0.2">
      <c r="B2462" s="1">
        <v>2447</v>
      </c>
      <c r="C2462" s="106">
        <f t="shared" ca="1" si="152"/>
        <v>-1.4360571775965744E-2</v>
      </c>
      <c r="D2462" s="106">
        <f t="shared" ca="1" si="153"/>
        <v>0.6635615335006978</v>
      </c>
      <c r="E2462" s="106">
        <f t="shared" ca="1" si="154"/>
        <v>0</v>
      </c>
      <c r="F2462" s="21">
        <f t="shared" ca="1" si="155"/>
        <v>0</v>
      </c>
      <c r="H2462" s="21">
        <v>2447</v>
      </c>
      <c r="I2462" s="107">
        <v>0.6676881078866399</v>
      </c>
      <c r="J2462" s="108">
        <v>1.2091984321834059E-3</v>
      </c>
      <c r="K2462" s="108"/>
      <c r="L2462" s="108">
        <v>4.02E-2</v>
      </c>
      <c r="O2462" s="105"/>
    </row>
    <row r="2463" spans="2:15" x14ac:dyDescent="0.2">
      <c r="B2463" s="1">
        <v>2448</v>
      </c>
      <c r="C2463" s="106">
        <f t="shared" ca="1" si="152"/>
        <v>-0.98832925990474052</v>
      </c>
      <c r="D2463" s="106">
        <f t="shared" ca="1" si="153"/>
        <v>0.60277743209540324</v>
      </c>
      <c r="E2463" s="106">
        <f t="shared" ca="1" si="154"/>
        <v>0</v>
      </c>
      <c r="F2463" s="21">
        <f t="shared" ca="1" si="155"/>
        <v>0</v>
      </c>
      <c r="H2463" s="21">
        <v>2448</v>
      </c>
      <c r="I2463" s="107">
        <v>0.66784578202863576</v>
      </c>
      <c r="J2463" s="108">
        <v>1.4338980468873506E-3</v>
      </c>
      <c r="K2463" s="108"/>
      <c r="L2463" s="108">
        <v>4.3999999999999997E-2</v>
      </c>
      <c r="O2463" s="105"/>
    </row>
    <row r="2464" spans="2:15" x14ac:dyDescent="0.2">
      <c r="B2464" s="1">
        <v>2449</v>
      </c>
      <c r="C2464" s="106">
        <f t="shared" ca="1" si="152"/>
        <v>-1.1241507602426188</v>
      </c>
      <c r="D2464" s="106">
        <f t="shared" ca="1" si="153"/>
        <v>0.5947555107090392</v>
      </c>
      <c r="E2464" s="106">
        <f t="shared" ca="1" si="154"/>
        <v>0</v>
      </c>
      <c r="F2464" s="21">
        <f t="shared" ca="1" si="155"/>
        <v>0</v>
      </c>
      <c r="H2464" s="21">
        <v>2449</v>
      </c>
      <c r="I2464" s="107">
        <v>0.66775444366178194</v>
      </c>
      <c r="J2464" s="108">
        <v>1.3931935998790603E-3</v>
      </c>
      <c r="K2464" s="108"/>
      <c r="L2464" s="108">
        <v>4.3799999999999999E-2</v>
      </c>
      <c r="O2464" s="105"/>
    </row>
    <row r="2465" spans="2:15" x14ac:dyDescent="0.2">
      <c r="B2465" s="1">
        <v>2450</v>
      </c>
      <c r="C2465" s="106">
        <f t="shared" ca="1" si="152"/>
        <v>1.6657629026255905</v>
      </c>
      <c r="D2465" s="106">
        <f t="shared" ca="1" si="153"/>
        <v>0.78317110514551014</v>
      </c>
      <c r="E2465" s="106">
        <f t="shared" ca="1" si="154"/>
        <v>0</v>
      </c>
      <c r="F2465" s="21">
        <f t="shared" ca="1" si="155"/>
        <v>0</v>
      </c>
      <c r="H2465" s="21">
        <v>2450</v>
      </c>
      <c r="I2465" s="107">
        <v>0.66771771948529113</v>
      </c>
      <c r="J2465" s="108">
        <v>1.2879858170558645E-3</v>
      </c>
      <c r="K2465" s="108"/>
      <c r="L2465" s="108">
        <v>0.04</v>
      </c>
      <c r="O2465" s="105"/>
    </row>
    <row r="2466" spans="2:15" x14ac:dyDescent="0.2">
      <c r="B2466" s="1">
        <v>2451</v>
      </c>
      <c r="C2466" s="106">
        <f t="shared" ca="1" si="152"/>
        <v>0.85944340208668157</v>
      </c>
      <c r="D2466" s="106">
        <f t="shared" ca="1" si="153"/>
        <v>0.72329327249370545</v>
      </c>
      <c r="E2466" s="106">
        <f t="shared" ca="1" si="154"/>
        <v>0</v>
      </c>
      <c r="F2466" s="21">
        <f t="shared" ca="1" si="155"/>
        <v>0</v>
      </c>
      <c r="H2466" s="21">
        <v>2451</v>
      </c>
      <c r="I2466" s="107">
        <v>0.6679105382093643</v>
      </c>
      <c r="J2466" s="108">
        <v>1.5035084414762381E-3</v>
      </c>
      <c r="K2466" s="108"/>
      <c r="L2466" s="108">
        <v>4.4200000000000003E-2</v>
      </c>
      <c r="O2466" s="105"/>
    </row>
    <row r="2467" spans="2:15" x14ac:dyDescent="0.2">
      <c r="B2467" s="1">
        <v>2452</v>
      </c>
      <c r="C2467" s="106">
        <f t="shared" ca="1" si="152"/>
        <v>-1.6304791727878887</v>
      </c>
      <c r="D2467" s="106">
        <f t="shared" ca="1" si="153"/>
        <v>0.56578011246542159</v>
      </c>
      <c r="E2467" s="106">
        <f t="shared" ca="1" si="154"/>
        <v>0</v>
      </c>
      <c r="F2467" s="21">
        <f t="shared" ca="1" si="155"/>
        <v>0</v>
      </c>
      <c r="H2467" s="21">
        <v>2452</v>
      </c>
      <c r="I2467" s="107">
        <v>0.66781613997401812</v>
      </c>
      <c r="J2467" s="108">
        <v>1.4383331456561965E-3</v>
      </c>
      <c r="K2467" s="108"/>
      <c r="L2467" s="108">
        <v>4.2599999999999999E-2</v>
      </c>
      <c r="O2467" s="105"/>
    </row>
    <row r="2468" spans="2:15" x14ac:dyDescent="0.2">
      <c r="B2468" s="1">
        <v>2453</v>
      </c>
      <c r="C2468" s="106">
        <f t="shared" ca="1" si="152"/>
        <v>-0.38522913110698959</v>
      </c>
      <c r="D2468" s="106">
        <f t="shared" ca="1" si="153"/>
        <v>0.63972514544328285</v>
      </c>
      <c r="E2468" s="106">
        <f t="shared" ca="1" si="154"/>
        <v>0</v>
      </c>
      <c r="F2468" s="21">
        <f t="shared" ca="1" si="155"/>
        <v>0</v>
      </c>
      <c r="H2468" s="21">
        <v>2453</v>
      </c>
      <c r="I2468" s="107">
        <v>0.6677801093909822</v>
      </c>
      <c r="J2468" s="108">
        <v>1.3828162706580943E-3</v>
      </c>
      <c r="K2468" s="108"/>
      <c r="L2468" s="108">
        <v>4.1799999999999997E-2</v>
      </c>
      <c r="O2468" s="105"/>
    </row>
    <row r="2469" spans="2:15" x14ac:dyDescent="0.2">
      <c r="B2469" s="1">
        <v>2454</v>
      </c>
      <c r="C2469" s="106">
        <f t="shared" ca="1" si="152"/>
        <v>0.54539385075767333</v>
      </c>
      <c r="D2469" s="106">
        <f t="shared" ca="1" si="153"/>
        <v>0.70123040156154237</v>
      </c>
      <c r="E2469" s="106">
        <f t="shared" ca="1" si="154"/>
        <v>0</v>
      </c>
      <c r="F2469" s="21">
        <f t="shared" ca="1" si="155"/>
        <v>0</v>
      </c>
      <c r="H2469" s="21">
        <v>2454</v>
      </c>
      <c r="I2469" s="107">
        <v>0.66773668630999006</v>
      </c>
      <c r="J2469" s="108">
        <v>1.3225938678045372E-3</v>
      </c>
      <c r="K2469" s="108"/>
      <c r="L2469" s="108">
        <v>4.2000000000000003E-2</v>
      </c>
      <c r="O2469" s="105"/>
    </row>
    <row r="2470" spans="2:15" x14ac:dyDescent="0.2">
      <c r="B2470" s="1">
        <v>2455</v>
      </c>
      <c r="C2470" s="106">
        <f t="shared" ca="1" si="152"/>
        <v>0.78285565123215395</v>
      </c>
      <c r="D2470" s="106">
        <f t="shared" ca="1" si="153"/>
        <v>0.71784958495932316</v>
      </c>
      <c r="E2470" s="106">
        <f t="shared" ca="1" si="154"/>
        <v>0</v>
      </c>
      <c r="F2470" s="21">
        <f t="shared" ca="1" si="155"/>
        <v>0</v>
      </c>
      <c r="H2470" s="21">
        <v>2455</v>
      </c>
      <c r="I2470" s="107">
        <v>0.66778379010623878</v>
      </c>
      <c r="J2470" s="108">
        <v>1.4308675886112517E-3</v>
      </c>
      <c r="K2470" s="108"/>
      <c r="L2470" s="108">
        <v>4.4200000000000003E-2</v>
      </c>
      <c r="O2470" s="105"/>
    </row>
    <row r="2471" spans="2:15" x14ac:dyDescent="0.2">
      <c r="B2471" s="1">
        <v>2456</v>
      </c>
      <c r="C2471" s="106">
        <f t="shared" ca="1" si="152"/>
        <v>-8.5832107743344984E-3</v>
      </c>
      <c r="D2471" s="106">
        <f t="shared" ca="1" si="153"/>
        <v>0.6639397960659652</v>
      </c>
      <c r="E2471" s="106">
        <f t="shared" ca="1" si="154"/>
        <v>0</v>
      </c>
      <c r="F2471" s="21">
        <f t="shared" ca="1" si="155"/>
        <v>0</v>
      </c>
      <c r="H2471" s="21">
        <v>2456</v>
      </c>
      <c r="I2471" s="107">
        <v>0.66772596651153693</v>
      </c>
      <c r="J2471" s="108">
        <v>1.4513900549367512E-3</v>
      </c>
      <c r="K2471" s="108"/>
      <c r="L2471" s="108">
        <v>3.9800000000000002E-2</v>
      </c>
      <c r="O2471" s="105"/>
    </row>
    <row r="2472" spans="2:15" x14ac:dyDescent="0.2">
      <c r="B2472" s="1">
        <v>2457</v>
      </c>
      <c r="C2472" s="106">
        <f t="shared" ca="1" si="152"/>
        <v>-8.4153852500822107E-2</v>
      </c>
      <c r="D2472" s="106">
        <f t="shared" ca="1" si="153"/>
        <v>0.65900893214589018</v>
      </c>
      <c r="E2472" s="106">
        <f t="shared" ca="1" si="154"/>
        <v>0</v>
      </c>
      <c r="F2472" s="21">
        <f t="shared" ca="1" si="155"/>
        <v>0</v>
      </c>
      <c r="H2472" s="21">
        <v>2457</v>
      </c>
      <c r="I2472" s="107">
        <v>0.66784416564369053</v>
      </c>
      <c r="J2472" s="108">
        <v>1.4117369474992596E-3</v>
      </c>
      <c r="K2472" s="108"/>
      <c r="L2472" s="108">
        <v>4.4400000000000002E-2</v>
      </c>
      <c r="O2472" s="105"/>
    </row>
    <row r="2473" spans="2:15" x14ac:dyDescent="0.2">
      <c r="B2473" s="1">
        <v>2458</v>
      </c>
      <c r="C2473" s="106">
        <f t="shared" ca="1" si="152"/>
        <v>2.1680247800229414E-2</v>
      </c>
      <c r="D2473" s="106">
        <f t="shared" ca="1" si="153"/>
        <v>0.66592476884415575</v>
      </c>
      <c r="E2473" s="106">
        <f t="shared" ca="1" si="154"/>
        <v>0</v>
      </c>
      <c r="F2473" s="21">
        <f t="shared" ca="1" si="155"/>
        <v>0</v>
      </c>
      <c r="H2473" s="21">
        <v>2458</v>
      </c>
      <c r="I2473" s="107">
        <v>0.66776883569756385</v>
      </c>
      <c r="J2473" s="108">
        <v>1.3447357750749466E-3</v>
      </c>
      <c r="K2473" s="108"/>
      <c r="L2473" s="108">
        <v>4.3799999999999999E-2</v>
      </c>
      <c r="O2473" s="105"/>
    </row>
    <row r="2474" spans="2:15" x14ac:dyDescent="0.2">
      <c r="B2474" s="1">
        <v>2459</v>
      </c>
      <c r="C2474" s="106">
        <f t="shared" ca="1" si="152"/>
        <v>0.90127355541691956</v>
      </c>
      <c r="D2474" s="106">
        <f t="shared" ca="1" si="153"/>
        <v>0.72628387766462221</v>
      </c>
      <c r="E2474" s="106">
        <f t="shared" ca="1" si="154"/>
        <v>0</v>
      </c>
      <c r="F2474" s="21">
        <f t="shared" ca="1" si="155"/>
        <v>0</v>
      </c>
      <c r="H2474" s="21">
        <v>2459</v>
      </c>
      <c r="I2474" s="107">
        <v>0.66765078975342096</v>
      </c>
      <c r="J2474" s="108">
        <v>1.2578780743525409E-3</v>
      </c>
      <c r="K2474" s="108"/>
      <c r="L2474" s="108">
        <v>3.8800000000000001E-2</v>
      </c>
      <c r="O2474" s="105"/>
    </row>
    <row r="2475" spans="2:15" x14ac:dyDescent="0.2">
      <c r="B2475" s="1">
        <v>2460</v>
      </c>
      <c r="C2475" s="106">
        <f t="shared" ca="1" si="152"/>
        <v>-1.0466975417657582</v>
      </c>
      <c r="D2475" s="106">
        <f t="shared" ca="1" si="153"/>
        <v>0.59931689775365782</v>
      </c>
      <c r="E2475" s="106">
        <f t="shared" ca="1" si="154"/>
        <v>0</v>
      </c>
      <c r="F2475" s="21">
        <f t="shared" ca="1" si="155"/>
        <v>0</v>
      </c>
      <c r="H2475" s="21">
        <v>2460</v>
      </c>
      <c r="I2475" s="107">
        <v>0.66771280319712911</v>
      </c>
      <c r="J2475" s="108">
        <v>1.301422363294326E-3</v>
      </c>
      <c r="K2475" s="108"/>
      <c r="L2475" s="108">
        <v>3.6400000000000002E-2</v>
      </c>
      <c r="O2475" s="105"/>
    </row>
    <row r="2476" spans="2:15" x14ac:dyDescent="0.2">
      <c r="B2476" s="1">
        <v>2461</v>
      </c>
      <c r="C2476" s="106">
        <f t="shared" ca="1" si="152"/>
        <v>0.83383832452614914</v>
      </c>
      <c r="D2476" s="106">
        <f t="shared" ca="1" si="153"/>
        <v>0.72146874217487345</v>
      </c>
      <c r="E2476" s="106">
        <f t="shared" ca="1" si="154"/>
        <v>0</v>
      </c>
      <c r="F2476" s="21">
        <f t="shared" ca="1" si="155"/>
        <v>0</v>
      </c>
      <c r="H2476" s="21">
        <v>2461</v>
      </c>
      <c r="I2476" s="107">
        <v>0.66792491786339336</v>
      </c>
      <c r="J2476" s="108">
        <v>1.5961398973842237E-3</v>
      </c>
      <c r="K2476" s="108"/>
      <c r="L2476" s="108">
        <v>4.4999999999999998E-2</v>
      </c>
      <c r="O2476" s="105"/>
    </row>
    <row r="2477" spans="2:15" x14ac:dyDescent="0.2">
      <c r="B2477" s="1">
        <v>2462</v>
      </c>
      <c r="C2477" s="106">
        <f t="shared" ca="1" si="152"/>
        <v>-1.6589082765125256</v>
      </c>
      <c r="D2477" s="106">
        <f t="shared" ca="1" si="153"/>
        <v>0.56419572664853745</v>
      </c>
      <c r="E2477" s="106">
        <f t="shared" ca="1" si="154"/>
        <v>0</v>
      </c>
      <c r="F2477" s="21">
        <f t="shared" ca="1" si="155"/>
        <v>0</v>
      </c>
      <c r="H2477" s="21">
        <v>2462</v>
      </c>
      <c r="I2477" s="107">
        <v>0.66775232951039465</v>
      </c>
      <c r="J2477" s="108">
        <v>1.3701892667111245E-3</v>
      </c>
      <c r="K2477" s="108"/>
      <c r="L2477" s="108">
        <v>4.2000000000000003E-2</v>
      </c>
      <c r="O2477" s="105"/>
    </row>
    <row r="2478" spans="2:15" x14ac:dyDescent="0.2">
      <c r="B2478" s="1">
        <v>2463</v>
      </c>
      <c r="C2478" s="106">
        <f t="shared" ca="1" si="152"/>
        <v>-0.77406888560261944</v>
      </c>
      <c r="D2478" s="106">
        <f t="shared" ca="1" si="153"/>
        <v>0.61565266868319724</v>
      </c>
      <c r="E2478" s="106">
        <f t="shared" ca="1" si="154"/>
        <v>0</v>
      </c>
      <c r="F2478" s="21">
        <f t="shared" ca="1" si="155"/>
        <v>0</v>
      </c>
      <c r="H2478" s="21">
        <v>2463</v>
      </c>
      <c r="I2478" s="107">
        <v>0.66780889522781339</v>
      </c>
      <c r="J2478" s="108">
        <v>1.5085179440523381E-3</v>
      </c>
      <c r="K2478" s="108"/>
      <c r="L2478" s="108">
        <v>4.5199999999999997E-2</v>
      </c>
      <c r="O2478" s="105"/>
    </row>
    <row r="2479" spans="2:15" x14ac:dyDescent="0.2">
      <c r="B2479" s="1">
        <v>2464</v>
      </c>
      <c r="C2479" s="106">
        <f t="shared" ca="1" si="152"/>
        <v>1.8260728288076387</v>
      </c>
      <c r="D2479" s="106">
        <f t="shared" ca="1" si="153"/>
        <v>0.79565397046541231</v>
      </c>
      <c r="E2479" s="106">
        <f t="shared" ca="1" si="154"/>
        <v>7.4539704654122962E-3</v>
      </c>
      <c r="F2479" s="21">
        <f t="shared" ca="1" si="155"/>
        <v>1</v>
      </c>
      <c r="H2479" s="21">
        <v>2464</v>
      </c>
      <c r="I2479" s="107">
        <v>0.66769255041535869</v>
      </c>
      <c r="J2479" s="108">
        <v>1.2886813476133574E-3</v>
      </c>
      <c r="K2479" s="108"/>
      <c r="L2479" s="108">
        <v>4.02E-2</v>
      </c>
      <c r="O2479" s="105"/>
    </row>
    <row r="2480" spans="2:15" x14ac:dyDescent="0.2">
      <c r="B2480" s="1">
        <v>2465</v>
      </c>
      <c r="C2480" s="106">
        <f t="shared" ca="1" si="152"/>
        <v>-0.41792683835266403</v>
      </c>
      <c r="D2480" s="106">
        <f t="shared" ca="1" si="153"/>
        <v>0.63766513492941435</v>
      </c>
      <c r="E2480" s="106">
        <f t="shared" ca="1" si="154"/>
        <v>0</v>
      </c>
      <c r="F2480" s="21">
        <f t="shared" ca="1" si="155"/>
        <v>0</v>
      </c>
      <c r="H2480" s="21">
        <v>2465</v>
      </c>
      <c r="I2480" s="107">
        <v>0.66766948018061922</v>
      </c>
      <c r="J2480" s="108">
        <v>1.2197313613472763E-3</v>
      </c>
      <c r="K2480" s="108"/>
      <c r="L2480" s="108">
        <v>3.6200000000000003E-2</v>
      </c>
      <c r="O2480" s="105"/>
    </row>
    <row r="2481" spans="2:15" x14ac:dyDescent="0.2">
      <c r="B2481" s="1">
        <v>2466</v>
      </c>
      <c r="C2481" s="106">
        <f t="shared" ca="1" si="152"/>
        <v>0.68816038317860106</v>
      </c>
      <c r="D2481" s="106">
        <f t="shared" ca="1" si="153"/>
        <v>0.71117546716478097</v>
      </c>
      <c r="E2481" s="106">
        <f t="shared" ca="1" si="154"/>
        <v>0</v>
      </c>
      <c r="F2481" s="21">
        <f t="shared" ca="1" si="155"/>
        <v>0</v>
      </c>
      <c r="H2481" s="21">
        <v>2466</v>
      </c>
      <c r="I2481" s="107">
        <v>0.66767668621373466</v>
      </c>
      <c r="J2481" s="108">
        <v>1.2585711073178011E-3</v>
      </c>
      <c r="K2481" s="108"/>
      <c r="L2481" s="108">
        <v>3.9600000000000003E-2</v>
      </c>
      <c r="O2481" s="105"/>
    </row>
    <row r="2482" spans="2:15" x14ac:dyDescent="0.2">
      <c r="B2482" s="1">
        <v>2467</v>
      </c>
      <c r="C2482" s="106">
        <f t="shared" ca="1" si="152"/>
        <v>1.3056371847293045</v>
      </c>
      <c r="D2482" s="106">
        <f t="shared" ca="1" si="153"/>
        <v>0.75583864355788888</v>
      </c>
      <c r="E2482" s="106">
        <f t="shared" ca="1" si="154"/>
        <v>0</v>
      </c>
      <c r="F2482" s="21">
        <f t="shared" ca="1" si="155"/>
        <v>0</v>
      </c>
      <c r="H2482" s="21">
        <v>2467</v>
      </c>
      <c r="I2482" s="107">
        <v>0.66775307402337558</v>
      </c>
      <c r="J2482" s="108">
        <v>1.4827789233245645E-3</v>
      </c>
      <c r="K2482" s="108"/>
      <c r="L2482" s="108">
        <v>4.2999999999999997E-2</v>
      </c>
      <c r="O2482" s="105"/>
    </row>
    <row r="2483" spans="2:15" x14ac:dyDescent="0.2">
      <c r="B2483" s="1">
        <v>2468</v>
      </c>
      <c r="C2483" s="106">
        <f t="shared" ca="1" si="152"/>
        <v>0.88531368530154186</v>
      </c>
      <c r="D2483" s="106">
        <f t="shared" ca="1" si="153"/>
        <v>0.72514138651018722</v>
      </c>
      <c r="E2483" s="106">
        <f t="shared" ca="1" si="154"/>
        <v>0</v>
      </c>
      <c r="F2483" s="21">
        <f t="shared" ca="1" si="155"/>
        <v>0</v>
      </c>
      <c r="H2483" s="21">
        <v>2468</v>
      </c>
      <c r="I2483" s="107">
        <v>0.667763634034511</v>
      </c>
      <c r="J2483" s="108">
        <v>1.6072319402097158E-3</v>
      </c>
      <c r="K2483" s="108"/>
      <c r="L2483" s="108">
        <v>4.24E-2</v>
      </c>
      <c r="O2483" s="105"/>
    </row>
    <row r="2484" spans="2:15" x14ac:dyDescent="0.2">
      <c r="B2484" s="1">
        <v>2469</v>
      </c>
      <c r="C2484" s="106">
        <f t="shared" ca="1" si="152"/>
        <v>0.22187603753063986</v>
      </c>
      <c r="D2484" s="106">
        <f t="shared" ca="1" si="153"/>
        <v>0.67920587346253869</v>
      </c>
      <c r="E2484" s="106">
        <f t="shared" ca="1" si="154"/>
        <v>0</v>
      </c>
      <c r="F2484" s="21">
        <f t="shared" ca="1" si="155"/>
        <v>0</v>
      </c>
      <c r="H2484" s="21">
        <v>2469</v>
      </c>
      <c r="I2484" s="107">
        <v>0.66763998735648589</v>
      </c>
      <c r="J2484" s="108">
        <v>1.2427503602833948E-3</v>
      </c>
      <c r="K2484" s="108"/>
      <c r="L2484" s="108">
        <v>3.9600000000000003E-2</v>
      </c>
      <c r="O2484" s="105"/>
    </row>
    <row r="2485" spans="2:15" x14ac:dyDescent="0.2">
      <c r="B2485" s="1">
        <v>2470</v>
      </c>
      <c r="C2485" s="106">
        <f t="shared" ca="1" si="152"/>
        <v>0.16589091279269266</v>
      </c>
      <c r="D2485" s="106">
        <f t="shared" ca="1" si="153"/>
        <v>0.67546533304796263</v>
      </c>
      <c r="E2485" s="106">
        <f t="shared" ca="1" si="154"/>
        <v>0</v>
      </c>
      <c r="F2485" s="21">
        <f t="shared" ca="1" si="155"/>
        <v>0</v>
      </c>
      <c r="H2485" s="21">
        <v>2470</v>
      </c>
      <c r="I2485" s="107">
        <v>0.66776556383665964</v>
      </c>
      <c r="J2485" s="108">
        <v>1.3537046776751656E-3</v>
      </c>
      <c r="K2485" s="108"/>
      <c r="L2485" s="108">
        <v>4.2000000000000003E-2</v>
      </c>
      <c r="O2485" s="105"/>
    </row>
    <row r="2486" spans="2:15" x14ac:dyDescent="0.2">
      <c r="B2486" s="1">
        <v>2471</v>
      </c>
      <c r="C2486" s="106">
        <f t="shared" ca="1" si="152"/>
        <v>0.58000676933869655</v>
      </c>
      <c r="D2486" s="106">
        <f t="shared" ca="1" si="153"/>
        <v>0.70362867924877837</v>
      </c>
      <c r="E2486" s="106">
        <f t="shared" ca="1" si="154"/>
        <v>0</v>
      </c>
      <c r="F2486" s="21">
        <f t="shared" ca="1" si="155"/>
        <v>0</v>
      </c>
      <c r="H2486" s="21">
        <v>2471</v>
      </c>
      <c r="I2486" s="107">
        <v>0.66790023374244711</v>
      </c>
      <c r="J2486" s="108">
        <v>1.4855936077504911E-3</v>
      </c>
      <c r="K2486" s="108"/>
      <c r="L2486" s="108">
        <v>4.3999999999999997E-2</v>
      </c>
      <c r="O2486" s="105"/>
    </row>
    <row r="2487" spans="2:15" x14ac:dyDescent="0.2">
      <c r="B2487" s="1">
        <v>2472</v>
      </c>
      <c r="C2487" s="106">
        <f t="shared" ca="1" si="152"/>
        <v>-0.53927728413365927</v>
      </c>
      <c r="D2487" s="106">
        <f t="shared" ca="1" si="153"/>
        <v>0.63007767776078738</v>
      </c>
      <c r="E2487" s="106">
        <f t="shared" ca="1" si="154"/>
        <v>0</v>
      </c>
      <c r="F2487" s="21">
        <f t="shared" ca="1" si="155"/>
        <v>0</v>
      </c>
      <c r="H2487" s="21">
        <v>2472</v>
      </c>
      <c r="I2487" s="107">
        <v>0.66774819554437104</v>
      </c>
      <c r="J2487" s="108">
        <v>1.2195302751378356E-3</v>
      </c>
      <c r="K2487" s="108"/>
      <c r="L2487" s="108">
        <v>4.24E-2</v>
      </c>
      <c r="O2487" s="105"/>
    </row>
    <row r="2488" spans="2:15" x14ac:dyDescent="0.2">
      <c r="B2488" s="1">
        <v>2473</v>
      </c>
      <c r="C2488" s="106">
        <f t="shared" ca="1" si="152"/>
        <v>1.02756157118071</v>
      </c>
      <c r="D2488" s="106">
        <f t="shared" ca="1" si="153"/>
        <v>0.73538794167230248</v>
      </c>
      <c r="E2488" s="106">
        <f t="shared" ca="1" si="154"/>
        <v>0</v>
      </c>
      <c r="F2488" s="21">
        <f t="shared" ca="1" si="155"/>
        <v>0</v>
      </c>
      <c r="H2488" s="21">
        <v>2473</v>
      </c>
      <c r="I2488" s="107">
        <v>0.66776350364499792</v>
      </c>
      <c r="J2488" s="108">
        <v>1.4957597292729178E-3</v>
      </c>
      <c r="K2488" s="108"/>
      <c r="L2488" s="108">
        <v>4.24E-2</v>
      </c>
      <c r="O2488" s="105"/>
    </row>
    <row r="2489" spans="2:15" x14ac:dyDescent="0.2">
      <c r="B2489" s="1">
        <v>2474</v>
      </c>
      <c r="C2489" s="106">
        <f t="shared" ca="1" si="152"/>
        <v>0.84585193254570457</v>
      </c>
      <c r="D2489" s="106">
        <f t="shared" ca="1" si="153"/>
        <v>0.72232421699560168</v>
      </c>
      <c r="E2489" s="106">
        <f t="shared" ca="1" si="154"/>
        <v>0</v>
      </c>
      <c r="F2489" s="21">
        <f t="shared" ca="1" si="155"/>
        <v>0</v>
      </c>
      <c r="H2489" s="21">
        <v>2474</v>
      </c>
      <c r="I2489" s="107">
        <v>0.66760306940571512</v>
      </c>
      <c r="J2489" s="108">
        <v>1.2053652505257995E-3</v>
      </c>
      <c r="K2489" s="108"/>
      <c r="L2489" s="108">
        <v>4.0399999999999998E-2</v>
      </c>
      <c r="O2489" s="105"/>
    </row>
    <row r="2490" spans="2:15" x14ac:dyDescent="0.2">
      <c r="B2490" s="1">
        <v>2475</v>
      </c>
      <c r="C2490" s="106">
        <f t="shared" ca="1" si="152"/>
        <v>-0.24070889002082718</v>
      </c>
      <c r="D2490" s="106">
        <f t="shared" ca="1" si="153"/>
        <v>0.6489101686139489</v>
      </c>
      <c r="E2490" s="106">
        <f t="shared" ca="1" si="154"/>
        <v>0</v>
      </c>
      <c r="F2490" s="21">
        <f t="shared" ca="1" si="155"/>
        <v>0</v>
      </c>
      <c r="H2490" s="21">
        <v>2475</v>
      </c>
      <c r="I2490" s="107">
        <v>0.66772138800044045</v>
      </c>
      <c r="J2490" s="108">
        <v>1.3056741817282203E-3</v>
      </c>
      <c r="K2490" s="108"/>
      <c r="L2490" s="108">
        <v>3.9E-2</v>
      </c>
      <c r="O2490" s="105"/>
    </row>
    <row r="2491" spans="2:15" x14ac:dyDescent="0.2">
      <c r="B2491" s="1">
        <v>2476</v>
      </c>
      <c r="C2491" s="106">
        <f t="shared" ca="1" si="152"/>
        <v>0.47605966589468368</v>
      </c>
      <c r="D2491" s="106">
        <f t="shared" ca="1" si="153"/>
        <v>0.69645089809666094</v>
      </c>
      <c r="E2491" s="106">
        <f t="shared" ca="1" si="154"/>
        <v>0</v>
      </c>
      <c r="F2491" s="21">
        <f t="shared" ca="1" si="155"/>
        <v>0</v>
      </c>
      <c r="H2491" s="21">
        <v>2476</v>
      </c>
      <c r="I2491" s="107">
        <v>0.66780151106666097</v>
      </c>
      <c r="J2491" s="108">
        <v>1.5252234137007334E-3</v>
      </c>
      <c r="K2491" s="108"/>
      <c r="L2491" s="108">
        <v>4.4200000000000003E-2</v>
      </c>
      <c r="O2491" s="105"/>
    </row>
    <row r="2492" spans="2:15" x14ac:dyDescent="0.2">
      <c r="B2492" s="1">
        <v>2477</v>
      </c>
      <c r="C2492" s="106">
        <f t="shared" ca="1" si="152"/>
        <v>0.17690477247251585</v>
      </c>
      <c r="D2492" s="106">
        <f t="shared" ca="1" si="153"/>
        <v>0.67619957203168324</v>
      </c>
      <c r="E2492" s="106">
        <f t="shared" ca="1" si="154"/>
        <v>0</v>
      </c>
      <c r="F2492" s="21">
        <f t="shared" ca="1" si="155"/>
        <v>0</v>
      </c>
      <c r="H2492" s="21">
        <v>2477</v>
      </c>
      <c r="I2492" s="107">
        <v>0.66775322802473414</v>
      </c>
      <c r="J2492" s="108">
        <v>1.3415905509104366E-3</v>
      </c>
      <c r="K2492" s="108"/>
      <c r="L2492" s="108">
        <v>4.2200000000000001E-2</v>
      </c>
      <c r="O2492" s="105"/>
    </row>
    <row r="2493" spans="2:15" x14ac:dyDescent="0.2">
      <c r="B2493" s="1">
        <v>2478</v>
      </c>
      <c r="C2493" s="106">
        <f t="shared" ca="1" si="152"/>
        <v>-0.83916592291811398</v>
      </c>
      <c r="D2493" s="106">
        <f t="shared" ca="1" si="153"/>
        <v>0.61171206936229205</v>
      </c>
      <c r="E2493" s="106">
        <f t="shared" ca="1" si="154"/>
        <v>0</v>
      </c>
      <c r="F2493" s="21">
        <f t="shared" ca="1" si="155"/>
        <v>0</v>
      </c>
      <c r="H2493" s="21">
        <v>2478</v>
      </c>
      <c r="I2493" s="107">
        <v>0.66774468130579057</v>
      </c>
      <c r="J2493" s="108">
        <v>1.3993181996801312E-3</v>
      </c>
      <c r="K2493" s="108"/>
      <c r="L2493" s="108">
        <v>4.1799999999999997E-2</v>
      </c>
      <c r="O2493" s="105"/>
    </row>
    <row r="2494" spans="2:15" x14ac:dyDescent="0.2">
      <c r="B2494" s="1">
        <v>2479</v>
      </c>
      <c r="C2494" s="106">
        <f t="shared" ca="1" si="152"/>
        <v>0.20902412700030029</v>
      </c>
      <c r="D2494" s="106">
        <f t="shared" ca="1" si="153"/>
        <v>0.67834536970294279</v>
      </c>
      <c r="E2494" s="106">
        <f t="shared" ca="1" si="154"/>
        <v>0</v>
      </c>
      <c r="F2494" s="21">
        <f t="shared" ca="1" si="155"/>
        <v>0</v>
      </c>
      <c r="H2494" s="21">
        <v>2479</v>
      </c>
      <c r="I2494" s="107">
        <v>0.66761220719133085</v>
      </c>
      <c r="J2494" s="108">
        <v>1.1663358824038979E-3</v>
      </c>
      <c r="K2494" s="108"/>
      <c r="L2494" s="108">
        <v>3.8199999999999998E-2</v>
      </c>
      <c r="O2494" s="105"/>
    </row>
    <row r="2495" spans="2:15" x14ac:dyDescent="0.2">
      <c r="B2495" s="1">
        <v>2480</v>
      </c>
      <c r="C2495" s="106">
        <f t="shared" ca="1" si="152"/>
        <v>-0.39203197649984589</v>
      </c>
      <c r="D2495" s="106">
        <f t="shared" ca="1" si="153"/>
        <v>0.6392960072024152</v>
      </c>
      <c r="E2495" s="106">
        <f t="shared" ca="1" si="154"/>
        <v>0</v>
      </c>
      <c r="F2495" s="21">
        <f t="shared" ca="1" si="155"/>
        <v>0</v>
      </c>
      <c r="H2495" s="21">
        <v>2480</v>
      </c>
      <c r="I2495" s="107">
        <v>0.66769802871081552</v>
      </c>
      <c r="J2495" s="108">
        <v>1.2466308026948558E-3</v>
      </c>
      <c r="K2495" s="108"/>
      <c r="L2495" s="108">
        <v>4.0599999999999997E-2</v>
      </c>
      <c r="O2495" s="105"/>
    </row>
    <row r="2496" spans="2:15" x14ac:dyDescent="0.2">
      <c r="B2496" s="1">
        <v>2481</v>
      </c>
      <c r="C2496" s="106">
        <f t="shared" ca="1" si="152"/>
        <v>1.9984234569108354</v>
      </c>
      <c r="D2496" s="106">
        <f t="shared" ca="1" si="153"/>
        <v>0.80929643812549246</v>
      </c>
      <c r="E2496" s="106">
        <f t="shared" ca="1" si="154"/>
        <v>2.1096438125492445E-2</v>
      </c>
      <c r="F2496" s="21">
        <f t="shared" ca="1" si="155"/>
        <v>1</v>
      </c>
      <c r="H2496" s="21">
        <v>2481</v>
      </c>
      <c r="I2496" s="107">
        <v>0.66782538023865023</v>
      </c>
      <c r="J2496" s="108">
        <v>1.5117945041492381E-3</v>
      </c>
      <c r="K2496" s="108"/>
      <c r="L2496" s="108">
        <v>4.2999999999999997E-2</v>
      </c>
      <c r="O2496" s="105"/>
    </row>
    <row r="2497" spans="2:15" x14ac:dyDescent="0.2">
      <c r="B2497" s="1">
        <v>2482</v>
      </c>
      <c r="C2497" s="106">
        <f t="shared" ca="1" si="152"/>
        <v>1.3056249734026699</v>
      </c>
      <c r="D2497" s="106">
        <f t="shared" ca="1" si="153"/>
        <v>0.75583773311946256</v>
      </c>
      <c r="E2497" s="106">
        <f t="shared" ca="1" si="154"/>
        <v>0</v>
      </c>
      <c r="F2497" s="21">
        <f t="shared" ca="1" si="155"/>
        <v>0</v>
      </c>
      <c r="H2497" s="21">
        <v>2482</v>
      </c>
      <c r="I2497" s="107">
        <v>0.66773404617743259</v>
      </c>
      <c r="J2497" s="108">
        <v>1.3452966452376658E-3</v>
      </c>
      <c r="K2497" s="108"/>
      <c r="L2497" s="108">
        <v>3.9800000000000002E-2</v>
      </c>
      <c r="O2497" s="105"/>
    </row>
    <row r="2498" spans="2:15" x14ac:dyDescent="0.2">
      <c r="B2498" s="1">
        <v>2483</v>
      </c>
      <c r="C2498" s="106">
        <f t="shared" ca="1" si="152"/>
        <v>-0.57122864685832686</v>
      </c>
      <c r="D2498" s="106">
        <f t="shared" ca="1" si="153"/>
        <v>0.62809497244295387</v>
      </c>
      <c r="E2498" s="106">
        <f t="shared" ca="1" si="154"/>
        <v>0</v>
      </c>
      <c r="F2498" s="21">
        <f t="shared" ca="1" si="155"/>
        <v>0</v>
      </c>
      <c r="H2498" s="21">
        <v>2483</v>
      </c>
      <c r="I2498" s="107">
        <v>0.66776863626990457</v>
      </c>
      <c r="J2498" s="108">
        <v>1.4468242009039983E-3</v>
      </c>
      <c r="K2498" s="108"/>
      <c r="L2498" s="108">
        <v>4.36E-2</v>
      </c>
      <c r="O2498" s="105"/>
    </row>
    <row r="2499" spans="2:15" x14ac:dyDescent="0.2">
      <c r="B2499" s="1">
        <v>2484</v>
      </c>
      <c r="C2499" s="106">
        <f t="shared" ca="1" si="152"/>
        <v>2.0554149101180093</v>
      </c>
      <c r="D2499" s="106">
        <f t="shared" ca="1" si="153"/>
        <v>0.81385888238844017</v>
      </c>
      <c r="E2499" s="106">
        <f t="shared" ca="1" si="154"/>
        <v>2.5658882388440163E-2</v>
      </c>
      <c r="F2499" s="21">
        <f t="shared" ca="1" si="155"/>
        <v>1</v>
      </c>
      <c r="H2499" s="21">
        <v>2484</v>
      </c>
      <c r="I2499" s="107">
        <v>0.66771364999590721</v>
      </c>
      <c r="J2499" s="108">
        <v>1.3197475504770442E-3</v>
      </c>
      <c r="K2499" s="108"/>
      <c r="L2499" s="108">
        <v>4.1399999999999999E-2</v>
      </c>
      <c r="O2499" s="105"/>
    </row>
    <row r="2500" spans="2:15" x14ac:dyDescent="0.2">
      <c r="B2500" s="1">
        <v>2485</v>
      </c>
      <c r="C2500" s="106">
        <f t="shared" ca="1" si="152"/>
        <v>1.143093707178213</v>
      </c>
      <c r="D2500" s="106">
        <f t="shared" ca="1" si="153"/>
        <v>0.74381653734262365</v>
      </c>
      <c r="E2500" s="106">
        <f t="shared" ca="1" si="154"/>
        <v>0</v>
      </c>
      <c r="F2500" s="21">
        <f t="shared" ca="1" si="155"/>
        <v>0</v>
      </c>
      <c r="H2500" s="21">
        <v>2485</v>
      </c>
      <c r="I2500" s="107">
        <v>0.66790646700836387</v>
      </c>
      <c r="J2500" s="108">
        <v>1.5766875920786927E-3</v>
      </c>
      <c r="K2500" s="108"/>
      <c r="L2500" s="108">
        <v>4.5199999999999997E-2</v>
      </c>
      <c r="O2500" s="105"/>
    </row>
    <row r="2501" spans="2:15" x14ac:dyDescent="0.2">
      <c r="B2501" s="1">
        <v>2486</v>
      </c>
      <c r="C2501" s="106">
        <f t="shared" ca="1" si="152"/>
        <v>0.61980847719271526</v>
      </c>
      <c r="D2501" s="106">
        <f t="shared" ca="1" si="153"/>
        <v>0.70639662108653622</v>
      </c>
      <c r="E2501" s="106">
        <f t="shared" ca="1" si="154"/>
        <v>0</v>
      </c>
      <c r="F2501" s="21">
        <f t="shared" ca="1" si="155"/>
        <v>0</v>
      </c>
      <c r="H2501" s="21">
        <v>2486</v>
      </c>
      <c r="I2501" s="107">
        <v>0.66769167287642284</v>
      </c>
      <c r="J2501" s="108">
        <v>1.2239044025650566E-3</v>
      </c>
      <c r="K2501" s="108"/>
      <c r="L2501" s="108">
        <v>4.02E-2</v>
      </c>
      <c r="O2501" s="105"/>
    </row>
    <row r="2502" spans="2:15" x14ac:dyDescent="0.2">
      <c r="B2502" s="1">
        <v>2487</v>
      </c>
      <c r="C2502" s="106">
        <f t="shared" ca="1" si="152"/>
        <v>0.89870961264576876</v>
      </c>
      <c r="D2502" s="106">
        <f t="shared" ca="1" si="153"/>
        <v>0.72610021591644813</v>
      </c>
      <c r="E2502" s="106">
        <f t="shared" ca="1" si="154"/>
        <v>0</v>
      </c>
      <c r="F2502" s="21">
        <f t="shared" ca="1" si="155"/>
        <v>0</v>
      </c>
      <c r="H2502" s="21">
        <v>2487</v>
      </c>
      <c r="I2502" s="107">
        <v>0.66757810787397709</v>
      </c>
      <c r="J2502" s="108">
        <v>1.1541925986525642E-3</v>
      </c>
      <c r="K2502" s="108"/>
      <c r="L2502" s="108">
        <v>3.6799999999999999E-2</v>
      </c>
      <c r="O2502" s="105"/>
    </row>
    <row r="2503" spans="2:15" x14ac:dyDescent="0.2">
      <c r="B2503" s="1">
        <v>2488</v>
      </c>
      <c r="C2503" s="106">
        <f t="shared" ca="1" si="152"/>
        <v>2.3431888698298349</v>
      </c>
      <c r="D2503" s="106">
        <f t="shared" ca="1" si="153"/>
        <v>0.83729243378180396</v>
      </c>
      <c r="E2503" s="106">
        <f t="shared" ca="1" si="154"/>
        <v>4.9092433781803946E-2</v>
      </c>
      <c r="F2503" s="21">
        <f t="shared" ca="1" si="155"/>
        <v>1</v>
      </c>
      <c r="H2503" s="21">
        <v>2488</v>
      </c>
      <c r="I2503" s="107">
        <v>0.6677644273218486</v>
      </c>
      <c r="J2503" s="108">
        <v>1.5090511966973637E-3</v>
      </c>
      <c r="K2503" s="108"/>
      <c r="L2503" s="108">
        <v>4.4400000000000002E-2</v>
      </c>
      <c r="O2503" s="105"/>
    </row>
    <row r="2504" spans="2:15" x14ac:dyDescent="0.2">
      <c r="B2504" s="1">
        <v>2489</v>
      </c>
      <c r="C2504" s="106">
        <f t="shared" ca="1" si="152"/>
        <v>-0.39537920897063261</v>
      </c>
      <c r="D2504" s="106">
        <f t="shared" ca="1" si="153"/>
        <v>0.63908496219932709</v>
      </c>
      <c r="E2504" s="106">
        <f t="shared" ca="1" si="154"/>
        <v>0</v>
      </c>
      <c r="F2504" s="21">
        <f t="shared" ca="1" si="155"/>
        <v>0</v>
      </c>
      <c r="H2504" s="21">
        <v>2489</v>
      </c>
      <c r="I2504" s="107">
        <v>0.667650351146576</v>
      </c>
      <c r="J2504" s="108">
        <v>1.1750623786066878E-3</v>
      </c>
      <c r="K2504" s="108"/>
      <c r="L2504" s="108">
        <v>3.5799999999999998E-2</v>
      </c>
      <c r="O2504" s="105"/>
    </row>
    <row r="2505" spans="2:15" x14ac:dyDescent="0.2">
      <c r="B2505" s="1">
        <v>2490</v>
      </c>
      <c r="C2505" s="106">
        <f t="shared" ca="1" si="152"/>
        <v>0.55089186788100608</v>
      </c>
      <c r="D2505" s="106">
        <f t="shared" ca="1" si="153"/>
        <v>0.70161080417887722</v>
      </c>
      <c r="E2505" s="106">
        <f t="shared" ca="1" si="154"/>
        <v>0</v>
      </c>
      <c r="F2505" s="21">
        <f t="shared" ca="1" si="155"/>
        <v>0</v>
      </c>
      <c r="H2505" s="21">
        <v>2490</v>
      </c>
      <c r="I2505" s="107">
        <v>0.66775459507404178</v>
      </c>
      <c r="J2505" s="108">
        <v>1.3794483603869862E-3</v>
      </c>
      <c r="K2505" s="108"/>
      <c r="L2505" s="108">
        <v>4.3799999999999999E-2</v>
      </c>
      <c r="O2505" s="105"/>
    </row>
    <row r="2506" spans="2:15" x14ac:dyDescent="0.2">
      <c r="B2506" s="1">
        <v>2491</v>
      </c>
      <c r="C2506" s="106">
        <f t="shared" ca="1" si="152"/>
        <v>-0.44857908165727511</v>
      </c>
      <c r="D2506" s="106">
        <f t="shared" ca="1" si="153"/>
        <v>0.63574001654816104</v>
      </c>
      <c r="E2506" s="106">
        <f t="shared" ca="1" si="154"/>
        <v>0</v>
      </c>
      <c r="F2506" s="21">
        <f t="shared" ca="1" si="155"/>
        <v>0</v>
      </c>
      <c r="H2506" s="21">
        <v>2491</v>
      </c>
      <c r="I2506" s="107">
        <v>0.66768819041974237</v>
      </c>
      <c r="J2506" s="108">
        <v>1.1408856165326011E-3</v>
      </c>
      <c r="K2506" s="108"/>
      <c r="L2506" s="108">
        <v>4.0599999999999997E-2</v>
      </c>
      <c r="O2506" s="105"/>
    </row>
    <row r="2507" spans="2:15" x14ac:dyDescent="0.2">
      <c r="B2507" s="1">
        <v>2492</v>
      </c>
      <c r="C2507" s="106">
        <f t="shared" ca="1" si="152"/>
        <v>0.27520109934745046</v>
      </c>
      <c r="D2507" s="106">
        <f t="shared" ca="1" si="153"/>
        <v>0.6827879462639691</v>
      </c>
      <c r="E2507" s="106">
        <f t="shared" ca="1" si="154"/>
        <v>0</v>
      </c>
      <c r="F2507" s="21">
        <f t="shared" ca="1" si="155"/>
        <v>0</v>
      </c>
      <c r="H2507" s="21">
        <v>2492</v>
      </c>
      <c r="I2507" s="107">
        <v>0.66753718519265115</v>
      </c>
      <c r="J2507" s="108">
        <v>1.1167639001792196E-3</v>
      </c>
      <c r="K2507" s="108"/>
      <c r="L2507" s="108">
        <v>3.6400000000000002E-2</v>
      </c>
      <c r="O2507" s="105"/>
    </row>
    <row r="2508" spans="2:15" x14ac:dyDescent="0.2">
      <c r="B2508" s="1">
        <v>2493</v>
      </c>
      <c r="C2508" s="106">
        <f t="shared" ca="1" si="152"/>
        <v>-0.64418593299638172</v>
      </c>
      <c r="D2508" s="106">
        <f t="shared" ca="1" si="153"/>
        <v>0.62359104792844278</v>
      </c>
      <c r="E2508" s="106">
        <f t="shared" ca="1" si="154"/>
        <v>0</v>
      </c>
      <c r="F2508" s="21">
        <f t="shared" ca="1" si="155"/>
        <v>0</v>
      </c>
      <c r="H2508" s="21">
        <v>2493</v>
      </c>
      <c r="I2508" s="107">
        <v>0.6677302868779168</v>
      </c>
      <c r="J2508" s="108">
        <v>1.3634982301332901E-3</v>
      </c>
      <c r="K2508" s="108"/>
      <c r="L2508" s="108">
        <v>4.48E-2</v>
      </c>
      <c r="O2508" s="105"/>
    </row>
    <row r="2509" spans="2:15" x14ac:dyDescent="0.2">
      <c r="B2509" s="1">
        <v>2494</v>
      </c>
      <c r="C2509" s="106">
        <f t="shared" ca="1" si="152"/>
        <v>-0.55905748657744903</v>
      </c>
      <c r="D2509" s="106">
        <f t="shared" ca="1" si="153"/>
        <v>0.62884950316584154</v>
      </c>
      <c r="E2509" s="106">
        <f t="shared" ca="1" si="154"/>
        <v>0</v>
      </c>
      <c r="F2509" s="21">
        <f t="shared" ca="1" si="155"/>
        <v>0</v>
      </c>
      <c r="H2509" s="21">
        <v>2494</v>
      </c>
      <c r="I2509" s="107">
        <v>0.66783189413649968</v>
      </c>
      <c r="J2509" s="108">
        <v>1.4592504508005926E-3</v>
      </c>
      <c r="K2509" s="108"/>
      <c r="L2509" s="108">
        <v>4.4400000000000002E-2</v>
      </c>
      <c r="O2509" s="105"/>
    </row>
    <row r="2510" spans="2:15" x14ac:dyDescent="0.2">
      <c r="B2510" s="1">
        <v>2495</v>
      </c>
      <c r="C2510" s="106">
        <f t="shared" ca="1" si="152"/>
        <v>-1.2599677363050052</v>
      </c>
      <c r="D2510" s="106">
        <f t="shared" ca="1" si="153"/>
        <v>0.58684060906823921</v>
      </c>
      <c r="E2510" s="106">
        <f t="shared" ca="1" si="154"/>
        <v>0</v>
      </c>
      <c r="F2510" s="21">
        <f t="shared" ca="1" si="155"/>
        <v>0</v>
      </c>
      <c r="H2510" s="21">
        <v>2495</v>
      </c>
      <c r="I2510" s="107">
        <v>0.66777805236570709</v>
      </c>
      <c r="J2510" s="108">
        <v>1.4506843801002671E-3</v>
      </c>
      <c r="K2510" s="108"/>
      <c r="L2510" s="108">
        <v>4.2000000000000003E-2</v>
      </c>
      <c r="O2510" s="105"/>
    </row>
    <row r="2511" spans="2:15" x14ac:dyDescent="0.2">
      <c r="B2511" s="1">
        <v>2496</v>
      </c>
      <c r="C2511" s="106">
        <f t="shared" ca="1" si="152"/>
        <v>2.2262395963446031</v>
      </c>
      <c r="D2511" s="106">
        <f t="shared" ca="1" si="153"/>
        <v>0.82768890181416555</v>
      </c>
      <c r="E2511" s="106">
        <f t="shared" ca="1" si="154"/>
        <v>3.9488901814165533E-2</v>
      </c>
      <c r="F2511" s="21">
        <f t="shared" ca="1" si="155"/>
        <v>1</v>
      </c>
      <c r="H2511" s="21">
        <v>2496</v>
      </c>
      <c r="I2511" s="107">
        <v>0.66769834213398893</v>
      </c>
      <c r="J2511" s="108">
        <v>1.247854267536096E-3</v>
      </c>
      <c r="K2511" s="108"/>
      <c r="L2511" s="108">
        <v>4.2000000000000003E-2</v>
      </c>
      <c r="O2511" s="105"/>
    </row>
    <row r="2512" spans="2:15" x14ac:dyDescent="0.2">
      <c r="B2512" s="1">
        <v>2497</v>
      </c>
      <c r="C2512" s="106">
        <f t="shared" ca="1" si="152"/>
        <v>-0.64047634043748281</v>
      </c>
      <c r="D2512" s="106">
        <f t="shared" ref="D2512:D2575" ca="1" si="156">S0*EXP((μ-0.5*σ*σ)*T+σ*SQRT(T)*$C2512)</f>
        <v>0.6238192735744863</v>
      </c>
      <c r="E2512" s="106">
        <f t="shared" ref="E2512:E2575" ca="1" si="157">MAX(0,CP*(D2512-K))</f>
        <v>0</v>
      </c>
      <c r="F2512" s="21">
        <f t="shared" ref="F2512:F2575" ca="1" si="158">(CP*(D2512-K)&gt;0)*1</f>
        <v>0</v>
      </c>
      <c r="H2512" s="21">
        <v>2497</v>
      </c>
      <c r="I2512" s="107">
        <v>0.66787388109892531</v>
      </c>
      <c r="J2512" s="108">
        <v>1.5268174211556004E-3</v>
      </c>
      <c r="K2512" s="108"/>
      <c r="L2512" s="108">
        <v>4.1799999999999997E-2</v>
      </c>
      <c r="O2512" s="105"/>
    </row>
    <row r="2513" spans="1:15" x14ac:dyDescent="0.2">
      <c r="B2513" s="1">
        <v>2498</v>
      </c>
      <c r="C2513" s="106">
        <f t="shared" ca="1" si="152"/>
        <v>0.59934918668041703</v>
      </c>
      <c r="D2513" s="106">
        <f t="shared" ca="1" si="156"/>
        <v>0.70497245734376268</v>
      </c>
      <c r="E2513" s="106">
        <f t="shared" ca="1" si="157"/>
        <v>0</v>
      </c>
      <c r="F2513" s="21">
        <f t="shared" ca="1" si="158"/>
        <v>0</v>
      </c>
      <c r="H2513" s="21">
        <v>2498</v>
      </c>
      <c r="I2513" s="107">
        <v>0.66790627688113358</v>
      </c>
      <c r="J2513" s="108">
        <v>1.5336777158084739E-3</v>
      </c>
      <c r="K2513" s="108"/>
      <c r="L2513" s="108">
        <v>4.3200000000000002E-2</v>
      </c>
      <c r="O2513" s="105"/>
    </row>
    <row r="2514" spans="1:15" x14ac:dyDescent="0.2">
      <c r="B2514" s="1">
        <v>2499</v>
      </c>
      <c r="C2514" s="106">
        <f t="shared" ca="1" si="152"/>
        <v>5.9637587761501153E-2</v>
      </c>
      <c r="D2514" s="106">
        <f t="shared" ca="1" si="156"/>
        <v>0.66842277283047735</v>
      </c>
      <c r="E2514" s="106">
        <f t="shared" ca="1" si="157"/>
        <v>0</v>
      </c>
      <c r="F2514" s="21">
        <f t="shared" ca="1" si="158"/>
        <v>0</v>
      </c>
      <c r="H2514" s="21">
        <v>2499</v>
      </c>
      <c r="I2514" s="107">
        <v>0.66787232216353132</v>
      </c>
      <c r="J2514" s="108">
        <v>1.4949111494631921E-3</v>
      </c>
      <c r="K2514" s="108"/>
      <c r="L2514" s="108">
        <v>4.3200000000000002E-2</v>
      </c>
      <c r="O2514" s="105"/>
    </row>
    <row r="2515" spans="1:15" x14ac:dyDescent="0.2">
      <c r="B2515" s="1">
        <v>2500</v>
      </c>
      <c r="C2515" s="110">
        <f t="shared" ca="1" si="152"/>
        <v>0.87754651086277236</v>
      </c>
      <c r="D2515" s="106">
        <f t="shared" ca="1" si="156"/>
        <v>0.72458602178391152</v>
      </c>
      <c r="E2515" s="106">
        <f t="shared" ca="1" si="157"/>
        <v>0</v>
      </c>
      <c r="F2515" s="21">
        <f t="shared" ca="1" si="158"/>
        <v>0</v>
      </c>
      <c r="H2515" s="21">
        <v>2500</v>
      </c>
      <c r="I2515" s="107">
        <v>0.66784542365402355</v>
      </c>
      <c r="J2515" s="108">
        <v>1.4324517895579836E-3</v>
      </c>
      <c r="K2515" s="108"/>
      <c r="L2515" s="108">
        <v>4.2999999999999997E-2</v>
      </c>
      <c r="O2515" s="105"/>
    </row>
    <row r="2516" spans="1:15" x14ac:dyDescent="0.2">
      <c r="A2516" s="1" t="s">
        <v>12</v>
      </c>
      <c r="B2516" s="1">
        <v>2501</v>
      </c>
      <c r="C2516" s="106" cm="1">
        <f t="array" aca="1" ref="C2516:C5015" ca="1">-1*C16:C2515</f>
        <v>-1.1868344836583384</v>
      </c>
      <c r="D2516" s="106">
        <f t="shared" ca="1" si="156"/>
        <v>0.59108936107427956</v>
      </c>
      <c r="E2516" s="106">
        <f t="shared" ca="1" si="157"/>
        <v>0</v>
      </c>
      <c r="F2516" s="21">
        <f t="shared" ca="1" si="158"/>
        <v>0</v>
      </c>
      <c r="H2516" s="21">
        <v>2501</v>
      </c>
      <c r="I2516" s="107">
        <v>0.66784433366289842</v>
      </c>
      <c r="J2516" s="108">
        <v>1.5351817079955711E-3</v>
      </c>
      <c r="K2516" s="108"/>
      <c r="L2516" s="108">
        <v>4.5400000000000003E-2</v>
      </c>
      <c r="O2516" s="105"/>
    </row>
    <row r="2517" spans="1:15" x14ac:dyDescent="0.2">
      <c r="B2517" s="1">
        <v>2502</v>
      </c>
      <c r="C2517" s="106">
        <f ca="1"/>
        <v>1.2695356974062251</v>
      </c>
      <c r="D2517" s="106">
        <f t="shared" ca="1" si="156"/>
        <v>0.75315181451482804</v>
      </c>
      <c r="E2517" s="106">
        <f t="shared" ca="1" si="157"/>
        <v>0</v>
      </c>
      <c r="F2517" s="21">
        <f t="shared" ca="1" si="158"/>
        <v>0</v>
      </c>
      <c r="H2517" s="21">
        <v>2502</v>
      </c>
      <c r="I2517" s="107">
        <v>0.66776417332788662</v>
      </c>
      <c r="J2517" s="108">
        <v>1.28919536415806E-3</v>
      </c>
      <c r="K2517" s="108"/>
      <c r="L2517" s="108">
        <v>4.2799999999999998E-2</v>
      </c>
      <c r="O2517" s="105"/>
    </row>
    <row r="2518" spans="1:15" x14ac:dyDescent="0.2">
      <c r="B2518" s="1">
        <v>2503</v>
      </c>
      <c r="C2518" s="106">
        <f ca="1"/>
        <v>1.203211314160294</v>
      </c>
      <c r="D2518" s="106">
        <f t="shared" ca="1" si="156"/>
        <v>0.74824053361498433</v>
      </c>
      <c r="E2518" s="106">
        <f t="shared" ca="1" si="157"/>
        <v>0</v>
      </c>
      <c r="F2518" s="21">
        <f t="shared" ca="1" si="158"/>
        <v>0</v>
      </c>
      <c r="H2518" s="21">
        <v>2503</v>
      </c>
      <c r="I2518" s="107">
        <v>0.6678754491944805</v>
      </c>
      <c r="J2518" s="108">
        <v>1.5056751263970091E-3</v>
      </c>
      <c r="K2518" s="108"/>
      <c r="L2518" s="108">
        <v>4.5600000000000002E-2</v>
      </c>
      <c r="O2518" s="105"/>
    </row>
    <row r="2519" spans="1:15" x14ac:dyDescent="0.2">
      <c r="B2519" s="1">
        <v>2504</v>
      </c>
      <c r="C2519" s="106">
        <f ca="1"/>
        <v>-0.33360856161364721</v>
      </c>
      <c r="D2519" s="106">
        <f t="shared" ca="1" si="156"/>
        <v>0.64299088299232376</v>
      </c>
      <c r="E2519" s="106">
        <f t="shared" ca="1" si="157"/>
        <v>0</v>
      </c>
      <c r="F2519" s="21">
        <f t="shared" ca="1" si="158"/>
        <v>0</v>
      </c>
      <c r="H2519" s="21">
        <v>2504</v>
      </c>
      <c r="I2519" s="107">
        <v>0.66767700934714491</v>
      </c>
      <c r="J2519" s="108">
        <v>1.3216343155499819E-3</v>
      </c>
      <c r="K2519" s="108"/>
      <c r="L2519" s="108">
        <v>4.2599999999999999E-2</v>
      </c>
      <c r="O2519" s="105"/>
    </row>
    <row r="2520" spans="1:15" x14ac:dyDescent="0.2">
      <c r="B2520" s="1">
        <v>2505</v>
      </c>
      <c r="C2520" s="106">
        <f ca="1"/>
        <v>0.97017346748300504</v>
      </c>
      <c r="D2520" s="106">
        <f t="shared" ca="1" si="156"/>
        <v>0.73123678978842055</v>
      </c>
      <c r="E2520" s="106">
        <f t="shared" ca="1" si="157"/>
        <v>0</v>
      </c>
      <c r="F2520" s="21">
        <f t="shared" ca="1" si="158"/>
        <v>0</v>
      </c>
      <c r="H2520" s="21">
        <v>2505</v>
      </c>
      <c r="I2520" s="107">
        <v>0.6676656155210543</v>
      </c>
      <c r="J2520" s="108">
        <v>1.3041495529151864E-3</v>
      </c>
      <c r="K2520" s="108"/>
      <c r="L2520" s="108">
        <v>4.2000000000000003E-2</v>
      </c>
      <c r="O2520" s="105"/>
    </row>
    <row r="2521" spans="1:15" x14ac:dyDescent="0.2">
      <c r="B2521" s="1">
        <v>2506</v>
      </c>
      <c r="C2521" s="106">
        <f ca="1"/>
        <v>-0.37419365370848373</v>
      </c>
      <c r="D2521" s="106">
        <f t="shared" ca="1" si="156"/>
        <v>0.64042190004544075</v>
      </c>
      <c r="E2521" s="106">
        <f t="shared" ca="1" si="157"/>
        <v>0</v>
      </c>
      <c r="F2521" s="21">
        <f t="shared" ca="1" si="158"/>
        <v>0</v>
      </c>
      <c r="H2521" s="21">
        <v>2506</v>
      </c>
      <c r="I2521" s="107">
        <v>0.66782150488415237</v>
      </c>
      <c r="J2521" s="108">
        <v>1.4841167184839808E-3</v>
      </c>
      <c r="K2521" s="108"/>
      <c r="L2521" s="108">
        <v>4.5400000000000003E-2</v>
      </c>
      <c r="O2521" s="105"/>
    </row>
    <row r="2522" spans="1:15" x14ac:dyDescent="0.2">
      <c r="B2522" s="1">
        <v>2507</v>
      </c>
      <c r="C2522" s="106">
        <f ca="1"/>
        <v>-0.79942076231394954</v>
      </c>
      <c r="D2522" s="106">
        <f t="shared" ca="1" si="156"/>
        <v>0.61411500320233969</v>
      </c>
      <c r="E2522" s="106">
        <f t="shared" ca="1" si="157"/>
        <v>0</v>
      </c>
      <c r="F2522" s="21">
        <f t="shared" ca="1" si="158"/>
        <v>0</v>
      </c>
      <c r="H2522" s="21">
        <v>2507</v>
      </c>
      <c r="I2522" s="107">
        <v>0.66776835537609269</v>
      </c>
      <c r="J2522" s="108">
        <v>1.5521614983202883E-3</v>
      </c>
      <c r="K2522" s="108"/>
      <c r="L2522" s="108">
        <v>4.2999999999999997E-2</v>
      </c>
      <c r="O2522" s="105"/>
    </row>
    <row r="2523" spans="1:15" x14ac:dyDescent="0.2">
      <c r="B2523" s="1">
        <v>2508</v>
      </c>
      <c r="C2523" s="106">
        <f ca="1"/>
        <v>-1.4085594556050218</v>
      </c>
      <c r="D2523" s="106">
        <f t="shared" ca="1" si="156"/>
        <v>0.5783018498660778</v>
      </c>
      <c r="E2523" s="106">
        <f t="shared" ca="1" si="157"/>
        <v>0</v>
      </c>
      <c r="F2523" s="21">
        <f t="shared" ca="1" si="158"/>
        <v>0</v>
      </c>
      <c r="H2523" s="21">
        <v>2508</v>
      </c>
      <c r="I2523" s="107">
        <v>0.66797449246489893</v>
      </c>
      <c r="J2523" s="108">
        <v>1.6334404983143536E-3</v>
      </c>
      <c r="K2523" s="108"/>
      <c r="L2523" s="108">
        <v>4.8000000000000001E-2</v>
      </c>
      <c r="O2523" s="105"/>
    </row>
    <row r="2524" spans="1:15" x14ac:dyDescent="0.2">
      <c r="B2524" s="1">
        <v>2509</v>
      </c>
      <c r="C2524" s="106">
        <f ca="1"/>
        <v>-0.55654916927412501</v>
      </c>
      <c r="D2524" s="106">
        <f t="shared" ca="1" si="156"/>
        <v>0.6290051147146819</v>
      </c>
      <c r="E2524" s="106">
        <f t="shared" ca="1" si="157"/>
        <v>0</v>
      </c>
      <c r="F2524" s="21">
        <f t="shared" ca="1" si="158"/>
        <v>0</v>
      </c>
      <c r="H2524" s="21">
        <v>2509</v>
      </c>
      <c r="I2524" s="107">
        <v>0.66771291913261333</v>
      </c>
      <c r="J2524" s="108">
        <v>1.3637118516021055E-3</v>
      </c>
      <c r="K2524" s="108"/>
      <c r="L2524" s="108">
        <v>4.2599999999999999E-2</v>
      </c>
      <c r="O2524" s="105"/>
    </row>
    <row r="2525" spans="1:15" x14ac:dyDescent="0.2">
      <c r="B2525" s="1">
        <v>2510</v>
      </c>
      <c r="C2525" s="106">
        <f ca="1"/>
        <v>-0.42350513029290482</v>
      </c>
      <c r="D2525" s="106">
        <f t="shared" ca="1" si="156"/>
        <v>0.63731435613407084</v>
      </c>
      <c r="E2525" s="106">
        <f t="shared" ca="1" si="157"/>
        <v>0</v>
      </c>
      <c r="F2525" s="21">
        <f t="shared" ca="1" si="158"/>
        <v>0</v>
      </c>
      <c r="H2525" s="21">
        <v>2510</v>
      </c>
      <c r="I2525" s="107">
        <v>0.66775552911087754</v>
      </c>
      <c r="J2525" s="108">
        <v>1.1739705615167097E-3</v>
      </c>
      <c r="K2525" s="108"/>
      <c r="L2525" s="108">
        <v>4.2000000000000003E-2</v>
      </c>
      <c r="O2525" s="105"/>
    </row>
    <row r="2526" spans="1:15" x14ac:dyDescent="0.2">
      <c r="B2526" s="1">
        <v>2511</v>
      </c>
      <c r="C2526" s="106">
        <f ca="1"/>
        <v>-1.2228275575088243</v>
      </c>
      <c r="D2526" s="106">
        <f t="shared" ca="1" si="156"/>
        <v>0.5889944757788973</v>
      </c>
      <c r="E2526" s="106">
        <f t="shared" ca="1" si="157"/>
        <v>0</v>
      </c>
      <c r="F2526" s="21">
        <f t="shared" ca="1" si="158"/>
        <v>0</v>
      </c>
      <c r="H2526" s="21">
        <v>2511</v>
      </c>
      <c r="I2526" s="107">
        <v>0.6675330743492407</v>
      </c>
      <c r="J2526" s="108">
        <v>1.2232241673225915E-3</v>
      </c>
      <c r="K2526" s="108"/>
      <c r="L2526" s="108">
        <v>3.4599999999999999E-2</v>
      </c>
      <c r="O2526" s="105"/>
    </row>
    <row r="2527" spans="1:15" x14ac:dyDescent="0.2">
      <c r="B2527" s="1">
        <v>2512</v>
      </c>
      <c r="C2527" s="106">
        <f ca="1"/>
        <v>1.340896185645414</v>
      </c>
      <c r="D2527" s="106">
        <f t="shared" ca="1" si="156"/>
        <v>0.75847202306059192</v>
      </c>
      <c r="E2527" s="106">
        <f t="shared" ca="1" si="157"/>
        <v>0</v>
      </c>
      <c r="F2527" s="21">
        <f t="shared" ca="1" si="158"/>
        <v>0</v>
      </c>
      <c r="H2527" s="21">
        <v>2512</v>
      </c>
      <c r="I2527" s="107">
        <v>0.66775303853804546</v>
      </c>
      <c r="J2527" s="108">
        <v>1.3471952340844589E-3</v>
      </c>
      <c r="K2527" s="108"/>
      <c r="L2527" s="108">
        <v>4.1799999999999997E-2</v>
      </c>
      <c r="O2527" s="105"/>
    </row>
    <row r="2528" spans="1:15" x14ac:dyDescent="0.2">
      <c r="B2528" s="1">
        <v>2513</v>
      </c>
      <c r="C2528" s="106">
        <f ca="1"/>
        <v>0.55310603350178922</v>
      </c>
      <c r="D2528" s="106">
        <f t="shared" ca="1" si="156"/>
        <v>0.70176405848977297</v>
      </c>
      <c r="E2528" s="106">
        <f t="shared" ca="1" si="157"/>
        <v>0</v>
      </c>
      <c r="F2528" s="21">
        <f t="shared" ca="1" si="158"/>
        <v>0</v>
      </c>
      <c r="H2528" s="21">
        <v>2513</v>
      </c>
      <c r="I2528" s="107">
        <v>0.66777571330993535</v>
      </c>
      <c r="J2528" s="108">
        <v>1.3132280935883706E-3</v>
      </c>
      <c r="K2528" s="108"/>
      <c r="L2528" s="108">
        <v>4.2000000000000003E-2</v>
      </c>
      <c r="O2528" s="105"/>
    </row>
    <row r="2529" spans="2:15" x14ac:dyDescent="0.2">
      <c r="B2529" s="1">
        <v>2514</v>
      </c>
      <c r="C2529" s="106">
        <f ca="1"/>
        <v>-4.824391579517226E-2</v>
      </c>
      <c r="D2529" s="106">
        <f t="shared" ca="1" si="156"/>
        <v>0.66134741531321217</v>
      </c>
      <c r="E2529" s="106">
        <f t="shared" ca="1" si="157"/>
        <v>0</v>
      </c>
      <c r="F2529" s="21">
        <f t="shared" ca="1" si="158"/>
        <v>0</v>
      </c>
      <c r="H2529" s="21">
        <v>2514</v>
      </c>
      <c r="I2529" s="107">
        <v>0.66787054402088375</v>
      </c>
      <c r="J2529" s="108">
        <v>1.5513593383907087E-3</v>
      </c>
      <c r="K2529" s="108"/>
      <c r="L2529" s="108">
        <v>4.6399999999999997E-2</v>
      </c>
      <c r="O2529" s="105"/>
    </row>
    <row r="2530" spans="2:15" x14ac:dyDescent="0.2">
      <c r="B2530" s="1">
        <v>2515</v>
      </c>
      <c r="C2530" s="106">
        <f ca="1"/>
        <v>-1.4303847193871109</v>
      </c>
      <c r="D2530" s="106">
        <f t="shared" ca="1" si="156"/>
        <v>0.5770581786672675</v>
      </c>
      <c r="E2530" s="106">
        <f t="shared" ca="1" si="157"/>
        <v>0</v>
      </c>
      <c r="F2530" s="21">
        <f t="shared" ca="1" si="158"/>
        <v>0</v>
      </c>
      <c r="H2530" s="21">
        <v>2515</v>
      </c>
      <c r="I2530" s="107">
        <v>0.66772293617575917</v>
      </c>
      <c r="J2530" s="108">
        <v>1.5204917565336614E-3</v>
      </c>
      <c r="K2530" s="108"/>
      <c r="L2530" s="108">
        <v>4.36E-2</v>
      </c>
      <c r="O2530" s="105"/>
    </row>
    <row r="2531" spans="2:15" x14ac:dyDescent="0.2">
      <c r="B2531" s="1">
        <v>2516</v>
      </c>
      <c r="C2531" s="106">
        <f ca="1"/>
        <v>1.2536058780193311</v>
      </c>
      <c r="D2531" s="106">
        <f t="shared" ca="1" si="156"/>
        <v>0.75196928738818813</v>
      </c>
      <c r="E2531" s="106">
        <f t="shared" ca="1" si="157"/>
        <v>0</v>
      </c>
      <c r="F2531" s="21">
        <f t="shared" ca="1" si="158"/>
        <v>0</v>
      </c>
      <c r="H2531" s="21">
        <v>2516</v>
      </c>
      <c r="I2531" s="107">
        <v>0.66771883740663274</v>
      </c>
      <c r="J2531" s="108">
        <v>1.4821422111473571E-3</v>
      </c>
      <c r="K2531" s="108"/>
      <c r="L2531" s="108">
        <v>4.1399999999999999E-2</v>
      </c>
      <c r="O2531" s="105"/>
    </row>
    <row r="2532" spans="2:15" x14ac:dyDescent="0.2">
      <c r="B2532" s="1">
        <v>2517</v>
      </c>
      <c r="C2532" s="106">
        <f ca="1"/>
        <v>0.44286935532966965</v>
      </c>
      <c r="D2532" s="106">
        <f t="shared" ca="1" si="156"/>
        <v>0.69417449070394421</v>
      </c>
      <c r="E2532" s="106">
        <f t="shared" ca="1" si="157"/>
        <v>0</v>
      </c>
      <c r="F2532" s="21">
        <f t="shared" ca="1" si="158"/>
        <v>0</v>
      </c>
      <c r="H2532" s="21">
        <v>2517</v>
      </c>
      <c r="I2532" s="107">
        <v>0.66770860104830343</v>
      </c>
      <c r="J2532" s="108">
        <v>1.3649175114593911E-3</v>
      </c>
      <c r="K2532" s="108"/>
      <c r="L2532" s="108">
        <v>4.1000000000000002E-2</v>
      </c>
      <c r="O2532" s="105"/>
    </row>
    <row r="2533" spans="2:15" x14ac:dyDescent="0.2">
      <c r="B2533" s="1">
        <v>2518</v>
      </c>
      <c r="C2533" s="106">
        <f ca="1"/>
        <v>1.4473966218456233</v>
      </c>
      <c r="D2533" s="106">
        <f t="shared" ca="1" si="156"/>
        <v>0.76648203303443119</v>
      </c>
      <c r="E2533" s="106">
        <f t="shared" ca="1" si="157"/>
        <v>0</v>
      </c>
      <c r="F2533" s="21">
        <f t="shared" ca="1" si="158"/>
        <v>0</v>
      </c>
      <c r="H2533" s="21">
        <v>2518</v>
      </c>
      <c r="I2533" s="107">
        <v>0.66789052628527745</v>
      </c>
      <c r="J2533" s="108">
        <v>1.5558584893437988E-3</v>
      </c>
      <c r="K2533" s="108"/>
      <c r="L2533" s="108">
        <v>4.8000000000000001E-2</v>
      </c>
      <c r="O2533" s="105"/>
    </row>
    <row r="2534" spans="2:15" x14ac:dyDescent="0.2">
      <c r="B2534" s="1">
        <v>2519</v>
      </c>
      <c r="C2534" s="106">
        <f ca="1"/>
        <v>3.977748857620151E-2</v>
      </c>
      <c r="D2534" s="106">
        <f t="shared" ca="1" si="156"/>
        <v>0.6671145966905303</v>
      </c>
      <c r="E2534" s="106">
        <f t="shared" ca="1" si="157"/>
        <v>0</v>
      </c>
      <c r="F2534" s="21">
        <f t="shared" ca="1" si="158"/>
        <v>0</v>
      </c>
      <c r="H2534" s="21">
        <v>2519</v>
      </c>
      <c r="I2534" s="107">
        <v>0.66778822858876397</v>
      </c>
      <c r="J2534" s="108">
        <v>1.5160118616813281E-3</v>
      </c>
      <c r="K2534" s="108"/>
      <c r="L2534" s="108">
        <v>4.3799999999999999E-2</v>
      </c>
      <c r="O2534" s="105"/>
    </row>
    <row r="2535" spans="2:15" x14ac:dyDescent="0.2">
      <c r="B2535" s="1">
        <v>2520</v>
      </c>
      <c r="C2535" s="106">
        <f ca="1"/>
        <v>4.7007373746513904E-2</v>
      </c>
      <c r="D2535" s="106">
        <f t="shared" ca="1" si="156"/>
        <v>0.66759052946687902</v>
      </c>
      <c r="E2535" s="106">
        <f t="shared" ca="1" si="157"/>
        <v>0</v>
      </c>
      <c r="F2535" s="21">
        <f t="shared" ca="1" si="158"/>
        <v>0</v>
      </c>
      <c r="H2535" s="21">
        <v>2520</v>
      </c>
      <c r="I2535" s="107">
        <v>0.66783343614825053</v>
      </c>
      <c r="J2535" s="108">
        <v>1.3467934973316257E-3</v>
      </c>
      <c r="K2535" s="108"/>
      <c r="L2535" s="108">
        <v>4.58E-2</v>
      </c>
      <c r="O2535" s="105"/>
    </row>
    <row r="2536" spans="2:15" x14ac:dyDescent="0.2">
      <c r="B2536" s="1">
        <v>2521</v>
      </c>
      <c r="C2536" s="106">
        <f ca="1"/>
        <v>1.2896026902153781</v>
      </c>
      <c r="D2536" s="106">
        <f t="shared" ca="1" si="156"/>
        <v>0.75464410586665431</v>
      </c>
      <c r="E2536" s="106">
        <f t="shared" ca="1" si="157"/>
        <v>0</v>
      </c>
      <c r="F2536" s="21">
        <f t="shared" ca="1" si="158"/>
        <v>0</v>
      </c>
      <c r="H2536" s="21">
        <v>2521</v>
      </c>
      <c r="I2536" s="107">
        <v>0.66779851023212178</v>
      </c>
      <c r="J2536" s="108">
        <v>1.3660225204541528E-3</v>
      </c>
      <c r="K2536" s="108"/>
      <c r="L2536" s="108">
        <v>4.0800000000000003E-2</v>
      </c>
      <c r="O2536" s="105"/>
    </row>
    <row r="2537" spans="2:15" x14ac:dyDescent="0.2">
      <c r="B2537" s="1">
        <v>2522</v>
      </c>
      <c r="C2537" s="106">
        <f ca="1"/>
        <v>0.86408159997437983</v>
      </c>
      <c r="D2537" s="106">
        <f t="shared" ca="1" si="156"/>
        <v>0.72362426788945577</v>
      </c>
      <c r="E2537" s="106">
        <f t="shared" ca="1" si="157"/>
        <v>0</v>
      </c>
      <c r="F2537" s="21">
        <f t="shared" ca="1" si="158"/>
        <v>0</v>
      </c>
      <c r="H2537" s="21">
        <v>2522</v>
      </c>
      <c r="I2537" s="107">
        <v>0.66769259393542979</v>
      </c>
      <c r="J2537" s="108">
        <v>1.261495997977642E-3</v>
      </c>
      <c r="K2537" s="108"/>
      <c r="L2537" s="108">
        <v>4.2999999999999997E-2</v>
      </c>
      <c r="O2537" s="105"/>
    </row>
    <row r="2538" spans="2:15" x14ac:dyDescent="0.2">
      <c r="B2538" s="1">
        <v>2523</v>
      </c>
      <c r="C2538" s="106">
        <f ca="1"/>
        <v>0.82185267873349965</v>
      </c>
      <c r="D2538" s="106">
        <f t="shared" ca="1" si="156"/>
        <v>0.72061626814754975</v>
      </c>
      <c r="E2538" s="106">
        <f t="shared" ca="1" si="157"/>
        <v>0</v>
      </c>
      <c r="F2538" s="21">
        <f t="shared" ca="1" si="158"/>
        <v>0</v>
      </c>
      <c r="H2538" s="21">
        <v>2523</v>
      </c>
      <c r="I2538" s="107">
        <v>0.66770195377854702</v>
      </c>
      <c r="J2538" s="108">
        <v>1.376181509699103E-3</v>
      </c>
      <c r="K2538" s="108"/>
      <c r="L2538" s="108">
        <v>4.3400000000000001E-2</v>
      </c>
      <c r="O2538" s="105"/>
    </row>
    <row r="2539" spans="2:15" x14ac:dyDescent="0.2">
      <c r="B2539" s="1">
        <v>2524</v>
      </c>
      <c r="C2539" s="106">
        <f ca="1"/>
        <v>-0.9663450800082628</v>
      </c>
      <c r="D2539" s="106">
        <f t="shared" ca="1" si="156"/>
        <v>0.60408600261916423</v>
      </c>
      <c r="E2539" s="106">
        <f t="shared" ca="1" si="157"/>
        <v>0</v>
      </c>
      <c r="F2539" s="21">
        <f t="shared" ca="1" si="158"/>
        <v>0</v>
      </c>
      <c r="H2539" s="21">
        <v>2524</v>
      </c>
      <c r="I2539" s="107">
        <v>0.66788598042225922</v>
      </c>
      <c r="J2539" s="108">
        <v>1.4459254076919371E-3</v>
      </c>
      <c r="K2539" s="108"/>
      <c r="L2539" s="108">
        <v>4.3200000000000002E-2</v>
      </c>
      <c r="O2539" s="105"/>
    </row>
    <row r="2540" spans="2:15" x14ac:dyDescent="0.2">
      <c r="B2540" s="1">
        <v>2525</v>
      </c>
      <c r="C2540" s="106">
        <f ca="1"/>
        <v>0.29721096761783466</v>
      </c>
      <c r="D2540" s="106">
        <f t="shared" ca="1" si="156"/>
        <v>0.68427194564381355</v>
      </c>
      <c r="E2540" s="106">
        <f t="shared" ca="1" si="157"/>
        <v>0</v>
      </c>
      <c r="F2540" s="21">
        <f t="shared" ca="1" si="158"/>
        <v>0</v>
      </c>
      <c r="H2540" s="21">
        <v>2525</v>
      </c>
      <c r="I2540" s="107">
        <v>0.66776545706485124</v>
      </c>
      <c r="J2540" s="108">
        <v>1.3816360206849187E-3</v>
      </c>
      <c r="K2540" s="108"/>
      <c r="L2540" s="108">
        <v>4.1599999999999998E-2</v>
      </c>
      <c r="O2540" s="105"/>
    </row>
    <row r="2541" spans="2:15" x14ac:dyDescent="0.2">
      <c r="B2541" s="1">
        <v>2526</v>
      </c>
      <c r="C2541" s="106">
        <f ca="1"/>
        <v>0.48133413029412969</v>
      </c>
      <c r="D2541" s="106">
        <f t="shared" ca="1" si="156"/>
        <v>0.6968133419600987</v>
      </c>
      <c r="E2541" s="106">
        <f t="shared" ca="1" si="157"/>
        <v>0</v>
      </c>
      <c r="F2541" s="21">
        <f t="shared" ca="1" si="158"/>
        <v>0</v>
      </c>
      <c r="H2541" s="21">
        <v>2526</v>
      </c>
      <c r="I2541" s="107">
        <v>0.66789849988622818</v>
      </c>
      <c r="J2541" s="108">
        <v>1.5494873197079333E-3</v>
      </c>
      <c r="K2541" s="108"/>
      <c r="L2541" s="108">
        <v>4.6199999999999998E-2</v>
      </c>
      <c r="O2541" s="105"/>
    </row>
    <row r="2542" spans="2:15" x14ac:dyDescent="0.2">
      <c r="B2542" s="1">
        <v>2527</v>
      </c>
      <c r="C2542" s="106">
        <f ca="1"/>
        <v>1.2531828188624627</v>
      </c>
      <c r="D2542" s="106">
        <f t="shared" ca="1" si="156"/>
        <v>0.7519379075253072</v>
      </c>
      <c r="E2542" s="106">
        <f t="shared" ca="1" si="157"/>
        <v>0</v>
      </c>
      <c r="F2542" s="21">
        <f t="shared" ca="1" si="158"/>
        <v>0</v>
      </c>
      <c r="H2542" s="21">
        <v>2527</v>
      </c>
      <c r="I2542" s="107">
        <v>0.6678679748232943</v>
      </c>
      <c r="J2542" s="108">
        <v>1.4566782176533455E-3</v>
      </c>
      <c r="K2542" s="108"/>
      <c r="L2542" s="108">
        <v>4.4600000000000001E-2</v>
      </c>
      <c r="O2542" s="105"/>
    </row>
    <row r="2543" spans="2:15" x14ac:dyDescent="0.2">
      <c r="B2543" s="1">
        <v>2528</v>
      </c>
      <c r="C2543" s="106">
        <f ca="1"/>
        <v>0.84811473257975267</v>
      </c>
      <c r="D2543" s="106">
        <f t="shared" ca="1" si="156"/>
        <v>0.722485461797159</v>
      </c>
      <c r="E2543" s="106">
        <f t="shared" ca="1" si="157"/>
        <v>0</v>
      </c>
      <c r="F2543" s="21">
        <f t="shared" ca="1" si="158"/>
        <v>0</v>
      </c>
      <c r="H2543" s="21">
        <v>2528</v>
      </c>
      <c r="I2543" s="107">
        <v>0.66790040693204711</v>
      </c>
      <c r="J2543" s="108">
        <v>1.5167242942221999E-3</v>
      </c>
      <c r="K2543" s="108"/>
      <c r="L2543" s="108">
        <v>4.4400000000000002E-2</v>
      </c>
      <c r="O2543" s="105"/>
    </row>
    <row r="2544" spans="2:15" x14ac:dyDescent="0.2">
      <c r="B2544" s="1">
        <v>2529</v>
      </c>
      <c r="C2544" s="106">
        <f ca="1"/>
        <v>1.242990027192143</v>
      </c>
      <c r="D2544" s="106">
        <f t="shared" ca="1" si="156"/>
        <v>0.75118226616737627</v>
      </c>
      <c r="E2544" s="106">
        <f t="shared" ca="1" si="157"/>
        <v>0</v>
      </c>
      <c r="F2544" s="21">
        <f t="shared" ca="1" si="158"/>
        <v>0</v>
      </c>
      <c r="H2544" s="21">
        <v>2529</v>
      </c>
      <c r="I2544" s="107">
        <v>0.66776913602475019</v>
      </c>
      <c r="J2544" s="108">
        <v>1.3763571044419294E-3</v>
      </c>
      <c r="K2544" s="108"/>
      <c r="L2544" s="108">
        <v>4.1399999999999999E-2</v>
      </c>
      <c r="O2544" s="105"/>
    </row>
    <row r="2545" spans="2:15" x14ac:dyDescent="0.2">
      <c r="B2545" s="1">
        <v>2530</v>
      </c>
      <c r="C2545" s="106">
        <f ca="1"/>
        <v>4.1437030205078711E-2</v>
      </c>
      <c r="D2545" s="106">
        <f t="shared" ca="1" si="156"/>
        <v>0.66722381187967728</v>
      </c>
      <c r="E2545" s="106">
        <f t="shared" ca="1" si="157"/>
        <v>0</v>
      </c>
      <c r="F2545" s="21">
        <f t="shared" ca="1" si="158"/>
        <v>0</v>
      </c>
      <c r="H2545" s="21">
        <v>2530</v>
      </c>
      <c r="I2545" s="107">
        <v>0.66779383939310311</v>
      </c>
      <c r="J2545" s="108">
        <v>1.4098918704879666E-3</v>
      </c>
      <c r="K2545" s="108"/>
      <c r="L2545" s="108">
        <v>4.3799999999999999E-2</v>
      </c>
      <c r="O2545" s="105"/>
    </row>
    <row r="2546" spans="2:15" x14ac:dyDescent="0.2">
      <c r="B2546" s="1">
        <v>2531</v>
      </c>
      <c r="C2546" s="106">
        <f ca="1"/>
        <v>-1.2947257453247705</v>
      </c>
      <c r="D2546" s="106">
        <f t="shared" ca="1" si="156"/>
        <v>0.58483202664336864</v>
      </c>
      <c r="E2546" s="106">
        <f t="shared" ca="1" si="157"/>
        <v>0</v>
      </c>
      <c r="F2546" s="21">
        <f t="shared" ca="1" si="158"/>
        <v>0</v>
      </c>
      <c r="H2546" s="21">
        <v>2531</v>
      </c>
      <c r="I2546" s="107">
        <v>0.66779558872108258</v>
      </c>
      <c r="J2546" s="108">
        <v>1.3892692504685323E-3</v>
      </c>
      <c r="K2546" s="108"/>
      <c r="L2546" s="108">
        <v>4.3999999999999997E-2</v>
      </c>
      <c r="O2546" s="105"/>
    </row>
    <row r="2547" spans="2:15" x14ac:dyDescent="0.2">
      <c r="B2547" s="1">
        <v>2532</v>
      </c>
      <c r="C2547" s="106">
        <f ca="1"/>
        <v>-0.90368752013848985</v>
      </c>
      <c r="D2547" s="106">
        <f t="shared" ca="1" si="156"/>
        <v>0.60783119342038561</v>
      </c>
      <c r="E2547" s="106">
        <f t="shared" ca="1" si="157"/>
        <v>0</v>
      </c>
      <c r="F2547" s="21">
        <f t="shared" ca="1" si="158"/>
        <v>0</v>
      </c>
      <c r="H2547" s="21">
        <v>2532</v>
      </c>
      <c r="I2547" s="107">
        <v>0.66769549919240068</v>
      </c>
      <c r="J2547" s="108">
        <v>1.4488719798206367E-3</v>
      </c>
      <c r="K2547" s="108"/>
      <c r="L2547" s="108">
        <v>4.4999999999999998E-2</v>
      </c>
      <c r="O2547" s="105"/>
    </row>
    <row r="2548" spans="2:15" x14ac:dyDescent="0.2">
      <c r="B2548" s="1">
        <v>2533</v>
      </c>
      <c r="C2548" s="106">
        <f ca="1"/>
        <v>-0.8162889148811604</v>
      </c>
      <c r="D2548" s="106">
        <f t="shared" ca="1" si="156"/>
        <v>0.61309402876600394</v>
      </c>
      <c r="E2548" s="106">
        <f t="shared" ca="1" si="157"/>
        <v>0</v>
      </c>
      <c r="F2548" s="21">
        <f t="shared" ca="1" si="158"/>
        <v>0</v>
      </c>
      <c r="H2548" s="21">
        <v>2533</v>
      </c>
      <c r="I2548" s="107">
        <v>0.66780141578520102</v>
      </c>
      <c r="J2548" s="108">
        <v>1.409611557235757E-3</v>
      </c>
      <c r="K2548" s="108"/>
      <c r="L2548" s="108">
        <v>4.4999999999999998E-2</v>
      </c>
      <c r="O2548" s="105"/>
    </row>
    <row r="2549" spans="2:15" x14ac:dyDescent="0.2">
      <c r="B2549" s="1">
        <v>2534</v>
      </c>
      <c r="C2549" s="106">
        <f ca="1"/>
        <v>0.54091117126960342</v>
      </c>
      <c r="D2549" s="106">
        <f t="shared" ca="1" si="156"/>
        <v>0.7009204018348334</v>
      </c>
      <c r="E2549" s="106">
        <f t="shared" ca="1" si="157"/>
        <v>0</v>
      </c>
      <c r="F2549" s="21">
        <f t="shared" ca="1" si="158"/>
        <v>0</v>
      </c>
      <c r="H2549" s="21">
        <v>2534</v>
      </c>
      <c r="I2549" s="107">
        <v>0.66777923449590304</v>
      </c>
      <c r="J2549" s="108">
        <v>1.4831598301784077E-3</v>
      </c>
      <c r="K2549" s="108"/>
      <c r="L2549" s="108">
        <v>4.2599999999999999E-2</v>
      </c>
      <c r="O2549" s="105"/>
    </row>
    <row r="2550" spans="2:15" x14ac:dyDescent="0.2">
      <c r="B2550" s="1">
        <v>2535</v>
      </c>
      <c r="C2550" s="106">
        <f ca="1"/>
        <v>0.27141277793529556</v>
      </c>
      <c r="D2550" s="106">
        <f t="shared" ca="1" si="156"/>
        <v>0.68253284628499611</v>
      </c>
      <c r="E2550" s="106">
        <f t="shared" ca="1" si="157"/>
        <v>0</v>
      </c>
      <c r="F2550" s="21">
        <f t="shared" ca="1" si="158"/>
        <v>0</v>
      </c>
      <c r="H2550" s="21">
        <v>2535</v>
      </c>
      <c r="I2550" s="107">
        <v>0.66777247633938919</v>
      </c>
      <c r="J2550" s="108">
        <v>1.4097001359448657E-3</v>
      </c>
      <c r="K2550" s="108"/>
      <c r="L2550" s="108">
        <v>4.1000000000000002E-2</v>
      </c>
      <c r="O2550" s="105"/>
    </row>
    <row r="2551" spans="2:15" x14ac:dyDescent="0.2">
      <c r="B2551" s="1">
        <v>2536</v>
      </c>
      <c r="C2551" s="106">
        <f ca="1"/>
        <v>-0.74922558873748468</v>
      </c>
      <c r="D2551" s="106">
        <f t="shared" ca="1" si="156"/>
        <v>0.61716322228389087</v>
      </c>
      <c r="E2551" s="106">
        <f t="shared" ca="1" si="157"/>
        <v>0</v>
      </c>
      <c r="F2551" s="21">
        <f t="shared" ca="1" si="158"/>
        <v>0</v>
      </c>
      <c r="H2551" s="21">
        <v>2536</v>
      </c>
      <c r="I2551" s="107">
        <v>0.66786751392750399</v>
      </c>
      <c r="J2551" s="108">
        <v>1.5762086916437038E-3</v>
      </c>
      <c r="K2551" s="108"/>
      <c r="L2551" s="108">
        <v>4.5199999999999997E-2</v>
      </c>
      <c r="O2551" s="105"/>
    </row>
    <row r="2552" spans="2:15" x14ac:dyDescent="0.2">
      <c r="B2552" s="1">
        <v>2537</v>
      </c>
      <c r="C2552" s="106">
        <f ca="1"/>
        <v>-1.4032863936717122</v>
      </c>
      <c r="D2552" s="106">
        <f t="shared" ca="1" si="156"/>
        <v>0.57860272708537575</v>
      </c>
      <c r="E2552" s="106">
        <f t="shared" ca="1" si="157"/>
        <v>0</v>
      </c>
      <c r="F2552" s="21">
        <f t="shared" ca="1" si="158"/>
        <v>0</v>
      </c>
      <c r="H2552" s="21">
        <v>2537</v>
      </c>
      <c r="I2552" s="107">
        <v>0.66775684901522836</v>
      </c>
      <c r="J2552" s="108">
        <v>1.3468166309547704E-3</v>
      </c>
      <c r="K2552" s="108"/>
      <c r="L2552" s="108">
        <v>4.2999999999999997E-2</v>
      </c>
      <c r="O2552" s="105"/>
    </row>
    <row r="2553" spans="2:15" x14ac:dyDescent="0.2">
      <c r="B2553" s="1">
        <v>2538</v>
      </c>
      <c r="C2553" s="106">
        <f ca="1"/>
        <v>1.1952655982424047</v>
      </c>
      <c r="D2553" s="106">
        <f t="shared" ca="1" si="156"/>
        <v>0.74765431044202191</v>
      </c>
      <c r="E2553" s="106">
        <f t="shared" ca="1" si="157"/>
        <v>0</v>
      </c>
      <c r="F2553" s="21">
        <f t="shared" ca="1" si="158"/>
        <v>0</v>
      </c>
      <c r="H2553" s="21">
        <v>2538</v>
      </c>
      <c r="I2553" s="107">
        <v>0.66758488456771437</v>
      </c>
      <c r="J2553" s="108">
        <v>1.2031639220818297E-3</v>
      </c>
      <c r="K2553" s="108"/>
      <c r="L2553" s="108">
        <v>3.9399999999999998E-2</v>
      </c>
      <c r="O2553" s="105"/>
    </row>
    <row r="2554" spans="2:15" x14ac:dyDescent="0.2">
      <c r="B2554" s="1">
        <v>2539</v>
      </c>
      <c r="C2554" s="106">
        <f ca="1"/>
        <v>0.37361923529006597</v>
      </c>
      <c r="D2554" s="106">
        <f t="shared" ca="1" si="156"/>
        <v>0.68944879656164315</v>
      </c>
      <c r="E2554" s="106">
        <f t="shared" ca="1" si="157"/>
        <v>0</v>
      </c>
      <c r="F2554" s="21">
        <f t="shared" ca="1" si="158"/>
        <v>0</v>
      </c>
      <c r="H2554" s="21">
        <v>2539</v>
      </c>
      <c r="I2554" s="107">
        <v>0.66767421655751236</v>
      </c>
      <c r="J2554" s="108">
        <v>1.3443842391467002E-3</v>
      </c>
      <c r="K2554" s="108"/>
      <c r="L2554" s="108">
        <v>3.8600000000000002E-2</v>
      </c>
      <c r="O2554" s="105"/>
    </row>
    <row r="2555" spans="2:15" x14ac:dyDescent="0.2">
      <c r="B2555" s="1">
        <v>2540</v>
      </c>
      <c r="C2555" s="106">
        <f ca="1"/>
        <v>-5.7456354976057042E-2</v>
      </c>
      <c r="D2555" s="106">
        <f t="shared" ca="1" si="156"/>
        <v>0.66074670390152368</v>
      </c>
      <c r="E2555" s="106">
        <f t="shared" ca="1" si="157"/>
        <v>0</v>
      </c>
      <c r="F2555" s="21">
        <f t="shared" ca="1" si="158"/>
        <v>0</v>
      </c>
      <c r="H2555" s="21">
        <v>2540</v>
      </c>
      <c r="I2555" s="107">
        <v>0.66766771027803085</v>
      </c>
      <c r="J2555" s="108">
        <v>1.2265913452108822E-3</v>
      </c>
      <c r="K2555" s="108"/>
      <c r="L2555" s="108">
        <v>3.8600000000000002E-2</v>
      </c>
      <c r="O2555" s="105"/>
    </row>
    <row r="2556" spans="2:15" x14ac:dyDescent="0.2">
      <c r="B2556" s="1">
        <v>2541</v>
      </c>
      <c r="C2556" s="106">
        <f ca="1"/>
        <v>1.3233264804665168</v>
      </c>
      <c r="D2556" s="106">
        <f t="shared" ca="1" si="156"/>
        <v>0.75715865437439445</v>
      </c>
      <c r="E2556" s="106">
        <f t="shared" ca="1" si="157"/>
        <v>0</v>
      </c>
      <c r="F2556" s="21">
        <f t="shared" ca="1" si="158"/>
        <v>0</v>
      </c>
      <c r="H2556" s="21">
        <v>2541</v>
      </c>
      <c r="I2556" s="107">
        <v>0.66784803335167975</v>
      </c>
      <c r="J2556" s="108">
        <v>1.4581000160618092E-3</v>
      </c>
      <c r="K2556" s="108"/>
      <c r="L2556" s="108">
        <v>4.3999999999999997E-2</v>
      </c>
      <c r="O2556" s="105"/>
    </row>
    <row r="2557" spans="2:15" x14ac:dyDescent="0.2">
      <c r="B2557" s="1">
        <v>2542</v>
      </c>
      <c r="C2557" s="106">
        <f ca="1"/>
        <v>-0.24222408347604454</v>
      </c>
      <c r="D2557" s="106">
        <f t="shared" ca="1" si="156"/>
        <v>0.64881318929908971</v>
      </c>
      <c r="E2557" s="106">
        <f t="shared" ca="1" si="157"/>
        <v>0</v>
      </c>
      <c r="F2557" s="21">
        <f t="shared" ca="1" si="158"/>
        <v>0</v>
      </c>
      <c r="H2557" s="21">
        <v>2542</v>
      </c>
      <c r="I2557" s="107">
        <v>0.66778008268802957</v>
      </c>
      <c r="J2557" s="108">
        <v>1.3294034789178536E-3</v>
      </c>
      <c r="K2557" s="108"/>
      <c r="L2557" s="108">
        <v>4.2000000000000003E-2</v>
      </c>
      <c r="O2557" s="105"/>
    </row>
    <row r="2558" spans="2:15" x14ac:dyDescent="0.2">
      <c r="B2558" s="1">
        <v>2543</v>
      </c>
      <c r="C2558" s="106">
        <f ca="1"/>
        <v>-0.70083284459851913</v>
      </c>
      <c r="D2558" s="106">
        <f t="shared" ca="1" si="156"/>
        <v>0.6201163087160998</v>
      </c>
      <c r="E2558" s="106">
        <f t="shared" ca="1" si="157"/>
        <v>0</v>
      </c>
      <c r="F2558" s="21">
        <f t="shared" ca="1" si="158"/>
        <v>0</v>
      </c>
      <c r="H2558" s="21">
        <v>2543</v>
      </c>
      <c r="I2558" s="107">
        <v>0.66781780340617913</v>
      </c>
      <c r="J2558" s="108">
        <v>1.4298116004325975E-3</v>
      </c>
      <c r="K2558" s="108"/>
      <c r="L2558" s="108">
        <v>4.1799999999999997E-2</v>
      </c>
      <c r="O2558" s="105"/>
    </row>
    <row r="2559" spans="2:15" x14ac:dyDescent="0.2">
      <c r="B2559" s="1">
        <v>2544</v>
      </c>
      <c r="C2559" s="106">
        <f ca="1"/>
        <v>0.5827122457335252</v>
      </c>
      <c r="D2559" s="106">
        <f t="shared" ca="1" si="156"/>
        <v>0.70381648294439181</v>
      </c>
      <c r="E2559" s="106">
        <f t="shared" ca="1" si="157"/>
        <v>0</v>
      </c>
      <c r="F2559" s="21">
        <f t="shared" ca="1" si="158"/>
        <v>0</v>
      </c>
      <c r="H2559" s="21">
        <v>2544</v>
      </c>
      <c r="I2559" s="107">
        <v>0.6676795304726546</v>
      </c>
      <c r="J2559" s="108">
        <v>1.4356751199968482E-3</v>
      </c>
      <c r="K2559" s="108"/>
      <c r="L2559" s="108">
        <v>4.1599999999999998E-2</v>
      </c>
      <c r="O2559" s="105"/>
    </row>
    <row r="2560" spans="2:15" x14ac:dyDescent="0.2">
      <c r="B2560" s="1">
        <v>2545</v>
      </c>
      <c r="C2560" s="106">
        <f ca="1"/>
        <v>-1.7890441804785093</v>
      </c>
      <c r="D2560" s="106">
        <f t="shared" ca="1" si="156"/>
        <v>0.55699955792961764</v>
      </c>
      <c r="E2560" s="106">
        <f t="shared" ca="1" si="157"/>
        <v>0</v>
      </c>
      <c r="F2560" s="21">
        <f t="shared" ca="1" si="158"/>
        <v>0</v>
      </c>
      <c r="H2560" s="21">
        <v>2545</v>
      </c>
      <c r="I2560" s="107">
        <v>0.66775892847154272</v>
      </c>
      <c r="J2560" s="108">
        <v>1.371626442121861E-3</v>
      </c>
      <c r="K2560" s="108"/>
      <c r="L2560" s="108">
        <v>4.1599999999999998E-2</v>
      </c>
      <c r="O2560" s="105"/>
    </row>
    <row r="2561" spans="2:15" x14ac:dyDescent="0.2">
      <c r="B2561" s="1">
        <v>2546</v>
      </c>
      <c r="C2561" s="106">
        <f ca="1"/>
        <v>0.18293214079852577</v>
      </c>
      <c r="D2561" s="106">
        <f t="shared" ca="1" si="156"/>
        <v>0.67660172440360411</v>
      </c>
      <c r="E2561" s="106">
        <f t="shared" ca="1" si="157"/>
        <v>0</v>
      </c>
      <c r="F2561" s="21">
        <f t="shared" ca="1" si="158"/>
        <v>0</v>
      </c>
      <c r="H2561" s="21">
        <v>2546</v>
      </c>
      <c r="I2561" s="107">
        <v>0.66774538332930689</v>
      </c>
      <c r="J2561" s="108">
        <v>1.4051704195734099E-3</v>
      </c>
      <c r="K2561" s="108"/>
      <c r="L2561" s="108">
        <v>4.3400000000000001E-2</v>
      </c>
      <c r="O2561" s="105"/>
    </row>
    <row r="2562" spans="2:15" x14ac:dyDescent="0.2">
      <c r="B2562" s="1">
        <v>2547</v>
      </c>
      <c r="C2562" s="106">
        <f ca="1"/>
        <v>-0.79934236403868764</v>
      </c>
      <c r="D2562" s="106">
        <f t="shared" ca="1" si="156"/>
        <v>0.61411975236228145</v>
      </c>
      <c r="E2562" s="106">
        <f t="shared" ca="1" si="157"/>
        <v>0</v>
      </c>
      <c r="F2562" s="21">
        <f t="shared" ca="1" si="158"/>
        <v>0</v>
      </c>
      <c r="H2562" s="21">
        <v>2547</v>
      </c>
      <c r="I2562" s="107">
        <v>0.66773065059409897</v>
      </c>
      <c r="J2562" s="108">
        <v>1.3676703846598815E-3</v>
      </c>
      <c r="K2562" s="108"/>
      <c r="L2562" s="108">
        <v>4.1200000000000001E-2</v>
      </c>
      <c r="O2562" s="105"/>
    </row>
    <row r="2563" spans="2:15" x14ac:dyDescent="0.2">
      <c r="B2563" s="1">
        <v>2548</v>
      </c>
      <c r="C2563" s="106">
        <f ca="1"/>
        <v>0.29207710557581251</v>
      </c>
      <c r="D2563" s="106">
        <f t="shared" ca="1" si="156"/>
        <v>0.68392551055886674</v>
      </c>
      <c r="E2563" s="106">
        <f t="shared" ca="1" si="157"/>
        <v>0</v>
      </c>
      <c r="F2563" s="21">
        <f t="shared" ca="1" si="158"/>
        <v>0</v>
      </c>
      <c r="H2563" s="21">
        <v>2548</v>
      </c>
      <c r="I2563" s="107">
        <v>0.66792117511997851</v>
      </c>
      <c r="J2563" s="108">
        <v>1.530004600974246E-3</v>
      </c>
      <c r="K2563" s="108"/>
      <c r="L2563" s="108">
        <v>4.8599999999999997E-2</v>
      </c>
      <c r="O2563" s="105"/>
    </row>
    <row r="2564" spans="2:15" x14ac:dyDescent="0.2">
      <c r="B2564" s="1">
        <v>2549</v>
      </c>
      <c r="C2564" s="106">
        <f ca="1"/>
        <v>0.8088575110147318</v>
      </c>
      <c r="D2564" s="106">
        <f t="shared" ca="1" si="156"/>
        <v>0.71969313035900195</v>
      </c>
      <c r="E2564" s="106">
        <f t="shared" ca="1" si="157"/>
        <v>0</v>
      </c>
      <c r="F2564" s="21">
        <f t="shared" ca="1" si="158"/>
        <v>0</v>
      </c>
      <c r="H2564" s="21">
        <v>2549</v>
      </c>
      <c r="I2564" s="107">
        <v>0.66774044059451376</v>
      </c>
      <c r="J2564" s="108">
        <v>1.4122918661531488E-3</v>
      </c>
      <c r="K2564" s="108"/>
      <c r="L2564" s="108">
        <v>4.1000000000000002E-2</v>
      </c>
      <c r="O2564" s="105"/>
    </row>
    <row r="2565" spans="2:15" x14ac:dyDescent="0.2">
      <c r="B2565" s="1">
        <v>2550</v>
      </c>
      <c r="C2565" s="106">
        <f ca="1"/>
        <v>0.1630221007292722</v>
      </c>
      <c r="D2565" s="106">
        <f t="shared" ca="1" si="156"/>
        <v>0.67527421459729109</v>
      </c>
      <c r="E2565" s="106">
        <f t="shared" ca="1" si="157"/>
        <v>0</v>
      </c>
      <c r="F2565" s="21">
        <f t="shared" ca="1" si="158"/>
        <v>0</v>
      </c>
      <c r="H2565" s="21">
        <v>2550</v>
      </c>
      <c r="I2565" s="107">
        <v>0.66778898108840701</v>
      </c>
      <c r="J2565" s="108">
        <v>1.4005691475062728E-3</v>
      </c>
      <c r="K2565" s="108"/>
      <c r="L2565" s="108">
        <v>4.36E-2</v>
      </c>
      <c r="O2565" s="105"/>
    </row>
    <row r="2566" spans="2:15" x14ac:dyDescent="0.2">
      <c r="B2566" s="1">
        <v>2551</v>
      </c>
      <c r="C2566" s="106">
        <f ca="1"/>
        <v>-0.40378499638702792</v>
      </c>
      <c r="D2566" s="106">
        <f t="shared" ca="1" si="156"/>
        <v>0.63855527940645473</v>
      </c>
      <c r="E2566" s="106">
        <f t="shared" ca="1" si="157"/>
        <v>0</v>
      </c>
      <c r="F2566" s="21">
        <f t="shared" ca="1" si="158"/>
        <v>0</v>
      </c>
      <c r="H2566" s="21">
        <v>2551</v>
      </c>
      <c r="I2566" s="107">
        <v>0.66778132073360441</v>
      </c>
      <c r="J2566" s="108">
        <v>1.3888288062910014E-3</v>
      </c>
      <c r="K2566" s="108"/>
      <c r="L2566" s="108">
        <v>4.3799999999999999E-2</v>
      </c>
      <c r="O2566" s="105"/>
    </row>
    <row r="2567" spans="2:15" x14ac:dyDescent="0.2">
      <c r="B2567" s="1">
        <v>2552</v>
      </c>
      <c r="C2567" s="106">
        <f ca="1"/>
        <v>-1.6532705083591566</v>
      </c>
      <c r="D2567" s="106">
        <f t="shared" ca="1" si="156"/>
        <v>0.56450957270060775</v>
      </c>
      <c r="E2567" s="106">
        <f t="shared" ca="1" si="157"/>
        <v>0</v>
      </c>
      <c r="F2567" s="21">
        <f t="shared" ca="1" si="158"/>
        <v>0</v>
      </c>
      <c r="H2567" s="21">
        <v>2552</v>
      </c>
      <c r="I2567" s="107">
        <v>0.66758221356809444</v>
      </c>
      <c r="J2567" s="108">
        <v>1.1138990812591531E-3</v>
      </c>
      <c r="K2567" s="108"/>
      <c r="L2567" s="108">
        <v>3.6600000000000001E-2</v>
      </c>
      <c r="O2567" s="105"/>
    </row>
    <row r="2568" spans="2:15" x14ac:dyDescent="0.2">
      <c r="B2568" s="1">
        <v>2553</v>
      </c>
      <c r="C2568" s="106">
        <f ca="1"/>
        <v>-0.1448253854981513</v>
      </c>
      <c r="D2568" s="106">
        <f t="shared" ca="1" si="156"/>
        <v>0.65507672622540225</v>
      </c>
      <c r="E2568" s="106">
        <f t="shared" ca="1" si="157"/>
        <v>0</v>
      </c>
      <c r="F2568" s="21">
        <f t="shared" ca="1" si="158"/>
        <v>0</v>
      </c>
      <c r="H2568" s="21">
        <v>2553</v>
      </c>
      <c r="I2568" s="107">
        <v>0.66759495826834192</v>
      </c>
      <c r="J2568" s="108">
        <v>1.140579369649035E-3</v>
      </c>
      <c r="K2568" s="108"/>
      <c r="L2568" s="108">
        <v>3.9E-2</v>
      </c>
      <c r="O2568" s="105"/>
    </row>
    <row r="2569" spans="2:15" x14ac:dyDescent="0.2">
      <c r="B2569" s="1">
        <v>2554</v>
      </c>
      <c r="C2569" s="106">
        <f ca="1"/>
        <v>1.0970629379987569</v>
      </c>
      <c r="D2569" s="106">
        <f t="shared" ca="1" si="156"/>
        <v>0.74044686734795095</v>
      </c>
      <c r="E2569" s="106">
        <f t="shared" ca="1" si="157"/>
        <v>0</v>
      </c>
      <c r="F2569" s="21">
        <f t="shared" ca="1" si="158"/>
        <v>0</v>
      </c>
      <c r="H2569" s="21">
        <v>2554</v>
      </c>
      <c r="I2569" s="107">
        <v>0.66769593575458952</v>
      </c>
      <c r="J2569" s="108">
        <v>1.4262574980487138E-3</v>
      </c>
      <c r="K2569" s="108"/>
      <c r="L2569" s="108">
        <v>4.0800000000000003E-2</v>
      </c>
      <c r="O2569" s="105"/>
    </row>
    <row r="2570" spans="2:15" x14ac:dyDescent="0.2">
      <c r="B2570" s="1">
        <v>2555</v>
      </c>
      <c r="C2570" s="106">
        <f ca="1"/>
        <v>0.40419422872296601</v>
      </c>
      <c r="D2570" s="106">
        <f t="shared" ca="1" si="156"/>
        <v>0.69153128386615115</v>
      </c>
      <c r="E2570" s="106">
        <f t="shared" ca="1" si="157"/>
        <v>0</v>
      </c>
      <c r="F2570" s="21">
        <f t="shared" ca="1" si="158"/>
        <v>0</v>
      </c>
      <c r="H2570" s="21">
        <v>2555</v>
      </c>
      <c r="I2570" s="107">
        <v>0.6677638437783272</v>
      </c>
      <c r="J2570" s="108">
        <v>1.3212755018670815E-3</v>
      </c>
      <c r="K2570" s="108"/>
      <c r="L2570" s="108">
        <v>4.2799999999999998E-2</v>
      </c>
      <c r="O2570" s="105"/>
    </row>
    <row r="2571" spans="2:15" x14ac:dyDescent="0.2">
      <c r="B2571" s="1">
        <v>2556</v>
      </c>
      <c r="C2571" s="106">
        <f ca="1"/>
        <v>0.95554690442571211</v>
      </c>
      <c r="D2571" s="106">
        <f t="shared" ca="1" si="156"/>
        <v>0.73018253407562073</v>
      </c>
      <c r="E2571" s="106">
        <f t="shared" ca="1" si="157"/>
        <v>0</v>
      </c>
      <c r="F2571" s="21">
        <f t="shared" ca="1" si="158"/>
        <v>0</v>
      </c>
      <c r="H2571" s="21">
        <v>2556</v>
      </c>
      <c r="I2571" s="107">
        <v>0.66761147042483038</v>
      </c>
      <c r="J2571" s="108">
        <v>1.1929020115167145E-3</v>
      </c>
      <c r="K2571" s="108"/>
      <c r="L2571" s="108">
        <v>3.9600000000000003E-2</v>
      </c>
      <c r="O2571" s="105"/>
    </row>
    <row r="2572" spans="2:15" x14ac:dyDescent="0.2">
      <c r="B2572" s="1">
        <v>2557</v>
      </c>
      <c r="C2572" s="106">
        <f ca="1"/>
        <v>0.88211735830876936</v>
      </c>
      <c r="D2572" s="106">
        <f t="shared" ca="1" si="156"/>
        <v>0.72491279277018161</v>
      </c>
      <c r="E2572" s="106">
        <f t="shared" ca="1" si="157"/>
        <v>0</v>
      </c>
      <c r="F2572" s="21">
        <f t="shared" ca="1" si="158"/>
        <v>0</v>
      </c>
      <c r="H2572" s="21">
        <v>2557</v>
      </c>
      <c r="I2572" s="107">
        <v>0.66775425289812196</v>
      </c>
      <c r="J2572" s="108">
        <v>1.3660852608312435E-3</v>
      </c>
      <c r="K2572" s="108"/>
      <c r="L2572" s="108">
        <v>4.24E-2</v>
      </c>
      <c r="O2572" s="105"/>
    </row>
    <row r="2573" spans="2:15" x14ac:dyDescent="0.2">
      <c r="B2573" s="1">
        <v>2558</v>
      </c>
      <c r="C2573" s="106">
        <f ca="1"/>
        <v>0.25039493878641894</v>
      </c>
      <c r="D2573" s="106">
        <f t="shared" ca="1" si="156"/>
        <v>0.6811192662487201</v>
      </c>
      <c r="E2573" s="106">
        <f t="shared" ca="1" si="157"/>
        <v>0</v>
      </c>
      <c r="F2573" s="21">
        <f t="shared" ca="1" si="158"/>
        <v>0</v>
      </c>
      <c r="H2573" s="21">
        <v>2558</v>
      </c>
      <c r="I2573" s="107">
        <v>0.66769884870162688</v>
      </c>
      <c r="J2573" s="108">
        <v>1.3068115660417943E-3</v>
      </c>
      <c r="K2573" s="108"/>
      <c r="L2573" s="108">
        <v>4.1000000000000002E-2</v>
      </c>
      <c r="O2573" s="105"/>
    </row>
    <row r="2574" spans="2:15" x14ac:dyDescent="0.2">
      <c r="B2574" s="1">
        <v>2559</v>
      </c>
      <c r="C2574" s="106">
        <f ca="1"/>
        <v>1.2980930154082011</v>
      </c>
      <c r="D2574" s="106">
        <f t="shared" ca="1" si="156"/>
        <v>0.75527638271898578</v>
      </c>
      <c r="E2574" s="106">
        <f t="shared" ca="1" si="157"/>
        <v>0</v>
      </c>
      <c r="F2574" s="21">
        <f t="shared" ca="1" si="158"/>
        <v>0</v>
      </c>
      <c r="H2574" s="21">
        <v>2559</v>
      </c>
      <c r="I2574" s="107">
        <v>0.66773345626238267</v>
      </c>
      <c r="J2574" s="108">
        <v>1.2159976910760433E-3</v>
      </c>
      <c r="K2574" s="108"/>
      <c r="L2574" s="108">
        <v>4.5199999999999997E-2</v>
      </c>
      <c r="O2574" s="105"/>
    </row>
    <row r="2575" spans="2:15" x14ac:dyDescent="0.2">
      <c r="B2575" s="1">
        <v>2560</v>
      </c>
      <c r="C2575" s="106">
        <f ca="1"/>
        <v>1.3502085327806126</v>
      </c>
      <c r="D2575" s="106">
        <f t="shared" ca="1" si="156"/>
        <v>0.75916906210614332</v>
      </c>
      <c r="E2575" s="106">
        <f t="shared" ca="1" si="157"/>
        <v>0</v>
      </c>
      <c r="F2575" s="21">
        <f t="shared" ca="1" si="158"/>
        <v>0</v>
      </c>
      <c r="H2575" s="21">
        <v>2560</v>
      </c>
      <c r="I2575" s="107">
        <v>0.66771156628775685</v>
      </c>
      <c r="J2575" s="108">
        <v>1.370085390529319E-3</v>
      </c>
      <c r="K2575" s="108"/>
      <c r="L2575" s="108">
        <v>4.4400000000000002E-2</v>
      </c>
      <c r="O2575" s="105"/>
    </row>
    <row r="2576" spans="2:15" x14ac:dyDescent="0.2">
      <c r="B2576" s="1">
        <v>2561</v>
      </c>
      <c r="C2576" s="106">
        <f ca="1"/>
        <v>-0.21958078821709387</v>
      </c>
      <c r="D2576" s="106">
        <f t="shared" ref="D2576:D2639" ca="1" si="159">S0*EXP((μ-0.5*σ*σ)*T+σ*SQRT(T)*$C2576)</f>
        <v>0.65026397512111589</v>
      </c>
      <c r="E2576" s="106">
        <f t="shared" ref="E2576:E2639" ca="1" si="160">MAX(0,CP*(D2576-K))</f>
        <v>0</v>
      </c>
      <c r="F2576" s="21">
        <f t="shared" ref="F2576:F2639" ca="1" si="161">(CP*(D2576-K)&gt;0)*1</f>
        <v>0</v>
      </c>
      <c r="H2576" s="21">
        <v>2561</v>
      </c>
      <c r="I2576" s="107">
        <v>0.66785643440121034</v>
      </c>
      <c r="J2576" s="108">
        <v>1.4514504425042084E-3</v>
      </c>
      <c r="K2576" s="108"/>
      <c r="L2576" s="108">
        <v>4.3200000000000002E-2</v>
      </c>
      <c r="O2576" s="105"/>
    </row>
    <row r="2577" spans="2:15" x14ac:dyDescent="0.2">
      <c r="B2577" s="1">
        <v>2562</v>
      </c>
      <c r="C2577" s="106">
        <f ca="1"/>
        <v>0.95325321568698262</v>
      </c>
      <c r="D2577" s="106">
        <f t="shared" ca="1" si="159"/>
        <v>0.73001734714091215</v>
      </c>
      <c r="E2577" s="106">
        <f t="shared" ca="1" si="160"/>
        <v>0</v>
      </c>
      <c r="F2577" s="21">
        <f t="shared" ca="1" si="161"/>
        <v>0</v>
      </c>
      <c r="H2577" s="21">
        <v>2562</v>
      </c>
      <c r="I2577" s="107">
        <v>0.66764862253984392</v>
      </c>
      <c r="J2577" s="108">
        <v>1.2284355518063107E-3</v>
      </c>
      <c r="K2577" s="108"/>
      <c r="L2577" s="108">
        <v>4.2599999999999999E-2</v>
      </c>
      <c r="O2577" s="105"/>
    </row>
    <row r="2578" spans="2:15" x14ac:dyDescent="0.2">
      <c r="B2578" s="1">
        <v>2563</v>
      </c>
      <c r="C2578" s="106">
        <f ca="1"/>
        <v>-0.91520719791435612</v>
      </c>
      <c r="D2578" s="106">
        <f t="shared" ca="1" si="159"/>
        <v>0.60714089720651165</v>
      </c>
      <c r="E2578" s="106">
        <f t="shared" ca="1" si="160"/>
        <v>0</v>
      </c>
      <c r="F2578" s="21">
        <f t="shared" ca="1" si="161"/>
        <v>0</v>
      </c>
      <c r="H2578" s="21">
        <v>2563</v>
      </c>
      <c r="I2578" s="107">
        <v>0.66761914104258568</v>
      </c>
      <c r="J2578" s="108">
        <v>1.2009739147079077E-3</v>
      </c>
      <c r="K2578" s="108"/>
      <c r="L2578" s="108">
        <v>3.9199999999999999E-2</v>
      </c>
      <c r="O2578" s="105"/>
    </row>
    <row r="2579" spans="2:15" x14ac:dyDescent="0.2">
      <c r="B2579" s="1">
        <v>2564</v>
      </c>
      <c r="C2579" s="106">
        <f ca="1"/>
        <v>0.87720329766833238</v>
      </c>
      <c r="D2579" s="106">
        <f t="shared" ca="1" si="159"/>
        <v>0.72456149133611047</v>
      </c>
      <c r="E2579" s="106">
        <f t="shared" ca="1" si="160"/>
        <v>0</v>
      </c>
      <c r="F2579" s="21">
        <f t="shared" ca="1" si="161"/>
        <v>0</v>
      </c>
      <c r="H2579" s="21">
        <v>2564</v>
      </c>
      <c r="I2579" s="107">
        <v>0.6677333664442906</v>
      </c>
      <c r="J2579" s="108">
        <v>1.3233994587690953E-3</v>
      </c>
      <c r="K2579" s="108"/>
      <c r="L2579" s="108">
        <v>4.0800000000000003E-2</v>
      </c>
      <c r="O2579" s="105"/>
    </row>
    <row r="2580" spans="2:15" x14ac:dyDescent="0.2">
      <c r="B2580" s="1">
        <v>2565</v>
      </c>
      <c r="C2580" s="106">
        <f ca="1"/>
        <v>0.48197320453505765</v>
      </c>
      <c r="D2580" s="106">
        <f t="shared" ca="1" si="159"/>
        <v>0.6968572698517923</v>
      </c>
      <c r="E2580" s="106">
        <f t="shared" ca="1" si="160"/>
        <v>0</v>
      </c>
      <c r="F2580" s="21">
        <f t="shared" ca="1" si="161"/>
        <v>0</v>
      </c>
      <c r="H2580" s="21">
        <v>2565</v>
      </c>
      <c r="I2580" s="107">
        <v>0.6679363228684525</v>
      </c>
      <c r="J2580" s="108">
        <v>1.5916593147128053E-3</v>
      </c>
      <c r="K2580" s="108"/>
      <c r="L2580" s="108">
        <v>4.8800000000000003E-2</v>
      </c>
      <c r="O2580" s="105"/>
    </row>
    <row r="2581" spans="2:15" x14ac:dyDescent="0.2">
      <c r="B2581" s="1">
        <v>2566</v>
      </c>
      <c r="C2581" s="106">
        <f ca="1"/>
        <v>0.78569233670218397</v>
      </c>
      <c r="D2581" s="106">
        <f t="shared" ca="1" si="159"/>
        <v>0.71805047772642361</v>
      </c>
      <c r="E2581" s="106">
        <f t="shared" ca="1" si="160"/>
        <v>0</v>
      </c>
      <c r="F2581" s="21">
        <f t="shared" ca="1" si="161"/>
        <v>0</v>
      </c>
      <c r="H2581" s="21">
        <v>2566</v>
      </c>
      <c r="I2581" s="107">
        <v>0.66768473123182592</v>
      </c>
      <c r="J2581" s="108">
        <v>1.2320178233194007E-3</v>
      </c>
      <c r="K2581" s="108"/>
      <c r="L2581" s="108">
        <v>4.24E-2</v>
      </c>
      <c r="O2581" s="105"/>
    </row>
    <row r="2582" spans="2:15" x14ac:dyDescent="0.2">
      <c r="B2582" s="1">
        <v>2567</v>
      </c>
      <c r="C2582" s="106">
        <f ca="1"/>
        <v>0.20848875189766342</v>
      </c>
      <c r="D2582" s="106">
        <f t="shared" ca="1" si="159"/>
        <v>0.67830954715531899</v>
      </c>
      <c r="E2582" s="106">
        <f t="shared" ca="1" si="160"/>
        <v>0</v>
      </c>
      <c r="F2582" s="21">
        <f t="shared" ca="1" si="161"/>
        <v>0</v>
      </c>
      <c r="H2582" s="21">
        <v>2567</v>
      </c>
      <c r="I2582" s="107">
        <v>0.66779465716796682</v>
      </c>
      <c r="J2582" s="108">
        <v>1.5190766925539429E-3</v>
      </c>
      <c r="K2582" s="108"/>
      <c r="L2582" s="108">
        <v>4.1599999999999998E-2</v>
      </c>
      <c r="O2582" s="105"/>
    </row>
    <row r="2583" spans="2:15" x14ac:dyDescent="0.2">
      <c r="B2583" s="1">
        <v>2568</v>
      </c>
      <c r="C2583" s="106">
        <f ca="1"/>
        <v>-0.49747842357363004</v>
      </c>
      <c r="D2583" s="106">
        <f t="shared" ca="1" si="159"/>
        <v>0.63268091089780565</v>
      </c>
      <c r="E2583" s="106">
        <f t="shared" ca="1" si="160"/>
        <v>0</v>
      </c>
      <c r="F2583" s="21">
        <f t="shared" ca="1" si="161"/>
        <v>0</v>
      </c>
      <c r="H2583" s="21">
        <v>2568</v>
      </c>
      <c r="I2583" s="107">
        <v>0.66777343094812469</v>
      </c>
      <c r="J2583" s="108">
        <v>1.4265234244248597E-3</v>
      </c>
      <c r="K2583" s="108"/>
      <c r="L2583" s="108">
        <v>4.6800000000000001E-2</v>
      </c>
      <c r="O2583" s="105"/>
    </row>
    <row r="2584" spans="2:15" x14ac:dyDescent="0.2">
      <c r="B2584" s="1">
        <v>2569</v>
      </c>
      <c r="C2584" s="106">
        <f ca="1"/>
        <v>1.1316344036742554</v>
      </c>
      <c r="D2584" s="106">
        <f t="shared" ca="1" si="159"/>
        <v>0.74297623123353862</v>
      </c>
      <c r="E2584" s="106">
        <f t="shared" ca="1" si="160"/>
        <v>0</v>
      </c>
      <c r="F2584" s="21">
        <f t="shared" ca="1" si="161"/>
        <v>0</v>
      </c>
      <c r="H2584" s="21">
        <v>2569</v>
      </c>
      <c r="I2584" s="107">
        <v>0.66780577277727404</v>
      </c>
      <c r="J2584" s="108">
        <v>1.3986942135970205E-3</v>
      </c>
      <c r="K2584" s="108"/>
      <c r="L2584" s="108">
        <v>4.3999999999999997E-2</v>
      </c>
      <c r="O2584" s="105"/>
    </row>
    <row r="2585" spans="2:15" x14ac:dyDescent="0.2">
      <c r="B2585" s="1">
        <v>2570</v>
      </c>
      <c r="C2585" s="106">
        <f ca="1"/>
        <v>-0.89848553350389293</v>
      </c>
      <c r="D2585" s="106">
        <f t="shared" ca="1" si="159"/>
        <v>0.60814317039800114</v>
      </c>
      <c r="E2585" s="106">
        <f t="shared" ca="1" si="160"/>
        <v>0</v>
      </c>
      <c r="F2585" s="21">
        <f t="shared" ca="1" si="161"/>
        <v>0</v>
      </c>
      <c r="H2585" s="21">
        <v>2570</v>
      </c>
      <c r="I2585" s="107">
        <v>0.66780235947164435</v>
      </c>
      <c r="J2585" s="108">
        <v>1.5084797901003888E-3</v>
      </c>
      <c r="K2585" s="108"/>
      <c r="L2585" s="108">
        <v>3.9399999999999998E-2</v>
      </c>
      <c r="O2585" s="105"/>
    </row>
    <row r="2586" spans="2:15" x14ac:dyDescent="0.2">
      <c r="B2586" s="1">
        <v>2571</v>
      </c>
      <c r="C2586" s="106">
        <f ca="1"/>
        <v>-0.63461617329881526</v>
      </c>
      <c r="D2586" s="106">
        <f t="shared" ca="1" si="159"/>
        <v>0.62417997945374737</v>
      </c>
      <c r="E2586" s="106">
        <f t="shared" ca="1" si="160"/>
        <v>0</v>
      </c>
      <c r="F2586" s="21">
        <f t="shared" ca="1" si="161"/>
        <v>0</v>
      </c>
      <c r="H2586" s="21">
        <v>2571</v>
      </c>
      <c r="I2586" s="107">
        <v>0.66771942663994144</v>
      </c>
      <c r="J2586" s="108">
        <v>1.3213167815123643E-3</v>
      </c>
      <c r="K2586" s="108"/>
      <c r="L2586" s="108">
        <v>4.2599999999999999E-2</v>
      </c>
      <c r="O2586" s="105"/>
    </row>
    <row r="2587" spans="2:15" x14ac:dyDescent="0.2">
      <c r="B2587" s="1">
        <v>2572</v>
      </c>
      <c r="C2587" s="106">
        <f ca="1"/>
        <v>0.98633358145531136</v>
      </c>
      <c r="D2587" s="106">
        <f t="shared" ca="1" si="159"/>
        <v>0.73240335103259557</v>
      </c>
      <c r="E2587" s="106">
        <f t="shared" ca="1" si="160"/>
        <v>0</v>
      </c>
      <c r="F2587" s="21">
        <f t="shared" ca="1" si="161"/>
        <v>0</v>
      </c>
      <c r="H2587" s="21">
        <v>2572</v>
      </c>
      <c r="I2587" s="107">
        <v>0.66758636187636011</v>
      </c>
      <c r="J2587" s="108">
        <v>9.8579105085704294E-4</v>
      </c>
      <c r="K2587" s="108"/>
      <c r="L2587" s="108">
        <v>3.8199999999999998E-2</v>
      </c>
      <c r="O2587" s="105"/>
    </row>
    <row r="2588" spans="2:15" x14ac:dyDescent="0.2">
      <c r="B2588" s="1">
        <v>2573</v>
      </c>
      <c r="C2588" s="106">
        <f ca="1"/>
        <v>-3.112441795474497</v>
      </c>
      <c r="D2588" s="106">
        <f t="shared" ca="1" si="159"/>
        <v>0.48883389610564737</v>
      </c>
      <c r="E2588" s="106">
        <f t="shared" ca="1" si="160"/>
        <v>0</v>
      </c>
      <c r="F2588" s="21">
        <f t="shared" ca="1" si="161"/>
        <v>0</v>
      </c>
      <c r="H2588" s="21">
        <v>2573</v>
      </c>
      <c r="I2588" s="107">
        <v>0.66786414608294054</v>
      </c>
      <c r="J2588" s="108">
        <v>1.2828742721976928E-3</v>
      </c>
      <c r="K2588" s="108"/>
      <c r="L2588" s="108">
        <v>4.3799999999999999E-2</v>
      </c>
      <c r="O2588" s="105"/>
    </row>
    <row r="2589" spans="2:15" x14ac:dyDescent="0.2">
      <c r="B2589" s="1">
        <v>2574</v>
      </c>
      <c r="C2589" s="106">
        <f ca="1"/>
        <v>0.78316483541662629</v>
      </c>
      <c r="D2589" s="106">
        <f t="shared" ca="1" si="159"/>
        <v>0.71787147851235633</v>
      </c>
      <c r="E2589" s="106">
        <f t="shared" ca="1" si="160"/>
        <v>0</v>
      </c>
      <c r="F2589" s="21">
        <f t="shared" ca="1" si="161"/>
        <v>0</v>
      </c>
      <c r="H2589" s="21">
        <v>2574</v>
      </c>
      <c r="I2589" s="107">
        <v>0.66767692825380709</v>
      </c>
      <c r="J2589" s="108">
        <v>1.3229079512112945E-3</v>
      </c>
      <c r="K2589" s="108"/>
      <c r="L2589" s="108">
        <v>4.02E-2</v>
      </c>
      <c r="O2589" s="105"/>
    </row>
    <row r="2590" spans="2:15" x14ac:dyDescent="0.2">
      <c r="B2590" s="1">
        <v>2575</v>
      </c>
      <c r="C2590" s="106">
        <f ca="1"/>
        <v>-0.19007239609967969</v>
      </c>
      <c r="D2590" s="106">
        <f t="shared" ca="1" si="159"/>
        <v>0.6521594863220791</v>
      </c>
      <c r="E2590" s="106">
        <f t="shared" ca="1" si="160"/>
        <v>0</v>
      </c>
      <c r="F2590" s="21">
        <f t="shared" ca="1" si="161"/>
        <v>0</v>
      </c>
      <c r="H2590" s="21">
        <v>2575</v>
      </c>
      <c r="I2590" s="107">
        <v>0.66753976444097607</v>
      </c>
      <c r="J2590" s="108">
        <v>1.2149009314016284E-3</v>
      </c>
      <c r="K2590" s="108"/>
      <c r="L2590" s="108">
        <v>3.5400000000000001E-2</v>
      </c>
      <c r="O2590" s="105"/>
    </row>
    <row r="2591" spans="2:15" x14ac:dyDescent="0.2">
      <c r="B2591" s="1">
        <v>2576</v>
      </c>
      <c r="C2591" s="106">
        <f ca="1"/>
        <v>0.18855090453828857</v>
      </c>
      <c r="D2591" s="106">
        <f t="shared" ca="1" si="159"/>
        <v>0.67697682964253114</v>
      </c>
      <c r="E2591" s="106">
        <f t="shared" ca="1" si="160"/>
        <v>0</v>
      </c>
      <c r="F2591" s="21">
        <f t="shared" ca="1" si="161"/>
        <v>0</v>
      </c>
      <c r="H2591" s="21">
        <v>2576</v>
      </c>
      <c r="I2591" s="107">
        <v>0.66772380080202676</v>
      </c>
      <c r="J2591" s="108">
        <v>1.3880150719760061E-3</v>
      </c>
      <c r="K2591" s="108"/>
      <c r="L2591" s="108">
        <v>4.02E-2</v>
      </c>
      <c r="O2591" s="105"/>
    </row>
    <row r="2592" spans="2:15" x14ac:dyDescent="0.2">
      <c r="B2592" s="1">
        <v>2577</v>
      </c>
      <c r="C2592" s="106">
        <f ca="1"/>
        <v>-0.81838228078033948</v>
      </c>
      <c r="D2592" s="106">
        <f t="shared" ca="1" si="159"/>
        <v>0.61296744258616631</v>
      </c>
      <c r="E2592" s="106">
        <f t="shared" ca="1" si="160"/>
        <v>0</v>
      </c>
      <c r="F2592" s="21">
        <f t="shared" ca="1" si="161"/>
        <v>0</v>
      </c>
      <c r="H2592" s="21">
        <v>2577</v>
      </c>
      <c r="I2592" s="107">
        <v>0.66768394524095342</v>
      </c>
      <c r="J2592" s="108">
        <v>1.2569649875829255E-3</v>
      </c>
      <c r="K2592" s="108"/>
      <c r="L2592" s="108">
        <v>3.5999999999999997E-2</v>
      </c>
      <c r="O2592" s="105"/>
    </row>
    <row r="2593" spans="2:15" x14ac:dyDescent="0.2">
      <c r="B2593" s="1">
        <v>2578</v>
      </c>
      <c r="C2593" s="106">
        <f ca="1"/>
        <v>0.58142866347622324</v>
      </c>
      <c r="D2593" s="106">
        <f t="shared" ca="1" si="159"/>
        <v>0.70372737538559427</v>
      </c>
      <c r="E2593" s="106">
        <f t="shared" ca="1" si="160"/>
        <v>0</v>
      </c>
      <c r="F2593" s="21">
        <f t="shared" ca="1" si="161"/>
        <v>0</v>
      </c>
      <c r="H2593" s="21">
        <v>2578</v>
      </c>
      <c r="I2593" s="107">
        <v>0.6677109052674346</v>
      </c>
      <c r="J2593" s="108">
        <v>1.3310943213784663E-3</v>
      </c>
      <c r="K2593" s="108"/>
      <c r="L2593" s="108">
        <v>4.1200000000000001E-2</v>
      </c>
      <c r="O2593" s="105"/>
    </row>
    <row r="2594" spans="2:15" x14ac:dyDescent="0.2">
      <c r="B2594" s="1">
        <v>2579</v>
      </c>
      <c r="C2594" s="106">
        <f ca="1"/>
        <v>-1.6102711833098631</v>
      </c>
      <c r="D2594" s="106">
        <f t="shared" ca="1" si="159"/>
        <v>0.5669090310074526</v>
      </c>
      <c r="E2594" s="106">
        <f t="shared" ca="1" si="160"/>
        <v>0</v>
      </c>
      <c r="F2594" s="21">
        <f t="shared" ca="1" si="161"/>
        <v>0</v>
      </c>
      <c r="H2594" s="21">
        <v>2579</v>
      </c>
      <c r="I2594" s="107">
        <v>0.66778807766563708</v>
      </c>
      <c r="J2594" s="108">
        <v>1.4992360947455505E-3</v>
      </c>
      <c r="K2594" s="108"/>
      <c r="L2594" s="108">
        <v>4.4999999999999998E-2</v>
      </c>
      <c r="O2594" s="105"/>
    </row>
    <row r="2595" spans="2:15" x14ac:dyDescent="0.2">
      <c r="B2595" s="1">
        <v>2580</v>
      </c>
      <c r="C2595" s="106">
        <f ca="1"/>
        <v>-1.4872856923947158</v>
      </c>
      <c r="D2595" s="106">
        <f t="shared" ca="1" si="159"/>
        <v>0.57382834644444469</v>
      </c>
      <c r="E2595" s="106">
        <f t="shared" ca="1" si="160"/>
        <v>0</v>
      </c>
      <c r="F2595" s="21">
        <f t="shared" ca="1" si="161"/>
        <v>0</v>
      </c>
      <c r="H2595" s="21">
        <v>2580</v>
      </c>
      <c r="I2595" s="107">
        <v>0.66769391780007492</v>
      </c>
      <c r="J2595" s="108">
        <v>1.2576340649388981E-3</v>
      </c>
      <c r="K2595" s="108"/>
      <c r="L2595" s="108">
        <v>4.2000000000000003E-2</v>
      </c>
      <c r="O2595" s="105"/>
    </row>
    <row r="2596" spans="2:15" x14ac:dyDescent="0.2">
      <c r="B2596" s="1">
        <v>2581</v>
      </c>
      <c r="C2596" s="106">
        <f ca="1"/>
        <v>1.0329353748378665</v>
      </c>
      <c r="D2596" s="106">
        <f t="shared" ca="1" si="159"/>
        <v>0.735777858797519</v>
      </c>
      <c r="E2596" s="106">
        <f t="shared" ca="1" si="160"/>
        <v>0</v>
      </c>
      <c r="F2596" s="21">
        <f t="shared" ca="1" si="161"/>
        <v>0</v>
      </c>
      <c r="H2596" s="21">
        <v>2581</v>
      </c>
      <c r="I2596" s="107">
        <v>0.66766763719770539</v>
      </c>
      <c r="J2596" s="108">
        <v>1.3525617333158828E-3</v>
      </c>
      <c r="K2596" s="108"/>
      <c r="L2596" s="108">
        <v>4.0399999999999998E-2</v>
      </c>
      <c r="O2596" s="105"/>
    </row>
    <row r="2597" spans="2:15" x14ac:dyDescent="0.2">
      <c r="B2597" s="1">
        <v>2582</v>
      </c>
      <c r="C2597" s="106">
        <f ca="1"/>
        <v>1.4141341961173139</v>
      </c>
      <c r="D2597" s="106">
        <f t="shared" ca="1" si="159"/>
        <v>0.76397128852592555</v>
      </c>
      <c r="E2597" s="106">
        <f t="shared" ca="1" si="160"/>
        <v>0</v>
      </c>
      <c r="F2597" s="21">
        <f t="shared" ca="1" si="161"/>
        <v>0</v>
      </c>
      <c r="H2597" s="21">
        <v>2582</v>
      </c>
      <c r="I2597" s="107">
        <v>0.66797031798327033</v>
      </c>
      <c r="J2597" s="108">
        <v>1.5845393981660865E-3</v>
      </c>
      <c r="K2597" s="108"/>
      <c r="L2597" s="108">
        <v>4.8399999999999999E-2</v>
      </c>
      <c r="O2597" s="105"/>
    </row>
    <row r="2598" spans="2:15" x14ac:dyDescent="0.2">
      <c r="B2598" s="1">
        <v>2583</v>
      </c>
      <c r="C2598" s="106">
        <f ca="1"/>
        <v>-0.49626441398456983</v>
      </c>
      <c r="D2598" s="106">
        <f t="shared" ca="1" si="159"/>
        <v>0.63275667993226137</v>
      </c>
      <c r="E2598" s="106">
        <f t="shared" ca="1" si="160"/>
        <v>0</v>
      </c>
      <c r="F2598" s="21">
        <f t="shared" ca="1" si="161"/>
        <v>0</v>
      </c>
      <c r="H2598" s="21">
        <v>2583</v>
      </c>
      <c r="I2598" s="107">
        <v>0.6675155287376342</v>
      </c>
      <c r="J2598" s="108">
        <v>1.080792925718325E-3</v>
      </c>
      <c r="K2598" s="108"/>
      <c r="L2598" s="108">
        <v>3.5200000000000002E-2</v>
      </c>
      <c r="O2598" s="105"/>
    </row>
    <row r="2599" spans="2:15" x14ac:dyDescent="0.2">
      <c r="B2599" s="1">
        <v>2584</v>
      </c>
      <c r="C2599" s="106">
        <f ca="1"/>
        <v>-0.45828922703705399</v>
      </c>
      <c r="D2599" s="106">
        <f t="shared" ca="1" si="159"/>
        <v>0.63513138254758417</v>
      </c>
      <c r="E2599" s="106">
        <f t="shared" ca="1" si="160"/>
        <v>0</v>
      </c>
      <c r="F2599" s="21">
        <f t="shared" ca="1" si="161"/>
        <v>0</v>
      </c>
      <c r="H2599" s="21">
        <v>2584</v>
      </c>
      <c r="I2599" s="107">
        <v>0.66778209174909542</v>
      </c>
      <c r="J2599" s="108">
        <v>1.2492564782975548E-3</v>
      </c>
      <c r="K2599" s="108"/>
      <c r="L2599" s="108">
        <v>4.5600000000000002E-2</v>
      </c>
      <c r="O2599" s="105"/>
    </row>
    <row r="2600" spans="2:15" x14ac:dyDescent="0.2">
      <c r="B2600" s="1">
        <v>2585</v>
      </c>
      <c r="C2600" s="106">
        <f ca="1"/>
        <v>1.1341813385399533</v>
      </c>
      <c r="D2600" s="106">
        <f t="shared" ca="1" si="159"/>
        <v>0.74316291485422536</v>
      </c>
      <c r="E2600" s="106">
        <f t="shared" ca="1" si="160"/>
        <v>0</v>
      </c>
      <c r="F2600" s="21">
        <f t="shared" ca="1" si="161"/>
        <v>0</v>
      </c>
      <c r="H2600" s="21">
        <v>2585</v>
      </c>
      <c r="I2600" s="107">
        <v>0.66770800418894738</v>
      </c>
      <c r="J2600" s="108">
        <v>1.188299664461979E-3</v>
      </c>
      <c r="K2600" s="108"/>
      <c r="L2600" s="108">
        <v>3.9600000000000003E-2</v>
      </c>
      <c r="O2600" s="105"/>
    </row>
    <row r="2601" spans="2:15" x14ac:dyDescent="0.2">
      <c r="B2601" s="1">
        <v>2586</v>
      </c>
      <c r="C2601" s="106">
        <f ca="1"/>
        <v>-0.47884730354539551</v>
      </c>
      <c r="D2601" s="106">
        <f t="shared" ca="1" si="159"/>
        <v>0.63384471994659863</v>
      </c>
      <c r="E2601" s="106">
        <f t="shared" ca="1" si="160"/>
        <v>0</v>
      </c>
      <c r="F2601" s="21">
        <f t="shared" ca="1" si="161"/>
        <v>0</v>
      </c>
      <c r="H2601" s="21">
        <v>2586</v>
      </c>
      <c r="I2601" s="107">
        <v>0.66766527648578688</v>
      </c>
      <c r="J2601" s="108">
        <v>1.3586048580459167E-3</v>
      </c>
      <c r="K2601" s="108"/>
      <c r="L2601" s="108">
        <v>3.9600000000000003E-2</v>
      </c>
      <c r="O2601" s="105"/>
    </row>
    <row r="2602" spans="2:15" x14ac:dyDescent="0.2">
      <c r="B2602" s="1">
        <v>2587</v>
      </c>
      <c r="C2602" s="106">
        <f ca="1"/>
        <v>0.67200823565964563</v>
      </c>
      <c r="D2602" s="106">
        <f t="shared" ca="1" si="159"/>
        <v>0.71004327534768452</v>
      </c>
      <c r="E2602" s="106">
        <f t="shared" ca="1" si="160"/>
        <v>0</v>
      </c>
      <c r="F2602" s="21">
        <f t="shared" ca="1" si="161"/>
        <v>0</v>
      </c>
      <c r="H2602" s="21">
        <v>2587</v>
      </c>
      <c r="I2602" s="107">
        <v>0.66776514485756699</v>
      </c>
      <c r="J2602" s="108">
        <v>1.2969216748776188E-3</v>
      </c>
      <c r="K2602" s="108"/>
      <c r="L2602" s="108">
        <v>4.1399999999999999E-2</v>
      </c>
      <c r="O2602" s="105"/>
    </row>
    <row r="2603" spans="2:15" x14ac:dyDescent="0.2">
      <c r="B2603" s="1">
        <v>2588</v>
      </c>
      <c r="C2603" s="106">
        <f ca="1"/>
        <v>-0.29421725268999405</v>
      </c>
      <c r="D2603" s="106">
        <f t="shared" ca="1" si="159"/>
        <v>0.64549415562118362</v>
      </c>
      <c r="E2603" s="106">
        <f t="shared" ca="1" si="160"/>
        <v>0</v>
      </c>
      <c r="F2603" s="21">
        <f t="shared" ca="1" si="161"/>
        <v>0</v>
      </c>
      <c r="H2603" s="21">
        <v>2588</v>
      </c>
      <c r="I2603" s="107">
        <v>0.66759461857243174</v>
      </c>
      <c r="J2603" s="108">
        <v>1.2452555590331193E-3</v>
      </c>
      <c r="K2603" s="108"/>
      <c r="L2603" s="108">
        <v>3.7999999999999999E-2</v>
      </c>
      <c r="O2603" s="105"/>
    </row>
    <row r="2604" spans="2:15" x14ac:dyDescent="0.2">
      <c r="B2604" s="1">
        <v>2589</v>
      </c>
      <c r="C2604" s="106">
        <f ca="1"/>
        <v>-0.178733222932796</v>
      </c>
      <c r="D2604" s="106">
        <f t="shared" ca="1" si="159"/>
        <v>0.65288934202947746</v>
      </c>
      <c r="E2604" s="106">
        <f t="shared" ca="1" si="160"/>
        <v>0</v>
      </c>
      <c r="F2604" s="21">
        <f t="shared" ca="1" si="161"/>
        <v>0</v>
      </c>
      <c r="H2604" s="21">
        <v>2589</v>
      </c>
      <c r="I2604" s="107">
        <v>0.66766775755769991</v>
      </c>
      <c r="J2604" s="108">
        <v>1.3286275413865165E-3</v>
      </c>
      <c r="K2604" s="108"/>
      <c r="L2604" s="108">
        <v>4.5600000000000002E-2</v>
      </c>
      <c r="O2604" s="105"/>
    </row>
    <row r="2605" spans="2:15" x14ac:dyDescent="0.2">
      <c r="B2605" s="1">
        <v>2590</v>
      </c>
      <c r="C2605" s="106">
        <f ca="1"/>
        <v>-1.3045847239494215</v>
      </c>
      <c r="D2605" s="106">
        <f t="shared" ca="1" si="159"/>
        <v>0.58426355237159877</v>
      </c>
      <c r="E2605" s="106">
        <f t="shared" ca="1" si="160"/>
        <v>0</v>
      </c>
      <c r="F2605" s="21">
        <f t="shared" ca="1" si="161"/>
        <v>0</v>
      </c>
      <c r="H2605" s="21">
        <v>2590</v>
      </c>
      <c r="I2605" s="107">
        <v>0.66773911178832779</v>
      </c>
      <c r="J2605" s="108">
        <v>1.4485758777369312E-3</v>
      </c>
      <c r="K2605" s="108"/>
      <c r="L2605" s="108">
        <v>4.1000000000000002E-2</v>
      </c>
      <c r="O2605" s="105"/>
    </row>
    <row r="2606" spans="2:15" x14ac:dyDescent="0.2">
      <c r="B2606" s="1">
        <v>2591</v>
      </c>
      <c r="C2606" s="106">
        <f ca="1"/>
        <v>-1.2860654095692152</v>
      </c>
      <c r="D2606" s="106">
        <f t="shared" ca="1" si="159"/>
        <v>0.58533184280240014</v>
      </c>
      <c r="E2606" s="106">
        <f t="shared" ca="1" si="160"/>
        <v>0</v>
      </c>
      <c r="F2606" s="21">
        <f t="shared" ca="1" si="161"/>
        <v>0</v>
      </c>
      <c r="H2606" s="21">
        <v>2591</v>
      </c>
      <c r="I2606" s="107">
        <v>0.66771483342135285</v>
      </c>
      <c r="J2606" s="108">
        <v>1.3789896481015813E-3</v>
      </c>
      <c r="K2606" s="108"/>
      <c r="L2606" s="108">
        <v>3.9800000000000002E-2</v>
      </c>
      <c r="O2606" s="105"/>
    </row>
    <row r="2607" spans="2:15" x14ac:dyDescent="0.2">
      <c r="B2607" s="1">
        <v>2592</v>
      </c>
      <c r="C2607" s="106">
        <f ca="1"/>
        <v>-1.8551982670810148</v>
      </c>
      <c r="D2607" s="106">
        <f t="shared" ca="1" si="159"/>
        <v>0.55337667584569816</v>
      </c>
      <c r="E2607" s="106">
        <f t="shared" ca="1" si="160"/>
        <v>0</v>
      </c>
      <c r="F2607" s="21">
        <f t="shared" ca="1" si="161"/>
        <v>0</v>
      </c>
      <c r="H2607" s="21">
        <v>2592</v>
      </c>
      <c r="I2607" s="107">
        <v>0.66784276053821323</v>
      </c>
      <c r="J2607" s="108">
        <v>1.3945017188720938E-3</v>
      </c>
      <c r="K2607" s="108"/>
      <c r="L2607" s="108">
        <v>4.36E-2</v>
      </c>
      <c r="O2607" s="105"/>
    </row>
    <row r="2608" spans="2:15" x14ac:dyDescent="0.2">
      <c r="B2608" s="1">
        <v>2593</v>
      </c>
      <c r="C2608" s="106">
        <f ca="1"/>
        <v>-1.4816015821400401</v>
      </c>
      <c r="D2608" s="106">
        <f t="shared" ca="1" si="159"/>
        <v>0.57415017542508584</v>
      </c>
      <c r="E2608" s="106">
        <f t="shared" ca="1" si="160"/>
        <v>0</v>
      </c>
      <c r="F2608" s="21">
        <f t="shared" ca="1" si="161"/>
        <v>0</v>
      </c>
      <c r="H2608" s="21">
        <v>2593</v>
      </c>
      <c r="I2608" s="107">
        <v>0.66764829969080364</v>
      </c>
      <c r="J2608" s="108">
        <v>1.3250009778409866E-3</v>
      </c>
      <c r="K2608" s="108"/>
      <c r="L2608" s="108">
        <v>4.3400000000000001E-2</v>
      </c>
      <c r="O2608" s="105"/>
    </row>
    <row r="2609" spans="2:15" x14ac:dyDescent="0.2">
      <c r="B2609" s="1">
        <v>2594</v>
      </c>
      <c r="C2609" s="106">
        <f ca="1"/>
        <v>-0.45465834830210666</v>
      </c>
      <c r="D2609" s="106">
        <f t="shared" ca="1" si="159"/>
        <v>0.63535889857288486</v>
      </c>
      <c r="E2609" s="106">
        <f t="shared" ca="1" si="160"/>
        <v>0</v>
      </c>
      <c r="F2609" s="21">
        <f t="shared" ca="1" si="161"/>
        <v>0</v>
      </c>
      <c r="H2609" s="21">
        <v>2594</v>
      </c>
      <c r="I2609" s="107">
        <v>0.66773828552305114</v>
      </c>
      <c r="J2609" s="108">
        <v>1.3308906511987921E-3</v>
      </c>
      <c r="K2609" s="108"/>
      <c r="L2609" s="108">
        <v>4.1200000000000001E-2</v>
      </c>
      <c r="O2609" s="105"/>
    </row>
    <row r="2610" spans="2:15" x14ac:dyDescent="0.2">
      <c r="B2610" s="1">
        <v>2595</v>
      </c>
      <c r="C2610" s="106">
        <f ca="1"/>
        <v>0.43867589658140677</v>
      </c>
      <c r="D2610" s="106">
        <f t="shared" ca="1" si="159"/>
        <v>0.69388740596496146</v>
      </c>
      <c r="E2610" s="106">
        <f t="shared" ca="1" si="160"/>
        <v>0</v>
      </c>
      <c r="F2610" s="21">
        <f t="shared" ca="1" si="161"/>
        <v>0</v>
      </c>
      <c r="H2610" s="21">
        <v>2595</v>
      </c>
      <c r="I2610" s="107">
        <v>0.66761383985561418</v>
      </c>
      <c r="J2610" s="108">
        <v>1.263491972622781E-3</v>
      </c>
      <c r="K2610" s="108"/>
      <c r="L2610" s="108">
        <v>3.6400000000000002E-2</v>
      </c>
      <c r="O2610" s="105"/>
    </row>
    <row r="2611" spans="2:15" x14ac:dyDescent="0.2">
      <c r="B2611" s="1">
        <v>2596</v>
      </c>
      <c r="C2611" s="106">
        <f ca="1"/>
        <v>-0.74033657565155186</v>
      </c>
      <c r="D2611" s="106">
        <f t="shared" ca="1" si="159"/>
        <v>0.6177046031442367</v>
      </c>
      <c r="E2611" s="106">
        <f t="shared" ca="1" si="160"/>
        <v>0</v>
      </c>
      <c r="F2611" s="21">
        <f t="shared" ca="1" si="161"/>
        <v>0</v>
      </c>
      <c r="H2611" s="21">
        <v>2596</v>
      </c>
      <c r="I2611" s="107">
        <v>0.66768855494886525</v>
      </c>
      <c r="J2611" s="108">
        <v>1.1615458542462652E-3</v>
      </c>
      <c r="K2611" s="108"/>
      <c r="L2611" s="108">
        <v>4.2599999999999999E-2</v>
      </c>
      <c r="O2611" s="105"/>
    </row>
    <row r="2612" spans="2:15" x14ac:dyDescent="0.2">
      <c r="B2612" s="1">
        <v>2597</v>
      </c>
      <c r="C2612" s="106">
        <f ca="1"/>
        <v>1.1458165159311895</v>
      </c>
      <c r="D2612" s="106">
        <f t="shared" ca="1" si="159"/>
        <v>0.74401633950844226</v>
      </c>
      <c r="E2612" s="106">
        <f t="shared" ca="1" si="160"/>
        <v>0</v>
      </c>
      <c r="F2612" s="21">
        <f t="shared" ca="1" si="161"/>
        <v>0</v>
      </c>
      <c r="H2612" s="21">
        <v>2597</v>
      </c>
      <c r="I2612" s="107">
        <v>0.66771103162631884</v>
      </c>
      <c r="J2612" s="108">
        <v>1.2388569958653867E-3</v>
      </c>
      <c r="K2612" s="108"/>
      <c r="L2612" s="108">
        <v>3.8800000000000001E-2</v>
      </c>
      <c r="O2612" s="105"/>
    </row>
    <row r="2613" spans="2:15" x14ac:dyDescent="0.2">
      <c r="B2613" s="1">
        <v>2598</v>
      </c>
      <c r="C2613" s="106">
        <f ca="1"/>
        <v>-0.60101677375597606</v>
      </c>
      <c r="D2613" s="106">
        <f t="shared" ca="1" si="159"/>
        <v>0.6262521244380207</v>
      </c>
      <c r="E2613" s="106">
        <f t="shared" ca="1" si="160"/>
        <v>0</v>
      </c>
      <c r="F2613" s="21">
        <f t="shared" ca="1" si="161"/>
        <v>0</v>
      </c>
      <c r="H2613" s="21">
        <v>2598</v>
      </c>
      <c r="I2613" s="107">
        <v>0.66779680547272169</v>
      </c>
      <c r="J2613" s="108">
        <v>1.4646345184455879E-3</v>
      </c>
      <c r="K2613" s="108"/>
      <c r="L2613" s="108">
        <v>4.0599999999999997E-2</v>
      </c>
      <c r="O2613" s="105"/>
    </row>
    <row r="2614" spans="2:15" x14ac:dyDescent="0.2">
      <c r="B2614" s="1">
        <v>2599</v>
      </c>
      <c r="C2614" s="106">
        <f ca="1"/>
        <v>-1.2178381812486041</v>
      </c>
      <c r="D2614" s="106">
        <f t="shared" ca="1" si="159"/>
        <v>0.58928442587283347</v>
      </c>
      <c r="E2614" s="106">
        <f t="shared" ca="1" si="160"/>
        <v>0</v>
      </c>
      <c r="F2614" s="21">
        <f t="shared" ca="1" si="161"/>
        <v>0</v>
      </c>
      <c r="H2614" s="21">
        <v>2599</v>
      </c>
      <c r="I2614" s="107">
        <v>0.66763188360761661</v>
      </c>
      <c r="J2614" s="108">
        <v>1.3026971601000214E-3</v>
      </c>
      <c r="K2614" s="108"/>
      <c r="L2614" s="108">
        <v>4.0800000000000003E-2</v>
      </c>
      <c r="O2614" s="105"/>
    </row>
    <row r="2615" spans="2:15" x14ac:dyDescent="0.2">
      <c r="B2615" s="1">
        <v>2600</v>
      </c>
      <c r="C2615" s="106">
        <f ca="1"/>
        <v>0.50627840786739675</v>
      </c>
      <c r="D2615" s="106">
        <f t="shared" ca="1" si="159"/>
        <v>0.69852998776724851</v>
      </c>
      <c r="E2615" s="106">
        <f t="shared" ca="1" si="160"/>
        <v>0</v>
      </c>
      <c r="F2615" s="21">
        <f t="shared" ca="1" si="161"/>
        <v>0</v>
      </c>
      <c r="H2615" s="21">
        <v>2600</v>
      </c>
      <c r="I2615" s="107">
        <v>0.66764853061197382</v>
      </c>
      <c r="J2615" s="108">
        <v>1.2276590053758927E-3</v>
      </c>
      <c r="K2615" s="108"/>
      <c r="L2615" s="108">
        <v>4.0800000000000003E-2</v>
      </c>
      <c r="O2615" s="105"/>
    </row>
    <row r="2616" spans="2:15" x14ac:dyDescent="0.2">
      <c r="B2616" s="1">
        <v>2601</v>
      </c>
      <c r="C2616" s="106">
        <f ca="1"/>
        <v>1.2698746064518589</v>
      </c>
      <c r="D2616" s="106">
        <f t="shared" ca="1" si="159"/>
        <v>0.75317699313041175</v>
      </c>
      <c r="E2616" s="106">
        <f t="shared" ca="1" si="160"/>
        <v>0</v>
      </c>
      <c r="F2616" s="21">
        <f t="shared" ca="1" si="161"/>
        <v>0</v>
      </c>
      <c r="H2616" s="21">
        <v>2601</v>
      </c>
      <c r="I2616" s="107">
        <v>0.66779906362501595</v>
      </c>
      <c r="J2616" s="108">
        <v>1.3974142429754454E-3</v>
      </c>
      <c r="K2616" s="108"/>
      <c r="L2616" s="108">
        <v>4.4999999999999998E-2</v>
      </c>
      <c r="O2616" s="105"/>
    </row>
    <row r="2617" spans="2:15" x14ac:dyDescent="0.2">
      <c r="B2617" s="1">
        <v>2602</v>
      </c>
      <c r="C2617" s="106">
        <f ca="1"/>
        <v>-0.75222432790923355</v>
      </c>
      <c r="D2617" s="106">
        <f t="shared" ca="1" si="159"/>
        <v>0.61698069264238731</v>
      </c>
      <c r="E2617" s="106">
        <f t="shared" ca="1" si="160"/>
        <v>0</v>
      </c>
      <c r="F2617" s="21">
        <f t="shared" ca="1" si="161"/>
        <v>0</v>
      </c>
      <c r="H2617" s="21">
        <v>2602</v>
      </c>
      <c r="I2617" s="107">
        <v>0.66763899329267296</v>
      </c>
      <c r="J2617" s="108">
        <v>1.2170436189527551E-3</v>
      </c>
      <c r="K2617" s="108"/>
      <c r="L2617" s="108">
        <v>4.0399999999999998E-2</v>
      </c>
      <c r="O2617" s="105"/>
    </row>
    <row r="2618" spans="2:15" x14ac:dyDescent="0.2">
      <c r="B2618" s="1">
        <v>2603</v>
      </c>
      <c r="C2618" s="106">
        <f ca="1"/>
        <v>0.96866174177957332</v>
      </c>
      <c r="D2618" s="106">
        <f t="shared" ca="1" si="159"/>
        <v>0.73112775689151033</v>
      </c>
      <c r="E2618" s="106">
        <f t="shared" ca="1" si="160"/>
        <v>0</v>
      </c>
      <c r="F2618" s="21">
        <f t="shared" ca="1" si="161"/>
        <v>0</v>
      </c>
      <c r="H2618" s="21">
        <v>2603</v>
      </c>
      <c r="I2618" s="107">
        <v>0.66761992898997258</v>
      </c>
      <c r="J2618" s="108">
        <v>1.2330691864763466E-3</v>
      </c>
      <c r="K2618" s="108"/>
      <c r="L2618" s="108">
        <v>4.02E-2</v>
      </c>
      <c r="O2618" s="105"/>
    </row>
    <row r="2619" spans="2:15" x14ac:dyDescent="0.2">
      <c r="B2619" s="1">
        <v>2604</v>
      </c>
      <c r="C2619" s="106">
        <f ca="1"/>
        <v>0.36064404769555131</v>
      </c>
      <c r="D2619" s="106">
        <f t="shared" ca="1" si="159"/>
        <v>0.68856694260212636</v>
      </c>
      <c r="E2619" s="106">
        <f t="shared" ca="1" si="160"/>
        <v>0</v>
      </c>
      <c r="F2619" s="21">
        <f t="shared" ca="1" si="161"/>
        <v>0</v>
      </c>
      <c r="H2619" s="21">
        <v>2604</v>
      </c>
      <c r="I2619" s="107">
        <v>0.66779060036605697</v>
      </c>
      <c r="J2619" s="108">
        <v>1.4611696974477528E-3</v>
      </c>
      <c r="K2619" s="108"/>
      <c r="L2619" s="108">
        <v>4.3200000000000002E-2</v>
      </c>
      <c r="O2619" s="105"/>
    </row>
    <row r="2620" spans="2:15" x14ac:dyDescent="0.2">
      <c r="B2620" s="1">
        <v>2605</v>
      </c>
      <c r="C2620" s="106">
        <f ca="1"/>
        <v>1.6369120715902792</v>
      </c>
      <c r="D2620" s="106">
        <f t="shared" ca="1" si="159"/>
        <v>0.78094545932094372</v>
      </c>
      <c r="E2620" s="106">
        <f t="shared" ca="1" si="160"/>
        <v>0</v>
      </c>
      <c r="F2620" s="21">
        <f t="shared" ca="1" si="161"/>
        <v>0</v>
      </c>
      <c r="H2620" s="21">
        <v>2605</v>
      </c>
      <c r="I2620" s="107">
        <v>0.66781077919344944</v>
      </c>
      <c r="J2620" s="108">
        <v>1.5047878923300643E-3</v>
      </c>
      <c r="K2620" s="108"/>
      <c r="L2620" s="108">
        <v>4.4999999999999998E-2</v>
      </c>
      <c r="O2620" s="105"/>
    </row>
    <row r="2621" spans="2:15" x14ac:dyDescent="0.2">
      <c r="B2621" s="1">
        <v>2606</v>
      </c>
      <c r="C2621" s="106">
        <f ca="1"/>
        <v>-1.309723073146938</v>
      </c>
      <c r="D2621" s="106">
        <f t="shared" ca="1" si="159"/>
        <v>0.58396749133624992</v>
      </c>
      <c r="E2621" s="106">
        <f t="shared" ca="1" si="160"/>
        <v>0</v>
      </c>
      <c r="F2621" s="21">
        <f t="shared" ca="1" si="161"/>
        <v>0</v>
      </c>
      <c r="H2621" s="21">
        <v>2606</v>
      </c>
      <c r="I2621" s="107">
        <v>0.66799933738072714</v>
      </c>
      <c r="J2621" s="108">
        <v>1.6592851033519257E-3</v>
      </c>
      <c r="K2621" s="108"/>
      <c r="L2621" s="108">
        <v>4.7399999999999998E-2</v>
      </c>
      <c r="O2621" s="105"/>
    </row>
    <row r="2622" spans="2:15" x14ac:dyDescent="0.2">
      <c r="B2622" s="1">
        <v>2607</v>
      </c>
      <c r="C2622" s="106">
        <f ca="1"/>
        <v>0.21975746119014311</v>
      </c>
      <c r="D2622" s="106">
        <f t="shared" ca="1" si="159"/>
        <v>0.6790639484069626</v>
      </c>
      <c r="E2622" s="106">
        <f t="shared" ca="1" si="160"/>
        <v>0</v>
      </c>
      <c r="F2622" s="21">
        <f t="shared" ca="1" si="161"/>
        <v>0</v>
      </c>
      <c r="H2622" s="21">
        <v>2607</v>
      </c>
      <c r="I2622" s="107">
        <v>0.6677310778001978</v>
      </c>
      <c r="J2622" s="108">
        <v>1.4065410119836353E-3</v>
      </c>
      <c r="K2622" s="108"/>
      <c r="L2622" s="108">
        <v>4.3400000000000001E-2</v>
      </c>
      <c r="O2622" s="105"/>
    </row>
    <row r="2623" spans="2:15" x14ac:dyDescent="0.2">
      <c r="B2623" s="1">
        <v>2608</v>
      </c>
      <c r="C2623" s="106">
        <f ca="1"/>
        <v>0.29272034394959512</v>
      </c>
      <c r="D2623" s="106">
        <f t="shared" ca="1" si="159"/>
        <v>0.683968906931259</v>
      </c>
      <c r="E2623" s="106">
        <f t="shared" ca="1" si="160"/>
        <v>0</v>
      </c>
      <c r="F2623" s="21">
        <f t="shared" ca="1" si="161"/>
        <v>0</v>
      </c>
      <c r="H2623" s="21">
        <v>2608</v>
      </c>
      <c r="I2623" s="107">
        <v>0.66777546735033744</v>
      </c>
      <c r="J2623" s="108">
        <v>1.381845141479701E-3</v>
      </c>
      <c r="K2623" s="108"/>
      <c r="L2623" s="108">
        <v>4.3200000000000002E-2</v>
      </c>
      <c r="O2623" s="105"/>
    </row>
    <row r="2624" spans="2:15" x14ac:dyDescent="0.2">
      <c r="B2624" s="1">
        <v>2609</v>
      </c>
      <c r="C2624" s="106">
        <f ca="1"/>
        <v>0.22426656055941205</v>
      </c>
      <c r="D2624" s="106">
        <f t="shared" ca="1" si="159"/>
        <v>0.67936605205406742</v>
      </c>
      <c r="E2624" s="106">
        <f t="shared" ca="1" si="160"/>
        <v>0</v>
      </c>
      <c r="F2624" s="21">
        <f t="shared" ca="1" si="161"/>
        <v>0</v>
      </c>
      <c r="H2624" s="21">
        <v>2609</v>
      </c>
      <c r="I2624" s="107">
        <v>0.66764403374919379</v>
      </c>
      <c r="J2624" s="108">
        <v>1.2120458892181684E-3</v>
      </c>
      <c r="K2624" s="108"/>
      <c r="L2624" s="108">
        <v>3.8800000000000001E-2</v>
      </c>
      <c r="O2624" s="105"/>
    </row>
    <row r="2625" spans="2:15" x14ac:dyDescent="0.2">
      <c r="B2625" s="1">
        <v>2610</v>
      </c>
      <c r="C2625" s="106">
        <f ca="1"/>
        <v>-1.0132870819342985</v>
      </c>
      <c r="D2625" s="106">
        <f t="shared" ca="1" si="159"/>
        <v>0.60129529598310272</v>
      </c>
      <c r="E2625" s="106">
        <f t="shared" ca="1" si="160"/>
        <v>0</v>
      </c>
      <c r="F2625" s="21">
        <f t="shared" ca="1" si="161"/>
        <v>0</v>
      </c>
      <c r="H2625" s="21">
        <v>2610</v>
      </c>
      <c r="I2625" s="107">
        <v>0.66780074391824862</v>
      </c>
      <c r="J2625" s="108">
        <v>1.455318413589353E-3</v>
      </c>
      <c r="K2625" s="108"/>
      <c r="L2625" s="108">
        <v>4.5199999999999997E-2</v>
      </c>
      <c r="O2625" s="105"/>
    </row>
    <row r="2626" spans="2:15" x14ac:dyDescent="0.2">
      <c r="B2626" s="1">
        <v>2611</v>
      </c>
      <c r="C2626" s="106">
        <f ca="1"/>
        <v>8.9935447487495736E-3</v>
      </c>
      <c r="D2626" s="106">
        <f t="shared" ca="1" si="159"/>
        <v>0.6650919297039648</v>
      </c>
      <c r="E2626" s="106">
        <f t="shared" ca="1" si="160"/>
        <v>0</v>
      </c>
      <c r="F2626" s="21">
        <f t="shared" ca="1" si="161"/>
        <v>0</v>
      </c>
      <c r="H2626" s="21">
        <v>2611</v>
      </c>
      <c r="I2626" s="107">
        <v>0.6677237165922596</v>
      </c>
      <c r="J2626" s="108">
        <v>1.408585887326413E-3</v>
      </c>
      <c r="K2626" s="108"/>
      <c r="L2626" s="108">
        <v>4.1200000000000001E-2</v>
      </c>
      <c r="O2626" s="105"/>
    </row>
    <row r="2627" spans="2:15" x14ac:dyDescent="0.2">
      <c r="B2627" s="1">
        <v>2612</v>
      </c>
      <c r="C2627" s="106">
        <f ca="1"/>
        <v>4.7549608261647953E-2</v>
      </c>
      <c r="D2627" s="106">
        <f t="shared" ca="1" si="159"/>
        <v>0.6676262376571952</v>
      </c>
      <c r="E2627" s="106">
        <f t="shared" ca="1" si="160"/>
        <v>0</v>
      </c>
      <c r="F2627" s="21">
        <f t="shared" ca="1" si="161"/>
        <v>0</v>
      </c>
      <c r="H2627" s="21">
        <v>2612</v>
      </c>
      <c r="I2627" s="107">
        <v>0.66788755687725521</v>
      </c>
      <c r="J2627" s="108">
        <v>1.546416562412053E-3</v>
      </c>
      <c r="K2627" s="108"/>
      <c r="L2627" s="108">
        <v>4.4400000000000002E-2</v>
      </c>
      <c r="O2627" s="105"/>
    </row>
    <row r="2628" spans="2:15" x14ac:dyDescent="0.2">
      <c r="B2628" s="1">
        <v>2613</v>
      </c>
      <c r="C2628" s="106">
        <f ca="1"/>
        <v>1.1515234849022511</v>
      </c>
      <c r="D2628" s="106">
        <f t="shared" ca="1" si="159"/>
        <v>0.74443529620110227</v>
      </c>
      <c r="E2628" s="106">
        <f t="shared" ca="1" si="160"/>
        <v>0</v>
      </c>
      <c r="F2628" s="21">
        <f t="shared" ca="1" si="161"/>
        <v>0</v>
      </c>
      <c r="H2628" s="21">
        <v>2613</v>
      </c>
      <c r="I2628" s="107">
        <v>0.66783815801116531</v>
      </c>
      <c r="J2628" s="108">
        <v>1.4271200475130133E-3</v>
      </c>
      <c r="K2628" s="108"/>
      <c r="L2628" s="108">
        <v>4.1000000000000002E-2</v>
      </c>
      <c r="O2628" s="105"/>
    </row>
    <row r="2629" spans="2:15" x14ac:dyDescent="0.2">
      <c r="B2629" s="1">
        <v>2614</v>
      </c>
      <c r="C2629" s="106">
        <f ca="1"/>
        <v>0.31092405135576329</v>
      </c>
      <c r="D2629" s="106">
        <f t="shared" ca="1" si="159"/>
        <v>0.68519817070270583</v>
      </c>
      <c r="E2629" s="106">
        <f t="shared" ca="1" si="160"/>
        <v>0</v>
      </c>
      <c r="F2629" s="21">
        <f t="shared" ca="1" si="161"/>
        <v>0</v>
      </c>
      <c r="H2629" s="21">
        <v>2614</v>
      </c>
      <c r="I2629" s="107">
        <v>0.66765817224470525</v>
      </c>
      <c r="J2629" s="108">
        <v>1.2506534457902515E-3</v>
      </c>
      <c r="K2629" s="108"/>
      <c r="L2629" s="108">
        <v>3.8399999999999997E-2</v>
      </c>
      <c r="O2629" s="105"/>
    </row>
    <row r="2630" spans="2:15" x14ac:dyDescent="0.2">
      <c r="B2630" s="1">
        <v>2615</v>
      </c>
      <c r="C2630" s="106">
        <f ca="1"/>
        <v>0.90150161928143602</v>
      </c>
      <c r="D2630" s="106">
        <f t="shared" ca="1" si="159"/>
        <v>0.72630021670960698</v>
      </c>
      <c r="E2630" s="106">
        <f t="shared" ca="1" si="160"/>
        <v>0</v>
      </c>
      <c r="F2630" s="21">
        <f t="shared" ca="1" si="161"/>
        <v>0</v>
      </c>
      <c r="H2630" s="21">
        <v>2615</v>
      </c>
      <c r="I2630" s="107">
        <v>0.66763483935959944</v>
      </c>
      <c r="J2630" s="108">
        <v>1.2840857419692249E-3</v>
      </c>
      <c r="K2630" s="108"/>
      <c r="L2630" s="108">
        <v>3.9600000000000003E-2</v>
      </c>
      <c r="O2630" s="105"/>
    </row>
    <row r="2631" spans="2:15" x14ac:dyDescent="0.2">
      <c r="B2631" s="1">
        <v>2616</v>
      </c>
      <c r="C2631" s="106">
        <f ca="1"/>
        <v>-2.452766930156276</v>
      </c>
      <c r="D2631" s="106">
        <f t="shared" ca="1" si="159"/>
        <v>0.52170064913399772</v>
      </c>
      <c r="E2631" s="106">
        <f t="shared" ca="1" si="160"/>
        <v>0</v>
      </c>
      <c r="F2631" s="21">
        <f t="shared" ca="1" si="161"/>
        <v>0</v>
      </c>
      <c r="H2631" s="21">
        <v>2616</v>
      </c>
      <c r="I2631" s="107">
        <v>0.66771274807454706</v>
      </c>
      <c r="J2631" s="108">
        <v>1.4857416180487756E-3</v>
      </c>
      <c r="K2631" s="108"/>
      <c r="L2631" s="108">
        <v>4.1200000000000001E-2</v>
      </c>
      <c r="O2631" s="105"/>
    </row>
    <row r="2632" spans="2:15" x14ac:dyDescent="0.2">
      <c r="B2632" s="1">
        <v>2617</v>
      </c>
      <c r="C2632" s="106">
        <f ca="1"/>
        <v>-0.38688535448793937</v>
      </c>
      <c r="D2632" s="106">
        <f t="shared" ca="1" si="159"/>
        <v>0.63962064075880698</v>
      </c>
      <c r="E2632" s="106">
        <f t="shared" ca="1" si="160"/>
        <v>0</v>
      </c>
      <c r="F2632" s="21">
        <f t="shared" ca="1" si="161"/>
        <v>0</v>
      </c>
      <c r="H2632" s="21">
        <v>2617</v>
      </c>
      <c r="I2632" s="107">
        <v>0.66768453133465588</v>
      </c>
      <c r="J2632" s="108">
        <v>1.3570843073290892E-3</v>
      </c>
      <c r="K2632" s="108"/>
      <c r="L2632" s="108">
        <v>3.8800000000000001E-2</v>
      </c>
      <c r="O2632" s="105"/>
    </row>
    <row r="2633" spans="2:15" x14ac:dyDescent="0.2">
      <c r="B2633" s="1">
        <v>2618</v>
      </c>
      <c r="C2633" s="106">
        <f ca="1"/>
        <v>-1.0202682854475307</v>
      </c>
      <c r="D2633" s="106">
        <f t="shared" ca="1" si="159"/>
        <v>0.60088136543466431</v>
      </c>
      <c r="E2633" s="106">
        <f t="shared" ca="1" si="160"/>
        <v>0</v>
      </c>
      <c r="F2633" s="21">
        <f t="shared" ca="1" si="161"/>
        <v>0</v>
      </c>
      <c r="H2633" s="21">
        <v>2618</v>
      </c>
      <c r="I2633" s="107">
        <v>0.66777890243902971</v>
      </c>
      <c r="J2633" s="108">
        <v>1.3444695121958045E-3</v>
      </c>
      <c r="K2633" s="108"/>
      <c r="L2633" s="108">
        <v>4.1200000000000001E-2</v>
      </c>
      <c r="O2633" s="105"/>
    </row>
    <row r="2634" spans="2:15" x14ac:dyDescent="0.2">
      <c r="B2634" s="1">
        <v>2619</v>
      </c>
      <c r="C2634" s="106">
        <f ca="1"/>
        <v>-1.6793363639243857</v>
      </c>
      <c r="D2634" s="106">
        <f t="shared" ca="1" si="159"/>
        <v>0.5630599866770204</v>
      </c>
      <c r="E2634" s="106">
        <f t="shared" ca="1" si="160"/>
        <v>0</v>
      </c>
      <c r="F2634" s="21">
        <f t="shared" ca="1" si="161"/>
        <v>0</v>
      </c>
      <c r="H2634" s="21">
        <v>2619</v>
      </c>
      <c r="I2634" s="107">
        <v>0.66770339367827869</v>
      </c>
      <c r="J2634" s="108">
        <v>1.3339195637345974E-3</v>
      </c>
      <c r="K2634" s="108"/>
      <c r="L2634" s="108">
        <v>3.8800000000000001E-2</v>
      </c>
      <c r="O2634" s="105"/>
    </row>
    <row r="2635" spans="2:15" x14ac:dyDescent="0.2">
      <c r="B2635" s="1">
        <v>2620</v>
      </c>
      <c r="C2635" s="106">
        <f ca="1"/>
        <v>-0.20456439841538668</v>
      </c>
      <c r="D2635" s="106">
        <f t="shared" ca="1" si="159"/>
        <v>0.65122788363163908</v>
      </c>
      <c r="E2635" s="106">
        <f t="shared" ca="1" si="160"/>
        <v>0</v>
      </c>
      <c r="F2635" s="21">
        <f t="shared" ca="1" si="161"/>
        <v>0</v>
      </c>
      <c r="H2635" s="21">
        <v>2620</v>
      </c>
      <c r="I2635" s="107">
        <v>0.66772339448633433</v>
      </c>
      <c r="J2635" s="108">
        <v>1.2788812382415959E-3</v>
      </c>
      <c r="K2635" s="108"/>
      <c r="L2635" s="108">
        <v>3.9199999999999999E-2</v>
      </c>
      <c r="O2635" s="105"/>
    </row>
    <row r="2636" spans="2:15" x14ac:dyDescent="0.2">
      <c r="B2636" s="1">
        <v>2621</v>
      </c>
      <c r="C2636" s="106">
        <f ca="1"/>
        <v>-2.3279850996055425</v>
      </c>
      <c r="D2636" s="106">
        <f t="shared" ca="1" si="159"/>
        <v>0.52816175950805944</v>
      </c>
      <c r="E2636" s="106">
        <f t="shared" ca="1" si="160"/>
        <v>0</v>
      </c>
      <c r="F2636" s="21">
        <f t="shared" ca="1" si="161"/>
        <v>0</v>
      </c>
      <c r="H2636" s="21">
        <v>2621</v>
      </c>
      <c r="I2636" s="107">
        <v>0.66781581246134591</v>
      </c>
      <c r="J2636" s="108">
        <v>1.4226328617315187E-3</v>
      </c>
      <c r="K2636" s="108"/>
      <c r="L2636" s="108">
        <v>4.0599999999999997E-2</v>
      </c>
      <c r="O2636" s="105"/>
    </row>
    <row r="2637" spans="2:15" x14ac:dyDescent="0.2">
      <c r="B2637" s="1">
        <v>2622</v>
      </c>
      <c r="C2637" s="106">
        <f ca="1"/>
        <v>-0.57394272712540662</v>
      </c>
      <c r="D2637" s="106">
        <f t="shared" ca="1" si="159"/>
        <v>0.62792684106520635</v>
      </c>
      <c r="E2637" s="106">
        <f t="shared" ca="1" si="160"/>
        <v>0</v>
      </c>
      <c r="F2637" s="21">
        <f t="shared" ca="1" si="161"/>
        <v>0</v>
      </c>
      <c r="H2637" s="21">
        <v>2622</v>
      </c>
      <c r="I2637" s="107">
        <v>0.66777445318437023</v>
      </c>
      <c r="J2637" s="108">
        <v>1.388241070827523E-3</v>
      </c>
      <c r="K2637" s="108"/>
      <c r="L2637" s="108">
        <v>4.6199999999999998E-2</v>
      </c>
      <c r="O2637" s="105"/>
    </row>
    <row r="2638" spans="2:15" x14ac:dyDescent="0.2">
      <c r="B2638" s="1">
        <v>2623</v>
      </c>
      <c r="C2638" s="106">
        <f ca="1"/>
        <v>1.49501128126756</v>
      </c>
      <c r="D2638" s="106">
        <f t="shared" ca="1" si="159"/>
        <v>0.77009049267749763</v>
      </c>
      <c r="E2638" s="106">
        <f t="shared" ca="1" si="160"/>
        <v>0</v>
      </c>
      <c r="F2638" s="21">
        <f t="shared" ca="1" si="161"/>
        <v>0</v>
      </c>
      <c r="H2638" s="21">
        <v>2623</v>
      </c>
      <c r="I2638" s="107">
        <v>0.6676697354577763</v>
      </c>
      <c r="J2638" s="108">
        <v>1.3771555206465024E-3</v>
      </c>
      <c r="K2638" s="108"/>
      <c r="L2638" s="108">
        <v>3.9399999999999998E-2</v>
      </c>
      <c r="O2638" s="105"/>
    </row>
    <row r="2639" spans="2:15" x14ac:dyDescent="0.2">
      <c r="B2639" s="1">
        <v>2624</v>
      </c>
      <c r="C2639" s="106">
        <f ca="1"/>
        <v>0.6683914169235029</v>
      </c>
      <c r="D2639" s="106">
        <f t="shared" ca="1" si="159"/>
        <v>0.70978999995678771</v>
      </c>
      <c r="E2639" s="106">
        <f t="shared" ca="1" si="160"/>
        <v>0</v>
      </c>
      <c r="F2639" s="21">
        <f t="shared" ca="1" si="161"/>
        <v>0</v>
      </c>
      <c r="H2639" s="21">
        <v>2624</v>
      </c>
      <c r="I2639" s="107">
        <v>0.66783592252452151</v>
      </c>
      <c r="J2639" s="108">
        <v>1.4381869823349536E-3</v>
      </c>
      <c r="K2639" s="108"/>
      <c r="L2639" s="108">
        <v>4.4400000000000002E-2</v>
      </c>
      <c r="O2639" s="105"/>
    </row>
    <row r="2640" spans="2:15" x14ac:dyDescent="0.2">
      <c r="B2640" s="1">
        <v>2625</v>
      </c>
      <c r="C2640" s="106">
        <f ca="1"/>
        <v>-0.48485028534526053</v>
      </c>
      <c r="D2640" s="106">
        <f t="shared" ref="D2640:D2703" ca="1" si="162">S0*EXP((μ-0.5*σ*σ)*T+σ*SQRT(T)*$C2640)</f>
        <v>0.63346950491491649</v>
      </c>
      <c r="E2640" s="106">
        <f t="shared" ref="E2640:E2703" ca="1" si="163">MAX(0,CP*(D2640-K))</f>
        <v>0</v>
      </c>
      <c r="F2640" s="21">
        <f t="shared" ref="F2640:F2703" ca="1" si="164">(CP*(D2640-K)&gt;0)*1</f>
        <v>0</v>
      </c>
      <c r="H2640" s="21">
        <v>2625</v>
      </c>
      <c r="I2640" s="107">
        <v>0.66775222535192136</v>
      </c>
      <c r="J2640" s="108">
        <v>1.3948826730013596E-3</v>
      </c>
      <c r="K2640" s="108"/>
      <c r="L2640" s="108">
        <v>4.2599999999999999E-2</v>
      </c>
      <c r="O2640" s="105"/>
    </row>
    <row r="2641" spans="2:15" x14ac:dyDescent="0.2">
      <c r="B2641" s="1">
        <v>2626</v>
      </c>
      <c r="C2641" s="106">
        <f ca="1"/>
        <v>5.5630903738653934E-4</v>
      </c>
      <c r="D2641" s="106">
        <f t="shared" ca="1" si="162"/>
        <v>0.6645386304935218</v>
      </c>
      <c r="E2641" s="106">
        <f t="shared" ca="1" si="163"/>
        <v>0</v>
      </c>
      <c r="F2641" s="21">
        <f t="shared" ca="1" si="164"/>
        <v>0</v>
      </c>
      <c r="H2641" s="21">
        <v>2626</v>
      </c>
      <c r="I2641" s="107">
        <v>0.66768215514598472</v>
      </c>
      <c r="J2641" s="108">
        <v>1.3503794191443512E-3</v>
      </c>
      <c r="K2641" s="108"/>
      <c r="L2641" s="108">
        <v>3.9600000000000003E-2</v>
      </c>
      <c r="O2641" s="105"/>
    </row>
    <row r="2642" spans="2:15" x14ac:dyDescent="0.2">
      <c r="B2642" s="1">
        <v>2627</v>
      </c>
      <c r="C2642" s="106">
        <f ca="1"/>
        <v>0.14620189300976627</v>
      </c>
      <c r="D2642" s="106">
        <f t="shared" ca="1" si="162"/>
        <v>0.67415475045278728</v>
      </c>
      <c r="E2642" s="106">
        <f t="shared" ca="1" si="163"/>
        <v>0</v>
      </c>
      <c r="F2642" s="21">
        <f t="shared" ca="1" si="164"/>
        <v>0</v>
      </c>
      <c r="H2642" s="21">
        <v>2627</v>
      </c>
      <c r="I2642" s="107">
        <v>0.66775689647840486</v>
      </c>
      <c r="J2642" s="108">
        <v>1.3849648142850131E-3</v>
      </c>
      <c r="K2642" s="108"/>
      <c r="L2642" s="108">
        <v>4.2599999999999999E-2</v>
      </c>
      <c r="O2642" s="105"/>
    </row>
    <row r="2643" spans="2:15" x14ac:dyDescent="0.2">
      <c r="B2643" s="1">
        <v>2628</v>
      </c>
      <c r="C2643" s="106">
        <f ca="1"/>
        <v>1.5504939801706934</v>
      </c>
      <c r="D2643" s="106">
        <f t="shared" ca="1" si="162"/>
        <v>0.77431666503904706</v>
      </c>
      <c r="E2643" s="106">
        <f t="shared" ca="1" si="163"/>
        <v>0</v>
      </c>
      <c r="F2643" s="21">
        <f t="shared" ca="1" si="164"/>
        <v>0</v>
      </c>
      <c r="H2643" s="21">
        <v>2628</v>
      </c>
      <c r="I2643" s="107">
        <v>0.66780119657128068</v>
      </c>
      <c r="J2643" s="108">
        <v>1.4790589788732816E-3</v>
      </c>
      <c r="K2643" s="108"/>
      <c r="L2643" s="108">
        <v>4.3200000000000002E-2</v>
      </c>
      <c r="O2643" s="105"/>
    </row>
    <row r="2644" spans="2:15" x14ac:dyDescent="0.2">
      <c r="B2644" s="1">
        <v>2629</v>
      </c>
      <c r="C2644" s="106">
        <f ca="1"/>
        <v>0.57042992409103077</v>
      </c>
      <c r="D2644" s="106">
        <f t="shared" ca="1" si="162"/>
        <v>0.70296429429876517</v>
      </c>
      <c r="E2644" s="106">
        <f t="shared" ca="1" si="163"/>
        <v>0</v>
      </c>
      <c r="F2644" s="21">
        <f t="shared" ca="1" si="164"/>
        <v>0</v>
      </c>
      <c r="H2644" s="21">
        <v>2629</v>
      </c>
      <c r="I2644" s="107">
        <v>0.66781163442430502</v>
      </c>
      <c r="J2644" s="108">
        <v>1.4991482015035834E-3</v>
      </c>
      <c r="K2644" s="108"/>
      <c r="L2644" s="108">
        <v>4.0800000000000003E-2</v>
      </c>
      <c r="O2644" s="105"/>
    </row>
    <row r="2645" spans="2:15" x14ac:dyDescent="0.2">
      <c r="B2645" s="1">
        <v>2630</v>
      </c>
      <c r="C2645" s="106">
        <f ca="1"/>
        <v>-0.84467214799096058</v>
      </c>
      <c r="D2645" s="106">
        <f t="shared" ca="1" si="162"/>
        <v>0.61137991346050569</v>
      </c>
      <c r="E2645" s="106">
        <f t="shared" ca="1" si="163"/>
        <v>0</v>
      </c>
      <c r="F2645" s="21">
        <f t="shared" ca="1" si="164"/>
        <v>0</v>
      </c>
      <c r="H2645" s="21">
        <v>2630</v>
      </c>
      <c r="I2645" s="107">
        <v>0.66781834897874548</v>
      </c>
      <c r="J2645" s="108">
        <v>1.6479870403304786E-3</v>
      </c>
      <c r="K2645" s="108"/>
      <c r="L2645" s="108">
        <v>4.5199999999999997E-2</v>
      </c>
      <c r="O2645" s="105"/>
    </row>
    <row r="2646" spans="2:15" x14ac:dyDescent="0.2">
      <c r="B2646" s="1">
        <v>2631</v>
      </c>
      <c r="C2646" s="106">
        <f ca="1"/>
        <v>-1.3790651606532973</v>
      </c>
      <c r="D2646" s="106">
        <f t="shared" ca="1" si="162"/>
        <v>0.57998678588016694</v>
      </c>
      <c r="E2646" s="106">
        <f t="shared" ca="1" si="163"/>
        <v>0</v>
      </c>
      <c r="F2646" s="21">
        <f t="shared" ca="1" si="164"/>
        <v>0</v>
      </c>
      <c r="H2646" s="21">
        <v>2631</v>
      </c>
      <c r="I2646" s="107">
        <v>0.66765422733900526</v>
      </c>
      <c r="J2646" s="108">
        <v>1.4218084882380634E-3</v>
      </c>
      <c r="K2646" s="108"/>
      <c r="L2646" s="108">
        <v>4.1799999999999997E-2</v>
      </c>
      <c r="O2646" s="105"/>
    </row>
    <row r="2647" spans="2:15" x14ac:dyDescent="0.2">
      <c r="B2647" s="1">
        <v>2632</v>
      </c>
      <c r="C2647" s="106">
        <f ca="1"/>
        <v>-0.62330680320787946</v>
      </c>
      <c r="D2647" s="106">
        <f t="shared" ca="1" si="162"/>
        <v>0.62487668523970952</v>
      </c>
      <c r="E2647" s="106">
        <f t="shared" ca="1" si="163"/>
        <v>0</v>
      </c>
      <c r="F2647" s="21">
        <f t="shared" ca="1" si="164"/>
        <v>0</v>
      </c>
      <c r="H2647" s="21">
        <v>2632</v>
      </c>
      <c r="I2647" s="107">
        <v>0.66778042663419757</v>
      </c>
      <c r="J2647" s="108">
        <v>1.463886184897249E-3</v>
      </c>
      <c r="K2647" s="108"/>
      <c r="L2647" s="108">
        <v>4.2000000000000003E-2</v>
      </c>
      <c r="O2647" s="105"/>
    </row>
    <row r="2648" spans="2:15" x14ac:dyDescent="0.2">
      <c r="B2648" s="1">
        <v>2633</v>
      </c>
      <c r="C2648" s="106">
        <f ca="1"/>
        <v>0.85620822112353101</v>
      </c>
      <c r="D2648" s="106">
        <f t="shared" ca="1" si="162"/>
        <v>0.72306249013381441</v>
      </c>
      <c r="E2648" s="106">
        <f t="shared" ca="1" si="163"/>
        <v>0</v>
      </c>
      <c r="F2648" s="21">
        <f t="shared" ca="1" si="164"/>
        <v>0</v>
      </c>
      <c r="H2648" s="21">
        <v>2633</v>
      </c>
      <c r="I2648" s="107">
        <v>0.66774919595444504</v>
      </c>
      <c r="J2648" s="108">
        <v>1.358895710695706E-3</v>
      </c>
      <c r="K2648" s="108"/>
      <c r="L2648" s="108">
        <v>4.2599999999999999E-2</v>
      </c>
      <c r="O2648" s="105"/>
    </row>
    <row r="2649" spans="2:15" x14ac:dyDescent="0.2">
      <c r="B2649" s="1">
        <v>2634</v>
      </c>
      <c r="C2649" s="106">
        <f ca="1"/>
        <v>1.3411250247226869</v>
      </c>
      <c r="D2649" s="106">
        <f t="shared" ca="1" si="162"/>
        <v>0.75848914423519775</v>
      </c>
      <c r="E2649" s="106">
        <f t="shared" ca="1" si="163"/>
        <v>0</v>
      </c>
      <c r="F2649" s="21">
        <f t="shared" ca="1" si="164"/>
        <v>0</v>
      </c>
      <c r="H2649" s="21">
        <v>2634</v>
      </c>
      <c r="I2649" s="107">
        <v>0.66766305566760031</v>
      </c>
      <c r="J2649" s="108">
        <v>1.2825023766062959E-3</v>
      </c>
      <c r="K2649" s="108"/>
      <c r="L2649" s="108">
        <v>3.8600000000000002E-2</v>
      </c>
      <c r="O2649" s="105"/>
    </row>
    <row r="2650" spans="2:15" x14ac:dyDescent="0.2">
      <c r="B2650" s="1">
        <v>2635</v>
      </c>
      <c r="C2650" s="106">
        <f ca="1"/>
        <v>-1.2978797151212536</v>
      </c>
      <c r="D2650" s="106">
        <f t="shared" ca="1" si="162"/>
        <v>0.58465010682116247</v>
      </c>
      <c r="E2650" s="106">
        <f t="shared" ca="1" si="163"/>
        <v>0</v>
      </c>
      <c r="F2650" s="21">
        <f t="shared" ca="1" si="164"/>
        <v>0</v>
      </c>
      <c r="H2650" s="21">
        <v>2635</v>
      </c>
      <c r="I2650" s="107">
        <v>0.66781040256864133</v>
      </c>
      <c r="J2650" s="108">
        <v>1.3816590134955941E-3</v>
      </c>
      <c r="K2650" s="108"/>
      <c r="L2650" s="108">
        <v>4.1399999999999999E-2</v>
      </c>
      <c r="O2650" s="105"/>
    </row>
    <row r="2651" spans="2:15" x14ac:dyDescent="0.2">
      <c r="B2651" s="1">
        <v>2636</v>
      </c>
      <c r="C2651" s="106">
        <f ca="1"/>
        <v>4.3890018443963369E-2</v>
      </c>
      <c r="D2651" s="106">
        <f t="shared" ca="1" si="162"/>
        <v>0.66738527689826643</v>
      </c>
      <c r="E2651" s="106">
        <f t="shared" ca="1" si="163"/>
        <v>0</v>
      </c>
      <c r="F2651" s="21">
        <f t="shared" ca="1" si="164"/>
        <v>0</v>
      </c>
      <c r="H2651" s="21">
        <v>2636</v>
      </c>
      <c r="I2651" s="107">
        <v>0.66787395942307459</v>
      </c>
      <c r="J2651" s="108">
        <v>1.5177799955029304E-3</v>
      </c>
      <c r="K2651" s="108"/>
      <c r="L2651" s="108">
        <v>4.58E-2</v>
      </c>
      <c r="O2651" s="105"/>
    </row>
    <row r="2652" spans="2:15" x14ac:dyDescent="0.2">
      <c r="B2652" s="1">
        <v>2637</v>
      </c>
      <c r="C2652" s="106">
        <f ca="1"/>
        <v>-1.7323244679258378</v>
      </c>
      <c r="D2652" s="106">
        <f t="shared" ca="1" si="162"/>
        <v>0.56012465317114002</v>
      </c>
      <c r="E2652" s="106">
        <f t="shared" ca="1" si="163"/>
        <v>0</v>
      </c>
      <c r="F2652" s="21">
        <f t="shared" ca="1" si="164"/>
        <v>0</v>
      </c>
      <c r="H2652" s="21">
        <v>2637</v>
      </c>
      <c r="I2652" s="107">
        <v>0.66767717815543826</v>
      </c>
      <c r="J2652" s="108">
        <v>1.3019735699932881E-3</v>
      </c>
      <c r="K2652" s="108"/>
      <c r="L2652" s="108">
        <v>3.7199999999999997E-2</v>
      </c>
      <c r="O2652" s="105"/>
    </row>
    <row r="2653" spans="2:15" x14ac:dyDescent="0.2">
      <c r="B2653" s="1">
        <v>2638</v>
      </c>
      <c r="C2653" s="106">
        <f ca="1"/>
        <v>-0.46055015483508382</v>
      </c>
      <c r="D2653" s="106">
        <f t="shared" ca="1" si="162"/>
        <v>0.63498975075922404</v>
      </c>
      <c r="E2653" s="106">
        <f t="shared" ca="1" si="163"/>
        <v>0</v>
      </c>
      <c r="F2653" s="21">
        <f t="shared" ca="1" si="164"/>
        <v>0</v>
      </c>
      <c r="H2653" s="21">
        <v>2638</v>
      </c>
      <c r="I2653" s="107">
        <v>0.66789098291181603</v>
      </c>
      <c r="J2653" s="108">
        <v>1.511736805025761E-3</v>
      </c>
      <c r="K2653" s="108"/>
      <c r="L2653" s="108">
        <v>4.3200000000000002E-2</v>
      </c>
      <c r="O2653" s="105"/>
    </row>
    <row r="2654" spans="2:15" x14ac:dyDescent="0.2">
      <c r="B2654" s="1">
        <v>2639</v>
      </c>
      <c r="C2654" s="106">
        <f ca="1"/>
        <v>-1.3212608563193577</v>
      </c>
      <c r="D2654" s="106">
        <f t="shared" ca="1" si="162"/>
        <v>0.58330325468927224</v>
      </c>
      <c r="E2654" s="106">
        <f t="shared" ca="1" si="163"/>
        <v>0</v>
      </c>
      <c r="F2654" s="21">
        <f t="shared" ca="1" si="164"/>
        <v>0</v>
      </c>
      <c r="H2654" s="21">
        <v>2639</v>
      </c>
      <c r="I2654" s="107">
        <v>0.66772185853946753</v>
      </c>
      <c r="J2654" s="108">
        <v>1.30642926363541E-3</v>
      </c>
      <c r="K2654" s="108"/>
      <c r="L2654" s="108">
        <v>3.9399999999999998E-2</v>
      </c>
      <c r="O2654" s="105"/>
    </row>
    <row r="2655" spans="2:15" x14ac:dyDescent="0.2">
      <c r="B2655" s="1">
        <v>2640</v>
      </c>
      <c r="C2655" s="106">
        <f ca="1"/>
        <v>0.84860655844310073</v>
      </c>
      <c r="D2655" s="106">
        <f t="shared" ca="1" si="162"/>
        <v>0.72252051356373437</v>
      </c>
      <c r="E2655" s="106">
        <f t="shared" ca="1" si="163"/>
        <v>0</v>
      </c>
      <c r="F2655" s="21">
        <f t="shared" ca="1" si="164"/>
        <v>0</v>
      </c>
      <c r="H2655" s="21">
        <v>2640</v>
      </c>
      <c r="I2655" s="107">
        <v>0.6676032524247153</v>
      </c>
      <c r="J2655" s="108">
        <v>1.1843306446401554E-3</v>
      </c>
      <c r="K2655" s="108"/>
      <c r="L2655" s="108">
        <v>3.9399999999999998E-2</v>
      </c>
      <c r="O2655" s="105"/>
    </row>
    <row r="2656" spans="2:15" x14ac:dyDescent="0.2">
      <c r="B2656" s="1">
        <v>2641</v>
      </c>
      <c r="C2656" s="106">
        <f ca="1"/>
        <v>-1.6376232546321015</v>
      </c>
      <c r="D2656" s="106">
        <f t="shared" ca="1" si="162"/>
        <v>0.56538154670727614</v>
      </c>
      <c r="E2656" s="106">
        <f t="shared" ca="1" si="163"/>
        <v>0</v>
      </c>
      <c r="F2656" s="21">
        <f t="shared" ca="1" si="164"/>
        <v>0</v>
      </c>
      <c r="H2656" s="21">
        <v>2641</v>
      </c>
      <c r="I2656" s="107">
        <v>0.66796459556820964</v>
      </c>
      <c r="J2656" s="108">
        <v>1.6979678572804338E-3</v>
      </c>
      <c r="K2656" s="108"/>
      <c r="L2656" s="108">
        <v>4.6800000000000001E-2</v>
      </c>
      <c r="O2656" s="105"/>
    </row>
    <row r="2657" spans="2:15" x14ac:dyDescent="0.2">
      <c r="B2657" s="1">
        <v>2642</v>
      </c>
      <c r="C2657" s="106">
        <f ca="1"/>
        <v>-1.496897663115714</v>
      </c>
      <c r="D2657" s="106">
        <f t="shared" ca="1" si="162"/>
        <v>0.57328453609469143</v>
      </c>
      <c r="E2657" s="106">
        <f t="shared" ca="1" si="163"/>
        <v>0</v>
      </c>
      <c r="F2657" s="21">
        <f t="shared" ca="1" si="164"/>
        <v>0</v>
      </c>
      <c r="H2657" s="21">
        <v>2642</v>
      </c>
      <c r="I2657" s="107">
        <v>0.6677137608688597</v>
      </c>
      <c r="J2657" s="108">
        <v>1.3403204442638695E-3</v>
      </c>
      <c r="K2657" s="108"/>
      <c r="L2657" s="108">
        <v>4.0599999999999997E-2</v>
      </c>
      <c r="O2657" s="105"/>
    </row>
    <row r="2658" spans="2:15" x14ac:dyDescent="0.2">
      <c r="B2658" s="1">
        <v>2643</v>
      </c>
      <c r="C2658" s="106">
        <f ca="1"/>
        <v>0.17253625446370027</v>
      </c>
      <c r="D2658" s="106">
        <f t="shared" ca="1" si="162"/>
        <v>0.67590824931337412</v>
      </c>
      <c r="E2658" s="106">
        <f t="shared" ca="1" si="163"/>
        <v>0</v>
      </c>
      <c r="F2658" s="21">
        <f t="shared" ca="1" si="164"/>
        <v>0</v>
      </c>
      <c r="H2658" s="21">
        <v>2643</v>
      </c>
      <c r="I2658" s="107">
        <v>0.66796832443898546</v>
      </c>
      <c r="J2658" s="108">
        <v>1.7236797352459163E-3</v>
      </c>
      <c r="K2658" s="108"/>
      <c r="L2658" s="108">
        <v>4.5400000000000003E-2</v>
      </c>
      <c r="O2658" s="105"/>
    </row>
    <row r="2659" spans="2:15" x14ac:dyDescent="0.2">
      <c r="B2659" s="1">
        <v>2644</v>
      </c>
      <c r="C2659" s="106">
        <f ca="1"/>
        <v>-0.36374708750985973</v>
      </c>
      <c r="D2659" s="106">
        <f t="shared" ca="1" si="162"/>
        <v>0.64108217134138001</v>
      </c>
      <c r="E2659" s="106">
        <f t="shared" ca="1" si="163"/>
        <v>0</v>
      </c>
      <c r="F2659" s="21">
        <f t="shared" ca="1" si="164"/>
        <v>0</v>
      </c>
      <c r="H2659" s="21">
        <v>2644</v>
      </c>
      <c r="I2659" s="107">
        <v>0.66766679652541439</v>
      </c>
      <c r="J2659" s="108">
        <v>1.2805118877263545E-3</v>
      </c>
      <c r="K2659" s="108"/>
      <c r="L2659" s="108">
        <v>3.8800000000000001E-2</v>
      </c>
      <c r="O2659" s="105"/>
    </row>
    <row r="2660" spans="2:15" x14ac:dyDescent="0.2">
      <c r="B2660" s="1">
        <v>2645</v>
      </c>
      <c r="C2660" s="106">
        <f ca="1"/>
        <v>-0.50933370548588575</v>
      </c>
      <c r="D2660" s="106">
        <f t="shared" ca="1" si="162"/>
        <v>0.63194147316936045</v>
      </c>
      <c r="E2660" s="106">
        <f t="shared" ca="1" si="163"/>
        <v>0</v>
      </c>
      <c r="F2660" s="21">
        <f t="shared" ca="1" si="164"/>
        <v>0</v>
      </c>
      <c r="H2660" s="21">
        <v>2645</v>
      </c>
      <c r="I2660" s="107">
        <v>0.66776682737472992</v>
      </c>
      <c r="J2660" s="108">
        <v>1.4863652325845817E-3</v>
      </c>
      <c r="K2660" s="108"/>
      <c r="L2660" s="108">
        <v>4.36E-2</v>
      </c>
      <c r="O2660" s="105"/>
    </row>
    <row r="2661" spans="2:15" x14ac:dyDescent="0.2">
      <c r="B2661" s="1">
        <v>2646</v>
      </c>
      <c r="C2661" s="106">
        <f ca="1"/>
        <v>-1.9279647782552509</v>
      </c>
      <c r="D2661" s="106">
        <f t="shared" ca="1" si="162"/>
        <v>0.54941887807186651</v>
      </c>
      <c r="E2661" s="106">
        <f t="shared" ca="1" si="163"/>
        <v>0</v>
      </c>
      <c r="F2661" s="21">
        <f t="shared" ca="1" si="164"/>
        <v>0</v>
      </c>
      <c r="H2661" s="21">
        <v>2646</v>
      </c>
      <c r="I2661" s="107">
        <v>0.66772203932849927</v>
      </c>
      <c r="J2661" s="108">
        <v>1.4595119550700219E-3</v>
      </c>
      <c r="K2661" s="108"/>
      <c r="L2661" s="108">
        <v>4.1799999999999997E-2</v>
      </c>
      <c r="O2661" s="105"/>
    </row>
    <row r="2662" spans="2:15" x14ac:dyDescent="0.2">
      <c r="B2662" s="1">
        <v>2647</v>
      </c>
      <c r="C2662" s="106">
        <f ca="1"/>
        <v>0.12165102106861934</v>
      </c>
      <c r="D2662" s="106">
        <f t="shared" ca="1" si="162"/>
        <v>0.67252410458288825</v>
      </c>
      <c r="E2662" s="106">
        <f t="shared" ca="1" si="163"/>
        <v>0</v>
      </c>
      <c r="F2662" s="21">
        <f t="shared" ca="1" si="164"/>
        <v>0</v>
      </c>
      <c r="H2662" s="21">
        <v>2647</v>
      </c>
      <c r="I2662" s="107">
        <v>0.6677361064151548</v>
      </c>
      <c r="J2662" s="108">
        <v>1.4711280625904425E-3</v>
      </c>
      <c r="K2662" s="108"/>
      <c r="L2662" s="108">
        <v>4.2799999999999998E-2</v>
      </c>
      <c r="O2662" s="105"/>
    </row>
    <row r="2663" spans="2:15" x14ac:dyDescent="0.2">
      <c r="B2663" s="1">
        <v>2648</v>
      </c>
      <c r="C2663" s="106">
        <f ca="1"/>
        <v>-6.8797615842344242E-2</v>
      </c>
      <c r="D2663" s="106">
        <f t="shared" ca="1" si="162"/>
        <v>0.66000792864335289</v>
      </c>
      <c r="E2663" s="106">
        <f t="shared" ca="1" si="163"/>
        <v>0</v>
      </c>
      <c r="F2663" s="21">
        <f t="shared" ca="1" si="164"/>
        <v>0</v>
      </c>
      <c r="H2663" s="21">
        <v>2648</v>
      </c>
      <c r="I2663" s="107">
        <v>0.66791495237107124</v>
      </c>
      <c r="J2663" s="108">
        <v>1.4691976316984967E-3</v>
      </c>
      <c r="K2663" s="108"/>
      <c r="L2663" s="108">
        <v>4.5199999999999997E-2</v>
      </c>
      <c r="O2663" s="105"/>
    </row>
    <row r="2664" spans="2:15" x14ac:dyDescent="0.2">
      <c r="B2664" s="1">
        <v>2649</v>
      </c>
      <c r="C2664" s="106">
        <f ca="1"/>
        <v>-0.51169916836887208</v>
      </c>
      <c r="D2664" s="106">
        <f t="shared" ca="1" si="162"/>
        <v>0.63179403795340938</v>
      </c>
      <c r="E2664" s="106">
        <f t="shared" ca="1" si="163"/>
        <v>0</v>
      </c>
      <c r="F2664" s="21">
        <f t="shared" ca="1" si="164"/>
        <v>0</v>
      </c>
      <c r="H2664" s="21">
        <v>2649</v>
      </c>
      <c r="I2664" s="107">
        <v>0.66785479817113924</v>
      </c>
      <c r="J2664" s="108">
        <v>1.4617647841465042E-3</v>
      </c>
      <c r="K2664" s="108"/>
      <c r="L2664" s="108">
        <v>4.6800000000000001E-2</v>
      </c>
      <c r="O2664" s="105"/>
    </row>
    <row r="2665" spans="2:15" x14ac:dyDescent="0.2">
      <c r="B2665" s="1">
        <v>2650</v>
      </c>
      <c r="C2665" s="106">
        <f ca="1"/>
        <v>-1.461066996191297</v>
      </c>
      <c r="D2665" s="106">
        <f t="shared" ca="1" si="162"/>
        <v>0.57531432898783419</v>
      </c>
      <c r="E2665" s="106">
        <f t="shared" ca="1" si="163"/>
        <v>0</v>
      </c>
      <c r="F2665" s="21">
        <f t="shared" ca="1" si="164"/>
        <v>0</v>
      </c>
      <c r="H2665" s="21">
        <v>2650</v>
      </c>
      <c r="I2665" s="107">
        <v>0.66780474295805048</v>
      </c>
      <c r="J2665" s="108">
        <v>1.3938742558441701E-3</v>
      </c>
      <c r="K2665" s="108"/>
      <c r="L2665" s="108">
        <v>4.4600000000000001E-2</v>
      </c>
      <c r="O2665" s="105"/>
    </row>
    <row r="2666" spans="2:15" x14ac:dyDescent="0.2">
      <c r="B2666" s="1">
        <v>2651</v>
      </c>
      <c r="C2666" s="106">
        <f ca="1"/>
        <v>-1.4568005198833236</v>
      </c>
      <c r="D2666" s="106">
        <f t="shared" ca="1" si="162"/>
        <v>0.57555650148478188</v>
      </c>
      <c r="E2666" s="106">
        <f t="shared" ca="1" si="163"/>
        <v>0</v>
      </c>
      <c r="F2666" s="21">
        <f t="shared" ca="1" si="164"/>
        <v>0</v>
      </c>
      <c r="H2666" s="21">
        <v>2651</v>
      </c>
      <c r="I2666" s="107">
        <v>0.66764285337390039</v>
      </c>
      <c r="J2666" s="108">
        <v>1.2427974252745859E-3</v>
      </c>
      <c r="K2666" s="108"/>
      <c r="L2666" s="108">
        <v>3.8199999999999998E-2</v>
      </c>
      <c r="O2666" s="105"/>
    </row>
    <row r="2667" spans="2:15" x14ac:dyDescent="0.2">
      <c r="B2667" s="1">
        <v>2652</v>
      </c>
      <c r="C2667" s="106">
        <f ca="1"/>
        <v>-0.31741035697530989</v>
      </c>
      <c r="D2667" s="106">
        <f t="shared" ca="1" si="162"/>
        <v>0.64401908300235788</v>
      </c>
      <c r="E2667" s="106">
        <f t="shared" ca="1" si="163"/>
        <v>0</v>
      </c>
      <c r="F2667" s="21">
        <f t="shared" ca="1" si="164"/>
        <v>0</v>
      </c>
      <c r="H2667" s="21">
        <v>2652</v>
      </c>
      <c r="I2667" s="107">
        <v>0.66769809067462382</v>
      </c>
      <c r="J2667" s="108">
        <v>1.2621933411065796E-3</v>
      </c>
      <c r="K2667" s="108"/>
      <c r="L2667" s="108">
        <v>3.9199999999999999E-2</v>
      </c>
      <c r="O2667" s="105"/>
    </row>
    <row r="2668" spans="2:15" x14ac:dyDescent="0.2">
      <c r="B2668" s="1">
        <v>2653</v>
      </c>
      <c r="C2668" s="106">
        <f ca="1"/>
        <v>-1.3966964414312357</v>
      </c>
      <c r="D2668" s="106">
        <f t="shared" ca="1" si="162"/>
        <v>0.57897896521472025</v>
      </c>
      <c r="E2668" s="106">
        <f t="shared" ca="1" si="163"/>
        <v>0</v>
      </c>
      <c r="F2668" s="21">
        <f t="shared" ca="1" si="164"/>
        <v>0</v>
      </c>
      <c r="H2668" s="21">
        <v>2653</v>
      </c>
      <c r="I2668" s="107">
        <v>0.66772932988922618</v>
      </c>
      <c r="J2668" s="108">
        <v>1.3304260960989775E-3</v>
      </c>
      <c r="K2668" s="108"/>
      <c r="L2668" s="108">
        <v>4.1599999999999998E-2</v>
      </c>
      <c r="O2668" s="105"/>
    </row>
    <row r="2669" spans="2:15" x14ac:dyDescent="0.2">
      <c r="B2669" s="1">
        <v>2654</v>
      </c>
      <c r="C2669" s="106">
        <f ca="1"/>
        <v>0.61800202982617025</v>
      </c>
      <c r="D2669" s="106">
        <f t="shared" ca="1" si="162"/>
        <v>0.70627075923010574</v>
      </c>
      <c r="E2669" s="106">
        <f t="shared" ca="1" si="163"/>
        <v>0</v>
      </c>
      <c r="F2669" s="21">
        <f t="shared" ca="1" si="164"/>
        <v>0</v>
      </c>
      <c r="H2669" s="21">
        <v>2654</v>
      </c>
      <c r="I2669" s="107">
        <v>0.66764488965940949</v>
      </c>
      <c r="J2669" s="108">
        <v>1.2910302716352764E-3</v>
      </c>
      <c r="K2669" s="108"/>
      <c r="L2669" s="108">
        <v>3.8199999999999998E-2</v>
      </c>
      <c r="O2669" s="105"/>
    </row>
    <row r="2670" spans="2:15" x14ac:dyDescent="0.2">
      <c r="B2670" s="1">
        <v>2655</v>
      </c>
      <c r="C2670" s="106">
        <f ca="1"/>
        <v>1.0741073858358205</v>
      </c>
      <c r="D2670" s="106">
        <f t="shared" ca="1" si="162"/>
        <v>0.73877212139794357</v>
      </c>
      <c r="E2670" s="106">
        <f t="shared" ca="1" si="163"/>
        <v>0</v>
      </c>
      <c r="F2670" s="21">
        <f t="shared" ca="1" si="164"/>
        <v>0</v>
      </c>
      <c r="H2670" s="21">
        <v>2655</v>
      </c>
      <c r="I2670" s="107">
        <v>0.6678476799233376</v>
      </c>
      <c r="J2670" s="108">
        <v>1.5488066167639912E-3</v>
      </c>
      <c r="K2670" s="108"/>
      <c r="L2670" s="108">
        <v>4.48E-2</v>
      </c>
      <c r="O2670" s="105"/>
    </row>
    <row r="2671" spans="2:15" x14ac:dyDescent="0.2">
      <c r="B2671" s="1">
        <v>2656</v>
      </c>
      <c r="C2671" s="106">
        <f ca="1"/>
        <v>-0.35810289973645326</v>
      </c>
      <c r="D2671" s="106">
        <f t="shared" ca="1" si="162"/>
        <v>0.64143919332275312</v>
      </c>
      <c r="E2671" s="106">
        <f t="shared" ca="1" si="163"/>
        <v>0</v>
      </c>
      <c r="F2671" s="21">
        <f t="shared" ca="1" si="164"/>
        <v>0</v>
      </c>
      <c r="H2671" s="21">
        <v>2656</v>
      </c>
      <c r="I2671" s="107">
        <v>0.66775000458587297</v>
      </c>
      <c r="J2671" s="108">
        <v>1.3904686298887377E-3</v>
      </c>
      <c r="K2671" s="108"/>
      <c r="L2671" s="108">
        <v>4.2200000000000001E-2</v>
      </c>
      <c r="O2671" s="105"/>
    </row>
    <row r="2672" spans="2:15" x14ac:dyDescent="0.2">
      <c r="B2672" s="1">
        <v>2657</v>
      </c>
      <c r="C2672" s="106">
        <f ca="1"/>
        <v>-0.13114246903443086</v>
      </c>
      <c r="D2672" s="106">
        <f t="shared" ca="1" si="162"/>
        <v>0.65596148089400996</v>
      </c>
      <c r="E2672" s="106">
        <f t="shared" ca="1" si="163"/>
        <v>0</v>
      </c>
      <c r="F2672" s="21">
        <f t="shared" ca="1" si="164"/>
        <v>0</v>
      </c>
      <c r="H2672" s="21">
        <v>2657</v>
      </c>
      <c r="I2672" s="107">
        <v>0.66765157951688747</v>
      </c>
      <c r="J2672" s="108">
        <v>1.1675735567105462E-3</v>
      </c>
      <c r="K2672" s="108"/>
      <c r="L2672" s="108">
        <v>3.9E-2</v>
      </c>
      <c r="O2672" s="105"/>
    </row>
    <row r="2673" spans="2:15" x14ac:dyDescent="0.2">
      <c r="B2673" s="1">
        <v>2658</v>
      </c>
      <c r="C2673" s="106">
        <f ca="1"/>
        <v>-1.6701697042510808</v>
      </c>
      <c r="D2673" s="106">
        <f t="shared" ca="1" si="162"/>
        <v>0.56356934221919908</v>
      </c>
      <c r="E2673" s="106">
        <f t="shared" ca="1" si="163"/>
        <v>0</v>
      </c>
      <c r="F2673" s="21">
        <f t="shared" ca="1" si="164"/>
        <v>0</v>
      </c>
      <c r="H2673" s="21">
        <v>2658</v>
      </c>
      <c r="I2673" s="107">
        <v>0.66775070308732642</v>
      </c>
      <c r="J2673" s="108">
        <v>1.4031220168121245E-3</v>
      </c>
      <c r="K2673" s="108"/>
      <c r="L2673" s="108">
        <v>4.0599999999999997E-2</v>
      </c>
      <c r="O2673" s="105"/>
    </row>
    <row r="2674" spans="2:15" x14ac:dyDescent="0.2">
      <c r="B2674" s="1">
        <v>2659</v>
      </c>
      <c r="C2674" s="106">
        <f ca="1"/>
        <v>-1.4302673378040964</v>
      </c>
      <c r="D2674" s="106">
        <f t="shared" ca="1" si="162"/>
        <v>0.57706486027503856</v>
      </c>
      <c r="E2674" s="106">
        <f t="shared" ca="1" si="163"/>
        <v>0</v>
      </c>
      <c r="F2674" s="21">
        <f t="shared" ca="1" si="164"/>
        <v>0</v>
      </c>
      <c r="H2674" s="21">
        <v>2659</v>
      </c>
      <c r="I2674" s="107">
        <v>0.66795842937531402</v>
      </c>
      <c r="J2674" s="108">
        <v>1.6159956434055442E-3</v>
      </c>
      <c r="K2674" s="108"/>
      <c r="L2674" s="108">
        <v>4.5600000000000002E-2</v>
      </c>
      <c r="O2674" s="105"/>
    </row>
    <row r="2675" spans="2:15" x14ac:dyDescent="0.2">
      <c r="B2675" s="1">
        <v>2660</v>
      </c>
      <c r="C2675" s="106">
        <f ca="1"/>
        <v>0.60876882232876217</v>
      </c>
      <c r="D2675" s="106">
        <f t="shared" ca="1" si="162"/>
        <v>0.70562779773547801</v>
      </c>
      <c r="E2675" s="106">
        <f t="shared" ca="1" si="163"/>
        <v>0</v>
      </c>
      <c r="F2675" s="21">
        <f t="shared" ca="1" si="164"/>
        <v>0</v>
      </c>
      <c r="H2675" s="21">
        <v>2660</v>
      </c>
      <c r="I2675" s="107">
        <v>0.66770731536860062</v>
      </c>
      <c r="J2675" s="108">
        <v>1.4325309731757707E-3</v>
      </c>
      <c r="K2675" s="108"/>
      <c r="L2675" s="108">
        <v>4.1399999999999999E-2</v>
      </c>
      <c r="O2675" s="105"/>
    </row>
    <row r="2676" spans="2:15" x14ac:dyDescent="0.2">
      <c r="B2676" s="1">
        <v>2661</v>
      </c>
      <c r="C2676" s="106">
        <f ca="1"/>
        <v>-0.72103423377474263</v>
      </c>
      <c r="D2676" s="106">
        <f t="shared" ca="1" si="162"/>
        <v>0.61888183839400213</v>
      </c>
      <c r="E2676" s="106">
        <f t="shared" ca="1" si="163"/>
        <v>0</v>
      </c>
      <c r="F2676" s="21">
        <f t="shared" ca="1" si="164"/>
        <v>0</v>
      </c>
      <c r="H2676" s="21">
        <v>2661</v>
      </c>
      <c r="I2676" s="107">
        <v>0.66773121733868479</v>
      </c>
      <c r="J2676" s="108">
        <v>1.4218009818154393E-3</v>
      </c>
      <c r="K2676" s="108"/>
      <c r="L2676" s="108">
        <v>4.02E-2</v>
      </c>
      <c r="O2676" s="105"/>
    </row>
    <row r="2677" spans="2:15" x14ac:dyDescent="0.2">
      <c r="B2677" s="1">
        <v>2662</v>
      </c>
      <c r="C2677" s="106">
        <f ca="1"/>
        <v>1.4899179605564823</v>
      </c>
      <c r="D2677" s="106">
        <f t="shared" ca="1" si="162"/>
        <v>0.76970368722009919</v>
      </c>
      <c r="E2677" s="106">
        <f t="shared" ca="1" si="163"/>
        <v>0</v>
      </c>
      <c r="F2677" s="21">
        <f t="shared" ca="1" si="164"/>
        <v>0</v>
      </c>
      <c r="H2677" s="21">
        <v>2662</v>
      </c>
      <c r="I2677" s="107">
        <v>0.66774142309758844</v>
      </c>
      <c r="J2677" s="108">
        <v>1.4307440298735197E-3</v>
      </c>
      <c r="K2677" s="108"/>
      <c r="L2677" s="108">
        <v>4.0800000000000003E-2</v>
      </c>
      <c r="O2677" s="105"/>
    </row>
    <row r="2678" spans="2:15" x14ac:dyDescent="0.2">
      <c r="B2678" s="1">
        <v>2663</v>
      </c>
      <c r="C2678" s="106">
        <f ca="1"/>
        <v>-0.29495915221216368</v>
      </c>
      <c r="D2678" s="106">
        <f t="shared" ca="1" si="162"/>
        <v>0.64544691882704031</v>
      </c>
      <c r="E2678" s="106">
        <f t="shared" ca="1" si="163"/>
        <v>0</v>
      </c>
      <c r="F2678" s="21">
        <f t="shared" ca="1" si="164"/>
        <v>0</v>
      </c>
      <c r="H2678" s="21">
        <v>2663</v>
      </c>
      <c r="I2678" s="107">
        <v>0.66780953193678683</v>
      </c>
      <c r="J2678" s="108">
        <v>1.431816386130108E-3</v>
      </c>
      <c r="K2678" s="108"/>
      <c r="L2678" s="108">
        <v>4.48E-2</v>
      </c>
      <c r="O2678" s="105"/>
    </row>
    <row r="2679" spans="2:15" x14ac:dyDescent="0.2">
      <c r="B2679" s="1">
        <v>2664</v>
      </c>
      <c r="C2679" s="106">
        <f ca="1"/>
        <v>-0.94824041458795461</v>
      </c>
      <c r="D2679" s="106">
        <f t="shared" ca="1" si="162"/>
        <v>0.60516578448814307</v>
      </c>
      <c r="E2679" s="106">
        <f t="shared" ca="1" si="163"/>
        <v>0</v>
      </c>
      <c r="F2679" s="21">
        <f t="shared" ca="1" si="164"/>
        <v>0</v>
      </c>
      <c r="H2679" s="21">
        <v>2664</v>
      </c>
      <c r="I2679" s="107">
        <v>0.66783746041009062</v>
      </c>
      <c r="J2679" s="108">
        <v>1.5215119317834218E-3</v>
      </c>
      <c r="K2679" s="108"/>
      <c r="L2679" s="108">
        <v>4.3400000000000001E-2</v>
      </c>
      <c r="O2679" s="105"/>
    </row>
    <row r="2680" spans="2:15" x14ac:dyDescent="0.2">
      <c r="B2680" s="1">
        <v>2665</v>
      </c>
      <c r="C2680" s="106">
        <f ca="1"/>
        <v>-2.3431879191983453</v>
      </c>
      <c r="D2680" s="106">
        <f t="shared" ca="1" si="162"/>
        <v>0.52737030784258188</v>
      </c>
      <c r="E2680" s="106">
        <f t="shared" ca="1" si="163"/>
        <v>0</v>
      </c>
      <c r="F2680" s="21">
        <f t="shared" ca="1" si="164"/>
        <v>0</v>
      </c>
      <c r="H2680" s="21">
        <v>2665</v>
      </c>
      <c r="I2680" s="107">
        <v>0.66773099228640731</v>
      </c>
      <c r="J2680" s="108">
        <v>1.3272741947442271E-3</v>
      </c>
      <c r="K2680" s="108"/>
      <c r="L2680" s="108">
        <v>4.2999999999999997E-2</v>
      </c>
      <c r="O2680" s="105"/>
    </row>
    <row r="2681" spans="2:15" x14ac:dyDescent="0.2">
      <c r="B2681" s="1">
        <v>2666</v>
      </c>
      <c r="C2681" s="106">
        <f ca="1"/>
        <v>1.8308522713436481</v>
      </c>
      <c r="D2681" s="106">
        <f t="shared" ca="1" si="162"/>
        <v>0.79602917040310484</v>
      </c>
      <c r="E2681" s="106">
        <f t="shared" ca="1" si="163"/>
        <v>7.8291704031048237E-3</v>
      </c>
      <c r="F2681" s="21">
        <f t="shared" ca="1" si="164"/>
        <v>1</v>
      </c>
      <c r="H2681" s="21">
        <v>2666</v>
      </c>
      <c r="I2681" s="107">
        <v>0.66779005668456382</v>
      </c>
      <c r="J2681" s="108">
        <v>1.3235976007633951E-3</v>
      </c>
      <c r="K2681" s="108"/>
      <c r="L2681" s="108">
        <v>4.0599999999999997E-2</v>
      </c>
      <c r="O2681" s="105"/>
    </row>
    <row r="2682" spans="2:15" x14ac:dyDescent="0.2">
      <c r="B2682" s="1">
        <v>2667</v>
      </c>
      <c r="C2682" s="106">
        <f ca="1"/>
        <v>1.0203516550556389</v>
      </c>
      <c r="D2682" s="106">
        <f t="shared" ca="1" si="162"/>
        <v>0.73486512287647998</v>
      </c>
      <c r="E2682" s="106">
        <f t="shared" ca="1" si="163"/>
        <v>0</v>
      </c>
      <c r="F2682" s="21">
        <f t="shared" ca="1" si="164"/>
        <v>0</v>
      </c>
      <c r="H2682" s="21">
        <v>2667</v>
      </c>
      <c r="I2682" s="107">
        <v>0.66770110841073305</v>
      </c>
      <c r="J2682" s="108">
        <v>1.3510566742187611E-3</v>
      </c>
      <c r="K2682" s="108"/>
      <c r="L2682" s="108">
        <v>4.2799999999999998E-2</v>
      </c>
      <c r="O2682" s="105"/>
    </row>
    <row r="2683" spans="2:15" x14ac:dyDescent="0.2">
      <c r="B2683" s="1">
        <v>2668</v>
      </c>
      <c r="C2683" s="106">
        <f ca="1"/>
        <v>-1.2575882018624955</v>
      </c>
      <c r="D2683" s="106">
        <f t="shared" ca="1" si="162"/>
        <v>0.58697836871645226</v>
      </c>
      <c r="E2683" s="106">
        <f t="shared" ca="1" si="163"/>
        <v>0</v>
      </c>
      <c r="F2683" s="21">
        <f t="shared" ca="1" si="164"/>
        <v>0</v>
      </c>
      <c r="H2683" s="21">
        <v>2668</v>
      </c>
      <c r="I2683" s="107">
        <v>0.66773779787733234</v>
      </c>
      <c r="J2683" s="108">
        <v>1.3121681838157814E-3</v>
      </c>
      <c r="K2683" s="108"/>
      <c r="L2683" s="108">
        <v>4.1599999999999998E-2</v>
      </c>
      <c r="O2683" s="105"/>
    </row>
    <row r="2684" spans="2:15" x14ac:dyDescent="0.2">
      <c r="B2684" s="1">
        <v>2669</v>
      </c>
      <c r="C2684" s="106">
        <f ca="1"/>
        <v>-0.36083887846205875</v>
      </c>
      <c r="D2684" s="106">
        <f t="shared" ca="1" si="162"/>
        <v>0.64126610470611078</v>
      </c>
      <c r="E2684" s="106">
        <f t="shared" ca="1" si="163"/>
        <v>0</v>
      </c>
      <c r="F2684" s="21">
        <f t="shared" ca="1" si="164"/>
        <v>0</v>
      </c>
      <c r="H2684" s="21">
        <v>2669</v>
      </c>
      <c r="I2684" s="107">
        <v>0.66774605478042026</v>
      </c>
      <c r="J2684" s="108">
        <v>1.3285215812117552E-3</v>
      </c>
      <c r="K2684" s="108"/>
      <c r="L2684" s="108">
        <v>4.4400000000000002E-2</v>
      </c>
      <c r="O2684" s="105"/>
    </row>
    <row r="2685" spans="2:15" x14ac:dyDescent="0.2">
      <c r="B2685" s="1">
        <v>2670</v>
      </c>
      <c r="C2685" s="106">
        <f ca="1"/>
        <v>-0.19255560514339015</v>
      </c>
      <c r="D2685" s="106">
        <f t="shared" ca="1" si="162"/>
        <v>0.65199976135424331</v>
      </c>
      <c r="E2685" s="106">
        <f t="shared" ca="1" si="163"/>
        <v>0</v>
      </c>
      <c r="F2685" s="21">
        <f t="shared" ca="1" si="164"/>
        <v>0</v>
      </c>
      <c r="H2685" s="21">
        <v>2670</v>
      </c>
      <c r="I2685" s="107">
        <v>0.66772958691770323</v>
      </c>
      <c r="J2685" s="108">
        <v>1.4421210612605424E-3</v>
      </c>
      <c r="K2685" s="108"/>
      <c r="L2685" s="108">
        <v>4.02E-2</v>
      </c>
      <c r="O2685" s="105"/>
    </row>
    <row r="2686" spans="2:15" x14ac:dyDescent="0.2">
      <c r="B2686" s="1">
        <v>2671</v>
      </c>
      <c r="C2686" s="106">
        <f ca="1"/>
        <v>0.1748137455259309</v>
      </c>
      <c r="D2686" s="106">
        <f t="shared" ca="1" si="162"/>
        <v>0.67606011236163788</v>
      </c>
      <c r="E2686" s="106">
        <f t="shared" ca="1" si="163"/>
        <v>0</v>
      </c>
      <c r="F2686" s="21">
        <f t="shared" ca="1" si="164"/>
        <v>0</v>
      </c>
      <c r="H2686" s="21">
        <v>2671</v>
      </c>
      <c r="I2686" s="107">
        <v>0.66786127018284591</v>
      </c>
      <c r="J2686" s="108">
        <v>1.5040189737271349E-3</v>
      </c>
      <c r="K2686" s="108"/>
      <c r="L2686" s="108">
        <v>4.7800000000000002E-2</v>
      </c>
      <c r="O2686" s="105"/>
    </row>
    <row r="2687" spans="2:15" x14ac:dyDescent="0.2">
      <c r="B2687" s="1">
        <v>2672</v>
      </c>
      <c r="C2687" s="106">
        <f ca="1"/>
        <v>0.24712479832411458</v>
      </c>
      <c r="D2687" s="106">
        <f t="shared" ca="1" si="162"/>
        <v>0.68089959236437592</v>
      </c>
      <c r="E2687" s="106">
        <f t="shared" ca="1" si="163"/>
        <v>0</v>
      </c>
      <c r="F2687" s="21">
        <f t="shared" ca="1" si="164"/>
        <v>0</v>
      </c>
      <c r="H2687" s="21">
        <v>2672</v>
      </c>
      <c r="I2687" s="107">
        <v>0.66781571697322617</v>
      </c>
      <c r="J2687" s="108">
        <v>1.4658277780851326E-3</v>
      </c>
      <c r="K2687" s="108"/>
      <c r="L2687" s="108">
        <v>4.4999999999999998E-2</v>
      </c>
      <c r="O2687" s="105"/>
    </row>
    <row r="2688" spans="2:15" x14ac:dyDescent="0.2">
      <c r="B2688" s="1">
        <v>2673</v>
      </c>
      <c r="C2688" s="106">
        <f ca="1"/>
        <v>-0.21527572985168128</v>
      </c>
      <c r="D2688" s="106">
        <f t="shared" ca="1" si="162"/>
        <v>0.65054017269236175</v>
      </c>
      <c r="E2688" s="106">
        <f t="shared" ca="1" si="163"/>
        <v>0</v>
      </c>
      <c r="F2688" s="21">
        <f t="shared" ca="1" si="164"/>
        <v>0</v>
      </c>
      <c r="H2688" s="21">
        <v>2673</v>
      </c>
      <c r="I2688" s="107">
        <v>0.66776309705680159</v>
      </c>
      <c r="J2688" s="108">
        <v>1.3971478623623543E-3</v>
      </c>
      <c r="K2688" s="108"/>
      <c r="L2688" s="108">
        <v>4.3200000000000002E-2</v>
      </c>
      <c r="O2688" s="105"/>
    </row>
    <row r="2689" spans="2:15" x14ac:dyDescent="0.2">
      <c r="B2689" s="1">
        <v>2674</v>
      </c>
      <c r="C2689" s="106">
        <f ca="1"/>
        <v>0.17277293599041429</v>
      </c>
      <c r="D2689" s="106">
        <f t="shared" ca="1" si="162"/>
        <v>0.67592402964331288</v>
      </c>
      <c r="E2689" s="106">
        <f t="shared" ca="1" si="163"/>
        <v>0</v>
      </c>
      <c r="F2689" s="21">
        <f t="shared" ca="1" si="164"/>
        <v>0</v>
      </c>
      <c r="H2689" s="21">
        <v>2674</v>
      </c>
      <c r="I2689" s="107">
        <v>0.66777304406037963</v>
      </c>
      <c r="J2689" s="108">
        <v>1.5065475945239696E-3</v>
      </c>
      <c r="K2689" s="108"/>
      <c r="L2689" s="108">
        <v>4.3799999999999999E-2</v>
      </c>
      <c r="O2689" s="105"/>
    </row>
    <row r="2690" spans="2:15" x14ac:dyDescent="0.2">
      <c r="B2690" s="1">
        <v>2675</v>
      </c>
      <c r="C2690" s="106">
        <f ca="1"/>
        <v>0.31948574290594584</v>
      </c>
      <c r="D2690" s="106">
        <f t="shared" ca="1" si="162"/>
        <v>0.68577709006464393</v>
      </c>
      <c r="E2690" s="106">
        <f t="shared" ca="1" si="163"/>
        <v>0</v>
      </c>
      <c r="F2690" s="21">
        <f t="shared" ca="1" si="164"/>
        <v>0</v>
      </c>
      <c r="H2690" s="21">
        <v>2675</v>
      </c>
      <c r="I2690" s="107">
        <v>0.66786816275874439</v>
      </c>
      <c r="J2690" s="108">
        <v>1.4216381353697777E-3</v>
      </c>
      <c r="K2690" s="108"/>
      <c r="L2690" s="108">
        <v>4.5600000000000002E-2</v>
      </c>
      <c r="O2690" s="105"/>
    </row>
    <row r="2691" spans="2:15" x14ac:dyDescent="0.2">
      <c r="B2691" s="1">
        <v>2676</v>
      </c>
      <c r="C2691" s="106">
        <f ca="1"/>
        <v>-2.3989741270795206</v>
      </c>
      <c r="D2691" s="106">
        <f t="shared" ca="1" si="162"/>
        <v>0.52447625110960505</v>
      </c>
      <c r="E2691" s="106">
        <f t="shared" ca="1" si="163"/>
        <v>0</v>
      </c>
      <c r="F2691" s="21">
        <f t="shared" ca="1" si="164"/>
        <v>0</v>
      </c>
      <c r="H2691" s="21">
        <v>2676</v>
      </c>
      <c r="I2691" s="107">
        <v>0.66763107890266382</v>
      </c>
      <c r="J2691" s="108">
        <v>1.3177784322615626E-3</v>
      </c>
      <c r="K2691" s="108"/>
      <c r="L2691" s="108">
        <v>3.9399999999999998E-2</v>
      </c>
      <c r="O2691" s="105"/>
    </row>
    <row r="2692" spans="2:15" x14ac:dyDescent="0.2">
      <c r="B2692" s="1">
        <v>2677</v>
      </c>
      <c r="C2692" s="106">
        <f ca="1"/>
        <v>-1.9933770263526471</v>
      </c>
      <c r="D2692" s="106">
        <f t="shared" ca="1" si="162"/>
        <v>0.5458852470670561</v>
      </c>
      <c r="E2692" s="106">
        <f t="shared" ca="1" si="163"/>
        <v>0</v>
      </c>
      <c r="F2692" s="21">
        <f t="shared" ca="1" si="164"/>
        <v>0</v>
      </c>
      <c r="H2692" s="21">
        <v>2677</v>
      </c>
      <c r="I2692" s="107">
        <v>0.66780762242861846</v>
      </c>
      <c r="J2692" s="108">
        <v>1.4764753054727637E-3</v>
      </c>
      <c r="K2692" s="108"/>
      <c r="L2692" s="108">
        <v>4.4600000000000001E-2</v>
      </c>
      <c r="O2692" s="105"/>
    </row>
    <row r="2693" spans="2:15" x14ac:dyDescent="0.2">
      <c r="B2693" s="1">
        <v>2678</v>
      </c>
      <c r="C2693" s="106">
        <f ca="1"/>
        <v>0.21304271619178097</v>
      </c>
      <c r="D2693" s="106">
        <f t="shared" ca="1" si="162"/>
        <v>0.67861431840775621</v>
      </c>
      <c r="E2693" s="106">
        <f t="shared" ca="1" si="163"/>
        <v>0</v>
      </c>
      <c r="F2693" s="21">
        <f t="shared" ca="1" si="164"/>
        <v>0</v>
      </c>
      <c r="H2693" s="21">
        <v>2678</v>
      </c>
      <c r="I2693" s="107">
        <v>0.66786618389469254</v>
      </c>
      <c r="J2693" s="108">
        <v>1.3936743657923401E-3</v>
      </c>
      <c r="K2693" s="108"/>
      <c r="L2693" s="108">
        <v>4.0800000000000003E-2</v>
      </c>
      <c r="O2693" s="105"/>
    </row>
    <row r="2694" spans="2:15" x14ac:dyDescent="0.2">
      <c r="B2694" s="1">
        <v>2679</v>
      </c>
      <c r="C2694" s="106">
        <f ca="1"/>
        <v>0.82829425403846602</v>
      </c>
      <c r="D2694" s="106">
        <f t="shared" ca="1" si="162"/>
        <v>0.72107429720966165</v>
      </c>
      <c r="E2694" s="106">
        <f t="shared" ca="1" si="163"/>
        <v>0</v>
      </c>
      <c r="F2694" s="21">
        <f t="shared" ca="1" si="164"/>
        <v>0</v>
      </c>
      <c r="H2694" s="21">
        <v>2679</v>
      </c>
      <c r="I2694" s="107">
        <v>0.66767370914654256</v>
      </c>
      <c r="J2694" s="108">
        <v>1.2086104831812731E-3</v>
      </c>
      <c r="K2694" s="108"/>
      <c r="L2694" s="108">
        <v>3.9800000000000002E-2</v>
      </c>
      <c r="O2694" s="105"/>
    </row>
    <row r="2695" spans="2:15" x14ac:dyDescent="0.2">
      <c r="B2695" s="1">
        <v>2680</v>
      </c>
      <c r="C2695" s="106">
        <f ca="1"/>
        <v>-0.97398392794267497</v>
      </c>
      <c r="D2695" s="106">
        <f t="shared" ca="1" si="162"/>
        <v>0.60363099158709044</v>
      </c>
      <c r="E2695" s="106">
        <f t="shared" ca="1" si="163"/>
        <v>0</v>
      </c>
      <c r="F2695" s="21">
        <f t="shared" ca="1" si="164"/>
        <v>0</v>
      </c>
      <c r="H2695" s="21">
        <v>2680</v>
      </c>
      <c r="I2695" s="107">
        <v>0.66772143930685368</v>
      </c>
      <c r="J2695" s="108">
        <v>1.4331354073090078E-3</v>
      </c>
      <c r="K2695" s="108"/>
      <c r="L2695" s="108">
        <v>3.9600000000000003E-2</v>
      </c>
      <c r="O2695" s="105"/>
    </row>
    <row r="2696" spans="2:15" x14ac:dyDescent="0.2">
      <c r="B2696" s="1">
        <v>2681</v>
      </c>
      <c r="C2696" s="106">
        <f ca="1"/>
        <v>1.2576994933154502</v>
      </c>
      <c r="D2696" s="106">
        <f t="shared" ca="1" si="162"/>
        <v>0.7522729936298248</v>
      </c>
      <c r="E2696" s="106">
        <f t="shared" ca="1" si="163"/>
        <v>0</v>
      </c>
      <c r="F2696" s="21">
        <f t="shared" ca="1" si="164"/>
        <v>0</v>
      </c>
      <c r="H2696" s="21">
        <v>2681</v>
      </c>
      <c r="I2696" s="107">
        <v>0.66777973144826763</v>
      </c>
      <c r="J2696" s="108">
        <v>1.3916550800931113E-3</v>
      </c>
      <c r="K2696" s="108"/>
      <c r="L2696" s="108">
        <v>4.0800000000000003E-2</v>
      </c>
      <c r="O2696" s="105"/>
    </row>
    <row r="2697" spans="2:15" x14ac:dyDescent="0.2">
      <c r="B2697" s="1">
        <v>2682</v>
      </c>
      <c r="C2697" s="106">
        <f ca="1"/>
        <v>-1.844753364632</v>
      </c>
      <c r="D2697" s="106">
        <f t="shared" ca="1" si="162"/>
        <v>0.55394711310533373</v>
      </c>
      <c r="E2697" s="106">
        <f t="shared" ca="1" si="163"/>
        <v>0</v>
      </c>
      <c r="F2697" s="21">
        <f t="shared" ca="1" si="164"/>
        <v>0</v>
      </c>
      <c r="H2697" s="21">
        <v>2682</v>
      </c>
      <c r="I2697" s="107">
        <v>0.6676492894477748</v>
      </c>
      <c r="J2697" s="108">
        <v>1.0902260978216973E-3</v>
      </c>
      <c r="K2697" s="108"/>
      <c r="L2697" s="108">
        <v>3.7199999999999997E-2</v>
      </c>
      <c r="O2697" s="105"/>
    </row>
    <row r="2698" spans="2:15" x14ac:dyDescent="0.2">
      <c r="B2698" s="1">
        <v>2683</v>
      </c>
      <c r="C2698" s="106">
        <f ca="1"/>
        <v>-0.23694254609737012</v>
      </c>
      <c r="D2698" s="106">
        <f t="shared" ca="1" si="162"/>
        <v>0.64915129466398469</v>
      </c>
      <c r="E2698" s="106">
        <f t="shared" ca="1" si="163"/>
        <v>0</v>
      </c>
      <c r="F2698" s="21">
        <f t="shared" ca="1" si="164"/>
        <v>0</v>
      </c>
      <c r="H2698" s="21">
        <v>2683</v>
      </c>
      <c r="I2698" s="107">
        <v>0.66774774202386211</v>
      </c>
      <c r="J2698" s="108">
        <v>1.386174712931564E-3</v>
      </c>
      <c r="K2698" s="108"/>
      <c r="L2698" s="108">
        <v>4.0599999999999997E-2</v>
      </c>
      <c r="O2698" s="105"/>
    </row>
    <row r="2699" spans="2:15" x14ac:dyDescent="0.2">
      <c r="B2699" s="1">
        <v>2684</v>
      </c>
      <c r="C2699" s="106">
        <f ca="1"/>
        <v>0.76453556962116598</v>
      </c>
      <c r="D2699" s="106">
        <f t="shared" ca="1" si="162"/>
        <v>0.71655351809668588</v>
      </c>
      <c r="E2699" s="106">
        <f t="shared" ca="1" si="163"/>
        <v>0</v>
      </c>
      <c r="F2699" s="21">
        <f t="shared" ca="1" si="164"/>
        <v>0</v>
      </c>
      <c r="H2699" s="21">
        <v>2684</v>
      </c>
      <c r="I2699" s="107">
        <v>0.66781240134238584</v>
      </c>
      <c r="J2699" s="108">
        <v>1.3762395717789159E-3</v>
      </c>
      <c r="K2699" s="108"/>
      <c r="L2699" s="108">
        <v>4.5199999999999997E-2</v>
      </c>
      <c r="O2699" s="105"/>
    </row>
    <row r="2700" spans="2:15" x14ac:dyDescent="0.2">
      <c r="B2700" s="1">
        <v>2685</v>
      </c>
      <c r="C2700" s="106">
        <f ca="1"/>
        <v>6.4800350267452414E-2</v>
      </c>
      <c r="D2700" s="106">
        <f t="shared" ca="1" si="162"/>
        <v>0.66876326166523281</v>
      </c>
      <c r="E2700" s="106">
        <f t="shared" ca="1" si="163"/>
        <v>0</v>
      </c>
      <c r="F2700" s="21">
        <f t="shared" ca="1" si="164"/>
        <v>0</v>
      </c>
      <c r="H2700" s="21">
        <v>2685</v>
      </c>
      <c r="I2700" s="107">
        <v>0.66779469922118984</v>
      </c>
      <c r="J2700" s="108">
        <v>1.413480607964991E-3</v>
      </c>
      <c r="K2700" s="108"/>
      <c r="L2700" s="108">
        <v>4.2000000000000003E-2</v>
      </c>
      <c r="O2700" s="105"/>
    </row>
    <row r="2701" spans="2:15" x14ac:dyDescent="0.2">
      <c r="B2701" s="1">
        <v>2686</v>
      </c>
      <c r="C2701" s="106">
        <f ca="1"/>
        <v>1.0637553951040266</v>
      </c>
      <c r="D2701" s="106">
        <f t="shared" ca="1" si="162"/>
        <v>0.73801812103322129</v>
      </c>
      <c r="E2701" s="106">
        <f t="shared" ca="1" si="163"/>
        <v>0</v>
      </c>
      <c r="F2701" s="21">
        <f t="shared" ca="1" si="164"/>
        <v>0</v>
      </c>
      <c r="H2701" s="21">
        <v>2686</v>
      </c>
      <c r="I2701" s="107">
        <v>0.66776132069750926</v>
      </c>
      <c r="J2701" s="108">
        <v>1.4186631686697354E-3</v>
      </c>
      <c r="K2701" s="108"/>
      <c r="L2701" s="108">
        <v>4.3400000000000001E-2</v>
      </c>
      <c r="O2701" s="105"/>
    </row>
    <row r="2702" spans="2:15" x14ac:dyDescent="0.2">
      <c r="B2702" s="1">
        <v>2687</v>
      </c>
      <c r="C2702" s="106">
        <f ca="1"/>
        <v>1.0666434782199856</v>
      </c>
      <c r="D2702" s="106">
        <f t="shared" ca="1" si="162"/>
        <v>0.73822840079534546</v>
      </c>
      <c r="E2702" s="106">
        <f t="shared" ca="1" si="163"/>
        <v>0</v>
      </c>
      <c r="F2702" s="21">
        <f t="shared" ca="1" si="164"/>
        <v>0</v>
      </c>
      <c r="H2702" s="21">
        <v>2687</v>
      </c>
      <c r="I2702" s="107">
        <v>0.66768129549369937</v>
      </c>
      <c r="J2702" s="108">
        <v>1.3577060754631552E-3</v>
      </c>
      <c r="K2702" s="108"/>
      <c r="L2702" s="108">
        <v>4.02E-2</v>
      </c>
      <c r="O2702" s="105"/>
    </row>
    <row r="2703" spans="2:15" x14ac:dyDescent="0.2">
      <c r="B2703" s="1">
        <v>2688</v>
      </c>
      <c r="C2703" s="106">
        <f ca="1"/>
        <v>-0.84615175794462893</v>
      </c>
      <c r="D2703" s="106">
        <f t="shared" ca="1" si="162"/>
        <v>0.61129068865321445</v>
      </c>
      <c r="E2703" s="106">
        <f t="shared" ca="1" si="163"/>
        <v>0</v>
      </c>
      <c r="F2703" s="21">
        <f t="shared" ca="1" si="164"/>
        <v>0</v>
      </c>
      <c r="H2703" s="21">
        <v>2688</v>
      </c>
      <c r="I2703" s="107">
        <v>0.66764175947282034</v>
      </c>
      <c r="J2703" s="108">
        <v>1.2091083892464725E-3</v>
      </c>
      <c r="K2703" s="108"/>
      <c r="L2703" s="108">
        <v>3.8399999999999997E-2</v>
      </c>
      <c r="O2703" s="105"/>
    </row>
    <row r="2704" spans="2:15" x14ac:dyDescent="0.2">
      <c r="B2704" s="1">
        <v>2689</v>
      </c>
      <c r="C2704" s="106">
        <f ca="1"/>
        <v>1.3282340018301444</v>
      </c>
      <c r="D2704" s="106">
        <f t="shared" ref="D2704:D2767" ca="1" si="165">S0*EXP((μ-0.5*σ*σ)*T+σ*SQRT(T)*$C2704)</f>
        <v>0.7575252718072828</v>
      </c>
      <c r="E2704" s="106">
        <f t="shared" ref="E2704:E2767" ca="1" si="166">MAX(0,CP*(D2704-K))</f>
        <v>0</v>
      </c>
      <c r="F2704" s="21">
        <f t="shared" ref="F2704:F2767" ca="1" si="167">(CP*(D2704-K)&gt;0)*1</f>
        <v>0</v>
      </c>
      <c r="H2704" s="21">
        <v>2689</v>
      </c>
      <c r="I2704" s="107">
        <v>0.66776889235669878</v>
      </c>
      <c r="J2704" s="108">
        <v>1.3263754562496558E-3</v>
      </c>
      <c r="K2704" s="108"/>
      <c r="L2704" s="108">
        <v>4.1599999999999998E-2</v>
      </c>
      <c r="O2704" s="105"/>
    </row>
    <row r="2705" spans="2:15" x14ac:dyDescent="0.2">
      <c r="B2705" s="1">
        <v>2690</v>
      </c>
      <c r="C2705" s="106">
        <f ca="1"/>
        <v>-0.8663430065874097</v>
      </c>
      <c r="D2705" s="106">
        <f t="shared" ca="1" si="165"/>
        <v>0.61007439780336348</v>
      </c>
      <c r="E2705" s="106">
        <f t="shared" ca="1" si="166"/>
        <v>0</v>
      </c>
      <c r="F2705" s="21">
        <f t="shared" ca="1" si="167"/>
        <v>0</v>
      </c>
      <c r="H2705" s="21">
        <v>2690</v>
      </c>
      <c r="I2705" s="107">
        <v>0.66773605872315622</v>
      </c>
      <c r="J2705" s="108">
        <v>1.4429409714121304E-3</v>
      </c>
      <c r="K2705" s="108"/>
      <c r="L2705" s="108">
        <v>4.1000000000000002E-2</v>
      </c>
      <c r="O2705" s="105"/>
    </row>
    <row r="2706" spans="2:15" x14ac:dyDescent="0.2">
      <c r="B2706" s="1">
        <v>2691</v>
      </c>
      <c r="C2706" s="106">
        <f ca="1"/>
        <v>-1.0676967643179356</v>
      </c>
      <c r="D2706" s="106">
        <f t="shared" ca="1" si="165"/>
        <v>0.59807676287966272</v>
      </c>
      <c r="E2706" s="106">
        <f t="shared" ca="1" si="166"/>
        <v>0</v>
      </c>
      <c r="F2706" s="21">
        <f t="shared" ca="1" si="167"/>
        <v>0</v>
      </c>
      <c r="H2706" s="21">
        <v>2691</v>
      </c>
      <c r="I2706" s="107">
        <v>0.66765820215589367</v>
      </c>
      <c r="J2706" s="108">
        <v>1.1831463832130411E-3</v>
      </c>
      <c r="K2706" s="108"/>
      <c r="L2706" s="108">
        <v>3.9399999999999998E-2</v>
      </c>
      <c r="O2706" s="105"/>
    </row>
    <row r="2707" spans="2:15" x14ac:dyDescent="0.2">
      <c r="B2707" s="1">
        <v>2692</v>
      </c>
      <c r="C2707" s="106">
        <f ca="1"/>
        <v>-0.56072364417791598</v>
      </c>
      <c r="D2707" s="106">
        <f t="shared" ca="1" si="165"/>
        <v>0.62874615898830788</v>
      </c>
      <c r="E2707" s="106">
        <f t="shared" ca="1" si="166"/>
        <v>0</v>
      </c>
      <c r="F2707" s="21">
        <f t="shared" ca="1" si="167"/>
        <v>0</v>
      </c>
      <c r="H2707" s="21">
        <v>2692</v>
      </c>
      <c r="I2707" s="107">
        <v>0.66780032080551888</v>
      </c>
      <c r="J2707" s="108">
        <v>1.5551239092029738E-3</v>
      </c>
      <c r="K2707" s="108"/>
      <c r="L2707" s="108">
        <v>4.4400000000000002E-2</v>
      </c>
      <c r="O2707" s="105"/>
    </row>
    <row r="2708" spans="2:15" x14ac:dyDescent="0.2">
      <c r="B2708" s="1">
        <v>2693</v>
      </c>
      <c r="C2708" s="106">
        <f ca="1"/>
        <v>1.8357489813978807</v>
      </c>
      <c r="D2708" s="106">
        <f t="shared" ca="1" si="165"/>
        <v>0.79641375967264816</v>
      </c>
      <c r="E2708" s="106">
        <f t="shared" ca="1" si="166"/>
        <v>8.2137596726481465E-3</v>
      </c>
      <c r="F2708" s="21">
        <f t="shared" ca="1" si="167"/>
        <v>1</v>
      </c>
      <c r="H2708" s="21">
        <v>2693</v>
      </c>
      <c r="I2708" s="107">
        <v>0.66763266482914518</v>
      </c>
      <c r="J2708" s="108">
        <v>1.2306314846914791E-3</v>
      </c>
      <c r="K2708" s="108"/>
      <c r="L2708" s="108">
        <v>3.7199999999999997E-2</v>
      </c>
      <c r="O2708" s="105"/>
    </row>
    <row r="2709" spans="2:15" x14ac:dyDescent="0.2">
      <c r="B2709" s="1">
        <v>2694</v>
      </c>
      <c r="C2709" s="106">
        <f ca="1"/>
        <v>-1.32856807984262E-2</v>
      </c>
      <c r="D2709" s="106">
        <f t="shared" ca="1" si="165"/>
        <v>0.66363189377831111</v>
      </c>
      <c r="E2709" s="106">
        <f t="shared" ca="1" si="166"/>
        <v>0</v>
      </c>
      <c r="F2709" s="21">
        <f t="shared" ca="1" si="167"/>
        <v>0</v>
      </c>
      <c r="H2709" s="21">
        <v>2694</v>
      </c>
      <c r="I2709" s="107">
        <v>0.66766712299310105</v>
      </c>
      <c r="J2709" s="108">
        <v>1.3435810203085981E-3</v>
      </c>
      <c r="K2709" s="108"/>
      <c r="L2709" s="108">
        <v>4.1599999999999998E-2</v>
      </c>
      <c r="O2709" s="105"/>
    </row>
    <row r="2710" spans="2:15" x14ac:dyDescent="0.2">
      <c r="B2710" s="1">
        <v>2695</v>
      </c>
      <c r="C2710" s="106">
        <f ca="1"/>
        <v>-1.4495145554522268</v>
      </c>
      <c r="D2710" s="106">
        <f t="shared" ca="1" si="165"/>
        <v>0.57597030100610824</v>
      </c>
      <c r="E2710" s="106">
        <f t="shared" ca="1" si="166"/>
        <v>0</v>
      </c>
      <c r="F2710" s="21">
        <f t="shared" ca="1" si="167"/>
        <v>0</v>
      </c>
      <c r="H2710" s="21">
        <v>2695</v>
      </c>
      <c r="I2710" s="107">
        <v>0.66768769165041808</v>
      </c>
      <c r="J2710" s="108">
        <v>1.2748996993109322E-3</v>
      </c>
      <c r="K2710" s="108"/>
      <c r="L2710" s="108">
        <v>4.02E-2</v>
      </c>
      <c r="O2710" s="105"/>
    </row>
    <row r="2711" spans="2:15" x14ac:dyDescent="0.2">
      <c r="B2711" s="1">
        <v>2696</v>
      </c>
      <c r="C2711" s="106">
        <f ca="1"/>
        <v>-0.36779055337668415</v>
      </c>
      <c r="D2711" s="106">
        <f t="shared" ca="1" si="165"/>
        <v>0.64082652488669123</v>
      </c>
      <c r="E2711" s="106">
        <f t="shared" ca="1" si="166"/>
        <v>0</v>
      </c>
      <c r="F2711" s="21">
        <f t="shared" ca="1" si="167"/>
        <v>0</v>
      </c>
      <c r="H2711" s="21">
        <v>2696</v>
      </c>
      <c r="I2711" s="107">
        <v>0.66769759842751242</v>
      </c>
      <c r="J2711" s="108">
        <v>1.2257293815947643E-3</v>
      </c>
      <c r="K2711" s="108"/>
      <c r="L2711" s="108">
        <v>3.9E-2</v>
      </c>
      <c r="O2711" s="105"/>
    </row>
    <row r="2712" spans="2:15" x14ac:dyDescent="0.2">
      <c r="B2712" s="1">
        <v>2697</v>
      </c>
      <c r="C2712" s="106">
        <f ca="1"/>
        <v>-0.99634535738920538</v>
      </c>
      <c r="D2712" s="106">
        <f t="shared" ca="1" si="165"/>
        <v>0.60230099322783903</v>
      </c>
      <c r="E2712" s="106">
        <f t="shared" ca="1" si="166"/>
        <v>0</v>
      </c>
      <c r="F2712" s="21">
        <f t="shared" ca="1" si="167"/>
        <v>0</v>
      </c>
      <c r="H2712" s="21">
        <v>2697</v>
      </c>
      <c r="I2712" s="107">
        <v>0.66774950550008183</v>
      </c>
      <c r="J2712" s="108">
        <v>1.4667275251897564E-3</v>
      </c>
      <c r="K2712" s="108"/>
      <c r="L2712" s="108">
        <v>4.4999999999999998E-2</v>
      </c>
      <c r="O2712" s="105"/>
    </row>
    <row r="2713" spans="2:15" x14ac:dyDescent="0.2">
      <c r="B2713" s="1">
        <v>2698</v>
      </c>
      <c r="C2713" s="106">
        <f ca="1"/>
        <v>-1.1143089368599424</v>
      </c>
      <c r="D2713" s="106">
        <f t="shared" ca="1" si="165"/>
        <v>0.59533318596882467</v>
      </c>
      <c r="E2713" s="106">
        <f t="shared" ca="1" si="166"/>
        <v>0</v>
      </c>
      <c r="F2713" s="21">
        <f t="shared" ca="1" si="167"/>
        <v>0</v>
      </c>
      <c r="H2713" s="21">
        <v>2698</v>
      </c>
      <c r="I2713" s="107">
        <v>0.66765032803197177</v>
      </c>
      <c r="J2713" s="108">
        <v>1.1426499139701822E-3</v>
      </c>
      <c r="K2713" s="108"/>
      <c r="L2713" s="108">
        <v>4.1000000000000002E-2</v>
      </c>
      <c r="O2713" s="105"/>
    </row>
    <row r="2714" spans="2:15" x14ac:dyDescent="0.2">
      <c r="B2714" s="1">
        <v>2699</v>
      </c>
      <c r="C2714" s="106">
        <f ca="1"/>
        <v>1.810225925312088</v>
      </c>
      <c r="D2714" s="106">
        <f t="shared" ca="1" si="165"/>
        <v>0.79441120791813746</v>
      </c>
      <c r="E2714" s="106">
        <f t="shared" ca="1" si="166"/>
        <v>6.2112079181374513E-3</v>
      </c>
      <c r="F2714" s="21">
        <f t="shared" ca="1" si="167"/>
        <v>1</v>
      </c>
      <c r="H2714" s="21">
        <v>2699</v>
      </c>
      <c r="I2714" s="107">
        <v>0.66783183642726407</v>
      </c>
      <c r="J2714" s="108">
        <v>1.3857174619749829E-3</v>
      </c>
      <c r="K2714" s="108"/>
      <c r="L2714" s="108">
        <v>4.4600000000000001E-2</v>
      </c>
      <c r="O2714" s="105"/>
    </row>
    <row r="2715" spans="2:15" x14ac:dyDescent="0.2">
      <c r="B2715" s="1">
        <v>2700</v>
      </c>
      <c r="C2715" s="106">
        <f ca="1"/>
        <v>-1.5598109714482669</v>
      </c>
      <c r="D2715" s="106">
        <f t="shared" ca="1" si="165"/>
        <v>0.56973783356670404</v>
      </c>
      <c r="E2715" s="106">
        <f t="shared" ca="1" si="166"/>
        <v>0</v>
      </c>
      <c r="F2715" s="21">
        <f t="shared" ca="1" si="167"/>
        <v>0</v>
      </c>
      <c r="H2715" s="21">
        <v>2700</v>
      </c>
      <c r="I2715" s="107">
        <v>0.66760972979230859</v>
      </c>
      <c r="J2715" s="108">
        <v>1.299681328524058E-3</v>
      </c>
      <c r="K2715" s="108"/>
      <c r="L2715" s="108">
        <v>3.9600000000000003E-2</v>
      </c>
      <c r="O2715" s="105"/>
    </row>
    <row r="2716" spans="2:15" x14ac:dyDescent="0.2">
      <c r="B2716" s="1">
        <v>2701</v>
      </c>
      <c r="C2716" s="106">
        <f ca="1"/>
        <v>-1.730879921501405</v>
      </c>
      <c r="D2716" s="106">
        <f t="shared" ca="1" si="165"/>
        <v>0.56020447212554636</v>
      </c>
      <c r="E2716" s="106">
        <f t="shared" ca="1" si="166"/>
        <v>0</v>
      </c>
      <c r="F2716" s="21">
        <f t="shared" ca="1" si="167"/>
        <v>0</v>
      </c>
      <c r="H2716" s="21">
        <v>2701</v>
      </c>
      <c r="I2716" s="107">
        <v>0.66772298631294924</v>
      </c>
      <c r="J2716" s="108">
        <v>1.2720652514725576E-3</v>
      </c>
      <c r="K2716" s="108"/>
      <c r="L2716" s="108">
        <v>3.9199999999999999E-2</v>
      </c>
      <c r="O2716" s="105"/>
    </row>
    <row r="2717" spans="2:15" x14ac:dyDescent="0.2">
      <c r="B2717" s="1">
        <v>2702</v>
      </c>
      <c r="C2717" s="106">
        <f ca="1"/>
        <v>1.370476678894887</v>
      </c>
      <c r="D2717" s="106">
        <f t="shared" ca="1" si="165"/>
        <v>0.76068836945387319</v>
      </c>
      <c r="E2717" s="106">
        <f t="shared" ca="1" si="166"/>
        <v>0</v>
      </c>
      <c r="F2717" s="21">
        <f t="shared" ca="1" si="167"/>
        <v>0</v>
      </c>
      <c r="H2717" s="21">
        <v>2702</v>
      </c>
      <c r="I2717" s="107">
        <v>0.66772468479763625</v>
      </c>
      <c r="J2717" s="108">
        <v>1.3055090259989543E-3</v>
      </c>
      <c r="K2717" s="108"/>
      <c r="L2717" s="108">
        <v>4.0800000000000003E-2</v>
      </c>
      <c r="O2717" s="105"/>
    </row>
    <row r="2718" spans="2:15" x14ac:dyDescent="0.2">
      <c r="B2718" s="1">
        <v>2703</v>
      </c>
      <c r="C2718" s="106">
        <f ca="1"/>
        <v>0.27860488069325273</v>
      </c>
      <c r="D2718" s="106">
        <f t="shared" ca="1" si="165"/>
        <v>0.68301723319959651</v>
      </c>
      <c r="E2718" s="106">
        <f t="shared" ca="1" si="166"/>
        <v>0</v>
      </c>
      <c r="F2718" s="21">
        <f t="shared" ca="1" si="167"/>
        <v>0</v>
      </c>
      <c r="H2718" s="21">
        <v>2703</v>
      </c>
      <c r="I2718" s="107">
        <v>0.6678143425282006</v>
      </c>
      <c r="J2718" s="108">
        <v>1.464763494590358E-3</v>
      </c>
      <c r="K2718" s="108"/>
      <c r="L2718" s="108">
        <v>4.48E-2</v>
      </c>
      <c r="O2718" s="105"/>
    </row>
    <row r="2719" spans="2:15" x14ac:dyDescent="0.2">
      <c r="B2719" s="1">
        <v>2704</v>
      </c>
      <c r="C2719" s="106">
        <f ca="1"/>
        <v>0.85787529322476552</v>
      </c>
      <c r="D2719" s="106">
        <f t="shared" ca="1" si="165"/>
        <v>0.72318140189881841</v>
      </c>
      <c r="E2719" s="106">
        <f t="shared" ca="1" si="166"/>
        <v>0</v>
      </c>
      <c r="F2719" s="21">
        <f t="shared" ca="1" si="167"/>
        <v>0</v>
      </c>
      <c r="H2719" s="21">
        <v>2704</v>
      </c>
      <c r="I2719" s="107">
        <v>0.66748892787427916</v>
      </c>
      <c r="J2719" s="108">
        <v>1.1700105581504345E-3</v>
      </c>
      <c r="K2719" s="108"/>
      <c r="L2719" s="108">
        <v>3.7400000000000003E-2</v>
      </c>
      <c r="O2719" s="105"/>
    </row>
    <row r="2720" spans="2:15" x14ac:dyDescent="0.2">
      <c r="B2720" s="1">
        <v>2705</v>
      </c>
      <c r="C2720" s="106">
        <f ca="1"/>
        <v>2.6592883634857185</v>
      </c>
      <c r="D2720" s="106">
        <f t="shared" ca="1" si="165"/>
        <v>0.86381088854651566</v>
      </c>
      <c r="E2720" s="106">
        <f t="shared" ca="1" si="166"/>
        <v>7.5610888546515653E-2</v>
      </c>
      <c r="F2720" s="21">
        <f t="shared" ca="1" si="167"/>
        <v>1</v>
      </c>
      <c r="H2720" s="21">
        <v>2705</v>
      </c>
      <c r="I2720" s="107">
        <v>0.66767240949430939</v>
      </c>
      <c r="J2720" s="108">
        <v>1.1951638971293842E-3</v>
      </c>
      <c r="K2720" s="108"/>
      <c r="L2720" s="108">
        <v>3.7600000000000001E-2</v>
      </c>
      <c r="O2720" s="105"/>
    </row>
    <row r="2721" spans="2:15" x14ac:dyDescent="0.2">
      <c r="B2721" s="1">
        <v>2706</v>
      </c>
      <c r="C2721" s="106">
        <f ca="1"/>
        <v>-2.2697779908264586</v>
      </c>
      <c r="D2721" s="106">
        <f t="shared" ca="1" si="165"/>
        <v>0.53120298944701416</v>
      </c>
      <c r="E2721" s="106">
        <f t="shared" ca="1" si="166"/>
        <v>0</v>
      </c>
      <c r="F2721" s="21">
        <f t="shared" ca="1" si="167"/>
        <v>0</v>
      </c>
      <c r="H2721" s="21">
        <v>2706</v>
      </c>
      <c r="I2721" s="107">
        <v>0.66773094353232032</v>
      </c>
      <c r="J2721" s="108">
        <v>1.3114630041409303E-3</v>
      </c>
      <c r="K2721" s="108"/>
      <c r="L2721" s="108">
        <v>0.04</v>
      </c>
      <c r="O2721" s="105"/>
    </row>
    <row r="2722" spans="2:15" x14ac:dyDescent="0.2">
      <c r="B2722" s="1">
        <v>2707</v>
      </c>
      <c r="C2722" s="106">
        <f ca="1"/>
        <v>-0.52247946394547173</v>
      </c>
      <c r="D2722" s="106">
        <f t="shared" ca="1" si="165"/>
        <v>0.63112255622073521</v>
      </c>
      <c r="E2722" s="106">
        <f t="shared" ca="1" si="166"/>
        <v>0</v>
      </c>
      <c r="F2722" s="21">
        <f t="shared" ca="1" si="167"/>
        <v>0</v>
      </c>
      <c r="H2722" s="21">
        <v>2707</v>
      </c>
      <c r="I2722" s="107">
        <v>0.66766366447727121</v>
      </c>
      <c r="J2722" s="108">
        <v>1.2831951112537198E-3</v>
      </c>
      <c r="K2722" s="108"/>
      <c r="L2722" s="108">
        <v>0.04</v>
      </c>
      <c r="O2722" s="105"/>
    </row>
    <row r="2723" spans="2:15" x14ac:dyDescent="0.2">
      <c r="B2723" s="1">
        <v>2708</v>
      </c>
      <c r="C2723" s="106">
        <f ca="1"/>
        <v>-0.70416121068867488</v>
      </c>
      <c r="D2723" s="106">
        <f t="shared" ca="1" si="165"/>
        <v>0.61991274899275917</v>
      </c>
      <c r="E2723" s="106">
        <f t="shared" ca="1" si="166"/>
        <v>0</v>
      </c>
      <c r="F2723" s="21">
        <f t="shared" ca="1" si="167"/>
        <v>0</v>
      </c>
      <c r="H2723" s="21">
        <v>2708</v>
      </c>
      <c r="I2723" s="107">
        <v>0.66765234718080479</v>
      </c>
      <c r="J2723" s="108">
        <v>1.1314349565305693E-3</v>
      </c>
      <c r="K2723" s="108"/>
      <c r="L2723" s="108">
        <v>3.8399999999999997E-2</v>
      </c>
      <c r="O2723" s="105"/>
    </row>
    <row r="2724" spans="2:15" x14ac:dyDescent="0.2">
      <c r="B2724" s="1">
        <v>2709</v>
      </c>
      <c r="C2724" s="106">
        <f ca="1"/>
        <v>-0.38764862391472671</v>
      </c>
      <c r="D2724" s="106">
        <f t="shared" ca="1" si="165"/>
        <v>0.63957248559231905</v>
      </c>
      <c r="E2724" s="106">
        <f t="shared" ca="1" si="166"/>
        <v>0</v>
      </c>
      <c r="F2724" s="21">
        <f t="shared" ca="1" si="167"/>
        <v>0</v>
      </c>
      <c r="H2724" s="21">
        <v>2709</v>
      </c>
      <c r="I2724" s="107">
        <v>0.66767758421217993</v>
      </c>
      <c r="J2724" s="108">
        <v>1.4668381293245745E-3</v>
      </c>
      <c r="K2724" s="108"/>
      <c r="L2724" s="108">
        <v>4.2000000000000003E-2</v>
      </c>
      <c r="O2724" s="105"/>
    </row>
    <row r="2725" spans="2:15" x14ac:dyDescent="0.2">
      <c r="B2725" s="1">
        <v>2710</v>
      </c>
      <c r="C2725" s="106">
        <f ca="1"/>
        <v>-0.12112734121340192</v>
      </c>
      <c r="D2725" s="106">
        <f t="shared" ca="1" si="165"/>
        <v>0.65660982904019483</v>
      </c>
      <c r="E2725" s="106">
        <f t="shared" ca="1" si="166"/>
        <v>0</v>
      </c>
      <c r="F2725" s="21">
        <f t="shared" ca="1" si="167"/>
        <v>0</v>
      </c>
      <c r="H2725" s="21">
        <v>2710</v>
      </c>
      <c r="I2725" s="107">
        <v>0.6676786818670527</v>
      </c>
      <c r="J2725" s="108">
        <v>1.2026047890991241E-3</v>
      </c>
      <c r="K2725" s="108"/>
      <c r="L2725" s="108">
        <v>4.0800000000000003E-2</v>
      </c>
      <c r="O2725" s="105"/>
    </row>
    <row r="2726" spans="2:15" x14ac:dyDescent="0.2">
      <c r="B2726" s="1">
        <v>2711</v>
      </c>
      <c r="C2726" s="106">
        <f ca="1"/>
        <v>-1.2135633957445067</v>
      </c>
      <c r="D2726" s="106">
        <f t="shared" ca="1" si="165"/>
        <v>0.5895329621334493</v>
      </c>
      <c r="E2726" s="106">
        <f t="shared" ca="1" si="166"/>
        <v>0</v>
      </c>
      <c r="F2726" s="21">
        <f t="shared" ca="1" si="167"/>
        <v>0</v>
      </c>
      <c r="H2726" s="21">
        <v>2711</v>
      </c>
      <c r="I2726" s="107">
        <v>0.66770357680791703</v>
      </c>
      <c r="J2726" s="108">
        <v>1.2897873513388744E-3</v>
      </c>
      <c r="K2726" s="108"/>
      <c r="L2726" s="108">
        <v>4.1200000000000001E-2</v>
      </c>
      <c r="O2726" s="105"/>
    </row>
    <row r="2727" spans="2:15" x14ac:dyDescent="0.2">
      <c r="B2727" s="1">
        <v>2712</v>
      </c>
      <c r="C2727" s="106">
        <f ca="1"/>
        <v>-1.797370121292577</v>
      </c>
      <c r="D2727" s="106">
        <f t="shared" ca="1" si="165"/>
        <v>0.55654229210547912</v>
      </c>
      <c r="E2727" s="106">
        <f t="shared" ca="1" si="166"/>
        <v>0</v>
      </c>
      <c r="F2727" s="21">
        <f t="shared" ca="1" si="167"/>
        <v>0</v>
      </c>
      <c r="H2727" s="21">
        <v>2712</v>
      </c>
      <c r="I2727" s="107">
        <v>0.66781245216657592</v>
      </c>
      <c r="J2727" s="108">
        <v>1.502872152028768E-3</v>
      </c>
      <c r="K2727" s="108"/>
      <c r="L2727" s="108">
        <v>4.3999999999999997E-2</v>
      </c>
      <c r="O2727" s="105"/>
    </row>
    <row r="2728" spans="2:15" x14ac:dyDescent="0.2">
      <c r="B2728" s="1">
        <v>2713</v>
      </c>
      <c r="C2728" s="106">
        <f ca="1"/>
        <v>-5.7304195476146597E-2</v>
      </c>
      <c r="D2728" s="106">
        <f t="shared" ca="1" si="165"/>
        <v>0.660756621265156</v>
      </c>
      <c r="E2728" s="106">
        <f t="shared" ca="1" si="166"/>
        <v>0</v>
      </c>
      <c r="F2728" s="21">
        <f t="shared" ca="1" si="167"/>
        <v>0</v>
      </c>
      <c r="H2728" s="21">
        <v>2713</v>
      </c>
      <c r="I2728" s="107">
        <v>0.66754880481981693</v>
      </c>
      <c r="J2728" s="108">
        <v>1.1157456314036486E-3</v>
      </c>
      <c r="K2728" s="108"/>
      <c r="L2728" s="108">
        <v>3.5799999999999998E-2</v>
      </c>
      <c r="O2728" s="105"/>
    </row>
    <row r="2729" spans="2:15" x14ac:dyDescent="0.2">
      <c r="B2729" s="1">
        <v>2714</v>
      </c>
      <c r="C2729" s="106">
        <f ca="1"/>
        <v>0.92426144102187846</v>
      </c>
      <c r="D2729" s="106">
        <f t="shared" ca="1" si="165"/>
        <v>0.72793263529341756</v>
      </c>
      <c r="E2729" s="106">
        <f t="shared" ca="1" si="166"/>
        <v>0</v>
      </c>
      <c r="F2729" s="21">
        <f t="shared" ca="1" si="167"/>
        <v>0</v>
      </c>
      <c r="H2729" s="21">
        <v>2714</v>
      </c>
      <c r="I2729" s="107">
        <v>0.66758271867634933</v>
      </c>
      <c r="J2729" s="108">
        <v>1.13538251616542E-3</v>
      </c>
      <c r="K2729" s="108"/>
      <c r="L2729" s="108">
        <v>3.7600000000000001E-2</v>
      </c>
      <c r="O2729" s="105"/>
    </row>
    <row r="2730" spans="2:15" x14ac:dyDescent="0.2">
      <c r="B2730" s="1">
        <v>2715</v>
      </c>
      <c r="C2730" s="106">
        <f ca="1"/>
        <v>-0.17279149125573945</v>
      </c>
      <c r="D2730" s="106">
        <f t="shared" ca="1" si="165"/>
        <v>0.65327211282223963</v>
      </c>
      <c r="E2730" s="106">
        <f t="shared" ca="1" si="166"/>
        <v>0</v>
      </c>
      <c r="F2730" s="21">
        <f t="shared" ca="1" si="167"/>
        <v>0</v>
      </c>
      <c r="H2730" s="21">
        <v>2715</v>
      </c>
      <c r="I2730" s="107">
        <v>0.66778388470564565</v>
      </c>
      <c r="J2730" s="108">
        <v>1.4289408104630795E-3</v>
      </c>
      <c r="K2730" s="108"/>
      <c r="L2730" s="108">
        <v>4.1000000000000002E-2</v>
      </c>
      <c r="O2730" s="105"/>
    </row>
    <row r="2731" spans="2:15" x14ac:dyDescent="0.2">
      <c r="B2731" s="1">
        <v>2716</v>
      </c>
      <c r="C2731" s="106">
        <f ca="1"/>
        <v>-0.63493723203045282</v>
      </c>
      <c r="D2731" s="106">
        <f t="shared" ca="1" si="165"/>
        <v>0.62416021219969509</v>
      </c>
      <c r="E2731" s="106">
        <f t="shared" ca="1" si="166"/>
        <v>0</v>
      </c>
      <c r="F2731" s="21">
        <f t="shared" ca="1" si="167"/>
        <v>0</v>
      </c>
      <c r="H2731" s="21">
        <v>2716</v>
      </c>
      <c r="I2731" s="107">
        <v>0.66768899858464326</v>
      </c>
      <c r="J2731" s="108">
        <v>1.2592052663275635E-3</v>
      </c>
      <c r="K2731" s="108"/>
      <c r="L2731" s="108">
        <v>3.8800000000000001E-2</v>
      </c>
      <c r="O2731" s="105"/>
    </row>
    <row r="2732" spans="2:15" x14ac:dyDescent="0.2">
      <c r="B2732" s="1">
        <v>2717</v>
      </c>
      <c r="C2732" s="106">
        <f ca="1"/>
        <v>0.77046543946134505</v>
      </c>
      <c r="D2732" s="106">
        <f t="shared" ca="1" si="165"/>
        <v>0.71697277451149166</v>
      </c>
      <c r="E2732" s="106">
        <f t="shared" ca="1" si="166"/>
        <v>0</v>
      </c>
      <c r="F2732" s="21">
        <f t="shared" ca="1" si="167"/>
        <v>0</v>
      </c>
      <c r="H2732" s="21">
        <v>2717</v>
      </c>
      <c r="I2732" s="107">
        <v>0.66767939913916052</v>
      </c>
      <c r="J2732" s="108">
        <v>1.3682604303507447E-3</v>
      </c>
      <c r="K2732" s="108"/>
      <c r="L2732" s="108">
        <v>4.0800000000000003E-2</v>
      </c>
      <c r="O2732" s="105"/>
    </row>
    <row r="2733" spans="2:15" x14ac:dyDescent="0.2">
      <c r="B2733" s="1">
        <v>2718</v>
      </c>
      <c r="C2733" s="106">
        <f ca="1"/>
        <v>1.1757443655127646</v>
      </c>
      <c r="D2733" s="106">
        <f t="shared" ca="1" si="165"/>
        <v>0.74621601233274792</v>
      </c>
      <c r="E2733" s="106">
        <f t="shared" ca="1" si="166"/>
        <v>0</v>
      </c>
      <c r="F2733" s="21">
        <f t="shared" ca="1" si="167"/>
        <v>0</v>
      </c>
      <c r="H2733" s="21">
        <v>2718</v>
      </c>
      <c r="I2733" s="107">
        <v>0.66773937432203356</v>
      </c>
      <c r="J2733" s="108">
        <v>1.2452826950240126E-3</v>
      </c>
      <c r="K2733" s="108"/>
      <c r="L2733" s="108">
        <v>4.1799999999999997E-2</v>
      </c>
      <c r="O2733" s="105"/>
    </row>
    <row r="2734" spans="2:15" x14ac:dyDescent="0.2">
      <c r="B2734" s="1">
        <v>2719</v>
      </c>
      <c r="C2734" s="106">
        <f ca="1"/>
        <v>0.43101911417120015</v>
      </c>
      <c r="D2734" s="106">
        <f t="shared" ca="1" si="165"/>
        <v>0.69336352789876676</v>
      </c>
      <c r="E2734" s="106">
        <f t="shared" ca="1" si="166"/>
        <v>0</v>
      </c>
      <c r="F2734" s="21">
        <f t="shared" ca="1" si="167"/>
        <v>0</v>
      </c>
      <c r="H2734" s="21">
        <v>2719</v>
      </c>
      <c r="I2734" s="107">
        <v>0.66778697003892773</v>
      </c>
      <c r="J2734" s="108">
        <v>1.601826137396645E-3</v>
      </c>
      <c r="K2734" s="108"/>
      <c r="L2734" s="108">
        <v>4.4400000000000002E-2</v>
      </c>
      <c r="O2734" s="105"/>
    </row>
    <row r="2735" spans="2:15" x14ac:dyDescent="0.2">
      <c r="B2735" s="1">
        <v>2720</v>
      </c>
      <c r="C2735" s="106">
        <f ca="1"/>
        <v>1.9379018274622906</v>
      </c>
      <c r="D2735" s="106">
        <f t="shared" ca="1" si="165"/>
        <v>0.80447938504315941</v>
      </c>
      <c r="E2735" s="106">
        <f t="shared" ca="1" si="166"/>
        <v>1.62793850431594E-2</v>
      </c>
      <c r="F2735" s="21">
        <f t="shared" ca="1" si="167"/>
        <v>1</v>
      </c>
      <c r="H2735" s="21">
        <v>2720</v>
      </c>
      <c r="I2735" s="107">
        <v>0.66765737863006047</v>
      </c>
      <c r="J2735" s="108">
        <v>1.227471424064525E-3</v>
      </c>
      <c r="K2735" s="108"/>
      <c r="L2735" s="108">
        <v>3.8800000000000001E-2</v>
      </c>
      <c r="O2735" s="105"/>
    </row>
    <row r="2736" spans="2:15" x14ac:dyDescent="0.2">
      <c r="B2736" s="1">
        <v>2721</v>
      </c>
      <c r="C2736" s="106">
        <f ca="1"/>
        <v>0.21916409725713801</v>
      </c>
      <c r="D2736" s="106">
        <f t="shared" ca="1" si="165"/>
        <v>0.67902420381798589</v>
      </c>
      <c r="E2736" s="106">
        <f t="shared" ca="1" si="166"/>
        <v>0</v>
      </c>
      <c r="F2736" s="21">
        <f t="shared" ca="1" si="167"/>
        <v>0</v>
      </c>
      <c r="H2736" s="21">
        <v>2721</v>
      </c>
      <c r="I2736" s="107">
        <v>0.66770857165368769</v>
      </c>
      <c r="J2736" s="108">
        <v>1.3451899681938236E-3</v>
      </c>
      <c r="K2736" s="108"/>
      <c r="L2736" s="108">
        <v>4.2799999999999998E-2</v>
      </c>
      <c r="O2736" s="105"/>
    </row>
    <row r="2737" spans="2:15" x14ac:dyDescent="0.2">
      <c r="B2737" s="1">
        <v>2722</v>
      </c>
      <c r="C2737" s="106">
        <f ca="1"/>
        <v>6.0255208777439638E-2</v>
      </c>
      <c r="D2737" s="106">
        <f t="shared" ca="1" si="165"/>
        <v>0.66846349636203073</v>
      </c>
      <c r="E2737" s="106">
        <f t="shared" ca="1" si="166"/>
        <v>0</v>
      </c>
      <c r="F2737" s="21">
        <f t="shared" ca="1" si="167"/>
        <v>0</v>
      </c>
      <c r="H2737" s="21">
        <v>2722</v>
      </c>
      <c r="I2737" s="107">
        <v>0.66784414401189374</v>
      </c>
      <c r="J2737" s="108">
        <v>1.5505340093379112E-3</v>
      </c>
      <c r="K2737" s="108"/>
      <c r="L2737" s="108">
        <v>4.6399999999999997E-2</v>
      </c>
      <c r="O2737" s="105"/>
    </row>
    <row r="2738" spans="2:15" x14ac:dyDescent="0.2">
      <c r="B2738" s="1">
        <v>2723</v>
      </c>
      <c r="C2738" s="106">
        <f ca="1"/>
        <v>0.66927908164230443</v>
      </c>
      <c r="D2738" s="106">
        <f t="shared" ca="1" si="165"/>
        <v>0.70985215219162889</v>
      </c>
      <c r="E2738" s="106">
        <f t="shared" ca="1" si="166"/>
        <v>0</v>
      </c>
      <c r="F2738" s="21">
        <f t="shared" ca="1" si="167"/>
        <v>0</v>
      </c>
      <c r="H2738" s="21">
        <v>2723</v>
      </c>
      <c r="I2738" s="107">
        <v>0.66774166472808383</v>
      </c>
      <c r="J2738" s="108">
        <v>1.2889502916162779E-3</v>
      </c>
      <c r="K2738" s="108"/>
      <c r="L2738" s="108">
        <v>4.1000000000000002E-2</v>
      </c>
      <c r="O2738" s="105"/>
    </row>
    <row r="2739" spans="2:15" x14ac:dyDescent="0.2">
      <c r="B2739" s="1">
        <v>2724</v>
      </c>
      <c r="C2739" s="106">
        <f ca="1"/>
        <v>-0.56219280112656345</v>
      </c>
      <c r="D2739" s="106">
        <f t="shared" ca="1" si="165"/>
        <v>0.62865504795529925</v>
      </c>
      <c r="E2739" s="106">
        <f t="shared" ca="1" si="166"/>
        <v>0</v>
      </c>
      <c r="F2739" s="21">
        <f t="shared" ca="1" si="167"/>
        <v>0</v>
      </c>
      <c r="H2739" s="21">
        <v>2724</v>
      </c>
      <c r="I2739" s="107">
        <v>0.66767533970648851</v>
      </c>
      <c r="J2739" s="108">
        <v>1.4029988138110358E-3</v>
      </c>
      <c r="K2739" s="108"/>
      <c r="L2739" s="108">
        <v>3.9600000000000003E-2</v>
      </c>
      <c r="O2739" s="105"/>
    </row>
    <row r="2740" spans="2:15" x14ac:dyDescent="0.2">
      <c r="B2740" s="1">
        <v>2725</v>
      </c>
      <c r="C2740" s="106">
        <f ca="1"/>
        <v>0.23142281724988908</v>
      </c>
      <c r="D2740" s="106">
        <f t="shared" ca="1" si="165"/>
        <v>0.67984578765220838</v>
      </c>
      <c r="E2740" s="106">
        <f t="shared" ca="1" si="166"/>
        <v>0</v>
      </c>
      <c r="F2740" s="21">
        <f t="shared" ca="1" si="167"/>
        <v>0</v>
      </c>
      <c r="H2740" s="21">
        <v>2725</v>
      </c>
      <c r="I2740" s="107">
        <v>0.66796070209008529</v>
      </c>
      <c r="J2740" s="108">
        <v>1.5677042514216019E-3</v>
      </c>
      <c r="K2740" s="108"/>
      <c r="L2740" s="108">
        <v>4.82E-2</v>
      </c>
      <c r="O2740" s="105"/>
    </row>
    <row r="2741" spans="2:15" x14ac:dyDescent="0.2">
      <c r="B2741" s="1">
        <v>2726</v>
      </c>
      <c r="C2741" s="106">
        <f ca="1"/>
        <v>-0.51131513501592385</v>
      </c>
      <c r="D2741" s="106">
        <f t="shared" ca="1" si="165"/>
        <v>0.63181797174990217</v>
      </c>
      <c r="E2741" s="106">
        <f t="shared" ca="1" si="166"/>
        <v>0</v>
      </c>
      <c r="F2741" s="21">
        <f t="shared" ca="1" si="167"/>
        <v>0</v>
      </c>
      <c r="H2741" s="21">
        <v>2726</v>
      </c>
      <c r="I2741" s="107">
        <v>0.66776364671366983</v>
      </c>
      <c r="J2741" s="108">
        <v>1.2779852749661871E-3</v>
      </c>
      <c r="K2741" s="108"/>
      <c r="L2741" s="108">
        <v>3.9399999999999998E-2</v>
      </c>
      <c r="O2741" s="105"/>
    </row>
    <row r="2742" spans="2:15" x14ac:dyDescent="0.2">
      <c r="B2742" s="1">
        <v>2727</v>
      </c>
      <c r="C2742" s="106">
        <f ca="1"/>
        <v>-4.0904184061743808E-2</v>
      </c>
      <c r="D2742" s="106">
        <f t="shared" ca="1" si="165"/>
        <v>0.66182640479005506</v>
      </c>
      <c r="E2742" s="106">
        <f t="shared" ca="1" si="166"/>
        <v>0</v>
      </c>
      <c r="F2742" s="21">
        <f t="shared" ca="1" si="167"/>
        <v>0</v>
      </c>
      <c r="H2742" s="21">
        <v>2727</v>
      </c>
      <c r="I2742" s="107">
        <v>0.66783633055675695</v>
      </c>
      <c r="J2742" s="108">
        <v>1.5120336564903583E-3</v>
      </c>
      <c r="K2742" s="108"/>
      <c r="L2742" s="108">
        <v>4.7E-2</v>
      </c>
      <c r="O2742" s="105"/>
    </row>
    <row r="2743" spans="2:15" x14ac:dyDescent="0.2">
      <c r="B2743" s="1">
        <v>2728</v>
      </c>
      <c r="C2743" s="106">
        <f ca="1"/>
        <v>-0.29151876809200244</v>
      </c>
      <c r="D2743" s="106">
        <f t="shared" ca="1" si="165"/>
        <v>0.64566599747956943</v>
      </c>
      <c r="E2743" s="106">
        <f t="shared" ca="1" si="166"/>
        <v>0</v>
      </c>
      <c r="F2743" s="21">
        <f t="shared" ca="1" si="167"/>
        <v>0</v>
      </c>
      <c r="H2743" s="21">
        <v>2728</v>
      </c>
      <c r="I2743" s="107">
        <v>0.66768599331934364</v>
      </c>
      <c r="J2743" s="108">
        <v>1.3144133480881561E-3</v>
      </c>
      <c r="K2743" s="108"/>
      <c r="L2743" s="108">
        <v>3.8600000000000002E-2</v>
      </c>
      <c r="O2743" s="105"/>
    </row>
    <row r="2744" spans="2:15" x14ac:dyDescent="0.2">
      <c r="B2744" s="1">
        <v>2729</v>
      </c>
      <c r="C2744" s="106">
        <f ca="1"/>
        <v>-5.5549046298289904E-3</v>
      </c>
      <c r="D2744" s="106">
        <f t="shared" ca="1" si="165"/>
        <v>0.66413815521940245</v>
      </c>
      <c r="E2744" s="106">
        <f t="shared" ca="1" si="166"/>
        <v>0</v>
      </c>
      <c r="F2744" s="21">
        <f t="shared" ca="1" si="167"/>
        <v>0</v>
      </c>
      <c r="H2744" s="21">
        <v>2729</v>
      </c>
      <c r="I2744" s="107">
        <v>0.66775972956130958</v>
      </c>
      <c r="J2744" s="108">
        <v>1.3597886822898165E-3</v>
      </c>
      <c r="K2744" s="108"/>
      <c r="L2744" s="108">
        <v>4.2599999999999999E-2</v>
      </c>
      <c r="O2744" s="105"/>
    </row>
    <row r="2745" spans="2:15" x14ac:dyDescent="0.2">
      <c r="B2745" s="1">
        <v>2730</v>
      </c>
      <c r="C2745" s="106">
        <f ca="1"/>
        <v>0.16127386796249957</v>
      </c>
      <c r="D2745" s="106">
        <f t="shared" ca="1" si="165"/>
        <v>0.67515777495115603</v>
      </c>
      <c r="E2745" s="106">
        <f t="shared" ca="1" si="166"/>
        <v>0</v>
      </c>
      <c r="F2745" s="21">
        <f t="shared" ca="1" si="167"/>
        <v>0</v>
      </c>
      <c r="H2745" s="21">
        <v>2730</v>
      </c>
      <c r="I2745" s="107">
        <v>0.66765825356855113</v>
      </c>
      <c r="J2745" s="108">
        <v>1.2500483022349241E-3</v>
      </c>
      <c r="K2745" s="108"/>
      <c r="L2745" s="108">
        <v>4.2599999999999999E-2</v>
      </c>
      <c r="O2745" s="105"/>
    </row>
    <row r="2746" spans="2:15" x14ac:dyDescent="0.2">
      <c r="B2746" s="1">
        <v>2731</v>
      </c>
      <c r="C2746" s="106">
        <f ca="1"/>
        <v>-1.460858892796187</v>
      </c>
      <c r="D2746" s="106">
        <f t="shared" ca="1" si="165"/>
        <v>0.57532613892847095</v>
      </c>
      <c r="E2746" s="106">
        <f t="shared" ca="1" si="166"/>
        <v>0</v>
      </c>
      <c r="F2746" s="21">
        <f t="shared" ca="1" si="167"/>
        <v>0</v>
      </c>
      <c r="H2746" s="21">
        <v>2731</v>
      </c>
      <c r="I2746" s="107">
        <v>0.66777973868919693</v>
      </c>
      <c r="J2746" s="108">
        <v>1.428814467439728E-3</v>
      </c>
      <c r="K2746" s="108"/>
      <c r="L2746" s="108">
        <v>4.0800000000000003E-2</v>
      </c>
      <c r="O2746" s="105"/>
    </row>
    <row r="2747" spans="2:15" x14ac:dyDescent="0.2">
      <c r="B2747" s="1">
        <v>2732</v>
      </c>
      <c r="C2747" s="106">
        <f ca="1"/>
        <v>-1.4013034940646778</v>
      </c>
      <c r="D2747" s="106">
        <f t="shared" ca="1" si="165"/>
        <v>0.57871591044407189</v>
      </c>
      <c r="E2747" s="106">
        <f t="shared" ca="1" si="166"/>
        <v>0</v>
      </c>
      <c r="F2747" s="21">
        <f t="shared" ca="1" si="167"/>
        <v>0</v>
      </c>
      <c r="H2747" s="21">
        <v>2732</v>
      </c>
      <c r="I2747" s="107">
        <v>0.66768761016430556</v>
      </c>
      <c r="J2747" s="108">
        <v>1.3687372456145388E-3</v>
      </c>
      <c r="K2747" s="108"/>
      <c r="L2747" s="108">
        <v>4.1599999999999998E-2</v>
      </c>
      <c r="O2747" s="105"/>
    </row>
    <row r="2748" spans="2:15" x14ac:dyDescent="0.2">
      <c r="B2748" s="1">
        <v>2733</v>
      </c>
      <c r="C2748" s="106">
        <f ca="1"/>
        <v>-1.6243506345747718</v>
      </c>
      <c r="D2748" s="106">
        <f t="shared" ca="1" si="165"/>
        <v>0.56612224529935429</v>
      </c>
      <c r="E2748" s="106">
        <f t="shared" ca="1" si="166"/>
        <v>0</v>
      </c>
      <c r="F2748" s="21">
        <f t="shared" ca="1" si="167"/>
        <v>0</v>
      </c>
      <c r="H2748" s="21">
        <v>2733</v>
      </c>
      <c r="I2748" s="107">
        <v>0.66772575190480332</v>
      </c>
      <c r="J2748" s="108">
        <v>1.2554891539805022E-3</v>
      </c>
      <c r="K2748" s="108"/>
      <c r="L2748" s="108">
        <v>4.1200000000000001E-2</v>
      </c>
      <c r="O2748" s="105"/>
    </row>
    <row r="2749" spans="2:15" x14ac:dyDescent="0.2">
      <c r="B2749" s="1">
        <v>2734</v>
      </c>
      <c r="C2749" s="106">
        <f ca="1"/>
        <v>0.47386445505225738</v>
      </c>
      <c r="D2749" s="106">
        <f t="shared" ca="1" si="165"/>
        <v>0.69630010598514669</v>
      </c>
      <c r="E2749" s="106">
        <f t="shared" ca="1" si="166"/>
        <v>0</v>
      </c>
      <c r="F2749" s="21">
        <f t="shared" ca="1" si="167"/>
        <v>0</v>
      </c>
      <c r="H2749" s="21">
        <v>2734</v>
      </c>
      <c r="I2749" s="107">
        <v>0.66770752099180664</v>
      </c>
      <c r="J2749" s="108">
        <v>1.1798482115862687E-3</v>
      </c>
      <c r="K2749" s="108"/>
      <c r="L2749" s="108">
        <v>4.2000000000000003E-2</v>
      </c>
      <c r="O2749" s="105"/>
    </row>
    <row r="2750" spans="2:15" x14ac:dyDescent="0.2">
      <c r="B2750" s="1">
        <v>2735</v>
      </c>
      <c r="C2750" s="106">
        <f ca="1"/>
        <v>0.4229334606199997</v>
      </c>
      <c r="D2750" s="106">
        <f t="shared" ca="1" si="165"/>
        <v>0.69281073578041252</v>
      </c>
      <c r="E2750" s="106">
        <f t="shared" ca="1" si="166"/>
        <v>0</v>
      </c>
      <c r="F2750" s="21">
        <f t="shared" ca="1" si="167"/>
        <v>0</v>
      </c>
      <c r="H2750" s="21">
        <v>2735</v>
      </c>
      <c r="I2750" s="107">
        <v>0.66783431657970183</v>
      </c>
      <c r="J2750" s="108">
        <v>1.5168600307950352E-3</v>
      </c>
      <c r="K2750" s="108"/>
      <c r="L2750" s="108">
        <v>4.5999999999999999E-2</v>
      </c>
      <c r="O2750" s="105"/>
    </row>
    <row r="2751" spans="2:15" x14ac:dyDescent="0.2">
      <c r="B2751" s="1">
        <v>2736</v>
      </c>
      <c r="C2751" s="106">
        <f ca="1"/>
        <v>0.12900477123516974</v>
      </c>
      <c r="D2751" s="106">
        <f t="shared" ca="1" si="165"/>
        <v>0.67301211956084561</v>
      </c>
      <c r="E2751" s="106">
        <f t="shared" ca="1" si="166"/>
        <v>0</v>
      </c>
      <c r="F2751" s="21">
        <f t="shared" ca="1" si="167"/>
        <v>0</v>
      </c>
      <c r="H2751" s="21">
        <v>2736</v>
      </c>
      <c r="I2751" s="107">
        <v>0.66776359334310242</v>
      </c>
      <c r="J2751" s="108">
        <v>1.4296507921260618E-3</v>
      </c>
      <c r="K2751" s="108"/>
      <c r="L2751" s="108">
        <v>4.1000000000000002E-2</v>
      </c>
      <c r="O2751" s="105"/>
    </row>
    <row r="2752" spans="2:15" x14ac:dyDescent="0.2">
      <c r="B2752" s="1">
        <v>2737</v>
      </c>
      <c r="C2752" s="106">
        <f ca="1"/>
        <v>-6.0007818961782255E-2</v>
      </c>
      <c r="D2752" s="106">
        <f t="shared" ca="1" si="165"/>
        <v>0.66058042823470275</v>
      </c>
      <c r="E2752" s="106">
        <f t="shared" ca="1" si="166"/>
        <v>0</v>
      </c>
      <c r="F2752" s="21">
        <f t="shared" ca="1" si="167"/>
        <v>0</v>
      </c>
      <c r="H2752" s="21">
        <v>2737</v>
      </c>
      <c r="I2752" s="107">
        <v>0.66773775783116651</v>
      </c>
      <c r="J2752" s="108">
        <v>1.3628788767398327E-3</v>
      </c>
      <c r="K2752" s="108"/>
      <c r="L2752" s="108">
        <v>4.3799999999999999E-2</v>
      </c>
      <c r="O2752" s="105"/>
    </row>
    <row r="2753" spans="2:15" x14ac:dyDescent="0.2">
      <c r="B2753" s="1">
        <v>2738</v>
      </c>
      <c r="C2753" s="106">
        <f ca="1"/>
        <v>1.8719391116705015</v>
      </c>
      <c r="D2753" s="106">
        <f t="shared" ca="1" si="165"/>
        <v>0.79926191200639918</v>
      </c>
      <c r="E2753" s="106">
        <f t="shared" ca="1" si="166"/>
        <v>1.1061912006399166E-2</v>
      </c>
      <c r="F2753" s="21">
        <f t="shared" ca="1" si="167"/>
        <v>1</v>
      </c>
      <c r="H2753" s="21">
        <v>2738</v>
      </c>
      <c r="I2753" s="107">
        <v>0.66767361220131716</v>
      </c>
      <c r="J2753" s="108">
        <v>1.3283052946304768E-3</v>
      </c>
      <c r="K2753" s="108"/>
      <c r="L2753" s="108">
        <v>4.0399999999999998E-2</v>
      </c>
      <c r="O2753" s="105"/>
    </row>
    <row r="2754" spans="2:15" x14ac:dyDescent="0.2">
      <c r="B2754" s="1">
        <v>2739</v>
      </c>
      <c r="C2754" s="106">
        <f ca="1"/>
        <v>-1.2396260292138852</v>
      </c>
      <c r="D2754" s="106">
        <f t="shared" ca="1" si="165"/>
        <v>0.58801930624203791</v>
      </c>
      <c r="E2754" s="106">
        <f t="shared" ca="1" si="166"/>
        <v>0</v>
      </c>
      <c r="F2754" s="21">
        <f t="shared" ca="1" si="167"/>
        <v>0</v>
      </c>
      <c r="H2754" s="21">
        <v>2739</v>
      </c>
      <c r="I2754" s="107">
        <v>0.66763798236364513</v>
      </c>
      <c r="J2754" s="108">
        <v>1.2835242666329684E-3</v>
      </c>
      <c r="K2754" s="108"/>
      <c r="L2754" s="108">
        <v>3.8399999999999997E-2</v>
      </c>
      <c r="O2754" s="105"/>
    </row>
    <row r="2755" spans="2:15" x14ac:dyDescent="0.2">
      <c r="B2755" s="1">
        <v>2740</v>
      </c>
      <c r="C2755" s="106">
        <f ca="1"/>
        <v>0.79377047538911072</v>
      </c>
      <c r="D2755" s="106">
        <f t="shared" ca="1" si="165"/>
        <v>0.71862287587954887</v>
      </c>
      <c r="E2755" s="106">
        <f t="shared" ca="1" si="166"/>
        <v>0</v>
      </c>
      <c r="F2755" s="21">
        <f t="shared" ca="1" si="167"/>
        <v>0</v>
      </c>
      <c r="H2755" s="21">
        <v>2740</v>
      </c>
      <c r="I2755" s="107">
        <v>0.66779797600644109</v>
      </c>
      <c r="J2755" s="108">
        <v>1.4455598753603555E-3</v>
      </c>
      <c r="K2755" s="108"/>
      <c r="L2755" s="108">
        <v>4.2599999999999999E-2</v>
      </c>
      <c r="O2755" s="105"/>
    </row>
    <row r="2756" spans="2:15" x14ac:dyDescent="0.2">
      <c r="B2756" s="1">
        <v>2741</v>
      </c>
      <c r="C2756" s="106">
        <f ca="1"/>
        <v>-0.80147665417537473</v>
      </c>
      <c r="D2756" s="106">
        <f t="shared" ca="1" si="165"/>
        <v>0.61399047582551969</v>
      </c>
      <c r="E2756" s="106">
        <f t="shared" ca="1" si="166"/>
        <v>0</v>
      </c>
      <c r="F2756" s="21">
        <f t="shared" ca="1" si="167"/>
        <v>0</v>
      </c>
      <c r="H2756" s="21">
        <v>2741</v>
      </c>
      <c r="I2756" s="107">
        <v>0.66783781840643242</v>
      </c>
      <c r="J2756" s="108">
        <v>1.5380374668241133E-3</v>
      </c>
      <c r="K2756" s="108"/>
      <c r="L2756" s="108">
        <v>4.24E-2</v>
      </c>
      <c r="O2756" s="105"/>
    </row>
    <row r="2757" spans="2:15" x14ac:dyDescent="0.2">
      <c r="B2757" s="1">
        <v>2742</v>
      </c>
      <c r="C2757" s="106">
        <f ca="1"/>
        <v>-0.69423126110686895</v>
      </c>
      <c r="D2757" s="106">
        <f t="shared" ca="1" si="165"/>
        <v>0.62052025311045755</v>
      </c>
      <c r="E2757" s="106">
        <f t="shared" ca="1" si="166"/>
        <v>0</v>
      </c>
      <c r="F2757" s="21">
        <f t="shared" ca="1" si="167"/>
        <v>0</v>
      </c>
      <c r="H2757" s="21">
        <v>2742</v>
      </c>
      <c r="I2757" s="107">
        <v>0.66776012260908968</v>
      </c>
      <c r="J2757" s="108">
        <v>1.2582961040234005E-3</v>
      </c>
      <c r="K2757" s="108"/>
      <c r="L2757" s="108">
        <v>4.3200000000000002E-2</v>
      </c>
      <c r="O2757" s="105"/>
    </row>
    <row r="2758" spans="2:15" x14ac:dyDescent="0.2">
      <c r="B2758" s="1">
        <v>2743</v>
      </c>
      <c r="C2758" s="106">
        <f ca="1"/>
        <v>-1.0585116712135021</v>
      </c>
      <c r="D2758" s="106">
        <f t="shared" ca="1" si="165"/>
        <v>0.59861888377800743</v>
      </c>
      <c r="E2758" s="106">
        <f t="shared" ca="1" si="166"/>
        <v>0</v>
      </c>
      <c r="F2758" s="21">
        <f t="shared" ca="1" si="167"/>
        <v>0</v>
      </c>
      <c r="H2758" s="21">
        <v>2743</v>
      </c>
      <c r="I2758" s="107">
        <v>0.66771134954619815</v>
      </c>
      <c r="J2758" s="108">
        <v>1.4010221462853376E-3</v>
      </c>
      <c r="K2758" s="108"/>
      <c r="L2758" s="108">
        <v>3.7400000000000003E-2</v>
      </c>
      <c r="O2758" s="105"/>
    </row>
    <row r="2759" spans="2:15" x14ac:dyDescent="0.2">
      <c r="B2759" s="1">
        <v>2744</v>
      </c>
      <c r="C2759" s="106">
        <f ca="1"/>
        <v>-0.28741288030055845</v>
      </c>
      <c r="D2759" s="106">
        <f t="shared" ca="1" si="165"/>
        <v>0.64592755176665673</v>
      </c>
      <c r="E2759" s="106">
        <f t="shared" ca="1" si="166"/>
        <v>0</v>
      </c>
      <c r="F2759" s="21">
        <f t="shared" ca="1" si="167"/>
        <v>0</v>
      </c>
      <c r="H2759" s="21">
        <v>2744</v>
      </c>
      <c r="I2759" s="107">
        <v>0.66777125805899173</v>
      </c>
      <c r="J2759" s="108">
        <v>1.4706447862281634E-3</v>
      </c>
      <c r="K2759" s="108"/>
      <c r="L2759" s="108">
        <v>4.1799999999999997E-2</v>
      </c>
      <c r="O2759" s="105"/>
    </row>
    <row r="2760" spans="2:15" x14ac:dyDescent="0.2">
      <c r="B2760" s="1">
        <v>2745</v>
      </c>
      <c r="C2760" s="106">
        <f ca="1"/>
        <v>0.54163901311996299</v>
      </c>
      <c r="D2760" s="106">
        <f t="shared" ca="1" si="165"/>
        <v>0.70097072642140523</v>
      </c>
      <c r="E2760" s="106">
        <f t="shared" ca="1" si="166"/>
        <v>0</v>
      </c>
      <c r="F2760" s="21">
        <f t="shared" ca="1" si="167"/>
        <v>0</v>
      </c>
      <c r="H2760" s="21">
        <v>2745</v>
      </c>
      <c r="I2760" s="107">
        <v>0.66784599095474118</v>
      </c>
      <c r="J2760" s="108">
        <v>1.5697433322476176E-3</v>
      </c>
      <c r="K2760" s="108"/>
      <c r="L2760" s="108">
        <v>4.3999999999999997E-2</v>
      </c>
      <c r="O2760" s="105"/>
    </row>
    <row r="2761" spans="2:15" x14ac:dyDescent="0.2">
      <c r="B2761" s="1">
        <v>2746</v>
      </c>
      <c r="C2761" s="106">
        <f ca="1"/>
        <v>1.2382242719933672</v>
      </c>
      <c r="D2761" s="106">
        <f t="shared" ca="1" si="165"/>
        <v>0.75082921806578229</v>
      </c>
      <c r="E2761" s="106">
        <f t="shared" ca="1" si="166"/>
        <v>0</v>
      </c>
      <c r="F2761" s="21">
        <f t="shared" ca="1" si="167"/>
        <v>0</v>
      </c>
      <c r="H2761" s="21">
        <v>2746</v>
      </c>
      <c r="I2761" s="107">
        <v>0.66780818804434106</v>
      </c>
      <c r="J2761" s="108">
        <v>1.5410533452669636E-3</v>
      </c>
      <c r="K2761" s="108"/>
      <c r="L2761" s="108">
        <v>4.4600000000000001E-2</v>
      </c>
      <c r="O2761" s="105"/>
    </row>
    <row r="2762" spans="2:15" x14ac:dyDescent="0.2">
      <c r="B2762" s="1">
        <v>2747</v>
      </c>
      <c r="C2762" s="106">
        <f ca="1"/>
        <v>-0.82082995787234059</v>
      </c>
      <c r="D2762" s="106">
        <f t="shared" ca="1" si="165"/>
        <v>0.61281946429619572</v>
      </c>
      <c r="E2762" s="106">
        <f t="shared" ca="1" si="166"/>
        <v>0</v>
      </c>
      <c r="F2762" s="21">
        <f t="shared" ca="1" si="167"/>
        <v>0</v>
      </c>
      <c r="H2762" s="21">
        <v>2747</v>
      </c>
      <c r="I2762" s="107">
        <v>0.66779083636601577</v>
      </c>
      <c r="J2762" s="108">
        <v>1.4431667774914528E-3</v>
      </c>
      <c r="K2762" s="108"/>
      <c r="L2762" s="108">
        <v>4.3400000000000001E-2</v>
      </c>
      <c r="O2762" s="105"/>
    </row>
    <row r="2763" spans="2:15" x14ac:dyDescent="0.2">
      <c r="B2763" s="1">
        <v>2748</v>
      </c>
      <c r="C2763" s="106">
        <f ca="1"/>
        <v>0.12102134222187845</v>
      </c>
      <c r="D2763" s="106">
        <f t="shared" ca="1" si="165"/>
        <v>0.67248233382337164</v>
      </c>
      <c r="E2763" s="106">
        <f t="shared" ca="1" si="166"/>
        <v>0</v>
      </c>
      <c r="F2763" s="21">
        <f t="shared" ca="1" si="167"/>
        <v>0</v>
      </c>
      <c r="H2763" s="21">
        <v>2748</v>
      </c>
      <c r="I2763" s="107">
        <v>0.66784344835038012</v>
      </c>
      <c r="J2763" s="108">
        <v>1.5321586196041731E-3</v>
      </c>
      <c r="K2763" s="108"/>
      <c r="L2763" s="108">
        <v>4.58E-2</v>
      </c>
      <c r="O2763" s="105"/>
    </row>
    <row r="2764" spans="2:15" x14ac:dyDescent="0.2">
      <c r="B2764" s="1">
        <v>2749</v>
      </c>
      <c r="C2764" s="106">
        <f ca="1"/>
        <v>0.1163937215075512</v>
      </c>
      <c r="D2764" s="106">
        <f t="shared" ca="1" si="165"/>
        <v>0.67217543274212599</v>
      </c>
      <c r="E2764" s="106">
        <f t="shared" ca="1" si="166"/>
        <v>0</v>
      </c>
      <c r="F2764" s="21">
        <f t="shared" ca="1" si="167"/>
        <v>0</v>
      </c>
      <c r="H2764" s="21">
        <v>2749</v>
      </c>
      <c r="I2764" s="107">
        <v>0.66765604339262086</v>
      </c>
      <c r="J2764" s="108">
        <v>1.1540203554825351E-3</v>
      </c>
      <c r="K2764" s="108"/>
      <c r="L2764" s="108">
        <v>3.7199999999999997E-2</v>
      </c>
      <c r="O2764" s="105"/>
    </row>
    <row r="2765" spans="2:15" x14ac:dyDescent="0.2">
      <c r="B2765" s="1">
        <v>2750</v>
      </c>
      <c r="C2765" s="106">
        <f ca="1"/>
        <v>0.1118841941713536</v>
      </c>
      <c r="D2765" s="106">
        <f t="shared" ca="1" si="165"/>
        <v>0.67187649828955043</v>
      </c>
      <c r="E2765" s="106">
        <f t="shared" ca="1" si="166"/>
        <v>0</v>
      </c>
      <c r="F2765" s="21">
        <f t="shared" ca="1" si="167"/>
        <v>0</v>
      </c>
      <c r="H2765" s="21">
        <v>2750</v>
      </c>
      <c r="I2765" s="107">
        <v>0.66781475850177052</v>
      </c>
      <c r="J2765" s="108">
        <v>1.5000370798931586E-3</v>
      </c>
      <c r="K2765" s="108"/>
      <c r="L2765" s="108">
        <v>4.2799999999999998E-2</v>
      </c>
      <c r="O2765" s="105"/>
    </row>
    <row r="2766" spans="2:15" x14ac:dyDescent="0.2">
      <c r="B2766" s="1">
        <v>2751</v>
      </c>
      <c r="C2766" s="106">
        <f ca="1"/>
        <v>-0.17527945139037507</v>
      </c>
      <c r="D2766" s="106">
        <f t="shared" ca="1" si="165"/>
        <v>0.65311180926974699</v>
      </c>
      <c r="E2766" s="106">
        <f t="shared" ca="1" si="166"/>
        <v>0</v>
      </c>
      <c r="F2766" s="21">
        <f t="shared" ca="1" si="167"/>
        <v>0</v>
      </c>
      <c r="H2766" s="21">
        <v>2751</v>
      </c>
      <c r="I2766" s="107">
        <v>0.66779166152024561</v>
      </c>
      <c r="J2766" s="108">
        <v>1.403552640729968E-3</v>
      </c>
      <c r="K2766" s="108"/>
      <c r="L2766" s="108">
        <v>4.2599999999999999E-2</v>
      </c>
      <c r="O2766" s="105"/>
    </row>
    <row r="2767" spans="2:15" x14ac:dyDescent="0.2">
      <c r="B2767" s="1">
        <v>2752</v>
      </c>
      <c r="C2767" s="106">
        <f ca="1"/>
        <v>-0.29782316567758943</v>
      </c>
      <c r="D2767" s="106">
        <f t="shared" ca="1" si="165"/>
        <v>0.64526459931774593</v>
      </c>
      <c r="E2767" s="106">
        <f t="shared" ca="1" si="166"/>
        <v>0</v>
      </c>
      <c r="F2767" s="21">
        <f t="shared" ca="1" si="167"/>
        <v>0</v>
      </c>
      <c r="H2767" s="21">
        <v>2752</v>
      </c>
      <c r="I2767" s="107">
        <v>0.66760539995285517</v>
      </c>
      <c r="J2767" s="108">
        <v>1.1942781895160684E-3</v>
      </c>
      <c r="K2767" s="108"/>
      <c r="L2767" s="108">
        <v>3.9199999999999999E-2</v>
      </c>
      <c r="O2767" s="105"/>
    </row>
    <row r="2768" spans="2:15" x14ac:dyDescent="0.2">
      <c r="B2768" s="1">
        <v>2753</v>
      </c>
      <c r="C2768" s="106">
        <f ca="1"/>
        <v>-3.4835260037582723</v>
      </c>
      <c r="D2768" s="106">
        <f t="shared" ref="D2768:D2831" ca="1" si="168">S0*EXP((μ-0.5*σ*σ)*T+σ*SQRT(T)*$C2768)</f>
        <v>0.47126403119059662</v>
      </c>
      <c r="E2768" s="106">
        <f t="shared" ref="E2768:E2831" ca="1" si="169">MAX(0,CP*(D2768-K))</f>
        <v>0</v>
      </c>
      <c r="F2768" s="21">
        <f t="shared" ref="F2768:F2831" ca="1" si="170">(CP*(D2768-K)&gt;0)*1</f>
        <v>0</v>
      </c>
      <c r="H2768" s="21">
        <v>2753</v>
      </c>
      <c r="I2768" s="107">
        <v>0.6678115415234136</v>
      </c>
      <c r="J2768" s="108">
        <v>1.431718649977384E-3</v>
      </c>
      <c r="K2768" s="108"/>
      <c r="L2768" s="108">
        <v>4.5400000000000003E-2</v>
      </c>
      <c r="O2768" s="105"/>
    </row>
    <row r="2769" spans="2:15" x14ac:dyDescent="0.2">
      <c r="B2769" s="1">
        <v>2754</v>
      </c>
      <c r="C2769" s="106">
        <f ca="1"/>
        <v>1.1970494589152056</v>
      </c>
      <c r="D2769" s="106">
        <f t="shared" ca="1" si="168"/>
        <v>0.74778588105061028</v>
      </c>
      <c r="E2769" s="106">
        <f t="shared" ca="1" si="169"/>
        <v>0</v>
      </c>
      <c r="F2769" s="21">
        <f t="shared" ca="1" si="170"/>
        <v>0</v>
      </c>
      <c r="H2769" s="21">
        <v>2754</v>
      </c>
      <c r="I2769" s="107">
        <v>0.66768141293551397</v>
      </c>
      <c r="J2769" s="108">
        <v>1.2637923862742098E-3</v>
      </c>
      <c r="K2769" s="108"/>
      <c r="L2769" s="108">
        <v>4.0599999999999997E-2</v>
      </c>
      <c r="O2769" s="105"/>
    </row>
    <row r="2770" spans="2:15" x14ac:dyDescent="0.2">
      <c r="B2770" s="1">
        <v>2755</v>
      </c>
      <c r="C2770" s="106">
        <f ca="1"/>
        <v>1.2017955318912119</v>
      </c>
      <c r="D2770" s="106">
        <f t="shared" ca="1" si="168"/>
        <v>0.74813604564889957</v>
      </c>
      <c r="E2770" s="106">
        <f t="shared" ca="1" si="169"/>
        <v>0</v>
      </c>
      <c r="F2770" s="21">
        <f t="shared" ca="1" si="170"/>
        <v>0</v>
      </c>
      <c r="H2770" s="21">
        <v>2755</v>
      </c>
      <c r="I2770" s="107">
        <v>0.66775733755099564</v>
      </c>
      <c r="J2770" s="108">
        <v>1.3794219430572684E-3</v>
      </c>
      <c r="K2770" s="108"/>
      <c r="L2770" s="108">
        <v>4.0800000000000003E-2</v>
      </c>
      <c r="O2770" s="105"/>
    </row>
    <row r="2771" spans="2:15" x14ac:dyDescent="0.2">
      <c r="B2771" s="1">
        <v>2756</v>
      </c>
      <c r="C2771" s="106">
        <f ca="1"/>
        <v>0.65007481489525032</v>
      </c>
      <c r="D2771" s="106">
        <f t="shared" ca="1" si="168"/>
        <v>0.70850872773814977</v>
      </c>
      <c r="E2771" s="106">
        <f t="shared" ca="1" si="169"/>
        <v>0</v>
      </c>
      <c r="F2771" s="21">
        <f t="shared" ca="1" si="170"/>
        <v>0</v>
      </c>
      <c r="H2771" s="21">
        <v>2756</v>
      </c>
      <c r="I2771" s="107">
        <v>0.6676416736996541</v>
      </c>
      <c r="J2771" s="108">
        <v>1.2102360207833058E-3</v>
      </c>
      <c r="K2771" s="108"/>
      <c r="L2771" s="108">
        <v>4.0800000000000003E-2</v>
      </c>
      <c r="O2771" s="105"/>
    </row>
    <row r="2772" spans="2:15" x14ac:dyDescent="0.2">
      <c r="B2772" s="1">
        <v>2757</v>
      </c>
      <c r="C2772" s="106">
        <f ca="1"/>
        <v>-0.14696413809039313</v>
      </c>
      <c r="D2772" s="106">
        <f t="shared" ca="1" si="168"/>
        <v>0.6549385396643711</v>
      </c>
      <c r="E2772" s="106">
        <f t="shared" ca="1" si="169"/>
        <v>0</v>
      </c>
      <c r="F2772" s="21">
        <f t="shared" ca="1" si="170"/>
        <v>0</v>
      </c>
      <c r="H2772" s="21">
        <v>2757</v>
      </c>
      <c r="I2772" s="107">
        <v>0.66783520188545098</v>
      </c>
      <c r="J2772" s="108">
        <v>1.5108170123705725E-3</v>
      </c>
      <c r="K2772" s="108"/>
      <c r="L2772" s="108">
        <v>4.5600000000000002E-2</v>
      </c>
      <c r="O2772" s="105"/>
    </row>
    <row r="2773" spans="2:15" x14ac:dyDescent="0.2">
      <c r="B2773" s="1">
        <v>2758</v>
      </c>
      <c r="C2773" s="106">
        <f ca="1"/>
        <v>-0.35762561296732404</v>
      </c>
      <c r="D2773" s="106">
        <f t="shared" ca="1" si="168"/>
        <v>0.64146939311895645</v>
      </c>
      <c r="E2773" s="106">
        <f t="shared" ca="1" si="169"/>
        <v>0</v>
      </c>
      <c r="F2773" s="21">
        <f t="shared" ca="1" si="170"/>
        <v>0</v>
      </c>
      <c r="H2773" s="21">
        <v>2758</v>
      </c>
      <c r="I2773" s="107">
        <v>0.66778346321621873</v>
      </c>
      <c r="J2773" s="108">
        <v>1.357349256348652E-3</v>
      </c>
      <c r="K2773" s="108"/>
      <c r="L2773" s="108">
        <v>4.3799999999999999E-2</v>
      </c>
      <c r="O2773" s="105"/>
    </row>
    <row r="2774" spans="2:15" x14ac:dyDescent="0.2">
      <c r="B2774" s="1">
        <v>2759</v>
      </c>
      <c r="C2774" s="106">
        <f ca="1"/>
        <v>-0.26269712406433238</v>
      </c>
      <c r="D2774" s="106">
        <f t="shared" ca="1" si="168"/>
        <v>0.64750424108331817</v>
      </c>
      <c r="E2774" s="106">
        <f t="shared" ca="1" si="169"/>
        <v>0</v>
      </c>
      <c r="F2774" s="21">
        <f t="shared" ca="1" si="170"/>
        <v>0</v>
      </c>
      <c r="H2774" s="21">
        <v>2759</v>
      </c>
      <c r="I2774" s="107">
        <v>0.66775394617013262</v>
      </c>
      <c r="J2774" s="108">
        <v>1.4535816459754398E-3</v>
      </c>
      <c r="K2774" s="108"/>
      <c r="L2774" s="108">
        <v>4.0399999999999998E-2</v>
      </c>
      <c r="O2774" s="105"/>
    </row>
    <row r="2775" spans="2:15" x14ac:dyDescent="0.2">
      <c r="B2775" s="1">
        <v>2760</v>
      </c>
      <c r="C2775" s="106">
        <f ca="1"/>
        <v>-0.86667145013661595</v>
      </c>
      <c r="D2775" s="106">
        <f t="shared" ca="1" si="168"/>
        <v>0.61005463286783934</v>
      </c>
      <c r="E2775" s="106">
        <f t="shared" ca="1" si="169"/>
        <v>0</v>
      </c>
      <c r="F2775" s="21">
        <f t="shared" ca="1" si="170"/>
        <v>0</v>
      </c>
      <c r="H2775" s="21">
        <v>2760</v>
      </c>
      <c r="I2775" s="107">
        <v>0.66779781595638465</v>
      </c>
      <c r="J2775" s="108">
        <v>1.4340921189107867E-3</v>
      </c>
      <c r="K2775" s="108"/>
      <c r="L2775" s="108">
        <v>4.3999999999999997E-2</v>
      </c>
      <c r="O2775" s="105"/>
    </row>
    <row r="2776" spans="2:15" x14ac:dyDescent="0.2">
      <c r="B2776" s="1">
        <v>2761</v>
      </c>
      <c r="C2776" s="106">
        <f ca="1"/>
        <v>-0.69729733996856946</v>
      </c>
      <c r="D2776" s="106">
        <f t="shared" ca="1" si="168"/>
        <v>0.6203326100490627</v>
      </c>
      <c r="E2776" s="106">
        <f t="shared" ca="1" si="169"/>
        <v>0</v>
      </c>
      <c r="F2776" s="21">
        <f t="shared" ca="1" si="170"/>
        <v>0</v>
      </c>
      <c r="H2776" s="21">
        <v>2761</v>
      </c>
      <c r="I2776" s="107">
        <v>0.6677111378838757</v>
      </c>
      <c r="J2776" s="108">
        <v>1.2825412425873683E-3</v>
      </c>
      <c r="K2776" s="108"/>
      <c r="L2776" s="108">
        <v>4.1599999999999998E-2</v>
      </c>
      <c r="O2776" s="105"/>
    </row>
    <row r="2777" spans="2:15" x14ac:dyDescent="0.2">
      <c r="B2777" s="1">
        <v>2762</v>
      </c>
      <c r="C2777" s="106">
        <f ca="1"/>
        <v>-2.3040674874632229E-3</v>
      </c>
      <c r="D2777" s="106">
        <f t="shared" ca="1" si="168"/>
        <v>0.66435115648262744</v>
      </c>
      <c r="E2777" s="106">
        <f t="shared" ca="1" si="169"/>
        <v>0</v>
      </c>
      <c r="F2777" s="21">
        <f t="shared" ca="1" si="170"/>
        <v>0</v>
      </c>
      <c r="H2777" s="21">
        <v>2762</v>
      </c>
      <c r="I2777" s="107">
        <v>0.66768314081163549</v>
      </c>
      <c r="J2777" s="108">
        <v>1.3827290565223496E-3</v>
      </c>
      <c r="K2777" s="108"/>
      <c r="L2777" s="108">
        <v>4.2799999999999998E-2</v>
      </c>
      <c r="O2777" s="105"/>
    </row>
    <row r="2778" spans="2:15" x14ac:dyDescent="0.2">
      <c r="B2778" s="1">
        <v>2763</v>
      </c>
      <c r="C2778" s="106">
        <f ca="1"/>
        <v>1.3287162473841505</v>
      </c>
      <c r="D2778" s="106">
        <f t="shared" ca="1" si="168"/>
        <v>0.75756130764218976</v>
      </c>
      <c r="E2778" s="106">
        <f t="shared" ca="1" si="169"/>
        <v>0</v>
      </c>
      <c r="F2778" s="21">
        <f t="shared" ca="1" si="170"/>
        <v>0</v>
      </c>
      <c r="H2778" s="21">
        <v>2763</v>
      </c>
      <c r="I2778" s="107">
        <v>0.66771975826394714</v>
      </c>
      <c r="J2778" s="108">
        <v>1.3617962468436451E-3</v>
      </c>
      <c r="K2778" s="108"/>
      <c r="L2778" s="108">
        <v>4.2000000000000003E-2</v>
      </c>
      <c r="O2778" s="105"/>
    </row>
    <row r="2779" spans="2:15" x14ac:dyDescent="0.2">
      <c r="B2779" s="1">
        <v>2764</v>
      </c>
      <c r="C2779" s="106">
        <f ca="1"/>
        <v>0.49433746149275426</v>
      </c>
      <c r="D2779" s="106">
        <f t="shared" ca="1" si="168"/>
        <v>0.6977076940777216</v>
      </c>
      <c r="E2779" s="106">
        <f t="shared" ca="1" si="169"/>
        <v>0</v>
      </c>
      <c r="F2779" s="21">
        <f t="shared" ca="1" si="170"/>
        <v>0</v>
      </c>
      <c r="H2779" s="21">
        <v>2764</v>
      </c>
      <c r="I2779" s="107">
        <v>0.66779284992343746</v>
      </c>
      <c r="J2779" s="108">
        <v>1.5016512779522878E-3</v>
      </c>
      <c r="K2779" s="108"/>
      <c r="L2779" s="108">
        <v>4.0800000000000003E-2</v>
      </c>
      <c r="O2779" s="105"/>
    </row>
    <row r="2780" spans="2:15" x14ac:dyDescent="0.2">
      <c r="B2780" s="1">
        <v>2765</v>
      </c>
      <c r="C2780" s="106">
        <f ca="1"/>
        <v>0.1124043405058999</v>
      </c>
      <c r="D2780" s="106">
        <f t="shared" ca="1" si="168"/>
        <v>0.67191097176225734</v>
      </c>
      <c r="E2780" s="106">
        <f t="shared" ca="1" si="169"/>
        <v>0</v>
      </c>
      <c r="F2780" s="21">
        <f t="shared" ca="1" si="170"/>
        <v>0</v>
      </c>
      <c r="H2780" s="21">
        <v>2765</v>
      </c>
      <c r="I2780" s="107">
        <v>0.66783595865185352</v>
      </c>
      <c r="J2780" s="108">
        <v>1.4472865622444946E-3</v>
      </c>
      <c r="K2780" s="108"/>
      <c r="L2780" s="108">
        <v>4.3999999999999997E-2</v>
      </c>
      <c r="O2780" s="105"/>
    </row>
    <row r="2781" spans="2:15" x14ac:dyDescent="0.2">
      <c r="B2781" s="1">
        <v>2766</v>
      </c>
      <c r="C2781" s="106">
        <f ca="1"/>
        <v>-0.77876279106623725</v>
      </c>
      <c r="D2781" s="106">
        <f t="shared" ca="1" si="168"/>
        <v>0.61536767944039528</v>
      </c>
      <c r="E2781" s="106">
        <f t="shared" ca="1" si="169"/>
        <v>0</v>
      </c>
      <c r="F2781" s="21">
        <f t="shared" ca="1" si="170"/>
        <v>0</v>
      </c>
      <c r="H2781" s="21">
        <v>2766</v>
      </c>
      <c r="I2781" s="107">
        <v>0.66784109832151639</v>
      </c>
      <c r="J2781" s="108">
        <v>1.4179300262252175E-3</v>
      </c>
      <c r="K2781" s="108"/>
      <c r="L2781" s="108">
        <v>4.2200000000000001E-2</v>
      </c>
      <c r="O2781" s="105"/>
    </row>
    <row r="2782" spans="2:15" x14ac:dyDescent="0.2">
      <c r="B2782" s="1">
        <v>2767</v>
      </c>
      <c r="C2782" s="106">
        <f ca="1"/>
        <v>-0.13901940765187681</v>
      </c>
      <c r="D2782" s="106">
        <f t="shared" ca="1" si="168"/>
        <v>0.65545200224465705</v>
      </c>
      <c r="E2782" s="106">
        <f t="shared" ca="1" si="169"/>
        <v>0</v>
      </c>
      <c r="F2782" s="21">
        <f t="shared" ca="1" si="170"/>
        <v>0</v>
      </c>
      <c r="H2782" s="21">
        <v>2767</v>
      </c>
      <c r="I2782" s="107">
        <v>0.66776072600245495</v>
      </c>
      <c r="J2782" s="108">
        <v>1.4465708914393658E-3</v>
      </c>
      <c r="K2782" s="108"/>
      <c r="L2782" s="108">
        <v>4.2599999999999999E-2</v>
      </c>
      <c r="O2782" s="105"/>
    </row>
    <row r="2783" spans="2:15" x14ac:dyDescent="0.2">
      <c r="B2783" s="1">
        <v>2768</v>
      </c>
      <c r="C2783" s="106">
        <f ca="1"/>
        <v>0.16915789682355623</v>
      </c>
      <c r="D2783" s="106">
        <f t="shared" ca="1" si="168"/>
        <v>0.67568304333809825</v>
      </c>
      <c r="E2783" s="106">
        <f t="shared" ca="1" si="169"/>
        <v>0</v>
      </c>
      <c r="F2783" s="21">
        <f t="shared" ca="1" si="170"/>
        <v>0</v>
      </c>
      <c r="H2783" s="21">
        <v>2768</v>
      </c>
      <c r="I2783" s="107">
        <v>0.66776615116568794</v>
      </c>
      <c r="J2783" s="108">
        <v>1.4080178131439642E-3</v>
      </c>
      <c r="K2783" s="108"/>
      <c r="L2783" s="108">
        <v>3.9600000000000003E-2</v>
      </c>
      <c r="O2783" s="105"/>
    </row>
    <row r="2784" spans="2:15" x14ac:dyDescent="0.2">
      <c r="B2784" s="1">
        <v>2769</v>
      </c>
      <c r="C2784" s="106">
        <f ca="1"/>
        <v>0.64462067240314536</v>
      </c>
      <c r="D2784" s="106">
        <f t="shared" ca="1" si="168"/>
        <v>0.70812764983734178</v>
      </c>
      <c r="E2784" s="106">
        <f t="shared" ca="1" si="169"/>
        <v>0</v>
      </c>
      <c r="F2784" s="21">
        <f t="shared" ca="1" si="170"/>
        <v>0</v>
      </c>
      <c r="H2784" s="21">
        <v>2769</v>
      </c>
      <c r="I2784" s="107">
        <v>0.66770198632699995</v>
      </c>
      <c r="J2784" s="108">
        <v>1.3337730171137619E-3</v>
      </c>
      <c r="K2784" s="108"/>
      <c r="L2784" s="108">
        <v>3.8800000000000001E-2</v>
      </c>
      <c r="O2784" s="105"/>
    </row>
    <row r="2785" spans="2:15" x14ac:dyDescent="0.2">
      <c r="B2785" s="1">
        <v>2770</v>
      </c>
      <c r="C2785" s="106">
        <f ca="1"/>
        <v>0.13200289761708761</v>
      </c>
      <c r="D2785" s="106">
        <f t="shared" ca="1" si="168"/>
        <v>0.67321118503479016</v>
      </c>
      <c r="E2785" s="106">
        <f t="shared" ca="1" si="169"/>
        <v>0</v>
      </c>
      <c r="F2785" s="21">
        <f t="shared" ca="1" si="170"/>
        <v>0</v>
      </c>
      <c r="H2785" s="21">
        <v>2770</v>
      </c>
      <c r="I2785" s="107">
        <v>0.66787404400004913</v>
      </c>
      <c r="J2785" s="108">
        <v>1.6040936671403326E-3</v>
      </c>
      <c r="K2785" s="108"/>
      <c r="L2785" s="108">
        <v>4.7600000000000003E-2</v>
      </c>
      <c r="O2785" s="105"/>
    </row>
    <row r="2786" spans="2:15" x14ac:dyDescent="0.2">
      <c r="B2786" s="1">
        <v>2771</v>
      </c>
      <c r="C2786" s="106">
        <f ca="1"/>
        <v>-0.3069980047879684</v>
      </c>
      <c r="D2786" s="106">
        <f t="shared" ca="1" si="168"/>
        <v>0.64468088722609174</v>
      </c>
      <c r="E2786" s="106">
        <f t="shared" ca="1" si="169"/>
        <v>0</v>
      </c>
      <c r="F2786" s="21">
        <f t="shared" ca="1" si="170"/>
        <v>0</v>
      </c>
      <c r="H2786" s="21">
        <v>2771</v>
      </c>
      <c r="I2786" s="107">
        <v>0.66770663616832437</v>
      </c>
      <c r="J2786" s="108">
        <v>1.3445106078615026E-3</v>
      </c>
      <c r="K2786" s="108"/>
      <c r="L2786" s="108">
        <v>4.0800000000000003E-2</v>
      </c>
      <c r="O2786" s="105"/>
    </row>
    <row r="2787" spans="2:15" x14ac:dyDescent="0.2">
      <c r="B2787" s="1">
        <v>2772</v>
      </c>
      <c r="C2787" s="106">
        <f ca="1"/>
        <v>0.59123521682424329</v>
      </c>
      <c r="D2787" s="106">
        <f t="shared" ca="1" si="168"/>
        <v>0.70440844234497157</v>
      </c>
      <c r="E2787" s="106">
        <f t="shared" ca="1" si="169"/>
        <v>0</v>
      </c>
      <c r="F2787" s="21">
        <f t="shared" ca="1" si="170"/>
        <v>0</v>
      </c>
      <c r="H2787" s="21">
        <v>2772</v>
      </c>
      <c r="I2787" s="107">
        <v>0.66770929386145328</v>
      </c>
      <c r="J2787" s="108">
        <v>1.485051829296642E-3</v>
      </c>
      <c r="K2787" s="108"/>
      <c r="L2787" s="108">
        <v>3.9600000000000003E-2</v>
      </c>
      <c r="O2787" s="105"/>
    </row>
    <row r="2788" spans="2:15" x14ac:dyDescent="0.2">
      <c r="B2788" s="1">
        <v>2773</v>
      </c>
      <c r="C2788" s="106">
        <f ca="1"/>
        <v>2.0971442471651018</v>
      </c>
      <c r="D2788" s="106">
        <f t="shared" ca="1" si="168"/>
        <v>0.81721582277994764</v>
      </c>
      <c r="E2788" s="106">
        <f t="shared" ca="1" si="169"/>
        <v>2.9015822779947631E-2</v>
      </c>
      <c r="F2788" s="21">
        <f t="shared" ca="1" si="170"/>
        <v>1</v>
      </c>
      <c r="H2788" s="21">
        <v>2773</v>
      </c>
      <c r="I2788" s="107">
        <v>0.66772960719496322</v>
      </c>
      <c r="J2788" s="108">
        <v>1.2614153248725988E-3</v>
      </c>
      <c r="K2788" s="108"/>
      <c r="L2788" s="108">
        <v>3.9600000000000003E-2</v>
      </c>
      <c r="O2788" s="105"/>
    </row>
    <row r="2789" spans="2:15" x14ac:dyDescent="0.2">
      <c r="B2789" s="1">
        <v>2774</v>
      </c>
      <c r="C2789" s="106">
        <f ca="1"/>
        <v>0.86833197167771892</v>
      </c>
      <c r="D2789" s="106">
        <f t="shared" ca="1" si="168"/>
        <v>0.72392771987275739</v>
      </c>
      <c r="E2789" s="106">
        <f t="shared" ca="1" si="169"/>
        <v>0</v>
      </c>
      <c r="F2789" s="21">
        <f t="shared" ca="1" si="170"/>
        <v>0</v>
      </c>
      <c r="H2789" s="21">
        <v>2774</v>
      </c>
      <c r="I2789" s="107">
        <v>0.66767701644679878</v>
      </c>
      <c r="J2789" s="108">
        <v>1.3935873234708876E-3</v>
      </c>
      <c r="K2789" s="108"/>
      <c r="L2789" s="108">
        <v>4.2799999999999998E-2</v>
      </c>
      <c r="O2789" s="105"/>
    </row>
    <row r="2790" spans="2:15" x14ac:dyDescent="0.2">
      <c r="B2790" s="1">
        <v>2775</v>
      </c>
      <c r="C2790" s="106">
        <f ca="1"/>
        <v>-1.6900405383993051</v>
      </c>
      <c r="D2790" s="106">
        <f t="shared" ca="1" si="168"/>
        <v>0.56246578005721404</v>
      </c>
      <c r="E2790" s="106">
        <f t="shared" ca="1" si="169"/>
        <v>0</v>
      </c>
      <c r="F2790" s="21">
        <f t="shared" ca="1" si="170"/>
        <v>0</v>
      </c>
      <c r="H2790" s="21">
        <v>2775</v>
      </c>
      <c r="I2790" s="107">
        <v>0.66776750760429204</v>
      </c>
      <c r="J2790" s="108">
        <v>1.4149356295640931E-3</v>
      </c>
      <c r="K2790" s="108"/>
      <c r="L2790" s="108">
        <v>4.3400000000000001E-2</v>
      </c>
      <c r="O2790" s="105"/>
    </row>
    <row r="2791" spans="2:15" x14ac:dyDescent="0.2">
      <c r="B2791" s="1">
        <v>2776</v>
      </c>
      <c r="C2791" s="106">
        <f ca="1"/>
        <v>-0.65154762800474797</v>
      </c>
      <c r="D2791" s="106">
        <f t="shared" ca="1" si="168"/>
        <v>0.62313838084216988</v>
      </c>
      <c r="E2791" s="106">
        <f t="shared" ca="1" si="169"/>
        <v>0</v>
      </c>
      <c r="F2791" s="21">
        <f t="shared" ca="1" si="170"/>
        <v>0</v>
      </c>
      <c r="H2791" s="21">
        <v>2776</v>
      </c>
      <c r="I2791" s="107">
        <v>0.6677316056311734</v>
      </c>
      <c r="J2791" s="108">
        <v>1.2990984100010199E-3</v>
      </c>
      <c r="K2791" s="108"/>
      <c r="L2791" s="108">
        <v>4.4200000000000003E-2</v>
      </c>
      <c r="O2791" s="105"/>
    </row>
    <row r="2792" spans="2:15" x14ac:dyDescent="0.2">
      <c r="B2792" s="1">
        <v>2777</v>
      </c>
      <c r="C2792" s="106">
        <f ca="1"/>
        <v>-0.47314026218292721</v>
      </c>
      <c r="D2792" s="106">
        <f t="shared" ca="1" si="168"/>
        <v>0.6342016433672979</v>
      </c>
      <c r="E2792" s="106">
        <f t="shared" ca="1" si="169"/>
        <v>0</v>
      </c>
      <c r="F2792" s="21">
        <f t="shared" ca="1" si="170"/>
        <v>0</v>
      </c>
      <c r="H2792" s="21">
        <v>2777</v>
      </c>
      <c r="I2792" s="107">
        <v>0.66779278204975967</v>
      </c>
      <c r="J2792" s="108">
        <v>1.4496602739341674E-3</v>
      </c>
      <c r="K2792" s="108"/>
      <c r="L2792" s="108">
        <v>4.4400000000000002E-2</v>
      </c>
      <c r="O2792" s="105"/>
    </row>
    <row r="2793" spans="2:15" x14ac:dyDescent="0.2">
      <c r="B2793" s="1">
        <v>2778</v>
      </c>
      <c r="C2793" s="106">
        <f ca="1"/>
        <v>0.35761092727822558</v>
      </c>
      <c r="D2793" s="106">
        <f t="shared" ca="1" si="168"/>
        <v>0.68836096037235317</v>
      </c>
      <c r="E2793" s="106">
        <f t="shared" ca="1" si="169"/>
        <v>0</v>
      </c>
      <c r="F2793" s="21">
        <f t="shared" ca="1" si="170"/>
        <v>0</v>
      </c>
      <c r="H2793" s="21">
        <v>2778</v>
      </c>
      <c r="I2793" s="107">
        <v>0.66769645227518015</v>
      </c>
      <c r="J2793" s="108">
        <v>1.4231461179187571E-3</v>
      </c>
      <c r="K2793" s="108"/>
      <c r="L2793" s="108">
        <v>4.2599999999999999E-2</v>
      </c>
      <c r="O2793" s="105"/>
    </row>
    <row r="2794" spans="2:15" x14ac:dyDescent="0.2">
      <c r="B2794" s="1">
        <v>2779</v>
      </c>
      <c r="C2794" s="106">
        <f ca="1"/>
        <v>-1.2130962853027865</v>
      </c>
      <c r="D2794" s="106">
        <f t="shared" ca="1" si="168"/>
        <v>0.5895601263118555</v>
      </c>
      <c r="E2794" s="106">
        <f t="shared" ca="1" si="169"/>
        <v>0</v>
      </c>
      <c r="F2794" s="21">
        <f t="shared" ca="1" si="170"/>
        <v>0</v>
      </c>
      <c r="H2794" s="21">
        <v>2779</v>
      </c>
      <c r="I2794" s="107">
        <v>0.66772493813483158</v>
      </c>
      <c r="J2794" s="108">
        <v>1.3615406819273896E-3</v>
      </c>
      <c r="K2794" s="108"/>
      <c r="L2794" s="108">
        <v>4.24E-2</v>
      </c>
      <c r="O2794" s="105"/>
    </row>
    <row r="2795" spans="2:15" x14ac:dyDescent="0.2">
      <c r="B2795" s="1">
        <v>2780</v>
      </c>
      <c r="C2795" s="106">
        <f ca="1"/>
        <v>0.29466543526264438</v>
      </c>
      <c r="D2795" s="106">
        <f t="shared" ca="1" si="168"/>
        <v>0.68410015016364922</v>
      </c>
      <c r="E2795" s="106">
        <f t="shared" ca="1" si="169"/>
        <v>0</v>
      </c>
      <c r="F2795" s="21">
        <f t="shared" ca="1" si="170"/>
        <v>0</v>
      </c>
      <c r="H2795" s="21">
        <v>2780</v>
      </c>
      <c r="I2795" s="107">
        <v>0.66767910072263725</v>
      </c>
      <c r="J2795" s="108">
        <v>1.3909494413168967E-3</v>
      </c>
      <c r="K2795" s="108"/>
      <c r="L2795" s="108">
        <v>4.1599999999999998E-2</v>
      </c>
      <c r="O2795" s="105"/>
    </row>
    <row r="2796" spans="2:15" x14ac:dyDescent="0.2">
      <c r="B2796" s="1">
        <v>2781</v>
      </c>
      <c r="C2796" s="106">
        <f ca="1"/>
        <v>0.29790064233343172</v>
      </c>
      <c r="D2796" s="106">
        <f t="shared" ca="1" si="168"/>
        <v>0.68431849854083415</v>
      </c>
      <c r="E2796" s="106">
        <f t="shared" ca="1" si="169"/>
        <v>0</v>
      </c>
      <c r="F2796" s="21">
        <f t="shared" ca="1" si="170"/>
        <v>0</v>
      </c>
      <c r="H2796" s="21">
        <v>2781</v>
      </c>
      <c r="I2796" s="107">
        <v>0.66767389599575877</v>
      </c>
      <c r="J2796" s="108">
        <v>1.3533211588612711E-3</v>
      </c>
      <c r="K2796" s="108"/>
      <c r="L2796" s="108">
        <v>4.0399999999999998E-2</v>
      </c>
      <c r="O2796" s="105"/>
    </row>
    <row r="2797" spans="2:15" x14ac:dyDescent="0.2">
      <c r="B2797" s="1">
        <v>2782</v>
      </c>
      <c r="C2797" s="106">
        <f ca="1"/>
        <v>-0.23635826101131888</v>
      </c>
      <c r="D2797" s="106">
        <f t="shared" ca="1" si="168"/>
        <v>0.64918870935340978</v>
      </c>
      <c r="E2797" s="106">
        <f t="shared" ca="1" si="169"/>
        <v>0</v>
      </c>
      <c r="F2797" s="21">
        <f t="shared" ca="1" si="170"/>
        <v>0</v>
      </c>
      <c r="H2797" s="21">
        <v>2782</v>
      </c>
      <c r="I2797" s="107">
        <v>0.66783283196755561</v>
      </c>
      <c r="J2797" s="108">
        <v>1.4416648933983688E-3</v>
      </c>
      <c r="K2797" s="108"/>
      <c r="L2797" s="108">
        <v>4.6399999999999997E-2</v>
      </c>
      <c r="O2797" s="105"/>
    </row>
    <row r="2798" spans="2:15" x14ac:dyDescent="0.2">
      <c r="B2798" s="1">
        <v>2783</v>
      </c>
      <c r="C2798" s="106">
        <f ca="1"/>
        <v>0.6970438616482002</v>
      </c>
      <c r="D2798" s="106">
        <f t="shared" ca="1" si="168"/>
        <v>0.71179892776994458</v>
      </c>
      <c r="E2798" s="106">
        <f t="shared" ca="1" si="169"/>
        <v>0</v>
      </c>
      <c r="F2798" s="21">
        <f t="shared" ca="1" si="170"/>
        <v>0</v>
      </c>
      <c r="H2798" s="21">
        <v>2783</v>
      </c>
      <c r="I2798" s="107">
        <v>0.66768985225394373</v>
      </c>
      <c r="J2798" s="108">
        <v>1.3510016157548277E-3</v>
      </c>
      <c r="K2798" s="108"/>
      <c r="L2798" s="108">
        <v>4.02E-2</v>
      </c>
      <c r="O2798" s="105"/>
    </row>
    <row r="2799" spans="2:15" x14ac:dyDescent="0.2">
      <c r="B2799" s="1">
        <v>2784</v>
      </c>
      <c r="C2799" s="106">
        <f ca="1"/>
        <v>0.82197792655834434</v>
      </c>
      <c r="D2799" s="106">
        <f t="shared" ca="1" si="168"/>
        <v>0.72062517113657387</v>
      </c>
      <c r="E2799" s="106">
        <f t="shared" ca="1" si="169"/>
        <v>0</v>
      </c>
      <c r="F2799" s="21">
        <f t="shared" ca="1" si="170"/>
        <v>0</v>
      </c>
      <c r="H2799" s="21">
        <v>2784</v>
      </c>
      <c r="I2799" s="107">
        <v>0.66781230658726343</v>
      </c>
      <c r="J2799" s="108">
        <v>1.5262681461797264E-3</v>
      </c>
      <c r="K2799" s="108"/>
      <c r="L2799" s="108">
        <v>4.4999999999999998E-2</v>
      </c>
      <c r="O2799" s="105"/>
    </row>
    <row r="2800" spans="2:15" x14ac:dyDescent="0.2">
      <c r="B2800" s="1">
        <v>2785</v>
      </c>
      <c r="C2800" s="106">
        <f ca="1"/>
        <v>-1.9676329961139345</v>
      </c>
      <c r="D2800" s="106">
        <f t="shared" ca="1" si="168"/>
        <v>0.54727324347046424</v>
      </c>
      <c r="E2800" s="106">
        <f t="shared" ca="1" si="169"/>
        <v>0</v>
      </c>
      <c r="F2800" s="21">
        <f t="shared" ca="1" si="170"/>
        <v>0</v>
      </c>
      <c r="H2800" s="21">
        <v>2785</v>
      </c>
      <c r="I2800" s="107">
        <v>0.66776428778033514</v>
      </c>
      <c r="J2800" s="108">
        <v>1.3417156283163066E-3</v>
      </c>
      <c r="K2800" s="108"/>
      <c r="L2800" s="108">
        <v>4.2999999999999997E-2</v>
      </c>
      <c r="O2800" s="105"/>
    </row>
    <row r="2801" spans="2:15" x14ac:dyDescent="0.2">
      <c r="B2801" s="1">
        <v>2786</v>
      </c>
      <c r="C2801" s="106">
        <f ca="1"/>
        <v>0.81042354040276043</v>
      </c>
      <c r="D2801" s="106">
        <f t="shared" ca="1" si="168"/>
        <v>0.71980431369737952</v>
      </c>
      <c r="E2801" s="106">
        <f t="shared" ca="1" si="169"/>
        <v>0</v>
      </c>
      <c r="F2801" s="21">
        <f t="shared" ca="1" si="170"/>
        <v>0</v>
      </c>
      <c r="H2801" s="21">
        <v>2786</v>
      </c>
      <c r="I2801" s="107">
        <v>0.66778185413009405</v>
      </c>
      <c r="J2801" s="108">
        <v>1.3790009455360093E-3</v>
      </c>
      <c r="K2801" s="108"/>
      <c r="L2801" s="108">
        <v>4.1399999999999999E-2</v>
      </c>
      <c r="O2801" s="105"/>
    </row>
    <row r="2802" spans="2:15" x14ac:dyDescent="0.2">
      <c r="B2802" s="1">
        <v>2787</v>
      </c>
      <c r="C2802" s="106">
        <f ca="1"/>
        <v>1.0175839100484423</v>
      </c>
      <c r="D2802" s="106">
        <f t="shared" ca="1" si="168"/>
        <v>0.73466452176741714</v>
      </c>
      <c r="E2802" s="106">
        <f t="shared" ca="1" si="169"/>
        <v>0</v>
      </c>
      <c r="F2802" s="21">
        <f t="shared" ca="1" si="170"/>
        <v>0</v>
      </c>
      <c r="H2802" s="21">
        <v>2787</v>
      </c>
      <c r="I2802" s="107">
        <v>0.6676964994973188</v>
      </c>
      <c r="J2802" s="108">
        <v>1.284101157402901E-3</v>
      </c>
      <c r="K2802" s="108"/>
      <c r="L2802" s="108">
        <v>4.1399999999999999E-2</v>
      </c>
      <c r="O2802" s="105"/>
    </row>
    <row r="2803" spans="2:15" x14ac:dyDescent="0.2">
      <c r="B2803" s="1">
        <v>2788</v>
      </c>
      <c r="C2803" s="106">
        <f ca="1"/>
        <v>0.28644682949666511</v>
      </c>
      <c r="D2803" s="106">
        <f t="shared" ca="1" si="168"/>
        <v>0.6835457789042364</v>
      </c>
      <c r="E2803" s="106">
        <f t="shared" ca="1" si="169"/>
        <v>0</v>
      </c>
      <c r="F2803" s="21">
        <f t="shared" ca="1" si="170"/>
        <v>0</v>
      </c>
      <c r="H2803" s="21">
        <v>2788</v>
      </c>
      <c r="I2803" s="107">
        <v>0.66770314302334288</v>
      </c>
      <c r="J2803" s="108">
        <v>1.2613947967374066E-3</v>
      </c>
      <c r="K2803" s="108"/>
      <c r="L2803" s="108">
        <v>4.1799999999999997E-2</v>
      </c>
      <c r="O2803" s="105"/>
    </row>
    <row r="2804" spans="2:15" x14ac:dyDescent="0.2">
      <c r="B2804" s="1">
        <v>2789</v>
      </c>
      <c r="C2804" s="106">
        <f ca="1"/>
        <v>-0.40925231432343889</v>
      </c>
      <c r="D2804" s="106">
        <f t="shared" ca="1" si="168"/>
        <v>0.63821099716060004</v>
      </c>
      <c r="E2804" s="106">
        <f t="shared" ca="1" si="169"/>
        <v>0</v>
      </c>
      <c r="F2804" s="21">
        <f t="shared" ca="1" si="170"/>
        <v>0</v>
      </c>
      <c r="H2804" s="21">
        <v>2789</v>
      </c>
      <c r="I2804" s="107">
        <v>0.66792795034010666</v>
      </c>
      <c r="J2804" s="108">
        <v>1.5426291490438203E-3</v>
      </c>
      <c r="K2804" s="108"/>
      <c r="L2804" s="108">
        <v>4.7E-2</v>
      </c>
      <c r="O2804" s="105"/>
    </row>
    <row r="2805" spans="2:15" x14ac:dyDescent="0.2">
      <c r="B2805" s="1">
        <v>2790</v>
      </c>
      <c r="C2805" s="106">
        <f ca="1"/>
        <v>0.67847219700990258</v>
      </c>
      <c r="D2805" s="106">
        <f t="shared" ca="1" si="168"/>
        <v>0.71049615304508917</v>
      </c>
      <c r="E2805" s="106">
        <f t="shared" ca="1" si="169"/>
        <v>0</v>
      </c>
      <c r="F2805" s="21">
        <f t="shared" ca="1" si="170"/>
        <v>0</v>
      </c>
      <c r="H2805" s="21">
        <v>2790</v>
      </c>
      <c r="I2805" s="107">
        <v>0.66791317570371211</v>
      </c>
      <c r="J2805" s="108">
        <v>1.3916834204809687E-3</v>
      </c>
      <c r="K2805" s="108"/>
      <c r="L2805" s="108">
        <v>4.4200000000000003E-2</v>
      </c>
      <c r="O2805" s="105"/>
    </row>
    <row r="2806" spans="2:15" x14ac:dyDescent="0.2">
      <c r="B2806" s="1">
        <v>2791</v>
      </c>
      <c r="C2806" s="106">
        <f ca="1"/>
        <v>1.2654260089631861</v>
      </c>
      <c r="D2806" s="106">
        <f t="shared" ca="1" si="168"/>
        <v>0.75284655985578131</v>
      </c>
      <c r="E2806" s="106">
        <f t="shared" ca="1" si="169"/>
        <v>0</v>
      </c>
      <c r="F2806" s="21">
        <f t="shared" ca="1" si="170"/>
        <v>0</v>
      </c>
      <c r="H2806" s="21">
        <v>2791</v>
      </c>
      <c r="I2806" s="107">
        <v>0.66762512745009439</v>
      </c>
      <c r="J2806" s="108">
        <v>1.203309338036305E-3</v>
      </c>
      <c r="K2806" s="108"/>
      <c r="L2806" s="108">
        <v>3.6799999999999999E-2</v>
      </c>
      <c r="O2806" s="105"/>
    </row>
    <row r="2807" spans="2:15" x14ac:dyDescent="0.2">
      <c r="B2807" s="1">
        <v>2792</v>
      </c>
      <c r="C2807" s="106">
        <f ca="1"/>
        <v>0.77273881584420023</v>
      </c>
      <c r="D2807" s="106">
        <f t="shared" ca="1" si="168"/>
        <v>0.71713357286784274</v>
      </c>
      <c r="E2807" s="106">
        <f t="shared" ca="1" si="169"/>
        <v>0</v>
      </c>
      <c r="F2807" s="21">
        <f t="shared" ca="1" si="170"/>
        <v>0</v>
      </c>
      <c r="H2807" s="21">
        <v>2792</v>
      </c>
      <c r="I2807" s="107">
        <v>0.66774886293792257</v>
      </c>
      <c r="J2807" s="108">
        <v>1.4888836103743603E-3</v>
      </c>
      <c r="K2807" s="108"/>
      <c r="L2807" s="108">
        <v>4.2599999999999999E-2</v>
      </c>
      <c r="O2807" s="105"/>
    </row>
    <row r="2808" spans="2:15" x14ac:dyDescent="0.2">
      <c r="B2808" s="1">
        <v>2793</v>
      </c>
      <c r="C2808" s="106">
        <f ca="1"/>
        <v>1.0818433757128305</v>
      </c>
      <c r="D2808" s="106">
        <f t="shared" ca="1" si="168"/>
        <v>0.73933608490797342</v>
      </c>
      <c r="E2808" s="106">
        <f t="shared" ca="1" si="169"/>
        <v>0</v>
      </c>
      <c r="F2808" s="21">
        <f t="shared" ca="1" si="170"/>
        <v>0</v>
      </c>
      <c r="H2808" s="21">
        <v>2793</v>
      </c>
      <c r="I2808" s="107">
        <v>0.6678455542874121</v>
      </c>
      <c r="J2808" s="108">
        <v>1.433111642585377E-3</v>
      </c>
      <c r="K2808" s="108"/>
      <c r="L2808" s="108">
        <v>4.3799999999999999E-2</v>
      </c>
      <c r="O2808" s="105"/>
    </row>
    <row r="2809" spans="2:15" x14ac:dyDescent="0.2">
      <c r="B2809" s="1">
        <v>2794</v>
      </c>
      <c r="C2809" s="106">
        <f ca="1"/>
        <v>0.86290401781040504</v>
      </c>
      <c r="D2809" s="106">
        <f t="shared" ca="1" si="168"/>
        <v>0.72354021783101752</v>
      </c>
      <c r="E2809" s="106">
        <f t="shared" ca="1" si="169"/>
        <v>0</v>
      </c>
      <c r="F2809" s="21">
        <f t="shared" ca="1" si="170"/>
        <v>0</v>
      </c>
      <c r="H2809" s="21">
        <v>2794</v>
      </c>
      <c r="I2809" s="107">
        <v>0.66780944822914456</v>
      </c>
      <c r="J2809" s="108">
        <v>1.3310765237175782E-3</v>
      </c>
      <c r="K2809" s="108"/>
      <c r="L2809" s="108">
        <v>4.3799999999999999E-2</v>
      </c>
      <c r="O2809" s="105"/>
    </row>
    <row r="2810" spans="2:15" x14ac:dyDescent="0.2">
      <c r="B2810" s="1">
        <v>2795</v>
      </c>
      <c r="C2810" s="106">
        <f ca="1"/>
        <v>-8.5801031473667216E-2</v>
      </c>
      <c r="D2810" s="106">
        <f t="shared" ca="1" si="168"/>
        <v>0.65890186512721638</v>
      </c>
      <c r="E2810" s="106">
        <f t="shared" ca="1" si="169"/>
        <v>0</v>
      </c>
      <c r="F2810" s="21">
        <f t="shared" ca="1" si="170"/>
        <v>0</v>
      </c>
      <c r="H2810" s="21">
        <v>2795</v>
      </c>
      <c r="I2810" s="107">
        <v>0.66773386767071941</v>
      </c>
      <c r="J2810" s="108">
        <v>1.3186518072971398E-3</v>
      </c>
      <c r="K2810" s="108"/>
      <c r="L2810" s="108">
        <v>3.9600000000000003E-2</v>
      </c>
      <c r="O2810" s="105"/>
    </row>
    <row r="2811" spans="2:15" x14ac:dyDescent="0.2">
      <c r="B2811" s="1">
        <v>2796</v>
      </c>
      <c r="C2811" s="106">
        <f ca="1"/>
        <v>-1.4600604131982469</v>
      </c>
      <c r="D2811" s="106">
        <f t="shared" ca="1" si="168"/>
        <v>0.57537145517530919</v>
      </c>
      <c r="E2811" s="106">
        <f t="shared" ca="1" si="169"/>
        <v>0</v>
      </c>
      <c r="F2811" s="21">
        <f t="shared" ca="1" si="170"/>
        <v>0</v>
      </c>
      <c r="H2811" s="21">
        <v>2796</v>
      </c>
      <c r="I2811" s="107">
        <v>0.66782756487466344</v>
      </c>
      <c r="J2811" s="108">
        <v>1.3449220942010046E-3</v>
      </c>
      <c r="K2811" s="108"/>
      <c r="L2811" s="108">
        <v>4.5400000000000003E-2</v>
      </c>
      <c r="O2811" s="105"/>
    </row>
    <row r="2812" spans="2:15" x14ac:dyDescent="0.2">
      <c r="B2812" s="1">
        <v>2797</v>
      </c>
      <c r="C2812" s="106">
        <f ca="1"/>
        <v>-0.4675244084147952</v>
      </c>
      <c r="D2812" s="106">
        <f t="shared" ca="1" si="168"/>
        <v>0.63455306002974265</v>
      </c>
      <c r="E2812" s="106">
        <f t="shared" ca="1" si="169"/>
        <v>0</v>
      </c>
      <c r="F2812" s="21">
        <f t="shared" ca="1" si="170"/>
        <v>0</v>
      </c>
      <c r="H2812" s="21">
        <v>2797</v>
      </c>
      <c r="I2812" s="107">
        <v>0.66783139027129468</v>
      </c>
      <c r="J2812" s="108">
        <v>1.5708468841010297E-3</v>
      </c>
      <c r="K2812" s="108"/>
      <c r="L2812" s="108">
        <v>4.7399999999999998E-2</v>
      </c>
      <c r="O2812" s="105"/>
    </row>
    <row r="2813" spans="2:15" x14ac:dyDescent="0.2">
      <c r="B2813" s="1">
        <v>2798</v>
      </c>
      <c r="C2813" s="106">
        <f ca="1"/>
        <v>-1.113501937672958</v>
      </c>
      <c r="D2813" s="106">
        <f t="shared" ca="1" si="168"/>
        <v>0.59538057844233083</v>
      </c>
      <c r="E2813" s="106">
        <f t="shared" ca="1" si="169"/>
        <v>0</v>
      </c>
      <c r="F2813" s="21">
        <f t="shared" ca="1" si="170"/>
        <v>0</v>
      </c>
      <c r="H2813" s="21">
        <v>2798</v>
      </c>
      <c r="I2813" s="107">
        <v>0.66761283122820436</v>
      </c>
      <c r="J2813" s="108">
        <v>1.1628421053688923E-3</v>
      </c>
      <c r="K2813" s="108"/>
      <c r="L2813" s="108">
        <v>3.9199999999999999E-2</v>
      </c>
      <c r="O2813" s="105"/>
    </row>
    <row r="2814" spans="2:15" x14ac:dyDescent="0.2">
      <c r="B2814" s="1">
        <v>2799</v>
      </c>
      <c r="C2814" s="106">
        <f ca="1"/>
        <v>1.6208680353109519</v>
      </c>
      <c r="D2814" s="106">
        <f t="shared" ca="1" si="168"/>
        <v>0.77971050860243907</v>
      </c>
      <c r="E2814" s="106">
        <f t="shared" ca="1" si="169"/>
        <v>0</v>
      </c>
      <c r="F2814" s="21">
        <f t="shared" ca="1" si="170"/>
        <v>0</v>
      </c>
      <c r="H2814" s="21">
        <v>2799</v>
      </c>
      <c r="I2814" s="107">
        <v>0.66785700809117254</v>
      </c>
      <c r="J2814" s="108">
        <v>1.5973818716864816E-3</v>
      </c>
      <c r="K2814" s="108"/>
      <c r="L2814" s="108">
        <v>4.7800000000000002E-2</v>
      </c>
      <c r="O2814" s="105"/>
    </row>
    <row r="2815" spans="2:15" x14ac:dyDescent="0.2">
      <c r="B2815" s="1">
        <v>2800</v>
      </c>
      <c r="C2815" s="106">
        <f ca="1"/>
        <v>-0.70486791067662935</v>
      </c>
      <c r="D2815" s="106">
        <f t="shared" ca="1" si="168"/>
        <v>0.61986953649048382</v>
      </c>
      <c r="E2815" s="106">
        <f t="shared" ca="1" si="169"/>
        <v>0</v>
      </c>
      <c r="F2815" s="21">
        <f t="shared" ca="1" si="170"/>
        <v>0</v>
      </c>
      <c r="H2815" s="21">
        <v>2800</v>
      </c>
      <c r="I2815" s="107">
        <v>0.66772655688023896</v>
      </c>
      <c r="J2815" s="108">
        <v>1.4633511725753135E-3</v>
      </c>
      <c r="K2815" s="108"/>
      <c r="L2815" s="108">
        <v>4.4400000000000002E-2</v>
      </c>
      <c r="O2815" s="105"/>
    </row>
    <row r="2816" spans="2:15" x14ac:dyDescent="0.2">
      <c r="B2816" s="1">
        <v>2801</v>
      </c>
      <c r="C2816" s="106">
        <f ca="1"/>
        <v>0.71713255925787822</v>
      </c>
      <c r="D2816" s="106">
        <f t="shared" ca="1" si="168"/>
        <v>0.71321080968836292</v>
      </c>
      <c r="E2816" s="106">
        <f t="shared" ca="1" si="169"/>
        <v>0</v>
      </c>
      <c r="F2816" s="21">
        <f t="shared" ca="1" si="170"/>
        <v>0</v>
      </c>
      <c r="H2816" s="21">
        <v>2801</v>
      </c>
      <c r="I2816" s="107">
        <v>0.66756130430440885</v>
      </c>
      <c r="J2816" s="108">
        <v>1.2659580387700527E-3</v>
      </c>
      <c r="K2816" s="108"/>
      <c r="L2816" s="108">
        <v>3.7600000000000001E-2</v>
      </c>
      <c r="O2816" s="105"/>
    </row>
    <row r="2817" spans="2:15" x14ac:dyDescent="0.2">
      <c r="B2817" s="1">
        <v>2802</v>
      </c>
      <c r="C2817" s="106">
        <f ca="1"/>
        <v>1.4587857316083999</v>
      </c>
      <c r="D2817" s="106">
        <f t="shared" ca="1" si="168"/>
        <v>0.76734361109669669</v>
      </c>
      <c r="E2817" s="106">
        <f t="shared" ca="1" si="169"/>
        <v>0</v>
      </c>
      <c r="F2817" s="21">
        <f t="shared" ca="1" si="170"/>
        <v>0</v>
      </c>
      <c r="H2817" s="21">
        <v>2802</v>
      </c>
      <c r="I2817" s="107">
        <v>0.66772043423806604</v>
      </c>
      <c r="J2817" s="108">
        <v>1.3740357773290085E-3</v>
      </c>
      <c r="K2817" s="108"/>
      <c r="L2817" s="108">
        <v>4.1000000000000002E-2</v>
      </c>
      <c r="O2817" s="105"/>
    </row>
    <row r="2818" spans="2:15" x14ac:dyDescent="0.2">
      <c r="B2818" s="1">
        <v>2803</v>
      </c>
      <c r="C2818" s="106">
        <f ca="1"/>
        <v>-1.5989670603278157</v>
      </c>
      <c r="D2818" s="106">
        <f t="shared" ca="1" si="168"/>
        <v>0.56754151757002769</v>
      </c>
      <c r="E2818" s="106">
        <f t="shared" ca="1" si="169"/>
        <v>0</v>
      </c>
      <c r="F2818" s="21">
        <f t="shared" ca="1" si="170"/>
        <v>0</v>
      </c>
      <c r="H2818" s="21">
        <v>2803</v>
      </c>
      <c r="I2818" s="107">
        <v>0.66774283485011932</v>
      </c>
      <c r="J2818" s="108">
        <v>1.3897300605451254E-3</v>
      </c>
      <c r="K2818" s="108"/>
      <c r="L2818" s="108">
        <v>4.2200000000000001E-2</v>
      </c>
      <c r="O2818" s="105"/>
    </row>
    <row r="2819" spans="2:15" x14ac:dyDescent="0.2">
      <c r="B2819" s="1">
        <v>2804</v>
      </c>
      <c r="C2819" s="106">
        <f ca="1"/>
        <v>-0.65658766815638392</v>
      </c>
      <c r="D2819" s="106">
        <f t="shared" ca="1" si="168"/>
        <v>0.62282866070223986</v>
      </c>
      <c r="E2819" s="106">
        <f t="shared" ca="1" si="169"/>
        <v>0</v>
      </c>
      <c r="F2819" s="21">
        <f t="shared" ca="1" si="170"/>
        <v>0</v>
      </c>
      <c r="H2819" s="21">
        <v>2804</v>
      </c>
      <c r="I2819" s="107">
        <v>0.66772209940922056</v>
      </c>
      <c r="J2819" s="108">
        <v>1.3595022570367188E-3</v>
      </c>
      <c r="K2819" s="108"/>
      <c r="L2819" s="108">
        <v>4.1799999999999997E-2</v>
      </c>
      <c r="O2819" s="105"/>
    </row>
    <row r="2820" spans="2:15" x14ac:dyDescent="0.2">
      <c r="B2820" s="1">
        <v>2805</v>
      </c>
      <c r="C2820" s="106">
        <f ca="1"/>
        <v>0.22026476560554453</v>
      </c>
      <c r="D2820" s="106">
        <f t="shared" ca="1" si="168"/>
        <v>0.67909793041854871</v>
      </c>
      <c r="E2820" s="106">
        <f t="shared" ca="1" si="169"/>
        <v>0</v>
      </c>
      <c r="F2820" s="21">
        <f t="shared" ca="1" si="170"/>
        <v>0</v>
      </c>
      <c r="H2820" s="21">
        <v>2805</v>
      </c>
      <c r="I2820" s="107">
        <v>0.66772927528029724</v>
      </c>
      <c r="J2820" s="108">
        <v>1.3749907285651609E-3</v>
      </c>
      <c r="K2820" s="108"/>
      <c r="L2820" s="108">
        <v>3.9600000000000003E-2</v>
      </c>
      <c r="O2820" s="105"/>
    </row>
    <row r="2821" spans="2:15" x14ac:dyDescent="0.2">
      <c r="B2821" s="1">
        <v>2806</v>
      </c>
      <c r="C2821" s="106">
        <f ca="1"/>
        <v>0.84495880740098084</v>
      </c>
      <c r="D2821" s="106">
        <f t="shared" ca="1" si="168"/>
        <v>0.72226058372254021</v>
      </c>
      <c r="E2821" s="106">
        <f t="shared" ca="1" si="169"/>
        <v>0</v>
      </c>
      <c r="F2821" s="21">
        <f t="shared" ca="1" si="170"/>
        <v>0</v>
      </c>
      <c r="H2821" s="21">
        <v>2806</v>
      </c>
      <c r="I2821" s="107">
        <v>0.66778985344890085</v>
      </c>
      <c r="J2821" s="108">
        <v>1.4810773542433384E-3</v>
      </c>
      <c r="K2821" s="108"/>
      <c r="L2821" s="108">
        <v>4.24E-2</v>
      </c>
      <c r="O2821" s="105"/>
    </row>
    <row r="2822" spans="2:15" x14ac:dyDescent="0.2">
      <c r="B2822" s="1">
        <v>2807</v>
      </c>
      <c r="C2822" s="106">
        <f ca="1"/>
        <v>1.6298129164367037</v>
      </c>
      <c r="D2822" s="106">
        <f t="shared" ca="1" si="168"/>
        <v>0.78039877801927982</v>
      </c>
      <c r="E2822" s="106">
        <f t="shared" ca="1" si="169"/>
        <v>0</v>
      </c>
      <c r="F2822" s="21">
        <f t="shared" ca="1" si="170"/>
        <v>0</v>
      </c>
      <c r="H2822" s="21">
        <v>2807</v>
      </c>
      <c r="I2822" s="107">
        <v>0.66758268829974132</v>
      </c>
      <c r="J2822" s="108">
        <v>1.1548680460739215E-3</v>
      </c>
      <c r="K2822" s="108"/>
      <c r="L2822" s="108">
        <v>3.8199999999999998E-2</v>
      </c>
      <c r="O2822" s="105"/>
    </row>
    <row r="2823" spans="2:15" x14ac:dyDescent="0.2">
      <c r="B2823" s="1">
        <v>2808</v>
      </c>
      <c r="C2823" s="106">
        <f ca="1"/>
        <v>-0.49317937706826837</v>
      </c>
      <c r="D2823" s="106">
        <f t="shared" ca="1" si="168"/>
        <v>0.63294926476769287</v>
      </c>
      <c r="E2823" s="106">
        <f t="shared" ca="1" si="169"/>
        <v>0</v>
      </c>
      <c r="F2823" s="21">
        <f t="shared" ca="1" si="170"/>
        <v>0</v>
      </c>
      <c r="H2823" s="21">
        <v>2808</v>
      </c>
      <c r="I2823" s="107">
        <v>0.66767640237124903</v>
      </c>
      <c r="J2823" s="108">
        <v>1.3062304507172489E-3</v>
      </c>
      <c r="K2823" s="108"/>
      <c r="L2823" s="108">
        <v>3.9399999999999998E-2</v>
      </c>
      <c r="O2823" s="105"/>
    </row>
    <row r="2824" spans="2:15" x14ac:dyDescent="0.2">
      <c r="B2824" s="1">
        <v>2809</v>
      </c>
      <c r="C2824" s="106">
        <f ca="1"/>
        <v>0.99224935635243872</v>
      </c>
      <c r="D2824" s="106">
        <f t="shared" ca="1" si="168"/>
        <v>0.73283086231809103</v>
      </c>
      <c r="E2824" s="106">
        <f t="shared" ca="1" si="169"/>
        <v>0</v>
      </c>
      <c r="F2824" s="21">
        <f t="shared" ca="1" si="170"/>
        <v>0</v>
      </c>
      <c r="H2824" s="21">
        <v>2809</v>
      </c>
      <c r="I2824" s="107">
        <v>0.66788776274154749</v>
      </c>
      <c r="J2824" s="108">
        <v>1.4977091930679473E-3</v>
      </c>
      <c r="K2824" s="108"/>
      <c r="L2824" s="108">
        <v>4.4200000000000003E-2</v>
      </c>
      <c r="O2824" s="105"/>
    </row>
    <row r="2825" spans="2:15" x14ac:dyDescent="0.2">
      <c r="B2825" s="1">
        <v>2810</v>
      </c>
      <c r="C2825" s="106">
        <f ca="1"/>
        <v>-1.1583902312709002</v>
      </c>
      <c r="D2825" s="106">
        <f t="shared" ca="1" si="168"/>
        <v>0.59275015587420288</v>
      </c>
      <c r="E2825" s="106">
        <f t="shared" ca="1" si="169"/>
        <v>0</v>
      </c>
      <c r="F2825" s="21">
        <f t="shared" ca="1" si="170"/>
        <v>0</v>
      </c>
      <c r="H2825" s="21">
        <v>2810</v>
      </c>
      <c r="I2825" s="107">
        <v>0.66780686940774692</v>
      </c>
      <c r="J2825" s="108">
        <v>1.5203564334593145E-3</v>
      </c>
      <c r="K2825" s="108"/>
      <c r="L2825" s="108">
        <v>4.2999999999999997E-2</v>
      </c>
      <c r="O2825" s="105"/>
    </row>
    <row r="2826" spans="2:15" x14ac:dyDescent="0.2">
      <c r="B2826" s="1">
        <v>2811</v>
      </c>
      <c r="C2826" s="106">
        <f ca="1"/>
        <v>-0.23065565164559768</v>
      </c>
      <c r="D2826" s="106">
        <f t="shared" ca="1" si="168"/>
        <v>0.64955398913589324</v>
      </c>
      <c r="E2826" s="106">
        <f t="shared" ca="1" si="169"/>
        <v>0</v>
      </c>
      <c r="F2826" s="21">
        <f t="shared" ca="1" si="170"/>
        <v>0</v>
      </c>
      <c r="H2826" s="21">
        <v>2811</v>
      </c>
      <c r="I2826" s="107">
        <v>0.66779207414054076</v>
      </c>
      <c r="J2826" s="108">
        <v>1.3434077373683049E-3</v>
      </c>
      <c r="K2826" s="108"/>
      <c r="L2826" s="108">
        <v>4.2599999999999999E-2</v>
      </c>
      <c r="O2826" s="105"/>
    </row>
    <row r="2827" spans="2:15" x14ac:dyDescent="0.2">
      <c r="B2827" s="1">
        <v>2812</v>
      </c>
      <c r="C2827" s="106">
        <f ca="1"/>
        <v>-0.39013868584521449</v>
      </c>
      <c r="D2827" s="106">
        <f t="shared" ca="1" si="168"/>
        <v>0.63941541116459077</v>
      </c>
      <c r="E2827" s="106">
        <f t="shared" ca="1" si="169"/>
        <v>0</v>
      </c>
      <c r="F2827" s="21">
        <f t="shared" ca="1" si="170"/>
        <v>0</v>
      </c>
      <c r="H2827" s="21">
        <v>2812</v>
      </c>
      <c r="I2827" s="107">
        <v>0.66777505285973848</v>
      </c>
      <c r="J2827" s="108">
        <v>1.3983831246744322E-3</v>
      </c>
      <c r="K2827" s="108"/>
      <c r="L2827" s="108">
        <v>4.02E-2</v>
      </c>
      <c r="O2827" s="105"/>
    </row>
    <row r="2828" spans="2:15" x14ac:dyDescent="0.2">
      <c r="B2828" s="1">
        <v>2813</v>
      </c>
      <c r="C2828" s="106">
        <f ca="1"/>
        <v>0.64761113912991541</v>
      </c>
      <c r="D2828" s="106">
        <f t="shared" ca="1" si="168"/>
        <v>0.708336566694592</v>
      </c>
      <c r="E2828" s="106">
        <f t="shared" ca="1" si="169"/>
        <v>0</v>
      </c>
      <c r="F2828" s="21">
        <f t="shared" ca="1" si="170"/>
        <v>0</v>
      </c>
      <c r="H2828" s="21">
        <v>2813</v>
      </c>
      <c r="I2828" s="107">
        <v>0.6677678095782158</v>
      </c>
      <c r="J2828" s="108">
        <v>1.3305327901431724E-3</v>
      </c>
      <c r="K2828" s="108"/>
      <c r="L2828" s="108">
        <v>4.1599999999999998E-2</v>
      </c>
      <c r="O2828" s="105"/>
    </row>
    <row r="2829" spans="2:15" x14ac:dyDescent="0.2">
      <c r="B2829" s="1">
        <v>2814</v>
      </c>
      <c r="C2829" s="106">
        <f ca="1"/>
        <v>-0.32416852572039229</v>
      </c>
      <c r="D2829" s="106">
        <f t="shared" ca="1" si="168"/>
        <v>0.64358990058806043</v>
      </c>
      <c r="E2829" s="106">
        <f t="shared" ca="1" si="169"/>
        <v>0</v>
      </c>
      <c r="F2829" s="21">
        <f t="shared" ca="1" si="170"/>
        <v>0</v>
      </c>
      <c r="H2829" s="21">
        <v>2814</v>
      </c>
      <c r="I2829" s="107">
        <v>0.66778341764076443</v>
      </c>
      <c r="J2829" s="108">
        <v>1.4028879546564401E-3</v>
      </c>
      <c r="K2829" s="108"/>
      <c r="L2829" s="108">
        <v>4.2999999999999997E-2</v>
      </c>
      <c r="O2829" s="105"/>
    </row>
    <row r="2830" spans="2:15" x14ac:dyDescent="0.2">
      <c r="B2830" s="1">
        <v>2815</v>
      </c>
      <c r="C2830" s="106">
        <f ca="1"/>
        <v>1.3781453887045774</v>
      </c>
      <c r="D2830" s="106">
        <f t="shared" ca="1" si="168"/>
        <v>0.76126401116117759</v>
      </c>
      <c r="E2830" s="106">
        <f t="shared" ca="1" si="169"/>
        <v>0</v>
      </c>
      <c r="F2830" s="21">
        <f t="shared" ca="1" si="170"/>
        <v>0</v>
      </c>
      <c r="H2830" s="21">
        <v>2815</v>
      </c>
      <c r="I2830" s="107">
        <v>0.66787616877961009</v>
      </c>
      <c r="J2830" s="108">
        <v>1.6299837077937468E-3</v>
      </c>
      <c r="K2830" s="108"/>
      <c r="L2830" s="108">
        <v>4.5199999999999997E-2</v>
      </c>
      <c r="O2830" s="105"/>
    </row>
    <row r="2831" spans="2:15" x14ac:dyDescent="0.2">
      <c r="B2831" s="1">
        <v>2816</v>
      </c>
      <c r="C2831" s="106">
        <f ca="1"/>
        <v>1.6907845264591264</v>
      </c>
      <c r="D2831" s="106">
        <f t="shared" ca="1" si="168"/>
        <v>0.78510648899708502</v>
      </c>
      <c r="E2831" s="106">
        <f t="shared" ca="1" si="169"/>
        <v>0</v>
      </c>
      <c r="F2831" s="21">
        <f t="shared" ca="1" si="170"/>
        <v>0</v>
      </c>
      <c r="H2831" s="21">
        <v>2816</v>
      </c>
      <c r="I2831" s="107">
        <v>0.66761240632291463</v>
      </c>
      <c r="J2831" s="108">
        <v>1.2104340561080477E-3</v>
      </c>
      <c r="K2831" s="108"/>
      <c r="L2831" s="108">
        <v>3.8399999999999997E-2</v>
      </c>
      <c r="O2831" s="105"/>
    </row>
    <row r="2832" spans="2:15" x14ac:dyDescent="0.2">
      <c r="B2832" s="1">
        <v>2817</v>
      </c>
      <c r="C2832" s="106">
        <f ca="1"/>
        <v>-0.6801681202223242</v>
      </c>
      <c r="D2832" s="106">
        <f t="shared" ref="D2832:D2895" ca="1" si="171">S0*EXP((μ-0.5*σ*σ)*T+σ*SQRT(T)*$C2832)</f>
        <v>0.62138164038617683</v>
      </c>
      <c r="E2832" s="106">
        <f t="shared" ref="E2832:E2895" ca="1" si="172">MAX(0,CP*(D2832-K))</f>
        <v>0</v>
      </c>
      <c r="F2832" s="21">
        <f t="shared" ref="F2832:F2895" ca="1" si="173">(CP*(D2832-K)&gt;0)*1</f>
        <v>0</v>
      </c>
      <c r="H2832" s="21">
        <v>2817</v>
      </c>
      <c r="I2832" s="107">
        <v>0.667744966039025</v>
      </c>
      <c r="J2832" s="108">
        <v>1.3172862033854478E-3</v>
      </c>
      <c r="K2832" s="108"/>
      <c r="L2832" s="108">
        <v>0.04</v>
      </c>
      <c r="O2832" s="105"/>
    </row>
    <row r="2833" spans="2:15" x14ac:dyDescent="0.2">
      <c r="B2833" s="1">
        <v>2818</v>
      </c>
      <c r="C2833" s="106">
        <f ca="1"/>
        <v>0.79328691603224821</v>
      </c>
      <c r="D2833" s="106">
        <f t="shared" ca="1" si="171"/>
        <v>0.71858859915043816</v>
      </c>
      <c r="E2833" s="106">
        <f t="shared" ca="1" si="172"/>
        <v>0</v>
      </c>
      <c r="F2833" s="21">
        <f t="shared" ca="1" si="173"/>
        <v>0</v>
      </c>
      <c r="H2833" s="21">
        <v>2818</v>
      </c>
      <c r="I2833" s="107">
        <v>0.66773936660152899</v>
      </c>
      <c r="J2833" s="108">
        <v>1.4314152824776347E-3</v>
      </c>
      <c r="K2833" s="108"/>
      <c r="L2833" s="108">
        <v>4.2599999999999999E-2</v>
      </c>
      <c r="O2833" s="105"/>
    </row>
    <row r="2834" spans="2:15" x14ac:dyDescent="0.2">
      <c r="B2834" s="1">
        <v>2819</v>
      </c>
      <c r="C2834" s="106">
        <f ca="1"/>
        <v>-0.89306481476009292</v>
      </c>
      <c r="D2834" s="106">
        <f t="shared" ca="1" si="171"/>
        <v>0.60846843569040865</v>
      </c>
      <c r="E2834" s="106">
        <f t="shared" ca="1" si="172"/>
        <v>0</v>
      </c>
      <c r="F2834" s="21">
        <f t="shared" ca="1" si="173"/>
        <v>0</v>
      </c>
      <c r="H2834" s="21">
        <v>2819</v>
      </c>
      <c r="I2834" s="107">
        <v>0.6677082131490889</v>
      </c>
      <c r="J2834" s="108">
        <v>1.2287923418025546E-3</v>
      </c>
      <c r="K2834" s="108"/>
      <c r="L2834" s="108">
        <v>3.8399999999999997E-2</v>
      </c>
      <c r="O2834" s="105"/>
    </row>
    <row r="2835" spans="2:15" x14ac:dyDescent="0.2">
      <c r="B2835" s="1">
        <v>2820</v>
      </c>
      <c r="C2835" s="106">
        <f ca="1"/>
        <v>1.7494599658737432E-2</v>
      </c>
      <c r="D2835" s="106">
        <f t="shared" ca="1" si="171"/>
        <v>0.66564987998778147</v>
      </c>
      <c r="E2835" s="106">
        <f t="shared" ca="1" si="172"/>
        <v>0</v>
      </c>
      <c r="F2835" s="21">
        <f t="shared" ca="1" si="173"/>
        <v>0</v>
      </c>
      <c r="H2835" s="21">
        <v>2820</v>
      </c>
      <c r="I2835" s="107">
        <v>0.66781871589570985</v>
      </c>
      <c r="J2835" s="108">
        <v>1.3107508315912109E-3</v>
      </c>
      <c r="K2835" s="108"/>
      <c r="L2835" s="108">
        <v>4.4400000000000002E-2</v>
      </c>
      <c r="O2835" s="105"/>
    </row>
    <row r="2836" spans="2:15" x14ac:dyDescent="0.2">
      <c r="B2836" s="1">
        <v>2821</v>
      </c>
      <c r="C2836" s="106">
        <f ca="1"/>
        <v>-0.52394269263413884</v>
      </c>
      <c r="D2836" s="106">
        <f t="shared" ca="1" si="171"/>
        <v>0.63103146983523228</v>
      </c>
      <c r="E2836" s="106">
        <f t="shared" ca="1" si="172"/>
        <v>0</v>
      </c>
      <c r="F2836" s="21">
        <f t="shared" ca="1" si="173"/>
        <v>0</v>
      </c>
      <c r="H2836" s="21">
        <v>2821</v>
      </c>
      <c r="I2836" s="107">
        <v>0.66774603312092573</v>
      </c>
      <c r="J2836" s="108">
        <v>1.3748923335394792E-3</v>
      </c>
      <c r="K2836" s="108"/>
      <c r="L2836" s="108">
        <v>4.3200000000000002E-2</v>
      </c>
      <c r="O2836" s="105"/>
    </row>
    <row r="2837" spans="2:15" x14ac:dyDescent="0.2">
      <c r="B2837" s="1">
        <v>2822</v>
      </c>
      <c r="C2837" s="106">
        <f ca="1"/>
        <v>0.71163178425312235</v>
      </c>
      <c r="D2837" s="106">
        <f t="shared" ca="1" si="171"/>
        <v>0.71282392380853532</v>
      </c>
      <c r="E2837" s="106">
        <f t="shared" ca="1" si="172"/>
        <v>0</v>
      </c>
      <c r="F2837" s="21">
        <f t="shared" ca="1" si="173"/>
        <v>0</v>
      </c>
      <c r="H2837" s="21">
        <v>2822</v>
      </c>
      <c r="I2837" s="107">
        <v>0.66771042651484491</v>
      </c>
      <c r="J2837" s="108">
        <v>1.4047404147729957E-3</v>
      </c>
      <c r="K2837" s="108"/>
      <c r="L2837" s="108">
        <v>3.9E-2</v>
      </c>
      <c r="O2837" s="105"/>
    </row>
    <row r="2838" spans="2:15" x14ac:dyDescent="0.2">
      <c r="B2838" s="1">
        <v>2823</v>
      </c>
      <c r="C2838" s="106">
        <f ca="1"/>
        <v>0.16674798691326373</v>
      </c>
      <c r="D2838" s="106">
        <f t="shared" ca="1" si="171"/>
        <v>0.67552244127868022</v>
      </c>
      <c r="E2838" s="106">
        <f t="shared" ca="1" si="172"/>
        <v>0</v>
      </c>
      <c r="F2838" s="21">
        <f t="shared" ca="1" si="173"/>
        <v>0</v>
      </c>
      <c r="H2838" s="21">
        <v>2823</v>
      </c>
      <c r="I2838" s="107">
        <v>0.66765536607755094</v>
      </c>
      <c r="J2838" s="108">
        <v>1.3670690906102906E-3</v>
      </c>
      <c r="K2838" s="108"/>
      <c r="L2838" s="108">
        <v>4.2799999999999998E-2</v>
      </c>
      <c r="O2838" s="105"/>
    </row>
    <row r="2839" spans="2:15" x14ac:dyDescent="0.2">
      <c r="B2839" s="1">
        <v>2824</v>
      </c>
      <c r="C2839" s="106">
        <f ca="1"/>
        <v>-0.22885410149853033</v>
      </c>
      <c r="D2839" s="106">
        <f t="shared" ca="1" si="171"/>
        <v>0.64966942987524767</v>
      </c>
      <c r="E2839" s="106">
        <f t="shared" ca="1" si="172"/>
        <v>0</v>
      </c>
      <c r="F2839" s="21">
        <f t="shared" ca="1" si="173"/>
        <v>0</v>
      </c>
      <c r="H2839" s="21">
        <v>2824</v>
      </c>
      <c r="I2839" s="107">
        <v>0.6677168689489944</v>
      </c>
      <c r="J2839" s="108">
        <v>1.2803610700564555E-3</v>
      </c>
      <c r="K2839" s="108"/>
      <c r="L2839" s="108">
        <v>4.1799999999999997E-2</v>
      </c>
      <c r="O2839" s="105"/>
    </row>
    <row r="2840" spans="2:15" x14ac:dyDescent="0.2">
      <c r="B2840" s="1">
        <v>2825</v>
      </c>
      <c r="C2840" s="106">
        <f ca="1"/>
        <v>0.30106170707080437</v>
      </c>
      <c r="D2840" s="106">
        <f t="shared" ca="1" si="171"/>
        <v>0.68453191026848248</v>
      </c>
      <c r="E2840" s="106">
        <f t="shared" ca="1" si="172"/>
        <v>0</v>
      </c>
      <c r="F2840" s="21">
        <f t="shared" ca="1" si="173"/>
        <v>0</v>
      </c>
      <c r="H2840" s="21">
        <v>2825</v>
      </c>
      <c r="I2840" s="107">
        <v>0.66774776695014237</v>
      </c>
      <c r="J2840" s="108">
        <v>1.5082923942249381E-3</v>
      </c>
      <c r="K2840" s="108"/>
      <c r="L2840" s="108">
        <v>4.36E-2</v>
      </c>
      <c r="O2840" s="105"/>
    </row>
    <row r="2841" spans="2:15" x14ac:dyDescent="0.2">
      <c r="B2841" s="1">
        <v>2826</v>
      </c>
      <c r="C2841" s="106">
        <f ca="1"/>
        <v>0.67971750035367051</v>
      </c>
      <c r="D2841" s="106">
        <f t="shared" ca="1" si="171"/>
        <v>0.71058343459706941</v>
      </c>
      <c r="E2841" s="106">
        <f t="shared" ca="1" si="172"/>
        <v>0</v>
      </c>
      <c r="F2841" s="21">
        <f t="shared" ca="1" si="173"/>
        <v>0</v>
      </c>
      <c r="H2841" s="21">
        <v>2826</v>
      </c>
      <c r="I2841" s="107">
        <v>0.6676102066936157</v>
      </c>
      <c r="J2841" s="108">
        <v>1.2489334160430037E-3</v>
      </c>
      <c r="K2841" s="108"/>
      <c r="L2841" s="108">
        <v>3.9600000000000003E-2</v>
      </c>
      <c r="O2841" s="105"/>
    </row>
    <row r="2842" spans="2:15" x14ac:dyDescent="0.2">
      <c r="B2842" s="1">
        <v>2827</v>
      </c>
      <c r="C2842" s="106">
        <f ca="1"/>
        <v>0.1942427469327159</v>
      </c>
      <c r="D2842" s="106">
        <f t="shared" ca="1" si="171"/>
        <v>0.67735702559985445</v>
      </c>
      <c r="E2842" s="106">
        <f t="shared" ca="1" si="172"/>
        <v>0</v>
      </c>
      <c r="F2842" s="21">
        <f t="shared" ca="1" si="173"/>
        <v>0</v>
      </c>
      <c r="H2842" s="21">
        <v>2827</v>
      </c>
      <c r="I2842" s="107">
        <v>0.66795145559876357</v>
      </c>
      <c r="J2842" s="108">
        <v>1.7158044756208656E-3</v>
      </c>
      <c r="K2842" s="108"/>
      <c r="L2842" s="108">
        <v>4.6600000000000003E-2</v>
      </c>
      <c r="O2842" s="105"/>
    </row>
    <row r="2843" spans="2:15" x14ac:dyDescent="0.2">
      <c r="B2843" s="1">
        <v>2828</v>
      </c>
      <c r="C2843" s="106">
        <f ca="1"/>
        <v>-7.2246636029804454E-2</v>
      </c>
      <c r="D2843" s="106">
        <f t="shared" ca="1" si="171"/>
        <v>0.65978342162873393</v>
      </c>
      <c r="E2843" s="106">
        <f t="shared" ca="1" si="172"/>
        <v>0</v>
      </c>
      <c r="F2843" s="21">
        <f t="shared" ca="1" si="173"/>
        <v>0</v>
      </c>
      <c r="H2843" s="21">
        <v>2828</v>
      </c>
      <c r="I2843" s="107">
        <v>0.66781343125508974</v>
      </c>
      <c r="J2843" s="108">
        <v>1.3858223994081004E-3</v>
      </c>
      <c r="K2843" s="108"/>
      <c r="L2843" s="108">
        <v>4.3200000000000002E-2</v>
      </c>
      <c r="O2843" s="105"/>
    </row>
    <row r="2844" spans="2:15" x14ac:dyDescent="0.2">
      <c r="B2844" s="1">
        <v>2829</v>
      </c>
      <c r="C2844" s="106">
        <f ca="1"/>
        <v>0.41903762955134982</v>
      </c>
      <c r="D2844" s="106">
        <f t="shared" ca="1" si="171"/>
        <v>0.69254454673340093</v>
      </c>
      <c r="E2844" s="106">
        <f t="shared" ca="1" si="172"/>
        <v>0</v>
      </c>
      <c r="F2844" s="21">
        <f t="shared" ca="1" si="173"/>
        <v>0</v>
      </c>
      <c r="H2844" s="21">
        <v>2829</v>
      </c>
      <c r="I2844" s="107">
        <v>0.66780696063116785</v>
      </c>
      <c r="J2844" s="108">
        <v>1.4524273228611658E-3</v>
      </c>
      <c r="K2844" s="108"/>
      <c r="L2844" s="108">
        <v>4.3200000000000002E-2</v>
      </c>
      <c r="O2844" s="105"/>
    </row>
    <row r="2845" spans="2:15" x14ac:dyDescent="0.2">
      <c r="B2845" s="1">
        <v>2830</v>
      </c>
      <c r="C2845" s="106">
        <f ca="1"/>
        <v>0.31746019545620585</v>
      </c>
      <c r="D2845" s="106">
        <f t="shared" ca="1" si="171"/>
        <v>0.6856400836477391</v>
      </c>
      <c r="E2845" s="106">
        <f t="shared" ca="1" si="172"/>
        <v>0</v>
      </c>
      <c r="F2845" s="21">
        <f t="shared" ca="1" si="173"/>
        <v>0</v>
      </c>
      <c r="H2845" s="21">
        <v>2830</v>
      </c>
      <c r="I2845" s="107">
        <v>0.66788737473507975</v>
      </c>
      <c r="J2845" s="108">
        <v>1.4034592517282922E-3</v>
      </c>
      <c r="K2845" s="108"/>
      <c r="L2845" s="108">
        <v>4.6399999999999997E-2</v>
      </c>
      <c r="O2845" s="105"/>
    </row>
    <row r="2846" spans="2:15" x14ac:dyDescent="0.2">
      <c r="B2846" s="1">
        <v>2831</v>
      </c>
      <c r="C2846" s="106">
        <f ca="1"/>
        <v>-1.6317118811188274</v>
      </c>
      <c r="D2846" s="106">
        <f t="shared" ca="1" si="171"/>
        <v>0.56571132005841718</v>
      </c>
      <c r="E2846" s="106">
        <f t="shared" ca="1" si="172"/>
        <v>0</v>
      </c>
      <c r="F2846" s="21">
        <f t="shared" ca="1" si="173"/>
        <v>0</v>
      </c>
      <c r="H2846" s="21">
        <v>2831</v>
      </c>
      <c r="I2846" s="107">
        <v>0.66776808630560069</v>
      </c>
      <c r="J2846" s="108">
        <v>1.5183417632925421E-3</v>
      </c>
      <c r="K2846" s="108"/>
      <c r="L2846" s="108">
        <v>4.1399999999999999E-2</v>
      </c>
      <c r="O2846" s="105"/>
    </row>
    <row r="2847" spans="2:15" x14ac:dyDescent="0.2">
      <c r="B2847" s="1">
        <v>2832</v>
      </c>
      <c r="C2847" s="106">
        <f ca="1"/>
        <v>-1.4022570905869189</v>
      </c>
      <c r="D2847" s="106">
        <f t="shared" ca="1" si="171"/>
        <v>0.578661476656259</v>
      </c>
      <c r="E2847" s="106">
        <f t="shared" ca="1" si="172"/>
        <v>0</v>
      </c>
      <c r="F2847" s="21">
        <f t="shared" ca="1" si="173"/>
        <v>0</v>
      </c>
      <c r="H2847" s="21">
        <v>2832</v>
      </c>
      <c r="I2847" s="107">
        <v>0.66790878366931916</v>
      </c>
      <c r="J2847" s="108">
        <v>1.6720460199558603E-3</v>
      </c>
      <c r="K2847" s="108"/>
      <c r="L2847" s="108">
        <v>4.6199999999999998E-2</v>
      </c>
      <c r="O2847" s="105"/>
    </row>
    <row r="2848" spans="2:15" x14ac:dyDescent="0.2">
      <c r="B2848" s="1">
        <v>2833</v>
      </c>
      <c r="C2848" s="106">
        <f ca="1"/>
        <v>1.0890423999657886</v>
      </c>
      <c r="D2848" s="106">
        <f t="shared" ca="1" si="171"/>
        <v>0.73986128966463405</v>
      </c>
      <c r="E2848" s="106">
        <f t="shared" ca="1" si="172"/>
        <v>0</v>
      </c>
      <c r="F2848" s="21">
        <f t="shared" ca="1" si="173"/>
        <v>0</v>
      </c>
      <c r="H2848" s="21">
        <v>2833</v>
      </c>
      <c r="I2848" s="107">
        <v>0.66765539273939234</v>
      </c>
      <c r="J2848" s="108">
        <v>1.3600217608592407E-3</v>
      </c>
      <c r="K2848" s="108"/>
      <c r="L2848" s="108">
        <v>4.2200000000000001E-2</v>
      </c>
      <c r="O2848" s="105"/>
    </row>
    <row r="2849" spans="2:15" x14ac:dyDescent="0.2">
      <c r="B2849" s="1">
        <v>2834</v>
      </c>
      <c r="C2849" s="106">
        <f ca="1"/>
        <v>-0.57482570531245258</v>
      </c>
      <c r="D2849" s="106">
        <f t="shared" ca="1" si="171"/>
        <v>0.62787215218761028</v>
      </c>
      <c r="E2849" s="106">
        <f t="shared" ca="1" si="172"/>
        <v>0</v>
      </c>
      <c r="F2849" s="21">
        <f t="shared" ca="1" si="173"/>
        <v>0</v>
      </c>
      <c r="H2849" s="21">
        <v>2834</v>
      </c>
      <c r="I2849" s="107">
        <v>0.66779167573642184</v>
      </c>
      <c r="J2849" s="108">
        <v>1.2292630975181988E-3</v>
      </c>
      <c r="K2849" s="108"/>
      <c r="L2849" s="108">
        <v>4.1000000000000002E-2</v>
      </c>
      <c r="O2849" s="105"/>
    </row>
    <row r="2850" spans="2:15" x14ac:dyDescent="0.2">
      <c r="B2850" s="1">
        <v>2835</v>
      </c>
      <c r="C2850" s="106">
        <f ca="1"/>
        <v>-1.1340553446903721</v>
      </c>
      <c r="D2850" s="106">
        <f t="shared" ca="1" si="171"/>
        <v>0.59417471754150641</v>
      </c>
      <c r="E2850" s="106">
        <f t="shared" ca="1" si="172"/>
        <v>0</v>
      </c>
      <c r="F2850" s="21">
        <f t="shared" ca="1" si="173"/>
        <v>0</v>
      </c>
      <c r="H2850" s="21">
        <v>2835</v>
      </c>
      <c r="I2850" s="107">
        <v>0.667736371463167</v>
      </c>
      <c r="J2850" s="108">
        <v>1.355395780383728E-3</v>
      </c>
      <c r="K2850" s="108"/>
      <c r="L2850" s="108">
        <v>3.8399999999999997E-2</v>
      </c>
      <c r="O2850" s="105"/>
    </row>
    <row r="2851" spans="2:15" x14ac:dyDescent="0.2">
      <c r="B2851" s="1">
        <v>2836</v>
      </c>
      <c r="C2851" s="106">
        <f ca="1"/>
        <v>-0.37797933243807585</v>
      </c>
      <c r="D2851" s="106">
        <f t="shared" ca="1" si="171"/>
        <v>0.6401827955481445</v>
      </c>
      <c r="E2851" s="106">
        <f t="shared" ca="1" si="172"/>
        <v>0</v>
      </c>
      <c r="F2851" s="21">
        <f t="shared" ca="1" si="173"/>
        <v>0</v>
      </c>
      <c r="H2851" s="21">
        <v>2836</v>
      </c>
      <c r="I2851" s="107">
        <v>0.6680212651983557</v>
      </c>
      <c r="J2851" s="108">
        <v>1.7812853786762655E-3</v>
      </c>
      <c r="K2851" s="108"/>
      <c r="L2851" s="108">
        <v>5.04E-2</v>
      </c>
      <c r="O2851" s="105"/>
    </row>
    <row r="2852" spans="2:15" x14ac:dyDescent="0.2">
      <c r="B2852" s="1">
        <v>2837</v>
      </c>
      <c r="C2852" s="106">
        <f ca="1"/>
        <v>0.23689181382526778</v>
      </c>
      <c r="D2852" s="106">
        <f t="shared" ca="1" si="171"/>
        <v>0.6802126423734155</v>
      </c>
      <c r="E2852" s="106">
        <f t="shared" ca="1" si="172"/>
        <v>0</v>
      </c>
      <c r="F2852" s="21">
        <f t="shared" ca="1" si="173"/>
        <v>0</v>
      </c>
      <c r="H2852" s="21">
        <v>2837</v>
      </c>
      <c r="I2852" s="107">
        <v>0.66780473367294457</v>
      </c>
      <c r="J2852" s="108">
        <v>1.4372949393787412E-3</v>
      </c>
      <c r="K2852" s="108"/>
      <c r="L2852" s="108">
        <v>4.5600000000000002E-2</v>
      </c>
      <c r="O2852" s="105"/>
    </row>
    <row r="2853" spans="2:15" x14ac:dyDescent="0.2">
      <c r="B2853" s="1">
        <v>2838</v>
      </c>
      <c r="C2853" s="106">
        <f ca="1"/>
        <v>1.1678976212927419</v>
      </c>
      <c r="D2853" s="106">
        <f t="shared" ca="1" si="171"/>
        <v>0.74563865471978863</v>
      </c>
      <c r="E2853" s="106">
        <f t="shared" ca="1" si="172"/>
        <v>0</v>
      </c>
      <c r="F2853" s="21">
        <f t="shared" ca="1" si="173"/>
        <v>0</v>
      </c>
      <c r="H2853" s="21">
        <v>2838</v>
      </c>
      <c r="I2853" s="107">
        <v>0.66796602833316843</v>
      </c>
      <c r="J2853" s="108">
        <v>1.6567593751053323E-3</v>
      </c>
      <c r="K2853" s="108"/>
      <c r="L2853" s="108">
        <v>4.5199999999999997E-2</v>
      </c>
      <c r="O2853" s="105"/>
    </row>
    <row r="2854" spans="2:15" x14ac:dyDescent="0.2">
      <c r="B2854" s="1">
        <v>2839</v>
      </c>
      <c r="C2854" s="106">
        <f ca="1"/>
        <v>1.0157753118681986E-2</v>
      </c>
      <c r="D2854" s="106">
        <f t="shared" ca="1" si="171"/>
        <v>0.66516831261982934</v>
      </c>
      <c r="E2854" s="106">
        <f t="shared" ca="1" si="172"/>
        <v>0</v>
      </c>
      <c r="F2854" s="21">
        <f t="shared" ca="1" si="173"/>
        <v>0</v>
      </c>
      <c r="H2854" s="21">
        <v>2839</v>
      </c>
      <c r="I2854" s="107">
        <v>0.66766914864298266</v>
      </c>
      <c r="J2854" s="108">
        <v>1.28514223194639E-3</v>
      </c>
      <c r="K2854" s="108"/>
      <c r="L2854" s="108">
        <v>3.8399999999999997E-2</v>
      </c>
      <c r="O2854" s="105"/>
    </row>
    <row r="2855" spans="2:15" x14ac:dyDescent="0.2">
      <c r="B2855" s="1">
        <v>2840</v>
      </c>
      <c r="C2855" s="106">
        <f ca="1"/>
        <v>7.8746157991334456E-2</v>
      </c>
      <c r="D2855" s="106">
        <f t="shared" ca="1" si="171"/>
        <v>0.66968386751496467</v>
      </c>
      <c r="E2855" s="106">
        <f t="shared" ca="1" si="172"/>
        <v>0</v>
      </c>
      <c r="F2855" s="21">
        <f t="shared" ca="1" si="173"/>
        <v>0</v>
      </c>
      <c r="H2855" s="21">
        <v>2840</v>
      </c>
      <c r="I2855" s="107">
        <v>0.66780877429119212</v>
      </c>
      <c r="J2855" s="108">
        <v>1.373581240434289E-3</v>
      </c>
      <c r="K2855" s="108"/>
      <c r="L2855" s="108">
        <v>4.1599999999999998E-2</v>
      </c>
      <c r="O2855" s="105"/>
    </row>
    <row r="2856" spans="2:15" x14ac:dyDescent="0.2">
      <c r="B2856" s="1">
        <v>2841</v>
      </c>
      <c r="C2856" s="106">
        <f ca="1"/>
        <v>0.15369587233917298</v>
      </c>
      <c r="D2856" s="106">
        <f t="shared" ca="1" si="171"/>
        <v>0.67465328070684727</v>
      </c>
      <c r="E2856" s="106">
        <f t="shared" ca="1" si="172"/>
        <v>0</v>
      </c>
      <c r="F2856" s="21">
        <f t="shared" ca="1" si="173"/>
        <v>0</v>
      </c>
      <c r="H2856" s="21">
        <v>2841</v>
      </c>
      <c r="I2856" s="107">
        <v>0.66778312441134058</v>
      </c>
      <c r="J2856" s="108">
        <v>1.3879265977222595E-3</v>
      </c>
      <c r="K2856" s="108"/>
      <c r="L2856" s="108">
        <v>4.5400000000000003E-2</v>
      </c>
      <c r="O2856" s="105"/>
    </row>
    <row r="2857" spans="2:15" x14ac:dyDescent="0.2">
      <c r="B2857" s="1">
        <v>2842</v>
      </c>
      <c r="C2857" s="106">
        <f ca="1"/>
        <v>0.40034949145071796</v>
      </c>
      <c r="D2857" s="106">
        <f t="shared" ca="1" si="171"/>
        <v>0.69126907036473595</v>
      </c>
      <c r="E2857" s="106">
        <f t="shared" ca="1" si="172"/>
        <v>0</v>
      </c>
      <c r="F2857" s="21">
        <f t="shared" ca="1" si="173"/>
        <v>0</v>
      </c>
      <c r="H2857" s="21">
        <v>2842</v>
      </c>
      <c r="I2857" s="107">
        <v>0.66779087984890051</v>
      </c>
      <c r="J2857" s="108">
        <v>1.4777451968654247E-3</v>
      </c>
      <c r="K2857" s="108"/>
      <c r="L2857" s="108">
        <v>4.3400000000000001E-2</v>
      </c>
      <c r="O2857" s="105"/>
    </row>
    <row r="2858" spans="2:15" x14ac:dyDescent="0.2">
      <c r="B2858" s="1">
        <v>2843</v>
      </c>
      <c r="C2858" s="106">
        <f ca="1"/>
        <v>1.8144047234916425</v>
      </c>
      <c r="D2858" s="106">
        <f t="shared" ca="1" si="171"/>
        <v>0.79473873345855561</v>
      </c>
      <c r="E2858" s="106">
        <f t="shared" ca="1" si="172"/>
        <v>6.5387334585556012E-3</v>
      </c>
      <c r="F2858" s="21">
        <f t="shared" ca="1" si="173"/>
        <v>1</v>
      </c>
      <c r="H2858" s="21">
        <v>2843</v>
      </c>
      <c r="I2858" s="107">
        <v>0.66775640994082974</v>
      </c>
      <c r="J2858" s="108">
        <v>1.382272636882461E-3</v>
      </c>
      <c r="K2858" s="108"/>
      <c r="L2858" s="108">
        <v>3.9E-2</v>
      </c>
      <c r="O2858" s="105"/>
    </row>
    <row r="2859" spans="2:15" x14ac:dyDescent="0.2">
      <c r="B2859" s="1">
        <v>2844</v>
      </c>
      <c r="C2859" s="106">
        <f ca="1"/>
        <v>0.50686822203657755</v>
      </c>
      <c r="D2859" s="106">
        <f t="shared" ca="1" si="171"/>
        <v>0.69857062946023984</v>
      </c>
      <c r="E2859" s="106">
        <f t="shared" ca="1" si="172"/>
        <v>0</v>
      </c>
      <c r="F2859" s="21">
        <f t="shared" ca="1" si="173"/>
        <v>0</v>
      </c>
      <c r="H2859" s="21">
        <v>2844</v>
      </c>
      <c r="I2859" s="107">
        <v>0.66775152552800177</v>
      </c>
      <c r="J2859" s="108">
        <v>1.3101645704281717E-3</v>
      </c>
      <c r="K2859" s="108"/>
      <c r="L2859" s="108">
        <v>0.04</v>
      </c>
      <c r="O2859" s="105"/>
    </row>
    <row r="2860" spans="2:15" x14ac:dyDescent="0.2">
      <c r="B2860" s="1">
        <v>2845</v>
      </c>
      <c r="C2860" s="106">
        <f ca="1"/>
        <v>1.3695036113153733</v>
      </c>
      <c r="D2860" s="106">
        <f t="shared" ca="1" si="171"/>
        <v>0.7606153585311366</v>
      </c>
      <c r="E2860" s="106">
        <f t="shared" ca="1" si="172"/>
        <v>0</v>
      </c>
      <c r="F2860" s="21">
        <f t="shared" ca="1" si="173"/>
        <v>0</v>
      </c>
      <c r="H2860" s="21">
        <v>2845</v>
      </c>
      <c r="I2860" s="107">
        <v>0.66768325036764031</v>
      </c>
      <c r="J2860" s="108">
        <v>1.332120663063163E-3</v>
      </c>
      <c r="K2860" s="108"/>
      <c r="L2860" s="108">
        <v>4.02E-2</v>
      </c>
      <c r="O2860" s="105"/>
    </row>
    <row r="2861" spans="2:15" x14ac:dyDescent="0.2">
      <c r="B2861" s="1">
        <v>2846</v>
      </c>
      <c r="C2861" s="106">
        <f ca="1"/>
        <v>0.23615050436113189</v>
      </c>
      <c r="D2861" s="106">
        <f t="shared" ca="1" si="171"/>
        <v>0.68016290449386552</v>
      </c>
      <c r="E2861" s="106">
        <f t="shared" ca="1" si="172"/>
        <v>0</v>
      </c>
      <c r="F2861" s="21">
        <f t="shared" ca="1" si="173"/>
        <v>0</v>
      </c>
      <c r="H2861" s="21">
        <v>2846</v>
      </c>
      <c r="I2861" s="107">
        <v>0.66783788790938647</v>
      </c>
      <c r="J2861" s="108">
        <v>1.5850448369703386E-3</v>
      </c>
      <c r="K2861" s="108"/>
      <c r="L2861" s="108">
        <v>4.1200000000000001E-2</v>
      </c>
      <c r="O2861" s="105"/>
    </row>
    <row r="2862" spans="2:15" x14ac:dyDescent="0.2">
      <c r="B2862" s="1">
        <v>2847</v>
      </c>
      <c r="C2862" s="106">
        <f ca="1"/>
        <v>2.2686733488423685</v>
      </c>
      <c r="D2862" s="106">
        <f t="shared" ca="1" si="171"/>
        <v>0.83116063792316852</v>
      </c>
      <c r="E2862" s="106">
        <f t="shared" ca="1" si="172"/>
        <v>4.296063792316851E-2</v>
      </c>
      <c r="F2862" s="21">
        <f t="shared" ca="1" si="173"/>
        <v>1</v>
      </c>
      <c r="H2862" s="21">
        <v>2847</v>
      </c>
      <c r="I2862" s="107">
        <v>0.6678163702323906</v>
      </c>
      <c r="J2862" s="108">
        <v>1.3908778066581327E-3</v>
      </c>
      <c r="K2862" s="108"/>
      <c r="L2862" s="108">
        <v>4.4200000000000003E-2</v>
      </c>
      <c r="O2862" s="105"/>
    </row>
    <row r="2863" spans="2:15" x14ac:dyDescent="0.2">
      <c r="B2863" s="1">
        <v>2848</v>
      </c>
      <c r="C2863" s="106">
        <f ca="1"/>
        <v>1.412304285380197</v>
      </c>
      <c r="D2863" s="106">
        <f t="shared" ca="1" si="171"/>
        <v>0.76383340047023562</v>
      </c>
      <c r="E2863" s="106">
        <f t="shared" ca="1" si="172"/>
        <v>0</v>
      </c>
      <c r="F2863" s="21">
        <f t="shared" ca="1" si="173"/>
        <v>0</v>
      </c>
      <c r="H2863" s="21">
        <v>2848</v>
      </c>
      <c r="I2863" s="107">
        <v>0.66773894436098613</v>
      </c>
      <c r="J2863" s="108">
        <v>1.3650045836305904E-3</v>
      </c>
      <c r="K2863" s="108"/>
      <c r="L2863" s="108">
        <v>4.1399999999999999E-2</v>
      </c>
      <c r="O2863" s="105"/>
    </row>
    <row r="2864" spans="2:15" x14ac:dyDescent="0.2">
      <c r="B2864" s="1">
        <v>2849</v>
      </c>
      <c r="C2864" s="106">
        <f ca="1"/>
        <v>-0.4059907993108996</v>
      </c>
      <c r="D2864" s="106">
        <f t="shared" ca="1" si="171"/>
        <v>0.63841635554000586</v>
      </c>
      <c r="E2864" s="106">
        <f t="shared" ca="1" si="172"/>
        <v>0</v>
      </c>
      <c r="F2864" s="21">
        <f t="shared" ca="1" si="173"/>
        <v>0</v>
      </c>
      <c r="H2864" s="21">
        <v>2849</v>
      </c>
      <c r="I2864" s="107">
        <v>0.66771277914069738</v>
      </c>
      <c r="J2864" s="108">
        <v>1.282648669402222E-3</v>
      </c>
      <c r="K2864" s="108"/>
      <c r="L2864" s="108">
        <v>3.9399999999999998E-2</v>
      </c>
      <c r="O2864" s="105"/>
    </row>
    <row r="2865" spans="2:15" x14ac:dyDescent="0.2">
      <c r="B2865" s="1">
        <v>2850</v>
      </c>
      <c r="C2865" s="106">
        <f ca="1"/>
        <v>-0.57611799870880243</v>
      </c>
      <c r="D2865" s="106">
        <f t="shared" ca="1" si="171"/>
        <v>0.62779212020662489</v>
      </c>
      <c r="E2865" s="106">
        <f t="shared" ca="1" si="172"/>
        <v>0</v>
      </c>
      <c r="F2865" s="21">
        <f t="shared" ca="1" si="173"/>
        <v>0</v>
      </c>
      <c r="H2865" s="21">
        <v>2850</v>
      </c>
      <c r="I2865" s="107">
        <v>0.66758097088975676</v>
      </c>
      <c r="J2865" s="108">
        <v>1.1052522751682555E-3</v>
      </c>
      <c r="K2865" s="108"/>
      <c r="L2865" s="108">
        <v>3.7199999999999997E-2</v>
      </c>
      <c r="O2865" s="105"/>
    </row>
    <row r="2866" spans="2:15" x14ac:dyDescent="0.2">
      <c r="B2866" s="1">
        <v>2851</v>
      </c>
      <c r="C2866" s="106">
        <f ca="1"/>
        <v>2.9084974222504099</v>
      </c>
      <c r="D2866" s="106">
        <f t="shared" ca="1" si="171"/>
        <v>0.88530850527904636</v>
      </c>
      <c r="E2866" s="106">
        <f t="shared" ca="1" si="172"/>
        <v>9.7108505279046353E-2</v>
      </c>
      <c r="F2866" s="21">
        <f t="shared" ca="1" si="173"/>
        <v>1</v>
      </c>
      <c r="H2866" s="21">
        <v>2851</v>
      </c>
      <c r="I2866" s="107">
        <v>0.66765973428847269</v>
      </c>
      <c r="J2866" s="108">
        <v>1.3204227645863041E-3</v>
      </c>
      <c r="K2866" s="108"/>
      <c r="L2866" s="108">
        <v>3.9199999999999999E-2</v>
      </c>
      <c r="O2866" s="105"/>
    </row>
    <row r="2867" spans="2:15" x14ac:dyDescent="0.2">
      <c r="B2867" s="1">
        <v>2852</v>
      </c>
      <c r="C2867" s="106">
        <f ca="1"/>
        <v>1.1343116426088855</v>
      </c>
      <c r="D2867" s="106">
        <f t="shared" ca="1" si="171"/>
        <v>0.74317246706063989</v>
      </c>
      <c r="E2867" s="106">
        <f t="shared" ca="1" si="172"/>
        <v>0</v>
      </c>
      <c r="F2867" s="21">
        <f t="shared" ca="1" si="173"/>
        <v>0</v>
      </c>
      <c r="H2867" s="21">
        <v>2852</v>
      </c>
      <c r="I2867" s="107">
        <v>0.66767951173735207</v>
      </c>
      <c r="J2867" s="108">
        <v>1.2977383204524811E-3</v>
      </c>
      <c r="K2867" s="108"/>
      <c r="L2867" s="108">
        <v>3.9199999999999999E-2</v>
      </c>
      <c r="O2867" s="105"/>
    </row>
    <row r="2868" spans="2:15" x14ac:dyDescent="0.2">
      <c r="B2868" s="1">
        <v>2853</v>
      </c>
      <c r="C2868" s="106">
        <f ca="1"/>
        <v>0.39745805502160853</v>
      </c>
      <c r="D2868" s="106">
        <f t="shared" ca="1" si="171"/>
        <v>0.69107193808587808</v>
      </c>
      <c r="E2868" s="106">
        <f t="shared" ca="1" si="172"/>
        <v>0</v>
      </c>
      <c r="F2868" s="21">
        <f t="shared" ca="1" si="173"/>
        <v>0</v>
      </c>
      <c r="H2868" s="21">
        <v>2853</v>
      </c>
      <c r="I2868" s="107">
        <v>0.66775007705290212</v>
      </c>
      <c r="J2868" s="108">
        <v>1.4177304544189299E-3</v>
      </c>
      <c r="K2868" s="108"/>
      <c r="L2868" s="108">
        <v>4.4400000000000002E-2</v>
      </c>
      <c r="O2868" s="105"/>
    </row>
    <row r="2869" spans="2:15" x14ac:dyDescent="0.2">
      <c r="B2869" s="1">
        <v>2854</v>
      </c>
      <c r="C2869" s="106">
        <f ca="1"/>
        <v>-0.85984783135717591</v>
      </c>
      <c r="D2869" s="106">
        <f t="shared" ca="1" si="171"/>
        <v>0.6104653932545171</v>
      </c>
      <c r="E2869" s="106">
        <f t="shared" ca="1" si="172"/>
        <v>0</v>
      </c>
      <c r="F2869" s="21">
        <f t="shared" ca="1" si="173"/>
        <v>0</v>
      </c>
      <c r="H2869" s="21">
        <v>2854</v>
      </c>
      <c r="I2869" s="107">
        <v>0.66760266071239893</v>
      </c>
      <c r="J2869" s="108">
        <v>1.2486432084187395E-3</v>
      </c>
      <c r="K2869" s="108"/>
      <c r="L2869" s="108">
        <v>3.9199999999999999E-2</v>
      </c>
      <c r="O2869" s="105"/>
    </row>
    <row r="2870" spans="2:15" x14ac:dyDescent="0.2">
      <c r="B2870" s="1">
        <v>2855</v>
      </c>
      <c r="C2870" s="106">
        <f ca="1"/>
        <v>-1.3251505444732736</v>
      </c>
      <c r="D2870" s="106">
        <f t="shared" ca="1" si="171"/>
        <v>0.58307949349498656</v>
      </c>
      <c r="E2870" s="106">
        <f t="shared" ca="1" si="172"/>
        <v>0</v>
      </c>
      <c r="F2870" s="21">
        <f t="shared" ca="1" si="173"/>
        <v>0</v>
      </c>
      <c r="H2870" s="21">
        <v>2855</v>
      </c>
      <c r="I2870" s="107">
        <v>0.66774869640794376</v>
      </c>
      <c r="J2870" s="108">
        <v>1.2930108582653794E-3</v>
      </c>
      <c r="K2870" s="108"/>
      <c r="L2870" s="108">
        <v>4.0800000000000003E-2</v>
      </c>
      <c r="O2870" s="105"/>
    </row>
    <row r="2871" spans="2:15" x14ac:dyDescent="0.2">
      <c r="B2871" s="1">
        <v>2856</v>
      </c>
      <c r="C2871" s="106">
        <f ca="1"/>
        <v>5.1385080371066254E-2</v>
      </c>
      <c r="D2871" s="106">
        <f t="shared" ca="1" si="171"/>
        <v>0.66787887252079725</v>
      </c>
      <c r="E2871" s="106">
        <f t="shared" ca="1" si="172"/>
        <v>0</v>
      </c>
      <c r="F2871" s="21">
        <f t="shared" ca="1" si="173"/>
        <v>0</v>
      </c>
      <c r="H2871" s="21">
        <v>2856</v>
      </c>
      <c r="I2871" s="107">
        <v>0.66772510785087758</v>
      </c>
      <c r="J2871" s="108">
        <v>1.2374927633711128E-3</v>
      </c>
      <c r="K2871" s="108"/>
      <c r="L2871" s="108">
        <v>4.3400000000000001E-2</v>
      </c>
      <c r="O2871" s="105"/>
    </row>
    <row r="2872" spans="2:15" x14ac:dyDescent="0.2">
      <c r="B2872" s="1">
        <v>2857</v>
      </c>
      <c r="C2872" s="106">
        <f ca="1"/>
        <v>1.0135882732921968</v>
      </c>
      <c r="D2872" s="106">
        <f t="shared" ca="1" si="171"/>
        <v>0.73437502188926707</v>
      </c>
      <c r="E2872" s="106">
        <f t="shared" ca="1" si="172"/>
        <v>0</v>
      </c>
      <c r="F2872" s="21">
        <f t="shared" ca="1" si="173"/>
        <v>0</v>
      </c>
      <c r="H2872" s="21">
        <v>2857</v>
      </c>
      <c r="I2872" s="107">
        <v>0.66770098357049001</v>
      </c>
      <c r="J2872" s="108">
        <v>1.3861755379407975E-3</v>
      </c>
      <c r="K2872" s="108"/>
      <c r="L2872" s="108">
        <v>4.2999999999999997E-2</v>
      </c>
      <c r="O2872" s="105"/>
    </row>
    <row r="2873" spans="2:15" x14ac:dyDescent="0.2">
      <c r="B2873" s="1">
        <v>2858</v>
      </c>
      <c r="C2873" s="106">
        <f ca="1"/>
        <v>-1.9726390970848746</v>
      </c>
      <c r="D2873" s="106">
        <f t="shared" ca="1" si="171"/>
        <v>0.5470030620400872</v>
      </c>
      <c r="E2873" s="106">
        <f t="shared" ca="1" si="172"/>
        <v>0</v>
      </c>
      <c r="F2873" s="21">
        <f t="shared" ca="1" si="173"/>
        <v>0</v>
      </c>
      <c r="H2873" s="21">
        <v>2858</v>
      </c>
      <c r="I2873" s="107">
        <v>0.66768245264816628</v>
      </c>
      <c r="J2873" s="108">
        <v>1.379985834500032E-3</v>
      </c>
      <c r="K2873" s="108"/>
      <c r="L2873" s="108">
        <v>0.04</v>
      </c>
      <c r="O2873" s="105"/>
    </row>
    <row r="2874" spans="2:15" x14ac:dyDescent="0.2">
      <c r="B2874" s="1">
        <v>2859</v>
      </c>
      <c r="C2874" s="106">
        <f ca="1"/>
        <v>-0.8059658408126098</v>
      </c>
      <c r="D2874" s="106">
        <f t="shared" ca="1" si="171"/>
        <v>0.61371864916909136</v>
      </c>
      <c r="E2874" s="106">
        <f t="shared" ca="1" si="172"/>
        <v>0</v>
      </c>
      <c r="F2874" s="21">
        <f t="shared" ca="1" si="173"/>
        <v>0</v>
      </c>
      <c r="H2874" s="21">
        <v>2859</v>
      </c>
      <c r="I2874" s="107">
        <v>0.66770888699686637</v>
      </c>
      <c r="J2874" s="108">
        <v>1.349604916766824E-3</v>
      </c>
      <c r="K2874" s="108"/>
      <c r="L2874" s="108">
        <v>4.0599999999999997E-2</v>
      </c>
      <c r="O2874" s="105"/>
    </row>
    <row r="2875" spans="2:15" x14ac:dyDescent="0.2">
      <c r="B2875" s="1">
        <v>2860</v>
      </c>
      <c r="C2875" s="106">
        <f ca="1"/>
        <v>0.29143185130889721</v>
      </c>
      <c r="D2875" s="106">
        <f t="shared" ca="1" si="171"/>
        <v>0.68388198094968256</v>
      </c>
      <c r="E2875" s="106">
        <f t="shared" ca="1" si="172"/>
        <v>0</v>
      </c>
      <c r="F2875" s="21">
        <f t="shared" ca="1" si="173"/>
        <v>0</v>
      </c>
      <c r="H2875" s="21">
        <v>2860</v>
      </c>
      <c r="I2875" s="107">
        <v>0.66771009027587447</v>
      </c>
      <c r="J2875" s="108">
        <v>1.3079014051774046E-3</v>
      </c>
      <c r="K2875" s="108"/>
      <c r="L2875" s="108">
        <v>4.02E-2</v>
      </c>
      <c r="O2875" s="105"/>
    </row>
    <row r="2876" spans="2:15" x14ac:dyDescent="0.2">
      <c r="B2876" s="1">
        <v>2861</v>
      </c>
      <c r="C2876" s="106">
        <f ca="1"/>
        <v>-0.3740767495315126</v>
      </c>
      <c r="D2876" s="106">
        <f t="shared" ca="1" si="171"/>
        <v>0.6404292851663197</v>
      </c>
      <c r="E2876" s="106">
        <f t="shared" ca="1" si="172"/>
        <v>0</v>
      </c>
      <c r="F2876" s="21">
        <f t="shared" ca="1" si="173"/>
        <v>0</v>
      </c>
      <c r="H2876" s="21">
        <v>2861</v>
      </c>
      <c r="I2876" s="107">
        <v>0.66790043374121955</v>
      </c>
      <c r="J2876" s="108">
        <v>1.5304945056919773E-3</v>
      </c>
      <c r="K2876" s="108"/>
      <c r="L2876" s="108">
        <v>4.6800000000000001E-2</v>
      </c>
      <c r="O2876" s="105"/>
    </row>
    <row r="2877" spans="2:15" x14ac:dyDescent="0.2">
      <c r="B2877" s="1">
        <v>2862</v>
      </c>
      <c r="C2877" s="106">
        <f ca="1"/>
        <v>0.77200776825009421</v>
      </c>
      <c r="D2877" s="106">
        <f t="shared" ca="1" si="171"/>
        <v>0.71708186115194694</v>
      </c>
      <c r="E2877" s="106">
        <f t="shared" ca="1" si="172"/>
        <v>0</v>
      </c>
      <c r="F2877" s="21">
        <f t="shared" ca="1" si="173"/>
        <v>0</v>
      </c>
      <c r="H2877" s="21">
        <v>2862</v>
      </c>
      <c r="I2877" s="107">
        <v>0.66779674195996663</v>
      </c>
      <c r="J2877" s="108">
        <v>1.3237690770979285E-3</v>
      </c>
      <c r="K2877" s="108"/>
      <c r="L2877" s="108">
        <v>4.0399999999999998E-2</v>
      </c>
      <c r="O2877" s="105"/>
    </row>
    <row r="2878" spans="2:15" x14ac:dyDescent="0.2">
      <c r="B2878" s="1">
        <v>2863</v>
      </c>
      <c r="C2878" s="106">
        <f ca="1"/>
        <v>-2.1823351194118592</v>
      </c>
      <c r="D2878" s="106">
        <f t="shared" ca="1" si="171"/>
        <v>0.53580468801604098</v>
      </c>
      <c r="E2878" s="106">
        <f t="shared" ca="1" si="172"/>
        <v>0</v>
      </c>
      <c r="F2878" s="21">
        <f t="shared" ca="1" si="173"/>
        <v>0</v>
      </c>
      <c r="H2878" s="21">
        <v>2863</v>
      </c>
      <c r="I2878" s="107">
        <v>0.6678227096988143</v>
      </c>
      <c r="J2878" s="108">
        <v>1.532786654870726E-3</v>
      </c>
      <c r="K2878" s="108"/>
      <c r="L2878" s="108">
        <v>4.2200000000000001E-2</v>
      </c>
      <c r="O2878" s="105"/>
    </row>
    <row r="2879" spans="2:15" x14ac:dyDescent="0.2">
      <c r="B2879" s="1">
        <v>2864</v>
      </c>
      <c r="C2879" s="106">
        <f ca="1"/>
        <v>0.21263174560448705</v>
      </c>
      <c r="D2879" s="106">
        <f t="shared" ca="1" si="171"/>
        <v>0.67858680883423295</v>
      </c>
      <c r="E2879" s="106">
        <f t="shared" ca="1" si="172"/>
        <v>0</v>
      </c>
      <c r="F2879" s="21">
        <f t="shared" ca="1" si="173"/>
        <v>0</v>
      </c>
      <c r="H2879" s="21">
        <v>2864</v>
      </c>
      <c r="I2879" s="107">
        <v>0.66771207720977233</v>
      </c>
      <c r="J2879" s="108">
        <v>1.3566062326605336E-3</v>
      </c>
      <c r="K2879" s="108"/>
      <c r="L2879" s="108">
        <v>4.24E-2</v>
      </c>
      <c r="O2879" s="105"/>
    </row>
    <row r="2880" spans="2:15" x14ac:dyDescent="0.2">
      <c r="B2880" s="1">
        <v>2865</v>
      </c>
      <c r="C2880" s="106">
        <f ca="1"/>
        <v>1.3887028224278477</v>
      </c>
      <c r="D2880" s="106">
        <f t="shared" ca="1" si="171"/>
        <v>0.76205720388189047</v>
      </c>
      <c r="E2880" s="106">
        <f t="shared" ca="1" si="172"/>
        <v>0</v>
      </c>
      <c r="F2880" s="21">
        <f t="shared" ca="1" si="173"/>
        <v>0</v>
      </c>
      <c r="H2880" s="21">
        <v>2865</v>
      </c>
      <c r="I2880" s="107">
        <v>0.66762211112446357</v>
      </c>
      <c r="J2880" s="108">
        <v>1.2728364778585768E-3</v>
      </c>
      <c r="K2880" s="108"/>
      <c r="L2880" s="108">
        <v>3.7999999999999999E-2</v>
      </c>
      <c r="O2880" s="105"/>
    </row>
    <row r="2881" spans="2:15" x14ac:dyDescent="0.2">
      <c r="B2881" s="1">
        <v>2866</v>
      </c>
      <c r="C2881" s="106">
        <f ca="1"/>
        <v>-0.35796216547571458</v>
      </c>
      <c r="D2881" s="106">
        <f t="shared" ca="1" si="171"/>
        <v>0.64144809798074931</v>
      </c>
      <c r="E2881" s="106">
        <f t="shared" ca="1" si="172"/>
        <v>0</v>
      </c>
      <c r="F2881" s="21">
        <f t="shared" ca="1" si="173"/>
        <v>0</v>
      </c>
      <c r="H2881" s="21">
        <v>2866</v>
      </c>
      <c r="I2881" s="107">
        <v>0.66775859066063747</v>
      </c>
      <c r="J2881" s="108">
        <v>1.427840144869792E-3</v>
      </c>
      <c r="K2881" s="108"/>
      <c r="L2881" s="108">
        <v>4.1200000000000001E-2</v>
      </c>
      <c r="O2881" s="105"/>
    </row>
    <row r="2882" spans="2:15" x14ac:dyDescent="0.2">
      <c r="B2882" s="1">
        <v>2867</v>
      </c>
      <c r="C2882" s="106">
        <f ca="1"/>
        <v>6.8288951757000962E-2</v>
      </c>
      <c r="D2882" s="106">
        <f t="shared" ca="1" si="171"/>
        <v>0.66899343626501695</v>
      </c>
      <c r="E2882" s="106">
        <f t="shared" ca="1" si="172"/>
        <v>0</v>
      </c>
      <c r="F2882" s="21">
        <f t="shared" ca="1" si="173"/>
        <v>0</v>
      </c>
      <c r="H2882" s="21">
        <v>2867</v>
      </c>
      <c r="I2882" s="107">
        <v>0.66782663590285463</v>
      </c>
      <c r="J2882" s="108">
        <v>1.3441713313278561E-3</v>
      </c>
      <c r="K2882" s="108"/>
      <c r="L2882" s="108">
        <v>4.3400000000000001E-2</v>
      </c>
      <c r="O2882" s="105"/>
    </row>
    <row r="2883" spans="2:15" x14ac:dyDescent="0.2">
      <c r="B2883" s="1">
        <v>2868</v>
      </c>
      <c r="C2883" s="106">
        <f ca="1"/>
        <v>-0.5151173326563232</v>
      </c>
      <c r="D2883" s="106">
        <f t="shared" ca="1" si="171"/>
        <v>0.63158105044043089</v>
      </c>
      <c r="E2883" s="106">
        <f t="shared" ca="1" si="172"/>
        <v>0</v>
      </c>
      <c r="F2883" s="21">
        <f t="shared" ca="1" si="173"/>
        <v>0</v>
      </c>
      <c r="H2883" s="21">
        <v>2868</v>
      </c>
      <c r="I2883" s="107">
        <v>0.66772968110892683</v>
      </c>
      <c r="J2883" s="108">
        <v>1.5468063979538183E-3</v>
      </c>
      <c r="K2883" s="108"/>
      <c r="L2883" s="108">
        <v>4.2599999999999999E-2</v>
      </c>
      <c r="O2883" s="105"/>
    </row>
    <row r="2884" spans="2:15" x14ac:dyDescent="0.2">
      <c r="B2884" s="1">
        <v>2869</v>
      </c>
      <c r="C2884" s="106">
        <f ca="1"/>
        <v>-8.086784802174915E-2</v>
      </c>
      <c r="D2884" s="106">
        <f t="shared" ca="1" si="171"/>
        <v>0.65922257518136318</v>
      </c>
      <c r="E2884" s="106">
        <f t="shared" ca="1" si="172"/>
        <v>0</v>
      </c>
      <c r="F2884" s="21">
        <f t="shared" ca="1" si="173"/>
        <v>0</v>
      </c>
      <c r="H2884" s="21">
        <v>2869</v>
      </c>
      <c r="I2884" s="107">
        <v>0.6678603819527873</v>
      </c>
      <c r="J2884" s="108">
        <v>1.4362339290710953E-3</v>
      </c>
      <c r="K2884" s="108"/>
      <c r="L2884" s="108">
        <v>4.3200000000000002E-2</v>
      </c>
      <c r="O2884" s="105"/>
    </row>
    <row r="2885" spans="2:15" x14ac:dyDescent="0.2">
      <c r="B2885" s="1">
        <v>2870</v>
      </c>
      <c r="C2885" s="106">
        <f ca="1"/>
        <v>-0.72743538592110091</v>
      </c>
      <c r="D2885" s="106">
        <f t="shared" ca="1" si="171"/>
        <v>0.61849118852303064</v>
      </c>
      <c r="E2885" s="106">
        <f t="shared" ca="1" si="172"/>
        <v>0</v>
      </c>
      <c r="F2885" s="21">
        <f t="shared" ca="1" si="173"/>
        <v>0</v>
      </c>
      <c r="H2885" s="21">
        <v>2870</v>
      </c>
      <c r="I2885" s="107">
        <v>0.66773203186406072</v>
      </c>
      <c r="J2885" s="108">
        <v>1.3196754438505787E-3</v>
      </c>
      <c r="K2885" s="108"/>
      <c r="L2885" s="108">
        <v>4.3200000000000002E-2</v>
      </c>
      <c r="O2885" s="105"/>
    </row>
    <row r="2886" spans="2:15" x14ac:dyDescent="0.2">
      <c r="B2886" s="1">
        <v>2871</v>
      </c>
      <c r="C2886" s="106">
        <f ca="1"/>
        <v>-1.1297567766871404</v>
      </c>
      <c r="D2886" s="106">
        <f t="shared" ca="1" si="171"/>
        <v>0.59442671081484888</v>
      </c>
      <c r="E2886" s="106">
        <f t="shared" ca="1" si="172"/>
        <v>0</v>
      </c>
      <c r="F2886" s="21">
        <f t="shared" ca="1" si="173"/>
        <v>0</v>
      </c>
      <c r="H2886" s="21">
        <v>2871</v>
      </c>
      <c r="I2886" s="107">
        <v>0.66773880087531245</v>
      </c>
      <c r="J2886" s="108">
        <v>1.3445958621258281E-3</v>
      </c>
      <c r="K2886" s="108"/>
      <c r="L2886" s="108">
        <v>4.1200000000000001E-2</v>
      </c>
      <c r="O2886" s="105"/>
    </row>
    <row r="2887" spans="2:15" x14ac:dyDescent="0.2">
      <c r="B2887" s="1">
        <v>2872</v>
      </c>
      <c r="C2887" s="106">
        <f ca="1"/>
        <v>0.99789662498742604</v>
      </c>
      <c r="D2887" s="106">
        <f t="shared" ca="1" si="171"/>
        <v>0.73323920245219232</v>
      </c>
      <c r="E2887" s="106">
        <f t="shared" ca="1" si="172"/>
        <v>0</v>
      </c>
      <c r="F2887" s="21">
        <f t="shared" ca="1" si="173"/>
        <v>0</v>
      </c>
      <c r="H2887" s="21">
        <v>2872</v>
      </c>
      <c r="I2887" s="107">
        <v>0.66771588603473664</v>
      </c>
      <c r="J2887" s="108">
        <v>1.2710685342269734E-3</v>
      </c>
      <c r="K2887" s="108"/>
      <c r="L2887" s="108">
        <v>3.8600000000000002E-2</v>
      </c>
      <c r="O2887" s="105"/>
    </row>
    <row r="2888" spans="2:15" x14ac:dyDescent="0.2">
      <c r="B2888" s="1">
        <v>2873</v>
      </c>
      <c r="C2888" s="106">
        <f ca="1"/>
        <v>-0.33426930536495941</v>
      </c>
      <c r="D2888" s="106">
        <f t="shared" ca="1" si="171"/>
        <v>0.64294897637294446</v>
      </c>
      <c r="E2888" s="106">
        <f t="shared" ca="1" si="172"/>
        <v>0</v>
      </c>
      <c r="F2888" s="21">
        <f t="shared" ca="1" si="173"/>
        <v>0</v>
      </c>
      <c r="H2888" s="21">
        <v>2873</v>
      </c>
      <c r="I2888" s="107">
        <v>0.66780723672561315</v>
      </c>
      <c r="J2888" s="108">
        <v>1.518847891304478E-3</v>
      </c>
      <c r="K2888" s="108"/>
      <c r="L2888" s="108">
        <v>4.2200000000000001E-2</v>
      </c>
      <c r="O2888" s="105"/>
    </row>
    <row r="2889" spans="2:15" x14ac:dyDescent="0.2">
      <c r="B2889" s="1">
        <v>2874</v>
      </c>
      <c r="C2889" s="106">
        <f ca="1"/>
        <v>0.14475450033582299</v>
      </c>
      <c r="D2889" s="106">
        <f t="shared" ca="1" si="171"/>
        <v>0.67405850640777387</v>
      </c>
      <c r="E2889" s="106">
        <f t="shared" ca="1" si="172"/>
        <v>0</v>
      </c>
      <c r="F2889" s="21">
        <f t="shared" ca="1" si="173"/>
        <v>0</v>
      </c>
      <c r="H2889" s="21">
        <v>2874</v>
      </c>
      <c r="I2889" s="107">
        <v>0.66766379814852617</v>
      </c>
      <c r="J2889" s="108">
        <v>1.2508189844691847E-3</v>
      </c>
      <c r="K2889" s="108"/>
      <c r="L2889" s="108">
        <v>4.0399999999999998E-2</v>
      </c>
      <c r="O2889" s="105"/>
    </row>
    <row r="2890" spans="2:15" x14ac:dyDescent="0.2">
      <c r="B2890" s="1">
        <v>2875</v>
      </c>
      <c r="C2890" s="106">
        <f ca="1"/>
        <v>0.54865844853996515</v>
      </c>
      <c r="D2890" s="106">
        <f t="shared" ca="1" si="171"/>
        <v>0.70145625112058985</v>
      </c>
      <c r="E2890" s="106">
        <f t="shared" ca="1" si="172"/>
        <v>0</v>
      </c>
      <c r="F2890" s="21">
        <f t="shared" ca="1" si="173"/>
        <v>0</v>
      </c>
      <c r="H2890" s="21">
        <v>2875</v>
      </c>
      <c r="I2890" s="107">
        <v>0.66800680790586808</v>
      </c>
      <c r="J2890" s="108">
        <v>1.520171893192945E-3</v>
      </c>
      <c r="K2890" s="108"/>
      <c r="L2890" s="108">
        <v>4.7800000000000002E-2</v>
      </c>
      <c r="O2890" s="105"/>
    </row>
    <row r="2891" spans="2:15" x14ac:dyDescent="0.2">
      <c r="B2891" s="1">
        <v>2876</v>
      </c>
      <c r="C2891" s="106">
        <f ca="1"/>
        <v>2.1259106358348214</v>
      </c>
      <c r="D2891" s="106">
        <f t="shared" ca="1" si="171"/>
        <v>0.81953801050100139</v>
      </c>
      <c r="E2891" s="106">
        <f t="shared" ca="1" si="172"/>
        <v>3.1338010501001379E-2</v>
      </c>
      <c r="F2891" s="21">
        <f t="shared" ca="1" si="173"/>
        <v>1</v>
      </c>
      <c r="H2891" s="21">
        <v>2876</v>
      </c>
      <c r="I2891" s="107">
        <v>0.66773788478070784</v>
      </c>
      <c r="J2891" s="108">
        <v>1.3252942855925712E-3</v>
      </c>
      <c r="K2891" s="108"/>
      <c r="L2891" s="108">
        <v>4.1200000000000001E-2</v>
      </c>
      <c r="O2891" s="105"/>
    </row>
    <row r="2892" spans="2:15" x14ac:dyDescent="0.2">
      <c r="B2892" s="1">
        <v>2877</v>
      </c>
      <c r="C2892" s="106">
        <f ca="1"/>
        <v>1.5019576402070018</v>
      </c>
      <c r="D2892" s="106">
        <f t="shared" ca="1" si="171"/>
        <v>0.77061833800392454</v>
      </c>
      <c r="E2892" s="106">
        <f t="shared" ca="1" si="172"/>
        <v>0</v>
      </c>
      <c r="F2892" s="21">
        <f t="shared" ca="1" si="173"/>
        <v>0</v>
      </c>
      <c r="H2892" s="21">
        <v>2877</v>
      </c>
      <c r="I2892" s="107">
        <v>0.66773464885739442</v>
      </c>
      <c r="J2892" s="108">
        <v>1.4033150414845151E-3</v>
      </c>
      <c r="K2892" s="108"/>
      <c r="L2892" s="108">
        <v>4.3999999999999997E-2</v>
      </c>
      <c r="O2892" s="105"/>
    </row>
    <row r="2893" spans="2:15" x14ac:dyDescent="0.2">
      <c r="B2893" s="1">
        <v>2878</v>
      </c>
      <c r="C2893" s="106">
        <f ca="1"/>
        <v>-1.0226394786037296</v>
      </c>
      <c r="D2893" s="106">
        <f t="shared" ca="1" si="171"/>
        <v>0.60074083713868587</v>
      </c>
      <c r="E2893" s="106">
        <f t="shared" ca="1" si="172"/>
        <v>0</v>
      </c>
      <c r="F2893" s="21">
        <f t="shared" ca="1" si="173"/>
        <v>0</v>
      </c>
      <c r="H2893" s="21">
        <v>2878</v>
      </c>
      <c r="I2893" s="107">
        <v>0.66771358535297975</v>
      </c>
      <c r="J2893" s="108">
        <v>1.3370745362328211E-3</v>
      </c>
      <c r="K2893" s="108"/>
      <c r="L2893" s="108">
        <v>4.4400000000000002E-2</v>
      </c>
      <c r="O2893" s="105"/>
    </row>
    <row r="2894" spans="2:15" x14ac:dyDescent="0.2">
      <c r="B2894" s="1">
        <v>2879</v>
      </c>
      <c r="C2894" s="106">
        <f ca="1"/>
        <v>0.57825768815081502</v>
      </c>
      <c r="D2894" s="106">
        <f t="shared" ca="1" si="171"/>
        <v>0.70350729147747293</v>
      </c>
      <c r="E2894" s="106">
        <f t="shared" ca="1" si="172"/>
        <v>0</v>
      </c>
      <c r="F2894" s="21">
        <f t="shared" ca="1" si="173"/>
        <v>0</v>
      </c>
      <c r="H2894" s="21">
        <v>2879</v>
      </c>
      <c r="I2894" s="107">
        <v>0.66766360912073164</v>
      </c>
      <c r="J2894" s="108">
        <v>1.3126279712708942E-3</v>
      </c>
      <c r="K2894" s="108"/>
      <c r="L2894" s="108">
        <v>3.9E-2</v>
      </c>
      <c r="O2894" s="105"/>
    </row>
    <row r="2895" spans="2:15" x14ac:dyDescent="0.2">
      <c r="B2895" s="1">
        <v>2880</v>
      </c>
      <c r="C2895" s="106">
        <f ca="1"/>
        <v>2.4229539151621626</v>
      </c>
      <c r="D2895" s="106">
        <f t="shared" ca="1" si="171"/>
        <v>0.84390634478361826</v>
      </c>
      <c r="E2895" s="106">
        <f t="shared" ca="1" si="172"/>
        <v>5.5706344783618245E-2</v>
      </c>
      <c r="F2895" s="21">
        <f t="shared" ca="1" si="173"/>
        <v>1</v>
      </c>
      <c r="H2895" s="21">
        <v>2880</v>
      </c>
      <c r="I2895" s="107">
        <v>0.66779059214429048</v>
      </c>
      <c r="J2895" s="108">
        <v>1.5927041829028501E-3</v>
      </c>
      <c r="K2895" s="108"/>
      <c r="L2895" s="108">
        <v>4.4200000000000003E-2</v>
      </c>
      <c r="O2895" s="105"/>
    </row>
    <row r="2896" spans="2:15" x14ac:dyDescent="0.2">
      <c r="B2896" s="1">
        <v>2881</v>
      </c>
      <c r="C2896" s="106">
        <f ca="1"/>
        <v>1.9885225961555737</v>
      </c>
      <c r="D2896" s="106">
        <f t="shared" ref="D2896:D2959" ca="1" si="174">S0*EXP((μ-0.5*σ*σ)*T+σ*SQRT(T)*$C2896)</f>
        <v>0.80850643751628271</v>
      </c>
      <c r="E2896" s="106">
        <f t="shared" ref="E2896:E2959" ca="1" si="175">MAX(0,CP*(D2896-K))</f>
        <v>2.0306437516282694E-2</v>
      </c>
      <c r="F2896" s="21">
        <f t="shared" ref="F2896:F2959" ca="1" si="176">(CP*(D2896-K)&gt;0)*1</f>
        <v>1</v>
      </c>
      <c r="H2896" s="21">
        <v>2881</v>
      </c>
      <c r="I2896" s="107">
        <v>0.66771721309604459</v>
      </c>
      <c r="J2896" s="108">
        <v>1.3183345848695996E-3</v>
      </c>
      <c r="K2896" s="108"/>
      <c r="L2896" s="108">
        <v>4.3200000000000002E-2</v>
      </c>
      <c r="O2896" s="105"/>
    </row>
    <row r="2897" spans="2:15" x14ac:dyDescent="0.2">
      <c r="B2897" s="1">
        <v>2882</v>
      </c>
      <c r="C2897" s="106">
        <f ca="1"/>
        <v>0.40180388167907993</v>
      </c>
      <c r="D2897" s="106">
        <f t="shared" ca="1" si="174"/>
        <v>0.69136824899982563</v>
      </c>
      <c r="E2897" s="106">
        <f t="shared" ca="1" si="175"/>
        <v>0</v>
      </c>
      <c r="F2897" s="21">
        <f t="shared" ca="1" si="176"/>
        <v>0</v>
      </c>
      <c r="H2897" s="21">
        <v>2882</v>
      </c>
      <c r="I2897" s="107">
        <v>0.66766728923964014</v>
      </c>
      <c r="J2897" s="108">
        <v>1.2979270178015371E-3</v>
      </c>
      <c r="K2897" s="108"/>
      <c r="L2897" s="108">
        <v>4.2000000000000003E-2</v>
      </c>
      <c r="O2897" s="105"/>
    </row>
    <row r="2898" spans="2:15" x14ac:dyDescent="0.2">
      <c r="B2898" s="1">
        <v>2883</v>
      </c>
      <c r="C2898" s="106">
        <f ca="1"/>
        <v>-3.5547104929575912E-2</v>
      </c>
      <c r="D2898" s="106">
        <f t="shared" ca="1" si="174"/>
        <v>0.66217622573168189</v>
      </c>
      <c r="E2898" s="106">
        <f t="shared" ca="1" si="175"/>
        <v>0</v>
      </c>
      <c r="F2898" s="21">
        <f t="shared" ca="1" si="176"/>
        <v>0</v>
      </c>
      <c r="H2898" s="21">
        <v>2883</v>
      </c>
      <c r="I2898" s="107">
        <v>0.667698365955392</v>
      </c>
      <c r="J2898" s="108">
        <v>1.2115235663146824E-3</v>
      </c>
      <c r="K2898" s="108"/>
      <c r="L2898" s="108">
        <v>0.04</v>
      </c>
      <c r="O2898" s="105"/>
    </row>
    <row r="2899" spans="2:15" x14ac:dyDescent="0.2">
      <c r="B2899" s="1">
        <v>2884</v>
      </c>
      <c r="C2899" s="106">
        <f ca="1"/>
        <v>7.5376820402479769E-2</v>
      </c>
      <c r="D2899" s="106">
        <f t="shared" ca="1" si="174"/>
        <v>0.66946133109526573</v>
      </c>
      <c r="E2899" s="106">
        <f t="shared" ca="1" si="175"/>
        <v>0</v>
      </c>
      <c r="F2899" s="21">
        <f t="shared" ca="1" si="176"/>
        <v>0</v>
      </c>
      <c r="H2899" s="21">
        <v>2884</v>
      </c>
      <c r="I2899" s="107">
        <v>0.6678483793836183</v>
      </c>
      <c r="J2899" s="108">
        <v>1.4971641087952734E-3</v>
      </c>
      <c r="K2899" s="108"/>
      <c r="L2899" s="108">
        <v>4.2999999999999997E-2</v>
      </c>
      <c r="O2899" s="105"/>
    </row>
    <row r="2900" spans="2:15" x14ac:dyDescent="0.2">
      <c r="B2900" s="1">
        <v>2885</v>
      </c>
      <c r="C2900" s="106">
        <f ca="1"/>
        <v>-0.88514233374980744</v>
      </c>
      <c r="D2900" s="106">
        <f t="shared" ca="1" si="174"/>
        <v>0.60894412990529545</v>
      </c>
      <c r="E2900" s="106">
        <f t="shared" ca="1" si="175"/>
        <v>0</v>
      </c>
      <c r="F2900" s="21">
        <f t="shared" ca="1" si="176"/>
        <v>0</v>
      </c>
      <c r="H2900" s="21">
        <v>2885</v>
      </c>
      <c r="I2900" s="107">
        <v>0.6677441023927454</v>
      </c>
      <c r="J2900" s="108">
        <v>1.4513557620235017E-3</v>
      </c>
      <c r="K2900" s="108"/>
      <c r="L2900" s="108">
        <v>4.6199999999999998E-2</v>
      </c>
      <c r="O2900" s="105"/>
    </row>
    <row r="2901" spans="2:15" x14ac:dyDescent="0.2">
      <c r="B2901" s="1">
        <v>2886</v>
      </c>
      <c r="C2901" s="106">
        <f ca="1"/>
        <v>5.6302978766657519E-2</v>
      </c>
      <c r="D2901" s="106">
        <f t="shared" ca="1" si="174"/>
        <v>0.66820294451533202</v>
      </c>
      <c r="E2901" s="106">
        <f t="shared" ca="1" si="175"/>
        <v>0</v>
      </c>
      <c r="F2901" s="21">
        <f t="shared" ca="1" si="176"/>
        <v>0</v>
      </c>
      <c r="H2901" s="21">
        <v>2886</v>
      </c>
      <c r="I2901" s="107">
        <v>0.66776343844851227</v>
      </c>
      <c r="J2901" s="108">
        <v>1.4534919363423349E-3</v>
      </c>
      <c r="K2901" s="108"/>
      <c r="L2901" s="108">
        <v>3.9600000000000003E-2</v>
      </c>
      <c r="O2901" s="105"/>
    </row>
    <row r="2902" spans="2:15" x14ac:dyDescent="0.2">
      <c r="B2902" s="1">
        <v>2887</v>
      </c>
      <c r="C2902" s="106">
        <f ca="1"/>
        <v>1.1817172290766091</v>
      </c>
      <c r="D2902" s="106">
        <f t="shared" ca="1" si="174"/>
        <v>0.74665579084137568</v>
      </c>
      <c r="E2902" s="106">
        <f t="shared" ca="1" si="175"/>
        <v>0</v>
      </c>
      <c r="F2902" s="21">
        <f t="shared" ca="1" si="176"/>
        <v>0</v>
      </c>
      <c r="H2902" s="21">
        <v>2887</v>
      </c>
      <c r="I2902" s="107">
        <v>0.66774879169916079</v>
      </c>
      <c r="J2902" s="108">
        <v>1.4154253202015505E-3</v>
      </c>
      <c r="K2902" s="108"/>
      <c r="L2902" s="108">
        <v>4.2000000000000003E-2</v>
      </c>
      <c r="O2902" s="105"/>
    </row>
    <row r="2903" spans="2:15" x14ac:dyDescent="0.2">
      <c r="B2903" s="1">
        <v>2888</v>
      </c>
      <c r="C2903" s="106">
        <f ca="1"/>
        <v>0.14538387114653856</v>
      </c>
      <c r="D2903" s="106">
        <f t="shared" ca="1" si="174"/>
        <v>0.67410035458752915</v>
      </c>
      <c r="E2903" s="106">
        <f t="shared" ca="1" si="175"/>
        <v>0</v>
      </c>
      <c r="F2903" s="21">
        <f t="shared" ca="1" si="176"/>
        <v>0</v>
      </c>
      <c r="H2903" s="21">
        <v>2888</v>
      </c>
      <c r="I2903" s="107">
        <v>0.66781377822718091</v>
      </c>
      <c r="J2903" s="108">
        <v>1.349783519746271E-3</v>
      </c>
      <c r="K2903" s="108"/>
      <c r="L2903" s="108">
        <v>4.2599999999999999E-2</v>
      </c>
      <c r="O2903" s="105"/>
    </row>
    <row r="2904" spans="2:15" x14ac:dyDescent="0.2">
      <c r="B2904" s="1">
        <v>2889</v>
      </c>
      <c r="C2904" s="106">
        <f ca="1"/>
        <v>-1.1067780576586708</v>
      </c>
      <c r="D2904" s="106">
        <f t="shared" ca="1" si="174"/>
        <v>0.59577559704710337</v>
      </c>
      <c r="E2904" s="106">
        <f t="shared" ca="1" si="175"/>
        <v>0</v>
      </c>
      <c r="F2904" s="21">
        <f t="shared" ca="1" si="176"/>
        <v>0</v>
      </c>
      <c r="H2904" s="21">
        <v>2889</v>
      </c>
      <c r="I2904" s="107">
        <v>0.66782808983669928</v>
      </c>
      <c r="J2904" s="108">
        <v>1.3217404615586802E-3</v>
      </c>
      <c r="K2904" s="108"/>
      <c r="L2904" s="108">
        <v>4.4200000000000003E-2</v>
      </c>
      <c r="O2904" s="105"/>
    </row>
    <row r="2905" spans="2:15" x14ac:dyDescent="0.2">
      <c r="B2905" s="1">
        <v>2890</v>
      </c>
      <c r="C2905" s="106">
        <f ca="1"/>
        <v>1.0082500164754138</v>
      </c>
      <c r="D2905" s="106">
        <f t="shared" ca="1" si="174"/>
        <v>0.73398842182483481</v>
      </c>
      <c r="E2905" s="106">
        <f t="shared" ca="1" si="175"/>
        <v>0</v>
      </c>
      <c r="F2905" s="21">
        <f t="shared" ca="1" si="176"/>
        <v>0</v>
      </c>
      <c r="H2905" s="21">
        <v>2890</v>
      </c>
      <c r="I2905" s="107">
        <v>0.66773940459487968</v>
      </c>
      <c r="J2905" s="108">
        <v>1.4902155496222486E-3</v>
      </c>
      <c r="K2905" s="108"/>
      <c r="L2905" s="108">
        <v>4.1000000000000002E-2</v>
      </c>
      <c r="O2905" s="105"/>
    </row>
    <row r="2906" spans="2:15" x14ac:dyDescent="0.2">
      <c r="B2906" s="1">
        <v>2891</v>
      </c>
      <c r="C2906" s="106">
        <f ca="1"/>
        <v>0.31820859277351426</v>
      </c>
      <c r="D2906" s="106">
        <f t="shared" ca="1" si="174"/>
        <v>0.68569070145787814</v>
      </c>
      <c r="E2906" s="106">
        <f t="shared" ca="1" si="175"/>
        <v>0</v>
      </c>
      <c r="F2906" s="21">
        <f t="shared" ca="1" si="176"/>
        <v>0</v>
      </c>
      <c r="H2906" s="21">
        <v>2891</v>
      </c>
      <c r="I2906" s="107">
        <v>0.66759897707524973</v>
      </c>
      <c r="J2906" s="108">
        <v>9.7248332615832811E-4</v>
      </c>
      <c r="K2906" s="108"/>
      <c r="L2906" s="108">
        <v>3.5999999999999997E-2</v>
      </c>
      <c r="O2906" s="105"/>
    </row>
    <row r="2907" spans="2:15" x14ac:dyDescent="0.2">
      <c r="B2907" s="1">
        <v>2892</v>
      </c>
      <c r="C2907" s="106">
        <f ca="1"/>
        <v>1.4261847034090918</v>
      </c>
      <c r="D2907" s="106">
        <f t="shared" ca="1" si="174"/>
        <v>0.76487994434361195</v>
      </c>
      <c r="E2907" s="106">
        <f t="shared" ca="1" si="175"/>
        <v>0</v>
      </c>
      <c r="F2907" s="21">
        <f t="shared" ca="1" si="176"/>
        <v>0</v>
      </c>
      <c r="H2907" s="21">
        <v>2892</v>
      </c>
      <c r="I2907" s="107">
        <v>0.6678616458226504</v>
      </c>
      <c r="J2907" s="108">
        <v>1.4096636640410368E-3</v>
      </c>
      <c r="K2907" s="108"/>
      <c r="L2907" s="108">
        <v>4.58E-2</v>
      </c>
      <c r="O2907" s="105"/>
    </row>
    <row r="2908" spans="2:15" x14ac:dyDescent="0.2">
      <c r="B2908" s="1">
        <v>2893</v>
      </c>
      <c r="C2908" s="106">
        <f ca="1"/>
        <v>-1.4336915846977254</v>
      </c>
      <c r="D2908" s="106">
        <f t="shared" ca="1" si="174"/>
        <v>0.57686997669184747</v>
      </c>
      <c r="E2908" s="106">
        <f t="shared" ca="1" si="175"/>
        <v>0</v>
      </c>
      <c r="F2908" s="21">
        <f t="shared" ca="1" si="176"/>
        <v>0</v>
      </c>
      <c r="H2908" s="21">
        <v>2893</v>
      </c>
      <c r="I2908" s="107">
        <v>0.66772980819218886</v>
      </c>
      <c r="J2908" s="108">
        <v>1.3111096532134141E-3</v>
      </c>
      <c r="K2908" s="108"/>
      <c r="L2908" s="108">
        <v>3.8399999999999997E-2</v>
      </c>
      <c r="O2908" s="105"/>
    </row>
    <row r="2909" spans="2:15" x14ac:dyDescent="0.2">
      <c r="B2909" s="1">
        <v>2894</v>
      </c>
      <c r="C2909" s="106">
        <f ca="1"/>
        <v>-1.9249759158958941</v>
      </c>
      <c r="D2909" s="106">
        <f t="shared" ca="1" si="174"/>
        <v>0.54958088456314236</v>
      </c>
      <c r="E2909" s="106">
        <f t="shared" ca="1" si="175"/>
        <v>0</v>
      </c>
      <c r="F2909" s="21">
        <f t="shared" ca="1" si="176"/>
        <v>0</v>
      </c>
      <c r="H2909" s="21">
        <v>2894</v>
      </c>
      <c r="I2909" s="107">
        <v>0.6677844729884771</v>
      </c>
      <c r="J2909" s="108">
        <v>1.385295304494769E-3</v>
      </c>
      <c r="K2909" s="108"/>
      <c r="L2909" s="108">
        <v>4.2799999999999998E-2</v>
      </c>
      <c r="O2909" s="105"/>
    </row>
    <row r="2910" spans="2:15" x14ac:dyDescent="0.2">
      <c r="B2910" s="1">
        <v>2895</v>
      </c>
      <c r="C2910" s="106">
        <f ca="1"/>
        <v>-0.93266536991320004</v>
      </c>
      <c r="D2910" s="106">
        <f t="shared" ca="1" si="174"/>
        <v>0.6060962413060379</v>
      </c>
      <c r="E2910" s="106">
        <f t="shared" ca="1" si="175"/>
        <v>0</v>
      </c>
      <c r="F2910" s="21">
        <f t="shared" ca="1" si="176"/>
        <v>0</v>
      </c>
      <c r="H2910" s="21">
        <v>2895</v>
      </c>
      <c r="I2910" s="107">
        <v>0.66774345035534977</v>
      </c>
      <c r="J2910" s="108">
        <v>1.401583481530876E-3</v>
      </c>
      <c r="K2910" s="108"/>
      <c r="L2910" s="108">
        <v>4.1000000000000002E-2</v>
      </c>
      <c r="O2910" s="105"/>
    </row>
    <row r="2911" spans="2:15" x14ac:dyDescent="0.2">
      <c r="B2911" s="1">
        <v>2896</v>
      </c>
      <c r="C2911" s="106">
        <f ca="1"/>
        <v>1.6362401402924729</v>
      </c>
      <c r="D2911" s="106">
        <f t="shared" ca="1" si="174"/>
        <v>0.78089369981969947</v>
      </c>
      <c r="E2911" s="106">
        <f t="shared" ca="1" si="175"/>
        <v>0</v>
      </c>
      <c r="F2911" s="21">
        <f t="shared" ca="1" si="176"/>
        <v>0</v>
      </c>
      <c r="H2911" s="21">
        <v>2896</v>
      </c>
      <c r="I2911" s="107">
        <v>0.66771477188224526</v>
      </c>
      <c r="J2911" s="108">
        <v>1.3312612655955417E-3</v>
      </c>
      <c r="K2911" s="108"/>
      <c r="L2911" s="108">
        <v>4.24E-2</v>
      </c>
      <c r="O2911" s="105"/>
    </row>
    <row r="2912" spans="2:15" x14ac:dyDescent="0.2">
      <c r="B2912" s="1">
        <v>2897</v>
      </c>
      <c r="C2912" s="106">
        <f ca="1"/>
        <v>-1.1637629801164595</v>
      </c>
      <c r="D2912" s="106">
        <f t="shared" ca="1" si="174"/>
        <v>0.59243609629858718</v>
      </c>
      <c r="E2912" s="106">
        <f t="shared" ca="1" si="175"/>
        <v>0</v>
      </c>
      <c r="F2912" s="21">
        <f t="shared" ca="1" si="176"/>
        <v>0</v>
      </c>
      <c r="H2912" s="21">
        <v>2897</v>
      </c>
      <c r="I2912" s="107">
        <v>0.66776372007452867</v>
      </c>
      <c r="J2912" s="108">
        <v>1.3407301382826111E-3</v>
      </c>
      <c r="K2912" s="108"/>
      <c r="L2912" s="108">
        <v>4.5400000000000003E-2</v>
      </c>
      <c r="O2912" s="105"/>
    </row>
    <row r="2913" spans="2:15" x14ac:dyDescent="0.2">
      <c r="B2913" s="1">
        <v>2898</v>
      </c>
      <c r="C2913" s="106">
        <f ca="1"/>
        <v>-0.58063362620707226</v>
      </c>
      <c r="D2913" s="106">
        <f t="shared" ca="1" si="174"/>
        <v>0.62751254661211753</v>
      </c>
      <c r="E2913" s="106">
        <f t="shared" ca="1" si="175"/>
        <v>0</v>
      </c>
      <c r="F2913" s="21">
        <f t="shared" ca="1" si="176"/>
        <v>0</v>
      </c>
      <c r="H2913" s="21">
        <v>2898</v>
      </c>
      <c r="I2913" s="107">
        <v>0.66767207050266164</v>
      </c>
      <c r="J2913" s="108">
        <v>1.2845691649318687E-3</v>
      </c>
      <c r="K2913" s="108"/>
      <c r="L2913" s="108">
        <v>3.9600000000000003E-2</v>
      </c>
      <c r="O2913" s="105"/>
    </row>
    <row r="2914" spans="2:15" x14ac:dyDescent="0.2">
      <c r="B2914" s="1">
        <v>2899</v>
      </c>
      <c r="C2914" s="106">
        <f ca="1"/>
        <v>-0.59294178048452195</v>
      </c>
      <c r="D2914" s="106">
        <f t="shared" ca="1" si="174"/>
        <v>0.62675115053415886</v>
      </c>
      <c r="E2914" s="106">
        <f t="shared" ca="1" si="175"/>
        <v>0</v>
      </c>
      <c r="F2914" s="21">
        <f t="shared" ca="1" si="176"/>
        <v>0</v>
      </c>
      <c r="H2914" s="21">
        <v>2899</v>
      </c>
      <c r="I2914" s="107">
        <v>0.66778211835811885</v>
      </c>
      <c r="J2914" s="108">
        <v>1.3791867030837554E-3</v>
      </c>
      <c r="K2914" s="108"/>
      <c r="L2914" s="108">
        <v>4.3200000000000002E-2</v>
      </c>
      <c r="O2914" s="105"/>
    </row>
    <row r="2915" spans="2:15" x14ac:dyDescent="0.2">
      <c r="B2915" s="1">
        <v>2900</v>
      </c>
      <c r="C2915" s="106">
        <f ca="1"/>
        <v>-6.6315999292342942E-2</v>
      </c>
      <c r="D2915" s="106">
        <f t="shared" ca="1" si="174"/>
        <v>0.66016951172506866</v>
      </c>
      <c r="E2915" s="106">
        <f t="shared" ca="1" si="175"/>
        <v>0</v>
      </c>
      <c r="F2915" s="21">
        <f t="shared" ca="1" si="176"/>
        <v>0</v>
      </c>
      <c r="H2915" s="21">
        <v>2900</v>
      </c>
      <c r="I2915" s="107">
        <v>0.66766821786393515</v>
      </c>
      <c r="J2915" s="108">
        <v>1.2601912365199765E-3</v>
      </c>
      <c r="K2915" s="108"/>
      <c r="L2915" s="108">
        <v>4.1000000000000002E-2</v>
      </c>
      <c r="O2915" s="105"/>
    </row>
    <row r="2916" spans="2:15" x14ac:dyDescent="0.2">
      <c r="B2916" s="1">
        <v>2901</v>
      </c>
      <c r="C2916" s="106">
        <f ca="1"/>
        <v>1.369011778476009</v>
      </c>
      <c r="D2916" s="106">
        <f t="shared" ca="1" si="174"/>
        <v>0.76057845813917913</v>
      </c>
      <c r="E2916" s="106">
        <f t="shared" ca="1" si="175"/>
        <v>0</v>
      </c>
      <c r="F2916" s="21">
        <f t="shared" ca="1" si="176"/>
        <v>0</v>
      </c>
      <c r="H2916" s="21">
        <v>2901</v>
      </c>
      <c r="I2916" s="107">
        <v>0.66784557693429103</v>
      </c>
      <c r="J2916" s="108">
        <v>1.5505429768058131E-3</v>
      </c>
      <c r="K2916" s="108"/>
      <c r="L2916" s="108">
        <v>4.3799999999999999E-2</v>
      </c>
      <c r="O2916" s="105"/>
    </row>
    <row r="2917" spans="2:15" x14ac:dyDescent="0.2">
      <c r="B2917" s="1">
        <v>2902</v>
      </c>
      <c r="C2917" s="106">
        <f ca="1"/>
        <v>0.99532532236284732</v>
      </c>
      <c r="D2917" s="106">
        <f t="shared" ca="1" si="174"/>
        <v>0.7330532496639155</v>
      </c>
      <c r="E2917" s="106">
        <f t="shared" ca="1" si="175"/>
        <v>0</v>
      </c>
      <c r="F2917" s="21">
        <f t="shared" ca="1" si="176"/>
        <v>0</v>
      </c>
      <c r="H2917" s="21">
        <v>2902</v>
      </c>
      <c r="I2917" s="107">
        <v>0.66764118182646093</v>
      </c>
      <c r="J2917" s="108">
        <v>1.275043969696634E-3</v>
      </c>
      <c r="K2917" s="108"/>
      <c r="L2917" s="108">
        <v>4.24E-2</v>
      </c>
      <c r="O2917" s="105"/>
    </row>
    <row r="2918" spans="2:15" x14ac:dyDescent="0.2">
      <c r="B2918" s="1">
        <v>2903</v>
      </c>
      <c r="C2918" s="106">
        <f ca="1"/>
        <v>0.90022171321962585</v>
      </c>
      <c r="D2918" s="106">
        <f t="shared" ca="1" si="174"/>
        <v>0.72620852591098006</v>
      </c>
      <c r="E2918" s="106">
        <f t="shared" ca="1" si="175"/>
        <v>0</v>
      </c>
      <c r="F2918" s="21">
        <f t="shared" ca="1" si="176"/>
        <v>0</v>
      </c>
      <c r="H2918" s="21">
        <v>2903</v>
      </c>
      <c r="I2918" s="107">
        <v>0.66783117763911937</v>
      </c>
      <c r="J2918" s="108">
        <v>1.3525594315258165E-3</v>
      </c>
      <c r="K2918" s="108"/>
      <c r="L2918" s="108">
        <v>4.4200000000000003E-2</v>
      </c>
      <c r="O2918" s="105"/>
    </row>
    <row r="2919" spans="2:15" x14ac:dyDescent="0.2">
      <c r="B2919" s="1">
        <v>2904</v>
      </c>
      <c r="C2919" s="106">
        <f ca="1"/>
        <v>-1.6279888701824998</v>
      </c>
      <c r="D2919" s="106">
        <f t="shared" ca="1" si="174"/>
        <v>0.56591911158321895</v>
      </c>
      <c r="E2919" s="106">
        <f t="shared" ca="1" si="175"/>
        <v>0</v>
      </c>
      <c r="F2919" s="21">
        <f t="shared" ca="1" si="176"/>
        <v>0</v>
      </c>
      <c r="H2919" s="21">
        <v>2904</v>
      </c>
      <c r="I2919" s="107">
        <v>0.66782760649490802</v>
      </c>
      <c r="J2919" s="108">
        <v>1.4137822558321956E-3</v>
      </c>
      <c r="K2919" s="108"/>
      <c r="L2919" s="108">
        <v>4.4400000000000002E-2</v>
      </c>
      <c r="O2919" s="105"/>
    </row>
    <row r="2920" spans="2:15" x14ac:dyDescent="0.2">
      <c r="B2920" s="1">
        <v>2905</v>
      </c>
      <c r="C2920" s="106">
        <f ca="1"/>
        <v>0.83358406522092787</v>
      </c>
      <c r="D2920" s="106">
        <f t="shared" ca="1" si="174"/>
        <v>0.7214506476230651</v>
      </c>
      <c r="E2920" s="106">
        <f t="shared" ca="1" si="175"/>
        <v>0</v>
      </c>
      <c r="F2920" s="21">
        <f t="shared" ca="1" si="176"/>
        <v>0</v>
      </c>
      <c r="H2920" s="21">
        <v>2905</v>
      </c>
      <c r="I2920" s="107">
        <v>0.66785355247330358</v>
      </c>
      <c r="J2920" s="108">
        <v>1.511692799112565E-3</v>
      </c>
      <c r="K2920" s="108"/>
      <c r="L2920" s="108">
        <v>4.4200000000000003E-2</v>
      </c>
      <c r="O2920" s="105"/>
    </row>
    <row r="2921" spans="2:15" x14ac:dyDescent="0.2">
      <c r="B2921" s="1">
        <v>2906</v>
      </c>
      <c r="C2921" s="106">
        <f ca="1"/>
        <v>-0.84626047311102437</v>
      </c>
      <c r="D2921" s="106">
        <f t="shared" ca="1" si="174"/>
        <v>0.6112841333242981</v>
      </c>
      <c r="E2921" s="106">
        <f t="shared" ca="1" si="175"/>
        <v>0</v>
      </c>
      <c r="F2921" s="21">
        <f t="shared" ca="1" si="176"/>
        <v>0</v>
      </c>
      <c r="H2921" s="21">
        <v>2906</v>
      </c>
      <c r="I2921" s="107">
        <v>0.667451291838139</v>
      </c>
      <c r="J2921" s="108">
        <v>1.1488540784355757E-3</v>
      </c>
      <c r="K2921" s="108"/>
      <c r="L2921" s="108">
        <v>3.5200000000000002E-2</v>
      </c>
      <c r="O2921" s="105"/>
    </row>
    <row r="2922" spans="2:15" x14ac:dyDescent="0.2">
      <c r="B2922" s="1">
        <v>2907</v>
      </c>
      <c r="C2922" s="106">
        <f ca="1"/>
        <v>1.3846748364018091</v>
      </c>
      <c r="D2922" s="106">
        <f t="shared" ca="1" si="174"/>
        <v>0.76175447897559678</v>
      </c>
      <c r="E2922" s="106">
        <f t="shared" ca="1" si="175"/>
        <v>0</v>
      </c>
      <c r="F2922" s="21">
        <f t="shared" ca="1" si="176"/>
        <v>0</v>
      </c>
      <c r="H2922" s="21">
        <v>2907</v>
      </c>
      <c r="I2922" s="107">
        <v>0.66786385086689448</v>
      </c>
      <c r="J2922" s="108">
        <v>1.5356089377598404E-3</v>
      </c>
      <c r="K2922" s="108"/>
      <c r="L2922" s="108">
        <v>4.3799999999999999E-2</v>
      </c>
      <c r="O2922" s="105"/>
    </row>
    <row r="2923" spans="2:15" x14ac:dyDescent="0.2">
      <c r="B2923" s="1">
        <v>2908</v>
      </c>
      <c r="C2923" s="106">
        <f ca="1"/>
        <v>0.49064767589734976</v>
      </c>
      <c r="D2923" s="106">
        <f t="shared" ca="1" si="174"/>
        <v>0.69745379886491787</v>
      </c>
      <c r="E2923" s="106">
        <f t="shared" ca="1" si="175"/>
        <v>0</v>
      </c>
      <c r="F2923" s="21">
        <f t="shared" ca="1" si="176"/>
        <v>0</v>
      </c>
      <c r="H2923" s="21">
        <v>2908</v>
      </c>
      <c r="I2923" s="107">
        <v>0.66774012505605984</v>
      </c>
      <c r="J2923" s="108">
        <v>1.167401321136676E-3</v>
      </c>
      <c r="K2923" s="108"/>
      <c r="L2923" s="108">
        <v>4.2599999999999999E-2</v>
      </c>
      <c r="O2923" s="105"/>
    </row>
    <row r="2924" spans="2:15" x14ac:dyDescent="0.2">
      <c r="B2924" s="1">
        <v>2909</v>
      </c>
      <c r="C2924" s="106">
        <f ca="1"/>
        <v>-1.2703713815524895</v>
      </c>
      <c r="D2924" s="106">
        <f t="shared" ca="1" si="174"/>
        <v>0.58623868491451103</v>
      </c>
      <c r="E2924" s="106">
        <f t="shared" ca="1" si="175"/>
        <v>0</v>
      </c>
      <c r="F2924" s="21">
        <f t="shared" ca="1" si="176"/>
        <v>0</v>
      </c>
      <c r="H2924" s="21">
        <v>2909</v>
      </c>
      <c r="I2924" s="107">
        <v>0.66790574415278647</v>
      </c>
      <c r="J2924" s="108">
        <v>1.5319160014322529E-3</v>
      </c>
      <c r="K2924" s="108"/>
      <c r="L2924" s="108">
        <v>4.5400000000000003E-2</v>
      </c>
      <c r="O2924" s="105"/>
    </row>
    <row r="2925" spans="2:15" x14ac:dyDescent="0.2">
      <c r="B2925" s="1">
        <v>2910</v>
      </c>
      <c r="C2925" s="106">
        <f ca="1"/>
        <v>-1.3631349736125791</v>
      </c>
      <c r="D2925" s="106">
        <f t="shared" ca="1" si="174"/>
        <v>0.58089887891439551</v>
      </c>
      <c r="E2925" s="106">
        <f t="shared" ca="1" si="175"/>
        <v>0</v>
      </c>
      <c r="F2925" s="21">
        <f t="shared" ca="1" si="176"/>
        <v>0</v>
      </c>
      <c r="H2925" s="21">
        <v>2910</v>
      </c>
      <c r="I2925" s="107">
        <v>0.66787586812907052</v>
      </c>
      <c r="J2925" s="108">
        <v>1.4796125339091547E-3</v>
      </c>
      <c r="K2925" s="108"/>
      <c r="L2925" s="108">
        <v>4.4600000000000001E-2</v>
      </c>
      <c r="O2925" s="105"/>
    </row>
    <row r="2926" spans="2:15" x14ac:dyDescent="0.2">
      <c r="B2926" s="1">
        <v>2911</v>
      </c>
      <c r="C2926" s="106">
        <f ca="1"/>
        <v>0.36937633732589831</v>
      </c>
      <c r="D2926" s="106">
        <f t="shared" ca="1" si="174"/>
        <v>0.68916030532333616</v>
      </c>
      <c r="E2926" s="106">
        <f t="shared" ca="1" si="175"/>
        <v>0</v>
      </c>
      <c r="F2926" s="21">
        <f t="shared" ca="1" si="176"/>
        <v>0</v>
      </c>
      <c r="H2926" s="21">
        <v>2911</v>
      </c>
      <c r="I2926" s="107">
        <v>0.66769263081884034</v>
      </c>
      <c r="J2926" s="108">
        <v>1.2952309930035044E-3</v>
      </c>
      <c r="K2926" s="108"/>
      <c r="L2926" s="108">
        <v>3.7999999999999999E-2</v>
      </c>
      <c r="O2926" s="105"/>
    </row>
    <row r="2927" spans="2:15" x14ac:dyDescent="0.2">
      <c r="B2927" s="1">
        <v>2912</v>
      </c>
      <c r="C2927" s="106">
        <f ca="1"/>
        <v>0.22029144307205278</v>
      </c>
      <c r="D2927" s="106">
        <f t="shared" ca="1" si="174"/>
        <v>0.67909971746755515</v>
      </c>
      <c r="E2927" s="106">
        <f t="shared" ca="1" si="175"/>
        <v>0</v>
      </c>
      <c r="F2927" s="21">
        <f t="shared" ca="1" si="176"/>
        <v>0</v>
      </c>
      <c r="H2927" s="21">
        <v>2912</v>
      </c>
      <c r="I2927" s="107">
        <v>0.66769177673133429</v>
      </c>
      <c r="J2927" s="108">
        <v>1.4691843625972143E-3</v>
      </c>
      <c r="K2927" s="108"/>
      <c r="L2927" s="108">
        <v>4.1200000000000001E-2</v>
      </c>
      <c r="O2927" s="105"/>
    </row>
    <row r="2928" spans="2:15" x14ac:dyDescent="0.2">
      <c r="B2928" s="1">
        <v>2913</v>
      </c>
      <c r="C2928" s="106">
        <f ca="1"/>
        <v>-0.24068457865688347</v>
      </c>
      <c r="D2928" s="106">
        <f t="shared" ca="1" si="174"/>
        <v>0.6489117247706454</v>
      </c>
      <c r="E2928" s="106">
        <f t="shared" ca="1" si="175"/>
        <v>0</v>
      </c>
      <c r="F2928" s="21">
        <f t="shared" ca="1" si="176"/>
        <v>0</v>
      </c>
      <c r="H2928" s="21">
        <v>2913</v>
      </c>
      <c r="I2928" s="107">
        <v>0.6677703767058627</v>
      </c>
      <c r="J2928" s="108">
        <v>1.4163933978102508E-3</v>
      </c>
      <c r="K2928" s="108"/>
      <c r="L2928" s="108">
        <v>4.36E-2</v>
      </c>
      <c r="O2928" s="105"/>
    </row>
    <row r="2929" spans="2:15" x14ac:dyDescent="0.2">
      <c r="B2929" s="1">
        <v>2914</v>
      </c>
      <c r="C2929" s="106">
        <f ca="1"/>
        <v>-2.6694557489414912</v>
      </c>
      <c r="D2929" s="106">
        <f t="shared" ca="1" si="174"/>
        <v>0.51066790263381301</v>
      </c>
      <c r="E2929" s="106">
        <f t="shared" ca="1" si="175"/>
        <v>0</v>
      </c>
      <c r="F2929" s="21">
        <f t="shared" ca="1" si="176"/>
        <v>0</v>
      </c>
      <c r="H2929" s="21">
        <v>2914</v>
      </c>
      <c r="I2929" s="107">
        <v>0.66777900735084639</v>
      </c>
      <c r="J2929" s="108">
        <v>1.5083144916449333E-3</v>
      </c>
      <c r="K2929" s="108"/>
      <c r="L2929" s="108">
        <v>4.4200000000000003E-2</v>
      </c>
      <c r="O2929" s="105"/>
    </row>
    <row r="2930" spans="2:15" x14ac:dyDescent="0.2">
      <c r="B2930" s="1">
        <v>2915</v>
      </c>
      <c r="C2930" s="106">
        <f ca="1"/>
        <v>-3.4583042386259921E-2</v>
      </c>
      <c r="D2930" s="106">
        <f t="shared" ca="1" si="174"/>
        <v>0.66223919930604369</v>
      </c>
      <c r="E2930" s="106">
        <f t="shared" ca="1" si="175"/>
        <v>0</v>
      </c>
      <c r="F2930" s="21">
        <f t="shared" ca="1" si="176"/>
        <v>0</v>
      </c>
      <c r="H2930" s="21">
        <v>2915</v>
      </c>
      <c r="I2930" s="107">
        <v>0.6678839167719044</v>
      </c>
      <c r="J2930" s="108">
        <v>1.5311423627428055E-3</v>
      </c>
      <c r="K2930" s="108"/>
      <c r="L2930" s="108">
        <v>4.58E-2</v>
      </c>
      <c r="O2930" s="105"/>
    </row>
    <row r="2931" spans="2:15" x14ac:dyDescent="0.2">
      <c r="B2931" s="1">
        <v>2916</v>
      </c>
      <c r="C2931" s="106">
        <f ca="1"/>
        <v>0.85619727824391501</v>
      </c>
      <c r="D2931" s="106">
        <f t="shared" ca="1" si="174"/>
        <v>0.72306170964601202</v>
      </c>
      <c r="E2931" s="106">
        <f t="shared" ca="1" si="175"/>
        <v>0</v>
      </c>
      <c r="F2931" s="21">
        <f t="shared" ca="1" si="176"/>
        <v>0</v>
      </c>
      <c r="H2931" s="21">
        <v>2916</v>
      </c>
      <c r="I2931" s="107">
        <v>0.66771833843450423</v>
      </c>
      <c r="J2931" s="108">
        <v>1.3453434663348895E-3</v>
      </c>
      <c r="K2931" s="108"/>
      <c r="L2931" s="108">
        <v>0.04</v>
      </c>
      <c r="O2931" s="105"/>
    </row>
    <row r="2932" spans="2:15" x14ac:dyDescent="0.2">
      <c r="B2932" s="1">
        <v>2917</v>
      </c>
      <c r="C2932" s="106">
        <f ca="1"/>
        <v>2.1459987237709588</v>
      </c>
      <c r="D2932" s="106">
        <f t="shared" ca="1" si="174"/>
        <v>0.82116354785697543</v>
      </c>
      <c r="E2932" s="106">
        <f t="shared" ca="1" si="175"/>
        <v>3.2963547856975417E-2</v>
      </c>
      <c r="F2932" s="21">
        <f t="shared" ca="1" si="176"/>
        <v>1</v>
      </c>
      <c r="H2932" s="21">
        <v>2917</v>
      </c>
      <c r="I2932" s="107">
        <v>0.6676662698011322</v>
      </c>
      <c r="J2932" s="108">
        <v>1.3886144067012437E-3</v>
      </c>
      <c r="K2932" s="108"/>
      <c r="L2932" s="108">
        <v>3.6400000000000002E-2</v>
      </c>
      <c r="O2932" s="105"/>
    </row>
    <row r="2933" spans="2:15" x14ac:dyDescent="0.2">
      <c r="B2933" s="1">
        <v>2918</v>
      </c>
      <c r="C2933" s="106">
        <f ca="1"/>
        <v>0.92805951701580369</v>
      </c>
      <c r="D2933" s="106">
        <f t="shared" ca="1" si="174"/>
        <v>0.7282054043473335</v>
      </c>
      <c r="E2933" s="106">
        <f t="shared" ca="1" si="175"/>
        <v>0</v>
      </c>
      <c r="F2933" s="21">
        <f t="shared" ca="1" si="176"/>
        <v>0</v>
      </c>
      <c r="H2933" s="21">
        <v>2918</v>
      </c>
      <c r="I2933" s="107">
        <v>0.66771442944094883</v>
      </c>
      <c r="J2933" s="108">
        <v>1.396381869794227E-3</v>
      </c>
      <c r="K2933" s="108"/>
      <c r="L2933" s="108">
        <v>4.2999999999999997E-2</v>
      </c>
      <c r="O2933" s="105"/>
    </row>
    <row r="2934" spans="2:15" x14ac:dyDescent="0.2">
      <c r="B2934" s="1">
        <v>2919</v>
      </c>
      <c r="C2934" s="106">
        <f ca="1"/>
        <v>-7.675952810300786E-2</v>
      </c>
      <c r="D2934" s="106">
        <f t="shared" ca="1" si="174"/>
        <v>0.65948977934994502</v>
      </c>
      <c r="E2934" s="106">
        <f t="shared" ca="1" si="175"/>
        <v>0</v>
      </c>
      <c r="F2934" s="21">
        <f t="shared" ca="1" si="176"/>
        <v>0</v>
      </c>
      <c r="H2934" s="21">
        <v>2919</v>
      </c>
      <c r="I2934" s="107">
        <v>0.66772722952589558</v>
      </c>
      <c r="J2934" s="108">
        <v>1.3490533416642115E-3</v>
      </c>
      <c r="K2934" s="108"/>
      <c r="L2934" s="108">
        <v>4.36E-2</v>
      </c>
      <c r="O2934" s="105"/>
    </row>
    <row r="2935" spans="2:15" x14ac:dyDescent="0.2">
      <c r="B2935" s="1">
        <v>2920</v>
      </c>
      <c r="C2935" s="106">
        <f ca="1"/>
        <v>-0.6596835809163224</v>
      </c>
      <c r="D2935" s="106">
        <f t="shared" ca="1" si="174"/>
        <v>0.6226384872491556</v>
      </c>
      <c r="E2935" s="106">
        <f t="shared" ca="1" si="175"/>
        <v>0</v>
      </c>
      <c r="F2935" s="21">
        <f t="shared" ca="1" si="176"/>
        <v>0</v>
      </c>
      <c r="H2935" s="21">
        <v>2920</v>
      </c>
      <c r="I2935" s="107">
        <v>0.66759932366210573</v>
      </c>
      <c r="J2935" s="108">
        <v>1.3585030584471046E-3</v>
      </c>
      <c r="K2935" s="108"/>
      <c r="L2935" s="108">
        <v>3.9199999999999999E-2</v>
      </c>
      <c r="O2935" s="105"/>
    </row>
    <row r="2936" spans="2:15" x14ac:dyDescent="0.2">
      <c r="B2936" s="1">
        <v>2921</v>
      </c>
      <c r="C2936" s="106">
        <f ca="1"/>
        <v>-0.30938917925912046</v>
      </c>
      <c r="D2936" s="106">
        <f t="shared" ca="1" si="174"/>
        <v>0.64452884516657905</v>
      </c>
      <c r="E2936" s="106">
        <f t="shared" ca="1" si="175"/>
        <v>0</v>
      </c>
      <c r="F2936" s="21">
        <f t="shared" ca="1" si="176"/>
        <v>0</v>
      </c>
      <c r="H2936" s="21">
        <v>2921</v>
      </c>
      <c r="I2936" s="107">
        <v>0.66760937062922165</v>
      </c>
      <c r="J2936" s="108">
        <v>1.2839232831440284E-3</v>
      </c>
      <c r="K2936" s="108"/>
      <c r="L2936" s="108">
        <v>4.0399999999999998E-2</v>
      </c>
      <c r="O2936" s="105"/>
    </row>
    <row r="2937" spans="2:15" x14ac:dyDescent="0.2">
      <c r="B2937" s="1">
        <v>2922</v>
      </c>
      <c r="C2937" s="106">
        <f ca="1"/>
        <v>1.2181578256973906</v>
      </c>
      <c r="D2937" s="106">
        <f t="shared" ca="1" si="174"/>
        <v>0.749344510963036</v>
      </c>
      <c r="E2937" s="106">
        <f t="shared" ca="1" si="175"/>
        <v>0</v>
      </c>
      <c r="F2937" s="21">
        <f t="shared" ca="1" si="176"/>
        <v>0</v>
      </c>
      <c r="H2937" s="21">
        <v>2922</v>
      </c>
      <c r="I2937" s="107">
        <v>0.66772042851388347</v>
      </c>
      <c r="J2937" s="108">
        <v>1.2642514987573558E-3</v>
      </c>
      <c r="K2937" s="108"/>
      <c r="L2937" s="108">
        <v>4.1599999999999998E-2</v>
      </c>
      <c r="O2937" s="105"/>
    </row>
    <row r="2938" spans="2:15" x14ac:dyDescent="0.2">
      <c r="B2938" s="1">
        <v>2923</v>
      </c>
      <c r="C2938" s="106">
        <f ca="1"/>
        <v>-2.0816788869562388</v>
      </c>
      <c r="D2938" s="106">
        <f t="shared" ca="1" si="174"/>
        <v>0.54115111807683991</v>
      </c>
      <c r="E2938" s="106">
        <f t="shared" ca="1" si="175"/>
        <v>0</v>
      </c>
      <c r="F2938" s="21">
        <f t="shared" ca="1" si="176"/>
        <v>0</v>
      </c>
      <c r="H2938" s="21">
        <v>2923</v>
      </c>
      <c r="I2938" s="107">
        <v>0.66765223765455417</v>
      </c>
      <c r="J2938" s="108">
        <v>1.2233037907522473E-3</v>
      </c>
      <c r="K2938" s="108"/>
      <c r="L2938" s="108">
        <v>3.9199999999999999E-2</v>
      </c>
      <c r="O2938" s="105"/>
    </row>
    <row r="2939" spans="2:15" x14ac:dyDescent="0.2">
      <c r="B2939" s="1">
        <v>2924</v>
      </c>
      <c r="C2939" s="106">
        <f ca="1"/>
        <v>-0.18079010921616806</v>
      </c>
      <c r="D2939" s="106">
        <f t="shared" ca="1" si="174"/>
        <v>0.65275688814338551</v>
      </c>
      <c r="E2939" s="106">
        <f t="shared" ca="1" si="175"/>
        <v>0</v>
      </c>
      <c r="F2939" s="21">
        <f t="shared" ca="1" si="176"/>
        <v>0</v>
      </c>
      <c r="H2939" s="21">
        <v>2924</v>
      </c>
      <c r="I2939" s="107">
        <v>0.66771741413400421</v>
      </c>
      <c r="J2939" s="108">
        <v>1.4212920595036355E-3</v>
      </c>
      <c r="K2939" s="108"/>
      <c r="L2939" s="108">
        <v>4.1399999999999999E-2</v>
      </c>
      <c r="O2939" s="105"/>
    </row>
    <row r="2940" spans="2:15" x14ac:dyDescent="0.2">
      <c r="B2940" s="1">
        <v>2925</v>
      </c>
      <c r="C2940" s="106">
        <f ca="1"/>
        <v>0.64591310292851056</v>
      </c>
      <c r="D2940" s="106">
        <f t="shared" ca="1" si="174"/>
        <v>0.70821793270469247</v>
      </c>
      <c r="E2940" s="106">
        <f t="shared" ca="1" si="175"/>
        <v>0</v>
      </c>
      <c r="F2940" s="21">
        <f t="shared" ca="1" si="176"/>
        <v>0</v>
      </c>
      <c r="H2940" s="21">
        <v>2925</v>
      </c>
      <c r="I2940" s="107">
        <v>0.66764859440195801</v>
      </c>
      <c r="J2940" s="108">
        <v>1.291322256861383E-3</v>
      </c>
      <c r="K2940" s="108"/>
      <c r="L2940" s="108">
        <v>3.9800000000000002E-2</v>
      </c>
      <c r="O2940" s="105"/>
    </row>
    <row r="2941" spans="2:15" x14ac:dyDescent="0.2">
      <c r="B2941" s="1">
        <v>2926</v>
      </c>
      <c r="C2941" s="106">
        <f ca="1"/>
        <v>-1.2444252301890628</v>
      </c>
      <c r="D2941" s="106">
        <f t="shared" ca="1" si="174"/>
        <v>0.58774100404821106</v>
      </c>
      <c r="E2941" s="106">
        <f t="shared" ca="1" si="175"/>
        <v>0</v>
      </c>
      <c r="F2941" s="21">
        <f t="shared" ca="1" si="176"/>
        <v>0</v>
      </c>
      <c r="H2941" s="21">
        <v>2926</v>
      </c>
      <c r="I2941" s="107">
        <v>0.66777596422391594</v>
      </c>
      <c r="J2941" s="108">
        <v>1.4775957670787702E-3</v>
      </c>
      <c r="K2941" s="108"/>
      <c r="L2941" s="108">
        <v>4.5199999999999997E-2</v>
      </c>
      <c r="O2941" s="105"/>
    </row>
    <row r="2942" spans="2:15" x14ac:dyDescent="0.2">
      <c r="B2942" s="1">
        <v>2927</v>
      </c>
      <c r="C2942" s="106">
        <f ca="1"/>
        <v>-0.16954320482421356</v>
      </c>
      <c r="D2942" s="106">
        <f t="shared" ca="1" si="174"/>
        <v>0.6534814647272178</v>
      </c>
      <c r="E2942" s="106">
        <f t="shared" ca="1" si="175"/>
        <v>0</v>
      </c>
      <c r="F2942" s="21">
        <f t="shared" ca="1" si="176"/>
        <v>0</v>
      </c>
      <c r="H2942" s="21">
        <v>2927</v>
      </c>
      <c r="I2942" s="107">
        <v>0.66781939948768054</v>
      </c>
      <c r="J2942" s="108">
        <v>1.4441285186799011E-3</v>
      </c>
      <c r="K2942" s="108"/>
      <c r="L2942" s="108">
        <v>4.2200000000000001E-2</v>
      </c>
      <c r="O2942" s="105"/>
    </row>
    <row r="2943" spans="2:15" x14ac:dyDescent="0.2">
      <c r="B2943" s="1">
        <v>2928</v>
      </c>
      <c r="C2943" s="106">
        <f ca="1"/>
        <v>-0.94586516031263024</v>
      </c>
      <c r="D2943" s="106">
        <f t="shared" ca="1" si="174"/>
        <v>0.60530759037254411</v>
      </c>
      <c r="E2943" s="106">
        <f t="shared" ca="1" si="175"/>
        <v>0</v>
      </c>
      <c r="F2943" s="21">
        <f t="shared" ca="1" si="176"/>
        <v>0</v>
      </c>
      <c r="H2943" s="21">
        <v>2928</v>
      </c>
      <c r="I2943" s="107">
        <v>0.6678359948666055</v>
      </c>
      <c r="J2943" s="108">
        <v>1.3583642271321036E-3</v>
      </c>
      <c r="K2943" s="108"/>
      <c r="L2943" s="108">
        <v>4.3200000000000002E-2</v>
      </c>
      <c r="O2943" s="105"/>
    </row>
    <row r="2944" spans="2:15" x14ac:dyDescent="0.2">
      <c r="B2944" s="1">
        <v>2929</v>
      </c>
      <c r="C2944" s="106">
        <f ca="1"/>
        <v>-0.53674123547266928</v>
      </c>
      <c r="D2944" s="106">
        <f t="shared" ca="1" si="174"/>
        <v>0.63023531720659143</v>
      </c>
      <c r="E2944" s="106">
        <f t="shared" ca="1" si="175"/>
        <v>0</v>
      </c>
      <c r="F2944" s="21">
        <f t="shared" ca="1" si="176"/>
        <v>0</v>
      </c>
      <c r="H2944" s="21">
        <v>2929</v>
      </c>
      <c r="I2944" s="107">
        <v>0.66777231526372316</v>
      </c>
      <c r="J2944" s="108">
        <v>1.3818242907006743E-3</v>
      </c>
      <c r="K2944" s="108"/>
      <c r="L2944" s="108">
        <v>4.2000000000000003E-2</v>
      </c>
      <c r="O2944" s="105"/>
    </row>
    <row r="2945" spans="2:15" x14ac:dyDescent="0.2">
      <c r="B2945" s="1">
        <v>2930</v>
      </c>
      <c r="C2945" s="106">
        <f ca="1"/>
        <v>-0.43470767078575961</v>
      </c>
      <c r="D2945" s="106">
        <f t="shared" ca="1" si="174"/>
        <v>0.63661049142346904</v>
      </c>
      <c r="E2945" s="106">
        <f t="shared" ca="1" si="175"/>
        <v>0</v>
      </c>
      <c r="F2945" s="21">
        <f t="shared" ca="1" si="176"/>
        <v>0</v>
      </c>
      <c r="H2945" s="21">
        <v>2930</v>
      </c>
      <c r="I2945" s="107">
        <v>0.66772041032470775</v>
      </c>
      <c r="J2945" s="108">
        <v>1.2351032699938742E-3</v>
      </c>
      <c r="K2945" s="108"/>
      <c r="L2945" s="108">
        <v>4.1599999999999998E-2</v>
      </c>
      <c r="O2945" s="105"/>
    </row>
    <row r="2946" spans="2:15" x14ac:dyDescent="0.2">
      <c r="B2946" s="1">
        <v>2931</v>
      </c>
      <c r="C2946" s="106">
        <f ca="1"/>
        <v>1.0232168217132895</v>
      </c>
      <c r="D2946" s="106">
        <f t="shared" ca="1" si="174"/>
        <v>0.73507284262955808</v>
      </c>
      <c r="E2946" s="106">
        <f t="shared" ca="1" si="175"/>
        <v>0</v>
      </c>
      <c r="F2946" s="21">
        <f t="shared" ca="1" si="176"/>
        <v>0</v>
      </c>
      <c r="H2946" s="21">
        <v>2931</v>
      </c>
      <c r="I2946" s="107">
        <v>0.66778047121289696</v>
      </c>
      <c r="J2946" s="108">
        <v>1.3496018029401492E-3</v>
      </c>
      <c r="K2946" s="108"/>
      <c r="L2946" s="108">
        <v>4.2799999999999998E-2</v>
      </c>
      <c r="O2946" s="105"/>
    </row>
    <row r="2947" spans="2:15" x14ac:dyDescent="0.2">
      <c r="B2947" s="1">
        <v>2932</v>
      </c>
      <c r="C2947" s="106">
        <f ca="1"/>
        <v>-0.26091096443827527</v>
      </c>
      <c r="D2947" s="106">
        <f t="shared" ca="1" si="174"/>
        <v>0.64761833435817462</v>
      </c>
      <c r="E2947" s="106">
        <f t="shared" ca="1" si="175"/>
        <v>0</v>
      </c>
      <c r="F2947" s="21">
        <f t="shared" ca="1" si="176"/>
        <v>0</v>
      </c>
      <c r="H2947" s="21">
        <v>2932</v>
      </c>
      <c r="I2947" s="107">
        <v>0.66747303674619718</v>
      </c>
      <c r="J2947" s="108">
        <v>1.0392951186118272E-3</v>
      </c>
      <c r="K2947" s="108"/>
      <c r="L2947" s="108">
        <v>3.5000000000000003E-2</v>
      </c>
      <c r="O2947" s="105"/>
    </row>
    <row r="2948" spans="2:15" x14ac:dyDescent="0.2">
      <c r="B2948" s="1">
        <v>2933</v>
      </c>
      <c r="C2948" s="106">
        <f ca="1"/>
        <v>0.39856494067958298</v>
      </c>
      <c r="D2948" s="106">
        <f t="shared" ca="1" si="174"/>
        <v>0.69114739666592218</v>
      </c>
      <c r="E2948" s="106">
        <f t="shared" ca="1" si="175"/>
        <v>0</v>
      </c>
      <c r="F2948" s="21">
        <f t="shared" ca="1" si="176"/>
        <v>0</v>
      </c>
      <c r="H2948" s="21">
        <v>2933</v>
      </c>
      <c r="I2948" s="107">
        <v>0.66778261520625748</v>
      </c>
      <c r="J2948" s="108">
        <v>1.4574609636403442E-3</v>
      </c>
      <c r="K2948" s="108"/>
      <c r="L2948" s="108">
        <v>4.6399999999999997E-2</v>
      </c>
      <c r="O2948" s="105"/>
    </row>
    <row r="2949" spans="2:15" x14ac:dyDescent="0.2">
      <c r="B2949" s="1">
        <v>2934</v>
      </c>
      <c r="C2949" s="106">
        <f ca="1"/>
        <v>-0.91571326047335744</v>
      </c>
      <c r="D2949" s="106">
        <f t="shared" ca="1" si="174"/>
        <v>0.60711059028973935</v>
      </c>
      <c r="E2949" s="106">
        <f t="shared" ca="1" si="175"/>
        <v>0</v>
      </c>
      <c r="F2949" s="21">
        <f t="shared" ca="1" si="176"/>
        <v>0</v>
      </c>
      <c r="H2949" s="21">
        <v>2934</v>
      </c>
      <c r="I2949" s="107">
        <v>0.66769118690665785</v>
      </c>
      <c r="J2949" s="108">
        <v>1.3634987465206863E-3</v>
      </c>
      <c r="K2949" s="108"/>
      <c r="L2949" s="108">
        <v>4.1799999999999997E-2</v>
      </c>
      <c r="O2949" s="105"/>
    </row>
    <row r="2950" spans="2:15" x14ac:dyDescent="0.2">
      <c r="B2950" s="1">
        <v>2935</v>
      </c>
      <c r="C2950" s="106">
        <f ca="1"/>
        <v>-0.10009934569420049</v>
      </c>
      <c r="D2950" s="106">
        <f t="shared" ca="1" si="174"/>
        <v>0.65797320190836839</v>
      </c>
      <c r="E2950" s="106">
        <f t="shared" ca="1" si="175"/>
        <v>0</v>
      </c>
      <c r="F2950" s="21">
        <f t="shared" ca="1" si="176"/>
        <v>0</v>
      </c>
      <c r="H2950" s="21">
        <v>2935</v>
      </c>
      <c r="I2950" s="107">
        <v>0.66775833400453044</v>
      </c>
      <c r="J2950" s="108">
        <v>1.2480237325432318E-3</v>
      </c>
      <c r="K2950" s="108"/>
      <c r="L2950" s="108">
        <v>4.1799999999999997E-2</v>
      </c>
      <c r="O2950" s="105"/>
    </row>
    <row r="2951" spans="2:15" x14ac:dyDescent="0.2">
      <c r="B2951" s="1">
        <v>2936</v>
      </c>
      <c r="C2951" s="106">
        <f ca="1"/>
        <v>-1.645154989776866</v>
      </c>
      <c r="D2951" s="106">
        <f t="shared" ca="1" si="174"/>
        <v>0.56496165794419961</v>
      </c>
      <c r="E2951" s="106">
        <f t="shared" ca="1" si="175"/>
        <v>0</v>
      </c>
      <c r="F2951" s="21">
        <f t="shared" ca="1" si="176"/>
        <v>0</v>
      </c>
      <c r="H2951" s="21">
        <v>2936</v>
      </c>
      <c r="I2951" s="107">
        <v>0.6677344658792842</v>
      </c>
      <c r="J2951" s="108">
        <v>1.2917630427456317E-3</v>
      </c>
      <c r="K2951" s="108"/>
      <c r="L2951" s="108">
        <v>0.04</v>
      </c>
      <c r="O2951" s="105"/>
    </row>
    <row r="2952" spans="2:15" x14ac:dyDescent="0.2">
      <c r="B2952" s="1">
        <v>2937</v>
      </c>
      <c r="C2952" s="106">
        <f ca="1"/>
        <v>-0.35567965450960243</v>
      </c>
      <c r="D2952" s="106">
        <f t="shared" ca="1" si="174"/>
        <v>0.64159253622036905</v>
      </c>
      <c r="E2952" s="106">
        <f t="shared" ca="1" si="175"/>
        <v>0</v>
      </c>
      <c r="F2952" s="21">
        <f t="shared" ca="1" si="176"/>
        <v>0</v>
      </c>
      <c r="H2952" s="21">
        <v>2937</v>
      </c>
      <c r="I2952" s="107">
        <v>0.6675483180030769</v>
      </c>
      <c r="J2952" s="108">
        <v>1.1712588179183202E-3</v>
      </c>
      <c r="K2952" s="108"/>
      <c r="L2952" s="108">
        <v>3.5200000000000002E-2</v>
      </c>
      <c r="O2952" s="105"/>
    </row>
    <row r="2953" spans="2:15" x14ac:dyDescent="0.2">
      <c r="B2953" s="1">
        <v>2938</v>
      </c>
      <c r="C2953" s="106">
        <f ca="1"/>
        <v>-1.533028565495131</v>
      </c>
      <c r="D2953" s="106">
        <f t="shared" ca="1" si="174"/>
        <v>0.57124498658016443</v>
      </c>
      <c r="E2953" s="106">
        <f t="shared" ca="1" si="175"/>
        <v>0</v>
      </c>
      <c r="F2953" s="21">
        <f t="shared" ca="1" si="176"/>
        <v>0</v>
      </c>
      <c r="H2953" s="21">
        <v>2938</v>
      </c>
      <c r="I2953" s="107">
        <v>0.66785805649521379</v>
      </c>
      <c r="J2953" s="108">
        <v>1.4877487551838056E-3</v>
      </c>
      <c r="K2953" s="108"/>
      <c r="L2953" s="108">
        <v>4.58E-2</v>
      </c>
      <c r="O2953" s="105"/>
    </row>
    <row r="2954" spans="2:15" x14ac:dyDescent="0.2">
      <c r="B2954" s="1">
        <v>2939</v>
      </c>
      <c r="C2954" s="106">
        <f ca="1"/>
        <v>-1.1255969936099555</v>
      </c>
      <c r="D2954" s="106">
        <f t="shared" ca="1" si="174"/>
        <v>0.59467066990510487</v>
      </c>
      <c r="E2954" s="106">
        <f t="shared" ca="1" si="175"/>
        <v>0</v>
      </c>
      <c r="F2954" s="21">
        <f t="shared" ca="1" si="176"/>
        <v>0</v>
      </c>
      <c r="H2954" s="21">
        <v>2939</v>
      </c>
      <c r="I2954" s="107">
        <v>0.66773955409902441</v>
      </c>
      <c r="J2954" s="108">
        <v>1.3684278406732046E-3</v>
      </c>
      <c r="K2954" s="108"/>
      <c r="L2954" s="108">
        <v>4.1000000000000002E-2</v>
      </c>
      <c r="O2954" s="105"/>
    </row>
    <row r="2955" spans="2:15" x14ac:dyDescent="0.2">
      <c r="B2955" s="1">
        <v>2940</v>
      </c>
      <c r="C2955" s="106">
        <f ca="1"/>
        <v>-0.33578321049438448</v>
      </c>
      <c r="D2955" s="106">
        <f t="shared" ca="1" si="174"/>
        <v>0.64285296965056071</v>
      </c>
      <c r="E2955" s="106">
        <f t="shared" ca="1" si="175"/>
        <v>0</v>
      </c>
      <c r="F2955" s="21">
        <f t="shared" ca="1" si="176"/>
        <v>0</v>
      </c>
      <c r="H2955" s="21">
        <v>2940</v>
      </c>
      <c r="I2955" s="107">
        <v>0.66762452480187906</v>
      </c>
      <c r="J2955" s="108">
        <v>1.2082748379833232E-3</v>
      </c>
      <c r="K2955" s="108"/>
      <c r="L2955" s="108">
        <v>3.8199999999999998E-2</v>
      </c>
      <c r="O2955" s="105"/>
    </row>
    <row r="2956" spans="2:15" x14ac:dyDescent="0.2">
      <c r="B2956" s="1">
        <v>2941</v>
      </c>
      <c r="C2956" s="106">
        <f ca="1"/>
        <v>-0.68285848732395504</v>
      </c>
      <c r="D2956" s="106">
        <f t="shared" ca="1" si="174"/>
        <v>0.62121675914954455</v>
      </c>
      <c r="E2956" s="106">
        <f t="shared" ca="1" si="175"/>
        <v>0</v>
      </c>
      <c r="F2956" s="21">
        <f t="shared" ca="1" si="176"/>
        <v>0</v>
      </c>
      <c r="H2956" s="21">
        <v>2941</v>
      </c>
      <c r="I2956" s="107">
        <v>0.66764932964556545</v>
      </c>
      <c r="J2956" s="108">
        <v>1.1521702725572586E-3</v>
      </c>
      <c r="K2956" s="108"/>
      <c r="L2956" s="108">
        <v>3.8399999999999997E-2</v>
      </c>
      <c r="O2956" s="105"/>
    </row>
    <row r="2957" spans="2:15" x14ac:dyDescent="0.2">
      <c r="B2957" s="1">
        <v>2942</v>
      </c>
      <c r="C2957" s="106">
        <f ca="1"/>
        <v>-0.72824233297362018</v>
      </c>
      <c r="D2957" s="106">
        <f t="shared" ca="1" si="174"/>
        <v>0.61844195961840343</v>
      </c>
      <c r="E2957" s="106">
        <f t="shared" ca="1" si="175"/>
        <v>0</v>
      </c>
      <c r="F2957" s="21">
        <f t="shared" ca="1" si="176"/>
        <v>0</v>
      </c>
      <c r="H2957" s="21">
        <v>2942</v>
      </c>
      <c r="I2957" s="107">
        <v>0.66780352976633017</v>
      </c>
      <c r="J2957" s="108">
        <v>1.3871241362853836E-3</v>
      </c>
      <c r="K2957" s="108"/>
      <c r="L2957" s="108">
        <v>4.3799999999999999E-2</v>
      </c>
      <c r="O2957" s="105"/>
    </row>
    <row r="2958" spans="2:15" x14ac:dyDescent="0.2">
      <c r="B2958" s="1">
        <v>2943</v>
      </c>
      <c r="C2958" s="106">
        <f ca="1"/>
        <v>-1.4185221134790109</v>
      </c>
      <c r="D2958" s="106">
        <f t="shared" ca="1" si="174"/>
        <v>0.57773381457421069</v>
      </c>
      <c r="E2958" s="106">
        <f t="shared" ca="1" si="175"/>
        <v>0</v>
      </c>
      <c r="F2958" s="21">
        <f t="shared" ca="1" si="176"/>
        <v>0</v>
      </c>
      <c r="H2958" s="21">
        <v>2943</v>
      </c>
      <c r="I2958" s="107">
        <v>0.66772659048290106</v>
      </c>
      <c r="J2958" s="108">
        <v>1.351977221509597E-3</v>
      </c>
      <c r="K2958" s="108"/>
      <c r="L2958" s="108">
        <v>4.2999999999999997E-2</v>
      </c>
      <c r="O2958" s="105"/>
    </row>
    <row r="2959" spans="2:15" x14ac:dyDescent="0.2">
      <c r="B2959" s="1">
        <v>2944</v>
      </c>
      <c r="C2959" s="106">
        <f ca="1"/>
        <v>-0.59304198938393382</v>
      </c>
      <c r="D2959" s="106">
        <f t="shared" ca="1" si="174"/>
        <v>0.62674495529343033</v>
      </c>
      <c r="E2959" s="106">
        <f t="shared" ca="1" si="175"/>
        <v>0</v>
      </c>
      <c r="F2959" s="21">
        <f t="shared" ca="1" si="176"/>
        <v>0</v>
      </c>
      <c r="H2959" s="21">
        <v>2944</v>
      </c>
      <c r="I2959" s="107">
        <v>0.66768263493011659</v>
      </c>
      <c r="J2959" s="108">
        <v>1.2283691341408705E-3</v>
      </c>
      <c r="K2959" s="108"/>
      <c r="L2959" s="108">
        <v>4.1399999999999999E-2</v>
      </c>
      <c r="O2959" s="105"/>
    </row>
    <row r="2960" spans="2:15" x14ac:dyDescent="0.2">
      <c r="B2960" s="1">
        <v>2945</v>
      </c>
      <c r="C2960" s="106">
        <f ca="1"/>
        <v>-0.33681261204952634</v>
      </c>
      <c r="D2960" s="106">
        <f t="shared" ref="D2960:D3023" ca="1" si="177">S0*EXP((μ-0.5*σ*σ)*T+σ*SQRT(T)*$C2960)</f>
        <v>0.64278769668780722</v>
      </c>
      <c r="E2960" s="106">
        <f t="shared" ref="E2960:E3023" ca="1" si="178">MAX(0,CP*(D2960-K))</f>
        <v>0</v>
      </c>
      <c r="F2960" s="21">
        <f t="shared" ref="F2960:F3023" ca="1" si="179">(CP*(D2960-K)&gt;0)*1</f>
        <v>0</v>
      </c>
      <c r="H2960" s="21">
        <v>2945</v>
      </c>
      <c r="I2960" s="107">
        <v>0.66780973708810309</v>
      </c>
      <c r="J2960" s="108">
        <v>1.5094546824716958E-3</v>
      </c>
      <c r="K2960" s="108"/>
      <c r="L2960" s="108">
        <v>4.3799999999999999E-2</v>
      </c>
      <c r="O2960" s="105"/>
    </row>
    <row r="2961" spans="2:15" x14ac:dyDescent="0.2">
      <c r="B2961" s="1">
        <v>2946</v>
      </c>
      <c r="C2961" s="106">
        <f ca="1"/>
        <v>0.68577573247121248</v>
      </c>
      <c r="D2961" s="106">
        <f t="shared" ca="1" si="177"/>
        <v>0.71100820051266134</v>
      </c>
      <c r="E2961" s="106">
        <f t="shared" ca="1" si="178"/>
        <v>0</v>
      </c>
      <c r="F2961" s="21">
        <f t="shared" ca="1" si="179"/>
        <v>0</v>
      </c>
      <c r="H2961" s="21">
        <v>2946</v>
      </c>
      <c r="I2961" s="107">
        <v>0.66783093919842174</v>
      </c>
      <c r="J2961" s="108">
        <v>1.5500269873535435E-3</v>
      </c>
      <c r="K2961" s="108"/>
      <c r="L2961" s="108">
        <v>4.58E-2</v>
      </c>
      <c r="O2961" s="105"/>
    </row>
    <row r="2962" spans="2:15" x14ac:dyDescent="0.2">
      <c r="B2962" s="1">
        <v>2947</v>
      </c>
      <c r="C2962" s="106">
        <f ca="1"/>
        <v>0.32781225580090034</v>
      </c>
      <c r="D2962" s="106">
        <f t="shared" ca="1" si="177"/>
        <v>0.68634057640883961</v>
      </c>
      <c r="E2962" s="106">
        <f t="shared" ca="1" si="178"/>
        <v>0</v>
      </c>
      <c r="F2962" s="21">
        <f t="shared" ca="1" si="179"/>
        <v>0</v>
      </c>
      <c r="H2962" s="21">
        <v>2947</v>
      </c>
      <c r="I2962" s="107">
        <v>0.66759854799697183</v>
      </c>
      <c r="J2962" s="108">
        <v>1.1111582044562719E-3</v>
      </c>
      <c r="K2962" s="108"/>
      <c r="L2962" s="108">
        <v>3.78E-2</v>
      </c>
      <c r="O2962" s="105"/>
    </row>
    <row r="2963" spans="2:15" x14ac:dyDescent="0.2">
      <c r="B2963" s="1">
        <v>2948</v>
      </c>
      <c r="C2963" s="106">
        <f ca="1"/>
        <v>0.27327698238452924</v>
      </c>
      <c r="D2963" s="106">
        <f t="shared" ca="1" si="177"/>
        <v>0.68265836715142092</v>
      </c>
      <c r="E2963" s="106">
        <f t="shared" ca="1" si="178"/>
        <v>0</v>
      </c>
      <c r="F2963" s="21">
        <f t="shared" ca="1" si="179"/>
        <v>0</v>
      </c>
      <c r="H2963" s="21">
        <v>2948</v>
      </c>
      <c r="I2963" s="107">
        <v>0.6677780592803827</v>
      </c>
      <c r="J2963" s="108">
        <v>1.4073092560120278E-3</v>
      </c>
      <c r="K2963" s="108"/>
      <c r="L2963" s="108">
        <v>4.3799999999999999E-2</v>
      </c>
      <c r="O2963" s="105"/>
    </row>
    <row r="2964" spans="2:15" x14ac:dyDescent="0.2">
      <c r="B2964" s="1">
        <v>2949</v>
      </c>
      <c r="C2964" s="106">
        <f ca="1"/>
        <v>0.67602534896040822</v>
      </c>
      <c r="D2964" s="106">
        <f t="shared" ca="1" si="177"/>
        <v>0.71032468814842775</v>
      </c>
      <c r="E2964" s="106">
        <f t="shared" ca="1" si="178"/>
        <v>0</v>
      </c>
      <c r="F2964" s="21">
        <f t="shared" ca="1" si="179"/>
        <v>0</v>
      </c>
      <c r="H2964" s="21">
        <v>2949</v>
      </c>
      <c r="I2964" s="107">
        <v>0.66771226711258835</v>
      </c>
      <c r="J2964" s="108">
        <v>1.2057493636774843E-3</v>
      </c>
      <c r="K2964" s="108"/>
      <c r="L2964" s="108">
        <v>4.5400000000000003E-2</v>
      </c>
      <c r="O2964" s="105"/>
    </row>
    <row r="2965" spans="2:15" x14ac:dyDescent="0.2">
      <c r="B2965" s="1">
        <v>2950</v>
      </c>
      <c r="C2965" s="106">
        <f ca="1"/>
        <v>-0.88779903493757206</v>
      </c>
      <c r="D2965" s="106">
        <f t="shared" ca="1" si="177"/>
        <v>0.60878457059351232</v>
      </c>
      <c r="E2965" s="106">
        <f t="shared" ca="1" si="178"/>
        <v>0</v>
      </c>
      <c r="F2965" s="21">
        <f t="shared" ca="1" si="179"/>
        <v>0</v>
      </c>
      <c r="H2965" s="21">
        <v>2950</v>
      </c>
      <c r="I2965" s="107">
        <v>0.6675727260784774</v>
      </c>
      <c r="J2965" s="108">
        <v>1.1972121090816055E-3</v>
      </c>
      <c r="K2965" s="108"/>
      <c r="L2965" s="108">
        <v>3.7999999999999999E-2</v>
      </c>
      <c r="O2965" s="105"/>
    </row>
    <row r="2966" spans="2:15" x14ac:dyDescent="0.2">
      <c r="B2966" s="1">
        <v>2951</v>
      </c>
      <c r="C2966" s="106">
        <f ca="1"/>
        <v>-0.70280212759990579</v>
      </c>
      <c r="D2966" s="106">
        <f t="shared" ca="1" si="177"/>
        <v>0.61999586115646832</v>
      </c>
      <c r="E2966" s="106">
        <f t="shared" ca="1" si="178"/>
        <v>0</v>
      </c>
      <c r="F2966" s="21">
        <f t="shared" ca="1" si="179"/>
        <v>0</v>
      </c>
      <c r="H2966" s="21">
        <v>2951</v>
      </c>
      <c r="I2966" s="107">
        <v>0.66780038601010472</v>
      </c>
      <c r="J2966" s="108">
        <v>1.4497800583617351E-3</v>
      </c>
      <c r="K2966" s="108"/>
      <c r="L2966" s="108">
        <v>4.3200000000000002E-2</v>
      </c>
      <c r="O2966" s="105"/>
    </row>
    <row r="2967" spans="2:15" x14ac:dyDescent="0.2">
      <c r="B2967" s="1">
        <v>2952</v>
      </c>
      <c r="C2967" s="106">
        <f ca="1"/>
        <v>-1.6830750127435423</v>
      </c>
      <c r="D2967" s="106">
        <f t="shared" ca="1" si="177"/>
        <v>0.56285237672847421</v>
      </c>
      <c r="E2967" s="106">
        <f t="shared" ca="1" si="178"/>
        <v>0</v>
      </c>
      <c r="F2967" s="21">
        <f t="shared" ca="1" si="179"/>
        <v>0</v>
      </c>
      <c r="H2967" s="21">
        <v>2952</v>
      </c>
      <c r="I2967" s="107">
        <v>0.66781403400414108</v>
      </c>
      <c r="J2967" s="108">
        <v>1.4840179109884171E-3</v>
      </c>
      <c r="K2967" s="108"/>
      <c r="L2967" s="108">
        <v>4.2200000000000001E-2</v>
      </c>
      <c r="O2967" s="105"/>
    </row>
    <row r="2968" spans="2:15" x14ac:dyDescent="0.2">
      <c r="B2968" s="1">
        <v>2953</v>
      </c>
      <c r="C2968" s="106">
        <f ca="1"/>
        <v>-0.60135283771706982</v>
      </c>
      <c r="D2968" s="106">
        <f t="shared" ca="1" si="177"/>
        <v>0.62623136465278051</v>
      </c>
      <c r="E2968" s="106">
        <f t="shared" ca="1" si="178"/>
        <v>0</v>
      </c>
      <c r="F2968" s="21">
        <f t="shared" ca="1" si="179"/>
        <v>0</v>
      </c>
      <c r="H2968" s="21">
        <v>2953</v>
      </c>
      <c r="I2968" s="107">
        <v>0.66779523565530663</v>
      </c>
      <c r="J2968" s="108">
        <v>1.37384550499733E-3</v>
      </c>
      <c r="K2968" s="108"/>
      <c r="L2968" s="108">
        <v>4.2999999999999997E-2</v>
      </c>
      <c r="O2968" s="105"/>
    </row>
    <row r="2969" spans="2:15" x14ac:dyDescent="0.2">
      <c r="B2969" s="1">
        <v>2954</v>
      </c>
      <c r="C2969" s="106">
        <f ca="1"/>
        <v>-0.3156175501344255</v>
      </c>
      <c r="D2969" s="106">
        <f t="shared" ca="1" si="177"/>
        <v>0.64413298452753642</v>
      </c>
      <c r="E2969" s="106">
        <f t="shared" ca="1" si="178"/>
        <v>0</v>
      </c>
      <c r="F2969" s="21">
        <f t="shared" ca="1" si="179"/>
        <v>0</v>
      </c>
      <c r="H2969" s="21">
        <v>2954</v>
      </c>
      <c r="I2969" s="107">
        <v>0.66781614783959808</v>
      </c>
      <c r="J2969" s="108">
        <v>1.4453546562197049E-3</v>
      </c>
      <c r="K2969" s="108"/>
      <c r="L2969" s="108">
        <v>4.2000000000000003E-2</v>
      </c>
      <c r="O2969" s="105"/>
    </row>
    <row r="2970" spans="2:15" x14ac:dyDescent="0.2">
      <c r="B2970" s="1">
        <v>2955</v>
      </c>
      <c r="C2970" s="106">
        <f ca="1"/>
        <v>-0.80038711664535322</v>
      </c>
      <c r="D2970" s="106">
        <f t="shared" ca="1" si="177"/>
        <v>0.61405646703184114</v>
      </c>
      <c r="E2970" s="106">
        <f t="shared" ca="1" si="178"/>
        <v>0</v>
      </c>
      <c r="F2970" s="21">
        <f t="shared" ca="1" si="179"/>
        <v>0</v>
      </c>
      <c r="H2970" s="21">
        <v>2955</v>
      </c>
      <c r="I2970" s="107">
        <v>0.66779167782613269</v>
      </c>
      <c r="J2970" s="108">
        <v>1.4308167663425041E-3</v>
      </c>
      <c r="K2970" s="108"/>
      <c r="L2970" s="108">
        <v>4.1599999999999998E-2</v>
      </c>
      <c r="O2970" s="105"/>
    </row>
    <row r="2971" spans="2:15" x14ac:dyDescent="0.2">
      <c r="B2971" s="1">
        <v>2956</v>
      </c>
      <c r="C2971" s="106">
        <f ca="1"/>
        <v>9.7444372062896564E-2</v>
      </c>
      <c r="D2971" s="106">
        <f t="shared" ca="1" si="177"/>
        <v>0.67092018336429571</v>
      </c>
      <c r="E2971" s="106">
        <f t="shared" ca="1" si="178"/>
        <v>0</v>
      </c>
      <c r="F2971" s="21">
        <f t="shared" ca="1" si="179"/>
        <v>0</v>
      </c>
      <c r="H2971" s="21">
        <v>2956</v>
      </c>
      <c r="I2971" s="107">
        <v>0.66783061096296437</v>
      </c>
      <c r="J2971" s="108">
        <v>1.3978954943888529E-3</v>
      </c>
      <c r="K2971" s="108"/>
      <c r="L2971" s="108">
        <v>4.3799999999999999E-2</v>
      </c>
      <c r="O2971" s="105"/>
    </row>
    <row r="2972" spans="2:15" x14ac:dyDescent="0.2">
      <c r="B2972" s="1">
        <v>2957</v>
      </c>
      <c r="C2972" s="106">
        <f ca="1"/>
        <v>-1.6751849571677075</v>
      </c>
      <c r="D2972" s="106">
        <f t="shared" ca="1" si="177"/>
        <v>0.56329060710783385</v>
      </c>
      <c r="E2972" s="106">
        <f t="shared" ca="1" si="178"/>
        <v>0</v>
      </c>
      <c r="F2972" s="21">
        <f t="shared" ca="1" si="179"/>
        <v>0</v>
      </c>
      <c r="H2972" s="21">
        <v>2957</v>
      </c>
      <c r="I2972" s="107">
        <v>0.66772846139717523</v>
      </c>
      <c r="J2972" s="108">
        <v>1.2397588089457141E-3</v>
      </c>
      <c r="K2972" s="108"/>
      <c r="L2972" s="108">
        <v>3.9399999999999998E-2</v>
      </c>
      <c r="O2972" s="105"/>
    </row>
    <row r="2973" spans="2:15" x14ac:dyDescent="0.2">
      <c r="B2973" s="1">
        <v>2958</v>
      </c>
      <c r="C2973" s="106">
        <f ca="1"/>
        <v>-0.39886448857753642</v>
      </c>
      <c r="D2973" s="106">
        <f t="shared" ca="1" si="177"/>
        <v>0.63886528728132386</v>
      </c>
      <c r="E2973" s="106">
        <f t="shared" ca="1" si="178"/>
        <v>0</v>
      </c>
      <c r="F2973" s="21">
        <f t="shared" ca="1" si="179"/>
        <v>0</v>
      </c>
      <c r="H2973" s="21">
        <v>2958</v>
      </c>
      <c r="I2973" s="107">
        <v>0.66760887272751301</v>
      </c>
      <c r="J2973" s="108">
        <v>1.1077450767844358E-3</v>
      </c>
      <c r="K2973" s="108"/>
      <c r="L2973" s="108">
        <v>3.9199999999999999E-2</v>
      </c>
      <c r="O2973" s="105"/>
    </row>
    <row r="2974" spans="2:15" x14ac:dyDescent="0.2">
      <c r="B2974" s="1">
        <v>2959</v>
      </c>
      <c r="C2974" s="106">
        <f ca="1"/>
        <v>-0.97062757753372442</v>
      </c>
      <c r="D2974" s="106">
        <f t="shared" ca="1" si="177"/>
        <v>0.60383087171536165</v>
      </c>
      <c r="E2974" s="106">
        <f t="shared" ca="1" si="178"/>
        <v>0</v>
      </c>
      <c r="F2974" s="21">
        <f t="shared" ca="1" si="179"/>
        <v>0</v>
      </c>
      <c r="H2974" s="21">
        <v>2959</v>
      </c>
      <c r="I2974" s="107">
        <v>0.66764327427143866</v>
      </c>
      <c r="J2974" s="108">
        <v>1.2771612604444472E-3</v>
      </c>
      <c r="K2974" s="108"/>
      <c r="L2974" s="108">
        <v>3.7600000000000001E-2</v>
      </c>
      <c r="O2974" s="105"/>
    </row>
    <row r="2975" spans="2:15" x14ac:dyDescent="0.2">
      <c r="B2975" s="1">
        <v>2960</v>
      </c>
      <c r="C2975" s="106">
        <f ca="1"/>
        <v>-0.28235426070910857</v>
      </c>
      <c r="D2975" s="106">
        <f t="shared" ca="1" si="177"/>
        <v>0.64624994290111448</v>
      </c>
      <c r="E2975" s="106">
        <f t="shared" ca="1" si="178"/>
        <v>0</v>
      </c>
      <c r="F2975" s="21">
        <f t="shared" ca="1" si="179"/>
        <v>0</v>
      </c>
      <c r="H2975" s="21">
        <v>2960</v>
      </c>
      <c r="I2975" s="107">
        <v>0.66778693324514071</v>
      </c>
      <c r="J2975" s="108">
        <v>1.4113427148059968E-3</v>
      </c>
      <c r="K2975" s="108"/>
      <c r="L2975" s="108">
        <v>4.4200000000000003E-2</v>
      </c>
      <c r="O2975" s="105"/>
    </row>
    <row r="2976" spans="2:15" x14ac:dyDescent="0.2">
      <c r="B2976" s="1">
        <v>2961</v>
      </c>
      <c r="C2976" s="106">
        <f ca="1"/>
        <v>-1.3278136297100855</v>
      </c>
      <c r="D2976" s="106">
        <f t="shared" ca="1" si="177"/>
        <v>0.58292634430846035</v>
      </c>
      <c r="E2976" s="106">
        <f t="shared" ca="1" si="178"/>
        <v>0</v>
      </c>
      <c r="F2976" s="21">
        <f t="shared" ca="1" si="179"/>
        <v>0</v>
      </c>
      <c r="H2976" s="21">
        <v>2961</v>
      </c>
      <c r="I2976" s="107">
        <v>0.66777069391807409</v>
      </c>
      <c r="J2976" s="108">
        <v>1.4428718945008335E-3</v>
      </c>
      <c r="K2976" s="108"/>
      <c r="L2976" s="108">
        <v>4.1200000000000001E-2</v>
      </c>
      <c r="O2976" s="105"/>
    </row>
    <row r="2977" spans="2:15" x14ac:dyDescent="0.2">
      <c r="B2977" s="1">
        <v>2962</v>
      </c>
      <c r="C2977" s="106">
        <f ca="1"/>
        <v>1.2243031163030931</v>
      </c>
      <c r="D2977" s="106">
        <f t="shared" ca="1" si="177"/>
        <v>0.74979888603090727</v>
      </c>
      <c r="E2977" s="106">
        <f t="shared" ca="1" si="178"/>
        <v>0</v>
      </c>
      <c r="F2977" s="21">
        <f t="shared" ca="1" si="179"/>
        <v>0</v>
      </c>
      <c r="H2977" s="21">
        <v>2962</v>
      </c>
      <c r="I2977" s="107">
        <v>0.66765983830900588</v>
      </c>
      <c r="J2977" s="108">
        <v>1.0456661263398052E-3</v>
      </c>
      <c r="K2977" s="108"/>
      <c r="L2977" s="108">
        <v>3.5799999999999998E-2</v>
      </c>
      <c r="O2977" s="105"/>
    </row>
    <row r="2978" spans="2:15" x14ac:dyDescent="0.2">
      <c r="B2978" s="1">
        <v>2963</v>
      </c>
      <c r="C2978" s="106">
        <f ca="1"/>
        <v>0.31889339833833857</v>
      </c>
      <c r="D2978" s="106">
        <f t="shared" ca="1" si="177"/>
        <v>0.68573702151752824</v>
      </c>
      <c r="E2978" s="106">
        <f t="shared" ca="1" si="178"/>
        <v>0</v>
      </c>
      <c r="F2978" s="21">
        <f t="shared" ca="1" si="179"/>
        <v>0</v>
      </c>
      <c r="H2978" s="21">
        <v>2963</v>
      </c>
      <c r="I2978" s="107">
        <v>0.66779657767580136</v>
      </c>
      <c r="J2978" s="108">
        <v>1.4157987980662359E-3</v>
      </c>
      <c r="K2978" s="108"/>
      <c r="L2978" s="108">
        <v>4.1599999999999998E-2</v>
      </c>
      <c r="O2978" s="105"/>
    </row>
    <row r="2979" spans="2:15" x14ac:dyDescent="0.2">
      <c r="B2979" s="1">
        <v>2964</v>
      </c>
      <c r="C2979" s="106">
        <f ca="1"/>
        <v>0.11158092504823799</v>
      </c>
      <c r="D2979" s="106">
        <f t="shared" ca="1" si="177"/>
        <v>0.67185639949317255</v>
      </c>
      <c r="E2979" s="106">
        <f t="shared" ca="1" si="178"/>
        <v>0</v>
      </c>
      <c r="F2979" s="21">
        <f t="shared" ca="1" si="179"/>
        <v>0</v>
      </c>
      <c r="H2979" s="21">
        <v>2964</v>
      </c>
      <c r="I2979" s="107">
        <v>0.66777815781591954</v>
      </c>
      <c r="J2979" s="108">
        <v>1.3268133510909602E-3</v>
      </c>
      <c r="K2979" s="108"/>
      <c r="L2979" s="108">
        <v>4.3400000000000001E-2</v>
      </c>
      <c r="O2979" s="105"/>
    </row>
    <row r="2980" spans="2:15" x14ac:dyDescent="0.2">
      <c r="B2980" s="1">
        <v>2965</v>
      </c>
      <c r="C2980" s="106">
        <f ca="1"/>
        <v>-0.93105757705250569</v>
      </c>
      <c r="D2980" s="106">
        <f t="shared" ca="1" si="177"/>
        <v>0.60619237265269366</v>
      </c>
      <c r="E2980" s="106">
        <f t="shared" ca="1" si="178"/>
        <v>0</v>
      </c>
      <c r="F2980" s="21">
        <f t="shared" ca="1" si="179"/>
        <v>0</v>
      </c>
      <c r="H2980" s="21">
        <v>2965</v>
      </c>
      <c r="I2980" s="107">
        <v>0.66763726750586816</v>
      </c>
      <c r="J2980" s="108">
        <v>1.2083673523891982E-3</v>
      </c>
      <c r="K2980" s="108"/>
      <c r="L2980" s="108">
        <v>3.6600000000000001E-2</v>
      </c>
      <c r="O2980" s="105"/>
    </row>
    <row r="2981" spans="2:15" x14ac:dyDescent="0.2">
      <c r="B2981" s="1">
        <v>2966</v>
      </c>
      <c r="C2981" s="106">
        <f ca="1"/>
        <v>-0.39075314842215736</v>
      </c>
      <c r="D2981" s="106">
        <f t="shared" ca="1" si="177"/>
        <v>0.63937665647377739</v>
      </c>
      <c r="E2981" s="106">
        <f t="shared" ca="1" si="178"/>
        <v>0</v>
      </c>
      <c r="F2981" s="21">
        <f t="shared" ca="1" si="179"/>
        <v>0</v>
      </c>
      <c r="H2981" s="21">
        <v>2966</v>
      </c>
      <c r="I2981" s="107">
        <v>0.66771091299052376</v>
      </c>
      <c r="J2981" s="108">
        <v>1.327590147351598E-3</v>
      </c>
      <c r="K2981" s="108"/>
      <c r="L2981" s="108">
        <v>3.9600000000000003E-2</v>
      </c>
      <c r="O2981" s="105"/>
    </row>
    <row r="2982" spans="2:15" x14ac:dyDescent="0.2">
      <c r="B2982" s="1">
        <v>2967</v>
      </c>
      <c r="C2982" s="106">
        <f ca="1"/>
        <v>-1.3714940535095537</v>
      </c>
      <c r="D2982" s="106">
        <f t="shared" ca="1" si="177"/>
        <v>0.58042009574129916</v>
      </c>
      <c r="E2982" s="106">
        <f t="shared" ca="1" si="178"/>
        <v>0</v>
      </c>
      <c r="F2982" s="21">
        <f t="shared" ca="1" si="179"/>
        <v>0</v>
      </c>
      <c r="H2982" s="21">
        <v>2967</v>
      </c>
      <c r="I2982" s="107">
        <v>0.66779035347429294</v>
      </c>
      <c r="J2982" s="108">
        <v>1.5557488977775257E-3</v>
      </c>
      <c r="K2982" s="108"/>
      <c r="L2982" s="108">
        <v>4.4400000000000002E-2</v>
      </c>
      <c r="O2982" s="105"/>
    </row>
    <row r="2983" spans="2:15" x14ac:dyDescent="0.2">
      <c r="B2983" s="1">
        <v>2968</v>
      </c>
      <c r="C2983" s="106">
        <f ca="1"/>
        <v>1.1591651979237232</v>
      </c>
      <c r="D2983" s="106">
        <f t="shared" ca="1" si="177"/>
        <v>0.74499665466416598</v>
      </c>
      <c r="E2983" s="106">
        <f t="shared" ca="1" si="178"/>
        <v>0</v>
      </c>
      <c r="F2983" s="21">
        <f t="shared" ca="1" si="179"/>
        <v>0</v>
      </c>
      <c r="H2983" s="21">
        <v>2968</v>
      </c>
      <c r="I2983" s="107">
        <v>0.66769567895982851</v>
      </c>
      <c r="J2983" s="108">
        <v>1.431634703611781E-3</v>
      </c>
      <c r="K2983" s="108"/>
      <c r="L2983" s="108">
        <v>4.2999999999999997E-2</v>
      </c>
      <c r="O2983" s="105"/>
    </row>
    <row r="2984" spans="2:15" x14ac:dyDescent="0.2">
      <c r="B2984" s="1">
        <v>2969</v>
      </c>
      <c r="C2984" s="106">
        <f ca="1"/>
        <v>1.8227455519561726</v>
      </c>
      <c r="D2984" s="106">
        <f t="shared" ca="1" si="177"/>
        <v>0.79539287411204029</v>
      </c>
      <c r="E2984" s="106">
        <f t="shared" ca="1" si="178"/>
        <v>7.1928741120402817E-3</v>
      </c>
      <c r="F2984" s="21">
        <f t="shared" ca="1" si="179"/>
        <v>1</v>
      </c>
      <c r="H2984" s="21">
        <v>2969</v>
      </c>
      <c r="I2984" s="107">
        <v>0.66757260616072389</v>
      </c>
      <c r="J2984" s="108">
        <v>1.1624400749299596E-3</v>
      </c>
      <c r="K2984" s="108"/>
      <c r="L2984" s="108">
        <v>3.5799999999999998E-2</v>
      </c>
      <c r="O2984" s="105"/>
    </row>
    <row r="2985" spans="2:15" x14ac:dyDescent="0.2">
      <c r="B2985" s="1">
        <v>2970</v>
      </c>
      <c r="C2985" s="106">
        <f ca="1"/>
        <v>1.1129349200232361</v>
      </c>
      <c r="D2985" s="106">
        <f t="shared" ca="1" si="177"/>
        <v>0.74160704362530305</v>
      </c>
      <c r="E2985" s="106">
        <f t="shared" ca="1" si="178"/>
        <v>0</v>
      </c>
      <c r="F2985" s="21">
        <f t="shared" ca="1" si="179"/>
        <v>0</v>
      </c>
      <c r="H2985" s="21">
        <v>2970</v>
      </c>
      <c r="I2985" s="107">
        <v>0.66765755413791128</v>
      </c>
      <c r="J2985" s="108">
        <v>1.2409050534435539E-3</v>
      </c>
      <c r="K2985" s="108"/>
      <c r="L2985" s="108">
        <v>3.9600000000000003E-2</v>
      </c>
      <c r="O2985" s="105"/>
    </row>
    <row r="2986" spans="2:15" x14ac:dyDescent="0.2">
      <c r="B2986" s="1">
        <v>2971</v>
      </c>
      <c r="C2986" s="106">
        <f ca="1"/>
        <v>-0.41193510560620233</v>
      </c>
      <c r="D2986" s="106">
        <f t="shared" ca="1" si="177"/>
        <v>0.63804212712021957</v>
      </c>
      <c r="E2986" s="106">
        <f t="shared" ca="1" si="178"/>
        <v>0</v>
      </c>
      <c r="F2986" s="21">
        <f t="shared" ca="1" si="179"/>
        <v>0</v>
      </c>
      <c r="H2986" s="21">
        <v>2971</v>
      </c>
      <c r="I2986" s="107">
        <v>0.66759378648217804</v>
      </c>
      <c r="J2986" s="108">
        <v>1.2115969236754587E-3</v>
      </c>
      <c r="K2986" s="108"/>
      <c r="L2986" s="108">
        <v>3.7600000000000001E-2</v>
      </c>
      <c r="O2986" s="105"/>
    </row>
    <row r="2987" spans="2:15" x14ac:dyDescent="0.2">
      <c r="B2987" s="1">
        <v>2972</v>
      </c>
      <c r="C2987" s="106">
        <f ca="1"/>
        <v>0.17120778216846821</v>
      </c>
      <c r="D2987" s="106">
        <f t="shared" ca="1" si="177"/>
        <v>0.6758196825662437</v>
      </c>
      <c r="E2987" s="106">
        <f t="shared" ca="1" si="178"/>
        <v>0</v>
      </c>
      <c r="F2987" s="21">
        <f t="shared" ca="1" si="179"/>
        <v>0</v>
      </c>
      <c r="H2987" s="21">
        <v>2972</v>
      </c>
      <c r="I2987" s="107">
        <v>0.66776774324503685</v>
      </c>
      <c r="J2987" s="108">
        <v>1.4166717346170766E-3</v>
      </c>
      <c r="K2987" s="108"/>
      <c r="L2987" s="108">
        <v>4.1200000000000001E-2</v>
      </c>
      <c r="O2987" s="105"/>
    </row>
    <row r="2988" spans="2:15" x14ac:dyDescent="0.2">
      <c r="B2988" s="1">
        <v>2973</v>
      </c>
      <c r="C2988" s="106">
        <f ca="1"/>
        <v>-1.935920194393554</v>
      </c>
      <c r="D2988" s="106">
        <f t="shared" ca="1" si="177"/>
        <v>0.548987900183462</v>
      </c>
      <c r="E2988" s="106">
        <f t="shared" ca="1" si="178"/>
        <v>0</v>
      </c>
      <c r="F2988" s="21">
        <f t="shared" ca="1" si="179"/>
        <v>0</v>
      </c>
      <c r="H2988" s="21">
        <v>2973</v>
      </c>
      <c r="I2988" s="107">
        <v>0.66770065966464331</v>
      </c>
      <c r="J2988" s="108">
        <v>1.3736282819184335E-3</v>
      </c>
      <c r="K2988" s="108"/>
      <c r="L2988" s="108">
        <v>4.3999999999999997E-2</v>
      </c>
      <c r="O2988" s="105"/>
    </row>
    <row r="2989" spans="2:15" x14ac:dyDescent="0.2">
      <c r="B2989" s="1">
        <v>2974</v>
      </c>
      <c r="C2989" s="106">
        <f ca="1"/>
        <v>-0.26513003102830357</v>
      </c>
      <c r="D2989" s="106">
        <f t="shared" ca="1" si="177"/>
        <v>0.64734886831331306</v>
      </c>
      <c r="E2989" s="106">
        <f t="shared" ca="1" si="178"/>
        <v>0</v>
      </c>
      <c r="F2989" s="21">
        <f t="shared" ca="1" si="179"/>
        <v>0</v>
      </c>
      <c r="H2989" s="21">
        <v>2974</v>
      </c>
      <c r="I2989" s="107">
        <v>0.66791861566173816</v>
      </c>
      <c r="J2989" s="108">
        <v>1.5991882463152853E-3</v>
      </c>
      <c r="K2989" s="108"/>
      <c r="L2989" s="108">
        <v>4.58E-2</v>
      </c>
      <c r="O2989" s="105"/>
    </row>
    <row r="2990" spans="2:15" x14ac:dyDescent="0.2">
      <c r="B2990" s="1">
        <v>2975</v>
      </c>
      <c r="C2990" s="106">
        <f ca="1"/>
        <v>-0.19050481690540219</v>
      </c>
      <c r="D2990" s="106">
        <f t="shared" ca="1" si="177"/>
        <v>0.65213166933838418</v>
      </c>
      <c r="E2990" s="106">
        <f t="shared" ca="1" si="178"/>
        <v>0</v>
      </c>
      <c r="F2990" s="21">
        <f t="shared" ca="1" si="179"/>
        <v>0</v>
      </c>
      <c r="H2990" s="21">
        <v>2975</v>
      </c>
      <c r="I2990" s="107">
        <v>0.66764458930591319</v>
      </c>
      <c r="J2990" s="108">
        <v>1.2892710092383701E-3</v>
      </c>
      <c r="K2990" s="108"/>
      <c r="L2990" s="108">
        <v>3.8600000000000002E-2</v>
      </c>
      <c r="O2990" s="105"/>
    </row>
    <row r="2991" spans="2:15" x14ac:dyDescent="0.2">
      <c r="B2991" s="1">
        <v>2976</v>
      </c>
      <c r="C2991" s="106">
        <f ca="1"/>
        <v>2.6469674940768235</v>
      </c>
      <c r="D2991" s="106">
        <f t="shared" ca="1" si="177"/>
        <v>0.8627616963622815</v>
      </c>
      <c r="E2991" s="106">
        <f t="shared" ca="1" si="178"/>
        <v>7.4561696362281493E-2</v>
      </c>
      <c r="F2991" s="21">
        <f t="shared" ca="1" si="179"/>
        <v>1</v>
      </c>
      <c r="H2991" s="21">
        <v>2976</v>
      </c>
      <c r="I2991" s="107">
        <v>0.66778125437667224</v>
      </c>
      <c r="J2991" s="108">
        <v>1.4184476823604691E-3</v>
      </c>
      <c r="K2991" s="108"/>
      <c r="L2991" s="108">
        <v>4.1399999999999999E-2</v>
      </c>
      <c r="O2991" s="105"/>
    </row>
    <row r="2992" spans="2:15" x14ac:dyDescent="0.2">
      <c r="B2992" s="1">
        <v>2977</v>
      </c>
      <c r="C2992" s="106">
        <f ca="1"/>
        <v>0.31610287830235634</v>
      </c>
      <c r="D2992" s="106">
        <f t="shared" ca="1" si="177"/>
        <v>0.68554829111255</v>
      </c>
      <c r="E2992" s="106">
        <f t="shared" ca="1" si="178"/>
        <v>0</v>
      </c>
      <c r="F2992" s="21">
        <f t="shared" ca="1" si="179"/>
        <v>0</v>
      </c>
      <c r="H2992" s="21">
        <v>2977</v>
      </c>
      <c r="I2992" s="107">
        <v>0.66763035168325557</v>
      </c>
      <c r="J2992" s="108">
        <v>1.1890950863895674E-3</v>
      </c>
      <c r="K2992" s="108"/>
      <c r="L2992" s="108">
        <v>4.2599999999999999E-2</v>
      </c>
      <c r="O2992" s="105"/>
    </row>
    <row r="2993" spans="2:15" x14ac:dyDescent="0.2">
      <c r="B2993" s="1">
        <v>2978</v>
      </c>
      <c r="C2993" s="106">
        <f ca="1"/>
        <v>-1.3853149263503566</v>
      </c>
      <c r="D2993" s="106">
        <f t="shared" ca="1" si="177"/>
        <v>0.57962934281600131</v>
      </c>
      <c r="E2993" s="106">
        <f t="shared" ca="1" si="178"/>
        <v>0</v>
      </c>
      <c r="F2993" s="21">
        <f t="shared" ca="1" si="179"/>
        <v>0</v>
      </c>
      <c r="H2993" s="21">
        <v>2978</v>
      </c>
      <c r="I2993" s="107">
        <v>0.66771066392499756</v>
      </c>
      <c r="J2993" s="108">
        <v>1.3012204453992124E-3</v>
      </c>
      <c r="K2993" s="108"/>
      <c r="L2993" s="108">
        <v>3.6799999999999999E-2</v>
      </c>
      <c r="O2993" s="105"/>
    </row>
    <row r="2994" spans="2:15" x14ac:dyDescent="0.2">
      <c r="B2994" s="1">
        <v>2979</v>
      </c>
      <c r="C2994" s="106">
        <f ca="1"/>
        <v>0.46976471777100159</v>
      </c>
      <c r="D2994" s="106">
        <f t="shared" ca="1" si="177"/>
        <v>0.69601857670036482</v>
      </c>
      <c r="E2994" s="106">
        <f t="shared" ca="1" si="178"/>
        <v>0</v>
      </c>
      <c r="F2994" s="21">
        <f t="shared" ca="1" si="179"/>
        <v>0</v>
      </c>
      <c r="H2994" s="21">
        <v>2979</v>
      </c>
      <c r="I2994" s="107">
        <v>0.66768536201155027</v>
      </c>
      <c r="J2994" s="108">
        <v>1.4000413486566941E-3</v>
      </c>
      <c r="K2994" s="108"/>
      <c r="L2994" s="108">
        <v>4.0599999999999997E-2</v>
      </c>
      <c r="O2994" s="105"/>
    </row>
    <row r="2995" spans="2:15" x14ac:dyDescent="0.2">
      <c r="B2995" s="1">
        <v>2980</v>
      </c>
      <c r="C2995" s="106">
        <f ca="1"/>
        <v>-0.84407799283765372</v>
      </c>
      <c r="D2995" s="106">
        <f t="shared" ca="1" si="177"/>
        <v>0.61141574641860508</v>
      </c>
      <c r="E2995" s="106">
        <f t="shared" ca="1" si="178"/>
        <v>0</v>
      </c>
      <c r="F2995" s="21">
        <f t="shared" ca="1" si="179"/>
        <v>0</v>
      </c>
      <c r="H2995" s="21">
        <v>2980</v>
      </c>
      <c r="I2995" s="107">
        <v>0.66775542437750723</v>
      </c>
      <c r="J2995" s="108">
        <v>1.4058803607421119E-3</v>
      </c>
      <c r="K2995" s="108"/>
      <c r="L2995" s="108">
        <v>4.2799999999999998E-2</v>
      </c>
      <c r="O2995" s="105"/>
    </row>
    <row r="2996" spans="2:15" x14ac:dyDescent="0.2">
      <c r="B2996" s="1">
        <v>2981</v>
      </c>
      <c r="C2996" s="106">
        <f ca="1"/>
        <v>-2.6341436479474125</v>
      </c>
      <c r="D2996" s="106">
        <f t="shared" ca="1" si="177"/>
        <v>0.51244977919086321</v>
      </c>
      <c r="E2996" s="106">
        <f t="shared" ca="1" si="178"/>
        <v>0</v>
      </c>
      <c r="F2996" s="21">
        <f t="shared" ca="1" si="179"/>
        <v>0</v>
      </c>
      <c r="H2996" s="21">
        <v>2981</v>
      </c>
      <c r="I2996" s="107">
        <v>0.66778409149424856</v>
      </c>
      <c r="J2996" s="108">
        <v>1.4474310134760375E-3</v>
      </c>
      <c r="K2996" s="108"/>
      <c r="L2996" s="108">
        <v>4.3999999999999997E-2</v>
      </c>
      <c r="O2996" s="105"/>
    </row>
    <row r="2997" spans="2:15" x14ac:dyDescent="0.2">
      <c r="B2997" s="1">
        <v>2982</v>
      </c>
      <c r="C2997" s="106">
        <f ca="1"/>
        <v>-0.58454774973414303</v>
      </c>
      <c r="D2997" s="106">
        <f t="shared" ca="1" si="177"/>
        <v>0.6272703143386682</v>
      </c>
      <c r="E2997" s="106">
        <f t="shared" ca="1" si="178"/>
        <v>0</v>
      </c>
      <c r="F2997" s="21">
        <f t="shared" ca="1" si="179"/>
        <v>0</v>
      </c>
      <c r="H2997" s="21">
        <v>2982</v>
      </c>
      <c r="I2997" s="107">
        <v>0.6676849784363833</v>
      </c>
      <c r="J2997" s="108">
        <v>1.2869077235501357E-3</v>
      </c>
      <c r="K2997" s="108"/>
      <c r="L2997" s="108">
        <v>4.02E-2</v>
      </c>
      <c r="O2997" s="105"/>
    </row>
    <row r="2998" spans="2:15" x14ac:dyDescent="0.2">
      <c r="B2998" s="1">
        <v>2983</v>
      </c>
      <c r="C2998" s="106">
        <f ca="1"/>
        <v>-0.87153286614276437</v>
      </c>
      <c r="D2998" s="106">
        <f t="shared" ca="1" si="177"/>
        <v>0.60976215952364543</v>
      </c>
      <c r="E2998" s="106">
        <f t="shared" ca="1" si="178"/>
        <v>0</v>
      </c>
      <c r="F2998" s="21">
        <f t="shared" ca="1" si="179"/>
        <v>0</v>
      </c>
      <c r="H2998" s="21">
        <v>2983</v>
      </c>
      <c r="I2998" s="107">
        <v>0.66778973651813489</v>
      </c>
      <c r="J2998" s="108">
        <v>1.5097181223531842E-3</v>
      </c>
      <c r="K2998" s="108"/>
      <c r="L2998" s="108">
        <v>4.2200000000000001E-2</v>
      </c>
      <c r="O2998" s="105"/>
    </row>
    <row r="2999" spans="2:15" x14ac:dyDescent="0.2">
      <c r="B2999" s="1">
        <v>2984</v>
      </c>
      <c r="C2999" s="106">
        <f ca="1"/>
        <v>-0.43287845705828504</v>
      </c>
      <c r="D2999" s="106">
        <f t="shared" ca="1" si="177"/>
        <v>0.63672536928061474</v>
      </c>
      <c r="E2999" s="106">
        <f t="shared" ca="1" si="178"/>
        <v>0</v>
      </c>
      <c r="F2999" s="21">
        <f t="shared" ca="1" si="179"/>
        <v>0</v>
      </c>
      <c r="H2999" s="21">
        <v>2984</v>
      </c>
      <c r="I2999" s="107">
        <v>0.66775524422079957</v>
      </c>
      <c r="J2999" s="108">
        <v>1.4146312652957179E-3</v>
      </c>
      <c r="K2999" s="108"/>
      <c r="L2999" s="108">
        <v>4.2999999999999997E-2</v>
      </c>
      <c r="O2999" s="105"/>
    </row>
    <row r="3000" spans="2:15" x14ac:dyDescent="0.2">
      <c r="B3000" s="1">
        <v>2985</v>
      </c>
      <c r="C3000" s="106">
        <f ca="1"/>
        <v>-0.58357742876575436</v>
      </c>
      <c r="D3000" s="106">
        <f t="shared" ca="1" si="177"/>
        <v>0.62733035560401418</v>
      </c>
      <c r="E3000" s="106">
        <f t="shared" ca="1" si="178"/>
        <v>0</v>
      </c>
      <c r="F3000" s="21">
        <f t="shared" ca="1" si="179"/>
        <v>0</v>
      </c>
      <c r="H3000" s="21">
        <v>2985</v>
      </c>
      <c r="I3000" s="107">
        <v>0.66784759216971767</v>
      </c>
      <c r="J3000" s="108">
        <v>1.4368862515309058E-3</v>
      </c>
      <c r="K3000" s="108"/>
      <c r="L3000" s="108">
        <v>4.7199999999999999E-2</v>
      </c>
      <c r="O3000" s="105"/>
    </row>
    <row r="3001" spans="2:15" x14ac:dyDescent="0.2">
      <c r="B3001" s="1">
        <v>2986</v>
      </c>
      <c r="C3001" s="106">
        <f ca="1"/>
        <v>0.25343881601011964</v>
      </c>
      <c r="D3001" s="106">
        <f t="shared" ca="1" si="177"/>
        <v>0.6813238044333908</v>
      </c>
      <c r="E3001" s="106">
        <f t="shared" ca="1" si="178"/>
        <v>0</v>
      </c>
      <c r="F3001" s="21">
        <f t="shared" ca="1" si="179"/>
        <v>0</v>
      </c>
      <c r="H3001" s="21">
        <v>2986</v>
      </c>
      <c r="I3001" s="107">
        <v>0.66765623984070932</v>
      </c>
      <c r="J3001" s="108">
        <v>1.2712879714078659E-3</v>
      </c>
      <c r="K3001" s="108"/>
      <c r="L3001" s="108">
        <v>3.78E-2</v>
      </c>
      <c r="O3001" s="105"/>
    </row>
    <row r="3002" spans="2:15" x14ac:dyDescent="0.2">
      <c r="B3002" s="1">
        <v>2987</v>
      </c>
      <c r="C3002" s="106">
        <f ca="1"/>
        <v>-0.21437902413198934</v>
      </c>
      <c r="D3002" s="106">
        <f t="shared" ca="1" si="177"/>
        <v>0.65059771697342794</v>
      </c>
      <c r="E3002" s="106">
        <f t="shared" ca="1" si="178"/>
        <v>0</v>
      </c>
      <c r="F3002" s="21">
        <f t="shared" ca="1" si="179"/>
        <v>0</v>
      </c>
      <c r="H3002" s="21">
        <v>2987</v>
      </c>
      <c r="I3002" s="107">
        <v>0.66767217483742802</v>
      </c>
      <c r="J3002" s="108">
        <v>1.3327371508858499E-3</v>
      </c>
      <c r="K3002" s="108"/>
      <c r="L3002" s="108">
        <v>3.8399999999999997E-2</v>
      </c>
      <c r="O3002" s="105"/>
    </row>
    <row r="3003" spans="2:15" x14ac:dyDescent="0.2">
      <c r="B3003" s="1">
        <v>2988</v>
      </c>
      <c r="C3003" s="106">
        <f ca="1"/>
        <v>1.1530945441282956</v>
      </c>
      <c r="D3003" s="106">
        <f t="shared" ca="1" si="177"/>
        <v>0.74455067129473174</v>
      </c>
      <c r="E3003" s="106">
        <f t="shared" ca="1" si="178"/>
        <v>0</v>
      </c>
      <c r="F3003" s="21">
        <f t="shared" ca="1" si="179"/>
        <v>0</v>
      </c>
      <c r="H3003" s="21">
        <v>2988</v>
      </c>
      <c r="I3003" s="107">
        <v>0.66792345567991651</v>
      </c>
      <c r="J3003" s="108">
        <v>1.5663773209463505E-3</v>
      </c>
      <c r="K3003" s="108"/>
      <c r="L3003" s="108">
        <v>4.4400000000000002E-2</v>
      </c>
      <c r="O3003" s="105"/>
    </row>
    <row r="3004" spans="2:15" x14ac:dyDescent="0.2">
      <c r="B3004" s="1">
        <v>2989</v>
      </c>
      <c r="C3004" s="106">
        <f ca="1"/>
        <v>-0.79335217984726458</v>
      </c>
      <c r="D3004" s="106">
        <f t="shared" ca="1" si="177"/>
        <v>0.61448273049124624</v>
      </c>
      <c r="E3004" s="106">
        <f t="shared" ca="1" si="178"/>
        <v>0</v>
      </c>
      <c r="F3004" s="21">
        <f t="shared" ca="1" si="179"/>
        <v>0</v>
      </c>
      <c r="H3004" s="21">
        <v>2989</v>
      </c>
      <c r="I3004" s="107">
        <v>0.66776744949746436</v>
      </c>
      <c r="J3004" s="108">
        <v>1.3876960601773532E-3</v>
      </c>
      <c r="K3004" s="108"/>
      <c r="L3004" s="108">
        <v>4.0399999999999998E-2</v>
      </c>
      <c r="O3004" s="105"/>
    </row>
    <row r="3005" spans="2:15" x14ac:dyDescent="0.2">
      <c r="B3005" s="1">
        <v>2990</v>
      </c>
      <c r="C3005" s="106">
        <f ca="1"/>
        <v>-1.6550687852968622</v>
      </c>
      <c r="D3005" s="106">
        <f t="shared" ca="1" si="177"/>
        <v>0.56440944637746282</v>
      </c>
      <c r="E3005" s="106">
        <f t="shared" ca="1" si="178"/>
        <v>0</v>
      </c>
      <c r="F3005" s="21">
        <f t="shared" ca="1" si="179"/>
        <v>0</v>
      </c>
      <c r="H3005" s="21">
        <v>2990</v>
      </c>
      <c r="I3005" s="107">
        <v>0.66769488827197865</v>
      </c>
      <c r="J3005" s="108">
        <v>1.3690117181137879E-3</v>
      </c>
      <c r="K3005" s="108"/>
      <c r="L3005" s="108">
        <v>4.2999999999999997E-2</v>
      </c>
      <c r="O3005" s="105"/>
    </row>
    <row r="3006" spans="2:15" x14ac:dyDescent="0.2">
      <c r="B3006" s="1">
        <v>2991</v>
      </c>
      <c r="C3006" s="106">
        <f ca="1"/>
        <v>-1.7513298711341763</v>
      </c>
      <c r="D3006" s="106">
        <f t="shared" ca="1" si="177"/>
        <v>0.55907556099017297</v>
      </c>
      <c r="E3006" s="106">
        <f t="shared" ca="1" si="178"/>
        <v>0</v>
      </c>
      <c r="F3006" s="21">
        <f t="shared" ca="1" si="179"/>
        <v>0</v>
      </c>
      <c r="H3006" s="21">
        <v>2991</v>
      </c>
      <c r="I3006" s="107">
        <v>0.66782315344476806</v>
      </c>
      <c r="J3006" s="108">
        <v>1.386943739036718E-3</v>
      </c>
      <c r="K3006" s="108"/>
      <c r="L3006" s="108">
        <v>3.9199999999999999E-2</v>
      </c>
      <c r="O3006" s="105"/>
    </row>
    <row r="3007" spans="2:15" x14ac:dyDescent="0.2">
      <c r="B3007" s="1">
        <v>2992</v>
      </c>
      <c r="C3007" s="106">
        <f ca="1"/>
        <v>0.39960659121946412</v>
      </c>
      <c r="D3007" s="106">
        <f t="shared" ca="1" si="177"/>
        <v>0.69121841556447972</v>
      </c>
      <c r="E3007" s="106">
        <f t="shared" ca="1" si="178"/>
        <v>0</v>
      </c>
      <c r="F3007" s="21">
        <f t="shared" ca="1" si="179"/>
        <v>0</v>
      </c>
      <c r="H3007" s="21">
        <v>2992</v>
      </c>
      <c r="I3007" s="107">
        <v>0.66772972551040655</v>
      </c>
      <c r="J3007" s="108">
        <v>1.3218357802442713E-3</v>
      </c>
      <c r="K3007" s="108"/>
      <c r="L3007" s="108">
        <v>4.3999999999999997E-2</v>
      </c>
      <c r="O3007" s="105"/>
    </row>
    <row r="3008" spans="2:15" x14ac:dyDescent="0.2">
      <c r="B3008" s="1">
        <v>2993</v>
      </c>
      <c r="C3008" s="106">
        <f ca="1"/>
        <v>-0.60207565812290387</v>
      </c>
      <c r="D3008" s="106">
        <f t="shared" ca="1" si="177"/>
        <v>0.62618671597131825</v>
      </c>
      <c r="E3008" s="106">
        <f t="shared" ca="1" si="178"/>
        <v>0</v>
      </c>
      <c r="F3008" s="21">
        <f t="shared" ca="1" si="179"/>
        <v>0</v>
      </c>
      <c r="H3008" s="21">
        <v>2993</v>
      </c>
      <c r="I3008" s="107">
        <v>0.66786907062563827</v>
      </c>
      <c r="J3008" s="108">
        <v>1.4343808301911802E-3</v>
      </c>
      <c r="K3008" s="108"/>
      <c r="L3008" s="108">
        <v>4.2599999999999999E-2</v>
      </c>
      <c r="O3008" s="105"/>
    </row>
    <row r="3009" spans="2:15" x14ac:dyDescent="0.2">
      <c r="B3009" s="1">
        <v>2994</v>
      </c>
      <c r="C3009" s="106">
        <f ca="1"/>
        <v>-0.878028088974246</v>
      </c>
      <c r="D3009" s="106">
        <f t="shared" ca="1" si="177"/>
        <v>0.60937161162362918</v>
      </c>
      <c r="E3009" s="106">
        <f t="shared" ca="1" si="178"/>
        <v>0</v>
      </c>
      <c r="F3009" s="21">
        <f t="shared" ca="1" si="179"/>
        <v>0</v>
      </c>
      <c r="H3009" s="21">
        <v>2994</v>
      </c>
      <c r="I3009" s="107">
        <v>0.66774586369299238</v>
      </c>
      <c r="J3009" s="108">
        <v>1.4236287819123657E-3</v>
      </c>
      <c r="K3009" s="108"/>
      <c r="L3009" s="108">
        <v>4.2999999999999997E-2</v>
      </c>
      <c r="O3009" s="105"/>
    </row>
    <row r="3010" spans="2:15" x14ac:dyDescent="0.2">
      <c r="B3010" s="1">
        <v>2995</v>
      </c>
      <c r="C3010" s="106">
        <f ca="1"/>
        <v>-8.9360484548368035E-2</v>
      </c>
      <c r="D3010" s="106">
        <f t="shared" ca="1" si="177"/>
        <v>0.65867055924923201</v>
      </c>
      <c r="E3010" s="106">
        <f t="shared" ca="1" si="178"/>
        <v>0</v>
      </c>
      <c r="F3010" s="21">
        <f t="shared" ca="1" si="179"/>
        <v>0</v>
      </c>
      <c r="H3010" s="21">
        <v>2995</v>
      </c>
      <c r="I3010" s="107">
        <v>0.66780159700859398</v>
      </c>
      <c r="J3010" s="108">
        <v>1.344485942457357E-3</v>
      </c>
      <c r="K3010" s="108"/>
      <c r="L3010" s="108">
        <v>4.2000000000000003E-2</v>
      </c>
      <c r="O3010" s="105"/>
    </row>
    <row r="3011" spans="2:15" x14ac:dyDescent="0.2">
      <c r="B3011" s="1">
        <v>2996</v>
      </c>
      <c r="C3011" s="106">
        <f ca="1"/>
        <v>0.96273772331690799</v>
      </c>
      <c r="D3011" s="106">
        <f t="shared" ca="1" si="177"/>
        <v>0.73070064497200959</v>
      </c>
      <c r="E3011" s="106">
        <f t="shared" ca="1" si="178"/>
        <v>0</v>
      </c>
      <c r="F3011" s="21">
        <f t="shared" ca="1" si="179"/>
        <v>0</v>
      </c>
      <c r="H3011" s="21">
        <v>2996</v>
      </c>
      <c r="I3011" s="107">
        <v>0.66762337608581579</v>
      </c>
      <c r="J3011" s="108">
        <v>1.2402002262395105E-3</v>
      </c>
      <c r="K3011" s="108"/>
      <c r="L3011" s="108">
        <v>3.9800000000000002E-2</v>
      </c>
      <c r="O3011" s="105"/>
    </row>
    <row r="3012" spans="2:15" x14ac:dyDescent="0.2">
      <c r="B3012" s="1">
        <v>2997</v>
      </c>
      <c r="C3012" s="106">
        <f ca="1"/>
        <v>-0.83372819535692333</v>
      </c>
      <c r="D3012" s="106">
        <f t="shared" ca="1" si="177"/>
        <v>0.61204027034317654</v>
      </c>
      <c r="E3012" s="106">
        <f t="shared" ca="1" si="178"/>
        <v>0</v>
      </c>
      <c r="F3012" s="21">
        <f t="shared" ca="1" si="179"/>
        <v>0</v>
      </c>
      <c r="H3012" s="21">
        <v>2997</v>
      </c>
      <c r="I3012" s="107">
        <v>0.66774614856560965</v>
      </c>
      <c r="J3012" s="108">
        <v>1.4068655260518052E-3</v>
      </c>
      <c r="K3012" s="108"/>
      <c r="L3012" s="108">
        <v>4.3999999999999997E-2</v>
      </c>
      <c r="O3012" s="105"/>
    </row>
    <row r="3013" spans="2:15" x14ac:dyDescent="0.2">
      <c r="B3013" s="1">
        <v>2998</v>
      </c>
      <c r="C3013" s="106">
        <f ca="1"/>
        <v>1.1138213120716576</v>
      </c>
      <c r="D3013" s="106">
        <f t="shared" ca="1" si="177"/>
        <v>0.74167188878803958</v>
      </c>
      <c r="E3013" s="106">
        <f t="shared" ca="1" si="178"/>
        <v>0</v>
      </c>
      <c r="F3013" s="21">
        <f t="shared" ca="1" si="179"/>
        <v>0</v>
      </c>
      <c r="H3013" s="21">
        <v>2998</v>
      </c>
      <c r="I3013" s="107">
        <v>0.6678032714783827</v>
      </c>
      <c r="J3013" s="108">
        <v>1.405011531475951E-3</v>
      </c>
      <c r="K3013" s="108"/>
      <c r="L3013" s="108">
        <v>4.0800000000000003E-2</v>
      </c>
      <c r="O3013" s="105"/>
    </row>
    <row r="3014" spans="2:15" x14ac:dyDescent="0.2">
      <c r="B3014" s="1">
        <v>2999</v>
      </c>
      <c r="C3014" s="106">
        <f ca="1"/>
        <v>1.7625317630897686</v>
      </c>
      <c r="D3014" s="106">
        <f t="shared" ca="1" si="177"/>
        <v>0.79068258646325928</v>
      </c>
      <c r="E3014" s="106">
        <f t="shared" ca="1" si="178"/>
        <v>2.4825864632592731E-3</v>
      </c>
      <c r="F3014" s="21">
        <f t="shared" ca="1" si="179"/>
        <v>1</v>
      </c>
      <c r="H3014" s="21">
        <v>2999</v>
      </c>
      <c r="I3014" s="107">
        <v>0.66764850645865303</v>
      </c>
      <c r="J3014" s="108">
        <v>1.3307219242624207E-3</v>
      </c>
      <c r="K3014" s="108"/>
      <c r="L3014" s="108">
        <v>3.9199999999999999E-2</v>
      </c>
      <c r="O3014" s="105"/>
    </row>
    <row r="3015" spans="2:15" x14ac:dyDescent="0.2">
      <c r="B3015" s="1">
        <v>3000</v>
      </c>
      <c r="C3015" s="106">
        <f ca="1"/>
        <v>0.36396437456227981</v>
      </c>
      <c r="D3015" s="106">
        <f t="shared" ca="1" si="177"/>
        <v>0.68879249997695713</v>
      </c>
      <c r="E3015" s="106">
        <f t="shared" ca="1" si="178"/>
        <v>0</v>
      </c>
      <c r="F3015" s="21">
        <f t="shared" ca="1" si="179"/>
        <v>0</v>
      </c>
      <c r="H3015" s="21">
        <v>3000</v>
      </c>
      <c r="I3015" s="107">
        <v>0.6677130372228377</v>
      </c>
      <c r="J3015" s="108">
        <v>1.2595676304109915E-3</v>
      </c>
      <c r="K3015" s="108"/>
      <c r="L3015" s="108">
        <v>4.1000000000000002E-2</v>
      </c>
      <c r="O3015" s="105"/>
    </row>
    <row r="3016" spans="2:15" x14ac:dyDescent="0.2">
      <c r="B3016" s="1">
        <v>3001</v>
      </c>
      <c r="C3016" s="106">
        <f ca="1"/>
        <v>-0.67504650348692963</v>
      </c>
      <c r="D3016" s="106">
        <f t="shared" ca="1" si="177"/>
        <v>0.62169564360635476</v>
      </c>
      <c r="E3016" s="106">
        <f t="shared" ca="1" si="178"/>
        <v>0</v>
      </c>
      <c r="F3016" s="21">
        <f t="shared" ca="1" si="179"/>
        <v>0</v>
      </c>
      <c r="H3016" s="21">
        <v>3001</v>
      </c>
      <c r="I3016" s="107">
        <v>0.66773694267627426</v>
      </c>
      <c r="J3016" s="108">
        <v>1.3506976055776623E-3</v>
      </c>
      <c r="K3016" s="108"/>
      <c r="L3016" s="108">
        <v>4.0399999999999998E-2</v>
      </c>
      <c r="O3016" s="105"/>
    </row>
    <row r="3017" spans="2:15" x14ac:dyDescent="0.2">
      <c r="B3017" s="1">
        <v>3002</v>
      </c>
      <c r="C3017" s="106">
        <f ca="1"/>
        <v>1.4811541712267697</v>
      </c>
      <c r="D3017" s="106">
        <f t="shared" ca="1" si="177"/>
        <v>0.76903858761085986</v>
      </c>
      <c r="E3017" s="106">
        <f t="shared" ca="1" si="178"/>
        <v>0</v>
      </c>
      <c r="F3017" s="21">
        <f t="shared" ca="1" si="179"/>
        <v>0</v>
      </c>
      <c r="H3017" s="21">
        <v>3002</v>
      </c>
      <c r="I3017" s="107">
        <v>0.66772101700077369</v>
      </c>
      <c r="J3017" s="108">
        <v>1.3279664226948811E-3</v>
      </c>
      <c r="K3017" s="108"/>
      <c r="L3017" s="108">
        <v>3.8399999999999997E-2</v>
      </c>
      <c r="O3017" s="105"/>
    </row>
    <row r="3018" spans="2:15" x14ac:dyDescent="0.2">
      <c r="B3018" s="1">
        <v>3003</v>
      </c>
      <c r="C3018" s="106">
        <f ca="1"/>
        <v>0.93923306183536592</v>
      </c>
      <c r="D3018" s="106">
        <f t="shared" ca="1" si="177"/>
        <v>0.72900845535174186</v>
      </c>
      <c r="E3018" s="106">
        <f t="shared" ca="1" si="178"/>
        <v>0</v>
      </c>
      <c r="F3018" s="21">
        <f t="shared" ca="1" si="179"/>
        <v>0</v>
      </c>
      <c r="H3018" s="21">
        <v>3003</v>
      </c>
      <c r="I3018" s="107">
        <v>0.66778196375983989</v>
      </c>
      <c r="J3018" s="108">
        <v>1.4177459708481928E-3</v>
      </c>
      <c r="K3018" s="108"/>
      <c r="L3018" s="108">
        <v>4.1599999999999998E-2</v>
      </c>
      <c r="O3018" s="105"/>
    </row>
    <row r="3019" spans="2:15" x14ac:dyDescent="0.2">
      <c r="B3019" s="1">
        <v>3004</v>
      </c>
      <c r="C3019" s="106">
        <f ca="1"/>
        <v>0.39078153790716802</v>
      </c>
      <c r="D3019" s="106">
        <f t="shared" ca="1" si="177"/>
        <v>0.69061696141941087</v>
      </c>
      <c r="E3019" s="106">
        <f t="shared" ca="1" si="178"/>
        <v>0</v>
      </c>
      <c r="F3019" s="21">
        <f t="shared" ca="1" si="179"/>
        <v>0</v>
      </c>
      <c r="H3019" s="21">
        <v>3004</v>
      </c>
      <c r="I3019" s="107">
        <v>0.66770360247009708</v>
      </c>
      <c r="J3019" s="108">
        <v>1.4592145383529884E-3</v>
      </c>
      <c r="K3019" s="108"/>
      <c r="L3019" s="108">
        <v>3.8199999999999998E-2</v>
      </c>
      <c r="O3019" s="105"/>
    </row>
    <row r="3020" spans="2:15" x14ac:dyDescent="0.2">
      <c r="B3020" s="1">
        <v>3005</v>
      </c>
      <c r="C3020" s="106">
        <f ca="1"/>
        <v>-1.9659400730014107</v>
      </c>
      <c r="D3020" s="106">
        <f t="shared" ca="1" si="177"/>
        <v>0.54736464145373998</v>
      </c>
      <c r="E3020" s="106">
        <f t="shared" ca="1" si="178"/>
        <v>0</v>
      </c>
      <c r="F3020" s="21">
        <f t="shared" ca="1" si="179"/>
        <v>0</v>
      </c>
      <c r="H3020" s="21">
        <v>3005</v>
      </c>
      <c r="I3020" s="107">
        <v>0.66771276084790598</v>
      </c>
      <c r="J3020" s="108">
        <v>1.352213798914335E-3</v>
      </c>
      <c r="K3020" s="108"/>
      <c r="L3020" s="108">
        <v>4.3400000000000001E-2</v>
      </c>
      <c r="O3020" s="105"/>
    </row>
    <row r="3021" spans="2:15" x14ac:dyDescent="0.2">
      <c r="B3021" s="1">
        <v>3006</v>
      </c>
      <c r="C3021" s="106">
        <f ca="1"/>
        <v>-0.66574063357604518</v>
      </c>
      <c r="D3021" s="106">
        <f t="shared" ca="1" si="177"/>
        <v>0.62226658699202841</v>
      </c>
      <c r="E3021" s="106">
        <f t="shared" ca="1" si="178"/>
        <v>0</v>
      </c>
      <c r="F3021" s="21">
        <f t="shared" ca="1" si="179"/>
        <v>0</v>
      </c>
      <c r="H3021" s="21">
        <v>3006</v>
      </c>
      <c r="I3021" s="107">
        <v>0.66782096917863143</v>
      </c>
      <c r="J3021" s="108">
        <v>1.5598764047476247E-3</v>
      </c>
      <c r="K3021" s="108"/>
      <c r="L3021" s="108">
        <v>4.4200000000000003E-2</v>
      </c>
      <c r="O3021" s="105"/>
    </row>
    <row r="3022" spans="2:15" x14ac:dyDescent="0.2">
      <c r="B3022" s="1">
        <v>3007</v>
      </c>
      <c r="C3022" s="106">
        <f ca="1"/>
        <v>-0.55210663766511103</v>
      </c>
      <c r="D3022" s="106">
        <f t="shared" ca="1" si="177"/>
        <v>0.62928081598377139</v>
      </c>
      <c r="E3022" s="106">
        <f t="shared" ca="1" si="178"/>
        <v>0</v>
      </c>
      <c r="F3022" s="21">
        <f t="shared" ca="1" si="179"/>
        <v>0</v>
      </c>
      <c r="H3022" s="21">
        <v>3007</v>
      </c>
      <c r="I3022" s="107">
        <v>0.66770493558481558</v>
      </c>
      <c r="J3022" s="108">
        <v>1.4087819697996117E-3</v>
      </c>
      <c r="K3022" s="108"/>
      <c r="L3022" s="108">
        <v>4.3799999999999999E-2</v>
      </c>
      <c r="O3022" s="105"/>
    </row>
    <row r="3023" spans="2:15" x14ac:dyDescent="0.2">
      <c r="B3023" s="1">
        <v>3008</v>
      </c>
      <c r="C3023" s="106">
        <f ca="1"/>
        <v>-0.49789464962010671</v>
      </c>
      <c r="D3023" s="106">
        <f t="shared" ca="1" si="177"/>
        <v>0.63265493539455409</v>
      </c>
      <c r="E3023" s="106">
        <f t="shared" ca="1" si="178"/>
        <v>0</v>
      </c>
      <c r="F3023" s="21">
        <f t="shared" ca="1" si="179"/>
        <v>0</v>
      </c>
      <c r="H3023" s="21">
        <v>3008</v>
      </c>
      <c r="I3023" s="107">
        <v>0.66773944440753885</v>
      </c>
      <c r="J3023" s="108">
        <v>1.2782877314150283E-3</v>
      </c>
      <c r="K3023" s="108"/>
      <c r="L3023" s="108">
        <v>4.2000000000000003E-2</v>
      </c>
      <c r="O3023" s="105"/>
    </row>
    <row r="3024" spans="2:15" x14ac:dyDescent="0.2">
      <c r="B3024" s="1">
        <v>3009</v>
      </c>
      <c r="C3024" s="106">
        <f ca="1"/>
        <v>1.5784516592082158</v>
      </c>
      <c r="D3024" s="106">
        <f t="shared" ref="D3024:D3087" ca="1" si="180">S0*EXP((μ-0.5*σ*σ)*T+σ*SQRT(T)*$C3024)</f>
        <v>0.77645500919601318</v>
      </c>
      <c r="E3024" s="106">
        <f t="shared" ref="E3024:E3087" ca="1" si="181">MAX(0,CP*(D3024-K))</f>
        <v>0</v>
      </c>
      <c r="F3024" s="21">
        <f t="shared" ref="F3024:F3087" ca="1" si="182">(CP*(D3024-K)&gt;0)*1</f>
        <v>0</v>
      </c>
      <c r="H3024" s="21">
        <v>3009</v>
      </c>
      <c r="I3024" s="107">
        <v>0.66774789555405167</v>
      </c>
      <c r="J3024" s="108">
        <v>1.3354646679651825E-3</v>
      </c>
      <c r="K3024" s="108"/>
      <c r="L3024" s="108">
        <v>4.2000000000000003E-2</v>
      </c>
      <c r="O3024" s="105"/>
    </row>
    <row r="3025" spans="2:15" x14ac:dyDescent="0.2">
      <c r="B3025" s="1">
        <v>3010</v>
      </c>
      <c r="C3025" s="106">
        <f ca="1"/>
        <v>0.15065166697369761</v>
      </c>
      <c r="D3025" s="106">
        <f t="shared" ca="1" si="180"/>
        <v>0.67445072322933375</v>
      </c>
      <c r="E3025" s="106">
        <f t="shared" ca="1" si="181"/>
        <v>0</v>
      </c>
      <c r="F3025" s="21">
        <f t="shared" ca="1" si="182"/>
        <v>0</v>
      </c>
      <c r="H3025" s="21">
        <v>3010</v>
      </c>
      <c r="I3025" s="107">
        <v>0.66774636755914585</v>
      </c>
      <c r="J3025" s="108">
        <v>1.2432771513286622E-3</v>
      </c>
      <c r="K3025" s="108"/>
      <c r="L3025" s="108">
        <v>4.0800000000000003E-2</v>
      </c>
      <c r="O3025" s="105"/>
    </row>
    <row r="3026" spans="2:15" x14ac:dyDescent="0.2">
      <c r="B3026" s="1">
        <v>3011</v>
      </c>
      <c r="C3026" s="106">
        <f ca="1"/>
        <v>-1.3475432858175791</v>
      </c>
      <c r="D3026" s="106">
        <f t="shared" ca="1" si="180"/>
        <v>0.58179297991499312</v>
      </c>
      <c r="E3026" s="106">
        <f t="shared" ca="1" si="181"/>
        <v>0</v>
      </c>
      <c r="F3026" s="21">
        <f t="shared" ca="1" si="182"/>
        <v>0</v>
      </c>
      <c r="H3026" s="21">
        <v>3011</v>
      </c>
      <c r="I3026" s="107">
        <v>0.66760329044270039</v>
      </c>
      <c r="J3026" s="108">
        <v>1.2034479636077585E-3</v>
      </c>
      <c r="K3026" s="108"/>
      <c r="L3026" s="108">
        <v>3.7199999999999997E-2</v>
      </c>
      <c r="O3026" s="105"/>
    </row>
    <row r="3027" spans="2:15" x14ac:dyDescent="0.2">
      <c r="B3027" s="1">
        <v>3012</v>
      </c>
      <c r="C3027" s="106">
        <f ca="1"/>
        <v>1.5079382711477229</v>
      </c>
      <c r="D3027" s="106">
        <f t="shared" ca="1" si="180"/>
        <v>0.77107308867961766</v>
      </c>
      <c r="E3027" s="106">
        <f t="shared" ca="1" si="181"/>
        <v>0</v>
      </c>
      <c r="F3027" s="21">
        <f t="shared" ca="1" si="182"/>
        <v>0</v>
      </c>
      <c r="H3027" s="21">
        <v>3012</v>
      </c>
      <c r="I3027" s="107">
        <v>0.6677531290017954</v>
      </c>
      <c r="J3027" s="108">
        <v>1.3546068897487059E-3</v>
      </c>
      <c r="K3027" s="108"/>
      <c r="L3027" s="108">
        <v>4.24E-2</v>
      </c>
      <c r="O3027" s="105"/>
    </row>
    <row r="3028" spans="2:15" x14ac:dyDescent="0.2">
      <c r="B3028" s="1">
        <v>3013</v>
      </c>
      <c r="C3028" s="106">
        <f ca="1"/>
        <v>0.59817911352619368</v>
      </c>
      <c r="D3028" s="106">
        <f t="shared" ca="1" si="180"/>
        <v>0.704891095833174</v>
      </c>
      <c r="E3028" s="106">
        <f t="shared" ca="1" si="181"/>
        <v>0</v>
      </c>
      <c r="F3028" s="21">
        <f t="shared" ca="1" si="182"/>
        <v>0</v>
      </c>
      <c r="H3028" s="21">
        <v>3013</v>
      </c>
      <c r="I3028" s="107">
        <v>0.66757372043749075</v>
      </c>
      <c r="J3028" s="108">
        <v>1.1621479547400378E-3</v>
      </c>
      <c r="K3028" s="108"/>
      <c r="L3028" s="108">
        <v>3.8199999999999998E-2</v>
      </c>
      <c r="O3028" s="105"/>
    </row>
    <row r="3029" spans="2:15" x14ac:dyDescent="0.2">
      <c r="B3029" s="1">
        <v>3014</v>
      </c>
      <c r="C3029" s="106">
        <f ca="1"/>
        <v>-1.3768948647012567</v>
      </c>
      <c r="D3029" s="106">
        <f t="shared" ca="1" si="180"/>
        <v>0.58011096324741018</v>
      </c>
      <c r="E3029" s="106">
        <f t="shared" ca="1" si="181"/>
        <v>0</v>
      </c>
      <c r="F3029" s="21">
        <f t="shared" ca="1" si="182"/>
        <v>0</v>
      </c>
      <c r="H3029" s="21">
        <v>3014</v>
      </c>
      <c r="I3029" s="107">
        <v>0.6678470873309782</v>
      </c>
      <c r="J3029" s="108">
        <v>1.5767106788657261E-3</v>
      </c>
      <c r="K3029" s="108"/>
      <c r="L3029" s="108">
        <v>4.5600000000000002E-2</v>
      </c>
      <c r="O3029" s="105"/>
    </row>
    <row r="3030" spans="2:15" x14ac:dyDescent="0.2">
      <c r="B3030" s="1">
        <v>3015</v>
      </c>
      <c r="C3030" s="106">
        <f ca="1"/>
        <v>0.53193467773113468</v>
      </c>
      <c r="D3030" s="106">
        <f t="shared" ca="1" si="180"/>
        <v>0.70030004429502857</v>
      </c>
      <c r="E3030" s="106">
        <f t="shared" ca="1" si="181"/>
        <v>0</v>
      </c>
      <c r="F3030" s="21">
        <f t="shared" ca="1" si="182"/>
        <v>0</v>
      </c>
      <c r="H3030" s="21">
        <v>3015</v>
      </c>
      <c r="I3030" s="107">
        <v>0.66775647486408141</v>
      </c>
      <c r="J3030" s="108">
        <v>1.3260396564172851E-3</v>
      </c>
      <c r="K3030" s="108"/>
      <c r="L3030" s="108">
        <v>4.1000000000000002E-2</v>
      </c>
      <c r="O3030" s="105"/>
    </row>
    <row r="3031" spans="2:15" x14ac:dyDescent="0.2">
      <c r="B3031" s="1">
        <v>3016</v>
      </c>
      <c r="C3031" s="106">
        <f ca="1"/>
        <v>-1.2305121083326038</v>
      </c>
      <c r="D3031" s="106">
        <f t="shared" ca="1" si="180"/>
        <v>0.58854817872586296</v>
      </c>
      <c r="E3031" s="106">
        <f t="shared" ca="1" si="181"/>
        <v>0</v>
      </c>
      <c r="F3031" s="21">
        <f t="shared" ca="1" si="182"/>
        <v>0</v>
      </c>
      <c r="H3031" s="21">
        <v>3016</v>
      </c>
      <c r="I3031" s="107">
        <v>0.66764211121121841</v>
      </c>
      <c r="J3031" s="108">
        <v>1.1178884063335756E-3</v>
      </c>
      <c r="K3031" s="108"/>
      <c r="L3031" s="108">
        <v>4.0599999999999997E-2</v>
      </c>
      <c r="O3031" s="105"/>
    </row>
    <row r="3032" spans="2:15" x14ac:dyDescent="0.2">
      <c r="B3032" s="1">
        <v>3017</v>
      </c>
      <c r="C3032" s="106">
        <f ca="1"/>
        <v>-0.48441028341625408</v>
      </c>
      <c r="D3032" s="106">
        <f t="shared" ca="1" si="180"/>
        <v>0.63349699959170647</v>
      </c>
      <c r="E3032" s="106">
        <f t="shared" ca="1" si="181"/>
        <v>0</v>
      </c>
      <c r="F3032" s="21">
        <f t="shared" ca="1" si="182"/>
        <v>0</v>
      </c>
      <c r="H3032" s="21">
        <v>3017</v>
      </c>
      <c r="I3032" s="107">
        <v>0.66767057608646141</v>
      </c>
      <c r="J3032" s="108">
        <v>1.1463822282933222E-3</v>
      </c>
      <c r="K3032" s="108"/>
      <c r="L3032" s="108">
        <v>3.9600000000000003E-2</v>
      </c>
      <c r="O3032" s="105"/>
    </row>
    <row r="3033" spans="2:15" x14ac:dyDescent="0.2">
      <c r="B3033" s="1">
        <v>3018</v>
      </c>
      <c r="C3033" s="106">
        <f ca="1"/>
        <v>-1.0789120272607862</v>
      </c>
      <c r="D3033" s="106">
        <f t="shared" ca="1" si="180"/>
        <v>0.59741548334167671</v>
      </c>
      <c r="E3033" s="106">
        <f t="shared" ca="1" si="181"/>
        <v>0</v>
      </c>
      <c r="F3033" s="21">
        <f t="shared" ca="1" si="182"/>
        <v>0</v>
      </c>
      <c r="H3033" s="21">
        <v>3018</v>
      </c>
      <c r="I3033" s="107">
        <v>0.66781010829209586</v>
      </c>
      <c r="J3033" s="108">
        <v>1.3944330814436737E-3</v>
      </c>
      <c r="K3033" s="108"/>
      <c r="L3033" s="108">
        <v>4.48E-2</v>
      </c>
      <c r="O3033" s="105"/>
    </row>
    <row r="3034" spans="2:15" x14ac:dyDescent="0.2">
      <c r="B3034" s="1">
        <v>3019</v>
      </c>
      <c r="C3034" s="106">
        <f ca="1"/>
        <v>-0.79215015017900647</v>
      </c>
      <c r="D3034" s="106">
        <f t="shared" ca="1" si="180"/>
        <v>0.61455559390537262</v>
      </c>
      <c r="E3034" s="106">
        <f t="shared" ca="1" si="181"/>
        <v>0</v>
      </c>
      <c r="F3034" s="21">
        <f t="shared" ca="1" si="182"/>
        <v>0</v>
      </c>
      <c r="H3034" s="21">
        <v>3019</v>
      </c>
      <c r="I3034" s="107">
        <v>0.66761567216892026</v>
      </c>
      <c r="J3034" s="108">
        <v>1.1511755974749306E-3</v>
      </c>
      <c r="K3034" s="108"/>
      <c r="L3034" s="108">
        <v>3.5999999999999997E-2</v>
      </c>
      <c r="O3034" s="105"/>
    </row>
    <row r="3035" spans="2:15" x14ac:dyDescent="0.2">
      <c r="B3035" s="1">
        <v>3020</v>
      </c>
      <c r="C3035" s="106">
        <f ca="1"/>
        <v>0.70810095871432932</v>
      </c>
      <c r="D3035" s="106">
        <f t="shared" ca="1" si="180"/>
        <v>0.71257570093439071</v>
      </c>
      <c r="E3035" s="106">
        <f t="shared" ca="1" si="181"/>
        <v>0</v>
      </c>
      <c r="F3035" s="21">
        <f t="shared" ca="1" si="182"/>
        <v>0</v>
      </c>
      <c r="H3035" s="21">
        <v>3020</v>
      </c>
      <c r="I3035" s="107">
        <v>0.66788910378700994</v>
      </c>
      <c r="J3035" s="108">
        <v>1.5142604212145892E-3</v>
      </c>
      <c r="K3035" s="108"/>
      <c r="L3035" s="108">
        <v>4.4400000000000002E-2</v>
      </c>
      <c r="O3035" s="105"/>
    </row>
    <row r="3036" spans="2:15" x14ac:dyDescent="0.2">
      <c r="B3036" s="1">
        <v>3021</v>
      </c>
      <c r="C3036" s="106">
        <f ca="1"/>
        <v>1.2075041659915535</v>
      </c>
      <c r="D3036" s="106">
        <f t="shared" ca="1" si="180"/>
        <v>0.74855744510510236</v>
      </c>
      <c r="E3036" s="106">
        <f t="shared" ca="1" si="181"/>
        <v>0</v>
      </c>
      <c r="F3036" s="21">
        <f t="shared" ca="1" si="182"/>
        <v>0</v>
      </c>
      <c r="H3036" s="21">
        <v>3021</v>
      </c>
      <c r="I3036" s="107">
        <v>0.66780124418721376</v>
      </c>
      <c r="J3036" s="108">
        <v>1.4238191206087994E-3</v>
      </c>
      <c r="K3036" s="108"/>
      <c r="L3036" s="108">
        <v>4.58E-2</v>
      </c>
      <c r="O3036" s="105"/>
    </row>
    <row r="3037" spans="2:15" x14ac:dyDescent="0.2">
      <c r="B3037" s="1">
        <v>3022</v>
      </c>
      <c r="C3037" s="106">
        <f ca="1"/>
        <v>-2.201304271594259</v>
      </c>
      <c r="D3037" s="106">
        <f t="shared" ca="1" si="180"/>
        <v>0.53480305857693167</v>
      </c>
      <c r="E3037" s="106">
        <f t="shared" ca="1" si="181"/>
        <v>0</v>
      </c>
      <c r="F3037" s="21">
        <f t="shared" ca="1" si="182"/>
        <v>0</v>
      </c>
      <c r="H3037" s="21">
        <v>3022</v>
      </c>
      <c r="I3037" s="107">
        <v>0.66785376258329221</v>
      </c>
      <c r="J3037" s="108">
        <v>1.5124606462265683E-3</v>
      </c>
      <c r="K3037" s="108"/>
      <c r="L3037" s="108">
        <v>4.4400000000000002E-2</v>
      </c>
      <c r="O3037" s="105"/>
    </row>
    <row r="3038" spans="2:15" x14ac:dyDescent="0.2">
      <c r="B3038" s="1">
        <v>3023</v>
      </c>
      <c r="C3038" s="106">
        <f ca="1"/>
        <v>3.8927238050248864E-2</v>
      </c>
      <c r="D3038" s="106">
        <f t="shared" ca="1" si="180"/>
        <v>0.6670586482428621</v>
      </c>
      <c r="E3038" s="106">
        <f t="shared" ca="1" si="181"/>
        <v>0</v>
      </c>
      <c r="F3038" s="21">
        <f t="shared" ca="1" si="182"/>
        <v>0</v>
      </c>
      <c r="H3038" s="21">
        <v>3023</v>
      </c>
      <c r="I3038" s="107">
        <v>0.667774178822507</v>
      </c>
      <c r="J3038" s="108">
        <v>1.4478505295825188E-3</v>
      </c>
      <c r="K3038" s="108"/>
      <c r="L3038" s="108">
        <v>4.2799999999999998E-2</v>
      </c>
      <c r="O3038" s="105"/>
    </row>
    <row r="3039" spans="2:15" x14ac:dyDescent="0.2">
      <c r="B3039" s="1">
        <v>3024</v>
      </c>
      <c r="C3039" s="106">
        <f ca="1"/>
        <v>0.24363807390749451</v>
      </c>
      <c r="D3039" s="106">
        <f t="shared" ca="1" si="180"/>
        <v>0.68066544734967871</v>
      </c>
      <c r="E3039" s="106">
        <f t="shared" ca="1" si="181"/>
        <v>0</v>
      </c>
      <c r="F3039" s="21">
        <f t="shared" ca="1" si="182"/>
        <v>0</v>
      </c>
      <c r="H3039" s="21">
        <v>3024</v>
      </c>
      <c r="I3039" s="107">
        <v>0.66779243947560041</v>
      </c>
      <c r="J3039" s="108">
        <v>1.420413492547887E-3</v>
      </c>
      <c r="K3039" s="108"/>
      <c r="L3039" s="108">
        <v>4.1799999999999997E-2</v>
      </c>
      <c r="O3039" s="105"/>
    </row>
    <row r="3040" spans="2:15" x14ac:dyDescent="0.2">
      <c r="B3040" s="1">
        <v>3025</v>
      </c>
      <c r="C3040" s="106">
        <f ca="1"/>
        <v>1.1950111410390489</v>
      </c>
      <c r="D3040" s="106">
        <f t="shared" ca="1" si="180"/>
        <v>0.74763554455741554</v>
      </c>
      <c r="E3040" s="106">
        <f t="shared" ca="1" si="181"/>
        <v>0</v>
      </c>
      <c r="F3040" s="21">
        <f t="shared" ca="1" si="182"/>
        <v>0</v>
      </c>
      <c r="H3040" s="21">
        <v>3025</v>
      </c>
      <c r="I3040" s="107">
        <v>0.66765159977280308</v>
      </c>
      <c r="J3040" s="108">
        <v>1.265997944710086E-3</v>
      </c>
      <c r="K3040" s="108"/>
      <c r="L3040" s="108">
        <v>4.0399999999999998E-2</v>
      </c>
      <c r="O3040" s="105"/>
    </row>
    <row r="3041" spans="2:15" x14ac:dyDescent="0.2">
      <c r="B3041" s="1">
        <v>3026</v>
      </c>
      <c r="C3041" s="106">
        <f ca="1"/>
        <v>5.1562475160968187E-2</v>
      </c>
      <c r="D3041" s="106">
        <f t="shared" ca="1" si="180"/>
        <v>0.66789055947295439</v>
      </c>
      <c r="E3041" s="106">
        <f t="shared" ca="1" si="181"/>
        <v>0</v>
      </c>
      <c r="F3041" s="21">
        <f t="shared" ca="1" si="182"/>
        <v>0</v>
      </c>
      <c r="H3041" s="21">
        <v>3026</v>
      </c>
      <c r="I3041" s="107">
        <v>0.66751876396597165</v>
      </c>
      <c r="J3041" s="108">
        <v>1.0412562158356544E-3</v>
      </c>
      <c r="K3041" s="108"/>
      <c r="L3041" s="108">
        <v>3.6600000000000001E-2</v>
      </c>
      <c r="O3041" s="105"/>
    </row>
    <row r="3042" spans="2:15" x14ac:dyDescent="0.2">
      <c r="B3042" s="1">
        <v>3027</v>
      </c>
      <c r="C3042" s="106">
        <f ca="1"/>
        <v>0.56819510415056329</v>
      </c>
      <c r="D3042" s="106">
        <f t="shared" ca="1" si="180"/>
        <v>0.70280934599134492</v>
      </c>
      <c r="E3042" s="106">
        <f t="shared" ca="1" si="181"/>
        <v>0</v>
      </c>
      <c r="F3042" s="21">
        <f t="shared" ca="1" si="182"/>
        <v>0</v>
      </c>
      <c r="H3042" s="21">
        <v>3027</v>
      </c>
      <c r="I3042" s="107">
        <v>0.6676854817650727</v>
      </c>
      <c r="J3042" s="108">
        <v>1.4497835772608572E-3</v>
      </c>
      <c r="K3042" s="108"/>
      <c r="L3042" s="108">
        <v>4.2999999999999997E-2</v>
      </c>
      <c r="O3042" s="105"/>
    </row>
    <row r="3043" spans="2:15" x14ac:dyDescent="0.2">
      <c r="B3043" s="1">
        <v>3028</v>
      </c>
      <c r="C3043" s="106">
        <f ca="1"/>
        <v>1.0008133425294314</v>
      </c>
      <c r="D3043" s="106">
        <f t="shared" ca="1" si="180"/>
        <v>0.73345019223609842</v>
      </c>
      <c r="E3043" s="106">
        <f t="shared" ca="1" si="181"/>
        <v>0</v>
      </c>
      <c r="F3043" s="21">
        <f t="shared" ca="1" si="182"/>
        <v>0</v>
      </c>
      <c r="H3043" s="21">
        <v>3028</v>
      </c>
      <c r="I3043" s="107">
        <v>0.6677939250110152</v>
      </c>
      <c r="J3043" s="108">
        <v>1.4994200950564638E-3</v>
      </c>
      <c r="K3043" s="108"/>
      <c r="L3043" s="108">
        <v>4.3799999999999999E-2</v>
      </c>
      <c r="O3043" s="105"/>
    </row>
    <row r="3044" spans="2:15" x14ac:dyDescent="0.2">
      <c r="B3044" s="1">
        <v>3029</v>
      </c>
      <c r="C3044" s="106">
        <f ca="1"/>
        <v>-0.98126430281221744</v>
      </c>
      <c r="D3044" s="106">
        <f t="shared" ca="1" si="180"/>
        <v>0.60319765212718912</v>
      </c>
      <c r="E3044" s="106">
        <f t="shared" ca="1" si="181"/>
        <v>0</v>
      </c>
      <c r="F3044" s="21">
        <f t="shared" ca="1" si="182"/>
        <v>0</v>
      </c>
      <c r="H3044" s="21">
        <v>3029</v>
      </c>
      <c r="I3044" s="107">
        <v>0.66777219678478905</v>
      </c>
      <c r="J3044" s="108">
        <v>1.3678641013359176E-3</v>
      </c>
      <c r="K3044" s="108"/>
      <c r="L3044" s="108">
        <v>4.4600000000000001E-2</v>
      </c>
      <c r="O3044" s="105"/>
    </row>
    <row r="3045" spans="2:15" x14ac:dyDescent="0.2">
      <c r="B3045" s="1">
        <v>3030</v>
      </c>
      <c r="C3045" s="106">
        <f ca="1"/>
        <v>0.77264015274178233</v>
      </c>
      <c r="D3045" s="106">
        <f t="shared" ca="1" si="180"/>
        <v>0.7171265935719735</v>
      </c>
      <c r="E3045" s="106">
        <f t="shared" ca="1" si="181"/>
        <v>0</v>
      </c>
      <c r="F3045" s="21">
        <f t="shared" ca="1" si="182"/>
        <v>0</v>
      </c>
      <c r="H3045" s="21">
        <v>3030</v>
      </c>
      <c r="I3045" s="107">
        <v>0.66760460774015207</v>
      </c>
      <c r="J3045" s="108">
        <v>1.1808933028970251E-3</v>
      </c>
      <c r="K3045" s="108"/>
      <c r="L3045" s="108">
        <v>3.7400000000000003E-2</v>
      </c>
      <c r="O3045" s="105"/>
    </row>
    <row r="3046" spans="2:15" x14ac:dyDescent="0.2">
      <c r="B3046" s="1">
        <v>3031</v>
      </c>
      <c r="C3046" s="106">
        <f ca="1"/>
        <v>0.34059685255440236</v>
      </c>
      <c r="D3046" s="106">
        <f t="shared" ca="1" si="180"/>
        <v>0.68720665934267766</v>
      </c>
      <c r="E3046" s="106">
        <f t="shared" ca="1" si="181"/>
        <v>0</v>
      </c>
      <c r="F3046" s="21">
        <f t="shared" ca="1" si="182"/>
        <v>0</v>
      </c>
      <c r="H3046" s="21">
        <v>3031</v>
      </c>
      <c r="I3046" s="107">
        <v>0.66776541707395276</v>
      </c>
      <c r="J3046" s="108">
        <v>1.3912462722246585E-3</v>
      </c>
      <c r="K3046" s="108"/>
      <c r="L3046" s="108">
        <v>4.2200000000000001E-2</v>
      </c>
      <c r="O3046" s="105"/>
    </row>
    <row r="3047" spans="2:15" x14ac:dyDescent="0.2">
      <c r="B3047" s="1">
        <v>3032</v>
      </c>
      <c r="C3047" s="106">
        <f ca="1"/>
        <v>-0.27929461707826081</v>
      </c>
      <c r="D3047" s="106">
        <f t="shared" ca="1" si="180"/>
        <v>0.64644501528982368</v>
      </c>
      <c r="E3047" s="106">
        <f t="shared" ca="1" si="181"/>
        <v>0</v>
      </c>
      <c r="F3047" s="21">
        <f t="shared" ca="1" si="182"/>
        <v>0</v>
      </c>
      <c r="H3047" s="21">
        <v>3032</v>
      </c>
      <c r="I3047" s="107">
        <v>0.66756597120646344</v>
      </c>
      <c r="J3047" s="108">
        <v>1.1296766809443229E-3</v>
      </c>
      <c r="K3047" s="108"/>
      <c r="L3047" s="108">
        <v>3.9E-2</v>
      </c>
      <c r="O3047" s="105"/>
    </row>
    <row r="3048" spans="2:15" x14ac:dyDescent="0.2">
      <c r="B3048" s="1">
        <v>3033</v>
      </c>
      <c r="C3048" s="106">
        <f ca="1"/>
        <v>-0.33078434344115698</v>
      </c>
      <c r="D3048" s="106">
        <f t="shared" ca="1" si="180"/>
        <v>0.64317003531958716</v>
      </c>
      <c r="E3048" s="106">
        <f t="shared" ca="1" si="181"/>
        <v>0</v>
      </c>
      <c r="F3048" s="21">
        <f t="shared" ca="1" si="182"/>
        <v>0</v>
      </c>
      <c r="H3048" s="21">
        <v>3033</v>
      </c>
      <c r="I3048" s="107">
        <v>0.66785716958537555</v>
      </c>
      <c r="J3048" s="108">
        <v>1.4339693953364361E-3</v>
      </c>
      <c r="K3048" s="108"/>
      <c r="L3048" s="108">
        <v>4.3799999999999999E-2</v>
      </c>
      <c r="O3048" s="105"/>
    </row>
    <row r="3049" spans="2:15" x14ac:dyDescent="0.2">
      <c r="B3049" s="1">
        <v>3034</v>
      </c>
      <c r="C3049" s="106">
        <f ca="1"/>
        <v>0.9852857650431831</v>
      </c>
      <c r="D3049" s="106">
        <f t="shared" ca="1" si="180"/>
        <v>0.73232765519895393</v>
      </c>
      <c r="E3049" s="106">
        <f t="shared" ca="1" si="181"/>
        <v>0</v>
      </c>
      <c r="F3049" s="21">
        <f t="shared" ca="1" si="182"/>
        <v>0</v>
      </c>
      <c r="H3049" s="21">
        <v>3034</v>
      </c>
      <c r="I3049" s="107">
        <v>0.66764880593236664</v>
      </c>
      <c r="J3049" s="108">
        <v>1.2151999059636432E-3</v>
      </c>
      <c r="K3049" s="108"/>
      <c r="L3049" s="108">
        <v>0.04</v>
      </c>
      <c r="O3049" s="105"/>
    </row>
    <row r="3050" spans="2:15" x14ac:dyDescent="0.2">
      <c r="B3050" s="1">
        <v>3035</v>
      </c>
      <c r="C3050" s="106">
        <f ca="1"/>
        <v>-0.98829058015054561</v>
      </c>
      <c r="D3050" s="106">
        <f t="shared" ca="1" si="180"/>
        <v>0.60277973195020729</v>
      </c>
      <c r="E3050" s="106">
        <f t="shared" ca="1" si="181"/>
        <v>0</v>
      </c>
      <c r="F3050" s="21">
        <f t="shared" ca="1" si="182"/>
        <v>0</v>
      </c>
      <c r="H3050" s="21">
        <v>3035</v>
      </c>
      <c r="I3050" s="107">
        <v>0.66782974599167733</v>
      </c>
      <c r="J3050" s="108">
        <v>1.341582596346312E-3</v>
      </c>
      <c r="K3050" s="108"/>
      <c r="L3050" s="108">
        <v>4.2999999999999997E-2</v>
      </c>
      <c r="O3050" s="105"/>
    </row>
    <row r="3051" spans="2:15" x14ac:dyDescent="0.2">
      <c r="B3051" s="1">
        <v>3036</v>
      </c>
      <c r="C3051" s="106">
        <f ca="1"/>
        <v>0.11417316094396539</v>
      </c>
      <c r="D3051" s="106">
        <f t="shared" ca="1" si="180"/>
        <v>0.67202821620568665</v>
      </c>
      <c r="E3051" s="106">
        <f t="shared" ca="1" si="181"/>
        <v>0</v>
      </c>
      <c r="F3051" s="21">
        <f t="shared" ca="1" si="182"/>
        <v>0</v>
      </c>
      <c r="H3051" s="21">
        <v>3036</v>
      </c>
      <c r="I3051" s="107">
        <v>0.66770751276661588</v>
      </c>
      <c r="J3051" s="108">
        <v>1.3434361856450735E-3</v>
      </c>
      <c r="K3051" s="108"/>
      <c r="L3051" s="108">
        <v>4.4400000000000002E-2</v>
      </c>
      <c r="O3051" s="105"/>
    </row>
    <row r="3052" spans="2:15" x14ac:dyDescent="0.2">
      <c r="B3052" s="1">
        <v>3037</v>
      </c>
      <c r="C3052" s="106">
        <f ca="1"/>
        <v>-1.193759791600288</v>
      </c>
      <c r="D3052" s="106">
        <f t="shared" ca="1" si="180"/>
        <v>0.59068571307579565</v>
      </c>
      <c r="E3052" s="106">
        <f t="shared" ca="1" si="181"/>
        <v>0</v>
      </c>
      <c r="F3052" s="21">
        <f t="shared" ca="1" si="182"/>
        <v>0</v>
      </c>
      <c r="H3052" s="21">
        <v>3037</v>
      </c>
      <c r="I3052" s="107">
        <v>0.66782745941063026</v>
      </c>
      <c r="J3052" s="108">
        <v>1.4529890505398922E-3</v>
      </c>
      <c r="K3052" s="108"/>
      <c r="L3052" s="108">
        <v>4.1399999999999999E-2</v>
      </c>
      <c r="O3052" s="105"/>
    </row>
    <row r="3053" spans="2:15" x14ac:dyDescent="0.2">
      <c r="B3053" s="1">
        <v>3038</v>
      </c>
      <c r="C3053" s="106">
        <f ca="1"/>
        <v>0.23285846003657418</v>
      </c>
      <c r="D3053" s="106">
        <f t="shared" ca="1" si="180"/>
        <v>0.67994206995221962</v>
      </c>
      <c r="E3053" s="106">
        <f t="shared" ca="1" si="181"/>
        <v>0</v>
      </c>
      <c r="F3053" s="21">
        <f t="shared" ca="1" si="182"/>
        <v>0</v>
      </c>
      <c r="H3053" s="21">
        <v>3038</v>
      </c>
      <c r="I3053" s="107">
        <v>0.66786135040985461</v>
      </c>
      <c r="J3053" s="108">
        <v>1.5237126503996035E-3</v>
      </c>
      <c r="K3053" s="108"/>
      <c r="L3053" s="108">
        <v>4.3999999999999997E-2</v>
      </c>
      <c r="O3053" s="105"/>
    </row>
    <row r="3054" spans="2:15" x14ac:dyDescent="0.2">
      <c r="B3054" s="1">
        <v>3039</v>
      </c>
      <c r="C3054" s="106">
        <f ca="1"/>
        <v>0.18324456122523092</v>
      </c>
      <c r="D3054" s="106">
        <f t="shared" ca="1" si="180"/>
        <v>0.6766225759425788</v>
      </c>
      <c r="E3054" s="106">
        <f t="shared" ca="1" si="181"/>
        <v>0</v>
      </c>
      <c r="F3054" s="21">
        <f t="shared" ca="1" si="182"/>
        <v>0</v>
      </c>
      <c r="H3054" s="21">
        <v>3039</v>
      </c>
      <c r="I3054" s="107">
        <v>0.66776299032283404</v>
      </c>
      <c r="J3054" s="108">
        <v>1.2400465637119854E-3</v>
      </c>
      <c r="K3054" s="108"/>
      <c r="L3054" s="108">
        <v>4.1200000000000001E-2</v>
      </c>
      <c r="O3054" s="105"/>
    </row>
    <row r="3055" spans="2:15" x14ac:dyDescent="0.2">
      <c r="B3055" s="1">
        <v>3040</v>
      </c>
      <c r="C3055" s="106">
        <f ca="1"/>
        <v>-0.30740283032627275</v>
      </c>
      <c r="D3055" s="106">
        <f t="shared" ca="1" si="180"/>
        <v>0.64465514400263824</v>
      </c>
      <c r="E3055" s="106">
        <f t="shared" ca="1" si="181"/>
        <v>0</v>
      </c>
      <c r="F3055" s="21">
        <f t="shared" ca="1" si="182"/>
        <v>0</v>
      </c>
      <c r="H3055" s="21">
        <v>3040</v>
      </c>
      <c r="I3055" s="107">
        <v>0.66775610975557464</v>
      </c>
      <c r="J3055" s="108">
        <v>1.4804336806619649E-3</v>
      </c>
      <c r="K3055" s="108"/>
      <c r="L3055" s="108">
        <v>4.48E-2</v>
      </c>
      <c r="O3055" s="105"/>
    </row>
    <row r="3056" spans="2:15" x14ac:dyDescent="0.2">
      <c r="B3056" s="1">
        <v>3041</v>
      </c>
      <c r="C3056" s="106">
        <f ca="1"/>
        <v>1.1493127151082314</v>
      </c>
      <c r="D3056" s="106">
        <f t="shared" ca="1" si="180"/>
        <v>0.7442729724665117</v>
      </c>
      <c r="E3056" s="106">
        <f t="shared" ca="1" si="181"/>
        <v>0</v>
      </c>
      <c r="F3056" s="21">
        <f t="shared" ca="1" si="182"/>
        <v>0</v>
      </c>
      <c r="H3056" s="21">
        <v>3041</v>
      </c>
      <c r="I3056" s="107">
        <v>0.66774088168871937</v>
      </c>
      <c r="J3056" s="108">
        <v>1.363271343498102E-3</v>
      </c>
      <c r="K3056" s="108"/>
      <c r="L3056" s="108">
        <v>4.2599999999999999E-2</v>
      </c>
      <c r="O3056" s="105"/>
    </row>
    <row r="3057" spans="2:15" x14ac:dyDescent="0.2">
      <c r="B3057" s="1">
        <v>3042</v>
      </c>
      <c r="C3057" s="106">
        <f ca="1"/>
        <v>-0.34979953564919963</v>
      </c>
      <c r="D3057" s="106">
        <f t="shared" ca="1" si="180"/>
        <v>0.64196478241358201</v>
      </c>
      <c r="E3057" s="106">
        <f t="shared" ca="1" si="181"/>
        <v>0</v>
      </c>
      <c r="F3057" s="21">
        <f t="shared" ca="1" si="182"/>
        <v>0</v>
      </c>
      <c r="H3057" s="21">
        <v>3042</v>
      </c>
      <c r="I3057" s="107">
        <v>0.66771707776187572</v>
      </c>
      <c r="J3057" s="108">
        <v>1.2707949078885818E-3</v>
      </c>
      <c r="K3057" s="108"/>
      <c r="L3057" s="108">
        <v>4.2000000000000003E-2</v>
      </c>
      <c r="O3057" s="105"/>
    </row>
    <row r="3058" spans="2:15" x14ac:dyDescent="0.2">
      <c r="B3058" s="1">
        <v>3043</v>
      </c>
      <c r="C3058" s="106">
        <f ca="1"/>
        <v>0.48712739119339965</v>
      </c>
      <c r="D3058" s="106">
        <f t="shared" ca="1" si="180"/>
        <v>0.6972116531811805</v>
      </c>
      <c r="E3058" s="106">
        <f t="shared" ca="1" si="181"/>
        <v>0</v>
      </c>
      <c r="F3058" s="21">
        <f t="shared" ca="1" si="182"/>
        <v>0</v>
      </c>
      <c r="H3058" s="21">
        <v>3043</v>
      </c>
      <c r="I3058" s="107">
        <v>0.66770900422259061</v>
      </c>
      <c r="J3058" s="108">
        <v>1.3672936415305677E-3</v>
      </c>
      <c r="K3058" s="108"/>
      <c r="L3058" s="108">
        <v>4.2200000000000001E-2</v>
      </c>
      <c r="O3058" s="105"/>
    </row>
    <row r="3059" spans="2:15" x14ac:dyDescent="0.2">
      <c r="B3059" s="1">
        <v>3044</v>
      </c>
      <c r="C3059" s="106">
        <f ca="1"/>
        <v>-0.63129744727749537</v>
      </c>
      <c r="D3059" s="106">
        <f t="shared" ca="1" si="180"/>
        <v>0.62438434666740816</v>
      </c>
      <c r="E3059" s="106">
        <f t="shared" ca="1" si="181"/>
        <v>0</v>
      </c>
      <c r="F3059" s="21">
        <f t="shared" ca="1" si="182"/>
        <v>0</v>
      </c>
      <c r="H3059" s="21">
        <v>3044</v>
      </c>
      <c r="I3059" s="107">
        <v>0.66784621565240077</v>
      </c>
      <c r="J3059" s="108">
        <v>1.4552135250471407E-3</v>
      </c>
      <c r="K3059" s="108"/>
      <c r="L3059" s="108">
        <v>4.24E-2</v>
      </c>
      <c r="O3059" s="105"/>
    </row>
    <row r="3060" spans="2:15" x14ac:dyDescent="0.2">
      <c r="B3060" s="1">
        <v>3045</v>
      </c>
      <c r="C3060" s="106">
        <f ca="1"/>
        <v>0.74988443921820558</v>
      </c>
      <c r="D3060" s="106">
        <f t="shared" ca="1" si="180"/>
        <v>0.7155186979335687</v>
      </c>
      <c r="E3060" s="106">
        <f t="shared" ca="1" si="181"/>
        <v>0</v>
      </c>
      <c r="F3060" s="21">
        <f t="shared" ca="1" si="182"/>
        <v>0</v>
      </c>
      <c r="H3060" s="21">
        <v>3045</v>
      </c>
      <c r="I3060" s="107">
        <v>0.66785831346652946</v>
      </c>
      <c r="J3060" s="108">
        <v>1.5578361134262102E-3</v>
      </c>
      <c r="K3060" s="108"/>
      <c r="L3060" s="108">
        <v>4.5400000000000003E-2</v>
      </c>
      <c r="O3060" s="105"/>
    </row>
    <row r="3061" spans="2:15" x14ac:dyDescent="0.2">
      <c r="B3061" s="1">
        <v>3046</v>
      </c>
      <c r="C3061" s="106">
        <f ca="1"/>
        <v>-1.421666883981773</v>
      </c>
      <c r="D3061" s="106">
        <f t="shared" ca="1" si="180"/>
        <v>0.5775546268362477</v>
      </c>
      <c r="E3061" s="106">
        <f t="shared" ca="1" si="181"/>
        <v>0</v>
      </c>
      <c r="F3061" s="21">
        <f t="shared" ca="1" si="182"/>
        <v>0</v>
      </c>
      <c r="H3061" s="21">
        <v>3046</v>
      </c>
      <c r="I3061" s="107">
        <v>0.66767024735316194</v>
      </c>
      <c r="J3061" s="108">
        <v>1.310665579729541E-3</v>
      </c>
      <c r="K3061" s="108"/>
      <c r="L3061" s="108">
        <v>4.1399999999999999E-2</v>
      </c>
      <c r="O3061" s="105"/>
    </row>
    <row r="3062" spans="2:15" x14ac:dyDescent="0.2">
      <c r="B3062" s="1">
        <v>3047</v>
      </c>
      <c r="C3062" s="106">
        <f ca="1"/>
        <v>0.8831752129457886</v>
      </c>
      <c r="D3062" s="106">
        <f t="shared" ca="1" si="180"/>
        <v>0.72498844005032614</v>
      </c>
      <c r="E3062" s="106">
        <f t="shared" ca="1" si="181"/>
        <v>0</v>
      </c>
      <c r="F3062" s="21">
        <f t="shared" ca="1" si="182"/>
        <v>0</v>
      </c>
      <c r="H3062" s="21">
        <v>3047</v>
      </c>
      <c r="I3062" s="107">
        <v>0.66774915581155725</v>
      </c>
      <c r="J3062" s="108">
        <v>1.2804944916883711E-3</v>
      </c>
      <c r="K3062" s="108"/>
      <c r="L3062" s="108">
        <v>3.9600000000000003E-2</v>
      </c>
      <c r="O3062" s="105"/>
    </row>
    <row r="3063" spans="2:15" x14ac:dyDescent="0.2">
      <c r="B3063" s="1">
        <v>3048</v>
      </c>
      <c r="C3063" s="106">
        <f ca="1"/>
        <v>5.3627651856523961E-2</v>
      </c>
      <c r="D3063" s="106">
        <f t="shared" ca="1" si="180"/>
        <v>0.66802663049827871</v>
      </c>
      <c r="E3063" s="106">
        <f t="shared" ca="1" si="181"/>
        <v>0</v>
      </c>
      <c r="F3063" s="21">
        <f t="shared" ca="1" si="182"/>
        <v>0</v>
      </c>
      <c r="H3063" s="21">
        <v>3048</v>
      </c>
      <c r="I3063" s="107">
        <v>0.66766648987377586</v>
      </c>
      <c r="J3063" s="108">
        <v>1.2546249687008036E-3</v>
      </c>
      <c r="K3063" s="108"/>
      <c r="L3063" s="108">
        <v>4.1599999999999998E-2</v>
      </c>
      <c r="O3063" s="105"/>
    </row>
    <row r="3064" spans="2:15" x14ac:dyDescent="0.2">
      <c r="B3064" s="1">
        <v>3049</v>
      </c>
      <c r="C3064" s="106">
        <f ca="1"/>
        <v>-0.10020738533254187</v>
      </c>
      <c r="D3064" s="106">
        <f t="shared" ca="1" si="180"/>
        <v>0.65796618981138477</v>
      </c>
      <c r="E3064" s="106">
        <f t="shared" ca="1" si="181"/>
        <v>0</v>
      </c>
      <c r="F3064" s="21">
        <f t="shared" ca="1" si="182"/>
        <v>0</v>
      </c>
      <c r="H3064" s="21">
        <v>3049</v>
      </c>
      <c r="I3064" s="107">
        <v>0.66777060057344206</v>
      </c>
      <c r="J3064" s="108">
        <v>1.3754869837668395E-3</v>
      </c>
      <c r="K3064" s="108"/>
      <c r="L3064" s="108">
        <v>4.0399999999999998E-2</v>
      </c>
      <c r="O3064" s="105"/>
    </row>
    <row r="3065" spans="2:15" x14ac:dyDescent="0.2">
      <c r="B3065" s="1">
        <v>3050</v>
      </c>
      <c r="C3065" s="106">
        <f ca="1"/>
        <v>0.76262789594183689</v>
      </c>
      <c r="D3065" s="106">
        <f t="shared" ca="1" si="180"/>
        <v>0.7164186929939742</v>
      </c>
      <c r="E3065" s="106">
        <f t="shared" ca="1" si="181"/>
        <v>0</v>
      </c>
      <c r="F3065" s="21">
        <f t="shared" ca="1" si="182"/>
        <v>0</v>
      </c>
      <c r="H3065" s="21">
        <v>3050</v>
      </c>
      <c r="I3065" s="107">
        <v>0.66747048324258307</v>
      </c>
      <c r="J3065" s="108">
        <v>1.0621900955446349E-3</v>
      </c>
      <c r="K3065" s="108"/>
      <c r="L3065" s="108">
        <v>3.6799999999999999E-2</v>
      </c>
      <c r="O3065" s="105"/>
    </row>
    <row r="3066" spans="2:15" x14ac:dyDescent="0.2">
      <c r="B3066" s="1">
        <v>3051</v>
      </c>
      <c r="C3066" s="106">
        <f ca="1"/>
        <v>-0.20958902046723701</v>
      </c>
      <c r="D3066" s="106">
        <f t="shared" ca="1" si="180"/>
        <v>0.65090519202692732</v>
      </c>
      <c r="E3066" s="106">
        <f t="shared" ca="1" si="181"/>
        <v>0</v>
      </c>
      <c r="F3066" s="21">
        <f t="shared" ca="1" si="182"/>
        <v>0</v>
      </c>
      <c r="H3066" s="21">
        <v>3051</v>
      </c>
      <c r="I3066" s="107">
        <v>0.66786319428527519</v>
      </c>
      <c r="J3066" s="108">
        <v>1.5442697683300864E-3</v>
      </c>
      <c r="K3066" s="108"/>
      <c r="L3066" s="108">
        <v>4.5600000000000002E-2</v>
      </c>
      <c r="O3066" s="105"/>
    </row>
    <row r="3067" spans="2:15" x14ac:dyDescent="0.2">
      <c r="B3067" s="1">
        <v>3052</v>
      </c>
      <c r="C3067" s="106">
        <f ca="1"/>
        <v>-1.034621799843781</v>
      </c>
      <c r="D3067" s="106">
        <f t="shared" ca="1" si="180"/>
        <v>0.60003120972838397</v>
      </c>
      <c r="E3067" s="106">
        <f t="shared" ca="1" si="181"/>
        <v>0</v>
      </c>
      <c r="F3067" s="21">
        <f t="shared" ca="1" si="182"/>
        <v>0</v>
      </c>
      <c r="H3067" s="21">
        <v>3052</v>
      </c>
      <c r="I3067" s="107">
        <v>0.66765580782142242</v>
      </c>
      <c r="J3067" s="108">
        <v>1.1823361525221774E-3</v>
      </c>
      <c r="K3067" s="108"/>
      <c r="L3067" s="108">
        <v>4.0399999999999998E-2</v>
      </c>
      <c r="O3067" s="105"/>
    </row>
    <row r="3068" spans="2:15" x14ac:dyDescent="0.2">
      <c r="B3068" s="1">
        <v>3053</v>
      </c>
      <c r="C3068" s="106">
        <f ca="1"/>
        <v>-0.11025960858334982</v>
      </c>
      <c r="D3068" s="106">
        <f t="shared" ca="1" si="180"/>
        <v>0.65731409716034428</v>
      </c>
      <c r="E3068" s="106">
        <f t="shared" ca="1" si="181"/>
        <v>0</v>
      </c>
      <c r="F3068" s="21">
        <f t="shared" ca="1" si="182"/>
        <v>0</v>
      </c>
      <c r="H3068" s="21">
        <v>3053</v>
      </c>
      <c r="I3068" s="107">
        <v>0.66780132815236581</v>
      </c>
      <c r="J3068" s="108">
        <v>1.480191943210791E-3</v>
      </c>
      <c r="K3068" s="108"/>
      <c r="L3068" s="108">
        <v>4.2000000000000003E-2</v>
      </c>
      <c r="O3068" s="105"/>
    </row>
    <row r="3069" spans="2:15" x14ac:dyDescent="0.2">
      <c r="B3069" s="1">
        <v>3054</v>
      </c>
      <c r="C3069" s="106">
        <f ca="1"/>
        <v>-0.91508531514885916</v>
      </c>
      <c r="D3069" s="106">
        <f t="shared" ca="1" si="180"/>
        <v>0.60714819670964204</v>
      </c>
      <c r="E3069" s="106">
        <f t="shared" ca="1" si="181"/>
        <v>0</v>
      </c>
      <c r="F3069" s="21">
        <f t="shared" ca="1" si="182"/>
        <v>0</v>
      </c>
      <c r="H3069" s="21">
        <v>3054</v>
      </c>
      <c r="I3069" s="107">
        <v>0.66783954161348269</v>
      </c>
      <c r="J3069" s="108">
        <v>1.5330613630560165E-3</v>
      </c>
      <c r="K3069" s="108"/>
      <c r="L3069" s="108">
        <v>4.4400000000000002E-2</v>
      </c>
      <c r="O3069" s="105"/>
    </row>
    <row r="3070" spans="2:15" x14ac:dyDescent="0.2">
      <c r="B3070" s="1">
        <v>3055</v>
      </c>
      <c r="C3070" s="106">
        <f ca="1"/>
        <v>-0.74182472473310412</v>
      </c>
      <c r="D3070" s="106">
        <f t="shared" ca="1" si="180"/>
        <v>0.61761393508833207</v>
      </c>
      <c r="E3070" s="106">
        <f t="shared" ca="1" si="181"/>
        <v>0</v>
      </c>
      <c r="F3070" s="21">
        <f t="shared" ca="1" si="182"/>
        <v>0</v>
      </c>
      <c r="H3070" s="21">
        <v>3055</v>
      </c>
      <c r="I3070" s="107">
        <v>0.66769589955702169</v>
      </c>
      <c r="J3070" s="108">
        <v>1.2830180850065677E-3</v>
      </c>
      <c r="K3070" s="108"/>
      <c r="L3070" s="108">
        <v>4.2799999999999998E-2</v>
      </c>
      <c r="O3070" s="105"/>
    </row>
    <row r="3071" spans="2:15" x14ac:dyDescent="0.2">
      <c r="B3071" s="1">
        <v>3056</v>
      </c>
      <c r="C3071" s="106">
        <f ca="1"/>
        <v>0.82716555319416518</v>
      </c>
      <c r="D3071" s="106">
        <f t="shared" ca="1" si="180"/>
        <v>0.72099401975578326</v>
      </c>
      <c r="E3071" s="106">
        <f t="shared" ca="1" si="181"/>
        <v>0</v>
      </c>
      <c r="F3071" s="21">
        <f t="shared" ca="1" si="182"/>
        <v>0</v>
      </c>
      <c r="H3071" s="21">
        <v>3056</v>
      </c>
      <c r="I3071" s="107">
        <v>0.66772645683382081</v>
      </c>
      <c r="J3071" s="108">
        <v>1.3363909839791484E-3</v>
      </c>
      <c r="K3071" s="108"/>
      <c r="L3071" s="108">
        <v>0.04</v>
      </c>
      <c r="O3071" s="105"/>
    </row>
    <row r="3072" spans="2:15" x14ac:dyDescent="0.2">
      <c r="B3072" s="1">
        <v>3057</v>
      </c>
      <c r="C3072" s="106">
        <f ca="1"/>
        <v>-0.88106019252299284</v>
      </c>
      <c r="D3072" s="106">
        <f t="shared" ca="1" si="180"/>
        <v>0.60918938148630231</v>
      </c>
      <c r="E3072" s="106">
        <f t="shared" ca="1" si="181"/>
        <v>0</v>
      </c>
      <c r="F3072" s="21">
        <f t="shared" ca="1" si="182"/>
        <v>0</v>
      </c>
      <c r="H3072" s="21">
        <v>3057</v>
      </c>
      <c r="I3072" s="107">
        <v>0.66770615021586877</v>
      </c>
      <c r="J3072" s="108">
        <v>1.2409548643473117E-3</v>
      </c>
      <c r="K3072" s="108"/>
      <c r="L3072" s="108">
        <v>3.9800000000000002E-2</v>
      </c>
      <c r="O3072" s="105"/>
    </row>
    <row r="3073" spans="2:15" x14ac:dyDescent="0.2">
      <c r="B3073" s="1">
        <v>3058</v>
      </c>
      <c r="C3073" s="106">
        <f ca="1"/>
        <v>0.86682688661002305</v>
      </c>
      <c r="D3073" s="106">
        <f t="shared" ca="1" si="180"/>
        <v>0.72382025094492974</v>
      </c>
      <c r="E3073" s="106">
        <f t="shared" ca="1" si="181"/>
        <v>0</v>
      </c>
      <c r="F3073" s="21">
        <f t="shared" ca="1" si="182"/>
        <v>0</v>
      </c>
      <c r="H3073" s="21">
        <v>3058</v>
      </c>
      <c r="I3073" s="107">
        <v>0.66770916826287774</v>
      </c>
      <c r="J3073" s="108">
        <v>1.4834078871263214E-3</v>
      </c>
      <c r="K3073" s="108"/>
      <c r="L3073" s="108">
        <v>3.7999999999999999E-2</v>
      </c>
      <c r="O3073" s="105"/>
    </row>
    <row r="3074" spans="2:15" x14ac:dyDescent="0.2">
      <c r="B3074" s="1">
        <v>3059</v>
      </c>
      <c r="C3074" s="106">
        <f ca="1"/>
        <v>-2.1942568317567139</v>
      </c>
      <c r="D3074" s="106">
        <f t="shared" ca="1" si="180"/>
        <v>0.53517496623644789</v>
      </c>
      <c r="E3074" s="106">
        <f t="shared" ca="1" si="181"/>
        <v>0</v>
      </c>
      <c r="F3074" s="21">
        <f t="shared" ca="1" si="182"/>
        <v>0</v>
      </c>
      <c r="H3074" s="21">
        <v>3059</v>
      </c>
      <c r="I3074" s="107">
        <v>0.6676930563227379</v>
      </c>
      <c r="J3074" s="108">
        <v>1.3291286138846393E-3</v>
      </c>
      <c r="K3074" s="108"/>
      <c r="L3074" s="108">
        <v>3.9800000000000002E-2</v>
      </c>
      <c r="O3074" s="105"/>
    </row>
    <row r="3075" spans="2:15" x14ac:dyDescent="0.2">
      <c r="B3075" s="1">
        <v>3060</v>
      </c>
      <c r="C3075" s="106">
        <f ca="1"/>
        <v>-0.16521626321705199</v>
      </c>
      <c r="D3075" s="106">
        <f t="shared" ca="1" si="180"/>
        <v>0.65376044011753831</v>
      </c>
      <c r="E3075" s="106">
        <f t="shared" ca="1" si="181"/>
        <v>0</v>
      </c>
      <c r="F3075" s="21">
        <f t="shared" ca="1" si="182"/>
        <v>0</v>
      </c>
      <c r="H3075" s="21">
        <v>3060</v>
      </c>
      <c r="I3075" s="107">
        <v>0.66769164620355925</v>
      </c>
      <c r="J3075" s="108">
        <v>1.2743269885152806E-3</v>
      </c>
      <c r="K3075" s="108"/>
      <c r="L3075" s="108">
        <v>3.7400000000000003E-2</v>
      </c>
      <c r="O3075" s="105"/>
    </row>
    <row r="3076" spans="2:15" x14ac:dyDescent="0.2">
      <c r="B3076" s="1">
        <v>3061</v>
      </c>
      <c r="C3076" s="106">
        <f ca="1"/>
        <v>-1.4972086386114645</v>
      </c>
      <c r="D3076" s="106">
        <f t="shared" ca="1" si="180"/>
        <v>0.57326695084109325</v>
      </c>
      <c r="E3076" s="106">
        <f t="shared" ca="1" si="181"/>
        <v>0</v>
      </c>
      <c r="F3076" s="21">
        <f t="shared" ca="1" si="182"/>
        <v>0</v>
      </c>
      <c r="H3076" s="21">
        <v>3061</v>
      </c>
      <c r="I3076" s="107">
        <v>0.66777865521409263</v>
      </c>
      <c r="J3076" s="108">
        <v>1.3817101612695166E-3</v>
      </c>
      <c r="K3076" s="108"/>
      <c r="L3076" s="108">
        <v>4.1599999999999998E-2</v>
      </c>
      <c r="O3076" s="105"/>
    </row>
    <row r="3077" spans="2:15" x14ac:dyDescent="0.2">
      <c r="B3077" s="1">
        <v>3062</v>
      </c>
      <c r="C3077" s="106">
        <f ca="1"/>
        <v>0.16938638238155315</v>
      </c>
      <c r="D3077" s="106">
        <f t="shared" ca="1" si="180"/>
        <v>0.67569827213411593</v>
      </c>
      <c r="E3077" s="106">
        <f t="shared" ca="1" si="181"/>
        <v>0</v>
      </c>
      <c r="F3077" s="21">
        <f t="shared" ca="1" si="182"/>
        <v>0</v>
      </c>
      <c r="H3077" s="21">
        <v>3062</v>
      </c>
      <c r="I3077" s="107">
        <v>0.66775609271315539</v>
      </c>
      <c r="J3077" s="108">
        <v>1.361962521704512E-3</v>
      </c>
      <c r="K3077" s="108"/>
      <c r="L3077" s="108">
        <v>4.1799999999999997E-2</v>
      </c>
      <c r="O3077" s="105"/>
    </row>
    <row r="3078" spans="2:15" x14ac:dyDescent="0.2">
      <c r="B3078" s="1">
        <v>3063</v>
      </c>
      <c r="C3078" s="106">
        <f ca="1"/>
        <v>-1.4562413906416316</v>
      </c>
      <c r="D3078" s="106">
        <f t="shared" ca="1" si="180"/>
        <v>0.57558824617161375</v>
      </c>
      <c r="E3078" s="106">
        <f t="shared" ca="1" si="181"/>
        <v>0</v>
      </c>
      <c r="F3078" s="21">
        <f t="shared" ca="1" si="182"/>
        <v>0</v>
      </c>
      <c r="H3078" s="21">
        <v>3063</v>
      </c>
      <c r="I3078" s="107">
        <v>0.66785239608937441</v>
      </c>
      <c r="J3078" s="108">
        <v>1.4811448127033877E-3</v>
      </c>
      <c r="K3078" s="108"/>
      <c r="L3078" s="108">
        <v>4.4999999999999998E-2</v>
      </c>
      <c r="O3078" s="105"/>
    </row>
    <row r="3079" spans="2:15" x14ac:dyDescent="0.2">
      <c r="B3079" s="1">
        <v>3064</v>
      </c>
      <c r="C3079" s="106">
        <f ca="1"/>
        <v>0.60810312032622515</v>
      </c>
      <c r="D3079" s="106">
        <f t="shared" ca="1" si="180"/>
        <v>0.70558146369367114</v>
      </c>
      <c r="E3079" s="106">
        <f t="shared" ca="1" si="181"/>
        <v>0</v>
      </c>
      <c r="F3079" s="21">
        <f t="shared" ca="1" si="182"/>
        <v>0</v>
      </c>
      <c r="H3079" s="21">
        <v>3064</v>
      </c>
      <c r="I3079" s="107">
        <v>0.6678058620031232</v>
      </c>
      <c r="J3079" s="108">
        <v>1.4487530182877653E-3</v>
      </c>
      <c r="K3079" s="108"/>
      <c r="L3079" s="108">
        <v>4.2799999999999998E-2</v>
      </c>
      <c r="O3079" s="105"/>
    </row>
    <row r="3080" spans="2:15" x14ac:dyDescent="0.2">
      <c r="B3080" s="1">
        <v>3065</v>
      </c>
      <c r="C3080" s="106">
        <f ca="1"/>
        <v>-0.83688557701445632</v>
      </c>
      <c r="D3080" s="106">
        <f t="shared" ca="1" si="180"/>
        <v>0.61184968111459226</v>
      </c>
      <c r="E3080" s="106">
        <f t="shared" ca="1" si="181"/>
        <v>0</v>
      </c>
      <c r="F3080" s="21">
        <f t="shared" ca="1" si="182"/>
        <v>0</v>
      </c>
      <c r="H3080" s="21">
        <v>3065</v>
      </c>
      <c r="I3080" s="107">
        <v>0.66773363291886612</v>
      </c>
      <c r="J3080" s="108">
        <v>1.259163210157205E-3</v>
      </c>
      <c r="K3080" s="108"/>
      <c r="L3080" s="108">
        <v>0.04</v>
      </c>
      <c r="O3080" s="105"/>
    </row>
    <row r="3081" spans="2:15" x14ac:dyDescent="0.2">
      <c r="B3081" s="1">
        <v>3066</v>
      </c>
      <c r="C3081" s="106">
        <f ca="1"/>
        <v>-0.75200005729941621</v>
      </c>
      <c r="D3081" s="106">
        <f t="shared" ca="1" si="180"/>
        <v>0.61699434185636348</v>
      </c>
      <c r="E3081" s="106">
        <f t="shared" ca="1" si="181"/>
        <v>0</v>
      </c>
      <c r="F3081" s="21">
        <f t="shared" ca="1" si="182"/>
        <v>0</v>
      </c>
      <c r="H3081" s="21">
        <v>3066</v>
      </c>
      <c r="I3081" s="107">
        <v>0.6677065978080593</v>
      </c>
      <c r="J3081" s="108">
        <v>1.3655456585926844E-3</v>
      </c>
      <c r="K3081" s="108"/>
      <c r="L3081" s="108">
        <v>4.1399999999999999E-2</v>
      </c>
      <c r="O3081" s="105"/>
    </row>
    <row r="3082" spans="2:15" x14ac:dyDescent="0.2">
      <c r="B3082" s="1">
        <v>3067</v>
      </c>
      <c r="C3082" s="106">
        <f ca="1"/>
        <v>0.6056594516858258</v>
      </c>
      <c r="D3082" s="106">
        <f t="shared" ca="1" si="180"/>
        <v>0.70541140609682651</v>
      </c>
      <c r="E3082" s="106">
        <f t="shared" ca="1" si="181"/>
        <v>0</v>
      </c>
      <c r="F3082" s="21">
        <f t="shared" ca="1" si="182"/>
        <v>0</v>
      </c>
      <c r="H3082" s="21">
        <v>3067</v>
      </c>
      <c r="I3082" s="107">
        <v>0.6676934189736371</v>
      </c>
      <c r="J3082" s="108">
        <v>1.2739650356326071E-3</v>
      </c>
      <c r="K3082" s="108"/>
      <c r="L3082" s="108">
        <v>4.0399999999999998E-2</v>
      </c>
      <c r="O3082" s="105"/>
    </row>
    <row r="3083" spans="2:15" x14ac:dyDescent="0.2">
      <c r="B3083" s="1">
        <v>3068</v>
      </c>
      <c r="C3083" s="106">
        <f ca="1"/>
        <v>1.429996960439389E-2</v>
      </c>
      <c r="D3083" s="106">
        <f t="shared" ca="1" si="180"/>
        <v>0.66544015175104099</v>
      </c>
      <c r="E3083" s="106">
        <f t="shared" ca="1" si="181"/>
        <v>0</v>
      </c>
      <c r="F3083" s="21">
        <f t="shared" ca="1" si="182"/>
        <v>0</v>
      </c>
      <c r="H3083" s="21">
        <v>3068</v>
      </c>
      <c r="I3083" s="107">
        <v>0.66774379066726897</v>
      </c>
      <c r="J3083" s="108">
        <v>1.2166878782177094E-3</v>
      </c>
      <c r="K3083" s="108"/>
      <c r="L3083" s="108">
        <v>4.3799999999999999E-2</v>
      </c>
      <c r="O3083" s="105"/>
    </row>
    <row r="3084" spans="2:15" x14ac:dyDescent="0.2">
      <c r="B3084" s="1">
        <v>3069</v>
      </c>
      <c r="C3084" s="106">
        <f ca="1"/>
        <v>0.42670131704278114</v>
      </c>
      <c r="D3084" s="106">
        <f t="shared" ca="1" si="180"/>
        <v>0.69306827807672666</v>
      </c>
      <c r="E3084" s="106">
        <f t="shared" ca="1" si="181"/>
        <v>0</v>
      </c>
      <c r="F3084" s="21">
        <f t="shared" ca="1" si="182"/>
        <v>0</v>
      </c>
      <c r="H3084" s="21">
        <v>3069</v>
      </c>
      <c r="I3084" s="107">
        <v>0.66772791985205426</v>
      </c>
      <c r="J3084" s="108">
        <v>1.3151532228793462E-3</v>
      </c>
      <c r="K3084" s="108"/>
      <c r="L3084" s="108">
        <v>4.2999999999999997E-2</v>
      </c>
      <c r="O3084" s="105"/>
    </row>
    <row r="3085" spans="2:15" x14ac:dyDescent="0.2">
      <c r="B3085" s="1">
        <v>3070</v>
      </c>
      <c r="C3085" s="106">
        <f ca="1"/>
        <v>0.60321315734214853</v>
      </c>
      <c r="D3085" s="106">
        <f t="shared" ca="1" si="180"/>
        <v>0.70524120682735869</v>
      </c>
      <c r="E3085" s="106">
        <f t="shared" ca="1" si="181"/>
        <v>0</v>
      </c>
      <c r="F3085" s="21">
        <f t="shared" ca="1" si="182"/>
        <v>0</v>
      </c>
      <c r="H3085" s="21">
        <v>3070</v>
      </c>
      <c r="I3085" s="107">
        <v>0.6677963980417797</v>
      </c>
      <c r="J3085" s="108">
        <v>1.4136109335775734E-3</v>
      </c>
      <c r="K3085" s="108"/>
      <c r="L3085" s="108">
        <v>4.2200000000000001E-2</v>
      </c>
      <c r="O3085" s="105"/>
    </row>
    <row r="3086" spans="2:15" x14ac:dyDescent="0.2">
      <c r="B3086" s="1">
        <v>3071</v>
      </c>
      <c r="C3086" s="106">
        <f ca="1"/>
        <v>1.937027839781525</v>
      </c>
      <c r="D3086" s="106">
        <f t="shared" ca="1" si="180"/>
        <v>0.80441003281622436</v>
      </c>
      <c r="E3086" s="106">
        <f t="shared" ca="1" si="181"/>
        <v>1.6210032816224351E-2</v>
      </c>
      <c r="F3086" s="21">
        <f t="shared" ca="1" si="182"/>
        <v>1</v>
      </c>
      <c r="H3086" s="21">
        <v>3071</v>
      </c>
      <c r="I3086" s="107">
        <v>0.66753259957401068</v>
      </c>
      <c r="J3086" s="108">
        <v>1.1325434824721158E-3</v>
      </c>
      <c r="K3086" s="108"/>
      <c r="L3086" s="108">
        <v>3.3599999999999998E-2</v>
      </c>
      <c r="O3086" s="105"/>
    </row>
    <row r="3087" spans="2:15" x14ac:dyDescent="0.2">
      <c r="B3087" s="1">
        <v>3072</v>
      </c>
      <c r="C3087" s="106">
        <f ca="1"/>
        <v>0.93157256624759632</v>
      </c>
      <c r="D3087" s="106">
        <f t="shared" ca="1" si="180"/>
        <v>0.72845779442948988</v>
      </c>
      <c r="E3087" s="106">
        <f t="shared" ca="1" si="181"/>
        <v>0</v>
      </c>
      <c r="F3087" s="21">
        <f t="shared" ca="1" si="182"/>
        <v>0</v>
      </c>
      <c r="H3087" s="21">
        <v>3072</v>
      </c>
      <c r="I3087" s="107">
        <v>0.66780082301157273</v>
      </c>
      <c r="J3087" s="108">
        <v>1.3484454295512943E-3</v>
      </c>
      <c r="K3087" s="108"/>
      <c r="L3087" s="108">
        <v>4.4200000000000003E-2</v>
      </c>
      <c r="O3087" s="105"/>
    </row>
    <row r="3088" spans="2:15" x14ac:dyDescent="0.2">
      <c r="B3088" s="1">
        <v>3073</v>
      </c>
      <c r="C3088" s="106">
        <f ca="1"/>
        <v>-0.1670864354153434</v>
      </c>
      <c r="D3088" s="106">
        <f t="shared" ref="D3088:D3151" ca="1" si="183">S0*EXP((μ-0.5*σ*σ)*T+σ*SQRT(T)*$C3088)</f>
        <v>0.65363984795684527</v>
      </c>
      <c r="E3088" s="106">
        <f t="shared" ref="E3088:E3151" ca="1" si="184">MAX(0,CP*(D3088-K))</f>
        <v>0</v>
      </c>
      <c r="F3088" s="21">
        <f t="shared" ref="F3088:F3151" ca="1" si="185">(CP*(D3088-K)&gt;0)*1</f>
        <v>0</v>
      </c>
      <c r="H3088" s="21">
        <v>3073</v>
      </c>
      <c r="I3088" s="107">
        <v>0.66781305645820277</v>
      </c>
      <c r="J3088" s="108">
        <v>1.5176870982978972E-3</v>
      </c>
      <c r="K3088" s="108"/>
      <c r="L3088" s="108">
        <v>4.3400000000000001E-2</v>
      </c>
      <c r="O3088" s="105"/>
    </row>
    <row r="3089" spans="2:15" x14ac:dyDescent="0.2">
      <c r="B3089" s="1">
        <v>3074</v>
      </c>
      <c r="C3089" s="106">
        <f ca="1"/>
        <v>0.25286488802394297</v>
      </c>
      <c r="D3089" s="106">
        <f t="shared" ca="1" si="183"/>
        <v>0.68128523372877303</v>
      </c>
      <c r="E3089" s="106">
        <f t="shared" ca="1" si="184"/>
        <v>0</v>
      </c>
      <c r="F3089" s="21">
        <f t="shared" ca="1" si="185"/>
        <v>0</v>
      </c>
      <c r="H3089" s="21">
        <v>3074</v>
      </c>
      <c r="I3089" s="107">
        <v>0.66774711673146769</v>
      </c>
      <c r="J3089" s="108">
        <v>1.2554523493117963E-3</v>
      </c>
      <c r="K3089" s="108"/>
      <c r="L3089" s="108">
        <v>4.24E-2</v>
      </c>
      <c r="O3089" s="105"/>
    </row>
    <row r="3090" spans="2:15" x14ac:dyDescent="0.2">
      <c r="B3090" s="1">
        <v>3075</v>
      </c>
      <c r="C3090" s="106">
        <f ca="1"/>
        <v>2.2866157072231208</v>
      </c>
      <c r="D3090" s="106">
        <f t="shared" ca="1" si="183"/>
        <v>0.832632976773515</v>
      </c>
      <c r="E3090" s="106">
        <f t="shared" ca="1" si="184"/>
        <v>4.4432976773514987E-2</v>
      </c>
      <c r="F3090" s="21">
        <f t="shared" ca="1" si="185"/>
        <v>1</v>
      </c>
      <c r="H3090" s="21">
        <v>3075</v>
      </c>
      <c r="I3090" s="107">
        <v>0.66772975183350824</v>
      </c>
      <c r="J3090" s="108">
        <v>1.3260041641202402E-3</v>
      </c>
      <c r="K3090" s="108"/>
      <c r="L3090" s="108">
        <v>4.3799999999999999E-2</v>
      </c>
      <c r="O3090" s="105"/>
    </row>
    <row r="3091" spans="2:15" x14ac:dyDescent="0.2">
      <c r="B3091" s="1">
        <v>3076</v>
      </c>
      <c r="C3091" s="106">
        <f ca="1"/>
        <v>-0.43355651171247511</v>
      </c>
      <c r="D3091" s="106">
        <f t="shared" ca="1" si="183"/>
        <v>0.6366827838314465</v>
      </c>
      <c r="E3091" s="106">
        <f t="shared" ca="1" si="184"/>
        <v>0</v>
      </c>
      <c r="F3091" s="21">
        <f t="shared" ca="1" si="185"/>
        <v>0</v>
      </c>
      <c r="H3091" s="21">
        <v>3076</v>
      </c>
      <c r="I3091" s="107">
        <v>0.66784098767264954</v>
      </c>
      <c r="J3091" s="108">
        <v>1.3741799243175595E-3</v>
      </c>
      <c r="K3091" s="108"/>
      <c r="L3091" s="108">
        <v>4.0599999999999997E-2</v>
      </c>
      <c r="O3091" s="105"/>
    </row>
    <row r="3092" spans="2:15" x14ac:dyDescent="0.2">
      <c r="B3092" s="1">
        <v>3077</v>
      </c>
      <c r="C3092" s="106">
        <f ca="1"/>
        <v>-1.0360304966514085</v>
      </c>
      <c r="D3092" s="106">
        <f t="shared" ca="1" si="183"/>
        <v>0.59994783775183025</v>
      </c>
      <c r="E3092" s="106">
        <f t="shared" ca="1" si="184"/>
        <v>0</v>
      </c>
      <c r="F3092" s="21">
        <f t="shared" ca="1" si="185"/>
        <v>0</v>
      </c>
      <c r="H3092" s="21">
        <v>3077</v>
      </c>
      <c r="I3092" s="107">
        <v>0.66777293659517667</v>
      </c>
      <c r="J3092" s="108">
        <v>1.2972557174893682E-3</v>
      </c>
      <c r="K3092" s="108"/>
      <c r="L3092" s="108">
        <v>4.1399999999999999E-2</v>
      </c>
      <c r="O3092" s="105"/>
    </row>
    <row r="3093" spans="2:15" x14ac:dyDescent="0.2">
      <c r="B3093" s="1">
        <v>3078</v>
      </c>
      <c r="C3093" s="106">
        <f ca="1"/>
        <v>-0.29300069677266555</v>
      </c>
      <c r="D3093" s="106">
        <f t="shared" ca="1" si="183"/>
        <v>0.64557162130325618</v>
      </c>
      <c r="E3093" s="106">
        <f t="shared" ca="1" si="184"/>
        <v>0</v>
      </c>
      <c r="F3093" s="21">
        <f t="shared" ca="1" si="185"/>
        <v>0</v>
      </c>
      <c r="H3093" s="21">
        <v>3078</v>
      </c>
      <c r="I3093" s="107">
        <v>0.66763751490298029</v>
      </c>
      <c r="J3093" s="108">
        <v>1.3263379226780571E-3</v>
      </c>
      <c r="K3093" s="108"/>
      <c r="L3093" s="108">
        <v>4.2000000000000003E-2</v>
      </c>
      <c r="O3093" s="105"/>
    </row>
    <row r="3094" spans="2:15" x14ac:dyDescent="0.2">
      <c r="B3094" s="1">
        <v>3079</v>
      </c>
      <c r="C3094" s="106">
        <f ca="1"/>
        <v>1.3279349791304706</v>
      </c>
      <c r="D3094" s="106">
        <f t="shared" ca="1" si="183"/>
        <v>0.75750292817477716</v>
      </c>
      <c r="E3094" s="106">
        <f t="shared" ca="1" si="184"/>
        <v>0</v>
      </c>
      <c r="F3094" s="21">
        <f t="shared" ca="1" si="185"/>
        <v>0</v>
      </c>
      <c r="H3094" s="21">
        <v>3079</v>
      </c>
      <c r="I3094" s="107">
        <v>0.6676927572362592</v>
      </c>
      <c r="J3094" s="108">
        <v>1.4111778610888231E-3</v>
      </c>
      <c r="K3094" s="108"/>
      <c r="L3094" s="108">
        <v>4.24E-2</v>
      </c>
      <c r="O3094" s="105"/>
    </row>
    <row r="3095" spans="2:15" x14ac:dyDescent="0.2">
      <c r="B3095" s="1">
        <v>3080</v>
      </c>
      <c r="C3095" s="106">
        <f ca="1"/>
        <v>0.22047275434999222</v>
      </c>
      <c r="D3095" s="106">
        <f t="shared" ca="1" si="183"/>
        <v>0.6791118631284927</v>
      </c>
      <c r="E3095" s="106">
        <f t="shared" ca="1" si="184"/>
        <v>0</v>
      </c>
      <c r="F3095" s="21">
        <f t="shared" ca="1" si="185"/>
        <v>0</v>
      </c>
      <c r="H3095" s="21">
        <v>3080</v>
      </c>
      <c r="I3095" s="107">
        <v>0.6676680737334828</v>
      </c>
      <c r="J3095" s="108">
        <v>1.2796090988055867E-3</v>
      </c>
      <c r="K3095" s="108"/>
      <c r="L3095" s="108">
        <v>4.0599999999999997E-2</v>
      </c>
      <c r="O3095" s="105"/>
    </row>
    <row r="3096" spans="2:15" x14ac:dyDescent="0.2">
      <c r="B3096" s="1">
        <v>3081</v>
      </c>
      <c r="C3096" s="106">
        <f ca="1"/>
        <v>0.46124238982441823</v>
      </c>
      <c r="D3096" s="106">
        <f t="shared" ca="1" si="183"/>
        <v>0.69543371195842185</v>
      </c>
      <c r="E3096" s="106">
        <f t="shared" ca="1" si="184"/>
        <v>0</v>
      </c>
      <c r="F3096" s="21">
        <f t="shared" ca="1" si="185"/>
        <v>0</v>
      </c>
      <c r="H3096" s="21">
        <v>3081</v>
      </c>
      <c r="I3096" s="107">
        <v>0.66773771920434211</v>
      </c>
      <c r="J3096" s="108">
        <v>1.4013322465594111E-3</v>
      </c>
      <c r="K3096" s="108"/>
      <c r="L3096" s="108">
        <v>4.1000000000000002E-2</v>
      </c>
      <c r="O3096" s="105"/>
    </row>
    <row r="3097" spans="2:15" x14ac:dyDescent="0.2">
      <c r="B3097" s="1">
        <v>3082</v>
      </c>
      <c r="C3097" s="106">
        <f ca="1"/>
        <v>0.77306967960924533</v>
      </c>
      <c r="D3097" s="106">
        <f t="shared" ca="1" si="183"/>
        <v>0.71715697822376523</v>
      </c>
      <c r="E3097" s="106">
        <f t="shared" ca="1" si="184"/>
        <v>0</v>
      </c>
      <c r="F3097" s="21">
        <f t="shared" ca="1" si="185"/>
        <v>0</v>
      </c>
      <c r="H3097" s="21">
        <v>3082</v>
      </c>
      <c r="I3097" s="107">
        <v>0.66772363230738641</v>
      </c>
      <c r="J3097" s="108">
        <v>1.2076314667340813E-3</v>
      </c>
      <c r="K3097" s="108"/>
      <c r="L3097" s="108">
        <v>4.0599999999999997E-2</v>
      </c>
      <c r="O3097" s="105"/>
    </row>
    <row r="3098" spans="2:15" x14ac:dyDescent="0.2">
      <c r="B3098" s="1">
        <v>3083</v>
      </c>
      <c r="C3098" s="106">
        <f ca="1"/>
        <v>2.0559724254986662</v>
      </c>
      <c r="D3098" s="106">
        <f t="shared" ca="1" si="183"/>
        <v>0.81390364102034285</v>
      </c>
      <c r="E3098" s="106">
        <f t="shared" ca="1" si="184"/>
        <v>2.5703641020342838E-2</v>
      </c>
      <c r="F3098" s="21">
        <f t="shared" ca="1" si="185"/>
        <v>1</v>
      </c>
      <c r="H3098" s="21">
        <v>3083</v>
      </c>
      <c r="I3098" s="107">
        <v>0.66778426944319014</v>
      </c>
      <c r="J3098" s="108">
        <v>1.3690225306869318E-3</v>
      </c>
      <c r="K3098" s="108"/>
      <c r="L3098" s="108">
        <v>4.2200000000000001E-2</v>
      </c>
      <c r="O3098" s="105"/>
    </row>
    <row r="3099" spans="2:15" x14ac:dyDescent="0.2">
      <c r="B3099" s="1">
        <v>3084</v>
      </c>
      <c r="C3099" s="106">
        <f ca="1"/>
        <v>0.19866383839903515</v>
      </c>
      <c r="D3099" s="106">
        <f t="shared" ca="1" si="183"/>
        <v>0.67765248699362335</v>
      </c>
      <c r="E3099" s="106">
        <f t="shared" ca="1" si="184"/>
        <v>0</v>
      </c>
      <c r="F3099" s="21">
        <f t="shared" ca="1" si="185"/>
        <v>0</v>
      </c>
      <c r="H3099" s="21">
        <v>3084</v>
      </c>
      <c r="I3099" s="107">
        <v>0.66773410543806533</v>
      </c>
      <c r="J3099" s="108">
        <v>1.2874332697233736E-3</v>
      </c>
      <c r="K3099" s="108"/>
      <c r="L3099" s="108">
        <v>4.24E-2</v>
      </c>
      <c r="O3099" s="105"/>
    </row>
    <row r="3100" spans="2:15" x14ac:dyDescent="0.2">
      <c r="B3100" s="1">
        <v>3085</v>
      </c>
      <c r="C3100" s="106">
        <f ca="1"/>
        <v>-1.7035935098201196</v>
      </c>
      <c r="D3100" s="106">
        <f t="shared" ca="1" si="183"/>
        <v>0.56171433149030436</v>
      </c>
      <c r="E3100" s="106">
        <f t="shared" ca="1" si="184"/>
        <v>0</v>
      </c>
      <c r="F3100" s="21">
        <f t="shared" ca="1" si="185"/>
        <v>0</v>
      </c>
      <c r="H3100" s="21">
        <v>3085</v>
      </c>
      <c r="I3100" s="107">
        <v>0.6677274413965667</v>
      </c>
      <c r="J3100" s="108">
        <v>1.3775101652743515E-3</v>
      </c>
      <c r="K3100" s="108"/>
      <c r="L3100" s="108">
        <v>4.3999999999999997E-2</v>
      </c>
      <c r="O3100" s="105"/>
    </row>
    <row r="3101" spans="2:15" x14ac:dyDescent="0.2">
      <c r="B3101" s="1">
        <v>3086</v>
      </c>
      <c r="C3101" s="106">
        <f ca="1"/>
        <v>-0.1247011572967818</v>
      </c>
      <c r="D3101" s="106">
        <f t="shared" ca="1" si="183"/>
        <v>0.65637839782731067</v>
      </c>
      <c r="E3101" s="106">
        <f t="shared" ca="1" si="184"/>
        <v>0</v>
      </c>
      <c r="F3101" s="21">
        <f t="shared" ca="1" si="185"/>
        <v>0</v>
      </c>
      <c r="H3101" s="21">
        <v>3086</v>
      </c>
      <c r="I3101" s="107">
        <v>0.66769565014653287</v>
      </c>
      <c r="J3101" s="108">
        <v>1.2295024443676318E-3</v>
      </c>
      <c r="K3101" s="108"/>
      <c r="L3101" s="108">
        <v>4.0399999999999998E-2</v>
      </c>
      <c r="O3101" s="105"/>
    </row>
    <row r="3102" spans="2:15" x14ac:dyDescent="0.2">
      <c r="B3102" s="1">
        <v>3087</v>
      </c>
      <c r="C3102" s="106">
        <f ca="1"/>
        <v>-9.513456410944493E-2</v>
      </c>
      <c r="D3102" s="106">
        <f t="shared" ca="1" si="183"/>
        <v>0.65829551177643764</v>
      </c>
      <c r="E3102" s="106">
        <f t="shared" ca="1" si="184"/>
        <v>0</v>
      </c>
      <c r="F3102" s="21">
        <f t="shared" ca="1" si="185"/>
        <v>0</v>
      </c>
      <c r="H3102" s="21">
        <v>3087</v>
      </c>
      <c r="I3102" s="107">
        <v>0.66796588191618522</v>
      </c>
      <c r="J3102" s="108">
        <v>1.6960063646497027E-3</v>
      </c>
      <c r="K3102" s="108"/>
      <c r="L3102" s="108">
        <v>4.7399999999999998E-2</v>
      </c>
      <c r="O3102" s="105"/>
    </row>
    <row r="3103" spans="2:15" x14ac:dyDescent="0.2">
      <c r="B3103" s="1">
        <v>3088</v>
      </c>
      <c r="C3103" s="106">
        <f ca="1"/>
        <v>-0.63041530269795665</v>
      </c>
      <c r="D3103" s="106">
        <f t="shared" ca="1" si="183"/>
        <v>0.62443868040396511</v>
      </c>
      <c r="E3103" s="106">
        <f t="shared" ca="1" si="184"/>
        <v>0</v>
      </c>
      <c r="F3103" s="21">
        <f t="shared" ca="1" si="185"/>
        <v>0</v>
      </c>
      <c r="H3103" s="21">
        <v>3088</v>
      </c>
      <c r="I3103" s="107">
        <v>0.66775161890331047</v>
      </c>
      <c r="J3103" s="108">
        <v>1.5250227817138315E-3</v>
      </c>
      <c r="K3103" s="108"/>
      <c r="L3103" s="108">
        <v>4.48E-2</v>
      </c>
      <c r="O3103" s="105"/>
    </row>
    <row r="3104" spans="2:15" x14ac:dyDescent="0.2">
      <c r="B3104" s="1">
        <v>3089</v>
      </c>
      <c r="C3104" s="106">
        <f ca="1"/>
        <v>2.8014555712416424E-2</v>
      </c>
      <c r="D3104" s="106">
        <f t="shared" ca="1" si="183"/>
        <v>0.66634098499253236</v>
      </c>
      <c r="E3104" s="106">
        <f t="shared" ca="1" si="184"/>
        <v>0</v>
      </c>
      <c r="F3104" s="21">
        <f t="shared" ca="1" si="185"/>
        <v>0</v>
      </c>
      <c r="H3104" s="21">
        <v>3089</v>
      </c>
      <c r="I3104" s="107">
        <v>0.66781643016486791</v>
      </c>
      <c r="J3104" s="108">
        <v>1.323427465922877E-3</v>
      </c>
      <c r="K3104" s="108"/>
      <c r="L3104" s="108">
        <v>4.4999999999999998E-2</v>
      </c>
      <c r="O3104" s="105"/>
    </row>
    <row r="3105" spans="2:15" x14ac:dyDescent="0.2">
      <c r="B3105" s="1">
        <v>3090</v>
      </c>
      <c r="C3105" s="106">
        <f ca="1"/>
        <v>1.3909714096884305</v>
      </c>
      <c r="D3105" s="106">
        <f t="shared" ca="1" si="183"/>
        <v>0.76222775342325666</v>
      </c>
      <c r="E3105" s="106">
        <f t="shared" ca="1" si="184"/>
        <v>0</v>
      </c>
      <c r="F3105" s="21">
        <f t="shared" ca="1" si="185"/>
        <v>0</v>
      </c>
      <c r="H3105" s="21">
        <v>3090</v>
      </c>
      <c r="I3105" s="107">
        <v>0.66783271267024202</v>
      </c>
      <c r="J3105" s="108">
        <v>1.5754018978319853E-3</v>
      </c>
      <c r="K3105" s="108"/>
      <c r="L3105" s="108">
        <v>4.58E-2</v>
      </c>
      <c r="O3105" s="105"/>
    </row>
    <row r="3106" spans="2:15" x14ac:dyDescent="0.2">
      <c r="B3106" s="1">
        <v>3091</v>
      </c>
      <c r="C3106" s="106">
        <f ca="1"/>
        <v>-0.47278667943577724</v>
      </c>
      <c r="D3106" s="106">
        <f t="shared" ca="1" si="183"/>
        <v>0.63422376335611641</v>
      </c>
      <c r="E3106" s="106">
        <f t="shared" ca="1" si="184"/>
        <v>0</v>
      </c>
      <c r="F3106" s="21">
        <f t="shared" ca="1" si="185"/>
        <v>0</v>
      </c>
      <c r="H3106" s="21">
        <v>3091</v>
      </c>
      <c r="I3106" s="107">
        <v>0.6677686299931036</v>
      </c>
      <c r="J3106" s="108">
        <v>1.3440356246681748E-3</v>
      </c>
      <c r="K3106" s="108"/>
      <c r="L3106" s="108">
        <v>4.2200000000000001E-2</v>
      </c>
      <c r="O3106" s="105"/>
    </row>
    <row r="3107" spans="2:15" x14ac:dyDescent="0.2">
      <c r="B3107" s="1">
        <v>3092</v>
      </c>
      <c r="C3107" s="106">
        <f ca="1"/>
        <v>-0.35501452737022843</v>
      </c>
      <c r="D3107" s="106">
        <f t="shared" ca="1" si="183"/>
        <v>0.64163463186063785</v>
      </c>
      <c r="E3107" s="106">
        <f t="shared" ca="1" si="184"/>
        <v>0</v>
      </c>
      <c r="F3107" s="21">
        <f t="shared" ca="1" si="185"/>
        <v>0</v>
      </c>
      <c r="H3107" s="21">
        <v>3092</v>
      </c>
      <c r="I3107" s="107">
        <v>0.667677862716475</v>
      </c>
      <c r="J3107" s="108">
        <v>1.3383239857679217E-3</v>
      </c>
      <c r="K3107" s="108"/>
      <c r="L3107" s="108">
        <v>3.8800000000000001E-2</v>
      </c>
      <c r="O3107" s="105"/>
    </row>
    <row r="3108" spans="2:15" x14ac:dyDescent="0.2">
      <c r="B3108" s="1">
        <v>3093</v>
      </c>
      <c r="C3108" s="106">
        <f ca="1"/>
        <v>-0.51817826564162961</v>
      </c>
      <c r="D3108" s="106">
        <f t="shared" ca="1" si="183"/>
        <v>0.6313903831254597</v>
      </c>
      <c r="E3108" s="106">
        <f t="shared" ca="1" si="184"/>
        <v>0</v>
      </c>
      <c r="F3108" s="21">
        <f t="shared" ca="1" si="185"/>
        <v>0</v>
      </c>
      <c r="H3108" s="21">
        <v>3093</v>
      </c>
      <c r="I3108" s="107">
        <v>0.66769151195736187</v>
      </c>
      <c r="J3108" s="108">
        <v>1.3678998239075597E-3</v>
      </c>
      <c r="K3108" s="108"/>
      <c r="L3108" s="108">
        <v>4.1000000000000002E-2</v>
      </c>
      <c r="O3108" s="105"/>
    </row>
    <row r="3109" spans="2:15" x14ac:dyDescent="0.2">
      <c r="B3109" s="1">
        <v>3094</v>
      </c>
      <c r="C3109" s="106">
        <f ca="1"/>
        <v>-0.80879603174972714</v>
      </c>
      <c r="D3109" s="106">
        <f t="shared" ca="1" si="183"/>
        <v>0.61354733892391344</v>
      </c>
      <c r="E3109" s="106">
        <f t="shared" ca="1" si="184"/>
        <v>0</v>
      </c>
      <c r="F3109" s="21">
        <f t="shared" ca="1" si="185"/>
        <v>0</v>
      </c>
      <c r="H3109" s="21">
        <v>3094</v>
      </c>
      <c r="I3109" s="107">
        <v>0.66780143973533956</v>
      </c>
      <c r="J3109" s="108">
        <v>1.4566639114332238E-3</v>
      </c>
      <c r="K3109" s="108"/>
      <c r="L3109" s="108">
        <v>3.9399999999999998E-2</v>
      </c>
      <c r="O3109" s="105"/>
    </row>
    <row r="3110" spans="2:15" x14ac:dyDescent="0.2">
      <c r="B3110" s="1">
        <v>3095</v>
      </c>
      <c r="C3110" s="106">
        <f ca="1"/>
        <v>1.2324750806128009</v>
      </c>
      <c r="D3110" s="106">
        <f t="shared" ca="1" si="183"/>
        <v>0.75040353762957168</v>
      </c>
      <c r="E3110" s="106">
        <f t="shared" ca="1" si="184"/>
        <v>0</v>
      </c>
      <c r="F3110" s="21">
        <f t="shared" ca="1" si="185"/>
        <v>0</v>
      </c>
      <c r="H3110" s="21">
        <v>3095</v>
      </c>
      <c r="I3110" s="107">
        <v>0.66779141618634197</v>
      </c>
      <c r="J3110" s="108">
        <v>1.3750195890082286E-3</v>
      </c>
      <c r="K3110" s="108"/>
      <c r="L3110" s="108">
        <v>4.5999999999999999E-2</v>
      </c>
      <c r="O3110" s="105"/>
    </row>
    <row r="3111" spans="2:15" x14ac:dyDescent="0.2">
      <c r="B3111" s="1">
        <v>3096</v>
      </c>
      <c r="C3111" s="106">
        <f ca="1"/>
        <v>-1.5791380680791731</v>
      </c>
      <c r="D3111" s="106">
        <f t="shared" ca="1" si="183"/>
        <v>0.56865269133973317</v>
      </c>
      <c r="E3111" s="106">
        <f t="shared" ca="1" si="184"/>
        <v>0</v>
      </c>
      <c r="F3111" s="21">
        <f t="shared" ca="1" si="185"/>
        <v>0</v>
      </c>
      <c r="H3111" s="21">
        <v>3096</v>
      </c>
      <c r="I3111" s="107">
        <v>0.66762761608655796</v>
      </c>
      <c r="J3111" s="108">
        <v>1.0850533911766845E-3</v>
      </c>
      <c r="K3111" s="108"/>
      <c r="L3111" s="108">
        <v>3.6200000000000003E-2</v>
      </c>
      <c r="O3111" s="105"/>
    </row>
    <row r="3112" spans="2:15" x14ac:dyDescent="0.2">
      <c r="B3112" s="1">
        <v>3097</v>
      </c>
      <c r="C3112" s="106">
        <f ca="1"/>
        <v>-0.76651157401644077</v>
      </c>
      <c r="D3112" s="106">
        <f t="shared" ca="1" si="183"/>
        <v>0.6161117862190294</v>
      </c>
      <c r="E3112" s="106">
        <f t="shared" ca="1" si="184"/>
        <v>0</v>
      </c>
      <c r="F3112" s="21">
        <f t="shared" ca="1" si="185"/>
        <v>0</v>
      </c>
      <c r="H3112" s="21">
        <v>3097</v>
      </c>
      <c r="I3112" s="107">
        <v>0.66779006887811754</v>
      </c>
      <c r="J3112" s="108">
        <v>1.5801980578981822E-3</v>
      </c>
      <c r="K3112" s="108"/>
      <c r="L3112" s="108">
        <v>3.8800000000000001E-2</v>
      </c>
      <c r="O3112" s="105"/>
    </row>
    <row r="3113" spans="2:15" x14ac:dyDescent="0.2">
      <c r="B3113" s="1">
        <v>3098</v>
      </c>
      <c r="C3113" s="106">
        <f ca="1"/>
        <v>-1.606128274203797</v>
      </c>
      <c r="D3113" s="106">
        <f t="shared" ca="1" si="183"/>
        <v>0.56714075255706242</v>
      </c>
      <c r="E3113" s="106">
        <f t="shared" ca="1" si="184"/>
        <v>0</v>
      </c>
      <c r="F3113" s="21">
        <f t="shared" ca="1" si="185"/>
        <v>0</v>
      </c>
      <c r="H3113" s="21">
        <v>3098</v>
      </c>
      <c r="I3113" s="107">
        <v>0.66771061917213681</v>
      </c>
      <c r="J3113" s="108">
        <v>1.3755729761819144E-3</v>
      </c>
      <c r="K3113" s="108"/>
      <c r="L3113" s="108">
        <v>4.1200000000000001E-2</v>
      </c>
      <c r="O3113" s="105"/>
    </row>
    <row r="3114" spans="2:15" x14ac:dyDescent="0.2">
      <c r="B3114" s="1">
        <v>3099</v>
      </c>
      <c r="C3114" s="106">
        <f ca="1"/>
        <v>-0.50266570166255076</v>
      </c>
      <c r="D3114" s="106">
        <f t="shared" ca="1" si="183"/>
        <v>0.63235726354602817</v>
      </c>
      <c r="E3114" s="106">
        <f t="shared" ca="1" si="184"/>
        <v>0</v>
      </c>
      <c r="F3114" s="21">
        <f t="shared" ca="1" si="185"/>
        <v>0</v>
      </c>
      <c r="H3114" s="21">
        <v>3099</v>
      </c>
      <c r="I3114" s="107">
        <v>0.66780949983698845</v>
      </c>
      <c r="J3114" s="108">
        <v>1.3698290606050983E-3</v>
      </c>
      <c r="K3114" s="108"/>
      <c r="L3114" s="108">
        <v>4.4200000000000003E-2</v>
      </c>
      <c r="O3114" s="105"/>
    </row>
    <row r="3115" spans="2:15" x14ac:dyDescent="0.2">
      <c r="B3115" s="1">
        <v>3100</v>
      </c>
      <c r="C3115" s="106">
        <f ca="1"/>
        <v>0.95809547056287525</v>
      </c>
      <c r="D3115" s="106">
        <f t="shared" ca="1" si="183"/>
        <v>0.73036612061696482</v>
      </c>
      <c r="E3115" s="106">
        <f t="shared" ca="1" si="184"/>
        <v>0</v>
      </c>
      <c r="F3115" s="21">
        <f t="shared" ca="1" si="185"/>
        <v>0</v>
      </c>
      <c r="H3115" s="21">
        <v>3100</v>
      </c>
      <c r="I3115" s="107">
        <v>0.6677114196542393</v>
      </c>
      <c r="J3115" s="108">
        <v>1.3200467523097285E-3</v>
      </c>
      <c r="K3115" s="108"/>
      <c r="L3115" s="108">
        <v>4.24E-2</v>
      </c>
      <c r="O3115" s="105"/>
    </row>
    <row r="3116" spans="2:15" x14ac:dyDescent="0.2">
      <c r="B3116" s="1">
        <v>3101</v>
      </c>
      <c r="C3116" s="106">
        <f ca="1"/>
        <v>3.262366223959938E-2</v>
      </c>
      <c r="D3116" s="106">
        <f t="shared" ca="1" si="183"/>
        <v>0.66664400471934071</v>
      </c>
      <c r="E3116" s="106">
        <f t="shared" ca="1" si="184"/>
        <v>0</v>
      </c>
      <c r="F3116" s="21">
        <f t="shared" ca="1" si="185"/>
        <v>0</v>
      </c>
      <c r="H3116" s="21">
        <v>3101</v>
      </c>
      <c r="I3116" s="107">
        <v>0.66780464028728415</v>
      </c>
      <c r="J3116" s="108">
        <v>1.2717903076818477E-3</v>
      </c>
      <c r="K3116" s="108"/>
      <c r="L3116" s="108">
        <v>4.24E-2</v>
      </c>
      <c r="O3116" s="105"/>
    </row>
    <row r="3117" spans="2:15" x14ac:dyDescent="0.2">
      <c r="B3117" s="1">
        <v>3102</v>
      </c>
      <c r="C3117" s="106">
        <f ca="1"/>
        <v>-1.655344414546053</v>
      </c>
      <c r="D3117" s="106">
        <f t="shared" ca="1" si="183"/>
        <v>0.56439410117677191</v>
      </c>
      <c r="E3117" s="106">
        <f t="shared" ca="1" si="184"/>
        <v>0</v>
      </c>
      <c r="F3117" s="21">
        <f t="shared" ca="1" si="185"/>
        <v>0</v>
      </c>
      <c r="H3117" s="21">
        <v>3102</v>
      </c>
      <c r="I3117" s="107">
        <v>0.66764087384224335</v>
      </c>
      <c r="J3117" s="108">
        <v>1.2726962731463211E-3</v>
      </c>
      <c r="K3117" s="108"/>
      <c r="L3117" s="108">
        <v>3.8600000000000002E-2</v>
      </c>
      <c r="O3117" s="105"/>
    </row>
    <row r="3118" spans="2:15" x14ac:dyDescent="0.2">
      <c r="B3118" s="1">
        <v>3103</v>
      </c>
      <c r="C3118" s="106">
        <f ca="1"/>
        <v>4.2493593896434541E-2</v>
      </c>
      <c r="D3118" s="106">
        <f t="shared" ca="1" si="183"/>
        <v>0.66729335413181556</v>
      </c>
      <c r="E3118" s="106">
        <f t="shared" ca="1" si="184"/>
        <v>0</v>
      </c>
      <c r="F3118" s="21">
        <f t="shared" ca="1" si="185"/>
        <v>0</v>
      </c>
      <c r="H3118" s="21">
        <v>3103</v>
      </c>
      <c r="I3118" s="107">
        <v>0.66784583555421051</v>
      </c>
      <c r="J3118" s="108">
        <v>1.4539117009612498E-3</v>
      </c>
      <c r="K3118" s="108"/>
      <c r="L3118" s="108">
        <v>4.2999999999999997E-2</v>
      </c>
      <c r="O3118" s="105"/>
    </row>
    <row r="3119" spans="2:15" x14ac:dyDescent="0.2">
      <c r="B3119" s="1">
        <v>3104</v>
      </c>
      <c r="C3119" s="106">
        <f ca="1"/>
        <v>-1.7224772076508719</v>
      </c>
      <c r="D3119" s="106">
        <f t="shared" ca="1" si="183"/>
        <v>0.56066899279394355</v>
      </c>
      <c r="E3119" s="106">
        <f t="shared" ca="1" si="184"/>
        <v>0</v>
      </c>
      <c r="F3119" s="21">
        <f t="shared" ca="1" si="185"/>
        <v>0</v>
      </c>
      <c r="H3119" s="21">
        <v>3104</v>
      </c>
      <c r="I3119" s="107">
        <v>0.66780720554852291</v>
      </c>
      <c r="J3119" s="108">
        <v>1.5614831746513006E-3</v>
      </c>
      <c r="K3119" s="108"/>
      <c r="L3119" s="108">
        <v>4.3999999999999997E-2</v>
      </c>
      <c r="O3119" s="105"/>
    </row>
    <row r="3120" spans="2:15" x14ac:dyDescent="0.2">
      <c r="B3120" s="1">
        <v>3105</v>
      </c>
      <c r="C3120" s="106">
        <f ca="1"/>
        <v>-0.8786582736761851</v>
      </c>
      <c r="D3120" s="106">
        <f t="shared" ca="1" si="183"/>
        <v>0.60933373288776249</v>
      </c>
      <c r="E3120" s="106">
        <f t="shared" ca="1" si="184"/>
        <v>0</v>
      </c>
      <c r="F3120" s="21">
        <f t="shared" ca="1" si="185"/>
        <v>0</v>
      </c>
      <c r="H3120" s="21">
        <v>3105</v>
      </c>
      <c r="I3120" s="107">
        <v>0.66769862448606432</v>
      </c>
      <c r="J3120" s="108">
        <v>1.3285273722769937E-3</v>
      </c>
      <c r="K3120" s="108"/>
      <c r="L3120" s="108">
        <v>3.8199999999999998E-2</v>
      </c>
      <c r="O3120" s="105"/>
    </row>
    <row r="3121" spans="2:15" x14ac:dyDescent="0.2">
      <c r="B3121" s="1">
        <v>3106</v>
      </c>
      <c r="C3121" s="106">
        <f ca="1"/>
        <v>0.8242337153488859</v>
      </c>
      <c r="D3121" s="106">
        <f t="shared" ca="1" si="183"/>
        <v>0.72078553816499713</v>
      </c>
      <c r="E3121" s="106">
        <f t="shared" ca="1" si="184"/>
        <v>0</v>
      </c>
      <c r="F3121" s="21">
        <f t="shared" ca="1" si="185"/>
        <v>0</v>
      </c>
      <c r="H3121" s="21">
        <v>3106</v>
      </c>
      <c r="I3121" s="107">
        <v>0.66776610805180636</v>
      </c>
      <c r="J3121" s="108">
        <v>1.4091077804438824E-3</v>
      </c>
      <c r="K3121" s="108"/>
      <c r="L3121" s="108">
        <v>4.4400000000000002E-2</v>
      </c>
      <c r="O3121" s="105"/>
    </row>
    <row r="3122" spans="2:15" x14ac:dyDescent="0.2">
      <c r="B3122" s="1">
        <v>3107</v>
      </c>
      <c r="C3122" s="106">
        <f ca="1"/>
        <v>0.75210299222672572</v>
      </c>
      <c r="D3122" s="106">
        <f t="shared" ca="1" si="183"/>
        <v>0.71567529990297085</v>
      </c>
      <c r="E3122" s="106">
        <f t="shared" ca="1" si="184"/>
        <v>0</v>
      </c>
      <c r="F3122" s="21">
        <f t="shared" ca="1" si="185"/>
        <v>0</v>
      </c>
      <c r="H3122" s="21">
        <v>3107</v>
      </c>
      <c r="I3122" s="107">
        <v>0.6676799745502533</v>
      </c>
      <c r="J3122" s="108">
        <v>1.2199260620944484E-3</v>
      </c>
      <c r="K3122" s="108"/>
      <c r="L3122" s="108">
        <v>4.02E-2</v>
      </c>
      <c r="O3122" s="105"/>
    </row>
    <row r="3123" spans="2:15" x14ac:dyDescent="0.2">
      <c r="B3123" s="1">
        <v>3108</v>
      </c>
      <c r="C3123" s="106">
        <f ca="1"/>
        <v>-0.89524381644168072</v>
      </c>
      <c r="D3123" s="106">
        <f t="shared" ca="1" si="183"/>
        <v>0.60833766577359405</v>
      </c>
      <c r="E3123" s="106">
        <f t="shared" ca="1" si="184"/>
        <v>0</v>
      </c>
      <c r="F3123" s="21">
        <f t="shared" ca="1" si="185"/>
        <v>0</v>
      </c>
      <c r="H3123" s="21">
        <v>3108</v>
      </c>
      <c r="I3123" s="107">
        <v>0.667693946146797</v>
      </c>
      <c r="J3123" s="108">
        <v>1.2996201792756412E-3</v>
      </c>
      <c r="K3123" s="108"/>
      <c r="L3123" s="108">
        <v>4.0800000000000003E-2</v>
      </c>
      <c r="O3123" s="105"/>
    </row>
    <row r="3124" spans="2:15" x14ac:dyDescent="0.2">
      <c r="B3124" s="1">
        <v>3109</v>
      </c>
      <c r="C3124" s="106">
        <f ca="1"/>
        <v>-0.3469390663009837</v>
      </c>
      <c r="D3124" s="106">
        <f t="shared" ca="1" si="183"/>
        <v>0.64214594506766376</v>
      </c>
      <c r="E3124" s="106">
        <f t="shared" ca="1" si="184"/>
        <v>0</v>
      </c>
      <c r="F3124" s="21">
        <f t="shared" ca="1" si="185"/>
        <v>0</v>
      </c>
      <c r="H3124" s="21">
        <v>3109</v>
      </c>
      <c r="I3124" s="107">
        <v>0.66763416500090988</v>
      </c>
      <c r="J3124" s="108">
        <v>1.3458634063348354E-3</v>
      </c>
      <c r="K3124" s="108"/>
      <c r="L3124" s="108">
        <v>3.7199999999999997E-2</v>
      </c>
      <c r="O3124" s="105"/>
    </row>
    <row r="3125" spans="2:15" x14ac:dyDescent="0.2">
      <c r="B3125" s="1">
        <v>3110</v>
      </c>
      <c r="C3125" s="106">
        <f ca="1"/>
        <v>0.17109334032551027</v>
      </c>
      <c r="D3125" s="106">
        <f t="shared" ca="1" si="183"/>
        <v>0.67581205348695739</v>
      </c>
      <c r="E3125" s="106">
        <f t="shared" ca="1" si="184"/>
        <v>0</v>
      </c>
      <c r="F3125" s="21">
        <f t="shared" ca="1" si="185"/>
        <v>0</v>
      </c>
      <c r="H3125" s="21">
        <v>3110</v>
      </c>
      <c r="I3125" s="107">
        <v>0.66773698864634601</v>
      </c>
      <c r="J3125" s="108">
        <v>1.2569505022899546E-3</v>
      </c>
      <c r="K3125" s="108"/>
      <c r="L3125" s="108">
        <v>4.3999999999999997E-2</v>
      </c>
      <c r="O3125" s="105"/>
    </row>
    <row r="3126" spans="2:15" x14ac:dyDescent="0.2">
      <c r="B3126" s="1">
        <v>3111</v>
      </c>
      <c r="C3126" s="106">
        <f ca="1"/>
        <v>0.48533663098964847</v>
      </c>
      <c r="D3126" s="106">
        <f t="shared" ca="1" si="183"/>
        <v>0.69708850652739351</v>
      </c>
      <c r="E3126" s="106">
        <f t="shared" ca="1" si="184"/>
        <v>0</v>
      </c>
      <c r="F3126" s="21">
        <f t="shared" ca="1" si="185"/>
        <v>0</v>
      </c>
      <c r="H3126" s="21">
        <v>3111</v>
      </c>
      <c r="I3126" s="107">
        <v>0.66774584139424431</v>
      </c>
      <c r="J3126" s="108">
        <v>1.4593154778025955E-3</v>
      </c>
      <c r="K3126" s="108"/>
      <c r="L3126" s="108">
        <v>4.0599999999999997E-2</v>
      </c>
      <c r="O3126" s="105"/>
    </row>
    <row r="3127" spans="2:15" x14ac:dyDescent="0.2">
      <c r="B3127" s="1">
        <v>3112</v>
      </c>
      <c r="C3127" s="106">
        <f ca="1"/>
        <v>0.64246719404791186</v>
      </c>
      <c r="D3127" s="106">
        <f t="shared" ca="1" si="183"/>
        <v>0.70797724394937733</v>
      </c>
      <c r="E3127" s="106">
        <f t="shared" ca="1" si="184"/>
        <v>0</v>
      </c>
      <c r="F3127" s="21">
        <f t="shared" ca="1" si="185"/>
        <v>0</v>
      </c>
      <c r="H3127" s="21">
        <v>3112</v>
      </c>
      <c r="I3127" s="107">
        <v>0.66770780444355016</v>
      </c>
      <c r="J3127" s="108">
        <v>1.2885467079613506E-3</v>
      </c>
      <c r="K3127" s="108"/>
      <c r="L3127" s="108">
        <v>3.9600000000000003E-2</v>
      </c>
      <c r="O3127" s="105"/>
    </row>
    <row r="3128" spans="2:15" x14ac:dyDescent="0.2">
      <c r="B3128" s="1">
        <v>3113</v>
      </c>
      <c r="C3128" s="106">
        <f ca="1"/>
        <v>1.4038843152827076</v>
      </c>
      <c r="D3128" s="106">
        <f t="shared" ca="1" si="183"/>
        <v>0.76319925666520694</v>
      </c>
      <c r="E3128" s="106">
        <f t="shared" ca="1" si="184"/>
        <v>0</v>
      </c>
      <c r="F3128" s="21">
        <f t="shared" ca="1" si="185"/>
        <v>0</v>
      </c>
      <c r="H3128" s="21">
        <v>3113</v>
      </c>
      <c r="I3128" s="107">
        <v>0.66762932260207231</v>
      </c>
      <c r="J3128" s="108">
        <v>1.160959046520171E-3</v>
      </c>
      <c r="K3128" s="108"/>
      <c r="L3128" s="108">
        <v>3.9399999999999998E-2</v>
      </c>
      <c r="O3128" s="105"/>
    </row>
    <row r="3129" spans="2:15" x14ac:dyDescent="0.2">
      <c r="B3129" s="1">
        <v>3114</v>
      </c>
      <c r="C3129" s="106">
        <f ca="1"/>
        <v>0.51462080594849291</v>
      </c>
      <c r="D3129" s="106">
        <f t="shared" ca="1" si="183"/>
        <v>0.69910504830898601</v>
      </c>
      <c r="E3129" s="106">
        <f t="shared" ca="1" si="184"/>
        <v>0</v>
      </c>
      <c r="F3129" s="21">
        <f t="shared" ca="1" si="185"/>
        <v>0</v>
      </c>
      <c r="H3129" s="21">
        <v>3114</v>
      </c>
      <c r="I3129" s="107">
        <v>0.6677288398393243</v>
      </c>
      <c r="J3129" s="108">
        <v>1.4128109590257369E-3</v>
      </c>
      <c r="K3129" s="108"/>
      <c r="L3129" s="108">
        <v>4.2999999999999997E-2</v>
      </c>
      <c r="O3129" s="105"/>
    </row>
    <row r="3130" spans="2:15" x14ac:dyDescent="0.2">
      <c r="B3130" s="1">
        <v>3115</v>
      </c>
      <c r="C3130" s="106">
        <f ca="1"/>
        <v>1.7991056151495028</v>
      </c>
      <c r="D3130" s="106">
        <f t="shared" ca="1" si="183"/>
        <v>0.79354027843624042</v>
      </c>
      <c r="E3130" s="106">
        <f t="shared" ca="1" si="184"/>
        <v>5.3402784362404088E-3</v>
      </c>
      <c r="F3130" s="21">
        <f t="shared" ca="1" si="185"/>
        <v>1</v>
      </c>
      <c r="H3130" s="21">
        <v>3115</v>
      </c>
      <c r="I3130" s="107">
        <v>0.6678029641112968</v>
      </c>
      <c r="J3130" s="108">
        <v>1.5040351994241301E-3</v>
      </c>
      <c r="K3130" s="108"/>
      <c r="L3130" s="108">
        <v>3.9199999999999999E-2</v>
      </c>
      <c r="O3130" s="105"/>
    </row>
    <row r="3131" spans="2:15" x14ac:dyDescent="0.2">
      <c r="B3131" s="1">
        <v>3116</v>
      </c>
      <c r="C3131" s="106">
        <f ca="1"/>
        <v>1.9927996257682425</v>
      </c>
      <c r="D3131" s="106">
        <f t="shared" ca="1" si="183"/>
        <v>0.80884761177445541</v>
      </c>
      <c r="E3131" s="106">
        <f t="shared" ca="1" si="184"/>
        <v>2.0647611774455399E-2</v>
      </c>
      <c r="F3131" s="21">
        <f t="shared" ca="1" si="185"/>
        <v>1</v>
      </c>
      <c r="H3131" s="21">
        <v>3116</v>
      </c>
      <c r="I3131" s="107">
        <v>0.66776678513249954</v>
      </c>
      <c r="J3131" s="108">
        <v>1.4558033036820891E-3</v>
      </c>
      <c r="K3131" s="108"/>
      <c r="L3131" s="108">
        <v>4.2200000000000001E-2</v>
      </c>
      <c r="O3131" s="105"/>
    </row>
    <row r="3132" spans="2:15" x14ac:dyDescent="0.2">
      <c r="B3132" s="1">
        <v>3117</v>
      </c>
      <c r="C3132" s="106">
        <f ca="1"/>
        <v>-0.33483301304899871</v>
      </c>
      <c r="D3132" s="106">
        <f t="shared" ca="1" si="183"/>
        <v>0.64291322627052505</v>
      </c>
      <c r="E3132" s="106">
        <f t="shared" ca="1" si="184"/>
        <v>0</v>
      </c>
      <c r="F3132" s="21">
        <f t="shared" ca="1" si="185"/>
        <v>0</v>
      </c>
      <c r="H3132" s="21">
        <v>3117</v>
      </c>
      <c r="I3132" s="107">
        <v>0.66769914306456701</v>
      </c>
      <c r="J3132" s="108">
        <v>1.3508306976917756E-3</v>
      </c>
      <c r="K3132" s="108"/>
      <c r="L3132" s="108">
        <v>4.2599999999999999E-2</v>
      </c>
      <c r="O3132" s="105"/>
    </row>
    <row r="3133" spans="2:15" x14ac:dyDescent="0.2">
      <c r="B3133" s="1">
        <v>3118</v>
      </c>
      <c r="C3133" s="106">
        <f ca="1"/>
        <v>0.99724525399213515</v>
      </c>
      <c r="D3133" s="106">
        <f t="shared" ca="1" si="183"/>
        <v>0.73319209180819722</v>
      </c>
      <c r="E3133" s="106">
        <f t="shared" ca="1" si="184"/>
        <v>0</v>
      </c>
      <c r="F3133" s="21">
        <f t="shared" ca="1" si="185"/>
        <v>0</v>
      </c>
      <c r="H3133" s="21">
        <v>3118</v>
      </c>
      <c r="I3133" s="107">
        <v>0.66771280305860148</v>
      </c>
      <c r="J3133" s="108">
        <v>1.4055912345224408E-3</v>
      </c>
      <c r="K3133" s="108"/>
      <c r="L3133" s="108">
        <v>4.36E-2</v>
      </c>
      <c r="O3133" s="105"/>
    </row>
    <row r="3134" spans="2:15" x14ac:dyDescent="0.2">
      <c r="B3134" s="1">
        <v>3119</v>
      </c>
      <c r="C3134" s="106">
        <f ca="1"/>
        <v>0.66900943716321826</v>
      </c>
      <c r="D3134" s="106">
        <f t="shared" ca="1" si="183"/>
        <v>0.70983327173207034</v>
      </c>
      <c r="E3134" s="106">
        <f t="shared" ca="1" si="184"/>
        <v>0</v>
      </c>
      <c r="F3134" s="21">
        <f t="shared" ca="1" si="185"/>
        <v>0</v>
      </c>
      <c r="H3134" s="21">
        <v>3119</v>
      </c>
      <c r="I3134" s="107">
        <v>0.6676855254388413</v>
      </c>
      <c r="J3134" s="108">
        <v>1.2259893010214949E-3</v>
      </c>
      <c r="K3134" s="108"/>
      <c r="L3134" s="108">
        <v>4.1799999999999997E-2</v>
      </c>
      <c r="O3134" s="105"/>
    </row>
    <row r="3135" spans="2:15" x14ac:dyDescent="0.2">
      <c r="B3135" s="1">
        <v>3120</v>
      </c>
      <c r="C3135" s="106">
        <f ca="1"/>
        <v>1.0410398601023785</v>
      </c>
      <c r="D3135" s="106">
        <f t="shared" ca="1" si="183"/>
        <v>0.73636630214795096</v>
      </c>
      <c r="E3135" s="106">
        <f t="shared" ca="1" si="184"/>
        <v>0</v>
      </c>
      <c r="F3135" s="21">
        <f t="shared" ca="1" si="185"/>
        <v>0</v>
      </c>
      <c r="H3135" s="21">
        <v>3120</v>
      </c>
      <c r="I3135" s="107">
        <v>0.66769875826355296</v>
      </c>
      <c r="J3135" s="108">
        <v>1.3331745149286367E-3</v>
      </c>
      <c r="K3135" s="108"/>
      <c r="L3135" s="108">
        <v>4.0800000000000003E-2</v>
      </c>
      <c r="O3135" s="105"/>
    </row>
    <row r="3136" spans="2:15" x14ac:dyDescent="0.2">
      <c r="B3136" s="1">
        <v>3121</v>
      </c>
      <c r="C3136" s="106">
        <f ca="1"/>
        <v>0.22637956880613352</v>
      </c>
      <c r="D3136" s="106">
        <f t="shared" ca="1" si="183"/>
        <v>0.67950766703389809</v>
      </c>
      <c r="E3136" s="106">
        <f t="shared" ca="1" si="184"/>
        <v>0</v>
      </c>
      <c r="F3136" s="21">
        <f t="shared" ca="1" si="185"/>
        <v>0</v>
      </c>
      <c r="H3136" s="21">
        <v>3121</v>
      </c>
      <c r="I3136" s="107">
        <v>0.66777248191390193</v>
      </c>
      <c r="J3136" s="108">
        <v>1.5824293403428524E-3</v>
      </c>
      <c r="K3136" s="108"/>
      <c r="L3136" s="108">
        <v>4.3400000000000001E-2</v>
      </c>
      <c r="O3136" s="105"/>
    </row>
    <row r="3137" spans="2:15" x14ac:dyDescent="0.2">
      <c r="B3137" s="1">
        <v>3122</v>
      </c>
      <c r="C3137" s="106">
        <f ca="1"/>
        <v>-0.93045501361076033</v>
      </c>
      <c r="D3137" s="106">
        <f t="shared" ca="1" si="183"/>
        <v>0.60622840437767511</v>
      </c>
      <c r="E3137" s="106">
        <f t="shared" ca="1" si="184"/>
        <v>0</v>
      </c>
      <c r="F3137" s="21">
        <f t="shared" ca="1" si="185"/>
        <v>0</v>
      </c>
      <c r="H3137" s="21">
        <v>3122</v>
      </c>
      <c r="I3137" s="107">
        <v>0.6676922358652394</v>
      </c>
      <c r="J3137" s="108">
        <v>1.3448739135853004E-3</v>
      </c>
      <c r="K3137" s="108"/>
      <c r="L3137" s="108">
        <v>3.9399999999999998E-2</v>
      </c>
      <c r="O3137" s="105"/>
    </row>
    <row r="3138" spans="2:15" x14ac:dyDescent="0.2">
      <c r="B3138" s="1">
        <v>3123</v>
      </c>
      <c r="C3138" s="106">
        <f ca="1"/>
        <v>-0.59708595825692801</v>
      </c>
      <c r="D3138" s="106">
        <f t="shared" ca="1" si="183"/>
        <v>0.62649499505280937</v>
      </c>
      <c r="E3138" s="106">
        <f t="shared" ca="1" si="184"/>
        <v>0</v>
      </c>
      <c r="F3138" s="21">
        <f t="shared" ca="1" si="185"/>
        <v>0</v>
      </c>
      <c r="H3138" s="21">
        <v>3123</v>
      </c>
      <c r="I3138" s="107">
        <v>0.66771717123384222</v>
      </c>
      <c r="J3138" s="108">
        <v>1.253550381696638E-3</v>
      </c>
      <c r="K3138" s="108"/>
      <c r="L3138" s="108">
        <v>3.8800000000000001E-2</v>
      </c>
      <c r="O3138" s="105"/>
    </row>
    <row r="3139" spans="2:15" x14ac:dyDescent="0.2">
      <c r="B3139" s="1">
        <v>3124</v>
      </c>
      <c r="C3139" s="106">
        <f ca="1"/>
        <v>0.14958998357861383</v>
      </c>
      <c r="D3139" s="106">
        <f t="shared" ca="1" si="183"/>
        <v>0.67438009449730274</v>
      </c>
      <c r="E3139" s="106">
        <f t="shared" ca="1" si="184"/>
        <v>0</v>
      </c>
      <c r="F3139" s="21">
        <f t="shared" ca="1" si="185"/>
        <v>0</v>
      </c>
      <c r="H3139" s="21">
        <v>3124</v>
      </c>
      <c r="I3139" s="107">
        <v>0.66782718778526484</v>
      </c>
      <c r="J3139" s="108">
        <v>1.4869921886981104E-3</v>
      </c>
      <c r="K3139" s="108"/>
      <c r="L3139" s="108">
        <v>4.3200000000000002E-2</v>
      </c>
      <c r="O3139" s="105"/>
    </row>
    <row r="3140" spans="2:15" x14ac:dyDescent="0.2">
      <c r="B3140" s="1">
        <v>3125</v>
      </c>
      <c r="C3140" s="106">
        <f ca="1"/>
        <v>-0.46052245423630334</v>
      </c>
      <c r="D3140" s="106">
        <f t="shared" ca="1" si="183"/>
        <v>0.63499148582269471</v>
      </c>
      <c r="E3140" s="106">
        <f t="shared" ca="1" si="184"/>
        <v>0</v>
      </c>
      <c r="F3140" s="21">
        <f t="shared" ca="1" si="185"/>
        <v>0</v>
      </c>
      <c r="H3140" s="21">
        <v>3125</v>
      </c>
      <c r="I3140" s="107">
        <v>0.66790444099685276</v>
      </c>
      <c r="J3140" s="108">
        <v>1.4660084108878235E-3</v>
      </c>
      <c r="K3140" s="108"/>
      <c r="L3140" s="108">
        <v>4.58E-2</v>
      </c>
      <c r="O3140" s="105"/>
    </row>
    <row r="3141" spans="2:15" x14ac:dyDescent="0.2">
      <c r="B3141" s="1">
        <v>3126</v>
      </c>
      <c r="C3141" s="106">
        <f ca="1"/>
        <v>-0.72236683434873128</v>
      </c>
      <c r="D3141" s="106">
        <f t="shared" ca="1" si="183"/>
        <v>0.6188004920402097</v>
      </c>
      <c r="E3141" s="106">
        <f t="shared" ca="1" si="184"/>
        <v>0</v>
      </c>
      <c r="F3141" s="21">
        <f t="shared" ca="1" si="185"/>
        <v>0</v>
      </c>
      <c r="H3141" s="21">
        <v>3126</v>
      </c>
      <c r="I3141" s="107">
        <v>0.66777247998189715</v>
      </c>
      <c r="J3141" s="108">
        <v>1.3091954518909326E-3</v>
      </c>
      <c r="K3141" s="108"/>
      <c r="L3141" s="108">
        <v>4.36E-2</v>
      </c>
      <c r="O3141" s="105"/>
    </row>
    <row r="3142" spans="2:15" x14ac:dyDescent="0.2">
      <c r="B3142" s="1">
        <v>3127</v>
      </c>
      <c r="C3142" s="106">
        <f ca="1"/>
        <v>-2.4442588235003795</v>
      </c>
      <c r="D3142" s="106">
        <f t="shared" ca="1" si="183"/>
        <v>0.52213867066317943</v>
      </c>
      <c r="E3142" s="106">
        <f t="shared" ca="1" si="184"/>
        <v>0</v>
      </c>
      <c r="F3142" s="21">
        <f t="shared" ca="1" si="185"/>
        <v>0</v>
      </c>
      <c r="H3142" s="21">
        <v>3127</v>
      </c>
      <c r="I3142" s="107">
        <v>0.66774605368312745</v>
      </c>
      <c r="J3142" s="108">
        <v>1.4472393438861326E-3</v>
      </c>
      <c r="K3142" s="108"/>
      <c r="L3142" s="108">
        <v>4.2200000000000001E-2</v>
      </c>
      <c r="O3142" s="105"/>
    </row>
    <row r="3143" spans="2:15" x14ac:dyDescent="0.2">
      <c r="B3143" s="1">
        <v>3128</v>
      </c>
      <c r="C3143" s="106">
        <f ca="1"/>
        <v>-0.21028787923709144</v>
      </c>
      <c r="D3143" s="106">
        <f t="shared" ca="1" si="183"/>
        <v>0.65086032254174686</v>
      </c>
      <c r="E3143" s="106">
        <f t="shared" ca="1" si="184"/>
        <v>0</v>
      </c>
      <c r="F3143" s="21">
        <f t="shared" ca="1" si="185"/>
        <v>0</v>
      </c>
      <c r="H3143" s="21">
        <v>3128</v>
      </c>
      <c r="I3143" s="107">
        <v>0.66749689172178195</v>
      </c>
      <c r="J3143" s="108">
        <v>1.2098488221317725E-3</v>
      </c>
      <c r="K3143" s="108"/>
      <c r="L3143" s="108">
        <v>3.3399999999999999E-2</v>
      </c>
      <c r="O3143" s="105"/>
    </row>
    <row r="3144" spans="2:15" x14ac:dyDescent="0.2">
      <c r="B3144" s="1">
        <v>3129</v>
      </c>
      <c r="C3144" s="106">
        <f ca="1"/>
        <v>1.9250340000872976</v>
      </c>
      <c r="D3144" s="106">
        <f t="shared" ca="1" si="183"/>
        <v>0.80345890750298243</v>
      </c>
      <c r="E3144" s="106">
        <f t="shared" ca="1" si="184"/>
        <v>1.5258907502982422E-2</v>
      </c>
      <c r="F3144" s="21">
        <f t="shared" ca="1" si="185"/>
        <v>1</v>
      </c>
      <c r="H3144" s="21">
        <v>3129</v>
      </c>
      <c r="I3144" s="107">
        <v>0.66770699243058185</v>
      </c>
      <c r="J3144" s="108">
        <v>1.3549629047611565E-3</v>
      </c>
      <c r="K3144" s="108"/>
      <c r="L3144" s="108">
        <v>3.8399999999999997E-2</v>
      </c>
      <c r="O3144" s="105"/>
    </row>
    <row r="3145" spans="2:15" x14ac:dyDescent="0.2">
      <c r="B3145" s="1">
        <v>3130</v>
      </c>
      <c r="C3145" s="106">
        <f ca="1"/>
        <v>-0.48100180650174928</v>
      </c>
      <c r="D3145" s="106">
        <f t="shared" ca="1" si="183"/>
        <v>0.63371002766055839</v>
      </c>
      <c r="E3145" s="106">
        <f t="shared" ca="1" si="184"/>
        <v>0</v>
      </c>
      <c r="F3145" s="21">
        <f t="shared" ca="1" si="185"/>
        <v>0</v>
      </c>
      <c r="H3145" s="21">
        <v>3130</v>
      </c>
      <c r="I3145" s="107">
        <v>0.66760347650898411</v>
      </c>
      <c r="J3145" s="108">
        <v>1.2930596614455859E-3</v>
      </c>
      <c r="K3145" s="108"/>
      <c r="L3145" s="108">
        <v>3.6400000000000002E-2</v>
      </c>
      <c r="O3145" s="105"/>
    </row>
    <row r="3146" spans="2:15" x14ac:dyDescent="0.2">
      <c r="B3146" s="1">
        <v>3131</v>
      </c>
      <c r="C3146" s="106">
        <f ca="1"/>
        <v>0.87004432377027552</v>
      </c>
      <c r="D3146" s="106">
        <f t="shared" ca="1" si="183"/>
        <v>0.72405000787622431</v>
      </c>
      <c r="E3146" s="106">
        <f t="shared" ca="1" si="184"/>
        <v>0</v>
      </c>
      <c r="F3146" s="21">
        <f t="shared" ca="1" si="185"/>
        <v>0</v>
      </c>
      <c r="H3146" s="21">
        <v>3131</v>
      </c>
      <c r="I3146" s="107">
        <v>0.66759085537024099</v>
      </c>
      <c r="J3146" s="108">
        <v>1.222749366499503E-3</v>
      </c>
      <c r="K3146" s="108"/>
      <c r="L3146" s="108">
        <v>4.1599999999999998E-2</v>
      </c>
      <c r="O3146" s="105"/>
    </row>
    <row r="3147" spans="2:15" x14ac:dyDescent="0.2">
      <c r="B3147" s="1">
        <v>3132</v>
      </c>
      <c r="C3147" s="106">
        <f ca="1"/>
        <v>0.7462268589091553</v>
      </c>
      <c r="D3147" s="106">
        <f t="shared" ca="1" si="183"/>
        <v>0.71526059352853366</v>
      </c>
      <c r="E3147" s="106">
        <f t="shared" ca="1" si="184"/>
        <v>0</v>
      </c>
      <c r="F3147" s="21">
        <f t="shared" ca="1" si="185"/>
        <v>0</v>
      </c>
      <c r="H3147" s="21">
        <v>3132</v>
      </c>
      <c r="I3147" s="107">
        <v>0.66762442411541256</v>
      </c>
      <c r="J3147" s="108">
        <v>1.1634954724936419E-3</v>
      </c>
      <c r="K3147" s="108"/>
      <c r="L3147" s="108">
        <v>3.8800000000000001E-2</v>
      </c>
      <c r="O3147" s="105"/>
    </row>
    <row r="3148" spans="2:15" x14ac:dyDescent="0.2">
      <c r="B3148" s="1">
        <v>3133</v>
      </c>
      <c r="C3148" s="106">
        <f ca="1"/>
        <v>-1.6085154721774975</v>
      </c>
      <c r="D3148" s="106">
        <f t="shared" ca="1" si="183"/>
        <v>0.56700722003216852</v>
      </c>
      <c r="E3148" s="106">
        <f t="shared" ca="1" si="184"/>
        <v>0</v>
      </c>
      <c r="F3148" s="21">
        <f t="shared" ca="1" si="185"/>
        <v>0</v>
      </c>
      <c r="H3148" s="21">
        <v>3133</v>
      </c>
      <c r="I3148" s="107">
        <v>0.6679364072688917</v>
      </c>
      <c r="J3148" s="108">
        <v>1.5002781799765639E-3</v>
      </c>
      <c r="K3148" s="108"/>
      <c r="L3148" s="108">
        <v>4.4999999999999998E-2</v>
      </c>
      <c r="O3148" s="105"/>
    </row>
    <row r="3149" spans="2:15" x14ac:dyDescent="0.2">
      <c r="B3149" s="1">
        <v>3134</v>
      </c>
      <c r="C3149" s="106">
        <f ca="1"/>
        <v>-1.4536730140422194</v>
      </c>
      <c r="D3149" s="106">
        <f t="shared" ca="1" si="183"/>
        <v>0.5757340888182233</v>
      </c>
      <c r="E3149" s="106">
        <f t="shared" ca="1" si="184"/>
        <v>0</v>
      </c>
      <c r="F3149" s="21">
        <f t="shared" ca="1" si="185"/>
        <v>0</v>
      </c>
      <c r="H3149" s="21">
        <v>3134</v>
      </c>
      <c r="I3149" s="107">
        <v>0.66771948277515281</v>
      </c>
      <c r="J3149" s="108">
        <v>1.2686317170445189E-3</v>
      </c>
      <c r="K3149" s="108"/>
      <c r="L3149" s="108">
        <v>4.1200000000000001E-2</v>
      </c>
      <c r="O3149" s="105"/>
    </row>
    <row r="3150" spans="2:15" x14ac:dyDescent="0.2">
      <c r="B3150" s="1">
        <v>3135</v>
      </c>
      <c r="C3150" s="106">
        <f ca="1"/>
        <v>0.41491328445799702</v>
      </c>
      <c r="D3150" s="106">
        <f t="shared" ca="1" si="183"/>
        <v>0.69226285553859812</v>
      </c>
      <c r="E3150" s="106">
        <f t="shared" ca="1" si="184"/>
        <v>0</v>
      </c>
      <c r="F3150" s="21">
        <f t="shared" ca="1" si="185"/>
        <v>0</v>
      </c>
      <c r="H3150" s="21">
        <v>3135</v>
      </c>
      <c r="I3150" s="107">
        <v>0.66781538233256255</v>
      </c>
      <c r="J3150" s="108">
        <v>1.3693579334356826E-3</v>
      </c>
      <c r="K3150" s="108"/>
      <c r="L3150" s="108">
        <v>4.5999999999999999E-2</v>
      </c>
      <c r="O3150" s="105"/>
    </row>
    <row r="3151" spans="2:15" x14ac:dyDescent="0.2">
      <c r="B3151" s="1">
        <v>3136</v>
      </c>
      <c r="C3151" s="106">
        <f ca="1"/>
        <v>1.8771253296969073</v>
      </c>
      <c r="D3151" s="106">
        <f t="shared" ca="1" si="183"/>
        <v>0.79967089936121205</v>
      </c>
      <c r="E3151" s="106">
        <f t="shared" ca="1" si="184"/>
        <v>1.1470899361212039E-2</v>
      </c>
      <c r="F3151" s="21">
        <f t="shared" ca="1" si="185"/>
        <v>1</v>
      </c>
      <c r="H3151" s="21">
        <v>3136</v>
      </c>
      <c r="I3151" s="107">
        <v>0.66778171586096347</v>
      </c>
      <c r="J3151" s="108">
        <v>1.3969817245497976E-3</v>
      </c>
      <c r="K3151" s="108"/>
      <c r="L3151" s="108">
        <v>4.3200000000000002E-2</v>
      </c>
      <c r="O3151" s="105"/>
    </row>
    <row r="3152" spans="2:15" x14ac:dyDescent="0.2">
      <c r="B3152" s="1">
        <v>3137</v>
      </c>
      <c r="C3152" s="106">
        <f ca="1"/>
        <v>0.83745031899211275</v>
      </c>
      <c r="D3152" s="106">
        <f t="shared" ref="D3152:D3215" ca="1" si="186">S0*EXP((μ-0.5*σ*σ)*T+σ*SQRT(T)*$C3152)</f>
        <v>0.72172584145872998</v>
      </c>
      <c r="E3152" s="106">
        <f t="shared" ref="E3152:E3215" ca="1" si="187">MAX(0,CP*(D3152-K))</f>
        <v>0</v>
      </c>
      <c r="F3152" s="21">
        <f t="shared" ref="F3152:F3215" ca="1" si="188">(CP*(D3152-K)&gt;0)*1</f>
        <v>0</v>
      </c>
      <c r="H3152" s="21">
        <v>3137</v>
      </c>
      <c r="I3152" s="107">
        <v>0.66758405100115015</v>
      </c>
      <c r="J3152" s="108">
        <v>1.1945785351250842E-3</v>
      </c>
      <c r="K3152" s="108"/>
      <c r="L3152" s="108">
        <v>3.9600000000000003E-2</v>
      </c>
      <c r="O3152" s="105"/>
    </row>
    <row r="3153" spans="2:15" x14ac:dyDescent="0.2">
      <c r="B3153" s="1">
        <v>3138</v>
      </c>
      <c r="C3153" s="106">
        <f ca="1"/>
        <v>-0.14236359059301576</v>
      </c>
      <c r="D3153" s="106">
        <f t="shared" ca="1" si="186"/>
        <v>0.65523582091041821</v>
      </c>
      <c r="E3153" s="106">
        <f t="shared" ca="1" si="187"/>
        <v>0</v>
      </c>
      <c r="F3153" s="21">
        <f t="shared" ca="1" si="188"/>
        <v>0</v>
      </c>
      <c r="H3153" s="21">
        <v>3138</v>
      </c>
      <c r="I3153" s="107">
        <v>0.6677279092075773</v>
      </c>
      <c r="J3153" s="108">
        <v>1.3269838308177637E-3</v>
      </c>
      <c r="K3153" s="108"/>
      <c r="L3153" s="108">
        <v>4.0800000000000003E-2</v>
      </c>
      <c r="O3153" s="105"/>
    </row>
    <row r="3154" spans="2:15" x14ac:dyDescent="0.2">
      <c r="B3154" s="1">
        <v>3139</v>
      </c>
      <c r="C3154" s="106">
        <f ca="1"/>
        <v>0.18611009694930949</v>
      </c>
      <c r="D3154" s="106">
        <f t="shared" ca="1" si="186"/>
        <v>0.67681385727675547</v>
      </c>
      <c r="E3154" s="106">
        <f t="shared" ca="1" si="187"/>
        <v>0</v>
      </c>
      <c r="F3154" s="21">
        <f t="shared" ca="1" si="188"/>
        <v>0</v>
      </c>
      <c r="H3154" s="21">
        <v>3139</v>
      </c>
      <c r="I3154" s="107">
        <v>0.66769049779001521</v>
      </c>
      <c r="J3154" s="108">
        <v>1.270867885691946E-3</v>
      </c>
      <c r="K3154" s="108"/>
      <c r="L3154" s="108">
        <v>4.0599999999999997E-2</v>
      </c>
      <c r="O3154" s="105"/>
    </row>
    <row r="3155" spans="2:15" x14ac:dyDescent="0.2">
      <c r="B3155" s="1">
        <v>3140</v>
      </c>
      <c r="C3155" s="106">
        <f ca="1"/>
        <v>0.23704959113111823</v>
      </c>
      <c r="D3155" s="106">
        <f t="shared" ca="1" si="186"/>
        <v>0.68022322885181119</v>
      </c>
      <c r="E3155" s="106">
        <f t="shared" ca="1" si="187"/>
        <v>0</v>
      </c>
      <c r="F3155" s="21">
        <f t="shared" ca="1" si="188"/>
        <v>0</v>
      </c>
      <c r="H3155" s="21">
        <v>3140</v>
      </c>
      <c r="I3155" s="107">
        <v>0.66785342607208209</v>
      </c>
      <c r="J3155" s="108">
        <v>1.4770943425063737E-3</v>
      </c>
      <c r="K3155" s="108"/>
      <c r="L3155" s="108">
        <v>4.5600000000000002E-2</v>
      </c>
      <c r="O3155" s="105"/>
    </row>
    <row r="3156" spans="2:15" x14ac:dyDescent="0.2">
      <c r="B3156" s="1">
        <v>3141</v>
      </c>
      <c r="C3156" s="106">
        <f ca="1"/>
        <v>-0.54364031110936994</v>
      </c>
      <c r="D3156" s="106">
        <f t="shared" ca="1" si="186"/>
        <v>0.62980656657203127</v>
      </c>
      <c r="E3156" s="106">
        <f t="shared" ca="1" si="187"/>
        <v>0</v>
      </c>
      <c r="F3156" s="21">
        <f t="shared" ca="1" si="188"/>
        <v>0</v>
      </c>
      <c r="H3156" s="21">
        <v>3141</v>
      </c>
      <c r="I3156" s="107">
        <v>0.66790773250622326</v>
      </c>
      <c r="J3156" s="108">
        <v>1.4860212399795834E-3</v>
      </c>
      <c r="K3156" s="108"/>
      <c r="L3156" s="108">
        <v>4.82E-2</v>
      </c>
      <c r="O3156" s="105"/>
    </row>
    <row r="3157" spans="2:15" x14ac:dyDescent="0.2">
      <c r="B3157" s="1">
        <v>3142</v>
      </c>
      <c r="C3157" s="106">
        <f ca="1"/>
        <v>0.57487064981116043</v>
      </c>
      <c r="D3157" s="106">
        <f t="shared" ca="1" si="186"/>
        <v>0.70327228757778892</v>
      </c>
      <c r="E3157" s="106">
        <f t="shared" ca="1" si="187"/>
        <v>0</v>
      </c>
      <c r="F3157" s="21">
        <f t="shared" ca="1" si="188"/>
        <v>0</v>
      </c>
      <c r="H3157" s="21">
        <v>3142</v>
      </c>
      <c r="I3157" s="107">
        <v>0.66767107656306668</v>
      </c>
      <c r="J3157" s="108">
        <v>1.4317766258607327E-3</v>
      </c>
      <c r="K3157" s="108"/>
      <c r="L3157" s="108">
        <v>4.1200000000000001E-2</v>
      </c>
      <c r="O3157" s="105"/>
    </row>
    <row r="3158" spans="2:15" x14ac:dyDescent="0.2">
      <c r="B3158" s="1">
        <v>3143</v>
      </c>
      <c r="C3158" s="106">
        <f ca="1"/>
        <v>-1.4745735091457808</v>
      </c>
      <c r="D3158" s="106">
        <f t="shared" ca="1" si="186"/>
        <v>0.57454834788098696</v>
      </c>
      <c r="E3158" s="106">
        <f t="shared" ca="1" si="187"/>
        <v>0</v>
      </c>
      <c r="F3158" s="21">
        <f t="shared" ca="1" si="188"/>
        <v>0</v>
      </c>
      <c r="H3158" s="21">
        <v>3143</v>
      </c>
      <c r="I3158" s="107">
        <v>0.66786508143518863</v>
      </c>
      <c r="J3158" s="108">
        <v>1.548194882538779E-3</v>
      </c>
      <c r="K3158" s="108"/>
      <c r="L3158" s="108">
        <v>4.3999999999999997E-2</v>
      </c>
      <c r="O3158" s="105"/>
    </row>
    <row r="3159" spans="2:15" x14ac:dyDescent="0.2">
      <c r="B3159" s="1">
        <v>3144</v>
      </c>
      <c r="C3159" s="106">
        <f ca="1"/>
        <v>-0.52110142184788066</v>
      </c>
      <c r="D3159" s="106">
        <f t="shared" ca="1" si="186"/>
        <v>0.63120835173964129</v>
      </c>
      <c r="E3159" s="106">
        <f t="shared" ca="1" si="187"/>
        <v>0</v>
      </c>
      <c r="F3159" s="21">
        <f t="shared" ca="1" si="188"/>
        <v>0</v>
      </c>
      <c r="H3159" s="21">
        <v>3144</v>
      </c>
      <c r="I3159" s="107">
        <v>0.66775847207756855</v>
      </c>
      <c r="J3159" s="108">
        <v>1.4154444253407063E-3</v>
      </c>
      <c r="K3159" s="108"/>
      <c r="L3159" s="108">
        <v>4.1200000000000001E-2</v>
      </c>
      <c r="O3159" s="105"/>
    </row>
    <row r="3160" spans="2:15" x14ac:dyDescent="0.2">
      <c r="B3160" s="1">
        <v>3145</v>
      </c>
      <c r="C3160" s="106">
        <f ca="1"/>
        <v>0.29562364221469351</v>
      </c>
      <c r="D3160" s="106">
        <f t="shared" ca="1" si="186"/>
        <v>0.68416481354763781</v>
      </c>
      <c r="E3160" s="106">
        <f t="shared" ca="1" si="187"/>
        <v>0</v>
      </c>
      <c r="F3160" s="21">
        <f t="shared" ca="1" si="188"/>
        <v>0</v>
      </c>
      <c r="H3160" s="21">
        <v>3145</v>
      </c>
      <c r="I3160" s="107">
        <v>0.66757512408973163</v>
      </c>
      <c r="J3160" s="108">
        <v>1.1795582593095927E-3</v>
      </c>
      <c r="K3160" s="108"/>
      <c r="L3160" s="108">
        <v>3.7600000000000001E-2</v>
      </c>
      <c r="O3160" s="105"/>
    </row>
    <row r="3161" spans="2:15" x14ac:dyDescent="0.2">
      <c r="B3161" s="1">
        <v>3146</v>
      </c>
      <c r="C3161" s="106">
        <f ca="1"/>
        <v>0.35753577207694548</v>
      </c>
      <c r="D3161" s="106">
        <f t="shared" ca="1" si="186"/>
        <v>0.6883558572901417</v>
      </c>
      <c r="E3161" s="106">
        <f t="shared" ca="1" si="187"/>
        <v>0</v>
      </c>
      <c r="F3161" s="21">
        <f t="shared" ca="1" si="188"/>
        <v>0</v>
      </c>
      <c r="H3161" s="21">
        <v>3146</v>
      </c>
      <c r="I3161" s="107">
        <v>0.66753228662353326</v>
      </c>
      <c r="J3161" s="108">
        <v>1.0134151913223507E-3</v>
      </c>
      <c r="K3161" s="108"/>
      <c r="L3161" s="108">
        <v>3.5799999999999998E-2</v>
      </c>
      <c r="O3161" s="105"/>
    </row>
    <row r="3162" spans="2:15" x14ac:dyDescent="0.2">
      <c r="B3162" s="1">
        <v>3147</v>
      </c>
      <c r="C3162" s="106">
        <f ca="1"/>
        <v>-0.95773330906850296</v>
      </c>
      <c r="D3162" s="106">
        <f t="shared" ca="1" si="186"/>
        <v>0.60459937750307402</v>
      </c>
      <c r="E3162" s="106">
        <f t="shared" ca="1" si="187"/>
        <v>0</v>
      </c>
      <c r="F3162" s="21">
        <f t="shared" ca="1" si="188"/>
        <v>0</v>
      </c>
      <c r="H3162" s="21">
        <v>3147</v>
      </c>
      <c r="I3162" s="107">
        <v>0.66784282598530986</v>
      </c>
      <c r="J3162" s="108">
        <v>1.4011756232219861E-3</v>
      </c>
      <c r="K3162" s="108"/>
      <c r="L3162" s="108">
        <v>4.5199999999999997E-2</v>
      </c>
      <c r="O3162" s="105"/>
    </row>
    <row r="3163" spans="2:15" x14ac:dyDescent="0.2">
      <c r="B3163" s="1">
        <v>3148</v>
      </c>
      <c r="C3163" s="106">
        <f ca="1"/>
        <v>-0.13343019052942651</v>
      </c>
      <c r="D3163" s="106">
        <f t="shared" ca="1" si="186"/>
        <v>0.65581347078117713</v>
      </c>
      <c r="E3163" s="106">
        <f t="shared" ca="1" si="187"/>
        <v>0</v>
      </c>
      <c r="F3163" s="21">
        <f t="shared" ca="1" si="188"/>
        <v>0</v>
      </c>
      <c r="H3163" s="21">
        <v>3148</v>
      </c>
      <c r="I3163" s="107">
        <v>0.66777696141487508</v>
      </c>
      <c r="J3163" s="108">
        <v>1.3828241283599823E-3</v>
      </c>
      <c r="K3163" s="108"/>
      <c r="L3163" s="108">
        <v>4.4200000000000003E-2</v>
      </c>
      <c r="O3163" s="105"/>
    </row>
    <row r="3164" spans="2:15" x14ac:dyDescent="0.2">
      <c r="B3164" s="1">
        <v>3149</v>
      </c>
      <c r="C3164" s="106">
        <f ca="1"/>
        <v>-0.97555857679263014</v>
      </c>
      <c r="D3164" s="106">
        <f t="shared" ca="1" si="186"/>
        <v>0.60353723961280437</v>
      </c>
      <c r="E3164" s="106">
        <f t="shared" ca="1" si="187"/>
        <v>0</v>
      </c>
      <c r="F3164" s="21">
        <f t="shared" ca="1" si="188"/>
        <v>0</v>
      </c>
      <c r="H3164" s="21">
        <v>3149</v>
      </c>
      <c r="I3164" s="107">
        <v>0.66772776580666848</v>
      </c>
      <c r="J3164" s="108">
        <v>1.2565975320442042E-3</v>
      </c>
      <c r="K3164" s="108"/>
      <c r="L3164" s="108">
        <v>4.1200000000000001E-2</v>
      </c>
      <c r="O3164" s="105"/>
    </row>
    <row r="3165" spans="2:15" x14ac:dyDescent="0.2">
      <c r="B3165" s="1">
        <v>3150</v>
      </c>
      <c r="C3165" s="106">
        <f ca="1"/>
        <v>0.39856729930619772</v>
      </c>
      <c r="D3165" s="106">
        <f t="shared" ca="1" si="186"/>
        <v>0.69114755746695078</v>
      </c>
      <c r="E3165" s="106">
        <f t="shared" ca="1" si="187"/>
        <v>0</v>
      </c>
      <c r="F3165" s="21">
        <f t="shared" ca="1" si="188"/>
        <v>0</v>
      </c>
      <c r="H3165" s="21">
        <v>3150</v>
      </c>
      <c r="I3165" s="107">
        <v>0.66773590209875</v>
      </c>
      <c r="J3165" s="108">
        <v>1.4434878174620302E-3</v>
      </c>
      <c r="K3165" s="108"/>
      <c r="L3165" s="108">
        <v>4.1599999999999998E-2</v>
      </c>
      <c r="O3165" s="105"/>
    </row>
    <row r="3166" spans="2:15" x14ac:dyDescent="0.2">
      <c r="B3166" s="1">
        <v>3151</v>
      </c>
      <c r="C3166" s="106">
        <f ca="1"/>
        <v>7.2806159182191715E-2</v>
      </c>
      <c r="D3166" s="106">
        <f t="shared" ca="1" si="186"/>
        <v>0.66929159500989865</v>
      </c>
      <c r="E3166" s="106">
        <f t="shared" ca="1" si="187"/>
        <v>0</v>
      </c>
      <c r="F3166" s="21">
        <f t="shared" ca="1" si="188"/>
        <v>0</v>
      </c>
      <c r="H3166" s="21">
        <v>3151</v>
      </c>
      <c r="I3166" s="107">
        <v>0.66787713574560126</v>
      </c>
      <c r="J3166" s="108">
        <v>1.598639161198208E-3</v>
      </c>
      <c r="K3166" s="108"/>
      <c r="L3166" s="108">
        <v>4.4200000000000003E-2</v>
      </c>
      <c r="O3166" s="105"/>
    </row>
    <row r="3167" spans="2:15" x14ac:dyDescent="0.2">
      <c r="B3167" s="1">
        <v>3152</v>
      </c>
      <c r="C3167" s="106">
        <f ca="1"/>
        <v>0.8127975785550855</v>
      </c>
      <c r="D3167" s="106">
        <f t="shared" ca="1" si="186"/>
        <v>0.71997289596523184</v>
      </c>
      <c r="E3167" s="106">
        <f t="shared" ca="1" si="187"/>
        <v>0</v>
      </c>
      <c r="F3167" s="21">
        <f t="shared" ca="1" si="188"/>
        <v>0</v>
      </c>
      <c r="H3167" s="21">
        <v>3152</v>
      </c>
      <c r="I3167" s="107">
        <v>0.66780858563854451</v>
      </c>
      <c r="J3167" s="108">
        <v>1.2394079848375896E-3</v>
      </c>
      <c r="K3167" s="108"/>
      <c r="L3167" s="108">
        <v>4.2200000000000001E-2</v>
      </c>
      <c r="O3167" s="105"/>
    </row>
    <row r="3168" spans="2:15" x14ac:dyDescent="0.2">
      <c r="B3168" s="1">
        <v>3153</v>
      </c>
      <c r="C3168" s="106">
        <f ca="1"/>
        <v>0.41507500312545847</v>
      </c>
      <c r="D3168" s="106">
        <f t="shared" ca="1" si="186"/>
        <v>0.69227389870326972</v>
      </c>
      <c r="E3168" s="106">
        <f t="shared" ca="1" si="187"/>
        <v>0</v>
      </c>
      <c r="F3168" s="21">
        <f t="shared" ca="1" si="188"/>
        <v>0</v>
      </c>
      <c r="H3168" s="21">
        <v>3153</v>
      </c>
      <c r="I3168" s="107">
        <v>0.66764781065211332</v>
      </c>
      <c r="J3168" s="108">
        <v>1.2896289943507462E-3</v>
      </c>
      <c r="K3168" s="108"/>
      <c r="L3168" s="108">
        <v>3.78E-2</v>
      </c>
      <c r="O3168" s="105"/>
    </row>
    <row r="3169" spans="2:15" x14ac:dyDescent="0.2">
      <c r="B3169" s="1">
        <v>3154</v>
      </c>
      <c r="C3169" s="106">
        <f ca="1"/>
        <v>0.94830193402317864</v>
      </c>
      <c r="D3169" s="106">
        <f t="shared" ca="1" si="186"/>
        <v>0.72966089300099546</v>
      </c>
      <c r="E3169" s="106">
        <f t="shared" ca="1" si="187"/>
        <v>0</v>
      </c>
      <c r="F3169" s="21">
        <f t="shared" ca="1" si="188"/>
        <v>0</v>
      </c>
      <c r="H3169" s="21">
        <v>3154</v>
      </c>
      <c r="I3169" s="107">
        <v>0.66777955416289592</v>
      </c>
      <c r="J3169" s="108">
        <v>1.355394380998723E-3</v>
      </c>
      <c r="K3169" s="108"/>
      <c r="L3169" s="108">
        <v>4.2200000000000001E-2</v>
      </c>
      <c r="O3169" s="105"/>
    </row>
    <row r="3170" spans="2:15" x14ac:dyDescent="0.2">
      <c r="B3170" s="1">
        <v>3155</v>
      </c>
      <c r="C3170" s="106">
        <f ca="1"/>
        <v>0.68753359934231639</v>
      </c>
      <c r="D3170" s="106">
        <f t="shared" ca="1" si="186"/>
        <v>0.71113149882875382</v>
      </c>
      <c r="E3170" s="106">
        <f t="shared" ca="1" si="187"/>
        <v>0</v>
      </c>
      <c r="F3170" s="21">
        <f t="shared" ca="1" si="188"/>
        <v>0</v>
      </c>
      <c r="H3170" s="21">
        <v>3155</v>
      </c>
      <c r="I3170" s="107">
        <v>0.66773164225769965</v>
      </c>
      <c r="J3170" s="108">
        <v>1.3369753124137654E-3</v>
      </c>
      <c r="K3170" s="108"/>
      <c r="L3170" s="108">
        <v>3.9E-2</v>
      </c>
      <c r="O3170" s="105"/>
    </row>
    <row r="3171" spans="2:15" x14ac:dyDescent="0.2">
      <c r="B3171" s="1">
        <v>3156</v>
      </c>
      <c r="C3171" s="106">
        <f ca="1"/>
        <v>0.34945475091588712</v>
      </c>
      <c r="D3171" s="106">
        <f t="shared" ca="1" si="186"/>
        <v>0.68780737188542873</v>
      </c>
      <c r="E3171" s="106">
        <f t="shared" ca="1" si="187"/>
        <v>0</v>
      </c>
      <c r="F3171" s="21">
        <f t="shared" ca="1" si="188"/>
        <v>0</v>
      </c>
      <c r="H3171" s="21">
        <v>3156</v>
      </c>
      <c r="I3171" s="107">
        <v>0.6677404171221436</v>
      </c>
      <c r="J3171" s="108">
        <v>1.4125131596085308E-3</v>
      </c>
      <c r="K3171" s="108"/>
      <c r="L3171" s="108">
        <v>4.4200000000000003E-2</v>
      </c>
      <c r="O3171" s="105"/>
    </row>
    <row r="3172" spans="2:15" x14ac:dyDescent="0.2">
      <c r="B3172" s="1">
        <v>3157</v>
      </c>
      <c r="C3172" s="106">
        <f ca="1"/>
        <v>-1.6605137187484802</v>
      </c>
      <c r="D3172" s="106">
        <f t="shared" ca="1" si="186"/>
        <v>0.56410638602286123</v>
      </c>
      <c r="E3172" s="106">
        <f t="shared" ca="1" si="187"/>
        <v>0</v>
      </c>
      <c r="F3172" s="21">
        <f t="shared" ca="1" si="188"/>
        <v>0</v>
      </c>
      <c r="H3172" s="21">
        <v>3157</v>
      </c>
      <c r="I3172" s="107">
        <v>0.66773222201391058</v>
      </c>
      <c r="J3172" s="108">
        <v>1.4262162321483248E-3</v>
      </c>
      <c r="K3172" s="108"/>
      <c r="L3172" s="108">
        <v>4.4400000000000002E-2</v>
      </c>
      <c r="O3172" s="105"/>
    </row>
    <row r="3173" spans="2:15" x14ac:dyDescent="0.2">
      <c r="B3173" s="1">
        <v>3158</v>
      </c>
      <c r="C3173" s="106">
        <f ca="1"/>
        <v>-0.39805426056016402</v>
      </c>
      <c r="D3173" s="106">
        <f t="shared" ca="1" si="186"/>
        <v>0.6389163486914059</v>
      </c>
      <c r="E3173" s="106">
        <f t="shared" ca="1" si="187"/>
        <v>0</v>
      </c>
      <c r="F3173" s="21">
        <f t="shared" ca="1" si="188"/>
        <v>0</v>
      </c>
      <c r="H3173" s="21">
        <v>3158</v>
      </c>
      <c r="I3173" s="107">
        <v>0.66775589871665375</v>
      </c>
      <c r="J3173" s="108">
        <v>1.3989009579354946E-3</v>
      </c>
      <c r="K3173" s="108"/>
      <c r="L3173" s="108">
        <v>4.2200000000000001E-2</v>
      </c>
      <c r="O3173" s="105"/>
    </row>
    <row r="3174" spans="2:15" x14ac:dyDescent="0.2">
      <c r="B3174" s="1">
        <v>3159</v>
      </c>
      <c r="C3174" s="106">
        <f ca="1"/>
        <v>-1.1779343228687615</v>
      </c>
      <c r="D3174" s="106">
        <f t="shared" ca="1" si="186"/>
        <v>0.59160852026715671</v>
      </c>
      <c r="E3174" s="106">
        <f t="shared" ca="1" si="187"/>
        <v>0</v>
      </c>
      <c r="F3174" s="21">
        <f t="shared" ca="1" si="188"/>
        <v>0</v>
      </c>
      <c r="H3174" s="21">
        <v>3159</v>
      </c>
      <c r="I3174" s="107">
        <v>0.66768209257801592</v>
      </c>
      <c r="J3174" s="108">
        <v>1.3330937559300361E-3</v>
      </c>
      <c r="K3174" s="108"/>
      <c r="L3174" s="108">
        <v>4.1799999999999997E-2</v>
      </c>
      <c r="O3174" s="105"/>
    </row>
    <row r="3175" spans="2:15" x14ac:dyDescent="0.2">
      <c r="B3175" s="1">
        <v>3160</v>
      </c>
      <c r="C3175" s="106">
        <f ca="1"/>
        <v>-1.5839009061708114</v>
      </c>
      <c r="D3175" s="106">
        <f t="shared" ca="1" si="186"/>
        <v>0.56838559385185949</v>
      </c>
      <c r="E3175" s="106">
        <f t="shared" ca="1" si="187"/>
        <v>0</v>
      </c>
      <c r="F3175" s="21">
        <f t="shared" ca="1" si="188"/>
        <v>0</v>
      </c>
      <c r="H3175" s="21">
        <v>3160</v>
      </c>
      <c r="I3175" s="107">
        <v>0.66778157832593799</v>
      </c>
      <c r="J3175" s="108">
        <v>1.4394690824766341E-3</v>
      </c>
      <c r="K3175" s="108"/>
      <c r="L3175" s="108">
        <v>4.2799999999999998E-2</v>
      </c>
      <c r="O3175" s="105"/>
    </row>
    <row r="3176" spans="2:15" x14ac:dyDescent="0.2">
      <c r="B3176" s="1">
        <v>3161</v>
      </c>
      <c r="C3176" s="106">
        <f ca="1"/>
        <v>-0.2871911264118156</v>
      </c>
      <c r="D3176" s="106">
        <f t="shared" ca="1" si="186"/>
        <v>0.64594168100348492</v>
      </c>
      <c r="E3176" s="106">
        <f t="shared" ca="1" si="187"/>
        <v>0</v>
      </c>
      <c r="F3176" s="21">
        <f t="shared" ca="1" si="188"/>
        <v>0</v>
      </c>
      <c r="H3176" s="21">
        <v>3161</v>
      </c>
      <c r="I3176" s="107">
        <v>0.66770611277230352</v>
      </c>
      <c r="J3176" s="108">
        <v>1.3582659542994656E-3</v>
      </c>
      <c r="K3176" s="108"/>
      <c r="L3176" s="108">
        <v>4.1599999999999998E-2</v>
      </c>
      <c r="O3176" s="105"/>
    </row>
    <row r="3177" spans="2:15" x14ac:dyDescent="0.2">
      <c r="B3177" s="1">
        <v>3162</v>
      </c>
      <c r="C3177" s="106">
        <f ca="1"/>
        <v>-0.98855866904706668</v>
      </c>
      <c r="D3177" s="106">
        <f t="shared" ca="1" si="186"/>
        <v>0.60276379186544515</v>
      </c>
      <c r="E3177" s="106">
        <f t="shared" ca="1" si="187"/>
        <v>0</v>
      </c>
      <c r="F3177" s="21">
        <f t="shared" ca="1" si="188"/>
        <v>0</v>
      </c>
      <c r="H3177" s="21">
        <v>3162</v>
      </c>
      <c r="I3177" s="107">
        <v>0.66755931886861364</v>
      </c>
      <c r="J3177" s="108">
        <v>1.1092993428901778E-3</v>
      </c>
      <c r="K3177" s="108"/>
      <c r="L3177" s="108">
        <v>3.8199999999999998E-2</v>
      </c>
      <c r="O3177" s="105"/>
    </row>
    <row r="3178" spans="2:15" x14ac:dyDescent="0.2">
      <c r="B3178" s="1">
        <v>3163</v>
      </c>
      <c r="C3178" s="106">
        <f ca="1"/>
        <v>0.44785427321555654</v>
      </c>
      <c r="D3178" s="106">
        <f t="shared" ca="1" si="186"/>
        <v>0.69451591336234719</v>
      </c>
      <c r="E3178" s="106">
        <f t="shared" ca="1" si="187"/>
        <v>0</v>
      </c>
      <c r="F3178" s="21">
        <f t="shared" ca="1" si="188"/>
        <v>0</v>
      </c>
      <c r="H3178" s="21">
        <v>3163</v>
      </c>
      <c r="I3178" s="107">
        <v>0.66775458741515581</v>
      </c>
      <c r="J3178" s="108">
        <v>1.2011104185915625E-3</v>
      </c>
      <c r="K3178" s="108"/>
      <c r="L3178" s="108">
        <v>3.7199999999999997E-2</v>
      </c>
      <c r="O3178" s="105"/>
    </row>
    <row r="3179" spans="2:15" x14ac:dyDescent="0.2">
      <c r="B3179" s="1">
        <v>3164</v>
      </c>
      <c r="C3179" s="106">
        <f ca="1"/>
        <v>-0.69290978610837828</v>
      </c>
      <c r="D3179" s="106">
        <f t="shared" ca="1" si="186"/>
        <v>0.62060114446698444</v>
      </c>
      <c r="E3179" s="106">
        <f t="shared" ca="1" si="187"/>
        <v>0</v>
      </c>
      <c r="F3179" s="21">
        <f t="shared" ca="1" si="188"/>
        <v>0</v>
      </c>
      <c r="H3179" s="21">
        <v>3164</v>
      </c>
      <c r="I3179" s="107">
        <v>0.667818991066498</v>
      </c>
      <c r="J3179" s="108">
        <v>1.5130445309587213E-3</v>
      </c>
      <c r="K3179" s="108"/>
      <c r="L3179" s="108">
        <v>4.4600000000000001E-2</v>
      </c>
      <c r="O3179" s="105"/>
    </row>
    <row r="3180" spans="2:15" x14ac:dyDescent="0.2">
      <c r="B3180" s="1">
        <v>3165</v>
      </c>
      <c r="C3180" s="106">
        <f ca="1"/>
        <v>-0.15557032661225237</v>
      </c>
      <c r="D3180" s="106">
        <f t="shared" ca="1" si="186"/>
        <v>0.65438278134295513</v>
      </c>
      <c r="E3180" s="106">
        <f t="shared" ca="1" si="187"/>
        <v>0</v>
      </c>
      <c r="F3180" s="21">
        <f t="shared" ca="1" si="188"/>
        <v>0</v>
      </c>
      <c r="H3180" s="21">
        <v>3165</v>
      </c>
      <c r="I3180" s="107">
        <v>0.66769738631389597</v>
      </c>
      <c r="J3180" s="108">
        <v>1.3184079671500766E-3</v>
      </c>
      <c r="K3180" s="108"/>
      <c r="L3180" s="108">
        <v>4.1000000000000002E-2</v>
      </c>
      <c r="O3180" s="105"/>
    </row>
    <row r="3181" spans="2:15" x14ac:dyDescent="0.2">
      <c r="B3181" s="1">
        <v>3166</v>
      </c>
      <c r="C3181" s="106">
        <f ca="1"/>
        <v>0.25787518868897119</v>
      </c>
      <c r="D3181" s="106">
        <f t="shared" ca="1" si="186"/>
        <v>0.68162202357425328</v>
      </c>
      <c r="E3181" s="106">
        <f t="shared" ca="1" si="187"/>
        <v>0</v>
      </c>
      <c r="F3181" s="21">
        <f t="shared" ca="1" si="188"/>
        <v>0</v>
      </c>
      <c r="H3181" s="21">
        <v>3166</v>
      </c>
      <c r="I3181" s="107">
        <v>0.66780617101427386</v>
      </c>
      <c r="J3181" s="108">
        <v>1.4737071640790775E-3</v>
      </c>
      <c r="K3181" s="108"/>
      <c r="L3181" s="108">
        <v>4.4999999999999998E-2</v>
      </c>
      <c r="O3181" s="105"/>
    </row>
    <row r="3182" spans="2:15" x14ac:dyDescent="0.2">
      <c r="B3182" s="1">
        <v>3167</v>
      </c>
      <c r="C3182" s="106">
        <f ca="1"/>
        <v>-1.4609818979453841</v>
      </c>
      <c r="D3182" s="106">
        <f t="shared" ca="1" si="186"/>
        <v>0.57531915831382829</v>
      </c>
      <c r="E3182" s="106">
        <f t="shared" ca="1" si="187"/>
        <v>0</v>
      </c>
      <c r="F3182" s="21">
        <f t="shared" ca="1" si="188"/>
        <v>0</v>
      </c>
      <c r="H3182" s="21">
        <v>3167</v>
      </c>
      <c r="I3182" s="107">
        <v>0.66776043562354703</v>
      </c>
      <c r="J3182" s="108">
        <v>1.4389728720221959E-3</v>
      </c>
      <c r="K3182" s="108"/>
      <c r="L3182" s="108">
        <v>4.36E-2</v>
      </c>
      <c r="O3182" s="105"/>
    </row>
    <row r="3183" spans="2:15" x14ac:dyDescent="0.2">
      <c r="B3183" s="1">
        <v>3168</v>
      </c>
      <c r="C3183" s="106">
        <f ca="1"/>
        <v>0.82972856079904389</v>
      </c>
      <c r="D3183" s="106">
        <f t="shared" ca="1" si="186"/>
        <v>0.72117632340325633</v>
      </c>
      <c r="E3183" s="106">
        <f t="shared" ca="1" si="187"/>
        <v>0</v>
      </c>
      <c r="F3183" s="21">
        <f t="shared" ca="1" si="188"/>
        <v>0</v>
      </c>
      <c r="H3183" s="21">
        <v>3168</v>
      </c>
      <c r="I3183" s="107">
        <v>0.66781317977218746</v>
      </c>
      <c r="J3183" s="108">
        <v>1.3734840459722324E-3</v>
      </c>
      <c r="K3183" s="108"/>
      <c r="L3183" s="108">
        <v>3.9800000000000002E-2</v>
      </c>
      <c r="O3183" s="105"/>
    </row>
    <row r="3184" spans="2:15" x14ac:dyDescent="0.2">
      <c r="B3184" s="1">
        <v>3169</v>
      </c>
      <c r="C3184" s="106">
        <f ca="1"/>
        <v>-0.41851715919241461</v>
      </c>
      <c r="D3184" s="106">
        <f t="shared" ca="1" si="186"/>
        <v>0.63762800475036763</v>
      </c>
      <c r="E3184" s="106">
        <f t="shared" ca="1" si="187"/>
        <v>0</v>
      </c>
      <c r="F3184" s="21">
        <f t="shared" ca="1" si="188"/>
        <v>0</v>
      </c>
      <c r="H3184" s="21">
        <v>3169</v>
      </c>
      <c r="I3184" s="107">
        <v>0.66781825516381887</v>
      </c>
      <c r="J3184" s="108">
        <v>1.3912914829437145E-3</v>
      </c>
      <c r="K3184" s="108"/>
      <c r="L3184" s="108">
        <v>4.4999999999999998E-2</v>
      </c>
      <c r="O3184" s="105"/>
    </row>
    <row r="3185" spans="2:15" x14ac:dyDescent="0.2">
      <c r="B3185" s="1">
        <v>3170</v>
      </c>
      <c r="C3185" s="106">
        <f ca="1"/>
        <v>0.570855991505271</v>
      </c>
      <c r="D3185" s="106">
        <f t="shared" ca="1" si="186"/>
        <v>0.7029938390007654</v>
      </c>
      <c r="E3185" s="106">
        <f t="shared" ca="1" si="187"/>
        <v>0</v>
      </c>
      <c r="F3185" s="21">
        <f t="shared" ca="1" si="188"/>
        <v>0</v>
      </c>
      <c r="H3185" s="21">
        <v>3170</v>
      </c>
      <c r="I3185" s="107">
        <v>0.66789227827280961</v>
      </c>
      <c r="J3185" s="108">
        <v>1.4952773784825278E-3</v>
      </c>
      <c r="K3185" s="108"/>
      <c r="L3185" s="108">
        <v>4.58E-2</v>
      </c>
      <c r="O3185" s="105"/>
    </row>
    <row r="3186" spans="2:15" x14ac:dyDescent="0.2">
      <c r="B3186" s="1">
        <v>3171</v>
      </c>
      <c r="C3186" s="106">
        <f ca="1"/>
        <v>0.75175863269566179</v>
      </c>
      <c r="D3186" s="106">
        <f t="shared" ca="1" si="186"/>
        <v>0.71565099019951917</v>
      </c>
      <c r="E3186" s="106">
        <f t="shared" ca="1" si="187"/>
        <v>0</v>
      </c>
      <c r="F3186" s="21">
        <f t="shared" ca="1" si="188"/>
        <v>0</v>
      </c>
      <c r="H3186" s="21">
        <v>3171</v>
      </c>
      <c r="I3186" s="107">
        <v>0.6677610503747935</v>
      </c>
      <c r="J3186" s="108">
        <v>1.3616309250388458E-3</v>
      </c>
      <c r="K3186" s="108"/>
      <c r="L3186" s="108">
        <v>3.9800000000000002E-2</v>
      </c>
      <c r="O3186" s="105"/>
    </row>
    <row r="3187" spans="2:15" x14ac:dyDescent="0.2">
      <c r="B3187" s="1">
        <v>3172</v>
      </c>
      <c r="C3187" s="106">
        <f ca="1"/>
        <v>1.7201957681991746</v>
      </c>
      <c r="D3187" s="106">
        <f t="shared" ca="1" si="186"/>
        <v>0.78738751880382174</v>
      </c>
      <c r="E3187" s="106">
        <f t="shared" ca="1" si="187"/>
        <v>0</v>
      </c>
      <c r="F3187" s="21">
        <f t="shared" ca="1" si="188"/>
        <v>0</v>
      </c>
      <c r="H3187" s="21">
        <v>3172</v>
      </c>
      <c r="I3187" s="107">
        <v>0.667823504936228</v>
      </c>
      <c r="J3187" s="108">
        <v>1.4466036314580361E-3</v>
      </c>
      <c r="K3187" s="108"/>
      <c r="L3187" s="108">
        <v>4.3799999999999999E-2</v>
      </c>
      <c r="O3187" s="105"/>
    </row>
    <row r="3188" spans="2:15" x14ac:dyDescent="0.2">
      <c r="B3188" s="1">
        <v>3173</v>
      </c>
      <c r="C3188" s="106">
        <f ca="1"/>
        <v>-1.0020578531806559</v>
      </c>
      <c r="D3188" s="106">
        <f t="shared" ca="1" si="186"/>
        <v>0.60196169935343913</v>
      </c>
      <c r="E3188" s="106">
        <f t="shared" ca="1" si="187"/>
        <v>0</v>
      </c>
      <c r="F3188" s="21">
        <f t="shared" ca="1" si="188"/>
        <v>0</v>
      </c>
      <c r="H3188" s="21">
        <v>3173</v>
      </c>
      <c r="I3188" s="107">
        <v>0.66773253411922584</v>
      </c>
      <c r="J3188" s="108">
        <v>1.3606453044888471E-3</v>
      </c>
      <c r="K3188" s="108"/>
      <c r="L3188" s="108">
        <v>4.24E-2</v>
      </c>
      <c r="O3188" s="105"/>
    </row>
    <row r="3189" spans="2:15" x14ac:dyDescent="0.2">
      <c r="B3189" s="1">
        <v>3174</v>
      </c>
      <c r="C3189" s="106">
        <f ca="1"/>
        <v>0.1551911988264045</v>
      </c>
      <c r="D3189" s="106">
        <f t="shared" ca="1" si="186"/>
        <v>0.67475280007116001</v>
      </c>
      <c r="E3189" s="106">
        <f t="shared" ca="1" si="187"/>
        <v>0</v>
      </c>
      <c r="F3189" s="21">
        <f t="shared" ca="1" si="188"/>
        <v>0</v>
      </c>
      <c r="H3189" s="21">
        <v>3174</v>
      </c>
      <c r="I3189" s="107">
        <v>0.667703811184442</v>
      </c>
      <c r="J3189" s="108">
        <v>1.3333825837530797E-3</v>
      </c>
      <c r="K3189" s="108"/>
      <c r="L3189" s="108">
        <v>3.9199999999999999E-2</v>
      </c>
      <c r="O3189" s="105"/>
    </row>
    <row r="3190" spans="2:15" x14ac:dyDescent="0.2">
      <c r="B3190" s="1">
        <v>3175</v>
      </c>
      <c r="C3190" s="106">
        <f ca="1"/>
        <v>-0.28641785853279034</v>
      </c>
      <c r="D3190" s="106">
        <f t="shared" ca="1" si="186"/>
        <v>0.64599095283926344</v>
      </c>
      <c r="E3190" s="106">
        <f t="shared" ca="1" si="187"/>
        <v>0</v>
      </c>
      <c r="F3190" s="21">
        <f t="shared" ca="1" si="188"/>
        <v>0</v>
      </c>
      <c r="H3190" s="21">
        <v>3175</v>
      </c>
      <c r="I3190" s="107">
        <v>0.66774237017494875</v>
      </c>
      <c r="J3190" s="108">
        <v>1.3047878855605983E-3</v>
      </c>
      <c r="K3190" s="108"/>
      <c r="L3190" s="108">
        <v>3.78E-2</v>
      </c>
      <c r="O3190" s="105"/>
    </row>
    <row r="3191" spans="2:15" x14ac:dyDescent="0.2">
      <c r="B3191" s="1">
        <v>3176</v>
      </c>
      <c r="C3191" s="106">
        <f ca="1"/>
        <v>1.0016410105363598</v>
      </c>
      <c r="D3191" s="106">
        <f t="shared" ca="1" si="186"/>
        <v>0.73351007521881406</v>
      </c>
      <c r="E3191" s="106">
        <f t="shared" ca="1" si="187"/>
        <v>0</v>
      </c>
      <c r="F3191" s="21">
        <f t="shared" ca="1" si="188"/>
        <v>0</v>
      </c>
      <c r="H3191" s="21">
        <v>3176</v>
      </c>
      <c r="I3191" s="107">
        <v>0.66760737336576981</v>
      </c>
      <c r="J3191" s="108">
        <v>1.258644229826528E-3</v>
      </c>
      <c r="K3191" s="108"/>
      <c r="L3191" s="108">
        <v>3.9399999999999998E-2</v>
      </c>
      <c r="O3191" s="105"/>
    </row>
    <row r="3192" spans="2:15" x14ac:dyDescent="0.2">
      <c r="B3192" s="1">
        <v>3177</v>
      </c>
      <c r="C3192" s="106">
        <f ca="1"/>
        <v>0.45553815076842891</v>
      </c>
      <c r="D3192" s="106">
        <f t="shared" ca="1" si="186"/>
        <v>0.69504251976364528</v>
      </c>
      <c r="E3192" s="106">
        <f t="shared" ca="1" si="187"/>
        <v>0</v>
      </c>
      <c r="F3192" s="21">
        <f t="shared" ca="1" si="188"/>
        <v>0</v>
      </c>
      <c r="H3192" s="21">
        <v>3177</v>
      </c>
      <c r="I3192" s="107">
        <v>0.66785635180016811</v>
      </c>
      <c r="J3192" s="108">
        <v>1.4556418142527808E-3</v>
      </c>
      <c r="K3192" s="108"/>
      <c r="L3192" s="108">
        <v>4.58E-2</v>
      </c>
      <c r="O3192" s="105"/>
    </row>
    <row r="3193" spans="2:15" x14ac:dyDescent="0.2">
      <c r="B3193" s="1">
        <v>3178</v>
      </c>
      <c r="C3193" s="106">
        <f ca="1"/>
        <v>-0.30447489887918172</v>
      </c>
      <c r="D3193" s="106">
        <f t="shared" ca="1" si="186"/>
        <v>0.64484135699290379</v>
      </c>
      <c r="E3193" s="106">
        <f t="shared" ca="1" si="187"/>
        <v>0</v>
      </c>
      <c r="F3193" s="21">
        <f t="shared" ca="1" si="188"/>
        <v>0</v>
      </c>
      <c r="H3193" s="21">
        <v>3178</v>
      </c>
      <c r="I3193" s="107">
        <v>0.66794588222962503</v>
      </c>
      <c r="J3193" s="108">
        <v>1.6346419896261569E-3</v>
      </c>
      <c r="K3193" s="108"/>
      <c r="L3193" s="108">
        <v>4.6399999999999997E-2</v>
      </c>
      <c r="O3193" s="105"/>
    </row>
    <row r="3194" spans="2:15" x14ac:dyDescent="0.2">
      <c r="B3194" s="1">
        <v>3179</v>
      </c>
      <c r="C3194" s="106">
        <f ca="1"/>
        <v>0.61583149150037353</v>
      </c>
      <c r="D3194" s="106">
        <f t="shared" ca="1" si="186"/>
        <v>0.70611955947280713</v>
      </c>
      <c r="E3194" s="106">
        <f t="shared" ca="1" si="187"/>
        <v>0</v>
      </c>
      <c r="F3194" s="21">
        <f t="shared" ca="1" si="188"/>
        <v>0</v>
      </c>
      <c r="H3194" s="21">
        <v>3179</v>
      </c>
      <c r="I3194" s="107">
        <v>0.66788162790433758</v>
      </c>
      <c r="J3194" s="108">
        <v>1.4358431323485221E-3</v>
      </c>
      <c r="K3194" s="108"/>
      <c r="L3194" s="108">
        <v>4.6800000000000001E-2</v>
      </c>
      <c r="O3194" s="105"/>
    </row>
    <row r="3195" spans="2:15" x14ac:dyDescent="0.2">
      <c r="B3195" s="1">
        <v>3180</v>
      </c>
      <c r="C3195" s="106">
        <f ca="1"/>
        <v>1.9405737065964785</v>
      </c>
      <c r="D3195" s="106">
        <f t="shared" ca="1" si="186"/>
        <v>0.80469143972274026</v>
      </c>
      <c r="E3195" s="106">
        <f t="shared" ca="1" si="187"/>
        <v>1.6491439722740253E-2</v>
      </c>
      <c r="F3195" s="21">
        <f t="shared" ca="1" si="188"/>
        <v>1</v>
      </c>
      <c r="H3195" s="21">
        <v>3180</v>
      </c>
      <c r="I3195" s="107">
        <v>0.66785178740916973</v>
      </c>
      <c r="J3195" s="108">
        <v>1.5111859474763812E-3</v>
      </c>
      <c r="K3195" s="108"/>
      <c r="L3195" s="108">
        <v>4.58E-2</v>
      </c>
      <c r="O3195" s="105"/>
    </row>
    <row r="3196" spans="2:15" x14ac:dyDescent="0.2">
      <c r="B3196" s="1">
        <v>3181</v>
      </c>
      <c r="C3196" s="106">
        <f ca="1"/>
        <v>-1.2172017742396295</v>
      </c>
      <c r="D3196" s="106">
        <f t="shared" ca="1" si="186"/>
        <v>0.58932141997143339</v>
      </c>
      <c r="E3196" s="106">
        <f t="shared" ca="1" si="187"/>
        <v>0</v>
      </c>
      <c r="F3196" s="21">
        <f t="shared" ca="1" si="188"/>
        <v>0</v>
      </c>
      <c r="H3196" s="21">
        <v>3181</v>
      </c>
      <c r="I3196" s="107">
        <v>0.6676702092414889</v>
      </c>
      <c r="J3196" s="108">
        <v>1.3536696439114496E-3</v>
      </c>
      <c r="K3196" s="108"/>
      <c r="L3196" s="108">
        <v>0.04</v>
      </c>
      <c r="O3196" s="105"/>
    </row>
    <row r="3197" spans="2:15" x14ac:dyDescent="0.2">
      <c r="B3197" s="1">
        <v>3182</v>
      </c>
      <c r="C3197" s="106">
        <f ca="1"/>
        <v>0.60521991195723479</v>
      </c>
      <c r="D3197" s="106">
        <f t="shared" ca="1" si="186"/>
        <v>0.70538082239159616</v>
      </c>
      <c r="E3197" s="106">
        <f t="shared" ca="1" si="187"/>
        <v>0</v>
      </c>
      <c r="F3197" s="21">
        <f t="shared" ca="1" si="188"/>
        <v>0</v>
      </c>
      <c r="H3197" s="21">
        <v>3182</v>
      </c>
      <c r="I3197" s="107">
        <v>0.66774932133106391</v>
      </c>
      <c r="J3197" s="108">
        <v>1.3653882773483354E-3</v>
      </c>
      <c r="K3197" s="108"/>
      <c r="L3197" s="108">
        <v>4.36E-2</v>
      </c>
      <c r="O3197" s="105"/>
    </row>
    <row r="3198" spans="2:15" x14ac:dyDescent="0.2">
      <c r="B3198" s="1">
        <v>3183</v>
      </c>
      <c r="C3198" s="106">
        <f ca="1"/>
        <v>0.80189329941092691</v>
      </c>
      <c r="D3198" s="106">
        <f t="shared" ca="1" si="186"/>
        <v>0.71919890041601842</v>
      </c>
      <c r="E3198" s="106">
        <f t="shared" ca="1" si="187"/>
        <v>0</v>
      </c>
      <c r="F3198" s="21">
        <f t="shared" ca="1" si="188"/>
        <v>0</v>
      </c>
      <c r="H3198" s="21">
        <v>3183</v>
      </c>
      <c r="I3198" s="107">
        <v>0.66782712570390712</v>
      </c>
      <c r="J3198" s="108">
        <v>1.3852363158857622E-3</v>
      </c>
      <c r="K3198" s="108"/>
      <c r="L3198" s="108">
        <v>4.2599999999999999E-2</v>
      </c>
      <c r="O3198" s="105"/>
    </row>
    <row r="3199" spans="2:15" x14ac:dyDescent="0.2">
      <c r="B3199" s="1">
        <v>3184</v>
      </c>
      <c r="C3199" s="106">
        <f ca="1"/>
        <v>-2.0642477017681542</v>
      </c>
      <c r="D3199" s="106">
        <f t="shared" ca="1" si="186"/>
        <v>0.54208239277059234</v>
      </c>
      <c r="E3199" s="106">
        <f t="shared" ca="1" si="187"/>
        <v>0</v>
      </c>
      <c r="F3199" s="21">
        <f t="shared" ca="1" si="188"/>
        <v>0</v>
      </c>
      <c r="H3199" s="21">
        <v>3184</v>
      </c>
      <c r="I3199" s="107">
        <v>0.66777586957104462</v>
      </c>
      <c r="J3199" s="108">
        <v>1.4096772823302107E-3</v>
      </c>
      <c r="K3199" s="108"/>
      <c r="L3199" s="108">
        <v>4.0599999999999997E-2</v>
      </c>
      <c r="O3199" s="105"/>
    </row>
    <row r="3200" spans="2:15" x14ac:dyDescent="0.2">
      <c r="B3200" s="1">
        <v>3185</v>
      </c>
      <c r="C3200" s="106">
        <f ca="1"/>
        <v>0.77461844980477401</v>
      </c>
      <c r="D3200" s="106">
        <f t="shared" ca="1" si="186"/>
        <v>0.71726654863368</v>
      </c>
      <c r="E3200" s="106">
        <f t="shared" ca="1" si="187"/>
        <v>0</v>
      </c>
      <c r="F3200" s="21">
        <f t="shared" ca="1" si="188"/>
        <v>0</v>
      </c>
      <c r="H3200" s="21">
        <v>3185</v>
      </c>
      <c r="I3200" s="107">
        <v>0.66777162147563918</v>
      </c>
      <c r="J3200" s="108">
        <v>1.3560082936118756E-3</v>
      </c>
      <c r="K3200" s="108"/>
      <c r="L3200" s="108">
        <v>4.4400000000000002E-2</v>
      </c>
      <c r="O3200" s="105"/>
    </row>
    <row r="3201" spans="2:15" x14ac:dyDescent="0.2">
      <c r="B3201" s="1">
        <v>3186</v>
      </c>
      <c r="C3201" s="106">
        <f ca="1"/>
        <v>9.5331297822193378E-2</v>
      </c>
      <c r="D3201" s="106">
        <f t="shared" ca="1" si="186"/>
        <v>0.67078035372000477</v>
      </c>
      <c r="E3201" s="106">
        <f t="shared" ca="1" si="187"/>
        <v>0</v>
      </c>
      <c r="F3201" s="21">
        <f t="shared" ca="1" si="188"/>
        <v>0</v>
      </c>
      <c r="H3201" s="21">
        <v>3186</v>
      </c>
      <c r="I3201" s="107">
        <v>0.66771661503401702</v>
      </c>
      <c r="J3201" s="108">
        <v>1.2781474072699737E-3</v>
      </c>
      <c r="K3201" s="108"/>
      <c r="L3201" s="108">
        <v>4.0800000000000003E-2</v>
      </c>
      <c r="O3201" s="105"/>
    </row>
    <row r="3202" spans="2:15" x14ac:dyDescent="0.2">
      <c r="B3202" s="1">
        <v>3187</v>
      </c>
      <c r="C3202" s="106">
        <f ca="1"/>
        <v>-1.805101154312422</v>
      </c>
      <c r="D3202" s="106">
        <f t="shared" ca="1" si="186"/>
        <v>0.55611803510676894</v>
      </c>
      <c r="E3202" s="106">
        <f t="shared" ca="1" si="187"/>
        <v>0</v>
      </c>
      <c r="F3202" s="21">
        <f t="shared" ca="1" si="188"/>
        <v>0</v>
      </c>
      <c r="H3202" s="21">
        <v>3187</v>
      </c>
      <c r="I3202" s="107">
        <v>0.66769848956378341</v>
      </c>
      <c r="J3202" s="108">
        <v>1.3143397843760206E-3</v>
      </c>
      <c r="K3202" s="108"/>
      <c r="L3202" s="108">
        <v>4.0399999999999998E-2</v>
      </c>
      <c r="O3202" s="105"/>
    </row>
    <row r="3203" spans="2:15" x14ac:dyDescent="0.2">
      <c r="B3203" s="1">
        <v>3188</v>
      </c>
      <c r="C3203" s="106">
        <f ca="1"/>
        <v>-0.56338439409766672</v>
      </c>
      <c r="D3203" s="106">
        <f t="shared" ca="1" si="186"/>
        <v>0.62858115998829323</v>
      </c>
      <c r="E3203" s="106">
        <f t="shared" ca="1" si="187"/>
        <v>0</v>
      </c>
      <c r="F3203" s="21">
        <f t="shared" ca="1" si="188"/>
        <v>0</v>
      </c>
      <c r="H3203" s="21">
        <v>3188</v>
      </c>
      <c r="I3203" s="107">
        <v>0.66776053906659727</v>
      </c>
      <c r="J3203" s="108">
        <v>1.349423168386051E-3</v>
      </c>
      <c r="K3203" s="108"/>
      <c r="L3203" s="108">
        <v>4.0599999999999997E-2</v>
      </c>
      <c r="O3203" s="105"/>
    </row>
    <row r="3204" spans="2:15" x14ac:dyDescent="0.2">
      <c r="B3204" s="1">
        <v>3189</v>
      </c>
      <c r="C3204" s="106">
        <f ca="1"/>
        <v>-0.6013954430577485</v>
      </c>
      <c r="D3204" s="106">
        <f t="shared" ca="1" si="186"/>
        <v>0.62622873282876368</v>
      </c>
      <c r="E3204" s="106">
        <f t="shared" ca="1" si="187"/>
        <v>0</v>
      </c>
      <c r="F3204" s="21">
        <f t="shared" ca="1" si="188"/>
        <v>0</v>
      </c>
      <c r="H3204" s="21">
        <v>3189</v>
      </c>
      <c r="I3204" s="107">
        <v>0.66778391386757441</v>
      </c>
      <c r="J3204" s="108">
        <v>1.4220468654921267E-3</v>
      </c>
      <c r="K3204" s="108"/>
      <c r="L3204" s="108">
        <v>4.2000000000000003E-2</v>
      </c>
      <c r="O3204" s="105"/>
    </row>
    <row r="3205" spans="2:15" x14ac:dyDescent="0.2">
      <c r="B3205" s="1">
        <v>3190</v>
      </c>
      <c r="C3205" s="106">
        <f ca="1"/>
        <v>0.37799565430355642</v>
      </c>
      <c r="D3205" s="106">
        <f t="shared" ca="1" si="186"/>
        <v>0.68974649294574408</v>
      </c>
      <c r="E3205" s="106">
        <f t="shared" ca="1" si="187"/>
        <v>0</v>
      </c>
      <c r="F3205" s="21">
        <f t="shared" ca="1" si="188"/>
        <v>0</v>
      </c>
      <c r="H3205" s="21">
        <v>3190</v>
      </c>
      <c r="I3205" s="107">
        <v>0.66777355167265751</v>
      </c>
      <c r="J3205" s="108">
        <v>1.4614135222149609E-3</v>
      </c>
      <c r="K3205" s="108"/>
      <c r="L3205" s="108">
        <v>4.3200000000000002E-2</v>
      </c>
      <c r="O3205" s="105"/>
    </row>
    <row r="3206" spans="2:15" x14ac:dyDescent="0.2">
      <c r="B3206" s="1">
        <v>3191</v>
      </c>
      <c r="C3206" s="106">
        <f ca="1"/>
        <v>-0.15807117567593398</v>
      </c>
      <c r="D3206" s="106">
        <f t="shared" ca="1" si="186"/>
        <v>0.65422137348324505</v>
      </c>
      <c r="E3206" s="106">
        <f t="shared" ca="1" si="187"/>
        <v>0</v>
      </c>
      <c r="F3206" s="21">
        <f t="shared" ca="1" si="188"/>
        <v>0</v>
      </c>
      <c r="H3206" s="21">
        <v>3191</v>
      </c>
      <c r="I3206" s="107">
        <v>0.66766048135356793</v>
      </c>
      <c r="J3206" s="108">
        <v>1.3405806911337536E-3</v>
      </c>
      <c r="K3206" s="108"/>
      <c r="L3206" s="108">
        <v>4.2999999999999997E-2</v>
      </c>
      <c r="O3206" s="105"/>
    </row>
    <row r="3207" spans="2:15" x14ac:dyDescent="0.2">
      <c r="B3207" s="1">
        <v>3192</v>
      </c>
      <c r="C3207" s="106">
        <f ca="1"/>
        <v>1.2623344892602995</v>
      </c>
      <c r="D3207" s="106">
        <f t="shared" ca="1" si="186"/>
        <v>0.75261701309330431</v>
      </c>
      <c r="E3207" s="106">
        <f t="shared" ca="1" si="187"/>
        <v>0</v>
      </c>
      <c r="F3207" s="21">
        <f t="shared" ca="1" si="188"/>
        <v>0</v>
      </c>
      <c r="H3207" s="21">
        <v>3192</v>
      </c>
      <c r="I3207" s="107">
        <v>0.66756096504942308</v>
      </c>
      <c r="J3207" s="108">
        <v>1.0480340940836558E-3</v>
      </c>
      <c r="K3207" s="108"/>
      <c r="L3207" s="108">
        <v>3.8800000000000001E-2</v>
      </c>
      <c r="O3207" s="105"/>
    </row>
    <row r="3208" spans="2:15" x14ac:dyDescent="0.2">
      <c r="B3208" s="1">
        <v>3193</v>
      </c>
      <c r="C3208" s="106">
        <f ca="1"/>
        <v>-2.3806547266341928E-2</v>
      </c>
      <c r="D3208" s="106">
        <f t="shared" ca="1" si="186"/>
        <v>0.66294353901064806</v>
      </c>
      <c r="E3208" s="106">
        <f t="shared" ca="1" si="187"/>
        <v>0</v>
      </c>
      <c r="F3208" s="21">
        <f t="shared" ca="1" si="188"/>
        <v>0</v>
      </c>
      <c r="H3208" s="21">
        <v>3193</v>
      </c>
      <c r="I3208" s="107">
        <v>0.66799158779498691</v>
      </c>
      <c r="J3208" s="108">
        <v>1.6148111141563678E-3</v>
      </c>
      <c r="K3208" s="108"/>
      <c r="L3208" s="108">
        <v>5.1400000000000001E-2</v>
      </c>
      <c r="O3208" s="105"/>
    </row>
    <row r="3209" spans="2:15" x14ac:dyDescent="0.2">
      <c r="B3209" s="1">
        <v>3194</v>
      </c>
      <c r="C3209" s="106">
        <f ca="1"/>
        <v>-1.286764613859007</v>
      </c>
      <c r="D3209" s="106">
        <f t="shared" ca="1" si="186"/>
        <v>0.5852914736009095</v>
      </c>
      <c r="E3209" s="106">
        <f t="shared" ca="1" si="187"/>
        <v>0</v>
      </c>
      <c r="F3209" s="21">
        <f t="shared" ca="1" si="188"/>
        <v>0</v>
      </c>
      <c r="H3209" s="21">
        <v>3194</v>
      </c>
      <c r="I3209" s="107">
        <v>0.66777979656266029</v>
      </c>
      <c r="J3209" s="108">
        <v>1.2656674624359787E-3</v>
      </c>
      <c r="K3209" s="108"/>
      <c r="L3209" s="108">
        <v>4.4600000000000001E-2</v>
      </c>
      <c r="O3209" s="105"/>
    </row>
    <row r="3210" spans="2:15" x14ac:dyDescent="0.2">
      <c r="B3210" s="1">
        <v>3195</v>
      </c>
      <c r="C3210" s="106">
        <f ca="1"/>
        <v>0.89861505861374791</v>
      </c>
      <c r="D3210" s="106">
        <f t="shared" ca="1" si="186"/>
        <v>0.72609344365845851</v>
      </c>
      <c r="E3210" s="106">
        <f t="shared" ca="1" si="187"/>
        <v>0</v>
      </c>
      <c r="F3210" s="21">
        <f t="shared" ca="1" si="188"/>
        <v>0</v>
      </c>
      <c r="H3210" s="21">
        <v>3195</v>
      </c>
      <c r="I3210" s="107">
        <v>0.66774877532741972</v>
      </c>
      <c r="J3210" s="108">
        <v>1.4861220030553523E-3</v>
      </c>
      <c r="K3210" s="108"/>
      <c r="L3210" s="108">
        <v>4.0800000000000003E-2</v>
      </c>
      <c r="O3210" s="105"/>
    </row>
    <row r="3211" spans="2:15" x14ac:dyDescent="0.2">
      <c r="B3211" s="1">
        <v>3196</v>
      </c>
      <c r="C3211" s="106">
        <f ca="1"/>
        <v>-0.19281425808016334</v>
      </c>
      <c r="D3211" s="106">
        <f t="shared" ca="1" si="186"/>
        <v>0.65198312653021739</v>
      </c>
      <c r="E3211" s="106">
        <f t="shared" ca="1" si="187"/>
        <v>0</v>
      </c>
      <c r="F3211" s="21">
        <f t="shared" ca="1" si="188"/>
        <v>0</v>
      </c>
      <c r="H3211" s="21">
        <v>3196</v>
      </c>
      <c r="I3211" s="107">
        <v>0.66776136173451528</v>
      </c>
      <c r="J3211" s="108">
        <v>1.371623282523064E-3</v>
      </c>
      <c r="K3211" s="108"/>
      <c r="L3211" s="108">
        <v>4.3799999999999999E-2</v>
      </c>
      <c r="O3211" s="105"/>
    </row>
    <row r="3212" spans="2:15" x14ac:dyDescent="0.2">
      <c r="B3212" s="1">
        <v>3197</v>
      </c>
      <c r="C3212" s="106">
        <f ca="1"/>
        <v>0.79004461599504128</v>
      </c>
      <c r="D3212" s="106">
        <f t="shared" ca="1" si="186"/>
        <v>0.71835881346150754</v>
      </c>
      <c r="E3212" s="106">
        <f t="shared" ca="1" si="187"/>
        <v>0</v>
      </c>
      <c r="F3212" s="21">
        <f t="shared" ca="1" si="188"/>
        <v>0</v>
      </c>
      <c r="H3212" s="21">
        <v>3197</v>
      </c>
      <c r="I3212" s="107">
        <v>0.6678500410825946</v>
      </c>
      <c r="J3212" s="108">
        <v>1.5818711022741855E-3</v>
      </c>
      <c r="K3212" s="108"/>
      <c r="L3212" s="108">
        <v>4.4999999999999998E-2</v>
      </c>
      <c r="O3212" s="105"/>
    </row>
    <row r="3213" spans="2:15" x14ac:dyDescent="0.2">
      <c r="B3213" s="1">
        <v>3198</v>
      </c>
      <c r="C3213" s="106">
        <f ca="1"/>
        <v>-0.90617226154738029</v>
      </c>
      <c r="D3213" s="106">
        <f t="shared" ca="1" si="186"/>
        <v>0.60768223335268956</v>
      </c>
      <c r="E3213" s="106">
        <f t="shared" ca="1" si="187"/>
        <v>0</v>
      </c>
      <c r="F3213" s="21">
        <f t="shared" ca="1" si="188"/>
        <v>0</v>
      </c>
      <c r="H3213" s="21">
        <v>3198</v>
      </c>
      <c r="I3213" s="107">
        <v>0.66792113871457914</v>
      </c>
      <c r="J3213" s="108">
        <v>1.4055843433055056E-3</v>
      </c>
      <c r="K3213" s="108"/>
      <c r="L3213" s="108">
        <v>4.4200000000000003E-2</v>
      </c>
      <c r="O3213" s="105"/>
    </row>
    <row r="3214" spans="2:15" x14ac:dyDescent="0.2">
      <c r="B3214" s="1">
        <v>3199</v>
      </c>
      <c r="C3214" s="106">
        <f ca="1"/>
        <v>-4.1181826712542002E-2</v>
      </c>
      <c r="D3214" s="106">
        <f t="shared" ca="1" si="186"/>
        <v>0.66180827957258648</v>
      </c>
      <c r="E3214" s="106">
        <f t="shared" ca="1" si="187"/>
        <v>0</v>
      </c>
      <c r="F3214" s="21">
        <f t="shared" ca="1" si="188"/>
        <v>0</v>
      </c>
      <c r="H3214" s="21">
        <v>3199</v>
      </c>
      <c r="I3214" s="107">
        <v>0.66771052370174766</v>
      </c>
      <c r="J3214" s="108">
        <v>1.2323791832494582E-3</v>
      </c>
      <c r="K3214" s="108"/>
      <c r="L3214" s="108">
        <v>4.2799999999999998E-2</v>
      </c>
      <c r="O3214" s="105"/>
    </row>
    <row r="3215" spans="2:15" x14ac:dyDescent="0.2">
      <c r="B3215" s="1">
        <v>3200</v>
      </c>
      <c r="C3215" s="106">
        <f ca="1"/>
        <v>1.0045940790467935</v>
      </c>
      <c r="D3215" s="106">
        <f t="shared" ca="1" si="186"/>
        <v>0.7337237738607163</v>
      </c>
      <c r="E3215" s="106">
        <f t="shared" ca="1" si="187"/>
        <v>0</v>
      </c>
      <c r="F3215" s="21">
        <f t="shared" ca="1" si="188"/>
        <v>0</v>
      </c>
      <c r="H3215" s="21">
        <v>3200</v>
      </c>
      <c r="I3215" s="107">
        <v>0.66772741737021313</v>
      </c>
      <c r="J3215" s="108">
        <v>1.3906973424515747E-3</v>
      </c>
      <c r="K3215" s="108"/>
      <c r="L3215" s="108">
        <v>4.4400000000000002E-2</v>
      </c>
      <c r="O3215" s="105"/>
    </row>
    <row r="3216" spans="2:15" x14ac:dyDescent="0.2">
      <c r="B3216" s="1">
        <v>3201</v>
      </c>
      <c r="C3216" s="106">
        <f ca="1"/>
        <v>-1.2502950342874579</v>
      </c>
      <c r="D3216" s="106">
        <f t="shared" ref="D3216:D3279" ca="1" si="189">S0*EXP((μ-0.5*σ*σ)*T+σ*SQRT(T)*$C3216)</f>
        <v>0.58740079741659457</v>
      </c>
      <c r="E3216" s="106">
        <f t="shared" ref="E3216:E3279" ca="1" si="190">MAX(0,CP*(D3216-K))</f>
        <v>0</v>
      </c>
      <c r="F3216" s="21">
        <f t="shared" ref="F3216:F3279" ca="1" si="191">(CP*(D3216-K)&gt;0)*1</f>
        <v>0</v>
      </c>
      <c r="H3216" s="21">
        <v>3201</v>
      </c>
      <c r="I3216" s="107">
        <v>0.6677247999502729</v>
      </c>
      <c r="J3216" s="108">
        <v>1.3003327275400486E-3</v>
      </c>
      <c r="K3216" s="108"/>
      <c r="L3216" s="108">
        <v>4.1200000000000001E-2</v>
      </c>
      <c r="O3216" s="105"/>
    </row>
    <row r="3217" spans="2:15" x14ac:dyDescent="0.2">
      <c r="B3217" s="1">
        <v>3202</v>
      </c>
      <c r="C3217" s="106">
        <f ca="1"/>
        <v>0.83422345195122471</v>
      </c>
      <c r="D3217" s="106">
        <f t="shared" ca="1" si="189"/>
        <v>0.72149615091769814</v>
      </c>
      <c r="E3217" s="106">
        <f t="shared" ca="1" si="190"/>
        <v>0</v>
      </c>
      <c r="F3217" s="21">
        <f t="shared" ca="1" si="191"/>
        <v>0</v>
      </c>
      <c r="H3217" s="21">
        <v>3202</v>
      </c>
      <c r="I3217" s="107">
        <v>0.66777584159951575</v>
      </c>
      <c r="J3217" s="108">
        <v>1.3617810316180826E-3</v>
      </c>
      <c r="K3217" s="108"/>
      <c r="L3217" s="108">
        <v>4.0599999999999997E-2</v>
      </c>
      <c r="O3217" s="105"/>
    </row>
    <row r="3218" spans="2:15" x14ac:dyDescent="0.2">
      <c r="B3218" s="1">
        <v>3203</v>
      </c>
      <c r="C3218" s="106">
        <f ca="1"/>
        <v>0.66790421044348358</v>
      </c>
      <c r="D3218" s="106">
        <f t="shared" ca="1" si="189"/>
        <v>0.70975588919667232</v>
      </c>
      <c r="E3218" s="106">
        <f t="shared" ca="1" si="190"/>
        <v>0</v>
      </c>
      <c r="F3218" s="21">
        <f t="shared" ca="1" si="191"/>
        <v>0</v>
      </c>
      <c r="H3218" s="21">
        <v>3203</v>
      </c>
      <c r="I3218" s="107">
        <v>0.66778786856199135</v>
      </c>
      <c r="J3218" s="108">
        <v>1.3410152128715768E-3</v>
      </c>
      <c r="K3218" s="108"/>
      <c r="L3218" s="108">
        <v>4.1799999999999997E-2</v>
      </c>
      <c r="O3218" s="105"/>
    </row>
    <row r="3219" spans="2:15" x14ac:dyDescent="0.2">
      <c r="B3219" s="1">
        <v>3204</v>
      </c>
      <c r="C3219" s="106">
        <f ca="1"/>
        <v>-0.48734687545558764</v>
      </c>
      <c r="D3219" s="106">
        <f t="shared" ca="1" si="189"/>
        <v>0.63331352151428333</v>
      </c>
      <c r="E3219" s="106">
        <f t="shared" ca="1" si="190"/>
        <v>0</v>
      </c>
      <c r="F3219" s="21">
        <f t="shared" ca="1" si="191"/>
        <v>0</v>
      </c>
      <c r="H3219" s="21">
        <v>3204</v>
      </c>
      <c r="I3219" s="107">
        <v>0.66760506290084798</v>
      </c>
      <c r="J3219" s="108">
        <v>1.2419048833649444E-3</v>
      </c>
      <c r="K3219" s="108"/>
      <c r="L3219" s="108">
        <v>3.7199999999999997E-2</v>
      </c>
      <c r="O3219" s="105"/>
    </row>
    <row r="3220" spans="2:15" x14ac:dyDescent="0.2">
      <c r="B3220" s="1">
        <v>3205</v>
      </c>
      <c r="C3220" s="106">
        <f ca="1"/>
        <v>-1.01386497994936</v>
      </c>
      <c r="D3220" s="106">
        <f t="shared" ca="1" si="189"/>
        <v>0.6012610203463653</v>
      </c>
      <c r="E3220" s="106">
        <f t="shared" ca="1" si="190"/>
        <v>0</v>
      </c>
      <c r="F3220" s="21">
        <f t="shared" ca="1" si="191"/>
        <v>0</v>
      </c>
      <c r="H3220" s="21">
        <v>3205</v>
      </c>
      <c r="I3220" s="107">
        <v>0.66766740260482049</v>
      </c>
      <c r="J3220" s="108">
        <v>1.2132732350668151E-3</v>
      </c>
      <c r="K3220" s="108"/>
      <c r="L3220" s="108">
        <v>3.9399999999999998E-2</v>
      </c>
      <c r="O3220" s="105"/>
    </row>
    <row r="3221" spans="2:15" x14ac:dyDescent="0.2">
      <c r="B3221" s="1">
        <v>3206</v>
      </c>
      <c r="C3221" s="106">
        <f ca="1"/>
        <v>-0.97848571250658078</v>
      </c>
      <c r="D3221" s="106">
        <f t="shared" ca="1" si="189"/>
        <v>0.60336300150960254</v>
      </c>
      <c r="E3221" s="106">
        <f t="shared" ca="1" si="190"/>
        <v>0</v>
      </c>
      <c r="F3221" s="21">
        <f t="shared" ca="1" si="191"/>
        <v>0</v>
      </c>
      <c r="H3221" s="21">
        <v>3206</v>
      </c>
      <c r="I3221" s="107">
        <v>0.66767896091403434</v>
      </c>
      <c r="J3221" s="108">
        <v>1.2862896430764798E-3</v>
      </c>
      <c r="K3221" s="108"/>
      <c r="L3221" s="108">
        <v>3.8399999999999997E-2</v>
      </c>
      <c r="O3221" s="105"/>
    </row>
    <row r="3222" spans="2:15" x14ac:dyDescent="0.2">
      <c r="B3222" s="1">
        <v>3207</v>
      </c>
      <c r="C3222" s="106">
        <f ca="1"/>
        <v>-1.7717552020639538</v>
      </c>
      <c r="D3222" s="106">
        <f t="shared" ca="1" si="189"/>
        <v>0.55795027974730094</v>
      </c>
      <c r="E3222" s="106">
        <f t="shared" ca="1" si="190"/>
        <v>0</v>
      </c>
      <c r="F3222" s="21">
        <f t="shared" ca="1" si="191"/>
        <v>0</v>
      </c>
      <c r="H3222" s="21">
        <v>3207</v>
      </c>
      <c r="I3222" s="107">
        <v>0.66779314194281847</v>
      </c>
      <c r="J3222" s="108">
        <v>1.5026421072602534E-3</v>
      </c>
      <c r="K3222" s="108"/>
      <c r="L3222" s="108">
        <v>4.36E-2</v>
      </c>
      <c r="O3222" s="105"/>
    </row>
    <row r="3223" spans="2:15" x14ac:dyDescent="0.2">
      <c r="B3223" s="1">
        <v>3208</v>
      </c>
      <c r="C3223" s="106">
        <f ca="1"/>
        <v>1.2217786843400582</v>
      </c>
      <c r="D3223" s="106">
        <f t="shared" ca="1" si="189"/>
        <v>0.74961219936893031</v>
      </c>
      <c r="E3223" s="106">
        <f t="shared" ca="1" si="190"/>
        <v>0</v>
      </c>
      <c r="F3223" s="21">
        <f t="shared" ca="1" si="191"/>
        <v>0</v>
      </c>
      <c r="H3223" s="21">
        <v>3208</v>
      </c>
      <c r="I3223" s="107">
        <v>0.66769624844793751</v>
      </c>
      <c r="J3223" s="108">
        <v>1.3202547968130538E-3</v>
      </c>
      <c r="K3223" s="108"/>
      <c r="L3223" s="108">
        <v>4.3400000000000001E-2</v>
      </c>
      <c r="O3223" s="105"/>
    </row>
    <row r="3224" spans="2:15" x14ac:dyDescent="0.2">
      <c r="B3224" s="1">
        <v>3209</v>
      </c>
      <c r="C3224" s="106">
        <f ca="1"/>
        <v>1.6323297708671471</v>
      </c>
      <c r="D3224" s="106">
        <f t="shared" ca="1" si="189"/>
        <v>0.78059254844360992</v>
      </c>
      <c r="E3224" s="106">
        <f t="shared" ca="1" si="190"/>
        <v>0</v>
      </c>
      <c r="F3224" s="21">
        <f t="shared" ca="1" si="191"/>
        <v>0</v>
      </c>
      <c r="H3224" s="21">
        <v>3209</v>
      </c>
      <c r="I3224" s="107">
        <v>0.66788529225659765</v>
      </c>
      <c r="J3224" s="108">
        <v>1.5337903808548727E-3</v>
      </c>
      <c r="K3224" s="108"/>
      <c r="L3224" s="108">
        <v>4.4200000000000003E-2</v>
      </c>
      <c r="O3224" s="105"/>
    </row>
    <row r="3225" spans="2:15" x14ac:dyDescent="0.2">
      <c r="B3225" s="1">
        <v>3210</v>
      </c>
      <c r="C3225" s="106">
        <f ca="1"/>
        <v>-0.69718006813318367</v>
      </c>
      <c r="D3225" s="106">
        <f t="shared" ca="1" si="189"/>
        <v>0.62033978600472761</v>
      </c>
      <c r="E3225" s="106">
        <f t="shared" ca="1" si="190"/>
        <v>0</v>
      </c>
      <c r="F3225" s="21">
        <f t="shared" ca="1" si="191"/>
        <v>0</v>
      </c>
      <c r="H3225" s="21">
        <v>3210</v>
      </c>
      <c r="I3225" s="107">
        <v>0.6676929698387114</v>
      </c>
      <c r="J3225" s="108">
        <v>1.2727802782978189E-3</v>
      </c>
      <c r="K3225" s="108"/>
      <c r="L3225" s="108">
        <v>4.36E-2</v>
      </c>
      <c r="O3225" s="105"/>
    </row>
    <row r="3226" spans="2:15" x14ac:dyDescent="0.2">
      <c r="B3226" s="1">
        <v>3211</v>
      </c>
      <c r="C3226" s="106">
        <f ca="1"/>
        <v>0.2059496020611965</v>
      </c>
      <c r="D3226" s="106">
        <f t="shared" ca="1" si="189"/>
        <v>0.67813967555690424</v>
      </c>
      <c r="E3226" s="106">
        <f t="shared" ca="1" si="190"/>
        <v>0</v>
      </c>
      <c r="F3226" s="21">
        <f t="shared" ca="1" si="191"/>
        <v>0</v>
      </c>
      <c r="H3226" s="21">
        <v>3211</v>
      </c>
      <c r="I3226" s="107">
        <v>0.6677201998050849</v>
      </c>
      <c r="J3226" s="108">
        <v>1.3963731672636719E-3</v>
      </c>
      <c r="K3226" s="108"/>
      <c r="L3226" s="108">
        <v>0.04</v>
      </c>
      <c r="O3226" s="105"/>
    </row>
    <row r="3227" spans="2:15" x14ac:dyDescent="0.2">
      <c r="B3227" s="1">
        <v>3212</v>
      </c>
      <c r="C3227" s="106">
        <f ca="1"/>
        <v>0.36897579556378962</v>
      </c>
      <c r="D3227" s="106">
        <f t="shared" ca="1" si="189"/>
        <v>0.68913307715794048</v>
      </c>
      <c r="E3227" s="106">
        <f t="shared" ca="1" si="190"/>
        <v>0</v>
      </c>
      <c r="F3227" s="21">
        <f t="shared" ca="1" si="191"/>
        <v>0</v>
      </c>
      <c r="H3227" s="21">
        <v>3212</v>
      </c>
      <c r="I3227" s="107">
        <v>0.66758151410965638</v>
      </c>
      <c r="J3227" s="108">
        <v>1.0796319928277462E-3</v>
      </c>
      <c r="K3227" s="108"/>
      <c r="L3227" s="108">
        <v>3.7999999999999999E-2</v>
      </c>
      <c r="O3227" s="105"/>
    </row>
    <row r="3228" spans="2:15" x14ac:dyDescent="0.2">
      <c r="B3228" s="1">
        <v>3213</v>
      </c>
      <c r="C3228" s="106">
        <f ca="1"/>
        <v>0.30361806581745338</v>
      </c>
      <c r="D3228" s="106">
        <f t="shared" ca="1" si="189"/>
        <v>0.68470454539079251</v>
      </c>
      <c r="E3228" s="106">
        <f t="shared" ca="1" si="190"/>
        <v>0</v>
      </c>
      <c r="F3228" s="21">
        <f t="shared" ca="1" si="191"/>
        <v>0</v>
      </c>
      <c r="H3228" s="21">
        <v>3213</v>
      </c>
      <c r="I3228" s="107">
        <v>0.667814445821864</v>
      </c>
      <c r="J3228" s="108">
        <v>1.5537931130618647E-3</v>
      </c>
      <c r="K3228" s="108"/>
      <c r="L3228" s="108">
        <v>4.4400000000000002E-2</v>
      </c>
      <c r="O3228" s="105"/>
    </row>
    <row r="3229" spans="2:15" x14ac:dyDescent="0.2">
      <c r="B3229" s="1">
        <v>3214</v>
      </c>
      <c r="C3229" s="106">
        <f ca="1"/>
        <v>-2.578554300907715E-2</v>
      </c>
      <c r="D3229" s="106">
        <f t="shared" ca="1" si="189"/>
        <v>0.6628141379267285</v>
      </c>
      <c r="E3229" s="106">
        <f t="shared" ca="1" si="190"/>
        <v>0</v>
      </c>
      <c r="F3229" s="21">
        <f t="shared" ca="1" si="191"/>
        <v>0</v>
      </c>
      <c r="H3229" s="21">
        <v>3214</v>
      </c>
      <c r="I3229" s="107">
        <v>0.66781311004371458</v>
      </c>
      <c r="J3229" s="108">
        <v>1.4714612076284193E-3</v>
      </c>
      <c r="K3229" s="108"/>
      <c r="L3229" s="108">
        <v>4.1399999999999999E-2</v>
      </c>
      <c r="O3229" s="105"/>
    </row>
    <row r="3230" spans="2:15" x14ac:dyDescent="0.2">
      <c r="B3230" s="1">
        <v>3215</v>
      </c>
      <c r="C3230" s="106">
        <f ca="1"/>
        <v>-0.54465719848255068</v>
      </c>
      <c r="D3230" s="106">
        <f t="shared" ca="1" si="189"/>
        <v>0.62974339565833348</v>
      </c>
      <c r="E3230" s="106">
        <f t="shared" ca="1" si="190"/>
        <v>0</v>
      </c>
      <c r="F3230" s="21">
        <f t="shared" ca="1" si="191"/>
        <v>0</v>
      </c>
      <c r="H3230" s="21">
        <v>3215</v>
      </c>
      <c r="I3230" s="107">
        <v>0.66760189518932678</v>
      </c>
      <c r="J3230" s="108">
        <v>1.1304958670069335E-3</v>
      </c>
      <c r="K3230" s="108"/>
      <c r="L3230" s="108">
        <v>3.6200000000000003E-2</v>
      </c>
      <c r="O3230" s="105"/>
    </row>
    <row r="3231" spans="2:15" x14ac:dyDescent="0.2">
      <c r="B3231" s="1">
        <v>3216</v>
      </c>
      <c r="C3231" s="106">
        <f ca="1"/>
        <v>-0.43833153915542195</v>
      </c>
      <c r="D3231" s="106">
        <f t="shared" ca="1" si="189"/>
        <v>0.63638296728071253</v>
      </c>
      <c r="E3231" s="106">
        <f t="shared" ca="1" si="190"/>
        <v>0</v>
      </c>
      <c r="F3231" s="21">
        <f t="shared" ca="1" si="191"/>
        <v>0</v>
      </c>
      <c r="H3231" s="21">
        <v>3216</v>
      </c>
      <c r="I3231" s="107">
        <v>0.66757509047944352</v>
      </c>
      <c r="J3231" s="108">
        <v>1.1862815870650046E-3</v>
      </c>
      <c r="K3231" s="108"/>
      <c r="L3231" s="108">
        <v>3.9399999999999998E-2</v>
      </c>
      <c r="O3231" s="105"/>
    </row>
    <row r="3232" spans="2:15" x14ac:dyDescent="0.2">
      <c r="B3232" s="1">
        <v>3217</v>
      </c>
      <c r="C3232" s="106">
        <f ca="1"/>
        <v>0.98965785169514708</v>
      </c>
      <c r="D3232" s="106">
        <f t="shared" ca="1" si="189"/>
        <v>0.73264355310595419</v>
      </c>
      <c r="E3232" s="106">
        <f t="shared" ca="1" si="190"/>
        <v>0</v>
      </c>
      <c r="F3232" s="21">
        <f t="shared" ca="1" si="191"/>
        <v>0</v>
      </c>
      <c r="H3232" s="21">
        <v>3217</v>
      </c>
      <c r="I3232" s="107">
        <v>0.66764472777208006</v>
      </c>
      <c r="J3232" s="108">
        <v>1.2904400732785682E-3</v>
      </c>
      <c r="K3232" s="108"/>
      <c r="L3232" s="108">
        <v>4.1000000000000002E-2</v>
      </c>
      <c r="O3232" s="105"/>
    </row>
    <row r="3233" spans="2:15" x14ac:dyDescent="0.2">
      <c r="B3233" s="1">
        <v>3218</v>
      </c>
      <c r="C3233" s="106">
        <f ca="1"/>
        <v>-0.88931511796853591</v>
      </c>
      <c r="D3233" s="106">
        <f t="shared" ca="1" si="189"/>
        <v>0.60869353461790898</v>
      </c>
      <c r="E3233" s="106">
        <f t="shared" ca="1" si="190"/>
        <v>0</v>
      </c>
      <c r="F3233" s="21">
        <f t="shared" ca="1" si="191"/>
        <v>0</v>
      </c>
      <c r="H3233" s="21">
        <v>3218</v>
      </c>
      <c r="I3233" s="107">
        <v>0.66776950204858887</v>
      </c>
      <c r="J3233" s="108">
        <v>1.4405258662829163E-3</v>
      </c>
      <c r="K3233" s="108"/>
      <c r="L3233" s="108">
        <v>4.48E-2</v>
      </c>
      <c r="O3233" s="105"/>
    </row>
    <row r="3234" spans="2:15" x14ac:dyDescent="0.2">
      <c r="B3234" s="1">
        <v>3219</v>
      </c>
      <c r="C3234" s="106">
        <f ca="1"/>
        <v>-1.1999612725413367</v>
      </c>
      <c r="D3234" s="106">
        <f t="shared" ca="1" si="189"/>
        <v>0.59032448794778636</v>
      </c>
      <c r="E3234" s="106">
        <f t="shared" ca="1" si="190"/>
        <v>0</v>
      </c>
      <c r="F3234" s="21">
        <f t="shared" ca="1" si="191"/>
        <v>0</v>
      </c>
      <c r="H3234" s="21">
        <v>3219</v>
      </c>
      <c r="I3234" s="107">
        <v>0.6678783429885129</v>
      </c>
      <c r="J3234" s="108">
        <v>1.4833924548647019E-3</v>
      </c>
      <c r="K3234" s="108"/>
      <c r="L3234" s="108">
        <v>4.7199999999999999E-2</v>
      </c>
      <c r="O3234" s="105"/>
    </row>
    <row r="3235" spans="2:15" x14ac:dyDescent="0.2">
      <c r="B3235" s="1">
        <v>3220</v>
      </c>
      <c r="C3235" s="106">
        <f ca="1"/>
        <v>0.26282258564624911</v>
      </c>
      <c r="D3235" s="106">
        <f t="shared" ca="1" si="189"/>
        <v>0.68195474843241488</v>
      </c>
      <c r="E3235" s="106">
        <f t="shared" ca="1" si="190"/>
        <v>0</v>
      </c>
      <c r="F3235" s="21">
        <f t="shared" ca="1" si="191"/>
        <v>0</v>
      </c>
      <c r="H3235" s="21">
        <v>3220</v>
      </c>
      <c r="I3235" s="107">
        <v>0.66765709470774992</v>
      </c>
      <c r="J3235" s="108">
        <v>1.2520000229791621E-3</v>
      </c>
      <c r="K3235" s="108"/>
      <c r="L3235" s="108">
        <v>0.04</v>
      </c>
      <c r="O3235" s="105"/>
    </row>
    <row r="3236" spans="2:15" x14ac:dyDescent="0.2">
      <c r="B3236" s="1">
        <v>3221</v>
      </c>
      <c r="C3236" s="106">
        <f ca="1"/>
        <v>0.34661748261765107</v>
      </c>
      <c r="D3236" s="106">
        <f t="shared" ca="1" si="189"/>
        <v>0.68761490085983235</v>
      </c>
      <c r="E3236" s="106">
        <f t="shared" ca="1" si="190"/>
        <v>0</v>
      </c>
      <c r="F3236" s="21">
        <f t="shared" ca="1" si="191"/>
        <v>0</v>
      </c>
      <c r="H3236" s="21">
        <v>3221</v>
      </c>
      <c r="I3236" s="107">
        <v>0.66764973198601374</v>
      </c>
      <c r="J3236" s="108">
        <v>1.2828466862653055E-3</v>
      </c>
      <c r="K3236" s="108"/>
      <c r="L3236" s="108">
        <v>4.1200000000000001E-2</v>
      </c>
      <c r="O3236" s="105"/>
    </row>
    <row r="3237" spans="2:15" x14ac:dyDescent="0.2">
      <c r="B3237" s="1">
        <v>3222</v>
      </c>
      <c r="C3237" s="106">
        <f ca="1"/>
        <v>-0.63537245199912706</v>
      </c>
      <c r="D3237" s="106">
        <f t="shared" ca="1" si="189"/>
        <v>0.62413341715582704</v>
      </c>
      <c r="E3237" s="106">
        <f t="shared" ca="1" si="190"/>
        <v>0</v>
      </c>
      <c r="F3237" s="21">
        <f t="shared" ca="1" si="191"/>
        <v>0</v>
      </c>
      <c r="H3237" s="21">
        <v>3222</v>
      </c>
      <c r="I3237" s="107">
        <v>0.66761925850590509</v>
      </c>
      <c r="J3237" s="108">
        <v>1.2477167268786313E-3</v>
      </c>
      <c r="K3237" s="108"/>
      <c r="L3237" s="108">
        <v>3.7199999999999997E-2</v>
      </c>
      <c r="O3237" s="105"/>
    </row>
    <row r="3238" spans="2:15" x14ac:dyDescent="0.2">
      <c r="B3238" s="1">
        <v>3223</v>
      </c>
      <c r="C3238" s="106">
        <f ca="1"/>
        <v>0.21898072406972266</v>
      </c>
      <c r="D3238" s="106">
        <f t="shared" ca="1" si="189"/>
        <v>0.67901192162090362</v>
      </c>
      <c r="E3238" s="106">
        <f t="shared" ca="1" si="190"/>
        <v>0</v>
      </c>
      <c r="F3238" s="21">
        <f t="shared" ca="1" si="191"/>
        <v>0</v>
      </c>
      <c r="H3238" s="21">
        <v>3223</v>
      </c>
      <c r="I3238" s="107">
        <v>0.66782824094031357</v>
      </c>
      <c r="J3238" s="108">
        <v>1.3984432146068105E-3</v>
      </c>
      <c r="K3238" s="108"/>
      <c r="L3238" s="108">
        <v>4.3200000000000002E-2</v>
      </c>
      <c r="O3238" s="105"/>
    </row>
    <row r="3239" spans="2:15" x14ac:dyDescent="0.2">
      <c r="B3239" s="1">
        <v>3224</v>
      </c>
      <c r="C3239" s="106">
        <f ca="1"/>
        <v>2.4414188336392719</v>
      </c>
      <c r="D3239" s="106">
        <f t="shared" ca="1" si="189"/>
        <v>0.84544483989360353</v>
      </c>
      <c r="E3239" s="106">
        <f t="shared" ca="1" si="190"/>
        <v>5.7244839893603516E-2</v>
      </c>
      <c r="F3239" s="21">
        <f t="shared" ca="1" si="191"/>
        <v>1</v>
      </c>
      <c r="H3239" s="21">
        <v>3224</v>
      </c>
      <c r="I3239" s="107">
        <v>0.66769785066462395</v>
      </c>
      <c r="J3239" s="108">
        <v>1.2810467507533637E-3</v>
      </c>
      <c r="K3239" s="108"/>
      <c r="L3239" s="108">
        <v>3.8800000000000001E-2</v>
      </c>
      <c r="O3239" s="105"/>
    </row>
    <row r="3240" spans="2:15" x14ac:dyDescent="0.2">
      <c r="B3240" s="1">
        <v>3225</v>
      </c>
      <c r="C3240" s="106">
        <f ca="1"/>
        <v>-0.1703948855692668</v>
      </c>
      <c r="D3240" s="106">
        <f t="shared" ca="1" si="189"/>
        <v>0.65342656745560401</v>
      </c>
      <c r="E3240" s="106">
        <f t="shared" ca="1" si="190"/>
        <v>0</v>
      </c>
      <c r="F3240" s="21">
        <f t="shared" ca="1" si="191"/>
        <v>0</v>
      </c>
      <c r="H3240" s="21">
        <v>3225</v>
      </c>
      <c r="I3240" s="107">
        <v>0.66778813630378386</v>
      </c>
      <c r="J3240" s="108">
        <v>1.4438839090349361E-3</v>
      </c>
      <c r="K3240" s="108"/>
      <c r="L3240" s="108">
        <v>4.2200000000000001E-2</v>
      </c>
      <c r="O3240" s="105"/>
    </row>
    <row r="3241" spans="2:15" x14ac:dyDescent="0.2">
      <c r="B3241" s="1">
        <v>3226</v>
      </c>
      <c r="C3241" s="106">
        <f ca="1"/>
        <v>0.577072994293227</v>
      </c>
      <c r="D3241" s="106">
        <f t="shared" ca="1" si="189"/>
        <v>0.70342508457870345</v>
      </c>
      <c r="E3241" s="106">
        <f t="shared" ca="1" si="190"/>
        <v>0</v>
      </c>
      <c r="F3241" s="21">
        <f t="shared" ca="1" si="191"/>
        <v>0</v>
      </c>
      <c r="H3241" s="21">
        <v>3226</v>
      </c>
      <c r="I3241" s="107">
        <v>0.66772906052051695</v>
      </c>
      <c r="J3241" s="108">
        <v>1.431007817874672E-3</v>
      </c>
      <c r="K3241" s="108"/>
      <c r="L3241" s="108">
        <v>4.1799999999999997E-2</v>
      </c>
      <c r="O3241" s="105"/>
    </row>
    <row r="3242" spans="2:15" x14ac:dyDescent="0.2">
      <c r="B3242" s="1">
        <v>3227</v>
      </c>
      <c r="C3242" s="106">
        <f ca="1"/>
        <v>1.2524483161261695</v>
      </c>
      <c r="D3242" s="106">
        <f t="shared" ca="1" si="189"/>
        <v>0.75188342985017964</v>
      </c>
      <c r="E3242" s="106">
        <f t="shared" ca="1" si="190"/>
        <v>0</v>
      </c>
      <c r="F3242" s="21">
        <f t="shared" ca="1" si="191"/>
        <v>0</v>
      </c>
      <c r="H3242" s="21">
        <v>3227</v>
      </c>
      <c r="I3242" s="107">
        <v>0.66782182364762255</v>
      </c>
      <c r="J3242" s="108">
        <v>1.3184634920027439E-3</v>
      </c>
      <c r="K3242" s="108"/>
      <c r="L3242" s="108">
        <v>4.6800000000000001E-2</v>
      </c>
      <c r="O3242" s="105"/>
    </row>
    <row r="3243" spans="2:15" x14ac:dyDescent="0.2">
      <c r="B3243" s="1">
        <v>3228</v>
      </c>
      <c r="C3243" s="106">
        <f ca="1"/>
        <v>0.66822313542685852</v>
      </c>
      <c r="D3243" s="106">
        <f t="shared" ca="1" si="189"/>
        <v>0.7097782178884231</v>
      </c>
      <c r="E3243" s="106">
        <f t="shared" ca="1" si="190"/>
        <v>0</v>
      </c>
      <c r="F3243" s="21">
        <f t="shared" ca="1" si="191"/>
        <v>0</v>
      </c>
      <c r="H3243" s="21">
        <v>3228</v>
      </c>
      <c r="I3243" s="107">
        <v>0.66769648075255394</v>
      </c>
      <c r="J3243" s="108">
        <v>1.4054138186051978E-3</v>
      </c>
      <c r="K3243" s="108"/>
      <c r="L3243" s="108">
        <v>4.2000000000000003E-2</v>
      </c>
      <c r="O3243" s="105"/>
    </row>
    <row r="3244" spans="2:15" x14ac:dyDescent="0.2">
      <c r="B3244" s="1">
        <v>3229</v>
      </c>
      <c r="C3244" s="106">
        <f ca="1"/>
        <v>-0.43410051244344527</v>
      </c>
      <c r="D3244" s="106">
        <f t="shared" ca="1" si="189"/>
        <v>0.63664861974295017</v>
      </c>
      <c r="E3244" s="106">
        <f t="shared" ca="1" si="190"/>
        <v>0</v>
      </c>
      <c r="F3244" s="21">
        <f t="shared" ca="1" si="191"/>
        <v>0</v>
      </c>
      <c r="H3244" s="21">
        <v>3229</v>
      </c>
      <c r="I3244" s="107">
        <v>0.66782715037845342</v>
      </c>
      <c r="J3244" s="108">
        <v>1.3825257509169546E-3</v>
      </c>
      <c r="K3244" s="108"/>
      <c r="L3244" s="108">
        <v>4.2999999999999997E-2</v>
      </c>
      <c r="O3244" s="105"/>
    </row>
    <row r="3245" spans="2:15" x14ac:dyDescent="0.2">
      <c r="B3245" s="1">
        <v>3230</v>
      </c>
      <c r="C3245" s="106">
        <f ca="1"/>
        <v>0.62638408674556389</v>
      </c>
      <c r="D3245" s="106">
        <f t="shared" ca="1" si="189"/>
        <v>0.70685495752608363</v>
      </c>
      <c r="E3245" s="106">
        <f t="shared" ca="1" si="190"/>
        <v>0</v>
      </c>
      <c r="F3245" s="21">
        <f t="shared" ca="1" si="191"/>
        <v>0</v>
      </c>
      <c r="H3245" s="21">
        <v>3230</v>
      </c>
      <c r="I3245" s="107">
        <v>0.66769279047577501</v>
      </c>
      <c r="J3245" s="108">
        <v>1.4079774579393097E-3</v>
      </c>
      <c r="K3245" s="108"/>
      <c r="L3245" s="108">
        <v>4.0399999999999998E-2</v>
      </c>
      <c r="O3245" s="105"/>
    </row>
    <row r="3246" spans="2:15" x14ac:dyDescent="0.2">
      <c r="B3246" s="1">
        <v>3231</v>
      </c>
      <c r="C3246" s="106">
        <f ca="1"/>
        <v>0.31753956307654058</v>
      </c>
      <c r="D3246" s="106">
        <f t="shared" ca="1" si="189"/>
        <v>0.68564545149511513</v>
      </c>
      <c r="E3246" s="106">
        <f t="shared" ca="1" si="190"/>
        <v>0</v>
      </c>
      <c r="F3246" s="21">
        <f t="shared" ca="1" si="191"/>
        <v>0</v>
      </c>
      <c r="H3246" s="21">
        <v>3231</v>
      </c>
      <c r="I3246" s="107">
        <v>0.66771486889188658</v>
      </c>
      <c r="J3246" s="108">
        <v>1.2481072590497786E-3</v>
      </c>
      <c r="K3246" s="108"/>
      <c r="L3246" s="108">
        <v>3.9199999999999999E-2</v>
      </c>
      <c r="O3246" s="105"/>
    </row>
    <row r="3247" spans="2:15" x14ac:dyDescent="0.2">
      <c r="B3247" s="1">
        <v>3232</v>
      </c>
      <c r="C3247" s="106">
        <f ca="1"/>
        <v>-0.2752693684886961</v>
      </c>
      <c r="D3247" s="106">
        <f t="shared" ca="1" si="189"/>
        <v>0.64670174103349742</v>
      </c>
      <c r="E3247" s="106">
        <f t="shared" ca="1" si="190"/>
        <v>0</v>
      </c>
      <c r="F3247" s="21">
        <f t="shared" ca="1" si="191"/>
        <v>0</v>
      </c>
      <c r="H3247" s="21">
        <v>3232</v>
      </c>
      <c r="I3247" s="107">
        <v>0.66783804031565164</v>
      </c>
      <c r="J3247" s="108">
        <v>1.427309585464301E-3</v>
      </c>
      <c r="K3247" s="108"/>
      <c r="L3247" s="108">
        <v>4.7E-2</v>
      </c>
      <c r="O3247" s="105"/>
    </row>
    <row r="3248" spans="2:15" x14ac:dyDescent="0.2">
      <c r="B3248" s="1">
        <v>3233</v>
      </c>
      <c r="C3248" s="106">
        <f ca="1"/>
        <v>-0.45323893816018768</v>
      </c>
      <c r="D3248" s="106">
        <f t="shared" ca="1" si="189"/>
        <v>0.63544786298745037</v>
      </c>
      <c r="E3248" s="106">
        <f t="shared" ca="1" si="190"/>
        <v>0</v>
      </c>
      <c r="F3248" s="21">
        <f t="shared" ca="1" si="191"/>
        <v>0</v>
      </c>
      <c r="H3248" s="21">
        <v>3233</v>
      </c>
      <c r="I3248" s="107">
        <v>0.66771217773794911</v>
      </c>
      <c r="J3248" s="108">
        <v>1.3041963825053957E-3</v>
      </c>
      <c r="K3248" s="108"/>
      <c r="L3248" s="108">
        <v>4.02E-2</v>
      </c>
      <c r="O3248" s="105"/>
    </row>
    <row r="3249" spans="2:15" x14ac:dyDescent="0.2">
      <c r="B3249" s="1">
        <v>3234</v>
      </c>
      <c r="C3249" s="106">
        <f ca="1"/>
        <v>0.63741982247332285</v>
      </c>
      <c r="D3249" s="106">
        <f t="shared" ca="1" si="189"/>
        <v>0.70762484438065676</v>
      </c>
      <c r="E3249" s="106">
        <f t="shared" ca="1" si="190"/>
        <v>0</v>
      </c>
      <c r="F3249" s="21">
        <f t="shared" ca="1" si="191"/>
        <v>0</v>
      </c>
      <c r="H3249" s="21">
        <v>3234</v>
      </c>
      <c r="I3249" s="107">
        <v>0.66754114961299116</v>
      </c>
      <c r="J3249" s="108">
        <v>1.1534648166479089E-3</v>
      </c>
      <c r="K3249" s="108"/>
      <c r="L3249" s="108">
        <v>3.7400000000000003E-2</v>
      </c>
      <c r="O3249" s="105"/>
    </row>
    <row r="3250" spans="2:15" x14ac:dyDescent="0.2">
      <c r="B3250" s="1">
        <v>3235</v>
      </c>
      <c r="C3250" s="106">
        <f ca="1"/>
        <v>0.28343315904982475</v>
      </c>
      <c r="D3250" s="106">
        <f t="shared" ca="1" si="189"/>
        <v>0.68334260977680539</v>
      </c>
      <c r="E3250" s="106">
        <f t="shared" ca="1" si="190"/>
        <v>0</v>
      </c>
      <c r="F3250" s="21">
        <f t="shared" ca="1" si="191"/>
        <v>0</v>
      </c>
      <c r="H3250" s="21">
        <v>3235</v>
      </c>
      <c r="I3250" s="107">
        <v>0.66777774987240079</v>
      </c>
      <c r="J3250" s="108">
        <v>1.3783355510644392E-3</v>
      </c>
      <c r="K3250" s="108"/>
      <c r="L3250" s="108">
        <v>4.1000000000000002E-2</v>
      </c>
      <c r="O3250" s="105"/>
    </row>
    <row r="3251" spans="2:15" x14ac:dyDescent="0.2">
      <c r="B3251" s="1">
        <v>3236</v>
      </c>
      <c r="C3251" s="106">
        <f ca="1"/>
        <v>1.1285758385359537</v>
      </c>
      <c r="D3251" s="106">
        <f t="shared" ca="1" si="189"/>
        <v>0.7427521084316282</v>
      </c>
      <c r="E3251" s="106">
        <f t="shared" ca="1" si="190"/>
        <v>0</v>
      </c>
      <c r="F3251" s="21">
        <f t="shared" ca="1" si="191"/>
        <v>0</v>
      </c>
      <c r="H3251" s="21">
        <v>3236</v>
      </c>
      <c r="I3251" s="107">
        <v>0.66758346418540093</v>
      </c>
      <c r="J3251" s="108">
        <v>1.213546508339177E-3</v>
      </c>
      <c r="K3251" s="108"/>
      <c r="L3251" s="108">
        <v>3.8800000000000001E-2</v>
      </c>
      <c r="O3251" s="105"/>
    </row>
    <row r="3252" spans="2:15" x14ac:dyDescent="0.2">
      <c r="B3252" s="1">
        <v>3237</v>
      </c>
      <c r="C3252" s="106">
        <f ca="1"/>
        <v>0.2275028617647783</v>
      </c>
      <c r="D3252" s="106">
        <f t="shared" ca="1" si="189"/>
        <v>0.6795829627658313</v>
      </c>
      <c r="E3252" s="106">
        <f t="shared" ca="1" si="190"/>
        <v>0</v>
      </c>
      <c r="F3252" s="21">
        <f t="shared" ca="1" si="191"/>
        <v>0</v>
      </c>
      <c r="H3252" s="21">
        <v>3237</v>
      </c>
      <c r="I3252" s="107">
        <v>0.66777739366055233</v>
      </c>
      <c r="J3252" s="108">
        <v>1.4204790368054399E-3</v>
      </c>
      <c r="K3252" s="108"/>
      <c r="L3252" s="108">
        <v>4.1799999999999997E-2</v>
      </c>
      <c r="O3252" s="105"/>
    </row>
    <row r="3253" spans="2:15" x14ac:dyDescent="0.2">
      <c r="B3253" s="1">
        <v>3238</v>
      </c>
      <c r="C3253" s="106">
        <f ca="1"/>
        <v>-0.94842770412032495</v>
      </c>
      <c r="D3253" s="106">
        <f t="shared" ca="1" si="189"/>
        <v>0.60515460446352853</v>
      </c>
      <c r="E3253" s="106">
        <f t="shared" ca="1" si="190"/>
        <v>0</v>
      </c>
      <c r="F3253" s="21">
        <f t="shared" ca="1" si="191"/>
        <v>0</v>
      </c>
      <c r="H3253" s="21">
        <v>3238</v>
      </c>
      <c r="I3253" s="107">
        <v>0.66756626159796728</v>
      </c>
      <c r="J3253" s="108">
        <v>1.0554471116137165E-3</v>
      </c>
      <c r="K3253" s="108"/>
      <c r="L3253" s="108">
        <v>3.7400000000000003E-2</v>
      </c>
      <c r="O3253" s="105"/>
    </row>
    <row r="3254" spans="2:15" x14ac:dyDescent="0.2">
      <c r="B3254" s="1">
        <v>3239</v>
      </c>
      <c r="C3254" s="106">
        <f ca="1"/>
        <v>-1.2128608051835941</v>
      </c>
      <c r="D3254" s="106">
        <f t="shared" ca="1" si="189"/>
        <v>0.58957382081546383</v>
      </c>
      <c r="E3254" s="106">
        <f t="shared" ca="1" si="190"/>
        <v>0</v>
      </c>
      <c r="F3254" s="21">
        <f t="shared" ca="1" si="191"/>
        <v>0</v>
      </c>
      <c r="H3254" s="21">
        <v>3239</v>
      </c>
      <c r="I3254" s="107">
        <v>0.66777794326917128</v>
      </c>
      <c r="J3254" s="108">
        <v>1.4043188030924379E-3</v>
      </c>
      <c r="K3254" s="108"/>
      <c r="L3254" s="108">
        <v>4.36E-2</v>
      </c>
      <c r="O3254" s="105"/>
    </row>
    <row r="3255" spans="2:15" x14ac:dyDescent="0.2">
      <c r="B3255" s="1">
        <v>3240</v>
      </c>
      <c r="C3255" s="106">
        <f ca="1"/>
        <v>0.82525798597915145</v>
      </c>
      <c r="D3255" s="106">
        <f t="shared" ca="1" si="189"/>
        <v>0.7208583667085362</v>
      </c>
      <c r="E3255" s="106">
        <f t="shared" ca="1" si="190"/>
        <v>0</v>
      </c>
      <c r="F3255" s="21">
        <f t="shared" ca="1" si="191"/>
        <v>0</v>
      </c>
      <c r="H3255" s="21">
        <v>3240</v>
      </c>
      <c r="I3255" s="107">
        <v>0.66780701932824438</v>
      </c>
      <c r="J3255" s="108">
        <v>1.3079656668584653E-3</v>
      </c>
      <c r="K3255" s="108"/>
      <c r="L3255" s="108">
        <v>4.1599999999999998E-2</v>
      </c>
      <c r="O3255" s="105"/>
    </row>
    <row r="3256" spans="2:15" x14ac:dyDescent="0.2">
      <c r="B3256" s="1">
        <v>3241</v>
      </c>
      <c r="C3256" s="106">
        <f ca="1"/>
        <v>0.6436163959064416</v>
      </c>
      <c r="D3256" s="106">
        <f t="shared" ca="1" si="189"/>
        <v>0.7080575039455691</v>
      </c>
      <c r="E3256" s="106">
        <f t="shared" ca="1" si="190"/>
        <v>0</v>
      </c>
      <c r="F3256" s="21">
        <f t="shared" ca="1" si="191"/>
        <v>0</v>
      </c>
      <c r="H3256" s="21">
        <v>3241</v>
      </c>
      <c r="I3256" s="107">
        <v>0.66765638056956478</v>
      </c>
      <c r="J3256" s="108">
        <v>1.3287860189483943E-3</v>
      </c>
      <c r="K3256" s="108"/>
      <c r="L3256" s="108">
        <v>4.0599999999999997E-2</v>
      </c>
      <c r="O3256" s="105"/>
    </row>
    <row r="3257" spans="2:15" x14ac:dyDescent="0.2">
      <c r="B3257" s="1">
        <v>3242</v>
      </c>
      <c r="C3257" s="106">
        <f ca="1"/>
        <v>1.3461104923707117</v>
      </c>
      <c r="D3257" s="106">
        <f t="shared" ca="1" si="189"/>
        <v>0.75886224055392937</v>
      </c>
      <c r="E3257" s="106">
        <f t="shared" ca="1" si="190"/>
        <v>0</v>
      </c>
      <c r="F3257" s="21">
        <f t="shared" ca="1" si="191"/>
        <v>0</v>
      </c>
      <c r="H3257" s="21">
        <v>3242</v>
      </c>
      <c r="I3257" s="107">
        <v>0.66766584714018029</v>
      </c>
      <c r="J3257" s="108">
        <v>1.1625467432650621E-3</v>
      </c>
      <c r="K3257" s="108"/>
      <c r="L3257" s="108">
        <v>3.6999999999999998E-2</v>
      </c>
      <c r="O3257" s="105"/>
    </row>
    <row r="3258" spans="2:15" x14ac:dyDescent="0.2">
      <c r="B3258" s="1">
        <v>3243</v>
      </c>
      <c r="C3258" s="106">
        <f ca="1"/>
        <v>0.93182882102281939</v>
      </c>
      <c r="D3258" s="106">
        <f t="shared" ca="1" si="189"/>
        <v>0.7284762081162599</v>
      </c>
      <c r="E3258" s="106">
        <f t="shared" ca="1" si="190"/>
        <v>0</v>
      </c>
      <c r="F3258" s="21">
        <f t="shared" ca="1" si="191"/>
        <v>0</v>
      </c>
      <c r="H3258" s="21">
        <v>3243</v>
      </c>
      <c r="I3258" s="107">
        <v>0.6678584874744381</v>
      </c>
      <c r="J3258" s="108">
        <v>1.3990761208369903E-3</v>
      </c>
      <c r="K3258" s="108"/>
      <c r="L3258" s="108">
        <v>4.5400000000000003E-2</v>
      </c>
      <c r="O3258" s="105"/>
    </row>
    <row r="3259" spans="2:15" x14ac:dyDescent="0.2">
      <c r="B3259" s="1">
        <v>3244</v>
      </c>
      <c r="C3259" s="106">
        <f ca="1"/>
        <v>1.2737850928590722</v>
      </c>
      <c r="D3259" s="106">
        <f t="shared" ca="1" si="189"/>
        <v>0.75346757632287897</v>
      </c>
      <c r="E3259" s="106">
        <f t="shared" ca="1" si="190"/>
        <v>0</v>
      </c>
      <c r="F3259" s="21">
        <f t="shared" ca="1" si="191"/>
        <v>0</v>
      </c>
      <c r="H3259" s="21">
        <v>3244</v>
      </c>
      <c r="I3259" s="107">
        <v>0.66775817012019911</v>
      </c>
      <c r="J3259" s="108">
        <v>1.5340955508269926E-3</v>
      </c>
      <c r="K3259" s="108"/>
      <c r="L3259" s="108">
        <v>4.2999999999999997E-2</v>
      </c>
      <c r="O3259" s="105"/>
    </row>
    <row r="3260" spans="2:15" x14ac:dyDescent="0.2">
      <c r="B3260" s="1">
        <v>3245</v>
      </c>
      <c r="C3260" s="106">
        <f ca="1"/>
        <v>-0.63116324774486932</v>
      </c>
      <c r="D3260" s="106">
        <f t="shared" ca="1" si="189"/>
        <v>0.62439261208471508</v>
      </c>
      <c r="E3260" s="106">
        <f t="shared" ca="1" si="190"/>
        <v>0</v>
      </c>
      <c r="F3260" s="21">
        <f t="shared" ca="1" si="191"/>
        <v>0</v>
      </c>
      <c r="H3260" s="21">
        <v>3245</v>
      </c>
      <c r="I3260" s="107">
        <v>0.66761731968474869</v>
      </c>
      <c r="J3260" s="108">
        <v>1.2769440441007562E-3</v>
      </c>
      <c r="K3260" s="108"/>
      <c r="L3260" s="108">
        <v>3.8199999999999998E-2</v>
      </c>
      <c r="O3260" s="105"/>
    </row>
    <row r="3261" spans="2:15" x14ac:dyDescent="0.2">
      <c r="B3261" s="1">
        <v>3246</v>
      </c>
      <c r="C3261" s="106">
        <f ca="1"/>
        <v>1.563645542071838</v>
      </c>
      <c r="D3261" s="106">
        <f t="shared" ca="1" si="189"/>
        <v>0.77532182822290496</v>
      </c>
      <c r="E3261" s="106">
        <f t="shared" ca="1" si="190"/>
        <v>0</v>
      </c>
      <c r="F3261" s="21">
        <f t="shared" ca="1" si="191"/>
        <v>0</v>
      </c>
      <c r="H3261" s="21">
        <v>3246</v>
      </c>
      <c r="I3261" s="107">
        <v>0.66772863935612836</v>
      </c>
      <c r="J3261" s="108">
        <v>1.409885542796759E-3</v>
      </c>
      <c r="K3261" s="108"/>
      <c r="L3261" s="108">
        <v>4.2599999999999999E-2</v>
      </c>
      <c r="O3261" s="105"/>
    </row>
    <row r="3262" spans="2:15" x14ac:dyDescent="0.2">
      <c r="B3262" s="1">
        <v>3247</v>
      </c>
      <c r="C3262" s="106">
        <f ca="1"/>
        <v>-0.58341646444169015</v>
      </c>
      <c r="D3262" s="106">
        <f t="shared" ca="1" si="189"/>
        <v>0.62734031626781173</v>
      </c>
      <c r="E3262" s="106">
        <f t="shared" ca="1" si="190"/>
        <v>0</v>
      </c>
      <c r="F3262" s="21">
        <f t="shared" ca="1" si="191"/>
        <v>0</v>
      </c>
      <c r="H3262" s="21">
        <v>3247</v>
      </c>
      <c r="I3262" s="107">
        <v>0.66782541322952815</v>
      </c>
      <c r="J3262" s="108">
        <v>1.3819661947043543E-3</v>
      </c>
      <c r="K3262" s="108"/>
      <c r="L3262" s="108">
        <v>4.5400000000000003E-2</v>
      </c>
      <c r="O3262" s="105"/>
    </row>
    <row r="3263" spans="2:15" x14ac:dyDescent="0.2">
      <c r="B3263" s="1">
        <v>3248</v>
      </c>
      <c r="C3263" s="106">
        <f ca="1"/>
        <v>1.2687797247793853</v>
      </c>
      <c r="D3263" s="106">
        <f t="shared" ca="1" si="189"/>
        <v>0.7530956539709317</v>
      </c>
      <c r="E3263" s="106">
        <f t="shared" ca="1" si="190"/>
        <v>0</v>
      </c>
      <c r="F3263" s="21">
        <f t="shared" ca="1" si="191"/>
        <v>0</v>
      </c>
      <c r="H3263" s="21">
        <v>3248</v>
      </c>
      <c r="I3263" s="107">
        <v>0.6677619978182342</v>
      </c>
      <c r="J3263" s="108">
        <v>1.5115902740750412E-3</v>
      </c>
      <c r="K3263" s="108"/>
      <c r="L3263" s="108">
        <v>4.3799999999999999E-2</v>
      </c>
      <c r="O3263" s="105"/>
    </row>
    <row r="3264" spans="2:15" x14ac:dyDescent="0.2">
      <c r="B3264" s="1">
        <v>3249</v>
      </c>
      <c r="C3264" s="106">
        <f ca="1"/>
        <v>-0.38273635789978067</v>
      </c>
      <c r="D3264" s="106">
        <f t="shared" ca="1" si="189"/>
        <v>0.63988246709088004</v>
      </c>
      <c r="E3264" s="106">
        <f t="shared" ca="1" si="190"/>
        <v>0</v>
      </c>
      <c r="F3264" s="21">
        <f t="shared" ca="1" si="191"/>
        <v>0</v>
      </c>
      <c r="H3264" s="21">
        <v>3249</v>
      </c>
      <c r="I3264" s="107">
        <v>0.667615898283345</v>
      </c>
      <c r="J3264" s="108">
        <v>1.2418506914806508E-3</v>
      </c>
      <c r="K3264" s="108"/>
      <c r="L3264" s="108">
        <v>4.02E-2</v>
      </c>
      <c r="O3264" s="105"/>
    </row>
    <row r="3265" spans="2:15" x14ac:dyDescent="0.2">
      <c r="B3265" s="1">
        <v>3250</v>
      </c>
      <c r="C3265" s="106">
        <f ca="1"/>
        <v>1.3674644154936626</v>
      </c>
      <c r="D3265" s="106">
        <f t="shared" ca="1" si="189"/>
        <v>0.76046237691465346</v>
      </c>
      <c r="E3265" s="106">
        <f t="shared" ca="1" si="190"/>
        <v>0</v>
      </c>
      <c r="F3265" s="21">
        <f t="shared" ca="1" si="191"/>
        <v>0</v>
      </c>
      <c r="H3265" s="21">
        <v>3250</v>
      </c>
      <c r="I3265" s="107">
        <v>0.66763212570597774</v>
      </c>
      <c r="J3265" s="108">
        <v>1.1792219164621469E-3</v>
      </c>
      <c r="K3265" s="108"/>
      <c r="L3265" s="108">
        <v>3.8199999999999998E-2</v>
      </c>
      <c r="O3265" s="105"/>
    </row>
    <row r="3266" spans="2:15" x14ac:dyDescent="0.2">
      <c r="B3266" s="1">
        <v>3251</v>
      </c>
      <c r="C3266" s="106">
        <f ca="1"/>
        <v>0.30067769841144432</v>
      </c>
      <c r="D3266" s="106">
        <f t="shared" ca="1" si="189"/>
        <v>0.68450598129096119</v>
      </c>
      <c r="E3266" s="106">
        <f t="shared" ca="1" si="190"/>
        <v>0</v>
      </c>
      <c r="F3266" s="21">
        <f t="shared" ca="1" si="191"/>
        <v>0</v>
      </c>
      <c r="H3266" s="21">
        <v>3251</v>
      </c>
      <c r="I3266" s="107">
        <v>0.66759334369857859</v>
      </c>
      <c r="J3266" s="108">
        <v>1.193422357776144E-3</v>
      </c>
      <c r="K3266" s="108"/>
      <c r="L3266" s="108">
        <v>0.04</v>
      </c>
      <c r="O3266" s="105"/>
    </row>
    <row r="3267" spans="2:15" x14ac:dyDescent="0.2">
      <c r="B3267" s="1">
        <v>3252</v>
      </c>
      <c r="C3267" s="106">
        <f ca="1"/>
        <v>-1.029673003837553</v>
      </c>
      <c r="D3267" s="106">
        <f t="shared" ca="1" si="189"/>
        <v>0.60032418994717285</v>
      </c>
      <c r="E3267" s="106">
        <f t="shared" ca="1" si="190"/>
        <v>0</v>
      </c>
      <c r="F3267" s="21">
        <f t="shared" ca="1" si="191"/>
        <v>0</v>
      </c>
      <c r="H3267" s="21">
        <v>3252</v>
      </c>
      <c r="I3267" s="107">
        <v>0.66782673542232218</v>
      </c>
      <c r="J3267" s="108">
        <v>1.4925794110795688E-3</v>
      </c>
      <c r="K3267" s="108"/>
      <c r="L3267" s="108">
        <v>4.4999999999999998E-2</v>
      </c>
      <c r="O3267" s="105"/>
    </row>
    <row r="3268" spans="2:15" x14ac:dyDescent="0.2">
      <c r="B3268" s="1">
        <v>3253</v>
      </c>
      <c r="C3268" s="106">
        <f ca="1"/>
        <v>1.4831938697371423</v>
      </c>
      <c r="D3268" s="106">
        <f t="shared" ca="1" si="189"/>
        <v>0.76919333263800771</v>
      </c>
      <c r="E3268" s="106">
        <f t="shared" ca="1" si="190"/>
        <v>0</v>
      </c>
      <c r="F3268" s="21">
        <f t="shared" ca="1" si="191"/>
        <v>0</v>
      </c>
      <c r="H3268" s="21">
        <v>3253</v>
      </c>
      <c r="I3268" s="107">
        <v>0.66783827967157361</v>
      </c>
      <c r="J3268" s="108">
        <v>1.4717987471636637E-3</v>
      </c>
      <c r="K3268" s="108"/>
      <c r="L3268" s="108">
        <v>4.6399999999999997E-2</v>
      </c>
      <c r="O3268" s="105"/>
    </row>
    <row r="3269" spans="2:15" x14ac:dyDescent="0.2">
      <c r="B3269" s="1">
        <v>3254</v>
      </c>
      <c r="C3269" s="106">
        <f ca="1"/>
        <v>-1.0360101520454881</v>
      </c>
      <c r="D3269" s="106">
        <f t="shared" ca="1" si="189"/>
        <v>0.59994904173969821</v>
      </c>
      <c r="E3269" s="106">
        <f t="shared" ca="1" si="190"/>
        <v>0</v>
      </c>
      <c r="F3269" s="21">
        <f t="shared" ca="1" si="191"/>
        <v>0</v>
      </c>
      <c r="H3269" s="21">
        <v>3254</v>
      </c>
      <c r="I3269" s="107">
        <v>0.66775713166244677</v>
      </c>
      <c r="J3269" s="108">
        <v>1.5300975111784271E-3</v>
      </c>
      <c r="K3269" s="108"/>
      <c r="L3269" s="108">
        <v>3.9600000000000003E-2</v>
      </c>
      <c r="O3269" s="105"/>
    </row>
    <row r="3270" spans="2:15" x14ac:dyDescent="0.2">
      <c r="B3270" s="1">
        <v>3255</v>
      </c>
      <c r="C3270" s="106">
        <f ca="1"/>
        <v>4.3492893253908253E-2</v>
      </c>
      <c r="D3270" s="106">
        <f t="shared" ca="1" si="189"/>
        <v>0.66735913395673674</v>
      </c>
      <c r="E3270" s="106">
        <f t="shared" ca="1" si="190"/>
        <v>0</v>
      </c>
      <c r="F3270" s="21">
        <f t="shared" ca="1" si="191"/>
        <v>0</v>
      </c>
      <c r="H3270" s="21">
        <v>3255</v>
      </c>
      <c r="I3270" s="107">
        <v>0.66791249081697712</v>
      </c>
      <c r="J3270" s="108">
        <v>1.4554888654551724E-3</v>
      </c>
      <c r="K3270" s="108"/>
      <c r="L3270" s="108">
        <v>4.5400000000000003E-2</v>
      </c>
      <c r="O3270" s="105"/>
    </row>
    <row r="3271" spans="2:15" x14ac:dyDescent="0.2">
      <c r="B3271" s="1">
        <v>3256</v>
      </c>
      <c r="C3271" s="106">
        <f ca="1"/>
        <v>1.3248120037242994</v>
      </c>
      <c r="D3271" s="106">
        <f t="shared" ca="1" si="189"/>
        <v>0.7572696119775717</v>
      </c>
      <c r="E3271" s="106">
        <f t="shared" ca="1" si="190"/>
        <v>0</v>
      </c>
      <c r="F3271" s="21">
        <f t="shared" ca="1" si="191"/>
        <v>0</v>
      </c>
      <c r="H3271" s="21">
        <v>3256</v>
      </c>
      <c r="I3271" s="107">
        <v>0.66772978606413003</v>
      </c>
      <c r="J3271" s="108">
        <v>1.3067624281956802E-3</v>
      </c>
      <c r="K3271" s="108"/>
      <c r="L3271" s="108">
        <v>3.9600000000000003E-2</v>
      </c>
      <c r="O3271" s="105"/>
    </row>
    <row r="3272" spans="2:15" x14ac:dyDescent="0.2">
      <c r="B3272" s="1">
        <v>3257</v>
      </c>
      <c r="C3272" s="106">
        <f ca="1"/>
        <v>-0.51648168059341948</v>
      </c>
      <c r="D3272" s="106">
        <f t="shared" ca="1" si="189"/>
        <v>0.63149605729403113</v>
      </c>
      <c r="E3272" s="106">
        <f t="shared" ca="1" si="190"/>
        <v>0</v>
      </c>
      <c r="F3272" s="21">
        <f t="shared" ca="1" si="191"/>
        <v>0</v>
      </c>
      <c r="H3272" s="21">
        <v>3257</v>
      </c>
      <c r="I3272" s="107">
        <v>0.66775140017532353</v>
      </c>
      <c r="J3272" s="108">
        <v>1.314306429397836E-3</v>
      </c>
      <c r="K3272" s="108"/>
      <c r="L3272" s="108">
        <v>4.24E-2</v>
      </c>
      <c r="O3272" s="105"/>
    </row>
    <row r="3273" spans="2:15" x14ac:dyDescent="0.2">
      <c r="B3273" s="1">
        <v>3258</v>
      </c>
      <c r="C3273" s="106">
        <f ca="1"/>
        <v>-0.71135093621710177</v>
      </c>
      <c r="D3273" s="106">
        <f t="shared" ca="1" si="189"/>
        <v>0.61947326021758775</v>
      </c>
      <c r="E3273" s="106">
        <f t="shared" ca="1" si="190"/>
        <v>0</v>
      </c>
      <c r="F3273" s="21">
        <f t="shared" ca="1" si="191"/>
        <v>0</v>
      </c>
      <c r="H3273" s="21">
        <v>3258</v>
      </c>
      <c r="I3273" s="107">
        <v>0.66760167453243502</v>
      </c>
      <c r="J3273" s="108">
        <v>1.2190643479016595E-3</v>
      </c>
      <c r="K3273" s="108"/>
      <c r="L3273" s="108">
        <v>3.6600000000000001E-2</v>
      </c>
      <c r="O3273" s="105"/>
    </row>
    <row r="3274" spans="2:15" x14ac:dyDescent="0.2">
      <c r="B3274" s="1">
        <v>3259</v>
      </c>
      <c r="C3274" s="106">
        <f ca="1"/>
        <v>0.75521055836516504</v>
      </c>
      <c r="D3274" s="106">
        <f t="shared" ca="1" si="189"/>
        <v>0.71589471266003502</v>
      </c>
      <c r="E3274" s="106">
        <f t="shared" ca="1" si="190"/>
        <v>0</v>
      </c>
      <c r="F3274" s="21">
        <f t="shared" ca="1" si="191"/>
        <v>0</v>
      </c>
      <c r="H3274" s="21">
        <v>3259</v>
      </c>
      <c r="I3274" s="107">
        <v>0.66773130454167717</v>
      </c>
      <c r="J3274" s="108">
        <v>1.3976864214147284E-3</v>
      </c>
      <c r="K3274" s="108"/>
      <c r="L3274" s="108">
        <v>4.1000000000000002E-2</v>
      </c>
      <c r="O3274" s="105"/>
    </row>
    <row r="3275" spans="2:15" x14ac:dyDescent="0.2">
      <c r="B3275" s="1">
        <v>3260</v>
      </c>
      <c r="C3275" s="106">
        <f ca="1"/>
        <v>0.19528020291666054</v>
      </c>
      <c r="D3275" s="106">
        <f t="shared" ca="1" si="189"/>
        <v>0.67742634717822703</v>
      </c>
      <c r="E3275" s="106">
        <f t="shared" ca="1" si="190"/>
        <v>0</v>
      </c>
      <c r="F3275" s="21">
        <f t="shared" ca="1" si="191"/>
        <v>0</v>
      </c>
      <c r="H3275" s="21">
        <v>3260</v>
      </c>
      <c r="I3275" s="107">
        <v>0.66786629470344205</v>
      </c>
      <c r="J3275" s="108">
        <v>1.3570091748544171E-3</v>
      </c>
      <c r="K3275" s="108"/>
      <c r="L3275" s="108">
        <v>4.4400000000000002E-2</v>
      </c>
      <c r="O3275" s="105"/>
    </row>
    <row r="3276" spans="2:15" x14ac:dyDescent="0.2">
      <c r="B3276" s="1">
        <v>3261</v>
      </c>
      <c r="C3276" s="106">
        <f ca="1"/>
        <v>0.81151483772575661</v>
      </c>
      <c r="D3276" s="106">
        <f t="shared" ca="1" si="189"/>
        <v>0.71988180265360247</v>
      </c>
      <c r="E3276" s="106">
        <f t="shared" ca="1" si="190"/>
        <v>0</v>
      </c>
      <c r="F3276" s="21">
        <f t="shared" ca="1" si="191"/>
        <v>0</v>
      </c>
      <c r="H3276" s="21">
        <v>3261</v>
      </c>
      <c r="I3276" s="107">
        <v>0.66773780296681318</v>
      </c>
      <c r="J3276" s="108">
        <v>1.3293638919300516E-3</v>
      </c>
      <c r="K3276" s="108"/>
      <c r="L3276" s="108">
        <v>4.0599999999999997E-2</v>
      </c>
      <c r="O3276" s="105"/>
    </row>
    <row r="3277" spans="2:15" x14ac:dyDescent="0.2">
      <c r="B3277" s="1">
        <v>3262</v>
      </c>
      <c r="C3277" s="106">
        <f ca="1"/>
        <v>0.32303147863849302</v>
      </c>
      <c r="D3277" s="106">
        <f t="shared" ca="1" si="189"/>
        <v>0.68601698671715428</v>
      </c>
      <c r="E3277" s="106">
        <f t="shared" ca="1" si="190"/>
        <v>0</v>
      </c>
      <c r="F3277" s="21">
        <f t="shared" ca="1" si="191"/>
        <v>0</v>
      </c>
      <c r="H3277" s="21">
        <v>3262</v>
      </c>
      <c r="I3277" s="107">
        <v>0.66773624863644587</v>
      </c>
      <c r="J3277" s="108">
        <v>1.4233024231109165E-3</v>
      </c>
      <c r="K3277" s="108"/>
      <c r="L3277" s="108">
        <v>3.8600000000000002E-2</v>
      </c>
      <c r="O3277" s="105"/>
    </row>
    <row r="3278" spans="2:15" x14ac:dyDescent="0.2">
      <c r="B3278" s="1">
        <v>3263</v>
      </c>
      <c r="C3278" s="106">
        <f ca="1"/>
        <v>1.7583096661846775</v>
      </c>
      <c r="D3278" s="106">
        <f t="shared" ca="1" si="189"/>
        <v>0.79035335689005459</v>
      </c>
      <c r="E3278" s="106">
        <f t="shared" ca="1" si="190"/>
        <v>2.1533568900545808E-3</v>
      </c>
      <c r="F3278" s="21">
        <f t="shared" ca="1" si="191"/>
        <v>1</v>
      </c>
      <c r="H3278" s="21">
        <v>3263</v>
      </c>
      <c r="I3278" s="107">
        <v>0.66762840648669031</v>
      </c>
      <c r="J3278" s="108">
        <v>1.1816224530226773E-3</v>
      </c>
      <c r="K3278" s="108"/>
      <c r="L3278" s="108">
        <v>3.9800000000000002E-2</v>
      </c>
      <c r="O3278" s="105"/>
    </row>
    <row r="3279" spans="2:15" x14ac:dyDescent="0.2">
      <c r="B3279" s="1">
        <v>3264</v>
      </c>
      <c r="C3279" s="106">
        <f ca="1"/>
        <v>0.13762901218506715</v>
      </c>
      <c r="D3279" s="106">
        <f t="shared" ca="1" si="189"/>
        <v>0.67358489898566942</v>
      </c>
      <c r="E3279" s="106">
        <f t="shared" ca="1" si="190"/>
        <v>0</v>
      </c>
      <c r="F3279" s="21">
        <f t="shared" ca="1" si="191"/>
        <v>0</v>
      </c>
      <c r="H3279" s="21">
        <v>3264</v>
      </c>
      <c r="I3279" s="107">
        <v>0.66763672834839283</v>
      </c>
      <c r="J3279" s="108">
        <v>1.3725419531324754E-3</v>
      </c>
      <c r="K3279" s="108"/>
      <c r="L3279" s="108">
        <v>3.9600000000000003E-2</v>
      </c>
      <c r="O3279" s="105"/>
    </row>
    <row r="3280" spans="2:15" x14ac:dyDescent="0.2">
      <c r="B3280" s="1">
        <v>3265</v>
      </c>
      <c r="C3280" s="106">
        <f ca="1"/>
        <v>0.32455042090280312</v>
      </c>
      <c r="D3280" s="106">
        <f t="shared" ref="D3280:D3343" ca="1" si="192">S0*EXP((μ-0.5*σ*σ)*T+σ*SQRT(T)*$C3280)</f>
        <v>0.68611978067132129</v>
      </c>
      <c r="E3280" s="106">
        <f t="shared" ref="E3280:E3343" ca="1" si="193">MAX(0,CP*(D3280-K))</f>
        <v>0</v>
      </c>
      <c r="F3280" s="21">
        <f t="shared" ref="F3280:F3343" ca="1" si="194">(CP*(D3280-K)&gt;0)*1</f>
        <v>0</v>
      </c>
      <c r="H3280" s="21">
        <v>3265</v>
      </c>
      <c r="I3280" s="107">
        <v>0.6677156593108089</v>
      </c>
      <c r="J3280" s="108">
        <v>1.3321371213645648E-3</v>
      </c>
      <c r="K3280" s="108"/>
      <c r="L3280" s="108">
        <v>4.2200000000000001E-2</v>
      </c>
      <c r="O3280" s="105"/>
    </row>
    <row r="3281" spans="2:15" x14ac:dyDescent="0.2">
      <c r="B3281" s="1">
        <v>3266</v>
      </c>
      <c r="C3281" s="106">
        <f ca="1"/>
        <v>0.23265814335561735</v>
      </c>
      <c r="D3281" s="106">
        <f t="shared" ca="1" si="192"/>
        <v>0.67992863476759702</v>
      </c>
      <c r="E3281" s="106">
        <f t="shared" ca="1" si="193"/>
        <v>0</v>
      </c>
      <c r="F3281" s="21">
        <f t="shared" ca="1" si="194"/>
        <v>0</v>
      </c>
      <c r="H3281" s="21">
        <v>3266</v>
      </c>
      <c r="I3281" s="107">
        <v>0.66777586218465235</v>
      </c>
      <c r="J3281" s="108">
        <v>1.5291421354000931E-3</v>
      </c>
      <c r="K3281" s="108"/>
      <c r="L3281" s="108">
        <v>4.2999999999999997E-2</v>
      </c>
      <c r="O3281" s="105"/>
    </row>
    <row r="3282" spans="2:15" x14ac:dyDescent="0.2">
      <c r="B3282" s="1">
        <v>3267</v>
      </c>
      <c r="C3282" s="106">
        <f ca="1"/>
        <v>-0.63216450298118032</v>
      </c>
      <c r="D3282" s="106">
        <f t="shared" ca="1" si="192"/>
        <v>0.6243309469037428</v>
      </c>
      <c r="E3282" s="106">
        <f t="shared" ca="1" si="193"/>
        <v>0</v>
      </c>
      <c r="F3282" s="21">
        <f t="shared" ca="1" si="194"/>
        <v>0</v>
      </c>
      <c r="H3282" s="21">
        <v>3267</v>
      </c>
      <c r="I3282" s="107">
        <v>0.66770951590872751</v>
      </c>
      <c r="J3282" s="108">
        <v>1.4071759352662651E-3</v>
      </c>
      <c r="K3282" s="108"/>
      <c r="L3282" s="108">
        <v>4.3200000000000002E-2</v>
      </c>
      <c r="O3282" s="105"/>
    </row>
    <row r="3283" spans="2:15" x14ac:dyDescent="0.2">
      <c r="B3283" s="1">
        <v>3268</v>
      </c>
      <c r="C3283" s="106">
        <f ca="1"/>
        <v>-0.70054430910296916</v>
      </c>
      <c r="D3283" s="106">
        <f t="shared" ca="1" si="192"/>
        <v>0.62013395842235386</v>
      </c>
      <c r="E3283" s="106">
        <f t="shared" ca="1" si="193"/>
        <v>0</v>
      </c>
      <c r="F3283" s="21">
        <f t="shared" ca="1" si="194"/>
        <v>0</v>
      </c>
      <c r="H3283" s="21">
        <v>3268</v>
      </c>
      <c r="I3283" s="107">
        <v>0.66775263511546312</v>
      </c>
      <c r="J3283" s="108">
        <v>1.4058855049187051E-3</v>
      </c>
      <c r="K3283" s="108"/>
      <c r="L3283" s="108">
        <v>4.2799999999999998E-2</v>
      </c>
      <c r="O3283" s="105"/>
    </row>
    <row r="3284" spans="2:15" x14ac:dyDescent="0.2">
      <c r="B3284" s="1">
        <v>3269</v>
      </c>
      <c r="C3284" s="106">
        <f ca="1"/>
        <v>-0.51528037059936371</v>
      </c>
      <c r="D3284" s="106">
        <f t="shared" ca="1" si="192"/>
        <v>0.63157089325953575</v>
      </c>
      <c r="E3284" s="106">
        <f t="shared" ca="1" si="193"/>
        <v>0</v>
      </c>
      <c r="F3284" s="21">
        <f t="shared" ca="1" si="194"/>
        <v>0</v>
      </c>
      <c r="H3284" s="21">
        <v>3269</v>
      </c>
      <c r="I3284" s="107">
        <v>0.66788169857806468</v>
      </c>
      <c r="J3284" s="108">
        <v>1.4036058878551646E-3</v>
      </c>
      <c r="K3284" s="108"/>
      <c r="L3284" s="108">
        <v>4.4999999999999998E-2</v>
      </c>
      <c r="O3284" s="105"/>
    </row>
    <row r="3285" spans="2:15" x14ac:dyDescent="0.2">
      <c r="B3285" s="1">
        <v>3270</v>
      </c>
      <c r="C3285" s="106">
        <f ca="1"/>
        <v>0.35512472303739706</v>
      </c>
      <c r="D3285" s="106">
        <f t="shared" ca="1" si="192"/>
        <v>0.68819216572027175</v>
      </c>
      <c r="E3285" s="106">
        <f t="shared" ca="1" si="193"/>
        <v>0</v>
      </c>
      <c r="F3285" s="21">
        <f t="shared" ca="1" si="194"/>
        <v>0</v>
      </c>
      <c r="H3285" s="21">
        <v>3270</v>
      </c>
      <c r="I3285" s="107">
        <v>0.66782465413745129</v>
      </c>
      <c r="J3285" s="108">
        <v>1.4599701983765794E-3</v>
      </c>
      <c r="K3285" s="108"/>
      <c r="L3285" s="108">
        <v>4.1399999999999999E-2</v>
      </c>
      <c r="O3285" s="105"/>
    </row>
    <row r="3286" spans="2:15" x14ac:dyDescent="0.2">
      <c r="B3286" s="1">
        <v>3271</v>
      </c>
      <c r="C3286" s="106">
        <f ca="1"/>
        <v>-0.86678728791523385</v>
      </c>
      <c r="D3286" s="106">
        <f t="shared" ca="1" si="192"/>
        <v>0.6100476621842531</v>
      </c>
      <c r="E3286" s="106">
        <f t="shared" ca="1" si="193"/>
        <v>0</v>
      </c>
      <c r="F3286" s="21">
        <f t="shared" ca="1" si="194"/>
        <v>0</v>
      </c>
      <c r="H3286" s="21">
        <v>3271</v>
      </c>
      <c r="I3286" s="107">
        <v>0.66765436644005449</v>
      </c>
      <c r="J3286" s="108">
        <v>1.2073899534144976E-3</v>
      </c>
      <c r="K3286" s="108"/>
      <c r="L3286" s="108">
        <v>3.7999999999999999E-2</v>
      </c>
      <c r="O3286" s="105"/>
    </row>
    <row r="3287" spans="2:15" x14ac:dyDescent="0.2">
      <c r="B3287" s="1">
        <v>3272</v>
      </c>
      <c r="C3287" s="106">
        <f ca="1"/>
        <v>0.67439590828463658</v>
      </c>
      <c r="D3287" s="106">
        <f t="shared" ca="1" si="192"/>
        <v>0.71021052670223572</v>
      </c>
      <c r="E3287" s="106">
        <f t="shared" ca="1" si="193"/>
        <v>0</v>
      </c>
      <c r="F3287" s="21">
        <f t="shared" ca="1" si="194"/>
        <v>0</v>
      </c>
      <c r="H3287" s="21">
        <v>3272</v>
      </c>
      <c r="I3287" s="107">
        <v>0.66769805164309748</v>
      </c>
      <c r="J3287" s="108">
        <v>1.3534692016504866E-3</v>
      </c>
      <c r="K3287" s="108"/>
      <c r="L3287" s="108">
        <v>4.1200000000000001E-2</v>
      </c>
      <c r="O3287" s="105"/>
    </row>
    <row r="3288" spans="2:15" x14ac:dyDescent="0.2">
      <c r="B3288" s="1">
        <v>3273</v>
      </c>
      <c r="C3288" s="106">
        <f ca="1"/>
        <v>-1.0841945927339294</v>
      </c>
      <c r="D3288" s="106">
        <f t="shared" ca="1" si="192"/>
        <v>0.59710426361479296</v>
      </c>
      <c r="E3288" s="106">
        <f t="shared" ca="1" si="193"/>
        <v>0</v>
      </c>
      <c r="F3288" s="21">
        <f t="shared" ca="1" si="194"/>
        <v>0</v>
      </c>
      <c r="H3288" s="21">
        <v>3273</v>
      </c>
      <c r="I3288" s="107">
        <v>0.66768557713901666</v>
      </c>
      <c r="J3288" s="108">
        <v>1.225366094500601E-3</v>
      </c>
      <c r="K3288" s="108"/>
      <c r="L3288" s="108">
        <v>4.0800000000000003E-2</v>
      </c>
      <c r="O3288" s="105"/>
    </row>
    <row r="3289" spans="2:15" x14ac:dyDescent="0.2">
      <c r="B3289" s="1">
        <v>3274</v>
      </c>
      <c r="C3289" s="106">
        <f ca="1"/>
        <v>0.37641697597700963</v>
      </c>
      <c r="D3289" s="106">
        <f t="shared" ca="1" si="192"/>
        <v>0.68963909196828621</v>
      </c>
      <c r="E3289" s="106">
        <f t="shared" ca="1" si="193"/>
        <v>0</v>
      </c>
      <c r="F3289" s="21">
        <f t="shared" ca="1" si="194"/>
        <v>0</v>
      </c>
      <c r="H3289" s="21">
        <v>3274</v>
      </c>
      <c r="I3289" s="107">
        <v>0.66779074218083101</v>
      </c>
      <c r="J3289" s="108">
        <v>1.3334428313799347E-3</v>
      </c>
      <c r="K3289" s="108"/>
      <c r="L3289" s="108">
        <v>4.2799999999999998E-2</v>
      </c>
      <c r="O3289" s="105"/>
    </row>
    <row r="3290" spans="2:15" x14ac:dyDescent="0.2">
      <c r="B3290" s="1">
        <v>3275</v>
      </c>
      <c r="C3290" s="106">
        <f ca="1"/>
        <v>0.66474779184993027</v>
      </c>
      <c r="D3290" s="106">
        <f t="shared" ca="1" si="192"/>
        <v>0.70953493874652618</v>
      </c>
      <c r="E3290" s="106">
        <f t="shared" ca="1" si="193"/>
        <v>0</v>
      </c>
      <c r="F3290" s="21">
        <f t="shared" ca="1" si="194"/>
        <v>0</v>
      </c>
      <c r="H3290" s="21">
        <v>3275</v>
      </c>
      <c r="I3290" s="107">
        <v>0.66770333682870386</v>
      </c>
      <c r="J3290" s="108">
        <v>1.4016478269080648E-3</v>
      </c>
      <c r="K3290" s="108"/>
      <c r="L3290" s="108">
        <v>4.1799999999999997E-2</v>
      </c>
      <c r="O3290" s="105"/>
    </row>
    <row r="3291" spans="2:15" x14ac:dyDescent="0.2">
      <c r="B3291" s="1">
        <v>3276</v>
      </c>
      <c r="C3291" s="106">
        <f ca="1"/>
        <v>0.57269187181554848</v>
      </c>
      <c r="D3291" s="106">
        <f t="shared" ca="1" si="192"/>
        <v>0.70312115826148636</v>
      </c>
      <c r="E3291" s="106">
        <f t="shared" ca="1" si="193"/>
        <v>0</v>
      </c>
      <c r="F3291" s="21">
        <f t="shared" ca="1" si="194"/>
        <v>0</v>
      </c>
      <c r="H3291" s="21">
        <v>3276</v>
      </c>
      <c r="I3291" s="107">
        <v>0.66782528737726532</v>
      </c>
      <c r="J3291" s="108">
        <v>1.3523985793933515E-3</v>
      </c>
      <c r="K3291" s="108"/>
      <c r="L3291" s="108">
        <v>4.0800000000000003E-2</v>
      </c>
      <c r="O3291" s="105"/>
    </row>
    <row r="3292" spans="2:15" x14ac:dyDescent="0.2">
      <c r="B3292" s="1">
        <v>3277</v>
      </c>
      <c r="C3292" s="106">
        <f ca="1"/>
        <v>0.15592553306491008</v>
      </c>
      <c r="D3292" s="106">
        <f t="shared" ca="1" si="192"/>
        <v>0.67480167803471103</v>
      </c>
      <c r="E3292" s="106">
        <f t="shared" ca="1" si="193"/>
        <v>0</v>
      </c>
      <c r="F3292" s="21">
        <f t="shared" ca="1" si="194"/>
        <v>0</v>
      </c>
      <c r="H3292" s="21">
        <v>3277</v>
      </c>
      <c r="I3292" s="107">
        <v>0.66767851894484764</v>
      </c>
      <c r="J3292" s="108">
        <v>1.373558859087164E-3</v>
      </c>
      <c r="K3292" s="108"/>
      <c r="L3292" s="108">
        <v>4.2000000000000003E-2</v>
      </c>
      <c r="O3292" s="105"/>
    </row>
    <row r="3293" spans="2:15" x14ac:dyDescent="0.2">
      <c r="B3293" s="1">
        <v>3278</v>
      </c>
      <c r="C3293" s="106">
        <f ca="1"/>
        <v>2.1245221371224559</v>
      </c>
      <c r="D3293" s="106">
        <f t="shared" ca="1" si="192"/>
        <v>0.819425771512996</v>
      </c>
      <c r="E3293" s="106">
        <f t="shared" ca="1" si="193"/>
        <v>3.1225771512995992E-2</v>
      </c>
      <c r="F3293" s="21">
        <f t="shared" ca="1" si="194"/>
        <v>1</v>
      </c>
      <c r="H3293" s="21">
        <v>3278</v>
      </c>
      <c r="I3293" s="107">
        <v>0.66778085624470729</v>
      </c>
      <c r="J3293" s="108">
        <v>1.4336484349561089E-3</v>
      </c>
      <c r="K3293" s="108"/>
      <c r="L3293" s="108">
        <v>4.2000000000000003E-2</v>
      </c>
      <c r="O3293" s="105"/>
    </row>
    <row r="3294" spans="2:15" x14ac:dyDescent="0.2">
      <c r="B3294" s="1">
        <v>3279</v>
      </c>
      <c r="C3294" s="106">
        <f ca="1"/>
        <v>0.5362964328706995</v>
      </c>
      <c r="D3294" s="106">
        <f t="shared" ca="1" si="192"/>
        <v>0.70060141273275556</v>
      </c>
      <c r="E3294" s="106">
        <f t="shared" ca="1" si="193"/>
        <v>0</v>
      </c>
      <c r="F3294" s="21">
        <f t="shared" ca="1" si="194"/>
        <v>0</v>
      </c>
      <c r="H3294" s="21">
        <v>3279</v>
      </c>
      <c r="I3294" s="107">
        <v>0.66783583333871332</v>
      </c>
      <c r="J3294" s="108">
        <v>1.2332243036777761E-3</v>
      </c>
      <c r="K3294" s="108"/>
      <c r="L3294" s="108">
        <v>4.5600000000000002E-2</v>
      </c>
      <c r="O3294" s="105"/>
    </row>
    <row r="3295" spans="2:15" x14ac:dyDescent="0.2">
      <c r="B3295" s="1">
        <v>3280</v>
      </c>
      <c r="C3295" s="106">
        <f ca="1"/>
        <v>0.69160527304084651</v>
      </c>
      <c r="D3295" s="106">
        <f t="shared" ca="1" si="192"/>
        <v>0.71141717170004359</v>
      </c>
      <c r="E3295" s="106">
        <f t="shared" ca="1" si="193"/>
        <v>0</v>
      </c>
      <c r="F3295" s="21">
        <f t="shared" ca="1" si="194"/>
        <v>0</v>
      </c>
      <c r="H3295" s="21">
        <v>3280</v>
      </c>
      <c r="I3295" s="107">
        <v>0.66780604241271124</v>
      </c>
      <c r="J3295" s="108">
        <v>1.38636018614085E-3</v>
      </c>
      <c r="K3295" s="108"/>
      <c r="L3295" s="108">
        <v>4.3200000000000002E-2</v>
      </c>
      <c r="O3295" s="105"/>
    </row>
    <row r="3296" spans="2:15" x14ac:dyDescent="0.2">
      <c r="B3296" s="1">
        <v>3281</v>
      </c>
      <c r="C3296" s="106">
        <f ca="1"/>
        <v>-0.7455648561918935</v>
      </c>
      <c r="D3296" s="106">
        <f t="shared" ca="1" si="192"/>
        <v>0.61738611986369973</v>
      </c>
      <c r="E3296" s="106">
        <f t="shared" ca="1" si="193"/>
        <v>0</v>
      </c>
      <c r="F3296" s="21">
        <f t="shared" ca="1" si="194"/>
        <v>0</v>
      </c>
      <c r="H3296" s="21">
        <v>3281</v>
      </c>
      <c r="I3296" s="107">
        <v>0.6677476532349037</v>
      </c>
      <c r="J3296" s="108">
        <v>1.282910431101624E-3</v>
      </c>
      <c r="K3296" s="108"/>
      <c r="L3296" s="108">
        <v>4.1000000000000002E-2</v>
      </c>
      <c r="O3296" s="105"/>
    </row>
    <row r="3297" spans="2:15" x14ac:dyDescent="0.2">
      <c r="B3297" s="1">
        <v>3282</v>
      </c>
      <c r="C3297" s="106">
        <f ca="1"/>
        <v>0.39688390019107173</v>
      </c>
      <c r="D3297" s="106">
        <f t="shared" ca="1" si="192"/>
        <v>0.69103280006291301</v>
      </c>
      <c r="E3297" s="106">
        <f t="shared" ca="1" si="193"/>
        <v>0</v>
      </c>
      <c r="F3297" s="21">
        <f t="shared" ca="1" si="194"/>
        <v>0</v>
      </c>
      <c r="H3297" s="21">
        <v>3282</v>
      </c>
      <c r="I3297" s="107">
        <v>0.66774632156852487</v>
      </c>
      <c r="J3297" s="108">
        <v>1.384399448591387E-3</v>
      </c>
      <c r="K3297" s="108"/>
      <c r="L3297" s="108">
        <v>4.6600000000000003E-2</v>
      </c>
      <c r="O3297" s="105"/>
    </row>
    <row r="3298" spans="2:15" x14ac:dyDescent="0.2">
      <c r="B3298" s="1">
        <v>3283</v>
      </c>
      <c r="C3298" s="106">
        <f ca="1"/>
        <v>-0.89781556372938842</v>
      </c>
      <c r="D3298" s="106">
        <f t="shared" ca="1" si="192"/>
        <v>0.60818336190543132</v>
      </c>
      <c r="E3298" s="106">
        <f t="shared" ca="1" si="193"/>
        <v>0</v>
      </c>
      <c r="F3298" s="21">
        <f t="shared" ca="1" si="194"/>
        <v>0</v>
      </c>
      <c r="H3298" s="21">
        <v>3283</v>
      </c>
      <c r="I3298" s="107">
        <v>0.66764585617060068</v>
      </c>
      <c r="J3298" s="108">
        <v>1.2099185030140481E-3</v>
      </c>
      <c r="K3298" s="108"/>
      <c r="L3298" s="108">
        <v>3.8800000000000001E-2</v>
      </c>
      <c r="O3298" s="105"/>
    </row>
    <row r="3299" spans="2:15" x14ac:dyDescent="0.2">
      <c r="B3299" s="1">
        <v>3284</v>
      </c>
      <c r="C3299" s="106">
        <f ca="1"/>
        <v>0.65528701727536898</v>
      </c>
      <c r="D3299" s="106">
        <f t="shared" ca="1" si="192"/>
        <v>0.7088730930492726</v>
      </c>
      <c r="E3299" s="106">
        <f t="shared" ca="1" si="193"/>
        <v>0</v>
      </c>
      <c r="F3299" s="21">
        <f t="shared" ca="1" si="194"/>
        <v>0</v>
      </c>
      <c r="H3299" s="21">
        <v>3284</v>
      </c>
      <c r="I3299" s="107">
        <v>0.66773554037226457</v>
      </c>
      <c r="J3299" s="108">
        <v>1.4395241811186268E-3</v>
      </c>
      <c r="K3299" s="108"/>
      <c r="L3299" s="108">
        <v>4.3999999999999997E-2</v>
      </c>
      <c r="O3299" s="105"/>
    </row>
    <row r="3300" spans="2:15" x14ac:dyDescent="0.2">
      <c r="B3300" s="1">
        <v>3285</v>
      </c>
      <c r="C3300" s="106">
        <f ca="1"/>
        <v>0.50438346568200687</v>
      </c>
      <c r="D3300" s="106">
        <f t="shared" ca="1" si="192"/>
        <v>0.69839943101695723</v>
      </c>
      <c r="E3300" s="106">
        <f t="shared" ca="1" si="193"/>
        <v>0</v>
      </c>
      <c r="F3300" s="21">
        <f t="shared" ca="1" si="194"/>
        <v>0</v>
      </c>
      <c r="H3300" s="21">
        <v>3285</v>
      </c>
      <c r="I3300" s="107">
        <v>0.66780706502748999</v>
      </c>
      <c r="J3300" s="108">
        <v>1.4326259021412654E-3</v>
      </c>
      <c r="K3300" s="108"/>
      <c r="L3300" s="108">
        <v>4.1200000000000001E-2</v>
      </c>
      <c r="O3300" s="105"/>
    </row>
    <row r="3301" spans="2:15" x14ac:dyDescent="0.2">
      <c r="B3301" s="1">
        <v>3286</v>
      </c>
      <c r="C3301" s="106">
        <f ca="1"/>
        <v>0.70269594815017866</v>
      </c>
      <c r="D3301" s="106">
        <f t="shared" ca="1" si="192"/>
        <v>0.71219588718005455</v>
      </c>
      <c r="E3301" s="106">
        <f t="shared" ca="1" si="193"/>
        <v>0</v>
      </c>
      <c r="F3301" s="21">
        <f t="shared" ca="1" si="194"/>
        <v>0</v>
      </c>
      <c r="H3301" s="21">
        <v>3286</v>
      </c>
      <c r="I3301" s="107">
        <v>0.66773902366140236</v>
      </c>
      <c r="J3301" s="108">
        <v>1.548150812320114E-3</v>
      </c>
      <c r="K3301" s="108"/>
      <c r="L3301" s="108">
        <v>3.9199999999999999E-2</v>
      </c>
      <c r="O3301" s="105"/>
    </row>
    <row r="3302" spans="2:15" x14ac:dyDescent="0.2">
      <c r="B3302" s="1">
        <v>3287</v>
      </c>
      <c r="C3302" s="106">
        <f ca="1"/>
        <v>2.2824601078623181</v>
      </c>
      <c r="D3302" s="106">
        <f t="shared" ca="1" si="192"/>
        <v>0.83229173894460018</v>
      </c>
      <c r="E3302" s="106">
        <f t="shared" ca="1" si="193"/>
        <v>4.4091738944600167E-2</v>
      </c>
      <c r="F3302" s="21">
        <f t="shared" ca="1" si="194"/>
        <v>1</v>
      </c>
      <c r="H3302" s="21">
        <v>3287</v>
      </c>
      <c r="I3302" s="107">
        <v>0.66772348121070579</v>
      </c>
      <c r="J3302" s="108">
        <v>1.3150047502827082E-3</v>
      </c>
      <c r="K3302" s="108"/>
      <c r="L3302" s="108">
        <v>3.8800000000000001E-2</v>
      </c>
      <c r="O3302" s="105"/>
    </row>
    <row r="3303" spans="2:15" x14ac:dyDescent="0.2">
      <c r="B3303" s="1">
        <v>3288</v>
      </c>
      <c r="C3303" s="106">
        <f ca="1"/>
        <v>-1.2581185831106871</v>
      </c>
      <c r="D3303" s="106">
        <f t="shared" ca="1" si="192"/>
        <v>0.58694766027338219</v>
      </c>
      <c r="E3303" s="106">
        <f t="shared" ca="1" si="193"/>
        <v>0</v>
      </c>
      <c r="F3303" s="21">
        <f t="shared" ca="1" si="194"/>
        <v>0</v>
      </c>
      <c r="H3303" s="21">
        <v>3288</v>
      </c>
      <c r="I3303" s="107">
        <v>0.66785077063017473</v>
      </c>
      <c r="J3303" s="108">
        <v>1.5524243375995262E-3</v>
      </c>
      <c r="K3303" s="108"/>
      <c r="L3303" s="108">
        <v>4.3400000000000001E-2</v>
      </c>
      <c r="O3303" s="105"/>
    </row>
    <row r="3304" spans="2:15" x14ac:dyDescent="0.2">
      <c r="B3304" s="1">
        <v>3289</v>
      </c>
      <c r="C3304" s="106">
        <f ca="1"/>
        <v>-0.34740271087700619</v>
      </c>
      <c r="D3304" s="106">
        <f t="shared" ca="1" si="192"/>
        <v>0.64211657750544171</v>
      </c>
      <c r="E3304" s="106">
        <f t="shared" ca="1" si="193"/>
        <v>0</v>
      </c>
      <c r="F3304" s="21">
        <f t="shared" ca="1" si="194"/>
        <v>0</v>
      </c>
      <c r="H3304" s="21">
        <v>3289</v>
      </c>
      <c r="I3304" s="107">
        <v>0.66771578298924839</v>
      </c>
      <c r="J3304" s="108">
        <v>1.3487554611149666E-3</v>
      </c>
      <c r="K3304" s="108"/>
      <c r="L3304" s="108">
        <v>3.8800000000000001E-2</v>
      </c>
      <c r="O3304" s="105"/>
    </row>
    <row r="3305" spans="2:15" x14ac:dyDescent="0.2">
      <c r="B3305" s="1">
        <v>3290</v>
      </c>
      <c r="C3305" s="106">
        <f ca="1"/>
        <v>1.0674396433677991</v>
      </c>
      <c r="D3305" s="106">
        <f t="shared" ca="1" si="192"/>
        <v>0.73828637968125621</v>
      </c>
      <c r="E3305" s="106">
        <f t="shared" ca="1" si="193"/>
        <v>0</v>
      </c>
      <c r="F3305" s="21">
        <f t="shared" ca="1" si="194"/>
        <v>0</v>
      </c>
      <c r="H3305" s="21">
        <v>3290</v>
      </c>
      <c r="I3305" s="107">
        <v>0.667862364900914</v>
      </c>
      <c r="J3305" s="108">
        <v>1.5591283607338702E-3</v>
      </c>
      <c r="K3305" s="108"/>
      <c r="L3305" s="108">
        <v>4.7399999999999998E-2</v>
      </c>
      <c r="O3305" s="105"/>
    </row>
    <row r="3306" spans="2:15" x14ac:dyDescent="0.2">
      <c r="B3306" s="1">
        <v>3291</v>
      </c>
      <c r="C3306" s="106">
        <f ca="1"/>
        <v>-1.705861176511557</v>
      </c>
      <c r="D3306" s="106">
        <f t="shared" ca="1" si="192"/>
        <v>0.56158869810731893</v>
      </c>
      <c r="E3306" s="106">
        <f t="shared" ca="1" si="193"/>
        <v>0</v>
      </c>
      <c r="F3306" s="21">
        <f t="shared" ca="1" si="194"/>
        <v>0</v>
      </c>
      <c r="H3306" s="21">
        <v>3291</v>
      </c>
      <c r="I3306" s="107">
        <v>0.6678056119185013</v>
      </c>
      <c r="J3306" s="108">
        <v>1.3794480779223076E-3</v>
      </c>
      <c r="K3306" s="108"/>
      <c r="L3306" s="108">
        <v>4.48E-2</v>
      </c>
      <c r="O3306" s="105"/>
    </row>
    <row r="3307" spans="2:15" x14ac:dyDescent="0.2">
      <c r="B3307" s="1">
        <v>3292</v>
      </c>
      <c r="C3307" s="106">
        <f ca="1"/>
        <v>-0.92932741238859939</v>
      </c>
      <c r="D3307" s="106">
        <f t="shared" ca="1" si="192"/>
        <v>0.60629583774899865</v>
      </c>
      <c r="E3307" s="106">
        <f t="shared" ca="1" si="193"/>
        <v>0</v>
      </c>
      <c r="F3307" s="21">
        <f t="shared" ca="1" si="194"/>
        <v>0</v>
      </c>
      <c r="H3307" s="21">
        <v>3292</v>
      </c>
      <c r="I3307" s="107">
        <v>0.66768508525121106</v>
      </c>
      <c r="J3307" s="108">
        <v>1.3883463199517319E-3</v>
      </c>
      <c r="K3307" s="108"/>
      <c r="L3307" s="108">
        <v>4.1799999999999997E-2</v>
      </c>
      <c r="O3307" s="105"/>
    </row>
    <row r="3308" spans="2:15" x14ac:dyDescent="0.2">
      <c r="B3308" s="1">
        <v>3293</v>
      </c>
      <c r="C3308" s="106">
        <f ca="1"/>
        <v>0.61998555619279905</v>
      </c>
      <c r="D3308" s="106">
        <f t="shared" ca="1" si="192"/>
        <v>0.70640896004118003</v>
      </c>
      <c r="E3308" s="106">
        <f t="shared" ca="1" si="193"/>
        <v>0</v>
      </c>
      <c r="F3308" s="21">
        <f t="shared" ca="1" si="194"/>
        <v>0</v>
      </c>
      <c r="H3308" s="21">
        <v>3293</v>
      </c>
      <c r="I3308" s="107">
        <v>0.6678656811998499</v>
      </c>
      <c r="J3308" s="108">
        <v>1.4650887294487319E-3</v>
      </c>
      <c r="K3308" s="108"/>
      <c r="L3308" s="108">
        <v>4.36E-2</v>
      </c>
      <c r="O3308" s="105"/>
    </row>
    <row r="3309" spans="2:15" x14ac:dyDescent="0.2">
      <c r="B3309" s="1">
        <v>3294</v>
      </c>
      <c r="C3309" s="106">
        <f ca="1"/>
        <v>1.3781173871075703</v>
      </c>
      <c r="D3309" s="106">
        <f t="shared" ca="1" si="192"/>
        <v>0.76126190846560193</v>
      </c>
      <c r="E3309" s="106">
        <f t="shared" ca="1" si="193"/>
        <v>0</v>
      </c>
      <c r="F3309" s="21">
        <f t="shared" ca="1" si="194"/>
        <v>0</v>
      </c>
      <c r="H3309" s="21">
        <v>3294</v>
      </c>
      <c r="I3309" s="107">
        <v>0.66770831508064143</v>
      </c>
      <c r="J3309" s="108">
        <v>1.3530125620051258E-3</v>
      </c>
      <c r="K3309" s="108"/>
      <c r="L3309" s="108">
        <v>3.8600000000000002E-2</v>
      </c>
      <c r="O3309" s="105"/>
    </row>
    <row r="3310" spans="2:15" x14ac:dyDescent="0.2">
      <c r="B3310" s="1">
        <v>3295</v>
      </c>
      <c r="C3310" s="106">
        <f ca="1"/>
        <v>0.36549404427884918</v>
      </c>
      <c r="D3310" s="106">
        <f t="shared" ca="1" si="192"/>
        <v>0.68889643878799689</v>
      </c>
      <c r="E3310" s="106">
        <f t="shared" ca="1" si="193"/>
        <v>0</v>
      </c>
      <c r="F3310" s="21">
        <f t="shared" ca="1" si="194"/>
        <v>0</v>
      </c>
      <c r="H3310" s="21">
        <v>3295</v>
      </c>
      <c r="I3310" s="107">
        <v>0.66771020106893542</v>
      </c>
      <c r="J3310" s="108">
        <v>1.2947109072737075E-3</v>
      </c>
      <c r="K3310" s="108"/>
      <c r="L3310" s="108">
        <v>3.8399999999999997E-2</v>
      </c>
      <c r="O3310" s="105"/>
    </row>
    <row r="3311" spans="2:15" x14ac:dyDescent="0.2">
      <c r="B3311" s="1">
        <v>3296</v>
      </c>
      <c r="C3311" s="106">
        <f ca="1"/>
        <v>0.20755897761766512</v>
      </c>
      <c r="D3311" s="106">
        <f t="shared" ca="1" si="192"/>
        <v>0.67824733941250703</v>
      </c>
      <c r="E3311" s="106">
        <f t="shared" ca="1" si="193"/>
        <v>0</v>
      </c>
      <c r="F3311" s="21">
        <f t="shared" ca="1" si="194"/>
        <v>0</v>
      </c>
      <c r="H3311" s="21">
        <v>3296</v>
      </c>
      <c r="I3311" s="107">
        <v>0.66773387401822626</v>
      </c>
      <c r="J3311" s="108">
        <v>1.369237909308125E-3</v>
      </c>
      <c r="K3311" s="108"/>
      <c r="L3311" s="108">
        <v>4.24E-2</v>
      </c>
      <c r="O3311" s="105"/>
    </row>
    <row r="3312" spans="2:15" x14ac:dyDescent="0.2">
      <c r="B3312" s="1">
        <v>3297</v>
      </c>
      <c r="C3312" s="106">
        <f ca="1"/>
        <v>0.95037806436680339</v>
      </c>
      <c r="D3312" s="106">
        <f t="shared" ca="1" si="192"/>
        <v>0.7298103371986725</v>
      </c>
      <c r="E3312" s="106">
        <f t="shared" ca="1" si="193"/>
        <v>0</v>
      </c>
      <c r="F3312" s="21">
        <f t="shared" ca="1" si="194"/>
        <v>0</v>
      </c>
      <c r="H3312" s="21">
        <v>3297</v>
      </c>
      <c r="I3312" s="107">
        <v>0.66773927397571464</v>
      </c>
      <c r="J3312" s="108">
        <v>1.3218586049371921E-3</v>
      </c>
      <c r="K3312" s="108"/>
      <c r="L3312" s="108">
        <v>4.0599999999999997E-2</v>
      </c>
      <c r="O3312" s="105"/>
    </row>
    <row r="3313" spans="2:15" x14ac:dyDescent="0.2">
      <c r="B3313" s="1">
        <v>3298</v>
      </c>
      <c r="C3313" s="106">
        <f ca="1"/>
        <v>0.91122051380115188</v>
      </c>
      <c r="D3313" s="106">
        <f t="shared" ca="1" si="192"/>
        <v>0.7269968434410099</v>
      </c>
      <c r="E3313" s="106">
        <f t="shared" ca="1" si="193"/>
        <v>0</v>
      </c>
      <c r="F3313" s="21">
        <f t="shared" ca="1" si="194"/>
        <v>0</v>
      </c>
      <c r="H3313" s="21">
        <v>3298</v>
      </c>
      <c r="I3313" s="107">
        <v>0.66779362303460466</v>
      </c>
      <c r="J3313" s="108">
        <v>1.4012770549146432E-3</v>
      </c>
      <c r="K3313" s="108"/>
      <c r="L3313" s="108">
        <v>4.2200000000000001E-2</v>
      </c>
      <c r="O3313" s="105"/>
    </row>
    <row r="3314" spans="2:15" x14ac:dyDescent="0.2">
      <c r="B3314" s="1">
        <v>3299</v>
      </c>
      <c r="C3314" s="106">
        <f ca="1"/>
        <v>0.30856714077460334</v>
      </c>
      <c r="D3314" s="106">
        <f t="shared" ca="1" si="192"/>
        <v>0.68503888832930027</v>
      </c>
      <c r="E3314" s="106">
        <f t="shared" ca="1" si="193"/>
        <v>0</v>
      </c>
      <c r="F3314" s="21">
        <f t="shared" ca="1" si="194"/>
        <v>0</v>
      </c>
      <c r="H3314" s="21">
        <v>3299</v>
      </c>
      <c r="I3314" s="107">
        <v>0.66764799966522337</v>
      </c>
      <c r="J3314" s="108">
        <v>1.2865822280662259E-3</v>
      </c>
      <c r="K3314" s="108"/>
      <c r="L3314" s="108">
        <v>3.9399999999999998E-2</v>
      </c>
      <c r="O3314" s="105"/>
    </row>
    <row r="3315" spans="2:15" x14ac:dyDescent="0.2">
      <c r="B3315" s="1">
        <v>3300</v>
      </c>
      <c r="C3315" s="106">
        <f ca="1"/>
        <v>-0.70928214567518022</v>
      </c>
      <c r="D3315" s="106">
        <f t="shared" ca="1" si="192"/>
        <v>0.61959968793613729</v>
      </c>
      <c r="E3315" s="106">
        <f t="shared" ca="1" si="193"/>
        <v>0</v>
      </c>
      <c r="F3315" s="21">
        <f t="shared" ca="1" si="194"/>
        <v>0</v>
      </c>
      <c r="H3315" s="21">
        <v>3300</v>
      </c>
      <c r="I3315" s="107">
        <v>0.66781668240064029</v>
      </c>
      <c r="J3315" s="108">
        <v>1.4642803967475037E-3</v>
      </c>
      <c r="K3315" s="108"/>
      <c r="L3315" s="108">
        <v>4.2000000000000003E-2</v>
      </c>
      <c r="O3315" s="105"/>
    </row>
    <row r="3316" spans="2:15" x14ac:dyDescent="0.2">
      <c r="B3316" s="1">
        <v>3301</v>
      </c>
      <c r="C3316" s="106">
        <f ca="1"/>
        <v>-0.51909949577278802</v>
      </c>
      <c r="D3316" s="106">
        <f t="shared" ca="1" si="192"/>
        <v>0.63133301042853107</v>
      </c>
      <c r="E3316" s="106">
        <f t="shared" ca="1" si="193"/>
        <v>0</v>
      </c>
      <c r="F3316" s="21">
        <f t="shared" ca="1" si="194"/>
        <v>0</v>
      </c>
      <c r="H3316" s="21">
        <v>3301</v>
      </c>
      <c r="I3316" s="107">
        <v>0.66779684035174425</v>
      </c>
      <c r="J3316" s="108">
        <v>1.4212373775069037E-3</v>
      </c>
      <c r="K3316" s="108"/>
      <c r="L3316" s="108">
        <v>4.2799999999999998E-2</v>
      </c>
      <c r="O3316" s="105"/>
    </row>
    <row r="3317" spans="2:15" x14ac:dyDescent="0.2">
      <c r="B3317" s="1">
        <v>3302</v>
      </c>
      <c r="C3317" s="106">
        <f ca="1"/>
        <v>2.1379174296783293E-2</v>
      </c>
      <c r="D3317" s="106">
        <f t="shared" ca="1" si="192"/>
        <v>0.66590499231122957</v>
      </c>
      <c r="E3317" s="106">
        <f t="shared" ca="1" si="193"/>
        <v>0</v>
      </c>
      <c r="F3317" s="21">
        <f t="shared" ca="1" si="194"/>
        <v>0</v>
      </c>
      <c r="H3317" s="21">
        <v>3302</v>
      </c>
      <c r="I3317" s="107">
        <v>0.6678125552144426</v>
      </c>
      <c r="J3317" s="108">
        <v>1.3902907411034639E-3</v>
      </c>
      <c r="K3317" s="108"/>
      <c r="L3317" s="108">
        <v>4.3799999999999999E-2</v>
      </c>
      <c r="O3317" s="105"/>
    </row>
    <row r="3318" spans="2:15" x14ac:dyDescent="0.2">
      <c r="B3318" s="1">
        <v>3303</v>
      </c>
      <c r="C3318" s="106">
        <f ca="1"/>
        <v>0.76564839544249952</v>
      </c>
      <c r="D3318" s="106">
        <f t="shared" ca="1" si="192"/>
        <v>0.71663217893383679</v>
      </c>
      <c r="E3318" s="106">
        <f t="shared" ca="1" si="193"/>
        <v>0</v>
      </c>
      <c r="F3318" s="21">
        <f t="shared" ca="1" si="194"/>
        <v>0</v>
      </c>
      <c r="H3318" s="21">
        <v>3303</v>
      </c>
      <c r="I3318" s="107">
        <v>0.6678780318522145</v>
      </c>
      <c r="J3318" s="108">
        <v>1.3392419925129027E-3</v>
      </c>
      <c r="K3318" s="108"/>
      <c r="L3318" s="108">
        <v>4.4999999999999998E-2</v>
      </c>
      <c r="O3318" s="105"/>
    </row>
    <row r="3319" spans="2:15" x14ac:dyDescent="0.2">
      <c r="B3319" s="1">
        <v>3304</v>
      </c>
      <c r="C3319" s="106">
        <f ca="1"/>
        <v>-0.36891277838082359</v>
      </c>
      <c r="D3319" s="106">
        <f t="shared" ca="1" si="192"/>
        <v>0.64075559075061495</v>
      </c>
      <c r="E3319" s="106">
        <f t="shared" ca="1" si="193"/>
        <v>0</v>
      </c>
      <c r="F3319" s="21">
        <f t="shared" ca="1" si="194"/>
        <v>0</v>
      </c>
      <c r="H3319" s="21">
        <v>3304</v>
      </c>
      <c r="I3319" s="107">
        <v>0.66780487962514767</v>
      </c>
      <c r="J3319" s="108">
        <v>1.3075471241543149E-3</v>
      </c>
      <c r="K3319" s="108"/>
      <c r="L3319" s="108">
        <v>4.5400000000000003E-2</v>
      </c>
      <c r="O3319" s="105"/>
    </row>
    <row r="3320" spans="2:15" x14ac:dyDescent="0.2">
      <c r="B3320" s="1">
        <v>3305</v>
      </c>
      <c r="C3320" s="106">
        <f ca="1"/>
        <v>-0.19894354432981792</v>
      </c>
      <c r="D3320" s="106">
        <f t="shared" ca="1" si="192"/>
        <v>0.65158905607069173</v>
      </c>
      <c r="E3320" s="106">
        <f t="shared" ca="1" si="193"/>
        <v>0</v>
      </c>
      <c r="F3320" s="21">
        <f t="shared" ca="1" si="194"/>
        <v>0</v>
      </c>
      <c r="H3320" s="21">
        <v>3305</v>
      </c>
      <c r="I3320" s="107">
        <v>0.66775659019485312</v>
      </c>
      <c r="J3320" s="108">
        <v>1.3313916018600431E-3</v>
      </c>
      <c r="K3320" s="108"/>
      <c r="L3320" s="108">
        <v>4.2000000000000003E-2</v>
      </c>
      <c r="O3320" s="105"/>
    </row>
    <row r="3321" spans="2:15" x14ac:dyDescent="0.2">
      <c r="B3321" s="1">
        <v>3306</v>
      </c>
      <c r="C3321" s="106">
        <f ca="1"/>
        <v>-0.62698446828252696</v>
      </c>
      <c r="D3321" s="106">
        <f t="shared" ca="1" si="192"/>
        <v>0.62465003998790292</v>
      </c>
      <c r="E3321" s="106">
        <f t="shared" ca="1" si="193"/>
        <v>0</v>
      </c>
      <c r="F3321" s="21">
        <f t="shared" ca="1" si="194"/>
        <v>0</v>
      </c>
      <c r="H3321" s="21">
        <v>3306</v>
      </c>
      <c r="I3321" s="107">
        <v>0.66778651610741535</v>
      </c>
      <c r="J3321" s="108">
        <v>1.4168299407421149E-3</v>
      </c>
      <c r="K3321" s="108"/>
      <c r="L3321" s="108">
        <v>4.3799999999999999E-2</v>
      </c>
      <c r="O3321" s="105"/>
    </row>
    <row r="3322" spans="2:15" x14ac:dyDescent="0.2">
      <c r="B3322" s="1">
        <v>3307</v>
      </c>
      <c r="C3322" s="106">
        <f ca="1"/>
        <v>-0.30718957863736768</v>
      </c>
      <c r="D3322" s="106">
        <f t="shared" ca="1" si="192"/>
        <v>0.64466870474298033</v>
      </c>
      <c r="E3322" s="106">
        <f t="shared" ca="1" si="193"/>
        <v>0</v>
      </c>
      <c r="F3322" s="21">
        <f t="shared" ca="1" si="194"/>
        <v>0</v>
      </c>
      <c r="H3322" s="21">
        <v>3307</v>
      </c>
      <c r="I3322" s="107">
        <v>0.66781555560518424</v>
      </c>
      <c r="J3322" s="108">
        <v>1.4710538542345262E-3</v>
      </c>
      <c r="K3322" s="108"/>
      <c r="L3322" s="108">
        <v>4.5600000000000002E-2</v>
      </c>
      <c r="O3322" s="105"/>
    </row>
    <row r="3323" spans="2:15" x14ac:dyDescent="0.2">
      <c r="B3323" s="1">
        <v>3308</v>
      </c>
      <c r="C3323" s="106">
        <f ca="1"/>
        <v>-2.3994174086946982</v>
      </c>
      <c r="D3323" s="106">
        <f t="shared" ca="1" si="192"/>
        <v>0.52445331842210952</v>
      </c>
      <c r="E3323" s="106">
        <f t="shared" ca="1" si="193"/>
        <v>0</v>
      </c>
      <c r="F3323" s="21">
        <f t="shared" ca="1" si="194"/>
        <v>0</v>
      </c>
      <c r="H3323" s="21">
        <v>3308</v>
      </c>
      <c r="I3323" s="107">
        <v>0.66771375695215751</v>
      </c>
      <c r="J3323" s="108">
        <v>1.3189799899670505E-3</v>
      </c>
      <c r="K3323" s="108"/>
      <c r="L3323" s="108">
        <v>3.9600000000000003E-2</v>
      </c>
      <c r="O3323" s="105"/>
    </row>
    <row r="3324" spans="2:15" x14ac:dyDescent="0.2">
      <c r="B3324" s="1">
        <v>3309</v>
      </c>
      <c r="C3324" s="106">
        <f ca="1"/>
        <v>0.2271645111316434</v>
      </c>
      <c r="D3324" s="106">
        <f t="shared" ca="1" si="192"/>
        <v>0.6795602818216735</v>
      </c>
      <c r="E3324" s="106">
        <f t="shared" ca="1" si="193"/>
        <v>0</v>
      </c>
      <c r="F3324" s="21">
        <f t="shared" ca="1" si="194"/>
        <v>0</v>
      </c>
      <c r="H3324" s="21">
        <v>3309</v>
      </c>
      <c r="I3324" s="107">
        <v>0.66779908720418713</v>
      </c>
      <c r="J3324" s="108">
        <v>1.4394526012680036E-3</v>
      </c>
      <c r="K3324" s="108"/>
      <c r="L3324" s="108">
        <v>4.2799999999999998E-2</v>
      </c>
      <c r="O3324" s="105"/>
    </row>
    <row r="3325" spans="2:15" x14ac:dyDescent="0.2">
      <c r="B3325" s="1">
        <v>3310</v>
      </c>
      <c r="C3325" s="106">
        <f ca="1"/>
        <v>0.52002292345651435</v>
      </c>
      <c r="D3325" s="106">
        <f t="shared" ca="1" si="192"/>
        <v>0.69947768111129638</v>
      </c>
      <c r="E3325" s="106">
        <f t="shared" ca="1" si="193"/>
        <v>0</v>
      </c>
      <c r="F3325" s="21">
        <f t="shared" ca="1" si="194"/>
        <v>0</v>
      </c>
      <c r="H3325" s="21">
        <v>3310</v>
      </c>
      <c r="I3325" s="107">
        <v>0.66778474245942343</v>
      </c>
      <c r="J3325" s="108">
        <v>1.423403435904691E-3</v>
      </c>
      <c r="K3325" s="108"/>
      <c r="L3325" s="108">
        <v>4.2599999999999999E-2</v>
      </c>
      <c r="O3325" s="105"/>
    </row>
    <row r="3326" spans="2:15" x14ac:dyDescent="0.2">
      <c r="B3326" s="1">
        <v>3311</v>
      </c>
      <c r="C3326" s="106">
        <f ca="1"/>
        <v>-0.39672116614298081</v>
      </c>
      <c r="D3326" s="106">
        <f t="shared" ca="1" si="192"/>
        <v>0.6390003705658871</v>
      </c>
      <c r="E3326" s="106">
        <f t="shared" ca="1" si="193"/>
        <v>0</v>
      </c>
      <c r="F3326" s="21">
        <f t="shared" ca="1" si="194"/>
        <v>0</v>
      </c>
      <c r="H3326" s="21">
        <v>3311</v>
      </c>
      <c r="I3326" s="107">
        <v>0.66783706874564441</v>
      </c>
      <c r="J3326" s="108">
        <v>1.4324314324423979E-3</v>
      </c>
      <c r="K3326" s="108"/>
      <c r="L3326" s="108">
        <v>4.3799999999999999E-2</v>
      </c>
      <c r="O3326" s="105"/>
    </row>
    <row r="3327" spans="2:15" x14ac:dyDescent="0.2">
      <c r="B3327" s="1">
        <v>3312</v>
      </c>
      <c r="C3327" s="106">
        <f ca="1"/>
        <v>-0.86316396633969894</v>
      </c>
      <c r="D3327" s="106">
        <f t="shared" ca="1" si="192"/>
        <v>0.61026573782673399</v>
      </c>
      <c r="E3327" s="106">
        <f t="shared" ca="1" si="193"/>
        <v>0</v>
      </c>
      <c r="F3327" s="21">
        <f t="shared" ca="1" si="194"/>
        <v>0</v>
      </c>
      <c r="H3327" s="21">
        <v>3312</v>
      </c>
      <c r="I3327" s="107">
        <v>0.6678404170157205</v>
      </c>
      <c r="J3327" s="108">
        <v>1.5273413904229106E-3</v>
      </c>
      <c r="K3327" s="108"/>
      <c r="L3327" s="108">
        <v>4.4600000000000001E-2</v>
      </c>
      <c r="O3327" s="105"/>
    </row>
    <row r="3328" spans="2:15" x14ac:dyDescent="0.2">
      <c r="B3328" s="1">
        <v>3313</v>
      </c>
      <c r="C3328" s="106">
        <f ca="1"/>
        <v>-0.34083637213154505</v>
      </c>
      <c r="D3328" s="106">
        <f t="shared" ca="1" si="192"/>
        <v>0.64253261907187909</v>
      </c>
      <c r="E3328" s="106">
        <f t="shared" ca="1" si="193"/>
        <v>0</v>
      </c>
      <c r="F3328" s="21">
        <f t="shared" ca="1" si="194"/>
        <v>0</v>
      </c>
      <c r="H3328" s="21">
        <v>3313</v>
      </c>
      <c r="I3328" s="107">
        <v>0.66773130494481814</v>
      </c>
      <c r="J3328" s="108">
        <v>1.4497528772060807E-3</v>
      </c>
      <c r="K3328" s="108"/>
      <c r="L3328" s="108">
        <v>4.36E-2</v>
      </c>
      <c r="O3328" s="105"/>
    </row>
    <row r="3329" spans="2:15" x14ac:dyDescent="0.2">
      <c r="B3329" s="1">
        <v>3314</v>
      </c>
      <c r="C3329" s="106">
        <f ca="1"/>
        <v>0.44292246049694062</v>
      </c>
      <c r="D3329" s="106">
        <f t="shared" ca="1" si="192"/>
        <v>0.69417812705220294</v>
      </c>
      <c r="E3329" s="106">
        <f t="shared" ca="1" si="193"/>
        <v>0</v>
      </c>
      <c r="F3329" s="21">
        <f t="shared" ca="1" si="194"/>
        <v>0</v>
      </c>
      <c r="H3329" s="21">
        <v>3314</v>
      </c>
      <c r="I3329" s="107">
        <v>0.66776117509241162</v>
      </c>
      <c r="J3329" s="108">
        <v>1.3787610624211878E-3</v>
      </c>
      <c r="K3329" s="108"/>
      <c r="L3329" s="108">
        <v>4.1799999999999997E-2</v>
      </c>
      <c r="O3329" s="105"/>
    </row>
    <row r="3330" spans="2:15" x14ac:dyDescent="0.2">
      <c r="B3330" s="1">
        <v>3315</v>
      </c>
      <c r="C3330" s="106">
        <f ca="1"/>
        <v>-0.12301448030728304</v>
      </c>
      <c r="D3330" s="106">
        <f t="shared" ca="1" si="192"/>
        <v>0.65648761256042998</v>
      </c>
      <c r="E3330" s="106">
        <f t="shared" ca="1" si="193"/>
        <v>0</v>
      </c>
      <c r="F3330" s="21">
        <f t="shared" ca="1" si="194"/>
        <v>0</v>
      </c>
      <c r="H3330" s="21">
        <v>3315</v>
      </c>
      <c r="I3330" s="107">
        <v>0.667638302618345</v>
      </c>
      <c r="J3330" s="108">
        <v>1.2557141711686702E-3</v>
      </c>
      <c r="K3330" s="108"/>
      <c r="L3330" s="108">
        <v>4.2200000000000001E-2</v>
      </c>
      <c r="O3330" s="105"/>
    </row>
    <row r="3331" spans="2:15" x14ac:dyDescent="0.2">
      <c r="B3331" s="1">
        <v>3316</v>
      </c>
      <c r="C3331" s="106">
        <f ca="1"/>
        <v>-1.6395025725909607</v>
      </c>
      <c r="D3331" s="106">
        <f t="shared" ca="1" si="192"/>
        <v>0.56527674688639085</v>
      </c>
      <c r="E3331" s="106">
        <f t="shared" ca="1" si="193"/>
        <v>0</v>
      </c>
      <c r="F3331" s="21">
        <f t="shared" ca="1" si="194"/>
        <v>0</v>
      </c>
      <c r="H3331" s="21">
        <v>3316</v>
      </c>
      <c r="I3331" s="107">
        <v>0.66775620848015438</v>
      </c>
      <c r="J3331" s="108">
        <v>1.359610290487374E-3</v>
      </c>
      <c r="K3331" s="108"/>
      <c r="L3331" s="108">
        <v>4.1799999999999997E-2</v>
      </c>
      <c r="O3331" s="105"/>
    </row>
    <row r="3332" spans="2:15" x14ac:dyDescent="0.2">
      <c r="B3332" s="1">
        <v>3317</v>
      </c>
      <c r="C3332" s="106">
        <f ca="1"/>
        <v>3.2334107895561105E-2</v>
      </c>
      <c r="D3332" s="106">
        <f t="shared" ca="1" si="192"/>
        <v>0.66662496428894491</v>
      </c>
      <c r="E3332" s="106">
        <f t="shared" ca="1" si="193"/>
        <v>0</v>
      </c>
      <c r="F3332" s="21">
        <f t="shared" ca="1" si="194"/>
        <v>0</v>
      </c>
      <c r="H3332" s="21">
        <v>3317</v>
      </c>
      <c r="I3332" s="107">
        <v>0.66771710043857557</v>
      </c>
      <c r="J3332" s="108">
        <v>1.3750137310974463E-3</v>
      </c>
      <c r="K3332" s="108"/>
      <c r="L3332" s="108">
        <v>4.3200000000000002E-2</v>
      </c>
      <c r="O3332" s="105"/>
    </row>
    <row r="3333" spans="2:15" x14ac:dyDescent="0.2">
      <c r="B3333" s="1">
        <v>3318</v>
      </c>
      <c r="C3333" s="106">
        <f ca="1"/>
        <v>-0.5183395196737004</v>
      </c>
      <c r="D3333" s="106">
        <f t="shared" ca="1" si="192"/>
        <v>0.63138034011321609</v>
      </c>
      <c r="E3333" s="106">
        <f t="shared" ca="1" si="193"/>
        <v>0</v>
      </c>
      <c r="F3333" s="21">
        <f t="shared" ca="1" si="194"/>
        <v>0</v>
      </c>
      <c r="H3333" s="21">
        <v>3318</v>
      </c>
      <c r="I3333" s="107">
        <v>0.66750131458236184</v>
      </c>
      <c r="J3333" s="108">
        <v>1.0844117658979178E-3</v>
      </c>
      <c r="K3333" s="108"/>
      <c r="L3333" s="108">
        <v>3.5200000000000002E-2</v>
      </c>
      <c r="O3333" s="105"/>
    </row>
    <row r="3334" spans="2:15" x14ac:dyDescent="0.2">
      <c r="B3334" s="1">
        <v>3319</v>
      </c>
      <c r="C3334" s="106">
        <f ca="1"/>
        <v>-4.0057857543482955E-2</v>
      </c>
      <c r="D3334" s="106">
        <f t="shared" ca="1" si="192"/>
        <v>0.66188165819777034</v>
      </c>
      <c r="E3334" s="106">
        <f t="shared" ca="1" si="193"/>
        <v>0</v>
      </c>
      <c r="F3334" s="21">
        <f t="shared" ca="1" si="194"/>
        <v>0</v>
      </c>
      <c r="H3334" s="21">
        <v>3319</v>
      </c>
      <c r="I3334" s="107">
        <v>0.66763826266472548</v>
      </c>
      <c r="J3334" s="108">
        <v>1.3074353069776308E-3</v>
      </c>
      <c r="K3334" s="108"/>
      <c r="L3334" s="108">
        <v>3.9600000000000003E-2</v>
      </c>
      <c r="O3334" s="105"/>
    </row>
    <row r="3335" spans="2:15" x14ac:dyDescent="0.2">
      <c r="B3335" s="1">
        <v>3320</v>
      </c>
      <c r="C3335" s="106">
        <f ca="1"/>
        <v>0.9697453616172923</v>
      </c>
      <c r="D3335" s="106">
        <f t="shared" ca="1" si="192"/>
        <v>0.73120591109308408</v>
      </c>
      <c r="E3335" s="106">
        <f t="shared" ca="1" si="193"/>
        <v>0</v>
      </c>
      <c r="F3335" s="21">
        <f t="shared" ca="1" si="194"/>
        <v>0</v>
      </c>
      <c r="H3335" s="21">
        <v>3320</v>
      </c>
      <c r="I3335" s="107">
        <v>0.66782420712579993</v>
      </c>
      <c r="J3335" s="108">
        <v>1.4496036986027404E-3</v>
      </c>
      <c r="K3335" s="108"/>
      <c r="L3335" s="108">
        <v>4.2799999999999998E-2</v>
      </c>
      <c r="O3335" s="105"/>
    </row>
    <row r="3336" spans="2:15" x14ac:dyDescent="0.2">
      <c r="B3336" s="1">
        <v>3321</v>
      </c>
      <c r="C3336" s="106">
        <f ca="1"/>
        <v>-1.6106654256840034</v>
      </c>
      <c r="D3336" s="106">
        <f t="shared" ca="1" si="192"/>
        <v>0.56688698514298763</v>
      </c>
      <c r="E3336" s="106">
        <f t="shared" ca="1" si="193"/>
        <v>0</v>
      </c>
      <c r="F3336" s="21">
        <f t="shared" ca="1" si="194"/>
        <v>0</v>
      </c>
      <c r="H3336" s="21">
        <v>3321</v>
      </c>
      <c r="I3336" s="107">
        <v>0.66788363895856451</v>
      </c>
      <c r="J3336" s="108">
        <v>1.4528363141074162E-3</v>
      </c>
      <c r="K3336" s="108"/>
      <c r="L3336" s="108">
        <v>4.7E-2</v>
      </c>
      <c r="O3336" s="105"/>
    </row>
    <row r="3337" spans="2:15" x14ac:dyDescent="0.2">
      <c r="B3337" s="1">
        <v>3322</v>
      </c>
      <c r="C3337" s="106">
        <f ca="1"/>
        <v>-1.5634309572264422E-2</v>
      </c>
      <c r="D3337" s="106">
        <f t="shared" ca="1" si="192"/>
        <v>0.66347816675358939</v>
      </c>
      <c r="E3337" s="106">
        <f t="shared" ca="1" si="193"/>
        <v>0</v>
      </c>
      <c r="F3337" s="21">
        <f t="shared" ca="1" si="194"/>
        <v>0</v>
      </c>
      <c r="H3337" s="21">
        <v>3322</v>
      </c>
      <c r="I3337" s="107">
        <v>0.6677287902173854</v>
      </c>
      <c r="J3337" s="108">
        <v>1.4140200997028679E-3</v>
      </c>
      <c r="K3337" s="108"/>
      <c r="L3337" s="108">
        <v>4.1399999999999999E-2</v>
      </c>
      <c r="O3337" s="105"/>
    </row>
    <row r="3338" spans="2:15" x14ac:dyDescent="0.2">
      <c r="B3338" s="1">
        <v>3323</v>
      </c>
      <c r="C3338" s="106">
        <f ca="1"/>
        <v>-0.16346691862611612</v>
      </c>
      <c r="D3338" s="106">
        <f t="shared" ca="1" si="192"/>
        <v>0.6538732612294027</v>
      </c>
      <c r="E3338" s="106">
        <f t="shared" ca="1" si="193"/>
        <v>0</v>
      </c>
      <c r="F3338" s="21">
        <f t="shared" ca="1" si="194"/>
        <v>0</v>
      </c>
      <c r="H3338" s="21">
        <v>3323</v>
      </c>
      <c r="I3338" s="107">
        <v>0.66770780961882215</v>
      </c>
      <c r="J3338" s="108">
        <v>1.5114280640381652E-3</v>
      </c>
      <c r="K3338" s="108"/>
      <c r="L3338" s="108">
        <v>4.4600000000000001E-2</v>
      </c>
      <c r="O3338" s="105"/>
    </row>
    <row r="3339" spans="2:15" x14ac:dyDescent="0.2">
      <c r="B3339" s="1">
        <v>3324</v>
      </c>
      <c r="C3339" s="106">
        <f ca="1"/>
        <v>0.31348259744239687</v>
      </c>
      <c r="D3339" s="106">
        <f t="shared" ca="1" si="192"/>
        <v>0.68537112172928161</v>
      </c>
      <c r="E3339" s="106">
        <f t="shared" ca="1" si="193"/>
        <v>0</v>
      </c>
      <c r="F3339" s="21">
        <f t="shared" ca="1" si="194"/>
        <v>0</v>
      </c>
      <c r="H3339" s="21">
        <v>3324</v>
      </c>
      <c r="I3339" s="107">
        <v>0.66775239330488134</v>
      </c>
      <c r="J3339" s="108">
        <v>1.3121292899877901E-3</v>
      </c>
      <c r="K3339" s="108"/>
      <c r="L3339" s="108">
        <v>4.3200000000000002E-2</v>
      </c>
      <c r="O3339" s="105"/>
    </row>
    <row r="3340" spans="2:15" x14ac:dyDescent="0.2">
      <c r="B3340" s="1">
        <v>3325</v>
      </c>
      <c r="C3340" s="106">
        <f ca="1"/>
        <v>-0.59006496640727646</v>
      </c>
      <c r="D3340" s="106">
        <f t="shared" ca="1" si="192"/>
        <v>0.62692903067214567</v>
      </c>
      <c r="E3340" s="106">
        <f t="shared" ca="1" si="193"/>
        <v>0</v>
      </c>
      <c r="F3340" s="21">
        <f t="shared" ca="1" si="194"/>
        <v>0</v>
      </c>
      <c r="H3340" s="21">
        <v>3325</v>
      </c>
      <c r="I3340" s="107">
        <v>0.66766419221567763</v>
      </c>
      <c r="J3340" s="108">
        <v>1.2951243160426883E-3</v>
      </c>
      <c r="K3340" s="108"/>
      <c r="L3340" s="108">
        <v>4.0800000000000003E-2</v>
      </c>
      <c r="O3340" s="105"/>
    </row>
    <row r="3341" spans="2:15" x14ac:dyDescent="0.2">
      <c r="B3341" s="1">
        <v>3326</v>
      </c>
      <c r="C3341" s="106">
        <f ca="1"/>
        <v>0.23877195391815759</v>
      </c>
      <c r="D3341" s="106">
        <f t="shared" ca="1" si="192"/>
        <v>0.68033880597646912</v>
      </c>
      <c r="E3341" s="106">
        <f t="shared" ca="1" si="193"/>
        <v>0</v>
      </c>
      <c r="F3341" s="21">
        <f t="shared" ca="1" si="194"/>
        <v>0</v>
      </c>
      <c r="H3341" s="21">
        <v>3326</v>
      </c>
      <c r="I3341" s="107">
        <v>0.66777390822794513</v>
      </c>
      <c r="J3341" s="108">
        <v>1.4115437037873194E-3</v>
      </c>
      <c r="K3341" s="108"/>
      <c r="L3341" s="108">
        <v>4.2000000000000003E-2</v>
      </c>
      <c r="O3341" s="105"/>
    </row>
    <row r="3342" spans="2:15" x14ac:dyDescent="0.2">
      <c r="B3342" s="1">
        <v>3327</v>
      </c>
      <c r="C3342" s="106">
        <f ca="1"/>
        <v>1.1515936292268083</v>
      </c>
      <c r="D3342" s="106">
        <f t="shared" ca="1" si="192"/>
        <v>0.74444044706289458</v>
      </c>
      <c r="E3342" s="106">
        <f t="shared" ca="1" si="193"/>
        <v>0</v>
      </c>
      <c r="F3342" s="21">
        <f t="shared" ca="1" si="194"/>
        <v>0</v>
      </c>
      <c r="H3342" s="21">
        <v>3327</v>
      </c>
      <c r="I3342" s="107">
        <v>0.66775178477982855</v>
      </c>
      <c r="J3342" s="108">
        <v>1.3224426405945451E-3</v>
      </c>
      <c r="K3342" s="108"/>
      <c r="L3342" s="108">
        <v>4.1799999999999997E-2</v>
      </c>
      <c r="O3342" s="105"/>
    </row>
    <row r="3343" spans="2:15" x14ac:dyDescent="0.2">
      <c r="B3343" s="1">
        <v>3328</v>
      </c>
      <c r="C3343" s="106">
        <f ca="1"/>
        <v>1.2815068042169548</v>
      </c>
      <c r="D3343" s="106">
        <f t="shared" ca="1" si="192"/>
        <v>0.75404169600996185</v>
      </c>
      <c r="E3343" s="106">
        <f t="shared" ca="1" si="193"/>
        <v>0</v>
      </c>
      <c r="F3343" s="21">
        <f t="shared" ca="1" si="194"/>
        <v>0</v>
      </c>
      <c r="H3343" s="21">
        <v>3328</v>
      </c>
      <c r="I3343" s="107">
        <v>0.66776420163144634</v>
      </c>
      <c r="J3343" s="108">
        <v>1.3290991481750695E-3</v>
      </c>
      <c r="K3343" s="108"/>
      <c r="L3343" s="108">
        <v>4.3200000000000002E-2</v>
      </c>
      <c r="O3343" s="105"/>
    </row>
    <row r="3344" spans="2:15" x14ac:dyDescent="0.2">
      <c r="B3344" s="1">
        <v>3329</v>
      </c>
      <c r="C3344" s="106">
        <f ca="1"/>
        <v>2.4114513631821661</v>
      </c>
      <c r="D3344" s="106">
        <f t="shared" ref="D3344:D3407" ca="1" si="195">S0*EXP((μ-0.5*σ*σ)*T+σ*SQRT(T)*$C3344)</f>
        <v>0.84294936888676397</v>
      </c>
      <c r="E3344" s="106">
        <f t="shared" ref="E3344:E3407" ca="1" si="196">MAX(0,CP*(D3344-K))</f>
        <v>5.4749368886763961E-2</v>
      </c>
      <c r="F3344" s="21">
        <f t="shared" ref="F3344:F3407" ca="1" si="197">(CP*(D3344-K)&gt;0)*1</f>
        <v>1</v>
      </c>
      <c r="H3344" s="21">
        <v>3329</v>
      </c>
      <c r="I3344" s="107">
        <v>0.66778703582946797</v>
      </c>
      <c r="J3344" s="108">
        <v>1.5581759811444051E-3</v>
      </c>
      <c r="K3344" s="108"/>
      <c r="L3344" s="108">
        <v>4.0800000000000003E-2</v>
      </c>
      <c r="O3344" s="105"/>
    </row>
    <row r="3345" spans="2:15" x14ac:dyDescent="0.2">
      <c r="B3345" s="1">
        <v>3330</v>
      </c>
      <c r="C3345" s="106">
        <f ca="1"/>
        <v>-8.1175820586851744E-2</v>
      </c>
      <c r="D3345" s="106">
        <f t="shared" ca="1" si="195"/>
        <v>0.6592025490801996</v>
      </c>
      <c r="E3345" s="106">
        <f t="shared" ca="1" si="196"/>
        <v>0</v>
      </c>
      <c r="F3345" s="21">
        <f t="shared" ca="1" si="197"/>
        <v>0</v>
      </c>
      <c r="H3345" s="21">
        <v>3330</v>
      </c>
      <c r="I3345" s="107">
        <v>0.66766516237856421</v>
      </c>
      <c r="J3345" s="108">
        <v>1.2804166597414133E-3</v>
      </c>
      <c r="K3345" s="108"/>
      <c r="L3345" s="108">
        <v>4.0399999999999998E-2</v>
      </c>
      <c r="O3345" s="105"/>
    </row>
    <row r="3346" spans="2:15" x14ac:dyDescent="0.2">
      <c r="B3346" s="1">
        <v>3331</v>
      </c>
      <c r="C3346" s="106">
        <f ca="1"/>
        <v>0.42710462992375486</v>
      </c>
      <c r="D3346" s="106">
        <f t="shared" ca="1" si="195"/>
        <v>0.69309585118039962</v>
      </c>
      <c r="E3346" s="106">
        <f t="shared" ca="1" si="196"/>
        <v>0</v>
      </c>
      <c r="F3346" s="21">
        <f t="shared" ca="1" si="197"/>
        <v>0</v>
      </c>
      <c r="H3346" s="21">
        <v>3331</v>
      </c>
      <c r="I3346" s="107">
        <v>0.66764362901941277</v>
      </c>
      <c r="J3346" s="108">
        <v>1.2497332806607751E-3</v>
      </c>
      <c r="K3346" s="108"/>
      <c r="L3346" s="108">
        <v>3.7999999999999999E-2</v>
      </c>
      <c r="O3346" s="105"/>
    </row>
    <row r="3347" spans="2:15" x14ac:dyDescent="0.2">
      <c r="B3347" s="1">
        <v>3332</v>
      </c>
      <c r="C3347" s="106">
        <f ca="1"/>
        <v>-1.9943678607153734</v>
      </c>
      <c r="D3347" s="106">
        <f t="shared" ca="1" si="195"/>
        <v>0.54583189637043084</v>
      </c>
      <c r="E3347" s="106">
        <f t="shared" ca="1" si="196"/>
        <v>0</v>
      </c>
      <c r="F3347" s="21">
        <f t="shared" ca="1" si="197"/>
        <v>0</v>
      </c>
      <c r="H3347" s="21">
        <v>3332</v>
      </c>
      <c r="I3347" s="107">
        <v>0.66781612609671703</v>
      </c>
      <c r="J3347" s="108">
        <v>1.5857227763048868E-3</v>
      </c>
      <c r="K3347" s="108"/>
      <c r="L3347" s="108">
        <v>4.48E-2</v>
      </c>
      <c r="O3347" s="105"/>
    </row>
    <row r="3348" spans="2:15" x14ac:dyDescent="0.2">
      <c r="B3348" s="1">
        <v>3333</v>
      </c>
      <c r="C3348" s="106">
        <f ca="1"/>
        <v>-0.873895818171739</v>
      </c>
      <c r="D3348" s="106">
        <f t="shared" ca="1" si="195"/>
        <v>0.60962004984334284</v>
      </c>
      <c r="E3348" s="106">
        <f t="shared" ca="1" si="196"/>
        <v>0</v>
      </c>
      <c r="F3348" s="21">
        <f t="shared" ca="1" si="197"/>
        <v>0</v>
      </c>
      <c r="H3348" s="21">
        <v>3333</v>
      </c>
      <c r="I3348" s="107">
        <v>0.66765936122389158</v>
      </c>
      <c r="J3348" s="108">
        <v>1.2731192816983483E-3</v>
      </c>
      <c r="K3348" s="108"/>
      <c r="L3348" s="108">
        <v>4.2000000000000003E-2</v>
      </c>
      <c r="O3348" s="105"/>
    </row>
    <row r="3349" spans="2:15" x14ac:dyDescent="0.2">
      <c r="B3349" s="1">
        <v>3334</v>
      </c>
      <c r="C3349" s="106">
        <f ca="1"/>
        <v>1.6925999186824157</v>
      </c>
      <c r="D3349" s="106">
        <f t="shared" ca="1" si="195"/>
        <v>0.78524709272124238</v>
      </c>
      <c r="E3349" s="106">
        <f t="shared" ca="1" si="196"/>
        <v>0</v>
      </c>
      <c r="F3349" s="21">
        <f t="shared" ca="1" si="197"/>
        <v>0</v>
      </c>
      <c r="H3349" s="21">
        <v>3334</v>
      </c>
      <c r="I3349" s="107">
        <v>0.66773799953434587</v>
      </c>
      <c r="J3349" s="108">
        <v>1.4291977045934002E-3</v>
      </c>
      <c r="K3349" s="108"/>
      <c r="L3349" s="108">
        <v>4.1599999999999998E-2</v>
      </c>
      <c r="O3349" s="105"/>
    </row>
    <row r="3350" spans="2:15" x14ac:dyDescent="0.2">
      <c r="B3350" s="1">
        <v>3335</v>
      </c>
      <c r="C3350" s="106">
        <f ca="1"/>
        <v>-0.64884792690963122</v>
      </c>
      <c r="D3350" s="106">
        <f t="shared" ca="1" si="195"/>
        <v>0.62330434599603768</v>
      </c>
      <c r="E3350" s="106">
        <f t="shared" ca="1" si="196"/>
        <v>0</v>
      </c>
      <c r="F3350" s="21">
        <f t="shared" ca="1" si="197"/>
        <v>0</v>
      </c>
      <c r="H3350" s="21">
        <v>3335</v>
      </c>
      <c r="I3350" s="107">
        <v>0.66768897586495868</v>
      </c>
      <c r="J3350" s="108">
        <v>1.2209256747896839E-3</v>
      </c>
      <c r="K3350" s="108"/>
      <c r="L3350" s="108">
        <v>3.8800000000000001E-2</v>
      </c>
      <c r="O3350" s="105"/>
    </row>
    <row r="3351" spans="2:15" x14ac:dyDescent="0.2">
      <c r="B3351" s="1">
        <v>3336</v>
      </c>
      <c r="C3351" s="106">
        <f ca="1"/>
        <v>-1.8241818811801229</v>
      </c>
      <c r="D3351" s="106">
        <f t="shared" ca="1" si="195"/>
        <v>0.55507232295221309</v>
      </c>
      <c r="E3351" s="106">
        <f t="shared" ca="1" si="196"/>
        <v>0</v>
      </c>
      <c r="F3351" s="21">
        <f t="shared" ca="1" si="197"/>
        <v>0</v>
      </c>
      <c r="H3351" s="21">
        <v>3336</v>
      </c>
      <c r="I3351" s="107">
        <v>0.66766982842663825</v>
      </c>
      <c r="J3351" s="108">
        <v>1.192831850826602E-3</v>
      </c>
      <c r="K3351" s="108"/>
      <c r="L3351" s="108">
        <v>4.02E-2</v>
      </c>
      <c r="O3351" s="105"/>
    </row>
    <row r="3352" spans="2:15" x14ac:dyDescent="0.2">
      <c r="B3352" s="1">
        <v>3337</v>
      </c>
      <c r="C3352" s="106">
        <f ca="1"/>
        <v>0.99947941839976751</v>
      </c>
      <c r="D3352" s="106">
        <f t="shared" ca="1" si="195"/>
        <v>0.73335369117602234</v>
      </c>
      <c r="E3352" s="106">
        <f t="shared" ca="1" si="196"/>
        <v>0</v>
      </c>
      <c r="F3352" s="21">
        <f t="shared" ca="1" si="197"/>
        <v>0</v>
      </c>
      <c r="H3352" s="21">
        <v>3337</v>
      </c>
      <c r="I3352" s="107">
        <v>0.66782156991037334</v>
      </c>
      <c r="J3352" s="108">
        <v>1.40861163561442E-3</v>
      </c>
      <c r="K3352" s="108"/>
      <c r="L3352" s="108">
        <v>4.3400000000000001E-2</v>
      </c>
      <c r="O3352" s="105"/>
    </row>
    <row r="3353" spans="2:15" x14ac:dyDescent="0.2">
      <c r="B3353" s="1">
        <v>3338</v>
      </c>
      <c r="C3353" s="106">
        <f ca="1"/>
        <v>-7.7199258892408001E-2</v>
      </c>
      <c r="D3353" s="106">
        <f t="shared" ca="1" si="195"/>
        <v>0.65946117418696326</v>
      </c>
      <c r="E3353" s="106">
        <f t="shared" ca="1" si="196"/>
        <v>0</v>
      </c>
      <c r="F3353" s="21">
        <f t="shared" ca="1" si="197"/>
        <v>0</v>
      </c>
      <c r="H3353" s="21">
        <v>3338</v>
      </c>
      <c r="I3353" s="107">
        <v>0.66771522835324137</v>
      </c>
      <c r="J3353" s="108">
        <v>1.2317876257490956E-3</v>
      </c>
      <c r="K3353" s="108"/>
      <c r="L3353" s="108">
        <v>4.0399999999999998E-2</v>
      </c>
      <c r="O3353" s="105"/>
    </row>
    <row r="3354" spans="2:15" x14ac:dyDescent="0.2">
      <c r="B3354" s="1">
        <v>3339</v>
      </c>
      <c r="C3354" s="106">
        <f ca="1"/>
        <v>-0.4810692961997966</v>
      </c>
      <c r="D3354" s="106">
        <f t="shared" ca="1" si="195"/>
        <v>0.63370580889375994</v>
      </c>
      <c r="E3354" s="106">
        <f t="shared" ca="1" si="196"/>
        <v>0</v>
      </c>
      <c r="F3354" s="21">
        <f t="shared" ca="1" si="197"/>
        <v>0</v>
      </c>
      <c r="H3354" s="21">
        <v>3339</v>
      </c>
      <c r="I3354" s="107">
        <v>0.66776955096909829</v>
      </c>
      <c r="J3354" s="108">
        <v>1.3625312154211199E-3</v>
      </c>
      <c r="K3354" s="108"/>
      <c r="L3354" s="108">
        <v>4.1200000000000001E-2</v>
      </c>
      <c r="O3354" s="105"/>
    </row>
    <row r="3355" spans="2:15" x14ac:dyDescent="0.2">
      <c r="B3355" s="1">
        <v>3340</v>
      </c>
      <c r="C3355" s="106">
        <f ca="1"/>
        <v>0.31419615150935493</v>
      </c>
      <c r="D3355" s="106">
        <f t="shared" ca="1" si="195"/>
        <v>0.6854193639034224</v>
      </c>
      <c r="E3355" s="106">
        <f t="shared" ca="1" si="196"/>
        <v>0</v>
      </c>
      <c r="F3355" s="21">
        <f t="shared" ca="1" si="197"/>
        <v>0</v>
      </c>
      <c r="H3355" s="21">
        <v>3340</v>
      </c>
      <c r="I3355" s="107">
        <v>0.66780701249651653</v>
      </c>
      <c r="J3355" s="108">
        <v>1.4910992072403892E-3</v>
      </c>
      <c r="K3355" s="108"/>
      <c r="L3355" s="108">
        <v>4.4999999999999998E-2</v>
      </c>
      <c r="O3355" s="105"/>
    </row>
    <row r="3356" spans="2:15" x14ac:dyDescent="0.2">
      <c r="B3356" s="1">
        <v>3341</v>
      </c>
      <c r="C3356" s="106">
        <f ca="1"/>
        <v>1.6994947000724463</v>
      </c>
      <c r="D3356" s="106">
        <f t="shared" ca="1" si="195"/>
        <v>0.78578132906690179</v>
      </c>
      <c r="E3356" s="106">
        <f t="shared" ca="1" si="196"/>
        <v>0</v>
      </c>
      <c r="F3356" s="21">
        <f t="shared" ca="1" si="197"/>
        <v>0</v>
      </c>
      <c r="H3356" s="21">
        <v>3341</v>
      </c>
      <c r="I3356" s="107">
        <v>0.66770489279678391</v>
      </c>
      <c r="J3356" s="108">
        <v>1.3264532879945158E-3</v>
      </c>
      <c r="K3356" s="108"/>
      <c r="L3356" s="108">
        <v>3.7199999999999997E-2</v>
      </c>
      <c r="O3356" s="105"/>
    </row>
    <row r="3357" spans="2:15" x14ac:dyDescent="0.2">
      <c r="B3357" s="1">
        <v>3342</v>
      </c>
      <c r="C3357" s="106">
        <f ca="1"/>
        <v>0.7456359863029639</v>
      </c>
      <c r="D3357" s="106">
        <f t="shared" ca="1" si="195"/>
        <v>0.7152189061679336</v>
      </c>
      <c r="E3357" s="106">
        <f t="shared" ca="1" si="196"/>
        <v>0</v>
      </c>
      <c r="F3357" s="21">
        <f t="shared" ca="1" si="197"/>
        <v>0</v>
      </c>
      <c r="H3357" s="21">
        <v>3342</v>
      </c>
      <c r="I3357" s="107">
        <v>0.66778610739194344</v>
      </c>
      <c r="J3357" s="108">
        <v>1.4005618931781235E-3</v>
      </c>
      <c r="K3357" s="108"/>
      <c r="L3357" s="108">
        <v>4.2799999999999998E-2</v>
      </c>
      <c r="O3357" s="105"/>
    </row>
    <row r="3358" spans="2:15" x14ac:dyDescent="0.2">
      <c r="B3358" s="1">
        <v>3343</v>
      </c>
      <c r="C3358" s="106">
        <f ca="1"/>
        <v>2.3628737282648333</v>
      </c>
      <c r="D3358" s="106">
        <f t="shared" ca="1" si="195"/>
        <v>0.83891981790645265</v>
      </c>
      <c r="E3358" s="106">
        <f t="shared" ca="1" si="196"/>
        <v>5.0719817906452636E-2</v>
      </c>
      <c r="F3358" s="21">
        <f t="shared" ca="1" si="197"/>
        <v>1</v>
      </c>
      <c r="H3358" s="21">
        <v>3343</v>
      </c>
      <c r="I3358" s="107">
        <v>0.66773893452685851</v>
      </c>
      <c r="J3358" s="108">
        <v>1.3517900399928227E-3</v>
      </c>
      <c r="K3358" s="108"/>
      <c r="L3358" s="108">
        <v>4.1799999999999997E-2</v>
      </c>
      <c r="O3358" s="105"/>
    </row>
    <row r="3359" spans="2:15" x14ac:dyDescent="0.2">
      <c r="B3359" s="1">
        <v>3344</v>
      </c>
      <c r="C3359" s="106">
        <f ca="1"/>
        <v>1.0940488673427069</v>
      </c>
      <c r="D3359" s="106">
        <f t="shared" ca="1" si="195"/>
        <v>0.74022675638654278</v>
      </c>
      <c r="E3359" s="106">
        <f t="shared" ca="1" si="196"/>
        <v>0</v>
      </c>
      <c r="F3359" s="21">
        <f t="shared" ca="1" si="197"/>
        <v>0</v>
      </c>
      <c r="H3359" s="21">
        <v>3344</v>
      </c>
      <c r="I3359" s="107">
        <v>0.66757197579845773</v>
      </c>
      <c r="J3359" s="108">
        <v>1.1645399710434462E-3</v>
      </c>
      <c r="K3359" s="108"/>
      <c r="L3359" s="108">
        <v>3.8199999999999998E-2</v>
      </c>
      <c r="O3359" s="105"/>
    </row>
    <row r="3360" spans="2:15" x14ac:dyDescent="0.2">
      <c r="B3360" s="1">
        <v>3345</v>
      </c>
      <c r="C3360" s="106">
        <f ca="1"/>
        <v>-0.12841971754971035</v>
      </c>
      <c r="D3360" s="106">
        <f t="shared" ca="1" si="195"/>
        <v>0.65613767994446959</v>
      </c>
      <c r="E3360" s="106">
        <f t="shared" ca="1" si="196"/>
        <v>0</v>
      </c>
      <c r="F3360" s="21">
        <f t="shared" ca="1" si="197"/>
        <v>0</v>
      </c>
      <c r="H3360" s="21">
        <v>3345</v>
      </c>
      <c r="I3360" s="107">
        <v>0.66763713286243243</v>
      </c>
      <c r="J3360" s="108">
        <v>1.261156793136509E-3</v>
      </c>
      <c r="K3360" s="108"/>
      <c r="L3360" s="108">
        <v>3.78E-2</v>
      </c>
      <c r="O3360" s="105"/>
    </row>
    <row r="3361" spans="2:15" x14ac:dyDescent="0.2">
      <c r="B3361" s="1">
        <v>3346</v>
      </c>
      <c r="C3361" s="106">
        <f ca="1"/>
        <v>-1.5304150671807446</v>
      </c>
      <c r="D3361" s="106">
        <f t="shared" ca="1" si="195"/>
        <v>0.57139227191558206</v>
      </c>
      <c r="E3361" s="106">
        <f t="shared" ca="1" si="196"/>
        <v>0</v>
      </c>
      <c r="F3361" s="21">
        <f t="shared" ca="1" si="197"/>
        <v>0</v>
      </c>
      <c r="H3361" s="21">
        <v>3346</v>
      </c>
      <c r="I3361" s="107">
        <v>0.66761102342137035</v>
      </c>
      <c r="J3361" s="108">
        <v>1.2728520740581722E-3</v>
      </c>
      <c r="K3361" s="108"/>
      <c r="L3361" s="108">
        <v>3.8399999999999997E-2</v>
      </c>
      <c r="O3361" s="105"/>
    </row>
    <row r="3362" spans="2:15" x14ac:dyDescent="0.2">
      <c r="B3362" s="1">
        <v>3347</v>
      </c>
      <c r="C3362" s="106">
        <f ca="1"/>
        <v>-0.10680620746765498</v>
      </c>
      <c r="D3362" s="106">
        <f t="shared" ca="1" si="195"/>
        <v>0.65753804807733829</v>
      </c>
      <c r="E3362" s="106">
        <f t="shared" ca="1" si="196"/>
        <v>0</v>
      </c>
      <c r="F3362" s="21">
        <f t="shared" ca="1" si="197"/>
        <v>0</v>
      </c>
      <c r="H3362" s="21">
        <v>3347</v>
      </c>
      <c r="I3362" s="107">
        <v>0.66788578197982684</v>
      </c>
      <c r="J3362" s="108">
        <v>1.5128032812823957E-3</v>
      </c>
      <c r="K3362" s="108"/>
      <c r="L3362" s="108">
        <v>4.4200000000000003E-2</v>
      </c>
      <c r="O3362" s="105"/>
    </row>
    <row r="3363" spans="2:15" x14ac:dyDescent="0.2">
      <c r="B3363" s="1">
        <v>3348</v>
      </c>
      <c r="C3363" s="106">
        <f ca="1"/>
        <v>1.0300521208620745</v>
      </c>
      <c r="D3363" s="106">
        <f t="shared" ca="1" si="195"/>
        <v>0.73556862744710394</v>
      </c>
      <c r="E3363" s="106">
        <f t="shared" ca="1" si="196"/>
        <v>0</v>
      </c>
      <c r="F3363" s="21">
        <f t="shared" ca="1" si="197"/>
        <v>0</v>
      </c>
      <c r="H3363" s="21">
        <v>3348</v>
      </c>
      <c r="I3363" s="107">
        <v>0.6676157169935435</v>
      </c>
      <c r="J3363" s="108">
        <v>1.2976342047862953E-3</v>
      </c>
      <c r="K3363" s="108"/>
      <c r="L3363" s="108">
        <v>3.8199999999999998E-2</v>
      </c>
      <c r="O3363" s="105"/>
    </row>
    <row r="3364" spans="2:15" x14ac:dyDescent="0.2">
      <c r="B3364" s="1">
        <v>3349</v>
      </c>
      <c r="C3364" s="106">
        <f ca="1"/>
        <v>-0.75639044264037036</v>
      </c>
      <c r="D3364" s="106">
        <f t="shared" ca="1" si="195"/>
        <v>0.61672719585113411</v>
      </c>
      <c r="E3364" s="106">
        <f t="shared" ca="1" si="196"/>
        <v>0</v>
      </c>
      <c r="F3364" s="21">
        <f t="shared" ca="1" si="197"/>
        <v>0</v>
      </c>
      <c r="H3364" s="21">
        <v>3349</v>
      </c>
      <c r="I3364" s="107">
        <v>0.66770650333665638</v>
      </c>
      <c r="J3364" s="108">
        <v>1.2843758872323053E-3</v>
      </c>
      <c r="K3364" s="108"/>
      <c r="L3364" s="108">
        <v>4.1200000000000001E-2</v>
      </c>
      <c r="O3364" s="105"/>
    </row>
    <row r="3365" spans="2:15" x14ac:dyDescent="0.2">
      <c r="B3365" s="1">
        <v>3350</v>
      </c>
      <c r="C3365" s="106">
        <f ca="1"/>
        <v>-2.0111144295025998E-2</v>
      </c>
      <c r="D3365" s="106">
        <f t="shared" ca="1" si="195"/>
        <v>0.66318523887323688</v>
      </c>
      <c r="E3365" s="106">
        <f t="shared" ca="1" si="196"/>
        <v>0</v>
      </c>
      <c r="F3365" s="21">
        <f t="shared" ca="1" si="197"/>
        <v>0</v>
      </c>
      <c r="H3365" s="21">
        <v>3350</v>
      </c>
      <c r="I3365" s="107">
        <v>0.66783456448640732</v>
      </c>
      <c r="J3365" s="108">
        <v>1.450107842636948E-3</v>
      </c>
      <c r="K3365" s="108"/>
      <c r="L3365" s="108">
        <v>4.36E-2</v>
      </c>
      <c r="O3365" s="105"/>
    </row>
    <row r="3366" spans="2:15" x14ac:dyDescent="0.2">
      <c r="B3366" s="1">
        <v>3351</v>
      </c>
      <c r="C3366" s="106">
        <f ca="1"/>
        <v>0.50443539920031433</v>
      </c>
      <c r="D3366" s="106">
        <f t="shared" ca="1" si="195"/>
        <v>0.69840300878050909</v>
      </c>
      <c r="E3366" s="106">
        <f t="shared" ca="1" si="196"/>
        <v>0</v>
      </c>
      <c r="F3366" s="21">
        <f t="shared" ca="1" si="197"/>
        <v>0</v>
      </c>
      <c r="H3366" s="21">
        <v>3351</v>
      </c>
      <c r="I3366" s="107">
        <v>0.66775774233652685</v>
      </c>
      <c r="J3366" s="108">
        <v>1.4682934931027334E-3</v>
      </c>
      <c r="K3366" s="108"/>
      <c r="L3366" s="108">
        <v>4.4600000000000001E-2</v>
      </c>
      <c r="O3366" s="105"/>
    </row>
    <row r="3367" spans="2:15" x14ac:dyDescent="0.2">
      <c r="B3367" s="1">
        <v>3352</v>
      </c>
      <c r="C3367" s="106">
        <f ca="1"/>
        <v>-1.1776088155670188</v>
      </c>
      <c r="D3367" s="106">
        <f t="shared" ca="1" si="195"/>
        <v>0.59162751621760445</v>
      </c>
      <c r="E3367" s="106">
        <f t="shared" ca="1" si="196"/>
        <v>0</v>
      </c>
      <c r="F3367" s="21">
        <f t="shared" ca="1" si="197"/>
        <v>0</v>
      </c>
      <c r="H3367" s="21">
        <v>3352</v>
      </c>
      <c r="I3367" s="107">
        <v>0.66785662783597033</v>
      </c>
      <c r="J3367" s="108">
        <v>1.3652517624064733E-3</v>
      </c>
      <c r="K3367" s="108"/>
      <c r="L3367" s="108">
        <v>4.24E-2</v>
      </c>
      <c r="O3367" s="105"/>
    </row>
    <row r="3368" spans="2:15" x14ac:dyDescent="0.2">
      <c r="B3368" s="1">
        <v>3353</v>
      </c>
      <c r="C3368" s="106">
        <f ca="1"/>
        <v>1.1541140680404485</v>
      </c>
      <c r="D3368" s="106">
        <f t="shared" ca="1" si="195"/>
        <v>0.74462555242904305</v>
      </c>
      <c r="E3368" s="106">
        <f t="shared" ca="1" si="196"/>
        <v>0</v>
      </c>
      <c r="F3368" s="21">
        <f t="shared" ca="1" si="197"/>
        <v>0</v>
      </c>
      <c r="H3368" s="21">
        <v>3353</v>
      </c>
      <c r="I3368" s="107">
        <v>0.66775487602200545</v>
      </c>
      <c r="J3368" s="108">
        <v>1.3912429241912259E-3</v>
      </c>
      <c r="K3368" s="108"/>
      <c r="L3368" s="108">
        <v>4.36E-2</v>
      </c>
      <c r="O3368" s="105"/>
    </row>
    <row r="3369" spans="2:15" x14ac:dyDescent="0.2">
      <c r="B3369" s="1">
        <v>3354</v>
      </c>
      <c r="C3369" s="106">
        <f ca="1"/>
        <v>3.7866937283984214E-2</v>
      </c>
      <c r="D3369" s="106">
        <f t="shared" ca="1" si="195"/>
        <v>0.66698888457852135</v>
      </c>
      <c r="E3369" s="106">
        <f t="shared" ca="1" si="196"/>
        <v>0</v>
      </c>
      <c r="F3369" s="21">
        <f t="shared" ca="1" si="197"/>
        <v>0</v>
      </c>
      <c r="H3369" s="21">
        <v>3354</v>
      </c>
      <c r="I3369" s="107">
        <v>0.66759845004926577</v>
      </c>
      <c r="J3369" s="108">
        <v>1.2318782957179489E-3</v>
      </c>
      <c r="K3369" s="108"/>
      <c r="L3369" s="108">
        <v>3.78E-2</v>
      </c>
      <c r="O3369" s="105"/>
    </row>
    <row r="3370" spans="2:15" x14ac:dyDescent="0.2">
      <c r="B3370" s="1">
        <v>3355</v>
      </c>
      <c r="C3370" s="106">
        <f ca="1"/>
        <v>0.51055852333995211</v>
      </c>
      <c r="D3370" s="106">
        <f t="shared" ca="1" si="195"/>
        <v>0.69882496678396444</v>
      </c>
      <c r="E3370" s="106">
        <f t="shared" ca="1" si="196"/>
        <v>0</v>
      </c>
      <c r="F3370" s="21">
        <f t="shared" ca="1" si="197"/>
        <v>0</v>
      </c>
      <c r="H3370" s="21">
        <v>3355</v>
      </c>
      <c r="I3370" s="107">
        <v>0.66789793448888901</v>
      </c>
      <c r="J3370" s="108">
        <v>1.437108995590581E-3</v>
      </c>
      <c r="K3370" s="108"/>
      <c r="L3370" s="108">
        <v>4.3200000000000002E-2</v>
      </c>
      <c r="O3370" s="105"/>
    </row>
    <row r="3371" spans="2:15" x14ac:dyDescent="0.2">
      <c r="B3371" s="1">
        <v>3356</v>
      </c>
      <c r="C3371" s="106">
        <f ca="1"/>
        <v>1.196334009232233</v>
      </c>
      <c r="D3371" s="106">
        <f t="shared" ca="1" si="195"/>
        <v>0.74773310949062444</v>
      </c>
      <c r="E3371" s="106">
        <f t="shared" ca="1" si="196"/>
        <v>0</v>
      </c>
      <c r="F3371" s="21">
        <f t="shared" ca="1" si="197"/>
        <v>0</v>
      </c>
      <c r="H3371" s="21">
        <v>3356</v>
      </c>
      <c r="I3371" s="107">
        <v>0.66773065555744093</v>
      </c>
      <c r="J3371" s="108">
        <v>1.3679752236326942E-3</v>
      </c>
      <c r="K3371" s="108"/>
      <c r="L3371" s="108">
        <v>4.2799999999999998E-2</v>
      </c>
      <c r="O3371" s="105"/>
    </row>
    <row r="3372" spans="2:15" x14ac:dyDescent="0.2">
      <c r="B3372" s="1">
        <v>3357</v>
      </c>
      <c r="C3372" s="106">
        <f ca="1"/>
        <v>-0.53388693152040634</v>
      </c>
      <c r="D3372" s="106">
        <f t="shared" ca="1" si="195"/>
        <v>0.63041278640833354</v>
      </c>
      <c r="E3372" s="106">
        <f t="shared" ca="1" si="196"/>
        <v>0</v>
      </c>
      <c r="F3372" s="21">
        <f t="shared" ca="1" si="197"/>
        <v>0</v>
      </c>
      <c r="H3372" s="21">
        <v>3357</v>
      </c>
      <c r="I3372" s="107">
        <v>0.66777654814833054</v>
      </c>
      <c r="J3372" s="108">
        <v>1.3268308766274427E-3</v>
      </c>
      <c r="K3372" s="108"/>
      <c r="L3372" s="108">
        <v>3.9399999999999998E-2</v>
      </c>
      <c r="O3372" s="105"/>
    </row>
    <row r="3373" spans="2:15" x14ac:dyDescent="0.2">
      <c r="B3373" s="1">
        <v>3358</v>
      </c>
      <c r="C3373" s="106">
        <f ca="1"/>
        <v>-2.6850507523692498E-2</v>
      </c>
      <c r="D3373" s="106">
        <f t="shared" ca="1" si="195"/>
        <v>0.66274451328232875</v>
      </c>
      <c r="E3373" s="106">
        <f t="shared" ca="1" si="196"/>
        <v>0</v>
      </c>
      <c r="F3373" s="21">
        <f t="shared" ca="1" si="197"/>
        <v>0</v>
      </c>
      <c r="H3373" s="21">
        <v>3358</v>
      </c>
      <c r="I3373" s="107">
        <v>0.66778753900272481</v>
      </c>
      <c r="J3373" s="108">
        <v>1.3143482076203117E-3</v>
      </c>
      <c r="K3373" s="108"/>
      <c r="L3373" s="108">
        <v>4.24E-2</v>
      </c>
      <c r="O3373" s="105"/>
    </row>
    <row r="3374" spans="2:15" x14ac:dyDescent="0.2">
      <c r="B3374" s="1">
        <v>3359</v>
      </c>
      <c r="C3374" s="106">
        <f ca="1"/>
        <v>0.5688261023184078</v>
      </c>
      <c r="D3374" s="106">
        <f t="shared" ca="1" si="195"/>
        <v>0.70285309196054868</v>
      </c>
      <c r="E3374" s="106">
        <f t="shared" ca="1" si="196"/>
        <v>0</v>
      </c>
      <c r="F3374" s="21">
        <f t="shared" ca="1" si="197"/>
        <v>0</v>
      </c>
      <c r="H3374" s="21">
        <v>3359</v>
      </c>
      <c r="I3374" s="107">
        <v>0.66779764585885537</v>
      </c>
      <c r="J3374" s="108">
        <v>1.4391940368843087E-3</v>
      </c>
      <c r="K3374" s="108"/>
      <c r="L3374" s="108">
        <v>4.4600000000000001E-2</v>
      </c>
      <c r="O3374" s="105"/>
    </row>
    <row r="3375" spans="2:15" x14ac:dyDescent="0.2">
      <c r="B3375" s="1">
        <v>3360</v>
      </c>
      <c r="C3375" s="106">
        <f ca="1"/>
        <v>1.1595786782571833</v>
      </c>
      <c r="D3375" s="106">
        <f t="shared" ca="1" si="195"/>
        <v>0.74502704090235006</v>
      </c>
      <c r="E3375" s="106">
        <f t="shared" ca="1" si="196"/>
        <v>0</v>
      </c>
      <c r="F3375" s="21">
        <f t="shared" ca="1" si="197"/>
        <v>0</v>
      </c>
      <c r="H3375" s="21">
        <v>3360</v>
      </c>
      <c r="I3375" s="107">
        <v>0.66768491877431047</v>
      </c>
      <c r="J3375" s="108">
        <v>1.3427318840015677E-3</v>
      </c>
      <c r="K3375" s="108"/>
      <c r="L3375" s="108">
        <v>3.9199999999999999E-2</v>
      </c>
      <c r="O3375" s="105"/>
    </row>
    <row r="3376" spans="2:15" x14ac:dyDescent="0.2">
      <c r="B3376" s="1">
        <v>3361</v>
      </c>
      <c r="C3376" s="106">
        <f ca="1"/>
        <v>-0.54850283755908147</v>
      </c>
      <c r="D3376" s="106">
        <f t="shared" ca="1" si="195"/>
        <v>0.62950455477177547</v>
      </c>
      <c r="E3376" s="106">
        <f t="shared" ca="1" si="196"/>
        <v>0</v>
      </c>
      <c r="F3376" s="21">
        <f t="shared" ca="1" si="197"/>
        <v>0</v>
      </c>
      <c r="H3376" s="21">
        <v>3361</v>
      </c>
      <c r="I3376" s="107">
        <v>0.66773090981936956</v>
      </c>
      <c r="J3376" s="108">
        <v>1.2263085308367747E-3</v>
      </c>
      <c r="K3376" s="108"/>
      <c r="L3376" s="108">
        <v>4.24E-2</v>
      </c>
      <c r="O3376" s="105"/>
    </row>
    <row r="3377" spans="2:15" x14ac:dyDescent="0.2">
      <c r="B3377" s="1">
        <v>3362</v>
      </c>
      <c r="C3377" s="106">
        <f ca="1"/>
        <v>-0.10444238604682662</v>
      </c>
      <c r="D3377" s="106">
        <f t="shared" ca="1" si="195"/>
        <v>0.65769138441491304</v>
      </c>
      <c r="E3377" s="106">
        <f t="shared" ca="1" si="196"/>
        <v>0</v>
      </c>
      <c r="F3377" s="21">
        <f t="shared" ca="1" si="197"/>
        <v>0</v>
      </c>
      <c r="H3377" s="21">
        <v>3362</v>
      </c>
      <c r="I3377" s="107">
        <v>0.66774439508939265</v>
      </c>
      <c r="J3377" s="108">
        <v>1.3409674818830738E-3</v>
      </c>
      <c r="K3377" s="108"/>
      <c r="L3377" s="108">
        <v>4.24E-2</v>
      </c>
      <c r="O3377" s="105"/>
    </row>
    <row r="3378" spans="2:15" x14ac:dyDescent="0.2">
      <c r="B3378" s="1">
        <v>3363</v>
      </c>
      <c r="C3378" s="106">
        <f ca="1"/>
        <v>-3.2881553931871636E-2</v>
      </c>
      <c r="D3378" s="106">
        <f t="shared" ca="1" si="195"/>
        <v>0.6623503569253989</v>
      </c>
      <c r="E3378" s="106">
        <f t="shared" ca="1" si="196"/>
        <v>0</v>
      </c>
      <c r="F3378" s="21">
        <f t="shared" ca="1" si="197"/>
        <v>0</v>
      </c>
      <c r="H3378" s="21">
        <v>3363</v>
      </c>
      <c r="I3378" s="107">
        <v>0.66783551271935926</v>
      </c>
      <c r="J3378" s="108">
        <v>1.4276665387969955E-3</v>
      </c>
      <c r="K3378" s="108"/>
      <c r="L3378" s="108">
        <v>4.48E-2</v>
      </c>
      <c r="O3378" s="105"/>
    </row>
    <row r="3379" spans="2:15" x14ac:dyDescent="0.2">
      <c r="B3379" s="1">
        <v>3364</v>
      </c>
      <c r="C3379" s="106">
        <f ca="1"/>
        <v>-1.5503688754154938</v>
      </c>
      <c r="D3379" s="106">
        <f t="shared" ca="1" si="195"/>
        <v>0.57026872367826298</v>
      </c>
      <c r="E3379" s="106">
        <f t="shared" ca="1" si="196"/>
        <v>0</v>
      </c>
      <c r="F3379" s="21">
        <f t="shared" ca="1" si="197"/>
        <v>0</v>
      </c>
      <c r="H3379" s="21">
        <v>3364</v>
      </c>
      <c r="I3379" s="107">
        <v>0.66769491911734102</v>
      </c>
      <c r="J3379" s="108">
        <v>1.2581779890406828E-3</v>
      </c>
      <c r="K3379" s="108"/>
      <c r="L3379" s="108">
        <v>4.1399999999999999E-2</v>
      </c>
      <c r="O3379" s="105"/>
    </row>
    <row r="3380" spans="2:15" x14ac:dyDescent="0.2">
      <c r="B3380" s="1">
        <v>3365</v>
      </c>
      <c r="C3380" s="106">
        <f ca="1"/>
        <v>0.1571053188501268</v>
      </c>
      <c r="D3380" s="106">
        <f t="shared" ca="1" si="195"/>
        <v>0.67488021307749313</v>
      </c>
      <c r="E3380" s="106">
        <f t="shared" ca="1" si="196"/>
        <v>0</v>
      </c>
      <c r="F3380" s="21">
        <f t="shared" ca="1" si="197"/>
        <v>0</v>
      </c>
      <c r="H3380" s="21">
        <v>3365</v>
      </c>
      <c r="I3380" s="107">
        <v>0.66778745749650903</v>
      </c>
      <c r="J3380" s="108">
        <v>1.3487600487813807E-3</v>
      </c>
      <c r="K3380" s="108"/>
      <c r="L3380" s="108">
        <v>4.4600000000000001E-2</v>
      </c>
      <c r="O3380" s="105"/>
    </row>
    <row r="3381" spans="2:15" x14ac:dyDescent="0.2">
      <c r="B3381" s="1">
        <v>3366</v>
      </c>
      <c r="C3381" s="106">
        <f ca="1"/>
        <v>-0.26357167849409763</v>
      </c>
      <c r="D3381" s="106">
        <f t="shared" ca="1" si="195"/>
        <v>0.64744838510931246</v>
      </c>
      <c r="E3381" s="106">
        <f t="shared" ca="1" si="196"/>
        <v>0</v>
      </c>
      <c r="F3381" s="21">
        <f t="shared" ca="1" si="197"/>
        <v>0</v>
      </c>
      <c r="H3381" s="21">
        <v>3366</v>
      </c>
      <c r="I3381" s="107">
        <v>0.66781925346408944</v>
      </c>
      <c r="J3381" s="108">
        <v>1.4021466221897682E-3</v>
      </c>
      <c r="K3381" s="108"/>
      <c r="L3381" s="108">
        <v>4.3200000000000002E-2</v>
      </c>
      <c r="O3381" s="105"/>
    </row>
    <row r="3382" spans="2:15" x14ac:dyDescent="0.2">
      <c r="B3382" s="1">
        <v>3367</v>
      </c>
      <c r="C3382" s="106">
        <f ca="1"/>
        <v>0.43635643720799933</v>
      </c>
      <c r="D3382" s="106">
        <f t="shared" ca="1" si="195"/>
        <v>0.69372866646984899</v>
      </c>
      <c r="E3382" s="106">
        <f t="shared" ca="1" si="196"/>
        <v>0</v>
      </c>
      <c r="F3382" s="21">
        <f t="shared" ca="1" si="197"/>
        <v>0</v>
      </c>
      <c r="H3382" s="21">
        <v>3367</v>
      </c>
      <c r="I3382" s="107">
        <v>0.66769452832655518</v>
      </c>
      <c r="J3382" s="108">
        <v>1.2157620097635669E-3</v>
      </c>
      <c r="K3382" s="108"/>
      <c r="L3382" s="108">
        <v>4.3200000000000002E-2</v>
      </c>
      <c r="O3382" s="105"/>
    </row>
    <row r="3383" spans="2:15" x14ac:dyDescent="0.2">
      <c r="B3383" s="1">
        <v>3368</v>
      </c>
      <c r="C3383" s="106">
        <f ca="1"/>
        <v>-0.50216407871272983</v>
      </c>
      <c r="D3383" s="106">
        <f t="shared" ca="1" si="195"/>
        <v>0.63238855383359727</v>
      </c>
      <c r="E3383" s="106">
        <f t="shared" ca="1" si="196"/>
        <v>0</v>
      </c>
      <c r="F3383" s="21">
        <f t="shared" ca="1" si="197"/>
        <v>0</v>
      </c>
      <c r="H3383" s="21">
        <v>3368</v>
      </c>
      <c r="I3383" s="107">
        <v>0.66764396248482138</v>
      </c>
      <c r="J3383" s="108">
        <v>1.1560043647360981E-3</v>
      </c>
      <c r="K3383" s="108"/>
      <c r="L3383" s="108">
        <v>3.7999999999999999E-2</v>
      </c>
      <c r="O3383" s="105"/>
    </row>
    <row r="3384" spans="2:15" x14ac:dyDescent="0.2">
      <c r="B3384" s="1">
        <v>3369</v>
      </c>
      <c r="C3384" s="106">
        <f ca="1"/>
        <v>2.658091761361709</v>
      </c>
      <c r="D3384" s="106">
        <f t="shared" ca="1" si="195"/>
        <v>0.86370893514648306</v>
      </c>
      <c r="E3384" s="106">
        <f t="shared" ca="1" si="196"/>
        <v>7.5508935146483047E-2</v>
      </c>
      <c r="F3384" s="21">
        <f t="shared" ca="1" si="197"/>
        <v>1</v>
      </c>
      <c r="H3384" s="21">
        <v>3369</v>
      </c>
      <c r="I3384" s="107">
        <v>0.66775918935432033</v>
      </c>
      <c r="J3384" s="108">
        <v>1.3653924828173061E-3</v>
      </c>
      <c r="K3384" s="108"/>
      <c r="L3384" s="108">
        <v>4.02E-2</v>
      </c>
      <c r="O3384" s="105"/>
    </row>
    <row r="3385" spans="2:15" x14ac:dyDescent="0.2">
      <c r="B3385" s="1">
        <v>3370</v>
      </c>
      <c r="C3385" s="106">
        <f ca="1"/>
        <v>1.0787732933016743</v>
      </c>
      <c r="D3385" s="106">
        <f t="shared" ca="1" si="195"/>
        <v>0.73911222048550995</v>
      </c>
      <c r="E3385" s="106">
        <f t="shared" ca="1" si="196"/>
        <v>0</v>
      </c>
      <c r="F3385" s="21">
        <f t="shared" ca="1" si="197"/>
        <v>0</v>
      </c>
      <c r="H3385" s="21">
        <v>3370</v>
      </c>
      <c r="I3385" s="107">
        <v>0.66775995792588028</v>
      </c>
      <c r="J3385" s="108">
        <v>1.356887521525638E-3</v>
      </c>
      <c r="K3385" s="108"/>
      <c r="L3385" s="108">
        <v>4.2799999999999998E-2</v>
      </c>
      <c r="O3385" s="105"/>
    </row>
    <row r="3386" spans="2:15" x14ac:dyDescent="0.2">
      <c r="B3386" s="1">
        <v>3371</v>
      </c>
      <c r="C3386" s="106">
        <f ca="1"/>
        <v>0.8831032310219199</v>
      </c>
      <c r="D3386" s="106">
        <f t="shared" ca="1" si="195"/>
        <v>0.72498329236619052</v>
      </c>
      <c r="E3386" s="106">
        <f t="shared" ca="1" si="196"/>
        <v>0</v>
      </c>
      <c r="F3386" s="21">
        <f t="shared" ca="1" si="197"/>
        <v>0</v>
      </c>
      <c r="H3386" s="21">
        <v>3371</v>
      </c>
      <c r="I3386" s="107">
        <v>0.66765587677794269</v>
      </c>
      <c r="J3386" s="108">
        <v>1.2828285039331408E-3</v>
      </c>
      <c r="K3386" s="108"/>
      <c r="L3386" s="108">
        <v>3.8399999999999997E-2</v>
      </c>
      <c r="O3386" s="105"/>
    </row>
    <row r="3387" spans="2:15" x14ac:dyDescent="0.2">
      <c r="B3387" s="1">
        <v>3372</v>
      </c>
      <c r="C3387" s="106">
        <f ca="1"/>
        <v>0.64872256171358189</v>
      </c>
      <c r="D3387" s="106">
        <f t="shared" ca="1" si="195"/>
        <v>0.70841422744569449</v>
      </c>
      <c r="E3387" s="106">
        <f t="shared" ca="1" si="196"/>
        <v>0</v>
      </c>
      <c r="F3387" s="21">
        <f t="shared" ca="1" si="197"/>
        <v>0</v>
      </c>
      <c r="H3387" s="21">
        <v>3372</v>
      </c>
      <c r="I3387" s="107">
        <v>0.66772278860130385</v>
      </c>
      <c r="J3387" s="108">
        <v>1.3456882059629473E-3</v>
      </c>
      <c r="K3387" s="108"/>
      <c r="L3387" s="108">
        <v>4.24E-2</v>
      </c>
      <c r="O3387" s="105"/>
    </row>
    <row r="3388" spans="2:15" x14ac:dyDescent="0.2">
      <c r="B3388" s="1">
        <v>3373</v>
      </c>
      <c r="C3388" s="106">
        <f ca="1"/>
        <v>-1.3984451425593389</v>
      </c>
      <c r="D3388" s="106">
        <f t="shared" ca="1" si="195"/>
        <v>0.57887910331570891</v>
      </c>
      <c r="E3388" s="106">
        <f t="shared" ca="1" si="196"/>
        <v>0</v>
      </c>
      <c r="F3388" s="21">
        <f t="shared" ca="1" si="197"/>
        <v>0</v>
      </c>
      <c r="H3388" s="21">
        <v>3373</v>
      </c>
      <c r="I3388" s="107">
        <v>0.66768813266248817</v>
      </c>
      <c r="J3388" s="108">
        <v>1.2880812990027485E-3</v>
      </c>
      <c r="K3388" s="108"/>
      <c r="L3388" s="108">
        <v>4.1399999999999999E-2</v>
      </c>
      <c r="O3388" s="105"/>
    </row>
    <row r="3389" spans="2:15" x14ac:dyDescent="0.2">
      <c r="B3389" s="1">
        <v>3374</v>
      </c>
      <c r="C3389" s="106">
        <f ca="1"/>
        <v>-1.5149128226384843</v>
      </c>
      <c r="D3389" s="106">
        <f t="shared" ca="1" si="195"/>
        <v>0.57226669163289656</v>
      </c>
      <c r="E3389" s="106">
        <f t="shared" ca="1" si="196"/>
        <v>0</v>
      </c>
      <c r="F3389" s="21">
        <f t="shared" ca="1" si="197"/>
        <v>0</v>
      </c>
      <c r="H3389" s="21">
        <v>3374</v>
      </c>
      <c r="I3389" s="107">
        <v>0.66781603898637554</v>
      </c>
      <c r="J3389" s="108">
        <v>1.439093505148983E-3</v>
      </c>
      <c r="K3389" s="108"/>
      <c r="L3389" s="108">
        <v>4.5400000000000003E-2</v>
      </c>
      <c r="O3389" s="105"/>
    </row>
    <row r="3390" spans="2:15" x14ac:dyDescent="0.2">
      <c r="B3390" s="1">
        <v>3375</v>
      </c>
      <c r="C3390" s="106">
        <f ca="1"/>
        <v>1.1730806314839404</v>
      </c>
      <c r="D3390" s="106">
        <f t="shared" ca="1" si="195"/>
        <v>0.74601996665658943</v>
      </c>
      <c r="E3390" s="106">
        <f t="shared" ca="1" si="196"/>
        <v>0</v>
      </c>
      <c r="F3390" s="21">
        <f t="shared" ca="1" si="197"/>
        <v>0</v>
      </c>
      <c r="H3390" s="21">
        <v>3375</v>
      </c>
      <c r="I3390" s="107">
        <v>0.66780725882778857</v>
      </c>
      <c r="J3390" s="108">
        <v>1.3913216607214719E-3</v>
      </c>
      <c r="K3390" s="108"/>
      <c r="L3390" s="108">
        <v>4.3200000000000002E-2</v>
      </c>
      <c r="O3390" s="105"/>
    </row>
    <row r="3391" spans="2:15" x14ac:dyDescent="0.2">
      <c r="B3391" s="1">
        <v>3376</v>
      </c>
      <c r="C3391" s="106">
        <f ca="1"/>
        <v>-0.21924063023594562</v>
      </c>
      <c r="D3391" s="106">
        <f t="shared" ca="1" si="195"/>
        <v>0.65028579420674304</v>
      </c>
      <c r="E3391" s="106">
        <f t="shared" ca="1" si="196"/>
        <v>0</v>
      </c>
      <c r="F3391" s="21">
        <f t="shared" ca="1" si="197"/>
        <v>0</v>
      </c>
      <c r="H3391" s="21">
        <v>3376</v>
      </c>
      <c r="I3391" s="107">
        <v>0.66779611973979136</v>
      </c>
      <c r="J3391" s="108">
        <v>1.4645710976481071E-3</v>
      </c>
      <c r="K3391" s="108"/>
      <c r="L3391" s="108">
        <v>4.1200000000000001E-2</v>
      </c>
      <c r="O3391" s="105"/>
    </row>
    <row r="3392" spans="2:15" x14ac:dyDescent="0.2">
      <c r="B3392" s="1">
        <v>3377</v>
      </c>
      <c r="C3392" s="106">
        <f ca="1"/>
        <v>-1.8795945146569366E-2</v>
      </c>
      <c r="D3392" s="106">
        <f t="shared" ca="1" si="195"/>
        <v>0.66327128145680159</v>
      </c>
      <c r="E3392" s="106">
        <f t="shared" ca="1" si="196"/>
        <v>0</v>
      </c>
      <c r="F3392" s="21">
        <f t="shared" ca="1" si="197"/>
        <v>0</v>
      </c>
      <c r="H3392" s="21">
        <v>3377</v>
      </c>
      <c r="I3392" s="107">
        <v>0.66787733682303041</v>
      </c>
      <c r="J3392" s="108">
        <v>1.504457296038971E-3</v>
      </c>
      <c r="K3392" s="108"/>
      <c r="L3392" s="108">
        <v>4.6800000000000001E-2</v>
      </c>
      <c r="O3392" s="105"/>
    </row>
    <row r="3393" spans="2:15" x14ac:dyDescent="0.2">
      <c r="B3393" s="1">
        <v>3378</v>
      </c>
      <c r="C3393" s="106">
        <f ca="1"/>
        <v>-0.48541073218872122</v>
      </c>
      <c r="D3393" s="106">
        <f t="shared" ca="1" si="195"/>
        <v>0.63343448564912586</v>
      </c>
      <c r="E3393" s="106">
        <f t="shared" ca="1" si="196"/>
        <v>0</v>
      </c>
      <c r="F3393" s="21">
        <f t="shared" ca="1" si="197"/>
        <v>0</v>
      </c>
      <c r="H3393" s="21">
        <v>3378</v>
      </c>
      <c r="I3393" s="107">
        <v>0.66767177397369493</v>
      </c>
      <c r="J3393" s="108">
        <v>1.2818124313527667E-3</v>
      </c>
      <c r="K3393" s="108"/>
      <c r="L3393" s="108">
        <v>4.1000000000000002E-2</v>
      </c>
      <c r="O3393" s="105"/>
    </row>
    <row r="3394" spans="2:15" x14ac:dyDescent="0.2">
      <c r="B3394" s="1">
        <v>3379</v>
      </c>
      <c r="C3394" s="106">
        <f ca="1"/>
        <v>0.34744352657180105</v>
      </c>
      <c r="D3394" s="106">
        <f t="shared" ca="1" si="195"/>
        <v>0.68767093142856484</v>
      </c>
      <c r="E3394" s="106">
        <f t="shared" ca="1" si="196"/>
        <v>0</v>
      </c>
      <c r="F3394" s="21">
        <f t="shared" ca="1" si="197"/>
        <v>0</v>
      </c>
      <c r="H3394" s="21">
        <v>3379</v>
      </c>
      <c r="I3394" s="107">
        <v>0.66768797222930021</v>
      </c>
      <c r="J3394" s="108">
        <v>1.3442466658543778E-3</v>
      </c>
      <c r="K3394" s="108"/>
      <c r="L3394" s="108">
        <v>4.1799999999999997E-2</v>
      </c>
      <c r="O3394" s="105"/>
    </row>
    <row r="3395" spans="2:15" x14ac:dyDescent="0.2">
      <c r="B3395" s="1">
        <v>3380</v>
      </c>
      <c r="C3395" s="106">
        <f ca="1"/>
        <v>2.7724479812764922</v>
      </c>
      <c r="D3395" s="106">
        <f t="shared" ca="1" si="195"/>
        <v>0.87350694522386851</v>
      </c>
      <c r="E3395" s="106">
        <f t="shared" ca="1" si="196"/>
        <v>8.5306945223868502E-2</v>
      </c>
      <c r="F3395" s="21">
        <f t="shared" ca="1" si="197"/>
        <v>1</v>
      </c>
      <c r="H3395" s="21">
        <v>3380</v>
      </c>
      <c r="I3395" s="107">
        <v>0.66780209770119614</v>
      </c>
      <c r="J3395" s="108">
        <v>1.3754253205063656E-3</v>
      </c>
      <c r="K3395" s="108"/>
      <c r="L3395" s="108">
        <v>4.2599999999999999E-2</v>
      </c>
      <c r="O3395" s="105"/>
    </row>
    <row r="3396" spans="2:15" x14ac:dyDescent="0.2">
      <c r="B3396" s="1">
        <v>3381</v>
      </c>
      <c r="C3396" s="106">
        <f ca="1"/>
        <v>-0.41774221011530205</v>
      </c>
      <c r="D3396" s="106">
        <f t="shared" ca="1" si="195"/>
        <v>0.63767674817609066</v>
      </c>
      <c r="E3396" s="106">
        <f t="shared" ca="1" si="196"/>
        <v>0</v>
      </c>
      <c r="F3396" s="21">
        <f t="shared" ca="1" si="197"/>
        <v>0</v>
      </c>
      <c r="H3396" s="21">
        <v>3381</v>
      </c>
      <c r="I3396" s="107">
        <v>0.66745450206279544</v>
      </c>
      <c r="J3396" s="108">
        <v>9.8179146263136256E-4</v>
      </c>
      <c r="K3396" s="108"/>
      <c r="L3396" s="108">
        <v>3.5200000000000002E-2</v>
      </c>
      <c r="O3396" s="105"/>
    </row>
    <row r="3397" spans="2:15" x14ac:dyDescent="0.2">
      <c r="B3397" s="1">
        <v>3382</v>
      </c>
      <c r="C3397" s="106">
        <f ca="1"/>
        <v>2.1215157976093604</v>
      </c>
      <c r="D3397" s="106">
        <f t="shared" ca="1" si="195"/>
        <v>0.81918280738873794</v>
      </c>
      <c r="E3397" s="106">
        <f t="shared" ca="1" si="196"/>
        <v>3.0982807388737932E-2</v>
      </c>
      <c r="F3397" s="21">
        <f t="shared" ca="1" si="197"/>
        <v>1</v>
      </c>
      <c r="H3397" s="21">
        <v>3382</v>
      </c>
      <c r="I3397" s="107">
        <v>0.66779379380522774</v>
      </c>
      <c r="J3397" s="108">
        <v>1.4364659563769534E-3</v>
      </c>
      <c r="K3397" s="108"/>
      <c r="L3397" s="108">
        <v>4.02E-2</v>
      </c>
      <c r="O3397" s="105"/>
    </row>
    <row r="3398" spans="2:15" x14ac:dyDescent="0.2">
      <c r="B3398" s="1">
        <v>3383</v>
      </c>
      <c r="C3398" s="106">
        <f ca="1"/>
        <v>-0.18175085601215907</v>
      </c>
      <c r="D3398" s="106">
        <f t="shared" ca="1" si="195"/>
        <v>0.65269502973661508</v>
      </c>
      <c r="E3398" s="106">
        <f t="shared" ca="1" si="196"/>
        <v>0</v>
      </c>
      <c r="F3398" s="21">
        <f t="shared" ca="1" si="197"/>
        <v>0</v>
      </c>
      <c r="H3398" s="21">
        <v>3383</v>
      </c>
      <c r="I3398" s="107">
        <v>0.6676740099199826</v>
      </c>
      <c r="J3398" s="108">
        <v>1.107562506058525E-3</v>
      </c>
      <c r="K3398" s="108"/>
      <c r="L3398" s="108">
        <v>3.6799999999999999E-2</v>
      </c>
      <c r="O3398" s="105"/>
    </row>
    <row r="3399" spans="2:15" x14ac:dyDescent="0.2">
      <c r="B3399" s="1">
        <v>3384</v>
      </c>
      <c r="C3399" s="106">
        <f ca="1"/>
        <v>-9.4689112686082322E-2</v>
      </c>
      <c r="D3399" s="106">
        <f t="shared" ca="1" si="195"/>
        <v>0.65832443786338035</v>
      </c>
      <c r="E3399" s="106">
        <f t="shared" ca="1" si="196"/>
        <v>0</v>
      </c>
      <c r="F3399" s="21">
        <f t="shared" ca="1" si="197"/>
        <v>0</v>
      </c>
      <c r="H3399" s="21">
        <v>3384</v>
      </c>
      <c r="I3399" s="107">
        <v>0.66762305383944442</v>
      </c>
      <c r="J3399" s="108">
        <v>1.364413801897865E-3</v>
      </c>
      <c r="K3399" s="108"/>
      <c r="L3399" s="108">
        <v>3.8399999999999997E-2</v>
      </c>
      <c r="O3399" s="105"/>
    </row>
    <row r="3400" spans="2:15" x14ac:dyDescent="0.2">
      <c r="B3400" s="1">
        <v>3385</v>
      </c>
      <c r="C3400" s="106">
        <f ca="1"/>
        <v>-0.52525228711511607</v>
      </c>
      <c r="D3400" s="106">
        <f t="shared" ca="1" si="195"/>
        <v>0.63094995836919687</v>
      </c>
      <c r="E3400" s="106">
        <f t="shared" ca="1" si="196"/>
        <v>0</v>
      </c>
      <c r="F3400" s="21">
        <f t="shared" ca="1" si="197"/>
        <v>0</v>
      </c>
      <c r="H3400" s="21">
        <v>3385</v>
      </c>
      <c r="I3400" s="107">
        <v>0.66783793058083751</v>
      </c>
      <c r="J3400" s="108">
        <v>1.4841036072400747E-3</v>
      </c>
      <c r="K3400" s="108"/>
      <c r="L3400" s="108">
        <v>4.7600000000000003E-2</v>
      </c>
      <c r="O3400" s="105"/>
    </row>
    <row r="3401" spans="2:15" x14ac:dyDescent="0.2">
      <c r="B3401" s="1">
        <v>3386</v>
      </c>
      <c r="C3401" s="106">
        <f ca="1"/>
        <v>1.3536405380655487</v>
      </c>
      <c r="D3401" s="106">
        <f t="shared" ca="1" si="195"/>
        <v>0.75942611284969352</v>
      </c>
      <c r="E3401" s="106">
        <f t="shared" ca="1" si="196"/>
        <v>0</v>
      </c>
      <c r="F3401" s="21">
        <f t="shared" ca="1" si="197"/>
        <v>0</v>
      </c>
      <c r="H3401" s="21">
        <v>3386</v>
      </c>
      <c r="I3401" s="107">
        <v>0.6676408781245009</v>
      </c>
      <c r="J3401" s="108">
        <v>1.2739788099539419E-3</v>
      </c>
      <c r="K3401" s="108"/>
      <c r="L3401" s="108">
        <v>4.0399999999999998E-2</v>
      </c>
      <c r="O3401" s="105"/>
    </row>
    <row r="3402" spans="2:15" x14ac:dyDescent="0.2">
      <c r="B3402" s="1">
        <v>3387</v>
      </c>
      <c r="C3402" s="106">
        <f ca="1"/>
        <v>-0.38658528448284296</v>
      </c>
      <c r="D3402" s="106">
        <f t="shared" ca="1" si="195"/>
        <v>0.63963957336423261</v>
      </c>
      <c r="E3402" s="106">
        <f t="shared" ca="1" si="196"/>
        <v>0</v>
      </c>
      <c r="F3402" s="21">
        <f t="shared" ca="1" si="197"/>
        <v>0</v>
      </c>
      <c r="H3402" s="21">
        <v>3387</v>
      </c>
      <c r="I3402" s="107">
        <v>0.66768978753455244</v>
      </c>
      <c r="J3402" s="108">
        <v>1.2319973102835394E-3</v>
      </c>
      <c r="K3402" s="108"/>
      <c r="L3402" s="108">
        <v>0.04</v>
      </c>
      <c r="O3402" s="105"/>
    </row>
    <row r="3403" spans="2:15" x14ac:dyDescent="0.2">
      <c r="B3403" s="1">
        <v>3388</v>
      </c>
      <c r="C3403" s="106">
        <f ca="1"/>
        <v>0.17804057410885715</v>
      </c>
      <c r="D3403" s="106">
        <f t="shared" ca="1" si="195"/>
        <v>0.67627533563316411</v>
      </c>
      <c r="E3403" s="106">
        <f t="shared" ca="1" si="196"/>
        <v>0</v>
      </c>
      <c r="F3403" s="21">
        <f t="shared" ca="1" si="197"/>
        <v>0</v>
      </c>
      <c r="H3403" s="21">
        <v>3388</v>
      </c>
      <c r="I3403" s="107">
        <v>0.66769307054102633</v>
      </c>
      <c r="J3403" s="108">
        <v>1.3515537598820992E-3</v>
      </c>
      <c r="K3403" s="108"/>
      <c r="L3403" s="108">
        <v>4.1399999999999999E-2</v>
      </c>
      <c r="O3403" s="105"/>
    </row>
    <row r="3404" spans="2:15" x14ac:dyDescent="0.2">
      <c r="B3404" s="1">
        <v>3389</v>
      </c>
      <c r="C3404" s="106">
        <f ca="1"/>
        <v>1.1294120023864278</v>
      </c>
      <c r="D3404" s="106">
        <f t="shared" ca="1" si="195"/>
        <v>0.74281337338289688</v>
      </c>
      <c r="E3404" s="106">
        <f t="shared" ca="1" si="196"/>
        <v>0</v>
      </c>
      <c r="F3404" s="21">
        <f t="shared" ca="1" si="197"/>
        <v>0</v>
      </c>
      <c r="H3404" s="21">
        <v>3389</v>
      </c>
      <c r="I3404" s="107">
        <v>0.66770255991719119</v>
      </c>
      <c r="J3404" s="108">
        <v>1.3769089321123943E-3</v>
      </c>
      <c r="K3404" s="108"/>
      <c r="L3404" s="108">
        <v>4.3400000000000001E-2</v>
      </c>
      <c r="O3404" s="105"/>
    </row>
    <row r="3405" spans="2:15" x14ac:dyDescent="0.2">
      <c r="B3405" s="1">
        <v>3390</v>
      </c>
      <c r="C3405" s="106">
        <f ca="1"/>
        <v>-0.13052544513873274</v>
      </c>
      <c r="D3405" s="106">
        <f t="shared" ca="1" si="195"/>
        <v>0.65600140658473471</v>
      </c>
      <c r="E3405" s="106">
        <f t="shared" ca="1" si="196"/>
        <v>0</v>
      </c>
      <c r="F3405" s="21">
        <f t="shared" ca="1" si="197"/>
        <v>0</v>
      </c>
      <c r="H3405" s="21">
        <v>3390</v>
      </c>
      <c r="I3405" s="107">
        <v>0.66764880314896746</v>
      </c>
      <c r="J3405" s="108">
        <v>1.2929780550718561E-3</v>
      </c>
      <c r="K3405" s="108"/>
      <c r="L3405" s="108">
        <v>3.9199999999999999E-2</v>
      </c>
      <c r="O3405" s="105"/>
    </row>
    <row r="3406" spans="2:15" x14ac:dyDescent="0.2">
      <c r="B3406" s="1">
        <v>3391</v>
      </c>
      <c r="C3406" s="106">
        <f ca="1"/>
        <v>2.8678426167584723</v>
      </c>
      <c r="D3406" s="106">
        <f t="shared" ca="1" si="195"/>
        <v>0.88176531151916171</v>
      </c>
      <c r="E3406" s="106">
        <f t="shared" ca="1" si="196"/>
        <v>9.3565311519161698E-2</v>
      </c>
      <c r="F3406" s="21">
        <f t="shared" ca="1" si="197"/>
        <v>1</v>
      </c>
      <c r="H3406" s="21">
        <v>3391</v>
      </c>
      <c r="I3406" s="107">
        <v>0.66783473985781816</v>
      </c>
      <c r="J3406" s="108">
        <v>1.5331231844940224E-3</v>
      </c>
      <c r="K3406" s="108"/>
      <c r="L3406" s="108">
        <v>4.2999999999999997E-2</v>
      </c>
      <c r="O3406" s="105"/>
    </row>
    <row r="3407" spans="2:15" x14ac:dyDescent="0.2">
      <c r="B3407" s="1">
        <v>3392</v>
      </c>
      <c r="C3407" s="106">
        <f ca="1"/>
        <v>0.35587093553174071</v>
      </c>
      <c r="D3407" s="106">
        <f t="shared" ca="1" si="195"/>
        <v>0.68824282361360856</v>
      </c>
      <c r="E3407" s="106">
        <f t="shared" ca="1" si="196"/>
        <v>0</v>
      </c>
      <c r="F3407" s="21">
        <f t="shared" ca="1" si="197"/>
        <v>0</v>
      </c>
      <c r="H3407" s="21">
        <v>3392</v>
      </c>
      <c r="I3407" s="107">
        <v>0.66776261934548908</v>
      </c>
      <c r="J3407" s="108">
        <v>1.292239922952101E-3</v>
      </c>
      <c r="K3407" s="108"/>
      <c r="L3407" s="108">
        <v>4.2999999999999997E-2</v>
      </c>
      <c r="O3407" s="105"/>
    </row>
    <row r="3408" spans="2:15" x14ac:dyDescent="0.2">
      <c r="B3408" s="1">
        <v>3393</v>
      </c>
      <c r="C3408" s="106">
        <f ca="1"/>
        <v>-0.30849712444206284</v>
      </c>
      <c r="D3408" s="106">
        <f t="shared" ref="D3408:D3471" ca="1" si="198">S0*EXP((μ-0.5*σ*σ)*T+σ*SQRT(T)*$C3408)</f>
        <v>0.64458556199137684</v>
      </c>
      <c r="E3408" s="106">
        <f t="shared" ref="E3408:E3471" ca="1" si="199">MAX(0,CP*(D3408-K))</f>
        <v>0</v>
      </c>
      <c r="F3408" s="21">
        <f t="shared" ref="F3408:F3471" ca="1" si="200">(CP*(D3408-K)&gt;0)*1</f>
        <v>0</v>
      </c>
      <c r="H3408" s="21">
        <v>3393</v>
      </c>
      <c r="I3408" s="107">
        <v>0.66775757986400075</v>
      </c>
      <c r="J3408" s="108">
        <v>1.3273742687854966E-3</v>
      </c>
      <c r="K3408" s="108"/>
      <c r="L3408" s="108">
        <v>4.3200000000000002E-2</v>
      </c>
      <c r="O3408" s="105"/>
    </row>
    <row r="3409" spans="2:15" x14ac:dyDescent="0.2">
      <c r="B3409" s="1">
        <v>3394</v>
      </c>
      <c r="C3409" s="106">
        <f ca="1"/>
        <v>1.4210825254215678</v>
      </c>
      <c r="D3409" s="106">
        <f t="shared" ca="1" si="198"/>
        <v>0.76449508813555944</v>
      </c>
      <c r="E3409" s="106">
        <f t="shared" ca="1" si="199"/>
        <v>0</v>
      </c>
      <c r="F3409" s="21">
        <f t="shared" ca="1" si="200"/>
        <v>0</v>
      </c>
      <c r="H3409" s="21">
        <v>3394</v>
      </c>
      <c r="I3409" s="107">
        <v>0.66770282479853826</v>
      </c>
      <c r="J3409" s="108">
        <v>1.4347103356014341E-3</v>
      </c>
      <c r="K3409" s="108"/>
      <c r="L3409" s="108">
        <v>4.0599999999999997E-2</v>
      </c>
      <c r="O3409" s="105"/>
    </row>
    <row r="3410" spans="2:15" x14ac:dyDescent="0.2">
      <c r="B3410" s="1">
        <v>3395</v>
      </c>
      <c r="C3410" s="106">
        <f ca="1"/>
        <v>0.67401469710041007</v>
      </c>
      <c r="D3410" s="106">
        <f t="shared" ca="1" si="198"/>
        <v>0.71018382103248257</v>
      </c>
      <c r="E3410" s="106">
        <f t="shared" ca="1" si="199"/>
        <v>0</v>
      </c>
      <c r="F3410" s="21">
        <f t="shared" ca="1" si="200"/>
        <v>0</v>
      </c>
      <c r="H3410" s="21">
        <v>3395</v>
      </c>
      <c r="I3410" s="107">
        <v>0.66777439045568754</v>
      </c>
      <c r="J3410" s="108">
        <v>1.2711218767456542E-3</v>
      </c>
      <c r="K3410" s="108"/>
      <c r="L3410" s="108">
        <v>4.4200000000000003E-2</v>
      </c>
      <c r="O3410" s="105"/>
    </row>
    <row r="3411" spans="2:15" x14ac:dyDescent="0.2">
      <c r="B3411" s="1">
        <v>3396</v>
      </c>
      <c r="C3411" s="106">
        <f ca="1"/>
        <v>-0.84597650167857641</v>
      </c>
      <c r="D3411" s="106">
        <f t="shared" ca="1" si="198"/>
        <v>0.61130125643871669</v>
      </c>
      <c r="E3411" s="106">
        <f t="shared" ca="1" si="199"/>
        <v>0</v>
      </c>
      <c r="F3411" s="21">
        <f t="shared" ca="1" si="200"/>
        <v>0</v>
      </c>
      <c r="H3411" s="21">
        <v>3396</v>
      </c>
      <c r="I3411" s="107">
        <v>0.66758086586300092</v>
      </c>
      <c r="J3411" s="108">
        <v>1.1458815715114311E-3</v>
      </c>
      <c r="K3411" s="108"/>
      <c r="L3411" s="108">
        <v>3.8199999999999998E-2</v>
      </c>
      <c r="O3411" s="105"/>
    </row>
    <row r="3412" spans="2:15" x14ac:dyDescent="0.2">
      <c r="B3412" s="1">
        <v>3397</v>
      </c>
      <c r="C3412" s="106">
        <f ca="1"/>
        <v>1.4791595559806483</v>
      </c>
      <c r="D3412" s="106">
        <f t="shared" ca="1" si="198"/>
        <v>0.7688872930053412</v>
      </c>
      <c r="E3412" s="106">
        <f t="shared" ca="1" si="199"/>
        <v>0</v>
      </c>
      <c r="F3412" s="21">
        <f t="shared" ca="1" si="200"/>
        <v>0</v>
      </c>
      <c r="H3412" s="21">
        <v>3397</v>
      </c>
      <c r="I3412" s="107">
        <v>0.66764245365495023</v>
      </c>
      <c r="J3412" s="108">
        <v>1.2287427796604815E-3</v>
      </c>
      <c r="K3412" s="108"/>
      <c r="L3412" s="108">
        <v>3.9800000000000002E-2</v>
      </c>
      <c r="O3412" s="105"/>
    </row>
    <row r="3413" spans="2:15" x14ac:dyDescent="0.2">
      <c r="B3413" s="1">
        <v>3398</v>
      </c>
      <c r="C3413" s="106">
        <f ca="1"/>
        <v>0.46785439451518918</v>
      </c>
      <c r="D3413" s="106">
        <f t="shared" ca="1" si="198"/>
        <v>0.69588743353057714</v>
      </c>
      <c r="E3413" s="106">
        <f t="shared" ca="1" si="199"/>
        <v>0</v>
      </c>
      <c r="F3413" s="21">
        <f t="shared" ca="1" si="200"/>
        <v>0</v>
      </c>
      <c r="H3413" s="21">
        <v>3398</v>
      </c>
      <c r="I3413" s="107">
        <v>0.66775751216475854</v>
      </c>
      <c r="J3413" s="108">
        <v>1.4646665252810373E-3</v>
      </c>
      <c r="K3413" s="108"/>
      <c r="L3413" s="108">
        <v>4.2799999999999998E-2</v>
      </c>
      <c r="O3413" s="105"/>
    </row>
    <row r="3414" spans="2:15" x14ac:dyDescent="0.2">
      <c r="B3414" s="1">
        <v>3399</v>
      </c>
      <c r="C3414" s="106">
        <f ca="1"/>
        <v>1.1887157906883101</v>
      </c>
      <c r="D3414" s="106">
        <f t="shared" ca="1" si="198"/>
        <v>0.74717142068354903</v>
      </c>
      <c r="E3414" s="106">
        <f t="shared" ca="1" si="199"/>
        <v>0</v>
      </c>
      <c r="F3414" s="21">
        <f t="shared" ca="1" si="200"/>
        <v>0</v>
      </c>
      <c r="H3414" s="21">
        <v>3399</v>
      </c>
      <c r="I3414" s="107">
        <v>0.66762326777883962</v>
      </c>
      <c r="J3414" s="108">
        <v>1.2092919282575207E-3</v>
      </c>
      <c r="K3414" s="108"/>
      <c r="L3414" s="108">
        <v>3.7199999999999997E-2</v>
      </c>
      <c r="O3414" s="105"/>
    </row>
    <row r="3415" spans="2:15" x14ac:dyDescent="0.2">
      <c r="B3415" s="1">
        <v>3400</v>
      </c>
      <c r="C3415" s="106">
        <f ca="1"/>
        <v>-0.77630407577461724</v>
      </c>
      <c r="D3415" s="106">
        <f t="shared" ca="1" si="198"/>
        <v>0.61551694323951589</v>
      </c>
      <c r="E3415" s="106">
        <f t="shared" ca="1" si="199"/>
        <v>0</v>
      </c>
      <c r="F3415" s="21">
        <f t="shared" ca="1" si="200"/>
        <v>0</v>
      </c>
      <c r="H3415" s="21">
        <v>3400</v>
      </c>
      <c r="I3415" s="107">
        <v>0.66760087001400348</v>
      </c>
      <c r="J3415" s="108">
        <v>1.0875451791085074E-3</v>
      </c>
      <c r="K3415" s="108"/>
      <c r="L3415" s="108">
        <v>3.7199999999999997E-2</v>
      </c>
      <c r="O3415" s="105"/>
    </row>
    <row r="3416" spans="2:15" x14ac:dyDescent="0.2">
      <c r="B3416" s="1">
        <v>3401</v>
      </c>
      <c r="C3416" s="106">
        <f ca="1"/>
        <v>0.61289589191896565</v>
      </c>
      <c r="D3416" s="106">
        <f t="shared" ca="1" si="198"/>
        <v>0.70591511702072662</v>
      </c>
      <c r="E3416" s="106">
        <f t="shared" ca="1" si="199"/>
        <v>0</v>
      </c>
      <c r="F3416" s="21">
        <f t="shared" ca="1" si="200"/>
        <v>0</v>
      </c>
      <c r="H3416" s="21">
        <v>3401</v>
      </c>
      <c r="I3416" s="107">
        <v>0.66773963935783454</v>
      </c>
      <c r="J3416" s="108">
        <v>1.3315823714268595E-3</v>
      </c>
      <c r="K3416" s="108"/>
      <c r="L3416" s="108">
        <v>4.3400000000000001E-2</v>
      </c>
      <c r="O3416" s="105"/>
    </row>
    <row r="3417" spans="2:15" x14ac:dyDescent="0.2">
      <c r="B3417" s="1">
        <v>3402</v>
      </c>
      <c r="C3417" s="106">
        <f ca="1"/>
        <v>-2.4001408660671872</v>
      </c>
      <c r="D3417" s="106">
        <f t="shared" ca="1" si="198"/>
        <v>0.52441589330319316</v>
      </c>
      <c r="E3417" s="106">
        <f t="shared" ca="1" si="199"/>
        <v>0</v>
      </c>
      <c r="F3417" s="21">
        <f t="shared" ca="1" si="200"/>
        <v>0</v>
      </c>
      <c r="H3417" s="21">
        <v>3402</v>
      </c>
      <c r="I3417" s="107">
        <v>0.66754166211338706</v>
      </c>
      <c r="J3417" s="108">
        <v>1.0091844076533343E-3</v>
      </c>
      <c r="K3417" s="108"/>
      <c r="L3417" s="108">
        <v>3.6400000000000002E-2</v>
      </c>
      <c r="O3417" s="105"/>
    </row>
    <row r="3418" spans="2:15" x14ac:dyDescent="0.2">
      <c r="B3418" s="1">
        <v>3403</v>
      </c>
      <c r="C3418" s="106">
        <f ca="1"/>
        <v>1.686926308397539</v>
      </c>
      <c r="D3418" s="106">
        <f t="shared" ca="1" si="198"/>
        <v>0.7848077502205173</v>
      </c>
      <c r="E3418" s="106">
        <f t="shared" ca="1" si="199"/>
        <v>0</v>
      </c>
      <c r="F3418" s="21">
        <f t="shared" ca="1" si="200"/>
        <v>0</v>
      </c>
      <c r="H3418" s="21">
        <v>3403</v>
      </c>
      <c r="I3418" s="107">
        <v>0.66771000429474436</v>
      </c>
      <c r="J3418" s="108">
        <v>1.4119773900428164E-3</v>
      </c>
      <c r="K3418" s="108"/>
      <c r="L3418" s="108">
        <v>4.24E-2</v>
      </c>
      <c r="O3418" s="105"/>
    </row>
    <row r="3419" spans="2:15" x14ac:dyDescent="0.2">
      <c r="B3419" s="1">
        <v>3404</v>
      </c>
      <c r="C3419" s="106">
        <f ca="1"/>
        <v>4.8429007639328871E-2</v>
      </c>
      <c r="D3419" s="106">
        <f t="shared" ca="1" si="198"/>
        <v>0.66768415348754617</v>
      </c>
      <c r="E3419" s="106">
        <f t="shared" ca="1" si="199"/>
        <v>0</v>
      </c>
      <c r="F3419" s="21">
        <f t="shared" ca="1" si="200"/>
        <v>0</v>
      </c>
      <c r="H3419" s="21">
        <v>3404</v>
      </c>
      <c r="I3419" s="107">
        <v>0.66795887887975647</v>
      </c>
      <c r="J3419" s="108">
        <v>1.6153308763755504E-3</v>
      </c>
      <c r="K3419" s="108"/>
      <c r="L3419" s="108">
        <v>4.82E-2</v>
      </c>
      <c r="O3419" s="105"/>
    </row>
    <row r="3420" spans="2:15" x14ac:dyDescent="0.2">
      <c r="B3420" s="1">
        <v>3405</v>
      </c>
      <c r="C3420" s="106">
        <f ca="1"/>
        <v>0.23071672462243822</v>
      </c>
      <c r="D3420" s="106">
        <f t="shared" ca="1" si="198"/>
        <v>0.67979843810128804</v>
      </c>
      <c r="E3420" s="106">
        <f t="shared" ca="1" si="199"/>
        <v>0</v>
      </c>
      <c r="F3420" s="21">
        <f t="shared" ca="1" si="200"/>
        <v>0</v>
      </c>
      <c r="H3420" s="21">
        <v>3405</v>
      </c>
      <c r="I3420" s="107">
        <v>0.6678380774440128</v>
      </c>
      <c r="J3420" s="108">
        <v>1.5116930226161673E-3</v>
      </c>
      <c r="K3420" s="108"/>
      <c r="L3420" s="108">
        <v>4.2999999999999997E-2</v>
      </c>
      <c r="O3420" s="105"/>
    </row>
    <row r="3421" spans="2:15" x14ac:dyDescent="0.2">
      <c r="B3421" s="1">
        <v>3406</v>
      </c>
      <c r="C3421" s="106">
        <f ca="1"/>
        <v>0.69919323412537249</v>
      </c>
      <c r="D3421" s="106">
        <f t="shared" ca="1" si="198"/>
        <v>0.71194985720736592</v>
      </c>
      <c r="E3421" s="106">
        <f t="shared" ca="1" si="199"/>
        <v>0</v>
      </c>
      <c r="F3421" s="21">
        <f t="shared" ca="1" si="200"/>
        <v>0</v>
      </c>
      <c r="H3421" s="21">
        <v>3406</v>
      </c>
      <c r="I3421" s="107">
        <v>0.66771093658160485</v>
      </c>
      <c r="J3421" s="108">
        <v>1.3678653980888481E-3</v>
      </c>
      <c r="K3421" s="108"/>
      <c r="L3421" s="108">
        <v>3.9800000000000002E-2</v>
      </c>
      <c r="O3421" s="105"/>
    </row>
    <row r="3422" spans="2:15" x14ac:dyDescent="0.2">
      <c r="B3422" s="1">
        <v>3407</v>
      </c>
      <c r="C3422" s="106">
        <f ca="1"/>
        <v>0.4628359562136774</v>
      </c>
      <c r="D3422" s="106">
        <f t="shared" ca="1" si="198"/>
        <v>0.69554303681992669</v>
      </c>
      <c r="E3422" s="106">
        <f t="shared" ca="1" si="199"/>
        <v>0</v>
      </c>
      <c r="F3422" s="21">
        <f t="shared" ca="1" si="200"/>
        <v>0</v>
      </c>
      <c r="H3422" s="21">
        <v>3407</v>
      </c>
      <c r="I3422" s="107">
        <v>0.66786138764214009</v>
      </c>
      <c r="J3422" s="108">
        <v>1.4046131586400524E-3</v>
      </c>
      <c r="K3422" s="108"/>
      <c r="L3422" s="108">
        <v>4.1200000000000001E-2</v>
      </c>
      <c r="O3422" s="105"/>
    </row>
    <row r="3423" spans="2:15" x14ac:dyDescent="0.2">
      <c r="B3423" s="1">
        <v>3408</v>
      </c>
      <c r="C3423" s="106">
        <f ca="1"/>
        <v>-0.44709533250733918</v>
      </c>
      <c r="D3423" s="106">
        <f t="shared" ca="1" si="198"/>
        <v>0.63583306962000741</v>
      </c>
      <c r="E3423" s="106">
        <f t="shared" ca="1" si="199"/>
        <v>0</v>
      </c>
      <c r="F3423" s="21">
        <f t="shared" ca="1" si="200"/>
        <v>0</v>
      </c>
      <c r="H3423" s="21">
        <v>3408</v>
      </c>
      <c r="I3423" s="107">
        <v>0.66768062323918831</v>
      </c>
      <c r="J3423" s="108">
        <v>1.3789689486921706E-3</v>
      </c>
      <c r="K3423" s="108"/>
      <c r="L3423" s="108">
        <v>0.04</v>
      </c>
      <c r="O3423" s="105"/>
    </row>
    <row r="3424" spans="2:15" x14ac:dyDescent="0.2">
      <c r="B3424" s="1">
        <v>3409</v>
      </c>
      <c r="C3424" s="106">
        <f ca="1"/>
        <v>-0.3949763599499756</v>
      </c>
      <c r="D3424" s="106">
        <f t="shared" ca="1" si="198"/>
        <v>0.63911035838189212</v>
      </c>
      <c r="E3424" s="106">
        <f t="shared" ca="1" si="199"/>
        <v>0</v>
      </c>
      <c r="F3424" s="21">
        <f t="shared" ca="1" si="200"/>
        <v>0</v>
      </c>
      <c r="H3424" s="21">
        <v>3409</v>
      </c>
      <c r="I3424" s="107">
        <v>0.66771141388170396</v>
      </c>
      <c r="J3424" s="108">
        <v>1.4183492919139901E-3</v>
      </c>
      <c r="K3424" s="108"/>
      <c r="L3424" s="108">
        <v>4.5199999999999997E-2</v>
      </c>
      <c r="O3424" s="105"/>
    </row>
    <row r="3425" spans="2:15" x14ac:dyDescent="0.2">
      <c r="B3425" s="1">
        <v>3410</v>
      </c>
      <c r="C3425" s="106">
        <f ca="1"/>
        <v>-1.8291732894380872</v>
      </c>
      <c r="D3425" s="106">
        <f t="shared" ca="1" si="198"/>
        <v>0.55479909529588889</v>
      </c>
      <c r="E3425" s="106">
        <f t="shared" ca="1" si="199"/>
        <v>0</v>
      </c>
      <c r="F3425" s="21">
        <f t="shared" ca="1" si="200"/>
        <v>0</v>
      </c>
      <c r="H3425" s="21">
        <v>3410</v>
      </c>
      <c r="I3425" s="107">
        <v>0.6677964572640358</v>
      </c>
      <c r="J3425" s="108">
        <v>1.5495897805144522E-3</v>
      </c>
      <c r="K3425" s="108"/>
      <c r="L3425" s="108">
        <v>4.0399999999999998E-2</v>
      </c>
      <c r="O3425" s="105"/>
    </row>
    <row r="3426" spans="2:15" x14ac:dyDescent="0.2">
      <c r="B3426" s="1">
        <v>3411</v>
      </c>
      <c r="C3426" s="106">
        <f ca="1"/>
        <v>-0.97687616075664785</v>
      </c>
      <c r="D3426" s="106">
        <f t="shared" ca="1" si="198"/>
        <v>0.60345880404380126</v>
      </c>
      <c r="E3426" s="106">
        <f t="shared" ca="1" si="199"/>
        <v>0</v>
      </c>
      <c r="F3426" s="21">
        <f t="shared" ca="1" si="200"/>
        <v>0</v>
      </c>
      <c r="H3426" s="21">
        <v>3411</v>
      </c>
      <c r="I3426" s="107">
        <v>0.6678650260336384</v>
      </c>
      <c r="J3426" s="108">
        <v>1.5728855148415227E-3</v>
      </c>
      <c r="K3426" s="108"/>
      <c r="L3426" s="108">
        <v>4.4600000000000001E-2</v>
      </c>
      <c r="O3426" s="105"/>
    </row>
    <row r="3427" spans="2:15" x14ac:dyDescent="0.2">
      <c r="B3427" s="1">
        <v>3412</v>
      </c>
      <c r="C3427" s="106">
        <f ca="1"/>
        <v>0.51052810948774874</v>
      </c>
      <c r="D3427" s="106">
        <f t="shared" ca="1" si="198"/>
        <v>0.69882287026839052</v>
      </c>
      <c r="E3427" s="106">
        <f t="shared" ca="1" si="199"/>
        <v>0</v>
      </c>
      <c r="F3427" s="21">
        <f t="shared" ca="1" si="200"/>
        <v>0</v>
      </c>
      <c r="H3427" s="21">
        <v>3412</v>
      </c>
      <c r="I3427" s="107">
        <v>0.66784058538651514</v>
      </c>
      <c r="J3427" s="108">
        <v>1.4930756912125557E-3</v>
      </c>
      <c r="K3427" s="108"/>
      <c r="L3427" s="108">
        <v>4.5199999999999997E-2</v>
      </c>
      <c r="O3427" s="105"/>
    </row>
    <row r="3428" spans="2:15" x14ac:dyDescent="0.2">
      <c r="B3428" s="1">
        <v>3413</v>
      </c>
      <c r="C3428" s="106">
        <f ca="1"/>
        <v>0.50170207471280803</v>
      </c>
      <c r="D3428" s="106">
        <f t="shared" ca="1" si="198"/>
        <v>0.69821473161611713</v>
      </c>
      <c r="E3428" s="106">
        <f t="shared" ca="1" si="199"/>
        <v>0</v>
      </c>
      <c r="F3428" s="21">
        <f t="shared" ca="1" si="200"/>
        <v>0</v>
      </c>
      <c r="H3428" s="21">
        <v>3413</v>
      </c>
      <c r="I3428" s="107">
        <v>0.6675356983096371</v>
      </c>
      <c r="J3428" s="108">
        <v>1.1650760323392922E-3</v>
      </c>
      <c r="K3428" s="108"/>
      <c r="L3428" s="108">
        <v>3.78E-2</v>
      </c>
      <c r="O3428" s="105"/>
    </row>
    <row r="3429" spans="2:15" x14ac:dyDescent="0.2">
      <c r="B3429" s="1">
        <v>3414</v>
      </c>
      <c r="C3429" s="106">
        <f ca="1"/>
        <v>0.94914331894193715</v>
      </c>
      <c r="D3429" s="106">
        <f t="shared" ca="1" si="198"/>
        <v>0.72972145395622567</v>
      </c>
      <c r="E3429" s="106">
        <f t="shared" ca="1" si="199"/>
        <v>0</v>
      </c>
      <c r="F3429" s="21">
        <f t="shared" ca="1" si="200"/>
        <v>0</v>
      </c>
      <c r="H3429" s="21">
        <v>3414</v>
      </c>
      <c r="I3429" s="107">
        <v>0.66783692413731566</v>
      </c>
      <c r="J3429" s="108">
        <v>1.503823058683109E-3</v>
      </c>
      <c r="K3429" s="108"/>
      <c r="L3429" s="108">
        <v>4.6199999999999998E-2</v>
      </c>
      <c r="O3429" s="105"/>
    </row>
    <row r="3430" spans="2:15" x14ac:dyDescent="0.2">
      <c r="B3430" s="1">
        <v>3415</v>
      </c>
      <c r="C3430" s="106">
        <f ca="1"/>
        <v>6.2482234857059813E-3</v>
      </c>
      <c r="D3430" s="106">
        <f t="shared" ca="1" si="198"/>
        <v>0.66491184577804885</v>
      </c>
      <c r="E3430" s="106">
        <f t="shared" ca="1" si="199"/>
        <v>0</v>
      </c>
      <c r="F3430" s="21">
        <f t="shared" ca="1" si="200"/>
        <v>0</v>
      </c>
      <c r="H3430" s="21">
        <v>3415</v>
      </c>
      <c r="I3430" s="107">
        <v>0.66763182342982874</v>
      </c>
      <c r="J3430" s="108">
        <v>1.1213134128289397E-3</v>
      </c>
      <c r="K3430" s="108"/>
      <c r="L3430" s="108">
        <v>4.1200000000000001E-2</v>
      </c>
      <c r="O3430" s="105"/>
    </row>
    <row r="3431" spans="2:15" x14ac:dyDescent="0.2">
      <c r="B3431" s="1">
        <v>3416</v>
      </c>
      <c r="C3431" s="106">
        <f ca="1"/>
        <v>-1.3679703853071106</v>
      </c>
      <c r="D3431" s="106">
        <f t="shared" ca="1" si="198"/>
        <v>0.58062187281838928</v>
      </c>
      <c r="E3431" s="106">
        <f t="shared" ca="1" si="199"/>
        <v>0</v>
      </c>
      <c r="F3431" s="21">
        <f t="shared" ca="1" si="200"/>
        <v>0</v>
      </c>
      <c r="H3431" s="21">
        <v>3416</v>
      </c>
      <c r="I3431" s="107">
        <v>0.66773723818191433</v>
      </c>
      <c r="J3431" s="108">
        <v>1.4411400452079509E-3</v>
      </c>
      <c r="K3431" s="108"/>
      <c r="L3431" s="108">
        <v>4.2000000000000003E-2</v>
      </c>
      <c r="O3431" s="105"/>
    </row>
    <row r="3432" spans="2:15" x14ac:dyDescent="0.2">
      <c r="B3432" s="1">
        <v>3417</v>
      </c>
      <c r="C3432" s="106">
        <f ca="1"/>
        <v>-0.50294870022286176</v>
      </c>
      <c r="D3432" s="106">
        <f t="shared" ca="1" si="198"/>
        <v>0.6323396113160662</v>
      </c>
      <c r="E3432" s="106">
        <f t="shared" ca="1" si="199"/>
        <v>0</v>
      </c>
      <c r="F3432" s="21">
        <f t="shared" ca="1" si="200"/>
        <v>0</v>
      </c>
      <c r="H3432" s="21">
        <v>3417</v>
      </c>
      <c r="I3432" s="107">
        <v>0.66778856790078445</v>
      </c>
      <c r="J3432" s="108">
        <v>1.4391079875617555E-3</v>
      </c>
      <c r="K3432" s="108"/>
      <c r="L3432" s="108">
        <v>4.1200000000000001E-2</v>
      </c>
      <c r="O3432" s="105"/>
    </row>
    <row r="3433" spans="2:15" x14ac:dyDescent="0.2">
      <c r="B3433" s="1">
        <v>3418</v>
      </c>
      <c r="C3433" s="106">
        <f ca="1"/>
        <v>2.2367739354440523</v>
      </c>
      <c r="D3433" s="106">
        <f t="shared" ca="1" si="198"/>
        <v>0.82854941789102954</v>
      </c>
      <c r="E3433" s="106">
        <f t="shared" ca="1" si="199"/>
        <v>4.0349417891029526E-2</v>
      </c>
      <c r="F3433" s="21">
        <f t="shared" ca="1" si="200"/>
        <v>1</v>
      </c>
      <c r="H3433" s="21">
        <v>3418</v>
      </c>
      <c r="I3433" s="107">
        <v>0.66780992038946441</v>
      </c>
      <c r="J3433" s="108">
        <v>1.3453787680520941E-3</v>
      </c>
      <c r="K3433" s="108"/>
      <c r="L3433" s="108">
        <v>4.2999999999999997E-2</v>
      </c>
      <c r="O3433" s="105"/>
    </row>
    <row r="3434" spans="2:15" x14ac:dyDescent="0.2">
      <c r="B3434" s="1">
        <v>3419</v>
      </c>
      <c r="C3434" s="106">
        <f ca="1"/>
        <v>0.17053070638161399</v>
      </c>
      <c r="D3434" s="106">
        <f t="shared" ca="1" si="198"/>
        <v>0.67577454766286249</v>
      </c>
      <c r="E3434" s="106">
        <f t="shared" ca="1" si="199"/>
        <v>0</v>
      </c>
      <c r="F3434" s="21">
        <f t="shared" ca="1" si="200"/>
        <v>0</v>
      </c>
      <c r="H3434" s="21">
        <v>3419</v>
      </c>
      <c r="I3434" s="107">
        <v>0.66777432671710002</v>
      </c>
      <c r="J3434" s="108">
        <v>1.4239977326470151E-3</v>
      </c>
      <c r="K3434" s="108"/>
      <c r="L3434" s="108">
        <v>3.9399999999999998E-2</v>
      </c>
      <c r="O3434" s="105"/>
    </row>
    <row r="3435" spans="2:15" x14ac:dyDescent="0.2">
      <c r="B3435" s="1">
        <v>3420</v>
      </c>
      <c r="C3435" s="106">
        <f ca="1"/>
        <v>1.1348337678691831</v>
      </c>
      <c r="D3435" s="106">
        <f t="shared" ca="1" si="198"/>
        <v>0.74321074375293283</v>
      </c>
      <c r="E3435" s="106">
        <f t="shared" ca="1" si="199"/>
        <v>0</v>
      </c>
      <c r="F3435" s="21">
        <f t="shared" ca="1" si="200"/>
        <v>0</v>
      </c>
      <c r="H3435" s="21">
        <v>3420</v>
      </c>
      <c r="I3435" s="107">
        <v>0.66777059106820746</v>
      </c>
      <c r="J3435" s="108">
        <v>1.3991830115727953E-3</v>
      </c>
      <c r="K3435" s="108"/>
      <c r="L3435" s="108">
        <v>4.3200000000000002E-2</v>
      </c>
      <c r="O3435" s="105"/>
    </row>
    <row r="3436" spans="2:15" x14ac:dyDescent="0.2">
      <c r="B3436" s="1">
        <v>3421</v>
      </c>
      <c r="C3436" s="106">
        <f ca="1"/>
        <v>-0.46884795909837751</v>
      </c>
      <c r="D3436" s="106">
        <f t="shared" ca="1" si="198"/>
        <v>0.63447022022427613</v>
      </c>
      <c r="E3436" s="106">
        <f t="shared" ca="1" si="199"/>
        <v>0</v>
      </c>
      <c r="F3436" s="21">
        <f t="shared" ca="1" si="200"/>
        <v>0</v>
      </c>
      <c r="H3436" s="21">
        <v>3421</v>
      </c>
      <c r="I3436" s="107">
        <v>0.66758917718468613</v>
      </c>
      <c r="J3436" s="108">
        <v>1.2116670481418482E-3</v>
      </c>
      <c r="K3436" s="108"/>
      <c r="L3436" s="108">
        <v>3.6999999999999998E-2</v>
      </c>
      <c r="O3436" s="105"/>
    </row>
    <row r="3437" spans="2:15" x14ac:dyDescent="0.2">
      <c r="B3437" s="1">
        <v>3422</v>
      </c>
      <c r="C3437" s="106">
        <f ca="1"/>
        <v>1.7449797912021914</v>
      </c>
      <c r="D3437" s="106">
        <f t="shared" ca="1" si="198"/>
        <v>0.7893148227240514</v>
      </c>
      <c r="E3437" s="106">
        <f t="shared" ca="1" si="199"/>
        <v>1.1148227240513897E-3</v>
      </c>
      <c r="F3437" s="21">
        <f t="shared" ca="1" si="200"/>
        <v>1</v>
      </c>
      <c r="H3437" s="21">
        <v>3422</v>
      </c>
      <c r="I3437" s="107">
        <v>0.66752952241113461</v>
      </c>
      <c r="J3437" s="108">
        <v>1.102912855259697E-3</v>
      </c>
      <c r="K3437" s="108"/>
      <c r="L3437" s="108">
        <v>4.0399999999999998E-2</v>
      </c>
      <c r="O3437" s="105"/>
    </row>
    <row r="3438" spans="2:15" x14ac:dyDescent="0.2">
      <c r="B3438" s="1">
        <v>3423</v>
      </c>
      <c r="C3438" s="106">
        <f ca="1"/>
        <v>0.42062778581668681</v>
      </c>
      <c r="D3438" s="106">
        <f t="shared" ca="1" si="198"/>
        <v>0.69265318441286516</v>
      </c>
      <c r="E3438" s="106">
        <f t="shared" ca="1" si="199"/>
        <v>0</v>
      </c>
      <c r="F3438" s="21">
        <f t="shared" ca="1" si="200"/>
        <v>0</v>
      </c>
      <c r="H3438" s="21">
        <v>3423</v>
      </c>
      <c r="I3438" s="107">
        <v>0.66769745629606825</v>
      </c>
      <c r="J3438" s="108">
        <v>1.3945097292622089E-3</v>
      </c>
      <c r="K3438" s="108"/>
      <c r="L3438" s="108">
        <v>4.0399999999999998E-2</v>
      </c>
      <c r="O3438" s="105"/>
    </row>
    <row r="3439" spans="2:15" x14ac:dyDescent="0.2">
      <c r="B3439" s="1">
        <v>3424</v>
      </c>
      <c r="C3439" s="106">
        <f ca="1"/>
        <v>-0.57217698156803898</v>
      </c>
      <c r="D3439" s="106">
        <f t="shared" ca="1" si="198"/>
        <v>0.62803622005116955</v>
      </c>
      <c r="E3439" s="106">
        <f t="shared" ca="1" si="199"/>
        <v>0</v>
      </c>
      <c r="F3439" s="21">
        <f t="shared" ca="1" si="200"/>
        <v>0</v>
      </c>
      <c r="H3439" s="21">
        <v>3424</v>
      </c>
      <c r="I3439" s="107">
        <v>0.66764491556067118</v>
      </c>
      <c r="J3439" s="108">
        <v>1.3321650416431002E-3</v>
      </c>
      <c r="K3439" s="108"/>
      <c r="L3439" s="108">
        <v>4.0399999999999998E-2</v>
      </c>
      <c r="O3439" s="105"/>
    </row>
    <row r="3440" spans="2:15" x14ac:dyDescent="0.2">
      <c r="B3440" s="1">
        <v>3425</v>
      </c>
      <c r="C3440" s="106">
        <f ca="1"/>
        <v>1.1623459014755513</v>
      </c>
      <c r="D3440" s="106">
        <f t="shared" ca="1" si="198"/>
        <v>0.7452304331538554</v>
      </c>
      <c r="E3440" s="106">
        <f t="shared" ca="1" si="199"/>
        <v>0</v>
      </c>
      <c r="F3440" s="21">
        <f t="shared" ca="1" si="200"/>
        <v>0</v>
      </c>
      <c r="H3440" s="21">
        <v>3425</v>
      </c>
      <c r="I3440" s="107">
        <v>0.66774386528147556</v>
      </c>
      <c r="J3440" s="108">
        <v>1.4185357501623813E-3</v>
      </c>
      <c r="K3440" s="108"/>
      <c r="L3440" s="108">
        <v>4.1799999999999997E-2</v>
      </c>
      <c r="O3440" s="105"/>
    </row>
    <row r="3441" spans="2:15" x14ac:dyDescent="0.2">
      <c r="B3441" s="1">
        <v>3426</v>
      </c>
      <c r="C3441" s="106">
        <f ca="1"/>
        <v>1.3361629309399741</v>
      </c>
      <c r="D3441" s="106">
        <f t="shared" ca="1" si="198"/>
        <v>0.75811797928693714</v>
      </c>
      <c r="E3441" s="106">
        <f t="shared" ca="1" si="199"/>
        <v>0</v>
      </c>
      <c r="F3441" s="21">
        <f t="shared" ca="1" si="200"/>
        <v>0</v>
      </c>
      <c r="H3441" s="21">
        <v>3426</v>
      </c>
      <c r="I3441" s="107">
        <v>0.66777108731554957</v>
      </c>
      <c r="J3441" s="108">
        <v>1.3696380284367075E-3</v>
      </c>
      <c r="K3441" s="108"/>
      <c r="L3441" s="108">
        <v>4.4600000000000001E-2</v>
      </c>
      <c r="O3441" s="105"/>
    </row>
    <row r="3442" spans="2:15" x14ac:dyDescent="0.2">
      <c r="B3442" s="1">
        <v>3427</v>
      </c>
      <c r="C3442" s="106">
        <f ca="1"/>
        <v>-0.99156519235860718</v>
      </c>
      <c r="D3442" s="106">
        <f t="shared" ca="1" si="198"/>
        <v>0.60258505825210917</v>
      </c>
      <c r="E3442" s="106">
        <f t="shared" ca="1" si="199"/>
        <v>0</v>
      </c>
      <c r="F3442" s="21">
        <f t="shared" ca="1" si="200"/>
        <v>0</v>
      </c>
      <c r="H3442" s="21">
        <v>3427</v>
      </c>
      <c r="I3442" s="107">
        <v>0.6676814943531274</v>
      </c>
      <c r="J3442" s="108">
        <v>1.2913178924720675E-3</v>
      </c>
      <c r="K3442" s="108"/>
      <c r="L3442" s="108">
        <v>4.1200000000000001E-2</v>
      </c>
      <c r="O3442" s="105"/>
    </row>
    <row r="3443" spans="2:15" x14ac:dyDescent="0.2">
      <c r="B3443" s="1">
        <v>3428</v>
      </c>
      <c r="C3443" s="106">
        <f ca="1"/>
        <v>8.4514777068763355E-2</v>
      </c>
      <c r="D3443" s="106">
        <f t="shared" ca="1" si="198"/>
        <v>0.670065042303018</v>
      </c>
      <c r="E3443" s="106">
        <f t="shared" ca="1" si="199"/>
        <v>0</v>
      </c>
      <c r="F3443" s="21">
        <f t="shared" ca="1" si="200"/>
        <v>0</v>
      </c>
      <c r="H3443" s="21">
        <v>3428</v>
      </c>
      <c r="I3443" s="107">
        <v>0.66765010201531583</v>
      </c>
      <c r="J3443" s="108">
        <v>1.3650882317789235E-3</v>
      </c>
      <c r="K3443" s="108"/>
      <c r="L3443" s="108">
        <v>3.8600000000000002E-2</v>
      </c>
      <c r="O3443" s="105"/>
    </row>
    <row r="3444" spans="2:15" x14ac:dyDescent="0.2">
      <c r="B3444" s="1">
        <v>3429</v>
      </c>
      <c r="C3444" s="106">
        <f ca="1"/>
        <v>0.79900783765186145</v>
      </c>
      <c r="D3444" s="106">
        <f t="shared" ca="1" si="198"/>
        <v>0.71899422700183246</v>
      </c>
      <c r="E3444" s="106">
        <f t="shared" ca="1" si="199"/>
        <v>0</v>
      </c>
      <c r="F3444" s="21">
        <f t="shared" ca="1" si="200"/>
        <v>0</v>
      </c>
      <c r="H3444" s="21">
        <v>3429</v>
      </c>
      <c r="I3444" s="107">
        <v>0.66781999121834557</v>
      </c>
      <c r="J3444" s="108">
        <v>1.4154534909801089E-3</v>
      </c>
      <c r="K3444" s="108"/>
      <c r="L3444" s="108">
        <v>4.4400000000000002E-2</v>
      </c>
      <c r="O3444" s="105"/>
    </row>
    <row r="3445" spans="2:15" x14ac:dyDescent="0.2">
      <c r="B3445" s="1">
        <v>3430</v>
      </c>
      <c r="C3445" s="106">
        <f ca="1"/>
        <v>9.5863425166102273E-2</v>
      </c>
      <c r="D3445" s="106">
        <f t="shared" ca="1" si="198"/>
        <v>0.67081556373492346</v>
      </c>
      <c r="E3445" s="106">
        <f t="shared" ca="1" si="199"/>
        <v>0</v>
      </c>
      <c r="F3445" s="21">
        <f t="shared" ca="1" si="200"/>
        <v>0</v>
      </c>
      <c r="H3445" s="21">
        <v>3430</v>
      </c>
      <c r="I3445" s="107">
        <v>0.667728809246114</v>
      </c>
      <c r="J3445" s="108">
        <v>1.4164912816385499E-3</v>
      </c>
      <c r="K3445" s="108"/>
      <c r="L3445" s="108">
        <v>4.2000000000000003E-2</v>
      </c>
      <c r="O3445" s="105"/>
    </row>
    <row r="3446" spans="2:15" x14ac:dyDescent="0.2">
      <c r="B3446" s="1">
        <v>3431</v>
      </c>
      <c r="C3446" s="106">
        <f ca="1"/>
        <v>0.53348747428958188</v>
      </c>
      <c r="D3446" s="106">
        <f t="shared" ca="1" si="198"/>
        <v>0.70040731740590256</v>
      </c>
      <c r="E3446" s="106">
        <f t="shared" ca="1" si="199"/>
        <v>0</v>
      </c>
      <c r="F3446" s="21">
        <f t="shared" ca="1" si="200"/>
        <v>0</v>
      </c>
      <c r="H3446" s="21">
        <v>3431</v>
      </c>
      <c r="I3446" s="107">
        <v>0.66766622111661467</v>
      </c>
      <c r="J3446" s="108">
        <v>1.3424822011598545E-3</v>
      </c>
      <c r="K3446" s="108"/>
      <c r="L3446" s="108">
        <v>4.0800000000000003E-2</v>
      </c>
      <c r="O3446" s="105"/>
    </row>
    <row r="3447" spans="2:15" x14ac:dyDescent="0.2">
      <c r="B3447" s="1">
        <v>3432</v>
      </c>
      <c r="C3447" s="106">
        <f ca="1"/>
        <v>-0.21950231147253868</v>
      </c>
      <c r="D3447" s="106">
        <f t="shared" ca="1" si="198"/>
        <v>0.65026900886662486</v>
      </c>
      <c r="E3447" s="106">
        <f t="shared" ca="1" si="199"/>
        <v>0</v>
      </c>
      <c r="F3447" s="21">
        <f t="shared" ca="1" si="200"/>
        <v>0</v>
      </c>
      <c r="H3447" s="21">
        <v>3432</v>
      </c>
      <c r="I3447" s="107">
        <v>0.66775394159485379</v>
      </c>
      <c r="J3447" s="108">
        <v>1.354081828359308E-3</v>
      </c>
      <c r="K3447" s="108"/>
      <c r="L3447" s="108">
        <v>4.36E-2</v>
      </c>
      <c r="O3447" s="105"/>
    </row>
    <row r="3448" spans="2:15" x14ac:dyDescent="0.2">
      <c r="B3448" s="1">
        <v>3433</v>
      </c>
      <c r="C3448" s="106">
        <f ca="1"/>
        <v>1.2471764344620557</v>
      </c>
      <c r="D3448" s="106">
        <f t="shared" ca="1" si="198"/>
        <v>0.75149253301830077</v>
      </c>
      <c r="E3448" s="106">
        <f t="shared" ca="1" si="199"/>
        <v>0</v>
      </c>
      <c r="F3448" s="21">
        <f t="shared" ca="1" si="200"/>
        <v>0</v>
      </c>
      <c r="H3448" s="21">
        <v>3433</v>
      </c>
      <c r="I3448" s="107">
        <v>0.66759278365964925</v>
      </c>
      <c r="J3448" s="108">
        <v>1.2004578326181503E-3</v>
      </c>
      <c r="K3448" s="108"/>
      <c r="L3448" s="108">
        <v>3.7400000000000003E-2</v>
      </c>
      <c r="O3448" s="105"/>
    </row>
    <row r="3449" spans="2:15" x14ac:dyDescent="0.2">
      <c r="B3449" s="1">
        <v>3434</v>
      </c>
      <c r="C3449" s="106">
        <f ca="1"/>
        <v>0.130799509898125</v>
      </c>
      <c r="D3449" s="106">
        <f t="shared" ca="1" si="198"/>
        <v>0.67313127707862752</v>
      </c>
      <c r="E3449" s="106">
        <f t="shared" ca="1" si="199"/>
        <v>0</v>
      </c>
      <c r="F3449" s="21">
        <f t="shared" ca="1" si="200"/>
        <v>0</v>
      </c>
      <c r="H3449" s="21">
        <v>3434</v>
      </c>
      <c r="I3449" s="107">
        <v>0.6679631266395134</v>
      </c>
      <c r="J3449" s="108">
        <v>1.6560973602293373E-3</v>
      </c>
      <c r="K3449" s="108"/>
      <c r="L3449" s="108">
        <v>4.5199999999999997E-2</v>
      </c>
      <c r="O3449" s="105"/>
    </row>
    <row r="3450" spans="2:15" x14ac:dyDescent="0.2">
      <c r="B3450" s="1">
        <v>3435</v>
      </c>
      <c r="C3450" s="106">
        <f ca="1"/>
        <v>0.95280308549764225</v>
      </c>
      <c r="D3450" s="106">
        <f t="shared" ca="1" si="198"/>
        <v>0.72998493404006359</v>
      </c>
      <c r="E3450" s="106">
        <f t="shared" ca="1" si="199"/>
        <v>0</v>
      </c>
      <c r="F3450" s="21">
        <f t="shared" ca="1" si="200"/>
        <v>0</v>
      </c>
      <c r="H3450" s="21">
        <v>3435</v>
      </c>
      <c r="I3450" s="107">
        <v>0.66776078974787567</v>
      </c>
      <c r="J3450" s="108">
        <v>1.4067120360357226E-3</v>
      </c>
      <c r="K3450" s="108"/>
      <c r="L3450" s="108">
        <v>4.0599999999999997E-2</v>
      </c>
      <c r="O3450" s="105"/>
    </row>
    <row r="3451" spans="2:15" x14ac:dyDescent="0.2">
      <c r="B3451" s="1">
        <v>3436</v>
      </c>
      <c r="C3451" s="106">
        <f ca="1"/>
        <v>-2.8573371734612603</v>
      </c>
      <c r="D3451" s="106">
        <f t="shared" ca="1" si="198"/>
        <v>0.50129091896245226</v>
      </c>
      <c r="E3451" s="106">
        <f t="shared" ca="1" si="199"/>
        <v>0</v>
      </c>
      <c r="F3451" s="21">
        <f t="shared" ca="1" si="200"/>
        <v>0</v>
      </c>
      <c r="H3451" s="21">
        <v>3436</v>
      </c>
      <c r="I3451" s="107">
        <v>0.6677291680986881</v>
      </c>
      <c r="J3451" s="108">
        <v>1.401430963287885E-3</v>
      </c>
      <c r="K3451" s="108"/>
      <c r="L3451" s="108">
        <v>4.1000000000000002E-2</v>
      </c>
      <c r="O3451" s="105"/>
    </row>
    <row r="3452" spans="2:15" x14ac:dyDescent="0.2">
      <c r="B3452" s="1">
        <v>3437</v>
      </c>
      <c r="C3452" s="106">
        <f ca="1"/>
        <v>1.0861003631811925</v>
      </c>
      <c r="D3452" s="106">
        <f t="shared" ca="1" si="198"/>
        <v>0.73964660832914353</v>
      </c>
      <c r="E3452" s="106">
        <f t="shared" ca="1" si="199"/>
        <v>0</v>
      </c>
      <c r="F3452" s="21">
        <f t="shared" ca="1" si="200"/>
        <v>0</v>
      </c>
      <c r="H3452" s="21">
        <v>3437</v>
      </c>
      <c r="I3452" s="107">
        <v>0.66767001764818557</v>
      </c>
      <c r="J3452" s="108">
        <v>1.2046393956721864E-3</v>
      </c>
      <c r="K3452" s="108"/>
      <c r="L3452" s="108">
        <v>3.8399999999999997E-2</v>
      </c>
      <c r="O3452" s="105"/>
    </row>
    <row r="3453" spans="2:15" x14ac:dyDescent="0.2">
      <c r="B3453" s="1">
        <v>3438</v>
      </c>
      <c r="C3453" s="106">
        <f ca="1"/>
        <v>-1.182823728263352</v>
      </c>
      <c r="D3453" s="106">
        <f t="shared" ca="1" si="198"/>
        <v>0.5913232577942783</v>
      </c>
      <c r="E3453" s="106">
        <f t="shared" ca="1" si="199"/>
        <v>0</v>
      </c>
      <c r="F3453" s="21">
        <f t="shared" ca="1" si="200"/>
        <v>0</v>
      </c>
      <c r="H3453" s="21">
        <v>3438</v>
      </c>
      <c r="I3453" s="107">
        <v>0.66765916872191045</v>
      </c>
      <c r="J3453" s="108">
        <v>1.2936478792678757E-3</v>
      </c>
      <c r="K3453" s="108"/>
      <c r="L3453" s="108">
        <v>3.9600000000000003E-2</v>
      </c>
      <c r="O3453" s="105"/>
    </row>
    <row r="3454" spans="2:15" x14ac:dyDescent="0.2">
      <c r="B3454" s="1">
        <v>3439</v>
      </c>
      <c r="C3454" s="106">
        <f ca="1"/>
        <v>-0.78567337551220029</v>
      </c>
      <c r="D3454" s="106">
        <f t="shared" ca="1" si="198"/>
        <v>0.61494834517939134</v>
      </c>
      <c r="E3454" s="106">
        <f t="shared" ca="1" si="199"/>
        <v>0</v>
      </c>
      <c r="F3454" s="21">
        <f t="shared" ca="1" si="200"/>
        <v>0</v>
      </c>
      <c r="H3454" s="21">
        <v>3439</v>
      </c>
      <c r="I3454" s="107">
        <v>0.66777827513534227</v>
      </c>
      <c r="J3454" s="108">
        <v>1.3378123888907717E-3</v>
      </c>
      <c r="K3454" s="108"/>
      <c r="L3454" s="108">
        <v>4.1200000000000001E-2</v>
      </c>
      <c r="O3454" s="105"/>
    </row>
    <row r="3455" spans="2:15" x14ac:dyDescent="0.2">
      <c r="B3455" s="1">
        <v>3440</v>
      </c>
      <c r="C3455" s="106">
        <f ca="1"/>
        <v>1.3600647553629508</v>
      </c>
      <c r="D3455" s="106">
        <f t="shared" ca="1" si="198"/>
        <v>0.75990750861030421</v>
      </c>
      <c r="E3455" s="106">
        <f t="shared" ca="1" si="199"/>
        <v>0</v>
      </c>
      <c r="F3455" s="21">
        <f t="shared" ca="1" si="200"/>
        <v>0</v>
      </c>
      <c r="H3455" s="21">
        <v>3440</v>
      </c>
      <c r="I3455" s="107">
        <v>0.6676542443026624</v>
      </c>
      <c r="J3455" s="108">
        <v>1.2724161842612945E-3</v>
      </c>
      <c r="K3455" s="108"/>
      <c r="L3455" s="108">
        <v>4.1599999999999998E-2</v>
      </c>
      <c r="O3455" s="105"/>
    </row>
    <row r="3456" spans="2:15" x14ac:dyDescent="0.2">
      <c r="B3456" s="1">
        <v>3441</v>
      </c>
      <c r="C3456" s="106">
        <f ca="1"/>
        <v>-1.2254022456443452</v>
      </c>
      <c r="D3456" s="106">
        <f t="shared" ca="1" si="198"/>
        <v>0.58884490746216167</v>
      </c>
      <c r="E3456" s="106">
        <f t="shared" ca="1" si="199"/>
        <v>0</v>
      </c>
      <c r="F3456" s="21">
        <f t="shared" ca="1" si="200"/>
        <v>0</v>
      </c>
      <c r="H3456" s="21">
        <v>3441</v>
      </c>
      <c r="I3456" s="107">
        <v>0.66782797291345175</v>
      </c>
      <c r="J3456" s="108">
        <v>1.5877956060154786E-3</v>
      </c>
      <c r="K3456" s="108"/>
      <c r="L3456" s="108">
        <v>4.7600000000000003E-2</v>
      </c>
      <c r="O3456" s="105"/>
    </row>
    <row r="3457" spans="2:15" x14ac:dyDescent="0.2">
      <c r="B3457" s="1">
        <v>3442</v>
      </c>
      <c r="C3457" s="106">
        <f ca="1"/>
        <v>1.4915416747286048</v>
      </c>
      <c r="D3457" s="106">
        <f t="shared" ca="1" si="198"/>
        <v>0.76982697692949753</v>
      </c>
      <c r="E3457" s="106">
        <f t="shared" ca="1" si="199"/>
        <v>0</v>
      </c>
      <c r="F3457" s="21">
        <f t="shared" ca="1" si="200"/>
        <v>0</v>
      </c>
      <c r="H3457" s="21">
        <v>3442</v>
      </c>
      <c r="I3457" s="107">
        <v>0.66787888344310409</v>
      </c>
      <c r="J3457" s="108">
        <v>1.5078069301794053E-3</v>
      </c>
      <c r="K3457" s="108"/>
      <c r="L3457" s="108">
        <v>4.24E-2</v>
      </c>
      <c r="O3457" s="105"/>
    </row>
    <row r="3458" spans="2:15" x14ac:dyDescent="0.2">
      <c r="B3458" s="1">
        <v>3443</v>
      </c>
      <c r="C3458" s="106">
        <f ca="1"/>
        <v>-0.99916114051627214</v>
      </c>
      <c r="D3458" s="106">
        <f t="shared" ca="1" si="198"/>
        <v>0.60213372580315216</v>
      </c>
      <c r="E3458" s="106">
        <f t="shared" ca="1" si="199"/>
        <v>0</v>
      </c>
      <c r="F3458" s="21">
        <f t="shared" ca="1" si="200"/>
        <v>0</v>
      </c>
      <c r="H3458" s="21">
        <v>3443</v>
      </c>
      <c r="I3458" s="107">
        <v>0.66783830160514901</v>
      </c>
      <c r="J3458" s="108">
        <v>1.4715484585214017E-3</v>
      </c>
      <c r="K3458" s="108"/>
      <c r="L3458" s="108">
        <v>4.2599999999999999E-2</v>
      </c>
      <c r="O3458" s="105"/>
    </row>
    <row r="3459" spans="2:15" x14ac:dyDescent="0.2">
      <c r="B3459" s="1">
        <v>3444</v>
      </c>
      <c r="C3459" s="106">
        <f ca="1"/>
        <v>1.0835908554921325</v>
      </c>
      <c r="D3459" s="106">
        <f t="shared" ca="1" si="198"/>
        <v>0.73946353800533771</v>
      </c>
      <c r="E3459" s="106">
        <f t="shared" ca="1" si="199"/>
        <v>0</v>
      </c>
      <c r="F3459" s="21">
        <f t="shared" ca="1" si="200"/>
        <v>0</v>
      </c>
      <c r="H3459" s="21">
        <v>3444</v>
      </c>
      <c r="I3459" s="107">
        <v>0.66775619725851176</v>
      </c>
      <c r="J3459" s="108">
        <v>1.5060457500655094E-3</v>
      </c>
      <c r="K3459" s="108"/>
      <c r="L3459" s="108">
        <v>4.0800000000000003E-2</v>
      </c>
      <c r="O3459" s="105"/>
    </row>
    <row r="3460" spans="2:15" x14ac:dyDescent="0.2">
      <c r="B3460" s="1">
        <v>3445</v>
      </c>
      <c r="C3460" s="106">
        <f ca="1"/>
        <v>-0.39011655862472183</v>
      </c>
      <c r="D3460" s="106">
        <f t="shared" ca="1" si="198"/>
        <v>0.6394168067915097</v>
      </c>
      <c r="E3460" s="106">
        <f t="shared" ca="1" si="199"/>
        <v>0</v>
      </c>
      <c r="F3460" s="21">
        <f t="shared" ca="1" si="200"/>
        <v>0</v>
      </c>
      <c r="H3460" s="21">
        <v>3445</v>
      </c>
      <c r="I3460" s="107">
        <v>0.66775694795618068</v>
      </c>
      <c r="J3460" s="108">
        <v>1.3957255298145631E-3</v>
      </c>
      <c r="K3460" s="108"/>
      <c r="L3460" s="108">
        <v>4.1399999999999999E-2</v>
      </c>
      <c r="O3460" s="105"/>
    </row>
    <row r="3461" spans="2:15" x14ac:dyDescent="0.2">
      <c r="B3461" s="1">
        <v>3446</v>
      </c>
      <c r="C3461" s="106">
        <f ca="1"/>
        <v>0.53251813306102336</v>
      </c>
      <c r="D3461" s="106">
        <f t="shared" ca="1" si="198"/>
        <v>0.70034034968833903</v>
      </c>
      <c r="E3461" s="106">
        <f t="shared" ca="1" si="199"/>
        <v>0</v>
      </c>
      <c r="F3461" s="21">
        <f t="shared" ca="1" si="200"/>
        <v>0</v>
      </c>
      <c r="H3461" s="21">
        <v>3446</v>
      </c>
      <c r="I3461" s="107">
        <v>0.66774212590662729</v>
      </c>
      <c r="J3461" s="108">
        <v>1.3893247163911421E-3</v>
      </c>
      <c r="K3461" s="108"/>
      <c r="L3461" s="108">
        <v>4.3400000000000001E-2</v>
      </c>
      <c r="O3461" s="105"/>
    </row>
    <row r="3462" spans="2:15" x14ac:dyDescent="0.2">
      <c r="B3462" s="1">
        <v>3447</v>
      </c>
      <c r="C3462" s="106">
        <f ca="1"/>
        <v>0.12405444685340285</v>
      </c>
      <c r="D3462" s="106">
        <f t="shared" ca="1" si="198"/>
        <v>0.67268356355246661</v>
      </c>
      <c r="E3462" s="106">
        <f t="shared" ca="1" si="199"/>
        <v>0</v>
      </c>
      <c r="F3462" s="21">
        <f t="shared" ca="1" si="200"/>
        <v>0</v>
      </c>
      <c r="H3462" s="21">
        <v>3447</v>
      </c>
      <c r="I3462" s="107">
        <v>0.66783242753169048</v>
      </c>
      <c r="J3462" s="108">
        <v>1.5007421870544188E-3</v>
      </c>
      <c r="K3462" s="108"/>
      <c r="L3462" s="108">
        <v>4.36E-2</v>
      </c>
      <c r="O3462" s="105"/>
    </row>
    <row r="3463" spans="2:15" x14ac:dyDescent="0.2">
      <c r="B3463" s="1">
        <v>3448</v>
      </c>
      <c r="C3463" s="106">
        <f ca="1"/>
        <v>-0.47987008554508315</v>
      </c>
      <c r="D3463" s="106">
        <f t="shared" ca="1" si="198"/>
        <v>0.63378077548335499</v>
      </c>
      <c r="E3463" s="106">
        <f t="shared" ca="1" si="199"/>
        <v>0</v>
      </c>
      <c r="F3463" s="21">
        <f t="shared" ca="1" si="200"/>
        <v>0</v>
      </c>
      <c r="H3463" s="21">
        <v>3448</v>
      </c>
      <c r="I3463" s="107">
        <v>0.66771997537046857</v>
      </c>
      <c r="J3463" s="108">
        <v>1.342275295405732E-3</v>
      </c>
      <c r="K3463" s="108"/>
      <c r="L3463" s="108">
        <v>3.9399999999999998E-2</v>
      </c>
      <c r="O3463" s="105"/>
    </row>
    <row r="3464" spans="2:15" x14ac:dyDescent="0.2">
      <c r="B3464" s="1">
        <v>3449</v>
      </c>
      <c r="C3464" s="106">
        <f ca="1"/>
        <v>4.7966618420732438E-2</v>
      </c>
      <c r="D3464" s="106">
        <f t="shared" ca="1" si="198"/>
        <v>0.66765370065007246</v>
      </c>
      <c r="E3464" s="106">
        <f t="shared" ca="1" si="199"/>
        <v>0</v>
      </c>
      <c r="F3464" s="21">
        <f t="shared" ca="1" si="200"/>
        <v>0</v>
      </c>
      <c r="H3464" s="21">
        <v>3449</v>
      </c>
      <c r="I3464" s="107">
        <v>0.66769457611585892</v>
      </c>
      <c r="J3464" s="108">
        <v>1.2108973427051224E-3</v>
      </c>
      <c r="K3464" s="108"/>
      <c r="L3464" s="108">
        <v>4.0399999999999998E-2</v>
      </c>
      <c r="O3464" s="105"/>
    </row>
    <row r="3465" spans="2:15" x14ac:dyDescent="0.2">
      <c r="B3465" s="1">
        <v>3450</v>
      </c>
      <c r="C3465" s="106">
        <f ca="1"/>
        <v>1.1699266185192256</v>
      </c>
      <c r="D3465" s="106">
        <f t="shared" ca="1" si="198"/>
        <v>0.7457879039945593</v>
      </c>
      <c r="E3465" s="106">
        <f t="shared" ca="1" si="199"/>
        <v>0</v>
      </c>
      <c r="F3465" s="21">
        <f t="shared" ca="1" si="200"/>
        <v>0</v>
      </c>
      <c r="H3465" s="21">
        <v>3450</v>
      </c>
      <c r="I3465" s="107">
        <v>0.66774217276361381</v>
      </c>
      <c r="J3465" s="108">
        <v>1.2945819275985949E-3</v>
      </c>
      <c r="K3465" s="108"/>
      <c r="L3465" s="108">
        <v>3.9199999999999999E-2</v>
      </c>
      <c r="O3465" s="105"/>
    </row>
    <row r="3466" spans="2:15" x14ac:dyDescent="0.2">
      <c r="B3466" s="1">
        <v>3451</v>
      </c>
      <c r="C3466" s="106">
        <f ca="1"/>
        <v>-1.5882958848132491</v>
      </c>
      <c r="D3466" s="106">
        <f t="shared" ca="1" si="198"/>
        <v>0.56813923702830293</v>
      </c>
      <c r="E3466" s="106">
        <f t="shared" ca="1" si="199"/>
        <v>0</v>
      </c>
      <c r="F3466" s="21">
        <f t="shared" ca="1" si="200"/>
        <v>0</v>
      </c>
      <c r="H3466" s="21">
        <v>3451</v>
      </c>
      <c r="I3466" s="107">
        <v>0.66782330166887716</v>
      </c>
      <c r="J3466" s="108">
        <v>1.3340815454288761E-3</v>
      </c>
      <c r="K3466" s="108"/>
      <c r="L3466" s="108">
        <v>4.0599999999999997E-2</v>
      </c>
      <c r="O3466" s="105"/>
    </row>
    <row r="3467" spans="2:15" x14ac:dyDescent="0.2">
      <c r="B3467" s="1">
        <v>3452</v>
      </c>
      <c r="C3467" s="106">
        <f ca="1"/>
        <v>0.66901870401020258</v>
      </c>
      <c r="D3467" s="106">
        <f t="shared" ca="1" si="198"/>
        <v>0.70983392058675288</v>
      </c>
      <c r="E3467" s="106">
        <f t="shared" ca="1" si="199"/>
        <v>0</v>
      </c>
      <c r="F3467" s="21">
        <f t="shared" ca="1" si="200"/>
        <v>0</v>
      </c>
      <c r="H3467" s="21">
        <v>3452</v>
      </c>
      <c r="I3467" s="107">
        <v>0.66760082456854908</v>
      </c>
      <c r="J3467" s="108">
        <v>1.1470062013322518E-3</v>
      </c>
      <c r="K3467" s="108"/>
      <c r="L3467" s="108">
        <v>3.8399999999999997E-2</v>
      </c>
      <c r="O3467" s="105"/>
    </row>
    <row r="3468" spans="2:15" x14ac:dyDescent="0.2">
      <c r="B3468" s="1">
        <v>3453</v>
      </c>
      <c r="C3468" s="106">
        <f ca="1"/>
        <v>2.1086736007150235</v>
      </c>
      <c r="D3468" s="106">
        <f t="shared" ca="1" si="198"/>
        <v>0.81814574709423671</v>
      </c>
      <c r="E3468" s="106">
        <f t="shared" ca="1" si="199"/>
        <v>2.9945747094236697E-2</v>
      </c>
      <c r="F3468" s="21">
        <f t="shared" ca="1" si="200"/>
        <v>1</v>
      </c>
      <c r="H3468" s="21">
        <v>3453</v>
      </c>
      <c r="I3468" s="107">
        <v>0.66775944128533815</v>
      </c>
      <c r="J3468" s="108">
        <v>1.3510528230088663E-3</v>
      </c>
      <c r="K3468" s="108"/>
      <c r="L3468" s="108">
        <v>4.0399999999999998E-2</v>
      </c>
      <c r="O3468" s="105"/>
    </row>
    <row r="3469" spans="2:15" x14ac:dyDescent="0.2">
      <c r="B3469" s="1">
        <v>3454</v>
      </c>
      <c r="C3469" s="106">
        <f ca="1"/>
        <v>0.61231146768126821</v>
      </c>
      <c r="D3469" s="106">
        <f t="shared" ca="1" si="198"/>
        <v>0.70587442332964589</v>
      </c>
      <c r="E3469" s="106">
        <f t="shared" ca="1" si="199"/>
        <v>0</v>
      </c>
      <c r="F3469" s="21">
        <f t="shared" ca="1" si="200"/>
        <v>0</v>
      </c>
      <c r="H3469" s="21">
        <v>3454</v>
      </c>
      <c r="I3469" s="107">
        <v>0.66772963269180907</v>
      </c>
      <c r="J3469" s="108">
        <v>1.4048002774906447E-3</v>
      </c>
      <c r="K3469" s="108"/>
      <c r="L3469" s="108">
        <v>4.3999999999999997E-2</v>
      </c>
      <c r="O3469" s="105"/>
    </row>
    <row r="3470" spans="2:15" x14ac:dyDescent="0.2">
      <c r="B3470" s="1">
        <v>3455</v>
      </c>
      <c r="C3470" s="106">
        <f ca="1"/>
        <v>0.62466270377969713</v>
      </c>
      <c r="D3470" s="106">
        <f t="shared" ca="1" si="198"/>
        <v>0.70673494409860271</v>
      </c>
      <c r="E3470" s="106">
        <f t="shared" ca="1" si="199"/>
        <v>0</v>
      </c>
      <c r="F3470" s="21">
        <f t="shared" ca="1" si="200"/>
        <v>0</v>
      </c>
      <c r="H3470" s="21">
        <v>3455</v>
      </c>
      <c r="I3470" s="107">
        <v>0.66768832627543484</v>
      </c>
      <c r="J3470" s="108">
        <v>1.2553876314901583E-3</v>
      </c>
      <c r="K3470" s="108"/>
      <c r="L3470" s="108">
        <v>3.7600000000000001E-2</v>
      </c>
      <c r="O3470" s="105"/>
    </row>
    <row r="3471" spans="2:15" x14ac:dyDescent="0.2">
      <c r="B3471" s="1">
        <v>3456</v>
      </c>
      <c r="C3471" s="106">
        <f ca="1"/>
        <v>1.0982465916768338</v>
      </c>
      <c r="D3471" s="106">
        <f t="shared" ca="1" si="198"/>
        <v>0.74053332487444634</v>
      </c>
      <c r="E3471" s="106">
        <f t="shared" ca="1" si="199"/>
        <v>0</v>
      </c>
      <c r="F3471" s="21">
        <f t="shared" ca="1" si="200"/>
        <v>0</v>
      </c>
      <c r="H3471" s="21">
        <v>3456</v>
      </c>
      <c r="I3471" s="107">
        <v>0.66764078308653219</v>
      </c>
      <c r="J3471" s="108">
        <v>1.2671484447572996E-3</v>
      </c>
      <c r="K3471" s="108"/>
      <c r="L3471" s="108">
        <v>4.1200000000000001E-2</v>
      </c>
      <c r="O3471" s="105"/>
    </row>
    <row r="3472" spans="2:15" x14ac:dyDescent="0.2">
      <c r="B3472" s="1">
        <v>3457</v>
      </c>
      <c r="C3472" s="106">
        <f ca="1"/>
        <v>0.73849271285424645</v>
      </c>
      <c r="D3472" s="106">
        <f t="shared" ref="D3472:D3535" ca="1" si="201">S0*EXP((μ-0.5*σ*σ)*T+σ*SQRT(T)*$C3472)</f>
        <v>0.71471512472666354</v>
      </c>
      <c r="E3472" s="106">
        <f t="shared" ref="E3472:E3535" ca="1" si="202">MAX(0,CP*(D3472-K))</f>
        <v>0</v>
      </c>
      <c r="F3472" s="21">
        <f t="shared" ref="F3472:F3535" ca="1" si="203">(CP*(D3472-K)&gt;0)*1</f>
        <v>0</v>
      </c>
      <c r="H3472" s="21">
        <v>3457</v>
      </c>
      <c r="I3472" s="107">
        <v>0.667823936991503</v>
      </c>
      <c r="J3472" s="108">
        <v>1.4096853541893E-3</v>
      </c>
      <c r="K3472" s="108"/>
      <c r="L3472" s="108">
        <v>4.24E-2</v>
      </c>
      <c r="O3472" s="105"/>
    </row>
    <row r="3473" spans="2:15" x14ac:dyDescent="0.2">
      <c r="B3473" s="1">
        <v>3458</v>
      </c>
      <c r="C3473" s="106">
        <f ca="1"/>
        <v>-0.36613993518417948</v>
      </c>
      <c r="D3473" s="106">
        <f t="shared" ca="1" si="201"/>
        <v>0.64093087222220646</v>
      </c>
      <c r="E3473" s="106">
        <f t="shared" ca="1" si="202"/>
        <v>0</v>
      </c>
      <c r="F3473" s="21">
        <f t="shared" ca="1" si="203"/>
        <v>0</v>
      </c>
      <c r="H3473" s="21">
        <v>3458</v>
      </c>
      <c r="I3473" s="107">
        <v>0.66776520300246345</v>
      </c>
      <c r="J3473" s="108">
        <v>1.3026260911506969E-3</v>
      </c>
      <c r="K3473" s="108"/>
      <c r="L3473" s="108">
        <v>4.2599999999999999E-2</v>
      </c>
      <c r="O3473" s="105"/>
    </row>
    <row r="3474" spans="2:15" x14ac:dyDescent="0.2">
      <c r="B3474" s="1">
        <v>3459</v>
      </c>
      <c r="C3474" s="106">
        <f ca="1"/>
        <v>-2.7260355755908834</v>
      </c>
      <c r="D3474" s="106">
        <f t="shared" ca="1" si="201"/>
        <v>0.50782574791432333</v>
      </c>
      <c r="E3474" s="106">
        <f t="shared" ca="1" si="202"/>
        <v>0</v>
      </c>
      <c r="F3474" s="21">
        <f t="shared" ca="1" si="203"/>
        <v>0</v>
      </c>
      <c r="H3474" s="21">
        <v>3459</v>
      </c>
      <c r="I3474" s="107">
        <v>0.66766166836353591</v>
      </c>
      <c r="J3474" s="108">
        <v>1.2557320002983413E-3</v>
      </c>
      <c r="K3474" s="108"/>
      <c r="L3474" s="108">
        <v>3.9600000000000003E-2</v>
      </c>
      <c r="O3474" s="105"/>
    </row>
    <row r="3475" spans="2:15" x14ac:dyDescent="0.2">
      <c r="B3475" s="1">
        <v>3460</v>
      </c>
      <c r="C3475" s="106">
        <f ca="1"/>
        <v>0.87298768819531058</v>
      </c>
      <c r="D3475" s="106">
        <f t="shared" ca="1" si="201"/>
        <v>0.72426025717074349</v>
      </c>
      <c r="E3475" s="106">
        <f t="shared" ca="1" si="202"/>
        <v>0</v>
      </c>
      <c r="F3475" s="21">
        <f t="shared" ca="1" si="203"/>
        <v>0</v>
      </c>
      <c r="H3475" s="21">
        <v>3460</v>
      </c>
      <c r="I3475" s="107">
        <v>0.66766691058744787</v>
      </c>
      <c r="J3475" s="108">
        <v>1.2302703652711043E-3</v>
      </c>
      <c r="K3475" s="108"/>
      <c r="L3475" s="108">
        <v>3.8600000000000002E-2</v>
      </c>
      <c r="O3475" s="105"/>
    </row>
    <row r="3476" spans="2:15" x14ac:dyDescent="0.2">
      <c r="B3476" s="1">
        <v>3461</v>
      </c>
      <c r="C3476" s="106">
        <f ca="1"/>
        <v>0.23198061773687589</v>
      </c>
      <c r="D3476" s="106">
        <f t="shared" ca="1" si="201"/>
        <v>0.67988319527831775</v>
      </c>
      <c r="E3476" s="106">
        <f t="shared" ca="1" si="202"/>
        <v>0</v>
      </c>
      <c r="F3476" s="21">
        <f t="shared" ca="1" si="203"/>
        <v>0</v>
      </c>
      <c r="H3476" s="21">
        <v>3461</v>
      </c>
      <c r="I3476" s="107">
        <v>0.66754954737280658</v>
      </c>
      <c r="J3476" s="108">
        <v>1.2143353084192756E-3</v>
      </c>
      <c r="K3476" s="108"/>
      <c r="L3476" s="108">
        <v>3.56E-2</v>
      </c>
      <c r="O3476" s="105"/>
    </row>
    <row r="3477" spans="2:15" x14ac:dyDescent="0.2">
      <c r="B3477" s="1">
        <v>3462</v>
      </c>
      <c r="C3477" s="106">
        <f ca="1"/>
        <v>0.52920290441768347</v>
      </c>
      <c r="D3477" s="106">
        <f t="shared" ca="1" si="201"/>
        <v>0.70011136284717279</v>
      </c>
      <c r="E3477" s="106">
        <f t="shared" ca="1" si="202"/>
        <v>0</v>
      </c>
      <c r="F3477" s="21">
        <f t="shared" ca="1" si="203"/>
        <v>0</v>
      </c>
      <c r="H3477" s="21">
        <v>3462</v>
      </c>
      <c r="I3477" s="107">
        <v>0.66765434285141922</v>
      </c>
      <c r="J3477" s="108">
        <v>1.2911853271190283E-3</v>
      </c>
      <c r="K3477" s="108"/>
      <c r="L3477" s="108">
        <v>3.8800000000000001E-2</v>
      </c>
      <c r="O3477" s="105"/>
    </row>
    <row r="3478" spans="2:15" x14ac:dyDescent="0.2">
      <c r="B3478" s="1">
        <v>3463</v>
      </c>
      <c r="C3478" s="106">
        <f ca="1"/>
        <v>0.96228039241907504</v>
      </c>
      <c r="D3478" s="106">
        <f t="shared" ca="1" si="201"/>
        <v>0.73066768254817149</v>
      </c>
      <c r="E3478" s="106">
        <f t="shared" ca="1" si="202"/>
        <v>0</v>
      </c>
      <c r="F3478" s="21">
        <f t="shared" ca="1" si="203"/>
        <v>0</v>
      </c>
      <c r="H3478" s="21">
        <v>3463</v>
      </c>
      <c r="I3478" s="107">
        <v>0.66793106160983662</v>
      </c>
      <c r="J3478" s="108">
        <v>1.5628937547463324E-3</v>
      </c>
      <c r="K3478" s="108"/>
      <c r="L3478" s="108">
        <v>4.6199999999999998E-2</v>
      </c>
      <c r="O3478" s="105"/>
    </row>
    <row r="3479" spans="2:15" x14ac:dyDescent="0.2">
      <c r="B3479" s="1">
        <v>3464</v>
      </c>
      <c r="C3479" s="106">
        <f ca="1"/>
        <v>0.99050202756010042</v>
      </c>
      <c r="D3479" s="106">
        <f t="shared" ca="1" si="201"/>
        <v>0.73270456333376632</v>
      </c>
      <c r="E3479" s="106">
        <f t="shared" ca="1" si="202"/>
        <v>0</v>
      </c>
      <c r="F3479" s="21">
        <f t="shared" ca="1" si="203"/>
        <v>0</v>
      </c>
      <c r="H3479" s="21">
        <v>3464</v>
      </c>
      <c r="I3479" s="107">
        <v>0.66777152020347375</v>
      </c>
      <c r="J3479" s="108">
        <v>1.4108362256373479E-3</v>
      </c>
      <c r="K3479" s="108"/>
      <c r="L3479" s="108">
        <v>3.9399999999999998E-2</v>
      </c>
      <c r="O3479" s="105"/>
    </row>
    <row r="3480" spans="2:15" x14ac:dyDescent="0.2">
      <c r="B3480" s="1">
        <v>3465</v>
      </c>
      <c r="C3480" s="106">
        <f ca="1"/>
        <v>0.85767522540570984</v>
      </c>
      <c r="D3480" s="106">
        <f t="shared" ca="1" si="201"/>
        <v>0.72316713008728395</v>
      </c>
      <c r="E3480" s="106">
        <f t="shared" ca="1" si="202"/>
        <v>0</v>
      </c>
      <c r="F3480" s="21">
        <f t="shared" ca="1" si="203"/>
        <v>0</v>
      </c>
      <c r="H3480" s="21">
        <v>3465</v>
      </c>
      <c r="I3480" s="107">
        <v>0.66764725270984715</v>
      </c>
      <c r="J3480" s="108">
        <v>1.322397151547606E-3</v>
      </c>
      <c r="K3480" s="108"/>
      <c r="L3480" s="108">
        <v>3.9800000000000002E-2</v>
      </c>
      <c r="O3480" s="105"/>
    </row>
    <row r="3481" spans="2:15" x14ac:dyDescent="0.2">
      <c r="B3481" s="1">
        <v>3466</v>
      </c>
      <c r="C3481" s="106">
        <f ca="1"/>
        <v>0.643625681368592</v>
      </c>
      <c r="D3481" s="106">
        <f t="shared" ca="1" si="201"/>
        <v>0.70805815247718595</v>
      </c>
      <c r="E3481" s="106">
        <f t="shared" ca="1" si="202"/>
        <v>0</v>
      </c>
      <c r="F3481" s="21">
        <f t="shared" ca="1" si="203"/>
        <v>0</v>
      </c>
      <c r="H3481" s="21">
        <v>3466</v>
      </c>
      <c r="I3481" s="107">
        <v>0.66769510545196653</v>
      </c>
      <c r="J3481" s="108">
        <v>1.4444726053740901E-3</v>
      </c>
      <c r="K3481" s="108"/>
      <c r="L3481" s="108">
        <v>4.3400000000000001E-2</v>
      </c>
      <c r="O3481" s="105"/>
    </row>
    <row r="3482" spans="2:15" x14ac:dyDescent="0.2">
      <c r="B3482" s="1">
        <v>3467</v>
      </c>
      <c r="C3482" s="106">
        <f ca="1"/>
        <v>-0.63466680327404645</v>
      </c>
      <c r="D3482" s="106">
        <f t="shared" ca="1" si="201"/>
        <v>0.62417686217695945</v>
      </c>
      <c r="E3482" s="106">
        <f t="shared" ca="1" si="202"/>
        <v>0</v>
      </c>
      <c r="F3482" s="21">
        <f t="shared" ca="1" si="203"/>
        <v>0</v>
      </c>
      <c r="H3482" s="21">
        <v>3467</v>
      </c>
      <c r="I3482" s="107">
        <v>0.66790589025745761</v>
      </c>
      <c r="J3482" s="108">
        <v>1.5926924072401033E-3</v>
      </c>
      <c r="K3482" s="108"/>
      <c r="L3482" s="108">
        <v>4.9599999999999998E-2</v>
      </c>
      <c r="O3482" s="105"/>
    </row>
    <row r="3483" spans="2:15" x14ac:dyDescent="0.2">
      <c r="B3483" s="1">
        <v>3468</v>
      </c>
      <c r="C3483" s="106">
        <f ca="1"/>
        <v>0.51688932666573673</v>
      </c>
      <c r="D3483" s="106">
        <f t="shared" ca="1" si="201"/>
        <v>0.6992615044739342</v>
      </c>
      <c r="E3483" s="106">
        <f t="shared" ca="1" si="202"/>
        <v>0</v>
      </c>
      <c r="F3483" s="21">
        <f t="shared" ca="1" si="203"/>
        <v>0</v>
      </c>
      <c r="H3483" s="21">
        <v>3468</v>
      </c>
      <c r="I3483" s="107">
        <v>0.66768289014161997</v>
      </c>
      <c r="J3483" s="108">
        <v>1.303577376990673E-3</v>
      </c>
      <c r="K3483" s="108"/>
      <c r="L3483" s="108">
        <v>4.2799999999999998E-2</v>
      </c>
      <c r="O3483" s="105"/>
    </row>
    <row r="3484" spans="2:15" x14ac:dyDescent="0.2">
      <c r="B3484" s="1">
        <v>3469</v>
      </c>
      <c r="C3484" s="106">
        <f ca="1"/>
        <v>8.9313858250946537E-2</v>
      </c>
      <c r="D3484" s="106">
        <f t="shared" ca="1" si="201"/>
        <v>0.67038231796380465</v>
      </c>
      <c r="E3484" s="106">
        <f t="shared" ca="1" si="202"/>
        <v>0</v>
      </c>
      <c r="F3484" s="21">
        <f t="shared" ca="1" si="203"/>
        <v>0</v>
      </c>
      <c r="H3484" s="21">
        <v>3469</v>
      </c>
      <c r="I3484" s="107">
        <v>0.66788725547098271</v>
      </c>
      <c r="J3484" s="108">
        <v>1.534702250534876E-3</v>
      </c>
      <c r="K3484" s="108"/>
      <c r="L3484" s="108">
        <v>4.6600000000000003E-2</v>
      </c>
      <c r="O3484" s="105"/>
    </row>
    <row r="3485" spans="2:15" x14ac:dyDescent="0.2">
      <c r="B3485" s="1">
        <v>3470</v>
      </c>
      <c r="C3485" s="106">
        <f ca="1"/>
        <v>1.9152695075095847</v>
      </c>
      <c r="D3485" s="106">
        <f t="shared" ca="1" si="201"/>
        <v>0.80268540252221721</v>
      </c>
      <c r="E3485" s="106">
        <f t="shared" ca="1" si="202"/>
        <v>1.4485402522217194E-2</v>
      </c>
      <c r="F3485" s="21">
        <f t="shared" ca="1" si="203"/>
        <v>1</v>
      </c>
      <c r="H3485" s="21">
        <v>3470</v>
      </c>
      <c r="I3485" s="107">
        <v>0.66773229526656619</v>
      </c>
      <c r="J3485" s="108">
        <v>1.364663200162253E-3</v>
      </c>
      <c r="K3485" s="108"/>
      <c r="L3485" s="108">
        <v>4.1799999999999997E-2</v>
      </c>
      <c r="O3485" s="105"/>
    </row>
    <row r="3486" spans="2:15" x14ac:dyDescent="0.2">
      <c r="B3486" s="1">
        <v>3471</v>
      </c>
      <c r="C3486" s="106">
        <f ca="1"/>
        <v>0.77453458213425219</v>
      </c>
      <c r="D3486" s="106">
        <f t="shared" ca="1" si="201"/>
        <v>0.7172606148424604</v>
      </c>
      <c r="E3486" s="106">
        <f t="shared" ca="1" si="202"/>
        <v>0</v>
      </c>
      <c r="F3486" s="21">
        <f t="shared" ca="1" si="203"/>
        <v>0</v>
      </c>
      <c r="H3486" s="21">
        <v>3471</v>
      </c>
      <c r="I3486" s="107">
        <v>0.66759190252127731</v>
      </c>
      <c r="J3486" s="108">
        <v>1.2261198079944633E-3</v>
      </c>
      <c r="K3486" s="108"/>
      <c r="L3486" s="108">
        <v>3.5400000000000001E-2</v>
      </c>
      <c r="O3486" s="105"/>
    </row>
    <row r="3487" spans="2:15" x14ac:dyDescent="0.2">
      <c r="B3487" s="1">
        <v>3472</v>
      </c>
      <c r="C3487" s="106">
        <f ca="1"/>
        <v>-1.9619781193754963E-2</v>
      </c>
      <c r="D3487" s="106">
        <f t="shared" ca="1" si="201"/>
        <v>0.6632173833837538</v>
      </c>
      <c r="E3487" s="106">
        <f t="shared" ca="1" si="202"/>
        <v>0</v>
      </c>
      <c r="F3487" s="21">
        <f t="shared" ca="1" si="203"/>
        <v>0</v>
      </c>
      <c r="H3487" s="21">
        <v>3472</v>
      </c>
      <c r="I3487" s="107">
        <v>0.66774516556379382</v>
      </c>
      <c r="J3487" s="108">
        <v>1.456402254587172E-3</v>
      </c>
      <c r="K3487" s="108"/>
      <c r="L3487" s="108">
        <v>4.2599999999999999E-2</v>
      </c>
      <c r="O3487" s="105"/>
    </row>
    <row r="3488" spans="2:15" x14ac:dyDescent="0.2">
      <c r="B3488" s="1">
        <v>3473</v>
      </c>
      <c r="C3488" s="106">
        <f ca="1"/>
        <v>0.14282439433470498</v>
      </c>
      <c r="D3488" s="106">
        <f t="shared" ca="1" si="201"/>
        <v>0.67393018582780551</v>
      </c>
      <c r="E3488" s="106">
        <f t="shared" ca="1" si="202"/>
        <v>0</v>
      </c>
      <c r="F3488" s="21">
        <f t="shared" ca="1" si="203"/>
        <v>0</v>
      </c>
      <c r="H3488" s="21">
        <v>3473</v>
      </c>
      <c r="I3488" s="107">
        <v>0.66780858273055288</v>
      </c>
      <c r="J3488" s="108">
        <v>1.4474292478234053E-3</v>
      </c>
      <c r="K3488" s="108"/>
      <c r="L3488" s="108">
        <v>4.3400000000000001E-2</v>
      </c>
      <c r="O3488" s="105"/>
    </row>
    <row r="3489" spans="2:15" x14ac:dyDescent="0.2">
      <c r="B3489" s="1">
        <v>3474</v>
      </c>
      <c r="C3489" s="106">
        <f ca="1"/>
        <v>-1.0392632699028395</v>
      </c>
      <c r="D3489" s="106">
        <f t="shared" ca="1" si="201"/>
        <v>0.59975655386234339</v>
      </c>
      <c r="E3489" s="106">
        <f t="shared" ca="1" si="202"/>
        <v>0</v>
      </c>
      <c r="F3489" s="21">
        <f t="shared" ca="1" si="203"/>
        <v>0</v>
      </c>
      <c r="H3489" s="21">
        <v>3474</v>
      </c>
      <c r="I3489" s="107">
        <v>0.66762832261079197</v>
      </c>
      <c r="J3489" s="108">
        <v>1.2412664912033759E-3</v>
      </c>
      <c r="K3489" s="108"/>
      <c r="L3489" s="108">
        <v>3.9199999999999999E-2</v>
      </c>
      <c r="O3489" s="105"/>
    </row>
    <row r="3490" spans="2:15" x14ac:dyDescent="0.2">
      <c r="B3490" s="1">
        <v>3475</v>
      </c>
      <c r="C3490" s="106">
        <f ca="1"/>
        <v>1.5202924793887633</v>
      </c>
      <c r="D3490" s="106">
        <f t="shared" ca="1" si="201"/>
        <v>0.77201331848525645</v>
      </c>
      <c r="E3490" s="106">
        <f t="shared" ca="1" si="202"/>
        <v>0</v>
      </c>
      <c r="F3490" s="21">
        <f t="shared" ca="1" si="203"/>
        <v>0</v>
      </c>
      <c r="H3490" s="21">
        <v>3475</v>
      </c>
      <c r="I3490" s="107">
        <v>0.66765061412067217</v>
      </c>
      <c r="J3490" s="108">
        <v>1.4378527594415336E-3</v>
      </c>
      <c r="K3490" s="108"/>
      <c r="L3490" s="108">
        <v>4.2599999999999999E-2</v>
      </c>
      <c r="O3490" s="105"/>
    </row>
    <row r="3491" spans="2:15" x14ac:dyDescent="0.2">
      <c r="B3491" s="1">
        <v>3476</v>
      </c>
      <c r="C3491" s="106">
        <f ca="1"/>
        <v>-0.4006441699554037</v>
      </c>
      <c r="D3491" s="106">
        <f t="shared" ca="1" si="201"/>
        <v>0.63875314424038587</v>
      </c>
      <c r="E3491" s="106">
        <f t="shared" ca="1" si="202"/>
        <v>0</v>
      </c>
      <c r="F3491" s="21">
        <f t="shared" ca="1" si="203"/>
        <v>0</v>
      </c>
      <c r="H3491" s="21">
        <v>3476</v>
      </c>
      <c r="I3491" s="107">
        <v>0.66787821901541911</v>
      </c>
      <c r="J3491" s="108">
        <v>1.5286294096976578E-3</v>
      </c>
      <c r="K3491" s="108"/>
      <c r="L3491" s="108">
        <v>4.48E-2</v>
      </c>
      <c r="O3491" s="105"/>
    </row>
    <row r="3492" spans="2:15" x14ac:dyDescent="0.2">
      <c r="B3492" s="1">
        <v>3477</v>
      </c>
      <c r="C3492" s="106">
        <f ca="1"/>
        <v>0.61248835814846314</v>
      </c>
      <c r="D3492" s="106">
        <f t="shared" ca="1" si="201"/>
        <v>0.70588674003535079</v>
      </c>
      <c r="E3492" s="106">
        <f t="shared" ca="1" si="202"/>
        <v>0</v>
      </c>
      <c r="F3492" s="21">
        <f t="shared" ca="1" si="203"/>
        <v>0</v>
      </c>
      <c r="H3492" s="21">
        <v>3477</v>
      </c>
      <c r="I3492" s="107">
        <v>0.66758797785073354</v>
      </c>
      <c r="J3492" s="108">
        <v>1.3437909097509704E-3</v>
      </c>
      <c r="K3492" s="108"/>
      <c r="L3492" s="108">
        <v>3.7600000000000001E-2</v>
      </c>
      <c r="O3492" s="105"/>
    </row>
    <row r="3493" spans="2:15" x14ac:dyDescent="0.2">
      <c r="B3493" s="1">
        <v>3478</v>
      </c>
      <c r="C3493" s="106">
        <f ca="1"/>
        <v>1.0378262562169025</v>
      </c>
      <c r="D3493" s="106">
        <f t="shared" ca="1" si="201"/>
        <v>0.73613291533265091</v>
      </c>
      <c r="E3493" s="106">
        <f t="shared" ca="1" si="202"/>
        <v>0</v>
      </c>
      <c r="F3493" s="21">
        <f t="shared" ca="1" si="203"/>
        <v>0</v>
      </c>
      <c r="H3493" s="21">
        <v>3478</v>
      </c>
      <c r="I3493" s="107">
        <v>0.66766288614425662</v>
      </c>
      <c r="J3493" s="108">
        <v>1.3193571817040968E-3</v>
      </c>
      <c r="K3493" s="108"/>
      <c r="L3493" s="108">
        <v>4.02E-2</v>
      </c>
      <c r="O3493" s="105"/>
    </row>
    <row r="3494" spans="2:15" x14ac:dyDescent="0.2">
      <c r="B3494" s="1">
        <v>3479</v>
      </c>
      <c r="C3494" s="106">
        <f ca="1"/>
        <v>-7.8317994906037872E-2</v>
      </c>
      <c r="D3494" s="106">
        <f t="shared" ca="1" si="201"/>
        <v>0.65938840428526357</v>
      </c>
      <c r="E3494" s="106">
        <f t="shared" ca="1" si="202"/>
        <v>0</v>
      </c>
      <c r="F3494" s="21">
        <f t="shared" ca="1" si="203"/>
        <v>0</v>
      </c>
      <c r="H3494" s="21">
        <v>3479</v>
      </c>
      <c r="I3494" s="107">
        <v>0.6678987657420814</v>
      </c>
      <c r="J3494" s="108">
        <v>1.509129501278887E-3</v>
      </c>
      <c r="K3494" s="108"/>
      <c r="L3494" s="108">
        <v>4.4400000000000002E-2</v>
      </c>
      <c r="O3494" s="105"/>
    </row>
    <row r="3495" spans="2:15" x14ac:dyDescent="0.2">
      <c r="B3495" s="1">
        <v>3480</v>
      </c>
      <c r="C3495" s="106">
        <f ca="1"/>
        <v>3.5911598663036268E-2</v>
      </c>
      <c r="D3495" s="106">
        <f t="shared" ca="1" si="201"/>
        <v>0.66686025003983973</v>
      </c>
      <c r="E3495" s="106">
        <f t="shared" ca="1" si="202"/>
        <v>0</v>
      </c>
      <c r="F3495" s="21">
        <f t="shared" ca="1" si="203"/>
        <v>0</v>
      </c>
      <c r="H3495" s="21">
        <v>3480</v>
      </c>
      <c r="I3495" s="107">
        <v>0.66782937526438035</v>
      </c>
      <c r="J3495" s="108">
        <v>1.4278862612942048E-3</v>
      </c>
      <c r="K3495" s="108"/>
      <c r="L3495" s="108">
        <v>4.2599999999999999E-2</v>
      </c>
      <c r="O3495" s="105"/>
    </row>
    <row r="3496" spans="2:15" x14ac:dyDescent="0.2">
      <c r="B3496" s="1">
        <v>3481</v>
      </c>
      <c r="C3496" s="106">
        <f ca="1"/>
        <v>-1.6562798203416764</v>
      </c>
      <c r="D3496" s="106">
        <f t="shared" ca="1" si="201"/>
        <v>0.56434202712300741</v>
      </c>
      <c r="E3496" s="106">
        <f t="shared" ca="1" si="202"/>
        <v>0</v>
      </c>
      <c r="F3496" s="21">
        <f t="shared" ca="1" si="203"/>
        <v>0</v>
      </c>
      <c r="H3496" s="21">
        <v>3481</v>
      </c>
      <c r="I3496" s="107">
        <v>0.66768910413536808</v>
      </c>
      <c r="J3496" s="108">
        <v>1.3682155494075775E-3</v>
      </c>
      <c r="K3496" s="108"/>
      <c r="L3496" s="108">
        <v>4.0599999999999997E-2</v>
      </c>
      <c r="O3496" s="105"/>
    </row>
    <row r="3497" spans="2:15" x14ac:dyDescent="0.2">
      <c r="B3497" s="1">
        <v>3482</v>
      </c>
      <c r="C3497" s="106">
        <f ca="1"/>
        <v>-0.32100724844905237</v>
      </c>
      <c r="D3497" s="106">
        <f t="shared" ca="1" si="201"/>
        <v>0.64379062418242083</v>
      </c>
      <c r="E3497" s="106">
        <f t="shared" ca="1" si="202"/>
        <v>0</v>
      </c>
      <c r="F3497" s="21">
        <f t="shared" ca="1" si="203"/>
        <v>0</v>
      </c>
      <c r="H3497" s="21">
        <v>3482</v>
      </c>
      <c r="I3497" s="107">
        <v>0.66767688991294238</v>
      </c>
      <c r="J3497" s="108">
        <v>1.2540519949856175E-3</v>
      </c>
      <c r="K3497" s="108"/>
      <c r="L3497" s="108">
        <v>4.1799999999999997E-2</v>
      </c>
      <c r="O3497" s="105"/>
    </row>
    <row r="3498" spans="2:15" x14ac:dyDescent="0.2">
      <c r="B3498" s="1">
        <v>3483</v>
      </c>
      <c r="C3498" s="106">
        <f ca="1"/>
        <v>-0.14298502264562249</v>
      </c>
      <c r="D3498" s="106">
        <f t="shared" ca="1" si="201"/>
        <v>0.65519565691846615</v>
      </c>
      <c r="E3498" s="106">
        <f t="shared" ca="1" si="202"/>
        <v>0</v>
      </c>
      <c r="F3498" s="21">
        <f t="shared" ca="1" si="203"/>
        <v>0</v>
      </c>
      <c r="H3498" s="21">
        <v>3483</v>
      </c>
      <c r="I3498" s="107">
        <v>0.66768125564453062</v>
      </c>
      <c r="J3498" s="108">
        <v>1.1214935620281299E-3</v>
      </c>
      <c r="K3498" s="108"/>
      <c r="L3498" s="108">
        <v>3.9600000000000003E-2</v>
      </c>
      <c r="O3498" s="105"/>
    </row>
    <row r="3499" spans="2:15" x14ac:dyDescent="0.2">
      <c r="B3499" s="1">
        <v>3484</v>
      </c>
      <c r="C3499" s="106">
        <f ca="1"/>
        <v>1.0220071287619747</v>
      </c>
      <c r="D3499" s="106">
        <f t="shared" ca="1" si="201"/>
        <v>0.73498513476894645</v>
      </c>
      <c r="E3499" s="106">
        <f t="shared" ca="1" si="202"/>
        <v>0</v>
      </c>
      <c r="F3499" s="21">
        <f t="shared" ca="1" si="203"/>
        <v>0</v>
      </c>
      <c r="H3499" s="21">
        <v>3484</v>
      </c>
      <c r="I3499" s="107">
        <v>0.66791152280778254</v>
      </c>
      <c r="J3499" s="108">
        <v>1.5245561104875295E-3</v>
      </c>
      <c r="K3499" s="108"/>
      <c r="L3499" s="108">
        <v>4.3400000000000001E-2</v>
      </c>
      <c r="O3499" s="105"/>
    </row>
    <row r="3500" spans="2:15" x14ac:dyDescent="0.2">
      <c r="B3500" s="1">
        <v>3485</v>
      </c>
      <c r="C3500" s="106">
        <f ca="1"/>
        <v>0.434945526403828</v>
      </c>
      <c r="D3500" s="106">
        <f t="shared" ca="1" si="201"/>
        <v>0.69363212411679676</v>
      </c>
      <c r="E3500" s="106">
        <f t="shared" ca="1" si="202"/>
        <v>0</v>
      </c>
      <c r="F3500" s="21">
        <f t="shared" ca="1" si="203"/>
        <v>0</v>
      </c>
      <c r="H3500" s="21">
        <v>3485</v>
      </c>
      <c r="I3500" s="107">
        <v>0.66769764382824448</v>
      </c>
      <c r="J3500" s="108">
        <v>1.2851553158361841E-3</v>
      </c>
      <c r="K3500" s="108"/>
      <c r="L3500" s="108">
        <v>4.0800000000000003E-2</v>
      </c>
      <c r="O3500" s="105"/>
    </row>
    <row r="3501" spans="2:15" x14ac:dyDescent="0.2">
      <c r="B3501" s="1">
        <v>3486</v>
      </c>
      <c r="C3501" s="106">
        <f ca="1"/>
        <v>-0.53511783475824526</v>
      </c>
      <c r="D3501" s="106">
        <f t="shared" ca="1" si="201"/>
        <v>0.63033624764116636</v>
      </c>
      <c r="E3501" s="106">
        <f t="shared" ca="1" si="202"/>
        <v>0</v>
      </c>
      <c r="F3501" s="21">
        <f t="shared" ca="1" si="203"/>
        <v>0</v>
      </c>
      <c r="H3501" s="21">
        <v>3486</v>
      </c>
      <c r="I3501" s="107">
        <v>0.66775900167819413</v>
      </c>
      <c r="J3501" s="108">
        <v>1.3351001805393071E-3</v>
      </c>
      <c r="K3501" s="108"/>
      <c r="L3501" s="108">
        <v>4.1399999999999999E-2</v>
      </c>
      <c r="O3501" s="105"/>
    </row>
    <row r="3502" spans="2:15" x14ac:dyDescent="0.2">
      <c r="B3502" s="1">
        <v>3487</v>
      </c>
      <c r="C3502" s="106">
        <f ca="1"/>
        <v>1.3246251121454826</v>
      </c>
      <c r="D3502" s="106">
        <f t="shared" ca="1" si="201"/>
        <v>0.75725565166442965</v>
      </c>
      <c r="E3502" s="106">
        <f t="shared" ca="1" si="202"/>
        <v>0</v>
      </c>
      <c r="F3502" s="21">
        <f t="shared" ca="1" si="203"/>
        <v>0</v>
      </c>
      <c r="H3502" s="21">
        <v>3487</v>
      </c>
      <c r="I3502" s="107">
        <v>0.66766422801377345</v>
      </c>
      <c r="J3502" s="108">
        <v>1.3741631588654406E-3</v>
      </c>
      <c r="K3502" s="108"/>
      <c r="L3502" s="108">
        <v>3.9600000000000003E-2</v>
      </c>
      <c r="O3502" s="105"/>
    </row>
    <row r="3503" spans="2:15" x14ac:dyDescent="0.2">
      <c r="B3503" s="1">
        <v>3488</v>
      </c>
      <c r="C3503" s="106">
        <f ca="1"/>
        <v>0.6815427702366248</v>
      </c>
      <c r="D3503" s="106">
        <f t="shared" ca="1" si="201"/>
        <v>0.71071138456010929</v>
      </c>
      <c r="E3503" s="106">
        <f t="shared" ca="1" si="202"/>
        <v>0</v>
      </c>
      <c r="F3503" s="21">
        <f t="shared" ca="1" si="203"/>
        <v>0</v>
      </c>
      <c r="H3503" s="21">
        <v>3488</v>
      </c>
      <c r="I3503" s="107">
        <v>0.66772433364993888</v>
      </c>
      <c r="J3503" s="108">
        <v>1.2825429273167857E-3</v>
      </c>
      <c r="K3503" s="108"/>
      <c r="L3503" s="108">
        <v>3.9800000000000002E-2</v>
      </c>
      <c r="O3503" s="105"/>
    </row>
    <row r="3504" spans="2:15" x14ac:dyDescent="0.2">
      <c r="B3504" s="1">
        <v>3489</v>
      </c>
      <c r="C3504" s="106">
        <f ca="1"/>
        <v>-0.26805987884392179</v>
      </c>
      <c r="D3504" s="106">
        <f t="shared" ca="1" si="201"/>
        <v>0.6471618088856016</v>
      </c>
      <c r="E3504" s="106">
        <f t="shared" ca="1" si="202"/>
        <v>0</v>
      </c>
      <c r="F3504" s="21">
        <f t="shared" ca="1" si="203"/>
        <v>0</v>
      </c>
      <c r="H3504" s="21">
        <v>3489</v>
      </c>
      <c r="I3504" s="107">
        <v>0.66770707481821112</v>
      </c>
      <c r="J3504" s="108">
        <v>1.3754501930716909E-3</v>
      </c>
      <c r="K3504" s="108"/>
      <c r="L3504" s="108">
        <v>4.2599999999999999E-2</v>
      </c>
      <c r="O3504" s="105"/>
    </row>
    <row r="3505" spans="2:15" x14ac:dyDescent="0.2">
      <c r="B3505" s="1">
        <v>3490</v>
      </c>
      <c r="C3505" s="106">
        <f ca="1"/>
        <v>1.7221447443982298</v>
      </c>
      <c r="D3505" s="106">
        <f t="shared" ca="1" si="201"/>
        <v>0.78753890828815176</v>
      </c>
      <c r="E3505" s="106">
        <f t="shared" ca="1" si="202"/>
        <v>0</v>
      </c>
      <c r="F3505" s="21">
        <f t="shared" ca="1" si="203"/>
        <v>0</v>
      </c>
      <c r="H3505" s="21">
        <v>3490</v>
      </c>
      <c r="I3505" s="107">
        <v>0.66760864862732039</v>
      </c>
      <c r="J3505" s="108">
        <v>1.3298328792351992E-3</v>
      </c>
      <c r="K3505" s="108"/>
      <c r="L3505" s="108">
        <v>4.2999999999999997E-2</v>
      </c>
      <c r="O3505" s="105"/>
    </row>
    <row r="3506" spans="2:15" x14ac:dyDescent="0.2">
      <c r="B3506" s="1">
        <v>3491</v>
      </c>
      <c r="C3506" s="106">
        <f ca="1"/>
        <v>-0.91205967416494127</v>
      </c>
      <c r="D3506" s="106">
        <f t="shared" ca="1" si="201"/>
        <v>0.60732942909821463</v>
      </c>
      <c r="E3506" s="106">
        <f t="shared" ca="1" si="202"/>
        <v>0</v>
      </c>
      <c r="F3506" s="21">
        <f t="shared" ca="1" si="203"/>
        <v>0</v>
      </c>
      <c r="H3506" s="21">
        <v>3491</v>
      </c>
      <c r="I3506" s="107">
        <v>0.66766209662373888</v>
      </c>
      <c r="J3506" s="108">
        <v>1.3323626338796991E-3</v>
      </c>
      <c r="K3506" s="108"/>
      <c r="L3506" s="108">
        <v>3.9199999999999999E-2</v>
      </c>
      <c r="O3506" s="105"/>
    </row>
    <row r="3507" spans="2:15" x14ac:dyDescent="0.2">
      <c r="B3507" s="1">
        <v>3492</v>
      </c>
      <c r="C3507" s="106">
        <f ca="1"/>
        <v>1.3643415342733507</v>
      </c>
      <c r="D3507" s="106">
        <f t="shared" ca="1" si="201"/>
        <v>0.76022815624953743</v>
      </c>
      <c r="E3507" s="106">
        <f t="shared" ca="1" si="202"/>
        <v>0</v>
      </c>
      <c r="F3507" s="21">
        <f t="shared" ca="1" si="203"/>
        <v>0</v>
      </c>
      <c r="H3507" s="21">
        <v>3492</v>
      </c>
      <c r="I3507" s="107">
        <v>0.66775273026673554</v>
      </c>
      <c r="J3507" s="108">
        <v>1.3359592830900614E-3</v>
      </c>
      <c r="K3507" s="108"/>
      <c r="L3507" s="108">
        <v>4.1799999999999997E-2</v>
      </c>
      <c r="O3507" s="105"/>
    </row>
    <row r="3508" spans="2:15" x14ac:dyDescent="0.2">
      <c r="B3508" s="1">
        <v>3493</v>
      </c>
      <c r="C3508" s="106">
        <f ca="1"/>
        <v>-1.7040491367626414</v>
      </c>
      <c r="D3508" s="106">
        <f t="shared" ca="1" si="201"/>
        <v>0.56168908656772853</v>
      </c>
      <c r="E3508" s="106">
        <f t="shared" ca="1" si="202"/>
        <v>0</v>
      </c>
      <c r="F3508" s="21">
        <f t="shared" ca="1" si="203"/>
        <v>0</v>
      </c>
      <c r="H3508" s="21">
        <v>3493</v>
      </c>
      <c r="I3508" s="107">
        <v>0.6676706335706849</v>
      </c>
      <c r="J3508" s="108">
        <v>1.2791734571983881E-3</v>
      </c>
      <c r="K3508" s="108"/>
      <c r="L3508" s="108">
        <v>4.4400000000000002E-2</v>
      </c>
      <c r="O3508" s="105"/>
    </row>
    <row r="3509" spans="2:15" x14ac:dyDescent="0.2">
      <c r="B3509" s="1">
        <v>3494</v>
      </c>
      <c r="C3509" s="106">
        <f ca="1"/>
        <v>0.59348263138281931</v>
      </c>
      <c r="D3509" s="106">
        <f t="shared" ca="1" si="201"/>
        <v>0.70456461852019647</v>
      </c>
      <c r="E3509" s="106">
        <f t="shared" ca="1" si="202"/>
        <v>0</v>
      </c>
      <c r="F3509" s="21">
        <f t="shared" ca="1" si="203"/>
        <v>0</v>
      </c>
      <c r="H3509" s="21">
        <v>3494</v>
      </c>
      <c r="I3509" s="107">
        <v>0.66774608128056678</v>
      </c>
      <c r="J3509" s="108">
        <v>1.4163745246157523E-3</v>
      </c>
      <c r="K3509" s="108"/>
      <c r="L3509" s="108">
        <v>4.2599999999999999E-2</v>
      </c>
      <c r="O3509" s="105"/>
    </row>
    <row r="3510" spans="2:15" x14ac:dyDescent="0.2">
      <c r="B3510" s="1">
        <v>3495</v>
      </c>
      <c r="C3510" s="106">
        <f ca="1"/>
        <v>-1.342745041905979</v>
      </c>
      <c r="D3510" s="106">
        <f t="shared" ca="1" si="201"/>
        <v>0.58206841069952364</v>
      </c>
      <c r="E3510" s="106">
        <f t="shared" ca="1" si="202"/>
        <v>0</v>
      </c>
      <c r="F3510" s="21">
        <f t="shared" ca="1" si="203"/>
        <v>0</v>
      </c>
      <c r="H3510" s="21">
        <v>3495</v>
      </c>
      <c r="I3510" s="107">
        <v>0.66772823027754991</v>
      </c>
      <c r="J3510" s="108">
        <v>1.3720009155875463E-3</v>
      </c>
      <c r="K3510" s="108"/>
      <c r="L3510" s="108">
        <v>4.2200000000000001E-2</v>
      </c>
      <c r="O3510" s="105"/>
    </row>
    <row r="3511" spans="2:15" x14ac:dyDescent="0.2">
      <c r="B3511" s="1">
        <v>3496</v>
      </c>
      <c r="C3511" s="106">
        <f ca="1"/>
        <v>-0.730854914432437</v>
      </c>
      <c r="D3511" s="106">
        <f t="shared" ca="1" si="201"/>
        <v>0.61828260240415001</v>
      </c>
      <c r="E3511" s="106">
        <f t="shared" ca="1" si="202"/>
        <v>0</v>
      </c>
      <c r="F3511" s="21">
        <f t="shared" ca="1" si="203"/>
        <v>0</v>
      </c>
      <c r="H3511" s="21">
        <v>3496</v>
      </c>
      <c r="I3511" s="107">
        <v>0.66773220448707149</v>
      </c>
      <c r="J3511" s="108">
        <v>1.2911433402403552E-3</v>
      </c>
      <c r="K3511" s="108"/>
      <c r="L3511" s="108">
        <v>3.8800000000000001E-2</v>
      </c>
      <c r="O3511" s="105"/>
    </row>
    <row r="3512" spans="2:15" x14ac:dyDescent="0.2">
      <c r="B3512" s="1">
        <v>3497</v>
      </c>
      <c r="C3512" s="106">
        <f ca="1"/>
        <v>-1.0028374857906874</v>
      </c>
      <c r="D3512" s="106">
        <f t="shared" ca="1" si="201"/>
        <v>0.60191540787438746</v>
      </c>
      <c r="E3512" s="106">
        <f t="shared" ca="1" si="202"/>
        <v>0</v>
      </c>
      <c r="F3512" s="21">
        <f t="shared" ca="1" si="203"/>
        <v>0</v>
      </c>
      <c r="H3512" s="21">
        <v>3497</v>
      </c>
      <c r="I3512" s="107">
        <v>0.66779420245325327</v>
      </c>
      <c r="J3512" s="108">
        <v>1.5174276233154145E-3</v>
      </c>
      <c r="K3512" s="108"/>
      <c r="L3512" s="108">
        <v>4.4999999999999998E-2</v>
      </c>
      <c r="O3512" s="105"/>
    </row>
    <row r="3513" spans="2:15" x14ac:dyDescent="0.2">
      <c r="B3513" s="1">
        <v>3498</v>
      </c>
      <c r="C3513" s="106">
        <f ca="1"/>
        <v>-0.13284745673696424</v>
      </c>
      <c r="D3513" s="106">
        <f t="shared" ca="1" si="201"/>
        <v>0.65585116909445318</v>
      </c>
      <c r="E3513" s="106">
        <f t="shared" ca="1" si="202"/>
        <v>0</v>
      </c>
      <c r="F3513" s="21">
        <f t="shared" ca="1" si="203"/>
        <v>0</v>
      </c>
      <c r="H3513" s="21">
        <v>3498</v>
      </c>
      <c r="I3513" s="107">
        <v>0.66761396993445521</v>
      </c>
      <c r="J3513" s="108">
        <v>1.3713610900543036E-3</v>
      </c>
      <c r="K3513" s="108"/>
      <c r="L3513" s="108">
        <v>3.9399999999999998E-2</v>
      </c>
      <c r="O3513" s="105"/>
    </row>
    <row r="3514" spans="2:15" x14ac:dyDescent="0.2">
      <c r="B3514" s="1">
        <v>3499</v>
      </c>
      <c r="C3514" s="106">
        <f ca="1"/>
        <v>0.15235542612634939</v>
      </c>
      <c r="D3514" s="106">
        <f t="shared" ca="1" si="201"/>
        <v>0.67456408165918136</v>
      </c>
      <c r="E3514" s="106">
        <f t="shared" ca="1" si="202"/>
        <v>0</v>
      </c>
      <c r="F3514" s="21">
        <f t="shared" ca="1" si="203"/>
        <v>0</v>
      </c>
      <c r="H3514" s="21">
        <v>3499</v>
      </c>
      <c r="I3514" s="107">
        <v>0.66771288885246338</v>
      </c>
      <c r="J3514" s="108">
        <v>1.2762494514890769E-3</v>
      </c>
      <c r="K3514" s="108"/>
      <c r="L3514" s="108">
        <v>4.3400000000000001E-2</v>
      </c>
      <c r="O3514" s="105"/>
    </row>
    <row r="3515" spans="2:15" x14ac:dyDescent="0.2">
      <c r="B3515" s="1">
        <v>3500</v>
      </c>
      <c r="C3515" s="106">
        <f ca="1"/>
        <v>-1.0523988926064123</v>
      </c>
      <c r="D3515" s="106">
        <f t="shared" ca="1" si="201"/>
        <v>0.59897994339792571</v>
      </c>
      <c r="E3515" s="106">
        <f t="shared" ca="1" si="202"/>
        <v>0</v>
      </c>
      <c r="F3515" s="21">
        <f t="shared" ca="1" si="203"/>
        <v>0</v>
      </c>
      <c r="H3515" s="21">
        <v>3500</v>
      </c>
      <c r="I3515" s="107">
        <v>0.6678020326309243</v>
      </c>
      <c r="J3515" s="108">
        <v>1.3872012344490882E-3</v>
      </c>
      <c r="K3515" s="108"/>
      <c r="L3515" s="108">
        <v>4.2200000000000001E-2</v>
      </c>
      <c r="O3515" s="105"/>
    </row>
    <row r="3516" spans="2:15" x14ac:dyDescent="0.2">
      <c r="B3516" s="1">
        <v>3501</v>
      </c>
      <c r="C3516" s="106">
        <f ca="1"/>
        <v>0.39469494100896063</v>
      </c>
      <c r="D3516" s="106">
        <f t="shared" ca="1" si="201"/>
        <v>0.69088360709973395</v>
      </c>
      <c r="E3516" s="106">
        <f t="shared" ca="1" si="202"/>
        <v>0</v>
      </c>
      <c r="F3516" s="21">
        <f t="shared" ca="1" si="203"/>
        <v>0</v>
      </c>
      <c r="H3516" s="21">
        <v>3501</v>
      </c>
      <c r="I3516" s="107">
        <v>0.66770744791767245</v>
      </c>
      <c r="J3516" s="108">
        <v>1.2919740493724816E-3</v>
      </c>
      <c r="K3516" s="108"/>
      <c r="L3516" s="108">
        <v>0.04</v>
      </c>
      <c r="O3516" s="105"/>
    </row>
    <row r="3517" spans="2:15" x14ac:dyDescent="0.2">
      <c r="B3517" s="1">
        <v>3502</v>
      </c>
      <c r="C3517" s="106">
        <f ca="1"/>
        <v>1.3816343544217562</v>
      </c>
      <c r="D3517" s="106">
        <f t="shared" ca="1" si="201"/>
        <v>0.76152604998197759</v>
      </c>
      <c r="E3517" s="106">
        <f t="shared" ca="1" si="202"/>
        <v>0</v>
      </c>
      <c r="F3517" s="21">
        <f t="shared" ca="1" si="203"/>
        <v>0</v>
      </c>
      <c r="H3517" s="21">
        <v>3502</v>
      </c>
      <c r="I3517" s="107">
        <v>0.6677247073304311</v>
      </c>
      <c r="J3517" s="108">
        <v>1.2898168510516461E-3</v>
      </c>
      <c r="K3517" s="108"/>
      <c r="L3517" s="108">
        <v>4.02E-2</v>
      </c>
      <c r="O3517" s="105"/>
    </row>
    <row r="3518" spans="2:15" x14ac:dyDescent="0.2">
      <c r="B3518" s="1">
        <v>3503</v>
      </c>
      <c r="C3518" s="106">
        <f ca="1"/>
        <v>-1.686131585088511</v>
      </c>
      <c r="D3518" s="106">
        <f t="shared" ca="1" si="201"/>
        <v>0.56268269986981956</v>
      </c>
      <c r="E3518" s="106">
        <f t="shared" ca="1" si="202"/>
        <v>0</v>
      </c>
      <c r="F3518" s="21">
        <f t="shared" ca="1" si="203"/>
        <v>0</v>
      </c>
      <c r="H3518" s="21">
        <v>3503</v>
      </c>
      <c r="I3518" s="107">
        <v>0.66772575169876103</v>
      </c>
      <c r="J3518" s="108">
        <v>1.3113856398388403E-3</v>
      </c>
      <c r="K3518" s="108"/>
      <c r="L3518" s="108">
        <v>3.9199999999999999E-2</v>
      </c>
      <c r="O3518" s="105"/>
    </row>
    <row r="3519" spans="2:15" x14ac:dyDescent="0.2">
      <c r="B3519" s="1">
        <v>3504</v>
      </c>
      <c r="C3519" s="106">
        <f ca="1"/>
        <v>2.1290491631214872</v>
      </c>
      <c r="D3519" s="106">
        <f t="shared" ca="1" si="201"/>
        <v>0.81979176931660491</v>
      </c>
      <c r="E3519" s="106">
        <f t="shared" ca="1" si="202"/>
        <v>3.1591769316604901E-2</v>
      </c>
      <c r="F3519" s="21">
        <f t="shared" ca="1" si="203"/>
        <v>1</v>
      </c>
      <c r="H3519" s="21">
        <v>3504</v>
      </c>
      <c r="I3519" s="107">
        <v>0.66783301069917045</v>
      </c>
      <c r="J3519" s="108">
        <v>1.5411513964234376E-3</v>
      </c>
      <c r="K3519" s="108"/>
      <c r="L3519" s="108">
        <v>4.2999999999999997E-2</v>
      </c>
      <c r="O3519" s="105"/>
    </row>
    <row r="3520" spans="2:15" x14ac:dyDescent="0.2">
      <c r="B3520" s="1">
        <v>3505</v>
      </c>
      <c r="C3520" s="106">
        <f ca="1"/>
        <v>-2.461818544282476</v>
      </c>
      <c r="D3520" s="106">
        <f t="shared" ca="1" si="201"/>
        <v>0.52123504970295331</v>
      </c>
      <c r="E3520" s="106">
        <f t="shared" ca="1" si="202"/>
        <v>0</v>
      </c>
      <c r="F3520" s="21">
        <f t="shared" ca="1" si="203"/>
        <v>0</v>
      </c>
      <c r="H3520" s="21">
        <v>3505</v>
      </c>
      <c r="I3520" s="107">
        <v>0.66772006031912379</v>
      </c>
      <c r="J3520" s="108">
        <v>1.3353728826972881E-3</v>
      </c>
      <c r="K3520" s="108"/>
      <c r="L3520" s="108">
        <v>0.04</v>
      </c>
      <c r="O3520" s="105"/>
    </row>
    <row r="3521" spans="2:15" x14ac:dyDescent="0.2">
      <c r="B3521" s="1">
        <v>3506</v>
      </c>
      <c r="C3521" s="106">
        <f ca="1"/>
        <v>-0.55097241119927565</v>
      </c>
      <c r="D3521" s="106">
        <f t="shared" ca="1" si="201"/>
        <v>0.62935122486842199</v>
      </c>
      <c r="E3521" s="106">
        <f t="shared" ca="1" si="202"/>
        <v>0</v>
      </c>
      <c r="F3521" s="21">
        <f t="shared" ca="1" si="203"/>
        <v>0</v>
      </c>
      <c r="H3521" s="21">
        <v>3506</v>
      </c>
      <c r="I3521" s="107">
        <v>0.66788708382467188</v>
      </c>
      <c r="J3521" s="108">
        <v>1.4697772107706995E-3</v>
      </c>
      <c r="K3521" s="108"/>
      <c r="L3521" s="108">
        <v>4.2000000000000003E-2</v>
      </c>
      <c r="O3521" s="105"/>
    </row>
    <row r="3522" spans="2:15" x14ac:dyDescent="0.2">
      <c r="B3522" s="1">
        <v>3507</v>
      </c>
      <c r="C3522" s="106">
        <f ca="1"/>
        <v>-0.87023070324626473</v>
      </c>
      <c r="D3522" s="106">
        <f t="shared" ca="1" si="201"/>
        <v>0.60984048671950331</v>
      </c>
      <c r="E3522" s="106">
        <f t="shared" ca="1" si="202"/>
        <v>0</v>
      </c>
      <c r="F3522" s="21">
        <f t="shared" ca="1" si="203"/>
        <v>0</v>
      </c>
      <c r="H3522" s="21">
        <v>3507</v>
      </c>
      <c r="I3522" s="107">
        <v>0.66763185331928721</v>
      </c>
      <c r="J3522" s="108">
        <v>1.2573096894974687E-3</v>
      </c>
      <c r="K3522" s="108"/>
      <c r="L3522" s="108">
        <v>3.7999999999999999E-2</v>
      </c>
      <c r="O3522" s="105"/>
    </row>
    <row r="3523" spans="2:15" x14ac:dyDescent="0.2">
      <c r="B3523" s="1">
        <v>3508</v>
      </c>
      <c r="C3523" s="106">
        <f ca="1"/>
        <v>-0.48348200059864388</v>
      </c>
      <c r="D3523" s="106">
        <f t="shared" ca="1" si="201"/>
        <v>0.63355500969762535</v>
      </c>
      <c r="E3523" s="106">
        <f t="shared" ca="1" si="202"/>
        <v>0</v>
      </c>
      <c r="F3523" s="21">
        <f t="shared" ca="1" si="203"/>
        <v>0</v>
      </c>
      <c r="H3523" s="21">
        <v>3508</v>
      </c>
      <c r="I3523" s="107">
        <v>0.66755117522901042</v>
      </c>
      <c r="J3523" s="108">
        <v>1.2192563834392744E-3</v>
      </c>
      <c r="K3523" s="108"/>
      <c r="L3523" s="108">
        <v>3.6200000000000003E-2</v>
      </c>
      <c r="O3523" s="105"/>
    </row>
    <row r="3524" spans="2:15" x14ac:dyDescent="0.2">
      <c r="B3524" s="1">
        <v>3509</v>
      </c>
      <c r="C3524" s="106">
        <f ca="1"/>
        <v>-0.14394285889415623</v>
      </c>
      <c r="D3524" s="106">
        <f t="shared" ca="1" si="201"/>
        <v>0.6551337554911898</v>
      </c>
      <c r="E3524" s="106">
        <f t="shared" ca="1" si="202"/>
        <v>0</v>
      </c>
      <c r="F3524" s="21">
        <f t="shared" ca="1" si="203"/>
        <v>0</v>
      </c>
      <c r="H3524" s="21">
        <v>3509</v>
      </c>
      <c r="I3524" s="107">
        <v>0.6676607493776382</v>
      </c>
      <c r="J3524" s="108">
        <v>1.2131856035473389E-3</v>
      </c>
      <c r="K3524" s="108"/>
      <c r="L3524" s="108">
        <v>4.02E-2</v>
      </c>
      <c r="O3524" s="105"/>
    </row>
    <row r="3525" spans="2:15" x14ac:dyDescent="0.2">
      <c r="B3525" s="1">
        <v>3510</v>
      </c>
      <c r="C3525" s="106">
        <f ca="1"/>
        <v>-1.9805168218055789</v>
      </c>
      <c r="D3525" s="106">
        <f t="shared" ca="1" si="201"/>
        <v>0.5465781679099958</v>
      </c>
      <c r="E3525" s="106">
        <f t="shared" ca="1" si="202"/>
        <v>0</v>
      </c>
      <c r="F3525" s="21">
        <f t="shared" ca="1" si="203"/>
        <v>0</v>
      </c>
      <c r="H3525" s="21">
        <v>3510</v>
      </c>
      <c r="I3525" s="107">
        <v>0.66766014286105568</v>
      </c>
      <c r="J3525" s="108">
        <v>1.2870450394173057E-3</v>
      </c>
      <c r="K3525" s="108"/>
      <c r="L3525" s="108">
        <v>3.6999999999999998E-2</v>
      </c>
      <c r="O3525" s="105"/>
    </row>
    <row r="3526" spans="2:15" x14ac:dyDescent="0.2">
      <c r="B3526" s="1">
        <v>3511</v>
      </c>
      <c r="C3526" s="106">
        <f ca="1"/>
        <v>-1.8656788937264854</v>
      </c>
      <c r="D3526" s="106">
        <f t="shared" ca="1" si="201"/>
        <v>0.55280487798170796</v>
      </c>
      <c r="E3526" s="106">
        <f t="shared" ca="1" si="202"/>
        <v>0</v>
      </c>
      <c r="F3526" s="21">
        <f t="shared" ca="1" si="203"/>
        <v>0</v>
      </c>
      <c r="H3526" s="21">
        <v>3511</v>
      </c>
      <c r="I3526" s="107">
        <v>0.66776984576239962</v>
      </c>
      <c r="J3526" s="108">
        <v>1.5080261417212454E-3</v>
      </c>
      <c r="K3526" s="108"/>
      <c r="L3526" s="108">
        <v>4.1000000000000002E-2</v>
      </c>
      <c r="O3526" s="105"/>
    </row>
    <row r="3527" spans="2:15" x14ac:dyDescent="0.2">
      <c r="B3527" s="1">
        <v>3512</v>
      </c>
      <c r="C3527" s="106">
        <f ca="1"/>
        <v>-0.72295505894462297</v>
      </c>
      <c r="D3527" s="106">
        <f t="shared" ca="1" si="201"/>
        <v>0.61876458826372982</v>
      </c>
      <c r="E3527" s="106">
        <f t="shared" ca="1" si="202"/>
        <v>0</v>
      </c>
      <c r="F3527" s="21">
        <f t="shared" ca="1" si="203"/>
        <v>0</v>
      </c>
      <c r="H3527" s="21">
        <v>3512</v>
      </c>
      <c r="I3527" s="107">
        <v>0.66774314684554004</v>
      </c>
      <c r="J3527" s="108">
        <v>1.3502061270178822E-3</v>
      </c>
      <c r="K3527" s="108"/>
      <c r="L3527" s="108">
        <v>4.0800000000000003E-2</v>
      </c>
      <c r="O3527" s="105"/>
    </row>
    <row r="3528" spans="2:15" x14ac:dyDescent="0.2">
      <c r="B3528" s="1">
        <v>3513</v>
      </c>
      <c r="C3528" s="106">
        <f ca="1"/>
        <v>-0.23066393701224278</v>
      </c>
      <c r="D3528" s="106">
        <f t="shared" ca="1" si="201"/>
        <v>0.64955345826891797</v>
      </c>
      <c r="E3528" s="106">
        <f t="shared" ca="1" si="202"/>
        <v>0</v>
      </c>
      <c r="F3528" s="21">
        <f t="shared" ca="1" si="203"/>
        <v>0</v>
      </c>
      <c r="H3528" s="21">
        <v>3513</v>
      </c>
      <c r="I3528" s="107">
        <v>0.66770898320259764</v>
      </c>
      <c r="J3528" s="108">
        <v>1.4586772927972472E-3</v>
      </c>
      <c r="K3528" s="108"/>
      <c r="L3528" s="108">
        <v>4.3799999999999999E-2</v>
      </c>
      <c r="O3528" s="105"/>
    </row>
    <row r="3529" spans="2:15" x14ac:dyDescent="0.2">
      <c r="B3529" s="1">
        <v>3514</v>
      </c>
      <c r="C3529" s="106">
        <f ca="1"/>
        <v>2.3035885799722693</v>
      </c>
      <c r="D3529" s="106">
        <f t="shared" ca="1" si="201"/>
        <v>0.8340281607107648</v>
      </c>
      <c r="E3529" s="106">
        <f t="shared" ca="1" si="202"/>
        <v>4.5828160710764787E-2</v>
      </c>
      <c r="F3529" s="21">
        <f t="shared" ca="1" si="203"/>
        <v>1</v>
      </c>
      <c r="H3529" s="21">
        <v>3514</v>
      </c>
      <c r="I3529" s="107">
        <v>0.66769545923552565</v>
      </c>
      <c r="J3529" s="108">
        <v>1.1459047616076746E-3</v>
      </c>
      <c r="K3529" s="108"/>
      <c r="L3529" s="108">
        <v>4.3400000000000001E-2</v>
      </c>
      <c r="O3529" s="105"/>
    </row>
    <row r="3530" spans="2:15" x14ac:dyDescent="0.2">
      <c r="B3530" s="1">
        <v>3515</v>
      </c>
      <c r="C3530" s="106">
        <f ca="1"/>
        <v>-0.80808757430769762</v>
      </c>
      <c r="D3530" s="106">
        <f t="shared" ca="1" si="201"/>
        <v>0.61359021706206729</v>
      </c>
      <c r="E3530" s="106">
        <f t="shared" ca="1" si="202"/>
        <v>0</v>
      </c>
      <c r="F3530" s="21">
        <f t="shared" ca="1" si="203"/>
        <v>0</v>
      </c>
      <c r="H3530" s="21">
        <v>3515</v>
      </c>
      <c r="I3530" s="107">
        <v>0.66753768288732818</v>
      </c>
      <c r="J3530" s="108">
        <v>1.1665746400166116E-3</v>
      </c>
      <c r="K3530" s="108"/>
      <c r="L3530" s="108">
        <v>3.8199999999999998E-2</v>
      </c>
      <c r="O3530" s="105"/>
    </row>
    <row r="3531" spans="2:15" x14ac:dyDescent="0.2">
      <c r="B3531" s="1">
        <v>3516</v>
      </c>
      <c r="C3531" s="106">
        <f ca="1"/>
        <v>1.0269895513226914</v>
      </c>
      <c r="D3531" s="106">
        <f t="shared" ca="1" si="201"/>
        <v>0.73534644872748645</v>
      </c>
      <c r="E3531" s="106">
        <f t="shared" ca="1" si="202"/>
        <v>0</v>
      </c>
      <c r="F3531" s="21">
        <f t="shared" ca="1" si="203"/>
        <v>0</v>
      </c>
      <c r="H3531" s="21">
        <v>3516</v>
      </c>
      <c r="I3531" s="107">
        <v>0.66777903744834444</v>
      </c>
      <c r="J3531" s="108">
        <v>1.3638456224100372E-3</v>
      </c>
      <c r="K3531" s="108"/>
      <c r="L3531" s="108">
        <v>4.36E-2</v>
      </c>
      <c r="O3531" s="105"/>
    </row>
    <row r="3532" spans="2:15" x14ac:dyDescent="0.2">
      <c r="B3532" s="1">
        <v>3517</v>
      </c>
      <c r="C3532" s="106">
        <f ca="1"/>
        <v>1.2413771188492961</v>
      </c>
      <c r="D3532" s="106">
        <f t="shared" ca="1" si="201"/>
        <v>0.75106276301325281</v>
      </c>
      <c r="E3532" s="106">
        <f t="shared" ca="1" si="202"/>
        <v>0</v>
      </c>
      <c r="F3532" s="21">
        <f t="shared" ca="1" si="203"/>
        <v>0</v>
      </c>
      <c r="H3532" s="21">
        <v>3517</v>
      </c>
      <c r="I3532" s="107">
        <v>0.66783876362471106</v>
      </c>
      <c r="J3532" s="108">
        <v>1.4961119613033709E-3</v>
      </c>
      <c r="K3532" s="108"/>
      <c r="L3532" s="108">
        <v>4.5600000000000002E-2</v>
      </c>
      <c r="O3532" s="105"/>
    </row>
    <row r="3533" spans="2:15" x14ac:dyDescent="0.2">
      <c r="B3533" s="1">
        <v>3518</v>
      </c>
      <c r="C3533" s="106">
        <f ca="1"/>
        <v>0.31409466816155579</v>
      </c>
      <c r="D3533" s="106">
        <f t="shared" ca="1" si="201"/>
        <v>0.68541250258014319</v>
      </c>
      <c r="E3533" s="106">
        <f t="shared" ca="1" si="202"/>
        <v>0</v>
      </c>
      <c r="F3533" s="21">
        <f t="shared" ca="1" si="203"/>
        <v>0</v>
      </c>
      <c r="H3533" s="21">
        <v>3518</v>
      </c>
      <c r="I3533" s="107">
        <v>0.66787249815345739</v>
      </c>
      <c r="J3533" s="108">
        <v>1.494195513885959E-3</v>
      </c>
      <c r="K3533" s="108"/>
      <c r="L3533" s="108">
        <v>4.2599999999999999E-2</v>
      </c>
      <c r="O3533" s="105"/>
    </row>
    <row r="3534" spans="2:15" x14ac:dyDescent="0.2">
      <c r="B3534" s="1">
        <v>3519</v>
      </c>
      <c r="C3534" s="106">
        <f ca="1"/>
        <v>-0.12687846907946282</v>
      </c>
      <c r="D3534" s="106">
        <f t="shared" ca="1" si="201"/>
        <v>0.65623744065905965</v>
      </c>
      <c r="E3534" s="106">
        <f t="shared" ca="1" si="202"/>
        <v>0</v>
      </c>
      <c r="F3534" s="21">
        <f t="shared" ca="1" si="203"/>
        <v>0</v>
      </c>
      <c r="H3534" s="21">
        <v>3519</v>
      </c>
      <c r="I3534" s="107">
        <v>0.66757416445330287</v>
      </c>
      <c r="J3534" s="108">
        <v>1.2367391735083439E-3</v>
      </c>
      <c r="K3534" s="108"/>
      <c r="L3534" s="108">
        <v>3.8600000000000002E-2</v>
      </c>
      <c r="O3534" s="105"/>
    </row>
    <row r="3535" spans="2:15" x14ac:dyDescent="0.2">
      <c r="B3535" s="1">
        <v>3520</v>
      </c>
      <c r="C3535" s="106">
        <f ca="1"/>
        <v>-0.57819081580447151</v>
      </c>
      <c r="D3535" s="106">
        <f t="shared" ca="1" si="201"/>
        <v>0.627663771544963</v>
      </c>
      <c r="E3535" s="106">
        <f t="shared" ca="1" si="202"/>
        <v>0</v>
      </c>
      <c r="F3535" s="21">
        <f t="shared" ca="1" si="203"/>
        <v>0</v>
      </c>
      <c r="H3535" s="21">
        <v>3520</v>
      </c>
      <c r="I3535" s="107">
        <v>0.66781215139665051</v>
      </c>
      <c r="J3535" s="108">
        <v>1.3881597037059198E-3</v>
      </c>
      <c r="K3535" s="108"/>
      <c r="L3535" s="108">
        <v>4.2799999999999998E-2</v>
      </c>
      <c r="O3535" s="105"/>
    </row>
    <row r="3536" spans="2:15" x14ac:dyDescent="0.2">
      <c r="B3536" s="1">
        <v>3521</v>
      </c>
      <c r="C3536" s="106">
        <f ca="1"/>
        <v>-1.3483266713417594</v>
      </c>
      <c r="D3536" s="106">
        <f t="shared" ref="D3536:D3599" ca="1" si="204">S0*EXP((μ-0.5*σ*σ)*T+σ*SQRT(T)*$C3536)</f>
        <v>0.58174802407263293</v>
      </c>
      <c r="E3536" s="106">
        <f t="shared" ref="E3536:E3599" ca="1" si="205">MAX(0,CP*(D3536-K))</f>
        <v>0</v>
      </c>
      <c r="F3536" s="21">
        <f t="shared" ref="F3536:F3599" ca="1" si="206">(CP*(D3536-K)&gt;0)*1</f>
        <v>0</v>
      </c>
      <c r="H3536" s="21">
        <v>3521</v>
      </c>
      <c r="I3536" s="107">
        <v>0.66782235093188902</v>
      </c>
      <c r="J3536" s="108">
        <v>1.3680455424365625E-3</v>
      </c>
      <c r="K3536" s="108"/>
      <c r="L3536" s="108">
        <v>4.1599999999999998E-2</v>
      </c>
      <c r="O3536" s="105"/>
    </row>
    <row r="3537" spans="2:15" x14ac:dyDescent="0.2">
      <c r="B3537" s="1">
        <v>3522</v>
      </c>
      <c r="C3537" s="106">
        <f ca="1"/>
        <v>2.4719794163558308</v>
      </c>
      <c r="D3537" s="106">
        <f t="shared" ca="1" si="204"/>
        <v>0.84799730945697316</v>
      </c>
      <c r="E3537" s="106">
        <f t="shared" ca="1" si="205"/>
        <v>5.9797309456973147E-2</v>
      </c>
      <c r="F3537" s="21">
        <f t="shared" ca="1" si="206"/>
        <v>1</v>
      </c>
      <c r="H3537" s="21">
        <v>3522</v>
      </c>
      <c r="I3537" s="107">
        <v>0.66771231455405955</v>
      </c>
      <c r="J3537" s="108">
        <v>1.3336754450306231E-3</v>
      </c>
      <c r="K3537" s="108"/>
      <c r="L3537" s="108">
        <v>4.1599999999999998E-2</v>
      </c>
      <c r="O3537" s="105"/>
    </row>
    <row r="3538" spans="2:15" x14ac:dyDescent="0.2">
      <c r="B3538" s="1">
        <v>3523</v>
      </c>
      <c r="C3538" s="106">
        <f ca="1"/>
        <v>3.2196678657620721E-2</v>
      </c>
      <c r="D3538" s="106">
        <f t="shared" ca="1" si="204"/>
        <v>0.66661592744737053</v>
      </c>
      <c r="E3538" s="106">
        <f t="shared" ca="1" si="205"/>
        <v>0</v>
      </c>
      <c r="F3538" s="21">
        <f t="shared" ca="1" si="206"/>
        <v>0</v>
      </c>
      <c r="H3538" s="21">
        <v>3523</v>
      </c>
      <c r="I3538" s="107">
        <v>0.66760922751938356</v>
      </c>
      <c r="J3538" s="108">
        <v>1.1645085533512961E-3</v>
      </c>
      <c r="K3538" s="108"/>
      <c r="L3538" s="108">
        <v>3.8800000000000001E-2</v>
      </c>
      <c r="O3538" s="105"/>
    </row>
    <row r="3539" spans="2:15" x14ac:dyDescent="0.2">
      <c r="B3539" s="1">
        <v>3524</v>
      </c>
      <c r="C3539" s="106">
        <f ca="1"/>
        <v>1.0099225708050414</v>
      </c>
      <c r="D3539" s="106">
        <f t="shared" ca="1" si="204"/>
        <v>0.73410952740928215</v>
      </c>
      <c r="E3539" s="106">
        <f t="shared" ca="1" si="205"/>
        <v>0</v>
      </c>
      <c r="F3539" s="21">
        <f t="shared" ca="1" si="206"/>
        <v>0</v>
      </c>
      <c r="H3539" s="21">
        <v>3524</v>
      </c>
      <c r="I3539" s="107">
        <v>0.66767655491212763</v>
      </c>
      <c r="J3539" s="108">
        <v>1.1506770954850978E-3</v>
      </c>
      <c r="K3539" s="108"/>
      <c r="L3539" s="108">
        <v>4.2799999999999998E-2</v>
      </c>
      <c r="O3539" s="105"/>
    </row>
    <row r="3540" spans="2:15" x14ac:dyDescent="0.2">
      <c r="B3540" s="1">
        <v>3525</v>
      </c>
      <c r="C3540" s="106">
        <f ca="1"/>
        <v>0.70719628333406903</v>
      </c>
      <c r="D3540" s="106">
        <f t="shared" ca="1" si="204"/>
        <v>0.71251211467120779</v>
      </c>
      <c r="E3540" s="106">
        <f t="shared" ca="1" si="205"/>
        <v>0</v>
      </c>
      <c r="F3540" s="21">
        <f t="shared" ca="1" si="206"/>
        <v>0</v>
      </c>
      <c r="H3540" s="21">
        <v>3525</v>
      </c>
      <c r="I3540" s="107">
        <v>0.66772142495759046</v>
      </c>
      <c r="J3540" s="108">
        <v>1.3749595600141241E-3</v>
      </c>
      <c r="K3540" s="108"/>
      <c r="L3540" s="108">
        <v>4.1200000000000001E-2</v>
      </c>
      <c r="O3540" s="105"/>
    </row>
    <row r="3541" spans="2:15" x14ac:dyDescent="0.2">
      <c r="B3541" s="1">
        <v>3526</v>
      </c>
      <c r="C3541" s="106">
        <f ca="1"/>
        <v>0.58587499049012581</v>
      </c>
      <c r="D3541" s="106">
        <f t="shared" ca="1" si="204"/>
        <v>0.7040360919904104</v>
      </c>
      <c r="E3541" s="106">
        <f t="shared" ca="1" si="205"/>
        <v>0</v>
      </c>
      <c r="F3541" s="21">
        <f t="shared" ca="1" si="206"/>
        <v>0</v>
      </c>
      <c r="H3541" s="21">
        <v>3526</v>
      </c>
      <c r="I3541" s="107">
        <v>0.66771080750882938</v>
      </c>
      <c r="J3541" s="108">
        <v>1.4008328348191644E-3</v>
      </c>
      <c r="K3541" s="108"/>
      <c r="L3541" s="108">
        <v>4.3200000000000002E-2</v>
      </c>
      <c r="O3541" s="105"/>
    </row>
    <row r="3542" spans="2:15" x14ac:dyDescent="0.2">
      <c r="B3542" s="1">
        <v>3527</v>
      </c>
      <c r="C3542" s="106">
        <f ca="1"/>
        <v>1.0252140701598469</v>
      </c>
      <c r="D3542" s="106">
        <f t="shared" ca="1" si="204"/>
        <v>0.73521767450412923</v>
      </c>
      <c r="E3542" s="106">
        <f t="shared" ca="1" si="205"/>
        <v>0</v>
      </c>
      <c r="F3542" s="21">
        <f t="shared" ca="1" si="206"/>
        <v>0</v>
      </c>
      <c r="H3542" s="21">
        <v>3527</v>
      </c>
      <c r="I3542" s="107">
        <v>0.66776288114255866</v>
      </c>
      <c r="J3542" s="108">
        <v>1.4853408135944597E-3</v>
      </c>
      <c r="K3542" s="108"/>
      <c r="L3542" s="108">
        <v>4.6199999999999998E-2</v>
      </c>
      <c r="O3542" s="105"/>
    </row>
    <row r="3543" spans="2:15" x14ac:dyDescent="0.2">
      <c r="B3543" s="1">
        <v>3528</v>
      </c>
      <c r="C3543" s="106">
        <f ca="1"/>
        <v>0.63273901684050049</v>
      </c>
      <c r="D3543" s="106">
        <f t="shared" ca="1" si="204"/>
        <v>0.70729819463586352</v>
      </c>
      <c r="E3543" s="106">
        <f t="shared" ca="1" si="205"/>
        <v>0</v>
      </c>
      <c r="F3543" s="21">
        <f t="shared" ca="1" si="206"/>
        <v>0</v>
      </c>
      <c r="H3543" s="21">
        <v>3528</v>
      </c>
      <c r="I3543" s="107">
        <v>0.66775438203925597</v>
      </c>
      <c r="J3543" s="108">
        <v>1.4763922399036703E-3</v>
      </c>
      <c r="K3543" s="108"/>
      <c r="L3543" s="108">
        <v>4.3999999999999997E-2</v>
      </c>
      <c r="O3543" s="105"/>
    </row>
    <row r="3544" spans="2:15" x14ac:dyDescent="0.2">
      <c r="B3544" s="1">
        <v>3529</v>
      </c>
      <c r="C3544" s="106">
        <f ca="1"/>
        <v>-0.97343575813180971</v>
      </c>
      <c r="D3544" s="106">
        <f t="shared" ca="1" si="204"/>
        <v>0.60366363212338048</v>
      </c>
      <c r="E3544" s="106">
        <f t="shared" ca="1" si="205"/>
        <v>0</v>
      </c>
      <c r="F3544" s="21">
        <f t="shared" ca="1" si="206"/>
        <v>0</v>
      </c>
      <c r="H3544" s="21">
        <v>3529</v>
      </c>
      <c r="I3544" s="107">
        <v>0.66772493300604319</v>
      </c>
      <c r="J3544" s="108">
        <v>1.2341277174870294E-3</v>
      </c>
      <c r="K3544" s="108"/>
      <c r="L3544" s="108">
        <v>4.1599999999999998E-2</v>
      </c>
      <c r="O3544" s="105"/>
    </row>
    <row r="3545" spans="2:15" x14ac:dyDescent="0.2">
      <c r="B3545" s="1">
        <v>3530</v>
      </c>
      <c r="C3545" s="106">
        <f ca="1"/>
        <v>-1.3058049791282929</v>
      </c>
      <c r="D3545" s="106">
        <f t="shared" ca="1" si="204"/>
        <v>0.58419323020902247</v>
      </c>
      <c r="E3545" s="106">
        <f t="shared" ca="1" si="205"/>
        <v>0</v>
      </c>
      <c r="F3545" s="21">
        <f t="shared" ca="1" si="206"/>
        <v>0</v>
      </c>
      <c r="H3545" s="21">
        <v>3530</v>
      </c>
      <c r="I3545" s="107">
        <v>0.667762063773926</v>
      </c>
      <c r="J3545" s="108">
        <v>1.5040980251406523E-3</v>
      </c>
      <c r="K3545" s="108"/>
      <c r="L3545" s="108">
        <v>3.9399999999999998E-2</v>
      </c>
      <c r="O3545" s="105"/>
    </row>
    <row r="3546" spans="2:15" x14ac:dyDescent="0.2">
      <c r="B3546" s="1">
        <v>3531</v>
      </c>
      <c r="C3546" s="106">
        <f ca="1"/>
        <v>0.66172109203084517</v>
      </c>
      <c r="D3546" s="106">
        <f t="shared" ca="1" si="204"/>
        <v>0.70932313325896335</v>
      </c>
      <c r="E3546" s="106">
        <f t="shared" ca="1" si="205"/>
        <v>0</v>
      </c>
      <c r="F3546" s="21">
        <f t="shared" ca="1" si="206"/>
        <v>0</v>
      </c>
      <c r="H3546" s="21">
        <v>3531</v>
      </c>
      <c r="I3546" s="107">
        <v>0.66759279931031268</v>
      </c>
      <c r="J3546" s="108">
        <v>1.228567194433436E-3</v>
      </c>
      <c r="K3546" s="108"/>
      <c r="L3546" s="108">
        <v>3.9199999999999999E-2</v>
      </c>
      <c r="O3546" s="105"/>
    </row>
    <row r="3547" spans="2:15" x14ac:dyDescent="0.2">
      <c r="B3547" s="1">
        <v>3532</v>
      </c>
      <c r="C3547" s="106">
        <f ca="1"/>
        <v>-2.5229394394227218</v>
      </c>
      <c r="D3547" s="106">
        <f t="shared" ca="1" si="204"/>
        <v>0.51810195382471802</v>
      </c>
      <c r="E3547" s="106">
        <f t="shared" ca="1" si="205"/>
        <v>0</v>
      </c>
      <c r="F3547" s="21">
        <f t="shared" ca="1" si="206"/>
        <v>0</v>
      </c>
      <c r="H3547" s="21">
        <v>3532</v>
      </c>
      <c r="I3547" s="107">
        <v>0.66781406775724494</v>
      </c>
      <c r="J3547" s="108">
        <v>1.6785177865617869E-3</v>
      </c>
      <c r="K3547" s="108"/>
      <c r="L3547" s="108">
        <v>4.48E-2</v>
      </c>
      <c r="O3547" s="105"/>
    </row>
    <row r="3548" spans="2:15" x14ac:dyDescent="0.2">
      <c r="B3548" s="1">
        <v>3533</v>
      </c>
      <c r="C3548" s="106">
        <f ca="1"/>
        <v>-0.41784662433939512</v>
      </c>
      <c r="D3548" s="106">
        <f t="shared" ca="1" si="204"/>
        <v>0.63767018042158308</v>
      </c>
      <c r="E3548" s="106">
        <f t="shared" ca="1" si="205"/>
        <v>0</v>
      </c>
      <c r="F3548" s="21">
        <f t="shared" ca="1" si="206"/>
        <v>0</v>
      </c>
      <c r="H3548" s="21">
        <v>3533</v>
      </c>
      <c r="I3548" s="107">
        <v>0.66781186770015977</v>
      </c>
      <c r="J3548" s="108">
        <v>1.4437855681061237E-3</v>
      </c>
      <c r="K3548" s="108"/>
      <c r="L3548" s="108">
        <v>4.0599999999999997E-2</v>
      </c>
      <c r="O3548" s="105"/>
    </row>
    <row r="3549" spans="2:15" x14ac:dyDescent="0.2">
      <c r="B3549" s="1">
        <v>3534</v>
      </c>
      <c r="C3549" s="106">
        <f ca="1"/>
        <v>0.18237389276392027</v>
      </c>
      <c r="D3549" s="106">
        <f t="shared" ca="1" si="204"/>
        <v>0.6765644674581246</v>
      </c>
      <c r="E3549" s="106">
        <f t="shared" ca="1" si="205"/>
        <v>0</v>
      </c>
      <c r="F3549" s="21">
        <f t="shared" ca="1" si="206"/>
        <v>0</v>
      </c>
      <c r="H3549" s="21">
        <v>3534</v>
      </c>
      <c r="I3549" s="107">
        <v>0.66770047305452307</v>
      </c>
      <c r="J3549" s="108">
        <v>1.3270960189365206E-3</v>
      </c>
      <c r="K3549" s="108"/>
      <c r="L3549" s="108">
        <v>4.1599999999999998E-2</v>
      </c>
      <c r="O3549" s="105"/>
    </row>
    <row r="3550" spans="2:15" x14ac:dyDescent="0.2">
      <c r="B3550" s="1">
        <v>3535</v>
      </c>
      <c r="C3550" s="106">
        <f ca="1"/>
        <v>-0.53957003758341759</v>
      </c>
      <c r="D3550" s="106">
        <f t="shared" ca="1" si="204"/>
        <v>0.63005948289965785</v>
      </c>
      <c r="E3550" s="106">
        <f t="shared" ca="1" si="205"/>
        <v>0</v>
      </c>
      <c r="F3550" s="21">
        <f t="shared" ca="1" si="206"/>
        <v>0</v>
      </c>
      <c r="H3550" s="21">
        <v>3535</v>
      </c>
      <c r="I3550" s="107">
        <v>0.66781798954900673</v>
      </c>
      <c r="J3550" s="108">
        <v>1.4801273509481602E-3</v>
      </c>
      <c r="K3550" s="108"/>
      <c r="L3550" s="108">
        <v>4.0399999999999998E-2</v>
      </c>
      <c r="O3550" s="105"/>
    </row>
    <row r="3551" spans="2:15" x14ac:dyDescent="0.2">
      <c r="B3551" s="1">
        <v>3536</v>
      </c>
      <c r="C3551" s="106">
        <f ca="1"/>
        <v>0.22543357220688165</v>
      </c>
      <c r="D3551" s="106">
        <f t="shared" ca="1" si="204"/>
        <v>0.67944426217004117</v>
      </c>
      <c r="E3551" s="106">
        <f t="shared" ca="1" si="205"/>
        <v>0</v>
      </c>
      <c r="F3551" s="21">
        <f t="shared" ca="1" si="206"/>
        <v>0</v>
      </c>
      <c r="H3551" s="21">
        <v>3536</v>
      </c>
      <c r="I3551" s="107">
        <v>0.66769956970920485</v>
      </c>
      <c r="J3551" s="108">
        <v>1.3075072541432055E-3</v>
      </c>
      <c r="K3551" s="108"/>
      <c r="L3551" s="108">
        <v>4.0599999999999997E-2</v>
      </c>
      <c r="O3551" s="105"/>
    </row>
    <row r="3552" spans="2:15" x14ac:dyDescent="0.2">
      <c r="B3552" s="1">
        <v>3537</v>
      </c>
      <c r="C3552" s="106">
        <f ca="1"/>
        <v>0.10328900045445208</v>
      </c>
      <c r="D3552" s="106">
        <f t="shared" ca="1" si="204"/>
        <v>0.67130709505937891</v>
      </c>
      <c r="E3552" s="106">
        <f t="shared" ca="1" si="205"/>
        <v>0</v>
      </c>
      <c r="F3552" s="21">
        <f t="shared" ca="1" si="206"/>
        <v>0</v>
      </c>
      <c r="H3552" s="21">
        <v>3537</v>
      </c>
      <c r="I3552" s="107">
        <v>0.66766507588095225</v>
      </c>
      <c r="J3552" s="108">
        <v>1.385806567972067E-3</v>
      </c>
      <c r="K3552" s="108"/>
      <c r="L3552" s="108">
        <v>4.1599999999999998E-2</v>
      </c>
      <c r="O3552" s="105"/>
    </row>
    <row r="3553" spans="2:15" x14ac:dyDescent="0.2">
      <c r="B3553" s="1">
        <v>3538</v>
      </c>
      <c r="C3553" s="106">
        <f ca="1"/>
        <v>-5.0813401558460113E-2</v>
      </c>
      <c r="D3553" s="106">
        <f t="shared" ca="1" si="204"/>
        <v>0.66117981310336316</v>
      </c>
      <c r="E3553" s="106">
        <f t="shared" ca="1" si="205"/>
        <v>0</v>
      </c>
      <c r="F3553" s="21">
        <f t="shared" ca="1" si="206"/>
        <v>0</v>
      </c>
      <c r="H3553" s="21">
        <v>3538</v>
      </c>
      <c r="I3553" s="107">
        <v>0.66783519304753358</v>
      </c>
      <c r="J3553" s="108">
        <v>1.4858758742323697E-3</v>
      </c>
      <c r="K3553" s="108"/>
      <c r="L3553" s="108">
        <v>4.2999999999999997E-2</v>
      </c>
      <c r="O3553" s="105"/>
    </row>
    <row r="3554" spans="2:15" x14ac:dyDescent="0.2">
      <c r="B3554" s="1">
        <v>3539</v>
      </c>
      <c r="C3554" s="106">
        <f ca="1"/>
        <v>0.19688063977899697</v>
      </c>
      <c r="D3554" s="106">
        <f t="shared" ca="1" si="204"/>
        <v>0.67753330038522253</v>
      </c>
      <c r="E3554" s="106">
        <f t="shared" ca="1" si="205"/>
        <v>0</v>
      </c>
      <c r="F3554" s="21">
        <f t="shared" ca="1" si="206"/>
        <v>0</v>
      </c>
      <c r="H3554" s="21">
        <v>3539</v>
      </c>
      <c r="I3554" s="107">
        <v>0.66775559561348485</v>
      </c>
      <c r="J3554" s="108">
        <v>1.3435374447101716E-3</v>
      </c>
      <c r="K3554" s="108"/>
      <c r="L3554" s="108">
        <v>3.8800000000000001E-2</v>
      </c>
      <c r="O3554" s="105"/>
    </row>
    <row r="3555" spans="2:15" x14ac:dyDescent="0.2">
      <c r="B3555" s="1">
        <v>3540</v>
      </c>
      <c r="C3555" s="106">
        <f ca="1"/>
        <v>-1.2618964952823886</v>
      </c>
      <c r="D3555" s="106">
        <f t="shared" ca="1" si="204"/>
        <v>0.58672897012739111</v>
      </c>
      <c r="E3555" s="106">
        <f t="shared" ca="1" si="205"/>
        <v>0</v>
      </c>
      <c r="F3555" s="21">
        <f t="shared" ca="1" si="206"/>
        <v>0</v>
      </c>
      <c r="H3555" s="21">
        <v>3540</v>
      </c>
      <c r="I3555" s="107">
        <v>0.66773182497516648</v>
      </c>
      <c r="J3555" s="108">
        <v>1.3643263627547936E-3</v>
      </c>
      <c r="K3555" s="108"/>
      <c r="L3555" s="108">
        <v>4.1399999999999999E-2</v>
      </c>
      <c r="O3555" s="105"/>
    </row>
    <row r="3556" spans="2:15" x14ac:dyDescent="0.2">
      <c r="B3556" s="1">
        <v>3541</v>
      </c>
      <c r="C3556" s="106">
        <f ca="1"/>
        <v>-0.26154482992961842</v>
      </c>
      <c r="D3556" s="106">
        <f t="shared" ca="1" si="204"/>
        <v>0.64757784307241406</v>
      </c>
      <c r="E3556" s="106">
        <f t="shared" ca="1" si="205"/>
        <v>0</v>
      </c>
      <c r="F3556" s="21">
        <f t="shared" ca="1" si="206"/>
        <v>0</v>
      </c>
      <c r="H3556" s="21">
        <v>3541</v>
      </c>
      <c r="I3556" s="107">
        <v>0.66776681293253637</v>
      </c>
      <c r="J3556" s="108">
        <v>1.4623403531464378E-3</v>
      </c>
      <c r="K3556" s="108"/>
      <c r="L3556" s="108">
        <v>4.2599999999999999E-2</v>
      </c>
      <c r="O3556" s="105"/>
    </row>
    <row r="3557" spans="2:15" x14ac:dyDescent="0.2">
      <c r="B3557" s="1">
        <v>3542</v>
      </c>
      <c r="C3557" s="106">
        <f ca="1"/>
        <v>-9.4129841354903293E-2</v>
      </c>
      <c r="D3557" s="106">
        <f t="shared" ca="1" si="204"/>
        <v>0.6583607568242752</v>
      </c>
      <c r="E3557" s="106">
        <f t="shared" ca="1" si="205"/>
        <v>0</v>
      </c>
      <c r="F3557" s="21">
        <f t="shared" ca="1" si="206"/>
        <v>0</v>
      </c>
      <c r="H3557" s="21">
        <v>3542</v>
      </c>
      <c r="I3557" s="107">
        <v>0.66771666779713224</v>
      </c>
      <c r="J3557" s="108">
        <v>1.2425451570860931E-3</v>
      </c>
      <c r="K3557" s="108"/>
      <c r="L3557" s="108">
        <v>3.8399999999999997E-2</v>
      </c>
      <c r="O3557" s="105"/>
    </row>
    <row r="3558" spans="2:15" x14ac:dyDescent="0.2">
      <c r="B3558" s="1">
        <v>3543</v>
      </c>
      <c r="C3558" s="106">
        <f ca="1"/>
        <v>-1.7032283532297685</v>
      </c>
      <c r="D3558" s="106">
        <f t="shared" ca="1" si="204"/>
        <v>0.56173456454101289</v>
      </c>
      <c r="E3558" s="106">
        <f t="shared" ca="1" si="205"/>
        <v>0</v>
      </c>
      <c r="F3558" s="21">
        <f t="shared" ca="1" si="206"/>
        <v>0</v>
      </c>
      <c r="H3558" s="21">
        <v>3543</v>
      </c>
      <c r="I3558" s="107">
        <v>0.6677339929945173</v>
      </c>
      <c r="J3558" s="108">
        <v>1.2384420046334264E-3</v>
      </c>
      <c r="K3558" s="108"/>
      <c r="L3558" s="108">
        <v>4.0399999999999998E-2</v>
      </c>
      <c r="O3558" s="105"/>
    </row>
    <row r="3559" spans="2:15" x14ac:dyDescent="0.2">
      <c r="B3559" s="1">
        <v>3544</v>
      </c>
      <c r="C3559" s="106">
        <f ca="1"/>
        <v>0.38102503811986466</v>
      </c>
      <c r="D3559" s="106">
        <f t="shared" ca="1" si="204"/>
        <v>0.68995263547138819</v>
      </c>
      <c r="E3559" s="106">
        <f t="shared" ca="1" si="205"/>
        <v>0</v>
      </c>
      <c r="F3559" s="21">
        <f t="shared" ca="1" si="206"/>
        <v>0</v>
      </c>
      <c r="H3559" s="21">
        <v>3544</v>
      </c>
      <c r="I3559" s="107">
        <v>0.66767947362435243</v>
      </c>
      <c r="J3559" s="108">
        <v>1.2693678910149012E-3</v>
      </c>
      <c r="K3559" s="108"/>
      <c r="L3559" s="108">
        <v>4.2799999999999998E-2</v>
      </c>
      <c r="O3559" s="105"/>
    </row>
    <row r="3560" spans="2:15" x14ac:dyDescent="0.2">
      <c r="B3560" s="1">
        <v>3545</v>
      </c>
      <c r="C3560" s="106">
        <f ca="1"/>
        <v>-0.91647666976093278</v>
      </c>
      <c r="D3560" s="106">
        <f t="shared" ca="1" si="204"/>
        <v>0.607064874334726</v>
      </c>
      <c r="E3560" s="106">
        <f t="shared" ca="1" si="205"/>
        <v>0</v>
      </c>
      <c r="F3560" s="21">
        <f t="shared" ca="1" si="206"/>
        <v>0</v>
      </c>
      <c r="H3560" s="21">
        <v>3545</v>
      </c>
      <c r="I3560" s="107">
        <v>0.66762164933885193</v>
      </c>
      <c r="J3560" s="108">
        <v>1.2445106649298652E-3</v>
      </c>
      <c r="K3560" s="108"/>
      <c r="L3560" s="108">
        <v>3.9600000000000003E-2</v>
      </c>
      <c r="O3560" s="105"/>
    </row>
    <row r="3561" spans="2:15" x14ac:dyDescent="0.2">
      <c r="B3561" s="1">
        <v>3546</v>
      </c>
      <c r="C3561" s="106">
        <f ca="1"/>
        <v>-2.1502307674636336</v>
      </c>
      <c r="D3561" s="106">
        <f t="shared" ca="1" si="204"/>
        <v>0.53750417234532277</v>
      </c>
      <c r="E3561" s="106">
        <f t="shared" ca="1" si="205"/>
        <v>0</v>
      </c>
      <c r="F3561" s="21">
        <f t="shared" ca="1" si="206"/>
        <v>0</v>
      </c>
      <c r="H3561" s="21">
        <v>3546</v>
      </c>
      <c r="I3561" s="107">
        <v>0.66771480129352145</v>
      </c>
      <c r="J3561" s="108">
        <v>1.2281336099913009E-3</v>
      </c>
      <c r="K3561" s="108"/>
      <c r="L3561" s="108">
        <v>4.2999999999999997E-2</v>
      </c>
      <c r="O3561" s="105"/>
    </row>
    <row r="3562" spans="2:15" x14ac:dyDescent="0.2">
      <c r="B3562" s="1">
        <v>3547</v>
      </c>
      <c r="C3562" s="106">
        <f ca="1"/>
        <v>-0.41801353495115851</v>
      </c>
      <c r="D3562" s="106">
        <f t="shared" ca="1" si="204"/>
        <v>0.63765968172504295</v>
      </c>
      <c r="E3562" s="106">
        <f t="shared" ca="1" si="205"/>
        <v>0</v>
      </c>
      <c r="F3562" s="21">
        <f t="shared" ca="1" si="206"/>
        <v>0</v>
      </c>
      <c r="H3562" s="21">
        <v>3547</v>
      </c>
      <c r="I3562" s="107">
        <v>0.66782308883876507</v>
      </c>
      <c r="J3562" s="108">
        <v>1.5805576139227243E-3</v>
      </c>
      <c r="K3562" s="108"/>
      <c r="L3562" s="108">
        <v>4.4400000000000002E-2</v>
      </c>
      <c r="O3562" s="105"/>
    </row>
    <row r="3563" spans="2:15" x14ac:dyDescent="0.2">
      <c r="B3563" s="1">
        <v>3548</v>
      </c>
      <c r="C3563" s="106">
        <f ca="1"/>
        <v>0.42933267326552438</v>
      </c>
      <c r="D3563" s="106">
        <f t="shared" ca="1" si="204"/>
        <v>0.69324819455080555</v>
      </c>
      <c r="E3563" s="106">
        <f t="shared" ca="1" si="205"/>
        <v>0</v>
      </c>
      <c r="F3563" s="21">
        <f t="shared" ca="1" si="206"/>
        <v>0</v>
      </c>
      <c r="H3563" s="21">
        <v>3548</v>
      </c>
      <c r="I3563" s="107">
        <v>0.66759622006193131</v>
      </c>
      <c r="J3563" s="108">
        <v>1.2835287222620105E-3</v>
      </c>
      <c r="K3563" s="108"/>
      <c r="L3563" s="108">
        <v>3.8399999999999997E-2</v>
      </c>
      <c r="O3563" s="105"/>
    </row>
    <row r="3564" spans="2:15" x14ac:dyDescent="0.2">
      <c r="B3564" s="1">
        <v>3549</v>
      </c>
      <c r="C3564" s="106">
        <f ca="1"/>
        <v>1.1804259582208496</v>
      </c>
      <c r="D3564" s="106">
        <f t="shared" ca="1" si="204"/>
        <v>0.74656069335690955</v>
      </c>
      <c r="E3564" s="106">
        <f t="shared" ca="1" si="205"/>
        <v>0</v>
      </c>
      <c r="F3564" s="21">
        <f t="shared" ca="1" si="206"/>
        <v>0</v>
      </c>
      <c r="H3564" s="21">
        <v>3549</v>
      </c>
      <c r="I3564" s="107">
        <v>0.6676510085179066</v>
      </c>
      <c r="J3564" s="108">
        <v>1.178071811987075E-3</v>
      </c>
      <c r="K3564" s="108"/>
      <c r="L3564" s="108">
        <v>4.1399999999999999E-2</v>
      </c>
      <c r="O3564" s="105"/>
    </row>
    <row r="3565" spans="2:15" x14ac:dyDescent="0.2">
      <c r="B3565" s="1">
        <v>3550</v>
      </c>
      <c r="C3565" s="106">
        <f ca="1"/>
        <v>-1.5303993683455126</v>
      </c>
      <c r="D3565" s="106">
        <f t="shared" ca="1" si="204"/>
        <v>0.57139315674800983</v>
      </c>
      <c r="E3565" s="106">
        <f t="shared" ca="1" si="205"/>
        <v>0</v>
      </c>
      <c r="F3565" s="21">
        <f t="shared" ca="1" si="206"/>
        <v>0</v>
      </c>
      <c r="H3565" s="21">
        <v>3550</v>
      </c>
      <c r="I3565" s="107">
        <v>0.66777157099097317</v>
      </c>
      <c r="J3565" s="108">
        <v>1.4472445021469287E-3</v>
      </c>
      <c r="K3565" s="108"/>
      <c r="L3565" s="108">
        <v>4.3400000000000001E-2</v>
      </c>
      <c r="O3565" s="105"/>
    </row>
    <row r="3566" spans="2:15" x14ac:dyDescent="0.2">
      <c r="B3566" s="1">
        <v>3551</v>
      </c>
      <c r="C3566" s="106">
        <f ca="1"/>
        <v>0.39270865870472527</v>
      </c>
      <c r="D3566" s="106">
        <f t="shared" ca="1" si="204"/>
        <v>0.69074825586641664</v>
      </c>
      <c r="E3566" s="106">
        <f t="shared" ca="1" si="205"/>
        <v>0</v>
      </c>
      <c r="F3566" s="21">
        <f t="shared" ca="1" si="206"/>
        <v>0</v>
      </c>
      <c r="H3566" s="21">
        <v>3551</v>
      </c>
      <c r="I3566" s="107">
        <v>0.66792100818647815</v>
      </c>
      <c r="J3566" s="108">
        <v>1.5424707040553531E-3</v>
      </c>
      <c r="K3566" s="108"/>
      <c r="L3566" s="108">
        <v>4.6600000000000003E-2</v>
      </c>
      <c r="O3566" s="105"/>
    </row>
    <row r="3567" spans="2:15" x14ac:dyDescent="0.2">
      <c r="B3567" s="1">
        <v>3552</v>
      </c>
      <c r="C3567" s="106">
        <f ca="1"/>
        <v>-9.2045593211614152E-2</v>
      </c>
      <c r="D3567" s="106">
        <f t="shared" ca="1" si="204"/>
        <v>0.65849612510231392</v>
      </c>
      <c r="E3567" s="106">
        <f t="shared" ca="1" si="205"/>
        <v>0</v>
      </c>
      <c r="F3567" s="21">
        <f t="shared" ca="1" si="206"/>
        <v>0</v>
      </c>
      <c r="H3567" s="21">
        <v>3552</v>
      </c>
      <c r="I3567" s="107">
        <v>0.66787162460357208</v>
      </c>
      <c r="J3567" s="108">
        <v>1.4558070383039452E-3</v>
      </c>
      <c r="K3567" s="108"/>
      <c r="L3567" s="108">
        <v>4.48E-2</v>
      </c>
      <c r="O3567" s="105"/>
    </row>
    <row r="3568" spans="2:15" x14ac:dyDescent="0.2">
      <c r="B3568" s="1">
        <v>3553</v>
      </c>
      <c r="C3568" s="106">
        <f ca="1"/>
        <v>-0.1679105809481628</v>
      </c>
      <c r="D3568" s="106">
        <f t="shared" ca="1" si="204"/>
        <v>0.6535867125907604</v>
      </c>
      <c r="E3568" s="106">
        <f t="shared" ca="1" si="205"/>
        <v>0</v>
      </c>
      <c r="F3568" s="21">
        <f t="shared" ca="1" si="206"/>
        <v>0</v>
      </c>
      <c r="H3568" s="21">
        <v>3553</v>
      </c>
      <c r="I3568" s="107">
        <v>0.66770917137059738</v>
      </c>
      <c r="J3568" s="108">
        <v>1.2205004937628323E-3</v>
      </c>
      <c r="K3568" s="108"/>
      <c r="L3568" s="108">
        <v>3.9600000000000003E-2</v>
      </c>
      <c r="O3568" s="105"/>
    </row>
    <row r="3569" spans="2:15" x14ac:dyDescent="0.2">
      <c r="B3569" s="1">
        <v>3554</v>
      </c>
      <c r="C3569" s="106">
        <f ca="1"/>
        <v>-2.2675185737137871</v>
      </c>
      <c r="D3569" s="106">
        <f t="shared" ca="1" si="204"/>
        <v>0.53132139286017388</v>
      </c>
      <c r="E3569" s="106">
        <f t="shared" ca="1" si="205"/>
        <v>0</v>
      </c>
      <c r="F3569" s="21">
        <f t="shared" ca="1" si="206"/>
        <v>0</v>
      </c>
      <c r="H3569" s="21">
        <v>3554</v>
      </c>
      <c r="I3569" s="107">
        <v>0.66773428943830937</v>
      </c>
      <c r="J3569" s="108">
        <v>1.4027159907788022E-3</v>
      </c>
      <c r="K3569" s="108"/>
      <c r="L3569" s="108">
        <v>4.2200000000000001E-2</v>
      </c>
      <c r="O3569" s="105"/>
    </row>
    <row r="3570" spans="2:15" x14ac:dyDescent="0.2">
      <c r="B3570" s="1">
        <v>3555</v>
      </c>
      <c r="C3570" s="106">
        <f ca="1"/>
        <v>-0.37521137453815068</v>
      </c>
      <c r="D3570" s="106">
        <f t="shared" ca="1" si="204"/>
        <v>0.6403576117457459</v>
      </c>
      <c r="E3570" s="106">
        <f t="shared" ca="1" si="205"/>
        <v>0</v>
      </c>
      <c r="F3570" s="21">
        <f t="shared" ca="1" si="206"/>
        <v>0</v>
      </c>
      <c r="H3570" s="21">
        <v>3555</v>
      </c>
      <c r="I3570" s="107">
        <v>0.66781372314905607</v>
      </c>
      <c r="J3570" s="108">
        <v>1.5059658839002214E-3</v>
      </c>
      <c r="K3570" s="108"/>
      <c r="L3570" s="108">
        <v>4.4999999999999998E-2</v>
      </c>
      <c r="O3570" s="105"/>
    </row>
    <row r="3571" spans="2:15" x14ac:dyDescent="0.2">
      <c r="B3571" s="1">
        <v>3556</v>
      </c>
      <c r="C3571" s="106">
        <f ca="1"/>
        <v>-1.7052776857917828</v>
      </c>
      <c r="D3571" s="106">
        <f t="shared" ca="1" si="204"/>
        <v>0.56162102200408948</v>
      </c>
      <c r="E3571" s="106">
        <f t="shared" ca="1" si="205"/>
        <v>0</v>
      </c>
      <c r="F3571" s="21">
        <f t="shared" ca="1" si="206"/>
        <v>0</v>
      </c>
      <c r="H3571" s="21">
        <v>3556</v>
      </c>
      <c r="I3571" s="107">
        <v>0.66771116122417751</v>
      </c>
      <c r="J3571" s="108">
        <v>1.2957570530945132E-3</v>
      </c>
      <c r="K3571" s="108"/>
      <c r="L3571" s="108">
        <v>4.1200000000000001E-2</v>
      </c>
      <c r="O3571" s="105"/>
    </row>
    <row r="3572" spans="2:15" x14ac:dyDescent="0.2">
      <c r="B3572" s="1">
        <v>3557</v>
      </c>
      <c r="C3572" s="106">
        <f ca="1"/>
        <v>0.39806980232666656</v>
      </c>
      <c r="D3572" s="106">
        <f t="shared" ca="1" si="204"/>
        <v>0.69111364108867646</v>
      </c>
      <c r="E3572" s="106">
        <f t="shared" ca="1" si="205"/>
        <v>0</v>
      </c>
      <c r="F3572" s="21">
        <f t="shared" ca="1" si="206"/>
        <v>0</v>
      </c>
      <c r="H3572" s="21">
        <v>3557</v>
      </c>
      <c r="I3572" s="107">
        <v>0.66768147967303404</v>
      </c>
      <c r="J3572" s="108">
        <v>1.3300162674810211E-3</v>
      </c>
      <c r="K3572" s="108"/>
      <c r="L3572" s="108">
        <v>4.0599999999999997E-2</v>
      </c>
      <c r="O3572" s="105"/>
    </row>
    <row r="3573" spans="2:15" x14ac:dyDescent="0.2">
      <c r="B3573" s="1">
        <v>3558</v>
      </c>
      <c r="C3573" s="106">
        <f ca="1"/>
        <v>-1.0119595289124055</v>
      </c>
      <c r="D3573" s="106">
        <f t="shared" ca="1" si="204"/>
        <v>0.60137404171406084</v>
      </c>
      <c r="E3573" s="106">
        <f t="shared" ca="1" si="205"/>
        <v>0</v>
      </c>
      <c r="F3573" s="21">
        <f t="shared" ca="1" si="206"/>
        <v>0</v>
      </c>
      <c r="H3573" s="21">
        <v>3558</v>
      </c>
      <c r="I3573" s="107">
        <v>0.66765803079695984</v>
      </c>
      <c r="J3573" s="108">
        <v>1.1869314487887651E-3</v>
      </c>
      <c r="K3573" s="108"/>
      <c r="L3573" s="108">
        <v>3.9600000000000003E-2</v>
      </c>
      <c r="O3573" s="105"/>
    </row>
    <row r="3574" spans="2:15" x14ac:dyDescent="0.2">
      <c r="B3574" s="1">
        <v>3559</v>
      </c>
      <c r="C3574" s="106">
        <f ca="1"/>
        <v>0.64695132436007063</v>
      </c>
      <c r="D3574" s="106">
        <f t="shared" ca="1" si="204"/>
        <v>0.70829046610680257</v>
      </c>
      <c r="E3574" s="106">
        <f t="shared" ca="1" si="205"/>
        <v>0</v>
      </c>
      <c r="F3574" s="21">
        <f t="shared" ca="1" si="206"/>
        <v>0</v>
      </c>
      <c r="H3574" s="21">
        <v>3559</v>
      </c>
      <c r="I3574" s="107">
        <v>0.66784474615640832</v>
      </c>
      <c r="J3574" s="108">
        <v>1.6046477202625595E-3</v>
      </c>
      <c r="K3574" s="108"/>
      <c r="L3574" s="108">
        <v>4.7E-2</v>
      </c>
      <c r="O3574" s="105"/>
    </row>
    <row r="3575" spans="2:15" x14ac:dyDescent="0.2">
      <c r="B3575" s="1">
        <v>3560</v>
      </c>
      <c r="C3575" s="106">
        <f ca="1"/>
        <v>-5.3475771741097466E-2</v>
      </c>
      <c r="D3575" s="106">
        <f t="shared" ca="1" si="204"/>
        <v>0.66100619704150276</v>
      </c>
      <c r="E3575" s="106">
        <f t="shared" ca="1" si="205"/>
        <v>0</v>
      </c>
      <c r="F3575" s="21">
        <f t="shared" ca="1" si="206"/>
        <v>0</v>
      </c>
      <c r="H3575" s="21">
        <v>3560</v>
      </c>
      <c r="I3575" s="107">
        <v>0.66789912146609098</v>
      </c>
      <c r="J3575" s="108">
        <v>1.62746773715219E-3</v>
      </c>
      <c r="K3575" s="108"/>
      <c r="L3575" s="108">
        <v>4.48E-2</v>
      </c>
      <c r="O3575" s="105"/>
    </row>
    <row r="3576" spans="2:15" x14ac:dyDescent="0.2">
      <c r="B3576" s="1">
        <v>3561</v>
      </c>
      <c r="C3576" s="106">
        <f ca="1"/>
        <v>1.2769271869863903</v>
      </c>
      <c r="D3576" s="106">
        <f t="shared" ca="1" si="204"/>
        <v>0.75370114250635112</v>
      </c>
      <c r="E3576" s="106">
        <f t="shared" ca="1" si="205"/>
        <v>0</v>
      </c>
      <c r="F3576" s="21">
        <f t="shared" ca="1" si="206"/>
        <v>0</v>
      </c>
      <c r="H3576" s="21">
        <v>3561</v>
      </c>
      <c r="I3576" s="107">
        <v>0.66770807061105453</v>
      </c>
      <c r="J3576" s="108">
        <v>1.3677990780839569E-3</v>
      </c>
      <c r="K3576" s="108"/>
      <c r="L3576" s="108">
        <v>4.2599999999999999E-2</v>
      </c>
      <c r="O3576" s="105"/>
    </row>
    <row r="3577" spans="2:15" x14ac:dyDescent="0.2">
      <c r="B3577" s="1">
        <v>3562</v>
      </c>
      <c r="C3577" s="106">
        <f ca="1"/>
        <v>7.1038414198325739E-2</v>
      </c>
      <c r="D3577" s="106">
        <f t="shared" ca="1" si="204"/>
        <v>0.66917489899607863</v>
      </c>
      <c r="E3577" s="106">
        <f t="shared" ca="1" si="205"/>
        <v>0</v>
      </c>
      <c r="F3577" s="21">
        <f t="shared" ca="1" si="206"/>
        <v>0</v>
      </c>
      <c r="H3577" s="21">
        <v>3562</v>
      </c>
      <c r="I3577" s="107">
        <v>0.66782978835175066</v>
      </c>
      <c r="J3577" s="108">
        <v>1.4389082797481986E-3</v>
      </c>
      <c r="K3577" s="108"/>
      <c r="L3577" s="108">
        <v>4.1000000000000002E-2</v>
      </c>
      <c r="O3577" s="105"/>
    </row>
    <row r="3578" spans="2:15" x14ac:dyDescent="0.2">
      <c r="B3578" s="1">
        <v>3563</v>
      </c>
      <c r="C3578" s="106">
        <f ca="1"/>
        <v>-0.71582049180068918</v>
      </c>
      <c r="D3578" s="106">
        <f t="shared" ca="1" si="204"/>
        <v>0.61920020525442032</v>
      </c>
      <c r="E3578" s="106">
        <f t="shared" ca="1" si="205"/>
        <v>0</v>
      </c>
      <c r="F3578" s="21">
        <f t="shared" ca="1" si="206"/>
        <v>0</v>
      </c>
      <c r="H3578" s="21">
        <v>3563</v>
      </c>
      <c r="I3578" s="107">
        <v>0.66778477448773088</v>
      </c>
      <c r="J3578" s="108">
        <v>1.4179998751072107E-3</v>
      </c>
      <c r="K3578" s="108"/>
      <c r="L3578" s="108">
        <v>4.1000000000000002E-2</v>
      </c>
      <c r="O3578" s="105"/>
    </row>
    <row r="3579" spans="2:15" x14ac:dyDescent="0.2">
      <c r="B3579" s="1">
        <v>3564</v>
      </c>
      <c r="C3579" s="106">
        <f ca="1"/>
        <v>0.75890276178506044</v>
      </c>
      <c r="D3579" s="106">
        <f t="shared" ca="1" si="204"/>
        <v>0.71615549174915294</v>
      </c>
      <c r="E3579" s="106">
        <f t="shared" ca="1" si="205"/>
        <v>0</v>
      </c>
      <c r="F3579" s="21">
        <f t="shared" ca="1" si="206"/>
        <v>0</v>
      </c>
      <c r="H3579" s="21">
        <v>3564</v>
      </c>
      <c r="I3579" s="107">
        <v>0.66785358941251849</v>
      </c>
      <c r="J3579" s="108">
        <v>1.5042216591969854E-3</v>
      </c>
      <c r="K3579" s="108"/>
      <c r="L3579" s="108">
        <v>4.4200000000000003E-2</v>
      </c>
      <c r="O3579" s="105"/>
    </row>
    <row r="3580" spans="2:15" x14ac:dyDescent="0.2">
      <c r="B3580" s="1">
        <v>3565</v>
      </c>
      <c r="C3580" s="106">
        <f ca="1"/>
        <v>0.87693877204368187</v>
      </c>
      <c r="D3580" s="106">
        <f t="shared" ca="1" si="204"/>
        <v>0.724542585485066</v>
      </c>
      <c r="E3580" s="106">
        <f t="shared" ca="1" si="205"/>
        <v>0</v>
      </c>
      <c r="F3580" s="21">
        <f t="shared" ca="1" si="206"/>
        <v>0</v>
      </c>
      <c r="H3580" s="21">
        <v>3565</v>
      </c>
      <c r="I3580" s="107">
        <v>0.66767477956241295</v>
      </c>
      <c r="J3580" s="108">
        <v>1.2240557791881612E-3</v>
      </c>
      <c r="K3580" s="108"/>
      <c r="L3580" s="108">
        <v>3.9E-2</v>
      </c>
      <c r="O3580" s="105"/>
    </row>
    <row r="3581" spans="2:15" x14ac:dyDescent="0.2">
      <c r="B3581" s="1">
        <v>3566</v>
      </c>
      <c r="C3581" s="106">
        <f ca="1"/>
        <v>-1.2170620683130817</v>
      </c>
      <c r="D3581" s="106">
        <f t="shared" ca="1" si="204"/>
        <v>0.58932954133494109</v>
      </c>
      <c r="E3581" s="106">
        <f t="shared" ca="1" si="205"/>
        <v>0</v>
      </c>
      <c r="F3581" s="21">
        <f t="shared" ca="1" si="206"/>
        <v>0</v>
      </c>
      <c r="H3581" s="21">
        <v>3566</v>
      </c>
      <c r="I3581" s="107">
        <v>0.66766876156765331</v>
      </c>
      <c r="J3581" s="108">
        <v>1.3730248768580979E-3</v>
      </c>
      <c r="K3581" s="108"/>
      <c r="L3581" s="108">
        <v>4.02E-2</v>
      </c>
      <c r="O3581" s="105"/>
    </row>
    <row r="3582" spans="2:15" x14ac:dyDescent="0.2">
      <c r="B3582" s="1">
        <v>3567</v>
      </c>
      <c r="C3582" s="106">
        <f ca="1"/>
        <v>0.33859513530197588</v>
      </c>
      <c r="D3582" s="106">
        <f t="shared" ca="1" si="204"/>
        <v>0.68707098237871056</v>
      </c>
      <c r="E3582" s="106">
        <f t="shared" ca="1" si="205"/>
        <v>0</v>
      </c>
      <c r="F3582" s="21">
        <f t="shared" ca="1" si="206"/>
        <v>0</v>
      </c>
      <c r="H3582" s="21">
        <v>3567</v>
      </c>
      <c r="I3582" s="107">
        <v>0.66795908089432621</v>
      </c>
      <c r="J3582" s="108">
        <v>1.548053766832747E-3</v>
      </c>
      <c r="K3582" s="108"/>
      <c r="L3582" s="108">
        <v>4.58E-2</v>
      </c>
      <c r="O3582" s="105"/>
    </row>
    <row r="3583" spans="2:15" x14ac:dyDescent="0.2">
      <c r="B3583" s="1">
        <v>3568</v>
      </c>
      <c r="C3583" s="106">
        <f ca="1"/>
        <v>-0.54468046062780873</v>
      </c>
      <c r="D3583" s="106">
        <f t="shared" ca="1" si="204"/>
        <v>0.62974195064522343</v>
      </c>
      <c r="E3583" s="106">
        <f t="shared" ca="1" si="205"/>
        <v>0</v>
      </c>
      <c r="F3583" s="21">
        <f t="shared" ca="1" si="206"/>
        <v>0</v>
      </c>
      <c r="H3583" s="21">
        <v>3568</v>
      </c>
      <c r="I3583" s="107">
        <v>0.66785618562186566</v>
      </c>
      <c r="J3583" s="108">
        <v>1.5675110171228727E-3</v>
      </c>
      <c r="K3583" s="108"/>
      <c r="L3583" s="108">
        <v>4.2200000000000001E-2</v>
      </c>
      <c r="O3583" s="105"/>
    </row>
    <row r="3584" spans="2:15" x14ac:dyDescent="0.2">
      <c r="B3584" s="1">
        <v>3569</v>
      </c>
      <c r="C3584" s="106">
        <f ca="1"/>
        <v>-4.1821191501712859E-2</v>
      </c>
      <c r="D3584" s="106">
        <f t="shared" ca="1" si="204"/>
        <v>0.6617665421028498</v>
      </c>
      <c r="E3584" s="106">
        <f t="shared" ca="1" si="205"/>
        <v>0</v>
      </c>
      <c r="F3584" s="21">
        <f t="shared" ca="1" si="206"/>
        <v>0</v>
      </c>
      <c r="H3584" s="21">
        <v>3569</v>
      </c>
      <c r="I3584" s="107">
        <v>0.66774680167729417</v>
      </c>
      <c r="J3584" s="108">
        <v>1.3199669726378452E-3</v>
      </c>
      <c r="K3584" s="108"/>
      <c r="L3584" s="108">
        <v>4.0800000000000003E-2</v>
      </c>
      <c r="O3584" s="105"/>
    </row>
    <row r="3585" spans="2:15" x14ac:dyDescent="0.2">
      <c r="B3585" s="1">
        <v>3570</v>
      </c>
      <c r="C3585" s="106">
        <f ca="1"/>
        <v>0.19074333458099177</v>
      </c>
      <c r="D3585" s="106">
        <f t="shared" ca="1" si="204"/>
        <v>0.67712325133143048</v>
      </c>
      <c r="E3585" s="106">
        <f t="shared" ca="1" si="205"/>
        <v>0</v>
      </c>
      <c r="F3585" s="21">
        <f t="shared" ca="1" si="206"/>
        <v>0</v>
      </c>
      <c r="H3585" s="21">
        <v>3570</v>
      </c>
      <c r="I3585" s="107">
        <v>0.66766037675041057</v>
      </c>
      <c r="J3585" s="108">
        <v>1.2383893324685409E-3</v>
      </c>
      <c r="K3585" s="108"/>
      <c r="L3585" s="108">
        <v>3.7999999999999999E-2</v>
      </c>
      <c r="O3585" s="105"/>
    </row>
    <row r="3586" spans="2:15" x14ac:dyDescent="0.2">
      <c r="B3586" s="1">
        <v>3571</v>
      </c>
      <c r="C3586" s="106">
        <f ca="1"/>
        <v>0.20986950674962238</v>
      </c>
      <c r="D3586" s="106">
        <f t="shared" ca="1" si="204"/>
        <v>0.67840193886083944</v>
      </c>
      <c r="E3586" s="106">
        <f t="shared" ca="1" si="205"/>
        <v>0</v>
      </c>
      <c r="F3586" s="21">
        <f t="shared" ca="1" si="206"/>
        <v>0</v>
      </c>
      <c r="H3586" s="21">
        <v>3571</v>
      </c>
      <c r="I3586" s="107">
        <v>0.66784849412376035</v>
      </c>
      <c r="J3586" s="108">
        <v>1.6143181834178994E-3</v>
      </c>
      <c r="K3586" s="108"/>
      <c r="L3586" s="108">
        <v>4.2999999999999997E-2</v>
      </c>
      <c r="O3586" s="105"/>
    </row>
    <row r="3587" spans="2:15" x14ac:dyDescent="0.2">
      <c r="B3587" s="1">
        <v>3572</v>
      </c>
      <c r="C3587" s="106">
        <f ca="1"/>
        <v>-0.23627177915339978</v>
      </c>
      <c r="D3587" s="106">
        <f t="shared" ca="1" si="204"/>
        <v>0.64919424740149434</v>
      </c>
      <c r="E3587" s="106">
        <f t="shared" ca="1" si="205"/>
        <v>0</v>
      </c>
      <c r="F3587" s="21">
        <f t="shared" ca="1" si="206"/>
        <v>0</v>
      </c>
      <c r="H3587" s="21">
        <v>3572</v>
      </c>
      <c r="I3587" s="107">
        <v>0.66779015252034735</v>
      </c>
      <c r="J3587" s="108">
        <v>1.3773506121877554E-3</v>
      </c>
      <c r="K3587" s="108"/>
      <c r="L3587" s="108">
        <v>4.2200000000000001E-2</v>
      </c>
      <c r="O3587" s="105"/>
    </row>
    <row r="3588" spans="2:15" x14ac:dyDescent="0.2">
      <c r="B3588" s="1">
        <v>3573</v>
      </c>
      <c r="C3588" s="106">
        <f ca="1"/>
        <v>0.4820755861449878</v>
      </c>
      <c r="D3588" s="106">
        <f t="shared" ca="1" si="204"/>
        <v>0.69686430748913197</v>
      </c>
      <c r="E3588" s="106">
        <f t="shared" ca="1" si="205"/>
        <v>0</v>
      </c>
      <c r="F3588" s="21">
        <f t="shared" ca="1" si="206"/>
        <v>0</v>
      </c>
      <c r="H3588" s="21">
        <v>3573</v>
      </c>
      <c r="I3588" s="107">
        <v>0.6677072906061936</v>
      </c>
      <c r="J3588" s="108">
        <v>1.2404228601822554E-3</v>
      </c>
      <c r="K3588" s="108"/>
      <c r="L3588" s="108">
        <v>4.4200000000000003E-2</v>
      </c>
      <c r="O3588" s="105"/>
    </row>
    <row r="3589" spans="2:15" x14ac:dyDescent="0.2">
      <c r="B3589" s="1">
        <v>3574</v>
      </c>
      <c r="C3589" s="106">
        <f ca="1"/>
        <v>0.88504804676723281</v>
      </c>
      <c r="D3589" s="106">
        <f t="shared" ca="1" si="204"/>
        <v>0.72512238592491285</v>
      </c>
      <c r="E3589" s="106">
        <f t="shared" ca="1" si="205"/>
        <v>0</v>
      </c>
      <c r="F3589" s="21">
        <f t="shared" ca="1" si="206"/>
        <v>0</v>
      </c>
      <c r="H3589" s="21">
        <v>3574</v>
      </c>
      <c r="I3589" s="107">
        <v>0.66763155631411775</v>
      </c>
      <c r="J3589" s="108">
        <v>1.3066675389730945E-3</v>
      </c>
      <c r="K3589" s="108"/>
      <c r="L3589" s="108">
        <v>3.9399999999999998E-2</v>
      </c>
      <c r="O3589" s="105"/>
    </row>
    <row r="3590" spans="2:15" x14ac:dyDescent="0.2">
      <c r="B3590" s="1">
        <v>3575</v>
      </c>
      <c r="C3590" s="106">
        <f ca="1"/>
        <v>8.4581689991499148E-2</v>
      </c>
      <c r="D3590" s="106">
        <f t="shared" ca="1" si="204"/>
        <v>0.67006946500112197</v>
      </c>
      <c r="E3590" s="106">
        <f t="shared" ca="1" si="205"/>
        <v>0</v>
      </c>
      <c r="F3590" s="21">
        <f t="shared" ca="1" si="206"/>
        <v>0</v>
      </c>
      <c r="H3590" s="21">
        <v>3575</v>
      </c>
      <c r="I3590" s="107">
        <v>0.66757575874931385</v>
      </c>
      <c r="J3590" s="108">
        <v>1.2479997539277231E-3</v>
      </c>
      <c r="K3590" s="108"/>
      <c r="L3590" s="108">
        <v>3.8199999999999998E-2</v>
      </c>
      <c r="O3590" s="105"/>
    </row>
    <row r="3591" spans="2:15" x14ac:dyDescent="0.2">
      <c r="B3591" s="1">
        <v>3576</v>
      </c>
      <c r="C3591" s="106">
        <f ca="1"/>
        <v>0.89127998038997047</v>
      </c>
      <c r="D3591" s="106">
        <f t="shared" ca="1" si="204"/>
        <v>0.72556827468556562</v>
      </c>
      <c r="E3591" s="106">
        <f t="shared" ca="1" si="205"/>
        <v>0</v>
      </c>
      <c r="F3591" s="21">
        <f t="shared" ca="1" si="206"/>
        <v>0</v>
      </c>
      <c r="H3591" s="21">
        <v>3576</v>
      </c>
      <c r="I3591" s="107">
        <v>0.66788779131650367</v>
      </c>
      <c r="J3591" s="108">
        <v>1.6038473843472613E-3</v>
      </c>
      <c r="K3591" s="108"/>
      <c r="L3591" s="108">
        <v>4.7E-2</v>
      </c>
      <c r="O3591" s="105"/>
    </row>
    <row r="3592" spans="2:15" x14ac:dyDescent="0.2">
      <c r="B3592" s="1">
        <v>3577</v>
      </c>
      <c r="C3592" s="106">
        <f ca="1"/>
        <v>-1.0202310197282343</v>
      </c>
      <c r="D3592" s="106">
        <f t="shared" ca="1" si="204"/>
        <v>0.60088357424254468</v>
      </c>
      <c r="E3592" s="106">
        <f t="shared" ca="1" si="205"/>
        <v>0</v>
      </c>
      <c r="F3592" s="21">
        <f t="shared" ca="1" si="206"/>
        <v>0</v>
      </c>
      <c r="H3592" s="21">
        <v>3577</v>
      </c>
      <c r="I3592" s="107">
        <v>0.66780482051992651</v>
      </c>
      <c r="J3592" s="108">
        <v>1.3900256163804393E-3</v>
      </c>
      <c r="K3592" s="108"/>
      <c r="L3592" s="108">
        <v>4.7800000000000002E-2</v>
      </c>
      <c r="O3592" s="105"/>
    </row>
    <row r="3593" spans="2:15" x14ac:dyDescent="0.2">
      <c r="B3593" s="1">
        <v>3578</v>
      </c>
      <c r="C3593" s="106">
        <f ca="1"/>
        <v>-0.37354432334497761</v>
      </c>
      <c r="D3593" s="106">
        <f t="shared" ca="1" si="204"/>
        <v>0.64046292089924151</v>
      </c>
      <c r="E3593" s="106">
        <f t="shared" ca="1" si="205"/>
        <v>0</v>
      </c>
      <c r="F3593" s="21">
        <f t="shared" ca="1" si="206"/>
        <v>0</v>
      </c>
      <c r="H3593" s="21">
        <v>3578</v>
      </c>
      <c r="I3593" s="107">
        <v>0.6676405441584341</v>
      </c>
      <c r="J3593" s="108">
        <v>1.3216865365752409E-3</v>
      </c>
      <c r="K3593" s="108"/>
      <c r="L3593" s="108">
        <v>4.02E-2</v>
      </c>
      <c r="O3593" s="105"/>
    </row>
    <row r="3594" spans="2:15" x14ac:dyDescent="0.2">
      <c r="B3594" s="1">
        <v>3579</v>
      </c>
      <c r="C3594" s="106">
        <f ca="1"/>
        <v>0.5330431877498869</v>
      </c>
      <c r="D3594" s="106">
        <f t="shared" ca="1" si="204"/>
        <v>0.70037662271850742</v>
      </c>
      <c r="E3594" s="106">
        <f t="shared" ca="1" si="205"/>
        <v>0</v>
      </c>
      <c r="F3594" s="21">
        <f t="shared" ca="1" si="206"/>
        <v>0</v>
      </c>
      <c r="H3594" s="21">
        <v>3579</v>
      </c>
      <c r="I3594" s="107">
        <v>0.66759611569063837</v>
      </c>
      <c r="J3594" s="108">
        <v>1.2229541787773101E-3</v>
      </c>
      <c r="K3594" s="108"/>
      <c r="L3594" s="108">
        <v>3.7999999999999999E-2</v>
      </c>
      <c r="O3594" s="105"/>
    </row>
    <row r="3595" spans="2:15" x14ac:dyDescent="0.2">
      <c r="B3595" s="1">
        <v>3580</v>
      </c>
      <c r="C3595" s="106">
        <f ca="1"/>
        <v>-1.3479490178634328</v>
      </c>
      <c r="D3595" s="106">
        <f t="shared" ca="1" si="204"/>
        <v>0.58176969589317806</v>
      </c>
      <c r="E3595" s="106">
        <f t="shared" ca="1" si="205"/>
        <v>0</v>
      </c>
      <c r="F3595" s="21">
        <f t="shared" ca="1" si="206"/>
        <v>0</v>
      </c>
      <c r="H3595" s="21">
        <v>3580</v>
      </c>
      <c r="I3595" s="107">
        <v>0.66777789515415853</v>
      </c>
      <c r="J3595" s="108">
        <v>1.3722877027791205E-3</v>
      </c>
      <c r="K3595" s="108"/>
      <c r="L3595" s="108">
        <v>4.1200000000000001E-2</v>
      </c>
      <c r="O3595" s="105"/>
    </row>
    <row r="3596" spans="2:15" x14ac:dyDescent="0.2">
      <c r="B3596" s="1">
        <v>3581</v>
      </c>
      <c r="C3596" s="106">
        <f ca="1"/>
        <v>-2.1772279265642314</v>
      </c>
      <c r="D3596" s="106">
        <f t="shared" ca="1" si="204"/>
        <v>0.53607468385185453</v>
      </c>
      <c r="E3596" s="106">
        <f t="shared" ca="1" si="205"/>
        <v>0</v>
      </c>
      <c r="F3596" s="21">
        <f t="shared" ca="1" si="206"/>
        <v>0</v>
      </c>
      <c r="H3596" s="21">
        <v>3581</v>
      </c>
      <c r="I3596" s="107">
        <v>0.6678200422261783</v>
      </c>
      <c r="J3596" s="108">
        <v>1.420019447751163E-3</v>
      </c>
      <c r="K3596" s="108"/>
      <c r="L3596" s="108">
        <v>4.1200000000000001E-2</v>
      </c>
      <c r="O3596" s="105"/>
    </row>
    <row r="3597" spans="2:15" x14ac:dyDescent="0.2">
      <c r="B3597" s="1">
        <v>3582</v>
      </c>
      <c r="C3597" s="106">
        <f ca="1"/>
        <v>2.5575907837770853</v>
      </c>
      <c r="D3597" s="106">
        <f t="shared" ca="1" si="204"/>
        <v>0.85518881580939754</v>
      </c>
      <c r="E3597" s="106">
        <f t="shared" ca="1" si="205"/>
        <v>6.6988815809397528E-2</v>
      </c>
      <c r="F3597" s="21">
        <f t="shared" ca="1" si="206"/>
        <v>1</v>
      </c>
      <c r="H3597" s="21">
        <v>3582</v>
      </c>
      <c r="I3597" s="107">
        <v>0.66756810278593171</v>
      </c>
      <c r="J3597" s="108">
        <v>1.2242189163287481E-3</v>
      </c>
      <c r="K3597" s="108"/>
      <c r="L3597" s="108">
        <v>3.5799999999999998E-2</v>
      </c>
      <c r="O3597" s="105"/>
    </row>
    <row r="3598" spans="2:15" x14ac:dyDescent="0.2">
      <c r="B3598" s="1">
        <v>3583</v>
      </c>
      <c r="C3598" s="106">
        <f ca="1"/>
        <v>-1.2948302417760709</v>
      </c>
      <c r="D3598" s="106">
        <f t="shared" ca="1" si="204"/>
        <v>0.58482599841978178</v>
      </c>
      <c r="E3598" s="106">
        <f t="shared" ca="1" si="205"/>
        <v>0</v>
      </c>
      <c r="F3598" s="21">
        <f t="shared" ca="1" si="206"/>
        <v>0</v>
      </c>
      <c r="H3598" s="21">
        <v>3583</v>
      </c>
      <c r="I3598" s="107">
        <v>0.66766509859112433</v>
      </c>
      <c r="J3598" s="108">
        <v>1.2233897008536731E-3</v>
      </c>
      <c r="K3598" s="108"/>
      <c r="L3598" s="108">
        <v>3.9600000000000003E-2</v>
      </c>
      <c r="O3598" s="105"/>
    </row>
    <row r="3599" spans="2:15" x14ac:dyDescent="0.2">
      <c r="B3599" s="1">
        <v>3584</v>
      </c>
      <c r="C3599" s="106">
        <f ca="1"/>
        <v>2.087617014802293</v>
      </c>
      <c r="D3599" s="106">
        <f t="shared" ca="1" si="204"/>
        <v>0.81644818141226894</v>
      </c>
      <c r="E3599" s="106">
        <f t="shared" ca="1" si="205"/>
        <v>2.8248181412268925E-2</v>
      </c>
      <c r="F3599" s="21">
        <f t="shared" ca="1" si="206"/>
        <v>1</v>
      </c>
      <c r="H3599" s="21">
        <v>3584</v>
      </c>
      <c r="I3599" s="107">
        <v>0.66770685893316839</v>
      </c>
      <c r="J3599" s="108">
        <v>1.4479419507319601E-3</v>
      </c>
      <c r="K3599" s="108"/>
      <c r="L3599" s="108">
        <v>4.2200000000000001E-2</v>
      </c>
      <c r="O3599" s="105"/>
    </row>
    <row r="3600" spans="2:15" x14ac:dyDescent="0.2">
      <c r="B3600" s="1">
        <v>3585</v>
      </c>
      <c r="C3600" s="106">
        <f ca="1"/>
        <v>-1.9784100978633146</v>
      </c>
      <c r="D3600" s="106">
        <f t="shared" ref="D3600:D3663" ca="1" si="207">S0*EXP((μ-0.5*σ*σ)*T+σ*SQRT(T)*$C3600)</f>
        <v>0.54669176414521214</v>
      </c>
      <c r="E3600" s="106">
        <f t="shared" ref="E3600:E3663" ca="1" si="208">MAX(0,CP*(D3600-K))</f>
        <v>0</v>
      </c>
      <c r="F3600" s="21">
        <f t="shared" ref="F3600:F3663" ca="1" si="209">(CP*(D3600-K)&gt;0)*1</f>
        <v>0</v>
      </c>
      <c r="H3600" s="21">
        <v>3585</v>
      </c>
      <c r="I3600" s="107">
        <v>0.66769657487525724</v>
      </c>
      <c r="J3600" s="108">
        <v>1.4263524815133894E-3</v>
      </c>
      <c r="K3600" s="108"/>
      <c r="L3600" s="108">
        <v>4.0800000000000003E-2</v>
      </c>
      <c r="O3600" s="105"/>
    </row>
    <row r="3601" spans="2:15" x14ac:dyDescent="0.2">
      <c r="B3601" s="1">
        <v>3586</v>
      </c>
      <c r="C3601" s="106">
        <f ca="1"/>
        <v>-1.7969313804277574</v>
      </c>
      <c r="D3601" s="106">
        <f t="shared" ca="1" si="207"/>
        <v>0.55656637865319003</v>
      </c>
      <c r="E3601" s="106">
        <f t="shared" ca="1" si="208"/>
        <v>0</v>
      </c>
      <c r="F3601" s="21">
        <f t="shared" ca="1" si="209"/>
        <v>0</v>
      </c>
      <c r="H3601" s="21">
        <v>3586</v>
      </c>
      <c r="I3601" s="107">
        <v>0.6676749011048172</v>
      </c>
      <c r="J3601" s="108">
        <v>1.4398695134420971E-3</v>
      </c>
      <c r="K3601" s="108"/>
      <c r="L3601" s="108">
        <v>4.0599999999999997E-2</v>
      </c>
      <c r="O3601" s="105"/>
    </row>
    <row r="3602" spans="2:15" x14ac:dyDescent="0.2">
      <c r="B3602" s="1">
        <v>3587</v>
      </c>
      <c r="C3602" s="106">
        <f ca="1"/>
        <v>-0.23002478411159999</v>
      </c>
      <c r="D3602" s="106">
        <f t="shared" ca="1" si="207"/>
        <v>0.64959441188500278</v>
      </c>
      <c r="E3602" s="106">
        <f t="shared" ca="1" si="208"/>
        <v>0</v>
      </c>
      <c r="F3602" s="21">
        <f t="shared" ca="1" si="209"/>
        <v>0</v>
      </c>
      <c r="H3602" s="21">
        <v>3587</v>
      </c>
      <c r="I3602" s="107">
        <v>0.66769696534930301</v>
      </c>
      <c r="J3602" s="108">
        <v>1.2474335621133561E-3</v>
      </c>
      <c r="K3602" s="108"/>
      <c r="L3602" s="108">
        <v>4.2999999999999997E-2</v>
      </c>
      <c r="O3602" s="105"/>
    </row>
    <row r="3603" spans="2:15" x14ac:dyDescent="0.2">
      <c r="B3603" s="1">
        <v>3588</v>
      </c>
      <c r="C3603" s="106">
        <f ca="1"/>
        <v>-0.43637331189126505</v>
      </c>
      <c r="D3603" s="106">
        <f t="shared" ca="1" si="207"/>
        <v>0.63650590424538878</v>
      </c>
      <c r="E3603" s="106">
        <f t="shared" ca="1" si="208"/>
        <v>0</v>
      </c>
      <c r="F3603" s="21">
        <f t="shared" ca="1" si="209"/>
        <v>0</v>
      </c>
      <c r="H3603" s="21">
        <v>3588</v>
      </c>
      <c r="I3603" s="107">
        <v>0.66776198576453194</v>
      </c>
      <c r="J3603" s="108">
        <v>1.4001552165732582E-3</v>
      </c>
      <c r="K3603" s="108"/>
      <c r="L3603" s="108">
        <v>4.7199999999999999E-2</v>
      </c>
      <c r="O3603" s="105"/>
    </row>
    <row r="3604" spans="2:15" x14ac:dyDescent="0.2">
      <c r="B3604" s="1">
        <v>3589</v>
      </c>
      <c r="C3604" s="106">
        <f ca="1"/>
        <v>2.7535270399185077</v>
      </c>
      <c r="D3604" s="106">
        <f t="shared" ca="1" si="207"/>
        <v>0.87187816388450112</v>
      </c>
      <c r="E3604" s="106">
        <f t="shared" ca="1" si="208"/>
        <v>8.3678163884501111E-2</v>
      </c>
      <c r="F3604" s="21">
        <f t="shared" ca="1" si="209"/>
        <v>1</v>
      </c>
      <c r="H3604" s="21">
        <v>3589</v>
      </c>
      <c r="I3604" s="107">
        <v>0.66781903149086386</v>
      </c>
      <c r="J3604" s="108">
        <v>1.4426677073218752E-3</v>
      </c>
      <c r="K3604" s="108"/>
      <c r="L3604" s="108">
        <v>4.2999999999999997E-2</v>
      </c>
      <c r="O3604" s="105"/>
    </row>
    <row r="3605" spans="2:15" x14ac:dyDescent="0.2">
      <c r="B3605" s="1">
        <v>3590</v>
      </c>
      <c r="C3605" s="106">
        <f ca="1"/>
        <v>1.2046993695167139</v>
      </c>
      <c r="D3605" s="106">
        <f t="shared" ca="1" si="207"/>
        <v>0.74835037122977432</v>
      </c>
      <c r="E3605" s="106">
        <f t="shared" ca="1" si="208"/>
        <v>0</v>
      </c>
      <c r="F3605" s="21">
        <f t="shared" ca="1" si="209"/>
        <v>0</v>
      </c>
      <c r="H3605" s="21">
        <v>3590</v>
      </c>
      <c r="I3605" s="107">
        <v>0.66772602268076686</v>
      </c>
      <c r="J3605" s="108">
        <v>1.2787946838666805E-3</v>
      </c>
      <c r="K3605" s="108"/>
      <c r="L3605" s="108">
        <v>3.9800000000000002E-2</v>
      </c>
      <c r="O3605" s="105"/>
    </row>
    <row r="3606" spans="2:15" x14ac:dyDescent="0.2">
      <c r="B3606" s="1">
        <v>3591</v>
      </c>
      <c r="C3606" s="106">
        <f ca="1"/>
        <v>0.65179492965199504</v>
      </c>
      <c r="D3606" s="106">
        <f t="shared" ca="1" si="207"/>
        <v>0.70862895373082491</v>
      </c>
      <c r="E3606" s="106">
        <f t="shared" ca="1" si="208"/>
        <v>0</v>
      </c>
      <c r="F3606" s="21">
        <f t="shared" ca="1" si="209"/>
        <v>0</v>
      </c>
      <c r="H3606" s="21">
        <v>3591</v>
      </c>
      <c r="I3606" s="107">
        <v>0.66775745311414381</v>
      </c>
      <c r="J3606" s="108">
        <v>1.3794260828653645E-3</v>
      </c>
      <c r="K3606" s="108"/>
      <c r="L3606" s="108">
        <v>4.1599999999999998E-2</v>
      </c>
      <c r="O3606" s="105"/>
    </row>
    <row r="3607" spans="2:15" x14ac:dyDescent="0.2">
      <c r="B3607" s="1">
        <v>3592</v>
      </c>
      <c r="C3607" s="106">
        <f ca="1"/>
        <v>0.38382084582284703</v>
      </c>
      <c r="D3607" s="106">
        <f t="shared" ca="1" si="207"/>
        <v>0.69014293835206331</v>
      </c>
      <c r="E3607" s="106">
        <f t="shared" ca="1" si="208"/>
        <v>0</v>
      </c>
      <c r="F3607" s="21">
        <f t="shared" ca="1" si="209"/>
        <v>0</v>
      </c>
      <c r="H3607" s="21">
        <v>3592</v>
      </c>
      <c r="I3607" s="107">
        <v>0.66783803376073314</v>
      </c>
      <c r="J3607" s="108">
        <v>1.5912664319560619E-3</v>
      </c>
      <c r="K3607" s="108"/>
      <c r="L3607" s="108">
        <v>4.1200000000000001E-2</v>
      </c>
      <c r="O3607" s="105"/>
    </row>
    <row r="3608" spans="2:15" x14ac:dyDescent="0.2">
      <c r="B3608" s="1">
        <v>3593</v>
      </c>
      <c r="C3608" s="106">
        <f ca="1"/>
        <v>-0.97027620303815298</v>
      </c>
      <c r="D3608" s="106">
        <f t="shared" ca="1" si="207"/>
        <v>0.60385180088390278</v>
      </c>
      <c r="E3608" s="106">
        <f t="shared" ca="1" si="208"/>
        <v>0</v>
      </c>
      <c r="F3608" s="21">
        <f t="shared" ca="1" si="209"/>
        <v>0</v>
      </c>
      <c r="H3608" s="21">
        <v>3593</v>
      </c>
      <c r="I3608" s="107">
        <v>0.66765621921139018</v>
      </c>
      <c r="J3608" s="108">
        <v>1.3182493467955197E-3</v>
      </c>
      <c r="K3608" s="108"/>
      <c r="L3608" s="108">
        <v>4.0599999999999997E-2</v>
      </c>
      <c r="O3608" s="105"/>
    </row>
    <row r="3609" spans="2:15" x14ac:dyDescent="0.2">
      <c r="B3609" s="1">
        <v>3594</v>
      </c>
      <c r="C3609" s="106">
        <f ca="1"/>
        <v>3.5432522654103092E-2</v>
      </c>
      <c r="D3609" s="106">
        <f t="shared" ca="1" si="207"/>
        <v>0.6668287371745566</v>
      </c>
      <c r="E3609" s="106">
        <f t="shared" ca="1" si="208"/>
        <v>0</v>
      </c>
      <c r="F3609" s="21">
        <f t="shared" ca="1" si="209"/>
        <v>0</v>
      </c>
      <c r="H3609" s="21">
        <v>3594</v>
      </c>
      <c r="I3609" s="107">
        <v>0.66788411271345727</v>
      </c>
      <c r="J3609" s="108">
        <v>1.5830401855541649E-3</v>
      </c>
      <c r="K3609" s="108"/>
      <c r="L3609" s="108">
        <v>4.6399999999999997E-2</v>
      </c>
      <c r="O3609" s="105"/>
    </row>
    <row r="3610" spans="2:15" x14ac:dyDescent="0.2">
      <c r="B3610" s="1">
        <v>3595</v>
      </c>
      <c r="C3610" s="106">
        <f ca="1"/>
        <v>0.22487883079317478</v>
      </c>
      <c r="D3610" s="106">
        <f t="shared" ca="1" si="207"/>
        <v>0.67940708370608971</v>
      </c>
      <c r="E3610" s="106">
        <f t="shared" ca="1" si="208"/>
        <v>0</v>
      </c>
      <c r="F3610" s="21">
        <f t="shared" ca="1" si="209"/>
        <v>0</v>
      </c>
      <c r="H3610" s="21">
        <v>3595</v>
      </c>
      <c r="I3610" s="107">
        <v>0.66775063405701374</v>
      </c>
      <c r="J3610" s="108">
        <v>1.3120879111242338E-3</v>
      </c>
      <c r="K3610" s="108"/>
      <c r="L3610" s="108">
        <v>4.1000000000000002E-2</v>
      </c>
      <c r="O3610" s="105"/>
    </row>
    <row r="3611" spans="2:15" x14ac:dyDescent="0.2">
      <c r="B3611" s="1">
        <v>3596</v>
      </c>
      <c r="C3611" s="106">
        <f ca="1"/>
        <v>0.10117664786407771</v>
      </c>
      <c r="D3611" s="106">
        <f t="shared" ca="1" si="207"/>
        <v>0.67116723255372646</v>
      </c>
      <c r="E3611" s="106">
        <f t="shared" ca="1" si="208"/>
        <v>0</v>
      </c>
      <c r="F3611" s="21">
        <f t="shared" ca="1" si="209"/>
        <v>0</v>
      </c>
      <c r="H3611" s="21">
        <v>3596</v>
      </c>
      <c r="I3611" s="107">
        <v>0.66774343104499589</v>
      </c>
      <c r="J3611" s="108">
        <v>1.2438894420868536E-3</v>
      </c>
      <c r="K3611" s="108"/>
      <c r="L3611" s="108">
        <v>4.1399999999999999E-2</v>
      </c>
      <c r="O3611" s="105"/>
    </row>
    <row r="3612" spans="2:15" x14ac:dyDescent="0.2">
      <c r="B3612" s="1">
        <v>3597</v>
      </c>
      <c r="C3612" s="106">
        <f ca="1"/>
        <v>0.77893243022812564</v>
      </c>
      <c r="D3612" s="106">
        <f t="shared" ca="1" si="207"/>
        <v>0.71757183685951476</v>
      </c>
      <c r="E3612" s="106">
        <f t="shared" ca="1" si="208"/>
        <v>0</v>
      </c>
      <c r="F3612" s="21">
        <f t="shared" ca="1" si="209"/>
        <v>0</v>
      </c>
      <c r="H3612" s="21">
        <v>3597</v>
      </c>
      <c r="I3612" s="107">
        <v>0.66785363610212045</v>
      </c>
      <c r="J3612" s="108">
        <v>1.4105808024517542E-3</v>
      </c>
      <c r="K3612" s="108"/>
      <c r="L3612" s="108">
        <v>4.36E-2</v>
      </c>
      <c r="O3612" s="105"/>
    </row>
    <row r="3613" spans="2:15" x14ac:dyDescent="0.2">
      <c r="B3613" s="1">
        <v>3598</v>
      </c>
      <c r="C3613" s="106">
        <f ca="1"/>
        <v>-1.8876577387523508</v>
      </c>
      <c r="D3613" s="106">
        <f t="shared" ca="1" si="207"/>
        <v>0.5516076828585541</v>
      </c>
      <c r="E3613" s="106">
        <f t="shared" ca="1" si="208"/>
        <v>0</v>
      </c>
      <c r="F3613" s="21">
        <f t="shared" ca="1" si="209"/>
        <v>0</v>
      </c>
      <c r="H3613" s="21">
        <v>3598</v>
      </c>
      <c r="I3613" s="107">
        <v>0.66776315130737951</v>
      </c>
      <c r="J3613" s="108">
        <v>1.2601532791904619E-3</v>
      </c>
      <c r="K3613" s="108"/>
      <c r="L3613" s="108">
        <v>4.02E-2</v>
      </c>
      <c r="O3613" s="105"/>
    </row>
    <row r="3614" spans="2:15" x14ac:dyDescent="0.2">
      <c r="B3614" s="1">
        <v>3599</v>
      </c>
      <c r="C3614" s="106">
        <f ca="1"/>
        <v>-0.50470015292252746</v>
      </c>
      <c r="D3614" s="106">
        <f t="shared" ca="1" si="207"/>
        <v>0.63223037420987849</v>
      </c>
      <c r="E3614" s="106">
        <f t="shared" ca="1" si="208"/>
        <v>0</v>
      </c>
      <c r="F3614" s="21">
        <f t="shared" ca="1" si="209"/>
        <v>0</v>
      </c>
      <c r="H3614" s="21">
        <v>3599</v>
      </c>
      <c r="I3614" s="107">
        <v>0.66764194001400079</v>
      </c>
      <c r="J3614" s="108">
        <v>1.2187732220292902E-3</v>
      </c>
      <c r="K3614" s="108"/>
      <c r="L3614" s="108">
        <v>3.7400000000000003E-2</v>
      </c>
      <c r="O3614" s="105"/>
    </row>
    <row r="3615" spans="2:15" x14ac:dyDescent="0.2">
      <c r="B3615" s="1">
        <v>3600</v>
      </c>
      <c r="C3615" s="106">
        <f ca="1"/>
        <v>-0.31647684888233513</v>
      </c>
      <c r="D3615" s="106">
        <f t="shared" ca="1" si="207"/>
        <v>0.64407838860451183</v>
      </c>
      <c r="E3615" s="106">
        <f t="shared" ca="1" si="208"/>
        <v>0</v>
      </c>
      <c r="F3615" s="21">
        <f t="shared" ca="1" si="209"/>
        <v>0</v>
      </c>
      <c r="H3615" s="21">
        <v>3600</v>
      </c>
      <c r="I3615" s="107">
        <v>0.66774493848256578</v>
      </c>
      <c r="J3615" s="108">
        <v>1.2617977676994941E-3</v>
      </c>
      <c r="K3615" s="108"/>
      <c r="L3615" s="108">
        <v>3.9199999999999999E-2</v>
      </c>
      <c r="O3615" s="105"/>
    </row>
    <row r="3616" spans="2:15" x14ac:dyDescent="0.2">
      <c r="B3616" s="1">
        <v>3601</v>
      </c>
      <c r="C3616" s="106">
        <f ca="1"/>
        <v>0.29479170113110437</v>
      </c>
      <c r="D3616" s="106">
        <f t="shared" ca="1" si="207"/>
        <v>0.68410867070642667</v>
      </c>
      <c r="E3616" s="106">
        <f t="shared" ca="1" si="208"/>
        <v>0</v>
      </c>
      <c r="F3616" s="21">
        <f t="shared" ca="1" si="209"/>
        <v>0</v>
      </c>
      <c r="H3616" s="21">
        <v>3601</v>
      </c>
      <c r="I3616" s="107">
        <v>0.66791871975137174</v>
      </c>
      <c r="J3616" s="108">
        <v>1.5045727416232867E-3</v>
      </c>
      <c r="K3616" s="108"/>
      <c r="L3616" s="108">
        <v>4.24E-2</v>
      </c>
      <c r="O3616" s="105"/>
    </row>
    <row r="3617" spans="2:15" x14ac:dyDescent="0.2">
      <c r="B3617" s="1">
        <v>3602</v>
      </c>
      <c r="C3617" s="106">
        <f ca="1"/>
        <v>0.99628377121508549</v>
      </c>
      <c r="D3617" s="106">
        <f t="shared" ca="1" si="207"/>
        <v>0.73312255774829971</v>
      </c>
      <c r="E3617" s="106">
        <f t="shared" ca="1" si="208"/>
        <v>0</v>
      </c>
      <c r="F3617" s="21">
        <f t="shared" ca="1" si="209"/>
        <v>0</v>
      </c>
      <c r="H3617" s="21">
        <v>3602</v>
      </c>
      <c r="I3617" s="107">
        <v>0.66769573212364908</v>
      </c>
      <c r="J3617" s="108">
        <v>1.3346156444879846E-3</v>
      </c>
      <c r="K3617" s="108"/>
      <c r="L3617" s="108">
        <v>4.1399999999999999E-2</v>
      </c>
      <c r="O3617" s="105"/>
    </row>
    <row r="3618" spans="2:15" x14ac:dyDescent="0.2">
      <c r="B3618" s="1">
        <v>3603</v>
      </c>
      <c r="C3618" s="106">
        <f ca="1"/>
        <v>-3.312002679875832E-2</v>
      </c>
      <c r="D3618" s="106">
        <f t="shared" ca="1" si="207"/>
        <v>0.66233477645591377</v>
      </c>
      <c r="E3618" s="106">
        <f t="shared" ca="1" si="208"/>
        <v>0</v>
      </c>
      <c r="F3618" s="21">
        <f t="shared" ca="1" si="209"/>
        <v>0</v>
      </c>
      <c r="H3618" s="21">
        <v>3603</v>
      </c>
      <c r="I3618" s="107">
        <v>0.6678340776651257</v>
      </c>
      <c r="J3618" s="108">
        <v>1.5529170409449634E-3</v>
      </c>
      <c r="K3618" s="108"/>
      <c r="L3618" s="108">
        <v>4.2200000000000001E-2</v>
      </c>
      <c r="O3618" s="105"/>
    </row>
    <row r="3619" spans="2:15" x14ac:dyDescent="0.2">
      <c r="B3619" s="1">
        <v>3604</v>
      </c>
      <c r="C3619" s="106">
        <f ca="1"/>
        <v>-0.25125614475254726</v>
      </c>
      <c r="D3619" s="106">
        <f t="shared" ca="1" si="207"/>
        <v>0.64823539667143315</v>
      </c>
      <c r="E3619" s="106">
        <f t="shared" ca="1" si="208"/>
        <v>0</v>
      </c>
      <c r="F3619" s="21">
        <f t="shared" ca="1" si="209"/>
        <v>0</v>
      </c>
      <c r="H3619" s="21">
        <v>3604</v>
      </c>
      <c r="I3619" s="107">
        <v>0.66774284701631215</v>
      </c>
      <c r="J3619" s="108">
        <v>1.3997514824798695E-3</v>
      </c>
      <c r="K3619" s="108"/>
      <c r="L3619" s="108">
        <v>4.2599999999999999E-2</v>
      </c>
      <c r="O3619" s="105"/>
    </row>
    <row r="3620" spans="2:15" x14ac:dyDescent="0.2">
      <c r="B3620" s="1">
        <v>3605</v>
      </c>
      <c r="C3620" s="106">
        <f ca="1"/>
        <v>-6.3103763452738687E-2</v>
      </c>
      <c r="D3620" s="106">
        <f t="shared" ca="1" si="207"/>
        <v>0.66037872565359623</v>
      </c>
      <c r="E3620" s="106">
        <f t="shared" ca="1" si="208"/>
        <v>0</v>
      </c>
      <c r="F3620" s="21">
        <f t="shared" ca="1" si="209"/>
        <v>0</v>
      </c>
      <c r="H3620" s="21">
        <v>3605</v>
      </c>
      <c r="I3620" s="107">
        <v>0.66778344905666687</v>
      </c>
      <c r="J3620" s="108">
        <v>1.3625177973006211E-3</v>
      </c>
      <c r="K3620" s="108"/>
      <c r="L3620" s="108">
        <v>4.2000000000000003E-2</v>
      </c>
      <c r="O3620" s="105"/>
    </row>
    <row r="3621" spans="2:15" x14ac:dyDescent="0.2">
      <c r="B3621" s="1">
        <v>3606</v>
      </c>
      <c r="C3621" s="106">
        <f ca="1"/>
        <v>0.52161768715601065</v>
      </c>
      <c r="D3621" s="106">
        <f t="shared" ca="1" si="207"/>
        <v>0.69958772432463967</v>
      </c>
      <c r="E3621" s="106">
        <f t="shared" ca="1" si="208"/>
        <v>0</v>
      </c>
      <c r="F3621" s="21">
        <f t="shared" ca="1" si="209"/>
        <v>0</v>
      </c>
      <c r="H3621" s="21">
        <v>3606</v>
      </c>
      <c r="I3621" s="107">
        <v>0.66786684367055438</v>
      </c>
      <c r="J3621" s="108">
        <v>1.5112736587496452E-3</v>
      </c>
      <c r="K3621" s="108"/>
      <c r="L3621" s="108">
        <v>4.58E-2</v>
      </c>
      <c r="O3621" s="105"/>
    </row>
    <row r="3622" spans="2:15" x14ac:dyDescent="0.2">
      <c r="B3622" s="1">
        <v>3607</v>
      </c>
      <c r="C3622" s="106">
        <f ca="1"/>
        <v>0.43642458811534973</v>
      </c>
      <c r="D3622" s="106">
        <f t="shared" ca="1" si="207"/>
        <v>0.69373333007360816</v>
      </c>
      <c r="E3622" s="106">
        <f t="shared" ca="1" si="208"/>
        <v>0</v>
      </c>
      <c r="F3622" s="21">
        <f t="shared" ca="1" si="209"/>
        <v>0</v>
      </c>
      <c r="H3622" s="21">
        <v>3607</v>
      </c>
      <c r="I3622" s="107">
        <v>0.66745597648429034</v>
      </c>
      <c r="J3622" s="108">
        <v>1.1175508181480096E-3</v>
      </c>
      <c r="K3622" s="108"/>
      <c r="L3622" s="108">
        <v>3.5999999999999997E-2</v>
      </c>
      <c r="O3622" s="105"/>
    </row>
    <row r="3623" spans="2:15" x14ac:dyDescent="0.2">
      <c r="B3623" s="1">
        <v>3608</v>
      </c>
      <c r="C3623" s="106">
        <f ca="1"/>
        <v>-0.77528730280371583</v>
      </c>
      <c r="D3623" s="106">
        <f t="shared" ca="1" si="207"/>
        <v>0.61557868012051298</v>
      </c>
      <c r="E3623" s="106">
        <f t="shared" ca="1" si="208"/>
        <v>0</v>
      </c>
      <c r="F3623" s="21">
        <f t="shared" ca="1" si="209"/>
        <v>0</v>
      </c>
      <c r="H3623" s="21">
        <v>3608</v>
      </c>
      <c r="I3623" s="107">
        <v>0.6677683814911386</v>
      </c>
      <c r="J3623" s="108">
        <v>1.3746624350413788E-3</v>
      </c>
      <c r="K3623" s="108"/>
      <c r="L3623" s="108">
        <v>4.48E-2</v>
      </c>
      <c r="O3623" s="105"/>
    </row>
    <row r="3624" spans="2:15" x14ac:dyDescent="0.2">
      <c r="B3624" s="1">
        <v>3609</v>
      </c>
      <c r="C3624" s="106">
        <f ca="1"/>
        <v>2.2411714603965804</v>
      </c>
      <c r="D3624" s="106">
        <f t="shared" ca="1" si="207"/>
        <v>0.82890890210721913</v>
      </c>
      <c r="E3624" s="106">
        <f t="shared" ca="1" si="208"/>
        <v>4.0708902107219114E-2</v>
      </c>
      <c r="F3624" s="21">
        <f t="shared" ca="1" si="209"/>
        <v>1</v>
      </c>
      <c r="H3624" s="21">
        <v>3609</v>
      </c>
      <c r="I3624" s="107">
        <v>0.66760334264934196</v>
      </c>
      <c r="J3624" s="108">
        <v>1.208807603297756E-3</v>
      </c>
      <c r="K3624" s="108"/>
      <c r="L3624" s="108">
        <v>3.9600000000000003E-2</v>
      </c>
      <c r="O3624" s="105"/>
    </row>
    <row r="3625" spans="2:15" x14ac:dyDescent="0.2">
      <c r="B3625" s="1">
        <v>3610</v>
      </c>
      <c r="C3625" s="106">
        <f ca="1"/>
        <v>2.4484282014712826</v>
      </c>
      <c r="D3625" s="106">
        <f t="shared" ca="1" si="207"/>
        <v>0.84602959386058263</v>
      </c>
      <c r="E3625" s="106">
        <f t="shared" ca="1" si="208"/>
        <v>5.7829593860582618E-2</v>
      </c>
      <c r="F3625" s="21">
        <f t="shared" ca="1" si="209"/>
        <v>1</v>
      </c>
      <c r="H3625" s="21">
        <v>3610</v>
      </c>
      <c r="I3625" s="107">
        <v>0.66757027950875647</v>
      </c>
      <c r="J3625" s="108">
        <v>9.6486622826943459E-4</v>
      </c>
      <c r="K3625" s="108"/>
      <c r="L3625" s="108">
        <v>3.8199999999999998E-2</v>
      </c>
      <c r="O3625" s="105"/>
    </row>
    <row r="3626" spans="2:15" x14ac:dyDescent="0.2">
      <c r="B3626" s="1">
        <v>3611</v>
      </c>
      <c r="C3626" s="106">
        <f ca="1"/>
        <v>-0.10506600541110159</v>
      </c>
      <c r="D3626" s="106">
        <f t="shared" ca="1" si="207"/>
        <v>0.65765092800994374</v>
      </c>
      <c r="E3626" s="106">
        <f t="shared" ca="1" si="208"/>
        <v>0</v>
      </c>
      <c r="F3626" s="21">
        <f t="shared" ca="1" si="209"/>
        <v>0</v>
      </c>
      <c r="H3626" s="21">
        <v>3611</v>
      </c>
      <c r="I3626" s="107">
        <v>0.66760606002151068</v>
      </c>
      <c r="J3626" s="108">
        <v>1.1976894910315861E-3</v>
      </c>
      <c r="K3626" s="108"/>
      <c r="L3626" s="108">
        <v>3.7400000000000003E-2</v>
      </c>
      <c r="O3626" s="105"/>
    </row>
    <row r="3627" spans="2:15" x14ac:dyDescent="0.2">
      <c r="B3627" s="1">
        <v>3612</v>
      </c>
      <c r="C3627" s="106">
        <f ca="1"/>
        <v>-0.52223606217368068</v>
      </c>
      <c r="D3627" s="106">
        <f t="shared" ca="1" si="207"/>
        <v>0.63113770932290925</v>
      </c>
      <c r="E3627" s="106">
        <f t="shared" ca="1" si="208"/>
        <v>0</v>
      </c>
      <c r="F3627" s="21">
        <f t="shared" ca="1" si="209"/>
        <v>0</v>
      </c>
      <c r="H3627" s="21">
        <v>3612</v>
      </c>
      <c r="I3627" s="107">
        <v>0.66784618484158909</v>
      </c>
      <c r="J3627" s="108">
        <v>1.4174327026060423E-3</v>
      </c>
      <c r="K3627" s="108"/>
      <c r="L3627" s="108">
        <v>4.5400000000000003E-2</v>
      </c>
      <c r="O3627" s="105"/>
    </row>
    <row r="3628" spans="2:15" x14ac:dyDescent="0.2">
      <c r="B3628" s="1">
        <v>3613</v>
      </c>
      <c r="C3628" s="106">
        <f ca="1"/>
        <v>-0.13617582063793851</v>
      </c>
      <c r="D3628" s="106">
        <f t="shared" ca="1" si="207"/>
        <v>0.6556358791676109</v>
      </c>
      <c r="E3628" s="106">
        <f t="shared" ca="1" si="208"/>
        <v>0</v>
      </c>
      <c r="F3628" s="21">
        <f t="shared" ca="1" si="209"/>
        <v>0</v>
      </c>
      <c r="H3628" s="21">
        <v>3613</v>
      </c>
      <c r="I3628" s="107">
        <v>0.66754356342569776</v>
      </c>
      <c r="J3628" s="108">
        <v>1.2340411449725986E-3</v>
      </c>
      <c r="K3628" s="108"/>
      <c r="L3628" s="108">
        <v>3.7199999999999997E-2</v>
      </c>
      <c r="O3628" s="105"/>
    </row>
    <row r="3629" spans="2:15" x14ac:dyDescent="0.2">
      <c r="B3629" s="1">
        <v>3614</v>
      </c>
      <c r="C3629" s="106">
        <f ca="1"/>
        <v>0.97817983945446219</v>
      </c>
      <c r="D3629" s="106">
        <f t="shared" ca="1" si="207"/>
        <v>0.73181451883430249</v>
      </c>
      <c r="E3629" s="106">
        <f t="shared" ca="1" si="208"/>
        <v>0</v>
      </c>
      <c r="F3629" s="21">
        <f t="shared" ca="1" si="209"/>
        <v>0</v>
      </c>
      <c r="H3629" s="21">
        <v>3614</v>
      </c>
      <c r="I3629" s="107">
        <v>0.66787218672244753</v>
      </c>
      <c r="J3629" s="108">
        <v>1.4367865977639109E-3</v>
      </c>
      <c r="K3629" s="108"/>
      <c r="L3629" s="108">
        <v>4.3999999999999997E-2</v>
      </c>
      <c r="O3629" s="105"/>
    </row>
    <row r="3630" spans="2:15" x14ac:dyDescent="0.2">
      <c r="B3630" s="1">
        <v>3615</v>
      </c>
      <c r="C3630" s="106">
        <f ca="1"/>
        <v>0.15149213252207624</v>
      </c>
      <c r="D3630" s="106">
        <f t="shared" ca="1" si="207"/>
        <v>0.67450664063888555</v>
      </c>
      <c r="E3630" s="106">
        <f t="shared" ca="1" si="208"/>
        <v>0</v>
      </c>
      <c r="F3630" s="21">
        <f t="shared" ca="1" si="209"/>
        <v>0</v>
      </c>
      <c r="H3630" s="21">
        <v>3615</v>
      </c>
      <c r="I3630" s="107">
        <v>0.66777108054643008</v>
      </c>
      <c r="J3630" s="108">
        <v>1.4048512365043614E-3</v>
      </c>
      <c r="K3630" s="108"/>
      <c r="L3630" s="108">
        <v>4.5600000000000002E-2</v>
      </c>
      <c r="O3630" s="105"/>
    </row>
    <row r="3631" spans="2:15" x14ac:dyDescent="0.2">
      <c r="B3631" s="1">
        <v>3616</v>
      </c>
      <c r="C3631" s="106">
        <f ca="1"/>
        <v>-1.5062315900490798E-2</v>
      </c>
      <c r="D3631" s="106">
        <f t="shared" ca="1" si="207"/>
        <v>0.66351560271687371</v>
      </c>
      <c r="E3631" s="106">
        <f t="shared" ca="1" si="208"/>
        <v>0</v>
      </c>
      <c r="F3631" s="21">
        <f t="shared" ca="1" si="209"/>
        <v>0</v>
      </c>
      <c r="H3631" s="21">
        <v>3616</v>
      </c>
      <c r="I3631" s="107">
        <v>0.66780589597714002</v>
      </c>
      <c r="J3631" s="108">
        <v>1.3746174433907361E-3</v>
      </c>
      <c r="K3631" s="108"/>
      <c r="L3631" s="108">
        <v>3.9600000000000003E-2</v>
      </c>
      <c r="O3631" s="105"/>
    </row>
    <row r="3632" spans="2:15" x14ac:dyDescent="0.2">
      <c r="B3632" s="1">
        <v>3617</v>
      </c>
      <c r="C3632" s="106">
        <f ca="1"/>
        <v>-0.10449600320764112</v>
      </c>
      <c r="D3632" s="106">
        <f t="shared" ca="1" si="207"/>
        <v>0.65768790598130877</v>
      </c>
      <c r="E3632" s="106">
        <f t="shared" ca="1" si="208"/>
        <v>0</v>
      </c>
      <c r="F3632" s="21">
        <f t="shared" ca="1" si="209"/>
        <v>0</v>
      </c>
      <c r="H3632" s="21">
        <v>3617</v>
      </c>
      <c r="I3632" s="107">
        <v>0.66756450172861537</v>
      </c>
      <c r="J3632" s="108">
        <v>1.0770458993567466E-3</v>
      </c>
      <c r="K3632" s="108"/>
      <c r="L3632" s="108">
        <v>3.5200000000000002E-2</v>
      </c>
      <c r="O3632" s="105"/>
    </row>
    <row r="3633" spans="2:15" x14ac:dyDescent="0.2">
      <c r="B3633" s="1">
        <v>3618</v>
      </c>
      <c r="C3633" s="106">
        <f ca="1"/>
        <v>-0.9217557079412213</v>
      </c>
      <c r="D3633" s="106">
        <f t="shared" ca="1" si="207"/>
        <v>0.60674883893033793</v>
      </c>
      <c r="E3633" s="106">
        <f t="shared" ca="1" si="208"/>
        <v>0</v>
      </c>
      <c r="F3633" s="21">
        <f t="shared" ca="1" si="209"/>
        <v>0</v>
      </c>
      <c r="H3633" s="21">
        <v>3618</v>
      </c>
      <c r="I3633" s="107">
        <v>0.66761561159752514</v>
      </c>
      <c r="J3633" s="108">
        <v>1.2042066887278382E-3</v>
      </c>
      <c r="K3633" s="108"/>
      <c r="L3633" s="108">
        <v>3.9600000000000003E-2</v>
      </c>
      <c r="O3633" s="105"/>
    </row>
    <row r="3634" spans="2:15" x14ac:dyDescent="0.2">
      <c r="B3634" s="1">
        <v>3619</v>
      </c>
      <c r="C3634" s="106">
        <f ca="1"/>
        <v>1.110575030137152</v>
      </c>
      <c r="D3634" s="106">
        <f t="shared" ca="1" si="207"/>
        <v>0.7414344304512599</v>
      </c>
      <c r="E3634" s="106">
        <f t="shared" ca="1" si="208"/>
        <v>0</v>
      </c>
      <c r="F3634" s="21">
        <f t="shared" ca="1" si="209"/>
        <v>0</v>
      </c>
      <c r="H3634" s="21">
        <v>3619</v>
      </c>
      <c r="I3634" s="107">
        <v>0.66773545222771535</v>
      </c>
      <c r="J3634" s="108">
        <v>1.4267817241170114E-3</v>
      </c>
      <c r="K3634" s="108"/>
      <c r="L3634" s="108">
        <v>4.3400000000000001E-2</v>
      </c>
      <c r="O3634" s="105"/>
    </row>
    <row r="3635" spans="2:15" x14ac:dyDescent="0.2">
      <c r="B3635" s="1">
        <v>3620</v>
      </c>
      <c r="C3635" s="106">
        <f ca="1"/>
        <v>1.4145550453140829</v>
      </c>
      <c r="D3635" s="106">
        <f t="shared" ca="1" si="207"/>
        <v>0.76400300401807841</v>
      </c>
      <c r="E3635" s="106">
        <f t="shared" ca="1" si="208"/>
        <v>0</v>
      </c>
      <c r="F3635" s="21">
        <f t="shared" ca="1" si="209"/>
        <v>0</v>
      </c>
      <c r="H3635" s="21">
        <v>3620</v>
      </c>
      <c r="I3635" s="107">
        <v>0.66773207115376143</v>
      </c>
      <c r="J3635" s="108">
        <v>1.4415226244553171E-3</v>
      </c>
      <c r="K3635" s="108"/>
      <c r="L3635" s="108">
        <v>4.1000000000000002E-2</v>
      </c>
      <c r="O3635" s="105"/>
    </row>
    <row r="3636" spans="2:15" x14ac:dyDescent="0.2">
      <c r="B3636" s="1">
        <v>3621</v>
      </c>
      <c r="C3636" s="106">
        <f ca="1"/>
        <v>8.6733739342575972E-2</v>
      </c>
      <c r="D3636" s="106">
        <f t="shared" ca="1" si="207"/>
        <v>0.67021172311677535</v>
      </c>
      <c r="E3636" s="106">
        <f t="shared" ca="1" si="208"/>
        <v>0</v>
      </c>
      <c r="F3636" s="21">
        <f t="shared" ca="1" si="209"/>
        <v>0</v>
      </c>
      <c r="H3636" s="21">
        <v>3621</v>
      </c>
      <c r="I3636" s="107">
        <v>0.66767806083859038</v>
      </c>
      <c r="J3636" s="108">
        <v>1.3528478989733219E-3</v>
      </c>
      <c r="K3636" s="108"/>
      <c r="L3636" s="108">
        <v>4.02E-2</v>
      </c>
      <c r="O3636" s="105"/>
    </row>
    <row r="3637" spans="2:15" x14ac:dyDescent="0.2">
      <c r="B3637" s="1">
        <v>3622</v>
      </c>
      <c r="C3637" s="106">
        <f ca="1"/>
        <v>2.0621214794824558</v>
      </c>
      <c r="D3637" s="106">
        <f t="shared" ca="1" si="207"/>
        <v>0.81439746470462315</v>
      </c>
      <c r="E3637" s="106">
        <f t="shared" ca="1" si="208"/>
        <v>2.6197464704623141E-2</v>
      </c>
      <c r="F3637" s="21">
        <f t="shared" ca="1" si="209"/>
        <v>1</v>
      </c>
      <c r="H3637" s="21">
        <v>3622</v>
      </c>
      <c r="I3637" s="107">
        <v>0.66765578559250061</v>
      </c>
      <c r="J3637" s="108">
        <v>1.2435421108942413E-3</v>
      </c>
      <c r="K3637" s="108"/>
      <c r="L3637" s="108">
        <v>3.8800000000000001E-2</v>
      </c>
      <c r="O3637" s="105"/>
    </row>
    <row r="3638" spans="2:15" x14ac:dyDescent="0.2">
      <c r="B3638" s="1">
        <v>3623</v>
      </c>
      <c r="C3638" s="106">
        <f ca="1"/>
        <v>1.3377528351732009</v>
      </c>
      <c r="D3638" s="106">
        <f t="shared" ca="1" si="207"/>
        <v>0.75823688445152626</v>
      </c>
      <c r="E3638" s="106">
        <f t="shared" ca="1" si="208"/>
        <v>0</v>
      </c>
      <c r="F3638" s="21">
        <f t="shared" ca="1" si="209"/>
        <v>0</v>
      </c>
      <c r="H3638" s="21">
        <v>3623</v>
      </c>
      <c r="I3638" s="107">
        <v>0.66784515832429447</v>
      </c>
      <c r="J3638" s="108">
        <v>1.4754195390508547E-3</v>
      </c>
      <c r="K3638" s="108"/>
      <c r="L3638" s="108">
        <v>4.5199999999999997E-2</v>
      </c>
      <c r="O3638" s="105"/>
    </row>
    <row r="3639" spans="2:15" x14ac:dyDescent="0.2">
      <c r="B3639" s="1">
        <v>3624</v>
      </c>
      <c r="C3639" s="106">
        <f ca="1"/>
        <v>-4.8027832897002125E-2</v>
      </c>
      <c r="D3639" s="106">
        <f t="shared" ca="1" si="207"/>
        <v>0.66136151188754533</v>
      </c>
      <c r="E3639" s="106">
        <f t="shared" ca="1" si="208"/>
        <v>0</v>
      </c>
      <c r="F3639" s="21">
        <f t="shared" ca="1" si="209"/>
        <v>0</v>
      </c>
      <c r="H3639" s="21">
        <v>3624</v>
      </c>
      <c r="I3639" s="107">
        <v>0.66769718969480163</v>
      </c>
      <c r="J3639" s="108">
        <v>1.4583314184502744E-3</v>
      </c>
      <c r="K3639" s="108"/>
      <c r="L3639" s="108">
        <v>4.2999999999999997E-2</v>
      </c>
      <c r="O3639" s="105"/>
    </row>
    <row r="3640" spans="2:15" x14ac:dyDescent="0.2">
      <c r="B3640" s="1">
        <v>3625</v>
      </c>
      <c r="C3640" s="106">
        <f ca="1"/>
        <v>0.42518168875403306</v>
      </c>
      <c r="D3640" s="106">
        <f t="shared" ca="1" si="207"/>
        <v>0.69296439621070538</v>
      </c>
      <c r="E3640" s="106">
        <f t="shared" ca="1" si="208"/>
        <v>0</v>
      </c>
      <c r="F3640" s="21">
        <f t="shared" ca="1" si="209"/>
        <v>0</v>
      </c>
      <c r="H3640" s="21">
        <v>3625</v>
      </c>
      <c r="I3640" s="107">
        <v>0.66787697361890952</v>
      </c>
      <c r="J3640" s="108">
        <v>1.4571851299521499E-3</v>
      </c>
      <c r="K3640" s="108"/>
      <c r="L3640" s="108">
        <v>4.2000000000000003E-2</v>
      </c>
      <c r="O3640" s="105"/>
    </row>
    <row r="3641" spans="2:15" x14ac:dyDescent="0.2">
      <c r="B3641" s="1">
        <v>3626</v>
      </c>
      <c r="C3641" s="106">
        <f ca="1"/>
        <v>-1.1257282542926912</v>
      </c>
      <c r="D3641" s="106">
        <f t="shared" ca="1" si="207"/>
        <v>0.59466297032100657</v>
      </c>
      <c r="E3641" s="106">
        <f t="shared" ca="1" si="208"/>
        <v>0</v>
      </c>
      <c r="F3641" s="21">
        <f t="shared" ca="1" si="209"/>
        <v>0</v>
      </c>
      <c r="H3641" s="21">
        <v>3626</v>
      </c>
      <c r="I3641" s="107">
        <v>0.66782034864611295</v>
      </c>
      <c r="J3641" s="108">
        <v>1.3260416149979044E-3</v>
      </c>
      <c r="K3641" s="108"/>
      <c r="L3641" s="108">
        <v>4.48E-2</v>
      </c>
      <c r="O3641" s="105"/>
    </row>
    <row r="3642" spans="2:15" x14ac:dyDescent="0.2">
      <c r="B3642" s="1">
        <v>3627</v>
      </c>
      <c r="C3642" s="106">
        <f ca="1"/>
        <v>1.0139978280170889</v>
      </c>
      <c r="D3642" s="106">
        <f t="shared" ca="1" si="207"/>
        <v>0.73440469052051338</v>
      </c>
      <c r="E3642" s="106">
        <f t="shared" ca="1" si="208"/>
        <v>0</v>
      </c>
      <c r="F3642" s="21">
        <f t="shared" ca="1" si="209"/>
        <v>0</v>
      </c>
      <c r="H3642" s="21">
        <v>3627</v>
      </c>
      <c r="I3642" s="107">
        <v>0.66772918644032597</v>
      </c>
      <c r="J3642" s="108">
        <v>1.3270430830151184E-3</v>
      </c>
      <c r="K3642" s="108"/>
      <c r="L3642" s="108">
        <v>4.3799999999999999E-2</v>
      </c>
      <c r="O3642" s="105"/>
    </row>
    <row r="3643" spans="2:15" x14ac:dyDescent="0.2">
      <c r="B3643" s="1">
        <v>3628</v>
      </c>
      <c r="C3643" s="106">
        <f ca="1"/>
        <v>1.5620932646799257</v>
      </c>
      <c r="D3643" s="106">
        <f t="shared" ca="1" si="207"/>
        <v>0.77520312104094369</v>
      </c>
      <c r="E3643" s="106">
        <f t="shared" ca="1" si="208"/>
        <v>0</v>
      </c>
      <c r="F3643" s="21">
        <f t="shared" ca="1" si="209"/>
        <v>0</v>
      </c>
      <c r="H3643" s="21">
        <v>3628</v>
      </c>
      <c r="I3643" s="107">
        <v>0.66775379471047325</v>
      </c>
      <c r="J3643" s="108">
        <v>1.4138089047463871E-3</v>
      </c>
      <c r="K3643" s="108"/>
      <c r="L3643" s="108">
        <v>4.2000000000000003E-2</v>
      </c>
      <c r="O3643" s="105"/>
    </row>
    <row r="3644" spans="2:15" x14ac:dyDescent="0.2">
      <c r="B3644" s="1">
        <v>3629</v>
      </c>
      <c r="C3644" s="106">
        <f ca="1"/>
        <v>1.6391203926498361</v>
      </c>
      <c r="D3644" s="106">
        <f t="shared" ca="1" si="207"/>
        <v>0.78111559254078899</v>
      </c>
      <c r="E3644" s="106">
        <f t="shared" ca="1" si="208"/>
        <v>0</v>
      </c>
      <c r="F3644" s="21">
        <f t="shared" ca="1" si="209"/>
        <v>0</v>
      </c>
      <c r="H3644" s="21">
        <v>3629</v>
      </c>
      <c r="I3644" s="107">
        <v>0.66759574449119063</v>
      </c>
      <c r="J3644" s="108">
        <v>1.2465529477356039E-3</v>
      </c>
      <c r="K3644" s="108"/>
      <c r="L3644" s="108">
        <v>3.78E-2</v>
      </c>
      <c r="O3644" s="105"/>
    </row>
    <row r="3645" spans="2:15" x14ac:dyDescent="0.2">
      <c r="B3645" s="1">
        <v>3630</v>
      </c>
      <c r="C3645" s="106">
        <f ca="1"/>
        <v>0.85683811447741165</v>
      </c>
      <c r="D3645" s="106">
        <f t="shared" ca="1" si="207"/>
        <v>0.72310741794401268</v>
      </c>
      <c r="E3645" s="106">
        <f t="shared" ca="1" si="208"/>
        <v>0</v>
      </c>
      <c r="F3645" s="21">
        <f t="shared" ca="1" si="209"/>
        <v>0</v>
      </c>
      <c r="H3645" s="21">
        <v>3630</v>
      </c>
      <c r="I3645" s="107">
        <v>0.66781988380448165</v>
      </c>
      <c r="J3645" s="108">
        <v>1.4641931435380685E-3</v>
      </c>
      <c r="K3645" s="108"/>
      <c r="L3645" s="108">
        <v>4.58E-2</v>
      </c>
      <c r="O3645" s="105"/>
    </row>
    <row r="3646" spans="2:15" x14ac:dyDescent="0.2">
      <c r="B3646" s="1">
        <v>3631</v>
      </c>
      <c r="C3646" s="106">
        <f ca="1"/>
        <v>0.96016254234318799</v>
      </c>
      <c r="D3646" s="106">
        <f t="shared" ca="1" si="207"/>
        <v>0.73051505650351478</v>
      </c>
      <c r="E3646" s="106">
        <f t="shared" ca="1" si="208"/>
        <v>0</v>
      </c>
      <c r="F3646" s="21">
        <f t="shared" ca="1" si="209"/>
        <v>0</v>
      </c>
      <c r="H3646" s="21">
        <v>3631</v>
      </c>
      <c r="I3646" s="107">
        <v>0.66782495800328034</v>
      </c>
      <c r="J3646" s="108">
        <v>1.3821106501180551E-3</v>
      </c>
      <c r="K3646" s="108"/>
      <c r="L3646" s="108">
        <v>4.4999999999999998E-2</v>
      </c>
      <c r="O3646" s="105"/>
    </row>
    <row r="3647" spans="2:15" x14ac:dyDescent="0.2">
      <c r="B3647" s="1">
        <v>3632</v>
      </c>
      <c r="C3647" s="106">
        <f ca="1"/>
        <v>0.30254281506062702</v>
      </c>
      <c r="D3647" s="106">
        <f t="shared" ca="1" si="207"/>
        <v>0.68463192662940309</v>
      </c>
      <c r="E3647" s="106">
        <f t="shared" ca="1" si="208"/>
        <v>0</v>
      </c>
      <c r="F3647" s="21">
        <f t="shared" ca="1" si="209"/>
        <v>0</v>
      </c>
      <c r="H3647" s="21">
        <v>3632</v>
      </c>
      <c r="I3647" s="107">
        <v>0.66761927354463846</v>
      </c>
      <c r="J3647" s="108">
        <v>1.179138916489112E-3</v>
      </c>
      <c r="K3647" s="108"/>
      <c r="L3647" s="108">
        <v>3.9399999999999998E-2</v>
      </c>
      <c r="O3647" s="105"/>
    </row>
    <row r="3648" spans="2:15" x14ac:dyDescent="0.2">
      <c r="B3648" s="1">
        <v>3633</v>
      </c>
      <c r="C3648" s="106">
        <f ca="1"/>
        <v>-0.3847941983555892</v>
      </c>
      <c r="D3648" s="106">
        <f t="shared" ca="1" si="207"/>
        <v>0.63975259173978838</v>
      </c>
      <c r="E3648" s="106">
        <f t="shared" ca="1" si="208"/>
        <v>0</v>
      </c>
      <c r="F3648" s="21">
        <f t="shared" ca="1" si="209"/>
        <v>0</v>
      </c>
      <c r="H3648" s="21">
        <v>3633</v>
      </c>
      <c r="I3648" s="107">
        <v>0.66772758347093619</v>
      </c>
      <c r="J3648" s="108">
        <v>1.4304876395918936E-3</v>
      </c>
      <c r="K3648" s="108"/>
      <c r="L3648" s="108">
        <v>4.4200000000000003E-2</v>
      </c>
      <c r="O3648" s="105"/>
    </row>
    <row r="3649" spans="2:15" x14ac:dyDescent="0.2">
      <c r="B3649" s="1">
        <v>3634</v>
      </c>
      <c r="C3649" s="106">
        <f ca="1"/>
        <v>-0.60333978862947724</v>
      </c>
      <c r="D3649" s="106">
        <f t="shared" ca="1" si="207"/>
        <v>0.62610863816804929</v>
      </c>
      <c r="E3649" s="106">
        <f t="shared" ca="1" si="208"/>
        <v>0</v>
      </c>
      <c r="F3649" s="21">
        <f t="shared" ca="1" si="209"/>
        <v>0</v>
      </c>
      <c r="H3649" s="21">
        <v>3634</v>
      </c>
      <c r="I3649" s="107">
        <v>0.66771720012950608</v>
      </c>
      <c r="J3649" s="108">
        <v>1.3101071580155473E-3</v>
      </c>
      <c r="K3649" s="108"/>
      <c r="L3649" s="108">
        <v>4.2000000000000003E-2</v>
      </c>
      <c r="O3649" s="105"/>
    </row>
    <row r="3650" spans="2:15" x14ac:dyDescent="0.2">
      <c r="B3650" s="1">
        <v>3635</v>
      </c>
      <c r="C3650" s="106">
        <f ca="1"/>
        <v>-1.4116563799801762</v>
      </c>
      <c r="D3650" s="106">
        <f t="shared" ca="1" si="207"/>
        <v>0.57812521446491416</v>
      </c>
      <c r="E3650" s="106">
        <f t="shared" ca="1" si="208"/>
        <v>0</v>
      </c>
      <c r="F3650" s="21">
        <f t="shared" ca="1" si="209"/>
        <v>0</v>
      </c>
      <c r="H3650" s="21">
        <v>3635</v>
      </c>
      <c r="I3650" s="107">
        <v>0.66785193095171402</v>
      </c>
      <c r="J3650" s="108">
        <v>1.6651945498293494E-3</v>
      </c>
      <c r="K3650" s="108"/>
      <c r="L3650" s="108">
        <v>4.36E-2</v>
      </c>
      <c r="O3650" s="105"/>
    </row>
    <row r="3651" spans="2:15" x14ac:dyDescent="0.2">
      <c r="B3651" s="1">
        <v>3636</v>
      </c>
      <c r="C3651" s="106">
        <f ca="1"/>
        <v>-0.28364940307757225</v>
      </c>
      <c r="D3651" s="106">
        <f t="shared" ca="1" si="207"/>
        <v>0.64616738679739905</v>
      </c>
      <c r="E3651" s="106">
        <f t="shared" ca="1" si="208"/>
        <v>0</v>
      </c>
      <c r="F3651" s="21">
        <f t="shared" ca="1" si="209"/>
        <v>0</v>
      </c>
      <c r="H3651" s="21">
        <v>3636</v>
      </c>
      <c r="I3651" s="107">
        <v>0.66774322679541331</v>
      </c>
      <c r="J3651" s="108">
        <v>1.4411796428108819E-3</v>
      </c>
      <c r="K3651" s="108"/>
      <c r="L3651" s="108">
        <v>4.2200000000000001E-2</v>
      </c>
      <c r="O3651" s="105"/>
    </row>
    <row r="3652" spans="2:15" x14ac:dyDescent="0.2">
      <c r="B3652" s="1">
        <v>3637</v>
      </c>
      <c r="C3652" s="106">
        <f ca="1"/>
        <v>0.46508375368283328</v>
      </c>
      <c r="D3652" s="106">
        <f t="shared" ca="1" si="207"/>
        <v>0.69569727370074386</v>
      </c>
      <c r="E3652" s="106">
        <f t="shared" ca="1" si="208"/>
        <v>0</v>
      </c>
      <c r="F3652" s="21">
        <f t="shared" ca="1" si="209"/>
        <v>0</v>
      </c>
      <c r="H3652" s="21">
        <v>3637</v>
      </c>
      <c r="I3652" s="107">
        <v>0.66785071608722613</v>
      </c>
      <c r="J3652" s="108">
        <v>1.5311960936613158E-3</v>
      </c>
      <c r="K3652" s="108"/>
      <c r="L3652" s="108">
        <v>4.1599999999999998E-2</v>
      </c>
      <c r="O3652" s="105"/>
    </row>
    <row r="3653" spans="2:15" x14ac:dyDescent="0.2">
      <c r="B3653" s="1">
        <v>3638</v>
      </c>
      <c r="C3653" s="106">
        <f ca="1"/>
        <v>1.1097325953148596</v>
      </c>
      <c r="D3653" s="106">
        <f t="shared" ca="1" si="207"/>
        <v>0.74137282063464449</v>
      </c>
      <c r="E3653" s="106">
        <f t="shared" ca="1" si="208"/>
        <v>0</v>
      </c>
      <c r="F3653" s="21">
        <f t="shared" ca="1" si="209"/>
        <v>0</v>
      </c>
      <c r="H3653" s="21">
        <v>3638</v>
      </c>
      <c r="I3653" s="107">
        <v>0.66787697974082905</v>
      </c>
      <c r="J3653" s="108">
        <v>1.3872120960233619E-3</v>
      </c>
      <c r="K3653" s="108"/>
      <c r="L3653" s="108">
        <v>0.04</v>
      </c>
      <c r="O3653" s="105"/>
    </row>
    <row r="3654" spans="2:15" x14ac:dyDescent="0.2">
      <c r="B3654" s="1">
        <v>3639</v>
      </c>
      <c r="C3654" s="106">
        <f ca="1"/>
        <v>-1.5023785670373395</v>
      </c>
      <c r="D3654" s="106">
        <f t="shared" ca="1" si="207"/>
        <v>0.5729746772316755</v>
      </c>
      <c r="E3654" s="106">
        <f t="shared" ca="1" si="208"/>
        <v>0</v>
      </c>
      <c r="F3654" s="21">
        <f t="shared" ca="1" si="209"/>
        <v>0</v>
      </c>
      <c r="H3654" s="21">
        <v>3639</v>
      </c>
      <c r="I3654" s="107">
        <v>0.66772497215611126</v>
      </c>
      <c r="J3654" s="108">
        <v>1.3887839172533525E-3</v>
      </c>
      <c r="K3654" s="108"/>
      <c r="L3654" s="108">
        <v>4.5199999999999997E-2</v>
      </c>
      <c r="O3654" s="105"/>
    </row>
    <row r="3655" spans="2:15" x14ac:dyDescent="0.2">
      <c r="B3655" s="1">
        <v>3640</v>
      </c>
      <c r="C3655" s="106">
        <f ca="1"/>
        <v>-0.25321974262211011</v>
      </c>
      <c r="D3655" s="106">
        <f t="shared" ca="1" si="207"/>
        <v>0.64810985088666107</v>
      </c>
      <c r="E3655" s="106">
        <f t="shared" ca="1" si="208"/>
        <v>0</v>
      </c>
      <c r="F3655" s="21">
        <f t="shared" ca="1" si="209"/>
        <v>0</v>
      </c>
      <c r="H3655" s="21">
        <v>3640</v>
      </c>
      <c r="I3655" s="107">
        <v>0.66774807563995564</v>
      </c>
      <c r="J3655" s="108">
        <v>1.4351773066439853E-3</v>
      </c>
      <c r="K3655" s="108"/>
      <c r="L3655" s="108">
        <v>4.36E-2</v>
      </c>
      <c r="O3655" s="105"/>
    </row>
    <row r="3656" spans="2:15" x14ac:dyDescent="0.2">
      <c r="B3656" s="1">
        <v>3641</v>
      </c>
      <c r="C3656" s="106">
        <f ca="1"/>
        <v>-0.1590268213607284</v>
      </c>
      <c r="D3656" s="106">
        <f t="shared" ca="1" si="207"/>
        <v>0.65415970545498592</v>
      </c>
      <c r="E3656" s="106">
        <f t="shared" ca="1" si="208"/>
        <v>0</v>
      </c>
      <c r="F3656" s="21">
        <f t="shared" ca="1" si="209"/>
        <v>0</v>
      </c>
      <c r="H3656" s="21">
        <v>3641</v>
      </c>
      <c r="I3656" s="107">
        <v>0.66787945225194245</v>
      </c>
      <c r="J3656" s="108">
        <v>1.4640864586875787E-3</v>
      </c>
      <c r="K3656" s="108"/>
      <c r="L3656" s="108">
        <v>4.3799999999999999E-2</v>
      </c>
      <c r="O3656" s="105"/>
    </row>
    <row r="3657" spans="2:15" x14ac:dyDescent="0.2">
      <c r="B3657" s="1">
        <v>3642</v>
      </c>
      <c r="C3657" s="106">
        <f ca="1"/>
        <v>0.79926005910292863</v>
      </c>
      <c r="D3657" s="106">
        <f t="shared" ca="1" si="207"/>
        <v>0.71901211541126153</v>
      </c>
      <c r="E3657" s="106">
        <f t="shared" ca="1" si="208"/>
        <v>0</v>
      </c>
      <c r="F3657" s="21">
        <f t="shared" ca="1" si="209"/>
        <v>0</v>
      </c>
      <c r="H3657" s="21">
        <v>3642</v>
      </c>
      <c r="I3657" s="107">
        <v>0.66772831200895522</v>
      </c>
      <c r="J3657" s="108">
        <v>1.445657842003867E-3</v>
      </c>
      <c r="K3657" s="108"/>
      <c r="L3657" s="108">
        <v>4.1200000000000001E-2</v>
      </c>
      <c r="O3657" s="105"/>
    </row>
    <row r="3658" spans="2:15" x14ac:dyDescent="0.2">
      <c r="B3658" s="1">
        <v>3643</v>
      </c>
      <c r="C3658" s="106">
        <f ca="1"/>
        <v>-0.86325489126082677</v>
      </c>
      <c r="D3658" s="106">
        <f t="shared" ca="1" si="207"/>
        <v>0.61026026440548209</v>
      </c>
      <c r="E3658" s="106">
        <f t="shared" ca="1" si="208"/>
        <v>0</v>
      </c>
      <c r="F3658" s="21">
        <f t="shared" ca="1" si="209"/>
        <v>0</v>
      </c>
      <c r="H3658" s="21">
        <v>3643</v>
      </c>
      <c r="I3658" s="107">
        <v>0.66770697946278723</v>
      </c>
      <c r="J3658" s="108">
        <v>1.2456223228577339E-3</v>
      </c>
      <c r="K3658" s="108"/>
      <c r="L3658" s="108">
        <v>4.0399999999999998E-2</v>
      </c>
      <c r="O3658" s="105"/>
    </row>
    <row r="3659" spans="2:15" x14ac:dyDescent="0.2">
      <c r="B3659" s="1">
        <v>3644</v>
      </c>
      <c r="C3659" s="106">
        <f ca="1"/>
        <v>-0.99347435412271934</v>
      </c>
      <c r="D3659" s="106">
        <f t="shared" ca="1" si="207"/>
        <v>0.60247158876437046</v>
      </c>
      <c r="E3659" s="106">
        <f t="shared" ca="1" si="208"/>
        <v>0</v>
      </c>
      <c r="F3659" s="21">
        <f t="shared" ca="1" si="209"/>
        <v>0</v>
      </c>
      <c r="H3659" s="21">
        <v>3644</v>
      </c>
      <c r="I3659" s="107">
        <v>0.66774521209486537</v>
      </c>
      <c r="J3659" s="108">
        <v>1.3521001524040355E-3</v>
      </c>
      <c r="K3659" s="108"/>
      <c r="L3659" s="108">
        <v>4.02E-2</v>
      </c>
      <c r="O3659" s="105"/>
    </row>
    <row r="3660" spans="2:15" x14ac:dyDescent="0.2">
      <c r="B3660" s="1">
        <v>3645</v>
      </c>
      <c r="C3660" s="106">
        <f ca="1"/>
        <v>-1.8975495317517177</v>
      </c>
      <c r="D3660" s="106">
        <f t="shared" ca="1" si="207"/>
        <v>0.5510697199107002</v>
      </c>
      <c r="E3660" s="106">
        <f t="shared" ca="1" si="208"/>
        <v>0</v>
      </c>
      <c r="F3660" s="21">
        <f t="shared" ca="1" si="209"/>
        <v>0</v>
      </c>
      <c r="H3660" s="21">
        <v>3645</v>
      </c>
      <c r="I3660" s="107">
        <v>0.66759805005434947</v>
      </c>
      <c r="J3660" s="108">
        <v>1.2185373214983549E-3</v>
      </c>
      <c r="K3660" s="108"/>
      <c r="L3660" s="108">
        <v>3.9800000000000002E-2</v>
      </c>
      <c r="O3660" s="105"/>
    </row>
    <row r="3661" spans="2:15" x14ac:dyDescent="0.2">
      <c r="B3661" s="1">
        <v>3646</v>
      </c>
      <c r="C3661" s="106">
        <f ca="1"/>
        <v>0.66187260148597671</v>
      </c>
      <c r="D3661" s="106">
        <f t="shared" ca="1" si="207"/>
        <v>0.70933373423874213</v>
      </c>
      <c r="E3661" s="106">
        <f t="shared" ca="1" si="208"/>
        <v>0</v>
      </c>
      <c r="F3661" s="21">
        <f t="shared" ca="1" si="209"/>
        <v>0</v>
      </c>
      <c r="H3661" s="21">
        <v>3646</v>
      </c>
      <c r="I3661" s="107">
        <v>0.66780381599621341</v>
      </c>
      <c r="J3661" s="108">
        <v>1.4675877070519201E-3</v>
      </c>
      <c r="K3661" s="108"/>
      <c r="L3661" s="108">
        <v>4.4600000000000001E-2</v>
      </c>
      <c r="O3661" s="105"/>
    </row>
    <row r="3662" spans="2:15" x14ac:dyDescent="0.2">
      <c r="B3662" s="1">
        <v>3647</v>
      </c>
      <c r="C3662" s="106">
        <f ca="1"/>
        <v>-0.66586350158995555</v>
      </c>
      <c r="D3662" s="106">
        <f t="shared" ca="1" si="207"/>
        <v>0.62225904525145781</v>
      </c>
      <c r="E3662" s="106">
        <f t="shared" ca="1" si="208"/>
        <v>0</v>
      </c>
      <c r="F3662" s="21">
        <f t="shared" ca="1" si="209"/>
        <v>0</v>
      </c>
      <c r="H3662" s="21">
        <v>3647</v>
      </c>
      <c r="I3662" s="107">
        <v>0.66767504716865822</v>
      </c>
      <c r="J3662" s="108">
        <v>1.2497438302652344E-3</v>
      </c>
      <c r="K3662" s="108"/>
      <c r="L3662" s="108">
        <v>3.8399999999999997E-2</v>
      </c>
      <c r="O3662" s="105"/>
    </row>
    <row r="3663" spans="2:15" x14ac:dyDescent="0.2">
      <c r="B3663" s="1">
        <v>3648</v>
      </c>
      <c r="C3663" s="106">
        <f ca="1"/>
        <v>-0.39979740159439742</v>
      </c>
      <c r="D3663" s="106">
        <f t="shared" ca="1" si="207"/>
        <v>0.63880649918970955</v>
      </c>
      <c r="E3663" s="106">
        <f t="shared" ca="1" si="208"/>
        <v>0</v>
      </c>
      <c r="F3663" s="21">
        <f t="shared" ca="1" si="209"/>
        <v>0</v>
      </c>
      <c r="H3663" s="21">
        <v>3648</v>
      </c>
      <c r="I3663" s="107">
        <v>0.66797826950744299</v>
      </c>
      <c r="J3663" s="108">
        <v>1.5536899634759913E-3</v>
      </c>
      <c r="K3663" s="108"/>
      <c r="L3663" s="108">
        <v>4.5999999999999999E-2</v>
      </c>
      <c r="O3663" s="105"/>
    </row>
    <row r="3664" spans="2:15" x14ac:dyDescent="0.2">
      <c r="B3664" s="1">
        <v>3649</v>
      </c>
      <c r="C3664" s="106">
        <f ca="1"/>
        <v>-0.92053923463431153</v>
      </c>
      <c r="D3664" s="106">
        <f t="shared" ref="D3664:D3727" ca="1" si="210">S0*EXP((μ-0.5*σ*σ)*T+σ*SQRT(T)*$C3664)</f>
        <v>0.60682164984637976</v>
      </c>
      <c r="E3664" s="106">
        <f t="shared" ref="E3664:E3727" ca="1" si="211">MAX(0,CP*(D3664-K))</f>
        <v>0</v>
      </c>
      <c r="F3664" s="21">
        <f t="shared" ref="F3664:F3727" ca="1" si="212">(CP*(D3664-K)&gt;0)*1</f>
        <v>0</v>
      </c>
      <c r="H3664" s="21">
        <v>3649</v>
      </c>
      <c r="I3664" s="107">
        <v>0.66764841608331593</v>
      </c>
      <c r="J3664" s="108">
        <v>1.3280363182999245E-3</v>
      </c>
      <c r="K3664" s="108"/>
      <c r="L3664" s="108">
        <v>3.9800000000000002E-2</v>
      </c>
      <c r="O3664" s="105"/>
    </row>
    <row r="3665" spans="2:15" x14ac:dyDescent="0.2">
      <c r="B3665" s="1">
        <v>3650</v>
      </c>
      <c r="C3665" s="106">
        <f ca="1"/>
        <v>-1.2248602353684059</v>
      </c>
      <c r="D3665" s="106">
        <f t="shared" ca="1" si="210"/>
        <v>0.58887639066839481</v>
      </c>
      <c r="E3665" s="106">
        <f t="shared" ca="1" si="211"/>
        <v>0</v>
      </c>
      <c r="F3665" s="21">
        <f t="shared" ca="1" si="212"/>
        <v>0</v>
      </c>
      <c r="H3665" s="21">
        <v>3650</v>
      </c>
      <c r="I3665" s="107">
        <v>0.66778691971365634</v>
      </c>
      <c r="J3665" s="108">
        <v>1.4976431505345411E-3</v>
      </c>
      <c r="K3665" s="108"/>
      <c r="L3665" s="108">
        <v>4.2999999999999997E-2</v>
      </c>
      <c r="O3665" s="105"/>
    </row>
    <row r="3666" spans="2:15" x14ac:dyDescent="0.2">
      <c r="B3666" s="1">
        <v>3651</v>
      </c>
      <c r="C3666" s="106">
        <f ca="1"/>
        <v>-0.35980159241454163</v>
      </c>
      <c r="D3666" s="106">
        <f t="shared" ca="1" si="210"/>
        <v>0.64133172194331045</v>
      </c>
      <c r="E3666" s="106">
        <f t="shared" ca="1" si="211"/>
        <v>0</v>
      </c>
      <c r="F3666" s="21">
        <f t="shared" ca="1" si="212"/>
        <v>0</v>
      </c>
      <c r="H3666" s="21">
        <v>3651</v>
      </c>
      <c r="I3666" s="107">
        <v>0.66760881971706076</v>
      </c>
      <c r="J3666" s="108">
        <v>1.1385794472358417E-3</v>
      </c>
      <c r="K3666" s="108"/>
      <c r="L3666" s="108">
        <v>3.6999999999999998E-2</v>
      </c>
      <c r="O3666" s="105"/>
    </row>
    <row r="3667" spans="2:15" x14ac:dyDescent="0.2">
      <c r="B3667" s="1">
        <v>3652</v>
      </c>
      <c r="C3667" s="106">
        <f ca="1"/>
        <v>-0.64160603884328504</v>
      </c>
      <c r="D3667" s="106">
        <f t="shared" ca="1" si="210"/>
        <v>0.62374976217895584</v>
      </c>
      <c r="E3667" s="106">
        <f t="shared" ca="1" si="211"/>
        <v>0</v>
      </c>
      <c r="F3667" s="21">
        <f t="shared" ca="1" si="212"/>
        <v>0</v>
      </c>
      <c r="H3667" s="21">
        <v>3652</v>
      </c>
      <c r="I3667" s="107">
        <v>0.6677682107746955</v>
      </c>
      <c r="J3667" s="108">
        <v>1.517296751149093E-3</v>
      </c>
      <c r="K3667" s="108"/>
      <c r="L3667" s="108">
        <v>4.2000000000000003E-2</v>
      </c>
      <c r="O3667" s="105"/>
    </row>
    <row r="3668" spans="2:15" x14ac:dyDescent="0.2">
      <c r="B3668" s="1">
        <v>3653</v>
      </c>
      <c r="C3668" s="106">
        <f ca="1"/>
        <v>-7.8784927067345051E-2</v>
      </c>
      <c r="D3668" s="106">
        <f t="shared" ca="1" si="210"/>
        <v>0.65935803434113327</v>
      </c>
      <c r="E3668" s="106">
        <f t="shared" ca="1" si="211"/>
        <v>0</v>
      </c>
      <c r="F3668" s="21">
        <f t="shared" ca="1" si="212"/>
        <v>0</v>
      </c>
      <c r="H3668" s="21">
        <v>3653</v>
      </c>
      <c r="I3668" s="107">
        <v>0.66759648193164678</v>
      </c>
      <c r="J3668" s="108">
        <v>1.2149751195357447E-3</v>
      </c>
      <c r="K3668" s="108"/>
      <c r="L3668" s="108">
        <v>3.8600000000000002E-2</v>
      </c>
      <c r="O3668" s="105"/>
    </row>
    <row r="3669" spans="2:15" x14ac:dyDescent="0.2">
      <c r="B3669" s="1">
        <v>3654</v>
      </c>
      <c r="C3669" s="106">
        <f ca="1"/>
        <v>0.85145413100413625</v>
      </c>
      <c r="D3669" s="106">
        <f t="shared" ca="1" si="210"/>
        <v>0.72272348965155753</v>
      </c>
      <c r="E3669" s="106">
        <f t="shared" ca="1" si="211"/>
        <v>0</v>
      </c>
      <c r="F3669" s="21">
        <f t="shared" ca="1" si="212"/>
        <v>0</v>
      </c>
      <c r="H3669" s="21">
        <v>3654</v>
      </c>
      <c r="I3669" s="107">
        <v>0.66776638379110864</v>
      </c>
      <c r="J3669" s="108">
        <v>1.5266264380693127E-3</v>
      </c>
      <c r="K3669" s="108"/>
      <c r="L3669" s="108">
        <v>4.1399999999999999E-2</v>
      </c>
      <c r="O3669" s="105"/>
    </row>
    <row r="3670" spans="2:15" x14ac:dyDescent="0.2">
      <c r="B3670" s="1">
        <v>3655</v>
      </c>
      <c r="C3670" s="106">
        <f ca="1"/>
        <v>-0.73700307627140105</v>
      </c>
      <c r="D3670" s="106">
        <f t="shared" ca="1" si="210"/>
        <v>0.61790775066268966</v>
      </c>
      <c r="E3670" s="106">
        <f t="shared" ca="1" si="211"/>
        <v>0</v>
      </c>
      <c r="F3670" s="21">
        <f t="shared" ca="1" si="212"/>
        <v>0</v>
      </c>
      <c r="H3670" s="21">
        <v>3655</v>
      </c>
      <c r="I3670" s="107">
        <v>0.66772653714281149</v>
      </c>
      <c r="J3670" s="108">
        <v>1.3959362872721477E-3</v>
      </c>
      <c r="K3670" s="108"/>
      <c r="L3670" s="108">
        <v>4.2000000000000003E-2</v>
      </c>
      <c r="O3670" s="105"/>
    </row>
    <row r="3671" spans="2:15" x14ac:dyDescent="0.2">
      <c r="B3671" s="1">
        <v>3656</v>
      </c>
      <c r="C3671" s="106">
        <f ca="1"/>
        <v>1.2584481842994323E-2</v>
      </c>
      <c r="D3671" s="106">
        <f t="shared" ca="1" si="210"/>
        <v>0.66532755683482392</v>
      </c>
      <c r="E3671" s="106">
        <f t="shared" ca="1" si="211"/>
        <v>0</v>
      </c>
      <c r="F3671" s="21">
        <f t="shared" ca="1" si="212"/>
        <v>0</v>
      </c>
      <c r="H3671" s="21">
        <v>3656</v>
      </c>
      <c r="I3671" s="107">
        <v>0.6677540920915267</v>
      </c>
      <c r="J3671" s="108">
        <v>1.3055517866700859E-3</v>
      </c>
      <c r="K3671" s="108"/>
      <c r="L3671" s="108">
        <v>4.2999999999999997E-2</v>
      </c>
      <c r="O3671" s="105"/>
    </row>
    <row r="3672" spans="2:15" x14ac:dyDescent="0.2">
      <c r="B3672" s="1">
        <v>3657</v>
      </c>
      <c r="C3672" s="106">
        <f ca="1"/>
        <v>0.97243963793655719</v>
      </c>
      <c r="D3672" s="106">
        <f t="shared" ca="1" si="210"/>
        <v>0.73140026731135499</v>
      </c>
      <c r="E3672" s="106">
        <f t="shared" ca="1" si="211"/>
        <v>0</v>
      </c>
      <c r="F3672" s="21">
        <f t="shared" ca="1" si="212"/>
        <v>0</v>
      </c>
      <c r="H3672" s="21">
        <v>3657</v>
      </c>
      <c r="I3672" s="107">
        <v>0.66763785107307838</v>
      </c>
      <c r="J3672" s="108">
        <v>1.3132823772477487E-3</v>
      </c>
      <c r="K3672" s="108"/>
      <c r="L3672" s="108">
        <v>3.9199999999999999E-2</v>
      </c>
      <c r="O3672" s="105"/>
    </row>
    <row r="3673" spans="2:15" x14ac:dyDescent="0.2">
      <c r="B3673" s="1">
        <v>3658</v>
      </c>
      <c r="C3673" s="106">
        <f ca="1"/>
        <v>0.73170773432497727</v>
      </c>
      <c r="D3673" s="106">
        <f t="shared" ca="1" si="210"/>
        <v>0.71423694074158917</v>
      </c>
      <c r="E3673" s="106">
        <f t="shared" ca="1" si="211"/>
        <v>0</v>
      </c>
      <c r="F3673" s="21">
        <f t="shared" ca="1" si="212"/>
        <v>0</v>
      </c>
      <c r="H3673" s="21">
        <v>3658</v>
      </c>
      <c r="I3673" s="107">
        <v>0.6678408328773533</v>
      </c>
      <c r="J3673" s="108">
        <v>1.4516776192259992E-3</v>
      </c>
      <c r="K3673" s="108"/>
      <c r="L3673" s="108">
        <v>3.9600000000000003E-2</v>
      </c>
      <c r="O3673" s="105"/>
    </row>
    <row r="3674" spans="2:15" x14ac:dyDescent="0.2">
      <c r="B3674" s="1">
        <v>3659</v>
      </c>
      <c r="C3674" s="106">
        <f ca="1"/>
        <v>2.3078709400087836</v>
      </c>
      <c r="D3674" s="106">
        <f t="shared" ca="1" si="210"/>
        <v>0.83438054336539291</v>
      </c>
      <c r="E3674" s="106">
        <f t="shared" ca="1" si="211"/>
        <v>4.6180543365392901E-2</v>
      </c>
      <c r="F3674" s="21">
        <f t="shared" ca="1" si="212"/>
        <v>1</v>
      </c>
      <c r="H3674" s="21">
        <v>3659</v>
      </c>
      <c r="I3674" s="107">
        <v>0.66763942872923887</v>
      </c>
      <c r="J3674" s="108">
        <v>1.1557229488885019E-3</v>
      </c>
      <c r="K3674" s="108"/>
      <c r="L3674" s="108">
        <v>3.8600000000000002E-2</v>
      </c>
      <c r="O3674" s="105"/>
    </row>
    <row r="3675" spans="2:15" x14ac:dyDescent="0.2">
      <c r="B3675" s="1">
        <v>3660</v>
      </c>
      <c r="C3675" s="106">
        <f ca="1"/>
        <v>1.4017785176404856</v>
      </c>
      <c r="D3675" s="106">
        <f t="shared" ca="1" si="210"/>
        <v>0.76304074239349007</v>
      </c>
      <c r="E3675" s="106">
        <f t="shared" ca="1" si="211"/>
        <v>0</v>
      </c>
      <c r="F3675" s="21">
        <f t="shared" ca="1" si="212"/>
        <v>0</v>
      </c>
      <c r="H3675" s="21">
        <v>3660</v>
      </c>
      <c r="I3675" s="107">
        <v>0.66764278512758402</v>
      </c>
      <c r="J3675" s="108">
        <v>1.2935171355035631E-3</v>
      </c>
      <c r="K3675" s="108"/>
      <c r="L3675" s="108">
        <v>3.8600000000000002E-2</v>
      </c>
      <c r="O3675" s="105"/>
    </row>
    <row r="3676" spans="2:15" x14ac:dyDescent="0.2">
      <c r="B3676" s="1">
        <v>3661</v>
      </c>
      <c r="C3676" s="106">
        <f ca="1"/>
        <v>-1.0961253475842956</v>
      </c>
      <c r="D3676" s="106">
        <f t="shared" ca="1" si="210"/>
        <v>0.59640196555769887</v>
      </c>
      <c r="E3676" s="106">
        <f t="shared" ca="1" si="211"/>
        <v>0</v>
      </c>
      <c r="F3676" s="21">
        <f t="shared" ca="1" si="212"/>
        <v>0</v>
      </c>
      <c r="H3676" s="21">
        <v>3661</v>
      </c>
      <c r="I3676" s="107">
        <v>0.66770347676583341</v>
      </c>
      <c r="J3676" s="108">
        <v>1.3308849644311825E-3</v>
      </c>
      <c r="K3676" s="108"/>
      <c r="L3676" s="108">
        <v>4.1399999999999999E-2</v>
      </c>
      <c r="O3676" s="105"/>
    </row>
    <row r="3677" spans="2:15" x14ac:dyDescent="0.2">
      <c r="B3677" s="1">
        <v>3662</v>
      </c>
      <c r="C3677" s="106">
        <f ca="1"/>
        <v>2.7556099754212009</v>
      </c>
      <c r="D3677" s="106">
        <f t="shared" ca="1" si="210"/>
        <v>0.87205732144514403</v>
      </c>
      <c r="E3677" s="106">
        <f t="shared" ca="1" si="211"/>
        <v>8.3857321445144017E-2</v>
      </c>
      <c r="F3677" s="21">
        <f t="shared" ca="1" si="212"/>
        <v>1</v>
      </c>
      <c r="H3677" s="21">
        <v>3662</v>
      </c>
      <c r="I3677" s="107">
        <v>0.66775150355272139</v>
      </c>
      <c r="J3677" s="108">
        <v>1.3654386446275472E-3</v>
      </c>
      <c r="K3677" s="108"/>
      <c r="L3677" s="108">
        <v>4.3400000000000001E-2</v>
      </c>
      <c r="O3677" s="105"/>
    </row>
    <row r="3678" spans="2:15" x14ac:dyDescent="0.2">
      <c r="B3678" s="1">
        <v>3663</v>
      </c>
      <c r="C3678" s="106">
        <f ca="1"/>
        <v>-0.80572652051946259</v>
      </c>
      <c r="D3678" s="106">
        <f t="shared" ca="1" si="210"/>
        <v>0.61373313731708112</v>
      </c>
      <c r="E3678" s="106">
        <f t="shared" ca="1" si="211"/>
        <v>0</v>
      </c>
      <c r="F3678" s="21">
        <f t="shared" ca="1" si="212"/>
        <v>0</v>
      </c>
      <c r="H3678" s="21">
        <v>3663</v>
      </c>
      <c r="I3678" s="107">
        <v>0.66783712415036556</v>
      </c>
      <c r="J3678" s="108">
        <v>1.4595079108835681E-3</v>
      </c>
      <c r="K3678" s="108"/>
      <c r="L3678" s="108">
        <v>4.3999999999999997E-2</v>
      </c>
      <c r="O3678" s="105"/>
    </row>
    <row r="3679" spans="2:15" x14ac:dyDescent="0.2">
      <c r="B3679" s="1">
        <v>3664</v>
      </c>
      <c r="C3679" s="106">
        <f ca="1"/>
        <v>0.17171341799405049</v>
      </c>
      <c r="D3679" s="106">
        <f t="shared" ca="1" si="210"/>
        <v>0.67585339098686548</v>
      </c>
      <c r="E3679" s="106">
        <f t="shared" ca="1" si="211"/>
        <v>0</v>
      </c>
      <c r="F3679" s="21">
        <f t="shared" ca="1" si="212"/>
        <v>0</v>
      </c>
      <c r="H3679" s="21">
        <v>3664</v>
      </c>
      <c r="I3679" s="107">
        <v>0.66765569501691002</v>
      </c>
      <c r="J3679" s="108">
        <v>1.2396738243493095E-3</v>
      </c>
      <c r="K3679" s="108"/>
      <c r="L3679" s="108">
        <v>3.8199999999999998E-2</v>
      </c>
      <c r="O3679" s="105"/>
    </row>
    <row r="3680" spans="2:15" x14ac:dyDescent="0.2">
      <c r="B3680" s="1">
        <v>3665</v>
      </c>
      <c r="C3680" s="106">
        <f ca="1"/>
        <v>-0.80099453503086271</v>
      </c>
      <c r="D3680" s="106">
        <f t="shared" ca="1" si="210"/>
        <v>0.61401967598606588</v>
      </c>
      <c r="E3680" s="106">
        <f t="shared" ca="1" si="211"/>
        <v>0</v>
      </c>
      <c r="F3680" s="21">
        <f t="shared" ca="1" si="212"/>
        <v>0</v>
      </c>
      <c r="H3680" s="21">
        <v>3665</v>
      </c>
      <c r="I3680" s="107">
        <v>0.66780040085800474</v>
      </c>
      <c r="J3680" s="108">
        <v>1.3775448125123617E-3</v>
      </c>
      <c r="K3680" s="108"/>
      <c r="L3680" s="108">
        <v>0.04</v>
      </c>
      <c r="O3680" s="105"/>
    </row>
    <row r="3681" spans="2:15" x14ac:dyDescent="0.2">
      <c r="B3681" s="1">
        <v>3666</v>
      </c>
      <c r="C3681" s="106">
        <f ca="1"/>
        <v>1.2974423212702451</v>
      </c>
      <c r="D3681" s="106">
        <f t="shared" ca="1" si="210"/>
        <v>0.75522790660902384</v>
      </c>
      <c r="E3681" s="106">
        <f t="shared" ca="1" si="211"/>
        <v>0</v>
      </c>
      <c r="F3681" s="21">
        <f t="shared" ca="1" si="212"/>
        <v>0</v>
      </c>
      <c r="H3681" s="21">
        <v>3666</v>
      </c>
      <c r="I3681" s="107">
        <v>0.6677659623877058</v>
      </c>
      <c r="J3681" s="108">
        <v>1.3769474251551343E-3</v>
      </c>
      <c r="K3681" s="108"/>
      <c r="L3681" s="108">
        <v>4.36E-2</v>
      </c>
      <c r="O3681" s="105"/>
    </row>
    <row r="3682" spans="2:15" x14ac:dyDescent="0.2">
      <c r="B3682" s="1">
        <v>3667</v>
      </c>
      <c r="C3682" s="106">
        <f ca="1"/>
        <v>-1.0466825139474742</v>
      </c>
      <c r="D3682" s="106">
        <f t="shared" ca="1" si="210"/>
        <v>0.59931778616006148</v>
      </c>
      <c r="E3682" s="106">
        <f t="shared" ca="1" si="211"/>
        <v>0</v>
      </c>
      <c r="F3682" s="21">
        <f t="shared" ca="1" si="212"/>
        <v>0</v>
      </c>
      <c r="H3682" s="21">
        <v>3667</v>
      </c>
      <c r="I3682" s="107">
        <v>0.66767000762666651</v>
      </c>
      <c r="J3682" s="108">
        <v>1.2502902754608892E-3</v>
      </c>
      <c r="K3682" s="108"/>
      <c r="L3682" s="108">
        <v>3.8399999999999997E-2</v>
      </c>
      <c r="O3682" s="105"/>
    </row>
    <row r="3683" spans="2:15" x14ac:dyDescent="0.2">
      <c r="B3683" s="1">
        <v>3668</v>
      </c>
      <c r="C3683" s="106">
        <f ca="1"/>
        <v>0.83074035559386628</v>
      </c>
      <c r="D3683" s="106">
        <f t="shared" ca="1" si="210"/>
        <v>0.72124830383946525</v>
      </c>
      <c r="E3683" s="106">
        <f t="shared" ca="1" si="211"/>
        <v>0</v>
      </c>
      <c r="F3683" s="21">
        <f t="shared" ca="1" si="212"/>
        <v>0</v>
      </c>
      <c r="H3683" s="21">
        <v>3668</v>
      </c>
      <c r="I3683" s="107">
        <v>0.66784997959958969</v>
      </c>
      <c r="J3683" s="108">
        <v>1.4470412563542517E-3</v>
      </c>
      <c r="K3683" s="108"/>
      <c r="L3683" s="108">
        <v>4.4200000000000003E-2</v>
      </c>
      <c r="O3683" s="105"/>
    </row>
    <row r="3684" spans="2:15" x14ac:dyDescent="0.2">
      <c r="B3684" s="1">
        <v>3669</v>
      </c>
      <c r="C3684" s="106">
        <f ca="1"/>
        <v>0.10434102647678861</v>
      </c>
      <c r="D3684" s="106">
        <f t="shared" ca="1" si="210"/>
        <v>0.67137676238747113</v>
      </c>
      <c r="E3684" s="106">
        <f t="shared" ca="1" si="211"/>
        <v>0</v>
      </c>
      <c r="F3684" s="21">
        <f t="shared" ca="1" si="212"/>
        <v>0</v>
      </c>
      <c r="H3684" s="21">
        <v>3669</v>
      </c>
      <c r="I3684" s="107">
        <v>0.66762989709575637</v>
      </c>
      <c r="J3684" s="108">
        <v>1.2248008537560167E-3</v>
      </c>
      <c r="K3684" s="108"/>
      <c r="L3684" s="108">
        <v>3.6200000000000003E-2</v>
      </c>
      <c r="O3684" s="105"/>
    </row>
    <row r="3685" spans="2:15" x14ac:dyDescent="0.2">
      <c r="B3685" s="1">
        <v>3670</v>
      </c>
      <c r="C3685" s="106">
        <f ca="1"/>
        <v>0.66530531401799542</v>
      </c>
      <c r="D3685" s="106">
        <f t="shared" ca="1" si="210"/>
        <v>0.70957396049891497</v>
      </c>
      <c r="E3685" s="106">
        <f t="shared" ca="1" si="211"/>
        <v>0</v>
      </c>
      <c r="F3685" s="21">
        <f t="shared" ca="1" si="212"/>
        <v>0</v>
      </c>
      <c r="H3685" s="21">
        <v>3670</v>
      </c>
      <c r="I3685" s="107">
        <v>0.6678152257353086</v>
      </c>
      <c r="J3685" s="108">
        <v>1.41354965537602E-3</v>
      </c>
      <c r="K3685" s="108"/>
      <c r="L3685" s="108">
        <v>4.2799999999999998E-2</v>
      </c>
      <c r="O3685" s="105"/>
    </row>
    <row r="3686" spans="2:15" x14ac:dyDescent="0.2">
      <c r="B3686" s="1">
        <v>3671</v>
      </c>
      <c r="C3686" s="106">
        <f ca="1"/>
        <v>-1.172994618314543</v>
      </c>
      <c r="D3686" s="106">
        <f t="shared" ca="1" si="210"/>
        <v>0.59189685708840678</v>
      </c>
      <c r="E3686" s="106">
        <f t="shared" ca="1" si="211"/>
        <v>0</v>
      </c>
      <c r="F3686" s="21">
        <f t="shared" ca="1" si="212"/>
        <v>0</v>
      </c>
      <c r="H3686" s="21">
        <v>3671</v>
      </c>
      <c r="I3686" s="107">
        <v>0.66772533503663212</v>
      </c>
      <c r="J3686" s="108">
        <v>1.3488165208735408E-3</v>
      </c>
      <c r="K3686" s="108"/>
      <c r="L3686" s="108">
        <v>4.02E-2</v>
      </c>
      <c r="O3686" s="105"/>
    </row>
    <row r="3687" spans="2:15" x14ac:dyDescent="0.2">
      <c r="B3687" s="1">
        <v>3672</v>
      </c>
      <c r="C3687" s="106">
        <f ca="1"/>
        <v>0.95079744782343245</v>
      </c>
      <c r="D3687" s="106">
        <f t="shared" ca="1" si="210"/>
        <v>0.72984052901141194</v>
      </c>
      <c r="E3687" s="106">
        <f t="shared" ca="1" si="211"/>
        <v>0</v>
      </c>
      <c r="F3687" s="21">
        <f t="shared" ca="1" si="212"/>
        <v>0</v>
      </c>
      <c r="H3687" s="21">
        <v>3672</v>
      </c>
      <c r="I3687" s="107">
        <v>0.66761126211897071</v>
      </c>
      <c r="J3687" s="108">
        <v>1.0830353823346104E-3</v>
      </c>
      <c r="K3687" s="108"/>
      <c r="L3687" s="108">
        <v>4.2599999999999999E-2</v>
      </c>
      <c r="O3687" s="105"/>
    </row>
    <row r="3688" spans="2:15" x14ac:dyDescent="0.2">
      <c r="B3688" s="1">
        <v>3673</v>
      </c>
      <c r="C3688" s="106">
        <f ca="1"/>
        <v>0.2354266223288464</v>
      </c>
      <c r="D3688" s="106">
        <f t="shared" ca="1" si="210"/>
        <v>0.68011433941094268</v>
      </c>
      <c r="E3688" s="106">
        <f t="shared" ca="1" si="211"/>
        <v>0</v>
      </c>
      <c r="F3688" s="21">
        <f t="shared" ca="1" si="212"/>
        <v>0</v>
      </c>
      <c r="H3688" s="21">
        <v>3673</v>
      </c>
      <c r="I3688" s="107">
        <v>0.66768790870980688</v>
      </c>
      <c r="J3688" s="108">
        <v>1.4674070490231419E-3</v>
      </c>
      <c r="K3688" s="108"/>
      <c r="L3688" s="108">
        <v>4.0800000000000003E-2</v>
      </c>
      <c r="O3688" s="105"/>
    </row>
    <row r="3689" spans="2:15" x14ac:dyDescent="0.2">
      <c r="B3689" s="1">
        <v>3674</v>
      </c>
      <c r="C3689" s="106">
        <f ca="1"/>
        <v>1.5597415046593082</v>
      </c>
      <c r="D3689" s="106">
        <f t="shared" ca="1" si="210"/>
        <v>0.77502330971506828</v>
      </c>
      <c r="E3689" s="106">
        <f t="shared" ca="1" si="211"/>
        <v>0</v>
      </c>
      <c r="F3689" s="21">
        <f t="shared" ca="1" si="212"/>
        <v>0</v>
      </c>
      <c r="H3689" s="21">
        <v>3674</v>
      </c>
      <c r="I3689" s="107">
        <v>0.6677970986874302</v>
      </c>
      <c r="J3689" s="108">
        <v>1.5591709776228875E-3</v>
      </c>
      <c r="K3689" s="108"/>
      <c r="L3689" s="108">
        <v>4.5999999999999999E-2</v>
      </c>
      <c r="O3689" s="105"/>
    </row>
    <row r="3690" spans="2:15" x14ac:dyDescent="0.2">
      <c r="B3690" s="1">
        <v>3675</v>
      </c>
      <c r="C3690" s="106">
        <f ca="1"/>
        <v>0.56365012771342748</v>
      </c>
      <c r="D3690" s="106">
        <f t="shared" ca="1" si="210"/>
        <v>0.70249433136673678</v>
      </c>
      <c r="E3690" s="106">
        <f t="shared" ca="1" si="211"/>
        <v>0</v>
      </c>
      <c r="F3690" s="21">
        <f t="shared" ca="1" si="212"/>
        <v>0</v>
      </c>
      <c r="H3690" s="21">
        <v>3675</v>
      </c>
      <c r="I3690" s="107">
        <v>0.66764538191032297</v>
      </c>
      <c r="J3690" s="108">
        <v>1.2076545778739749E-3</v>
      </c>
      <c r="K3690" s="108"/>
      <c r="L3690" s="108">
        <v>4.2200000000000001E-2</v>
      </c>
      <c r="O3690" s="105"/>
    </row>
    <row r="3691" spans="2:15" x14ac:dyDescent="0.2">
      <c r="B3691" s="1">
        <v>3676</v>
      </c>
      <c r="C3691" s="106">
        <f ca="1"/>
        <v>0.97897747665841739</v>
      </c>
      <c r="D3691" s="106">
        <f t="shared" ca="1" si="210"/>
        <v>0.73187210025948535</v>
      </c>
      <c r="E3691" s="106">
        <f t="shared" ca="1" si="211"/>
        <v>0</v>
      </c>
      <c r="F3691" s="21">
        <f t="shared" ca="1" si="212"/>
        <v>0</v>
      </c>
      <c r="H3691" s="21">
        <v>3676</v>
      </c>
      <c r="I3691" s="107">
        <v>0.66757192752505146</v>
      </c>
      <c r="J3691" s="108">
        <v>1.3188111072373759E-3</v>
      </c>
      <c r="K3691" s="108"/>
      <c r="L3691" s="108">
        <v>3.6999999999999998E-2</v>
      </c>
      <c r="O3691" s="105"/>
    </row>
    <row r="3692" spans="2:15" x14ac:dyDescent="0.2">
      <c r="B3692" s="1">
        <v>3677</v>
      </c>
      <c r="C3692" s="106">
        <f ca="1"/>
        <v>-0.45575526614442713</v>
      </c>
      <c r="D3692" s="106">
        <f t="shared" ca="1" si="210"/>
        <v>0.63529015555046797</v>
      </c>
      <c r="E3692" s="106">
        <f t="shared" ca="1" si="211"/>
        <v>0</v>
      </c>
      <c r="F3692" s="21">
        <f t="shared" ca="1" si="212"/>
        <v>0</v>
      </c>
      <c r="H3692" s="21">
        <v>3677</v>
      </c>
      <c r="I3692" s="107">
        <v>0.66767664661803805</v>
      </c>
      <c r="J3692" s="108">
        <v>1.2088635473254132E-3</v>
      </c>
      <c r="K3692" s="108"/>
      <c r="L3692" s="108">
        <v>3.9E-2</v>
      </c>
      <c r="O3692" s="105"/>
    </row>
    <row r="3693" spans="2:15" x14ac:dyDescent="0.2">
      <c r="B3693" s="1">
        <v>3678</v>
      </c>
      <c r="C3693" s="106">
        <f ca="1"/>
        <v>1.9219950758565023E-2</v>
      </c>
      <c r="D3693" s="106">
        <f t="shared" ca="1" si="210"/>
        <v>0.66576317719399181</v>
      </c>
      <c r="E3693" s="106">
        <f t="shared" ca="1" si="211"/>
        <v>0</v>
      </c>
      <c r="F3693" s="21">
        <f t="shared" ca="1" si="212"/>
        <v>0</v>
      </c>
      <c r="H3693" s="21">
        <v>3678</v>
      </c>
      <c r="I3693" s="107">
        <v>0.66783031868839948</v>
      </c>
      <c r="J3693" s="108">
        <v>1.4881274218071817E-3</v>
      </c>
      <c r="K3693" s="108"/>
      <c r="L3693" s="108">
        <v>4.3999999999999997E-2</v>
      </c>
      <c r="O3693" s="105"/>
    </row>
    <row r="3694" spans="2:15" x14ac:dyDescent="0.2">
      <c r="B3694" s="1">
        <v>3679</v>
      </c>
      <c r="C3694" s="106">
        <f ca="1"/>
        <v>-0.23044824220238211</v>
      </c>
      <c r="D3694" s="106">
        <f t="shared" ca="1" si="210"/>
        <v>0.6495672785894343</v>
      </c>
      <c r="E3694" s="106">
        <f t="shared" ca="1" si="211"/>
        <v>0</v>
      </c>
      <c r="F3694" s="21">
        <f t="shared" ca="1" si="212"/>
        <v>0</v>
      </c>
      <c r="H3694" s="21">
        <v>3679</v>
      </c>
      <c r="I3694" s="107">
        <v>0.66784796550396719</v>
      </c>
      <c r="J3694" s="108">
        <v>1.5439348226515702E-3</v>
      </c>
      <c r="K3694" s="108"/>
      <c r="L3694" s="108">
        <v>4.2999999999999997E-2</v>
      </c>
      <c r="O3694" s="105"/>
    </row>
    <row r="3695" spans="2:15" x14ac:dyDescent="0.2">
      <c r="B3695" s="1">
        <v>3680</v>
      </c>
      <c r="C3695" s="106">
        <f ca="1"/>
        <v>0.1984864884269639</v>
      </c>
      <c r="D3695" s="106">
        <f t="shared" ca="1" si="210"/>
        <v>0.67764063222006421</v>
      </c>
      <c r="E3695" s="106">
        <f t="shared" ca="1" si="211"/>
        <v>0</v>
      </c>
      <c r="F3695" s="21">
        <f t="shared" ca="1" si="212"/>
        <v>0</v>
      </c>
      <c r="H3695" s="21">
        <v>3680</v>
      </c>
      <c r="I3695" s="107">
        <v>0.66777282516007286</v>
      </c>
      <c r="J3695" s="108">
        <v>1.4008446570969437E-3</v>
      </c>
      <c r="K3695" s="108"/>
      <c r="L3695" s="108">
        <v>4.3200000000000002E-2</v>
      </c>
      <c r="O3695" s="105"/>
    </row>
    <row r="3696" spans="2:15" x14ac:dyDescent="0.2">
      <c r="B3696" s="1">
        <v>3681</v>
      </c>
      <c r="C3696" s="106">
        <f ca="1"/>
        <v>0.25075209148056915</v>
      </c>
      <c r="D3696" s="106">
        <f t="shared" ca="1" si="210"/>
        <v>0.6811432625135504</v>
      </c>
      <c r="E3696" s="106">
        <f t="shared" ca="1" si="211"/>
        <v>0</v>
      </c>
      <c r="F3696" s="21">
        <f t="shared" ca="1" si="212"/>
        <v>0</v>
      </c>
      <c r="H3696" s="21">
        <v>3681</v>
      </c>
      <c r="I3696" s="107">
        <v>0.66768393844661789</v>
      </c>
      <c r="J3696" s="108">
        <v>1.3432936121971712E-3</v>
      </c>
      <c r="K3696" s="108"/>
      <c r="L3696" s="108">
        <v>4.2200000000000001E-2</v>
      </c>
      <c r="O3696" s="105"/>
    </row>
    <row r="3697" spans="2:15" x14ac:dyDescent="0.2">
      <c r="B3697" s="1">
        <v>3682</v>
      </c>
      <c r="C3697" s="106">
        <f ca="1"/>
        <v>-0.97387109170783626</v>
      </c>
      <c r="D3697" s="106">
        <f t="shared" ca="1" si="210"/>
        <v>0.60363771022804302</v>
      </c>
      <c r="E3697" s="106">
        <f t="shared" ca="1" si="211"/>
        <v>0</v>
      </c>
      <c r="F3697" s="21">
        <f t="shared" ca="1" si="212"/>
        <v>0</v>
      </c>
      <c r="H3697" s="21">
        <v>3682</v>
      </c>
      <c r="I3697" s="107">
        <v>0.66763716106451509</v>
      </c>
      <c r="J3697" s="108">
        <v>1.2367546803496259E-3</v>
      </c>
      <c r="K3697" s="108"/>
      <c r="L3697" s="108">
        <v>3.8199999999999998E-2</v>
      </c>
      <c r="O3697" s="105"/>
    </row>
    <row r="3698" spans="2:15" x14ac:dyDescent="0.2">
      <c r="B3698" s="1">
        <v>3683</v>
      </c>
      <c r="C3698" s="106">
        <f ca="1"/>
        <v>-0.42994568754201645</v>
      </c>
      <c r="D3698" s="106">
        <f t="shared" ca="1" si="210"/>
        <v>0.63690959565647953</v>
      </c>
      <c r="E3698" s="106">
        <f t="shared" ca="1" si="211"/>
        <v>0</v>
      </c>
      <c r="F3698" s="21">
        <f t="shared" ca="1" si="212"/>
        <v>0</v>
      </c>
      <c r="H3698" s="21">
        <v>3683</v>
      </c>
      <c r="I3698" s="107">
        <v>0.66770468379765147</v>
      </c>
      <c r="J3698" s="108">
        <v>1.3026341584713821E-3</v>
      </c>
      <c r="K3698" s="108"/>
      <c r="L3698" s="108">
        <v>4.2000000000000003E-2</v>
      </c>
      <c r="O3698" s="105"/>
    </row>
    <row r="3699" spans="2:15" x14ac:dyDescent="0.2">
      <c r="B3699" s="1">
        <v>3684</v>
      </c>
      <c r="C3699" s="106">
        <f ca="1"/>
        <v>-5.1944679655209193E-2</v>
      </c>
      <c r="D3699" s="106">
        <f t="shared" ca="1" si="210"/>
        <v>0.66110603565458614</v>
      </c>
      <c r="E3699" s="106">
        <f t="shared" ca="1" si="211"/>
        <v>0</v>
      </c>
      <c r="F3699" s="21">
        <f t="shared" ca="1" si="212"/>
        <v>0</v>
      </c>
      <c r="H3699" s="21">
        <v>3684</v>
      </c>
      <c r="I3699" s="107">
        <v>0.66773593771948814</v>
      </c>
      <c r="J3699" s="108">
        <v>1.2862229154622011E-3</v>
      </c>
      <c r="K3699" s="108"/>
      <c r="L3699" s="108">
        <v>4.0800000000000003E-2</v>
      </c>
      <c r="O3699" s="105"/>
    </row>
    <row r="3700" spans="2:15" x14ac:dyDescent="0.2">
      <c r="B3700" s="1">
        <v>3685</v>
      </c>
      <c r="C3700" s="106">
        <f ca="1"/>
        <v>0.30287368344996279</v>
      </c>
      <c r="D3700" s="106">
        <f t="shared" ca="1" si="210"/>
        <v>0.68465427152927605</v>
      </c>
      <c r="E3700" s="106">
        <f t="shared" ca="1" si="211"/>
        <v>0</v>
      </c>
      <c r="F3700" s="21">
        <f t="shared" ca="1" si="212"/>
        <v>0</v>
      </c>
      <c r="H3700" s="21">
        <v>3685</v>
      </c>
      <c r="I3700" s="107">
        <v>0.66768050516592414</v>
      </c>
      <c r="J3700" s="108">
        <v>1.2330686396358709E-3</v>
      </c>
      <c r="K3700" s="108"/>
      <c r="L3700" s="108">
        <v>4.0800000000000003E-2</v>
      </c>
      <c r="O3700" s="105"/>
    </row>
    <row r="3701" spans="2:15" x14ac:dyDescent="0.2">
      <c r="B3701" s="1">
        <v>3686</v>
      </c>
      <c r="C3701" s="106">
        <f ca="1"/>
        <v>-0.53737064243158283</v>
      </c>
      <c r="D3701" s="106">
        <f t="shared" ca="1" si="210"/>
        <v>0.63019618992319759</v>
      </c>
      <c r="E3701" s="106">
        <f t="shared" ca="1" si="211"/>
        <v>0</v>
      </c>
      <c r="F3701" s="21">
        <f t="shared" ca="1" si="212"/>
        <v>0</v>
      </c>
      <c r="H3701" s="21">
        <v>3686</v>
      </c>
      <c r="I3701" s="107">
        <v>0.66769309097968521</v>
      </c>
      <c r="J3701" s="108">
        <v>1.2664394982049982E-3</v>
      </c>
      <c r="K3701" s="108"/>
      <c r="L3701" s="108">
        <v>4.0800000000000003E-2</v>
      </c>
      <c r="O3701" s="105"/>
    </row>
    <row r="3702" spans="2:15" x14ac:dyDescent="0.2">
      <c r="B3702" s="1">
        <v>3687</v>
      </c>
      <c r="C3702" s="106">
        <f ca="1"/>
        <v>0.22982231214220131</v>
      </c>
      <c r="D3702" s="106">
        <f t="shared" ca="1" si="210"/>
        <v>0.67973846482760969</v>
      </c>
      <c r="E3702" s="106">
        <f t="shared" ca="1" si="211"/>
        <v>0</v>
      </c>
      <c r="F3702" s="21">
        <f t="shared" ca="1" si="212"/>
        <v>0</v>
      </c>
      <c r="H3702" s="21">
        <v>3687</v>
      </c>
      <c r="I3702" s="107">
        <v>0.66762737505234648</v>
      </c>
      <c r="J3702" s="108">
        <v>1.2097123371925225E-3</v>
      </c>
      <c r="K3702" s="108"/>
      <c r="L3702" s="108">
        <v>3.8199999999999998E-2</v>
      </c>
      <c r="O3702" s="105"/>
    </row>
    <row r="3703" spans="2:15" x14ac:dyDescent="0.2">
      <c r="B3703" s="1">
        <v>3688</v>
      </c>
      <c r="C3703" s="106">
        <f ca="1"/>
        <v>-0.42072559019802119</v>
      </c>
      <c r="D3703" s="106">
        <f t="shared" ca="1" si="210"/>
        <v>0.63748911736038816</v>
      </c>
      <c r="E3703" s="106">
        <f t="shared" ca="1" si="211"/>
        <v>0</v>
      </c>
      <c r="F3703" s="21">
        <f t="shared" ca="1" si="212"/>
        <v>0</v>
      </c>
      <c r="H3703" s="21">
        <v>3688</v>
      </c>
      <c r="I3703" s="107">
        <v>0.66780112023940597</v>
      </c>
      <c r="J3703" s="108">
        <v>1.3720066175515323E-3</v>
      </c>
      <c r="K3703" s="108"/>
      <c r="L3703" s="108">
        <v>4.4200000000000003E-2</v>
      </c>
      <c r="O3703" s="105"/>
    </row>
    <row r="3704" spans="2:15" x14ac:dyDescent="0.2">
      <c r="B3704" s="1">
        <v>3689</v>
      </c>
      <c r="C3704" s="106">
        <f ca="1"/>
        <v>-0.26227821653928995</v>
      </c>
      <c r="D3704" s="106">
        <f t="shared" ca="1" si="210"/>
        <v>0.64753099754325671</v>
      </c>
      <c r="E3704" s="106">
        <f t="shared" ca="1" si="211"/>
        <v>0</v>
      </c>
      <c r="F3704" s="21">
        <f t="shared" ca="1" si="212"/>
        <v>0</v>
      </c>
      <c r="H3704" s="21">
        <v>3689</v>
      </c>
      <c r="I3704" s="107">
        <v>0.66794483932889137</v>
      </c>
      <c r="J3704" s="108">
        <v>1.6094032489226446E-3</v>
      </c>
      <c r="K3704" s="108"/>
      <c r="L3704" s="108">
        <v>4.6600000000000003E-2</v>
      </c>
      <c r="O3704" s="105"/>
    </row>
    <row r="3705" spans="2:15" x14ac:dyDescent="0.2">
      <c r="B3705" s="1">
        <v>3690</v>
      </c>
      <c r="C3705" s="106">
        <f ca="1"/>
        <v>0.47209325543645481</v>
      </c>
      <c r="D3705" s="106">
        <f t="shared" ca="1" si="210"/>
        <v>0.69617846359828139</v>
      </c>
      <c r="E3705" s="106">
        <f t="shared" ca="1" si="211"/>
        <v>0</v>
      </c>
      <c r="F3705" s="21">
        <f t="shared" ca="1" si="212"/>
        <v>0</v>
      </c>
      <c r="H3705" s="21">
        <v>3690</v>
      </c>
      <c r="I3705" s="107">
        <v>0.66779040472007201</v>
      </c>
      <c r="J3705" s="108">
        <v>1.4895555370377758E-3</v>
      </c>
      <c r="K3705" s="108"/>
      <c r="L3705" s="108">
        <v>4.5400000000000003E-2</v>
      </c>
      <c r="O3705" s="105"/>
    </row>
    <row r="3706" spans="2:15" x14ac:dyDescent="0.2">
      <c r="B3706" s="1">
        <v>3691</v>
      </c>
      <c r="C3706" s="106">
        <f ca="1"/>
        <v>1.104100209462366</v>
      </c>
      <c r="D3706" s="106">
        <f t="shared" ca="1" si="210"/>
        <v>0.74096103866973939</v>
      </c>
      <c r="E3706" s="106">
        <f t="shared" ca="1" si="211"/>
        <v>0</v>
      </c>
      <c r="F3706" s="21">
        <f t="shared" ca="1" si="212"/>
        <v>0</v>
      </c>
      <c r="H3706" s="21">
        <v>3691</v>
      </c>
      <c r="I3706" s="107">
        <v>0.66776234381203614</v>
      </c>
      <c r="J3706" s="108">
        <v>1.34492825035686E-3</v>
      </c>
      <c r="K3706" s="108"/>
      <c r="L3706" s="108">
        <v>4.4999999999999998E-2</v>
      </c>
      <c r="O3706" s="105"/>
    </row>
    <row r="3707" spans="2:15" x14ac:dyDescent="0.2">
      <c r="B3707" s="1">
        <v>3692</v>
      </c>
      <c r="C3707" s="106">
        <f ca="1"/>
        <v>1.0006735702905398</v>
      </c>
      <c r="D3707" s="106">
        <f t="shared" ca="1" si="210"/>
        <v>0.73344007999407479</v>
      </c>
      <c r="E3707" s="106">
        <f t="shared" ca="1" si="211"/>
        <v>0</v>
      </c>
      <c r="F3707" s="21">
        <f t="shared" ca="1" si="212"/>
        <v>0</v>
      </c>
      <c r="H3707" s="21">
        <v>3692</v>
      </c>
      <c r="I3707" s="107">
        <v>0.66769825039175368</v>
      </c>
      <c r="J3707" s="108">
        <v>1.3187106317619211E-3</v>
      </c>
      <c r="K3707" s="108"/>
      <c r="L3707" s="108">
        <v>3.9E-2</v>
      </c>
      <c r="O3707" s="105"/>
    </row>
    <row r="3708" spans="2:15" x14ac:dyDescent="0.2">
      <c r="B3708" s="1">
        <v>3693</v>
      </c>
      <c r="C3708" s="106">
        <f ca="1"/>
        <v>2.5404591987292623E-3</v>
      </c>
      <c r="D3708" s="106">
        <f t="shared" ca="1" si="210"/>
        <v>0.66466870619300955</v>
      </c>
      <c r="E3708" s="106">
        <f t="shared" ca="1" si="211"/>
        <v>0</v>
      </c>
      <c r="F3708" s="21">
        <f t="shared" ca="1" si="212"/>
        <v>0</v>
      </c>
      <c r="H3708" s="21">
        <v>3693</v>
      </c>
      <c r="I3708" s="107">
        <v>0.66789897387623687</v>
      </c>
      <c r="J3708" s="108">
        <v>1.541693229791288E-3</v>
      </c>
      <c r="K3708" s="108"/>
      <c r="L3708" s="108">
        <v>4.7199999999999999E-2</v>
      </c>
      <c r="O3708" s="105"/>
    </row>
    <row r="3709" spans="2:15" x14ac:dyDescent="0.2">
      <c r="B3709" s="1">
        <v>3694</v>
      </c>
      <c r="C3709" s="106">
        <f ca="1"/>
        <v>0.12512703152690938</v>
      </c>
      <c r="D3709" s="106">
        <f t="shared" ca="1" si="210"/>
        <v>0.67275473802845476</v>
      </c>
      <c r="E3709" s="106">
        <f t="shared" ca="1" si="211"/>
        <v>0</v>
      </c>
      <c r="F3709" s="21">
        <f t="shared" ca="1" si="212"/>
        <v>0</v>
      </c>
      <c r="H3709" s="21">
        <v>3694</v>
      </c>
      <c r="I3709" s="107">
        <v>0.66769634135220868</v>
      </c>
      <c r="J3709" s="108">
        <v>1.2962076417439928E-3</v>
      </c>
      <c r="K3709" s="108"/>
      <c r="L3709" s="108">
        <v>3.78E-2</v>
      </c>
      <c r="O3709" s="105"/>
    </row>
    <row r="3710" spans="2:15" x14ac:dyDescent="0.2">
      <c r="B3710" s="1">
        <v>3695</v>
      </c>
      <c r="C3710" s="106">
        <f ca="1"/>
        <v>-1.3518448414395707</v>
      </c>
      <c r="D3710" s="106">
        <f t="shared" ca="1" si="210"/>
        <v>0.5815461710325498</v>
      </c>
      <c r="E3710" s="106">
        <f t="shared" ca="1" si="211"/>
        <v>0</v>
      </c>
      <c r="F3710" s="21">
        <f t="shared" ca="1" si="212"/>
        <v>0</v>
      </c>
      <c r="H3710" s="21">
        <v>3695</v>
      </c>
      <c r="I3710" s="107">
        <v>0.66787850715614172</v>
      </c>
      <c r="J3710" s="108">
        <v>1.4986157374018076E-3</v>
      </c>
      <c r="K3710" s="108"/>
      <c r="L3710" s="108">
        <v>4.2599999999999999E-2</v>
      </c>
      <c r="O3710" s="105"/>
    </row>
    <row r="3711" spans="2:15" x14ac:dyDescent="0.2">
      <c r="B3711" s="1">
        <v>3696</v>
      </c>
      <c r="C3711" s="106">
        <f ca="1"/>
        <v>-0.13785666823405721</v>
      </c>
      <c r="D3711" s="106">
        <f t="shared" ca="1" si="210"/>
        <v>0.65552718307128199</v>
      </c>
      <c r="E3711" s="106">
        <f t="shared" ca="1" si="211"/>
        <v>0</v>
      </c>
      <c r="F3711" s="21">
        <f t="shared" ca="1" si="212"/>
        <v>0</v>
      </c>
      <c r="H3711" s="21">
        <v>3696</v>
      </c>
      <c r="I3711" s="107">
        <v>0.66770815177339338</v>
      </c>
      <c r="J3711" s="108">
        <v>1.3360822380455205E-3</v>
      </c>
      <c r="K3711" s="108"/>
      <c r="L3711" s="108">
        <v>4.4200000000000003E-2</v>
      </c>
      <c r="O3711" s="105"/>
    </row>
    <row r="3712" spans="2:15" x14ac:dyDescent="0.2">
      <c r="B3712" s="1">
        <v>3697</v>
      </c>
      <c r="C3712" s="106">
        <f ca="1"/>
        <v>-0.12740648631857138</v>
      </c>
      <c r="D3712" s="106">
        <f t="shared" ca="1" si="210"/>
        <v>0.65620326186797806</v>
      </c>
      <c r="E3712" s="106">
        <f t="shared" ca="1" si="211"/>
        <v>0</v>
      </c>
      <c r="F3712" s="21">
        <f t="shared" ca="1" si="212"/>
        <v>0</v>
      </c>
      <c r="H3712" s="21">
        <v>3697</v>
      </c>
      <c r="I3712" s="107">
        <v>0.66776544107419844</v>
      </c>
      <c r="J3712" s="108">
        <v>1.4614321253850217E-3</v>
      </c>
      <c r="K3712" s="108"/>
      <c r="L3712" s="108">
        <v>4.3200000000000002E-2</v>
      </c>
      <c r="O3712" s="105"/>
    </row>
    <row r="3713" spans="2:15" x14ac:dyDescent="0.2">
      <c r="B3713" s="1">
        <v>3698</v>
      </c>
      <c r="C3713" s="106">
        <f ca="1"/>
        <v>0.35495787036847665</v>
      </c>
      <c r="D3713" s="106">
        <f t="shared" ca="1" si="210"/>
        <v>0.68818083915560158</v>
      </c>
      <c r="E3713" s="106">
        <f t="shared" ca="1" si="211"/>
        <v>0</v>
      </c>
      <c r="F3713" s="21">
        <f t="shared" ca="1" si="212"/>
        <v>0</v>
      </c>
      <c r="H3713" s="21">
        <v>3698</v>
      </c>
      <c r="I3713" s="107">
        <v>0.66767088147600129</v>
      </c>
      <c r="J3713" s="108">
        <v>1.1045117132320401E-3</v>
      </c>
      <c r="K3713" s="108"/>
      <c r="L3713" s="108">
        <v>4.02E-2</v>
      </c>
      <c r="O3713" s="105"/>
    </row>
    <row r="3714" spans="2:15" x14ac:dyDescent="0.2">
      <c r="B3714" s="1">
        <v>3699</v>
      </c>
      <c r="C3714" s="106">
        <f ca="1"/>
        <v>-0.25049019067027578</v>
      </c>
      <c r="D3714" s="106">
        <f t="shared" ca="1" si="210"/>
        <v>0.64828437576958797</v>
      </c>
      <c r="E3714" s="106">
        <f t="shared" ca="1" si="211"/>
        <v>0</v>
      </c>
      <c r="F3714" s="21">
        <f t="shared" ca="1" si="212"/>
        <v>0</v>
      </c>
      <c r="H3714" s="21">
        <v>3699</v>
      </c>
      <c r="I3714" s="107">
        <v>0.6675576983012621</v>
      </c>
      <c r="J3714" s="108">
        <v>1.1369076537399586E-3</v>
      </c>
      <c r="K3714" s="108"/>
      <c r="L3714" s="108">
        <v>3.6200000000000003E-2</v>
      </c>
      <c r="O3714" s="105"/>
    </row>
    <row r="3715" spans="2:15" x14ac:dyDescent="0.2">
      <c r="B3715" s="1">
        <v>3700</v>
      </c>
      <c r="C3715" s="106">
        <f ca="1"/>
        <v>-0.17863799432767538</v>
      </c>
      <c r="D3715" s="106">
        <f t="shared" ca="1" si="210"/>
        <v>0.65289547495855571</v>
      </c>
      <c r="E3715" s="106">
        <f t="shared" ca="1" si="211"/>
        <v>0</v>
      </c>
      <c r="F3715" s="21">
        <f t="shared" ca="1" si="212"/>
        <v>0</v>
      </c>
      <c r="H3715" s="21">
        <v>3700</v>
      </c>
      <c r="I3715" s="107">
        <v>0.66767110023563103</v>
      </c>
      <c r="J3715" s="108">
        <v>1.3486601889579292E-3</v>
      </c>
      <c r="K3715" s="108"/>
      <c r="L3715" s="108">
        <v>4.2799999999999998E-2</v>
      </c>
      <c r="O3715" s="105"/>
    </row>
    <row r="3716" spans="2:15" x14ac:dyDescent="0.2">
      <c r="B3716" s="1">
        <v>3701</v>
      </c>
      <c r="C3716" s="106">
        <f ca="1"/>
        <v>1.1560319527791725</v>
      </c>
      <c r="D3716" s="106">
        <f t="shared" ca="1" si="210"/>
        <v>0.74476643602249615</v>
      </c>
      <c r="E3716" s="106">
        <f t="shared" ca="1" si="211"/>
        <v>0</v>
      </c>
      <c r="F3716" s="21">
        <f t="shared" ca="1" si="212"/>
        <v>0</v>
      </c>
      <c r="H3716" s="21">
        <v>3701</v>
      </c>
      <c r="I3716" s="107">
        <v>0.66763493533380147</v>
      </c>
      <c r="J3716" s="108">
        <v>1.1739873035390201E-3</v>
      </c>
      <c r="K3716" s="108"/>
      <c r="L3716" s="108">
        <v>3.4599999999999999E-2</v>
      </c>
      <c r="O3716" s="105"/>
    </row>
    <row r="3717" spans="2:15" x14ac:dyDescent="0.2">
      <c r="B3717" s="1">
        <v>3702</v>
      </c>
      <c r="C3717" s="106">
        <f ca="1"/>
        <v>-0.95961468283250906</v>
      </c>
      <c r="D3717" s="106">
        <f t="shared" ca="1" si="210"/>
        <v>0.6044871856343339</v>
      </c>
      <c r="E3717" s="106">
        <f t="shared" ca="1" si="211"/>
        <v>0</v>
      </c>
      <c r="F3717" s="21">
        <f t="shared" ca="1" si="212"/>
        <v>0</v>
      </c>
      <c r="H3717" s="21">
        <v>3702</v>
      </c>
      <c r="I3717" s="107">
        <v>0.66786203126247201</v>
      </c>
      <c r="J3717" s="108">
        <v>1.4962706405307364E-3</v>
      </c>
      <c r="K3717" s="108"/>
      <c r="L3717" s="108">
        <v>4.4400000000000002E-2</v>
      </c>
      <c r="O3717" s="105"/>
    </row>
    <row r="3718" spans="2:15" x14ac:dyDescent="0.2">
      <c r="B3718" s="1">
        <v>3703</v>
      </c>
      <c r="C3718" s="106">
        <f ca="1"/>
        <v>-1.2425146927479635E-2</v>
      </c>
      <c r="D3718" s="106">
        <f t="shared" ca="1" si="210"/>
        <v>0.66368822803287819</v>
      </c>
      <c r="E3718" s="106">
        <f t="shared" ca="1" si="211"/>
        <v>0</v>
      </c>
      <c r="F3718" s="21">
        <f t="shared" ca="1" si="212"/>
        <v>0</v>
      </c>
      <c r="H3718" s="21">
        <v>3703</v>
      </c>
      <c r="I3718" s="107">
        <v>0.66762475518796127</v>
      </c>
      <c r="J3718" s="108">
        <v>1.303588672763187E-3</v>
      </c>
      <c r="K3718" s="108"/>
      <c r="L3718" s="108">
        <v>3.9399999999999998E-2</v>
      </c>
      <c r="O3718" s="105"/>
    </row>
    <row r="3719" spans="2:15" x14ac:dyDescent="0.2">
      <c r="B3719" s="1">
        <v>3704</v>
      </c>
      <c r="C3719" s="106">
        <f ca="1"/>
        <v>-4.3398544901894973E-2</v>
      </c>
      <c r="D3719" s="106">
        <f t="shared" ca="1" si="210"/>
        <v>0.66166358438034889</v>
      </c>
      <c r="E3719" s="106">
        <f t="shared" ca="1" si="211"/>
        <v>0</v>
      </c>
      <c r="F3719" s="21">
        <f t="shared" ca="1" si="212"/>
        <v>0</v>
      </c>
      <c r="H3719" s="21">
        <v>3704</v>
      </c>
      <c r="I3719" s="107">
        <v>0.66768320429483607</v>
      </c>
      <c r="J3719" s="108">
        <v>1.4494121078207731E-3</v>
      </c>
      <c r="K3719" s="108"/>
      <c r="L3719" s="108">
        <v>4.2999999999999997E-2</v>
      </c>
      <c r="O3719" s="105"/>
    </row>
    <row r="3720" spans="2:15" x14ac:dyDescent="0.2">
      <c r="B3720" s="1">
        <v>3705</v>
      </c>
      <c r="C3720" s="106">
        <f ca="1"/>
        <v>0.72975478760947521</v>
      </c>
      <c r="D3720" s="106">
        <f t="shared" ca="1" si="210"/>
        <v>0.71409936249431438</v>
      </c>
      <c r="E3720" s="106">
        <f t="shared" ca="1" si="211"/>
        <v>0</v>
      </c>
      <c r="F3720" s="21">
        <f t="shared" ca="1" si="212"/>
        <v>0</v>
      </c>
      <c r="H3720" s="21">
        <v>3705</v>
      </c>
      <c r="I3720" s="107">
        <v>0.66784203633108696</v>
      </c>
      <c r="J3720" s="108">
        <v>1.3574189071378772E-3</v>
      </c>
      <c r="K3720" s="108"/>
      <c r="L3720" s="108">
        <v>4.3799999999999999E-2</v>
      </c>
      <c r="O3720" s="105"/>
    </row>
    <row r="3721" spans="2:15" x14ac:dyDescent="0.2">
      <c r="B3721" s="1">
        <v>3706</v>
      </c>
      <c r="C3721" s="106">
        <f ca="1"/>
        <v>-1.1770088822105085</v>
      </c>
      <c r="D3721" s="106">
        <f t="shared" ca="1" si="210"/>
        <v>0.5916625287178765</v>
      </c>
      <c r="E3721" s="106">
        <f t="shared" ca="1" si="211"/>
        <v>0</v>
      </c>
      <c r="F3721" s="21">
        <f t="shared" ca="1" si="212"/>
        <v>0</v>
      </c>
      <c r="H3721" s="21">
        <v>3706</v>
      </c>
      <c r="I3721" s="107">
        <v>0.66772216351063407</v>
      </c>
      <c r="J3721" s="108">
        <v>1.3163153257584671E-3</v>
      </c>
      <c r="K3721" s="108"/>
      <c r="L3721" s="108">
        <v>4.2000000000000003E-2</v>
      </c>
      <c r="O3721" s="105"/>
    </row>
    <row r="3722" spans="2:15" x14ac:dyDescent="0.2">
      <c r="B3722" s="1">
        <v>3707</v>
      </c>
      <c r="C3722" s="106">
        <f ca="1"/>
        <v>-0.60983208361110652</v>
      </c>
      <c r="D3722" s="106">
        <f t="shared" ca="1" si="210"/>
        <v>0.6257078011849132</v>
      </c>
      <c r="E3722" s="106">
        <f t="shared" ca="1" si="211"/>
        <v>0</v>
      </c>
      <c r="F3722" s="21">
        <f t="shared" ca="1" si="212"/>
        <v>0</v>
      </c>
      <c r="H3722" s="21">
        <v>3707</v>
      </c>
      <c r="I3722" s="107">
        <v>0.66764969242752481</v>
      </c>
      <c r="J3722" s="108">
        <v>1.3616204996316605E-3</v>
      </c>
      <c r="K3722" s="108"/>
      <c r="L3722" s="108">
        <v>3.8800000000000001E-2</v>
      </c>
      <c r="O3722" s="105"/>
    </row>
    <row r="3723" spans="2:15" x14ac:dyDescent="0.2">
      <c r="B3723" s="1">
        <v>3708</v>
      </c>
      <c r="C3723" s="106">
        <f ca="1"/>
        <v>0.99865374814205821</v>
      </c>
      <c r="D3723" s="106">
        <f t="shared" ca="1" si="210"/>
        <v>0.7332939654636913</v>
      </c>
      <c r="E3723" s="106">
        <f t="shared" ca="1" si="211"/>
        <v>0</v>
      </c>
      <c r="F3723" s="21">
        <f t="shared" ca="1" si="212"/>
        <v>0</v>
      </c>
      <c r="H3723" s="21">
        <v>3708</v>
      </c>
      <c r="I3723" s="107">
        <v>0.66785463213172858</v>
      </c>
      <c r="J3723" s="108">
        <v>1.5156695297478349E-3</v>
      </c>
      <c r="K3723" s="108"/>
      <c r="L3723" s="108">
        <v>4.7E-2</v>
      </c>
      <c r="O3723" s="105"/>
    </row>
    <row r="3724" spans="2:15" x14ac:dyDescent="0.2">
      <c r="B3724" s="1">
        <v>3709</v>
      </c>
      <c r="C3724" s="106">
        <f ca="1"/>
        <v>0.10948504209234068</v>
      </c>
      <c r="D3724" s="106">
        <f t="shared" ca="1" si="210"/>
        <v>0.67171751380585432</v>
      </c>
      <c r="E3724" s="106">
        <f t="shared" ca="1" si="211"/>
        <v>0</v>
      </c>
      <c r="F3724" s="21">
        <f t="shared" ca="1" si="212"/>
        <v>0</v>
      </c>
      <c r="H3724" s="21">
        <v>3709</v>
      </c>
      <c r="I3724" s="107">
        <v>0.66777080609122719</v>
      </c>
      <c r="J3724" s="108">
        <v>1.5022946337587761E-3</v>
      </c>
      <c r="K3724" s="108"/>
      <c r="L3724" s="108">
        <v>4.4600000000000001E-2</v>
      </c>
      <c r="O3724" s="105"/>
    </row>
    <row r="3725" spans="2:15" x14ac:dyDescent="0.2">
      <c r="B3725" s="1">
        <v>3710</v>
      </c>
      <c r="C3725" s="106">
        <f ca="1"/>
        <v>0.42253859853181452</v>
      </c>
      <c r="D3725" s="106">
        <f t="shared" ca="1" si="210"/>
        <v>0.69278375152184668</v>
      </c>
      <c r="E3725" s="106">
        <f t="shared" ca="1" si="211"/>
        <v>0</v>
      </c>
      <c r="F3725" s="21">
        <f t="shared" ca="1" si="212"/>
        <v>0</v>
      </c>
      <c r="H3725" s="21">
        <v>3710</v>
      </c>
      <c r="I3725" s="107">
        <v>0.66782886287072696</v>
      </c>
      <c r="J3725" s="108">
        <v>1.435188790722321E-3</v>
      </c>
      <c r="K3725" s="108"/>
      <c r="L3725" s="108">
        <v>4.1000000000000002E-2</v>
      </c>
      <c r="O3725" s="105"/>
    </row>
    <row r="3726" spans="2:15" x14ac:dyDescent="0.2">
      <c r="B3726" s="1">
        <v>3711</v>
      </c>
      <c r="C3726" s="106">
        <f ca="1"/>
        <v>-0.37364888607782837</v>
      </c>
      <c r="D3726" s="106">
        <f t="shared" ca="1" si="210"/>
        <v>0.64045631506642653</v>
      </c>
      <c r="E3726" s="106">
        <f t="shared" ca="1" si="211"/>
        <v>0</v>
      </c>
      <c r="F3726" s="21">
        <f t="shared" ca="1" si="212"/>
        <v>0</v>
      </c>
      <c r="H3726" s="21">
        <v>3711</v>
      </c>
      <c r="I3726" s="107">
        <v>0.66778970508918123</v>
      </c>
      <c r="J3726" s="108">
        <v>1.4946220778803082E-3</v>
      </c>
      <c r="K3726" s="108"/>
      <c r="L3726" s="108">
        <v>4.2000000000000003E-2</v>
      </c>
      <c r="O3726" s="105"/>
    </row>
    <row r="3727" spans="2:15" x14ac:dyDescent="0.2">
      <c r="B3727" s="1">
        <v>3712</v>
      </c>
      <c r="C3727" s="106">
        <f ca="1"/>
        <v>0.61000111726822825</v>
      </c>
      <c r="D3727" s="106">
        <f t="shared" ca="1" si="210"/>
        <v>0.70571357568146131</v>
      </c>
      <c r="E3727" s="106">
        <f t="shared" ca="1" si="211"/>
        <v>0</v>
      </c>
      <c r="F3727" s="21">
        <f t="shared" ca="1" si="212"/>
        <v>0</v>
      </c>
      <c r="H3727" s="21">
        <v>3712</v>
      </c>
      <c r="I3727" s="107">
        <v>0.66771087757416392</v>
      </c>
      <c r="J3727" s="108">
        <v>1.2624622486387966E-3</v>
      </c>
      <c r="K3727" s="108"/>
      <c r="L3727" s="108">
        <v>4.24E-2</v>
      </c>
      <c r="O3727" s="105"/>
    </row>
    <row r="3728" spans="2:15" x14ac:dyDescent="0.2">
      <c r="B3728" s="1">
        <v>3713</v>
      </c>
      <c r="C3728" s="106">
        <f ca="1"/>
        <v>0.11110785417714776</v>
      </c>
      <c r="D3728" s="106">
        <f t="shared" ref="D3728:D3791" ca="1" si="213">S0*EXP((μ-0.5*σ*σ)*T+σ*SQRT(T)*$C3728)</f>
        <v>0.67182504849061508</v>
      </c>
      <c r="E3728" s="106">
        <f t="shared" ref="E3728:E3791" ca="1" si="214">MAX(0,CP*(D3728-K))</f>
        <v>0</v>
      </c>
      <c r="F3728" s="21">
        <f t="shared" ref="F3728:F3791" ca="1" si="215">(CP*(D3728-K)&gt;0)*1</f>
        <v>0</v>
      </c>
      <c r="H3728" s="21">
        <v>3713</v>
      </c>
      <c r="I3728" s="107">
        <v>0.66780332605785031</v>
      </c>
      <c r="J3728" s="108">
        <v>1.3364251933208999E-3</v>
      </c>
      <c r="K3728" s="108"/>
      <c r="L3728" s="108">
        <v>3.9199999999999999E-2</v>
      </c>
      <c r="O3728" s="105"/>
    </row>
    <row r="3729" spans="2:15" x14ac:dyDescent="0.2">
      <c r="B3729" s="1">
        <v>3714</v>
      </c>
      <c r="C3729" s="106">
        <f ca="1"/>
        <v>-1.0328523292726377</v>
      </c>
      <c r="D3729" s="106">
        <f t="shared" ca="1" si="213"/>
        <v>0.60013595007022313</v>
      </c>
      <c r="E3729" s="106">
        <f t="shared" ca="1" si="214"/>
        <v>0</v>
      </c>
      <c r="F3729" s="21">
        <f t="shared" ca="1" si="215"/>
        <v>0</v>
      </c>
      <c r="H3729" s="21">
        <v>3714</v>
      </c>
      <c r="I3729" s="107">
        <v>0.66767069857304318</v>
      </c>
      <c r="J3729" s="108">
        <v>1.4510582156737587E-3</v>
      </c>
      <c r="K3729" s="108"/>
      <c r="L3729" s="108">
        <v>4.1000000000000002E-2</v>
      </c>
      <c r="O3729" s="105"/>
    </row>
    <row r="3730" spans="2:15" x14ac:dyDescent="0.2">
      <c r="B3730" s="1">
        <v>3715</v>
      </c>
      <c r="C3730" s="106">
        <f ca="1"/>
        <v>8.5857966489901835E-2</v>
      </c>
      <c r="D3730" s="106">
        <f t="shared" ca="1" si="213"/>
        <v>0.67015382777249399</v>
      </c>
      <c r="E3730" s="106">
        <f t="shared" ca="1" si="214"/>
        <v>0</v>
      </c>
      <c r="F3730" s="21">
        <f t="shared" ca="1" si="215"/>
        <v>0</v>
      </c>
      <c r="H3730" s="21">
        <v>3715</v>
      </c>
      <c r="I3730" s="107">
        <v>0.66777353137290452</v>
      </c>
      <c r="J3730" s="108">
        <v>1.3899206196930605E-3</v>
      </c>
      <c r="K3730" s="108"/>
      <c r="L3730" s="108">
        <v>4.1200000000000001E-2</v>
      </c>
      <c r="O3730" s="105"/>
    </row>
    <row r="3731" spans="2:15" x14ac:dyDescent="0.2">
      <c r="B3731" s="1">
        <v>3716</v>
      </c>
      <c r="C3731" s="106">
        <f ca="1"/>
        <v>-5.5885745883941809E-2</v>
      </c>
      <c r="D3731" s="106">
        <f t="shared" ca="1" si="213"/>
        <v>0.66084907931189285</v>
      </c>
      <c r="E3731" s="106">
        <f t="shared" ca="1" si="214"/>
        <v>0</v>
      </c>
      <c r="F3731" s="21">
        <f t="shared" ca="1" si="215"/>
        <v>0</v>
      </c>
      <c r="H3731" s="21">
        <v>3716</v>
      </c>
      <c r="I3731" s="107">
        <v>0.66780377922306799</v>
      </c>
      <c r="J3731" s="108">
        <v>1.4833932754082201E-3</v>
      </c>
      <c r="K3731" s="108"/>
      <c r="L3731" s="108">
        <v>4.2000000000000003E-2</v>
      </c>
      <c r="O3731" s="105"/>
    </row>
    <row r="3732" spans="2:15" x14ac:dyDescent="0.2">
      <c r="B3732" s="1">
        <v>3717</v>
      </c>
      <c r="C3732" s="106">
        <f ca="1"/>
        <v>0.63596111452982529</v>
      </c>
      <c r="D3732" s="106">
        <f t="shared" ca="1" si="213"/>
        <v>0.70752303235546565</v>
      </c>
      <c r="E3732" s="106">
        <f t="shared" ca="1" si="214"/>
        <v>0</v>
      </c>
      <c r="F3732" s="21">
        <f t="shared" ca="1" si="215"/>
        <v>0</v>
      </c>
      <c r="H3732" s="21">
        <v>3717</v>
      </c>
      <c r="I3732" s="107">
        <v>0.667710656547855</v>
      </c>
      <c r="J3732" s="108">
        <v>1.3270608916493727E-3</v>
      </c>
      <c r="K3732" s="108"/>
      <c r="L3732" s="108">
        <v>4.4400000000000002E-2</v>
      </c>
      <c r="O3732" s="105"/>
    </row>
    <row r="3733" spans="2:15" x14ac:dyDescent="0.2">
      <c r="B3733" s="1">
        <v>3718</v>
      </c>
      <c r="C3733" s="106">
        <f ca="1"/>
        <v>-0.88648499601007802</v>
      </c>
      <c r="D3733" s="106">
        <f t="shared" ca="1" si="213"/>
        <v>0.60886348547619951</v>
      </c>
      <c r="E3733" s="106">
        <f t="shared" ca="1" si="214"/>
        <v>0</v>
      </c>
      <c r="F3733" s="21">
        <f t="shared" ca="1" si="215"/>
        <v>0</v>
      </c>
      <c r="H3733" s="21">
        <v>3718</v>
      </c>
      <c r="I3733" s="107">
        <v>0.66767297092239675</v>
      </c>
      <c r="J3733" s="108">
        <v>1.2684564979078231E-3</v>
      </c>
      <c r="K3733" s="108"/>
      <c r="L3733" s="108">
        <v>4.1799999999999997E-2</v>
      </c>
      <c r="O3733" s="105"/>
    </row>
    <row r="3734" spans="2:15" x14ac:dyDescent="0.2">
      <c r="B3734" s="1">
        <v>3719</v>
      </c>
      <c r="C3734" s="106">
        <f ca="1"/>
        <v>1.1144536369547007</v>
      </c>
      <c r="D3734" s="106">
        <f t="shared" ca="1" si="213"/>
        <v>0.7417181508020485</v>
      </c>
      <c r="E3734" s="106">
        <f t="shared" ca="1" si="214"/>
        <v>0</v>
      </c>
      <c r="F3734" s="21">
        <f t="shared" ca="1" si="215"/>
        <v>0</v>
      </c>
      <c r="H3734" s="21">
        <v>3719</v>
      </c>
      <c r="I3734" s="107">
        <v>0.66768016992057455</v>
      </c>
      <c r="J3734" s="108">
        <v>1.2304203061744019E-3</v>
      </c>
      <c r="K3734" s="108"/>
      <c r="L3734" s="108">
        <v>3.8399999999999997E-2</v>
      </c>
      <c r="O3734" s="105"/>
    </row>
    <row r="3735" spans="2:15" x14ac:dyDescent="0.2">
      <c r="B3735" s="1">
        <v>3720</v>
      </c>
      <c r="C3735" s="106">
        <f ca="1"/>
        <v>0.86700540990485653</v>
      </c>
      <c r="D3735" s="106">
        <f t="shared" ca="1" si="213"/>
        <v>0.72383299736854523</v>
      </c>
      <c r="E3735" s="106">
        <f t="shared" ca="1" si="214"/>
        <v>0</v>
      </c>
      <c r="F3735" s="21">
        <f t="shared" ca="1" si="215"/>
        <v>0</v>
      </c>
      <c r="H3735" s="21">
        <v>3720</v>
      </c>
      <c r="I3735" s="107">
        <v>0.66764786119591513</v>
      </c>
      <c r="J3735" s="108">
        <v>1.2339466749178513E-3</v>
      </c>
      <c r="K3735" s="108"/>
      <c r="L3735" s="108">
        <v>3.9800000000000002E-2</v>
      </c>
      <c r="O3735" s="105"/>
    </row>
    <row r="3736" spans="2:15" x14ac:dyDescent="0.2">
      <c r="B3736" s="1">
        <v>3721</v>
      </c>
      <c r="C3736" s="106">
        <f ca="1"/>
        <v>0.44937790623038026</v>
      </c>
      <c r="D3736" s="106">
        <f t="shared" ca="1" si="213"/>
        <v>0.69462030221218807</v>
      </c>
      <c r="E3736" s="106">
        <f t="shared" ca="1" si="214"/>
        <v>0</v>
      </c>
      <c r="F3736" s="21">
        <f t="shared" ca="1" si="215"/>
        <v>0</v>
      </c>
      <c r="H3736" s="21">
        <v>3721</v>
      </c>
      <c r="I3736" s="107">
        <v>0.66754075115042455</v>
      </c>
      <c r="J3736" s="108">
        <v>1.2300656966591885E-3</v>
      </c>
      <c r="K3736" s="108"/>
      <c r="L3736" s="108">
        <v>3.9399999999999998E-2</v>
      </c>
      <c r="O3736" s="105"/>
    </row>
    <row r="3737" spans="2:15" x14ac:dyDescent="0.2">
      <c r="B3737" s="1">
        <v>3722</v>
      </c>
      <c r="C3737" s="106">
        <f ca="1"/>
        <v>0.18923034387519944</v>
      </c>
      <c r="D3737" s="106">
        <f t="shared" ca="1" si="213"/>
        <v>0.67702220268963631</v>
      </c>
      <c r="E3737" s="106">
        <f t="shared" ca="1" si="214"/>
        <v>0</v>
      </c>
      <c r="F3737" s="21">
        <f t="shared" ca="1" si="215"/>
        <v>0</v>
      </c>
      <c r="H3737" s="21">
        <v>3722</v>
      </c>
      <c r="I3737" s="107">
        <v>0.66774517311379655</v>
      </c>
      <c r="J3737" s="108">
        <v>1.3868776532076003E-3</v>
      </c>
      <c r="K3737" s="108"/>
      <c r="L3737" s="108">
        <v>4.02E-2</v>
      </c>
      <c r="O3737" s="105"/>
    </row>
    <row r="3738" spans="2:15" x14ac:dyDescent="0.2">
      <c r="B3738" s="1">
        <v>3723</v>
      </c>
      <c r="C3738" s="106">
        <f ca="1"/>
        <v>-1.4457217172767647</v>
      </c>
      <c r="D3738" s="106">
        <f t="shared" ca="1" si="213"/>
        <v>0.5761858294277411</v>
      </c>
      <c r="E3738" s="106">
        <f t="shared" ca="1" si="214"/>
        <v>0</v>
      </c>
      <c r="F3738" s="21">
        <f t="shared" ca="1" si="215"/>
        <v>0</v>
      </c>
      <c r="H3738" s="21">
        <v>3723</v>
      </c>
      <c r="I3738" s="107">
        <v>0.66787472343618348</v>
      </c>
      <c r="J3738" s="108">
        <v>1.4745607620501708E-3</v>
      </c>
      <c r="K3738" s="108"/>
      <c r="L3738" s="108">
        <v>4.5199999999999997E-2</v>
      </c>
      <c r="O3738" s="105"/>
    </row>
    <row r="3739" spans="2:15" x14ac:dyDescent="0.2">
      <c r="B3739" s="1">
        <v>3724</v>
      </c>
      <c r="C3739" s="106">
        <f ca="1"/>
        <v>-1.3918967304003143</v>
      </c>
      <c r="D3739" s="106">
        <f t="shared" ca="1" si="213"/>
        <v>0.57925314762507818</v>
      </c>
      <c r="E3739" s="106">
        <f t="shared" ca="1" si="214"/>
        <v>0</v>
      </c>
      <c r="F3739" s="21">
        <f t="shared" ca="1" si="215"/>
        <v>0</v>
      </c>
      <c r="H3739" s="21">
        <v>3724</v>
      </c>
      <c r="I3739" s="107">
        <v>0.66770976515015434</v>
      </c>
      <c r="J3739" s="108">
        <v>1.2102616407323576E-3</v>
      </c>
      <c r="K3739" s="108"/>
      <c r="L3739" s="108">
        <v>4.1799999999999997E-2</v>
      </c>
      <c r="O3739" s="105"/>
    </row>
    <row r="3740" spans="2:15" x14ac:dyDescent="0.2">
      <c r="B3740" s="1">
        <v>3725</v>
      </c>
      <c r="C3740" s="106">
        <f ca="1"/>
        <v>0.19638475125405971</v>
      </c>
      <c r="D3740" s="106">
        <f t="shared" ca="1" si="213"/>
        <v>0.67750015958559218</v>
      </c>
      <c r="E3740" s="106">
        <f t="shared" ca="1" si="214"/>
        <v>0</v>
      </c>
      <c r="F3740" s="21">
        <f t="shared" ca="1" si="215"/>
        <v>0</v>
      </c>
      <c r="H3740" s="21">
        <v>3725</v>
      </c>
      <c r="I3740" s="107">
        <v>0.66774711214922533</v>
      </c>
      <c r="J3740" s="108">
        <v>1.3023736588158223E-3</v>
      </c>
      <c r="K3740" s="108"/>
      <c r="L3740" s="108">
        <v>4.48E-2</v>
      </c>
      <c r="O3740" s="105"/>
    </row>
    <row r="3741" spans="2:15" x14ac:dyDescent="0.2">
      <c r="B3741" s="1">
        <v>3726</v>
      </c>
      <c r="C3741" s="106">
        <f ca="1"/>
        <v>0.16309993200636194</v>
      </c>
      <c r="D3741" s="106">
        <f t="shared" ca="1" si="213"/>
        <v>0.67527939895418365</v>
      </c>
      <c r="E3741" s="106">
        <f t="shared" ca="1" si="214"/>
        <v>0</v>
      </c>
      <c r="F3741" s="21">
        <f t="shared" ca="1" si="215"/>
        <v>0</v>
      </c>
      <c r="H3741" s="21">
        <v>3726</v>
      </c>
      <c r="I3741" s="107">
        <v>0.66778547022041979</v>
      </c>
      <c r="J3741" s="108">
        <v>1.3807821184104532E-3</v>
      </c>
      <c r="K3741" s="108"/>
      <c r="L3741" s="108">
        <v>4.1200000000000001E-2</v>
      </c>
      <c r="O3741" s="105"/>
    </row>
    <row r="3742" spans="2:15" x14ac:dyDescent="0.2">
      <c r="B3742" s="1">
        <v>3727</v>
      </c>
      <c r="C3742" s="106">
        <f ca="1"/>
        <v>-0.25633953472125726</v>
      </c>
      <c r="D3742" s="106">
        <f t="shared" ca="1" si="213"/>
        <v>0.6479104319694613</v>
      </c>
      <c r="E3742" s="106">
        <f t="shared" ca="1" si="214"/>
        <v>0</v>
      </c>
      <c r="F3742" s="21">
        <f t="shared" ca="1" si="215"/>
        <v>0</v>
      </c>
      <c r="H3742" s="21">
        <v>3727</v>
      </c>
      <c r="I3742" s="107">
        <v>0.66764084683334868</v>
      </c>
      <c r="J3742" s="108">
        <v>1.321045638691835E-3</v>
      </c>
      <c r="K3742" s="108"/>
      <c r="L3742" s="108">
        <v>3.8800000000000001E-2</v>
      </c>
      <c r="O3742" s="105"/>
    </row>
    <row r="3743" spans="2:15" x14ac:dyDescent="0.2">
      <c r="B3743" s="1">
        <v>3728</v>
      </c>
      <c r="C3743" s="106">
        <f ca="1"/>
        <v>-0.77474825333074937</v>
      </c>
      <c r="D3743" s="106">
        <f t="shared" ca="1" si="213"/>
        <v>0.61561141288176813</v>
      </c>
      <c r="E3743" s="106">
        <f t="shared" ca="1" si="214"/>
        <v>0</v>
      </c>
      <c r="F3743" s="21">
        <f t="shared" ca="1" si="215"/>
        <v>0</v>
      </c>
      <c r="H3743" s="21">
        <v>3728</v>
      </c>
      <c r="I3743" s="107">
        <v>0.66784777953499486</v>
      </c>
      <c r="J3743" s="108">
        <v>1.4474716857387066E-3</v>
      </c>
      <c r="K3743" s="108"/>
      <c r="L3743" s="108">
        <v>4.4600000000000001E-2</v>
      </c>
      <c r="O3743" s="105"/>
    </row>
    <row r="3744" spans="2:15" x14ac:dyDescent="0.2">
      <c r="B3744" s="1">
        <v>3729</v>
      </c>
      <c r="C3744" s="106">
        <f ca="1"/>
        <v>0.56003073609582765</v>
      </c>
      <c r="D3744" s="106">
        <f t="shared" ca="1" si="213"/>
        <v>0.70224357049143971</v>
      </c>
      <c r="E3744" s="106">
        <f t="shared" ca="1" si="214"/>
        <v>0</v>
      </c>
      <c r="F3744" s="21">
        <f t="shared" ca="1" si="215"/>
        <v>0</v>
      </c>
      <c r="H3744" s="21">
        <v>3729</v>
      </c>
      <c r="I3744" s="107">
        <v>0.66789462331285321</v>
      </c>
      <c r="J3744" s="108">
        <v>1.6173649858899385E-3</v>
      </c>
      <c r="K3744" s="108"/>
      <c r="L3744" s="108">
        <v>4.48E-2</v>
      </c>
      <c r="O3744" s="105"/>
    </row>
    <row r="3745" spans="2:15" x14ac:dyDescent="0.2">
      <c r="B3745" s="1">
        <v>3730</v>
      </c>
      <c r="C3745" s="106">
        <f ca="1"/>
        <v>-0.44497977623201318</v>
      </c>
      <c r="D3745" s="106">
        <f t="shared" ca="1" si="213"/>
        <v>0.6359657699216803</v>
      </c>
      <c r="E3745" s="106">
        <f t="shared" ca="1" si="214"/>
        <v>0</v>
      </c>
      <c r="F3745" s="21">
        <f t="shared" ca="1" si="215"/>
        <v>0</v>
      </c>
      <c r="H3745" s="21">
        <v>3730</v>
      </c>
      <c r="I3745" s="107">
        <v>0.66782713836076624</v>
      </c>
      <c r="J3745" s="108">
        <v>1.4949111296472695E-3</v>
      </c>
      <c r="K3745" s="108"/>
      <c r="L3745" s="108">
        <v>4.2200000000000001E-2</v>
      </c>
      <c r="O3745" s="105"/>
    </row>
    <row r="3746" spans="2:15" x14ac:dyDescent="0.2">
      <c r="B3746" s="1">
        <v>3731</v>
      </c>
      <c r="C3746" s="106">
        <f ca="1"/>
        <v>0.88503808114107163</v>
      </c>
      <c r="D3746" s="106">
        <f t="shared" ca="1" si="213"/>
        <v>0.725121673113587</v>
      </c>
      <c r="E3746" s="106">
        <f t="shared" ca="1" si="214"/>
        <v>0</v>
      </c>
      <c r="F3746" s="21">
        <f t="shared" ca="1" si="215"/>
        <v>0</v>
      </c>
      <c r="H3746" s="21">
        <v>3731</v>
      </c>
      <c r="I3746" s="107">
        <v>0.66780813234037772</v>
      </c>
      <c r="J3746" s="108">
        <v>1.5509391704151491E-3</v>
      </c>
      <c r="K3746" s="108"/>
      <c r="L3746" s="108">
        <v>4.3200000000000002E-2</v>
      </c>
      <c r="O3746" s="105"/>
    </row>
    <row r="3747" spans="2:15" x14ac:dyDescent="0.2">
      <c r="B3747" s="1">
        <v>3732</v>
      </c>
      <c r="C3747" s="106">
        <f ca="1"/>
        <v>-0.75235640833386142</v>
      </c>
      <c r="D3747" s="106">
        <f t="shared" ca="1" si="213"/>
        <v>0.61697265430738413</v>
      </c>
      <c r="E3747" s="106">
        <f t="shared" ca="1" si="214"/>
        <v>0</v>
      </c>
      <c r="F3747" s="21">
        <f t="shared" ca="1" si="215"/>
        <v>0</v>
      </c>
      <c r="H3747" s="21">
        <v>3732</v>
      </c>
      <c r="I3747" s="107">
        <v>0.66758739611018014</v>
      </c>
      <c r="J3747" s="108">
        <v>1.1833484701339048E-3</v>
      </c>
      <c r="K3747" s="108"/>
      <c r="L3747" s="108">
        <v>4.1200000000000001E-2</v>
      </c>
      <c r="O3747" s="105"/>
    </row>
    <row r="3748" spans="2:15" x14ac:dyDescent="0.2">
      <c r="B3748" s="1">
        <v>3733</v>
      </c>
      <c r="C3748" s="106">
        <f ca="1"/>
        <v>-1.5645647278773247</v>
      </c>
      <c r="D3748" s="106">
        <f t="shared" ca="1" si="213"/>
        <v>0.56947073653217783</v>
      </c>
      <c r="E3748" s="106">
        <f t="shared" ca="1" si="214"/>
        <v>0</v>
      </c>
      <c r="F3748" s="21">
        <f t="shared" ca="1" si="215"/>
        <v>0</v>
      </c>
      <c r="H3748" s="21">
        <v>3733</v>
      </c>
      <c r="I3748" s="107">
        <v>0.66766517282008031</v>
      </c>
      <c r="J3748" s="108">
        <v>1.2729155475535334E-3</v>
      </c>
      <c r="K3748" s="108"/>
      <c r="L3748" s="108">
        <v>3.6999999999999998E-2</v>
      </c>
      <c r="O3748" s="105"/>
    </row>
    <row r="3749" spans="2:15" x14ac:dyDescent="0.2">
      <c r="B3749" s="1">
        <v>3734</v>
      </c>
      <c r="C3749" s="106">
        <f ca="1"/>
        <v>0.85870422426094739</v>
      </c>
      <c r="D3749" s="106">
        <f t="shared" ca="1" si="213"/>
        <v>0.72324053658623833</v>
      </c>
      <c r="E3749" s="106">
        <f t="shared" ca="1" si="214"/>
        <v>0</v>
      </c>
      <c r="F3749" s="21">
        <f t="shared" ca="1" si="215"/>
        <v>0</v>
      </c>
      <c r="H3749" s="21">
        <v>3734</v>
      </c>
      <c r="I3749" s="107">
        <v>0.6678030209029796</v>
      </c>
      <c r="J3749" s="108">
        <v>1.4963477110194886E-3</v>
      </c>
      <c r="K3749" s="108"/>
      <c r="L3749" s="108">
        <v>4.2999999999999997E-2</v>
      </c>
      <c r="O3749" s="105"/>
    </row>
    <row r="3750" spans="2:15" x14ac:dyDescent="0.2">
      <c r="B3750" s="1">
        <v>3735</v>
      </c>
      <c r="C3750" s="106">
        <f ca="1"/>
        <v>-1.6894594728947958</v>
      </c>
      <c r="D3750" s="106">
        <f t="shared" ca="1" si="213"/>
        <v>0.56249801987260772</v>
      </c>
      <c r="E3750" s="106">
        <f t="shared" ca="1" si="214"/>
        <v>0</v>
      </c>
      <c r="F3750" s="21">
        <f t="shared" ca="1" si="215"/>
        <v>0</v>
      </c>
      <c r="H3750" s="21">
        <v>3735</v>
      </c>
      <c r="I3750" s="107">
        <v>0.66790054375055075</v>
      </c>
      <c r="J3750" s="108">
        <v>1.4998729575747909E-3</v>
      </c>
      <c r="K3750" s="108"/>
      <c r="L3750" s="108">
        <v>4.4999999999999998E-2</v>
      </c>
      <c r="O3750" s="105"/>
    </row>
    <row r="3751" spans="2:15" x14ac:dyDescent="0.2">
      <c r="B3751" s="1">
        <v>3736</v>
      </c>
      <c r="C3751" s="106">
        <f ca="1"/>
        <v>-1.3636455547976714</v>
      </c>
      <c r="D3751" s="106">
        <f t="shared" ca="1" si="213"/>
        <v>0.58086962302472267</v>
      </c>
      <c r="E3751" s="106">
        <f t="shared" ca="1" si="214"/>
        <v>0</v>
      </c>
      <c r="F3751" s="21">
        <f t="shared" ca="1" si="215"/>
        <v>0</v>
      </c>
      <c r="H3751" s="21">
        <v>3736</v>
      </c>
      <c r="I3751" s="107">
        <v>0.66776424140494806</v>
      </c>
      <c r="J3751" s="108">
        <v>1.3673334297139529E-3</v>
      </c>
      <c r="K3751" s="108"/>
      <c r="L3751" s="108">
        <v>4.2200000000000001E-2</v>
      </c>
      <c r="O3751" s="105"/>
    </row>
    <row r="3752" spans="2:15" x14ac:dyDescent="0.2">
      <c r="B3752" s="1">
        <v>3737</v>
      </c>
      <c r="C3752" s="106">
        <f ca="1"/>
        <v>1.4955092668493708</v>
      </c>
      <c r="D3752" s="106">
        <f t="shared" ca="1" si="213"/>
        <v>0.77012832195945335</v>
      </c>
      <c r="E3752" s="106">
        <f t="shared" ca="1" si="214"/>
        <v>0</v>
      </c>
      <c r="F3752" s="21">
        <f t="shared" ca="1" si="215"/>
        <v>0</v>
      </c>
      <c r="H3752" s="21">
        <v>3737</v>
      </c>
      <c r="I3752" s="107">
        <v>0.66760793651963646</v>
      </c>
      <c r="J3752" s="108">
        <v>1.2395107195682922E-3</v>
      </c>
      <c r="K3752" s="108"/>
      <c r="L3752" s="108">
        <v>3.7999999999999999E-2</v>
      </c>
      <c r="O3752" s="105"/>
    </row>
    <row r="3753" spans="2:15" x14ac:dyDescent="0.2">
      <c r="B3753" s="1">
        <v>3738</v>
      </c>
      <c r="C3753" s="106">
        <f ca="1"/>
        <v>1.1290235918633931</v>
      </c>
      <c r="D3753" s="106">
        <f t="shared" ca="1" si="213"/>
        <v>0.74278491427497129</v>
      </c>
      <c r="E3753" s="106">
        <f t="shared" ca="1" si="214"/>
        <v>0</v>
      </c>
      <c r="F3753" s="21">
        <f t="shared" ca="1" si="215"/>
        <v>0</v>
      </c>
      <c r="H3753" s="21">
        <v>3738</v>
      </c>
      <c r="I3753" s="107">
        <v>0.66758966311586942</v>
      </c>
      <c r="J3753" s="108">
        <v>1.1838154520196385E-3</v>
      </c>
      <c r="K3753" s="108"/>
      <c r="L3753" s="108">
        <v>3.5400000000000001E-2</v>
      </c>
      <c r="O3753" s="105"/>
    </row>
    <row r="3754" spans="2:15" x14ac:dyDescent="0.2">
      <c r="B3754" s="1">
        <v>3739</v>
      </c>
      <c r="C3754" s="106">
        <f ca="1"/>
        <v>5.3465114468672227E-2</v>
      </c>
      <c r="D3754" s="106">
        <f t="shared" ca="1" si="213"/>
        <v>0.66801592017768607</v>
      </c>
      <c r="E3754" s="106">
        <f t="shared" ca="1" si="214"/>
        <v>0</v>
      </c>
      <c r="F3754" s="21">
        <f t="shared" ca="1" si="215"/>
        <v>0</v>
      </c>
      <c r="H3754" s="21">
        <v>3739</v>
      </c>
      <c r="I3754" s="107">
        <v>0.66762929500819423</v>
      </c>
      <c r="J3754" s="108">
        <v>1.270499512860727E-3</v>
      </c>
      <c r="K3754" s="108"/>
      <c r="L3754" s="108">
        <v>4.2200000000000001E-2</v>
      </c>
      <c r="O3754" s="105"/>
    </row>
    <row r="3755" spans="2:15" x14ac:dyDescent="0.2">
      <c r="B3755" s="1">
        <v>3740</v>
      </c>
      <c r="C3755" s="106">
        <f ca="1"/>
        <v>0.66927820215102496</v>
      </c>
      <c r="D3755" s="106">
        <f t="shared" ca="1" si="213"/>
        <v>0.70985209060898613</v>
      </c>
      <c r="E3755" s="106">
        <f t="shared" ca="1" si="214"/>
        <v>0</v>
      </c>
      <c r="F3755" s="21">
        <f t="shared" ca="1" si="215"/>
        <v>0</v>
      </c>
      <c r="H3755" s="21">
        <v>3740</v>
      </c>
      <c r="I3755" s="107">
        <v>0.66784855576044277</v>
      </c>
      <c r="J3755" s="108">
        <v>1.4036378413114343E-3</v>
      </c>
      <c r="K3755" s="108"/>
      <c r="L3755" s="108">
        <v>4.3400000000000001E-2</v>
      </c>
      <c r="O3755" s="105"/>
    </row>
    <row r="3756" spans="2:15" x14ac:dyDescent="0.2">
      <c r="B3756" s="1">
        <v>3741</v>
      </c>
      <c r="C3756" s="106">
        <f ca="1"/>
        <v>0.33955601391623352</v>
      </c>
      <c r="D3756" s="106">
        <f t="shared" ca="1" si="213"/>
        <v>0.68713610766076327</v>
      </c>
      <c r="E3756" s="106">
        <f t="shared" ca="1" si="214"/>
        <v>0</v>
      </c>
      <c r="F3756" s="21">
        <f t="shared" ca="1" si="215"/>
        <v>0</v>
      </c>
      <c r="H3756" s="21">
        <v>3741</v>
      </c>
      <c r="I3756" s="107">
        <v>0.66774914905647009</v>
      </c>
      <c r="J3756" s="108">
        <v>1.464076833718032E-3</v>
      </c>
      <c r="K3756" s="108"/>
      <c r="L3756" s="108">
        <v>0.04</v>
      </c>
      <c r="O3756" s="105"/>
    </row>
    <row r="3757" spans="2:15" x14ac:dyDescent="0.2">
      <c r="B3757" s="1">
        <v>3742</v>
      </c>
      <c r="C3757" s="106">
        <f ca="1"/>
        <v>2.3286615418676537</v>
      </c>
      <c r="D3757" s="106">
        <f t="shared" ca="1" si="213"/>
        <v>0.83609345727151219</v>
      </c>
      <c r="E3757" s="106">
        <f t="shared" ca="1" si="214"/>
        <v>4.7893457271512174E-2</v>
      </c>
      <c r="F3757" s="21">
        <f t="shared" ca="1" si="215"/>
        <v>1</v>
      </c>
      <c r="H3757" s="21">
        <v>3742</v>
      </c>
      <c r="I3757" s="107">
        <v>0.66782434812501046</v>
      </c>
      <c r="J3757" s="108">
        <v>1.6057575114986321E-3</v>
      </c>
      <c r="K3757" s="108"/>
      <c r="L3757" s="108">
        <v>4.4400000000000002E-2</v>
      </c>
      <c r="O3757" s="105"/>
    </row>
    <row r="3758" spans="2:15" x14ac:dyDescent="0.2">
      <c r="B3758" s="1">
        <v>3743</v>
      </c>
      <c r="C3758" s="106">
        <f ca="1"/>
        <v>0.14888029324149429</v>
      </c>
      <c r="D3758" s="106">
        <f t="shared" ca="1" si="213"/>
        <v>0.6743328863089576</v>
      </c>
      <c r="E3758" s="106">
        <f t="shared" ca="1" si="214"/>
        <v>0</v>
      </c>
      <c r="F3758" s="21">
        <f t="shared" ca="1" si="215"/>
        <v>0</v>
      </c>
      <c r="H3758" s="21">
        <v>3743</v>
      </c>
      <c r="I3758" s="107">
        <v>0.66778051513095016</v>
      </c>
      <c r="J3758" s="108">
        <v>1.3915015669566581E-3</v>
      </c>
      <c r="K3758" s="108"/>
      <c r="L3758" s="108">
        <v>4.2599999999999999E-2</v>
      </c>
      <c r="O3758" s="105"/>
    </row>
    <row r="3759" spans="2:15" x14ac:dyDescent="0.2">
      <c r="B3759" s="1">
        <v>3744</v>
      </c>
      <c r="C3759" s="106">
        <f ca="1"/>
        <v>-1.5897857744147625</v>
      </c>
      <c r="D3759" s="106">
        <f t="shared" ca="1" si="213"/>
        <v>0.56805574675920179</v>
      </c>
      <c r="E3759" s="106">
        <f t="shared" ca="1" si="214"/>
        <v>0</v>
      </c>
      <c r="F3759" s="21">
        <f t="shared" ca="1" si="215"/>
        <v>0</v>
      </c>
      <c r="H3759" s="21">
        <v>3744</v>
      </c>
      <c r="I3759" s="107">
        <v>0.6677788134647038</v>
      </c>
      <c r="J3759" s="108">
        <v>1.3972898789886994E-3</v>
      </c>
      <c r="K3759" s="108"/>
      <c r="L3759" s="108">
        <v>4.2200000000000001E-2</v>
      </c>
      <c r="O3759" s="105"/>
    </row>
    <row r="3760" spans="2:15" x14ac:dyDescent="0.2">
      <c r="B3760" s="1">
        <v>3745</v>
      </c>
      <c r="C3760" s="106">
        <f ca="1"/>
        <v>0.96743512486165906</v>
      </c>
      <c r="D3760" s="106">
        <f t="shared" ca="1" si="213"/>
        <v>0.73103929935314105</v>
      </c>
      <c r="E3760" s="106">
        <f t="shared" ca="1" si="214"/>
        <v>0</v>
      </c>
      <c r="F3760" s="21">
        <f t="shared" ca="1" si="215"/>
        <v>0</v>
      </c>
      <c r="H3760" s="21">
        <v>3745</v>
      </c>
      <c r="I3760" s="107">
        <v>0.66780240182847272</v>
      </c>
      <c r="J3760" s="108">
        <v>1.4500188849184156E-3</v>
      </c>
      <c r="K3760" s="108"/>
      <c r="L3760" s="108">
        <v>4.1399999999999999E-2</v>
      </c>
      <c r="O3760" s="105"/>
    </row>
    <row r="3761" spans="2:15" x14ac:dyDescent="0.2">
      <c r="B3761" s="1">
        <v>3746</v>
      </c>
      <c r="C3761" s="106">
        <f ca="1"/>
        <v>1.1132889519687048</v>
      </c>
      <c r="D3761" s="106">
        <f t="shared" ca="1" si="213"/>
        <v>0.74163294261253621</v>
      </c>
      <c r="E3761" s="106">
        <f t="shared" ca="1" si="214"/>
        <v>0</v>
      </c>
      <c r="F3761" s="21">
        <f t="shared" ca="1" si="215"/>
        <v>0</v>
      </c>
      <c r="H3761" s="21">
        <v>3746</v>
      </c>
      <c r="I3761" s="107">
        <v>0.66774325914795563</v>
      </c>
      <c r="J3761" s="108">
        <v>1.4170737698306975E-3</v>
      </c>
      <c r="K3761" s="108"/>
      <c r="L3761" s="108">
        <v>4.36E-2</v>
      </c>
      <c r="O3761" s="105"/>
    </row>
    <row r="3762" spans="2:15" x14ac:dyDescent="0.2">
      <c r="B3762" s="1">
        <v>3747</v>
      </c>
      <c r="C3762" s="106">
        <f ca="1"/>
        <v>0.53901136617633694</v>
      </c>
      <c r="D3762" s="106">
        <f t="shared" ca="1" si="213"/>
        <v>0.70078906215387837</v>
      </c>
      <c r="E3762" s="106">
        <f t="shared" ca="1" si="214"/>
        <v>0</v>
      </c>
      <c r="F3762" s="21">
        <f t="shared" ca="1" si="215"/>
        <v>0</v>
      </c>
      <c r="H3762" s="21">
        <v>3747</v>
      </c>
      <c r="I3762" s="107">
        <v>0.66786774884434941</v>
      </c>
      <c r="J3762" s="108">
        <v>1.4663503388967528E-3</v>
      </c>
      <c r="K3762" s="108"/>
      <c r="L3762" s="108">
        <v>4.82E-2</v>
      </c>
      <c r="O3762" s="105"/>
    </row>
    <row r="3763" spans="2:15" x14ac:dyDescent="0.2">
      <c r="B3763" s="1">
        <v>3748</v>
      </c>
      <c r="C3763" s="106">
        <f ca="1"/>
        <v>-0.4221201608337391</v>
      </c>
      <c r="D3763" s="106">
        <f t="shared" ca="1" si="213"/>
        <v>0.63740142892493523</v>
      </c>
      <c r="E3763" s="106">
        <f t="shared" ca="1" si="214"/>
        <v>0</v>
      </c>
      <c r="F3763" s="21">
        <f t="shared" ca="1" si="215"/>
        <v>0</v>
      </c>
      <c r="H3763" s="21">
        <v>3748</v>
      </c>
      <c r="I3763" s="107">
        <v>0.66765028755133182</v>
      </c>
      <c r="J3763" s="108">
        <v>1.1979869036180383E-3</v>
      </c>
      <c r="K3763" s="108"/>
      <c r="L3763" s="108">
        <v>4.1599999999999998E-2</v>
      </c>
      <c r="O3763" s="105"/>
    </row>
    <row r="3764" spans="2:15" x14ac:dyDescent="0.2">
      <c r="B3764" s="1">
        <v>3749</v>
      </c>
      <c r="C3764" s="106">
        <f ca="1"/>
        <v>0.99308895307526668</v>
      </c>
      <c r="D3764" s="106">
        <f t="shared" ca="1" si="213"/>
        <v>0.73289155710210363</v>
      </c>
      <c r="E3764" s="106">
        <f t="shared" ca="1" si="214"/>
        <v>0</v>
      </c>
      <c r="F3764" s="21">
        <f t="shared" ca="1" si="215"/>
        <v>0</v>
      </c>
      <c r="H3764" s="21">
        <v>3749</v>
      </c>
      <c r="I3764" s="107">
        <v>0.66771553210619117</v>
      </c>
      <c r="J3764" s="108">
        <v>1.2835872077820837E-3</v>
      </c>
      <c r="K3764" s="108"/>
      <c r="L3764" s="108">
        <v>4.1799999999999997E-2</v>
      </c>
      <c r="O3764" s="105"/>
    </row>
    <row r="3765" spans="2:15" x14ac:dyDescent="0.2">
      <c r="B3765" s="1">
        <v>3750</v>
      </c>
      <c r="C3765" s="106">
        <f ca="1"/>
        <v>-1.0959425800776541</v>
      </c>
      <c r="D3765" s="106">
        <f t="shared" ca="1" si="213"/>
        <v>0.59641271784521022</v>
      </c>
      <c r="E3765" s="106">
        <f t="shared" ca="1" si="214"/>
        <v>0</v>
      </c>
      <c r="F3765" s="21">
        <f t="shared" ca="1" si="215"/>
        <v>0</v>
      </c>
      <c r="H3765" s="21">
        <v>3750</v>
      </c>
      <c r="I3765" s="107">
        <v>0.66771127843099654</v>
      </c>
      <c r="J3765" s="108">
        <v>1.3384212892858104E-3</v>
      </c>
      <c r="K3765" s="108"/>
      <c r="L3765" s="108">
        <v>4.1000000000000002E-2</v>
      </c>
      <c r="O3765" s="105"/>
    </row>
    <row r="3766" spans="2:15" x14ac:dyDescent="0.2">
      <c r="B3766" s="1">
        <v>3751</v>
      </c>
      <c r="C3766" s="106">
        <f ca="1"/>
        <v>0.40502747053989552</v>
      </c>
      <c r="D3766" s="106">
        <f t="shared" ca="1" si="213"/>
        <v>0.69158812459492902</v>
      </c>
      <c r="E3766" s="106">
        <f t="shared" ca="1" si="214"/>
        <v>0</v>
      </c>
      <c r="F3766" s="21">
        <f t="shared" ca="1" si="215"/>
        <v>0</v>
      </c>
      <c r="H3766" s="21">
        <v>3751</v>
      </c>
      <c r="I3766" s="107">
        <v>0.66761483176133707</v>
      </c>
      <c r="J3766" s="108">
        <v>1.1564809264317999E-3</v>
      </c>
      <c r="K3766" s="108"/>
      <c r="L3766" s="108">
        <v>3.5000000000000003E-2</v>
      </c>
      <c r="O3766" s="105"/>
    </row>
    <row r="3767" spans="2:15" x14ac:dyDescent="0.2">
      <c r="B3767" s="1">
        <v>3752</v>
      </c>
      <c r="C3767" s="106">
        <f ca="1"/>
        <v>-0.15686474357322033</v>
      </c>
      <c r="D3767" s="106">
        <f t="shared" ca="1" si="213"/>
        <v>0.65429923311688964</v>
      </c>
      <c r="E3767" s="106">
        <f t="shared" ca="1" si="214"/>
        <v>0</v>
      </c>
      <c r="F3767" s="21">
        <f t="shared" ca="1" si="215"/>
        <v>0</v>
      </c>
      <c r="H3767" s="21">
        <v>3752</v>
      </c>
      <c r="I3767" s="107">
        <v>0.6677680767005062</v>
      </c>
      <c r="J3767" s="108">
        <v>1.4080450447028995E-3</v>
      </c>
      <c r="K3767" s="108"/>
      <c r="L3767" s="108">
        <v>4.02E-2</v>
      </c>
      <c r="O3767" s="105"/>
    </row>
    <row r="3768" spans="2:15" x14ac:dyDescent="0.2">
      <c r="B3768" s="1">
        <v>3753</v>
      </c>
      <c r="C3768" s="106">
        <f ca="1"/>
        <v>0.33243670661819535</v>
      </c>
      <c r="D3768" s="106">
        <f t="shared" ca="1" si="213"/>
        <v>0.6866537302901129</v>
      </c>
      <c r="E3768" s="106">
        <f t="shared" ca="1" si="214"/>
        <v>0</v>
      </c>
      <c r="F3768" s="21">
        <f t="shared" ca="1" si="215"/>
        <v>0</v>
      </c>
      <c r="H3768" s="21">
        <v>3753</v>
      </c>
      <c r="I3768" s="107">
        <v>0.66777318859752044</v>
      </c>
      <c r="J3768" s="108">
        <v>1.3653166092904144E-3</v>
      </c>
      <c r="K3768" s="108"/>
      <c r="L3768" s="108">
        <v>4.48E-2</v>
      </c>
      <c r="O3768" s="105"/>
    </row>
    <row r="3769" spans="2:15" x14ac:dyDescent="0.2">
      <c r="B3769" s="1">
        <v>3754</v>
      </c>
      <c r="C3769" s="106">
        <f ca="1"/>
        <v>-4.1237782455703894E-3</v>
      </c>
      <c r="D3769" s="106">
        <f t="shared" ca="1" si="213"/>
        <v>0.66423191702784168</v>
      </c>
      <c r="E3769" s="106">
        <f t="shared" ca="1" si="214"/>
        <v>0</v>
      </c>
      <c r="F3769" s="21">
        <f t="shared" ca="1" si="215"/>
        <v>0</v>
      </c>
      <c r="H3769" s="21">
        <v>3754</v>
      </c>
      <c r="I3769" s="107">
        <v>0.66777877973331423</v>
      </c>
      <c r="J3769" s="108">
        <v>1.3232586124418541E-3</v>
      </c>
      <c r="K3769" s="108"/>
      <c r="L3769" s="108">
        <v>4.2999999999999997E-2</v>
      </c>
      <c r="O3769" s="105"/>
    </row>
    <row r="3770" spans="2:15" x14ac:dyDescent="0.2">
      <c r="B3770" s="1">
        <v>3755</v>
      </c>
      <c r="C3770" s="106">
        <f ca="1"/>
        <v>-2.0519113337442327</v>
      </c>
      <c r="D3770" s="106">
        <f t="shared" ca="1" si="213"/>
        <v>0.54274244117712034</v>
      </c>
      <c r="E3770" s="106">
        <f t="shared" ca="1" si="214"/>
        <v>0</v>
      </c>
      <c r="F3770" s="21">
        <f t="shared" ca="1" si="215"/>
        <v>0</v>
      </c>
      <c r="H3770" s="21">
        <v>3755</v>
      </c>
      <c r="I3770" s="107">
        <v>0.66777452349985811</v>
      </c>
      <c r="J3770" s="108">
        <v>1.3539465688897129E-3</v>
      </c>
      <c r="K3770" s="108"/>
      <c r="L3770" s="108">
        <v>4.3799999999999999E-2</v>
      </c>
      <c r="O3770" s="105"/>
    </row>
    <row r="3771" spans="2:15" x14ac:dyDescent="0.2">
      <c r="B3771" s="1">
        <v>3756</v>
      </c>
      <c r="C3771" s="106">
        <f ca="1"/>
        <v>2.2283337723063359</v>
      </c>
      <c r="D3771" s="106">
        <f t="shared" ca="1" si="213"/>
        <v>0.82785989706954632</v>
      </c>
      <c r="E3771" s="106">
        <f t="shared" ca="1" si="214"/>
        <v>3.9659897069546313E-2</v>
      </c>
      <c r="F3771" s="21">
        <f t="shared" ca="1" si="215"/>
        <v>1</v>
      </c>
      <c r="H3771" s="21">
        <v>3756</v>
      </c>
      <c r="I3771" s="107">
        <v>0.66783060387174997</v>
      </c>
      <c r="J3771" s="108">
        <v>1.3646309595905124E-3</v>
      </c>
      <c r="K3771" s="108"/>
      <c r="L3771" s="108">
        <v>4.3999999999999997E-2</v>
      </c>
      <c r="O3771" s="105"/>
    </row>
    <row r="3772" spans="2:15" x14ac:dyDescent="0.2">
      <c r="B3772" s="1">
        <v>3757</v>
      </c>
      <c r="C3772" s="106">
        <f ca="1"/>
        <v>-1.3785147089188445</v>
      </c>
      <c r="D3772" s="106">
        <f t="shared" ca="1" si="213"/>
        <v>0.58001827844518561</v>
      </c>
      <c r="E3772" s="106">
        <f t="shared" ca="1" si="214"/>
        <v>0</v>
      </c>
      <c r="F3772" s="21">
        <f t="shared" ca="1" si="215"/>
        <v>0</v>
      </c>
      <c r="H3772" s="21">
        <v>3757</v>
      </c>
      <c r="I3772" s="107">
        <v>0.66777377627240841</v>
      </c>
      <c r="J3772" s="108">
        <v>1.4086609292786364E-3</v>
      </c>
      <c r="K3772" s="108"/>
      <c r="L3772" s="108">
        <v>4.4200000000000003E-2</v>
      </c>
      <c r="O3772" s="105"/>
    </row>
    <row r="3773" spans="2:15" x14ac:dyDescent="0.2">
      <c r="B3773" s="1">
        <v>3758</v>
      </c>
      <c r="C3773" s="106">
        <f ca="1"/>
        <v>0.11974639723021248</v>
      </c>
      <c r="D3773" s="106">
        <f t="shared" ca="1" si="213"/>
        <v>0.67239776624021397</v>
      </c>
      <c r="E3773" s="106">
        <f t="shared" ca="1" si="214"/>
        <v>0</v>
      </c>
      <c r="F3773" s="21">
        <f t="shared" ca="1" si="215"/>
        <v>0</v>
      </c>
      <c r="H3773" s="21">
        <v>3758</v>
      </c>
      <c r="I3773" s="107">
        <v>0.66762409946747003</v>
      </c>
      <c r="J3773" s="108">
        <v>1.2921537535713552E-3</v>
      </c>
      <c r="K3773" s="108"/>
      <c r="L3773" s="108">
        <v>3.78E-2</v>
      </c>
      <c r="O3773" s="105"/>
    </row>
    <row r="3774" spans="2:15" x14ac:dyDescent="0.2">
      <c r="B3774" s="1">
        <v>3759</v>
      </c>
      <c r="C3774" s="106">
        <f ca="1"/>
        <v>1.374523600450436</v>
      </c>
      <c r="D3774" s="106">
        <f t="shared" ca="1" si="213"/>
        <v>0.76099209208238394</v>
      </c>
      <c r="E3774" s="106">
        <f t="shared" ca="1" si="214"/>
        <v>0</v>
      </c>
      <c r="F3774" s="21">
        <f t="shared" ca="1" si="215"/>
        <v>0</v>
      </c>
      <c r="H3774" s="21">
        <v>3759</v>
      </c>
      <c r="I3774" s="107">
        <v>0.66769949981885646</v>
      </c>
      <c r="J3774" s="108">
        <v>1.3003390209822309E-3</v>
      </c>
      <c r="K3774" s="108"/>
      <c r="L3774" s="108">
        <v>4.1799999999999997E-2</v>
      </c>
      <c r="O3774" s="105"/>
    </row>
    <row r="3775" spans="2:15" x14ac:dyDescent="0.2">
      <c r="B3775" s="1">
        <v>3760</v>
      </c>
      <c r="C3775" s="106">
        <f ca="1"/>
        <v>-1.5809816060329374</v>
      </c>
      <c r="D3775" s="106">
        <f t="shared" ca="1" si="213"/>
        <v>0.56854929180246094</v>
      </c>
      <c r="E3775" s="106">
        <f t="shared" ca="1" si="214"/>
        <v>0</v>
      </c>
      <c r="F3775" s="21">
        <f t="shared" ca="1" si="215"/>
        <v>0</v>
      </c>
      <c r="H3775" s="21">
        <v>3760</v>
      </c>
      <c r="I3775" s="107">
        <v>0.66786211811733143</v>
      </c>
      <c r="J3775" s="108">
        <v>1.5511279615390867E-3</v>
      </c>
      <c r="K3775" s="108"/>
      <c r="L3775" s="108">
        <v>4.58E-2</v>
      </c>
      <c r="O3775" s="105"/>
    </row>
    <row r="3776" spans="2:15" x14ac:dyDescent="0.2">
      <c r="B3776" s="1">
        <v>3761</v>
      </c>
      <c r="C3776" s="106">
        <f ca="1"/>
        <v>0.95258926194610771</v>
      </c>
      <c r="D3776" s="106">
        <f t="shared" ca="1" si="213"/>
        <v>0.72996953747802329</v>
      </c>
      <c r="E3776" s="106">
        <f t="shared" ca="1" si="214"/>
        <v>0</v>
      </c>
      <c r="F3776" s="21">
        <f t="shared" ca="1" si="215"/>
        <v>0</v>
      </c>
      <c r="H3776" s="21">
        <v>3761</v>
      </c>
      <c r="I3776" s="107">
        <v>0.66771512653368148</v>
      </c>
      <c r="J3776" s="108">
        <v>1.3224108457448125E-3</v>
      </c>
      <c r="K3776" s="108"/>
      <c r="L3776" s="108">
        <v>4.24E-2</v>
      </c>
      <c r="O3776" s="105"/>
    </row>
    <row r="3777" spans="2:15" x14ac:dyDescent="0.2">
      <c r="B3777" s="1">
        <v>3762</v>
      </c>
      <c r="C3777" s="106">
        <f ca="1"/>
        <v>-0.61124964384351854</v>
      </c>
      <c r="D3777" s="106">
        <f t="shared" ca="1" si="213"/>
        <v>0.62562031456690503</v>
      </c>
      <c r="E3777" s="106">
        <f t="shared" ca="1" si="214"/>
        <v>0</v>
      </c>
      <c r="F3777" s="21">
        <f t="shared" ca="1" si="215"/>
        <v>0</v>
      </c>
      <c r="H3777" s="21">
        <v>3762</v>
      </c>
      <c r="I3777" s="107">
        <v>0.66770787139154231</v>
      </c>
      <c r="J3777" s="108">
        <v>1.2836714448487107E-3</v>
      </c>
      <c r="K3777" s="108"/>
      <c r="L3777" s="108">
        <v>4.3999999999999997E-2</v>
      </c>
      <c r="O3777" s="105"/>
    </row>
    <row r="3778" spans="2:15" x14ac:dyDescent="0.2">
      <c r="B3778" s="1">
        <v>3763</v>
      </c>
      <c r="C3778" s="106">
        <f ca="1"/>
        <v>0.42115274569276284</v>
      </c>
      <c r="D3778" s="106">
        <f t="shared" ca="1" si="213"/>
        <v>0.69268905282001658</v>
      </c>
      <c r="E3778" s="106">
        <f t="shared" ca="1" si="214"/>
        <v>0</v>
      </c>
      <c r="F3778" s="21">
        <f t="shared" ca="1" si="215"/>
        <v>0</v>
      </c>
      <c r="H3778" s="21">
        <v>3763</v>
      </c>
      <c r="I3778" s="107">
        <v>0.66776386131551968</v>
      </c>
      <c r="J3778" s="108">
        <v>1.3199344349285155E-3</v>
      </c>
      <c r="K3778" s="108"/>
      <c r="L3778" s="108">
        <v>4.2799999999999998E-2</v>
      </c>
      <c r="O3778" s="105"/>
    </row>
    <row r="3779" spans="2:15" x14ac:dyDescent="0.2">
      <c r="B3779" s="1">
        <v>3764</v>
      </c>
      <c r="C3779" s="106">
        <f ca="1"/>
        <v>2.0694137040920122</v>
      </c>
      <c r="D3779" s="106">
        <f t="shared" ca="1" si="213"/>
        <v>0.81498348351599847</v>
      </c>
      <c r="E3779" s="106">
        <f t="shared" ca="1" si="214"/>
        <v>2.6783483515998463E-2</v>
      </c>
      <c r="F3779" s="21">
        <f t="shared" ca="1" si="215"/>
        <v>1</v>
      </c>
      <c r="H3779" s="21">
        <v>3764</v>
      </c>
      <c r="I3779" s="107">
        <v>0.66769498146957007</v>
      </c>
      <c r="J3779" s="108">
        <v>1.4351491964541016E-3</v>
      </c>
      <c r="K3779" s="108"/>
      <c r="L3779" s="108">
        <v>3.9600000000000003E-2</v>
      </c>
      <c r="O3779" s="105"/>
    </row>
    <row r="3780" spans="2:15" x14ac:dyDescent="0.2">
      <c r="B3780" s="1">
        <v>3765</v>
      </c>
      <c r="C3780" s="106">
        <f ca="1"/>
        <v>1.1800825973249025</v>
      </c>
      <c r="D3780" s="106">
        <f t="shared" ca="1" si="213"/>
        <v>0.74653540809246899</v>
      </c>
      <c r="E3780" s="106">
        <f t="shared" ca="1" si="214"/>
        <v>0</v>
      </c>
      <c r="F3780" s="21">
        <f t="shared" ca="1" si="215"/>
        <v>0</v>
      </c>
      <c r="H3780" s="21">
        <v>3765</v>
      </c>
      <c r="I3780" s="107">
        <v>0.66756366882795348</v>
      </c>
      <c r="J3780" s="108">
        <v>1.1370293370822643E-3</v>
      </c>
      <c r="K3780" s="108"/>
      <c r="L3780" s="108">
        <v>3.5200000000000002E-2</v>
      </c>
      <c r="O3780" s="105"/>
    </row>
    <row r="3781" spans="2:15" x14ac:dyDescent="0.2">
      <c r="B3781" s="1">
        <v>3766</v>
      </c>
      <c r="C3781" s="106">
        <f ca="1"/>
        <v>-0.3849441278060553</v>
      </c>
      <c r="D3781" s="106">
        <f t="shared" ca="1" si="213"/>
        <v>0.63974313035528219</v>
      </c>
      <c r="E3781" s="106">
        <f t="shared" ca="1" si="214"/>
        <v>0</v>
      </c>
      <c r="F3781" s="21">
        <f t="shared" ca="1" si="215"/>
        <v>0</v>
      </c>
      <c r="H3781" s="21">
        <v>3766</v>
      </c>
      <c r="I3781" s="107">
        <v>0.66761659181031041</v>
      </c>
      <c r="J3781" s="108">
        <v>1.1852102967014764E-3</v>
      </c>
      <c r="K3781" s="108"/>
      <c r="L3781" s="108">
        <v>3.9800000000000002E-2</v>
      </c>
      <c r="O3781" s="105"/>
    </row>
    <row r="3782" spans="2:15" x14ac:dyDescent="0.2">
      <c r="B3782" s="1">
        <v>3767</v>
      </c>
      <c r="C3782" s="106">
        <f ca="1"/>
        <v>-0.86980015702994051</v>
      </c>
      <c r="D3782" s="106">
        <f t="shared" ca="1" si="213"/>
        <v>0.60986638698125872</v>
      </c>
      <c r="E3782" s="106">
        <f t="shared" ca="1" si="214"/>
        <v>0</v>
      </c>
      <c r="F3782" s="21">
        <f t="shared" ca="1" si="215"/>
        <v>0</v>
      </c>
      <c r="H3782" s="21">
        <v>3767</v>
      </c>
      <c r="I3782" s="107">
        <v>0.66781658648452624</v>
      </c>
      <c r="J3782" s="108">
        <v>1.3603950239477888E-3</v>
      </c>
      <c r="K3782" s="108"/>
      <c r="L3782" s="108">
        <v>4.2799999999999998E-2</v>
      </c>
      <c r="O3782" s="105"/>
    </row>
    <row r="3783" spans="2:15" x14ac:dyDescent="0.2">
      <c r="B3783" s="1">
        <v>3768</v>
      </c>
      <c r="C3783" s="106">
        <f ca="1"/>
        <v>0.46879250292823837</v>
      </c>
      <c r="D3783" s="106">
        <f t="shared" ca="1" si="213"/>
        <v>0.69595183132888949</v>
      </c>
      <c r="E3783" s="106">
        <f t="shared" ca="1" si="214"/>
        <v>0</v>
      </c>
      <c r="F3783" s="21">
        <f t="shared" ca="1" si="215"/>
        <v>0</v>
      </c>
      <c r="H3783" s="21">
        <v>3768</v>
      </c>
      <c r="I3783" s="107">
        <v>0.6678289791178591</v>
      </c>
      <c r="J3783" s="108">
        <v>1.6134732294341547E-3</v>
      </c>
      <c r="K3783" s="108"/>
      <c r="L3783" s="108">
        <v>4.2000000000000003E-2</v>
      </c>
      <c r="O3783" s="105"/>
    </row>
    <row r="3784" spans="2:15" x14ac:dyDescent="0.2">
      <c r="B3784" s="1">
        <v>3769</v>
      </c>
      <c r="C3784" s="106">
        <f ca="1"/>
        <v>0.30426159667170599</v>
      </c>
      <c r="D3784" s="106">
        <f t="shared" ca="1" si="213"/>
        <v>0.68474801094985682</v>
      </c>
      <c r="E3784" s="106">
        <f t="shared" ca="1" si="214"/>
        <v>0</v>
      </c>
      <c r="F3784" s="21">
        <f t="shared" ca="1" si="215"/>
        <v>0</v>
      </c>
      <c r="H3784" s="21">
        <v>3769</v>
      </c>
      <c r="I3784" s="107">
        <v>0.6677747120058799</v>
      </c>
      <c r="J3784" s="108">
        <v>1.3693096582055868E-3</v>
      </c>
      <c r="K3784" s="108"/>
      <c r="L3784" s="108">
        <v>4.3200000000000002E-2</v>
      </c>
      <c r="O3784" s="105"/>
    </row>
    <row r="3785" spans="2:15" x14ac:dyDescent="0.2">
      <c r="B3785" s="1">
        <v>3770</v>
      </c>
      <c r="C3785" s="106">
        <f ca="1"/>
        <v>1.3507352867364635</v>
      </c>
      <c r="D3785" s="106">
        <f t="shared" ca="1" si="213"/>
        <v>0.75920850933418071</v>
      </c>
      <c r="E3785" s="106">
        <f t="shared" ca="1" si="214"/>
        <v>0</v>
      </c>
      <c r="F3785" s="21">
        <f t="shared" ca="1" si="215"/>
        <v>0</v>
      </c>
      <c r="H3785" s="21">
        <v>3770</v>
      </c>
      <c r="I3785" s="107">
        <v>0.66787536718173057</v>
      </c>
      <c r="J3785" s="108">
        <v>1.5372834487812077E-3</v>
      </c>
      <c r="K3785" s="108"/>
      <c r="L3785" s="108">
        <v>4.5199999999999997E-2</v>
      </c>
      <c r="O3785" s="105"/>
    </row>
    <row r="3786" spans="2:15" x14ac:dyDescent="0.2">
      <c r="B3786" s="1">
        <v>3771</v>
      </c>
      <c r="C3786" s="106">
        <f ca="1"/>
        <v>0.52717416317850696</v>
      </c>
      <c r="D3786" s="106">
        <f t="shared" ca="1" si="213"/>
        <v>0.69997127217144617</v>
      </c>
      <c r="E3786" s="106">
        <f t="shared" ca="1" si="214"/>
        <v>0</v>
      </c>
      <c r="F3786" s="21">
        <f t="shared" ca="1" si="215"/>
        <v>0</v>
      </c>
      <c r="H3786" s="21">
        <v>3771</v>
      </c>
      <c r="I3786" s="107">
        <v>0.66772512493336811</v>
      </c>
      <c r="J3786" s="108">
        <v>1.403158994634391E-3</v>
      </c>
      <c r="K3786" s="108"/>
      <c r="L3786" s="108">
        <v>4.1200000000000001E-2</v>
      </c>
      <c r="O3786" s="105"/>
    </row>
    <row r="3787" spans="2:15" x14ac:dyDescent="0.2">
      <c r="B3787" s="1">
        <v>3772</v>
      </c>
      <c r="C3787" s="106">
        <f ca="1"/>
        <v>0.9713719354031054</v>
      </c>
      <c r="D3787" s="106">
        <f t="shared" ca="1" si="213"/>
        <v>0.73132324058885467</v>
      </c>
      <c r="E3787" s="106">
        <f t="shared" ca="1" si="214"/>
        <v>0</v>
      </c>
      <c r="F3787" s="21">
        <f t="shared" ca="1" si="215"/>
        <v>0</v>
      </c>
      <c r="H3787" s="21">
        <v>3772</v>
      </c>
      <c r="I3787" s="107">
        <v>0.66765073652371598</v>
      </c>
      <c r="J3787" s="108">
        <v>1.3342323874806919E-3</v>
      </c>
      <c r="K3787" s="108"/>
      <c r="L3787" s="108">
        <v>3.7999999999999999E-2</v>
      </c>
      <c r="O3787" s="105"/>
    </row>
    <row r="3788" spans="2:15" x14ac:dyDescent="0.2">
      <c r="B3788" s="1">
        <v>3773</v>
      </c>
      <c r="C3788" s="106">
        <f ca="1"/>
        <v>-1.0929819617933507</v>
      </c>
      <c r="D3788" s="106">
        <f t="shared" ca="1" si="213"/>
        <v>0.59658691924097607</v>
      </c>
      <c r="E3788" s="106">
        <f t="shared" ca="1" si="214"/>
        <v>0</v>
      </c>
      <c r="F3788" s="21">
        <f t="shared" ca="1" si="215"/>
        <v>0</v>
      </c>
      <c r="H3788" s="21">
        <v>3773</v>
      </c>
      <c r="I3788" s="107">
        <v>0.66765766826183903</v>
      </c>
      <c r="J3788" s="108">
        <v>1.2338367051636125E-3</v>
      </c>
      <c r="K3788" s="108"/>
      <c r="L3788" s="108">
        <v>3.7600000000000001E-2</v>
      </c>
      <c r="O3788" s="105"/>
    </row>
    <row r="3789" spans="2:15" x14ac:dyDescent="0.2">
      <c r="B3789" s="1">
        <v>3774</v>
      </c>
      <c r="C3789" s="106">
        <f ca="1"/>
        <v>1.6938652982851208</v>
      </c>
      <c r="D3789" s="106">
        <f t="shared" ca="1" si="213"/>
        <v>0.78534511237671933</v>
      </c>
      <c r="E3789" s="106">
        <f t="shared" ca="1" si="214"/>
        <v>0</v>
      </c>
      <c r="F3789" s="21">
        <f t="shared" ca="1" si="215"/>
        <v>0</v>
      </c>
      <c r="H3789" s="21">
        <v>3774</v>
      </c>
      <c r="I3789" s="107">
        <v>0.667758475379304</v>
      </c>
      <c r="J3789" s="108">
        <v>1.3628709909356709E-3</v>
      </c>
      <c r="K3789" s="108"/>
      <c r="L3789" s="108">
        <v>4.1599999999999998E-2</v>
      </c>
      <c r="O3789" s="105"/>
    </row>
    <row r="3790" spans="2:15" x14ac:dyDescent="0.2">
      <c r="B3790" s="1">
        <v>3775</v>
      </c>
      <c r="C3790" s="106">
        <f ca="1"/>
        <v>0.90074769665405796</v>
      </c>
      <c r="D3790" s="106">
        <f t="shared" ca="1" si="213"/>
        <v>0.72624620527613892</v>
      </c>
      <c r="E3790" s="106">
        <f t="shared" ca="1" si="214"/>
        <v>0</v>
      </c>
      <c r="F3790" s="21">
        <f t="shared" ca="1" si="215"/>
        <v>0</v>
      </c>
      <c r="H3790" s="21">
        <v>3775</v>
      </c>
      <c r="I3790" s="107">
        <v>0.66762533004514235</v>
      </c>
      <c r="J3790" s="108">
        <v>1.2141912487386428E-3</v>
      </c>
      <c r="K3790" s="108"/>
      <c r="L3790" s="108">
        <v>4.02E-2</v>
      </c>
      <c r="O3790" s="105"/>
    </row>
    <row r="3791" spans="2:15" x14ac:dyDescent="0.2">
      <c r="B3791" s="1">
        <v>3776</v>
      </c>
      <c r="C3791" s="106">
        <f ca="1"/>
        <v>-1.2986951684088686</v>
      </c>
      <c r="D3791" s="106">
        <f t="shared" ca="1" si="213"/>
        <v>0.58460308098186742</v>
      </c>
      <c r="E3791" s="106">
        <f t="shared" ca="1" si="214"/>
        <v>0</v>
      </c>
      <c r="F3791" s="21">
        <f t="shared" ca="1" si="215"/>
        <v>0</v>
      </c>
      <c r="H3791" s="21">
        <v>3776</v>
      </c>
      <c r="I3791" s="107">
        <v>0.66771086713133743</v>
      </c>
      <c r="J3791" s="108">
        <v>1.2340508452079015E-3</v>
      </c>
      <c r="K3791" s="108"/>
      <c r="L3791" s="108">
        <v>4.0599999999999997E-2</v>
      </c>
      <c r="O3791" s="105"/>
    </row>
    <row r="3792" spans="2:15" x14ac:dyDescent="0.2">
      <c r="B3792" s="1">
        <v>3777</v>
      </c>
      <c r="C3792" s="106">
        <f ca="1"/>
        <v>0.65460080271403032</v>
      </c>
      <c r="D3792" s="106">
        <f t="shared" ref="D3792:D3855" ca="1" si="216">S0*EXP((μ-0.5*σ*σ)*T+σ*SQRT(T)*$C3792)</f>
        <v>0.70882511168152795</v>
      </c>
      <c r="E3792" s="106">
        <f t="shared" ref="E3792:E3855" ca="1" si="217">MAX(0,CP*(D3792-K))</f>
        <v>0</v>
      </c>
      <c r="F3792" s="21">
        <f t="shared" ref="F3792:F3855" ca="1" si="218">(CP*(D3792-K)&gt;0)*1</f>
        <v>0</v>
      </c>
      <c r="H3792" s="21">
        <v>3777</v>
      </c>
      <c r="I3792" s="107">
        <v>0.66773105458528792</v>
      </c>
      <c r="J3792" s="108">
        <v>1.2679728189893338E-3</v>
      </c>
      <c r="K3792" s="108"/>
      <c r="L3792" s="108">
        <v>4.0399999999999998E-2</v>
      </c>
      <c r="O3792" s="105"/>
    </row>
    <row r="3793" spans="2:15" x14ac:dyDescent="0.2">
      <c r="B3793" s="1">
        <v>3778</v>
      </c>
      <c r="C3793" s="106">
        <f ca="1"/>
        <v>-0.55959313047902437</v>
      </c>
      <c r="D3793" s="106">
        <f t="shared" ca="1" si="216"/>
        <v>0.62881627775848614</v>
      </c>
      <c r="E3793" s="106">
        <f t="shared" ca="1" si="217"/>
        <v>0</v>
      </c>
      <c r="F3793" s="21">
        <f t="shared" ca="1" si="218"/>
        <v>0</v>
      </c>
      <c r="H3793" s="21">
        <v>3778</v>
      </c>
      <c r="I3793" s="107">
        <v>0.66786467707856623</v>
      </c>
      <c r="J3793" s="108">
        <v>1.4906676560225154E-3</v>
      </c>
      <c r="K3793" s="108"/>
      <c r="L3793" s="108">
        <v>4.0599999999999997E-2</v>
      </c>
      <c r="O3793" s="105"/>
    </row>
    <row r="3794" spans="2:15" x14ac:dyDescent="0.2">
      <c r="B3794" s="1">
        <v>3779</v>
      </c>
      <c r="C3794" s="106">
        <f ca="1"/>
        <v>-1.6109091097082271</v>
      </c>
      <c r="D3794" s="106">
        <f t="shared" ca="1" si="216"/>
        <v>0.56687335886560331</v>
      </c>
      <c r="E3794" s="106">
        <f t="shared" ca="1" si="217"/>
        <v>0</v>
      </c>
      <c r="F3794" s="21">
        <f t="shared" ca="1" si="218"/>
        <v>0</v>
      </c>
      <c r="H3794" s="21">
        <v>3779</v>
      </c>
      <c r="I3794" s="107">
        <v>0.66776355818545519</v>
      </c>
      <c r="J3794" s="108">
        <v>1.4340435987383331E-3</v>
      </c>
      <c r="K3794" s="108"/>
      <c r="L3794" s="108">
        <v>4.24E-2</v>
      </c>
      <c r="O3794" s="105"/>
    </row>
    <row r="3795" spans="2:15" x14ac:dyDescent="0.2">
      <c r="B3795" s="1">
        <v>3780</v>
      </c>
      <c r="C3795" s="106">
        <f ca="1"/>
        <v>-1.2591885998069603</v>
      </c>
      <c r="D3795" s="106">
        <f t="shared" ca="1" si="216"/>
        <v>0.58688571246995958</v>
      </c>
      <c r="E3795" s="106">
        <f t="shared" ca="1" si="217"/>
        <v>0</v>
      </c>
      <c r="F3795" s="21">
        <f t="shared" ca="1" si="218"/>
        <v>0</v>
      </c>
      <c r="H3795" s="21">
        <v>3780</v>
      </c>
      <c r="I3795" s="107">
        <v>0.66783984695542487</v>
      </c>
      <c r="J3795" s="108">
        <v>1.4596361662816886E-3</v>
      </c>
      <c r="K3795" s="108"/>
      <c r="L3795" s="108">
        <v>4.3400000000000001E-2</v>
      </c>
      <c r="O3795" s="105"/>
    </row>
    <row r="3796" spans="2:15" x14ac:dyDescent="0.2">
      <c r="B3796" s="1">
        <v>3781</v>
      </c>
      <c r="C3796" s="106">
        <f ca="1"/>
        <v>0.56195352845428237</v>
      </c>
      <c r="D3796" s="106">
        <f t="shared" ca="1" si="216"/>
        <v>0.70237677540530963</v>
      </c>
      <c r="E3796" s="106">
        <f t="shared" ca="1" si="217"/>
        <v>0</v>
      </c>
      <c r="F3796" s="21">
        <f t="shared" ca="1" si="218"/>
        <v>0</v>
      </c>
      <c r="H3796" s="21">
        <v>3781</v>
      </c>
      <c r="I3796" s="107">
        <v>0.66775163574707364</v>
      </c>
      <c r="J3796" s="108">
        <v>1.4142495791917178E-3</v>
      </c>
      <c r="K3796" s="108"/>
      <c r="L3796" s="108">
        <v>4.1599999999999998E-2</v>
      </c>
      <c r="O3796" s="105"/>
    </row>
    <row r="3797" spans="2:15" x14ac:dyDescent="0.2">
      <c r="B3797" s="1">
        <v>3782</v>
      </c>
      <c r="C3797" s="106">
        <f ca="1"/>
        <v>-0.40713019397124744</v>
      </c>
      <c r="D3797" s="106">
        <f t="shared" ca="1" si="216"/>
        <v>0.63834460706413965</v>
      </c>
      <c r="E3797" s="106">
        <f t="shared" ca="1" si="217"/>
        <v>0</v>
      </c>
      <c r="F3797" s="21">
        <f t="shared" ca="1" si="218"/>
        <v>0</v>
      </c>
      <c r="H3797" s="21">
        <v>3782</v>
      </c>
      <c r="I3797" s="107">
        <v>0.66783382369601241</v>
      </c>
      <c r="J3797" s="108">
        <v>1.5282475833246875E-3</v>
      </c>
      <c r="K3797" s="108"/>
      <c r="L3797" s="108">
        <v>4.4400000000000002E-2</v>
      </c>
      <c r="O3797" s="105"/>
    </row>
    <row r="3798" spans="2:15" x14ac:dyDescent="0.2">
      <c r="B3798" s="1">
        <v>3783</v>
      </c>
      <c r="C3798" s="106">
        <f ca="1"/>
        <v>1.5369068249053601</v>
      </c>
      <c r="D3798" s="106">
        <f t="shared" ca="1" si="216"/>
        <v>0.77327957838589156</v>
      </c>
      <c r="E3798" s="106">
        <f t="shared" ca="1" si="217"/>
        <v>0</v>
      </c>
      <c r="F3798" s="21">
        <f t="shared" ca="1" si="218"/>
        <v>0</v>
      </c>
      <c r="H3798" s="21">
        <v>3783</v>
      </c>
      <c r="I3798" s="107">
        <v>0.66776308880910418</v>
      </c>
      <c r="J3798" s="108">
        <v>1.4786187881758971E-3</v>
      </c>
      <c r="K3798" s="108"/>
      <c r="L3798" s="108">
        <v>4.2999999999999997E-2</v>
      </c>
      <c r="O3798" s="105"/>
    </row>
    <row r="3799" spans="2:15" x14ac:dyDescent="0.2">
      <c r="B3799" s="1">
        <v>3784</v>
      </c>
      <c r="C3799" s="106">
        <f ca="1"/>
        <v>1.2451270068492195</v>
      </c>
      <c r="D3799" s="106">
        <f t="shared" ca="1" si="216"/>
        <v>0.75134062795278245</v>
      </c>
      <c r="E3799" s="106">
        <f t="shared" ca="1" si="217"/>
        <v>0</v>
      </c>
      <c r="F3799" s="21">
        <f t="shared" ca="1" si="218"/>
        <v>0</v>
      </c>
      <c r="H3799" s="21">
        <v>3784</v>
      </c>
      <c r="I3799" s="107">
        <v>0.66772673647809444</v>
      </c>
      <c r="J3799" s="108">
        <v>1.4156622856025852E-3</v>
      </c>
      <c r="K3799" s="108"/>
      <c r="L3799" s="108">
        <v>4.2200000000000001E-2</v>
      </c>
      <c r="O3799" s="105"/>
    </row>
    <row r="3800" spans="2:15" x14ac:dyDescent="0.2">
      <c r="B3800" s="1">
        <v>3785</v>
      </c>
      <c r="C3800" s="106">
        <f ca="1"/>
        <v>-1.5561504002217359</v>
      </c>
      <c r="D3800" s="106">
        <f t="shared" ca="1" si="216"/>
        <v>0.5699435937001166</v>
      </c>
      <c r="E3800" s="106">
        <f t="shared" ca="1" si="217"/>
        <v>0</v>
      </c>
      <c r="F3800" s="21">
        <f t="shared" ca="1" si="218"/>
        <v>0</v>
      </c>
      <c r="H3800" s="21">
        <v>3785</v>
      </c>
      <c r="I3800" s="107">
        <v>0.66774836954546934</v>
      </c>
      <c r="J3800" s="108">
        <v>1.308608396138044E-3</v>
      </c>
      <c r="K3800" s="108"/>
      <c r="L3800" s="108">
        <v>4.0800000000000003E-2</v>
      </c>
      <c r="O3800" s="105"/>
    </row>
    <row r="3801" spans="2:15" x14ac:dyDescent="0.2">
      <c r="B3801" s="1">
        <v>3786</v>
      </c>
      <c r="C3801" s="106">
        <f ca="1"/>
        <v>-0.68330009069306596</v>
      </c>
      <c r="D3801" s="106">
        <f t="shared" ca="1" si="216"/>
        <v>0.62118969932456103</v>
      </c>
      <c r="E3801" s="106">
        <f t="shared" ca="1" si="217"/>
        <v>0</v>
      </c>
      <c r="F3801" s="21">
        <f t="shared" ca="1" si="218"/>
        <v>0</v>
      </c>
      <c r="H3801" s="21">
        <v>3786</v>
      </c>
      <c r="I3801" s="107">
        <v>0.66768385676688313</v>
      </c>
      <c r="J3801" s="108">
        <v>1.2860562393137347E-3</v>
      </c>
      <c r="K3801" s="108"/>
      <c r="L3801" s="108">
        <v>4.2200000000000001E-2</v>
      </c>
      <c r="O3801" s="105"/>
    </row>
    <row r="3802" spans="2:15" x14ac:dyDescent="0.2">
      <c r="B3802" s="1">
        <v>3787</v>
      </c>
      <c r="C3802" s="106">
        <f ca="1"/>
        <v>1.5441571784167967</v>
      </c>
      <c r="D3802" s="106">
        <f t="shared" ca="1" si="216"/>
        <v>0.77383281375018986</v>
      </c>
      <c r="E3802" s="106">
        <f t="shared" ca="1" si="217"/>
        <v>0</v>
      </c>
      <c r="F3802" s="21">
        <f t="shared" ca="1" si="218"/>
        <v>0</v>
      </c>
      <c r="H3802" s="21">
        <v>3787</v>
      </c>
      <c r="I3802" s="107">
        <v>0.66785829872471458</v>
      </c>
      <c r="J3802" s="108">
        <v>1.4707323989635482E-3</v>
      </c>
      <c r="K3802" s="108"/>
      <c r="L3802" s="108">
        <v>4.3200000000000002E-2</v>
      </c>
      <c r="O3802" s="105"/>
    </row>
    <row r="3803" spans="2:15" x14ac:dyDescent="0.2">
      <c r="B3803" s="1">
        <v>3788</v>
      </c>
      <c r="C3803" s="106">
        <f ca="1"/>
        <v>0.36842463378073265</v>
      </c>
      <c r="D3803" s="106">
        <f t="shared" ca="1" si="216"/>
        <v>0.68909561185166879</v>
      </c>
      <c r="E3803" s="106">
        <f t="shared" ca="1" si="217"/>
        <v>0</v>
      </c>
      <c r="F3803" s="21">
        <f t="shared" ca="1" si="218"/>
        <v>0</v>
      </c>
      <c r="H3803" s="21">
        <v>3788</v>
      </c>
      <c r="I3803" s="107">
        <v>0.66764613569550135</v>
      </c>
      <c r="J3803" s="108">
        <v>1.2528775921225701E-3</v>
      </c>
      <c r="K3803" s="108"/>
      <c r="L3803" s="108">
        <v>3.7600000000000001E-2</v>
      </c>
      <c r="O3803" s="105"/>
    </row>
    <row r="3804" spans="2:15" x14ac:dyDescent="0.2">
      <c r="B3804" s="1">
        <v>3789</v>
      </c>
      <c r="C3804" s="106">
        <f ca="1"/>
        <v>1.1556244034831504</v>
      </c>
      <c r="D3804" s="106">
        <f t="shared" ca="1" si="216"/>
        <v>0.74473649611772141</v>
      </c>
      <c r="E3804" s="106">
        <f t="shared" ca="1" si="217"/>
        <v>0</v>
      </c>
      <c r="F3804" s="21">
        <f t="shared" ca="1" si="218"/>
        <v>0</v>
      </c>
      <c r="H3804" s="21">
        <v>3789</v>
      </c>
      <c r="I3804" s="107">
        <v>0.66777634836776878</v>
      </c>
      <c r="J3804" s="108">
        <v>1.3270225179941367E-3</v>
      </c>
      <c r="K3804" s="108"/>
      <c r="L3804" s="108">
        <v>4.1399999999999999E-2</v>
      </c>
      <c r="O3804" s="105"/>
    </row>
    <row r="3805" spans="2:15" x14ac:dyDescent="0.2">
      <c r="B3805" s="1">
        <v>3790</v>
      </c>
      <c r="C3805" s="106">
        <f ca="1"/>
        <v>0.27895586160615504</v>
      </c>
      <c r="D3805" s="106">
        <f t="shared" ca="1" si="216"/>
        <v>0.6830408805005912</v>
      </c>
      <c r="E3805" s="106">
        <f t="shared" ca="1" si="217"/>
        <v>0</v>
      </c>
      <c r="F3805" s="21">
        <f t="shared" ca="1" si="218"/>
        <v>0</v>
      </c>
      <c r="H3805" s="21">
        <v>3790</v>
      </c>
      <c r="I3805" s="107">
        <v>0.66771971447283307</v>
      </c>
      <c r="J3805" s="108">
        <v>1.3821373528106543E-3</v>
      </c>
      <c r="K3805" s="108"/>
      <c r="L3805" s="108">
        <v>4.3200000000000002E-2</v>
      </c>
      <c r="O3805" s="105"/>
    </row>
    <row r="3806" spans="2:15" x14ac:dyDescent="0.2">
      <c r="B3806" s="1">
        <v>3791</v>
      </c>
      <c r="C3806" s="106">
        <f ca="1"/>
        <v>-1.1269864098479072</v>
      </c>
      <c r="D3806" s="106">
        <f t="shared" ca="1" si="216"/>
        <v>0.59458917357933327</v>
      </c>
      <c r="E3806" s="106">
        <f t="shared" ca="1" si="217"/>
        <v>0</v>
      </c>
      <c r="F3806" s="21">
        <f t="shared" ca="1" si="218"/>
        <v>0</v>
      </c>
      <c r="H3806" s="21">
        <v>3791</v>
      </c>
      <c r="I3806" s="107">
        <v>0.6676493432575723</v>
      </c>
      <c r="J3806" s="108">
        <v>1.2079013268933589E-3</v>
      </c>
      <c r="K3806" s="108"/>
      <c r="L3806" s="108">
        <v>4.1599999999999998E-2</v>
      </c>
      <c r="O3806" s="105"/>
    </row>
    <row r="3807" spans="2:15" x14ac:dyDescent="0.2">
      <c r="B3807" s="1">
        <v>3792</v>
      </c>
      <c r="C3807" s="106">
        <f ca="1"/>
        <v>-0.52992653804999634</v>
      </c>
      <c r="D3807" s="106">
        <f t="shared" ca="1" si="216"/>
        <v>0.63065911060938185</v>
      </c>
      <c r="E3807" s="106">
        <f t="shared" ca="1" si="217"/>
        <v>0</v>
      </c>
      <c r="F3807" s="21">
        <f t="shared" ca="1" si="218"/>
        <v>0</v>
      </c>
      <c r="H3807" s="21">
        <v>3792</v>
      </c>
      <c r="I3807" s="107">
        <v>0.66778817463253592</v>
      </c>
      <c r="J3807" s="108">
        <v>1.4234821652847525E-3</v>
      </c>
      <c r="K3807" s="108"/>
      <c r="L3807" s="108">
        <v>4.0800000000000003E-2</v>
      </c>
      <c r="O3807" s="105"/>
    </row>
    <row r="3808" spans="2:15" x14ac:dyDescent="0.2">
      <c r="B3808" s="1">
        <v>3793</v>
      </c>
      <c r="C3808" s="106">
        <f ca="1"/>
        <v>-7.2866432898148384E-2</v>
      </c>
      <c r="D3808" s="106">
        <f t="shared" ca="1" si="216"/>
        <v>0.65974308529689052</v>
      </c>
      <c r="E3808" s="106">
        <f t="shared" ca="1" si="217"/>
        <v>0</v>
      </c>
      <c r="F3808" s="21">
        <f t="shared" ca="1" si="218"/>
        <v>0</v>
      </c>
      <c r="H3808" s="21">
        <v>3793</v>
      </c>
      <c r="I3808" s="107">
        <v>0.66765558966423266</v>
      </c>
      <c r="J3808" s="108">
        <v>1.3211139707301233E-3</v>
      </c>
      <c r="K3808" s="108"/>
      <c r="L3808" s="108">
        <v>4.1200000000000001E-2</v>
      </c>
      <c r="O3808" s="105"/>
    </row>
    <row r="3809" spans="2:15" x14ac:dyDescent="0.2">
      <c r="B3809" s="1">
        <v>3794</v>
      </c>
      <c r="C3809" s="106">
        <f ca="1"/>
        <v>1.5303026565450211</v>
      </c>
      <c r="D3809" s="106">
        <f t="shared" ca="1" si="216"/>
        <v>0.77277599415029907</v>
      </c>
      <c r="E3809" s="106">
        <f t="shared" ca="1" si="217"/>
        <v>0</v>
      </c>
      <c r="F3809" s="21">
        <f t="shared" ca="1" si="218"/>
        <v>0</v>
      </c>
      <c r="H3809" s="21">
        <v>3794</v>
      </c>
      <c r="I3809" s="107">
        <v>0.66763538274653333</v>
      </c>
      <c r="J3809" s="108">
        <v>1.2118919060829622E-3</v>
      </c>
      <c r="K3809" s="108"/>
      <c r="L3809" s="108">
        <v>3.7999999999999999E-2</v>
      </c>
      <c r="O3809" s="105"/>
    </row>
    <row r="3810" spans="2:15" x14ac:dyDescent="0.2">
      <c r="B3810" s="1">
        <v>3795</v>
      </c>
      <c r="C3810" s="106">
        <f ca="1"/>
        <v>-0.41446184151473275</v>
      </c>
      <c r="D3810" s="106">
        <f t="shared" ca="1" si="216"/>
        <v>0.63788312094668786</v>
      </c>
      <c r="E3810" s="106">
        <f t="shared" ca="1" si="217"/>
        <v>0</v>
      </c>
      <c r="F3810" s="21">
        <f t="shared" ca="1" si="218"/>
        <v>0</v>
      </c>
      <c r="H3810" s="21">
        <v>3795</v>
      </c>
      <c r="I3810" s="107">
        <v>0.66777953081344088</v>
      </c>
      <c r="J3810" s="108">
        <v>1.3708305723461472E-3</v>
      </c>
      <c r="K3810" s="108"/>
      <c r="L3810" s="108">
        <v>4.2799999999999998E-2</v>
      </c>
      <c r="O3810" s="105"/>
    </row>
    <row r="3811" spans="2:15" x14ac:dyDescent="0.2">
      <c r="B3811" s="1">
        <v>3796</v>
      </c>
      <c r="C3811" s="106">
        <f ca="1"/>
        <v>-0.43379866379437243</v>
      </c>
      <c r="D3811" s="106">
        <f t="shared" ca="1" si="216"/>
        <v>0.63666757607923874</v>
      </c>
      <c r="E3811" s="106">
        <f t="shared" ca="1" si="217"/>
        <v>0</v>
      </c>
      <c r="F3811" s="21">
        <f t="shared" ca="1" si="218"/>
        <v>0</v>
      </c>
      <c r="H3811" s="21">
        <v>3796</v>
      </c>
      <c r="I3811" s="107">
        <v>0.66787513523779862</v>
      </c>
      <c r="J3811" s="108">
        <v>1.5166782270987637E-3</v>
      </c>
      <c r="K3811" s="108"/>
      <c r="L3811" s="108">
        <v>4.6600000000000003E-2</v>
      </c>
      <c r="O3811" s="105"/>
    </row>
    <row r="3812" spans="2:15" x14ac:dyDescent="0.2">
      <c r="B3812" s="1">
        <v>3797</v>
      </c>
      <c r="C3812" s="106">
        <f ca="1"/>
        <v>0.33998380396734174</v>
      </c>
      <c r="D3812" s="106">
        <f t="shared" ca="1" si="216"/>
        <v>0.68716510388933039</v>
      </c>
      <c r="E3812" s="106">
        <f t="shared" ca="1" si="217"/>
        <v>0</v>
      </c>
      <c r="F3812" s="21">
        <f t="shared" ca="1" si="218"/>
        <v>0</v>
      </c>
      <c r="H3812" s="21">
        <v>3797</v>
      </c>
      <c r="I3812" s="107">
        <v>0.66762111700757709</v>
      </c>
      <c r="J3812" s="108">
        <v>1.1556205966254448E-3</v>
      </c>
      <c r="K3812" s="108"/>
      <c r="L3812" s="108">
        <v>4.1599999999999998E-2</v>
      </c>
      <c r="O3812" s="105"/>
    </row>
    <row r="3813" spans="2:15" x14ac:dyDescent="0.2">
      <c r="B3813" s="1">
        <v>3798</v>
      </c>
      <c r="C3813" s="106">
        <f ca="1"/>
        <v>0.21176353211905338</v>
      </c>
      <c r="D3813" s="106">
        <f t="shared" ca="1" si="216"/>
        <v>0.67852869597495569</v>
      </c>
      <c r="E3813" s="106">
        <f t="shared" ca="1" si="217"/>
        <v>0</v>
      </c>
      <c r="F3813" s="21">
        <f t="shared" ca="1" si="218"/>
        <v>0</v>
      </c>
      <c r="H3813" s="21">
        <v>3798</v>
      </c>
      <c r="I3813" s="107">
        <v>0.66762719705497997</v>
      </c>
      <c r="J3813" s="108">
        <v>1.3370668731590724E-3</v>
      </c>
      <c r="K3813" s="108"/>
      <c r="L3813" s="108">
        <v>3.8600000000000002E-2</v>
      </c>
      <c r="O3813" s="105"/>
    </row>
    <row r="3814" spans="2:15" x14ac:dyDescent="0.2">
      <c r="B3814" s="1">
        <v>3799</v>
      </c>
      <c r="C3814" s="106">
        <f ca="1"/>
        <v>-0.45745573372426629</v>
      </c>
      <c r="D3814" s="106">
        <f t="shared" ca="1" si="216"/>
        <v>0.6351836032183521</v>
      </c>
      <c r="E3814" s="106">
        <f t="shared" ca="1" si="217"/>
        <v>0</v>
      </c>
      <c r="F3814" s="21">
        <f t="shared" ca="1" si="218"/>
        <v>0</v>
      </c>
      <c r="H3814" s="21">
        <v>3799</v>
      </c>
      <c r="I3814" s="107">
        <v>0.66762843290588381</v>
      </c>
      <c r="J3814" s="108">
        <v>1.3007615893093024E-3</v>
      </c>
      <c r="K3814" s="108"/>
      <c r="L3814" s="108">
        <v>3.8399999999999997E-2</v>
      </c>
      <c r="O3814" s="105"/>
    </row>
    <row r="3815" spans="2:15" x14ac:dyDescent="0.2">
      <c r="B3815" s="1">
        <v>3800</v>
      </c>
      <c r="C3815" s="106">
        <f ca="1"/>
        <v>0.57515608433182486</v>
      </c>
      <c r="D3815" s="106">
        <f t="shared" ca="1" si="216"/>
        <v>0.70329208893757345</v>
      </c>
      <c r="E3815" s="106">
        <f t="shared" ca="1" si="217"/>
        <v>0</v>
      </c>
      <c r="F3815" s="21">
        <f t="shared" ca="1" si="218"/>
        <v>0</v>
      </c>
      <c r="H3815" s="21">
        <v>3800</v>
      </c>
      <c r="I3815" s="107">
        <v>0.66756596728395146</v>
      </c>
      <c r="J3815" s="108">
        <v>1.2392515942743134E-3</v>
      </c>
      <c r="K3815" s="108"/>
      <c r="L3815" s="108">
        <v>3.7600000000000001E-2</v>
      </c>
      <c r="O3815" s="105"/>
    </row>
    <row r="3816" spans="2:15" x14ac:dyDescent="0.2">
      <c r="B3816" s="1">
        <v>3801</v>
      </c>
      <c r="C3816" s="106">
        <f ca="1"/>
        <v>0.75928025213860717</v>
      </c>
      <c r="D3816" s="106">
        <f t="shared" ca="1" si="216"/>
        <v>0.71618215911819849</v>
      </c>
      <c r="E3816" s="106">
        <f t="shared" ca="1" si="217"/>
        <v>0</v>
      </c>
      <c r="F3816" s="21">
        <f t="shared" ca="1" si="218"/>
        <v>0</v>
      </c>
      <c r="H3816" s="21">
        <v>3801</v>
      </c>
      <c r="I3816" s="107">
        <v>0.66769412975575293</v>
      </c>
      <c r="J3816" s="108">
        <v>1.2638718191902614E-3</v>
      </c>
      <c r="K3816" s="108"/>
      <c r="L3816" s="108">
        <v>4.0599999999999997E-2</v>
      </c>
      <c r="O3816" s="105"/>
    </row>
    <row r="3817" spans="2:15" x14ac:dyDescent="0.2">
      <c r="B3817" s="1">
        <v>3802</v>
      </c>
      <c r="C3817" s="106">
        <f ca="1"/>
        <v>-1.642893284972023</v>
      </c>
      <c r="D3817" s="106">
        <f t="shared" ca="1" si="216"/>
        <v>0.56508771357265875</v>
      </c>
      <c r="E3817" s="106">
        <f t="shared" ca="1" si="217"/>
        <v>0</v>
      </c>
      <c r="F3817" s="21">
        <f t="shared" ca="1" si="218"/>
        <v>0</v>
      </c>
      <c r="H3817" s="21">
        <v>3802</v>
      </c>
      <c r="I3817" s="107">
        <v>0.66787625131581418</v>
      </c>
      <c r="J3817" s="108">
        <v>1.4309208049364133E-3</v>
      </c>
      <c r="K3817" s="108"/>
      <c r="L3817" s="108">
        <v>4.7E-2</v>
      </c>
      <c r="O3817" s="105"/>
    </row>
    <row r="3818" spans="2:15" x14ac:dyDescent="0.2">
      <c r="B3818" s="1">
        <v>3803</v>
      </c>
      <c r="C3818" s="106">
        <f ca="1"/>
        <v>-0.92710971566442102</v>
      </c>
      <c r="D3818" s="106">
        <f t="shared" ca="1" si="216"/>
        <v>0.60642848343975242</v>
      </c>
      <c r="E3818" s="106">
        <f t="shared" ca="1" si="217"/>
        <v>0</v>
      </c>
      <c r="F3818" s="21">
        <f t="shared" ca="1" si="218"/>
        <v>0</v>
      </c>
      <c r="H3818" s="21">
        <v>3803</v>
      </c>
      <c r="I3818" s="107">
        <v>0.66769034788652293</v>
      </c>
      <c r="J3818" s="108">
        <v>1.5462992208646064E-3</v>
      </c>
      <c r="K3818" s="108"/>
      <c r="L3818" s="108">
        <v>4.0399999999999998E-2</v>
      </c>
      <c r="O3818" s="105"/>
    </row>
    <row r="3819" spans="2:15" x14ac:dyDescent="0.2">
      <c r="B3819" s="1">
        <v>3804</v>
      </c>
      <c r="C3819" s="106">
        <f ca="1"/>
        <v>1.2367563576141072</v>
      </c>
      <c r="D3819" s="106">
        <f t="shared" ca="1" si="216"/>
        <v>0.75072050810274515</v>
      </c>
      <c r="E3819" s="106">
        <f t="shared" ca="1" si="217"/>
        <v>0</v>
      </c>
      <c r="F3819" s="21">
        <f t="shared" ca="1" si="218"/>
        <v>0</v>
      </c>
      <c r="H3819" s="21">
        <v>3804</v>
      </c>
      <c r="I3819" s="107">
        <v>0.66759985781301889</v>
      </c>
      <c r="J3819" s="108">
        <v>1.259162612978275E-3</v>
      </c>
      <c r="K3819" s="108"/>
      <c r="L3819" s="108">
        <v>3.8800000000000001E-2</v>
      </c>
      <c r="O3819" s="105"/>
    </row>
    <row r="3820" spans="2:15" x14ac:dyDescent="0.2">
      <c r="B3820" s="1">
        <v>3805</v>
      </c>
      <c r="C3820" s="106">
        <f ca="1"/>
        <v>-0.80139391489634082</v>
      </c>
      <c r="D3820" s="106">
        <f t="shared" ca="1" si="216"/>
        <v>0.61399548693671369</v>
      </c>
      <c r="E3820" s="106">
        <f t="shared" ca="1" si="217"/>
        <v>0</v>
      </c>
      <c r="F3820" s="21">
        <f t="shared" ca="1" si="218"/>
        <v>0</v>
      </c>
      <c r="H3820" s="21">
        <v>3805</v>
      </c>
      <c r="I3820" s="107">
        <v>0.66768896547734224</v>
      </c>
      <c r="J3820" s="108">
        <v>1.2819475902078944E-3</v>
      </c>
      <c r="K3820" s="108"/>
      <c r="L3820" s="108">
        <v>3.8399999999999997E-2</v>
      </c>
      <c r="O3820" s="105"/>
    </row>
    <row r="3821" spans="2:15" x14ac:dyDescent="0.2">
      <c r="B3821" s="1">
        <v>3806</v>
      </c>
      <c r="C3821" s="106">
        <f ca="1"/>
        <v>1.3337744642601528</v>
      </c>
      <c r="D3821" s="106">
        <f t="shared" ca="1" si="216"/>
        <v>0.75793938657797755</v>
      </c>
      <c r="E3821" s="106">
        <f t="shared" ca="1" si="217"/>
        <v>0</v>
      </c>
      <c r="F3821" s="21">
        <f t="shared" ca="1" si="218"/>
        <v>0</v>
      </c>
      <c r="H3821" s="21">
        <v>3806</v>
      </c>
      <c r="I3821" s="107">
        <v>0.66779355076308988</v>
      </c>
      <c r="J3821" s="108">
        <v>1.4463678622547696E-3</v>
      </c>
      <c r="K3821" s="108"/>
      <c r="L3821" s="108">
        <v>4.3400000000000001E-2</v>
      </c>
      <c r="O3821" s="105"/>
    </row>
    <row r="3822" spans="2:15" x14ac:dyDescent="0.2">
      <c r="B3822" s="1">
        <v>3807</v>
      </c>
      <c r="C3822" s="106">
        <f ca="1"/>
        <v>1.2658685419048055</v>
      </c>
      <c r="D3822" s="106">
        <f t="shared" ca="1" si="216"/>
        <v>0.75287942385824225</v>
      </c>
      <c r="E3822" s="106">
        <f t="shared" ca="1" si="217"/>
        <v>0</v>
      </c>
      <c r="F3822" s="21">
        <f t="shared" ca="1" si="218"/>
        <v>0</v>
      </c>
      <c r="H3822" s="21">
        <v>3807</v>
      </c>
      <c r="I3822" s="107">
        <v>0.66765959938929165</v>
      </c>
      <c r="J3822" s="108">
        <v>1.2188460374752547E-3</v>
      </c>
      <c r="K3822" s="108"/>
      <c r="L3822" s="108">
        <v>3.7400000000000003E-2</v>
      </c>
      <c r="O3822" s="105"/>
    </row>
    <row r="3823" spans="2:15" x14ac:dyDescent="0.2">
      <c r="B3823" s="1">
        <v>3808</v>
      </c>
      <c r="C3823" s="106">
        <f ca="1"/>
        <v>0.92462761956011053</v>
      </c>
      <c r="D3823" s="106">
        <f t="shared" ca="1" si="216"/>
        <v>0.7279589289400028</v>
      </c>
      <c r="E3823" s="106">
        <f t="shared" ca="1" si="217"/>
        <v>0</v>
      </c>
      <c r="F3823" s="21">
        <f t="shared" ca="1" si="218"/>
        <v>0</v>
      </c>
      <c r="H3823" s="21">
        <v>3808</v>
      </c>
      <c r="I3823" s="107">
        <v>0.66762672412738544</v>
      </c>
      <c r="J3823" s="108">
        <v>1.2046319367761034E-3</v>
      </c>
      <c r="K3823" s="108"/>
      <c r="L3823" s="108">
        <v>3.6799999999999999E-2</v>
      </c>
      <c r="O3823" s="105"/>
    </row>
    <row r="3824" spans="2:15" x14ac:dyDescent="0.2">
      <c r="B3824" s="1">
        <v>3809</v>
      </c>
      <c r="C3824" s="106">
        <f ca="1"/>
        <v>0.29964613026539361</v>
      </c>
      <c r="D3824" s="106">
        <f t="shared" ca="1" si="216"/>
        <v>0.68443633275763205</v>
      </c>
      <c r="E3824" s="106">
        <f t="shared" ca="1" si="217"/>
        <v>0</v>
      </c>
      <c r="F3824" s="21">
        <f t="shared" ca="1" si="218"/>
        <v>0</v>
      </c>
      <c r="H3824" s="21">
        <v>3809</v>
      </c>
      <c r="I3824" s="107">
        <v>0.66766194380799315</v>
      </c>
      <c r="J3824" s="108">
        <v>1.2962950859945314E-3</v>
      </c>
      <c r="K3824" s="108"/>
      <c r="L3824" s="108">
        <v>4.0800000000000003E-2</v>
      </c>
      <c r="O3824" s="105"/>
    </row>
    <row r="3825" spans="2:15" x14ac:dyDescent="0.2">
      <c r="B3825" s="1">
        <v>3810</v>
      </c>
      <c r="C3825" s="106">
        <f ca="1"/>
        <v>-0.78748306609825847</v>
      </c>
      <c r="D3825" s="106">
        <f t="shared" ca="1" si="216"/>
        <v>0.61483858037631123</v>
      </c>
      <c r="E3825" s="106">
        <f t="shared" ca="1" si="217"/>
        <v>0</v>
      </c>
      <c r="F3825" s="21">
        <f t="shared" ca="1" si="218"/>
        <v>0</v>
      </c>
      <c r="H3825" s="21">
        <v>3810</v>
      </c>
      <c r="I3825" s="107">
        <v>0.66772315862904807</v>
      </c>
      <c r="J3825" s="108">
        <v>1.3395818525442818E-3</v>
      </c>
      <c r="K3825" s="108"/>
      <c r="L3825" s="108">
        <v>4.02E-2</v>
      </c>
      <c r="O3825" s="105"/>
    </row>
    <row r="3826" spans="2:15" x14ac:dyDescent="0.2">
      <c r="B3826" s="1">
        <v>3811</v>
      </c>
      <c r="C3826" s="106">
        <f ca="1"/>
        <v>1.5205248017923272</v>
      </c>
      <c r="D3826" s="106">
        <f t="shared" ca="1" si="216"/>
        <v>0.77203101060058865</v>
      </c>
      <c r="E3826" s="106">
        <f t="shared" ca="1" si="217"/>
        <v>0</v>
      </c>
      <c r="F3826" s="21">
        <f t="shared" ca="1" si="218"/>
        <v>0</v>
      </c>
      <c r="H3826" s="21">
        <v>3811</v>
      </c>
      <c r="I3826" s="107">
        <v>0.66773713015982672</v>
      </c>
      <c r="J3826" s="108">
        <v>1.3574277638851221E-3</v>
      </c>
      <c r="K3826" s="108"/>
      <c r="L3826" s="108">
        <v>4.3799999999999999E-2</v>
      </c>
      <c r="O3826" s="105"/>
    </row>
    <row r="3827" spans="2:15" x14ac:dyDescent="0.2">
      <c r="B3827" s="1">
        <v>3812</v>
      </c>
      <c r="C3827" s="106">
        <f ca="1"/>
        <v>0.2832232099033975</v>
      </c>
      <c r="D3827" s="106">
        <f t="shared" ca="1" si="216"/>
        <v>0.68332845812876464</v>
      </c>
      <c r="E3827" s="106">
        <f t="shared" ca="1" si="217"/>
        <v>0</v>
      </c>
      <c r="F3827" s="21">
        <f t="shared" ca="1" si="218"/>
        <v>0</v>
      </c>
      <c r="H3827" s="21">
        <v>3812</v>
      </c>
      <c r="I3827" s="107">
        <v>0.66783387869420963</v>
      </c>
      <c r="J3827" s="108">
        <v>1.5825570178265107E-3</v>
      </c>
      <c r="K3827" s="108"/>
      <c r="L3827" s="108">
        <v>4.24E-2</v>
      </c>
      <c r="O3827" s="105"/>
    </row>
    <row r="3828" spans="2:15" x14ac:dyDescent="0.2">
      <c r="B3828" s="1">
        <v>3813</v>
      </c>
      <c r="C3828" s="106">
        <f ca="1"/>
        <v>-0.27078334048464875</v>
      </c>
      <c r="D3828" s="106">
        <f t="shared" ca="1" si="216"/>
        <v>0.64698797489135695</v>
      </c>
      <c r="E3828" s="106">
        <f t="shared" ca="1" si="217"/>
        <v>0</v>
      </c>
      <c r="F3828" s="21">
        <f t="shared" ca="1" si="218"/>
        <v>0</v>
      </c>
      <c r="H3828" s="21">
        <v>3813</v>
      </c>
      <c r="I3828" s="107">
        <v>0.66775531830558077</v>
      </c>
      <c r="J3828" s="108">
        <v>1.4051864344920052E-3</v>
      </c>
      <c r="K3828" s="108"/>
      <c r="L3828" s="108">
        <v>4.1399999999999999E-2</v>
      </c>
      <c r="O3828" s="105"/>
    </row>
    <row r="3829" spans="2:15" x14ac:dyDescent="0.2">
      <c r="B3829" s="1">
        <v>3814</v>
      </c>
      <c r="C3829" s="106">
        <f ca="1"/>
        <v>2.021329351752962</v>
      </c>
      <c r="D3829" s="106">
        <f t="shared" ca="1" si="216"/>
        <v>0.81112708476126727</v>
      </c>
      <c r="E3829" s="106">
        <f t="shared" ca="1" si="217"/>
        <v>2.2927084761267258E-2</v>
      </c>
      <c r="F3829" s="21">
        <f t="shared" ca="1" si="218"/>
        <v>1</v>
      </c>
      <c r="H3829" s="21">
        <v>3814</v>
      </c>
      <c r="I3829" s="107">
        <v>0.66771974571346582</v>
      </c>
      <c r="J3829" s="108">
        <v>1.3217527074236709E-3</v>
      </c>
      <c r="K3829" s="108"/>
      <c r="L3829" s="108">
        <v>4.1000000000000002E-2</v>
      </c>
      <c r="O3829" s="105"/>
    </row>
    <row r="3830" spans="2:15" x14ac:dyDescent="0.2">
      <c r="B3830" s="1">
        <v>3815</v>
      </c>
      <c r="C3830" s="106">
        <f ca="1"/>
        <v>0.73435827892047278</v>
      </c>
      <c r="D3830" s="106">
        <f t="shared" ca="1" si="216"/>
        <v>0.71442370471276229</v>
      </c>
      <c r="E3830" s="106">
        <f t="shared" ca="1" si="217"/>
        <v>0</v>
      </c>
      <c r="F3830" s="21">
        <f t="shared" ca="1" si="218"/>
        <v>0</v>
      </c>
      <c r="H3830" s="21">
        <v>3815</v>
      </c>
      <c r="I3830" s="107">
        <v>0.667626665114045</v>
      </c>
      <c r="J3830" s="108">
        <v>1.1507863213547707E-3</v>
      </c>
      <c r="K3830" s="108"/>
      <c r="L3830" s="108">
        <v>4.1000000000000002E-2</v>
      </c>
      <c r="O3830" s="105"/>
    </row>
    <row r="3831" spans="2:15" x14ac:dyDescent="0.2">
      <c r="B3831" s="1">
        <v>3816</v>
      </c>
      <c r="C3831" s="106">
        <f ca="1"/>
        <v>0.2827001377923421</v>
      </c>
      <c r="D3831" s="106">
        <f t="shared" ca="1" si="216"/>
        <v>0.683293201663426</v>
      </c>
      <c r="E3831" s="106">
        <f t="shared" ca="1" si="217"/>
        <v>0</v>
      </c>
      <c r="F3831" s="21">
        <f t="shared" ca="1" si="218"/>
        <v>0</v>
      </c>
      <c r="H3831" s="21">
        <v>3816</v>
      </c>
      <c r="I3831" s="107">
        <v>0.66759172081701079</v>
      </c>
      <c r="J3831" s="108">
        <v>1.110951505380489E-3</v>
      </c>
      <c r="K3831" s="108"/>
      <c r="L3831" s="108">
        <v>3.56E-2</v>
      </c>
      <c r="O3831" s="105"/>
    </row>
    <row r="3832" spans="2:15" x14ac:dyDescent="0.2">
      <c r="B3832" s="1">
        <v>3817</v>
      </c>
      <c r="C3832" s="106">
        <f ca="1"/>
        <v>-0.20273282087378275</v>
      </c>
      <c r="D3832" s="106">
        <f t="shared" ca="1" si="216"/>
        <v>0.65134555110558001</v>
      </c>
      <c r="E3832" s="106">
        <f t="shared" ca="1" si="217"/>
        <v>0</v>
      </c>
      <c r="F3832" s="21">
        <f t="shared" ca="1" si="218"/>
        <v>0</v>
      </c>
      <c r="H3832" s="21">
        <v>3817</v>
      </c>
      <c r="I3832" s="107">
        <v>0.66773197479990687</v>
      </c>
      <c r="J3832" s="108">
        <v>1.4580642074940925E-3</v>
      </c>
      <c r="K3832" s="108"/>
      <c r="L3832" s="108">
        <v>4.2599999999999999E-2</v>
      </c>
      <c r="O3832" s="105"/>
    </row>
    <row r="3833" spans="2:15" x14ac:dyDescent="0.2">
      <c r="B3833" s="1">
        <v>3818</v>
      </c>
      <c r="C3833" s="106">
        <f ca="1"/>
        <v>2.4750697898659753</v>
      </c>
      <c r="D3833" s="106">
        <f t="shared" ca="1" si="216"/>
        <v>0.84825585112357205</v>
      </c>
      <c r="E3833" s="106">
        <f t="shared" ca="1" si="217"/>
        <v>6.0055851123572035E-2</v>
      </c>
      <c r="F3833" s="21">
        <f t="shared" ca="1" si="218"/>
        <v>1</v>
      </c>
      <c r="H3833" s="21">
        <v>3818</v>
      </c>
      <c r="I3833" s="107">
        <v>0.66778786234304643</v>
      </c>
      <c r="J3833" s="108">
        <v>1.4042296215676358E-3</v>
      </c>
      <c r="K3833" s="108"/>
      <c r="L3833" s="108">
        <v>4.3999999999999997E-2</v>
      </c>
      <c r="O3833" s="105"/>
    </row>
    <row r="3834" spans="2:15" x14ac:dyDescent="0.2">
      <c r="B3834" s="1">
        <v>3819</v>
      </c>
      <c r="C3834" s="106">
        <f ca="1"/>
        <v>1.0104957061839122</v>
      </c>
      <c r="D3834" s="106">
        <f t="shared" ca="1" si="216"/>
        <v>0.73415103134246773</v>
      </c>
      <c r="E3834" s="106">
        <f t="shared" ca="1" si="217"/>
        <v>0</v>
      </c>
      <c r="F3834" s="21">
        <f t="shared" ca="1" si="218"/>
        <v>0</v>
      </c>
      <c r="H3834" s="21">
        <v>3819</v>
      </c>
      <c r="I3834" s="107">
        <v>0.66787131139911249</v>
      </c>
      <c r="J3834" s="108">
        <v>1.4803834321903435E-3</v>
      </c>
      <c r="K3834" s="108"/>
      <c r="L3834" s="108">
        <v>4.48E-2</v>
      </c>
      <c r="O3834" s="105"/>
    </row>
    <row r="3835" spans="2:15" x14ac:dyDescent="0.2">
      <c r="B3835" s="1">
        <v>3820</v>
      </c>
      <c r="C3835" s="106">
        <f ca="1"/>
        <v>-0.13102318496074242</v>
      </c>
      <c r="D3835" s="106">
        <f t="shared" ca="1" si="216"/>
        <v>0.65596919920468555</v>
      </c>
      <c r="E3835" s="106">
        <f t="shared" ca="1" si="217"/>
        <v>0</v>
      </c>
      <c r="F3835" s="21">
        <f t="shared" ca="1" si="218"/>
        <v>0</v>
      </c>
      <c r="H3835" s="21">
        <v>3820</v>
      </c>
      <c r="I3835" s="107">
        <v>0.66759902139384075</v>
      </c>
      <c r="J3835" s="108">
        <v>1.1192553587420211E-3</v>
      </c>
      <c r="K3835" s="108"/>
      <c r="L3835" s="108">
        <v>3.6999999999999998E-2</v>
      </c>
      <c r="O3835" s="105"/>
    </row>
    <row r="3836" spans="2:15" x14ac:dyDescent="0.2">
      <c r="B3836" s="1">
        <v>3821</v>
      </c>
      <c r="C3836" s="106">
        <f ca="1"/>
        <v>0.80884332868352171</v>
      </c>
      <c r="D3836" s="106">
        <f t="shared" ca="1" si="216"/>
        <v>0.7196921235349597</v>
      </c>
      <c r="E3836" s="106">
        <f t="shared" ca="1" si="217"/>
        <v>0</v>
      </c>
      <c r="F3836" s="21">
        <f t="shared" ca="1" si="218"/>
        <v>0</v>
      </c>
      <c r="H3836" s="21">
        <v>3821</v>
      </c>
      <c r="I3836" s="107">
        <v>0.66784679454590434</v>
      </c>
      <c r="J3836" s="108">
        <v>1.5085713865538597E-3</v>
      </c>
      <c r="K3836" s="108"/>
      <c r="L3836" s="108">
        <v>4.3999999999999997E-2</v>
      </c>
      <c r="O3836" s="105"/>
    </row>
    <row r="3837" spans="2:15" x14ac:dyDescent="0.2">
      <c r="B3837" s="1">
        <v>3822</v>
      </c>
      <c r="C3837" s="106">
        <f ca="1"/>
        <v>0.57494994146848721</v>
      </c>
      <c r="D3837" s="106">
        <f t="shared" ca="1" si="216"/>
        <v>0.70327778819722286</v>
      </c>
      <c r="E3837" s="106">
        <f t="shared" ca="1" si="217"/>
        <v>0</v>
      </c>
      <c r="F3837" s="21">
        <f t="shared" ca="1" si="218"/>
        <v>0</v>
      </c>
      <c r="H3837" s="21">
        <v>3822</v>
      </c>
      <c r="I3837" s="107">
        <v>0.66790468789584834</v>
      </c>
      <c r="J3837" s="108">
        <v>1.4557565301250778E-3</v>
      </c>
      <c r="K3837" s="108"/>
      <c r="L3837" s="108">
        <v>4.36E-2</v>
      </c>
      <c r="O3837" s="105"/>
    </row>
    <row r="3838" spans="2:15" x14ac:dyDescent="0.2">
      <c r="B3838" s="1">
        <v>3823</v>
      </c>
      <c r="C3838" s="106">
        <f ca="1"/>
        <v>9.1726926600445569E-2</v>
      </c>
      <c r="D3838" s="106">
        <f t="shared" ca="1" si="216"/>
        <v>0.67054190689384563</v>
      </c>
      <c r="E3838" s="106">
        <f t="shared" ca="1" si="217"/>
        <v>0</v>
      </c>
      <c r="F3838" s="21">
        <f t="shared" ca="1" si="218"/>
        <v>0</v>
      </c>
      <c r="H3838" s="21">
        <v>3823</v>
      </c>
      <c r="I3838" s="107">
        <v>0.66770460945063737</v>
      </c>
      <c r="J3838" s="108">
        <v>1.1928975300860311E-3</v>
      </c>
      <c r="K3838" s="108"/>
      <c r="L3838" s="108">
        <v>3.9399999999999998E-2</v>
      </c>
      <c r="O3838" s="105"/>
    </row>
    <row r="3839" spans="2:15" x14ac:dyDescent="0.2">
      <c r="B3839" s="1">
        <v>3824</v>
      </c>
      <c r="C3839" s="106">
        <f ca="1"/>
        <v>-0.41823772002553372</v>
      </c>
      <c r="D3839" s="106">
        <f t="shared" ca="1" si="216"/>
        <v>0.63764558073026212</v>
      </c>
      <c r="E3839" s="106">
        <f t="shared" ca="1" si="217"/>
        <v>0</v>
      </c>
      <c r="F3839" s="21">
        <f t="shared" ca="1" si="218"/>
        <v>0</v>
      </c>
      <c r="H3839" s="21">
        <v>3824</v>
      </c>
      <c r="I3839" s="107">
        <v>0.66783914201979877</v>
      </c>
      <c r="J3839" s="108">
        <v>1.5677155564797704E-3</v>
      </c>
      <c r="K3839" s="108"/>
      <c r="L3839" s="108">
        <v>4.2000000000000003E-2</v>
      </c>
      <c r="O3839" s="105"/>
    </row>
    <row r="3840" spans="2:15" x14ac:dyDescent="0.2">
      <c r="B3840" s="1">
        <v>3825</v>
      </c>
      <c r="C3840" s="106">
        <f ca="1"/>
        <v>-0.21199828237744794</v>
      </c>
      <c r="D3840" s="106">
        <f t="shared" ca="1" si="216"/>
        <v>0.65075052097243746</v>
      </c>
      <c r="E3840" s="106">
        <f t="shared" ca="1" si="217"/>
        <v>0</v>
      </c>
      <c r="F3840" s="21">
        <f t="shared" ca="1" si="218"/>
        <v>0</v>
      </c>
      <c r="H3840" s="21">
        <v>3825</v>
      </c>
      <c r="I3840" s="107">
        <v>0.6676760838712017</v>
      </c>
      <c r="J3840" s="108">
        <v>1.2919821716524335E-3</v>
      </c>
      <c r="K3840" s="108"/>
      <c r="L3840" s="108">
        <v>3.7999999999999999E-2</v>
      </c>
      <c r="O3840" s="105"/>
    </row>
    <row r="3841" spans="2:15" x14ac:dyDescent="0.2">
      <c r="B3841" s="1">
        <v>3826</v>
      </c>
      <c r="C3841" s="106">
        <f ca="1"/>
        <v>-0.27173901713011983</v>
      </c>
      <c r="D3841" s="106">
        <f t="shared" ca="1" si="216"/>
        <v>0.64692698671993343</v>
      </c>
      <c r="E3841" s="106">
        <f t="shared" ca="1" si="217"/>
        <v>0</v>
      </c>
      <c r="F3841" s="21">
        <f t="shared" ca="1" si="218"/>
        <v>0</v>
      </c>
      <c r="H3841" s="21">
        <v>3826</v>
      </c>
      <c r="I3841" s="107">
        <v>0.66775798745502557</v>
      </c>
      <c r="J3841" s="108">
        <v>1.3712136310802489E-3</v>
      </c>
      <c r="K3841" s="108"/>
      <c r="L3841" s="108">
        <v>4.2200000000000001E-2</v>
      </c>
      <c r="O3841" s="105"/>
    </row>
    <row r="3842" spans="2:15" x14ac:dyDescent="0.2">
      <c r="B3842" s="1">
        <v>3827</v>
      </c>
      <c r="C3842" s="106">
        <f ca="1"/>
        <v>-0.14366377675226832</v>
      </c>
      <c r="D3842" s="106">
        <f t="shared" ca="1" si="216"/>
        <v>0.65515179093786724</v>
      </c>
      <c r="E3842" s="106">
        <f t="shared" ca="1" si="217"/>
        <v>0</v>
      </c>
      <c r="F3842" s="21">
        <f t="shared" ca="1" si="218"/>
        <v>0</v>
      </c>
      <c r="H3842" s="21">
        <v>3827</v>
      </c>
      <c r="I3842" s="107">
        <v>0.66770811418172471</v>
      </c>
      <c r="J3842" s="108">
        <v>1.2713279947516888E-3</v>
      </c>
      <c r="K3842" s="108"/>
      <c r="L3842" s="108">
        <v>4.2799999999999998E-2</v>
      </c>
      <c r="O3842" s="105"/>
    </row>
    <row r="3843" spans="2:15" x14ac:dyDescent="0.2">
      <c r="B3843" s="1">
        <v>3828</v>
      </c>
      <c r="C3843" s="106">
        <f ca="1"/>
        <v>-0.47993743828270818</v>
      </c>
      <c r="D3843" s="106">
        <f t="shared" ca="1" si="216"/>
        <v>0.63377656480786482</v>
      </c>
      <c r="E3843" s="106">
        <f t="shared" ca="1" si="217"/>
        <v>0</v>
      </c>
      <c r="F3843" s="21">
        <f t="shared" ca="1" si="218"/>
        <v>0</v>
      </c>
      <c r="H3843" s="21">
        <v>3828</v>
      </c>
      <c r="I3843" s="107">
        <v>0.66792907871620599</v>
      </c>
      <c r="J3843" s="108">
        <v>1.5466055387196968E-3</v>
      </c>
      <c r="K3843" s="108"/>
      <c r="L3843" s="108">
        <v>4.24E-2</v>
      </c>
      <c r="O3843" s="105"/>
    </row>
    <row r="3844" spans="2:15" x14ac:dyDescent="0.2">
      <c r="B3844" s="1">
        <v>3829</v>
      </c>
      <c r="C3844" s="106">
        <f ca="1"/>
        <v>-0.49429241810266777</v>
      </c>
      <c r="D3844" s="106">
        <f t="shared" ca="1" si="216"/>
        <v>0.63287977591594491</v>
      </c>
      <c r="E3844" s="106">
        <f t="shared" ca="1" si="217"/>
        <v>0</v>
      </c>
      <c r="F3844" s="21">
        <f t="shared" ca="1" si="218"/>
        <v>0</v>
      </c>
      <c r="H3844" s="21">
        <v>3829</v>
      </c>
      <c r="I3844" s="107">
        <v>0.66785299412360999</v>
      </c>
      <c r="J3844" s="108">
        <v>1.600966088702015E-3</v>
      </c>
      <c r="K3844" s="108"/>
      <c r="L3844" s="108">
        <v>4.5199999999999997E-2</v>
      </c>
      <c r="O3844" s="105"/>
    </row>
    <row r="3845" spans="2:15" x14ac:dyDescent="0.2">
      <c r="B3845" s="1">
        <v>3830</v>
      </c>
      <c r="C3845" s="106">
        <f ca="1"/>
        <v>-0.31120300651707616</v>
      </c>
      <c r="D3845" s="106">
        <f t="shared" ca="1" si="216"/>
        <v>0.6444135374605453</v>
      </c>
      <c r="E3845" s="106">
        <f t="shared" ca="1" si="217"/>
        <v>0</v>
      </c>
      <c r="F3845" s="21">
        <f t="shared" ca="1" si="218"/>
        <v>0</v>
      </c>
      <c r="H3845" s="21">
        <v>3830</v>
      </c>
      <c r="I3845" s="107">
        <v>0.66763522918667229</v>
      </c>
      <c r="J3845" s="108">
        <v>1.1520325319735658E-3</v>
      </c>
      <c r="K3845" s="108"/>
      <c r="L3845" s="108">
        <v>0.04</v>
      </c>
      <c r="O3845" s="105"/>
    </row>
    <row r="3846" spans="2:15" x14ac:dyDescent="0.2">
      <c r="B3846" s="1">
        <v>3831</v>
      </c>
      <c r="C3846" s="106">
        <f ca="1"/>
        <v>-0.54946161509108371</v>
      </c>
      <c r="D3846" s="106">
        <f t="shared" ca="1" si="216"/>
        <v>0.62944502213901832</v>
      </c>
      <c r="E3846" s="106">
        <f t="shared" ca="1" si="217"/>
        <v>0</v>
      </c>
      <c r="F3846" s="21">
        <f t="shared" ca="1" si="218"/>
        <v>0</v>
      </c>
      <c r="H3846" s="21">
        <v>3831</v>
      </c>
      <c r="I3846" s="107">
        <v>0.66769937735209617</v>
      </c>
      <c r="J3846" s="108">
        <v>1.2736571927589129E-3</v>
      </c>
      <c r="K3846" s="108"/>
      <c r="L3846" s="108">
        <v>4.1799999999999997E-2</v>
      </c>
      <c r="O3846" s="105"/>
    </row>
    <row r="3847" spans="2:15" x14ac:dyDescent="0.2">
      <c r="B3847" s="1">
        <v>3832</v>
      </c>
      <c r="C3847" s="106">
        <f ca="1"/>
        <v>-0.79433225613330327</v>
      </c>
      <c r="D3847" s="106">
        <f t="shared" ca="1" si="216"/>
        <v>0.61442332761538176</v>
      </c>
      <c r="E3847" s="106">
        <f t="shared" ca="1" si="217"/>
        <v>0</v>
      </c>
      <c r="F3847" s="21">
        <f t="shared" ca="1" si="218"/>
        <v>0</v>
      </c>
      <c r="H3847" s="21">
        <v>3832</v>
      </c>
      <c r="I3847" s="107">
        <v>0.66774205044487567</v>
      </c>
      <c r="J3847" s="108">
        <v>1.4498066072898034E-3</v>
      </c>
      <c r="K3847" s="108"/>
      <c r="L3847" s="108">
        <v>4.2000000000000003E-2</v>
      </c>
      <c r="O3847" s="105"/>
    </row>
    <row r="3848" spans="2:15" x14ac:dyDescent="0.2">
      <c r="B3848" s="1">
        <v>3833</v>
      </c>
      <c r="C3848" s="106">
        <f ca="1"/>
        <v>-2.3230667304755412</v>
      </c>
      <c r="D3848" s="106">
        <f t="shared" ca="1" si="216"/>
        <v>0.52841806170489347</v>
      </c>
      <c r="E3848" s="106">
        <f t="shared" ca="1" si="217"/>
        <v>0</v>
      </c>
      <c r="F3848" s="21">
        <f t="shared" ca="1" si="218"/>
        <v>0</v>
      </c>
      <c r="H3848" s="21">
        <v>3833</v>
      </c>
      <c r="I3848" s="107">
        <v>0.66780170124652594</v>
      </c>
      <c r="J3848" s="108">
        <v>1.2905362348370098E-3</v>
      </c>
      <c r="K3848" s="108"/>
      <c r="L3848" s="108">
        <v>4.4200000000000003E-2</v>
      </c>
      <c r="O3848" s="105"/>
    </row>
    <row r="3849" spans="2:15" x14ac:dyDescent="0.2">
      <c r="B3849" s="1">
        <v>3834</v>
      </c>
      <c r="C3849" s="106">
        <f ca="1"/>
        <v>0.2377362790869145</v>
      </c>
      <c r="D3849" s="106">
        <f t="shared" ca="1" si="216"/>
        <v>0.68026930588394963</v>
      </c>
      <c r="E3849" s="106">
        <f t="shared" ca="1" si="217"/>
        <v>0</v>
      </c>
      <c r="F3849" s="21">
        <f t="shared" ca="1" si="218"/>
        <v>0</v>
      </c>
      <c r="H3849" s="21">
        <v>3834</v>
      </c>
      <c r="I3849" s="107">
        <v>0.66777020150630628</v>
      </c>
      <c r="J3849" s="108">
        <v>1.4862087970223396E-3</v>
      </c>
      <c r="K3849" s="108"/>
      <c r="L3849" s="108">
        <v>4.2599999999999999E-2</v>
      </c>
      <c r="O3849" s="105"/>
    </row>
    <row r="3850" spans="2:15" x14ac:dyDescent="0.2">
      <c r="B3850" s="1">
        <v>3835</v>
      </c>
      <c r="C3850" s="106">
        <f ca="1"/>
        <v>0.98688900196290941</v>
      </c>
      <c r="D3850" s="106">
        <f t="shared" ca="1" si="216"/>
        <v>0.73244347861833581</v>
      </c>
      <c r="E3850" s="106">
        <f t="shared" ca="1" si="217"/>
        <v>0</v>
      </c>
      <c r="F3850" s="21">
        <f t="shared" ca="1" si="218"/>
        <v>0</v>
      </c>
      <c r="H3850" s="21">
        <v>3835</v>
      </c>
      <c r="I3850" s="107">
        <v>0.66778761200567516</v>
      </c>
      <c r="J3850" s="108">
        <v>1.3773287202629887E-3</v>
      </c>
      <c r="K3850" s="108"/>
      <c r="L3850" s="108">
        <v>4.36E-2</v>
      </c>
      <c r="O3850" s="105"/>
    </row>
    <row r="3851" spans="2:15" x14ac:dyDescent="0.2">
      <c r="B3851" s="1">
        <v>3836</v>
      </c>
      <c r="C3851" s="106">
        <f ca="1"/>
        <v>1.2262042256560679</v>
      </c>
      <c r="D3851" s="106">
        <f t="shared" ca="1" si="216"/>
        <v>0.74993950746148252</v>
      </c>
      <c r="E3851" s="106">
        <f t="shared" ca="1" si="217"/>
        <v>0</v>
      </c>
      <c r="F3851" s="21">
        <f t="shared" ca="1" si="218"/>
        <v>0</v>
      </c>
      <c r="H3851" s="21">
        <v>3836</v>
      </c>
      <c r="I3851" s="107">
        <v>0.66774931553408012</v>
      </c>
      <c r="J3851" s="108">
        <v>1.3925550181068576E-3</v>
      </c>
      <c r="K3851" s="108"/>
      <c r="L3851" s="108">
        <v>4.3200000000000002E-2</v>
      </c>
      <c r="O3851" s="105"/>
    </row>
    <row r="3852" spans="2:15" x14ac:dyDescent="0.2">
      <c r="B3852" s="1">
        <v>3837</v>
      </c>
      <c r="C3852" s="106">
        <f ca="1"/>
        <v>0.18929231835792357</v>
      </c>
      <c r="D3852" s="106">
        <f t="shared" ca="1" si="216"/>
        <v>0.67702634150497709</v>
      </c>
      <c r="E3852" s="106">
        <f t="shared" ca="1" si="217"/>
        <v>0</v>
      </c>
      <c r="F3852" s="21">
        <f t="shared" ca="1" si="218"/>
        <v>0</v>
      </c>
      <c r="H3852" s="21">
        <v>3837</v>
      </c>
      <c r="I3852" s="107">
        <v>0.66784658527549123</v>
      </c>
      <c r="J3852" s="108">
        <v>1.6004597787049935E-3</v>
      </c>
      <c r="K3852" s="108"/>
      <c r="L3852" s="108">
        <v>4.2799999999999998E-2</v>
      </c>
      <c r="O3852" s="105"/>
    </row>
    <row r="3853" spans="2:15" x14ac:dyDescent="0.2">
      <c r="B3853" s="1">
        <v>3838</v>
      </c>
      <c r="C3853" s="106">
        <f ca="1"/>
        <v>-0.509295101324445</v>
      </c>
      <c r="D3853" s="106">
        <f t="shared" ca="1" si="216"/>
        <v>0.63194387958537412</v>
      </c>
      <c r="E3853" s="106">
        <f t="shared" ca="1" si="217"/>
        <v>0</v>
      </c>
      <c r="F3853" s="21">
        <f t="shared" ca="1" si="218"/>
        <v>0</v>
      </c>
      <c r="H3853" s="21">
        <v>3838</v>
      </c>
      <c r="I3853" s="107">
        <v>0.66764491177031215</v>
      </c>
      <c r="J3853" s="108">
        <v>1.2700358115109831E-3</v>
      </c>
      <c r="K3853" s="108"/>
      <c r="L3853" s="108">
        <v>3.9399999999999998E-2</v>
      </c>
      <c r="O3853" s="105"/>
    </row>
    <row r="3854" spans="2:15" x14ac:dyDescent="0.2">
      <c r="B3854" s="1">
        <v>3839</v>
      </c>
      <c r="C3854" s="106">
        <f ca="1"/>
        <v>-0.39489735069296489</v>
      </c>
      <c r="D3854" s="106">
        <f t="shared" ca="1" si="216"/>
        <v>0.63911533935764064</v>
      </c>
      <c r="E3854" s="106">
        <f t="shared" ca="1" si="217"/>
        <v>0</v>
      </c>
      <c r="F3854" s="21">
        <f t="shared" ca="1" si="218"/>
        <v>0</v>
      </c>
      <c r="H3854" s="21">
        <v>3839</v>
      </c>
      <c r="I3854" s="107">
        <v>0.66777150490069048</v>
      </c>
      <c r="J3854" s="108">
        <v>1.4429862653652693E-3</v>
      </c>
      <c r="K3854" s="108"/>
      <c r="L3854" s="108">
        <v>4.0399999999999998E-2</v>
      </c>
      <c r="O3854" s="105"/>
    </row>
    <row r="3855" spans="2:15" x14ac:dyDescent="0.2">
      <c r="B3855" s="1">
        <v>3840</v>
      </c>
      <c r="C3855" s="106">
        <f ca="1"/>
        <v>-0.56690449434399148</v>
      </c>
      <c r="D3855" s="106">
        <f t="shared" ca="1" si="216"/>
        <v>0.62836293730326298</v>
      </c>
      <c r="E3855" s="106">
        <f t="shared" ca="1" si="217"/>
        <v>0</v>
      </c>
      <c r="F3855" s="21">
        <f t="shared" ca="1" si="218"/>
        <v>0</v>
      </c>
      <c r="H3855" s="21">
        <v>3840</v>
      </c>
      <c r="I3855" s="107">
        <v>0.66765956565291984</v>
      </c>
      <c r="J3855" s="108">
        <v>1.1491574757986971E-3</v>
      </c>
      <c r="K3855" s="108"/>
      <c r="L3855" s="108">
        <v>4.1200000000000001E-2</v>
      </c>
      <c r="O3855" s="105"/>
    </row>
    <row r="3856" spans="2:15" x14ac:dyDescent="0.2">
      <c r="B3856" s="1">
        <v>3841</v>
      </c>
      <c r="C3856" s="106">
        <f ca="1"/>
        <v>-1.1840472727960996</v>
      </c>
      <c r="D3856" s="106">
        <f t="shared" ref="D3856:D3919" ca="1" si="219">S0*EXP((μ-0.5*σ*σ)*T+σ*SQRT(T)*$C3856)</f>
        <v>0.59125189408182111</v>
      </c>
      <c r="E3856" s="106">
        <f t="shared" ref="E3856:E3919" ca="1" si="220">MAX(0,CP*(D3856-K))</f>
        <v>0</v>
      </c>
      <c r="F3856" s="21">
        <f t="shared" ref="F3856:F3919" ca="1" si="221">(CP*(D3856-K)&gt;0)*1</f>
        <v>0</v>
      </c>
      <c r="H3856" s="21">
        <v>3841</v>
      </c>
      <c r="I3856" s="107">
        <v>0.66773702877664864</v>
      </c>
      <c r="J3856" s="108">
        <v>1.1820445243174661E-3</v>
      </c>
      <c r="K3856" s="108"/>
      <c r="L3856" s="108">
        <v>3.8199999999999998E-2</v>
      </c>
      <c r="O3856" s="105"/>
    </row>
    <row r="3857" spans="2:15" x14ac:dyDescent="0.2">
      <c r="B3857" s="1">
        <v>3842</v>
      </c>
      <c r="C3857" s="106">
        <f ca="1"/>
        <v>0.99015278971526222</v>
      </c>
      <c r="D3857" s="106">
        <f t="shared" ca="1" si="219"/>
        <v>0.73267932262092417</v>
      </c>
      <c r="E3857" s="106">
        <f t="shared" ca="1" si="220"/>
        <v>0</v>
      </c>
      <c r="F3857" s="21">
        <f t="shared" ca="1" si="221"/>
        <v>0</v>
      </c>
      <c r="H3857" s="21">
        <v>3842</v>
      </c>
      <c r="I3857" s="107">
        <v>0.66773231192358184</v>
      </c>
      <c r="J3857" s="108">
        <v>1.2508857426051833E-3</v>
      </c>
      <c r="K3857" s="108"/>
      <c r="L3857" s="108">
        <v>4.1599999999999998E-2</v>
      </c>
      <c r="O3857" s="105"/>
    </row>
    <row r="3858" spans="2:15" x14ac:dyDescent="0.2">
      <c r="B3858" s="1">
        <v>3843</v>
      </c>
      <c r="C3858" s="106">
        <f ca="1"/>
        <v>-0.83576149964505919</v>
      </c>
      <c r="D3858" s="106">
        <f t="shared" ca="1" si="219"/>
        <v>0.61191752706346059</v>
      </c>
      <c r="E3858" s="106">
        <f t="shared" ca="1" si="220"/>
        <v>0</v>
      </c>
      <c r="F3858" s="21">
        <f t="shared" ca="1" si="221"/>
        <v>0</v>
      </c>
      <c r="H3858" s="21">
        <v>3843</v>
      </c>
      <c r="I3858" s="107">
        <v>0.66753693555302274</v>
      </c>
      <c r="J3858" s="108">
        <v>9.721558351001372E-4</v>
      </c>
      <c r="K3858" s="108"/>
      <c r="L3858" s="108">
        <v>3.5200000000000002E-2</v>
      </c>
      <c r="O3858" s="105"/>
    </row>
    <row r="3859" spans="2:15" x14ac:dyDescent="0.2">
      <c r="B3859" s="1">
        <v>3844</v>
      </c>
      <c r="C3859" s="106">
        <f ca="1"/>
        <v>-0.1132755092114357</v>
      </c>
      <c r="D3859" s="106">
        <f t="shared" ca="1" si="219"/>
        <v>0.65711858027198322</v>
      </c>
      <c r="E3859" s="106">
        <f t="shared" ca="1" si="220"/>
        <v>0</v>
      </c>
      <c r="F3859" s="21">
        <f t="shared" ca="1" si="221"/>
        <v>0</v>
      </c>
      <c r="H3859" s="21">
        <v>3844</v>
      </c>
      <c r="I3859" s="107">
        <v>0.66768989907063347</v>
      </c>
      <c r="J3859" s="108">
        <v>1.2202570987847041E-3</v>
      </c>
      <c r="K3859" s="108"/>
      <c r="L3859" s="108">
        <v>4.0399999999999998E-2</v>
      </c>
      <c r="O3859" s="105"/>
    </row>
    <row r="3860" spans="2:15" x14ac:dyDescent="0.2">
      <c r="B3860" s="1">
        <v>3845</v>
      </c>
      <c r="C3860" s="106">
        <f ca="1"/>
        <v>0.76770467805423215</v>
      </c>
      <c r="D3860" s="106">
        <f t="shared" ca="1" si="219"/>
        <v>0.71677755136543586</v>
      </c>
      <c r="E3860" s="106">
        <f t="shared" ca="1" si="220"/>
        <v>0</v>
      </c>
      <c r="F3860" s="21">
        <f t="shared" ca="1" si="221"/>
        <v>0</v>
      </c>
      <c r="H3860" s="21">
        <v>3845</v>
      </c>
      <c r="I3860" s="107">
        <v>0.66770257449718162</v>
      </c>
      <c r="J3860" s="108">
        <v>1.4053706862375713E-3</v>
      </c>
      <c r="K3860" s="108"/>
      <c r="L3860" s="108">
        <v>4.3799999999999999E-2</v>
      </c>
      <c r="O3860" s="105"/>
    </row>
    <row r="3861" spans="2:15" x14ac:dyDescent="0.2">
      <c r="B3861" s="1">
        <v>3846</v>
      </c>
      <c r="C3861" s="106">
        <f ca="1"/>
        <v>1.3421499840692879</v>
      </c>
      <c r="D3861" s="106">
        <f t="shared" ca="1" si="219"/>
        <v>0.75856583390443821</v>
      </c>
      <c r="E3861" s="106">
        <f t="shared" ca="1" si="220"/>
        <v>0</v>
      </c>
      <c r="F3861" s="21">
        <f t="shared" ca="1" si="221"/>
        <v>0</v>
      </c>
      <c r="H3861" s="21">
        <v>3846</v>
      </c>
      <c r="I3861" s="107">
        <v>0.66760750837478056</v>
      </c>
      <c r="J3861" s="108">
        <v>1.1290691640382798E-3</v>
      </c>
      <c r="K3861" s="108"/>
      <c r="L3861" s="108">
        <v>3.9199999999999999E-2</v>
      </c>
      <c r="O3861" s="105"/>
    </row>
    <row r="3862" spans="2:15" x14ac:dyDescent="0.2">
      <c r="B3862" s="1">
        <v>3847</v>
      </c>
      <c r="C3862" s="106">
        <f ca="1"/>
        <v>-3.077496264573595E-2</v>
      </c>
      <c r="D3862" s="106">
        <f t="shared" ca="1" si="219"/>
        <v>0.66248800561523669</v>
      </c>
      <c r="E3862" s="106">
        <f t="shared" ca="1" si="220"/>
        <v>0</v>
      </c>
      <c r="F3862" s="21">
        <f t="shared" ca="1" si="221"/>
        <v>0</v>
      </c>
      <c r="H3862" s="21">
        <v>3847</v>
      </c>
      <c r="I3862" s="107">
        <v>0.66778196793279598</v>
      </c>
      <c r="J3862" s="108">
        <v>1.4397172170602865E-3</v>
      </c>
      <c r="K3862" s="108"/>
      <c r="L3862" s="108">
        <v>4.2599999999999999E-2</v>
      </c>
      <c r="O3862" s="105"/>
    </row>
    <row r="3863" spans="2:15" x14ac:dyDescent="0.2">
      <c r="B3863" s="1">
        <v>3848</v>
      </c>
      <c r="C3863" s="106">
        <f ca="1"/>
        <v>1.186639625563976</v>
      </c>
      <c r="D3863" s="106">
        <f t="shared" ca="1" si="219"/>
        <v>0.74701841887168408</v>
      </c>
      <c r="E3863" s="106">
        <f t="shared" ca="1" si="220"/>
        <v>0</v>
      </c>
      <c r="F3863" s="21">
        <f t="shared" ca="1" si="221"/>
        <v>0</v>
      </c>
      <c r="H3863" s="21">
        <v>3848</v>
      </c>
      <c r="I3863" s="107">
        <v>0.66791600466066703</v>
      </c>
      <c r="J3863" s="108">
        <v>1.5912818772525327E-3</v>
      </c>
      <c r="K3863" s="108"/>
      <c r="L3863" s="108">
        <v>4.6199999999999998E-2</v>
      </c>
      <c r="O3863" s="105"/>
    </row>
    <row r="3864" spans="2:15" x14ac:dyDescent="0.2">
      <c r="B3864" s="1">
        <v>3849</v>
      </c>
      <c r="C3864" s="106">
        <f ca="1"/>
        <v>-1.0419345035361256</v>
      </c>
      <c r="D3864" s="106">
        <f t="shared" ca="1" si="219"/>
        <v>0.59959854241118626</v>
      </c>
      <c r="E3864" s="106">
        <f t="shared" ca="1" si="220"/>
        <v>0</v>
      </c>
      <c r="F3864" s="21">
        <f t="shared" ca="1" si="221"/>
        <v>0</v>
      </c>
      <c r="H3864" s="21">
        <v>3849</v>
      </c>
      <c r="I3864" s="107">
        <v>0.66773490230583055</v>
      </c>
      <c r="J3864" s="108">
        <v>1.3331940856536344E-3</v>
      </c>
      <c r="K3864" s="108"/>
      <c r="L3864" s="108">
        <v>4.2599999999999999E-2</v>
      </c>
      <c r="O3864" s="105"/>
    </row>
    <row r="3865" spans="2:15" x14ac:dyDescent="0.2">
      <c r="B3865" s="1">
        <v>3850</v>
      </c>
      <c r="C3865" s="106">
        <f ca="1"/>
        <v>0.189363688065186</v>
      </c>
      <c r="D3865" s="106">
        <f t="shared" ca="1" si="219"/>
        <v>0.67703110778892095</v>
      </c>
      <c r="E3865" s="106">
        <f t="shared" ca="1" si="220"/>
        <v>0</v>
      </c>
      <c r="F3865" s="21">
        <f t="shared" ca="1" si="221"/>
        <v>0</v>
      </c>
      <c r="H3865" s="21">
        <v>3850</v>
      </c>
      <c r="I3865" s="107">
        <v>0.6676295691172679</v>
      </c>
      <c r="J3865" s="108">
        <v>1.2397480638110605E-3</v>
      </c>
      <c r="K3865" s="108"/>
      <c r="L3865" s="108">
        <v>3.8399999999999997E-2</v>
      </c>
      <c r="O3865" s="105"/>
    </row>
    <row r="3866" spans="2:15" x14ac:dyDescent="0.2">
      <c r="B3866" s="1">
        <v>3851</v>
      </c>
      <c r="C3866" s="106">
        <f ca="1"/>
        <v>2.6262201469762019</v>
      </c>
      <c r="D3866" s="106">
        <f t="shared" ca="1" si="219"/>
        <v>0.86099782055734109</v>
      </c>
      <c r="E3866" s="106">
        <f t="shared" ca="1" si="220"/>
        <v>7.2797820557341075E-2</v>
      </c>
      <c r="F3866" s="21">
        <f t="shared" ca="1" si="221"/>
        <v>1</v>
      </c>
      <c r="H3866" s="21">
        <v>3851</v>
      </c>
      <c r="I3866" s="107">
        <v>0.66762521550080556</v>
      </c>
      <c r="J3866" s="108">
        <v>1.2626795060679034E-3</v>
      </c>
      <c r="K3866" s="108"/>
      <c r="L3866" s="108">
        <v>3.8600000000000002E-2</v>
      </c>
      <c r="O3866" s="105"/>
    </row>
    <row r="3867" spans="2:15" x14ac:dyDescent="0.2">
      <c r="B3867" s="1">
        <v>3852</v>
      </c>
      <c r="C3867" s="106">
        <f ca="1"/>
        <v>-0.48378800867401217</v>
      </c>
      <c r="D3867" s="106">
        <f t="shared" ca="1" si="219"/>
        <v>0.63353588610151501</v>
      </c>
      <c r="E3867" s="106">
        <f t="shared" ca="1" si="220"/>
        <v>0</v>
      </c>
      <c r="F3867" s="21">
        <f t="shared" ca="1" si="221"/>
        <v>0</v>
      </c>
      <c r="H3867" s="21">
        <v>3852</v>
      </c>
      <c r="I3867" s="107">
        <v>0.66769912562296596</v>
      </c>
      <c r="J3867" s="108">
        <v>1.3526530673556171E-3</v>
      </c>
      <c r="K3867" s="108"/>
      <c r="L3867" s="108">
        <v>4.0800000000000003E-2</v>
      </c>
      <c r="O3867" s="105"/>
    </row>
    <row r="3868" spans="2:15" x14ac:dyDescent="0.2">
      <c r="B3868" s="1">
        <v>3853</v>
      </c>
      <c r="C3868" s="106">
        <f ca="1"/>
        <v>0.67744189821782486</v>
      </c>
      <c r="D3868" s="106">
        <f t="shared" ca="1" si="219"/>
        <v>0.71042394896261207</v>
      </c>
      <c r="E3868" s="106">
        <f t="shared" ca="1" si="220"/>
        <v>0</v>
      </c>
      <c r="F3868" s="21">
        <f t="shared" ca="1" si="221"/>
        <v>0</v>
      </c>
      <c r="H3868" s="21">
        <v>3853</v>
      </c>
      <c r="I3868" s="107">
        <v>0.66781380242250987</v>
      </c>
      <c r="J3868" s="108">
        <v>1.4951890190419907E-3</v>
      </c>
      <c r="K3868" s="108"/>
      <c r="L3868" s="108">
        <v>4.3200000000000002E-2</v>
      </c>
      <c r="O3868" s="105"/>
    </row>
    <row r="3869" spans="2:15" x14ac:dyDescent="0.2">
      <c r="B3869" s="1">
        <v>3854</v>
      </c>
      <c r="C3869" s="106">
        <f ca="1"/>
        <v>1.2929367931007472</v>
      </c>
      <c r="D3869" s="106">
        <f t="shared" ca="1" si="219"/>
        <v>0.75489233428484392</v>
      </c>
      <c r="E3869" s="106">
        <f t="shared" ca="1" si="220"/>
        <v>0</v>
      </c>
      <c r="F3869" s="21">
        <f t="shared" ca="1" si="221"/>
        <v>0</v>
      </c>
      <c r="H3869" s="21">
        <v>3854</v>
      </c>
      <c r="I3869" s="107">
        <v>0.66766734445287046</v>
      </c>
      <c r="J3869" s="108">
        <v>1.3401392106583113E-3</v>
      </c>
      <c r="K3869" s="108"/>
      <c r="L3869" s="108">
        <v>4.02E-2</v>
      </c>
      <c r="O3869" s="105"/>
    </row>
    <row r="3870" spans="2:15" x14ac:dyDescent="0.2">
      <c r="B3870" s="1">
        <v>3855</v>
      </c>
      <c r="C3870" s="106">
        <f ca="1"/>
        <v>0.74401640118950252</v>
      </c>
      <c r="D3870" s="106">
        <f t="shared" ca="1" si="219"/>
        <v>0.71510465333627338</v>
      </c>
      <c r="E3870" s="106">
        <f t="shared" ca="1" si="220"/>
        <v>0</v>
      </c>
      <c r="F3870" s="21">
        <f t="shared" ca="1" si="221"/>
        <v>0</v>
      </c>
      <c r="H3870" s="21">
        <v>3855</v>
      </c>
      <c r="I3870" s="107">
        <v>0.66767553328459084</v>
      </c>
      <c r="J3870" s="108">
        <v>1.3458344915054591E-3</v>
      </c>
      <c r="K3870" s="108"/>
      <c r="L3870" s="108">
        <v>4.2599999999999999E-2</v>
      </c>
      <c r="O3870" s="105"/>
    </row>
    <row r="3871" spans="2:15" x14ac:dyDescent="0.2">
      <c r="B3871" s="1">
        <v>3856</v>
      </c>
      <c r="C3871" s="106">
        <f ca="1"/>
        <v>-1.1121166942057277</v>
      </c>
      <c r="D3871" s="106">
        <f t="shared" ca="1" si="219"/>
        <v>0.59546193814389548</v>
      </c>
      <c r="E3871" s="106">
        <f t="shared" ca="1" si="220"/>
        <v>0</v>
      </c>
      <c r="F3871" s="21">
        <f t="shared" ca="1" si="221"/>
        <v>0</v>
      </c>
      <c r="H3871" s="21">
        <v>3856</v>
      </c>
      <c r="I3871" s="107">
        <v>0.66764021871930546</v>
      </c>
      <c r="J3871" s="108">
        <v>1.302866293378291E-3</v>
      </c>
      <c r="K3871" s="108"/>
      <c r="L3871" s="108">
        <v>3.9E-2</v>
      </c>
      <c r="O3871" s="105"/>
    </row>
    <row r="3872" spans="2:15" x14ac:dyDescent="0.2">
      <c r="B3872" s="1">
        <v>3857</v>
      </c>
      <c r="C3872" s="106">
        <f ca="1"/>
        <v>1.4965545738555748</v>
      </c>
      <c r="D3872" s="106">
        <f t="shared" ca="1" si="219"/>
        <v>0.77020773434591672</v>
      </c>
      <c r="E3872" s="106">
        <f t="shared" ca="1" si="220"/>
        <v>0</v>
      </c>
      <c r="F3872" s="21">
        <f t="shared" ca="1" si="221"/>
        <v>0</v>
      </c>
      <c r="H3872" s="21">
        <v>3857</v>
      </c>
      <c r="I3872" s="107">
        <v>0.66775882515633134</v>
      </c>
      <c r="J3872" s="108">
        <v>1.401539110527202E-3</v>
      </c>
      <c r="K3872" s="108"/>
      <c r="L3872" s="108">
        <v>4.2000000000000003E-2</v>
      </c>
      <c r="O3872" s="105"/>
    </row>
    <row r="3873" spans="2:15" x14ac:dyDescent="0.2">
      <c r="B3873" s="1">
        <v>3858</v>
      </c>
      <c r="C3873" s="106">
        <f ca="1"/>
        <v>-0.22712861817698704</v>
      </c>
      <c r="D3873" s="106">
        <f t="shared" ca="1" si="219"/>
        <v>0.64978001559727561</v>
      </c>
      <c r="E3873" s="106">
        <f t="shared" ca="1" si="220"/>
        <v>0</v>
      </c>
      <c r="F3873" s="21">
        <f t="shared" ca="1" si="221"/>
        <v>0</v>
      </c>
      <c r="H3873" s="21">
        <v>3858</v>
      </c>
      <c r="I3873" s="107">
        <v>0.66758518339657391</v>
      </c>
      <c r="J3873" s="108">
        <v>1.2394167442445205E-3</v>
      </c>
      <c r="K3873" s="108"/>
      <c r="L3873" s="108">
        <v>3.9600000000000003E-2</v>
      </c>
      <c r="O3873" s="105"/>
    </row>
    <row r="3874" spans="2:15" x14ac:dyDescent="0.2">
      <c r="B3874" s="1">
        <v>3859</v>
      </c>
      <c r="C3874" s="106">
        <f ca="1"/>
        <v>-1.1480461341827939</v>
      </c>
      <c r="D3874" s="106">
        <f t="shared" ca="1" si="219"/>
        <v>0.59335528039515884</v>
      </c>
      <c r="E3874" s="106">
        <f t="shared" ca="1" si="220"/>
        <v>0</v>
      </c>
      <c r="F3874" s="21">
        <f t="shared" ca="1" si="221"/>
        <v>0</v>
      </c>
      <c r="H3874" s="21">
        <v>3859</v>
      </c>
      <c r="I3874" s="107">
        <v>0.66785907610850259</v>
      </c>
      <c r="J3874" s="108">
        <v>1.3775873841202009E-3</v>
      </c>
      <c r="K3874" s="108"/>
      <c r="L3874" s="108">
        <v>4.4999999999999998E-2</v>
      </c>
      <c r="O3874" s="105"/>
    </row>
    <row r="3875" spans="2:15" x14ac:dyDescent="0.2">
      <c r="B3875" s="1">
        <v>3860</v>
      </c>
      <c r="C3875" s="106">
        <f ca="1"/>
        <v>-1.8986953739345303</v>
      </c>
      <c r="D3875" s="106">
        <f t="shared" ca="1" si="219"/>
        <v>0.55100743745730907</v>
      </c>
      <c r="E3875" s="106">
        <f t="shared" ca="1" si="220"/>
        <v>0</v>
      </c>
      <c r="F3875" s="21">
        <f t="shared" ca="1" si="221"/>
        <v>0</v>
      </c>
      <c r="H3875" s="21">
        <v>3860</v>
      </c>
      <c r="I3875" s="107">
        <v>0.66778701792130968</v>
      </c>
      <c r="J3875" s="108">
        <v>1.4199604699173343E-3</v>
      </c>
      <c r="K3875" s="108"/>
      <c r="L3875" s="108">
        <v>4.24E-2</v>
      </c>
      <c r="O3875" s="105"/>
    </row>
    <row r="3876" spans="2:15" x14ac:dyDescent="0.2">
      <c r="B3876" s="1">
        <v>3861</v>
      </c>
      <c r="C3876" s="106">
        <f ca="1"/>
        <v>-1.3306659025448897</v>
      </c>
      <c r="D3876" s="106">
        <f t="shared" ca="1" si="219"/>
        <v>0.5827623599006172</v>
      </c>
      <c r="E3876" s="106">
        <f t="shared" ca="1" si="220"/>
        <v>0</v>
      </c>
      <c r="F3876" s="21">
        <f t="shared" ca="1" si="221"/>
        <v>0</v>
      </c>
      <c r="H3876" s="21">
        <v>3861</v>
      </c>
      <c r="I3876" s="107">
        <v>0.66777876620262422</v>
      </c>
      <c r="J3876" s="108">
        <v>1.2886943584717325E-3</v>
      </c>
      <c r="K3876" s="108"/>
      <c r="L3876" s="108">
        <v>4.2000000000000003E-2</v>
      </c>
      <c r="O3876" s="105"/>
    </row>
    <row r="3877" spans="2:15" x14ac:dyDescent="0.2">
      <c r="B3877" s="1">
        <v>3862</v>
      </c>
      <c r="C3877" s="106">
        <f ca="1"/>
        <v>0.5062989320927076</v>
      </c>
      <c r="D3877" s="106">
        <f t="shared" ca="1" si="219"/>
        <v>0.69853140196834251</v>
      </c>
      <c r="E3877" s="106">
        <f t="shared" ca="1" si="220"/>
        <v>0</v>
      </c>
      <c r="F3877" s="21">
        <f t="shared" ca="1" si="221"/>
        <v>0</v>
      </c>
      <c r="H3877" s="21">
        <v>3862</v>
      </c>
      <c r="I3877" s="107">
        <v>0.66781755785512198</v>
      </c>
      <c r="J3877" s="108">
        <v>1.4525911399882381E-3</v>
      </c>
      <c r="K3877" s="108"/>
      <c r="L3877" s="108">
        <v>4.6199999999999998E-2</v>
      </c>
      <c r="O3877" s="105"/>
    </row>
    <row r="3878" spans="2:15" x14ac:dyDescent="0.2">
      <c r="B3878" s="1">
        <v>3863</v>
      </c>
      <c r="C3878" s="106">
        <f ca="1"/>
        <v>0.2727158517415873</v>
      </c>
      <c r="D3878" s="106">
        <f t="shared" ca="1" si="219"/>
        <v>0.6826205825987538</v>
      </c>
      <c r="E3878" s="106">
        <f t="shared" ca="1" si="220"/>
        <v>0</v>
      </c>
      <c r="F3878" s="21">
        <f t="shared" ca="1" si="221"/>
        <v>0</v>
      </c>
      <c r="H3878" s="21">
        <v>3863</v>
      </c>
      <c r="I3878" s="107">
        <v>0.66783457599733642</v>
      </c>
      <c r="J3878" s="108">
        <v>1.5065673665409474E-3</v>
      </c>
      <c r="K3878" s="108"/>
      <c r="L3878" s="108">
        <v>4.3200000000000002E-2</v>
      </c>
      <c r="O3878" s="105"/>
    </row>
    <row r="3879" spans="2:15" x14ac:dyDescent="0.2">
      <c r="B3879" s="1">
        <v>3864</v>
      </c>
      <c r="C3879" s="106">
        <f ca="1"/>
        <v>-0.20194867309587228</v>
      </c>
      <c r="D3879" s="106">
        <f t="shared" ca="1" si="219"/>
        <v>0.6513959342263117</v>
      </c>
      <c r="E3879" s="106">
        <f t="shared" ca="1" si="220"/>
        <v>0</v>
      </c>
      <c r="F3879" s="21">
        <f t="shared" ca="1" si="221"/>
        <v>0</v>
      </c>
      <c r="H3879" s="21">
        <v>3864</v>
      </c>
      <c r="I3879" s="107">
        <v>0.66784626291128457</v>
      </c>
      <c r="J3879" s="108">
        <v>1.5682694956298E-3</v>
      </c>
      <c r="K3879" s="108"/>
      <c r="L3879" s="108">
        <v>4.6199999999999998E-2</v>
      </c>
      <c r="O3879" s="105"/>
    </row>
    <row r="3880" spans="2:15" x14ac:dyDescent="0.2">
      <c r="B3880" s="1">
        <v>3865</v>
      </c>
      <c r="C3880" s="106">
        <f ca="1"/>
        <v>1.7750808627762609</v>
      </c>
      <c r="D3880" s="106">
        <f t="shared" ca="1" si="219"/>
        <v>0.79166194670581469</v>
      </c>
      <c r="E3880" s="106">
        <f t="shared" ca="1" si="220"/>
        <v>3.461946705814678E-3</v>
      </c>
      <c r="F3880" s="21">
        <f t="shared" ca="1" si="221"/>
        <v>1</v>
      </c>
      <c r="H3880" s="21">
        <v>3865</v>
      </c>
      <c r="I3880" s="107">
        <v>0.66778154155638592</v>
      </c>
      <c r="J3880" s="108">
        <v>1.5212173531253465E-3</v>
      </c>
      <c r="K3880" s="108"/>
      <c r="L3880" s="108">
        <v>4.4200000000000003E-2</v>
      </c>
      <c r="O3880" s="105"/>
    </row>
    <row r="3881" spans="2:15" x14ac:dyDescent="0.2">
      <c r="B3881" s="1">
        <v>3866</v>
      </c>
      <c r="C3881" s="106">
        <f ca="1"/>
        <v>-0.28267865303970791</v>
      </c>
      <c r="D3881" s="106">
        <f t="shared" ca="1" si="219"/>
        <v>0.64622926420990945</v>
      </c>
      <c r="E3881" s="106">
        <f t="shared" ca="1" si="220"/>
        <v>0</v>
      </c>
      <c r="F3881" s="21">
        <f t="shared" ca="1" si="221"/>
        <v>0</v>
      </c>
      <c r="H3881" s="21">
        <v>3866</v>
      </c>
      <c r="I3881" s="107">
        <v>0.66782163189103483</v>
      </c>
      <c r="J3881" s="108">
        <v>1.4843025207116089E-3</v>
      </c>
      <c r="K3881" s="108"/>
      <c r="L3881" s="108">
        <v>4.5199999999999997E-2</v>
      </c>
      <c r="O3881" s="105"/>
    </row>
    <row r="3882" spans="2:15" x14ac:dyDescent="0.2">
      <c r="B3882" s="1">
        <v>3867</v>
      </c>
      <c r="C3882" s="106">
        <f ca="1"/>
        <v>-8.0563978774243067E-2</v>
      </c>
      <c r="D3882" s="106">
        <f t="shared" ca="1" si="219"/>
        <v>0.65924233505810748</v>
      </c>
      <c r="E3882" s="106">
        <f t="shared" ca="1" si="220"/>
        <v>0</v>
      </c>
      <c r="F3882" s="21">
        <f t="shared" ca="1" si="221"/>
        <v>0</v>
      </c>
      <c r="H3882" s="21">
        <v>3867</v>
      </c>
      <c r="I3882" s="107">
        <v>0.66773899690610072</v>
      </c>
      <c r="J3882" s="108">
        <v>1.3507771974880446E-3</v>
      </c>
      <c r="K3882" s="108"/>
      <c r="L3882" s="108">
        <v>4.2799999999999998E-2</v>
      </c>
      <c r="O3882" s="105"/>
    </row>
    <row r="3883" spans="2:15" x14ac:dyDescent="0.2">
      <c r="B3883" s="1">
        <v>3868</v>
      </c>
      <c r="C3883" s="106">
        <f ca="1"/>
        <v>0.94182834927072501</v>
      </c>
      <c r="D3883" s="106">
        <f t="shared" ca="1" si="219"/>
        <v>0.72919510729757098</v>
      </c>
      <c r="E3883" s="106">
        <f t="shared" ca="1" si="220"/>
        <v>0</v>
      </c>
      <c r="F3883" s="21">
        <f t="shared" ca="1" si="221"/>
        <v>0</v>
      </c>
      <c r="H3883" s="21">
        <v>3868</v>
      </c>
      <c r="I3883" s="107">
        <v>0.66768840086758641</v>
      </c>
      <c r="J3883" s="108">
        <v>1.2652877814284917E-3</v>
      </c>
      <c r="K3883" s="108"/>
      <c r="L3883" s="108">
        <v>3.9600000000000003E-2</v>
      </c>
      <c r="O3883" s="105"/>
    </row>
    <row r="3884" spans="2:15" x14ac:dyDescent="0.2">
      <c r="B3884" s="1">
        <v>3869</v>
      </c>
      <c r="C3884" s="106">
        <f ca="1"/>
        <v>-2.3212702565136691</v>
      </c>
      <c r="D3884" s="106">
        <f t="shared" ca="1" si="219"/>
        <v>0.52851170915610679</v>
      </c>
      <c r="E3884" s="106">
        <f t="shared" ca="1" si="220"/>
        <v>0</v>
      </c>
      <c r="F3884" s="21">
        <f t="shared" ca="1" si="221"/>
        <v>0</v>
      </c>
      <c r="H3884" s="21">
        <v>3869</v>
      </c>
      <c r="I3884" s="107">
        <v>0.66802776676268694</v>
      </c>
      <c r="J3884" s="108">
        <v>1.7608296269580183E-3</v>
      </c>
      <c r="K3884" s="108"/>
      <c r="L3884" s="108">
        <v>4.8599999999999997E-2</v>
      </c>
      <c r="O3884" s="105"/>
    </row>
    <row r="3885" spans="2:15" x14ac:dyDescent="0.2">
      <c r="B3885" s="1">
        <v>3870</v>
      </c>
      <c r="C3885" s="106">
        <f ca="1"/>
        <v>1.5963720863005855</v>
      </c>
      <c r="D3885" s="106">
        <f t="shared" ca="1" si="219"/>
        <v>0.77782875841710297</v>
      </c>
      <c r="E3885" s="106">
        <f t="shared" ca="1" si="220"/>
        <v>0</v>
      </c>
      <c r="F3885" s="21">
        <f t="shared" ca="1" si="221"/>
        <v>0</v>
      </c>
      <c r="H3885" s="21">
        <v>3870</v>
      </c>
      <c r="I3885" s="107">
        <v>0.66779009323553973</v>
      </c>
      <c r="J3885" s="108">
        <v>1.3697426857069382E-3</v>
      </c>
      <c r="K3885" s="108"/>
      <c r="L3885" s="108">
        <v>4.3999999999999997E-2</v>
      </c>
      <c r="O3885" s="105"/>
    </row>
    <row r="3886" spans="2:15" x14ac:dyDescent="0.2">
      <c r="B3886" s="1">
        <v>3871</v>
      </c>
      <c r="C3886" s="106">
        <f ca="1"/>
        <v>0.77328250279268507</v>
      </c>
      <c r="D3886" s="106">
        <f t="shared" ca="1" si="219"/>
        <v>0.71717203377367977</v>
      </c>
      <c r="E3886" s="106">
        <f t="shared" ca="1" si="220"/>
        <v>0</v>
      </c>
      <c r="F3886" s="21">
        <f t="shared" ca="1" si="221"/>
        <v>0</v>
      </c>
      <c r="H3886" s="21">
        <v>3871</v>
      </c>
      <c r="I3886" s="107">
        <v>0.66787110882521605</v>
      </c>
      <c r="J3886" s="108">
        <v>1.4371030126512695E-3</v>
      </c>
      <c r="K3886" s="108"/>
      <c r="L3886" s="108">
        <v>4.3200000000000002E-2</v>
      </c>
      <c r="O3886" s="105"/>
    </row>
    <row r="3887" spans="2:15" x14ac:dyDescent="0.2">
      <c r="B3887" s="1">
        <v>3872</v>
      </c>
      <c r="C3887" s="106">
        <f ca="1"/>
        <v>-0.66149292538383353</v>
      </c>
      <c r="D3887" s="106">
        <f t="shared" ca="1" si="219"/>
        <v>0.62252737105326672</v>
      </c>
      <c r="E3887" s="106">
        <f t="shared" ca="1" si="220"/>
        <v>0</v>
      </c>
      <c r="F3887" s="21">
        <f t="shared" ca="1" si="221"/>
        <v>0</v>
      </c>
      <c r="H3887" s="21">
        <v>3872</v>
      </c>
      <c r="I3887" s="107">
        <v>0.66779990939371559</v>
      </c>
      <c r="J3887" s="108">
        <v>1.4483084545790781E-3</v>
      </c>
      <c r="K3887" s="108"/>
      <c r="L3887" s="108">
        <v>4.1399999999999999E-2</v>
      </c>
      <c r="O3887" s="105"/>
    </row>
    <row r="3888" spans="2:15" x14ac:dyDescent="0.2">
      <c r="B3888" s="1">
        <v>3873</v>
      </c>
      <c r="C3888" s="106">
        <f ca="1"/>
        <v>-1.3192931154851686</v>
      </c>
      <c r="D3888" s="106">
        <f t="shared" ca="1" si="219"/>
        <v>0.58341648516906341</v>
      </c>
      <c r="E3888" s="106">
        <f t="shared" ca="1" si="220"/>
        <v>0</v>
      </c>
      <c r="F3888" s="21">
        <f t="shared" ca="1" si="221"/>
        <v>0</v>
      </c>
      <c r="H3888" s="21">
        <v>3873</v>
      </c>
      <c r="I3888" s="107">
        <v>0.66770747073271008</v>
      </c>
      <c r="J3888" s="108">
        <v>1.2686215403245719E-3</v>
      </c>
      <c r="K3888" s="108"/>
      <c r="L3888" s="108">
        <v>4.0399999999999998E-2</v>
      </c>
      <c r="O3888" s="105"/>
    </row>
    <row r="3889" spans="2:15" x14ac:dyDescent="0.2">
      <c r="B3889" s="1">
        <v>3874</v>
      </c>
      <c r="C3889" s="106">
        <f ca="1"/>
        <v>1.2479562345940165</v>
      </c>
      <c r="D3889" s="106">
        <f t="shared" ca="1" si="219"/>
        <v>0.75155034043711177</v>
      </c>
      <c r="E3889" s="106">
        <f t="shared" ca="1" si="220"/>
        <v>0</v>
      </c>
      <c r="F3889" s="21">
        <f t="shared" ca="1" si="221"/>
        <v>0</v>
      </c>
      <c r="H3889" s="21">
        <v>3874</v>
      </c>
      <c r="I3889" s="107">
        <v>0.66784358755520656</v>
      </c>
      <c r="J3889" s="108">
        <v>1.4536773403340726E-3</v>
      </c>
      <c r="K3889" s="108"/>
      <c r="L3889" s="108">
        <v>4.4600000000000001E-2</v>
      </c>
      <c r="O3889" s="105"/>
    </row>
    <row r="3890" spans="2:15" x14ac:dyDescent="0.2">
      <c r="B3890" s="1">
        <v>3875</v>
      </c>
      <c r="C3890" s="106">
        <f ca="1"/>
        <v>1.0231618948906946</v>
      </c>
      <c r="D3890" s="106">
        <f t="shared" ca="1" si="219"/>
        <v>0.73506885997555038</v>
      </c>
      <c r="E3890" s="106">
        <f t="shared" ca="1" si="220"/>
        <v>0</v>
      </c>
      <c r="F3890" s="21">
        <f t="shared" ca="1" si="221"/>
        <v>0</v>
      </c>
      <c r="H3890" s="21">
        <v>3875</v>
      </c>
      <c r="I3890" s="107">
        <v>0.66776268068313294</v>
      </c>
      <c r="J3890" s="108">
        <v>1.3062226804563377E-3</v>
      </c>
      <c r="K3890" s="108"/>
      <c r="L3890" s="108">
        <v>4.2200000000000001E-2</v>
      </c>
      <c r="O3890" s="105"/>
    </row>
    <row r="3891" spans="2:15" x14ac:dyDescent="0.2">
      <c r="B3891" s="1">
        <v>3876</v>
      </c>
      <c r="C3891" s="106">
        <f ca="1"/>
        <v>-0.40029389566137563</v>
      </c>
      <c r="D3891" s="106">
        <f t="shared" ca="1" si="219"/>
        <v>0.6387752145141784</v>
      </c>
      <c r="E3891" s="106">
        <f t="shared" ca="1" si="220"/>
        <v>0</v>
      </c>
      <c r="F3891" s="21">
        <f t="shared" ca="1" si="221"/>
        <v>0</v>
      </c>
      <c r="H3891" s="21">
        <v>3876</v>
      </c>
      <c r="I3891" s="107">
        <v>0.66782612355878035</v>
      </c>
      <c r="J3891" s="108">
        <v>1.3315231334586927E-3</v>
      </c>
      <c r="K3891" s="108"/>
      <c r="L3891" s="108">
        <v>4.3400000000000001E-2</v>
      </c>
      <c r="O3891" s="105"/>
    </row>
    <row r="3892" spans="2:15" x14ac:dyDescent="0.2">
      <c r="B3892" s="1">
        <v>3877</v>
      </c>
      <c r="C3892" s="106">
        <f ca="1"/>
        <v>0.2192356885903558</v>
      </c>
      <c r="D3892" s="106">
        <f t="shared" ca="1" si="219"/>
        <v>0.67902899901151248</v>
      </c>
      <c r="E3892" s="106">
        <f t="shared" ca="1" si="220"/>
        <v>0</v>
      </c>
      <c r="F3892" s="21">
        <f t="shared" ca="1" si="221"/>
        <v>0</v>
      </c>
      <c r="H3892" s="21">
        <v>3877</v>
      </c>
      <c r="I3892" s="107">
        <v>0.66777144485274242</v>
      </c>
      <c r="J3892" s="108">
        <v>1.5402669239943743E-3</v>
      </c>
      <c r="K3892" s="108"/>
      <c r="L3892" s="108">
        <v>4.9599999999999998E-2</v>
      </c>
      <c r="O3892" s="105"/>
    </row>
    <row r="3893" spans="2:15" x14ac:dyDescent="0.2">
      <c r="B3893" s="1">
        <v>3878</v>
      </c>
      <c r="C3893" s="106">
        <f ca="1"/>
        <v>9.0251257859239917E-2</v>
      </c>
      <c r="D3893" s="106">
        <f t="shared" ca="1" si="219"/>
        <v>0.67044430862921867</v>
      </c>
      <c r="E3893" s="106">
        <f t="shared" ca="1" si="220"/>
        <v>0</v>
      </c>
      <c r="F3893" s="21">
        <f t="shared" ca="1" si="221"/>
        <v>0</v>
      </c>
      <c r="H3893" s="21">
        <v>3878</v>
      </c>
      <c r="I3893" s="107">
        <v>0.66762031469819416</v>
      </c>
      <c r="J3893" s="108">
        <v>1.1992272640119653E-3</v>
      </c>
      <c r="K3893" s="108"/>
      <c r="L3893" s="108">
        <v>3.5400000000000001E-2</v>
      </c>
      <c r="O3893" s="105"/>
    </row>
    <row r="3894" spans="2:15" x14ac:dyDescent="0.2">
      <c r="B3894" s="1">
        <v>3879</v>
      </c>
      <c r="C3894" s="106">
        <f ca="1"/>
        <v>1.2123384113314566</v>
      </c>
      <c r="D3894" s="106">
        <f t="shared" ca="1" si="219"/>
        <v>0.7489144846121838</v>
      </c>
      <c r="E3894" s="106">
        <f t="shared" ca="1" si="220"/>
        <v>0</v>
      </c>
      <c r="F3894" s="21">
        <f t="shared" ca="1" si="221"/>
        <v>0</v>
      </c>
      <c r="H3894" s="21">
        <v>3879</v>
      </c>
      <c r="I3894" s="107">
        <v>0.6675584308594199</v>
      </c>
      <c r="J3894" s="108">
        <v>1.1560413471514411E-3</v>
      </c>
      <c r="K3894" s="108"/>
      <c r="L3894" s="108">
        <v>3.6999999999999998E-2</v>
      </c>
      <c r="O3894" s="105"/>
    </row>
    <row r="3895" spans="2:15" x14ac:dyDescent="0.2">
      <c r="B3895" s="1">
        <v>3880</v>
      </c>
      <c r="C3895" s="106">
        <f ca="1"/>
        <v>-0.30712540220176332</v>
      </c>
      <c r="D3895" s="106">
        <f t="shared" ca="1" si="219"/>
        <v>0.64467278579805576</v>
      </c>
      <c r="E3895" s="106">
        <f t="shared" ca="1" si="220"/>
        <v>0</v>
      </c>
      <c r="F3895" s="21">
        <f t="shared" ca="1" si="221"/>
        <v>0</v>
      </c>
      <c r="H3895" s="21">
        <v>3880</v>
      </c>
      <c r="I3895" s="107">
        <v>0.66772159995162317</v>
      </c>
      <c r="J3895" s="108">
        <v>1.3081617983304885E-3</v>
      </c>
      <c r="K3895" s="108"/>
      <c r="L3895" s="108">
        <v>4.2200000000000001E-2</v>
      </c>
      <c r="O3895" s="105"/>
    </row>
    <row r="3896" spans="2:15" x14ac:dyDescent="0.2">
      <c r="B3896" s="1">
        <v>3881</v>
      </c>
      <c r="C3896" s="106">
        <f ca="1"/>
        <v>0.37560597646662847</v>
      </c>
      <c r="D3896" s="106">
        <f t="shared" ca="1" si="219"/>
        <v>0.68958392438074989</v>
      </c>
      <c r="E3896" s="106">
        <f t="shared" ca="1" si="220"/>
        <v>0</v>
      </c>
      <c r="F3896" s="21">
        <f t="shared" ca="1" si="221"/>
        <v>0</v>
      </c>
      <c r="H3896" s="21">
        <v>3881</v>
      </c>
      <c r="I3896" s="107">
        <v>0.66767045977185979</v>
      </c>
      <c r="J3896" s="108">
        <v>1.4071490815398455E-3</v>
      </c>
      <c r="K3896" s="108"/>
      <c r="L3896" s="108">
        <v>3.9800000000000002E-2</v>
      </c>
      <c r="O3896" s="105"/>
    </row>
    <row r="3897" spans="2:15" x14ac:dyDescent="0.2">
      <c r="B3897" s="1">
        <v>3882</v>
      </c>
      <c r="C3897" s="106">
        <f ca="1"/>
        <v>-0.90066294180476802</v>
      </c>
      <c r="D3897" s="106">
        <f t="shared" ca="1" si="219"/>
        <v>0.60801256594933484</v>
      </c>
      <c r="E3897" s="106">
        <f t="shared" ca="1" si="220"/>
        <v>0</v>
      </c>
      <c r="F3897" s="21">
        <f t="shared" ca="1" si="221"/>
        <v>0</v>
      </c>
      <c r="H3897" s="21">
        <v>3882</v>
      </c>
      <c r="I3897" s="107">
        <v>0.6677092998112848</v>
      </c>
      <c r="J3897" s="108">
        <v>1.2352323610372699E-3</v>
      </c>
      <c r="K3897" s="108"/>
      <c r="L3897" s="108">
        <v>3.9800000000000002E-2</v>
      </c>
      <c r="O3897" s="105"/>
    </row>
    <row r="3898" spans="2:15" x14ac:dyDescent="0.2">
      <c r="B3898" s="1">
        <v>3883</v>
      </c>
      <c r="C3898" s="106">
        <f ca="1"/>
        <v>1.5116026017039228</v>
      </c>
      <c r="D3898" s="106">
        <f t="shared" ca="1" si="219"/>
        <v>0.77135184683498192</v>
      </c>
      <c r="E3898" s="106">
        <f t="shared" ca="1" si="220"/>
        <v>0</v>
      </c>
      <c r="F3898" s="21">
        <f t="shared" ca="1" si="221"/>
        <v>0</v>
      </c>
      <c r="H3898" s="21">
        <v>3883</v>
      </c>
      <c r="I3898" s="107">
        <v>0.66773672444434595</v>
      </c>
      <c r="J3898" s="108">
        <v>1.3206122260066785E-3</v>
      </c>
      <c r="K3898" s="108"/>
      <c r="L3898" s="108">
        <v>3.7999999999999999E-2</v>
      </c>
      <c r="O3898" s="105"/>
    </row>
    <row r="3899" spans="2:15" x14ac:dyDescent="0.2">
      <c r="B3899" s="1">
        <v>3884</v>
      </c>
      <c r="C3899" s="106">
        <f ca="1"/>
        <v>-0.45130945428094127</v>
      </c>
      <c r="D3899" s="106">
        <f t="shared" ca="1" si="219"/>
        <v>0.63556881728627357</v>
      </c>
      <c r="E3899" s="106">
        <f t="shared" ca="1" si="220"/>
        <v>0</v>
      </c>
      <c r="F3899" s="21">
        <f t="shared" ca="1" si="221"/>
        <v>0</v>
      </c>
      <c r="H3899" s="21">
        <v>3884</v>
      </c>
      <c r="I3899" s="107">
        <v>0.66771250705358387</v>
      </c>
      <c r="J3899" s="108">
        <v>1.2662206214783115E-3</v>
      </c>
      <c r="K3899" s="108"/>
      <c r="L3899" s="108">
        <v>4.1799999999999997E-2</v>
      </c>
      <c r="O3899" s="105"/>
    </row>
    <row r="3900" spans="2:15" x14ac:dyDescent="0.2">
      <c r="B3900" s="1">
        <v>3885</v>
      </c>
      <c r="C3900" s="106">
        <f ca="1"/>
        <v>0.26082253952807355</v>
      </c>
      <c r="D3900" s="106">
        <f t="shared" ca="1" si="219"/>
        <v>0.68182022075982929</v>
      </c>
      <c r="E3900" s="106">
        <f t="shared" ca="1" si="220"/>
        <v>0</v>
      </c>
      <c r="F3900" s="21">
        <f t="shared" ca="1" si="221"/>
        <v>0</v>
      </c>
      <c r="H3900" s="21">
        <v>3885</v>
      </c>
      <c r="I3900" s="107">
        <v>0.6678915279258234</v>
      </c>
      <c r="J3900" s="108">
        <v>1.5349936056330124E-3</v>
      </c>
      <c r="K3900" s="108"/>
      <c r="L3900" s="108">
        <v>4.5600000000000002E-2</v>
      </c>
      <c r="O3900" s="105"/>
    </row>
    <row r="3901" spans="2:15" x14ac:dyDescent="0.2">
      <c r="B3901" s="1">
        <v>3886</v>
      </c>
      <c r="C3901" s="106">
        <f ca="1"/>
        <v>0.22113944395005433</v>
      </c>
      <c r="D3901" s="106">
        <f t="shared" ca="1" si="219"/>
        <v>0.67915652512965541</v>
      </c>
      <c r="E3901" s="106">
        <f t="shared" ca="1" si="220"/>
        <v>0</v>
      </c>
      <c r="F3901" s="21">
        <f t="shared" ca="1" si="221"/>
        <v>0</v>
      </c>
      <c r="H3901" s="21">
        <v>3886</v>
      </c>
      <c r="I3901" s="107">
        <v>0.6676691630041941</v>
      </c>
      <c r="J3901" s="108">
        <v>1.170667538889226E-3</v>
      </c>
      <c r="K3901" s="108"/>
      <c r="L3901" s="108">
        <v>4.3400000000000001E-2</v>
      </c>
      <c r="O3901" s="105"/>
    </row>
    <row r="3902" spans="2:15" x14ac:dyDescent="0.2">
      <c r="B3902" s="1">
        <v>3887</v>
      </c>
      <c r="C3902" s="106">
        <f ca="1"/>
        <v>-7.1492034868459023E-2</v>
      </c>
      <c r="D3902" s="106">
        <f t="shared" ca="1" si="219"/>
        <v>0.65983253434250633</v>
      </c>
      <c r="E3902" s="106">
        <f t="shared" ca="1" si="220"/>
        <v>0</v>
      </c>
      <c r="F3902" s="21">
        <f t="shared" ca="1" si="221"/>
        <v>0</v>
      </c>
      <c r="H3902" s="21">
        <v>3887</v>
      </c>
      <c r="I3902" s="107">
        <v>0.66782567882221988</v>
      </c>
      <c r="J3902" s="108">
        <v>1.5549303431496415E-3</v>
      </c>
      <c r="K3902" s="108"/>
      <c r="L3902" s="108">
        <v>4.48E-2</v>
      </c>
      <c r="O3902" s="105"/>
    </row>
    <row r="3903" spans="2:15" x14ac:dyDescent="0.2">
      <c r="B3903" s="1">
        <v>3888</v>
      </c>
      <c r="C3903" s="106">
        <f ca="1"/>
        <v>2.1772316306255561</v>
      </c>
      <c r="D3903" s="106">
        <f t="shared" ca="1" si="219"/>
        <v>0.82369733506990983</v>
      </c>
      <c r="E3903" s="106">
        <f t="shared" ca="1" si="220"/>
        <v>3.5497335069909819E-2</v>
      </c>
      <c r="F3903" s="21">
        <f t="shared" ca="1" si="221"/>
        <v>1</v>
      </c>
      <c r="H3903" s="21">
        <v>3888</v>
      </c>
      <c r="I3903" s="107">
        <v>0.66771482995279685</v>
      </c>
      <c r="J3903" s="108">
        <v>1.3731325540656495E-3</v>
      </c>
      <c r="K3903" s="108"/>
      <c r="L3903" s="108">
        <v>4.1799999999999997E-2</v>
      </c>
      <c r="O3903" s="105"/>
    </row>
    <row r="3904" spans="2:15" x14ac:dyDescent="0.2">
      <c r="B3904" s="1">
        <v>3889</v>
      </c>
      <c r="C3904" s="106">
        <f ca="1"/>
        <v>-0.58822924252391084</v>
      </c>
      <c r="D3904" s="106">
        <f t="shared" ca="1" si="219"/>
        <v>0.62704256415502879</v>
      </c>
      <c r="E3904" s="106">
        <f t="shared" ca="1" si="220"/>
        <v>0</v>
      </c>
      <c r="F3904" s="21">
        <f t="shared" ca="1" si="221"/>
        <v>0</v>
      </c>
      <c r="H3904" s="21">
        <v>3889</v>
      </c>
      <c r="I3904" s="107">
        <v>0.66766594211624541</v>
      </c>
      <c r="J3904" s="108">
        <v>1.2946050603706478E-3</v>
      </c>
      <c r="K3904" s="108"/>
      <c r="L3904" s="108">
        <v>3.8800000000000001E-2</v>
      </c>
      <c r="O3904" s="105"/>
    </row>
    <row r="3905" spans="2:15" x14ac:dyDescent="0.2">
      <c r="B3905" s="1">
        <v>3890</v>
      </c>
      <c r="C3905" s="106">
        <f ca="1"/>
        <v>-0.52206407396312926</v>
      </c>
      <c r="D3905" s="106">
        <f t="shared" ca="1" si="219"/>
        <v>0.63114841675655542</v>
      </c>
      <c r="E3905" s="106">
        <f t="shared" ca="1" si="220"/>
        <v>0</v>
      </c>
      <c r="F3905" s="21">
        <f t="shared" ca="1" si="221"/>
        <v>0</v>
      </c>
      <c r="H3905" s="21">
        <v>3890</v>
      </c>
      <c r="I3905" s="107">
        <v>0.66767155610212781</v>
      </c>
      <c r="J3905" s="108">
        <v>1.2552994503418472E-3</v>
      </c>
      <c r="K3905" s="108"/>
      <c r="L3905" s="108">
        <v>4.2000000000000003E-2</v>
      </c>
      <c r="O3905" s="105"/>
    </row>
    <row r="3906" spans="2:15" x14ac:dyDescent="0.2">
      <c r="B3906" s="1">
        <v>3891</v>
      </c>
      <c r="C3906" s="106">
        <f ca="1"/>
        <v>0.674377372865541</v>
      </c>
      <c r="D3906" s="106">
        <f t="shared" ca="1" si="219"/>
        <v>0.71020922818410204</v>
      </c>
      <c r="E3906" s="106">
        <f t="shared" ca="1" si="220"/>
        <v>0</v>
      </c>
      <c r="F3906" s="21">
        <f t="shared" ca="1" si="221"/>
        <v>0</v>
      </c>
      <c r="H3906" s="21">
        <v>3891</v>
      </c>
      <c r="I3906" s="107">
        <v>0.6676575466693544</v>
      </c>
      <c r="J3906" s="108">
        <v>1.2713490964905508E-3</v>
      </c>
      <c r="K3906" s="108"/>
      <c r="L3906" s="108">
        <v>4.1799999999999997E-2</v>
      </c>
      <c r="O3906" s="105"/>
    </row>
    <row r="3907" spans="2:15" x14ac:dyDescent="0.2">
      <c r="B3907" s="1">
        <v>3892</v>
      </c>
      <c r="C3907" s="106">
        <f ca="1"/>
        <v>-1.500055194075163</v>
      </c>
      <c r="D3907" s="106">
        <f t="shared" ca="1" si="219"/>
        <v>0.57310600695435898</v>
      </c>
      <c r="E3907" s="106">
        <f t="shared" ca="1" si="220"/>
        <v>0</v>
      </c>
      <c r="F3907" s="21">
        <f t="shared" ca="1" si="221"/>
        <v>0</v>
      </c>
      <c r="H3907" s="21">
        <v>3892</v>
      </c>
      <c r="I3907" s="107">
        <v>0.66776806517896081</v>
      </c>
      <c r="J3907" s="108">
        <v>1.3841398767395418E-3</v>
      </c>
      <c r="K3907" s="108"/>
      <c r="L3907" s="108">
        <v>4.1200000000000001E-2</v>
      </c>
      <c r="O3907" s="105"/>
    </row>
    <row r="3908" spans="2:15" x14ac:dyDescent="0.2">
      <c r="B3908" s="1">
        <v>3893</v>
      </c>
      <c r="C3908" s="106">
        <f ca="1"/>
        <v>0.77908129225312961</v>
      </c>
      <c r="D3908" s="106">
        <f t="shared" ca="1" si="219"/>
        <v>0.71758237372405775</v>
      </c>
      <c r="E3908" s="106">
        <f t="shared" ca="1" si="220"/>
        <v>0</v>
      </c>
      <c r="F3908" s="21">
        <f t="shared" ca="1" si="221"/>
        <v>0</v>
      </c>
      <c r="H3908" s="21">
        <v>3893</v>
      </c>
      <c r="I3908" s="107">
        <v>0.66798572586401683</v>
      </c>
      <c r="J3908" s="108">
        <v>1.6430435499714569E-3</v>
      </c>
      <c r="K3908" s="108"/>
      <c r="L3908" s="108">
        <v>4.7800000000000002E-2</v>
      </c>
      <c r="O3908" s="105"/>
    </row>
    <row r="3909" spans="2:15" x14ac:dyDescent="0.2">
      <c r="B3909" s="1">
        <v>3894</v>
      </c>
      <c r="C3909" s="106">
        <f ca="1"/>
        <v>0.16539978853679008</v>
      </c>
      <c r="D3909" s="106">
        <f t="shared" ca="1" si="219"/>
        <v>0.67543261082274775</v>
      </c>
      <c r="E3909" s="106">
        <f t="shared" ca="1" si="220"/>
        <v>0</v>
      </c>
      <c r="F3909" s="21">
        <f t="shared" ca="1" si="221"/>
        <v>0</v>
      </c>
      <c r="H3909" s="21">
        <v>3894</v>
      </c>
      <c r="I3909" s="107">
        <v>0.66759873303287043</v>
      </c>
      <c r="J3909" s="108">
        <v>1.2499349445119815E-3</v>
      </c>
      <c r="K3909" s="108"/>
      <c r="L3909" s="108">
        <v>3.8600000000000002E-2</v>
      </c>
      <c r="O3909" s="105"/>
    </row>
    <row r="3910" spans="2:15" x14ac:dyDescent="0.2">
      <c r="B3910" s="1">
        <v>3895</v>
      </c>
      <c r="C3910" s="106">
        <f ca="1"/>
        <v>0.33910090425110473</v>
      </c>
      <c r="D3910" s="106">
        <f t="shared" ca="1" si="219"/>
        <v>0.6871052610124857</v>
      </c>
      <c r="E3910" s="106">
        <f t="shared" ca="1" si="220"/>
        <v>0</v>
      </c>
      <c r="F3910" s="21">
        <f t="shared" ca="1" si="221"/>
        <v>0</v>
      </c>
      <c r="H3910" s="21">
        <v>3895</v>
      </c>
      <c r="I3910" s="107">
        <v>0.66771681197660993</v>
      </c>
      <c r="J3910" s="108">
        <v>1.2698594654193041E-3</v>
      </c>
      <c r="K3910" s="108"/>
      <c r="L3910" s="108">
        <v>4.1799999999999997E-2</v>
      </c>
      <c r="O3910" s="105"/>
    </row>
    <row r="3911" spans="2:15" x14ac:dyDescent="0.2">
      <c r="B3911" s="1">
        <v>3896</v>
      </c>
      <c r="C3911" s="106">
        <f ca="1"/>
        <v>-0.87848445893758453</v>
      </c>
      <c r="D3911" s="106">
        <f t="shared" ca="1" si="219"/>
        <v>0.60934418019687764</v>
      </c>
      <c r="E3911" s="106">
        <f t="shared" ca="1" si="220"/>
        <v>0</v>
      </c>
      <c r="F3911" s="21">
        <f t="shared" ca="1" si="221"/>
        <v>0</v>
      </c>
      <c r="H3911" s="21">
        <v>3896</v>
      </c>
      <c r="I3911" s="107">
        <v>0.66779598734250678</v>
      </c>
      <c r="J3911" s="108">
        <v>1.5047985664303149E-3</v>
      </c>
      <c r="K3911" s="108"/>
      <c r="L3911" s="108">
        <v>4.4600000000000001E-2</v>
      </c>
      <c r="O3911" s="105"/>
    </row>
    <row r="3912" spans="2:15" x14ac:dyDescent="0.2">
      <c r="B3912" s="1">
        <v>3897</v>
      </c>
      <c r="C3912" s="106">
        <f ca="1"/>
        <v>0.51280628139335183</v>
      </c>
      <c r="D3912" s="106">
        <f t="shared" ca="1" si="219"/>
        <v>0.69897992871610359</v>
      </c>
      <c r="E3912" s="106">
        <f t="shared" ca="1" si="220"/>
        <v>0</v>
      </c>
      <c r="F3912" s="21">
        <f t="shared" ca="1" si="221"/>
        <v>0</v>
      </c>
      <c r="H3912" s="21">
        <v>3897</v>
      </c>
      <c r="I3912" s="107">
        <v>0.6677634777967828</v>
      </c>
      <c r="J3912" s="108">
        <v>1.370145820104844E-3</v>
      </c>
      <c r="K3912" s="108"/>
      <c r="L3912" s="108">
        <v>4.4200000000000003E-2</v>
      </c>
      <c r="O3912" s="105"/>
    </row>
    <row r="3913" spans="2:15" x14ac:dyDescent="0.2">
      <c r="B3913" s="1">
        <v>3898</v>
      </c>
      <c r="C3913" s="106">
        <f ca="1"/>
        <v>-1.6671785902507572E-3</v>
      </c>
      <c r="D3913" s="106">
        <f t="shared" ca="1" si="219"/>
        <v>0.66439289470187191</v>
      </c>
      <c r="E3913" s="106">
        <f t="shared" ca="1" si="220"/>
        <v>0</v>
      </c>
      <c r="F3913" s="21">
        <f t="shared" ca="1" si="221"/>
        <v>0</v>
      </c>
      <c r="H3913" s="21">
        <v>3898</v>
      </c>
      <c r="I3913" s="107">
        <v>0.66781073791124113</v>
      </c>
      <c r="J3913" s="108">
        <v>1.5013010317649052E-3</v>
      </c>
      <c r="K3913" s="108"/>
      <c r="L3913" s="108">
        <v>4.7399999999999998E-2</v>
      </c>
      <c r="O3913" s="105"/>
    </row>
    <row r="3914" spans="2:15" x14ac:dyDescent="0.2">
      <c r="B3914" s="1">
        <v>3899</v>
      </c>
      <c r="C3914" s="106">
        <f ca="1"/>
        <v>1.0266049388283602</v>
      </c>
      <c r="D3914" s="106">
        <f t="shared" ca="1" si="219"/>
        <v>0.73531855117841327</v>
      </c>
      <c r="E3914" s="106">
        <f t="shared" ca="1" si="220"/>
        <v>0</v>
      </c>
      <c r="F3914" s="21">
        <f t="shared" ca="1" si="221"/>
        <v>0</v>
      </c>
      <c r="H3914" s="21">
        <v>3899</v>
      </c>
      <c r="I3914" s="107">
        <v>0.6677545806517089</v>
      </c>
      <c r="J3914" s="108">
        <v>1.3172070615425455E-3</v>
      </c>
      <c r="K3914" s="108"/>
      <c r="L3914" s="108">
        <v>4.0399999999999998E-2</v>
      </c>
      <c r="O3914" s="105"/>
    </row>
    <row r="3915" spans="2:15" x14ac:dyDescent="0.2">
      <c r="B3915" s="1">
        <v>3900</v>
      </c>
      <c r="C3915" s="106">
        <f ca="1"/>
        <v>7.1194453818785655E-2</v>
      </c>
      <c r="D3915" s="106">
        <f t="shared" ca="1" si="219"/>
        <v>0.66918519898530227</v>
      </c>
      <c r="E3915" s="106">
        <f t="shared" ca="1" si="220"/>
        <v>0</v>
      </c>
      <c r="F3915" s="21">
        <f t="shared" ca="1" si="221"/>
        <v>0</v>
      </c>
      <c r="H3915" s="21">
        <v>3900</v>
      </c>
      <c r="I3915" s="107">
        <v>0.66777309912962657</v>
      </c>
      <c r="J3915" s="108">
        <v>1.2768834825015634E-3</v>
      </c>
      <c r="K3915" s="108"/>
      <c r="L3915" s="108">
        <v>4.1599999999999998E-2</v>
      </c>
      <c r="O3915" s="105"/>
    </row>
    <row r="3916" spans="2:15" x14ac:dyDescent="0.2">
      <c r="B3916" s="1">
        <v>3901</v>
      </c>
      <c r="C3916" s="106">
        <f ca="1"/>
        <v>-0.66116082189647729</v>
      </c>
      <c r="D3916" s="106">
        <f t="shared" ca="1" si="219"/>
        <v>0.62254776484131513</v>
      </c>
      <c r="E3916" s="106">
        <f t="shared" ca="1" si="220"/>
        <v>0</v>
      </c>
      <c r="F3916" s="21">
        <f t="shared" ca="1" si="221"/>
        <v>0</v>
      </c>
      <c r="H3916" s="21">
        <v>3901</v>
      </c>
      <c r="I3916" s="107">
        <v>0.66779660897256077</v>
      </c>
      <c r="J3916" s="108">
        <v>1.3944094187318208E-3</v>
      </c>
      <c r="K3916" s="108"/>
      <c r="L3916" s="108">
        <v>4.24E-2</v>
      </c>
      <c r="O3916" s="105"/>
    </row>
    <row r="3917" spans="2:15" x14ac:dyDescent="0.2">
      <c r="B3917" s="1">
        <v>3902</v>
      </c>
      <c r="C3917" s="106">
        <f ca="1"/>
        <v>-1.2127721931619914E-2</v>
      </c>
      <c r="D3917" s="106">
        <f t="shared" ca="1" si="219"/>
        <v>0.66370769986650624</v>
      </c>
      <c r="E3917" s="106">
        <f t="shared" ca="1" si="220"/>
        <v>0</v>
      </c>
      <c r="F3917" s="21">
        <f t="shared" ca="1" si="221"/>
        <v>0</v>
      </c>
      <c r="H3917" s="21">
        <v>3902</v>
      </c>
      <c r="I3917" s="107">
        <v>0.66770411839840482</v>
      </c>
      <c r="J3917" s="108">
        <v>1.2663393469588748E-3</v>
      </c>
      <c r="K3917" s="108"/>
      <c r="L3917" s="108">
        <v>3.8399999999999997E-2</v>
      </c>
      <c r="O3917" s="105"/>
    </row>
    <row r="3918" spans="2:15" x14ac:dyDescent="0.2">
      <c r="B3918" s="1">
        <v>3903</v>
      </c>
      <c r="C3918" s="106">
        <f ca="1"/>
        <v>-1.6716373500055672</v>
      </c>
      <c r="D3918" s="106">
        <f t="shared" ca="1" si="219"/>
        <v>0.56348775989629207</v>
      </c>
      <c r="E3918" s="106">
        <f t="shared" ca="1" si="220"/>
        <v>0</v>
      </c>
      <c r="F3918" s="21">
        <f t="shared" ca="1" si="221"/>
        <v>0</v>
      </c>
      <c r="H3918" s="21">
        <v>3903</v>
      </c>
      <c r="I3918" s="107">
        <v>0.66757133497305099</v>
      </c>
      <c r="J3918" s="108">
        <v>1.0339443949924085E-3</v>
      </c>
      <c r="K3918" s="108"/>
      <c r="L3918" s="108">
        <v>3.5400000000000001E-2</v>
      </c>
      <c r="O3918" s="105"/>
    </row>
    <row r="3919" spans="2:15" x14ac:dyDescent="0.2">
      <c r="B3919" s="1">
        <v>3904</v>
      </c>
      <c r="C3919" s="106">
        <f ca="1"/>
        <v>-0.779497871459229</v>
      </c>
      <c r="D3919" s="106">
        <f t="shared" ca="1" si="219"/>
        <v>0.61532306117558078</v>
      </c>
      <c r="E3919" s="106">
        <f t="shared" ca="1" si="220"/>
        <v>0</v>
      </c>
      <c r="F3919" s="21">
        <f t="shared" ca="1" si="221"/>
        <v>0</v>
      </c>
      <c r="H3919" s="21">
        <v>3904</v>
      </c>
      <c r="I3919" s="107">
        <v>0.66775236801753457</v>
      </c>
      <c r="J3919" s="108">
        <v>1.3370417575746362E-3</v>
      </c>
      <c r="K3919" s="108"/>
      <c r="L3919" s="108">
        <v>4.1599999999999998E-2</v>
      </c>
      <c r="O3919" s="105"/>
    </row>
    <row r="3920" spans="2:15" x14ac:dyDescent="0.2">
      <c r="B3920" s="1">
        <v>3905</v>
      </c>
      <c r="C3920" s="106">
        <f ca="1"/>
        <v>-2.3426997300588575</v>
      </c>
      <c r="D3920" s="106">
        <f t="shared" ref="D3920:D3983" ca="1" si="222">S0*EXP((μ-0.5*σ*σ)*T+σ*SQRT(T)*$C3920)</f>
        <v>0.5273957043002917</v>
      </c>
      <c r="E3920" s="106">
        <f t="shared" ref="E3920:E3983" ca="1" si="223">MAX(0,CP*(D3920-K))</f>
        <v>0</v>
      </c>
      <c r="F3920" s="21">
        <f t="shared" ref="F3920:F3983" ca="1" si="224">(CP*(D3920-K)&gt;0)*1</f>
        <v>0</v>
      </c>
      <c r="H3920" s="21">
        <v>3905</v>
      </c>
      <c r="I3920" s="107">
        <v>0.66747208527553981</v>
      </c>
      <c r="J3920" s="108">
        <v>1.0860197989884597E-3</v>
      </c>
      <c r="K3920" s="108"/>
      <c r="L3920" s="108">
        <v>3.78E-2</v>
      </c>
      <c r="O3920" s="105"/>
    </row>
    <row r="3921" spans="2:15" x14ac:dyDescent="0.2">
      <c r="B3921" s="1">
        <v>3906</v>
      </c>
      <c r="C3921" s="106">
        <f ca="1"/>
        <v>0.3420815188370861</v>
      </c>
      <c r="D3921" s="106">
        <f t="shared" ca="1" si="222"/>
        <v>0.68730730775005222</v>
      </c>
      <c r="E3921" s="106">
        <f t="shared" ca="1" si="223"/>
        <v>0</v>
      </c>
      <c r="F3921" s="21">
        <f t="shared" ca="1" si="224"/>
        <v>0</v>
      </c>
      <c r="H3921" s="21">
        <v>3906</v>
      </c>
      <c r="I3921" s="107">
        <v>0.66773821480783979</v>
      </c>
      <c r="J3921" s="108">
        <v>1.3362073345220393E-3</v>
      </c>
      <c r="K3921" s="108"/>
      <c r="L3921" s="108">
        <v>3.8199999999999998E-2</v>
      </c>
      <c r="O3921" s="105"/>
    </row>
    <row r="3922" spans="2:15" x14ac:dyDescent="0.2">
      <c r="B3922" s="1">
        <v>3907</v>
      </c>
      <c r="C3922" s="106">
        <f ca="1"/>
        <v>0.11053369930262849</v>
      </c>
      <c r="D3922" s="106">
        <f t="shared" ca="1" si="222"/>
        <v>0.6717870004890375</v>
      </c>
      <c r="E3922" s="106">
        <f t="shared" ca="1" si="223"/>
        <v>0</v>
      </c>
      <c r="F3922" s="21">
        <f t="shared" ca="1" si="224"/>
        <v>0</v>
      </c>
      <c r="H3922" s="21">
        <v>3907</v>
      </c>
      <c r="I3922" s="107">
        <v>0.66772366218277279</v>
      </c>
      <c r="J3922" s="108">
        <v>1.4411235688001152E-3</v>
      </c>
      <c r="K3922" s="108"/>
      <c r="L3922" s="108">
        <v>0.04</v>
      </c>
      <c r="O3922" s="105"/>
    </row>
    <row r="3923" spans="2:15" x14ac:dyDescent="0.2">
      <c r="B3923" s="1">
        <v>3908</v>
      </c>
      <c r="C3923" s="106">
        <f ca="1"/>
        <v>-0.63570110173868088</v>
      </c>
      <c r="D3923" s="106">
        <f t="shared" ca="1" si="222"/>
        <v>0.62411318404829708</v>
      </c>
      <c r="E3923" s="106">
        <f t="shared" ca="1" si="223"/>
        <v>0</v>
      </c>
      <c r="F3923" s="21">
        <f t="shared" ca="1" si="224"/>
        <v>0</v>
      </c>
      <c r="H3923" s="21">
        <v>3908</v>
      </c>
      <c r="I3923" s="107">
        <v>0.66770157544710218</v>
      </c>
      <c r="J3923" s="108">
        <v>1.2938476887872617E-3</v>
      </c>
      <c r="K3923" s="108"/>
      <c r="L3923" s="108">
        <v>3.8399999999999997E-2</v>
      </c>
      <c r="O3923" s="105"/>
    </row>
    <row r="3924" spans="2:15" x14ac:dyDescent="0.2">
      <c r="B3924" s="1">
        <v>3909</v>
      </c>
      <c r="C3924" s="106">
        <f ca="1"/>
        <v>-6.3276857317488E-2</v>
      </c>
      <c r="D3924" s="106">
        <f t="shared" ca="1" si="222"/>
        <v>0.66036745030593613</v>
      </c>
      <c r="E3924" s="106">
        <f t="shared" ca="1" si="223"/>
        <v>0</v>
      </c>
      <c r="F3924" s="21">
        <f t="shared" ca="1" si="224"/>
        <v>0</v>
      </c>
      <c r="H3924" s="21">
        <v>3909</v>
      </c>
      <c r="I3924" s="107">
        <v>0.66777536490007738</v>
      </c>
      <c r="J3924" s="108">
        <v>1.3479103526482788E-3</v>
      </c>
      <c r="K3924" s="108"/>
      <c r="L3924" s="108">
        <v>4.02E-2</v>
      </c>
      <c r="O3924" s="105"/>
    </row>
    <row r="3925" spans="2:15" x14ac:dyDescent="0.2">
      <c r="B3925" s="1">
        <v>3910</v>
      </c>
      <c r="C3925" s="106">
        <f ca="1"/>
        <v>0.97708528473973777</v>
      </c>
      <c r="D3925" s="106">
        <f t="shared" ca="1" si="222"/>
        <v>0.73173551030944906</v>
      </c>
      <c r="E3925" s="106">
        <f t="shared" ca="1" si="223"/>
        <v>0</v>
      </c>
      <c r="F3925" s="21">
        <f t="shared" ca="1" si="224"/>
        <v>0</v>
      </c>
      <c r="H3925" s="21">
        <v>3910</v>
      </c>
      <c r="I3925" s="107">
        <v>0.66774991214644475</v>
      </c>
      <c r="J3925" s="108">
        <v>1.3368965470151475E-3</v>
      </c>
      <c r="K3925" s="108"/>
      <c r="L3925" s="108">
        <v>4.24E-2</v>
      </c>
      <c r="O3925" s="105"/>
    </row>
    <row r="3926" spans="2:15" x14ac:dyDescent="0.2">
      <c r="B3926" s="1">
        <v>3911</v>
      </c>
      <c r="C3926" s="106">
        <f ca="1"/>
        <v>0.28522662684616745</v>
      </c>
      <c r="D3926" s="106">
        <f t="shared" ca="1" si="222"/>
        <v>0.68346351063999378</v>
      </c>
      <c r="E3926" s="106">
        <f t="shared" ca="1" si="223"/>
        <v>0</v>
      </c>
      <c r="F3926" s="21">
        <f t="shared" ca="1" si="224"/>
        <v>0</v>
      </c>
      <c r="H3926" s="21">
        <v>3911</v>
      </c>
      <c r="I3926" s="107">
        <v>0.66782195161110025</v>
      </c>
      <c r="J3926" s="108">
        <v>1.4462520981967839E-3</v>
      </c>
      <c r="K3926" s="108"/>
      <c r="L3926" s="108">
        <v>4.5199999999999997E-2</v>
      </c>
      <c r="O3926" s="105"/>
    </row>
    <row r="3927" spans="2:15" x14ac:dyDescent="0.2">
      <c r="B3927" s="1">
        <v>3912</v>
      </c>
      <c r="C3927" s="106">
        <f ca="1"/>
        <v>1.2273731367299854</v>
      </c>
      <c r="D3927" s="106">
        <f t="shared" ca="1" si="222"/>
        <v>0.75002598267536802</v>
      </c>
      <c r="E3927" s="106">
        <f t="shared" ca="1" si="223"/>
        <v>0</v>
      </c>
      <c r="F3927" s="21">
        <f t="shared" ca="1" si="224"/>
        <v>0</v>
      </c>
      <c r="H3927" s="21">
        <v>3912</v>
      </c>
      <c r="I3927" s="107">
        <v>0.66787465529583856</v>
      </c>
      <c r="J3927" s="108">
        <v>1.6187462344234437E-3</v>
      </c>
      <c r="K3927" s="108"/>
      <c r="L3927" s="108">
        <v>4.5600000000000002E-2</v>
      </c>
      <c r="O3927" s="105"/>
    </row>
    <row r="3928" spans="2:15" x14ac:dyDescent="0.2">
      <c r="B3928" s="1">
        <v>3913</v>
      </c>
      <c r="C3928" s="106">
        <f ca="1"/>
        <v>-0.60538097334047658</v>
      </c>
      <c r="D3928" s="106">
        <f t="shared" ca="1" si="222"/>
        <v>0.6259825869106781</v>
      </c>
      <c r="E3928" s="106">
        <f t="shared" ca="1" si="223"/>
        <v>0</v>
      </c>
      <c r="F3928" s="21">
        <f t="shared" ca="1" si="224"/>
        <v>0</v>
      </c>
      <c r="H3928" s="21">
        <v>3913</v>
      </c>
      <c r="I3928" s="107">
        <v>0.66770708700556458</v>
      </c>
      <c r="J3928" s="108">
        <v>1.2275813720279308E-3</v>
      </c>
      <c r="K3928" s="108"/>
      <c r="L3928" s="108">
        <v>4.2200000000000001E-2</v>
      </c>
      <c r="O3928" s="105"/>
    </row>
    <row r="3929" spans="2:15" x14ac:dyDescent="0.2">
      <c r="B3929" s="1">
        <v>3914</v>
      </c>
      <c r="C3929" s="106">
        <f ca="1"/>
        <v>-0.48808291878672744</v>
      </c>
      <c r="D3929" s="106">
        <f t="shared" ca="1" si="222"/>
        <v>0.63326754190488188</v>
      </c>
      <c r="E3929" s="106">
        <f t="shared" ca="1" si="223"/>
        <v>0</v>
      </c>
      <c r="F3929" s="21">
        <f t="shared" ca="1" si="224"/>
        <v>0</v>
      </c>
      <c r="H3929" s="21">
        <v>3914</v>
      </c>
      <c r="I3929" s="107">
        <v>0.66786946702859817</v>
      </c>
      <c r="J3929" s="108">
        <v>1.6539908453931851E-3</v>
      </c>
      <c r="K3929" s="108"/>
      <c r="L3929" s="108">
        <v>4.5600000000000002E-2</v>
      </c>
      <c r="O3929" s="105"/>
    </row>
    <row r="3930" spans="2:15" x14ac:dyDescent="0.2">
      <c r="B3930" s="1">
        <v>3915</v>
      </c>
      <c r="C3930" s="106">
        <f ca="1"/>
        <v>-0.40287355774555433</v>
      </c>
      <c r="D3930" s="106">
        <f t="shared" ca="1" si="222"/>
        <v>0.63861269162911105</v>
      </c>
      <c r="E3930" s="106">
        <f t="shared" ca="1" si="223"/>
        <v>0</v>
      </c>
      <c r="F3930" s="21">
        <f t="shared" ca="1" si="224"/>
        <v>0</v>
      </c>
      <c r="H3930" s="21">
        <v>3915</v>
      </c>
      <c r="I3930" s="107">
        <v>0.66789314225392038</v>
      </c>
      <c r="J3930" s="108">
        <v>1.5942365232591105E-3</v>
      </c>
      <c r="K3930" s="108"/>
      <c r="L3930" s="108">
        <v>4.3999999999999997E-2</v>
      </c>
      <c r="O3930" s="105"/>
    </row>
    <row r="3931" spans="2:15" x14ac:dyDescent="0.2">
      <c r="B3931" s="1">
        <v>3916</v>
      </c>
      <c r="C3931" s="106">
        <f ca="1"/>
        <v>-0.14675520289004976</v>
      </c>
      <c r="D3931" s="106">
        <f t="shared" ca="1" si="222"/>
        <v>0.65495203785437195</v>
      </c>
      <c r="E3931" s="106">
        <f t="shared" ca="1" si="223"/>
        <v>0</v>
      </c>
      <c r="F3931" s="21">
        <f t="shared" ca="1" si="224"/>
        <v>0</v>
      </c>
      <c r="H3931" s="21">
        <v>3916</v>
      </c>
      <c r="I3931" s="107">
        <v>0.66778458463159007</v>
      </c>
      <c r="J3931" s="108">
        <v>1.3722871464944668E-3</v>
      </c>
      <c r="K3931" s="108"/>
      <c r="L3931" s="108">
        <v>3.9399999999999998E-2</v>
      </c>
      <c r="O3931" s="105"/>
    </row>
    <row r="3932" spans="2:15" x14ac:dyDescent="0.2">
      <c r="B3932" s="1">
        <v>3917</v>
      </c>
      <c r="C3932" s="106">
        <f ca="1"/>
        <v>-1.2446365618485633</v>
      </c>
      <c r="D3932" s="106">
        <f t="shared" ca="1" si="222"/>
        <v>0.58772875210633158</v>
      </c>
      <c r="E3932" s="106">
        <f t="shared" ca="1" si="223"/>
        <v>0</v>
      </c>
      <c r="F3932" s="21">
        <f t="shared" ca="1" si="224"/>
        <v>0</v>
      </c>
      <c r="H3932" s="21">
        <v>3917</v>
      </c>
      <c r="I3932" s="107">
        <v>0.66770624556585823</v>
      </c>
      <c r="J3932" s="108">
        <v>1.4479345269990986E-3</v>
      </c>
      <c r="K3932" s="108"/>
      <c r="L3932" s="108">
        <v>4.2000000000000003E-2</v>
      </c>
      <c r="O3932" s="105"/>
    </row>
    <row r="3933" spans="2:15" x14ac:dyDescent="0.2">
      <c r="B3933" s="1">
        <v>3918</v>
      </c>
      <c r="C3933" s="106">
        <f ca="1"/>
        <v>-0.16164125761030648</v>
      </c>
      <c r="D3933" s="106">
        <f t="shared" ca="1" si="222"/>
        <v>0.6539910250064771</v>
      </c>
      <c r="E3933" s="106">
        <f t="shared" ca="1" si="223"/>
        <v>0</v>
      </c>
      <c r="F3933" s="21">
        <f t="shared" ca="1" si="224"/>
        <v>0</v>
      </c>
      <c r="H3933" s="21">
        <v>3918</v>
      </c>
      <c r="I3933" s="107">
        <v>0.66770150581501864</v>
      </c>
      <c r="J3933" s="108">
        <v>1.4154011442397223E-3</v>
      </c>
      <c r="K3933" s="108"/>
      <c r="L3933" s="108">
        <v>4.2000000000000003E-2</v>
      </c>
      <c r="O3933" s="105"/>
    </row>
    <row r="3934" spans="2:15" x14ac:dyDescent="0.2">
      <c r="B3934" s="1">
        <v>3919</v>
      </c>
      <c r="C3934" s="106">
        <f ca="1"/>
        <v>-1.4165375559860429</v>
      </c>
      <c r="D3934" s="106">
        <f t="shared" ca="1" si="222"/>
        <v>0.57784692245941149</v>
      </c>
      <c r="E3934" s="106">
        <f t="shared" ca="1" si="223"/>
        <v>0</v>
      </c>
      <c r="F3934" s="21">
        <f t="shared" ca="1" si="224"/>
        <v>0</v>
      </c>
      <c r="H3934" s="21">
        <v>3919</v>
      </c>
      <c r="I3934" s="107">
        <v>0.66769887925587568</v>
      </c>
      <c r="J3934" s="108">
        <v>1.3886900054991185E-3</v>
      </c>
      <c r="K3934" s="108"/>
      <c r="L3934" s="108">
        <v>4.0800000000000003E-2</v>
      </c>
      <c r="O3934" s="105"/>
    </row>
    <row r="3935" spans="2:15" x14ac:dyDescent="0.2">
      <c r="B3935" s="1">
        <v>3920</v>
      </c>
      <c r="C3935" s="106">
        <f ca="1"/>
        <v>-1.3086983785445179</v>
      </c>
      <c r="D3935" s="106">
        <f t="shared" ca="1" si="222"/>
        <v>0.5840265201382554</v>
      </c>
      <c r="E3935" s="106">
        <f t="shared" ca="1" si="223"/>
        <v>0</v>
      </c>
      <c r="F3935" s="21">
        <f t="shared" ca="1" si="224"/>
        <v>0</v>
      </c>
      <c r="H3935" s="21">
        <v>3920</v>
      </c>
      <c r="I3935" s="107">
        <v>0.66777716362562201</v>
      </c>
      <c r="J3935" s="108">
        <v>1.2833544825829265E-3</v>
      </c>
      <c r="K3935" s="108"/>
      <c r="L3935" s="108">
        <v>4.3999999999999997E-2</v>
      </c>
      <c r="O3935" s="105"/>
    </row>
    <row r="3936" spans="2:15" x14ac:dyDescent="0.2">
      <c r="B3936" s="1">
        <v>3921</v>
      </c>
      <c r="C3936" s="106">
        <f ca="1"/>
        <v>0.38615940920361386</v>
      </c>
      <c r="D3936" s="106">
        <f t="shared" ca="1" si="222"/>
        <v>0.69030215819323282</v>
      </c>
      <c r="E3936" s="106">
        <f t="shared" ca="1" si="223"/>
        <v>0</v>
      </c>
      <c r="F3936" s="21">
        <f t="shared" ca="1" si="224"/>
        <v>0</v>
      </c>
      <c r="H3936" s="21">
        <v>3921</v>
      </c>
      <c r="I3936" s="107">
        <v>0.6676238403868352</v>
      </c>
      <c r="J3936" s="108">
        <v>1.2071089210564773E-3</v>
      </c>
      <c r="K3936" s="108"/>
      <c r="L3936" s="108">
        <v>4.0800000000000003E-2</v>
      </c>
      <c r="O3936" s="105"/>
    </row>
    <row r="3937" spans="2:15" x14ac:dyDescent="0.2">
      <c r="B3937" s="1">
        <v>3922</v>
      </c>
      <c r="C3937" s="106">
        <f ca="1"/>
        <v>7.1244563186981386E-2</v>
      </c>
      <c r="D3937" s="106">
        <f t="shared" ca="1" si="222"/>
        <v>0.66918850667855734</v>
      </c>
      <c r="E3937" s="106">
        <f t="shared" ca="1" si="223"/>
        <v>0</v>
      </c>
      <c r="F3937" s="21">
        <f t="shared" ca="1" si="224"/>
        <v>0</v>
      </c>
      <c r="H3937" s="21">
        <v>3922</v>
      </c>
      <c r="I3937" s="107">
        <v>0.667657142967645</v>
      </c>
      <c r="J3937" s="108">
        <v>1.2443001164462494E-3</v>
      </c>
      <c r="K3937" s="108"/>
      <c r="L3937" s="108">
        <v>3.9600000000000003E-2</v>
      </c>
      <c r="O3937" s="105"/>
    </row>
    <row r="3938" spans="2:15" x14ac:dyDescent="0.2">
      <c r="B3938" s="1">
        <v>3923</v>
      </c>
      <c r="C3938" s="106">
        <f ca="1"/>
        <v>0.1556957777331158</v>
      </c>
      <c r="D3938" s="106">
        <f t="shared" ca="1" si="222"/>
        <v>0.67478638492754472</v>
      </c>
      <c r="E3938" s="106">
        <f t="shared" ca="1" si="223"/>
        <v>0</v>
      </c>
      <c r="F3938" s="21">
        <f t="shared" ca="1" si="224"/>
        <v>0</v>
      </c>
      <c r="H3938" s="21">
        <v>3923</v>
      </c>
      <c r="I3938" s="107">
        <v>0.66773393043179941</v>
      </c>
      <c r="J3938" s="108">
        <v>1.4770106449729906E-3</v>
      </c>
      <c r="K3938" s="108"/>
      <c r="L3938" s="108">
        <v>4.1399999999999999E-2</v>
      </c>
      <c r="O3938" s="105"/>
    </row>
    <row r="3939" spans="2:15" x14ac:dyDescent="0.2">
      <c r="B3939" s="1">
        <v>3924</v>
      </c>
      <c r="C3939" s="106">
        <f ca="1"/>
        <v>1.0959744878454991</v>
      </c>
      <c r="D3939" s="106">
        <f t="shared" ca="1" si="222"/>
        <v>0.7403673726741633</v>
      </c>
      <c r="E3939" s="106">
        <f t="shared" ca="1" si="223"/>
        <v>0</v>
      </c>
      <c r="F3939" s="21">
        <f t="shared" ca="1" si="224"/>
        <v>0</v>
      </c>
      <c r="H3939" s="21">
        <v>3924</v>
      </c>
      <c r="I3939" s="107">
        <v>0.66786292083262067</v>
      </c>
      <c r="J3939" s="108">
        <v>1.4926720523413791E-3</v>
      </c>
      <c r="K3939" s="108"/>
      <c r="L3939" s="108">
        <v>4.5400000000000003E-2</v>
      </c>
      <c r="O3939" s="105"/>
    </row>
    <row r="3940" spans="2:15" x14ac:dyDescent="0.2">
      <c r="B3940" s="1">
        <v>3925</v>
      </c>
      <c r="C3940" s="106">
        <f ca="1"/>
        <v>-0.43649795310201206</v>
      </c>
      <c r="D3940" s="106">
        <f t="shared" ca="1" si="222"/>
        <v>0.63649807859707996</v>
      </c>
      <c r="E3940" s="106">
        <f t="shared" ca="1" si="223"/>
        <v>0</v>
      </c>
      <c r="F3940" s="21">
        <f t="shared" ca="1" si="224"/>
        <v>0</v>
      </c>
      <c r="H3940" s="21">
        <v>3925</v>
      </c>
      <c r="I3940" s="107">
        <v>0.6676840215634362</v>
      </c>
      <c r="J3940" s="108">
        <v>1.4219874254574744E-3</v>
      </c>
      <c r="K3940" s="108"/>
      <c r="L3940" s="108">
        <v>4.3999999999999997E-2</v>
      </c>
      <c r="O3940" s="105"/>
    </row>
    <row r="3941" spans="2:15" x14ac:dyDescent="0.2">
      <c r="B3941" s="1">
        <v>3926</v>
      </c>
      <c r="C3941" s="106">
        <f ca="1"/>
        <v>-1.2531427120884973</v>
      </c>
      <c r="D3941" s="106">
        <f t="shared" ca="1" si="222"/>
        <v>0.58723582046019573</v>
      </c>
      <c r="E3941" s="106">
        <f t="shared" ca="1" si="223"/>
        <v>0</v>
      </c>
      <c r="F3941" s="21">
        <f t="shared" ca="1" si="224"/>
        <v>0</v>
      </c>
      <c r="H3941" s="21">
        <v>3926</v>
      </c>
      <c r="I3941" s="107">
        <v>0.66767990994137449</v>
      </c>
      <c r="J3941" s="108">
        <v>1.1927831367695889E-3</v>
      </c>
      <c r="K3941" s="108"/>
      <c r="L3941" s="108">
        <v>3.7600000000000001E-2</v>
      </c>
      <c r="O3941" s="105"/>
    </row>
    <row r="3942" spans="2:15" x14ac:dyDescent="0.2">
      <c r="B3942" s="1">
        <v>3927</v>
      </c>
      <c r="C3942" s="106">
        <f ca="1"/>
        <v>-0.46887609383949058</v>
      </c>
      <c r="D3942" s="106">
        <f t="shared" ca="1" si="222"/>
        <v>0.63446845941440599</v>
      </c>
      <c r="E3942" s="106">
        <f t="shared" ca="1" si="223"/>
        <v>0</v>
      </c>
      <c r="F3942" s="21">
        <f t="shared" ca="1" si="224"/>
        <v>0</v>
      </c>
      <c r="H3942" s="21">
        <v>3927</v>
      </c>
      <c r="I3942" s="107">
        <v>0.66770920127336997</v>
      </c>
      <c r="J3942" s="108">
        <v>1.2806006690678905E-3</v>
      </c>
      <c r="K3942" s="108"/>
      <c r="L3942" s="108">
        <v>3.7600000000000001E-2</v>
      </c>
      <c r="O3942" s="105"/>
    </row>
    <row r="3943" spans="2:15" x14ac:dyDescent="0.2">
      <c r="B3943" s="1">
        <v>3928</v>
      </c>
      <c r="C3943" s="106">
        <f ca="1"/>
        <v>1.4709303759051224</v>
      </c>
      <c r="D3943" s="106">
        <f t="shared" ca="1" si="222"/>
        <v>0.76826341180997604</v>
      </c>
      <c r="E3943" s="106">
        <f t="shared" ca="1" si="223"/>
        <v>0</v>
      </c>
      <c r="F3943" s="21">
        <f t="shared" ca="1" si="224"/>
        <v>0</v>
      </c>
      <c r="H3943" s="21">
        <v>3928</v>
      </c>
      <c r="I3943" s="107">
        <v>0.66771627581886883</v>
      </c>
      <c r="J3943" s="108">
        <v>1.2512709836830524E-3</v>
      </c>
      <c r="K3943" s="108"/>
      <c r="L3943" s="108">
        <v>0.04</v>
      </c>
      <c r="O3943" s="105"/>
    </row>
    <row r="3944" spans="2:15" x14ac:dyDescent="0.2">
      <c r="B3944" s="1">
        <v>3929</v>
      </c>
      <c r="C3944" s="106">
        <f ca="1"/>
        <v>0.73018335399257672</v>
      </c>
      <c r="D3944" s="106">
        <f t="shared" ca="1" si="222"/>
        <v>0.7141295512232323</v>
      </c>
      <c r="E3944" s="106">
        <f t="shared" ca="1" si="223"/>
        <v>0</v>
      </c>
      <c r="F3944" s="21">
        <f t="shared" ca="1" si="224"/>
        <v>0</v>
      </c>
      <c r="H3944" s="21">
        <v>3929</v>
      </c>
      <c r="I3944" s="107">
        <v>0.6677086593977779</v>
      </c>
      <c r="J3944" s="108">
        <v>1.3968127458789247E-3</v>
      </c>
      <c r="K3944" s="108"/>
      <c r="L3944" s="108">
        <v>4.3200000000000002E-2</v>
      </c>
      <c r="O3944" s="105"/>
    </row>
    <row r="3945" spans="2:15" x14ac:dyDescent="0.2">
      <c r="B3945" s="1">
        <v>3930</v>
      </c>
      <c r="C3945" s="106">
        <f ca="1"/>
        <v>0.14345397622721962</v>
      </c>
      <c r="D3945" s="106">
        <f t="shared" ca="1" si="222"/>
        <v>0.67397204007395262</v>
      </c>
      <c r="E3945" s="106">
        <f t="shared" ca="1" si="223"/>
        <v>0</v>
      </c>
      <c r="F3945" s="21">
        <f t="shared" ca="1" si="224"/>
        <v>0</v>
      </c>
      <c r="H3945" s="21">
        <v>3930</v>
      </c>
      <c r="I3945" s="107">
        <v>0.66776821734811842</v>
      </c>
      <c r="J3945" s="108">
        <v>1.346780772970946E-3</v>
      </c>
      <c r="K3945" s="108"/>
      <c r="L3945" s="108">
        <v>4.4999999999999998E-2</v>
      </c>
      <c r="O3945" s="105"/>
    </row>
    <row r="3946" spans="2:15" x14ac:dyDescent="0.2">
      <c r="B3946" s="1">
        <v>3931</v>
      </c>
      <c r="C3946" s="106">
        <f ca="1"/>
        <v>1.1216210252063652</v>
      </c>
      <c r="D3946" s="106">
        <f t="shared" ca="1" si="222"/>
        <v>0.74224273145619624</v>
      </c>
      <c r="E3946" s="106">
        <f t="shared" ca="1" si="223"/>
        <v>0</v>
      </c>
      <c r="F3946" s="21">
        <f t="shared" ca="1" si="224"/>
        <v>0</v>
      </c>
      <c r="H3946" s="21">
        <v>3931</v>
      </c>
      <c r="I3946" s="107">
        <v>0.66791075573848435</v>
      </c>
      <c r="J3946" s="108">
        <v>1.6669891177213947E-3</v>
      </c>
      <c r="K3946" s="108"/>
      <c r="L3946" s="108">
        <v>4.48E-2</v>
      </c>
      <c r="O3946" s="105"/>
    </row>
    <row r="3947" spans="2:15" x14ac:dyDescent="0.2">
      <c r="B3947" s="1">
        <v>3932</v>
      </c>
      <c r="C3947" s="106">
        <f ca="1"/>
        <v>-1.5001294035587531</v>
      </c>
      <c r="D3947" s="106">
        <f t="shared" ca="1" si="222"/>
        <v>0.57310181176391217</v>
      </c>
      <c r="E3947" s="106">
        <f t="shared" ca="1" si="223"/>
        <v>0</v>
      </c>
      <c r="F3947" s="21">
        <f t="shared" ca="1" si="224"/>
        <v>0</v>
      </c>
      <c r="H3947" s="21">
        <v>3932</v>
      </c>
      <c r="I3947" s="107">
        <v>0.6676097320716885</v>
      </c>
      <c r="J3947" s="108">
        <v>1.2709332053273267E-3</v>
      </c>
      <c r="K3947" s="108"/>
      <c r="L3947" s="108">
        <v>3.9199999999999999E-2</v>
      </c>
      <c r="O3947" s="105"/>
    </row>
    <row r="3948" spans="2:15" x14ac:dyDescent="0.2">
      <c r="B3948" s="1">
        <v>3933</v>
      </c>
      <c r="C3948" s="106">
        <f ca="1"/>
        <v>3.5527096952659361</v>
      </c>
      <c r="D3948" s="106">
        <f t="shared" ca="1" si="222"/>
        <v>0.94339222607067574</v>
      </c>
      <c r="E3948" s="106">
        <f t="shared" ca="1" si="223"/>
        <v>0.15519222607067573</v>
      </c>
      <c r="F3948" s="21">
        <f t="shared" ca="1" si="224"/>
        <v>1</v>
      </c>
      <c r="H3948" s="21">
        <v>3933</v>
      </c>
      <c r="I3948" s="107">
        <v>0.66775729943024875</v>
      </c>
      <c r="J3948" s="108">
        <v>1.3318737786348106E-3</v>
      </c>
      <c r="K3948" s="108"/>
      <c r="L3948" s="108">
        <v>4.0599999999999997E-2</v>
      </c>
      <c r="O3948" s="105"/>
    </row>
    <row r="3949" spans="2:15" x14ac:dyDescent="0.2">
      <c r="B3949" s="1">
        <v>3934</v>
      </c>
      <c r="C3949" s="106">
        <f ca="1"/>
        <v>-1.757494176819836</v>
      </c>
      <c r="D3949" s="106">
        <f t="shared" ca="1" si="222"/>
        <v>0.55873571547335454</v>
      </c>
      <c r="E3949" s="106">
        <f t="shared" ca="1" si="223"/>
        <v>0</v>
      </c>
      <c r="F3949" s="21">
        <f t="shared" ca="1" si="224"/>
        <v>0</v>
      </c>
      <c r="H3949" s="21">
        <v>3934</v>
      </c>
      <c r="I3949" s="107">
        <v>0.66783645294992022</v>
      </c>
      <c r="J3949" s="108">
        <v>1.4666664299520162E-3</v>
      </c>
      <c r="K3949" s="108"/>
      <c r="L3949" s="108">
        <v>4.24E-2</v>
      </c>
      <c r="O3949" s="105"/>
    </row>
    <row r="3950" spans="2:15" x14ac:dyDescent="0.2">
      <c r="B3950" s="1">
        <v>3935</v>
      </c>
      <c r="C3950" s="106">
        <f ca="1"/>
        <v>-2.4257544717559041</v>
      </c>
      <c r="D3950" s="106">
        <f t="shared" ca="1" si="222"/>
        <v>0.52309259746897385</v>
      </c>
      <c r="E3950" s="106">
        <f t="shared" ca="1" si="223"/>
        <v>0</v>
      </c>
      <c r="F3950" s="21">
        <f t="shared" ca="1" si="224"/>
        <v>0</v>
      </c>
      <c r="H3950" s="21">
        <v>3935</v>
      </c>
      <c r="I3950" s="107">
        <v>0.66759093813713111</v>
      </c>
      <c r="J3950" s="108">
        <v>1.1904799771027693E-3</v>
      </c>
      <c r="K3950" s="108"/>
      <c r="L3950" s="108">
        <v>3.8600000000000002E-2</v>
      </c>
      <c r="O3950" s="105"/>
    </row>
    <row r="3951" spans="2:15" x14ac:dyDescent="0.2">
      <c r="B3951" s="1">
        <v>3936</v>
      </c>
      <c r="C3951" s="106">
        <f ca="1"/>
        <v>5.1224339865116868E-2</v>
      </c>
      <c r="D3951" s="106">
        <f t="shared" ca="1" si="222"/>
        <v>0.66786828294668921</v>
      </c>
      <c r="E3951" s="106">
        <f t="shared" ca="1" si="223"/>
        <v>0</v>
      </c>
      <c r="F3951" s="21">
        <f t="shared" ca="1" si="224"/>
        <v>0</v>
      </c>
      <c r="H3951" s="21">
        <v>3936</v>
      </c>
      <c r="I3951" s="107">
        <v>0.66784214487659599</v>
      </c>
      <c r="J3951" s="108">
        <v>1.5557711549888061E-3</v>
      </c>
      <c r="K3951" s="108"/>
      <c r="L3951" s="108">
        <v>4.4600000000000001E-2</v>
      </c>
      <c r="O3951" s="105"/>
    </row>
    <row r="3952" spans="2:15" x14ac:dyDescent="0.2">
      <c r="B3952" s="1">
        <v>3937</v>
      </c>
      <c r="C3952" s="106">
        <f ca="1"/>
        <v>-0.66411764517888527</v>
      </c>
      <c r="D3952" s="106">
        <f t="shared" ca="1" si="222"/>
        <v>0.62236621594402386</v>
      </c>
      <c r="E3952" s="106">
        <f t="shared" ca="1" si="223"/>
        <v>0</v>
      </c>
      <c r="F3952" s="21">
        <f t="shared" ca="1" si="224"/>
        <v>0</v>
      </c>
      <c r="H3952" s="21">
        <v>3937</v>
      </c>
      <c r="I3952" s="107">
        <v>0.66784757020469299</v>
      </c>
      <c r="J3952" s="108">
        <v>1.5040473883154118E-3</v>
      </c>
      <c r="K3952" s="108"/>
      <c r="L3952" s="108">
        <v>4.8000000000000001E-2</v>
      </c>
      <c r="O3952" s="105"/>
    </row>
    <row r="3953" spans="2:15" x14ac:dyDescent="0.2">
      <c r="B3953" s="1">
        <v>3938</v>
      </c>
      <c r="C3953" s="106">
        <f ca="1"/>
        <v>0.11944581376240743</v>
      </c>
      <c r="D3953" s="106">
        <f t="shared" ca="1" si="222"/>
        <v>0.67237782997443241</v>
      </c>
      <c r="E3953" s="106">
        <f t="shared" ca="1" si="223"/>
        <v>0</v>
      </c>
      <c r="F3953" s="21">
        <f t="shared" ca="1" si="224"/>
        <v>0</v>
      </c>
      <c r="H3953" s="21">
        <v>3938</v>
      </c>
      <c r="I3953" s="107">
        <v>0.66755285477226756</v>
      </c>
      <c r="J3953" s="108">
        <v>1.0607101824546665E-3</v>
      </c>
      <c r="K3953" s="108"/>
      <c r="L3953" s="108">
        <v>3.8399999999999997E-2</v>
      </c>
      <c r="O3953" s="105"/>
    </row>
    <row r="3954" spans="2:15" x14ac:dyDescent="0.2">
      <c r="B3954" s="1">
        <v>3939</v>
      </c>
      <c r="C3954" s="106">
        <f ca="1"/>
        <v>-1.2674925768240946</v>
      </c>
      <c r="D3954" s="106">
        <f t="shared" ca="1" si="222"/>
        <v>0.58640518223399252</v>
      </c>
      <c r="E3954" s="106">
        <f t="shared" ca="1" si="223"/>
        <v>0</v>
      </c>
      <c r="F3954" s="21">
        <f t="shared" ca="1" si="224"/>
        <v>0</v>
      </c>
      <c r="H3954" s="21">
        <v>3939</v>
      </c>
      <c r="I3954" s="107">
        <v>0.66786750094522629</v>
      </c>
      <c r="J3954" s="108">
        <v>1.5365152445264178E-3</v>
      </c>
      <c r="K3954" s="108"/>
      <c r="L3954" s="108">
        <v>4.5199999999999997E-2</v>
      </c>
      <c r="O3954" s="105"/>
    </row>
    <row r="3955" spans="2:15" x14ac:dyDescent="0.2">
      <c r="B3955" s="1">
        <v>3940</v>
      </c>
      <c r="C3955" s="106">
        <f ca="1"/>
        <v>0.4866391808551776</v>
      </c>
      <c r="D3955" s="106">
        <f t="shared" ca="1" si="222"/>
        <v>0.697178077869543</v>
      </c>
      <c r="E3955" s="106">
        <f t="shared" ca="1" si="223"/>
        <v>0</v>
      </c>
      <c r="F3955" s="21">
        <f t="shared" ca="1" si="224"/>
        <v>0</v>
      </c>
      <c r="H3955" s="21">
        <v>3940</v>
      </c>
      <c r="I3955" s="107">
        <v>0.66782732818614809</v>
      </c>
      <c r="J3955" s="108">
        <v>1.5937851663912989E-3</v>
      </c>
      <c r="K3955" s="108"/>
      <c r="L3955" s="108">
        <v>4.1799999999999997E-2</v>
      </c>
      <c r="O3955" s="105"/>
    </row>
    <row r="3956" spans="2:15" x14ac:dyDescent="0.2">
      <c r="B3956" s="1">
        <v>3941</v>
      </c>
      <c r="C3956" s="106">
        <f ca="1"/>
        <v>0.65526288460402449</v>
      </c>
      <c r="D3956" s="106">
        <f t="shared" ca="1" si="222"/>
        <v>0.70887140559398509</v>
      </c>
      <c r="E3956" s="106">
        <f t="shared" ca="1" si="223"/>
        <v>0</v>
      </c>
      <c r="F3956" s="21">
        <f t="shared" ca="1" si="224"/>
        <v>0</v>
      </c>
      <c r="H3956" s="21">
        <v>3941</v>
      </c>
      <c r="I3956" s="107">
        <v>0.66772563655773975</v>
      </c>
      <c r="J3956" s="108">
        <v>1.4728641399522583E-3</v>
      </c>
      <c r="K3956" s="108"/>
      <c r="L3956" s="108">
        <v>4.24E-2</v>
      </c>
      <c r="O3956" s="105"/>
    </row>
    <row r="3957" spans="2:15" x14ac:dyDescent="0.2">
      <c r="B3957" s="1">
        <v>3942</v>
      </c>
      <c r="C3957" s="106">
        <f ca="1"/>
        <v>1.2362914429844123</v>
      </c>
      <c r="D3957" s="106">
        <f t="shared" ca="1" si="222"/>
        <v>0.75068608100322587</v>
      </c>
      <c r="E3957" s="106">
        <f t="shared" ca="1" si="223"/>
        <v>0</v>
      </c>
      <c r="F3957" s="21">
        <f t="shared" ca="1" si="224"/>
        <v>0</v>
      </c>
      <c r="H3957" s="21">
        <v>3942</v>
      </c>
      <c r="I3957" s="107">
        <v>0.668038228380473</v>
      </c>
      <c r="J3957" s="108">
        <v>1.6479448201774946E-3</v>
      </c>
      <c r="K3957" s="108"/>
      <c r="L3957" s="108">
        <v>4.9200000000000001E-2</v>
      </c>
      <c r="O3957" s="105"/>
    </row>
    <row r="3958" spans="2:15" x14ac:dyDescent="0.2">
      <c r="B3958" s="1">
        <v>3943</v>
      </c>
      <c r="C3958" s="106">
        <f ca="1"/>
        <v>1.2719004444069837</v>
      </c>
      <c r="D3958" s="106">
        <f t="shared" ca="1" si="222"/>
        <v>0.75332751653861885</v>
      </c>
      <c r="E3958" s="106">
        <f t="shared" ca="1" si="223"/>
        <v>0</v>
      </c>
      <c r="F3958" s="21">
        <f t="shared" ca="1" si="224"/>
        <v>0</v>
      </c>
      <c r="H3958" s="21">
        <v>3943</v>
      </c>
      <c r="I3958" s="107">
        <v>0.66789418846189463</v>
      </c>
      <c r="J3958" s="108">
        <v>1.5239440918142155E-3</v>
      </c>
      <c r="K3958" s="108"/>
      <c r="L3958" s="108">
        <v>4.7399999999999998E-2</v>
      </c>
      <c r="O3958" s="105"/>
    </row>
    <row r="3959" spans="2:15" x14ac:dyDescent="0.2">
      <c r="B3959" s="1">
        <v>3944</v>
      </c>
      <c r="C3959" s="106">
        <f ca="1"/>
        <v>0.80318305713653815</v>
      </c>
      <c r="D3959" s="106">
        <f t="shared" ca="1" si="222"/>
        <v>0.7192904051746658</v>
      </c>
      <c r="E3959" s="106">
        <f t="shared" ca="1" si="223"/>
        <v>0</v>
      </c>
      <c r="F3959" s="21">
        <f t="shared" ca="1" si="224"/>
        <v>0</v>
      </c>
      <c r="H3959" s="21">
        <v>3944</v>
      </c>
      <c r="I3959" s="107">
        <v>0.66771867969112231</v>
      </c>
      <c r="J3959" s="108">
        <v>1.3352966694595793E-3</v>
      </c>
      <c r="K3959" s="108"/>
      <c r="L3959" s="108">
        <v>4.02E-2</v>
      </c>
      <c r="O3959" s="105"/>
    </row>
    <row r="3960" spans="2:15" x14ac:dyDescent="0.2">
      <c r="B3960" s="1">
        <v>3945</v>
      </c>
      <c r="C3960" s="106">
        <f ca="1"/>
        <v>-1.0609581527322209</v>
      </c>
      <c r="D3960" s="106">
        <f t="shared" ca="1" si="222"/>
        <v>0.59847443999605598</v>
      </c>
      <c r="E3960" s="106">
        <f t="shared" ca="1" si="223"/>
        <v>0</v>
      </c>
      <c r="F3960" s="21">
        <f t="shared" ca="1" si="224"/>
        <v>0</v>
      </c>
      <c r="H3960" s="21">
        <v>3945</v>
      </c>
      <c r="I3960" s="107">
        <v>0.66766368296035672</v>
      </c>
      <c r="J3960" s="108">
        <v>1.3139217443662837E-3</v>
      </c>
      <c r="K3960" s="108"/>
      <c r="L3960" s="108">
        <v>3.9399999999999998E-2</v>
      </c>
      <c r="O3960" s="105"/>
    </row>
    <row r="3961" spans="2:15" x14ac:dyDescent="0.2">
      <c r="B3961" s="1">
        <v>3946</v>
      </c>
      <c r="C3961" s="106">
        <f ca="1"/>
        <v>-2.0137211635326633</v>
      </c>
      <c r="D3961" s="106">
        <f t="shared" ca="1" si="222"/>
        <v>0.54479087791841307</v>
      </c>
      <c r="E3961" s="106">
        <f t="shared" ca="1" si="223"/>
        <v>0</v>
      </c>
      <c r="F3961" s="21">
        <f t="shared" ca="1" si="224"/>
        <v>0</v>
      </c>
      <c r="H3961" s="21">
        <v>3946</v>
      </c>
      <c r="I3961" s="107">
        <v>0.66768828761794508</v>
      </c>
      <c r="J3961" s="108">
        <v>1.2410376280689885E-3</v>
      </c>
      <c r="K3961" s="108"/>
      <c r="L3961" s="108">
        <v>3.9E-2</v>
      </c>
      <c r="O3961" s="105"/>
    </row>
    <row r="3962" spans="2:15" x14ac:dyDescent="0.2">
      <c r="B3962" s="1">
        <v>3947</v>
      </c>
      <c r="C3962" s="106">
        <f ca="1"/>
        <v>-0.3786251532971277</v>
      </c>
      <c r="D3962" s="106">
        <f t="shared" ca="1" si="222"/>
        <v>0.64014201424173878</v>
      </c>
      <c r="E3962" s="106">
        <f t="shared" ca="1" si="223"/>
        <v>0</v>
      </c>
      <c r="F3962" s="21">
        <f t="shared" ca="1" si="224"/>
        <v>0</v>
      </c>
      <c r="H3962" s="21">
        <v>3947</v>
      </c>
      <c r="I3962" s="107">
        <v>0.66764196607214699</v>
      </c>
      <c r="J3962" s="108">
        <v>1.2067162211123719E-3</v>
      </c>
      <c r="K3962" s="108"/>
      <c r="L3962" s="108">
        <v>3.8199999999999998E-2</v>
      </c>
      <c r="O3962" s="105"/>
    </row>
    <row r="3963" spans="2:15" x14ac:dyDescent="0.2">
      <c r="B3963" s="1">
        <v>3948</v>
      </c>
      <c r="C3963" s="106">
        <f ca="1"/>
        <v>-1.1823291152838542</v>
      </c>
      <c r="D3963" s="106">
        <f t="shared" ca="1" si="222"/>
        <v>0.59135210873409894</v>
      </c>
      <c r="E3963" s="106">
        <f t="shared" ca="1" si="223"/>
        <v>0</v>
      </c>
      <c r="F3963" s="21">
        <f t="shared" ca="1" si="224"/>
        <v>0</v>
      </c>
      <c r="H3963" s="21">
        <v>3948</v>
      </c>
      <c r="I3963" s="107">
        <v>0.66783292132689753</v>
      </c>
      <c r="J3963" s="108">
        <v>1.474156947358849E-3</v>
      </c>
      <c r="K3963" s="108"/>
      <c r="L3963" s="108">
        <v>4.3799999999999999E-2</v>
      </c>
      <c r="O3963" s="105"/>
    </row>
    <row r="3964" spans="2:15" x14ac:dyDescent="0.2">
      <c r="B3964" s="1">
        <v>3949</v>
      </c>
      <c r="C3964" s="106">
        <f ca="1"/>
        <v>9.7758432158014247E-2</v>
      </c>
      <c r="D3964" s="106">
        <f t="shared" ca="1" si="222"/>
        <v>0.6709409683266685</v>
      </c>
      <c r="E3964" s="106">
        <f t="shared" ca="1" si="223"/>
        <v>0</v>
      </c>
      <c r="F3964" s="21">
        <f t="shared" ca="1" si="224"/>
        <v>0</v>
      </c>
      <c r="H3964" s="21">
        <v>3949</v>
      </c>
      <c r="I3964" s="107">
        <v>0.66775627113429137</v>
      </c>
      <c r="J3964" s="108">
        <v>1.4573369021334225E-3</v>
      </c>
      <c r="K3964" s="108"/>
      <c r="L3964" s="108">
        <v>4.1399999999999999E-2</v>
      </c>
      <c r="O3964" s="105"/>
    </row>
    <row r="3965" spans="2:15" x14ac:dyDescent="0.2">
      <c r="B3965" s="1">
        <v>3950</v>
      </c>
      <c r="C3965" s="106">
        <f ca="1"/>
        <v>-0.35826218690552325</v>
      </c>
      <c r="D3965" s="106">
        <f t="shared" ca="1" si="222"/>
        <v>0.64142911491847499</v>
      </c>
      <c r="E3965" s="106">
        <f t="shared" ca="1" si="223"/>
        <v>0</v>
      </c>
      <c r="F3965" s="21">
        <f t="shared" ca="1" si="224"/>
        <v>0</v>
      </c>
      <c r="H3965" s="21">
        <v>3950</v>
      </c>
      <c r="I3965" s="107">
        <v>0.66790865077614536</v>
      </c>
      <c r="J3965" s="108">
        <v>1.6353396504934111E-3</v>
      </c>
      <c r="K3965" s="108"/>
      <c r="L3965" s="108">
        <v>4.3999999999999997E-2</v>
      </c>
      <c r="O3965" s="105"/>
    </row>
    <row r="3966" spans="2:15" x14ac:dyDescent="0.2">
      <c r="B3966" s="1">
        <v>3951</v>
      </c>
      <c r="C3966" s="106">
        <f ca="1"/>
        <v>-0.77582233922352939</v>
      </c>
      <c r="D3966" s="106">
        <f t="shared" ca="1" si="222"/>
        <v>0.61554619276538325</v>
      </c>
      <c r="E3966" s="106">
        <f t="shared" ca="1" si="223"/>
        <v>0</v>
      </c>
      <c r="F3966" s="21">
        <f t="shared" ca="1" si="224"/>
        <v>0</v>
      </c>
      <c r="H3966" s="21">
        <v>3951</v>
      </c>
      <c r="I3966" s="107">
        <v>0.66763950902901792</v>
      </c>
      <c r="J3966" s="108">
        <v>1.1705275198550377E-3</v>
      </c>
      <c r="K3966" s="108"/>
      <c r="L3966" s="108">
        <v>3.9E-2</v>
      </c>
      <c r="O3966" s="105"/>
    </row>
    <row r="3967" spans="2:15" x14ac:dyDescent="0.2">
      <c r="B3967" s="1">
        <v>3952</v>
      </c>
      <c r="C3967" s="106">
        <f ca="1"/>
        <v>0.74567799822839609</v>
      </c>
      <c r="D3967" s="106">
        <f t="shared" ca="1" si="222"/>
        <v>0.71522187012134275</v>
      </c>
      <c r="E3967" s="106">
        <f t="shared" ca="1" si="223"/>
        <v>0</v>
      </c>
      <c r="F3967" s="21">
        <f t="shared" ca="1" si="224"/>
        <v>0</v>
      </c>
      <c r="H3967" s="21">
        <v>3952</v>
      </c>
      <c r="I3967" s="107">
        <v>0.66784697690087624</v>
      </c>
      <c r="J3967" s="108">
        <v>1.6369091576739685E-3</v>
      </c>
      <c r="K3967" s="108"/>
      <c r="L3967" s="108">
        <v>4.4999999999999998E-2</v>
      </c>
      <c r="O3967" s="105"/>
    </row>
    <row r="3968" spans="2:15" x14ac:dyDescent="0.2">
      <c r="B3968" s="1">
        <v>3953</v>
      </c>
      <c r="C3968" s="106">
        <f ca="1"/>
        <v>-0.15190287680825651</v>
      </c>
      <c r="D3968" s="106">
        <f t="shared" ca="1" si="222"/>
        <v>0.65461955506453429</v>
      </c>
      <c r="E3968" s="106">
        <f t="shared" ca="1" si="223"/>
        <v>0</v>
      </c>
      <c r="F3968" s="21">
        <f t="shared" ca="1" si="224"/>
        <v>0</v>
      </c>
      <c r="H3968" s="21">
        <v>3953</v>
      </c>
      <c r="I3968" s="107">
        <v>0.66798094354337278</v>
      </c>
      <c r="J3968" s="108">
        <v>1.6196427378390985E-3</v>
      </c>
      <c r="K3968" s="108"/>
      <c r="L3968" s="108">
        <v>5.0200000000000002E-2</v>
      </c>
      <c r="O3968" s="105"/>
    </row>
    <row r="3969" spans="2:15" x14ac:dyDescent="0.2">
      <c r="B3969" s="1">
        <v>3954</v>
      </c>
      <c r="C3969" s="106">
        <f ca="1"/>
        <v>1.4765468659486018</v>
      </c>
      <c r="D3969" s="106">
        <f t="shared" ca="1" si="222"/>
        <v>0.76868916151294508</v>
      </c>
      <c r="E3969" s="106">
        <f t="shared" ca="1" si="223"/>
        <v>0</v>
      </c>
      <c r="F3969" s="21">
        <f t="shared" ca="1" si="224"/>
        <v>0</v>
      </c>
      <c r="H3969" s="21">
        <v>3954</v>
      </c>
      <c r="I3969" s="107">
        <v>0.66780147067377194</v>
      </c>
      <c r="J3969" s="108">
        <v>1.4193858246334052E-3</v>
      </c>
      <c r="K3969" s="108"/>
      <c r="L3969" s="108">
        <v>4.3999999999999997E-2</v>
      </c>
      <c r="O3969" s="105"/>
    </row>
    <row r="3970" spans="2:15" x14ac:dyDescent="0.2">
      <c r="B3970" s="1">
        <v>3955</v>
      </c>
      <c r="C3970" s="106">
        <f ca="1"/>
        <v>1.3945497113775274</v>
      </c>
      <c r="D3970" s="106">
        <f t="shared" ca="1" si="222"/>
        <v>0.76249684323835765</v>
      </c>
      <c r="E3970" s="106">
        <f t="shared" ca="1" si="223"/>
        <v>0</v>
      </c>
      <c r="F3970" s="21">
        <f t="shared" ca="1" si="224"/>
        <v>0</v>
      </c>
      <c r="H3970" s="21">
        <v>3955</v>
      </c>
      <c r="I3970" s="107">
        <v>0.66752259141920844</v>
      </c>
      <c r="J3970" s="108">
        <v>9.9779969102141842E-4</v>
      </c>
      <c r="K3970" s="108"/>
      <c r="L3970" s="108">
        <v>3.4799999999999998E-2</v>
      </c>
      <c r="O3970" s="105"/>
    </row>
    <row r="3971" spans="2:15" x14ac:dyDescent="0.2">
      <c r="B3971" s="1">
        <v>3956</v>
      </c>
      <c r="C3971" s="106">
        <f ca="1"/>
        <v>-1.6444473341447561</v>
      </c>
      <c r="D3971" s="106">
        <f t="shared" ca="1" si="222"/>
        <v>0.5650010959549201</v>
      </c>
      <c r="E3971" s="106">
        <f t="shared" ca="1" si="223"/>
        <v>0</v>
      </c>
      <c r="F3971" s="21">
        <f t="shared" ca="1" si="224"/>
        <v>0</v>
      </c>
      <c r="H3971" s="21">
        <v>3956</v>
      </c>
      <c r="I3971" s="107">
        <v>0.66775591526153322</v>
      </c>
      <c r="J3971" s="108">
        <v>1.3720119934063353E-3</v>
      </c>
      <c r="K3971" s="108"/>
      <c r="L3971" s="108">
        <v>4.1200000000000001E-2</v>
      </c>
      <c r="O3971" s="105"/>
    </row>
    <row r="3972" spans="2:15" x14ac:dyDescent="0.2">
      <c r="B3972" s="1">
        <v>3957</v>
      </c>
      <c r="C3972" s="106">
        <f ca="1"/>
        <v>-0.44621495539656358</v>
      </c>
      <c r="D3972" s="106">
        <f t="shared" ca="1" si="222"/>
        <v>0.63588828875671766</v>
      </c>
      <c r="E3972" s="106">
        <f t="shared" ca="1" si="223"/>
        <v>0</v>
      </c>
      <c r="F3972" s="21">
        <f t="shared" ca="1" si="224"/>
        <v>0</v>
      </c>
      <c r="H3972" s="21">
        <v>3957</v>
      </c>
      <c r="I3972" s="107">
        <v>0.66770000771644955</v>
      </c>
      <c r="J3972" s="108">
        <v>1.1993144323838387E-3</v>
      </c>
      <c r="K3972" s="108"/>
      <c r="L3972" s="108">
        <v>4.1200000000000001E-2</v>
      </c>
      <c r="O3972" s="105"/>
    </row>
    <row r="3973" spans="2:15" x14ac:dyDescent="0.2">
      <c r="B3973" s="1">
        <v>3958</v>
      </c>
      <c r="C3973" s="106">
        <f ca="1"/>
        <v>-0.27163758040033786</v>
      </c>
      <c r="D3973" s="106">
        <f t="shared" ca="1" si="222"/>
        <v>0.64693345980897665</v>
      </c>
      <c r="E3973" s="106">
        <f t="shared" ca="1" si="223"/>
        <v>0</v>
      </c>
      <c r="F3973" s="21">
        <f t="shared" ca="1" si="224"/>
        <v>0</v>
      </c>
      <c r="H3973" s="21">
        <v>3958</v>
      </c>
      <c r="I3973" s="107">
        <v>0.66775832115074063</v>
      </c>
      <c r="J3973" s="108">
        <v>1.3471139277557295E-3</v>
      </c>
      <c r="K3973" s="108"/>
      <c r="L3973" s="108">
        <v>4.4200000000000003E-2</v>
      </c>
      <c r="O3973" s="105"/>
    </row>
    <row r="3974" spans="2:15" x14ac:dyDescent="0.2">
      <c r="B3974" s="1">
        <v>3959</v>
      </c>
      <c r="C3974" s="106">
        <f ca="1"/>
        <v>-1.3377731606146042</v>
      </c>
      <c r="D3974" s="106">
        <f t="shared" ca="1" si="222"/>
        <v>0.58235394624664627</v>
      </c>
      <c r="E3974" s="106">
        <f t="shared" ca="1" si="223"/>
        <v>0</v>
      </c>
      <c r="F3974" s="21">
        <f t="shared" ca="1" si="224"/>
        <v>0</v>
      </c>
      <c r="H3974" s="21">
        <v>3959</v>
      </c>
      <c r="I3974" s="107">
        <v>0.66766020006390481</v>
      </c>
      <c r="J3974" s="108">
        <v>1.260595832595305E-3</v>
      </c>
      <c r="K3974" s="108"/>
      <c r="L3974" s="108">
        <v>3.7600000000000001E-2</v>
      </c>
      <c r="O3974" s="105"/>
    </row>
    <row r="3975" spans="2:15" x14ac:dyDescent="0.2">
      <c r="B3975" s="1">
        <v>3960</v>
      </c>
      <c r="C3975" s="106">
        <f ca="1"/>
        <v>-0.852867045393226</v>
      </c>
      <c r="D3975" s="106">
        <f t="shared" ca="1" si="222"/>
        <v>0.61088590081363159</v>
      </c>
      <c r="E3975" s="106">
        <f t="shared" ca="1" si="223"/>
        <v>0</v>
      </c>
      <c r="F3975" s="21">
        <f t="shared" ca="1" si="224"/>
        <v>0</v>
      </c>
      <c r="H3975" s="21">
        <v>3960</v>
      </c>
      <c r="I3975" s="107">
        <v>0.66764293642431205</v>
      </c>
      <c r="J3975" s="108">
        <v>1.1998287356510217E-3</v>
      </c>
      <c r="K3975" s="108"/>
      <c r="L3975" s="108">
        <v>3.6400000000000002E-2</v>
      </c>
      <c r="O3975" s="105"/>
    </row>
    <row r="3976" spans="2:15" x14ac:dyDescent="0.2">
      <c r="B3976" s="1">
        <v>3961</v>
      </c>
      <c r="C3976" s="106">
        <f ca="1"/>
        <v>0.70431308157243988</v>
      </c>
      <c r="D3976" s="106">
        <f t="shared" ca="1" si="222"/>
        <v>0.71230950301228668</v>
      </c>
      <c r="E3976" s="106">
        <f t="shared" ca="1" si="223"/>
        <v>0</v>
      </c>
      <c r="F3976" s="21">
        <f t="shared" ca="1" si="224"/>
        <v>0</v>
      </c>
      <c r="H3976" s="21">
        <v>3961</v>
      </c>
      <c r="I3976" s="107">
        <v>0.66776996777256259</v>
      </c>
      <c r="J3976" s="108">
        <v>1.4398189575581767E-3</v>
      </c>
      <c r="K3976" s="108"/>
      <c r="L3976" s="108">
        <v>4.4600000000000001E-2</v>
      </c>
      <c r="O3976" s="105"/>
    </row>
    <row r="3977" spans="2:15" x14ac:dyDescent="0.2">
      <c r="B3977" s="1">
        <v>3962</v>
      </c>
      <c r="C3977" s="106">
        <f ca="1"/>
        <v>0.37529859790934023</v>
      </c>
      <c r="D3977" s="106">
        <f t="shared" ca="1" si="222"/>
        <v>0.68956301635562922</v>
      </c>
      <c r="E3977" s="106">
        <f t="shared" ca="1" si="223"/>
        <v>0</v>
      </c>
      <c r="F3977" s="21">
        <f t="shared" ca="1" si="224"/>
        <v>0</v>
      </c>
      <c r="H3977" s="21">
        <v>3962</v>
      </c>
      <c r="I3977" s="107">
        <v>0.66779333063764812</v>
      </c>
      <c r="J3977" s="108">
        <v>1.4670767246204284E-3</v>
      </c>
      <c r="K3977" s="108"/>
      <c r="L3977" s="108">
        <v>4.2999999999999997E-2</v>
      </c>
      <c r="O3977" s="105"/>
    </row>
    <row r="3978" spans="2:15" x14ac:dyDescent="0.2">
      <c r="B3978" s="1">
        <v>3963</v>
      </c>
      <c r="C3978" s="106">
        <f ca="1"/>
        <v>-0.25839720662513654</v>
      </c>
      <c r="D3978" s="106">
        <f t="shared" ca="1" si="222"/>
        <v>0.64777893797242014</v>
      </c>
      <c r="E3978" s="106">
        <f t="shared" ca="1" si="223"/>
        <v>0</v>
      </c>
      <c r="F3978" s="21">
        <f t="shared" ca="1" si="224"/>
        <v>0</v>
      </c>
      <c r="H3978" s="21">
        <v>3963</v>
      </c>
      <c r="I3978" s="107">
        <v>0.66774504053167449</v>
      </c>
      <c r="J3978" s="108">
        <v>1.4968536016739123E-3</v>
      </c>
      <c r="K3978" s="108"/>
      <c r="L3978" s="108">
        <v>4.3999999999999997E-2</v>
      </c>
      <c r="O3978" s="105"/>
    </row>
    <row r="3979" spans="2:15" x14ac:dyDescent="0.2">
      <c r="B3979" s="1">
        <v>3964</v>
      </c>
      <c r="C3979" s="106">
        <f ca="1"/>
        <v>-1.2350619753085026</v>
      </c>
      <c r="D3979" s="106">
        <f t="shared" ca="1" si="222"/>
        <v>0.58828409467868947</v>
      </c>
      <c r="E3979" s="106">
        <f t="shared" ca="1" si="223"/>
        <v>0</v>
      </c>
      <c r="F3979" s="21">
        <f t="shared" ca="1" si="224"/>
        <v>0</v>
      </c>
      <c r="H3979" s="21">
        <v>3964</v>
      </c>
      <c r="I3979" s="107">
        <v>0.66756610987930265</v>
      </c>
      <c r="J3979" s="108">
        <v>1.1270027867002384E-3</v>
      </c>
      <c r="K3979" s="108"/>
      <c r="L3979" s="108">
        <v>3.8600000000000002E-2</v>
      </c>
      <c r="O3979" s="105"/>
    </row>
    <row r="3980" spans="2:15" x14ac:dyDescent="0.2">
      <c r="B3980" s="1">
        <v>3965</v>
      </c>
      <c r="C3980" s="106">
        <f ca="1"/>
        <v>-0.13997094371150395</v>
      </c>
      <c r="D3980" s="106">
        <f t="shared" ca="1" si="222"/>
        <v>0.65539048389662413</v>
      </c>
      <c r="E3980" s="106">
        <f t="shared" ca="1" si="223"/>
        <v>0</v>
      </c>
      <c r="F3980" s="21">
        <f t="shared" ca="1" si="224"/>
        <v>0</v>
      </c>
      <c r="H3980" s="21">
        <v>3965</v>
      </c>
      <c r="I3980" s="107">
        <v>0.6677607122474003</v>
      </c>
      <c r="J3980" s="108">
        <v>1.4170214625137565E-3</v>
      </c>
      <c r="K3980" s="108"/>
      <c r="L3980" s="108">
        <v>4.2000000000000003E-2</v>
      </c>
      <c r="O3980" s="105"/>
    </row>
    <row r="3981" spans="2:15" x14ac:dyDescent="0.2">
      <c r="B3981" s="1">
        <v>3966</v>
      </c>
      <c r="C3981" s="106">
        <f ca="1"/>
        <v>3.6878478849905201E-2</v>
      </c>
      <c r="D3981" s="106">
        <f t="shared" ca="1" si="222"/>
        <v>0.66692385443145219</v>
      </c>
      <c r="E3981" s="106">
        <f t="shared" ca="1" si="223"/>
        <v>0</v>
      </c>
      <c r="F3981" s="21">
        <f t="shared" ca="1" si="224"/>
        <v>0</v>
      </c>
      <c r="H3981" s="21">
        <v>3966</v>
      </c>
      <c r="I3981" s="107">
        <v>0.66772849727765671</v>
      </c>
      <c r="J3981" s="108">
        <v>1.4347364304485776E-3</v>
      </c>
      <c r="K3981" s="108"/>
      <c r="L3981" s="108">
        <v>4.0399999999999998E-2</v>
      </c>
      <c r="O3981" s="105"/>
    </row>
    <row r="3982" spans="2:15" x14ac:dyDescent="0.2">
      <c r="B3982" s="1">
        <v>3967</v>
      </c>
      <c r="C3982" s="106">
        <f ca="1"/>
        <v>1.3449782478536045</v>
      </c>
      <c r="D3982" s="106">
        <f t="shared" ca="1" si="222"/>
        <v>0.75877749092241409</v>
      </c>
      <c r="E3982" s="106">
        <f t="shared" ca="1" si="223"/>
        <v>0</v>
      </c>
      <c r="F3982" s="21">
        <f t="shared" ca="1" si="224"/>
        <v>0</v>
      </c>
      <c r="H3982" s="21">
        <v>3967</v>
      </c>
      <c r="I3982" s="107">
        <v>0.6677451043149828</v>
      </c>
      <c r="J3982" s="108">
        <v>1.3159287928973999E-3</v>
      </c>
      <c r="K3982" s="108"/>
      <c r="L3982" s="108">
        <v>4.5199999999999997E-2</v>
      </c>
      <c r="O3982" s="105"/>
    </row>
    <row r="3983" spans="2:15" x14ac:dyDescent="0.2">
      <c r="B3983" s="1">
        <v>3968</v>
      </c>
      <c r="C3983" s="106">
        <f ca="1"/>
        <v>-6.033197502088427E-2</v>
      </c>
      <c r="D3983" s="106">
        <f t="shared" ca="1" si="222"/>
        <v>0.6605593063920322</v>
      </c>
      <c r="E3983" s="106">
        <f t="shared" ca="1" si="223"/>
        <v>0</v>
      </c>
      <c r="F3983" s="21">
        <f t="shared" ca="1" si="224"/>
        <v>0</v>
      </c>
      <c r="H3983" s="21">
        <v>3968</v>
      </c>
      <c r="I3983" s="107">
        <v>0.6676533195691533</v>
      </c>
      <c r="J3983" s="108">
        <v>1.2063354079235513E-3</v>
      </c>
      <c r="K3983" s="108"/>
      <c r="L3983" s="108">
        <v>3.9399999999999998E-2</v>
      </c>
      <c r="O3983" s="105"/>
    </row>
    <row r="3984" spans="2:15" x14ac:dyDescent="0.2">
      <c r="B3984" s="1">
        <v>3969</v>
      </c>
      <c r="C3984" s="106">
        <f ca="1"/>
        <v>-0.37379297327988725</v>
      </c>
      <c r="D3984" s="106">
        <f t="shared" ref="D3984:D4047" ca="1" si="225">S0*EXP((μ-0.5*σ*σ)*T+σ*SQRT(T)*$C3984)</f>
        <v>0.64044721235584268</v>
      </c>
      <c r="E3984" s="106">
        <f t="shared" ref="E3984:E4047" ca="1" si="226">MAX(0,CP*(D3984-K))</f>
        <v>0</v>
      </c>
      <c r="F3984" s="21">
        <f t="shared" ref="F3984:F4047" ca="1" si="227">(CP*(D3984-K)&gt;0)*1</f>
        <v>0</v>
      </c>
      <c r="H3984" s="21">
        <v>3969</v>
      </c>
      <c r="I3984" s="107">
        <v>0.66771564175633547</v>
      </c>
      <c r="J3984" s="108">
        <v>1.3922503711618895E-3</v>
      </c>
      <c r="K3984" s="108"/>
      <c r="L3984" s="108">
        <v>4.1799999999999997E-2</v>
      </c>
      <c r="O3984" s="105"/>
    </row>
    <row r="3985" spans="2:15" x14ac:dyDescent="0.2">
      <c r="B3985" s="1">
        <v>3970</v>
      </c>
      <c r="C3985" s="106">
        <f ca="1"/>
        <v>-0.63469544380686749</v>
      </c>
      <c r="D3985" s="106">
        <f t="shared" ca="1" si="225"/>
        <v>0.62417509879234989</v>
      </c>
      <c r="E3985" s="106">
        <f t="shared" ca="1" si="226"/>
        <v>0</v>
      </c>
      <c r="F3985" s="21">
        <f t="shared" ca="1" si="227"/>
        <v>0</v>
      </c>
      <c r="H3985" s="21">
        <v>3970</v>
      </c>
      <c r="I3985" s="107">
        <v>0.66773285472863497</v>
      </c>
      <c r="J3985" s="108">
        <v>1.230915339809511E-3</v>
      </c>
      <c r="K3985" s="108"/>
      <c r="L3985" s="108">
        <v>4.0800000000000003E-2</v>
      </c>
      <c r="O3985" s="105"/>
    </row>
    <row r="3986" spans="2:15" x14ac:dyDescent="0.2">
      <c r="B3986" s="1">
        <v>3971</v>
      </c>
      <c r="C3986" s="106">
        <f ca="1"/>
        <v>-0.70544660026969663</v>
      </c>
      <c r="D3986" s="106">
        <f t="shared" ca="1" si="225"/>
        <v>0.61983415366820382</v>
      </c>
      <c r="E3986" s="106">
        <f t="shared" ca="1" si="226"/>
        <v>0</v>
      </c>
      <c r="F3986" s="21">
        <f t="shared" ca="1" si="227"/>
        <v>0</v>
      </c>
      <c r="H3986" s="21">
        <v>3971</v>
      </c>
      <c r="I3986" s="107">
        <v>0.6678216648813402</v>
      </c>
      <c r="J3986" s="108">
        <v>1.4846076043676885E-3</v>
      </c>
      <c r="K3986" s="108"/>
      <c r="L3986" s="108">
        <v>4.4999999999999998E-2</v>
      </c>
      <c r="O3986" s="105"/>
    </row>
    <row r="3987" spans="2:15" x14ac:dyDescent="0.2">
      <c r="B3987" s="1">
        <v>3972</v>
      </c>
      <c r="C3987" s="106">
        <f ca="1"/>
        <v>-0.44518215654893245</v>
      </c>
      <c r="D3987" s="106">
        <f t="shared" ca="1" si="225"/>
        <v>0.63595307422381875</v>
      </c>
      <c r="E3987" s="106">
        <f t="shared" ca="1" si="226"/>
        <v>0</v>
      </c>
      <c r="F3987" s="21">
        <f t="shared" ca="1" si="227"/>
        <v>0</v>
      </c>
      <c r="H3987" s="21">
        <v>3972</v>
      </c>
      <c r="I3987" s="107">
        <v>0.66773200847163461</v>
      </c>
      <c r="J3987" s="108">
        <v>1.4469136042894414E-3</v>
      </c>
      <c r="K3987" s="108"/>
      <c r="L3987" s="108">
        <v>3.9800000000000002E-2</v>
      </c>
      <c r="O3987" s="105"/>
    </row>
    <row r="3988" spans="2:15" x14ac:dyDescent="0.2">
      <c r="B3988" s="1">
        <v>3973</v>
      </c>
      <c r="C3988" s="106">
        <f ca="1"/>
        <v>0.41558774793382169</v>
      </c>
      <c r="D3988" s="106">
        <f t="shared" ca="1" si="225"/>
        <v>0.69230891329869704</v>
      </c>
      <c r="E3988" s="106">
        <f t="shared" ca="1" si="226"/>
        <v>0</v>
      </c>
      <c r="F3988" s="21">
        <f t="shared" ca="1" si="227"/>
        <v>0</v>
      </c>
      <c r="H3988" s="21">
        <v>3973</v>
      </c>
      <c r="I3988" s="107">
        <v>0.66769833846945881</v>
      </c>
      <c r="J3988" s="108">
        <v>1.2847180846725246E-3</v>
      </c>
      <c r="K3988" s="108"/>
      <c r="L3988" s="108">
        <v>4.1000000000000002E-2</v>
      </c>
      <c r="O3988" s="105"/>
    </row>
    <row r="3989" spans="2:15" x14ac:dyDescent="0.2">
      <c r="B3989" s="1">
        <v>3974</v>
      </c>
      <c r="C3989" s="106">
        <f ca="1"/>
        <v>-0.13316757801331477</v>
      </c>
      <c r="D3989" s="106">
        <f t="shared" ca="1" si="225"/>
        <v>0.65583045948635077</v>
      </c>
      <c r="E3989" s="106">
        <f t="shared" ca="1" si="226"/>
        <v>0</v>
      </c>
      <c r="F3989" s="21">
        <f t="shared" ca="1" si="227"/>
        <v>0</v>
      </c>
      <c r="H3989" s="21">
        <v>3974</v>
      </c>
      <c r="I3989" s="107">
        <v>0.66768278866781061</v>
      </c>
      <c r="J3989" s="108">
        <v>1.3467723512362079E-3</v>
      </c>
      <c r="K3989" s="108"/>
      <c r="L3989" s="108">
        <v>3.9800000000000002E-2</v>
      </c>
      <c r="O3989" s="105"/>
    </row>
    <row r="3990" spans="2:15" x14ac:dyDescent="0.2">
      <c r="B3990" s="1">
        <v>3975</v>
      </c>
      <c r="C3990" s="106">
        <f ca="1"/>
        <v>1.0413760356148944</v>
      </c>
      <c r="D3990" s="106">
        <f t="shared" ca="1" si="225"/>
        <v>0.73639072104720349</v>
      </c>
      <c r="E3990" s="106">
        <f t="shared" ca="1" si="226"/>
        <v>0</v>
      </c>
      <c r="F3990" s="21">
        <f t="shared" ca="1" si="227"/>
        <v>0</v>
      </c>
      <c r="H3990" s="21">
        <v>3975</v>
      </c>
      <c r="I3990" s="107">
        <v>0.6679055161973243</v>
      </c>
      <c r="J3990" s="108">
        <v>1.5215348665802298E-3</v>
      </c>
      <c r="K3990" s="108"/>
      <c r="L3990" s="108">
        <v>4.2799999999999998E-2</v>
      </c>
      <c r="O3990" s="105"/>
    </row>
    <row r="3991" spans="2:15" x14ac:dyDescent="0.2">
      <c r="B3991" s="1">
        <v>3976</v>
      </c>
      <c r="C3991" s="106">
        <f ca="1"/>
        <v>-0.66720558241438943</v>
      </c>
      <c r="D3991" s="106">
        <f t="shared" ca="1" si="225"/>
        <v>0.62217667316938241</v>
      </c>
      <c r="E3991" s="106">
        <f t="shared" ca="1" si="226"/>
        <v>0</v>
      </c>
      <c r="F3991" s="21">
        <f t="shared" ca="1" si="227"/>
        <v>0</v>
      </c>
      <c r="H3991" s="21">
        <v>3976</v>
      </c>
      <c r="I3991" s="107">
        <v>0.66771544343976685</v>
      </c>
      <c r="J3991" s="108">
        <v>1.3029226093993016E-3</v>
      </c>
      <c r="K3991" s="108"/>
      <c r="L3991" s="108">
        <v>4.0800000000000003E-2</v>
      </c>
      <c r="O3991" s="105"/>
    </row>
    <row r="3992" spans="2:15" x14ac:dyDescent="0.2">
      <c r="B3992" s="1">
        <v>3977</v>
      </c>
      <c r="C3992" s="106">
        <f ca="1"/>
        <v>-2.0805441329882415</v>
      </c>
      <c r="D3992" s="106">
        <f t="shared" ca="1" si="225"/>
        <v>0.54121169447922046</v>
      </c>
      <c r="E3992" s="106">
        <f t="shared" ca="1" si="226"/>
        <v>0</v>
      </c>
      <c r="F3992" s="21">
        <f t="shared" ca="1" si="227"/>
        <v>0</v>
      </c>
      <c r="H3992" s="21">
        <v>3977</v>
      </c>
      <c r="I3992" s="107">
        <v>0.66761841770266106</v>
      </c>
      <c r="J3992" s="108">
        <v>1.1864028766256059E-3</v>
      </c>
      <c r="K3992" s="108"/>
      <c r="L3992" s="108">
        <v>4.02E-2</v>
      </c>
      <c r="O3992" s="105"/>
    </row>
    <row r="3993" spans="2:15" x14ac:dyDescent="0.2">
      <c r="B3993" s="1">
        <v>3978</v>
      </c>
      <c r="C3993" s="106">
        <f ca="1"/>
        <v>-1.3416546358397181</v>
      </c>
      <c r="D3993" s="106">
        <f t="shared" ca="1" si="225"/>
        <v>0.58213102082100043</v>
      </c>
      <c r="E3993" s="106">
        <f t="shared" ca="1" si="226"/>
        <v>0</v>
      </c>
      <c r="F3993" s="21">
        <f t="shared" ca="1" si="227"/>
        <v>0</v>
      </c>
      <c r="H3993" s="21">
        <v>3978</v>
      </c>
      <c r="I3993" s="107">
        <v>0.66761579790758074</v>
      </c>
      <c r="J3993" s="108">
        <v>1.2942232236341071E-3</v>
      </c>
      <c r="K3993" s="108"/>
      <c r="L3993" s="108">
        <v>4.1599999999999998E-2</v>
      </c>
      <c r="O3993" s="105"/>
    </row>
    <row r="3994" spans="2:15" x14ac:dyDescent="0.2">
      <c r="B3994" s="1">
        <v>3979</v>
      </c>
      <c r="C3994" s="106">
        <f ca="1"/>
        <v>-1.9005471971898402</v>
      </c>
      <c r="D3994" s="106">
        <f t="shared" ca="1" si="225"/>
        <v>0.55090679615905824</v>
      </c>
      <c r="E3994" s="106">
        <f t="shared" ca="1" si="226"/>
        <v>0</v>
      </c>
      <c r="F3994" s="21">
        <f t="shared" ca="1" si="227"/>
        <v>0</v>
      </c>
      <c r="H3994" s="21">
        <v>3979</v>
      </c>
      <c r="I3994" s="107">
        <v>0.66783093575931896</v>
      </c>
      <c r="J3994" s="108">
        <v>1.4816888577640318E-3</v>
      </c>
      <c r="K3994" s="108"/>
      <c r="L3994" s="108">
        <v>4.7399999999999998E-2</v>
      </c>
      <c r="O3994" s="105"/>
    </row>
    <row r="3995" spans="2:15" x14ac:dyDescent="0.2">
      <c r="B3995" s="1">
        <v>3980</v>
      </c>
      <c r="C3995" s="106">
        <f ca="1"/>
        <v>-1.7630433188977528</v>
      </c>
      <c r="D3995" s="106">
        <f t="shared" ca="1" si="225"/>
        <v>0.55842996134983114</v>
      </c>
      <c r="E3995" s="106">
        <f t="shared" ca="1" si="226"/>
        <v>0</v>
      </c>
      <c r="F3995" s="21">
        <f t="shared" ca="1" si="227"/>
        <v>0</v>
      </c>
      <c r="H3995" s="21">
        <v>3980</v>
      </c>
      <c r="I3995" s="107">
        <v>0.66770925762715738</v>
      </c>
      <c r="J3995" s="108">
        <v>1.3701410577786099E-3</v>
      </c>
      <c r="K3995" s="108"/>
      <c r="L3995" s="108">
        <v>4.1399999999999999E-2</v>
      </c>
      <c r="O3995" s="105"/>
    </row>
    <row r="3996" spans="2:15" x14ac:dyDescent="0.2">
      <c r="B3996" s="1">
        <v>3981</v>
      </c>
      <c r="C3996" s="106">
        <f ca="1"/>
        <v>-0.83153984722835206</v>
      </c>
      <c r="D3996" s="106">
        <f t="shared" ca="1" si="225"/>
        <v>0.61217240057151312</v>
      </c>
      <c r="E3996" s="106">
        <f t="shared" ca="1" si="226"/>
        <v>0</v>
      </c>
      <c r="F3996" s="21">
        <f t="shared" ca="1" si="227"/>
        <v>0</v>
      </c>
      <c r="H3996" s="21">
        <v>3981</v>
      </c>
      <c r="I3996" s="107">
        <v>0.66763721603844983</v>
      </c>
      <c r="J3996" s="108">
        <v>1.2458851505675564E-3</v>
      </c>
      <c r="K3996" s="108"/>
      <c r="L3996" s="108">
        <v>4.0599999999999997E-2</v>
      </c>
      <c r="O3996" s="105"/>
    </row>
    <row r="3997" spans="2:15" x14ac:dyDescent="0.2">
      <c r="B3997" s="1">
        <v>3982</v>
      </c>
      <c r="C3997" s="106">
        <f ca="1"/>
        <v>0.3674810443702784</v>
      </c>
      <c r="D3997" s="106">
        <f t="shared" ca="1" si="225"/>
        <v>0.68903147594596159</v>
      </c>
      <c r="E3997" s="106">
        <f t="shared" ca="1" si="226"/>
        <v>0</v>
      </c>
      <c r="F3997" s="21">
        <f t="shared" ca="1" si="227"/>
        <v>0</v>
      </c>
      <c r="H3997" s="21">
        <v>3982</v>
      </c>
      <c r="I3997" s="107">
        <v>0.66768905186378102</v>
      </c>
      <c r="J3997" s="108">
        <v>1.3748789945187175E-3</v>
      </c>
      <c r="K3997" s="108"/>
      <c r="L3997" s="108">
        <v>3.8800000000000001E-2</v>
      </c>
      <c r="O3997" s="105"/>
    </row>
    <row r="3998" spans="2:15" x14ac:dyDescent="0.2">
      <c r="B3998" s="1">
        <v>3983</v>
      </c>
      <c r="C3998" s="106">
        <f ca="1"/>
        <v>-0.33595237046587351</v>
      </c>
      <c r="D3998" s="106">
        <f t="shared" ca="1" si="225"/>
        <v>0.64284224299006854</v>
      </c>
      <c r="E3998" s="106">
        <f t="shared" ca="1" si="226"/>
        <v>0</v>
      </c>
      <c r="F3998" s="21">
        <f t="shared" ca="1" si="227"/>
        <v>0</v>
      </c>
      <c r="H3998" s="21">
        <v>3983</v>
      </c>
      <c r="I3998" s="107">
        <v>0.6675792744878245</v>
      </c>
      <c r="J3998" s="108">
        <v>1.1556075764779846E-3</v>
      </c>
      <c r="K3998" s="108"/>
      <c r="L3998" s="108">
        <v>3.8199999999999998E-2</v>
      </c>
      <c r="O3998" s="105"/>
    </row>
    <row r="3999" spans="2:15" x14ac:dyDescent="0.2">
      <c r="B3999" s="1">
        <v>3984</v>
      </c>
      <c r="C3999" s="106">
        <f ca="1"/>
        <v>-0.12175753834460652</v>
      </c>
      <c r="D3999" s="106">
        <f t="shared" ca="1" si="225"/>
        <v>0.65656901315652239</v>
      </c>
      <c r="E3999" s="106">
        <f t="shared" ca="1" si="226"/>
        <v>0</v>
      </c>
      <c r="F3999" s="21">
        <f t="shared" ca="1" si="227"/>
        <v>0</v>
      </c>
      <c r="H3999" s="21">
        <v>3984</v>
      </c>
      <c r="I3999" s="107">
        <v>0.66772248216902219</v>
      </c>
      <c r="J3999" s="108">
        <v>1.3763923425972793E-3</v>
      </c>
      <c r="K3999" s="108"/>
      <c r="L3999" s="108">
        <v>4.2599999999999999E-2</v>
      </c>
      <c r="O3999" s="105"/>
    </row>
    <row r="4000" spans="2:15" x14ac:dyDescent="0.2">
      <c r="B4000" s="1">
        <v>3985</v>
      </c>
      <c r="C4000" s="106">
        <f ca="1"/>
        <v>0.5621038644747558</v>
      </c>
      <c r="D4000" s="106">
        <f t="shared" ca="1" si="225"/>
        <v>0.70238719126961957</v>
      </c>
      <c r="E4000" s="106">
        <f t="shared" ca="1" si="226"/>
        <v>0</v>
      </c>
      <c r="F4000" s="21">
        <f t="shared" ca="1" si="227"/>
        <v>0</v>
      </c>
      <c r="H4000" s="21">
        <v>3985</v>
      </c>
      <c r="I4000" s="107">
        <v>0.66788935400925797</v>
      </c>
      <c r="J4000" s="108">
        <v>1.5861717160455073E-3</v>
      </c>
      <c r="K4000" s="108"/>
      <c r="L4000" s="108">
        <v>4.36E-2</v>
      </c>
      <c r="O4000" s="105"/>
    </row>
    <row r="4001" spans="2:15" x14ac:dyDescent="0.2">
      <c r="B4001" s="1">
        <v>3986</v>
      </c>
      <c r="C4001" s="106">
        <f ca="1"/>
        <v>1.1765324877138974</v>
      </c>
      <c r="D4001" s="106">
        <f t="shared" ca="1" si="225"/>
        <v>0.74627402647928898</v>
      </c>
      <c r="E4001" s="106">
        <f t="shared" ca="1" si="226"/>
        <v>0</v>
      </c>
      <c r="F4001" s="21">
        <f t="shared" ca="1" si="227"/>
        <v>0</v>
      </c>
      <c r="H4001" s="21">
        <v>3986</v>
      </c>
      <c r="I4001" s="107">
        <v>0.66766504680238092</v>
      </c>
      <c r="J4001" s="108">
        <v>1.3808589513376233E-3</v>
      </c>
      <c r="K4001" s="108"/>
      <c r="L4001" s="108">
        <v>3.9600000000000003E-2</v>
      </c>
      <c r="O4001" s="105"/>
    </row>
    <row r="4002" spans="2:15" x14ac:dyDescent="0.2">
      <c r="B4002" s="1">
        <v>3987</v>
      </c>
      <c r="C4002" s="106">
        <f ca="1"/>
        <v>0.26040271593813735</v>
      </c>
      <c r="D4002" s="106">
        <f t="shared" ca="1" si="225"/>
        <v>0.68179198583582457</v>
      </c>
      <c r="E4002" s="106">
        <f t="shared" ca="1" si="226"/>
        <v>0</v>
      </c>
      <c r="F4002" s="21">
        <f t="shared" ca="1" si="227"/>
        <v>0</v>
      </c>
      <c r="H4002" s="21">
        <v>3987</v>
      </c>
      <c r="I4002" s="107">
        <v>0.66759112971632328</v>
      </c>
      <c r="J4002" s="108">
        <v>1.2902612288275804E-3</v>
      </c>
      <c r="K4002" s="108"/>
      <c r="L4002" s="108">
        <v>3.8399999999999997E-2</v>
      </c>
      <c r="O4002" s="105"/>
    </row>
    <row r="4003" spans="2:15" x14ac:dyDescent="0.2">
      <c r="B4003" s="1">
        <v>3988</v>
      </c>
      <c r="C4003" s="106">
        <f ca="1"/>
        <v>0.99087351503495136</v>
      </c>
      <c r="D4003" s="106">
        <f t="shared" ca="1" si="225"/>
        <v>0.73273141306419731</v>
      </c>
      <c r="E4003" s="106">
        <f t="shared" ca="1" si="226"/>
        <v>0</v>
      </c>
      <c r="F4003" s="21">
        <f t="shared" ca="1" si="227"/>
        <v>0</v>
      </c>
      <c r="H4003" s="21">
        <v>3988</v>
      </c>
      <c r="I4003" s="107">
        <v>0.6678806191102914</v>
      </c>
      <c r="J4003" s="108">
        <v>1.4568682429318138E-3</v>
      </c>
      <c r="K4003" s="108"/>
      <c r="L4003" s="108">
        <v>4.3799999999999999E-2</v>
      </c>
      <c r="O4003" s="105"/>
    </row>
    <row r="4004" spans="2:15" x14ac:dyDescent="0.2">
      <c r="B4004" s="1">
        <v>3989</v>
      </c>
      <c r="C4004" s="106">
        <f ca="1"/>
        <v>2.5561926139508091</v>
      </c>
      <c r="D4004" s="106">
        <f t="shared" ca="1" si="225"/>
        <v>0.85507087858826603</v>
      </c>
      <c r="E4004" s="106">
        <f t="shared" ca="1" si="226"/>
        <v>6.6870878588266014E-2</v>
      </c>
      <c r="F4004" s="21">
        <f t="shared" ca="1" si="227"/>
        <v>1</v>
      </c>
      <c r="H4004" s="21">
        <v>3989</v>
      </c>
      <c r="I4004" s="107">
        <v>0.66778547540063715</v>
      </c>
      <c r="J4004" s="108">
        <v>1.3013575988156307E-3</v>
      </c>
      <c r="K4004" s="108"/>
      <c r="L4004" s="108">
        <v>4.2999999999999997E-2</v>
      </c>
      <c r="O4004" s="105"/>
    </row>
    <row r="4005" spans="2:15" x14ac:dyDescent="0.2">
      <c r="B4005" s="1">
        <v>3990</v>
      </c>
      <c r="C4005" s="106">
        <f ca="1"/>
        <v>-0.11123755400493998</v>
      </c>
      <c r="D4005" s="106">
        <f t="shared" ca="1" si="225"/>
        <v>0.65725069186674778</v>
      </c>
      <c r="E4005" s="106">
        <f t="shared" ca="1" si="226"/>
        <v>0</v>
      </c>
      <c r="F4005" s="21">
        <f t="shared" ca="1" si="227"/>
        <v>0</v>
      </c>
      <c r="H4005" s="21">
        <v>3990</v>
      </c>
      <c r="I4005" s="107">
        <v>0.66759977614217736</v>
      </c>
      <c r="J4005" s="108">
        <v>1.2594709196484127E-3</v>
      </c>
      <c r="K4005" s="108"/>
      <c r="L4005" s="108">
        <v>3.7600000000000001E-2</v>
      </c>
      <c r="O4005" s="105"/>
    </row>
    <row r="4006" spans="2:15" x14ac:dyDescent="0.2">
      <c r="B4006" s="1">
        <v>3991</v>
      </c>
      <c r="C4006" s="106">
        <f ca="1"/>
        <v>0.36431080498963675</v>
      </c>
      <c r="D4006" s="106">
        <f t="shared" ca="1" si="225"/>
        <v>0.68881603804209068</v>
      </c>
      <c r="E4006" s="106">
        <f t="shared" ca="1" si="226"/>
        <v>0</v>
      </c>
      <c r="F4006" s="21">
        <f t="shared" ca="1" si="227"/>
        <v>0</v>
      </c>
      <c r="H4006" s="21">
        <v>3991</v>
      </c>
      <c r="I4006" s="107">
        <v>0.66776715905941031</v>
      </c>
      <c r="J4006" s="108">
        <v>1.4046761857163588E-3</v>
      </c>
      <c r="K4006" s="108"/>
      <c r="L4006" s="108">
        <v>4.2599999999999999E-2</v>
      </c>
      <c r="O4006" s="105"/>
    </row>
    <row r="4007" spans="2:15" x14ac:dyDescent="0.2">
      <c r="B4007" s="1">
        <v>3992</v>
      </c>
      <c r="C4007" s="106">
        <f ca="1"/>
        <v>0.23171053476033845</v>
      </c>
      <c r="D4007" s="106">
        <f t="shared" ca="1" si="225"/>
        <v>0.67986508251827416</v>
      </c>
      <c r="E4007" s="106">
        <f t="shared" ca="1" si="226"/>
        <v>0</v>
      </c>
      <c r="F4007" s="21">
        <f t="shared" ca="1" si="227"/>
        <v>0</v>
      </c>
      <c r="H4007" s="21">
        <v>3992</v>
      </c>
      <c r="I4007" s="107">
        <v>0.66758778086749981</v>
      </c>
      <c r="J4007" s="108">
        <v>1.2303045221878793E-3</v>
      </c>
      <c r="K4007" s="108"/>
      <c r="L4007" s="108">
        <v>3.7999999999999999E-2</v>
      </c>
      <c r="O4007" s="105"/>
    </row>
    <row r="4008" spans="2:15" x14ac:dyDescent="0.2">
      <c r="B4008" s="1">
        <v>3993</v>
      </c>
      <c r="C4008" s="106">
        <f ca="1"/>
        <v>-0.19788310893221076</v>
      </c>
      <c r="D4008" s="106">
        <f t="shared" ca="1" si="225"/>
        <v>0.6516572176449954</v>
      </c>
      <c r="E4008" s="106">
        <f t="shared" ca="1" si="226"/>
        <v>0</v>
      </c>
      <c r="F4008" s="21">
        <f t="shared" ca="1" si="227"/>
        <v>0</v>
      </c>
      <c r="H4008" s="21">
        <v>3993</v>
      </c>
      <c r="I4008" s="107">
        <v>0.66774745190574891</v>
      </c>
      <c r="J4008" s="108">
        <v>1.3668340307970612E-3</v>
      </c>
      <c r="K4008" s="108"/>
      <c r="L4008" s="108">
        <v>4.02E-2</v>
      </c>
      <c r="O4008" s="105"/>
    </row>
    <row r="4009" spans="2:15" x14ac:dyDescent="0.2">
      <c r="B4009" s="1">
        <v>3994</v>
      </c>
      <c r="C4009" s="106">
        <f ca="1"/>
        <v>0.12362667409128414</v>
      </c>
      <c r="D4009" s="106">
        <f t="shared" ca="1" si="225"/>
        <v>0.67265517954697973</v>
      </c>
      <c r="E4009" s="106">
        <f t="shared" ca="1" si="226"/>
        <v>0</v>
      </c>
      <c r="F4009" s="21">
        <f t="shared" ca="1" si="227"/>
        <v>0</v>
      </c>
      <c r="H4009" s="21">
        <v>3994</v>
      </c>
      <c r="I4009" s="107">
        <v>0.66764605509124764</v>
      </c>
      <c r="J4009" s="108">
        <v>1.2012314068593419E-3</v>
      </c>
      <c r="K4009" s="108"/>
      <c r="L4009" s="108">
        <v>3.7999999999999999E-2</v>
      </c>
      <c r="O4009" s="105"/>
    </row>
    <row r="4010" spans="2:15" x14ac:dyDescent="0.2">
      <c r="B4010" s="1">
        <v>3995</v>
      </c>
      <c r="C4010" s="106">
        <f ca="1"/>
        <v>-0.88248852912717146</v>
      </c>
      <c r="D4010" s="106">
        <f t="shared" ca="1" si="225"/>
        <v>0.6091035570030382</v>
      </c>
      <c r="E4010" s="106">
        <f t="shared" ca="1" si="226"/>
        <v>0</v>
      </c>
      <c r="F4010" s="21">
        <f t="shared" ca="1" si="227"/>
        <v>0</v>
      </c>
      <c r="H4010" s="21">
        <v>3995</v>
      </c>
      <c r="I4010" s="107">
        <v>0.6679330875301619</v>
      </c>
      <c r="J4010" s="108">
        <v>1.491173943138943E-3</v>
      </c>
      <c r="K4010" s="108"/>
      <c r="L4010" s="108">
        <v>4.3999999999999997E-2</v>
      </c>
      <c r="O4010" s="105"/>
    </row>
    <row r="4011" spans="2:15" x14ac:dyDescent="0.2">
      <c r="B4011" s="1">
        <v>3996</v>
      </c>
      <c r="C4011" s="106">
        <f ca="1"/>
        <v>-1.2775552276796098</v>
      </c>
      <c r="D4011" s="106">
        <f t="shared" ca="1" si="225"/>
        <v>0.58582340920503084</v>
      </c>
      <c r="E4011" s="106">
        <f t="shared" ca="1" si="226"/>
        <v>0</v>
      </c>
      <c r="F4011" s="21">
        <f t="shared" ca="1" si="227"/>
        <v>0</v>
      </c>
      <c r="H4011" s="21">
        <v>3996</v>
      </c>
      <c r="I4011" s="107">
        <v>0.66768819314401484</v>
      </c>
      <c r="J4011" s="108">
        <v>1.3856489807310851E-3</v>
      </c>
      <c r="K4011" s="108"/>
      <c r="L4011" s="108">
        <v>4.1799999999999997E-2</v>
      </c>
      <c r="O4011" s="105"/>
    </row>
    <row r="4012" spans="2:15" x14ac:dyDescent="0.2">
      <c r="B4012" s="1">
        <v>3997</v>
      </c>
      <c r="C4012" s="106">
        <f ca="1"/>
        <v>2.2316486085064215</v>
      </c>
      <c r="D4012" s="106">
        <f t="shared" ca="1" si="225"/>
        <v>0.82813063482462312</v>
      </c>
      <c r="E4012" s="106">
        <f t="shared" ca="1" si="226"/>
        <v>3.9930634824623112E-2</v>
      </c>
      <c r="F4012" s="21">
        <f t="shared" ca="1" si="227"/>
        <v>1</v>
      </c>
      <c r="H4012" s="21">
        <v>3997</v>
      </c>
      <c r="I4012" s="107">
        <v>0.667541780476131</v>
      </c>
      <c r="J4012" s="108">
        <v>1.2445678281340314E-3</v>
      </c>
      <c r="K4012" s="108"/>
      <c r="L4012" s="108">
        <v>3.9E-2</v>
      </c>
      <c r="O4012" s="105"/>
    </row>
    <row r="4013" spans="2:15" x14ac:dyDescent="0.2">
      <c r="B4013" s="1">
        <v>3998</v>
      </c>
      <c r="C4013" s="106">
        <f ca="1"/>
        <v>-0.97904411280155901</v>
      </c>
      <c r="D4013" s="106">
        <f t="shared" ca="1" si="225"/>
        <v>0.60332976837898289</v>
      </c>
      <c r="E4013" s="106">
        <f t="shared" ca="1" si="226"/>
        <v>0</v>
      </c>
      <c r="F4013" s="21">
        <f t="shared" ca="1" si="227"/>
        <v>0</v>
      </c>
      <c r="H4013" s="21">
        <v>3998</v>
      </c>
      <c r="I4013" s="107">
        <v>0.66766760949507375</v>
      </c>
      <c r="J4013" s="108">
        <v>1.3906499015098953E-3</v>
      </c>
      <c r="K4013" s="108"/>
      <c r="L4013" s="108">
        <v>3.8199999999999998E-2</v>
      </c>
      <c r="O4013" s="105"/>
    </row>
    <row r="4014" spans="2:15" x14ac:dyDescent="0.2">
      <c r="B4014" s="1">
        <v>3999</v>
      </c>
      <c r="C4014" s="106">
        <f ca="1"/>
        <v>-0.15978538970001888</v>
      </c>
      <c r="D4014" s="106">
        <f t="shared" ca="1" si="225"/>
        <v>0.65411075901001292</v>
      </c>
      <c r="E4014" s="106">
        <f t="shared" ca="1" si="226"/>
        <v>0</v>
      </c>
      <c r="F4014" s="21">
        <f t="shared" ca="1" si="227"/>
        <v>0</v>
      </c>
      <c r="H4014" s="21">
        <v>3999</v>
      </c>
      <c r="I4014" s="107">
        <v>0.66793840330707654</v>
      </c>
      <c r="J4014" s="108">
        <v>1.6462958468270467E-3</v>
      </c>
      <c r="K4014" s="108"/>
      <c r="L4014" s="108">
        <v>4.6199999999999998E-2</v>
      </c>
      <c r="O4014" s="105"/>
    </row>
    <row r="4015" spans="2:15" x14ac:dyDescent="0.2">
      <c r="B4015" s="1">
        <v>4000</v>
      </c>
      <c r="C4015" s="106">
        <f ca="1"/>
        <v>-0.69384835829273417</v>
      </c>
      <c r="D4015" s="106">
        <f t="shared" ca="1" si="225"/>
        <v>0.62054369062861436</v>
      </c>
      <c r="E4015" s="106">
        <f t="shared" ca="1" si="226"/>
        <v>0</v>
      </c>
      <c r="F4015" s="21">
        <f t="shared" ca="1" si="227"/>
        <v>0</v>
      </c>
      <c r="H4015" s="21">
        <v>4000</v>
      </c>
      <c r="I4015" s="107">
        <v>0.66768339387392484</v>
      </c>
      <c r="J4015" s="108">
        <v>1.1772202876737207E-3</v>
      </c>
      <c r="K4015" s="108"/>
      <c r="L4015" s="108">
        <v>3.78E-2</v>
      </c>
      <c r="O4015" s="105"/>
    </row>
    <row r="4016" spans="2:15" x14ac:dyDescent="0.2">
      <c r="B4016" s="1">
        <f t="shared" ref="B4016:B4079" si="228">B4015+1</f>
        <v>4001</v>
      </c>
      <c r="C4016" s="106">
        <f ca="1"/>
        <v>0.37114294832887368</v>
      </c>
      <c r="D4016" s="106">
        <f t="shared" ca="1" si="225"/>
        <v>0.68928040944934477</v>
      </c>
      <c r="E4016" s="106">
        <f t="shared" ca="1" si="226"/>
        <v>0</v>
      </c>
      <c r="F4016" s="21">
        <f t="shared" ca="1" si="227"/>
        <v>0</v>
      </c>
      <c r="H4016" s="21">
        <v>4001</v>
      </c>
      <c r="I4016" s="107">
        <v>0.66785647097689016</v>
      </c>
      <c r="J4016" s="108">
        <v>1.4904612327791612E-3</v>
      </c>
      <c r="K4016" s="108"/>
      <c r="L4016" s="108">
        <v>4.4999999999999998E-2</v>
      </c>
      <c r="O4016" s="105"/>
    </row>
    <row r="4017" spans="2:15" x14ac:dyDescent="0.2">
      <c r="B4017" s="1">
        <f t="shared" si="228"/>
        <v>4002</v>
      </c>
      <c r="C4017" s="106">
        <f ca="1"/>
        <v>0.55807308172081249</v>
      </c>
      <c r="D4017" s="106">
        <f t="shared" ca="1" si="225"/>
        <v>0.70210797640171374</v>
      </c>
      <c r="E4017" s="106">
        <f t="shared" ca="1" si="226"/>
        <v>0</v>
      </c>
      <c r="F4017" s="21">
        <f t="shared" ca="1" si="227"/>
        <v>0</v>
      </c>
      <c r="H4017" s="21">
        <v>4002</v>
      </c>
      <c r="I4017" s="107">
        <v>0.66777123411397465</v>
      </c>
      <c r="J4017" s="108">
        <v>1.4539009704525043E-3</v>
      </c>
      <c r="K4017" s="108"/>
      <c r="L4017" s="108">
        <v>4.5400000000000003E-2</v>
      </c>
      <c r="O4017" s="105"/>
    </row>
    <row r="4018" spans="2:15" x14ac:dyDescent="0.2">
      <c r="B4018" s="1">
        <f t="shared" si="228"/>
        <v>4003</v>
      </c>
      <c r="C4018" s="106">
        <f ca="1"/>
        <v>0.79460530385107386</v>
      </c>
      <c r="D4018" s="106">
        <f t="shared" ca="1" si="225"/>
        <v>0.7186820558941045</v>
      </c>
      <c r="E4018" s="106">
        <f t="shared" ca="1" si="226"/>
        <v>0</v>
      </c>
      <c r="F4018" s="21">
        <f t="shared" ca="1" si="227"/>
        <v>0</v>
      </c>
      <c r="H4018" s="21">
        <v>4003</v>
      </c>
      <c r="I4018" s="107">
        <v>0.66778392805557008</v>
      </c>
      <c r="J4018" s="108">
        <v>1.4336981061598515E-3</v>
      </c>
      <c r="K4018" s="108"/>
      <c r="L4018" s="108">
        <v>4.4600000000000001E-2</v>
      </c>
      <c r="O4018" s="105"/>
    </row>
    <row r="4019" spans="2:15" x14ac:dyDescent="0.2">
      <c r="B4019" s="1">
        <f t="shared" si="228"/>
        <v>4004</v>
      </c>
      <c r="C4019" s="106">
        <f ca="1"/>
        <v>1.0102640373241032</v>
      </c>
      <c r="D4019" s="106">
        <f t="shared" ca="1" si="225"/>
        <v>0.73413425462414605</v>
      </c>
      <c r="E4019" s="106">
        <f t="shared" ca="1" si="226"/>
        <v>0</v>
      </c>
      <c r="F4019" s="21">
        <f t="shared" ca="1" si="227"/>
        <v>0</v>
      </c>
      <c r="H4019" s="21">
        <v>4004</v>
      </c>
      <c r="I4019" s="107">
        <v>0.66770156242482037</v>
      </c>
      <c r="J4019" s="108">
        <v>1.2907492551722038E-3</v>
      </c>
      <c r="K4019" s="108"/>
      <c r="L4019" s="108">
        <v>4.24E-2</v>
      </c>
      <c r="O4019" s="105"/>
    </row>
    <row r="4020" spans="2:15" x14ac:dyDescent="0.2">
      <c r="B4020" s="1">
        <f t="shared" si="228"/>
        <v>4005</v>
      </c>
      <c r="C4020" s="106">
        <f ca="1"/>
        <v>-0.32112522233408913</v>
      </c>
      <c r="D4020" s="106">
        <f t="shared" ca="1" si="225"/>
        <v>0.64378313236986551</v>
      </c>
      <c r="E4020" s="106">
        <f t="shared" ca="1" si="226"/>
        <v>0</v>
      </c>
      <c r="F4020" s="21">
        <f t="shared" ca="1" si="227"/>
        <v>0</v>
      </c>
      <c r="H4020" s="21">
        <v>4005</v>
      </c>
      <c r="I4020" s="107">
        <v>0.6675964358182146</v>
      </c>
      <c r="J4020" s="108">
        <v>1.1589452798082022E-3</v>
      </c>
      <c r="K4020" s="108"/>
      <c r="L4020" s="108">
        <v>3.9399999999999998E-2</v>
      </c>
      <c r="O4020" s="105"/>
    </row>
    <row r="4021" spans="2:15" x14ac:dyDescent="0.2">
      <c r="B4021" s="1">
        <f t="shared" si="228"/>
        <v>4006</v>
      </c>
      <c r="C4021" s="106">
        <f ca="1"/>
        <v>-0.97667447849766065</v>
      </c>
      <c r="D4021" s="106">
        <f t="shared" ca="1" si="225"/>
        <v>0.60347080949662446</v>
      </c>
      <c r="E4021" s="106">
        <f t="shared" ca="1" si="226"/>
        <v>0</v>
      </c>
      <c r="F4021" s="21">
        <f t="shared" ca="1" si="227"/>
        <v>0</v>
      </c>
      <c r="H4021" s="21">
        <v>4006</v>
      </c>
      <c r="I4021" s="107">
        <v>0.66782121435668573</v>
      </c>
      <c r="J4021" s="108">
        <v>1.2871303973406444E-3</v>
      </c>
      <c r="K4021" s="108"/>
      <c r="L4021" s="108">
        <v>4.1200000000000001E-2</v>
      </c>
      <c r="O4021" s="105"/>
    </row>
    <row r="4022" spans="2:15" x14ac:dyDescent="0.2">
      <c r="B4022" s="1">
        <f t="shared" si="228"/>
        <v>4007</v>
      </c>
      <c r="C4022" s="106">
        <f ca="1"/>
        <v>-1.4021579107918456</v>
      </c>
      <c r="D4022" s="106">
        <f t="shared" ca="1" si="225"/>
        <v>0.57866713786023005</v>
      </c>
      <c r="E4022" s="106">
        <f t="shared" ca="1" si="226"/>
        <v>0</v>
      </c>
      <c r="F4022" s="21">
        <f t="shared" ca="1" si="227"/>
        <v>0</v>
      </c>
      <c r="H4022" s="21">
        <v>4007</v>
      </c>
      <c r="I4022" s="107">
        <v>0.66776991523876894</v>
      </c>
      <c r="J4022" s="108">
        <v>1.3028258677180871E-3</v>
      </c>
      <c r="K4022" s="108"/>
      <c r="L4022" s="108">
        <v>4.5400000000000003E-2</v>
      </c>
      <c r="O4022" s="105"/>
    </row>
    <row r="4023" spans="2:15" x14ac:dyDescent="0.2">
      <c r="B4023" s="1">
        <f t="shared" si="228"/>
        <v>4008</v>
      </c>
      <c r="C4023" s="106">
        <f ca="1"/>
        <v>9.002695952984914E-2</v>
      </c>
      <c r="D4023" s="106">
        <f t="shared" ca="1" si="225"/>
        <v>0.67042947515628171</v>
      </c>
      <c r="E4023" s="106">
        <f t="shared" ca="1" si="226"/>
        <v>0</v>
      </c>
      <c r="F4023" s="21">
        <f t="shared" ca="1" si="227"/>
        <v>0</v>
      </c>
      <c r="H4023" s="21">
        <v>4008</v>
      </c>
      <c r="I4023" s="107">
        <v>0.66776922317887588</v>
      </c>
      <c r="J4023" s="108">
        <v>1.2811692747210861E-3</v>
      </c>
      <c r="K4023" s="108"/>
      <c r="L4023" s="108">
        <v>4.24E-2</v>
      </c>
      <c r="O4023" s="105"/>
    </row>
    <row r="4024" spans="2:15" x14ac:dyDescent="0.2">
      <c r="B4024" s="1">
        <f t="shared" si="228"/>
        <v>4009</v>
      </c>
      <c r="C4024" s="106">
        <f ca="1"/>
        <v>3.5847791997571356E-2</v>
      </c>
      <c r="D4024" s="106">
        <f t="shared" ca="1" si="225"/>
        <v>0.6668560528519234</v>
      </c>
      <c r="E4024" s="106">
        <f t="shared" ca="1" si="226"/>
        <v>0</v>
      </c>
      <c r="F4024" s="21">
        <f t="shared" ca="1" si="227"/>
        <v>0</v>
      </c>
      <c r="H4024" s="21">
        <v>4009</v>
      </c>
      <c r="I4024" s="107">
        <v>0.66771909852398958</v>
      </c>
      <c r="J4024" s="108">
        <v>1.4505017200249278E-3</v>
      </c>
      <c r="K4024" s="108"/>
      <c r="L4024" s="108">
        <v>4.1200000000000001E-2</v>
      </c>
      <c r="O4024" s="105"/>
    </row>
    <row r="4025" spans="2:15" x14ac:dyDescent="0.2">
      <c r="B4025" s="1">
        <f t="shared" si="228"/>
        <v>4010</v>
      </c>
      <c r="C4025" s="106">
        <f ca="1"/>
        <v>0.64867978109613711</v>
      </c>
      <c r="D4025" s="106">
        <f t="shared" ca="1" si="225"/>
        <v>0.70841123798871852</v>
      </c>
      <c r="E4025" s="106">
        <f t="shared" ca="1" si="226"/>
        <v>0</v>
      </c>
      <c r="F4025" s="21">
        <f t="shared" ca="1" si="227"/>
        <v>0</v>
      </c>
      <c r="H4025" s="21">
        <v>4010</v>
      </c>
      <c r="I4025" s="107">
        <v>0.66769001888887825</v>
      </c>
      <c r="J4025" s="108">
        <v>1.2849376498385169E-3</v>
      </c>
      <c r="K4025" s="108"/>
      <c r="L4025" s="108">
        <v>4.0399999999999998E-2</v>
      </c>
      <c r="O4025" s="105"/>
    </row>
    <row r="4026" spans="2:15" x14ac:dyDescent="0.2">
      <c r="B4026" s="1">
        <f t="shared" si="228"/>
        <v>4011</v>
      </c>
      <c r="C4026" s="106">
        <f ca="1"/>
        <v>-0.49555367303221609</v>
      </c>
      <c r="D4026" s="106">
        <f t="shared" ca="1" si="225"/>
        <v>0.63280104306464391</v>
      </c>
      <c r="E4026" s="106">
        <f t="shared" ca="1" si="226"/>
        <v>0</v>
      </c>
      <c r="F4026" s="21">
        <f t="shared" ca="1" si="227"/>
        <v>0</v>
      </c>
      <c r="H4026" s="21">
        <v>4011</v>
      </c>
      <c r="I4026" s="107">
        <v>0.66776099318108195</v>
      </c>
      <c r="J4026" s="108">
        <v>1.2981277884174184E-3</v>
      </c>
      <c r="K4026" s="108"/>
      <c r="L4026" s="108">
        <v>4.3200000000000002E-2</v>
      </c>
      <c r="O4026" s="105"/>
    </row>
    <row r="4027" spans="2:15" x14ac:dyDescent="0.2">
      <c r="B4027" s="1">
        <f t="shared" si="228"/>
        <v>4012</v>
      </c>
      <c r="C4027" s="106">
        <f ca="1"/>
        <v>-0.24147524684821331</v>
      </c>
      <c r="D4027" s="106">
        <f t="shared" ca="1" si="225"/>
        <v>0.64886111645846456</v>
      </c>
      <c r="E4027" s="106">
        <f t="shared" ca="1" si="226"/>
        <v>0</v>
      </c>
      <c r="F4027" s="21">
        <f t="shared" ca="1" si="227"/>
        <v>0</v>
      </c>
      <c r="H4027" s="21">
        <v>4012</v>
      </c>
      <c r="I4027" s="107">
        <v>0.6676057470369039</v>
      </c>
      <c r="J4027" s="108">
        <v>1.175925109393599E-3</v>
      </c>
      <c r="K4027" s="108"/>
      <c r="L4027" s="108">
        <v>3.78E-2</v>
      </c>
      <c r="O4027" s="105"/>
    </row>
    <row r="4028" spans="2:15" x14ac:dyDescent="0.2">
      <c r="B4028" s="1">
        <f t="shared" si="228"/>
        <v>4013</v>
      </c>
      <c r="C4028" s="106">
        <f ca="1"/>
        <v>8.6971420770745628E-2</v>
      </c>
      <c r="D4028" s="106">
        <f t="shared" ca="1" si="225"/>
        <v>0.67022743655636408</v>
      </c>
      <c r="E4028" s="106">
        <f t="shared" ca="1" si="226"/>
        <v>0</v>
      </c>
      <c r="F4028" s="21">
        <f t="shared" ca="1" si="227"/>
        <v>0</v>
      </c>
      <c r="H4028" s="21">
        <v>4013</v>
      </c>
      <c r="I4028" s="107">
        <v>0.66785693493215659</v>
      </c>
      <c r="J4028" s="108">
        <v>1.4679880863585737E-3</v>
      </c>
      <c r="K4028" s="108"/>
      <c r="L4028" s="108">
        <v>4.3200000000000002E-2</v>
      </c>
      <c r="O4028" s="105"/>
    </row>
    <row r="4029" spans="2:15" x14ac:dyDescent="0.2">
      <c r="B4029" s="1">
        <f t="shared" si="228"/>
        <v>4014</v>
      </c>
      <c r="C4029" s="106">
        <f ca="1"/>
        <v>-2.4682772436653568</v>
      </c>
      <c r="D4029" s="106">
        <f t="shared" ca="1" si="225"/>
        <v>0.52090307939053393</v>
      </c>
      <c r="E4029" s="106">
        <f t="shared" ca="1" si="226"/>
        <v>0</v>
      </c>
      <c r="F4029" s="21">
        <f t="shared" ca="1" si="227"/>
        <v>0</v>
      </c>
      <c r="H4029" s="21">
        <v>4014</v>
      </c>
      <c r="I4029" s="107">
        <v>0.66767319059270991</v>
      </c>
      <c r="J4029" s="108">
        <v>1.3039755158591609E-3</v>
      </c>
      <c r="K4029" s="108"/>
      <c r="L4029" s="108">
        <v>3.7400000000000003E-2</v>
      </c>
      <c r="O4029" s="105"/>
    </row>
    <row r="4030" spans="2:15" x14ac:dyDescent="0.2">
      <c r="B4030" s="1">
        <f t="shared" si="228"/>
        <v>4015</v>
      </c>
      <c r="C4030" s="106">
        <f ca="1"/>
        <v>-1.0503885050357111</v>
      </c>
      <c r="D4030" s="106">
        <f t="shared" ca="1" si="225"/>
        <v>0.59909873726888296</v>
      </c>
      <c r="E4030" s="106">
        <f t="shared" ca="1" si="226"/>
        <v>0</v>
      </c>
      <c r="F4030" s="21">
        <f t="shared" ca="1" si="227"/>
        <v>0</v>
      </c>
      <c r="H4030" s="21">
        <v>4015</v>
      </c>
      <c r="I4030" s="107">
        <v>0.66776153894613355</v>
      </c>
      <c r="J4030" s="108">
        <v>1.4640860992075153E-3</v>
      </c>
      <c r="K4030" s="108"/>
      <c r="L4030" s="108">
        <v>4.2799999999999998E-2</v>
      </c>
      <c r="O4030" s="105"/>
    </row>
    <row r="4031" spans="2:15" x14ac:dyDescent="0.2">
      <c r="B4031" s="1">
        <f t="shared" si="228"/>
        <v>4016</v>
      </c>
      <c r="C4031" s="106">
        <f ca="1"/>
        <v>1.7429938479303011</v>
      </c>
      <c r="D4031" s="106">
        <f t="shared" ca="1" si="225"/>
        <v>0.78916021419067273</v>
      </c>
      <c r="E4031" s="106">
        <f t="shared" ca="1" si="226"/>
        <v>9.6021419067271463E-4</v>
      </c>
      <c r="F4031" s="21">
        <f t="shared" ca="1" si="227"/>
        <v>1</v>
      </c>
      <c r="H4031" s="21">
        <v>4016</v>
      </c>
      <c r="I4031" s="107">
        <v>0.66767579834246615</v>
      </c>
      <c r="J4031" s="108">
        <v>1.270152707995152E-3</v>
      </c>
      <c r="K4031" s="108"/>
      <c r="L4031" s="108">
        <v>4.24E-2</v>
      </c>
      <c r="O4031" s="105"/>
    </row>
    <row r="4032" spans="2:15" x14ac:dyDescent="0.2">
      <c r="B4032" s="1">
        <f t="shared" si="228"/>
        <v>4017</v>
      </c>
      <c r="C4032" s="106">
        <f ca="1"/>
        <v>-2.2965551283932593</v>
      </c>
      <c r="D4032" s="106">
        <f t="shared" ca="1" si="225"/>
        <v>0.52980175718138367</v>
      </c>
      <c r="E4032" s="106">
        <f t="shared" ca="1" si="226"/>
        <v>0</v>
      </c>
      <c r="F4032" s="21">
        <f t="shared" ca="1" si="227"/>
        <v>0</v>
      </c>
      <c r="H4032" s="21">
        <v>4017</v>
      </c>
      <c r="I4032" s="107">
        <v>0.66759586635664003</v>
      </c>
      <c r="J4032" s="108">
        <v>1.1763516674991943E-3</v>
      </c>
      <c r="K4032" s="108"/>
      <c r="L4032" s="108">
        <v>4.0800000000000003E-2</v>
      </c>
      <c r="O4032" s="105"/>
    </row>
    <row r="4033" spans="2:15" x14ac:dyDescent="0.2">
      <c r="B4033" s="1">
        <f t="shared" si="228"/>
        <v>4018</v>
      </c>
      <c r="C4033" s="106">
        <f ca="1"/>
        <v>-0.43221815993208845</v>
      </c>
      <c r="D4033" s="106">
        <f t="shared" ca="1" si="225"/>
        <v>0.63676684219977286</v>
      </c>
      <c r="E4033" s="106">
        <f t="shared" ca="1" si="226"/>
        <v>0</v>
      </c>
      <c r="F4033" s="21">
        <f t="shared" ca="1" si="227"/>
        <v>0</v>
      </c>
      <c r="H4033" s="21">
        <v>4018</v>
      </c>
      <c r="I4033" s="107">
        <v>0.66787078779395614</v>
      </c>
      <c r="J4033" s="108">
        <v>1.4881223361335107E-3</v>
      </c>
      <c r="K4033" s="108"/>
      <c r="L4033" s="108">
        <v>4.4200000000000003E-2</v>
      </c>
      <c r="O4033" s="105"/>
    </row>
    <row r="4034" spans="2:15" x14ac:dyDescent="0.2">
      <c r="B4034" s="1">
        <f t="shared" si="228"/>
        <v>4019</v>
      </c>
      <c r="C4034" s="106">
        <f ca="1"/>
        <v>-0.11092832381360875</v>
      </c>
      <c r="D4034" s="106">
        <f t="shared" ca="1" si="225"/>
        <v>0.65727074020889342</v>
      </c>
      <c r="E4034" s="106">
        <f t="shared" ca="1" si="226"/>
        <v>0</v>
      </c>
      <c r="F4034" s="21">
        <f t="shared" ca="1" si="227"/>
        <v>0</v>
      </c>
      <c r="H4034" s="21">
        <v>4019</v>
      </c>
      <c r="I4034" s="107">
        <v>0.66777585236457915</v>
      </c>
      <c r="J4034" s="108">
        <v>1.4173422557903995E-3</v>
      </c>
      <c r="K4034" s="108"/>
      <c r="L4034" s="108">
        <v>4.1200000000000001E-2</v>
      </c>
      <c r="O4034" s="105"/>
    </row>
    <row r="4035" spans="2:15" x14ac:dyDescent="0.2">
      <c r="B4035" s="1">
        <f t="shared" si="228"/>
        <v>4020</v>
      </c>
      <c r="C4035" s="106">
        <f ca="1"/>
        <v>1.1325336064298843</v>
      </c>
      <c r="D4035" s="106">
        <f t="shared" ca="1" si="225"/>
        <v>0.74304213507212513</v>
      </c>
      <c r="E4035" s="106">
        <f t="shared" ca="1" si="226"/>
        <v>0</v>
      </c>
      <c r="F4035" s="21">
        <f t="shared" ca="1" si="227"/>
        <v>0</v>
      </c>
      <c r="H4035" s="21">
        <v>4020</v>
      </c>
      <c r="I4035" s="107">
        <v>0.66786106608943041</v>
      </c>
      <c r="J4035" s="108">
        <v>1.581539523178666E-3</v>
      </c>
      <c r="K4035" s="108"/>
      <c r="L4035" s="108">
        <v>4.7399999999999998E-2</v>
      </c>
      <c r="O4035" s="105"/>
    </row>
    <row r="4036" spans="2:15" x14ac:dyDescent="0.2">
      <c r="B4036" s="1">
        <f t="shared" si="228"/>
        <v>4021</v>
      </c>
      <c r="C4036" s="106">
        <f ca="1"/>
        <v>-0.68104851385908349</v>
      </c>
      <c r="D4036" s="106">
        <f t="shared" ca="1" si="225"/>
        <v>0.62132767996196625</v>
      </c>
      <c r="E4036" s="106">
        <f t="shared" ca="1" si="226"/>
        <v>0</v>
      </c>
      <c r="F4036" s="21">
        <f t="shared" ca="1" si="227"/>
        <v>0</v>
      </c>
      <c r="H4036" s="21">
        <v>4021</v>
      </c>
      <c r="I4036" s="107">
        <v>0.66773785298048627</v>
      </c>
      <c r="J4036" s="108">
        <v>1.4546575962240758E-3</v>
      </c>
      <c r="K4036" s="108"/>
      <c r="L4036" s="108">
        <v>4.2200000000000001E-2</v>
      </c>
      <c r="O4036" s="105"/>
    </row>
    <row r="4037" spans="2:15" x14ac:dyDescent="0.2">
      <c r="B4037" s="1">
        <f t="shared" si="228"/>
        <v>4022</v>
      </c>
      <c r="C4037" s="106">
        <f ca="1"/>
        <v>-2.9773465805696011</v>
      </c>
      <c r="D4037" s="106">
        <f t="shared" ca="1" si="225"/>
        <v>0.49539167985281651</v>
      </c>
      <c r="E4037" s="106">
        <f t="shared" ca="1" si="226"/>
        <v>0</v>
      </c>
      <c r="F4037" s="21">
        <f t="shared" ca="1" si="227"/>
        <v>0</v>
      </c>
      <c r="H4037" s="21">
        <v>4022</v>
      </c>
      <c r="I4037" s="107">
        <v>0.66784234389535801</v>
      </c>
      <c r="J4037" s="108">
        <v>1.361963091023438E-3</v>
      </c>
      <c r="K4037" s="108"/>
      <c r="L4037" s="108">
        <v>4.3400000000000001E-2</v>
      </c>
      <c r="O4037" s="105"/>
    </row>
    <row r="4038" spans="2:15" x14ac:dyDescent="0.2">
      <c r="B4038" s="1">
        <f t="shared" si="228"/>
        <v>4023</v>
      </c>
      <c r="C4038" s="106">
        <f ca="1"/>
        <v>-0.15626775448599381</v>
      </c>
      <c r="D4038" s="106">
        <f t="shared" ca="1" si="225"/>
        <v>0.65433776449052161</v>
      </c>
      <c r="E4038" s="106">
        <f t="shared" ca="1" si="226"/>
        <v>0</v>
      </c>
      <c r="F4038" s="21">
        <f t="shared" ca="1" si="227"/>
        <v>0</v>
      </c>
      <c r="H4038" s="21">
        <v>4023</v>
      </c>
      <c r="I4038" s="107">
        <v>0.66771681802031457</v>
      </c>
      <c r="J4038" s="108">
        <v>1.3049259654317755E-3</v>
      </c>
      <c r="K4038" s="108"/>
      <c r="L4038" s="108">
        <v>4.0599999999999997E-2</v>
      </c>
      <c r="O4038" s="105"/>
    </row>
    <row r="4039" spans="2:15" x14ac:dyDescent="0.2">
      <c r="B4039" s="1">
        <f t="shared" si="228"/>
        <v>4024</v>
      </c>
      <c r="C4039" s="106">
        <f ca="1"/>
        <v>0.13240324544026252</v>
      </c>
      <c r="D4039" s="106">
        <f t="shared" ca="1" si="225"/>
        <v>0.67323777123496742</v>
      </c>
      <c r="E4039" s="106">
        <f t="shared" ca="1" si="226"/>
        <v>0</v>
      </c>
      <c r="F4039" s="21">
        <f t="shared" ca="1" si="227"/>
        <v>0</v>
      </c>
      <c r="H4039" s="21">
        <v>4024</v>
      </c>
      <c r="I4039" s="107">
        <v>0.66775990127444385</v>
      </c>
      <c r="J4039" s="108">
        <v>1.2356036091059168E-3</v>
      </c>
      <c r="K4039" s="108"/>
      <c r="L4039" s="108">
        <v>3.9600000000000003E-2</v>
      </c>
      <c r="O4039" s="105"/>
    </row>
    <row r="4040" spans="2:15" x14ac:dyDescent="0.2">
      <c r="B4040" s="1">
        <f t="shared" si="228"/>
        <v>4025</v>
      </c>
      <c r="C4040" s="106">
        <f ca="1"/>
        <v>-0.10172692115943208</v>
      </c>
      <c r="D4040" s="106">
        <f t="shared" ca="1" si="225"/>
        <v>0.65786757528920115</v>
      </c>
      <c r="E4040" s="106">
        <f t="shared" ca="1" si="226"/>
        <v>0</v>
      </c>
      <c r="F4040" s="21">
        <f t="shared" ca="1" si="227"/>
        <v>0</v>
      </c>
      <c r="H4040" s="21">
        <v>4025</v>
      </c>
      <c r="I4040" s="107">
        <v>0.66768195953140907</v>
      </c>
      <c r="J4040" s="108">
        <v>1.3712505027985097E-3</v>
      </c>
      <c r="K4040" s="108"/>
      <c r="L4040" s="108">
        <v>3.7999999999999999E-2</v>
      </c>
      <c r="O4040" s="105"/>
    </row>
    <row r="4041" spans="2:15" x14ac:dyDescent="0.2">
      <c r="B4041" s="1">
        <f t="shared" si="228"/>
        <v>4026</v>
      </c>
      <c r="C4041" s="106">
        <f ca="1"/>
        <v>0.3599308659331672</v>
      </c>
      <c r="D4041" s="106">
        <f t="shared" ca="1" si="225"/>
        <v>0.68851850417614002</v>
      </c>
      <c r="E4041" s="106">
        <f t="shared" ca="1" si="226"/>
        <v>0</v>
      </c>
      <c r="F4041" s="21">
        <f t="shared" ca="1" si="227"/>
        <v>0</v>
      </c>
      <c r="H4041" s="21">
        <v>4026</v>
      </c>
      <c r="I4041" s="107">
        <v>0.66773460450476585</v>
      </c>
      <c r="J4041" s="108">
        <v>1.4206976109558405E-3</v>
      </c>
      <c r="K4041" s="108"/>
      <c r="L4041" s="108">
        <v>4.1000000000000002E-2</v>
      </c>
      <c r="O4041" s="105"/>
    </row>
    <row r="4042" spans="2:15" x14ac:dyDescent="0.2">
      <c r="B4042" s="1">
        <f t="shared" si="228"/>
        <v>4027</v>
      </c>
      <c r="C4042" s="106">
        <f ca="1"/>
        <v>-0.27588340220447799</v>
      </c>
      <c r="D4042" s="106">
        <f t="shared" ca="1" si="225"/>
        <v>0.6466625720774366</v>
      </c>
      <c r="E4042" s="106">
        <f t="shared" ca="1" si="226"/>
        <v>0</v>
      </c>
      <c r="F4042" s="21">
        <f t="shared" ca="1" si="227"/>
        <v>0</v>
      </c>
      <c r="H4042" s="21">
        <v>4027</v>
      </c>
      <c r="I4042" s="107">
        <v>0.66784269666136542</v>
      </c>
      <c r="J4042" s="108">
        <v>1.4830767565950443E-3</v>
      </c>
      <c r="K4042" s="108"/>
      <c r="L4042" s="108">
        <v>4.4600000000000001E-2</v>
      </c>
      <c r="O4042" s="105"/>
    </row>
    <row r="4043" spans="2:15" x14ac:dyDescent="0.2">
      <c r="B4043" s="1">
        <f t="shared" si="228"/>
        <v>4028</v>
      </c>
      <c r="C4043" s="106">
        <f ca="1"/>
        <v>0.62907835396269396</v>
      </c>
      <c r="D4043" s="106">
        <f t="shared" ca="1" si="225"/>
        <v>0.70704284056989575</v>
      </c>
      <c r="E4043" s="106">
        <f t="shared" ca="1" si="226"/>
        <v>0</v>
      </c>
      <c r="F4043" s="21">
        <f t="shared" ca="1" si="227"/>
        <v>0</v>
      </c>
      <c r="H4043" s="21">
        <v>4028</v>
      </c>
      <c r="I4043" s="107">
        <v>0.66779726859818389</v>
      </c>
      <c r="J4043" s="108">
        <v>1.4447301491410599E-3</v>
      </c>
      <c r="K4043" s="108"/>
      <c r="L4043" s="108">
        <v>4.1799999999999997E-2</v>
      </c>
      <c r="O4043" s="105"/>
    </row>
    <row r="4044" spans="2:15" x14ac:dyDescent="0.2">
      <c r="B4044" s="1">
        <f t="shared" si="228"/>
        <v>4029</v>
      </c>
      <c r="C4044" s="106">
        <f ca="1"/>
        <v>0.88995100236973745</v>
      </c>
      <c r="D4044" s="106">
        <f t="shared" ca="1" si="225"/>
        <v>0.72547316461191469</v>
      </c>
      <c r="E4044" s="106">
        <f t="shared" ca="1" si="226"/>
        <v>0</v>
      </c>
      <c r="F4044" s="21">
        <f t="shared" ca="1" si="227"/>
        <v>0</v>
      </c>
      <c r="H4044" s="21">
        <v>4029</v>
      </c>
      <c r="I4044" s="107">
        <v>0.66759886987803096</v>
      </c>
      <c r="J4044" s="108">
        <v>1.2238325216390069E-3</v>
      </c>
      <c r="K4044" s="108"/>
      <c r="L4044" s="108">
        <v>3.9800000000000002E-2</v>
      </c>
      <c r="O4044" s="105"/>
    </row>
    <row r="4045" spans="2:15" x14ac:dyDescent="0.2">
      <c r="B4045" s="1">
        <f t="shared" si="228"/>
        <v>4030</v>
      </c>
      <c r="C4045" s="106">
        <f ca="1"/>
        <v>-0.74928057556726324</v>
      </c>
      <c r="D4045" s="106">
        <f t="shared" ca="1" si="225"/>
        <v>0.6171598748158279</v>
      </c>
      <c r="E4045" s="106">
        <f t="shared" ca="1" si="226"/>
        <v>0</v>
      </c>
      <c r="F4045" s="21">
        <f t="shared" ca="1" si="227"/>
        <v>0</v>
      </c>
      <c r="H4045" s="21">
        <v>4030</v>
      </c>
      <c r="I4045" s="107">
        <v>0.66764156340084735</v>
      </c>
      <c r="J4045" s="108">
        <v>1.3219464443044605E-3</v>
      </c>
      <c r="K4045" s="108"/>
      <c r="L4045" s="108">
        <v>4.1200000000000001E-2</v>
      </c>
      <c r="O4045" s="105"/>
    </row>
    <row r="4046" spans="2:15" x14ac:dyDescent="0.2">
      <c r="B4046" s="1">
        <f t="shared" si="228"/>
        <v>4031</v>
      </c>
      <c r="C4046" s="106">
        <f ca="1"/>
        <v>-1.4280074387334114</v>
      </c>
      <c r="D4046" s="106">
        <f t="shared" ca="1" si="225"/>
        <v>0.57719351358991267</v>
      </c>
      <c r="E4046" s="106">
        <f t="shared" ca="1" si="226"/>
        <v>0</v>
      </c>
      <c r="F4046" s="21">
        <f t="shared" ca="1" si="227"/>
        <v>0</v>
      </c>
      <c r="H4046" s="21">
        <v>4031</v>
      </c>
      <c r="I4046" s="107">
        <v>0.66791269789458119</v>
      </c>
      <c r="J4046" s="108">
        <v>1.3545607427643753E-3</v>
      </c>
      <c r="K4046" s="108"/>
      <c r="L4046" s="108">
        <v>4.4200000000000003E-2</v>
      </c>
      <c r="O4046" s="105"/>
    </row>
    <row r="4047" spans="2:15" x14ac:dyDescent="0.2">
      <c r="B4047" s="1">
        <f t="shared" si="228"/>
        <v>4032</v>
      </c>
      <c r="C4047" s="106">
        <f ca="1"/>
        <v>-1.0006835883243315</v>
      </c>
      <c r="D4047" s="106">
        <f t="shared" ca="1" si="225"/>
        <v>0.60204330639564596</v>
      </c>
      <c r="E4047" s="106">
        <f t="shared" ca="1" si="226"/>
        <v>0</v>
      </c>
      <c r="F4047" s="21">
        <f t="shared" ca="1" si="227"/>
        <v>0</v>
      </c>
      <c r="H4047" s="21">
        <v>4032</v>
      </c>
      <c r="I4047" s="107">
        <v>0.66772436670681479</v>
      </c>
      <c r="J4047" s="108">
        <v>1.431885267118889E-3</v>
      </c>
      <c r="K4047" s="108"/>
      <c r="L4047" s="108">
        <v>4.2000000000000003E-2</v>
      </c>
      <c r="O4047" s="105"/>
    </row>
    <row r="4048" spans="2:15" x14ac:dyDescent="0.2">
      <c r="B4048" s="1">
        <f t="shared" si="228"/>
        <v>4033</v>
      </c>
      <c r="C4048" s="106">
        <f ca="1"/>
        <v>-0.17285635274251204</v>
      </c>
      <c r="D4048" s="106">
        <f t="shared" ref="D4048:D4111" ca="1" si="229">S0*EXP((μ-0.5*σ*σ)*T+σ*SQRT(T)*$C4048)</f>
        <v>0.65326793318557697</v>
      </c>
      <c r="E4048" s="106">
        <f t="shared" ref="E4048:E4111" ca="1" si="230">MAX(0,CP*(D4048-K))</f>
        <v>0</v>
      </c>
      <c r="F4048" s="21">
        <f t="shared" ref="F4048:F4111" ca="1" si="231">(CP*(D4048-K)&gt;0)*1</f>
        <v>0</v>
      </c>
      <c r="H4048" s="21">
        <v>4033</v>
      </c>
      <c r="I4048" s="107">
        <v>0.66765410099548328</v>
      </c>
      <c r="J4048" s="108">
        <v>1.2002408863270512E-3</v>
      </c>
      <c r="K4048" s="108"/>
      <c r="L4048" s="108">
        <v>4.0399999999999998E-2</v>
      </c>
      <c r="O4048" s="105"/>
    </row>
    <row r="4049" spans="2:15" x14ac:dyDescent="0.2">
      <c r="B4049" s="1">
        <f t="shared" si="228"/>
        <v>4034</v>
      </c>
      <c r="C4049" s="106">
        <f ca="1"/>
        <v>2.994840246418855</v>
      </c>
      <c r="D4049" s="106">
        <f t="shared" ca="1" si="229"/>
        <v>0.89288085278820284</v>
      </c>
      <c r="E4049" s="106">
        <f t="shared" ca="1" si="230"/>
        <v>0.10468085278820283</v>
      </c>
      <c r="F4049" s="21">
        <f t="shared" ca="1" si="231"/>
        <v>1</v>
      </c>
      <c r="H4049" s="21">
        <v>4034</v>
      </c>
      <c r="I4049" s="107">
        <v>0.66761910568809846</v>
      </c>
      <c r="J4049" s="108">
        <v>1.267253626986382E-3</v>
      </c>
      <c r="K4049" s="108"/>
      <c r="L4049" s="108">
        <v>3.6799999999999999E-2</v>
      </c>
      <c r="O4049" s="105"/>
    </row>
    <row r="4050" spans="2:15" x14ac:dyDescent="0.2">
      <c r="B4050" s="1">
        <f t="shared" si="228"/>
        <v>4035</v>
      </c>
      <c r="C4050" s="106">
        <f ca="1"/>
        <v>-1.3553380158827473</v>
      </c>
      <c r="D4050" s="106">
        <f t="shared" ca="1" si="229"/>
        <v>0.5813458213978917</v>
      </c>
      <c r="E4050" s="106">
        <f t="shared" ca="1" si="230"/>
        <v>0</v>
      </c>
      <c r="F4050" s="21">
        <f t="shared" ca="1" si="231"/>
        <v>0</v>
      </c>
      <c r="H4050" s="21">
        <v>4035</v>
      </c>
      <c r="I4050" s="107">
        <v>0.66771381019053666</v>
      </c>
      <c r="J4050" s="108">
        <v>1.3998335336306155E-3</v>
      </c>
      <c r="K4050" s="108"/>
      <c r="L4050" s="108">
        <v>0.04</v>
      </c>
      <c r="O4050" s="105"/>
    </row>
    <row r="4051" spans="2:15" x14ac:dyDescent="0.2">
      <c r="B4051" s="1">
        <f t="shared" si="228"/>
        <v>4036</v>
      </c>
      <c r="C4051" s="106">
        <f ca="1"/>
        <v>0.34500147755620886</v>
      </c>
      <c r="D4051" s="106">
        <f t="shared" ca="1" si="229"/>
        <v>0.68750530042355606</v>
      </c>
      <c r="E4051" s="106">
        <f t="shared" ca="1" si="230"/>
        <v>0</v>
      </c>
      <c r="F4051" s="21">
        <f t="shared" ca="1" si="231"/>
        <v>0</v>
      </c>
      <c r="H4051" s="21">
        <v>4036</v>
      </c>
      <c r="I4051" s="107">
        <v>0.66776327217123554</v>
      </c>
      <c r="J4051" s="108">
        <v>1.3685694223051969E-3</v>
      </c>
      <c r="K4051" s="108"/>
      <c r="L4051" s="108">
        <v>4.1399999999999999E-2</v>
      </c>
      <c r="O4051" s="105"/>
    </row>
    <row r="4052" spans="2:15" x14ac:dyDescent="0.2">
      <c r="B4052" s="1">
        <f t="shared" si="228"/>
        <v>4037</v>
      </c>
      <c r="C4052" s="106">
        <f ca="1"/>
        <v>-0.18276472115636389</v>
      </c>
      <c r="D4052" s="106">
        <f t="shared" ca="1" si="229"/>
        <v>0.65262975762205255</v>
      </c>
      <c r="E4052" s="106">
        <f t="shared" ca="1" si="230"/>
        <v>0</v>
      </c>
      <c r="F4052" s="21">
        <f t="shared" ca="1" si="231"/>
        <v>0</v>
      </c>
      <c r="H4052" s="21">
        <v>4037</v>
      </c>
      <c r="I4052" s="107">
        <v>0.66777724339373212</v>
      </c>
      <c r="J4052" s="108">
        <v>1.4829977241153293E-3</v>
      </c>
      <c r="K4052" s="108"/>
      <c r="L4052" s="108">
        <v>3.9600000000000003E-2</v>
      </c>
      <c r="O4052" s="105"/>
    </row>
    <row r="4053" spans="2:15" x14ac:dyDescent="0.2">
      <c r="B4053" s="1">
        <f t="shared" si="228"/>
        <v>4038</v>
      </c>
      <c r="C4053" s="106">
        <f ca="1"/>
        <v>-2.1741180544362089</v>
      </c>
      <c r="D4053" s="106">
        <f t="shared" ca="1" si="229"/>
        <v>0.53623915637126174</v>
      </c>
      <c r="E4053" s="106">
        <f t="shared" ca="1" si="230"/>
        <v>0</v>
      </c>
      <c r="F4053" s="21">
        <f t="shared" ca="1" si="231"/>
        <v>0</v>
      </c>
      <c r="H4053" s="21">
        <v>4038</v>
      </c>
      <c r="I4053" s="107">
        <v>0.66782126978091283</v>
      </c>
      <c r="J4053" s="108">
        <v>1.3977137038096769E-3</v>
      </c>
      <c r="K4053" s="108"/>
      <c r="L4053" s="108">
        <v>4.4400000000000002E-2</v>
      </c>
      <c r="O4053" s="105"/>
    </row>
    <row r="4054" spans="2:15" x14ac:dyDescent="0.2">
      <c r="B4054" s="1">
        <f t="shared" si="228"/>
        <v>4039</v>
      </c>
      <c r="C4054" s="106">
        <f ca="1"/>
        <v>1.8429477508711722</v>
      </c>
      <c r="D4054" s="106">
        <f t="shared" ca="1" si="229"/>
        <v>0.79697949086693454</v>
      </c>
      <c r="E4054" s="106">
        <f t="shared" ca="1" si="230"/>
        <v>8.7794908669345251E-3</v>
      </c>
      <c r="F4054" s="21">
        <f t="shared" ca="1" si="231"/>
        <v>1</v>
      </c>
      <c r="H4054" s="21">
        <v>4039</v>
      </c>
      <c r="I4054" s="107">
        <v>0.66772289996915357</v>
      </c>
      <c r="J4054" s="108">
        <v>1.4474559697389201E-3</v>
      </c>
      <c r="K4054" s="108"/>
      <c r="L4054" s="108">
        <v>4.48E-2</v>
      </c>
      <c r="O4054" s="105"/>
    </row>
    <row r="4055" spans="2:15" x14ac:dyDescent="0.2">
      <c r="B4055" s="1">
        <f t="shared" si="228"/>
        <v>4040</v>
      </c>
      <c r="C4055" s="106">
        <f ca="1"/>
        <v>-0.40943325666344543</v>
      </c>
      <c r="D4055" s="106">
        <f t="shared" ca="1" si="229"/>
        <v>0.63819960622200422</v>
      </c>
      <c r="E4055" s="106">
        <f t="shared" ca="1" si="230"/>
        <v>0</v>
      </c>
      <c r="F4055" s="21">
        <f t="shared" ca="1" si="231"/>
        <v>0</v>
      </c>
      <c r="H4055" s="21">
        <v>4040</v>
      </c>
      <c r="I4055" s="107">
        <v>0.66786162017010386</v>
      </c>
      <c r="J4055" s="108">
        <v>1.4690558905020308E-3</v>
      </c>
      <c r="K4055" s="108"/>
      <c r="L4055" s="108">
        <v>4.4999999999999998E-2</v>
      </c>
      <c r="O4055" s="105"/>
    </row>
    <row r="4056" spans="2:15" x14ac:dyDescent="0.2">
      <c r="B4056" s="1">
        <f t="shared" si="228"/>
        <v>4041</v>
      </c>
      <c r="C4056" s="106">
        <f ca="1"/>
        <v>-0.50015010305906238</v>
      </c>
      <c r="D4056" s="106">
        <f t="shared" ca="1" si="229"/>
        <v>0.63251419740045511</v>
      </c>
      <c r="E4056" s="106">
        <f t="shared" ca="1" si="230"/>
        <v>0</v>
      </c>
      <c r="F4056" s="21">
        <f t="shared" ca="1" si="231"/>
        <v>0</v>
      </c>
      <c r="H4056" s="21">
        <v>4041</v>
      </c>
      <c r="I4056" s="107">
        <v>0.66771905013987431</v>
      </c>
      <c r="J4056" s="108">
        <v>1.420760657323948E-3</v>
      </c>
      <c r="K4056" s="108"/>
      <c r="L4056" s="108">
        <v>3.8800000000000001E-2</v>
      </c>
      <c r="O4056" s="105"/>
    </row>
    <row r="4057" spans="2:15" x14ac:dyDescent="0.2">
      <c r="B4057" s="1">
        <f t="shared" si="228"/>
        <v>4042</v>
      </c>
      <c r="C4057" s="106">
        <f ca="1"/>
        <v>-0.54909041447641371</v>
      </c>
      <c r="D4057" s="106">
        <f t="shared" ca="1" si="229"/>
        <v>0.62946807014413741</v>
      </c>
      <c r="E4057" s="106">
        <f t="shared" ca="1" si="230"/>
        <v>0</v>
      </c>
      <c r="F4057" s="21">
        <f t="shared" ca="1" si="231"/>
        <v>0</v>
      </c>
      <c r="H4057" s="21">
        <v>4042</v>
      </c>
      <c r="I4057" s="107">
        <v>0.66765300608987221</v>
      </c>
      <c r="J4057" s="108">
        <v>1.2195428434318635E-3</v>
      </c>
      <c r="K4057" s="108"/>
      <c r="L4057" s="108">
        <v>3.8800000000000001E-2</v>
      </c>
      <c r="O4057" s="105"/>
    </row>
    <row r="4058" spans="2:15" x14ac:dyDescent="0.2">
      <c r="B4058" s="1">
        <f t="shared" si="228"/>
        <v>4043</v>
      </c>
      <c r="C4058" s="106">
        <f ca="1"/>
        <v>-1.778636124691519</v>
      </c>
      <c r="D4058" s="106">
        <f t="shared" ca="1" si="229"/>
        <v>0.5575717032088684</v>
      </c>
      <c r="E4058" s="106">
        <f t="shared" ca="1" si="230"/>
        <v>0</v>
      </c>
      <c r="F4058" s="21">
        <f t="shared" ca="1" si="231"/>
        <v>0</v>
      </c>
      <c r="H4058" s="21">
        <v>4043</v>
      </c>
      <c r="I4058" s="107">
        <v>0.66778338074729049</v>
      </c>
      <c r="J4058" s="108">
        <v>1.392768645651494E-3</v>
      </c>
      <c r="K4058" s="108"/>
      <c r="L4058" s="108">
        <v>4.36E-2</v>
      </c>
      <c r="O4058" s="105"/>
    </row>
    <row r="4059" spans="2:15" x14ac:dyDescent="0.2">
      <c r="B4059" s="1">
        <f t="shared" si="228"/>
        <v>4044</v>
      </c>
      <c r="C4059" s="106">
        <f ca="1"/>
        <v>0.81589498104290359</v>
      </c>
      <c r="D4059" s="106">
        <f t="shared" ca="1" si="229"/>
        <v>0.72019290425138449</v>
      </c>
      <c r="E4059" s="106">
        <f t="shared" ca="1" si="230"/>
        <v>0</v>
      </c>
      <c r="F4059" s="21">
        <f t="shared" ca="1" si="231"/>
        <v>0</v>
      </c>
      <c r="H4059" s="21">
        <v>4044</v>
      </c>
      <c r="I4059" s="107">
        <v>0.6677733134326389</v>
      </c>
      <c r="J4059" s="108">
        <v>1.48224170555117E-3</v>
      </c>
      <c r="K4059" s="108"/>
      <c r="L4059" s="108">
        <v>4.1200000000000001E-2</v>
      </c>
      <c r="O4059" s="105"/>
    </row>
    <row r="4060" spans="2:15" x14ac:dyDescent="0.2">
      <c r="B4060" s="1">
        <f t="shared" si="228"/>
        <v>4045</v>
      </c>
      <c r="C4060" s="106">
        <f ca="1"/>
        <v>-0.61285078526065473</v>
      </c>
      <c r="D4060" s="106">
        <f t="shared" ca="1" si="229"/>
        <v>0.62552151270266776</v>
      </c>
      <c r="E4060" s="106">
        <f t="shared" ca="1" si="230"/>
        <v>0</v>
      </c>
      <c r="F4060" s="21">
        <f t="shared" ca="1" si="231"/>
        <v>0</v>
      </c>
      <c r="H4060" s="21">
        <v>4045</v>
      </c>
      <c r="I4060" s="107">
        <v>0.66775993833009162</v>
      </c>
      <c r="J4060" s="108">
        <v>1.4000168129417755E-3</v>
      </c>
      <c r="K4060" s="108"/>
      <c r="L4060" s="108">
        <v>4.2799999999999998E-2</v>
      </c>
      <c r="O4060" s="105"/>
    </row>
    <row r="4061" spans="2:15" x14ac:dyDescent="0.2">
      <c r="B4061" s="1">
        <f t="shared" si="228"/>
        <v>4046</v>
      </c>
      <c r="C4061" s="106">
        <f ca="1"/>
        <v>0.66929278099203404</v>
      </c>
      <c r="D4061" s="106">
        <f t="shared" ca="1" si="229"/>
        <v>0.70985311143112084</v>
      </c>
      <c r="E4061" s="106">
        <f t="shared" ca="1" si="230"/>
        <v>0</v>
      </c>
      <c r="F4061" s="21">
        <f t="shared" ca="1" si="231"/>
        <v>0</v>
      </c>
      <c r="H4061" s="21">
        <v>4046</v>
      </c>
      <c r="I4061" s="107">
        <v>0.66769878858680942</v>
      </c>
      <c r="J4061" s="108">
        <v>1.3667263538073384E-3</v>
      </c>
      <c r="K4061" s="108"/>
      <c r="L4061" s="108">
        <v>4.2200000000000001E-2</v>
      </c>
      <c r="O4061" s="105"/>
    </row>
    <row r="4062" spans="2:15" x14ac:dyDescent="0.2">
      <c r="B4062" s="1">
        <f t="shared" si="228"/>
        <v>4047</v>
      </c>
      <c r="C4062" s="106">
        <f ca="1"/>
        <v>-0.68810311099782961</v>
      </c>
      <c r="D4062" s="106">
        <f t="shared" ca="1" si="229"/>
        <v>0.62089546407943608</v>
      </c>
      <c r="E4062" s="106">
        <f t="shared" ca="1" si="230"/>
        <v>0</v>
      </c>
      <c r="F4062" s="21">
        <f t="shared" ca="1" si="231"/>
        <v>0</v>
      </c>
      <c r="H4062" s="21">
        <v>4047</v>
      </c>
      <c r="I4062" s="107">
        <v>0.6676362940396825</v>
      </c>
      <c r="J4062" s="108">
        <v>1.1878650658999888E-3</v>
      </c>
      <c r="K4062" s="108"/>
      <c r="L4062" s="108">
        <v>3.9800000000000002E-2</v>
      </c>
      <c r="O4062" s="105"/>
    </row>
    <row r="4063" spans="2:15" x14ac:dyDescent="0.2">
      <c r="B4063" s="1">
        <f t="shared" si="228"/>
        <v>4048</v>
      </c>
      <c r="C4063" s="106">
        <f ca="1"/>
        <v>0.81288435518803293</v>
      </c>
      <c r="D4063" s="106">
        <f t="shared" ca="1" si="229"/>
        <v>0.7199790587883298</v>
      </c>
      <c r="E4063" s="106">
        <f t="shared" ca="1" si="230"/>
        <v>0</v>
      </c>
      <c r="F4063" s="21">
        <f t="shared" ca="1" si="231"/>
        <v>0</v>
      </c>
      <c r="H4063" s="21">
        <v>4048</v>
      </c>
      <c r="I4063" s="107">
        <v>0.667685580742716</v>
      </c>
      <c r="J4063" s="108">
        <v>1.2945844742848786E-3</v>
      </c>
      <c r="K4063" s="108"/>
      <c r="L4063" s="108">
        <v>4.24E-2</v>
      </c>
      <c r="O4063" s="105"/>
    </row>
    <row r="4064" spans="2:15" x14ac:dyDescent="0.2">
      <c r="B4064" s="1">
        <f t="shared" si="228"/>
        <v>4049</v>
      </c>
      <c r="C4064" s="106">
        <f ca="1"/>
        <v>0.76308547199005938</v>
      </c>
      <c r="D4064" s="106">
        <f t="shared" ca="1" si="229"/>
        <v>0.71645102993198917</v>
      </c>
      <c r="E4064" s="106">
        <f t="shared" ca="1" si="230"/>
        <v>0</v>
      </c>
      <c r="F4064" s="21">
        <f t="shared" ca="1" si="231"/>
        <v>0</v>
      </c>
      <c r="H4064" s="21">
        <v>4049</v>
      </c>
      <c r="I4064" s="107">
        <v>0.66755099739062385</v>
      </c>
      <c r="J4064" s="108">
        <v>1.14912667427538E-3</v>
      </c>
      <c r="K4064" s="108"/>
      <c r="L4064" s="108">
        <v>3.6999999999999998E-2</v>
      </c>
      <c r="O4064" s="105"/>
    </row>
    <row r="4065" spans="2:15" x14ac:dyDescent="0.2">
      <c r="B4065" s="1">
        <f t="shared" si="228"/>
        <v>4050</v>
      </c>
      <c r="C4065" s="106">
        <f ca="1"/>
        <v>1.7616475138717975</v>
      </c>
      <c r="D4065" s="106">
        <f t="shared" ca="1" si="229"/>
        <v>0.79061362335633156</v>
      </c>
      <c r="E4065" s="106">
        <f t="shared" ca="1" si="230"/>
        <v>2.4136233563315512E-3</v>
      </c>
      <c r="F4065" s="21">
        <f t="shared" ca="1" si="231"/>
        <v>1</v>
      </c>
      <c r="H4065" s="21">
        <v>4050</v>
      </c>
      <c r="I4065" s="107">
        <v>0.66756213054665536</v>
      </c>
      <c r="J4065" s="108">
        <v>1.23082463581894E-3</v>
      </c>
      <c r="K4065" s="108"/>
      <c r="L4065" s="108">
        <v>3.8199999999999998E-2</v>
      </c>
      <c r="O4065" s="105"/>
    </row>
    <row r="4066" spans="2:15" x14ac:dyDescent="0.2">
      <c r="B4066" s="1">
        <f t="shared" si="228"/>
        <v>4051</v>
      </c>
      <c r="C4066" s="106">
        <f ca="1"/>
        <v>-0.88656587003439147</v>
      </c>
      <c r="D4066" s="106">
        <f t="shared" ca="1" si="229"/>
        <v>0.60885862827434545</v>
      </c>
      <c r="E4066" s="106">
        <f t="shared" ca="1" si="230"/>
        <v>0</v>
      </c>
      <c r="F4066" s="21">
        <f t="shared" ca="1" si="231"/>
        <v>0</v>
      </c>
      <c r="H4066" s="21">
        <v>4051</v>
      </c>
      <c r="I4066" s="107">
        <v>0.66773504601610256</v>
      </c>
      <c r="J4066" s="108">
        <v>1.3464215505987768E-3</v>
      </c>
      <c r="K4066" s="108"/>
      <c r="L4066" s="108">
        <v>3.8199999999999998E-2</v>
      </c>
      <c r="O4066" s="105"/>
    </row>
    <row r="4067" spans="2:15" x14ac:dyDescent="0.2">
      <c r="B4067" s="1">
        <f t="shared" si="228"/>
        <v>4052</v>
      </c>
      <c r="C4067" s="106">
        <f ca="1"/>
        <v>0.96311295338501979</v>
      </c>
      <c r="D4067" s="106">
        <f t="shared" ca="1" si="229"/>
        <v>0.73072769103535518</v>
      </c>
      <c r="E4067" s="106">
        <f t="shared" ca="1" si="230"/>
        <v>0</v>
      </c>
      <c r="F4067" s="21">
        <f t="shared" ca="1" si="231"/>
        <v>0</v>
      </c>
      <c r="H4067" s="21">
        <v>4052</v>
      </c>
      <c r="I4067" s="107">
        <v>0.66778369875571164</v>
      </c>
      <c r="J4067" s="108">
        <v>1.4130996764703196E-3</v>
      </c>
      <c r="K4067" s="108"/>
      <c r="L4067" s="108">
        <v>4.4200000000000003E-2</v>
      </c>
      <c r="O4067" s="105"/>
    </row>
    <row r="4068" spans="2:15" x14ac:dyDescent="0.2">
      <c r="B4068" s="1">
        <f t="shared" si="228"/>
        <v>4053</v>
      </c>
      <c r="C4068" s="106">
        <f ca="1"/>
        <v>0.70738068494821849</v>
      </c>
      <c r="D4068" s="106">
        <f t="shared" ca="1" si="229"/>
        <v>0.71252507511347274</v>
      </c>
      <c r="E4068" s="106">
        <f t="shared" ca="1" si="230"/>
        <v>0</v>
      </c>
      <c r="F4068" s="21">
        <f t="shared" ca="1" si="231"/>
        <v>0</v>
      </c>
      <c r="H4068" s="21">
        <v>4053</v>
      </c>
      <c r="I4068" s="107">
        <v>0.66763332729271629</v>
      </c>
      <c r="J4068" s="108">
        <v>1.1678635780147599E-3</v>
      </c>
      <c r="K4068" s="108"/>
      <c r="L4068" s="108">
        <v>3.9800000000000002E-2</v>
      </c>
      <c r="O4068" s="105"/>
    </row>
    <row r="4069" spans="2:15" x14ac:dyDescent="0.2">
      <c r="B4069" s="1">
        <f t="shared" si="228"/>
        <v>4054</v>
      </c>
      <c r="C4069" s="106">
        <f ca="1"/>
        <v>1.2096215739262319</v>
      </c>
      <c r="D4069" s="106">
        <f t="shared" ca="1" si="229"/>
        <v>0.74871380808054611</v>
      </c>
      <c r="E4069" s="106">
        <f t="shared" ca="1" si="230"/>
        <v>0</v>
      </c>
      <c r="F4069" s="21">
        <f t="shared" ca="1" si="231"/>
        <v>0</v>
      </c>
      <c r="H4069" s="21">
        <v>4054</v>
      </c>
      <c r="I4069" s="107">
        <v>0.66779552038344969</v>
      </c>
      <c r="J4069" s="108">
        <v>1.4079629196814879E-3</v>
      </c>
      <c r="K4069" s="108"/>
      <c r="L4069" s="108">
        <v>4.3400000000000001E-2</v>
      </c>
      <c r="O4069" s="105"/>
    </row>
    <row r="4070" spans="2:15" x14ac:dyDescent="0.2">
      <c r="B4070" s="1">
        <f t="shared" si="228"/>
        <v>4055</v>
      </c>
      <c r="C4070" s="106">
        <f ca="1"/>
        <v>3.2661815266729825E-3</v>
      </c>
      <c r="D4070" s="106">
        <f t="shared" ca="1" si="229"/>
        <v>0.66471628901141389</v>
      </c>
      <c r="E4070" s="106">
        <f t="shared" ca="1" si="230"/>
        <v>0</v>
      </c>
      <c r="F4070" s="21">
        <f t="shared" ca="1" si="231"/>
        <v>0</v>
      </c>
      <c r="H4070" s="21">
        <v>4055</v>
      </c>
      <c r="I4070" s="107">
        <v>0.66779054619550648</v>
      </c>
      <c r="J4070" s="108">
        <v>1.5045612836362989E-3</v>
      </c>
      <c r="K4070" s="108"/>
      <c r="L4070" s="108">
        <v>4.0800000000000003E-2</v>
      </c>
      <c r="O4070" s="105"/>
    </row>
    <row r="4071" spans="2:15" x14ac:dyDescent="0.2">
      <c r="B4071" s="1">
        <f t="shared" si="228"/>
        <v>4056</v>
      </c>
      <c r="C4071" s="106">
        <f ca="1"/>
        <v>1.0649041183533892</v>
      </c>
      <c r="D4071" s="106">
        <f t="shared" ca="1" si="229"/>
        <v>0.73810175177380133</v>
      </c>
      <c r="E4071" s="106">
        <f t="shared" ca="1" si="230"/>
        <v>0</v>
      </c>
      <c r="F4071" s="21">
        <f t="shared" ca="1" si="231"/>
        <v>0</v>
      </c>
      <c r="H4071" s="21">
        <v>4056</v>
      </c>
      <c r="I4071" s="107">
        <v>0.66779911316620011</v>
      </c>
      <c r="J4071" s="108">
        <v>1.4273249660849904E-3</v>
      </c>
      <c r="K4071" s="108"/>
      <c r="L4071" s="108">
        <v>4.3200000000000002E-2</v>
      </c>
      <c r="O4071" s="105"/>
    </row>
    <row r="4072" spans="2:15" x14ac:dyDescent="0.2">
      <c r="B4072" s="1">
        <f t="shared" si="228"/>
        <v>4057</v>
      </c>
      <c r="C4072" s="106">
        <f ca="1"/>
        <v>0.21343187534728095</v>
      </c>
      <c r="D4072" s="106">
        <f t="shared" ca="1" si="229"/>
        <v>0.67864036899437741</v>
      </c>
      <c r="E4072" s="106">
        <f t="shared" ca="1" si="230"/>
        <v>0</v>
      </c>
      <c r="F4072" s="21">
        <f t="shared" ca="1" si="231"/>
        <v>0</v>
      </c>
      <c r="H4072" s="21">
        <v>4057</v>
      </c>
      <c r="I4072" s="107">
        <v>0.66762035250812524</v>
      </c>
      <c r="J4072" s="108">
        <v>1.3191067915727165E-3</v>
      </c>
      <c r="K4072" s="108"/>
      <c r="L4072" s="108">
        <v>4.2200000000000001E-2</v>
      </c>
      <c r="O4072" s="105"/>
    </row>
    <row r="4073" spans="2:15" x14ac:dyDescent="0.2">
      <c r="B4073" s="1">
        <f t="shared" si="228"/>
        <v>4058</v>
      </c>
      <c r="C4073" s="106">
        <f ca="1"/>
        <v>-1.0630145990650104</v>
      </c>
      <c r="D4073" s="106">
        <f t="shared" ca="1" si="229"/>
        <v>0.59835305141351613</v>
      </c>
      <c r="E4073" s="106">
        <f t="shared" ca="1" si="230"/>
        <v>0</v>
      </c>
      <c r="F4073" s="21">
        <f t="shared" ca="1" si="231"/>
        <v>0</v>
      </c>
      <c r="H4073" s="21">
        <v>4058</v>
      </c>
      <c r="I4073" s="107">
        <v>0.66773061512557319</v>
      </c>
      <c r="J4073" s="108">
        <v>1.3686848641629816E-3</v>
      </c>
      <c r="K4073" s="108"/>
      <c r="L4073" s="108">
        <v>3.7400000000000003E-2</v>
      </c>
      <c r="O4073" s="105"/>
    </row>
    <row r="4074" spans="2:15" x14ac:dyDescent="0.2">
      <c r="B4074" s="1">
        <f t="shared" si="228"/>
        <v>4059</v>
      </c>
      <c r="C4074" s="106">
        <f ca="1"/>
        <v>-1.0633950950511892</v>
      </c>
      <c r="D4074" s="106">
        <f t="shared" ca="1" si="229"/>
        <v>0.5983305940721545</v>
      </c>
      <c r="E4074" s="106">
        <f t="shared" ca="1" si="230"/>
        <v>0</v>
      </c>
      <c r="F4074" s="21">
        <f t="shared" ca="1" si="231"/>
        <v>0</v>
      </c>
      <c r="H4074" s="21">
        <v>4059</v>
      </c>
      <c r="I4074" s="107">
        <v>0.66784951127032643</v>
      </c>
      <c r="J4074" s="108">
        <v>1.3942571001366287E-3</v>
      </c>
      <c r="K4074" s="108"/>
      <c r="L4074" s="108">
        <v>4.4200000000000003E-2</v>
      </c>
      <c r="O4074" s="105"/>
    </row>
    <row r="4075" spans="2:15" x14ac:dyDescent="0.2">
      <c r="B4075" s="1">
        <f t="shared" si="228"/>
        <v>4060</v>
      </c>
      <c r="C4075" s="106">
        <f ca="1"/>
        <v>1.2400865477180887</v>
      </c>
      <c r="D4075" s="106">
        <f t="shared" ca="1" si="229"/>
        <v>0.7509671560697968</v>
      </c>
      <c r="E4075" s="106">
        <f t="shared" ca="1" si="230"/>
        <v>0</v>
      </c>
      <c r="F4075" s="21">
        <f t="shared" ca="1" si="231"/>
        <v>0</v>
      </c>
      <c r="H4075" s="21">
        <v>4060</v>
      </c>
      <c r="I4075" s="107">
        <v>0.66789740502105377</v>
      </c>
      <c r="J4075" s="108">
        <v>1.4620439376374179E-3</v>
      </c>
      <c r="K4075" s="108"/>
      <c r="L4075" s="108">
        <v>4.7399999999999998E-2</v>
      </c>
      <c r="O4075" s="105"/>
    </row>
    <row r="4076" spans="2:15" x14ac:dyDescent="0.2">
      <c r="B4076" s="1">
        <f t="shared" si="228"/>
        <v>4061</v>
      </c>
      <c r="C4076" s="106">
        <f ca="1"/>
        <v>1.7366245326211287</v>
      </c>
      <c r="D4076" s="106">
        <f t="shared" ca="1" si="229"/>
        <v>0.78866455814250891</v>
      </c>
      <c r="E4076" s="106">
        <f t="shared" ca="1" si="230"/>
        <v>4.6455814250889738E-4</v>
      </c>
      <c r="F4076" s="21">
        <f t="shared" ca="1" si="231"/>
        <v>1</v>
      </c>
      <c r="H4076" s="21">
        <v>4061</v>
      </c>
      <c r="I4076" s="107">
        <v>0.66767362410124464</v>
      </c>
      <c r="J4076" s="108">
        <v>1.3430421765346764E-3</v>
      </c>
      <c r="K4076" s="108"/>
      <c r="L4076" s="108">
        <v>4.02E-2</v>
      </c>
      <c r="O4076" s="105"/>
    </row>
    <row r="4077" spans="2:15" x14ac:dyDescent="0.2">
      <c r="B4077" s="1">
        <f t="shared" si="228"/>
        <v>4062</v>
      </c>
      <c r="C4077" s="106">
        <f ca="1"/>
        <v>0.10105321411599953</v>
      </c>
      <c r="D4077" s="106">
        <f t="shared" ca="1" si="229"/>
        <v>0.67115906069370723</v>
      </c>
      <c r="E4077" s="106">
        <f t="shared" ca="1" si="230"/>
        <v>0</v>
      </c>
      <c r="F4077" s="21">
        <f t="shared" ca="1" si="231"/>
        <v>0</v>
      </c>
      <c r="H4077" s="21">
        <v>4062</v>
      </c>
      <c r="I4077" s="107">
        <v>0.6678043215409758</v>
      </c>
      <c r="J4077" s="108">
        <v>1.4284962097976938E-3</v>
      </c>
      <c r="K4077" s="108"/>
      <c r="L4077" s="108">
        <v>4.0599999999999997E-2</v>
      </c>
      <c r="O4077" s="105"/>
    </row>
    <row r="4078" spans="2:15" x14ac:dyDescent="0.2">
      <c r="B4078" s="1">
        <f t="shared" si="228"/>
        <v>4063</v>
      </c>
      <c r="C4078" s="106">
        <f ca="1"/>
        <v>-9.303534691074318E-2</v>
      </c>
      <c r="D4078" s="106">
        <f t="shared" ca="1" si="229"/>
        <v>0.65843183885748979</v>
      </c>
      <c r="E4078" s="106">
        <f t="shared" ca="1" si="230"/>
        <v>0</v>
      </c>
      <c r="F4078" s="21">
        <f t="shared" ca="1" si="231"/>
        <v>0</v>
      </c>
      <c r="H4078" s="21">
        <v>4063</v>
      </c>
      <c r="I4078" s="107">
        <v>0.66785558107496668</v>
      </c>
      <c r="J4078" s="108">
        <v>1.6039252637061643E-3</v>
      </c>
      <c r="K4078" s="108"/>
      <c r="L4078" s="108">
        <v>4.5600000000000002E-2</v>
      </c>
      <c r="O4078" s="105"/>
    </row>
    <row r="4079" spans="2:15" x14ac:dyDescent="0.2">
      <c r="B4079" s="1">
        <f t="shared" si="228"/>
        <v>4064</v>
      </c>
      <c r="C4079" s="106">
        <f ca="1"/>
        <v>2.1161405364791649E-2</v>
      </c>
      <c r="D4079" s="106">
        <f t="shared" ca="1" si="229"/>
        <v>0.66589068814896157</v>
      </c>
      <c r="E4079" s="106">
        <f t="shared" ca="1" si="230"/>
        <v>0</v>
      </c>
      <c r="F4079" s="21">
        <f t="shared" ca="1" si="231"/>
        <v>0</v>
      </c>
      <c r="H4079" s="21">
        <v>4064</v>
      </c>
      <c r="I4079" s="107">
        <v>0.66765653891420551</v>
      </c>
      <c r="J4079" s="108">
        <v>1.2293864124541787E-3</v>
      </c>
      <c r="K4079" s="108"/>
      <c r="L4079" s="108">
        <v>4.0800000000000003E-2</v>
      </c>
      <c r="O4079" s="105"/>
    </row>
    <row r="4080" spans="2:15" x14ac:dyDescent="0.2">
      <c r="B4080" s="1">
        <f t="shared" ref="B4080:B4143" si="232">B4079+1</f>
        <v>4065</v>
      </c>
      <c r="C4080" s="106">
        <f ca="1"/>
        <v>0.52065348806446554</v>
      </c>
      <c r="D4080" s="106">
        <f t="shared" ca="1" si="229"/>
        <v>0.69952118978653954</v>
      </c>
      <c r="E4080" s="106">
        <f t="shared" ca="1" si="230"/>
        <v>0</v>
      </c>
      <c r="F4080" s="21">
        <f t="shared" ca="1" si="231"/>
        <v>0</v>
      </c>
      <c r="H4080" s="21">
        <v>4065</v>
      </c>
      <c r="I4080" s="107">
        <v>0.66770545794128244</v>
      </c>
      <c r="J4080" s="108">
        <v>1.4077014592305515E-3</v>
      </c>
      <c r="K4080" s="108"/>
      <c r="L4080" s="108">
        <v>4.1200000000000001E-2</v>
      </c>
      <c r="O4080" s="105"/>
    </row>
    <row r="4081" spans="2:15" x14ac:dyDescent="0.2">
      <c r="B4081" s="1">
        <f t="shared" si="232"/>
        <v>4066</v>
      </c>
      <c r="C4081" s="106">
        <f ca="1"/>
        <v>-1.4444849337418382</v>
      </c>
      <c r="D4081" s="106">
        <f t="shared" ca="1" si="229"/>
        <v>0.57625612721588082</v>
      </c>
      <c r="E4081" s="106">
        <f t="shared" ca="1" si="230"/>
        <v>0</v>
      </c>
      <c r="F4081" s="21">
        <f t="shared" ca="1" si="231"/>
        <v>0</v>
      </c>
      <c r="H4081" s="21">
        <v>4066</v>
      </c>
      <c r="I4081" s="107">
        <v>0.66765532895859891</v>
      </c>
      <c r="J4081" s="108">
        <v>1.3449861525423846E-3</v>
      </c>
      <c r="K4081" s="108"/>
      <c r="L4081" s="108">
        <v>4.02E-2</v>
      </c>
      <c r="O4081" s="105"/>
    </row>
    <row r="4082" spans="2:15" x14ac:dyDescent="0.2">
      <c r="B4082" s="1">
        <f t="shared" si="232"/>
        <v>4067</v>
      </c>
      <c r="C4082" s="106">
        <f ca="1"/>
        <v>0.29922293633835267</v>
      </c>
      <c r="D4082" s="106">
        <f t="shared" ca="1" si="229"/>
        <v>0.68440776196306485</v>
      </c>
      <c r="E4082" s="106">
        <f t="shared" ca="1" si="230"/>
        <v>0</v>
      </c>
      <c r="F4082" s="21">
        <f t="shared" ca="1" si="231"/>
        <v>0</v>
      </c>
      <c r="H4082" s="21">
        <v>4067</v>
      </c>
      <c r="I4082" s="107">
        <v>0.66775240890347476</v>
      </c>
      <c r="J4082" s="108">
        <v>1.3609869658327586E-3</v>
      </c>
      <c r="K4082" s="108"/>
      <c r="L4082" s="108">
        <v>4.3799999999999999E-2</v>
      </c>
      <c r="O4082" s="105"/>
    </row>
    <row r="4083" spans="2:15" x14ac:dyDescent="0.2">
      <c r="B4083" s="1">
        <f t="shared" si="232"/>
        <v>4068</v>
      </c>
      <c r="C4083" s="106">
        <f ca="1"/>
        <v>6.6389893145077511E-3</v>
      </c>
      <c r="D4083" s="106">
        <f t="shared" ca="1" si="229"/>
        <v>0.66493747573755746</v>
      </c>
      <c r="E4083" s="106">
        <f t="shared" ca="1" si="230"/>
        <v>0</v>
      </c>
      <c r="F4083" s="21">
        <f t="shared" ca="1" si="231"/>
        <v>0</v>
      </c>
      <c r="H4083" s="21">
        <v>4068</v>
      </c>
      <c r="I4083" s="107">
        <v>0.6675883332453223</v>
      </c>
      <c r="J4083" s="108">
        <v>1.1223544764782983E-3</v>
      </c>
      <c r="K4083" s="108"/>
      <c r="L4083" s="108">
        <v>3.5200000000000002E-2</v>
      </c>
      <c r="O4083" s="105"/>
    </row>
    <row r="4084" spans="2:15" x14ac:dyDescent="0.2">
      <c r="B4084" s="1">
        <f t="shared" si="232"/>
        <v>4069</v>
      </c>
      <c r="C4084" s="106">
        <f ca="1"/>
        <v>-0.42689847236902395</v>
      </c>
      <c r="D4084" s="106">
        <f t="shared" ca="1" si="229"/>
        <v>0.63710106757410612</v>
      </c>
      <c r="E4084" s="106">
        <f t="shared" ca="1" si="230"/>
        <v>0</v>
      </c>
      <c r="F4084" s="21">
        <f t="shared" ca="1" si="231"/>
        <v>0</v>
      </c>
      <c r="H4084" s="21">
        <v>4069</v>
      </c>
      <c r="I4084" s="107">
        <v>0.66767478733922603</v>
      </c>
      <c r="J4084" s="108">
        <v>1.2567620779591923E-3</v>
      </c>
      <c r="K4084" s="108"/>
      <c r="L4084" s="108">
        <v>3.7999999999999999E-2</v>
      </c>
      <c r="O4084" s="105"/>
    </row>
    <row r="4085" spans="2:15" x14ac:dyDescent="0.2">
      <c r="B4085" s="1">
        <f t="shared" si="232"/>
        <v>4070</v>
      </c>
      <c r="C4085" s="106">
        <f ca="1"/>
        <v>0.42557969384224564</v>
      </c>
      <c r="D4085" s="106">
        <f t="shared" ca="1" si="229"/>
        <v>0.69299160235340629</v>
      </c>
      <c r="E4085" s="106">
        <f t="shared" ca="1" si="230"/>
        <v>0</v>
      </c>
      <c r="F4085" s="21">
        <f t="shared" ca="1" si="231"/>
        <v>0</v>
      </c>
      <c r="H4085" s="21">
        <v>4070</v>
      </c>
      <c r="I4085" s="107">
        <v>0.66767671781670268</v>
      </c>
      <c r="J4085" s="108">
        <v>1.2421210029611232E-3</v>
      </c>
      <c r="K4085" s="108"/>
      <c r="L4085" s="108">
        <v>3.9199999999999999E-2</v>
      </c>
      <c r="O4085" s="105"/>
    </row>
    <row r="4086" spans="2:15" x14ac:dyDescent="0.2">
      <c r="B4086" s="1">
        <f t="shared" si="232"/>
        <v>4071</v>
      </c>
      <c r="C4086" s="106">
        <f ca="1"/>
        <v>-0.55582933811846202</v>
      </c>
      <c r="D4086" s="106">
        <f t="shared" ca="1" si="229"/>
        <v>0.62904977887112501</v>
      </c>
      <c r="E4086" s="106">
        <f t="shared" ca="1" si="230"/>
        <v>0</v>
      </c>
      <c r="F4086" s="21">
        <f t="shared" ca="1" si="231"/>
        <v>0</v>
      </c>
      <c r="H4086" s="21">
        <v>4071</v>
      </c>
      <c r="I4086" s="107">
        <v>0.667709277565249</v>
      </c>
      <c r="J4086" s="108">
        <v>1.3142826843263419E-3</v>
      </c>
      <c r="K4086" s="108"/>
      <c r="L4086" s="108">
        <v>4.0399999999999998E-2</v>
      </c>
      <c r="O4086" s="105"/>
    </row>
    <row r="4087" spans="2:15" x14ac:dyDescent="0.2">
      <c r="B4087" s="1">
        <f t="shared" si="232"/>
        <v>4072</v>
      </c>
      <c r="C4087" s="106">
        <f ca="1"/>
        <v>1.211586876933691</v>
      </c>
      <c r="D4087" s="106">
        <f t="shared" ca="1" si="229"/>
        <v>0.74885896787979211</v>
      </c>
      <c r="E4087" s="106">
        <f t="shared" ca="1" si="230"/>
        <v>0</v>
      </c>
      <c r="F4087" s="21">
        <f t="shared" ca="1" si="231"/>
        <v>0</v>
      </c>
      <c r="H4087" s="21">
        <v>4072</v>
      </c>
      <c r="I4087" s="107">
        <v>0.66787342675565131</v>
      </c>
      <c r="J4087" s="108">
        <v>1.4278167384733254E-3</v>
      </c>
      <c r="K4087" s="108"/>
      <c r="L4087" s="108">
        <v>4.48E-2</v>
      </c>
      <c r="O4087" s="105"/>
    </row>
    <row r="4088" spans="2:15" x14ac:dyDescent="0.2">
      <c r="B4088" s="1">
        <f t="shared" si="232"/>
        <v>4073</v>
      </c>
      <c r="C4088" s="106">
        <f ca="1"/>
        <v>0.69870207117643635</v>
      </c>
      <c r="D4088" s="106">
        <f t="shared" ca="1" si="229"/>
        <v>0.71191536480961082</v>
      </c>
      <c r="E4088" s="106">
        <f t="shared" ca="1" si="230"/>
        <v>0</v>
      </c>
      <c r="F4088" s="21">
        <f t="shared" ca="1" si="231"/>
        <v>0</v>
      </c>
      <c r="H4088" s="21">
        <v>4073</v>
      </c>
      <c r="I4088" s="107">
        <v>0.66771151384515393</v>
      </c>
      <c r="J4088" s="108">
        <v>1.3451368025163748E-3</v>
      </c>
      <c r="K4088" s="108"/>
      <c r="L4088" s="108">
        <v>4.2799999999999998E-2</v>
      </c>
      <c r="O4088" s="105"/>
    </row>
    <row r="4089" spans="2:15" x14ac:dyDescent="0.2">
      <c r="B4089" s="1">
        <f t="shared" si="232"/>
        <v>4074</v>
      </c>
      <c r="C4089" s="106">
        <f ca="1"/>
        <v>-0.25850021535129447</v>
      </c>
      <c r="D4089" s="106">
        <f t="shared" ca="1" si="229"/>
        <v>0.64777235597763339</v>
      </c>
      <c r="E4089" s="106">
        <f t="shared" ca="1" si="230"/>
        <v>0</v>
      </c>
      <c r="F4089" s="21">
        <f t="shared" ca="1" si="231"/>
        <v>0</v>
      </c>
      <c r="H4089" s="21">
        <v>4074</v>
      </c>
      <c r="I4089" s="107">
        <v>0.66773118022586664</v>
      </c>
      <c r="J4089" s="108">
        <v>1.2974429914447182E-3</v>
      </c>
      <c r="K4089" s="108"/>
      <c r="L4089" s="108">
        <v>4.1799999999999997E-2</v>
      </c>
      <c r="O4089" s="105"/>
    </row>
    <row r="4090" spans="2:15" x14ac:dyDescent="0.2">
      <c r="B4090" s="1">
        <f t="shared" si="232"/>
        <v>4075</v>
      </c>
      <c r="C4090" s="106">
        <f ca="1"/>
        <v>-1.3722262210340377</v>
      </c>
      <c r="D4090" s="106">
        <f t="shared" ca="1" si="229"/>
        <v>0.58037817816918524</v>
      </c>
      <c r="E4090" s="106">
        <f t="shared" ca="1" si="230"/>
        <v>0</v>
      </c>
      <c r="F4090" s="21">
        <f t="shared" ca="1" si="231"/>
        <v>0</v>
      </c>
      <c r="H4090" s="21">
        <v>4075</v>
      </c>
      <c r="I4090" s="107">
        <v>0.66774003526056935</v>
      </c>
      <c r="J4090" s="108">
        <v>1.4462420095394575E-3</v>
      </c>
      <c r="K4090" s="108"/>
      <c r="L4090" s="108">
        <v>4.4400000000000002E-2</v>
      </c>
      <c r="O4090" s="105"/>
    </row>
    <row r="4091" spans="2:15" x14ac:dyDescent="0.2">
      <c r="B4091" s="1">
        <f t="shared" si="232"/>
        <v>4076</v>
      </c>
      <c r="C4091" s="106">
        <f ca="1"/>
        <v>0.63905469035117768</v>
      </c>
      <c r="D4091" s="106">
        <f t="shared" ca="1" si="229"/>
        <v>0.70773896908165457</v>
      </c>
      <c r="E4091" s="106">
        <f t="shared" ca="1" si="230"/>
        <v>0</v>
      </c>
      <c r="F4091" s="21">
        <f t="shared" ca="1" si="231"/>
        <v>0</v>
      </c>
      <c r="H4091" s="21">
        <v>4076</v>
      </c>
      <c r="I4091" s="107">
        <v>0.66775257778708708</v>
      </c>
      <c r="J4091" s="108">
        <v>1.3380013429598187E-3</v>
      </c>
      <c r="K4091" s="108"/>
      <c r="L4091" s="108">
        <v>4.2000000000000003E-2</v>
      </c>
      <c r="O4091" s="105"/>
    </row>
    <row r="4092" spans="2:15" x14ac:dyDescent="0.2">
      <c r="B4092" s="1">
        <f t="shared" si="232"/>
        <v>4077</v>
      </c>
      <c r="C4092" s="106">
        <f ca="1"/>
        <v>-0.56563513575012747</v>
      </c>
      <c r="D4092" s="106">
        <f t="shared" ca="1" si="229"/>
        <v>0.62844162031572937</v>
      </c>
      <c r="E4092" s="106">
        <f t="shared" ca="1" si="230"/>
        <v>0</v>
      </c>
      <c r="F4092" s="21">
        <f t="shared" ca="1" si="231"/>
        <v>0</v>
      </c>
      <c r="H4092" s="21">
        <v>4077</v>
      </c>
      <c r="I4092" s="107">
        <v>0.6676798963218773</v>
      </c>
      <c r="J4092" s="108">
        <v>1.3782788352257509E-3</v>
      </c>
      <c r="K4092" s="108"/>
      <c r="L4092" s="108">
        <v>4.02E-2</v>
      </c>
      <c r="O4092" s="105"/>
    </row>
    <row r="4093" spans="2:15" x14ac:dyDescent="0.2">
      <c r="B4093" s="1">
        <f t="shared" si="232"/>
        <v>4078</v>
      </c>
      <c r="C4093" s="106">
        <f ca="1"/>
        <v>-0.89212538186614088</v>
      </c>
      <c r="D4093" s="106">
        <f t="shared" ca="1" si="229"/>
        <v>0.60852482319040779</v>
      </c>
      <c r="E4093" s="106">
        <f t="shared" ca="1" si="230"/>
        <v>0</v>
      </c>
      <c r="F4093" s="21">
        <f t="shared" ca="1" si="231"/>
        <v>0</v>
      </c>
      <c r="H4093" s="21">
        <v>4078</v>
      </c>
      <c r="I4093" s="107">
        <v>0.66765543529583726</v>
      </c>
      <c r="J4093" s="108">
        <v>1.3186369760491699E-3</v>
      </c>
      <c r="K4093" s="108"/>
      <c r="L4093" s="108">
        <v>3.7400000000000003E-2</v>
      </c>
      <c r="O4093" s="105"/>
    </row>
    <row r="4094" spans="2:15" x14ac:dyDescent="0.2">
      <c r="B4094" s="1">
        <f t="shared" si="232"/>
        <v>4079</v>
      </c>
      <c r="C4094" s="106">
        <f ca="1"/>
        <v>-0.3271469828620911</v>
      </c>
      <c r="D4094" s="106">
        <f t="shared" ca="1" si="229"/>
        <v>0.64340084231775374</v>
      </c>
      <c r="E4094" s="106">
        <f t="shared" ca="1" si="230"/>
        <v>0</v>
      </c>
      <c r="F4094" s="21">
        <f t="shared" ca="1" si="231"/>
        <v>0</v>
      </c>
      <c r="H4094" s="21">
        <v>4079</v>
      </c>
      <c r="I4094" s="107">
        <v>0.66774346413109409</v>
      </c>
      <c r="J4094" s="108">
        <v>1.4128570525004072E-3</v>
      </c>
      <c r="K4094" s="108"/>
      <c r="L4094" s="108">
        <v>4.0800000000000003E-2</v>
      </c>
      <c r="O4094" s="105"/>
    </row>
    <row r="4095" spans="2:15" x14ac:dyDescent="0.2">
      <c r="B4095" s="1">
        <f t="shared" si="232"/>
        <v>4080</v>
      </c>
      <c r="C4095" s="106">
        <f ca="1"/>
        <v>0.33178472662527519</v>
      </c>
      <c r="D4095" s="106">
        <f t="shared" ca="1" si="229"/>
        <v>0.68660957151806712</v>
      </c>
      <c r="E4095" s="106">
        <f t="shared" ca="1" si="230"/>
        <v>0</v>
      </c>
      <c r="F4095" s="21">
        <f t="shared" ca="1" si="231"/>
        <v>0</v>
      </c>
      <c r="H4095" s="21">
        <v>4080</v>
      </c>
      <c r="I4095" s="107">
        <v>0.66783180740712866</v>
      </c>
      <c r="J4095" s="108">
        <v>1.4708067976217077E-3</v>
      </c>
      <c r="K4095" s="108"/>
      <c r="L4095" s="108">
        <v>4.4400000000000002E-2</v>
      </c>
      <c r="O4095" s="105"/>
    </row>
    <row r="4096" spans="2:15" x14ac:dyDescent="0.2">
      <c r="B4096" s="1">
        <f t="shared" si="232"/>
        <v>4081</v>
      </c>
      <c r="C4096" s="106">
        <f ca="1"/>
        <v>1.3939823920631063</v>
      </c>
      <c r="D4096" s="106">
        <f t="shared" ca="1" si="229"/>
        <v>0.76245417424783035</v>
      </c>
      <c r="E4096" s="106">
        <f t="shared" ca="1" si="230"/>
        <v>0</v>
      </c>
      <c r="F4096" s="21">
        <f t="shared" ca="1" si="231"/>
        <v>0</v>
      </c>
      <c r="H4096" s="21">
        <v>4081</v>
      </c>
      <c r="I4096" s="107">
        <v>0.66782315978063622</v>
      </c>
      <c r="J4096" s="108">
        <v>1.4608130243245843E-3</v>
      </c>
      <c r="K4096" s="108"/>
      <c r="L4096" s="108">
        <v>4.4200000000000003E-2</v>
      </c>
      <c r="O4096" s="105"/>
    </row>
    <row r="4097" spans="2:15" x14ac:dyDescent="0.2">
      <c r="B4097" s="1">
        <f t="shared" si="232"/>
        <v>4082</v>
      </c>
      <c r="C4097" s="106">
        <f ca="1"/>
        <v>-0.85896307879290845</v>
      </c>
      <c r="D4097" s="106">
        <f t="shared" ca="1" si="229"/>
        <v>0.61051867282697225</v>
      </c>
      <c r="E4097" s="106">
        <f t="shared" ca="1" si="230"/>
        <v>0</v>
      </c>
      <c r="F4097" s="21">
        <f t="shared" ca="1" si="231"/>
        <v>0</v>
      </c>
      <c r="H4097" s="21">
        <v>4082</v>
      </c>
      <c r="I4097" s="107">
        <v>0.66781012061768796</v>
      </c>
      <c r="J4097" s="108">
        <v>1.5425375515112506E-3</v>
      </c>
      <c r="K4097" s="108"/>
      <c r="L4097" s="108">
        <v>4.4600000000000001E-2</v>
      </c>
      <c r="O4097" s="105"/>
    </row>
    <row r="4098" spans="2:15" x14ac:dyDescent="0.2">
      <c r="B4098" s="1">
        <f t="shared" si="232"/>
        <v>4083</v>
      </c>
      <c r="C4098" s="106">
        <f ca="1"/>
        <v>-5.666686963162576E-2</v>
      </c>
      <c r="D4098" s="106">
        <f t="shared" ca="1" si="229"/>
        <v>0.66079816213689102</v>
      </c>
      <c r="E4098" s="106">
        <f t="shared" ca="1" si="230"/>
        <v>0</v>
      </c>
      <c r="F4098" s="21">
        <f t="shared" ca="1" si="231"/>
        <v>0</v>
      </c>
      <c r="H4098" s="21">
        <v>4083</v>
      </c>
      <c r="I4098" s="107">
        <v>0.66767303979732562</v>
      </c>
      <c r="J4098" s="108">
        <v>1.3152823605451652E-3</v>
      </c>
      <c r="K4098" s="108"/>
      <c r="L4098" s="108">
        <v>3.9399999999999998E-2</v>
      </c>
      <c r="O4098" s="105"/>
    </row>
    <row r="4099" spans="2:15" x14ac:dyDescent="0.2">
      <c r="B4099" s="1">
        <f t="shared" si="232"/>
        <v>4084</v>
      </c>
      <c r="C4099" s="106">
        <f ca="1"/>
        <v>0.75566813498359475</v>
      </c>
      <c r="D4099" s="106">
        <f t="shared" ca="1" si="229"/>
        <v>0.71592702598745594</v>
      </c>
      <c r="E4099" s="106">
        <f t="shared" ca="1" si="230"/>
        <v>0</v>
      </c>
      <c r="F4099" s="21">
        <f t="shared" ca="1" si="231"/>
        <v>0</v>
      </c>
      <c r="H4099" s="21">
        <v>4084</v>
      </c>
      <c r="I4099" s="107">
        <v>0.66759055175504789</v>
      </c>
      <c r="J4099" s="108">
        <v>1.254032941308607E-3</v>
      </c>
      <c r="K4099" s="108"/>
      <c r="L4099" s="108">
        <v>3.9800000000000002E-2</v>
      </c>
      <c r="O4099" s="105"/>
    </row>
    <row r="4100" spans="2:15" x14ac:dyDescent="0.2">
      <c r="B4100" s="1">
        <f t="shared" si="232"/>
        <v>4085</v>
      </c>
      <c r="C4100" s="106">
        <f ca="1"/>
        <v>-1.0762631025185214</v>
      </c>
      <c r="D4100" s="106">
        <f t="shared" ca="1" si="229"/>
        <v>0.59757160448929392</v>
      </c>
      <c r="E4100" s="106">
        <f t="shared" ca="1" si="230"/>
        <v>0</v>
      </c>
      <c r="F4100" s="21">
        <f t="shared" ca="1" si="231"/>
        <v>0</v>
      </c>
      <c r="H4100" s="21">
        <v>4085</v>
      </c>
      <c r="I4100" s="107">
        <v>0.66766538245718332</v>
      </c>
      <c r="J4100" s="108">
        <v>1.2954495251687854E-3</v>
      </c>
      <c r="K4100" s="108"/>
      <c r="L4100" s="108">
        <v>4.1399999999999999E-2</v>
      </c>
      <c r="O4100" s="105"/>
    </row>
    <row r="4101" spans="2:15" x14ac:dyDescent="0.2">
      <c r="B4101" s="1">
        <f t="shared" si="232"/>
        <v>4086</v>
      </c>
      <c r="C4101" s="106">
        <f ca="1"/>
        <v>1.0021884275996262</v>
      </c>
      <c r="D4101" s="106">
        <f t="shared" ca="1" si="229"/>
        <v>0.73354968432481116</v>
      </c>
      <c r="E4101" s="106">
        <f t="shared" ca="1" si="230"/>
        <v>0</v>
      </c>
      <c r="F4101" s="21">
        <f t="shared" ca="1" si="231"/>
        <v>0</v>
      </c>
      <c r="H4101" s="21">
        <v>4086</v>
      </c>
      <c r="I4101" s="107">
        <v>0.66780026808026938</v>
      </c>
      <c r="J4101" s="108">
        <v>1.3140104113186896E-3</v>
      </c>
      <c r="K4101" s="108"/>
      <c r="L4101" s="108">
        <v>4.2799999999999998E-2</v>
      </c>
      <c r="O4101" s="105"/>
    </row>
    <row r="4102" spans="2:15" x14ac:dyDescent="0.2">
      <c r="B4102" s="1">
        <f t="shared" si="232"/>
        <v>4087</v>
      </c>
      <c r="C4102" s="106">
        <f ca="1"/>
        <v>1.1236366136918687</v>
      </c>
      <c r="D4102" s="106">
        <f t="shared" ca="1" si="229"/>
        <v>0.74239031906510744</v>
      </c>
      <c r="E4102" s="106">
        <f t="shared" ca="1" si="230"/>
        <v>0</v>
      </c>
      <c r="F4102" s="21">
        <f t="shared" ca="1" si="231"/>
        <v>0</v>
      </c>
      <c r="H4102" s="21">
        <v>4087</v>
      </c>
      <c r="I4102" s="107">
        <v>0.66767430187272792</v>
      </c>
      <c r="J4102" s="108">
        <v>1.1986134001339087E-3</v>
      </c>
      <c r="K4102" s="108"/>
      <c r="L4102" s="108">
        <v>4.1000000000000002E-2</v>
      </c>
      <c r="O4102" s="105"/>
    </row>
    <row r="4103" spans="2:15" x14ac:dyDescent="0.2">
      <c r="B4103" s="1">
        <f t="shared" si="232"/>
        <v>4088</v>
      </c>
      <c r="C4103" s="106">
        <f ca="1"/>
        <v>0.45404684873944123</v>
      </c>
      <c r="D4103" s="106">
        <f t="shared" ca="1" si="229"/>
        <v>0.6949402837422326</v>
      </c>
      <c r="E4103" s="106">
        <f t="shared" ca="1" si="230"/>
        <v>0</v>
      </c>
      <c r="F4103" s="21">
        <f t="shared" ca="1" si="231"/>
        <v>0</v>
      </c>
      <c r="H4103" s="21">
        <v>4088</v>
      </c>
      <c r="I4103" s="107">
        <v>0.66787800439943712</v>
      </c>
      <c r="J4103" s="108">
        <v>1.5888680557731788E-3</v>
      </c>
      <c r="K4103" s="108"/>
      <c r="L4103" s="108">
        <v>4.7E-2</v>
      </c>
      <c r="O4103" s="105"/>
    </row>
    <row r="4104" spans="2:15" x14ac:dyDescent="0.2">
      <c r="B4104" s="1">
        <f t="shared" si="232"/>
        <v>4089</v>
      </c>
      <c r="C4104" s="106">
        <f ca="1"/>
        <v>-0.97935389886926305</v>
      </c>
      <c r="D4104" s="106">
        <f t="shared" ca="1" si="229"/>
        <v>0.60331133228552214</v>
      </c>
      <c r="E4104" s="106">
        <f t="shared" ca="1" si="230"/>
        <v>0</v>
      </c>
      <c r="F4104" s="21">
        <f t="shared" ca="1" si="231"/>
        <v>0</v>
      </c>
      <c r="H4104" s="21">
        <v>4089</v>
      </c>
      <c r="I4104" s="107">
        <v>0.66771329785873634</v>
      </c>
      <c r="J4104" s="108">
        <v>1.4185726436806313E-3</v>
      </c>
      <c r="K4104" s="108"/>
      <c r="L4104" s="108">
        <v>4.3400000000000001E-2</v>
      </c>
      <c r="O4104" s="105"/>
    </row>
    <row r="4105" spans="2:15" x14ac:dyDescent="0.2">
      <c r="B4105" s="1">
        <f t="shared" si="232"/>
        <v>4090</v>
      </c>
      <c r="C4105" s="106">
        <f ca="1"/>
        <v>1.8974894975159449</v>
      </c>
      <c r="D4105" s="106">
        <f t="shared" ca="1" si="229"/>
        <v>0.8012788515353152</v>
      </c>
      <c r="E4105" s="106">
        <f t="shared" ca="1" si="230"/>
        <v>1.3078851535315184E-2</v>
      </c>
      <c r="F4105" s="21">
        <f t="shared" ca="1" si="231"/>
        <v>1</v>
      </c>
      <c r="H4105" s="21">
        <v>4090</v>
      </c>
      <c r="I4105" s="107">
        <v>0.66782277097564158</v>
      </c>
      <c r="J4105" s="108">
        <v>1.3840970334293159E-3</v>
      </c>
      <c r="K4105" s="108"/>
      <c r="L4105" s="108">
        <v>4.2200000000000001E-2</v>
      </c>
      <c r="O4105" s="105"/>
    </row>
    <row r="4106" spans="2:15" x14ac:dyDescent="0.2">
      <c r="B4106" s="1">
        <f t="shared" si="232"/>
        <v>4091</v>
      </c>
      <c r="C4106" s="106">
        <f ca="1"/>
        <v>-0.95469569608471638</v>
      </c>
      <c r="D4106" s="106">
        <f t="shared" ca="1" si="229"/>
        <v>0.6047805632802441</v>
      </c>
      <c r="E4106" s="106">
        <f t="shared" ca="1" si="230"/>
        <v>0</v>
      </c>
      <c r="F4106" s="21">
        <f t="shared" ca="1" si="231"/>
        <v>0</v>
      </c>
      <c r="H4106" s="21">
        <v>4091</v>
      </c>
      <c r="I4106" s="107">
        <v>0.66787856352777486</v>
      </c>
      <c r="J4106" s="108">
        <v>1.5157260139007668E-3</v>
      </c>
      <c r="K4106" s="108"/>
      <c r="L4106" s="108">
        <v>4.2599999999999999E-2</v>
      </c>
      <c r="O4106" s="105"/>
    </row>
    <row r="4107" spans="2:15" x14ac:dyDescent="0.2">
      <c r="B4107" s="1">
        <f t="shared" si="232"/>
        <v>4092</v>
      </c>
      <c r="C4107" s="106">
        <f ca="1"/>
        <v>-0.80585361848541204</v>
      </c>
      <c r="D4107" s="106">
        <f t="shared" ca="1" si="229"/>
        <v>0.61372544292431708</v>
      </c>
      <c r="E4107" s="106">
        <f t="shared" ca="1" si="230"/>
        <v>0</v>
      </c>
      <c r="F4107" s="21">
        <f t="shared" ca="1" si="231"/>
        <v>0</v>
      </c>
      <c r="H4107" s="21">
        <v>4092</v>
      </c>
      <c r="I4107" s="107">
        <v>0.66771840172170716</v>
      </c>
      <c r="J4107" s="108">
        <v>1.3325509252349822E-3</v>
      </c>
      <c r="K4107" s="108"/>
      <c r="L4107" s="108">
        <v>4.3799999999999999E-2</v>
      </c>
      <c r="O4107" s="105"/>
    </row>
    <row r="4108" spans="2:15" x14ac:dyDescent="0.2">
      <c r="B4108" s="1">
        <f t="shared" si="232"/>
        <v>4093</v>
      </c>
      <c r="C4108" s="106">
        <f ca="1"/>
        <v>0.40372720314914412</v>
      </c>
      <c r="D4108" s="106">
        <f t="shared" ca="1" si="229"/>
        <v>0.69149942712170664</v>
      </c>
      <c r="E4108" s="106">
        <f t="shared" ca="1" si="230"/>
        <v>0</v>
      </c>
      <c r="F4108" s="21">
        <f t="shared" ca="1" si="231"/>
        <v>0</v>
      </c>
      <c r="H4108" s="21">
        <v>4093</v>
      </c>
      <c r="I4108" s="107">
        <v>0.66757922327981589</v>
      </c>
      <c r="J4108" s="108">
        <v>1.2469328695118027E-3</v>
      </c>
      <c r="K4108" s="108"/>
      <c r="L4108" s="108">
        <v>4.0399999999999998E-2</v>
      </c>
      <c r="O4108" s="105"/>
    </row>
    <row r="4109" spans="2:15" x14ac:dyDescent="0.2">
      <c r="B4109" s="1">
        <f t="shared" si="232"/>
        <v>4094</v>
      </c>
      <c r="C4109" s="106">
        <f ca="1"/>
        <v>0.43740921133332505</v>
      </c>
      <c r="D4109" s="106">
        <f t="shared" ca="1" si="229"/>
        <v>0.69380071187605796</v>
      </c>
      <c r="E4109" s="106">
        <f t="shared" ca="1" si="230"/>
        <v>0</v>
      </c>
      <c r="F4109" s="21">
        <f t="shared" ca="1" si="231"/>
        <v>0</v>
      </c>
      <c r="H4109" s="21">
        <v>4094</v>
      </c>
      <c r="I4109" s="107">
        <v>0.66773320814236781</v>
      </c>
      <c r="J4109" s="108">
        <v>1.3376262136559442E-3</v>
      </c>
      <c r="K4109" s="108"/>
      <c r="L4109" s="108">
        <v>4.3200000000000002E-2</v>
      </c>
      <c r="O4109" s="105"/>
    </row>
    <row r="4110" spans="2:15" x14ac:dyDescent="0.2">
      <c r="B4110" s="1">
        <f t="shared" si="232"/>
        <v>4095</v>
      </c>
      <c r="C4110" s="106">
        <f ca="1"/>
        <v>1.922334739169516</v>
      </c>
      <c r="D4110" s="106">
        <f t="shared" ca="1" si="229"/>
        <v>0.80324500807598964</v>
      </c>
      <c r="E4110" s="106">
        <f t="shared" ca="1" si="230"/>
        <v>1.504500807598963E-2</v>
      </c>
      <c r="F4110" s="21">
        <f t="shared" ca="1" si="231"/>
        <v>1</v>
      </c>
      <c r="H4110" s="21">
        <v>4095</v>
      </c>
      <c r="I4110" s="107">
        <v>0.66781298695966407</v>
      </c>
      <c r="J4110" s="108">
        <v>1.3989966123503703E-3</v>
      </c>
      <c r="K4110" s="108"/>
      <c r="L4110" s="108">
        <v>4.4400000000000002E-2</v>
      </c>
      <c r="O4110" s="105"/>
    </row>
    <row r="4111" spans="2:15" x14ac:dyDescent="0.2">
      <c r="B4111" s="1">
        <f t="shared" si="232"/>
        <v>4096</v>
      </c>
      <c r="C4111" s="106">
        <f ca="1"/>
        <v>-0.80899730301673145</v>
      </c>
      <c r="D4111" s="106">
        <f t="shared" ca="1" si="229"/>
        <v>0.61353515788173996</v>
      </c>
      <c r="E4111" s="106">
        <f t="shared" ca="1" si="230"/>
        <v>0</v>
      </c>
      <c r="F4111" s="21">
        <f t="shared" ca="1" si="231"/>
        <v>0</v>
      </c>
      <c r="H4111" s="21">
        <v>4096</v>
      </c>
      <c r="I4111" s="107">
        <v>0.6676240161615673</v>
      </c>
      <c r="J4111" s="108">
        <v>1.3715864776811606E-3</v>
      </c>
      <c r="K4111" s="108"/>
      <c r="L4111" s="108">
        <v>3.6200000000000003E-2</v>
      </c>
      <c r="O4111" s="105"/>
    </row>
    <row r="4112" spans="2:15" x14ac:dyDescent="0.2">
      <c r="B4112" s="1">
        <f t="shared" si="232"/>
        <v>4097</v>
      </c>
      <c r="C4112" s="106">
        <f ca="1"/>
        <v>-1.2925480696490863</v>
      </c>
      <c r="D4112" s="106">
        <f t="shared" ref="D4112:D4175" ca="1" si="233">S0*EXP((μ-0.5*σ*σ)*T+σ*SQRT(T)*$C4112)</f>
        <v>0.58495766721228559</v>
      </c>
      <c r="E4112" s="106">
        <f t="shared" ref="E4112:E4175" ca="1" si="234">MAX(0,CP*(D4112-K))</f>
        <v>0</v>
      </c>
      <c r="F4112" s="21">
        <f t="shared" ref="F4112:F4175" ca="1" si="235">(CP*(D4112-K)&gt;0)*1</f>
        <v>0</v>
      </c>
      <c r="H4112" s="21">
        <v>4097</v>
      </c>
      <c r="I4112" s="107">
        <v>0.66782265986568834</v>
      </c>
      <c r="J4112" s="108">
        <v>1.4051326211361548E-3</v>
      </c>
      <c r="K4112" s="108"/>
      <c r="L4112" s="108">
        <v>4.4200000000000003E-2</v>
      </c>
      <c r="O4112" s="105"/>
    </row>
    <row r="4113" spans="2:15" x14ac:dyDescent="0.2">
      <c r="B4113" s="1">
        <f t="shared" si="232"/>
        <v>4098</v>
      </c>
      <c r="C4113" s="106">
        <f ca="1"/>
        <v>0.86108503755044408</v>
      </c>
      <c r="D4113" s="106">
        <f t="shared" ca="1" si="233"/>
        <v>0.72341040709822435</v>
      </c>
      <c r="E4113" s="106">
        <f t="shared" ca="1" si="234"/>
        <v>0</v>
      </c>
      <c r="F4113" s="21">
        <f t="shared" ca="1" si="235"/>
        <v>0</v>
      </c>
      <c r="H4113" s="21">
        <v>4098</v>
      </c>
      <c r="I4113" s="107">
        <v>0.66770820599015634</v>
      </c>
      <c r="J4113" s="108">
        <v>1.3096165567940182E-3</v>
      </c>
      <c r="K4113" s="108"/>
      <c r="L4113" s="108">
        <v>4.1200000000000001E-2</v>
      </c>
      <c r="O4113" s="105"/>
    </row>
    <row r="4114" spans="2:15" x14ac:dyDescent="0.2">
      <c r="B4114" s="1">
        <f t="shared" si="232"/>
        <v>4099</v>
      </c>
      <c r="C4114" s="106">
        <f ca="1"/>
        <v>-0.88796957159070111</v>
      </c>
      <c r="D4114" s="106">
        <f t="shared" ca="1" si="233"/>
        <v>0.60877432972900569</v>
      </c>
      <c r="E4114" s="106">
        <f t="shared" ca="1" si="234"/>
        <v>0</v>
      </c>
      <c r="F4114" s="21">
        <f t="shared" ca="1" si="235"/>
        <v>0</v>
      </c>
      <c r="H4114" s="21">
        <v>4099</v>
      </c>
      <c r="I4114" s="107">
        <v>0.66784032217845812</v>
      </c>
      <c r="J4114" s="108">
        <v>1.3853552659737463E-3</v>
      </c>
      <c r="K4114" s="108"/>
      <c r="L4114" s="108">
        <v>4.3200000000000002E-2</v>
      </c>
      <c r="O4114" s="105"/>
    </row>
    <row r="4115" spans="2:15" x14ac:dyDescent="0.2">
      <c r="B4115" s="1">
        <f t="shared" si="232"/>
        <v>4100</v>
      </c>
      <c r="C4115" s="106">
        <f ca="1"/>
        <v>-1.2897260289887209</v>
      </c>
      <c r="D4115" s="106">
        <f t="shared" ca="1" si="233"/>
        <v>0.58512052444611462</v>
      </c>
      <c r="E4115" s="106">
        <f t="shared" ca="1" si="234"/>
        <v>0</v>
      </c>
      <c r="F4115" s="21">
        <f t="shared" ca="1" si="235"/>
        <v>0</v>
      </c>
      <c r="H4115" s="21">
        <v>4100</v>
      </c>
      <c r="I4115" s="107">
        <v>0.66764389319764184</v>
      </c>
      <c r="J4115" s="108">
        <v>1.3134914753327673E-3</v>
      </c>
      <c r="K4115" s="108"/>
      <c r="L4115" s="108">
        <v>4.1000000000000002E-2</v>
      </c>
      <c r="O4115" s="105"/>
    </row>
    <row r="4116" spans="2:15" x14ac:dyDescent="0.2">
      <c r="B4116" s="1">
        <f t="shared" si="232"/>
        <v>4101</v>
      </c>
      <c r="C4116" s="106">
        <f ca="1"/>
        <v>-9.5177382477929048E-2</v>
      </c>
      <c r="D4116" s="106">
        <f t="shared" ca="1" si="233"/>
        <v>0.65829273136547051</v>
      </c>
      <c r="E4116" s="106">
        <f t="shared" ca="1" si="234"/>
        <v>0</v>
      </c>
      <c r="F4116" s="21">
        <f t="shared" ca="1" si="235"/>
        <v>0</v>
      </c>
      <c r="H4116" s="21">
        <v>4101</v>
      </c>
      <c r="I4116" s="107">
        <v>0.66783650388116578</v>
      </c>
      <c r="J4116" s="108">
        <v>1.4206904745603956E-3</v>
      </c>
      <c r="K4116" s="108"/>
      <c r="L4116" s="108">
        <v>4.4600000000000001E-2</v>
      </c>
      <c r="O4116" s="105"/>
    </row>
    <row r="4117" spans="2:15" x14ac:dyDescent="0.2">
      <c r="B4117" s="1">
        <f t="shared" si="232"/>
        <v>4102</v>
      </c>
      <c r="C4117" s="106">
        <f ca="1"/>
        <v>0.30899699129756403</v>
      </c>
      <c r="D4117" s="106">
        <f t="shared" ca="1" si="233"/>
        <v>0.68506793529645582</v>
      </c>
      <c r="E4117" s="106">
        <f t="shared" ca="1" si="234"/>
        <v>0</v>
      </c>
      <c r="F4117" s="21">
        <f t="shared" ca="1" si="235"/>
        <v>0</v>
      </c>
      <c r="H4117" s="21">
        <v>4102</v>
      </c>
      <c r="I4117" s="107">
        <v>0.66775792295157499</v>
      </c>
      <c r="J4117" s="108">
        <v>1.4232892240093659E-3</v>
      </c>
      <c r="K4117" s="108"/>
      <c r="L4117" s="108">
        <v>4.4400000000000002E-2</v>
      </c>
      <c r="O4117" s="105"/>
    </row>
    <row r="4118" spans="2:15" x14ac:dyDescent="0.2">
      <c r="B4118" s="1">
        <f t="shared" si="232"/>
        <v>4103</v>
      </c>
      <c r="C4118" s="106">
        <f ca="1"/>
        <v>1.5188315697552846E-2</v>
      </c>
      <c r="D4118" s="106">
        <f t="shared" ca="1" si="233"/>
        <v>0.66549846525358347</v>
      </c>
      <c r="E4118" s="106">
        <f t="shared" ca="1" si="234"/>
        <v>0</v>
      </c>
      <c r="F4118" s="21">
        <f t="shared" ca="1" si="235"/>
        <v>0</v>
      </c>
      <c r="H4118" s="21">
        <v>4103</v>
      </c>
      <c r="I4118" s="107">
        <v>0.66758933410676879</v>
      </c>
      <c r="J4118" s="108">
        <v>1.1335420367842898E-3</v>
      </c>
      <c r="K4118" s="108"/>
      <c r="L4118" s="108">
        <v>3.9399999999999998E-2</v>
      </c>
      <c r="O4118" s="105"/>
    </row>
    <row r="4119" spans="2:15" x14ac:dyDescent="0.2">
      <c r="B4119" s="1">
        <f t="shared" si="232"/>
        <v>4104</v>
      </c>
      <c r="C4119" s="106">
        <f ca="1"/>
        <v>-0.63902462910217006</v>
      </c>
      <c r="D4119" s="106">
        <f t="shared" ca="1" si="233"/>
        <v>0.62390861009896237</v>
      </c>
      <c r="E4119" s="106">
        <f t="shared" ca="1" si="234"/>
        <v>0</v>
      </c>
      <c r="F4119" s="21">
        <f t="shared" ca="1" si="235"/>
        <v>0</v>
      </c>
      <c r="H4119" s="21">
        <v>4104</v>
      </c>
      <c r="I4119" s="107">
        <v>0.66763432968430236</v>
      </c>
      <c r="J4119" s="108">
        <v>1.22486837805967E-3</v>
      </c>
      <c r="K4119" s="108"/>
      <c r="L4119" s="108">
        <v>3.7600000000000001E-2</v>
      </c>
      <c r="O4119" s="105"/>
    </row>
    <row r="4120" spans="2:15" x14ac:dyDescent="0.2">
      <c r="B4120" s="1">
        <f t="shared" si="232"/>
        <v>4105</v>
      </c>
      <c r="C4120" s="106">
        <f ca="1"/>
        <v>2.5963732179697281E-2</v>
      </c>
      <c r="D4120" s="106">
        <f t="shared" ca="1" si="233"/>
        <v>0.66620620054213076</v>
      </c>
      <c r="E4120" s="106">
        <f t="shared" ca="1" si="234"/>
        <v>0</v>
      </c>
      <c r="F4120" s="21">
        <f t="shared" ca="1" si="235"/>
        <v>0</v>
      </c>
      <c r="H4120" s="21">
        <v>4105</v>
      </c>
      <c r="I4120" s="107">
        <v>0.667610496185708</v>
      </c>
      <c r="J4120" s="108">
        <v>1.2114765125953884E-3</v>
      </c>
      <c r="K4120" s="108"/>
      <c r="L4120" s="108">
        <v>3.7600000000000001E-2</v>
      </c>
      <c r="O4120" s="105"/>
    </row>
    <row r="4121" spans="2:15" x14ac:dyDescent="0.2">
      <c r="B4121" s="1">
        <f t="shared" si="232"/>
        <v>4106</v>
      </c>
      <c r="C4121" s="106">
        <f ca="1"/>
        <v>-1.3657195983903607</v>
      </c>
      <c r="D4121" s="106">
        <f t="shared" ca="1" si="233"/>
        <v>0.58075079714955002</v>
      </c>
      <c r="E4121" s="106">
        <f t="shared" ca="1" si="234"/>
        <v>0</v>
      </c>
      <c r="F4121" s="21">
        <f t="shared" ca="1" si="235"/>
        <v>0</v>
      </c>
      <c r="H4121" s="21">
        <v>4106</v>
      </c>
      <c r="I4121" s="107">
        <v>0.66767235935974689</v>
      </c>
      <c r="J4121" s="108">
        <v>1.347686221919552E-3</v>
      </c>
      <c r="K4121" s="108"/>
      <c r="L4121" s="108">
        <v>4.2799999999999998E-2</v>
      </c>
      <c r="O4121" s="105"/>
    </row>
    <row r="4122" spans="2:15" x14ac:dyDescent="0.2">
      <c r="B4122" s="1">
        <f t="shared" si="232"/>
        <v>4107</v>
      </c>
      <c r="C4122" s="106">
        <f ca="1"/>
        <v>1.2666491879122594</v>
      </c>
      <c r="D4122" s="106">
        <f t="shared" ca="1" si="233"/>
        <v>0.75293740078531834</v>
      </c>
      <c r="E4122" s="106">
        <f t="shared" ca="1" si="234"/>
        <v>0</v>
      </c>
      <c r="F4122" s="21">
        <f t="shared" ca="1" si="235"/>
        <v>0</v>
      </c>
      <c r="H4122" s="21">
        <v>4107</v>
      </c>
      <c r="I4122" s="107">
        <v>0.66783533657934691</v>
      </c>
      <c r="J4122" s="108">
        <v>1.5161165996980528E-3</v>
      </c>
      <c r="K4122" s="108"/>
      <c r="L4122" s="108">
        <v>4.48E-2</v>
      </c>
      <c r="O4122" s="105"/>
    </row>
    <row r="4123" spans="2:15" x14ac:dyDescent="0.2">
      <c r="B4123" s="1">
        <f t="shared" si="232"/>
        <v>4108</v>
      </c>
      <c r="C4123" s="106">
        <f ca="1"/>
        <v>-0.2153792379472689</v>
      </c>
      <c r="D4123" s="106">
        <f t="shared" ca="1" si="233"/>
        <v>0.65053353059675767</v>
      </c>
      <c r="E4123" s="106">
        <f t="shared" ca="1" si="234"/>
        <v>0</v>
      </c>
      <c r="F4123" s="21">
        <f t="shared" ca="1" si="235"/>
        <v>0</v>
      </c>
      <c r="H4123" s="21">
        <v>4108</v>
      </c>
      <c r="I4123" s="107">
        <v>0.66767807152440839</v>
      </c>
      <c r="J4123" s="108">
        <v>1.2572919302655447E-3</v>
      </c>
      <c r="K4123" s="108"/>
      <c r="L4123" s="108">
        <v>3.9800000000000002E-2</v>
      </c>
      <c r="O4123" s="105"/>
    </row>
    <row r="4124" spans="2:15" x14ac:dyDescent="0.2">
      <c r="B4124" s="1">
        <f t="shared" si="232"/>
        <v>4109</v>
      </c>
      <c r="C4124" s="106">
        <f ca="1"/>
        <v>-1.0585158605817848</v>
      </c>
      <c r="D4124" s="106">
        <f t="shared" ca="1" si="233"/>
        <v>0.59861863640189272</v>
      </c>
      <c r="E4124" s="106">
        <f t="shared" ca="1" si="234"/>
        <v>0</v>
      </c>
      <c r="F4124" s="21">
        <f t="shared" ca="1" si="235"/>
        <v>0</v>
      </c>
      <c r="H4124" s="21">
        <v>4109</v>
      </c>
      <c r="I4124" s="107">
        <v>0.66766462372324553</v>
      </c>
      <c r="J4124" s="108">
        <v>1.2391502265356323E-3</v>
      </c>
      <c r="K4124" s="108"/>
      <c r="L4124" s="108">
        <v>4.02E-2</v>
      </c>
      <c r="O4124" s="105"/>
    </row>
    <row r="4125" spans="2:15" x14ac:dyDescent="0.2">
      <c r="B4125" s="1">
        <f t="shared" si="232"/>
        <v>4110</v>
      </c>
      <c r="C4125" s="106">
        <f ca="1"/>
        <v>-0.79097656539918881</v>
      </c>
      <c r="D4125" s="106">
        <f t="shared" ca="1" si="233"/>
        <v>0.61462674141176976</v>
      </c>
      <c r="E4125" s="106">
        <f t="shared" ca="1" si="234"/>
        <v>0</v>
      </c>
      <c r="F4125" s="21">
        <f t="shared" ca="1" si="235"/>
        <v>0</v>
      </c>
      <c r="H4125" s="21">
        <v>4110</v>
      </c>
      <c r="I4125" s="107">
        <v>0.66783603864967067</v>
      </c>
      <c r="J4125" s="108">
        <v>1.4291579743024676E-3</v>
      </c>
      <c r="K4125" s="108"/>
      <c r="L4125" s="108">
        <v>4.36E-2</v>
      </c>
      <c r="O4125" s="105"/>
    </row>
    <row r="4126" spans="2:15" x14ac:dyDescent="0.2">
      <c r="B4126" s="1">
        <f t="shared" si="232"/>
        <v>4111</v>
      </c>
      <c r="C4126" s="106">
        <f ca="1"/>
        <v>-0.19014677513320488</v>
      </c>
      <c r="D4126" s="106">
        <f t="shared" ca="1" si="233"/>
        <v>0.65215470154560262</v>
      </c>
      <c r="E4126" s="106">
        <f t="shared" ca="1" si="234"/>
        <v>0</v>
      </c>
      <c r="F4126" s="21">
        <f t="shared" ca="1" si="235"/>
        <v>0</v>
      </c>
      <c r="H4126" s="21">
        <v>4111</v>
      </c>
      <c r="I4126" s="107">
        <v>0.66760431665377817</v>
      </c>
      <c r="J4126" s="108">
        <v>1.2544675512658197E-3</v>
      </c>
      <c r="K4126" s="108"/>
      <c r="L4126" s="108">
        <v>3.78E-2</v>
      </c>
      <c r="O4126" s="105"/>
    </row>
    <row r="4127" spans="2:15" x14ac:dyDescent="0.2">
      <c r="B4127" s="1">
        <f t="shared" si="232"/>
        <v>4112</v>
      </c>
      <c r="C4127" s="106">
        <f ca="1"/>
        <v>0.87155021504510088</v>
      </c>
      <c r="D4127" s="106">
        <f t="shared" ca="1" si="233"/>
        <v>0.72415756850599677</v>
      </c>
      <c r="E4127" s="106">
        <f t="shared" ca="1" si="234"/>
        <v>0</v>
      </c>
      <c r="F4127" s="21">
        <f t="shared" ca="1" si="235"/>
        <v>0</v>
      </c>
      <c r="H4127" s="21">
        <v>4112</v>
      </c>
      <c r="I4127" s="107">
        <v>0.66775989604494757</v>
      </c>
      <c r="J4127" s="108">
        <v>1.3529610044148703E-3</v>
      </c>
      <c r="K4127" s="108"/>
      <c r="L4127" s="108">
        <v>4.1799999999999997E-2</v>
      </c>
      <c r="O4127" s="105"/>
    </row>
    <row r="4128" spans="2:15" x14ac:dyDescent="0.2">
      <c r="B4128" s="1">
        <f t="shared" si="232"/>
        <v>4113</v>
      </c>
      <c r="C4128" s="106">
        <f ca="1"/>
        <v>-0.52180437842457328</v>
      </c>
      <c r="D4128" s="106">
        <f t="shared" ca="1" si="233"/>
        <v>0.63116458491100136</v>
      </c>
      <c r="E4128" s="106">
        <f t="shared" ca="1" si="234"/>
        <v>0</v>
      </c>
      <c r="F4128" s="21">
        <f t="shared" ca="1" si="235"/>
        <v>0</v>
      </c>
      <c r="H4128" s="21">
        <v>4113</v>
      </c>
      <c r="I4128" s="107">
        <v>0.66786196591505964</v>
      </c>
      <c r="J4128" s="108">
        <v>1.4739054551349206E-3</v>
      </c>
      <c r="K4128" s="108"/>
      <c r="L4128" s="108">
        <v>4.1599999999999998E-2</v>
      </c>
      <c r="O4128" s="105"/>
    </row>
    <row r="4129" spans="2:15" x14ac:dyDescent="0.2">
      <c r="B4129" s="1">
        <f t="shared" si="232"/>
        <v>4114</v>
      </c>
      <c r="C4129" s="106">
        <f ca="1"/>
        <v>-0.39734029939903515</v>
      </c>
      <c r="D4129" s="106">
        <f t="shared" ca="1" si="233"/>
        <v>0.63896134664689996</v>
      </c>
      <c r="E4129" s="106">
        <f t="shared" ca="1" si="234"/>
        <v>0</v>
      </c>
      <c r="F4129" s="21">
        <f t="shared" ca="1" si="235"/>
        <v>0</v>
      </c>
      <c r="H4129" s="21">
        <v>4114</v>
      </c>
      <c r="I4129" s="107">
        <v>0.66783779917907715</v>
      </c>
      <c r="J4129" s="108">
        <v>1.3912380964031001E-3</v>
      </c>
      <c r="K4129" s="108"/>
      <c r="L4129" s="108">
        <v>4.24E-2</v>
      </c>
      <c r="O4129" s="105"/>
    </row>
    <row r="4130" spans="2:15" x14ac:dyDescent="0.2">
      <c r="B4130" s="1">
        <f t="shared" si="232"/>
        <v>4115</v>
      </c>
      <c r="C4130" s="106">
        <f ca="1"/>
        <v>-0.90369832949219597</v>
      </c>
      <c r="D4130" s="106">
        <f t="shared" ca="1" si="233"/>
        <v>0.60783054532134095</v>
      </c>
      <c r="E4130" s="106">
        <f t="shared" ca="1" si="234"/>
        <v>0</v>
      </c>
      <c r="F4130" s="21">
        <f t="shared" ca="1" si="235"/>
        <v>0</v>
      </c>
      <c r="H4130" s="21">
        <v>4115</v>
      </c>
      <c r="I4130" s="107">
        <v>0.66778118418339638</v>
      </c>
      <c r="J4130" s="108">
        <v>1.3400028126023115E-3</v>
      </c>
      <c r="K4130" s="108"/>
      <c r="L4130" s="108">
        <v>4.1599999999999998E-2</v>
      </c>
      <c r="O4130" s="105"/>
    </row>
    <row r="4131" spans="2:15" x14ac:dyDescent="0.2">
      <c r="B4131" s="1">
        <f t="shared" si="232"/>
        <v>4116</v>
      </c>
      <c r="C4131" s="106">
        <f ca="1"/>
        <v>-0.14250444659694447</v>
      </c>
      <c r="D4131" s="106">
        <f t="shared" ca="1" si="233"/>
        <v>0.65522671698107093</v>
      </c>
      <c r="E4131" s="106">
        <f t="shared" ca="1" si="234"/>
        <v>0</v>
      </c>
      <c r="F4131" s="21">
        <f t="shared" ca="1" si="235"/>
        <v>0</v>
      </c>
      <c r="H4131" s="21">
        <v>4116</v>
      </c>
      <c r="I4131" s="107">
        <v>0.66771488751692154</v>
      </c>
      <c r="J4131" s="108">
        <v>1.3320803469349563E-3</v>
      </c>
      <c r="K4131" s="108"/>
      <c r="L4131" s="108">
        <v>3.9800000000000002E-2</v>
      </c>
      <c r="O4131" s="105"/>
    </row>
    <row r="4132" spans="2:15" x14ac:dyDescent="0.2">
      <c r="B4132" s="1">
        <f t="shared" si="232"/>
        <v>4117</v>
      </c>
      <c r="C4132" s="106">
        <f ca="1"/>
        <v>0.48961323153587488</v>
      </c>
      <c r="D4132" s="106">
        <f t="shared" ca="1" si="233"/>
        <v>0.69738263503317233</v>
      </c>
      <c r="E4132" s="106">
        <f t="shared" ca="1" si="234"/>
        <v>0</v>
      </c>
      <c r="F4132" s="21">
        <f t="shared" ca="1" si="235"/>
        <v>0</v>
      </c>
      <c r="H4132" s="21">
        <v>4117</v>
      </c>
      <c r="I4132" s="107">
        <v>0.6677041023791358</v>
      </c>
      <c r="J4132" s="108">
        <v>1.4182111144699068E-3</v>
      </c>
      <c r="K4132" s="108"/>
      <c r="L4132" s="108">
        <v>4.0800000000000003E-2</v>
      </c>
      <c r="O4132" s="105"/>
    </row>
    <row r="4133" spans="2:15" x14ac:dyDescent="0.2">
      <c r="B4133" s="1">
        <f t="shared" si="232"/>
        <v>4118</v>
      </c>
      <c r="C4133" s="106">
        <f ca="1"/>
        <v>-0.33822116665103352</v>
      </c>
      <c r="D4133" s="106">
        <f t="shared" ca="1" si="233"/>
        <v>0.64269839288094732</v>
      </c>
      <c r="E4133" s="106">
        <f t="shared" ca="1" si="234"/>
        <v>0</v>
      </c>
      <c r="F4133" s="21">
        <f t="shared" ca="1" si="235"/>
        <v>0</v>
      </c>
      <c r="H4133" s="21">
        <v>4118</v>
      </c>
      <c r="I4133" s="107">
        <v>0.66761279242252691</v>
      </c>
      <c r="J4133" s="108">
        <v>1.2290269599401493E-3</v>
      </c>
      <c r="K4133" s="108"/>
      <c r="L4133" s="108">
        <v>3.44E-2</v>
      </c>
      <c r="O4133" s="105"/>
    </row>
    <row r="4134" spans="2:15" x14ac:dyDescent="0.2">
      <c r="B4134" s="1">
        <f t="shared" si="232"/>
        <v>4119</v>
      </c>
      <c r="C4134" s="106">
        <f ca="1"/>
        <v>-0.46662317369375833</v>
      </c>
      <c r="D4134" s="106">
        <f t="shared" ca="1" si="233"/>
        <v>0.63460947366194753</v>
      </c>
      <c r="E4134" s="106">
        <f t="shared" ca="1" si="234"/>
        <v>0</v>
      </c>
      <c r="F4134" s="21">
        <f t="shared" ca="1" si="235"/>
        <v>0</v>
      </c>
      <c r="H4134" s="21">
        <v>4119</v>
      </c>
      <c r="I4134" s="107">
        <v>0.66773043269193821</v>
      </c>
      <c r="J4134" s="108">
        <v>1.5029013035302125E-3</v>
      </c>
      <c r="K4134" s="108"/>
      <c r="L4134" s="108">
        <v>4.1799999999999997E-2</v>
      </c>
      <c r="O4134" s="105"/>
    </row>
    <row r="4135" spans="2:15" x14ac:dyDescent="0.2">
      <c r="B4135" s="1">
        <f t="shared" si="232"/>
        <v>4120</v>
      </c>
      <c r="C4135" s="106">
        <f ca="1"/>
        <v>1.9190731246857675</v>
      </c>
      <c r="D4135" s="106">
        <f t="shared" ca="1" si="233"/>
        <v>0.80298662164572321</v>
      </c>
      <c r="E4135" s="106">
        <f t="shared" ca="1" si="234"/>
        <v>1.4786621645723197E-2</v>
      </c>
      <c r="F4135" s="21">
        <f t="shared" ca="1" si="235"/>
        <v>1</v>
      </c>
      <c r="H4135" s="21">
        <v>4120</v>
      </c>
      <c r="I4135" s="107">
        <v>0.66771176499440221</v>
      </c>
      <c r="J4135" s="108">
        <v>1.3675115504790971E-3</v>
      </c>
      <c r="K4135" s="108"/>
      <c r="L4135" s="108">
        <v>4.2599999999999999E-2</v>
      </c>
      <c r="O4135" s="105"/>
    </row>
    <row r="4136" spans="2:15" x14ac:dyDescent="0.2">
      <c r="B4136" s="1">
        <f t="shared" si="232"/>
        <v>4121</v>
      </c>
      <c r="C4136" s="106">
        <f ca="1"/>
        <v>0.26076548280589956</v>
      </c>
      <c r="D4136" s="106">
        <f t="shared" ca="1" si="233"/>
        <v>0.68181638338366224</v>
      </c>
      <c r="E4136" s="106">
        <f t="shared" ca="1" si="234"/>
        <v>0</v>
      </c>
      <c r="F4136" s="21">
        <f t="shared" ca="1" si="235"/>
        <v>0</v>
      </c>
      <c r="H4136" s="21">
        <v>4121</v>
      </c>
      <c r="I4136" s="107">
        <v>0.66780366861451035</v>
      </c>
      <c r="J4136" s="108">
        <v>1.2998929290213691E-3</v>
      </c>
      <c r="K4136" s="108"/>
      <c r="L4136" s="108">
        <v>4.2599999999999999E-2</v>
      </c>
      <c r="O4136" s="105"/>
    </row>
    <row r="4137" spans="2:15" x14ac:dyDescent="0.2">
      <c r="B4137" s="1">
        <f t="shared" si="232"/>
        <v>4122</v>
      </c>
      <c r="C4137" s="106">
        <f ca="1"/>
        <v>0.70615740912140135</v>
      </c>
      <c r="D4137" s="106">
        <f t="shared" ca="1" si="233"/>
        <v>0.71243910307090541</v>
      </c>
      <c r="E4137" s="106">
        <f t="shared" ca="1" si="234"/>
        <v>0</v>
      </c>
      <c r="F4137" s="21">
        <f t="shared" ca="1" si="235"/>
        <v>0</v>
      </c>
      <c r="H4137" s="21">
        <v>4122</v>
      </c>
      <c r="I4137" s="107">
        <v>0.66763485911122589</v>
      </c>
      <c r="J4137" s="108">
        <v>1.2440780773121916E-3</v>
      </c>
      <c r="K4137" s="108"/>
      <c r="L4137" s="108">
        <v>3.6600000000000001E-2</v>
      </c>
      <c r="O4137" s="105"/>
    </row>
    <row r="4138" spans="2:15" x14ac:dyDescent="0.2">
      <c r="B4138" s="1">
        <f t="shared" si="232"/>
        <v>4123</v>
      </c>
      <c r="C4138" s="106">
        <f ca="1"/>
        <v>0.15085398833241015</v>
      </c>
      <c r="D4138" s="106">
        <f t="shared" ca="1" si="233"/>
        <v>0.67446418354335813</v>
      </c>
      <c r="E4138" s="106">
        <f t="shared" ca="1" si="234"/>
        <v>0</v>
      </c>
      <c r="F4138" s="21">
        <f t="shared" ca="1" si="235"/>
        <v>0</v>
      </c>
      <c r="H4138" s="21">
        <v>4123</v>
      </c>
      <c r="I4138" s="107">
        <v>0.66765572550847574</v>
      </c>
      <c r="J4138" s="108">
        <v>1.2153585178652155E-3</v>
      </c>
      <c r="K4138" s="108"/>
      <c r="L4138" s="108">
        <v>0.04</v>
      </c>
      <c r="O4138" s="105"/>
    </row>
    <row r="4139" spans="2:15" x14ac:dyDescent="0.2">
      <c r="B4139" s="1">
        <f t="shared" si="232"/>
        <v>4124</v>
      </c>
      <c r="C4139" s="106">
        <f ca="1"/>
        <v>-0.70761114148627147</v>
      </c>
      <c r="D4139" s="106">
        <f t="shared" ca="1" si="233"/>
        <v>0.61970182501257576</v>
      </c>
      <c r="E4139" s="106">
        <f t="shared" ca="1" si="234"/>
        <v>0</v>
      </c>
      <c r="F4139" s="21">
        <f t="shared" ca="1" si="235"/>
        <v>0</v>
      </c>
      <c r="H4139" s="21">
        <v>4124</v>
      </c>
      <c r="I4139" s="107">
        <v>0.66771431330982367</v>
      </c>
      <c r="J4139" s="108">
        <v>1.3184551186886386E-3</v>
      </c>
      <c r="K4139" s="108"/>
      <c r="L4139" s="108">
        <v>4.0599999999999997E-2</v>
      </c>
      <c r="O4139" s="105"/>
    </row>
    <row r="4140" spans="2:15" x14ac:dyDescent="0.2">
      <c r="B4140" s="1">
        <f t="shared" si="232"/>
        <v>4125</v>
      </c>
      <c r="C4140" s="106">
        <f ca="1"/>
        <v>0.62672834186112869</v>
      </c>
      <c r="D4140" s="106">
        <f t="shared" ca="1" si="233"/>
        <v>0.70687896115948357</v>
      </c>
      <c r="E4140" s="106">
        <f t="shared" ca="1" si="234"/>
        <v>0</v>
      </c>
      <c r="F4140" s="21">
        <f t="shared" ca="1" si="235"/>
        <v>0</v>
      </c>
      <c r="H4140" s="21">
        <v>4125</v>
      </c>
      <c r="I4140" s="107">
        <v>0.66788427417682572</v>
      </c>
      <c r="J4140" s="108">
        <v>1.609679451255262E-3</v>
      </c>
      <c r="K4140" s="108"/>
      <c r="L4140" s="108">
        <v>4.6199999999999998E-2</v>
      </c>
      <c r="O4140" s="105"/>
    </row>
    <row r="4141" spans="2:15" x14ac:dyDescent="0.2">
      <c r="B4141" s="1">
        <f t="shared" si="232"/>
        <v>4126</v>
      </c>
      <c r="C4141" s="106">
        <f ca="1"/>
        <v>-1.5458680208026183</v>
      </c>
      <c r="D4141" s="106">
        <f t="shared" ca="1" si="233"/>
        <v>0.5705219622462977</v>
      </c>
      <c r="E4141" s="106">
        <f t="shared" ca="1" si="234"/>
        <v>0</v>
      </c>
      <c r="F4141" s="21">
        <f t="shared" ca="1" si="235"/>
        <v>0</v>
      </c>
      <c r="H4141" s="21">
        <v>4126</v>
      </c>
      <c r="I4141" s="107">
        <v>0.6676479911651082</v>
      </c>
      <c r="J4141" s="108">
        <v>1.3459895455024105E-3</v>
      </c>
      <c r="K4141" s="108"/>
      <c r="L4141" s="108">
        <v>4.1399999999999999E-2</v>
      </c>
      <c r="O4141" s="105"/>
    </row>
    <row r="4142" spans="2:15" x14ac:dyDescent="0.2">
      <c r="B4142" s="1">
        <f t="shared" si="232"/>
        <v>4127</v>
      </c>
      <c r="C4142" s="106">
        <f ca="1"/>
        <v>-1.8353394173768827</v>
      </c>
      <c r="D4142" s="106">
        <f t="shared" ca="1" si="233"/>
        <v>0.55446174965201489</v>
      </c>
      <c r="E4142" s="106">
        <f t="shared" ca="1" si="234"/>
        <v>0</v>
      </c>
      <c r="F4142" s="21">
        <f t="shared" ca="1" si="235"/>
        <v>0</v>
      </c>
      <c r="H4142" s="21">
        <v>4127</v>
      </c>
      <c r="I4142" s="107">
        <v>0.66766234072390029</v>
      </c>
      <c r="J4142" s="108">
        <v>1.2959766381713987E-3</v>
      </c>
      <c r="K4142" s="108"/>
      <c r="L4142" s="108">
        <v>4.1399999999999999E-2</v>
      </c>
      <c r="O4142" s="105"/>
    </row>
    <row r="4143" spans="2:15" x14ac:dyDescent="0.2">
      <c r="B4143" s="1">
        <f t="shared" si="232"/>
        <v>4128</v>
      </c>
      <c r="C4143" s="106">
        <f ca="1"/>
        <v>1.0822064202368826</v>
      </c>
      <c r="D4143" s="106">
        <f t="shared" ca="1" si="233"/>
        <v>0.73936256188940686</v>
      </c>
      <c r="E4143" s="106">
        <f t="shared" ca="1" si="234"/>
        <v>0</v>
      </c>
      <c r="F4143" s="21">
        <f t="shared" ca="1" si="235"/>
        <v>0</v>
      </c>
      <c r="H4143" s="21">
        <v>4128</v>
      </c>
      <c r="I4143" s="107">
        <v>0.66754481182533909</v>
      </c>
      <c r="J4143" s="108">
        <v>1.3565240878307574E-3</v>
      </c>
      <c r="K4143" s="108"/>
      <c r="L4143" s="108">
        <v>3.9199999999999999E-2</v>
      </c>
      <c r="O4143" s="105"/>
    </row>
    <row r="4144" spans="2:15" x14ac:dyDescent="0.2">
      <c r="B4144" s="1">
        <f t="shared" ref="B4144:B4207" si="236">B4143+1</f>
        <v>4129</v>
      </c>
      <c r="C4144" s="106">
        <f ca="1"/>
        <v>1.2747060636736947</v>
      </c>
      <c r="D4144" s="106">
        <f t="shared" ca="1" si="233"/>
        <v>0.75353602878343351</v>
      </c>
      <c r="E4144" s="106">
        <f t="shared" ca="1" si="234"/>
        <v>0</v>
      </c>
      <c r="F4144" s="21">
        <f t="shared" ca="1" si="235"/>
        <v>0</v>
      </c>
      <c r="H4144" s="21">
        <v>4129</v>
      </c>
      <c r="I4144" s="107">
        <v>0.66779157680802848</v>
      </c>
      <c r="J4144" s="108">
        <v>1.3973825400427279E-3</v>
      </c>
      <c r="K4144" s="108"/>
      <c r="L4144" s="108">
        <v>4.1000000000000002E-2</v>
      </c>
      <c r="O4144" s="105"/>
    </row>
    <row r="4145" spans="2:15" x14ac:dyDescent="0.2">
      <c r="B4145" s="1">
        <f t="shared" si="236"/>
        <v>4130</v>
      </c>
      <c r="C4145" s="106">
        <f ca="1"/>
        <v>0.88139951653485227</v>
      </c>
      <c r="D4145" s="106">
        <f t="shared" ca="1" si="233"/>
        <v>0.72486146433590659</v>
      </c>
      <c r="E4145" s="106">
        <f t="shared" ca="1" si="234"/>
        <v>0</v>
      </c>
      <c r="F4145" s="21">
        <f t="shared" ca="1" si="235"/>
        <v>0</v>
      </c>
      <c r="H4145" s="21">
        <v>4130</v>
      </c>
      <c r="I4145" s="107">
        <v>0.66775802253169558</v>
      </c>
      <c r="J4145" s="108">
        <v>1.3500536609587978E-3</v>
      </c>
      <c r="K4145" s="108"/>
      <c r="L4145" s="108">
        <v>4.1799999999999997E-2</v>
      </c>
      <c r="O4145" s="105"/>
    </row>
    <row r="4146" spans="2:15" x14ac:dyDescent="0.2">
      <c r="B4146" s="1">
        <f t="shared" si="236"/>
        <v>4131</v>
      </c>
      <c r="C4146" s="106">
        <f ca="1"/>
        <v>1.9099557012897981</v>
      </c>
      <c r="D4146" s="106">
        <f t="shared" ca="1" si="233"/>
        <v>0.80226477647442485</v>
      </c>
      <c r="E4146" s="106">
        <f t="shared" ca="1" si="234"/>
        <v>1.4064776474424834E-2</v>
      </c>
      <c r="F4146" s="21">
        <f t="shared" ca="1" si="235"/>
        <v>1</v>
      </c>
      <c r="H4146" s="21">
        <v>4131</v>
      </c>
      <c r="I4146" s="107">
        <v>0.66775028674398496</v>
      </c>
      <c r="J4146" s="108">
        <v>1.3228544959485279E-3</v>
      </c>
      <c r="K4146" s="108"/>
      <c r="L4146" s="108">
        <v>4.3400000000000001E-2</v>
      </c>
      <c r="O4146" s="105"/>
    </row>
    <row r="4147" spans="2:15" x14ac:dyDescent="0.2">
      <c r="B4147" s="1">
        <f t="shared" si="236"/>
        <v>4132</v>
      </c>
      <c r="C4147" s="106">
        <f ca="1"/>
        <v>2.2912340008999781</v>
      </c>
      <c r="D4147" s="106">
        <f t="shared" ca="1" si="233"/>
        <v>0.83301237297669084</v>
      </c>
      <c r="E4147" s="106">
        <f t="shared" ca="1" si="234"/>
        <v>4.4812372976690829E-2</v>
      </c>
      <c r="F4147" s="21">
        <f t="shared" ca="1" si="235"/>
        <v>1</v>
      </c>
      <c r="H4147" s="21">
        <v>4132</v>
      </c>
      <c r="I4147" s="107">
        <v>0.66786323042925644</v>
      </c>
      <c r="J4147" s="108">
        <v>1.6103206216178678E-3</v>
      </c>
      <c r="K4147" s="108"/>
      <c r="L4147" s="108">
        <v>4.2200000000000001E-2</v>
      </c>
      <c r="O4147" s="105"/>
    </row>
    <row r="4148" spans="2:15" x14ac:dyDescent="0.2">
      <c r="B4148" s="1">
        <f t="shared" si="236"/>
        <v>4133</v>
      </c>
      <c r="C4148" s="106">
        <f ca="1"/>
        <v>1.7058578004339906</v>
      </c>
      <c r="D4148" s="106">
        <f t="shared" ca="1" si="233"/>
        <v>0.7862746910509667</v>
      </c>
      <c r="E4148" s="106">
        <f t="shared" ca="1" si="234"/>
        <v>0</v>
      </c>
      <c r="F4148" s="21">
        <f t="shared" ca="1" si="235"/>
        <v>0</v>
      </c>
      <c r="H4148" s="21">
        <v>4133</v>
      </c>
      <c r="I4148" s="107">
        <v>0.66786993035477349</v>
      </c>
      <c r="J4148" s="108">
        <v>1.4609305498196436E-3</v>
      </c>
      <c r="K4148" s="108"/>
      <c r="L4148" s="108">
        <v>4.48E-2</v>
      </c>
      <c r="O4148" s="105"/>
    </row>
    <row r="4149" spans="2:15" x14ac:dyDescent="0.2">
      <c r="B4149" s="1">
        <f t="shared" si="236"/>
        <v>4134</v>
      </c>
      <c r="C4149" s="106">
        <f ca="1"/>
        <v>-0.52598226887982302</v>
      </c>
      <c r="D4149" s="106">
        <f t="shared" ca="1" si="233"/>
        <v>0.63090452758931115</v>
      </c>
      <c r="E4149" s="106">
        <f t="shared" ca="1" si="234"/>
        <v>0</v>
      </c>
      <c r="F4149" s="21">
        <f t="shared" ca="1" si="235"/>
        <v>0</v>
      </c>
      <c r="H4149" s="21">
        <v>4134</v>
      </c>
      <c r="I4149" s="107">
        <v>0.66768697988779313</v>
      </c>
      <c r="J4149" s="108">
        <v>1.0902800951940574E-3</v>
      </c>
      <c r="K4149" s="108"/>
      <c r="L4149" s="108">
        <v>3.8600000000000002E-2</v>
      </c>
      <c r="O4149" s="105"/>
    </row>
    <row r="4150" spans="2:15" x14ac:dyDescent="0.2">
      <c r="B4150" s="1">
        <f t="shared" si="236"/>
        <v>4135</v>
      </c>
      <c r="C4150" s="106">
        <f ca="1"/>
        <v>1.498994967286011</v>
      </c>
      <c r="D4150" s="106">
        <f t="shared" ca="1" si="233"/>
        <v>0.77039316387562029</v>
      </c>
      <c r="E4150" s="106">
        <f t="shared" ca="1" si="234"/>
        <v>0</v>
      </c>
      <c r="F4150" s="21">
        <f t="shared" ca="1" si="235"/>
        <v>0</v>
      </c>
      <c r="H4150" s="21">
        <v>4135</v>
      </c>
      <c r="I4150" s="107">
        <v>0.66757024332095638</v>
      </c>
      <c r="J4150" s="108">
        <v>1.0555697598683481E-3</v>
      </c>
      <c r="K4150" s="108"/>
      <c r="L4150" s="108">
        <v>3.9800000000000002E-2</v>
      </c>
      <c r="O4150" s="105"/>
    </row>
    <row r="4151" spans="2:15" x14ac:dyDescent="0.2">
      <c r="B4151" s="1">
        <f t="shared" si="236"/>
        <v>4136</v>
      </c>
      <c r="C4151" s="106">
        <f ca="1"/>
        <v>-0.78526087084146534</v>
      </c>
      <c r="D4151" s="106">
        <f t="shared" ca="1" si="233"/>
        <v>0.61497336794131874</v>
      </c>
      <c r="E4151" s="106">
        <f t="shared" ca="1" si="234"/>
        <v>0</v>
      </c>
      <c r="F4151" s="21">
        <f t="shared" ca="1" si="235"/>
        <v>0</v>
      </c>
      <c r="H4151" s="21">
        <v>4136</v>
      </c>
      <c r="I4151" s="107">
        <v>0.66759526074383524</v>
      </c>
      <c r="J4151" s="108">
        <v>1.2944996755502659E-3</v>
      </c>
      <c r="K4151" s="108"/>
      <c r="L4151" s="108">
        <v>3.7999999999999999E-2</v>
      </c>
      <c r="O4151" s="105"/>
    </row>
    <row r="4152" spans="2:15" x14ac:dyDescent="0.2">
      <c r="B4152" s="1">
        <f t="shared" si="236"/>
        <v>4137</v>
      </c>
      <c r="C4152" s="106">
        <f ca="1"/>
        <v>-0.95155834418830954</v>
      </c>
      <c r="D4152" s="106">
        <f t="shared" ca="1" si="233"/>
        <v>0.60496775522751978</v>
      </c>
      <c r="E4152" s="106">
        <f t="shared" ca="1" si="234"/>
        <v>0</v>
      </c>
      <c r="F4152" s="21">
        <f t="shared" ca="1" si="235"/>
        <v>0</v>
      </c>
      <c r="H4152" s="21">
        <v>4137</v>
      </c>
      <c r="I4152" s="107">
        <v>0.66768304928400735</v>
      </c>
      <c r="J4152" s="108">
        <v>1.3088931973592565E-3</v>
      </c>
      <c r="K4152" s="108"/>
      <c r="L4152" s="108">
        <v>3.8600000000000002E-2</v>
      </c>
      <c r="O4152" s="105"/>
    </row>
    <row r="4153" spans="2:15" x14ac:dyDescent="0.2">
      <c r="B4153" s="1">
        <f t="shared" si="236"/>
        <v>4138</v>
      </c>
      <c r="C4153" s="106">
        <f ca="1"/>
        <v>0.51005165481695725</v>
      </c>
      <c r="D4153" s="106">
        <f t="shared" ca="1" si="233"/>
        <v>0.69879002767877518</v>
      </c>
      <c r="E4153" s="106">
        <f t="shared" ca="1" si="234"/>
        <v>0</v>
      </c>
      <c r="F4153" s="21">
        <f t="shared" ca="1" si="235"/>
        <v>0</v>
      </c>
      <c r="H4153" s="21">
        <v>4138</v>
      </c>
      <c r="I4153" s="107">
        <v>0.66779387809165514</v>
      </c>
      <c r="J4153" s="108">
        <v>1.4249880141973812E-3</v>
      </c>
      <c r="K4153" s="108"/>
      <c r="L4153" s="108">
        <v>4.5600000000000002E-2</v>
      </c>
      <c r="O4153" s="105"/>
    </row>
    <row r="4154" spans="2:15" x14ac:dyDescent="0.2">
      <c r="B4154" s="1">
        <f t="shared" si="236"/>
        <v>4139</v>
      </c>
      <c r="C4154" s="106">
        <f ca="1"/>
        <v>-1.0368874947368765</v>
      </c>
      <c r="D4154" s="106">
        <f t="shared" ca="1" si="233"/>
        <v>0.59989712304861509</v>
      </c>
      <c r="E4154" s="106">
        <f t="shared" ca="1" si="234"/>
        <v>0</v>
      </c>
      <c r="F4154" s="21">
        <f t="shared" ca="1" si="235"/>
        <v>0</v>
      </c>
      <c r="H4154" s="21">
        <v>4139</v>
      </c>
      <c r="I4154" s="107">
        <v>0.6676204697532846</v>
      </c>
      <c r="J4154" s="108">
        <v>1.2829539339440175E-3</v>
      </c>
      <c r="K4154" s="108"/>
      <c r="L4154" s="108">
        <v>3.9199999999999999E-2</v>
      </c>
      <c r="O4154" s="105"/>
    </row>
    <row r="4155" spans="2:15" x14ac:dyDescent="0.2">
      <c r="B4155" s="1">
        <f t="shared" si="236"/>
        <v>4140</v>
      </c>
      <c r="C4155" s="106">
        <f ca="1"/>
        <v>-0.13792253837475327</v>
      </c>
      <c r="D4155" s="106">
        <f t="shared" ca="1" si="233"/>
        <v>0.65552292378544352</v>
      </c>
      <c r="E4155" s="106">
        <f t="shared" ca="1" si="234"/>
        <v>0</v>
      </c>
      <c r="F4155" s="21">
        <f t="shared" ca="1" si="235"/>
        <v>0</v>
      </c>
      <c r="H4155" s="21">
        <v>4140</v>
      </c>
      <c r="I4155" s="107">
        <v>0.66778167446591929</v>
      </c>
      <c r="J4155" s="108">
        <v>1.3660680852534588E-3</v>
      </c>
      <c r="K4155" s="108"/>
      <c r="L4155" s="108">
        <v>4.3799999999999999E-2</v>
      </c>
      <c r="O4155" s="105"/>
    </row>
    <row r="4156" spans="2:15" x14ac:dyDescent="0.2">
      <c r="B4156" s="1">
        <f t="shared" si="236"/>
        <v>4141</v>
      </c>
      <c r="C4156" s="106">
        <f ca="1"/>
        <v>-0.91831712111294239</v>
      </c>
      <c r="D4156" s="106">
        <f t="shared" ca="1" si="233"/>
        <v>0.60695467501173794</v>
      </c>
      <c r="E4156" s="106">
        <f t="shared" ca="1" si="234"/>
        <v>0</v>
      </c>
      <c r="F4156" s="21">
        <f t="shared" ca="1" si="235"/>
        <v>0</v>
      </c>
      <c r="H4156" s="21">
        <v>4141</v>
      </c>
      <c r="I4156" s="107">
        <v>0.66754208101579615</v>
      </c>
      <c r="J4156" s="108">
        <v>1.0693673060237271E-3</v>
      </c>
      <c r="K4156" s="108"/>
      <c r="L4156" s="108">
        <v>3.6600000000000001E-2</v>
      </c>
      <c r="O4156" s="105"/>
    </row>
    <row r="4157" spans="2:15" x14ac:dyDescent="0.2">
      <c r="B4157" s="1">
        <f t="shared" si="236"/>
        <v>4142</v>
      </c>
      <c r="C4157" s="106">
        <f ca="1"/>
        <v>1.7719573141716065</v>
      </c>
      <c r="D4157" s="106">
        <f t="shared" ca="1" si="233"/>
        <v>0.79141806454449659</v>
      </c>
      <c r="E4157" s="106">
        <f t="shared" ca="1" si="234"/>
        <v>3.2180645444965794E-3</v>
      </c>
      <c r="F4157" s="21">
        <f t="shared" ca="1" si="235"/>
        <v>1</v>
      </c>
      <c r="H4157" s="21">
        <v>4142</v>
      </c>
      <c r="I4157" s="107">
        <v>0.66769932320208125</v>
      </c>
      <c r="J4157" s="108">
        <v>1.3355378163321214E-3</v>
      </c>
      <c r="K4157" s="108"/>
      <c r="L4157" s="108">
        <v>4.0599999999999997E-2</v>
      </c>
      <c r="O4157" s="105"/>
    </row>
    <row r="4158" spans="2:15" x14ac:dyDescent="0.2">
      <c r="B4158" s="1">
        <f t="shared" si="236"/>
        <v>4143</v>
      </c>
      <c r="C4158" s="106">
        <f ca="1"/>
        <v>-0.37026238592152733</v>
      </c>
      <c r="D4158" s="106">
        <f t="shared" ca="1" si="233"/>
        <v>0.6406702945094418</v>
      </c>
      <c r="E4158" s="106">
        <f t="shared" ca="1" si="234"/>
        <v>0</v>
      </c>
      <c r="F4158" s="21">
        <f t="shared" ca="1" si="235"/>
        <v>0</v>
      </c>
      <c r="H4158" s="21">
        <v>4143</v>
      </c>
      <c r="I4158" s="107">
        <v>0.66767683474149486</v>
      </c>
      <c r="J4158" s="108">
        <v>1.4139538259468054E-3</v>
      </c>
      <c r="K4158" s="108"/>
      <c r="L4158" s="108">
        <v>4.3799999999999999E-2</v>
      </c>
      <c r="O4158" s="105"/>
    </row>
    <row r="4159" spans="2:15" x14ac:dyDescent="0.2">
      <c r="B4159" s="1">
        <f t="shared" si="236"/>
        <v>4144</v>
      </c>
      <c r="C4159" s="106">
        <f ca="1"/>
        <v>0.28537581853657501</v>
      </c>
      <c r="D4159" s="106">
        <f t="shared" ca="1" si="233"/>
        <v>0.68347356888161348</v>
      </c>
      <c r="E4159" s="106">
        <f t="shared" ca="1" si="234"/>
        <v>0</v>
      </c>
      <c r="F4159" s="21">
        <f t="shared" ca="1" si="235"/>
        <v>0</v>
      </c>
      <c r="H4159" s="21">
        <v>4144</v>
      </c>
      <c r="I4159" s="107">
        <v>0.66768987152666348</v>
      </c>
      <c r="J4159" s="108">
        <v>1.2401166347703306E-3</v>
      </c>
      <c r="K4159" s="108"/>
      <c r="L4159" s="108">
        <v>4.1799999999999997E-2</v>
      </c>
      <c r="O4159" s="105"/>
    </row>
    <row r="4160" spans="2:15" x14ac:dyDescent="0.2">
      <c r="B4160" s="1">
        <f t="shared" si="236"/>
        <v>4145</v>
      </c>
      <c r="C4160" s="106">
        <f ca="1"/>
        <v>0.43617629283166609</v>
      </c>
      <c r="D4160" s="106">
        <f t="shared" ca="1" si="233"/>
        <v>0.69371633924288789</v>
      </c>
      <c r="E4160" s="106">
        <f t="shared" ca="1" si="234"/>
        <v>0</v>
      </c>
      <c r="F4160" s="21">
        <f t="shared" ca="1" si="235"/>
        <v>0</v>
      </c>
      <c r="H4160" s="21">
        <v>4145</v>
      </c>
      <c r="I4160" s="107">
        <v>0.66762889641230727</v>
      </c>
      <c r="J4160" s="108">
        <v>1.2990880865264827E-3</v>
      </c>
      <c r="K4160" s="108"/>
      <c r="L4160" s="108">
        <v>3.7999999999999999E-2</v>
      </c>
      <c r="O4160" s="105"/>
    </row>
    <row r="4161" spans="2:15" x14ac:dyDescent="0.2">
      <c r="B4161" s="1">
        <f t="shared" si="236"/>
        <v>4146</v>
      </c>
      <c r="C4161" s="106">
        <f ca="1"/>
        <v>-0.41577659369309394</v>
      </c>
      <c r="D4161" s="106">
        <f t="shared" ca="1" si="233"/>
        <v>0.6378003999518389</v>
      </c>
      <c r="E4161" s="106">
        <f t="shared" ca="1" si="234"/>
        <v>0</v>
      </c>
      <c r="F4161" s="21">
        <f t="shared" ca="1" si="235"/>
        <v>0</v>
      </c>
      <c r="H4161" s="21">
        <v>4146</v>
      </c>
      <c r="I4161" s="107">
        <v>0.6677438846979481</v>
      </c>
      <c r="J4161" s="108">
        <v>1.3958445304158879E-3</v>
      </c>
      <c r="K4161" s="108"/>
      <c r="L4161" s="108">
        <v>4.24E-2</v>
      </c>
      <c r="O4161" s="105"/>
    </row>
    <row r="4162" spans="2:15" x14ac:dyDescent="0.2">
      <c r="B4162" s="1">
        <f t="shared" si="236"/>
        <v>4147</v>
      </c>
      <c r="C4162" s="106">
        <f ca="1"/>
        <v>0.70743428043668932</v>
      </c>
      <c r="D4162" s="106">
        <f t="shared" ca="1" si="233"/>
        <v>0.71252884205114742</v>
      </c>
      <c r="E4162" s="106">
        <f t="shared" ca="1" si="234"/>
        <v>0</v>
      </c>
      <c r="F4162" s="21">
        <f t="shared" ca="1" si="235"/>
        <v>0</v>
      </c>
      <c r="H4162" s="21">
        <v>4147</v>
      </c>
      <c r="I4162" s="107">
        <v>0.66765997826319057</v>
      </c>
      <c r="J4162" s="108">
        <v>1.3689229372572274E-3</v>
      </c>
      <c r="K4162" s="108"/>
      <c r="L4162" s="108">
        <v>4.0599999999999997E-2</v>
      </c>
      <c r="O4162" s="105"/>
    </row>
    <row r="4163" spans="2:15" x14ac:dyDescent="0.2">
      <c r="B4163" s="1">
        <f t="shared" si="236"/>
        <v>4148</v>
      </c>
      <c r="C4163" s="106">
        <f ca="1"/>
        <v>-0.27887480896621458</v>
      </c>
      <c r="D4163" s="106">
        <f t="shared" ca="1" si="233"/>
        <v>0.64647178540934058</v>
      </c>
      <c r="E4163" s="106">
        <f t="shared" ca="1" si="234"/>
        <v>0</v>
      </c>
      <c r="F4163" s="21">
        <f t="shared" ca="1" si="235"/>
        <v>0</v>
      </c>
      <c r="H4163" s="21">
        <v>4148</v>
      </c>
      <c r="I4163" s="107">
        <v>0.66787004286445883</v>
      </c>
      <c r="J4163" s="108">
        <v>1.566055164434025E-3</v>
      </c>
      <c r="K4163" s="108"/>
      <c r="L4163" s="108">
        <v>4.48E-2</v>
      </c>
      <c r="O4163" s="105"/>
    </row>
    <row r="4164" spans="2:15" x14ac:dyDescent="0.2">
      <c r="B4164" s="1">
        <f t="shared" si="236"/>
        <v>4149</v>
      </c>
      <c r="C4164" s="106">
        <f ca="1"/>
        <v>1.1138780124038634</v>
      </c>
      <c r="D4164" s="106">
        <f t="shared" ca="1" si="233"/>
        <v>0.74167603696750295</v>
      </c>
      <c r="E4164" s="106">
        <f t="shared" ca="1" si="234"/>
        <v>0</v>
      </c>
      <c r="F4164" s="21">
        <f t="shared" ca="1" si="235"/>
        <v>0</v>
      </c>
      <c r="H4164" s="21">
        <v>4149</v>
      </c>
      <c r="I4164" s="107">
        <v>0.66764431685436343</v>
      </c>
      <c r="J4164" s="108">
        <v>1.2843397667859652E-3</v>
      </c>
      <c r="K4164" s="108"/>
      <c r="L4164" s="108">
        <v>4.02E-2</v>
      </c>
      <c r="O4164" s="105"/>
    </row>
    <row r="4165" spans="2:15" x14ac:dyDescent="0.2">
      <c r="B4165" s="1">
        <f t="shared" si="236"/>
        <v>4150</v>
      </c>
      <c r="C4165" s="106">
        <f ca="1"/>
        <v>-0.41427675349611498</v>
      </c>
      <c r="D4165" s="106">
        <f t="shared" ca="1" si="233"/>
        <v>0.63789476709407256</v>
      </c>
      <c r="E4165" s="106">
        <f t="shared" ca="1" si="234"/>
        <v>0</v>
      </c>
      <c r="F4165" s="21">
        <f t="shared" ca="1" si="235"/>
        <v>0</v>
      </c>
      <c r="H4165" s="21">
        <v>4150</v>
      </c>
      <c r="I4165" s="107">
        <v>0.66778790666551535</v>
      </c>
      <c r="J4165" s="108">
        <v>1.4488040618880324E-3</v>
      </c>
      <c r="K4165" s="108"/>
      <c r="L4165" s="108">
        <v>4.3200000000000002E-2</v>
      </c>
      <c r="O4165" s="105"/>
    </row>
    <row r="4166" spans="2:15" x14ac:dyDescent="0.2">
      <c r="B4166" s="1">
        <f t="shared" si="236"/>
        <v>4151</v>
      </c>
      <c r="C4166" s="106">
        <f ca="1"/>
        <v>0.2999508540130762</v>
      </c>
      <c r="D4166" s="106">
        <f t="shared" ca="1" si="233"/>
        <v>0.68445690609672882</v>
      </c>
      <c r="E4166" s="106">
        <f t="shared" ca="1" si="234"/>
        <v>0</v>
      </c>
      <c r="F4166" s="21">
        <f t="shared" ca="1" si="235"/>
        <v>0</v>
      </c>
      <c r="H4166" s="21">
        <v>4151</v>
      </c>
      <c r="I4166" s="107">
        <v>0.66784448912136862</v>
      </c>
      <c r="J4166" s="108">
        <v>1.5625766262930996E-3</v>
      </c>
      <c r="K4166" s="108"/>
      <c r="L4166" s="108">
        <v>4.3799999999999999E-2</v>
      </c>
      <c r="O4166" s="105"/>
    </row>
    <row r="4167" spans="2:15" x14ac:dyDescent="0.2">
      <c r="B4167" s="1">
        <f t="shared" si="236"/>
        <v>4152</v>
      </c>
      <c r="C4167" s="106">
        <f ca="1"/>
        <v>0.39351943401729739</v>
      </c>
      <c r="D4167" s="106">
        <f t="shared" ca="1" si="233"/>
        <v>0.69080350132471036</v>
      </c>
      <c r="E4167" s="106">
        <f t="shared" ca="1" si="234"/>
        <v>0</v>
      </c>
      <c r="F4167" s="21">
        <f t="shared" ca="1" si="235"/>
        <v>0</v>
      </c>
      <c r="H4167" s="21">
        <v>4152</v>
      </c>
      <c r="I4167" s="107">
        <v>0.6677127892440935</v>
      </c>
      <c r="J4167" s="108">
        <v>1.3355671636034944E-3</v>
      </c>
      <c r="K4167" s="108"/>
      <c r="L4167" s="108">
        <v>4.5199999999999997E-2</v>
      </c>
      <c r="O4167" s="105"/>
    </row>
    <row r="4168" spans="2:15" x14ac:dyDescent="0.2">
      <c r="B4168" s="1">
        <f t="shared" si="236"/>
        <v>4153</v>
      </c>
      <c r="C4168" s="106">
        <f ca="1"/>
        <v>-0.51205003195786314</v>
      </c>
      <c r="D4168" s="106">
        <f t="shared" ca="1" si="233"/>
        <v>0.63177217216153425</v>
      </c>
      <c r="E4168" s="106">
        <f t="shared" ca="1" si="234"/>
        <v>0</v>
      </c>
      <c r="F4168" s="21">
        <f t="shared" ca="1" si="235"/>
        <v>0</v>
      </c>
      <c r="H4168" s="21">
        <v>4153</v>
      </c>
      <c r="I4168" s="107">
        <v>0.66767934686163477</v>
      </c>
      <c r="J4168" s="108">
        <v>1.3258121755905833E-3</v>
      </c>
      <c r="K4168" s="108"/>
      <c r="L4168" s="108">
        <v>3.9600000000000003E-2</v>
      </c>
      <c r="O4168" s="105"/>
    </row>
    <row r="4169" spans="2:15" x14ac:dyDescent="0.2">
      <c r="B4169" s="1">
        <f t="shared" si="236"/>
        <v>4154</v>
      </c>
      <c r="C4169" s="106">
        <f ca="1"/>
        <v>0.10739692379617505</v>
      </c>
      <c r="D4169" s="106">
        <f t="shared" ca="1" si="233"/>
        <v>0.67157917120214594</v>
      </c>
      <c r="E4169" s="106">
        <f t="shared" ca="1" si="234"/>
        <v>0</v>
      </c>
      <c r="F4169" s="21">
        <f t="shared" ca="1" si="235"/>
        <v>0</v>
      </c>
      <c r="H4169" s="21">
        <v>4154</v>
      </c>
      <c r="I4169" s="107">
        <v>0.66764035433601532</v>
      </c>
      <c r="J4169" s="108">
        <v>1.249861175127357E-3</v>
      </c>
      <c r="K4169" s="108"/>
      <c r="L4169" s="108">
        <v>3.9600000000000003E-2</v>
      </c>
      <c r="O4169" s="105"/>
    </row>
    <row r="4170" spans="2:15" x14ac:dyDescent="0.2">
      <c r="B4170" s="1">
        <f t="shared" si="236"/>
        <v>4155</v>
      </c>
      <c r="C4170" s="106">
        <f ca="1"/>
        <v>0.19325765486373278</v>
      </c>
      <c r="D4170" s="106">
        <f t="shared" ca="1" si="233"/>
        <v>0.67729120948188593</v>
      </c>
      <c r="E4170" s="106">
        <f t="shared" ca="1" si="234"/>
        <v>0</v>
      </c>
      <c r="F4170" s="21">
        <f t="shared" ca="1" si="235"/>
        <v>0</v>
      </c>
      <c r="H4170" s="21">
        <v>4155</v>
      </c>
      <c r="I4170" s="107">
        <v>0.66775843487351627</v>
      </c>
      <c r="J4170" s="108">
        <v>1.4096769392308286E-3</v>
      </c>
      <c r="K4170" s="108"/>
      <c r="L4170" s="108">
        <v>4.5199999999999997E-2</v>
      </c>
      <c r="O4170" s="105"/>
    </row>
    <row r="4171" spans="2:15" x14ac:dyDescent="0.2">
      <c r="B4171" s="1">
        <f t="shared" si="236"/>
        <v>4156</v>
      </c>
      <c r="C4171" s="106">
        <f ca="1"/>
        <v>2.4263307749049092</v>
      </c>
      <c r="D4171" s="106">
        <f t="shared" ca="1" si="233"/>
        <v>0.84418749505607316</v>
      </c>
      <c r="E4171" s="106">
        <f t="shared" ca="1" si="234"/>
        <v>5.5987495056073144E-2</v>
      </c>
      <c r="F4171" s="21">
        <f t="shared" ca="1" si="235"/>
        <v>1</v>
      </c>
      <c r="H4171" s="21">
        <v>4156</v>
      </c>
      <c r="I4171" s="107">
        <v>0.6677038338876462</v>
      </c>
      <c r="J4171" s="108">
        <v>1.3611486230842302E-3</v>
      </c>
      <c r="K4171" s="108"/>
      <c r="L4171" s="108">
        <v>4.2200000000000001E-2</v>
      </c>
      <c r="O4171" s="105"/>
    </row>
    <row r="4172" spans="2:15" x14ac:dyDescent="0.2">
      <c r="B4172" s="1">
        <f t="shared" si="236"/>
        <v>4157</v>
      </c>
      <c r="C4172" s="106">
        <f ca="1"/>
        <v>1.0807665162898801</v>
      </c>
      <c r="D4172" s="106">
        <f t="shared" ca="1" si="233"/>
        <v>0.73925755469939913</v>
      </c>
      <c r="E4172" s="106">
        <f t="shared" ca="1" si="234"/>
        <v>0</v>
      </c>
      <c r="F4172" s="21">
        <f t="shared" ca="1" si="235"/>
        <v>0</v>
      </c>
      <c r="H4172" s="21">
        <v>4157</v>
      </c>
      <c r="I4172" s="107">
        <v>0.66772457273148689</v>
      </c>
      <c r="J4172" s="108">
        <v>1.4055498975976564E-3</v>
      </c>
      <c r="K4172" s="108"/>
      <c r="L4172" s="108">
        <v>4.1599999999999998E-2</v>
      </c>
      <c r="O4172" s="105"/>
    </row>
    <row r="4173" spans="2:15" x14ac:dyDescent="0.2">
      <c r="B4173" s="1">
        <f t="shared" si="236"/>
        <v>4158</v>
      </c>
      <c r="C4173" s="106">
        <f ca="1"/>
        <v>1.9397058053326861</v>
      </c>
      <c r="D4173" s="106">
        <f t="shared" ca="1" si="233"/>
        <v>0.80462255228798152</v>
      </c>
      <c r="E4173" s="106">
        <f t="shared" ca="1" si="234"/>
        <v>1.6422552287981507E-2</v>
      </c>
      <c r="F4173" s="21">
        <f t="shared" ca="1" si="235"/>
        <v>1</v>
      </c>
      <c r="H4173" s="21">
        <v>4158</v>
      </c>
      <c r="I4173" s="107">
        <v>0.66783903396149802</v>
      </c>
      <c r="J4173" s="108">
        <v>1.5076858639985766E-3</v>
      </c>
      <c r="K4173" s="108"/>
      <c r="L4173" s="108">
        <v>4.4200000000000003E-2</v>
      </c>
      <c r="O4173" s="105"/>
    </row>
    <row r="4174" spans="2:15" x14ac:dyDescent="0.2">
      <c r="B4174" s="1">
        <f t="shared" si="236"/>
        <v>4159</v>
      </c>
      <c r="C4174" s="106">
        <f ca="1"/>
        <v>-2.0424125456224154</v>
      </c>
      <c r="D4174" s="106">
        <f t="shared" ca="1" si="233"/>
        <v>0.54325121453574066</v>
      </c>
      <c r="E4174" s="106">
        <f t="shared" ca="1" si="234"/>
        <v>0</v>
      </c>
      <c r="F4174" s="21">
        <f t="shared" ca="1" si="235"/>
        <v>0</v>
      </c>
      <c r="H4174" s="21">
        <v>4159</v>
      </c>
      <c r="I4174" s="107">
        <v>0.66760193061559958</v>
      </c>
      <c r="J4174" s="108">
        <v>1.2482120077306604E-3</v>
      </c>
      <c r="K4174" s="108"/>
      <c r="L4174" s="108">
        <v>3.78E-2</v>
      </c>
      <c r="O4174" s="105"/>
    </row>
    <row r="4175" spans="2:15" x14ac:dyDescent="0.2">
      <c r="B4175" s="1">
        <f t="shared" si="236"/>
        <v>4160</v>
      </c>
      <c r="C4175" s="106">
        <f ca="1"/>
        <v>3.4505945886163313E-2</v>
      </c>
      <c r="D4175" s="106">
        <f t="shared" ca="1" si="233"/>
        <v>0.66676779263947372</v>
      </c>
      <c r="E4175" s="106">
        <f t="shared" ca="1" si="234"/>
        <v>0</v>
      </c>
      <c r="F4175" s="21">
        <f t="shared" ca="1" si="235"/>
        <v>0</v>
      </c>
      <c r="H4175" s="21">
        <v>4160</v>
      </c>
      <c r="I4175" s="107">
        <v>0.66767918834263018</v>
      </c>
      <c r="J4175" s="108">
        <v>1.2111995398852206E-3</v>
      </c>
      <c r="K4175" s="108"/>
      <c r="L4175" s="108">
        <v>4.0800000000000003E-2</v>
      </c>
      <c r="O4175" s="105"/>
    </row>
    <row r="4176" spans="2:15" x14ac:dyDescent="0.2">
      <c r="B4176" s="1">
        <f t="shared" si="236"/>
        <v>4161</v>
      </c>
      <c r="C4176" s="106">
        <f ca="1"/>
        <v>-0.33727267551322765</v>
      </c>
      <c r="D4176" s="106">
        <f t="shared" ref="D4176:D4239" ca="1" si="237">S0*EXP((μ-0.5*σ*σ)*T+σ*SQRT(T)*$C4176)</f>
        <v>0.64275852682768131</v>
      </c>
      <c r="E4176" s="106">
        <f t="shared" ref="E4176:E4239" ca="1" si="238">MAX(0,CP*(D4176-K))</f>
        <v>0</v>
      </c>
      <c r="F4176" s="21">
        <f t="shared" ref="F4176:F4239" ca="1" si="239">(CP*(D4176-K)&gt;0)*1</f>
        <v>0</v>
      </c>
      <c r="H4176" s="21">
        <v>4161</v>
      </c>
      <c r="I4176" s="107">
        <v>0.66775396224212524</v>
      </c>
      <c r="J4176" s="108">
        <v>1.2672162717552373E-3</v>
      </c>
      <c r="K4176" s="108"/>
      <c r="L4176" s="108">
        <v>4.36E-2</v>
      </c>
      <c r="O4176" s="105"/>
    </row>
    <row r="4177" spans="2:15" x14ac:dyDescent="0.2">
      <c r="B4177" s="1">
        <f t="shared" si="236"/>
        <v>4162</v>
      </c>
      <c r="C4177" s="106">
        <f ca="1"/>
        <v>-1.1432030208106683</v>
      </c>
      <c r="D4177" s="106">
        <f t="shared" ca="1" si="237"/>
        <v>0.59363881240075111</v>
      </c>
      <c r="E4177" s="106">
        <f t="shared" ca="1" si="238"/>
        <v>0</v>
      </c>
      <c r="F4177" s="21">
        <f t="shared" ca="1" si="239"/>
        <v>0</v>
      </c>
      <c r="H4177" s="21">
        <v>4162</v>
      </c>
      <c r="I4177" s="107">
        <v>0.66783964605460877</v>
      </c>
      <c r="J4177" s="108">
        <v>1.5138776079302006E-3</v>
      </c>
      <c r="K4177" s="108"/>
      <c r="L4177" s="108">
        <v>4.5199999999999997E-2</v>
      </c>
      <c r="O4177" s="105"/>
    </row>
    <row r="4178" spans="2:15" x14ac:dyDescent="0.2">
      <c r="B4178" s="1">
        <f t="shared" si="236"/>
        <v>4163</v>
      </c>
      <c r="C4178" s="106">
        <f ca="1"/>
        <v>0.67045006772784321</v>
      </c>
      <c r="D4178" s="106">
        <f t="shared" ca="1" si="237"/>
        <v>0.70993415025984141</v>
      </c>
      <c r="E4178" s="106">
        <f t="shared" ca="1" si="238"/>
        <v>0</v>
      </c>
      <c r="F4178" s="21">
        <f t="shared" ca="1" si="239"/>
        <v>0</v>
      </c>
      <c r="H4178" s="21">
        <v>4163</v>
      </c>
      <c r="I4178" s="107">
        <v>0.66781264139705621</v>
      </c>
      <c r="J4178" s="108">
        <v>1.3804561041638884E-3</v>
      </c>
      <c r="K4178" s="108"/>
      <c r="L4178" s="108">
        <v>4.4400000000000002E-2</v>
      </c>
      <c r="O4178" s="105"/>
    </row>
    <row r="4179" spans="2:15" x14ac:dyDescent="0.2">
      <c r="B4179" s="1">
        <f t="shared" si="236"/>
        <v>4164</v>
      </c>
      <c r="C4179" s="106">
        <f ca="1"/>
        <v>0.62337500456891271</v>
      </c>
      <c r="D4179" s="106">
        <f t="shared" ca="1" si="237"/>
        <v>0.70664518007450861</v>
      </c>
      <c r="E4179" s="106">
        <f t="shared" ca="1" si="238"/>
        <v>0</v>
      </c>
      <c r="F4179" s="21">
        <f t="shared" ca="1" si="239"/>
        <v>0</v>
      </c>
      <c r="H4179" s="21">
        <v>4164</v>
      </c>
      <c r="I4179" s="107">
        <v>0.66780328343912698</v>
      </c>
      <c r="J4179" s="108">
        <v>1.4642692961946892E-3</v>
      </c>
      <c r="K4179" s="108"/>
      <c r="L4179" s="108">
        <v>4.0599999999999997E-2</v>
      </c>
      <c r="O4179" s="105"/>
    </row>
    <row r="4180" spans="2:15" x14ac:dyDescent="0.2">
      <c r="B4180" s="1">
        <f t="shared" si="236"/>
        <v>4165</v>
      </c>
      <c r="C4180" s="106">
        <f ca="1"/>
        <v>-1.4903374485577077</v>
      </c>
      <c r="D4180" s="106">
        <f t="shared" ca="1" si="237"/>
        <v>0.57365563331116864</v>
      </c>
      <c r="E4180" s="106">
        <f t="shared" ca="1" si="238"/>
        <v>0</v>
      </c>
      <c r="F4180" s="21">
        <f t="shared" ca="1" si="239"/>
        <v>0</v>
      </c>
      <c r="H4180" s="21">
        <v>4165</v>
      </c>
      <c r="I4180" s="107">
        <v>0.66773197961971253</v>
      </c>
      <c r="J4180" s="108">
        <v>1.3463933912972507E-3</v>
      </c>
      <c r="K4180" s="108"/>
      <c r="L4180" s="108">
        <v>3.9E-2</v>
      </c>
      <c r="O4180" s="105"/>
    </row>
    <row r="4181" spans="2:15" x14ac:dyDescent="0.2">
      <c r="B4181" s="1">
        <f t="shared" si="236"/>
        <v>4166</v>
      </c>
      <c r="C4181" s="106">
        <f ca="1"/>
        <v>-0.84426685897668596</v>
      </c>
      <c r="D4181" s="106">
        <f t="shared" ca="1" si="237"/>
        <v>0.61140435584547248</v>
      </c>
      <c r="E4181" s="106">
        <f t="shared" ca="1" si="238"/>
        <v>0</v>
      </c>
      <c r="F4181" s="21">
        <f t="shared" ca="1" si="239"/>
        <v>0</v>
      </c>
      <c r="H4181" s="21">
        <v>4166</v>
      </c>
      <c r="I4181" s="107">
        <v>0.66758342021581507</v>
      </c>
      <c r="J4181" s="108">
        <v>1.1692307971022701E-3</v>
      </c>
      <c r="K4181" s="108"/>
      <c r="L4181" s="108">
        <v>0.04</v>
      </c>
      <c r="O4181" s="105"/>
    </row>
    <row r="4182" spans="2:15" x14ac:dyDescent="0.2">
      <c r="B4182" s="1">
        <f t="shared" si="236"/>
        <v>4167</v>
      </c>
      <c r="C4182" s="106">
        <f ca="1"/>
        <v>0.95832652195746637</v>
      </c>
      <c r="D4182" s="106">
        <f t="shared" ca="1" si="237"/>
        <v>0.73038276673858515</v>
      </c>
      <c r="E4182" s="106">
        <f t="shared" ca="1" si="238"/>
        <v>0</v>
      </c>
      <c r="F4182" s="21">
        <f t="shared" ca="1" si="239"/>
        <v>0</v>
      </c>
      <c r="H4182" s="21">
        <v>4167</v>
      </c>
      <c r="I4182" s="107">
        <v>0.66759337248280914</v>
      </c>
      <c r="J4182" s="108">
        <v>1.1502261610742035E-3</v>
      </c>
      <c r="K4182" s="108"/>
      <c r="L4182" s="108">
        <v>3.7600000000000001E-2</v>
      </c>
      <c r="O4182" s="105"/>
    </row>
    <row r="4183" spans="2:15" x14ac:dyDescent="0.2">
      <c r="B4183" s="1">
        <f t="shared" si="236"/>
        <v>4168</v>
      </c>
      <c r="C4183" s="106">
        <f ca="1"/>
        <v>-1.0976712622876419</v>
      </c>
      <c r="D4183" s="106">
        <f t="shared" ca="1" si="237"/>
        <v>0.59631102651419865</v>
      </c>
      <c r="E4183" s="106">
        <f t="shared" ca="1" si="238"/>
        <v>0</v>
      </c>
      <c r="F4183" s="21">
        <f t="shared" ca="1" si="239"/>
        <v>0</v>
      </c>
      <c r="H4183" s="21">
        <v>4168</v>
      </c>
      <c r="I4183" s="107">
        <v>0.66770095466716106</v>
      </c>
      <c r="J4183" s="108">
        <v>1.2898853403287616E-3</v>
      </c>
      <c r="K4183" s="108"/>
      <c r="L4183" s="108">
        <v>3.9199999999999999E-2</v>
      </c>
      <c r="O4183" s="105"/>
    </row>
    <row r="4184" spans="2:15" x14ac:dyDescent="0.2">
      <c r="B4184" s="1">
        <f t="shared" si="236"/>
        <v>4169</v>
      </c>
      <c r="C4184" s="106">
        <f ca="1"/>
        <v>1.5940428536851985</v>
      </c>
      <c r="D4184" s="106">
        <f t="shared" ca="1" si="237"/>
        <v>0.77765006610465204</v>
      </c>
      <c r="E4184" s="106">
        <f t="shared" ca="1" si="238"/>
        <v>0</v>
      </c>
      <c r="F4184" s="21">
        <f t="shared" ca="1" si="239"/>
        <v>0</v>
      </c>
      <c r="H4184" s="21">
        <v>4169</v>
      </c>
      <c r="I4184" s="107">
        <v>0.66783400393719261</v>
      </c>
      <c r="J4184" s="108">
        <v>1.4812787753859867E-3</v>
      </c>
      <c r="K4184" s="108"/>
      <c r="L4184" s="108">
        <v>4.4200000000000003E-2</v>
      </c>
      <c r="O4184" s="105"/>
    </row>
    <row r="4185" spans="2:15" x14ac:dyDescent="0.2">
      <c r="B4185" s="1">
        <f t="shared" si="236"/>
        <v>4170</v>
      </c>
      <c r="C4185" s="106">
        <f ca="1"/>
        <v>7.7119417840995824E-2</v>
      </c>
      <c r="D4185" s="106">
        <f t="shared" ca="1" si="237"/>
        <v>0.66957641611462559</v>
      </c>
      <c r="E4185" s="106">
        <f t="shared" ca="1" si="238"/>
        <v>0</v>
      </c>
      <c r="F4185" s="21">
        <f t="shared" ca="1" si="239"/>
        <v>0</v>
      </c>
      <c r="H4185" s="21">
        <v>4170</v>
      </c>
      <c r="I4185" s="107">
        <v>0.66773873555281638</v>
      </c>
      <c r="J4185" s="108">
        <v>1.3633216880336145E-3</v>
      </c>
      <c r="K4185" s="108"/>
      <c r="L4185" s="108">
        <v>4.1599999999999998E-2</v>
      </c>
      <c r="O4185" s="105"/>
    </row>
    <row r="4186" spans="2:15" x14ac:dyDescent="0.2">
      <c r="B4186" s="1">
        <f t="shared" si="236"/>
        <v>4171</v>
      </c>
      <c r="C4186" s="106">
        <f ca="1"/>
        <v>-0.19733034327331042</v>
      </c>
      <c r="D4186" s="106">
        <f t="shared" ca="1" si="237"/>
        <v>0.65169275057372611</v>
      </c>
      <c r="E4186" s="106">
        <f t="shared" ca="1" si="238"/>
        <v>0</v>
      </c>
      <c r="F4186" s="21">
        <f t="shared" ca="1" si="239"/>
        <v>0</v>
      </c>
      <c r="H4186" s="21">
        <v>4171</v>
      </c>
      <c r="I4186" s="107">
        <v>0.66775415529974758</v>
      </c>
      <c r="J4186" s="108">
        <v>1.3549256431461196E-3</v>
      </c>
      <c r="K4186" s="108"/>
      <c r="L4186" s="108">
        <v>4.2599999999999999E-2</v>
      </c>
      <c r="O4186" s="105"/>
    </row>
    <row r="4187" spans="2:15" x14ac:dyDescent="0.2">
      <c r="B4187" s="1">
        <f t="shared" si="236"/>
        <v>4172</v>
      </c>
      <c r="C4187" s="106">
        <f ca="1"/>
        <v>1.3511187145648973</v>
      </c>
      <c r="D4187" s="106">
        <f t="shared" ca="1" si="237"/>
        <v>0.7592372245318757</v>
      </c>
      <c r="E4187" s="106">
        <f t="shared" ca="1" si="238"/>
        <v>0</v>
      </c>
      <c r="F4187" s="21">
        <f t="shared" ca="1" si="239"/>
        <v>0</v>
      </c>
      <c r="H4187" s="21">
        <v>4172</v>
      </c>
      <c r="I4187" s="107">
        <v>0.66774688057183462</v>
      </c>
      <c r="J4187" s="108">
        <v>1.3559237563138713E-3</v>
      </c>
      <c r="K4187" s="108"/>
      <c r="L4187" s="108">
        <v>4.1799999999999997E-2</v>
      </c>
      <c r="O4187" s="105"/>
    </row>
    <row r="4188" spans="2:15" x14ac:dyDescent="0.2">
      <c r="B4188" s="1">
        <f t="shared" si="236"/>
        <v>4173</v>
      </c>
      <c r="C4188" s="106">
        <f ca="1"/>
        <v>0.10520622115738758</v>
      </c>
      <c r="D4188" s="106">
        <f t="shared" ca="1" si="237"/>
        <v>0.67143406277762585</v>
      </c>
      <c r="E4188" s="106">
        <f t="shared" ca="1" si="238"/>
        <v>0</v>
      </c>
      <c r="F4188" s="21">
        <f t="shared" ca="1" si="239"/>
        <v>0</v>
      </c>
      <c r="H4188" s="21">
        <v>4173</v>
      </c>
      <c r="I4188" s="107">
        <v>0.66761526335968002</v>
      </c>
      <c r="J4188" s="108">
        <v>1.1891126096730904E-3</v>
      </c>
      <c r="K4188" s="108"/>
      <c r="L4188" s="108">
        <v>3.7600000000000001E-2</v>
      </c>
      <c r="O4188" s="105"/>
    </row>
    <row r="4189" spans="2:15" x14ac:dyDescent="0.2">
      <c r="B4189" s="1">
        <f t="shared" si="236"/>
        <v>4174</v>
      </c>
      <c r="C4189" s="106">
        <f ca="1"/>
        <v>0.94390697400168788</v>
      </c>
      <c r="D4189" s="106">
        <f t="shared" ca="1" si="237"/>
        <v>0.72934463555116547</v>
      </c>
      <c r="E4189" s="106">
        <f t="shared" ca="1" si="238"/>
        <v>0</v>
      </c>
      <c r="F4189" s="21">
        <f t="shared" ca="1" si="239"/>
        <v>0</v>
      </c>
      <c r="H4189" s="21">
        <v>4174</v>
      </c>
      <c r="I4189" s="107">
        <v>0.66769893343370801</v>
      </c>
      <c r="J4189" s="108">
        <v>1.3436305356893654E-3</v>
      </c>
      <c r="K4189" s="108"/>
      <c r="L4189" s="108">
        <v>4.24E-2</v>
      </c>
      <c r="O4189" s="105"/>
    </row>
    <row r="4190" spans="2:15" x14ac:dyDescent="0.2">
      <c r="B4190" s="1">
        <f t="shared" si="236"/>
        <v>4175</v>
      </c>
      <c r="C4190" s="106">
        <f ca="1"/>
        <v>0.65131719735220306</v>
      </c>
      <c r="D4190" s="106">
        <f t="shared" ca="1" si="237"/>
        <v>0.70859556098235699</v>
      </c>
      <c r="E4190" s="106">
        <f t="shared" ca="1" si="238"/>
        <v>0</v>
      </c>
      <c r="F4190" s="21">
        <f t="shared" ca="1" si="239"/>
        <v>0</v>
      </c>
      <c r="H4190" s="21">
        <v>4175</v>
      </c>
      <c r="I4190" s="107">
        <v>0.66764955638864565</v>
      </c>
      <c r="J4190" s="108">
        <v>1.4665909891346607E-3</v>
      </c>
      <c r="K4190" s="108"/>
      <c r="L4190" s="108">
        <v>4.0800000000000003E-2</v>
      </c>
      <c r="O4190" s="105"/>
    </row>
    <row r="4191" spans="2:15" x14ac:dyDescent="0.2">
      <c r="B4191" s="1">
        <f t="shared" si="236"/>
        <v>4176</v>
      </c>
      <c r="C4191" s="106">
        <f ca="1"/>
        <v>1.3551256166201935</v>
      </c>
      <c r="D4191" s="106">
        <f t="shared" ca="1" si="237"/>
        <v>0.7595373694189903</v>
      </c>
      <c r="E4191" s="106">
        <f t="shared" ca="1" si="238"/>
        <v>0</v>
      </c>
      <c r="F4191" s="21">
        <f t="shared" ca="1" si="239"/>
        <v>0</v>
      </c>
      <c r="H4191" s="21">
        <v>4176</v>
      </c>
      <c r="I4191" s="107">
        <v>0.6677991353497037</v>
      </c>
      <c r="J4191" s="108">
        <v>1.441323834566679E-3</v>
      </c>
      <c r="K4191" s="108"/>
      <c r="L4191" s="108">
        <v>4.2000000000000003E-2</v>
      </c>
      <c r="O4191" s="105"/>
    </row>
    <row r="4192" spans="2:15" x14ac:dyDescent="0.2">
      <c r="B4192" s="1">
        <f t="shared" si="236"/>
        <v>4177</v>
      </c>
      <c r="C4192" s="106">
        <f ca="1"/>
        <v>1.2407542941084244</v>
      </c>
      <c r="D4192" s="106">
        <f t="shared" ca="1" si="237"/>
        <v>0.7510166219448321</v>
      </c>
      <c r="E4192" s="106">
        <f t="shared" ca="1" si="238"/>
        <v>0</v>
      </c>
      <c r="F4192" s="21">
        <f t="shared" ca="1" si="239"/>
        <v>0</v>
      </c>
      <c r="H4192" s="21">
        <v>4177</v>
      </c>
      <c r="I4192" s="107">
        <v>0.6678315587734901</v>
      </c>
      <c r="J4192" s="108">
        <v>1.3189854770912369E-3</v>
      </c>
      <c r="K4192" s="108"/>
      <c r="L4192" s="108">
        <v>4.24E-2</v>
      </c>
      <c r="O4192" s="105"/>
    </row>
    <row r="4193" spans="2:15" x14ac:dyDescent="0.2">
      <c r="B4193" s="1">
        <f t="shared" si="236"/>
        <v>4178</v>
      </c>
      <c r="C4193" s="106">
        <f ca="1"/>
        <v>-1.1560429145773063</v>
      </c>
      <c r="D4193" s="106">
        <f t="shared" ca="1" si="237"/>
        <v>0.59288741857651828</v>
      </c>
      <c r="E4193" s="106">
        <f t="shared" ca="1" si="238"/>
        <v>0</v>
      </c>
      <c r="F4193" s="21">
        <f t="shared" ca="1" si="239"/>
        <v>0</v>
      </c>
      <c r="H4193" s="21">
        <v>4178</v>
      </c>
      <c r="I4193" s="107">
        <v>0.66762241874686634</v>
      </c>
      <c r="J4193" s="108">
        <v>1.3416852848554084E-3</v>
      </c>
      <c r="K4193" s="108"/>
      <c r="L4193" s="108">
        <v>4.0399999999999998E-2</v>
      </c>
      <c r="O4193" s="105"/>
    </row>
    <row r="4194" spans="2:15" x14ac:dyDescent="0.2">
      <c r="B4194" s="1">
        <f t="shared" si="236"/>
        <v>4179</v>
      </c>
      <c r="C4194" s="106">
        <f ca="1"/>
        <v>1.6183299293370383</v>
      </c>
      <c r="D4194" s="106">
        <f t="shared" ca="1" si="237"/>
        <v>0.77951532304688287</v>
      </c>
      <c r="E4194" s="106">
        <f t="shared" ca="1" si="238"/>
        <v>0</v>
      </c>
      <c r="F4194" s="21">
        <f t="shared" ca="1" si="239"/>
        <v>0</v>
      </c>
      <c r="H4194" s="21">
        <v>4179</v>
      </c>
      <c r="I4194" s="107">
        <v>0.66777047101383591</v>
      </c>
      <c r="J4194" s="108">
        <v>1.5407524174311116E-3</v>
      </c>
      <c r="K4194" s="108"/>
      <c r="L4194" s="108">
        <v>4.2599999999999999E-2</v>
      </c>
      <c r="O4194" s="105"/>
    </row>
    <row r="4195" spans="2:15" x14ac:dyDescent="0.2">
      <c r="B4195" s="1">
        <f t="shared" si="236"/>
        <v>4180</v>
      </c>
      <c r="C4195" s="106">
        <f ca="1"/>
        <v>0.28953549283794516</v>
      </c>
      <c r="D4195" s="106">
        <f t="shared" ca="1" si="237"/>
        <v>0.68375406641984759</v>
      </c>
      <c r="E4195" s="106">
        <f t="shared" ca="1" si="238"/>
        <v>0</v>
      </c>
      <c r="F4195" s="21">
        <f t="shared" ca="1" si="239"/>
        <v>0</v>
      </c>
      <c r="H4195" s="21">
        <v>4180</v>
      </c>
      <c r="I4195" s="107">
        <v>0.66765532589283061</v>
      </c>
      <c r="J4195" s="108">
        <v>1.3900158238785881E-3</v>
      </c>
      <c r="K4195" s="108"/>
      <c r="L4195" s="108">
        <v>4.1399999999999999E-2</v>
      </c>
      <c r="O4195" s="105"/>
    </row>
    <row r="4196" spans="2:15" x14ac:dyDescent="0.2">
      <c r="B4196" s="1">
        <f t="shared" si="236"/>
        <v>4181</v>
      </c>
      <c r="C4196" s="106">
        <f ca="1"/>
        <v>-0.58808633250305453</v>
      </c>
      <c r="D4196" s="106">
        <f t="shared" ca="1" si="237"/>
        <v>0.62705140353222155</v>
      </c>
      <c r="E4196" s="106">
        <f t="shared" ca="1" si="238"/>
        <v>0</v>
      </c>
      <c r="F4196" s="21">
        <f t="shared" ca="1" si="239"/>
        <v>0</v>
      </c>
      <c r="H4196" s="21">
        <v>4181</v>
      </c>
      <c r="I4196" s="107">
        <v>0.6677326914477506</v>
      </c>
      <c r="J4196" s="108">
        <v>1.4466560358356833E-3</v>
      </c>
      <c r="K4196" s="108"/>
      <c r="L4196" s="108">
        <v>3.9600000000000003E-2</v>
      </c>
      <c r="O4196" s="105"/>
    </row>
    <row r="4197" spans="2:15" x14ac:dyDescent="0.2">
      <c r="B4197" s="1">
        <f t="shared" si="236"/>
        <v>4182</v>
      </c>
      <c r="C4197" s="106">
        <f ca="1"/>
        <v>1.4879283148753062</v>
      </c>
      <c r="D4197" s="106">
        <f t="shared" ca="1" si="237"/>
        <v>0.76955263900616722</v>
      </c>
      <c r="E4197" s="106">
        <f t="shared" ca="1" si="238"/>
        <v>0</v>
      </c>
      <c r="F4197" s="21">
        <f t="shared" ca="1" si="239"/>
        <v>0</v>
      </c>
      <c r="H4197" s="21">
        <v>4182</v>
      </c>
      <c r="I4197" s="107">
        <v>0.66772965415356345</v>
      </c>
      <c r="J4197" s="108">
        <v>1.2405444268676433E-3</v>
      </c>
      <c r="K4197" s="108"/>
      <c r="L4197" s="108">
        <v>3.9600000000000003E-2</v>
      </c>
      <c r="O4197" s="105"/>
    </row>
    <row r="4198" spans="2:15" x14ac:dyDescent="0.2">
      <c r="B4198" s="1">
        <f t="shared" si="236"/>
        <v>4183</v>
      </c>
      <c r="C4198" s="106">
        <f ca="1"/>
        <v>-1.3134983822540476</v>
      </c>
      <c r="D4198" s="106">
        <f t="shared" ca="1" si="237"/>
        <v>0.58375006145727026</v>
      </c>
      <c r="E4198" s="106">
        <f t="shared" ca="1" si="238"/>
        <v>0</v>
      </c>
      <c r="F4198" s="21">
        <f t="shared" ca="1" si="239"/>
        <v>0</v>
      </c>
      <c r="H4198" s="21">
        <v>4183</v>
      </c>
      <c r="I4198" s="107">
        <v>0.66777068971544884</v>
      </c>
      <c r="J4198" s="108">
        <v>1.3803876480617591E-3</v>
      </c>
      <c r="K4198" s="108"/>
      <c r="L4198" s="108">
        <v>4.3999999999999997E-2</v>
      </c>
      <c r="O4198" s="105"/>
    </row>
    <row r="4199" spans="2:15" x14ac:dyDescent="0.2">
      <c r="B4199" s="1">
        <f t="shared" si="236"/>
        <v>4184</v>
      </c>
      <c r="C4199" s="106">
        <f ca="1"/>
        <v>-0.60216083618482708</v>
      </c>
      <c r="D4199" s="106">
        <f t="shared" ca="1" si="237"/>
        <v>0.62618145472444564</v>
      </c>
      <c r="E4199" s="106">
        <f t="shared" ca="1" si="238"/>
        <v>0</v>
      </c>
      <c r="F4199" s="21">
        <f t="shared" ca="1" si="239"/>
        <v>0</v>
      </c>
      <c r="H4199" s="21">
        <v>4184</v>
      </c>
      <c r="I4199" s="107">
        <v>0.66765708825538816</v>
      </c>
      <c r="J4199" s="108">
        <v>1.3143531004244171E-3</v>
      </c>
      <c r="K4199" s="108"/>
      <c r="L4199" s="108">
        <v>3.7199999999999997E-2</v>
      </c>
      <c r="O4199" s="105"/>
    </row>
    <row r="4200" spans="2:15" x14ac:dyDescent="0.2">
      <c r="B4200" s="1">
        <f t="shared" si="236"/>
        <v>4185</v>
      </c>
      <c r="C4200" s="106">
        <f ca="1"/>
        <v>1.1742544752901145</v>
      </c>
      <c r="D4200" s="106">
        <f t="shared" ca="1" si="237"/>
        <v>0.74610635294366057</v>
      </c>
      <c r="E4200" s="106">
        <f t="shared" ca="1" si="238"/>
        <v>0</v>
      </c>
      <c r="F4200" s="21">
        <f t="shared" ca="1" si="239"/>
        <v>0</v>
      </c>
      <c r="H4200" s="21">
        <v>4185</v>
      </c>
      <c r="I4200" s="107">
        <v>0.6676873698582062</v>
      </c>
      <c r="J4200" s="108">
        <v>1.396440814880237E-3</v>
      </c>
      <c r="K4200" s="108"/>
      <c r="L4200" s="108">
        <v>4.2000000000000003E-2</v>
      </c>
      <c r="O4200" s="105"/>
    </row>
    <row r="4201" spans="2:15" x14ac:dyDescent="0.2">
      <c r="B4201" s="1">
        <f t="shared" si="236"/>
        <v>4186</v>
      </c>
      <c r="C4201" s="106">
        <f ca="1"/>
        <v>0.22434838537814858</v>
      </c>
      <c r="D4201" s="106">
        <f t="shared" ca="1" si="237"/>
        <v>0.67937153544925544</v>
      </c>
      <c r="E4201" s="106">
        <f t="shared" ca="1" si="238"/>
        <v>0</v>
      </c>
      <c r="F4201" s="21">
        <f t="shared" ca="1" si="239"/>
        <v>0</v>
      </c>
      <c r="H4201" s="21">
        <v>4186</v>
      </c>
      <c r="I4201" s="107">
        <v>0.66790268250490359</v>
      </c>
      <c r="J4201" s="108">
        <v>1.3839642175869406E-3</v>
      </c>
      <c r="K4201" s="108"/>
      <c r="L4201" s="108">
        <v>4.7600000000000003E-2</v>
      </c>
      <c r="O4201" s="105"/>
    </row>
    <row r="4202" spans="2:15" x14ac:dyDescent="0.2">
      <c r="B4202" s="1">
        <f t="shared" si="236"/>
        <v>4187</v>
      </c>
      <c r="C4202" s="106">
        <f ca="1"/>
        <v>0.44474100123094834</v>
      </c>
      <c r="D4202" s="106">
        <f t="shared" ca="1" si="237"/>
        <v>0.6943026621632995</v>
      </c>
      <c r="E4202" s="106">
        <f t="shared" ca="1" si="238"/>
        <v>0</v>
      </c>
      <c r="F4202" s="21">
        <f t="shared" ca="1" si="239"/>
        <v>0</v>
      </c>
      <c r="H4202" s="21">
        <v>4187</v>
      </c>
      <c r="I4202" s="107">
        <v>0.66765702971553842</v>
      </c>
      <c r="J4202" s="108">
        <v>1.3478108730579209E-3</v>
      </c>
      <c r="K4202" s="108"/>
      <c r="L4202" s="108">
        <v>4.1799999999999997E-2</v>
      </c>
      <c r="O4202" s="105"/>
    </row>
    <row r="4203" spans="2:15" x14ac:dyDescent="0.2">
      <c r="B4203" s="1">
        <f t="shared" si="236"/>
        <v>4188</v>
      </c>
      <c r="C4203" s="106">
        <f ca="1"/>
        <v>-4.8061640160556765E-2</v>
      </c>
      <c r="D4203" s="106">
        <f t="shared" ca="1" si="237"/>
        <v>0.66135930638728579</v>
      </c>
      <c r="E4203" s="106">
        <f t="shared" ca="1" si="238"/>
        <v>0</v>
      </c>
      <c r="F4203" s="21">
        <f t="shared" ca="1" si="239"/>
        <v>0</v>
      </c>
      <c r="H4203" s="21">
        <v>4188</v>
      </c>
      <c r="I4203" s="107">
        <v>0.66770922247027742</v>
      </c>
      <c r="J4203" s="108">
        <v>1.3864029676825416E-3</v>
      </c>
      <c r="K4203" s="108"/>
      <c r="L4203" s="108">
        <v>4.24E-2</v>
      </c>
      <c r="O4203" s="105"/>
    </row>
    <row r="4204" spans="2:15" x14ac:dyDescent="0.2">
      <c r="B4204" s="1">
        <f t="shared" si="236"/>
        <v>4189</v>
      </c>
      <c r="C4204" s="106">
        <f ca="1"/>
        <v>0.53107627320309192</v>
      </c>
      <c r="D4204" s="106">
        <f t="shared" ca="1" si="237"/>
        <v>0.70024074948695125</v>
      </c>
      <c r="E4204" s="106">
        <f t="shared" ca="1" si="238"/>
        <v>0</v>
      </c>
      <c r="F4204" s="21">
        <f t="shared" ca="1" si="239"/>
        <v>0</v>
      </c>
      <c r="H4204" s="21">
        <v>4189</v>
      </c>
      <c r="I4204" s="107">
        <v>0.66775641382315776</v>
      </c>
      <c r="J4204" s="108">
        <v>1.3813431579689191E-3</v>
      </c>
      <c r="K4204" s="108"/>
      <c r="L4204" s="108">
        <v>4.0800000000000003E-2</v>
      </c>
      <c r="O4204" s="105"/>
    </row>
    <row r="4205" spans="2:15" x14ac:dyDescent="0.2">
      <c r="B4205" s="1">
        <f t="shared" si="236"/>
        <v>4190</v>
      </c>
      <c r="C4205" s="106">
        <f ca="1"/>
        <v>-0.12650003771943538</v>
      </c>
      <c r="D4205" s="106">
        <f t="shared" ca="1" si="237"/>
        <v>0.65626193778471686</v>
      </c>
      <c r="E4205" s="106">
        <f t="shared" ca="1" si="238"/>
        <v>0</v>
      </c>
      <c r="F4205" s="21">
        <f t="shared" ca="1" si="239"/>
        <v>0</v>
      </c>
      <c r="H4205" s="21">
        <v>4190</v>
      </c>
      <c r="I4205" s="107">
        <v>0.66786487633816682</v>
      </c>
      <c r="J4205" s="108">
        <v>1.6996773324751235E-3</v>
      </c>
      <c r="K4205" s="108"/>
      <c r="L4205" s="108">
        <v>4.2999999999999997E-2</v>
      </c>
      <c r="O4205" s="105"/>
    </row>
    <row r="4206" spans="2:15" x14ac:dyDescent="0.2">
      <c r="B4206" s="1">
        <f t="shared" si="236"/>
        <v>4191</v>
      </c>
      <c r="C4206" s="106">
        <f ca="1"/>
        <v>0.62103301430972535</v>
      </c>
      <c r="D4206" s="106">
        <f t="shared" ca="1" si="237"/>
        <v>0.70648195186288842</v>
      </c>
      <c r="E4206" s="106">
        <f t="shared" ca="1" si="238"/>
        <v>0</v>
      </c>
      <c r="F4206" s="21">
        <f t="shared" ca="1" si="239"/>
        <v>0</v>
      </c>
      <c r="H4206" s="21">
        <v>4191</v>
      </c>
      <c r="I4206" s="107">
        <v>0.66759584891842438</v>
      </c>
      <c r="J4206" s="108">
        <v>1.0838807525989005E-3</v>
      </c>
      <c r="K4206" s="108"/>
      <c r="L4206" s="108">
        <v>3.8199999999999998E-2</v>
      </c>
      <c r="O4206" s="105"/>
    </row>
    <row r="4207" spans="2:15" x14ac:dyDescent="0.2">
      <c r="B4207" s="1">
        <f t="shared" si="236"/>
        <v>4192</v>
      </c>
      <c r="C4207" s="106">
        <f ca="1"/>
        <v>0.13184644828995956</v>
      </c>
      <c r="D4207" s="106">
        <f t="shared" ca="1" si="237"/>
        <v>0.6732007958715035</v>
      </c>
      <c r="E4207" s="106">
        <f t="shared" ca="1" si="238"/>
        <v>0</v>
      </c>
      <c r="F4207" s="21">
        <f t="shared" ca="1" si="239"/>
        <v>0</v>
      </c>
      <c r="H4207" s="21">
        <v>4192</v>
      </c>
      <c r="I4207" s="107">
        <v>0.66780695974237414</v>
      </c>
      <c r="J4207" s="108">
        <v>1.3744489518521131E-3</v>
      </c>
      <c r="K4207" s="108"/>
      <c r="L4207" s="108">
        <v>4.1399999999999999E-2</v>
      </c>
      <c r="O4207" s="105"/>
    </row>
    <row r="4208" spans="2:15" x14ac:dyDescent="0.2">
      <c r="B4208" s="1">
        <f t="shared" ref="B4208:B4271" si="240">B4207+1</f>
        <v>4193</v>
      </c>
      <c r="C4208" s="106">
        <f ca="1"/>
        <v>-0.75019801358539484</v>
      </c>
      <c r="D4208" s="106">
        <f t="shared" ca="1" si="237"/>
        <v>0.61710402603911707</v>
      </c>
      <c r="E4208" s="106">
        <f t="shared" ca="1" si="238"/>
        <v>0</v>
      </c>
      <c r="F4208" s="21">
        <f t="shared" ca="1" si="239"/>
        <v>0</v>
      </c>
      <c r="H4208" s="21">
        <v>4193</v>
      </c>
      <c r="I4208" s="107">
        <v>0.667898596749115</v>
      </c>
      <c r="J4208" s="108">
        <v>1.6034521440994568E-3</v>
      </c>
      <c r="K4208" s="108"/>
      <c r="L4208" s="108">
        <v>0.05</v>
      </c>
      <c r="O4208" s="105"/>
    </row>
    <row r="4209" spans="2:15" x14ac:dyDescent="0.2">
      <c r="B4209" s="1">
        <f t="shared" si="240"/>
        <v>4194</v>
      </c>
      <c r="C4209" s="106">
        <f ca="1"/>
        <v>-2.2091149915589559</v>
      </c>
      <c r="D4209" s="106">
        <f t="shared" ca="1" si="237"/>
        <v>0.53439117302508388</v>
      </c>
      <c r="E4209" s="106">
        <f t="shared" ca="1" si="238"/>
        <v>0</v>
      </c>
      <c r="F4209" s="21">
        <f t="shared" ca="1" si="239"/>
        <v>0</v>
      </c>
      <c r="H4209" s="21">
        <v>4194</v>
      </c>
      <c r="I4209" s="107">
        <v>0.66768899767415679</v>
      </c>
      <c r="J4209" s="108">
        <v>1.3270796189644701E-3</v>
      </c>
      <c r="K4209" s="108"/>
      <c r="L4209" s="108">
        <v>3.9600000000000003E-2</v>
      </c>
      <c r="O4209" s="105"/>
    </row>
    <row r="4210" spans="2:15" x14ac:dyDescent="0.2">
      <c r="B4210" s="1">
        <f t="shared" si="240"/>
        <v>4195</v>
      </c>
      <c r="C4210" s="106">
        <f ca="1"/>
        <v>1.6559822920240086</v>
      </c>
      <c r="D4210" s="106">
        <f t="shared" ca="1" si="237"/>
        <v>0.78241588764657244</v>
      </c>
      <c r="E4210" s="106">
        <f t="shared" ca="1" si="238"/>
        <v>0</v>
      </c>
      <c r="F4210" s="21">
        <f t="shared" ca="1" si="239"/>
        <v>0</v>
      </c>
      <c r="H4210" s="21">
        <v>4195</v>
      </c>
      <c r="I4210" s="107">
        <v>0.66779774871224729</v>
      </c>
      <c r="J4210" s="108">
        <v>1.5077880914334486E-3</v>
      </c>
      <c r="K4210" s="108"/>
      <c r="L4210" s="108">
        <v>4.3999999999999997E-2</v>
      </c>
      <c r="O4210" s="105"/>
    </row>
    <row r="4211" spans="2:15" x14ac:dyDescent="0.2">
      <c r="B4211" s="1">
        <f t="shared" si="240"/>
        <v>4196</v>
      </c>
      <c r="C4211" s="106">
        <f ca="1"/>
        <v>0.42543274292224947</v>
      </c>
      <c r="D4211" s="106">
        <f t="shared" ca="1" si="237"/>
        <v>0.69298155721247356</v>
      </c>
      <c r="E4211" s="106">
        <f t="shared" ca="1" si="238"/>
        <v>0</v>
      </c>
      <c r="F4211" s="21">
        <f t="shared" ca="1" si="239"/>
        <v>0</v>
      </c>
      <c r="H4211" s="21">
        <v>4196</v>
      </c>
      <c r="I4211" s="107">
        <v>0.66757184751204635</v>
      </c>
      <c r="J4211" s="108">
        <v>1.3148357466882972E-3</v>
      </c>
      <c r="K4211" s="108"/>
      <c r="L4211" s="108">
        <v>3.7999999999999999E-2</v>
      </c>
      <c r="O4211" s="105"/>
    </row>
    <row r="4212" spans="2:15" x14ac:dyDescent="0.2">
      <c r="B4212" s="1">
        <f t="shared" si="240"/>
        <v>4197</v>
      </c>
      <c r="C4212" s="106">
        <f ca="1"/>
        <v>-0.22255754628807534</v>
      </c>
      <c r="D4212" s="106">
        <f t="shared" ca="1" si="237"/>
        <v>0.65007306525398079</v>
      </c>
      <c r="E4212" s="106">
        <f t="shared" ca="1" si="238"/>
        <v>0</v>
      </c>
      <c r="F4212" s="21">
        <f t="shared" ca="1" si="239"/>
        <v>0</v>
      </c>
      <c r="H4212" s="21">
        <v>4197</v>
      </c>
      <c r="I4212" s="107">
        <v>0.66782797611479305</v>
      </c>
      <c r="J4212" s="108">
        <v>1.3654333697024957E-3</v>
      </c>
      <c r="K4212" s="108"/>
      <c r="L4212" s="108">
        <v>4.2999999999999997E-2</v>
      </c>
      <c r="O4212" s="105"/>
    </row>
    <row r="4213" spans="2:15" x14ac:dyDescent="0.2">
      <c r="B4213" s="1">
        <f t="shared" si="240"/>
        <v>4198</v>
      </c>
      <c r="C4213" s="106">
        <f ca="1"/>
        <v>-0.62401533528230846</v>
      </c>
      <c r="D4213" s="106">
        <f t="shared" ca="1" si="237"/>
        <v>0.62483301379489242</v>
      </c>
      <c r="E4213" s="106">
        <f t="shared" ca="1" si="238"/>
        <v>0</v>
      </c>
      <c r="F4213" s="21">
        <f t="shared" ca="1" si="239"/>
        <v>0</v>
      </c>
      <c r="H4213" s="21">
        <v>4198</v>
      </c>
      <c r="I4213" s="107">
        <v>0.66773003819758914</v>
      </c>
      <c r="J4213" s="108">
        <v>1.3178400328112641E-3</v>
      </c>
      <c r="K4213" s="108"/>
      <c r="L4213" s="108">
        <v>4.0399999999999998E-2</v>
      </c>
      <c r="O4213" s="105"/>
    </row>
    <row r="4214" spans="2:15" x14ac:dyDescent="0.2">
      <c r="B4214" s="1">
        <f t="shared" si="240"/>
        <v>4199</v>
      </c>
      <c r="C4214" s="106">
        <f ca="1"/>
        <v>0.28108397157769455</v>
      </c>
      <c r="D4214" s="106">
        <f t="shared" ca="1" si="237"/>
        <v>0.68318427921204761</v>
      </c>
      <c r="E4214" s="106">
        <f t="shared" ca="1" si="238"/>
        <v>0</v>
      </c>
      <c r="F4214" s="21">
        <f t="shared" ca="1" si="239"/>
        <v>0</v>
      </c>
      <c r="H4214" s="21">
        <v>4199</v>
      </c>
      <c r="I4214" s="107">
        <v>0.6675827224296681</v>
      </c>
      <c r="J4214" s="108">
        <v>1.1614792639371432E-3</v>
      </c>
      <c r="K4214" s="108"/>
      <c r="L4214" s="108">
        <v>0.04</v>
      </c>
      <c r="O4214" s="105"/>
    </row>
    <row r="4215" spans="2:15" x14ac:dyDescent="0.2">
      <c r="B4215" s="1">
        <f t="shared" si="240"/>
        <v>4200</v>
      </c>
      <c r="C4215" s="106">
        <f ca="1"/>
        <v>-1.5438835038912126</v>
      </c>
      <c r="D4215" s="106">
        <f t="shared" ca="1" si="237"/>
        <v>0.57063365592129078</v>
      </c>
      <c r="E4215" s="106">
        <f t="shared" ca="1" si="238"/>
        <v>0</v>
      </c>
      <c r="F4215" s="21">
        <f t="shared" ca="1" si="239"/>
        <v>0</v>
      </c>
      <c r="H4215" s="21">
        <v>4200</v>
      </c>
      <c r="I4215" s="107">
        <v>0.66772729394939645</v>
      </c>
      <c r="J4215" s="108">
        <v>1.2909882341653805E-3</v>
      </c>
      <c r="K4215" s="108"/>
      <c r="L4215" s="108">
        <v>3.9800000000000002E-2</v>
      </c>
      <c r="O4215" s="105"/>
    </row>
    <row r="4216" spans="2:15" x14ac:dyDescent="0.2">
      <c r="B4216" s="1">
        <f t="shared" si="240"/>
        <v>4201</v>
      </c>
      <c r="C4216" s="106">
        <f ca="1"/>
        <v>-0.97077489810651474</v>
      </c>
      <c r="D4216" s="106">
        <f t="shared" ca="1" si="237"/>
        <v>0.60382209697131928</v>
      </c>
      <c r="E4216" s="106">
        <f t="shared" ca="1" si="238"/>
        <v>0</v>
      </c>
      <c r="F4216" s="21">
        <f t="shared" ca="1" si="239"/>
        <v>0</v>
      </c>
      <c r="H4216" s="21">
        <v>4201</v>
      </c>
      <c r="I4216" s="107">
        <v>0.6676451733444988</v>
      </c>
      <c r="J4216" s="108">
        <v>1.2600387104036784E-3</v>
      </c>
      <c r="K4216" s="108"/>
      <c r="L4216" s="108">
        <v>3.78E-2</v>
      </c>
      <c r="O4216" s="105"/>
    </row>
    <row r="4217" spans="2:15" x14ac:dyDescent="0.2">
      <c r="B4217" s="1">
        <f t="shared" si="240"/>
        <v>4202</v>
      </c>
      <c r="C4217" s="106">
        <f ca="1"/>
        <v>-0.33773383827080539</v>
      </c>
      <c r="D4217" s="106">
        <f t="shared" ca="1" si="237"/>
        <v>0.64272928859641887</v>
      </c>
      <c r="E4217" s="106">
        <f t="shared" ca="1" si="238"/>
        <v>0</v>
      </c>
      <c r="F4217" s="21">
        <f t="shared" ca="1" si="239"/>
        <v>0</v>
      </c>
      <c r="H4217" s="21">
        <v>4202</v>
      </c>
      <c r="I4217" s="107">
        <v>0.66784435646959583</v>
      </c>
      <c r="J4217" s="108">
        <v>1.5605777779123852E-3</v>
      </c>
      <c r="K4217" s="108"/>
      <c r="L4217" s="108">
        <v>4.1200000000000001E-2</v>
      </c>
      <c r="O4217" s="105"/>
    </row>
    <row r="4218" spans="2:15" x14ac:dyDescent="0.2">
      <c r="B4218" s="1">
        <f t="shared" si="240"/>
        <v>4203</v>
      </c>
      <c r="C4218" s="106">
        <f ca="1"/>
        <v>0.87450934076862319</v>
      </c>
      <c r="D4218" s="106">
        <f t="shared" ca="1" si="237"/>
        <v>0.72436897522063015</v>
      </c>
      <c r="E4218" s="106">
        <f t="shared" ca="1" si="238"/>
        <v>0</v>
      </c>
      <c r="F4218" s="21">
        <f t="shared" ca="1" si="239"/>
        <v>0</v>
      </c>
      <c r="H4218" s="21">
        <v>4203</v>
      </c>
      <c r="I4218" s="107">
        <v>0.66769045935896709</v>
      </c>
      <c r="J4218" s="108">
        <v>1.2613166031534319E-3</v>
      </c>
      <c r="K4218" s="108"/>
      <c r="L4218" s="108">
        <v>3.78E-2</v>
      </c>
      <c r="O4218" s="105"/>
    </row>
    <row r="4219" spans="2:15" x14ac:dyDescent="0.2">
      <c r="B4219" s="1">
        <f t="shared" si="240"/>
        <v>4204</v>
      </c>
      <c r="C4219" s="106">
        <f ca="1"/>
        <v>-0.71068493009763223</v>
      </c>
      <c r="D4219" s="106">
        <f t="shared" ca="1" si="237"/>
        <v>0.61951395830035305</v>
      </c>
      <c r="E4219" s="106">
        <f t="shared" ca="1" si="238"/>
        <v>0</v>
      </c>
      <c r="F4219" s="21">
        <f t="shared" ca="1" si="239"/>
        <v>0</v>
      </c>
      <c r="H4219" s="21">
        <v>4204</v>
      </c>
      <c r="I4219" s="107">
        <v>0.66782411420623988</v>
      </c>
      <c r="J4219" s="108">
        <v>1.4972829644070242E-3</v>
      </c>
      <c r="K4219" s="108"/>
      <c r="L4219" s="108">
        <v>4.4999999999999998E-2</v>
      </c>
      <c r="O4219" s="105"/>
    </row>
    <row r="4220" spans="2:15" x14ac:dyDescent="0.2">
      <c r="B4220" s="1">
        <f t="shared" si="240"/>
        <v>4205</v>
      </c>
      <c r="C4220" s="106">
        <f ca="1"/>
        <v>-0.66040202144618043</v>
      </c>
      <c r="D4220" s="106">
        <f t="shared" ca="1" si="237"/>
        <v>0.62259436371418919</v>
      </c>
      <c r="E4220" s="106">
        <f t="shared" ca="1" si="238"/>
        <v>0</v>
      </c>
      <c r="F4220" s="21">
        <f t="shared" ca="1" si="239"/>
        <v>0</v>
      </c>
      <c r="H4220" s="21">
        <v>4205</v>
      </c>
      <c r="I4220" s="107">
        <v>0.66776785869433153</v>
      </c>
      <c r="J4220" s="108">
        <v>1.4760339681252172E-3</v>
      </c>
      <c r="K4220" s="108"/>
      <c r="L4220" s="108">
        <v>4.1000000000000002E-2</v>
      </c>
      <c r="O4220" s="105"/>
    </row>
    <row r="4221" spans="2:15" x14ac:dyDescent="0.2">
      <c r="B4221" s="1">
        <f t="shared" si="240"/>
        <v>4206</v>
      </c>
      <c r="C4221" s="106">
        <f ca="1"/>
        <v>-1.1671512382689435</v>
      </c>
      <c r="D4221" s="106">
        <f t="shared" ca="1" si="237"/>
        <v>0.59223812404319143</v>
      </c>
      <c r="E4221" s="106">
        <f t="shared" ca="1" si="238"/>
        <v>0</v>
      </c>
      <c r="F4221" s="21">
        <f t="shared" ca="1" si="239"/>
        <v>0</v>
      </c>
      <c r="H4221" s="21">
        <v>4206</v>
      </c>
      <c r="I4221" s="107">
        <v>0.66778879324178342</v>
      </c>
      <c r="J4221" s="108">
        <v>1.5249563129579808E-3</v>
      </c>
      <c r="K4221" s="108"/>
      <c r="L4221" s="108">
        <v>4.1799999999999997E-2</v>
      </c>
      <c r="O4221" s="105"/>
    </row>
    <row r="4222" spans="2:15" x14ac:dyDescent="0.2">
      <c r="B4222" s="1">
        <f t="shared" si="240"/>
        <v>4207</v>
      </c>
      <c r="C4222" s="106">
        <f ca="1"/>
        <v>0.53999991328245112</v>
      </c>
      <c r="D4222" s="106">
        <f t="shared" ca="1" si="237"/>
        <v>0.70085740054641854</v>
      </c>
      <c r="E4222" s="106">
        <f t="shared" ca="1" si="238"/>
        <v>0</v>
      </c>
      <c r="F4222" s="21">
        <f t="shared" ca="1" si="239"/>
        <v>0</v>
      </c>
      <c r="H4222" s="21">
        <v>4207</v>
      </c>
      <c r="I4222" s="107">
        <v>0.66780959901290016</v>
      </c>
      <c r="J4222" s="108">
        <v>1.485822562441178E-3</v>
      </c>
      <c r="K4222" s="108"/>
      <c r="L4222" s="108">
        <v>4.5400000000000003E-2</v>
      </c>
      <c r="O4222" s="105"/>
    </row>
    <row r="4223" spans="2:15" x14ac:dyDescent="0.2">
      <c r="B4223" s="1">
        <f t="shared" si="240"/>
        <v>4208</v>
      </c>
      <c r="C4223" s="106">
        <f ca="1"/>
        <v>-0.95122182301593705</v>
      </c>
      <c r="D4223" s="106">
        <f t="shared" ca="1" si="237"/>
        <v>0.6049878374016967</v>
      </c>
      <c r="E4223" s="106">
        <f t="shared" ca="1" si="238"/>
        <v>0</v>
      </c>
      <c r="F4223" s="21">
        <f t="shared" ca="1" si="239"/>
        <v>0</v>
      </c>
      <c r="H4223" s="21">
        <v>4208</v>
      </c>
      <c r="I4223" s="107">
        <v>0.66786977260874614</v>
      </c>
      <c r="J4223" s="108">
        <v>1.4323020417967979E-3</v>
      </c>
      <c r="K4223" s="108"/>
      <c r="L4223" s="108">
        <v>4.7199999999999999E-2</v>
      </c>
      <c r="O4223" s="105"/>
    </row>
    <row r="4224" spans="2:15" x14ac:dyDescent="0.2">
      <c r="B4224" s="1">
        <f t="shared" si="240"/>
        <v>4209</v>
      </c>
      <c r="C4224" s="106">
        <f ca="1"/>
        <v>-0.17100768406665134</v>
      </c>
      <c r="D4224" s="106">
        <f t="shared" ca="1" si="237"/>
        <v>0.65338707080621095</v>
      </c>
      <c r="E4224" s="106">
        <f t="shared" ca="1" si="238"/>
        <v>0</v>
      </c>
      <c r="F4224" s="21">
        <f t="shared" ca="1" si="239"/>
        <v>0</v>
      </c>
      <c r="H4224" s="21">
        <v>4209</v>
      </c>
      <c r="I4224" s="107">
        <v>0.6677613340322639</v>
      </c>
      <c r="J4224" s="108">
        <v>1.3556541860012773E-3</v>
      </c>
      <c r="K4224" s="108"/>
      <c r="L4224" s="108">
        <v>4.3999999999999997E-2</v>
      </c>
      <c r="O4224" s="105"/>
    </row>
    <row r="4225" spans="2:15" x14ac:dyDescent="0.2">
      <c r="B4225" s="1">
        <f t="shared" si="240"/>
        <v>4210</v>
      </c>
      <c r="C4225" s="106">
        <f ca="1"/>
        <v>-0.45777939099694553</v>
      </c>
      <c r="D4225" s="106">
        <f t="shared" ca="1" si="237"/>
        <v>0.63516332468147774</v>
      </c>
      <c r="E4225" s="106">
        <f t="shared" ca="1" si="238"/>
        <v>0</v>
      </c>
      <c r="F4225" s="21">
        <f t="shared" ca="1" si="239"/>
        <v>0</v>
      </c>
      <c r="H4225" s="21">
        <v>4210</v>
      </c>
      <c r="I4225" s="107">
        <v>0.66778176265807832</v>
      </c>
      <c r="J4225" s="108">
        <v>1.4758801604215052E-3</v>
      </c>
      <c r="K4225" s="108"/>
      <c r="L4225" s="108">
        <v>4.58E-2</v>
      </c>
      <c r="O4225" s="105"/>
    </row>
    <row r="4226" spans="2:15" x14ac:dyDescent="0.2">
      <c r="B4226" s="1">
        <f t="shared" si="240"/>
        <v>4211</v>
      </c>
      <c r="C4226" s="106">
        <f ca="1"/>
        <v>-0.17303799229838462</v>
      </c>
      <c r="D4226" s="106">
        <f t="shared" ca="1" si="237"/>
        <v>0.65325622858003873</v>
      </c>
      <c r="E4226" s="106">
        <f t="shared" ca="1" si="238"/>
        <v>0</v>
      </c>
      <c r="F4226" s="21">
        <f t="shared" ca="1" si="239"/>
        <v>0</v>
      </c>
      <c r="H4226" s="21">
        <v>4211</v>
      </c>
      <c r="I4226" s="107">
        <v>0.66780793562458984</v>
      </c>
      <c r="J4226" s="108">
        <v>1.4242682452667182E-3</v>
      </c>
      <c r="K4226" s="108"/>
      <c r="L4226" s="108">
        <v>4.2799999999999998E-2</v>
      </c>
      <c r="O4226" s="105"/>
    </row>
    <row r="4227" spans="2:15" x14ac:dyDescent="0.2">
      <c r="B4227" s="1">
        <f t="shared" si="240"/>
        <v>4212</v>
      </c>
      <c r="C4227" s="106">
        <f ca="1"/>
        <v>0.4757440408952161</v>
      </c>
      <c r="D4227" s="106">
        <f t="shared" ca="1" si="237"/>
        <v>0.69642921536288138</v>
      </c>
      <c r="E4227" s="106">
        <f t="shared" ca="1" si="238"/>
        <v>0</v>
      </c>
      <c r="F4227" s="21">
        <f t="shared" ca="1" si="239"/>
        <v>0</v>
      </c>
      <c r="H4227" s="21">
        <v>4212</v>
      </c>
      <c r="I4227" s="107">
        <v>0.6677397601672721</v>
      </c>
      <c r="J4227" s="108">
        <v>1.544835636069268E-3</v>
      </c>
      <c r="K4227" s="108"/>
      <c r="L4227" s="108">
        <v>4.24E-2</v>
      </c>
      <c r="O4227" s="105"/>
    </row>
    <row r="4228" spans="2:15" x14ac:dyDescent="0.2">
      <c r="B4228" s="1">
        <f t="shared" si="240"/>
        <v>4213</v>
      </c>
      <c r="C4228" s="106">
        <f ca="1"/>
        <v>1.4925130788270726</v>
      </c>
      <c r="D4228" s="106">
        <f t="shared" ca="1" si="237"/>
        <v>0.76990074573741218</v>
      </c>
      <c r="E4228" s="106">
        <f t="shared" ca="1" si="238"/>
        <v>0</v>
      </c>
      <c r="F4228" s="21">
        <f t="shared" ca="1" si="239"/>
        <v>0</v>
      </c>
      <c r="H4228" s="21">
        <v>4213</v>
      </c>
      <c r="I4228" s="107">
        <v>0.66767892305971199</v>
      </c>
      <c r="J4228" s="108">
        <v>1.2311924530840127E-3</v>
      </c>
      <c r="K4228" s="108"/>
      <c r="L4228" s="108">
        <v>4.1799999999999997E-2</v>
      </c>
      <c r="O4228" s="105"/>
    </row>
    <row r="4229" spans="2:15" x14ac:dyDescent="0.2">
      <c r="B4229" s="1">
        <f t="shared" si="240"/>
        <v>4214</v>
      </c>
      <c r="C4229" s="106">
        <f ca="1"/>
        <v>-1.731353675809727</v>
      </c>
      <c r="D4229" s="106">
        <f t="shared" ca="1" si="237"/>
        <v>0.56017829340018532</v>
      </c>
      <c r="E4229" s="106">
        <f t="shared" ca="1" si="238"/>
        <v>0</v>
      </c>
      <c r="F4229" s="21">
        <f t="shared" ca="1" si="239"/>
        <v>0</v>
      </c>
      <c r="H4229" s="21">
        <v>4214</v>
      </c>
      <c r="I4229" s="107">
        <v>0.66789069929022449</v>
      </c>
      <c r="J4229" s="108">
        <v>1.5156097135346869E-3</v>
      </c>
      <c r="K4229" s="108"/>
      <c r="L4229" s="108">
        <v>4.5400000000000003E-2</v>
      </c>
      <c r="O4229" s="105"/>
    </row>
    <row r="4230" spans="2:15" x14ac:dyDescent="0.2">
      <c r="B4230" s="1">
        <f t="shared" si="240"/>
        <v>4215</v>
      </c>
      <c r="C4230" s="106">
        <f ca="1"/>
        <v>-1.4406025234736681</v>
      </c>
      <c r="D4230" s="106">
        <f t="shared" ca="1" si="237"/>
        <v>0.57647685603835874</v>
      </c>
      <c r="E4230" s="106">
        <f t="shared" ca="1" si="238"/>
        <v>0</v>
      </c>
      <c r="F4230" s="21">
        <f t="shared" ca="1" si="239"/>
        <v>0</v>
      </c>
      <c r="H4230" s="21">
        <v>4215</v>
      </c>
      <c r="I4230" s="107">
        <v>0.66787576252087222</v>
      </c>
      <c r="J4230" s="108">
        <v>1.5419735630383083E-3</v>
      </c>
      <c r="K4230" s="108"/>
      <c r="L4230" s="108">
        <v>4.3799999999999999E-2</v>
      </c>
      <c r="O4230" s="105"/>
    </row>
    <row r="4231" spans="2:15" x14ac:dyDescent="0.2">
      <c r="B4231" s="1">
        <f t="shared" si="240"/>
        <v>4216</v>
      </c>
      <c r="C4231" s="106">
        <f ca="1"/>
        <v>-2.2810993036025988</v>
      </c>
      <c r="D4231" s="106">
        <f t="shared" ca="1" si="237"/>
        <v>0.53061009999557129</v>
      </c>
      <c r="E4231" s="106">
        <f t="shared" ca="1" si="238"/>
        <v>0</v>
      </c>
      <c r="F4231" s="21">
        <f t="shared" ca="1" si="239"/>
        <v>0</v>
      </c>
      <c r="H4231" s="21">
        <v>4216</v>
      </c>
      <c r="I4231" s="107">
        <v>0.66783156200473826</v>
      </c>
      <c r="J4231" s="108">
        <v>1.4361986061319396E-3</v>
      </c>
      <c r="K4231" s="108"/>
      <c r="L4231" s="108">
        <v>4.48E-2</v>
      </c>
      <c r="O4231" s="105"/>
    </row>
    <row r="4232" spans="2:15" x14ac:dyDescent="0.2">
      <c r="B4232" s="1">
        <f t="shared" si="240"/>
        <v>4217</v>
      </c>
      <c r="C4232" s="106">
        <f ca="1"/>
        <v>-0.91665267115162075</v>
      </c>
      <c r="D4232" s="106">
        <f t="shared" ca="1" si="237"/>
        <v>0.60705433516654539</v>
      </c>
      <c r="E4232" s="106">
        <f t="shared" ca="1" si="238"/>
        <v>0</v>
      </c>
      <c r="F4232" s="21">
        <f t="shared" ca="1" si="239"/>
        <v>0</v>
      </c>
      <c r="H4232" s="21">
        <v>4217</v>
      </c>
      <c r="I4232" s="107">
        <v>0.66777807973145942</v>
      </c>
      <c r="J4232" s="108">
        <v>1.290677761734876E-3</v>
      </c>
      <c r="K4232" s="108"/>
      <c r="L4232" s="108">
        <v>0.04</v>
      </c>
      <c r="O4232" s="105"/>
    </row>
    <row r="4233" spans="2:15" x14ac:dyDescent="0.2">
      <c r="B4233" s="1">
        <f t="shared" si="240"/>
        <v>4218</v>
      </c>
      <c r="C4233" s="106">
        <f ca="1"/>
        <v>-0.1274336794061903</v>
      </c>
      <c r="D4233" s="106">
        <f t="shared" ca="1" si="237"/>
        <v>0.65620150169550417</v>
      </c>
      <c r="E4233" s="106">
        <f t="shared" ca="1" si="238"/>
        <v>0</v>
      </c>
      <c r="F4233" s="21">
        <f t="shared" ca="1" si="239"/>
        <v>0</v>
      </c>
      <c r="H4233" s="21">
        <v>4218</v>
      </c>
      <c r="I4233" s="107">
        <v>0.66763172861591269</v>
      </c>
      <c r="J4233" s="108">
        <v>1.3441517073995591E-3</v>
      </c>
      <c r="K4233" s="108"/>
      <c r="L4233" s="108">
        <v>3.7999999999999999E-2</v>
      </c>
      <c r="O4233" s="105"/>
    </row>
    <row r="4234" spans="2:15" x14ac:dyDescent="0.2">
      <c r="B4234" s="1">
        <f t="shared" si="240"/>
        <v>4219</v>
      </c>
      <c r="C4234" s="106">
        <f ca="1"/>
        <v>-0.29281661383543583</v>
      </c>
      <c r="D4234" s="106">
        <f t="shared" ca="1" si="237"/>
        <v>0.64558334381860261</v>
      </c>
      <c r="E4234" s="106">
        <f t="shared" ca="1" si="238"/>
        <v>0</v>
      </c>
      <c r="F4234" s="21">
        <f t="shared" ca="1" si="239"/>
        <v>0</v>
      </c>
      <c r="H4234" s="21">
        <v>4219</v>
      </c>
      <c r="I4234" s="107">
        <v>0.66764942645265779</v>
      </c>
      <c r="J4234" s="108">
        <v>1.33675764512495E-3</v>
      </c>
      <c r="K4234" s="108"/>
      <c r="L4234" s="108">
        <v>4.0800000000000003E-2</v>
      </c>
      <c r="O4234" s="105"/>
    </row>
    <row r="4235" spans="2:15" x14ac:dyDescent="0.2">
      <c r="B4235" s="1">
        <f t="shared" si="240"/>
        <v>4220</v>
      </c>
      <c r="C4235" s="106">
        <f ca="1"/>
        <v>0.3598000869386252</v>
      </c>
      <c r="D4235" s="106">
        <f t="shared" ca="1" si="237"/>
        <v>0.68850962219779333</v>
      </c>
      <c r="E4235" s="106">
        <f t="shared" ca="1" si="238"/>
        <v>0</v>
      </c>
      <c r="F4235" s="21">
        <f t="shared" ca="1" si="239"/>
        <v>0</v>
      </c>
      <c r="H4235" s="21">
        <v>4220</v>
      </c>
      <c r="I4235" s="107">
        <v>0.66765899400664386</v>
      </c>
      <c r="J4235" s="108">
        <v>1.2569070259326313E-3</v>
      </c>
      <c r="K4235" s="108"/>
      <c r="L4235" s="108">
        <v>4.02E-2</v>
      </c>
      <c r="O4235" s="105"/>
    </row>
    <row r="4236" spans="2:15" x14ac:dyDescent="0.2">
      <c r="B4236" s="1">
        <f t="shared" si="240"/>
        <v>4221</v>
      </c>
      <c r="C4236" s="106">
        <f ca="1"/>
        <v>4.7416729659250229E-2</v>
      </c>
      <c r="D4236" s="106">
        <f t="shared" ca="1" si="237"/>
        <v>0.66761748692280143</v>
      </c>
      <c r="E4236" s="106">
        <f t="shared" ca="1" si="238"/>
        <v>0</v>
      </c>
      <c r="F4236" s="21">
        <f t="shared" ca="1" si="239"/>
        <v>0</v>
      </c>
      <c r="H4236" s="21">
        <v>4221</v>
      </c>
      <c r="I4236" s="107">
        <v>0.66776455076305063</v>
      </c>
      <c r="J4236" s="108">
        <v>1.2486250455675456E-3</v>
      </c>
      <c r="K4236" s="108"/>
      <c r="L4236" s="108">
        <v>4.2000000000000003E-2</v>
      </c>
      <c r="O4236" s="105"/>
    </row>
    <row r="4237" spans="2:15" x14ac:dyDescent="0.2">
      <c r="B4237" s="1">
        <f t="shared" si="240"/>
        <v>4222</v>
      </c>
      <c r="C4237" s="106">
        <f ca="1"/>
        <v>-2.6400109892072394</v>
      </c>
      <c r="D4237" s="106">
        <f t="shared" ca="1" si="237"/>
        <v>0.51215327837749758</v>
      </c>
      <c r="E4237" s="106">
        <f t="shared" ca="1" si="238"/>
        <v>0</v>
      </c>
      <c r="F4237" s="21">
        <f t="shared" ca="1" si="239"/>
        <v>0</v>
      </c>
      <c r="H4237" s="21">
        <v>4222</v>
      </c>
      <c r="I4237" s="107">
        <v>0.66774229991419765</v>
      </c>
      <c r="J4237" s="108">
        <v>1.3184150612058773E-3</v>
      </c>
      <c r="K4237" s="108"/>
      <c r="L4237" s="108">
        <v>4.3400000000000001E-2</v>
      </c>
      <c r="O4237" s="105"/>
    </row>
    <row r="4238" spans="2:15" x14ac:dyDescent="0.2">
      <c r="B4238" s="1">
        <f t="shared" si="240"/>
        <v>4223</v>
      </c>
      <c r="C4238" s="106">
        <f ca="1"/>
        <v>1.2856327661699867</v>
      </c>
      <c r="D4238" s="106">
        <f t="shared" ca="1" si="237"/>
        <v>0.75434864616773545</v>
      </c>
      <c r="E4238" s="106">
        <f t="shared" ca="1" si="238"/>
        <v>0</v>
      </c>
      <c r="F4238" s="21">
        <f t="shared" ca="1" si="239"/>
        <v>0</v>
      </c>
      <c r="H4238" s="21">
        <v>4223</v>
      </c>
      <c r="I4238" s="107">
        <v>0.6678557284325225</v>
      </c>
      <c r="J4238" s="108">
        <v>1.5347643197666508E-3</v>
      </c>
      <c r="K4238" s="108"/>
      <c r="L4238" s="108">
        <v>4.4600000000000001E-2</v>
      </c>
      <c r="O4238" s="105"/>
    </row>
    <row r="4239" spans="2:15" x14ac:dyDescent="0.2">
      <c r="B4239" s="1">
        <f t="shared" si="240"/>
        <v>4224</v>
      </c>
      <c r="C4239" s="106">
        <f ca="1"/>
        <v>0.70464731953158921</v>
      </c>
      <c r="D4239" s="106">
        <f t="shared" ca="1" si="237"/>
        <v>0.71233298801253819</v>
      </c>
      <c r="E4239" s="106">
        <f t="shared" ca="1" si="238"/>
        <v>0</v>
      </c>
      <c r="F4239" s="21">
        <f t="shared" ca="1" si="239"/>
        <v>0</v>
      </c>
      <c r="H4239" s="21">
        <v>4224</v>
      </c>
      <c r="I4239" s="107">
        <v>0.66779396177364725</v>
      </c>
      <c r="J4239" s="108">
        <v>1.3076953838303592E-3</v>
      </c>
      <c r="K4239" s="108"/>
      <c r="L4239" s="108">
        <v>4.2999999999999997E-2</v>
      </c>
      <c r="O4239" s="105"/>
    </row>
    <row r="4240" spans="2:15" x14ac:dyDescent="0.2">
      <c r="B4240" s="1">
        <f t="shared" si="240"/>
        <v>4225</v>
      </c>
      <c r="C4240" s="106">
        <f ca="1"/>
        <v>-2.3474869014927058</v>
      </c>
      <c r="D4240" s="106">
        <f t="shared" ref="D4240:D4303" ca="1" si="241">S0*EXP((μ-0.5*σ*σ)*T+σ*SQRT(T)*$C4240)</f>
        <v>0.52714672001727947</v>
      </c>
      <c r="E4240" s="106">
        <f t="shared" ref="E4240:E4303" ca="1" si="242">MAX(0,CP*(D4240-K))</f>
        <v>0</v>
      </c>
      <c r="F4240" s="21">
        <f t="shared" ref="F4240:F4303" ca="1" si="243">(CP*(D4240-K)&gt;0)*1</f>
        <v>0</v>
      </c>
      <c r="H4240" s="21">
        <v>4225</v>
      </c>
      <c r="I4240" s="107">
        <v>0.66779352940881564</v>
      </c>
      <c r="J4240" s="108">
        <v>1.3947145128065989E-3</v>
      </c>
      <c r="K4240" s="108"/>
      <c r="L4240" s="108">
        <v>4.0800000000000003E-2</v>
      </c>
      <c r="O4240" s="105"/>
    </row>
    <row r="4241" spans="2:15" x14ac:dyDescent="0.2">
      <c r="B4241" s="1">
        <f t="shared" si="240"/>
        <v>4226</v>
      </c>
      <c r="C4241" s="106">
        <f ca="1"/>
        <v>0.58672869887456247</v>
      </c>
      <c r="D4241" s="106">
        <f t="shared" ca="1" si="241"/>
        <v>0.70409538201865784</v>
      </c>
      <c r="E4241" s="106">
        <f t="shared" ca="1" si="242"/>
        <v>0</v>
      </c>
      <c r="F4241" s="21">
        <f t="shared" ca="1" si="243"/>
        <v>0</v>
      </c>
      <c r="H4241" s="21">
        <v>4226</v>
      </c>
      <c r="I4241" s="107">
        <v>0.66767284250356163</v>
      </c>
      <c r="J4241" s="108">
        <v>1.2862315695505049E-3</v>
      </c>
      <c r="K4241" s="108"/>
      <c r="L4241" s="108">
        <v>4.1599999999999998E-2</v>
      </c>
      <c r="O4241" s="105"/>
    </row>
    <row r="4242" spans="2:15" x14ac:dyDescent="0.2">
      <c r="B4242" s="1">
        <f t="shared" si="240"/>
        <v>4227</v>
      </c>
      <c r="C4242" s="106">
        <f ca="1"/>
        <v>-1.5351382910569209</v>
      </c>
      <c r="D4242" s="106">
        <f t="shared" ca="1" si="241"/>
        <v>0.57112611936769819</v>
      </c>
      <c r="E4242" s="106">
        <f t="shared" ca="1" si="242"/>
        <v>0</v>
      </c>
      <c r="F4242" s="21">
        <f t="shared" ca="1" si="243"/>
        <v>0</v>
      </c>
      <c r="H4242" s="21">
        <v>4227</v>
      </c>
      <c r="I4242" s="107">
        <v>0.66778020286705819</v>
      </c>
      <c r="J4242" s="108">
        <v>1.2764196400488646E-3</v>
      </c>
      <c r="K4242" s="108"/>
      <c r="L4242" s="108">
        <v>4.2999999999999997E-2</v>
      </c>
      <c r="O4242" s="105"/>
    </row>
    <row r="4243" spans="2:15" x14ac:dyDescent="0.2">
      <c r="B4243" s="1">
        <f t="shared" si="240"/>
        <v>4228</v>
      </c>
      <c r="C4243" s="106">
        <f ca="1"/>
        <v>-1.1320884455883771</v>
      </c>
      <c r="D4243" s="106">
        <f t="shared" ca="1" si="241"/>
        <v>0.59429000903952867</v>
      </c>
      <c r="E4243" s="106">
        <f t="shared" ca="1" si="242"/>
        <v>0</v>
      </c>
      <c r="F4243" s="21">
        <f t="shared" ca="1" si="243"/>
        <v>0</v>
      </c>
      <c r="H4243" s="21">
        <v>4228</v>
      </c>
      <c r="I4243" s="107">
        <v>0.66767265404232368</v>
      </c>
      <c r="J4243" s="108">
        <v>1.3855399603112898E-3</v>
      </c>
      <c r="K4243" s="108"/>
      <c r="L4243" s="108">
        <v>3.9800000000000002E-2</v>
      </c>
      <c r="O4243" s="105"/>
    </row>
    <row r="4244" spans="2:15" x14ac:dyDescent="0.2">
      <c r="B4244" s="1">
        <f t="shared" si="240"/>
        <v>4229</v>
      </c>
      <c r="C4244" s="106">
        <f ca="1"/>
        <v>-0.69585564541635248</v>
      </c>
      <c r="D4244" s="106">
        <f t="shared" ca="1" si="241"/>
        <v>0.62042083423324712</v>
      </c>
      <c r="E4244" s="106">
        <f t="shared" ca="1" si="242"/>
        <v>0</v>
      </c>
      <c r="F4244" s="21">
        <f t="shared" ca="1" si="243"/>
        <v>0</v>
      </c>
      <c r="H4244" s="21">
        <v>4229</v>
      </c>
      <c r="I4244" s="107">
        <v>0.66785299681712418</v>
      </c>
      <c r="J4244" s="108">
        <v>1.4268232103710498E-3</v>
      </c>
      <c r="K4244" s="108"/>
      <c r="L4244" s="108">
        <v>4.2200000000000001E-2</v>
      </c>
      <c r="O4244" s="105"/>
    </row>
    <row r="4245" spans="2:15" x14ac:dyDescent="0.2">
      <c r="B4245" s="1">
        <f t="shared" si="240"/>
        <v>4230</v>
      </c>
      <c r="C4245" s="106">
        <f ca="1"/>
        <v>-0.11149046310374693</v>
      </c>
      <c r="D4245" s="106">
        <f t="shared" ca="1" si="241"/>
        <v>0.65723429544844469</v>
      </c>
      <c r="E4245" s="106">
        <f t="shared" ca="1" si="242"/>
        <v>0</v>
      </c>
      <c r="F4245" s="21">
        <f t="shared" ca="1" si="243"/>
        <v>0</v>
      </c>
      <c r="H4245" s="21">
        <v>4230</v>
      </c>
      <c r="I4245" s="107">
        <v>0.66783488299798333</v>
      </c>
      <c r="J4245" s="108">
        <v>1.3712775492862774E-3</v>
      </c>
      <c r="K4245" s="108"/>
      <c r="L4245" s="108">
        <v>4.4200000000000003E-2</v>
      </c>
      <c r="O4245" s="105"/>
    </row>
    <row r="4246" spans="2:15" x14ac:dyDescent="0.2">
      <c r="B4246" s="1">
        <f t="shared" si="240"/>
        <v>4231</v>
      </c>
      <c r="C4246" s="106">
        <f ca="1"/>
        <v>-0.27031596738312391</v>
      </c>
      <c r="D4246" s="106">
        <f t="shared" ca="1" si="241"/>
        <v>0.64701780321417179</v>
      </c>
      <c r="E4246" s="106">
        <f t="shared" ca="1" si="242"/>
        <v>0</v>
      </c>
      <c r="F4246" s="21">
        <f t="shared" ca="1" si="243"/>
        <v>0</v>
      </c>
      <c r="H4246" s="21">
        <v>4231</v>
      </c>
      <c r="I4246" s="107">
        <v>0.66774179876566508</v>
      </c>
      <c r="J4246" s="108">
        <v>1.4347982774445785E-3</v>
      </c>
      <c r="K4246" s="108"/>
      <c r="L4246" s="108">
        <v>4.2599999999999999E-2</v>
      </c>
      <c r="O4246" s="105"/>
    </row>
    <row r="4247" spans="2:15" x14ac:dyDescent="0.2">
      <c r="B4247" s="1">
        <f t="shared" si="240"/>
        <v>4232</v>
      </c>
      <c r="C4247" s="106">
        <f ca="1"/>
        <v>-0.77690401531093645</v>
      </c>
      <c r="D4247" s="106">
        <f t="shared" ca="1" si="241"/>
        <v>0.61548051874399545</v>
      </c>
      <c r="E4247" s="106">
        <f t="shared" ca="1" si="242"/>
        <v>0</v>
      </c>
      <c r="F4247" s="21">
        <f t="shared" ca="1" si="243"/>
        <v>0</v>
      </c>
      <c r="H4247" s="21">
        <v>4232</v>
      </c>
      <c r="I4247" s="107">
        <v>0.6677011770057294</v>
      </c>
      <c r="J4247" s="108">
        <v>1.2802035574427518E-3</v>
      </c>
      <c r="K4247" s="108"/>
      <c r="L4247" s="108">
        <v>4.0800000000000003E-2</v>
      </c>
      <c r="O4247" s="105"/>
    </row>
    <row r="4248" spans="2:15" x14ac:dyDescent="0.2">
      <c r="B4248" s="1">
        <f t="shared" si="240"/>
        <v>4233</v>
      </c>
      <c r="C4248" s="106">
        <f ca="1"/>
        <v>-1.3446069776911234</v>
      </c>
      <c r="D4248" s="106">
        <f t="shared" ca="1" si="241"/>
        <v>0.58196151561168907</v>
      </c>
      <c r="E4248" s="106">
        <f t="shared" ca="1" si="242"/>
        <v>0</v>
      </c>
      <c r="F4248" s="21">
        <f t="shared" ca="1" si="243"/>
        <v>0</v>
      </c>
      <c r="H4248" s="21">
        <v>4233</v>
      </c>
      <c r="I4248" s="107">
        <v>0.6677440312804952</v>
      </c>
      <c r="J4248" s="108">
        <v>1.4867753488583509E-3</v>
      </c>
      <c r="K4248" s="108"/>
      <c r="L4248" s="108">
        <v>4.0599999999999997E-2</v>
      </c>
      <c r="O4248" s="105"/>
    </row>
    <row r="4249" spans="2:15" x14ac:dyDescent="0.2">
      <c r="B4249" s="1">
        <f t="shared" si="240"/>
        <v>4234</v>
      </c>
      <c r="C4249" s="106">
        <f ca="1"/>
        <v>-1.6360731921690554</v>
      </c>
      <c r="D4249" s="106">
        <f t="shared" ca="1" si="241"/>
        <v>0.56546800027731869</v>
      </c>
      <c r="E4249" s="106">
        <f t="shared" ca="1" si="242"/>
        <v>0</v>
      </c>
      <c r="F4249" s="21">
        <f t="shared" ca="1" si="243"/>
        <v>0</v>
      </c>
      <c r="H4249" s="21">
        <v>4234</v>
      </c>
      <c r="I4249" s="107">
        <v>0.66774107618544043</v>
      </c>
      <c r="J4249" s="108">
        <v>1.3618871830303784E-3</v>
      </c>
      <c r="K4249" s="108"/>
      <c r="L4249" s="108">
        <v>3.9399999999999998E-2</v>
      </c>
      <c r="O4249" s="105"/>
    </row>
    <row r="4250" spans="2:15" x14ac:dyDescent="0.2">
      <c r="B4250" s="1">
        <f t="shared" si="240"/>
        <v>4235</v>
      </c>
      <c r="C4250" s="106">
        <f ca="1"/>
        <v>0.45498872528335693</v>
      </c>
      <c r="D4250" s="106">
        <f t="shared" ca="1" si="241"/>
        <v>0.69500485221947839</v>
      </c>
      <c r="E4250" s="106">
        <f t="shared" ca="1" si="242"/>
        <v>0</v>
      </c>
      <c r="F4250" s="21">
        <f t="shared" ca="1" si="243"/>
        <v>0</v>
      </c>
      <c r="H4250" s="21">
        <v>4235</v>
      </c>
      <c r="I4250" s="107">
        <v>0.66764234979627834</v>
      </c>
      <c r="J4250" s="108">
        <v>1.1626718721392654E-3</v>
      </c>
      <c r="K4250" s="108"/>
      <c r="L4250" s="108">
        <v>3.9800000000000002E-2</v>
      </c>
      <c r="O4250" s="105"/>
    </row>
    <row r="4251" spans="2:15" x14ac:dyDescent="0.2">
      <c r="B4251" s="1">
        <f t="shared" si="240"/>
        <v>4236</v>
      </c>
      <c r="C4251" s="106">
        <f ca="1"/>
        <v>-0.82590358937143193</v>
      </c>
      <c r="D4251" s="106">
        <f t="shared" ca="1" si="241"/>
        <v>0.61251284343338375</v>
      </c>
      <c r="E4251" s="106">
        <f t="shared" ca="1" si="242"/>
        <v>0</v>
      </c>
      <c r="F4251" s="21">
        <f t="shared" ca="1" si="243"/>
        <v>0</v>
      </c>
      <c r="H4251" s="21">
        <v>4236</v>
      </c>
      <c r="I4251" s="107">
        <v>0.66777392965614268</v>
      </c>
      <c r="J4251" s="108">
        <v>1.4124776414381887E-3</v>
      </c>
      <c r="K4251" s="108"/>
      <c r="L4251" s="108">
        <v>4.02E-2</v>
      </c>
      <c r="O4251" s="105"/>
    </row>
    <row r="4252" spans="2:15" x14ac:dyDescent="0.2">
      <c r="B4252" s="1">
        <f t="shared" si="240"/>
        <v>4237</v>
      </c>
      <c r="C4252" s="106">
        <f ca="1"/>
        <v>-0.10646939269492357</v>
      </c>
      <c r="D4252" s="106">
        <f t="shared" ca="1" si="241"/>
        <v>0.65755989438948526</v>
      </c>
      <c r="E4252" s="106">
        <f t="shared" ca="1" si="242"/>
        <v>0</v>
      </c>
      <c r="F4252" s="21">
        <f t="shared" ca="1" si="243"/>
        <v>0</v>
      </c>
      <c r="H4252" s="21">
        <v>4237</v>
      </c>
      <c r="I4252" s="107">
        <v>0.66755265339484504</v>
      </c>
      <c r="J4252" s="108">
        <v>1.1110526937926813E-3</v>
      </c>
      <c r="K4252" s="108"/>
      <c r="L4252" s="108">
        <v>3.5799999999999998E-2</v>
      </c>
      <c r="O4252" s="105"/>
    </row>
    <row r="4253" spans="2:15" x14ac:dyDescent="0.2">
      <c r="B4253" s="1">
        <f t="shared" si="240"/>
        <v>4238</v>
      </c>
      <c r="C4253" s="106">
        <f ca="1"/>
        <v>0.86506367884866753</v>
      </c>
      <c r="D4253" s="106">
        <f t="shared" ca="1" si="241"/>
        <v>0.72369437134548742</v>
      </c>
      <c r="E4253" s="106">
        <f t="shared" ca="1" si="242"/>
        <v>0</v>
      </c>
      <c r="F4253" s="21">
        <f t="shared" ca="1" si="243"/>
        <v>0</v>
      </c>
      <c r="H4253" s="21">
        <v>4238</v>
      </c>
      <c r="I4253" s="107">
        <v>0.66771907521783491</v>
      </c>
      <c r="J4253" s="108">
        <v>1.3762063932362082E-3</v>
      </c>
      <c r="K4253" s="108"/>
      <c r="L4253" s="108">
        <v>3.9600000000000003E-2</v>
      </c>
      <c r="O4253" s="105"/>
    </row>
    <row r="4254" spans="2:15" x14ac:dyDescent="0.2">
      <c r="B4254" s="1">
        <f t="shared" si="240"/>
        <v>4239</v>
      </c>
      <c r="C4254" s="106">
        <f ca="1"/>
        <v>5.1449009628112642E-2</v>
      </c>
      <c r="D4254" s="106">
        <f t="shared" ca="1" si="241"/>
        <v>0.66788308422277465</v>
      </c>
      <c r="E4254" s="106">
        <f t="shared" ca="1" si="242"/>
        <v>0</v>
      </c>
      <c r="F4254" s="21">
        <f t="shared" ca="1" si="243"/>
        <v>0</v>
      </c>
      <c r="H4254" s="21">
        <v>4239</v>
      </c>
      <c r="I4254" s="107">
        <v>0.66787017256018533</v>
      </c>
      <c r="J4254" s="108">
        <v>1.555522216619744E-3</v>
      </c>
      <c r="K4254" s="108"/>
      <c r="L4254" s="108">
        <v>4.3799999999999999E-2</v>
      </c>
      <c r="O4254" s="105"/>
    </row>
    <row r="4255" spans="2:15" x14ac:dyDescent="0.2">
      <c r="B4255" s="1">
        <f t="shared" si="240"/>
        <v>4240</v>
      </c>
      <c r="C4255" s="106">
        <f ca="1"/>
        <v>0.70380891479162999</v>
      </c>
      <c r="D4255" s="106">
        <f t="shared" ca="1" si="241"/>
        <v>0.71227407954510114</v>
      </c>
      <c r="E4255" s="106">
        <f t="shared" ca="1" si="242"/>
        <v>0</v>
      </c>
      <c r="F4255" s="21">
        <f t="shared" ca="1" si="243"/>
        <v>0</v>
      </c>
      <c r="H4255" s="21">
        <v>4240</v>
      </c>
      <c r="I4255" s="107">
        <v>0.66781861286683419</v>
      </c>
      <c r="J4255" s="108">
        <v>1.4952414831108372E-3</v>
      </c>
      <c r="K4255" s="108"/>
      <c r="L4255" s="108">
        <v>4.3400000000000001E-2</v>
      </c>
      <c r="O4255" s="105"/>
    </row>
    <row r="4256" spans="2:15" x14ac:dyDescent="0.2">
      <c r="B4256" s="1">
        <f t="shared" si="240"/>
        <v>4241</v>
      </c>
      <c r="C4256" s="106">
        <f ca="1"/>
        <v>1.4129567868674231</v>
      </c>
      <c r="D4256" s="106">
        <f t="shared" ca="1" si="241"/>
        <v>0.76388256512886676</v>
      </c>
      <c r="E4256" s="106">
        <f t="shared" ca="1" si="242"/>
        <v>0</v>
      </c>
      <c r="F4256" s="21">
        <f t="shared" ca="1" si="243"/>
        <v>0</v>
      </c>
      <c r="H4256" s="21">
        <v>4241</v>
      </c>
      <c r="I4256" s="107">
        <v>0.6678458170438023</v>
      </c>
      <c r="J4256" s="108">
        <v>1.5280199521293526E-3</v>
      </c>
      <c r="K4256" s="108"/>
      <c r="L4256" s="108">
        <v>4.48E-2</v>
      </c>
      <c r="O4256" s="105"/>
    </row>
    <row r="4257" spans="2:15" x14ac:dyDescent="0.2">
      <c r="B4257" s="1">
        <f t="shared" si="240"/>
        <v>4242</v>
      </c>
      <c r="C4257" s="106">
        <f ca="1"/>
        <v>-2.2147155978803159</v>
      </c>
      <c r="D4257" s="106">
        <f t="shared" ca="1" si="241"/>
        <v>0.53409602949654733</v>
      </c>
      <c r="E4257" s="106">
        <f t="shared" ca="1" si="242"/>
        <v>0</v>
      </c>
      <c r="F4257" s="21">
        <f t="shared" ca="1" si="243"/>
        <v>0</v>
      </c>
      <c r="H4257" s="21">
        <v>4242</v>
      </c>
      <c r="I4257" s="107">
        <v>0.66792045509798359</v>
      </c>
      <c r="J4257" s="108">
        <v>1.6295316778186027E-3</v>
      </c>
      <c r="K4257" s="108"/>
      <c r="L4257" s="108">
        <v>4.8599999999999997E-2</v>
      </c>
      <c r="O4257" s="105"/>
    </row>
    <row r="4258" spans="2:15" x14ac:dyDescent="0.2">
      <c r="B4258" s="1">
        <f t="shared" si="240"/>
        <v>4243</v>
      </c>
      <c r="C4258" s="106">
        <f ca="1"/>
        <v>-0.11886389010021861</v>
      </c>
      <c r="D4258" s="106">
        <f t="shared" ca="1" si="241"/>
        <v>0.65675644656464804</v>
      </c>
      <c r="E4258" s="106">
        <f t="shared" ca="1" si="242"/>
        <v>0</v>
      </c>
      <c r="F4258" s="21">
        <f t="shared" ca="1" si="243"/>
        <v>0</v>
      </c>
      <c r="H4258" s="21">
        <v>4243</v>
      </c>
      <c r="I4258" s="107">
        <v>0.66769920996954979</v>
      </c>
      <c r="J4258" s="108">
        <v>1.22533164253726E-3</v>
      </c>
      <c r="K4258" s="108"/>
      <c r="L4258" s="108">
        <v>4.1200000000000001E-2</v>
      </c>
      <c r="O4258" s="105"/>
    </row>
    <row r="4259" spans="2:15" x14ac:dyDescent="0.2">
      <c r="B4259" s="1">
        <f t="shared" si="240"/>
        <v>4244</v>
      </c>
      <c r="C4259" s="106">
        <f ca="1"/>
        <v>1.0584336958755749</v>
      </c>
      <c r="D4259" s="106">
        <f t="shared" ca="1" si="241"/>
        <v>0.73763080786084412</v>
      </c>
      <c r="E4259" s="106">
        <f t="shared" ca="1" si="242"/>
        <v>0</v>
      </c>
      <c r="F4259" s="21">
        <f t="shared" ca="1" si="243"/>
        <v>0</v>
      </c>
      <c r="H4259" s="21">
        <v>4244</v>
      </c>
      <c r="I4259" s="107">
        <v>0.66777589843504004</v>
      </c>
      <c r="J4259" s="108">
        <v>1.4597468378992938E-3</v>
      </c>
      <c r="K4259" s="108"/>
      <c r="L4259" s="108">
        <v>4.4400000000000002E-2</v>
      </c>
      <c r="O4259" s="105"/>
    </row>
    <row r="4260" spans="2:15" x14ac:dyDescent="0.2">
      <c r="B4260" s="1">
        <f t="shared" si="240"/>
        <v>4245</v>
      </c>
      <c r="C4260" s="106">
        <f ca="1"/>
        <v>0.1831750211196034</v>
      </c>
      <c r="D4260" s="106">
        <f t="shared" ca="1" si="241"/>
        <v>0.67661793464684816</v>
      </c>
      <c r="E4260" s="106">
        <f t="shared" ca="1" si="242"/>
        <v>0</v>
      </c>
      <c r="F4260" s="21">
        <f t="shared" ca="1" si="243"/>
        <v>0</v>
      </c>
      <c r="H4260" s="21">
        <v>4245</v>
      </c>
      <c r="I4260" s="107">
        <v>0.66779785861508834</v>
      </c>
      <c r="J4260" s="108">
        <v>1.3524670203576708E-3</v>
      </c>
      <c r="K4260" s="108"/>
      <c r="L4260" s="108">
        <v>3.9399999999999998E-2</v>
      </c>
      <c r="O4260" s="105"/>
    </row>
    <row r="4261" spans="2:15" x14ac:dyDescent="0.2">
      <c r="B4261" s="1">
        <f t="shared" si="240"/>
        <v>4246</v>
      </c>
      <c r="C4261" s="106">
        <f ca="1"/>
        <v>-1.2213743122522001</v>
      </c>
      <c r="D4261" s="106">
        <f t="shared" ca="1" si="241"/>
        <v>0.58907891421182135</v>
      </c>
      <c r="E4261" s="106">
        <f t="shared" ca="1" si="242"/>
        <v>0</v>
      </c>
      <c r="F4261" s="21">
        <f t="shared" ca="1" si="243"/>
        <v>0</v>
      </c>
      <c r="H4261" s="21">
        <v>4246</v>
      </c>
      <c r="I4261" s="107">
        <v>0.66766411240106849</v>
      </c>
      <c r="J4261" s="108">
        <v>1.3362907236023048E-3</v>
      </c>
      <c r="K4261" s="108"/>
      <c r="L4261" s="108">
        <v>3.9800000000000002E-2</v>
      </c>
      <c r="O4261" s="105"/>
    </row>
    <row r="4262" spans="2:15" x14ac:dyDescent="0.2">
      <c r="B4262" s="1">
        <f t="shared" si="240"/>
        <v>4247</v>
      </c>
      <c r="C4262" s="106">
        <f ca="1"/>
        <v>0.64757623563038014</v>
      </c>
      <c r="D4262" s="106">
        <f t="shared" ca="1" si="241"/>
        <v>0.70833412794736805</v>
      </c>
      <c r="E4262" s="106">
        <f t="shared" ca="1" si="242"/>
        <v>0</v>
      </c>
      <c r="F4262" s="21">
        <f t="shared" ca="1" si="243"/>
        <v>0</v>
      </c>
      <c r="H4262" s="21">
        <v>4247</v>
      </c>
      <c r="I4262" s="107">
        <v>0.66768653542394141</v>
      </c>
      <c r="J4262" s="108">
        <v>1.3299089225010424E-3</v>
      </c>
      <c r="K4262" s="108"/>
      <c r="L4262" s="108">
        <v>0.04</v>
      </c>
      <c r="O4262" s="105"/>
    </row>
    <row r="4263" spans="2:15" x14ac:dyDescent="0.2">
      <c r="B4263" s="1">
        <f t="shared" si="240"/>
        <v>4248</v>
      </c>
      <c r="C4263" s="106">
        <f ca="1"/>
        <v>1.0223838221549348</v>
      </c>
      <c r="D4263" s="106">
        <f t="shared" ca="1" si="241"/>
        <v>0.73501244551271927</v>
      </c>
      <c r="E4263" s="106">
        <f t="shared" ca="1" si="242"/>
        <v>0</v>
      </c>
      <c r="F4263" s="21">
        <f t="shared" ca="1" si="243"/>
        <v>0</v>
      </c>
      <c r="H4263" s="21">
        <v>4248</v>
      </c>
      <c r="I4263" s="107">
        <v>0.66778348546908073</v>
      </c>
      <c r="J4263" s="108">
        <v>1.3775027163492712E-3</v>
      </c>
      <c r="K4263" s="108"/>
      <c r="L4263" s="108">
        <v>4.3999999999999997E-2</v>
      </c>
      <c r="O4263" s="105"/>
    </row>
    <row r="4264" spans="2:15" x14ac:dyDescent="0.2">
      <c r="B4264" s="1">
        <f t="shared" si="240"/>
        <v>4249</v>
      </c>
      <c r="C4264" s="106">
        <f ca="1"/>
        <v>0.30865528028657313</v>
      </c>
      <c r="D4264" s="106">
        <f t="shared" ca="1" si="241"/>
        <v>0.68504484421913825</v>
      </c>
      <c r="E4264" s="106">
        <f t="shared" ca="1" si="242"/>
        <v>0</v>
      </c>
      <c r="F4264" s="21">
        <f t="shared" ca="1" si="243"/>
        <v>0</v>
      </c>
      <c r="H4264" s="21">
        <v>4249</v>
      </c>
      <c r="I4264" s="107">
        <v>0.66780202323844029</v>
      </c>
      <c r="J4264" s="108">
        <v>1.542635150883067E-3</v>
      </c>
      <c r="K4264" s="108"/>
      <c r="L4264" s="108">
        <v>4.4600000000000001E-2</v>
      </c>
      <c r="O4264" s="105"/>
    </row>
    <row r="4265" spans="2:15" x14ac:dyDescent="0.2">
      <c r="B4265" s="1">
        <f t="shared" si="240"/>
        <v>4250</v>
      </c>
      <c r="C4265" s="106">
        <f ca="1"/>
        <v>1.690030151856772</v>
      </c>
      <c r="D4265" s="106">
        <f t="shared" ca="1" si="241"/>
        <v>0.78504806942551475</v>
      </c>
      <c r="E4265" s="106">
        <f t="shared" ca="1" si="242"/>
        <v>0</v>
      </c>
      <c r="F4265" s="21">
        <f t="shared" ca="1" si="243"/>
        <v>0</v>
      </c>
      <c r="H4265" s="21">
        <v>4250</v>
      </c>
      <c r="I4265" s="107">
        <v>0.66766070151575474</v>
      </c>
      <c r="J4265" s="108">
        <v>1.2456445325726888E-3</v>
      </c>
      <c r="K4265" s="108"/>
      <c r="L4265" s="108">
        <v>3.9800000000000002E-2</v>
      </c>
      <c r="O4265" s="105"/>
    </row>
    <row r="4266" spans="2:15" x14ac:dyDescent="0.2">
      <c r="B4266" s="1">
        <f t="shared" si="240"/>
        <v>4251</v>
      </c>
      <c r="C4266" s="106">
        <f ca="1"/>
        <v>-1.3165924346954752</v>
      </c>
      <c r="D4266" s="106">
        <f t="shared" ca="1" si="241"/>
        <v>0.5835719272857266</v>
      </c>
      <c r="E4266" s="106">
        <f t="shared" ca="1" si="242"/>
        <v>0</v>
      </c>
      <c r="F4266" s="21">
        <f t="shared" ca="1" si="243"/>
        <v>0</v>
      </c>
      <c r="H4266" s="21">
        <v>4251</v>
      </c>
      <c r="I4266" s="107">
        <v>0.66784405224007481</v>
      </c>
      <c r="J4266" s="108">
        <v>1.4851996201577624E-3</v>
      </c>
      <c r="K4266" s="108"/>
      <c r="L4266" s="108">
        <v>4.4999999999999998E-2</v>
      </c>
      <c r="O4266" s="105"/>
    </row>
    <row r="4267" spans="2:15" x14ac:dyDescent="0.2">
      <c r="B4267" s="1">
        <f t="shared" si="240"/>
        <v>4252</v>
      </c>
      <c r="C4267" s="106">
        <f ca="1"/>
        <v>0.17679290669651901</v>
      </c>
      <c r="D4267" s="106">
        <f t="shared" ca="1" si="241"/>
        <v>0.67619211048886196</v>
      </c>
      <c r="E4267" s="106">
        <f t="shared" ca="1" si="242"/>
        <v>0</v>
      </c>
      <c r="F4267" s="21">
        <f t="shared" ca="1" si="243"/>
        <v>0</v>
      </c>
      <c r="H4267" s="21">
        <v>4252</v>
      </c>
      <c r="I4267" s="107">
        <v>0.66778229425357949</v>
      </c>
      <c r="J4267" s="108">
        <v>1.3500222747744397E-3</v>
      </c>
      <c r="K4267" s="108"/>
      <c r="L4267" s="108">
        <v>4.2000000000000003E-2</v>
      </c>
      <c r="O4267" s="105"/>
    </row>
    <row r="4268" spans="2:15" x14ac:dyDescent="0.2">
      <c r="B4268" s="1">
        <f t="shared" si="240"/>
        <v>4253</v>
      </c>
      <c r="C4268" s="106">
        <f ca="1"/>
        <v>1.6477471666394619</v>
      </c>
      <c r="D4268" s="106">
        <f t="shared" ca="1" si="241"/>
        <v>0.78178057076531537</v>
      </c>
      <c r="E4268" s="106">
        <f t="shared" ca="1" si="242"/>
        <v>0</v>
      </c>
      <c r="F4268" s="21">
        <f t="shared" ca="1" si="243"/>
        <v>0</v>
      </c>
      <c r="H4268" s="21">
        <v>4253</v>
      </c>
      <c r="I4268" s="107">
        <v>0.66781965517405761</v>
      </c>
      <c r="J4268" s="108">
        <v>1.5855725412190602E-3</v>
      </c>
      <c r="K4268" s="108"/>
      <c r="L4268" s="108">
        <v>4.3400000000000001E-2</v>
      </c>
      <c r="O4268" s="105"/>
    </row>
    <row r="4269" spans="2:15" x14ac:dyDescent="0.2">
      <c r="B4269" s="1">
        <f t="shared" si="240"/>
        <v>4254</v>
      </c>
      <c r="C4269" s="106">
        <f ca="1"/>
        <v>0.53065237024444067</v>
      </c>
      <c r="D4269" s="106">
        <f t="shared" ca="1" si="241"/>
        <v>0.70021146998743755</v>
      </c>
      <c r="E4269" s="106">
        <f t="shared" ca="1" si="242"/>
        <v>0</v>
      </c>
      <c r="F4269" s="21">
        <f t="shared" ca="1" si="243"/>
        <v>0</v>
      </c>
      <c r="H4269" s="21">
        <v>4254</v>
      </c>
      <c r="I4269" s="107">
        <v>0.66779470992234291</v>
      </c>
      <c r="J4269" s="108">
        <v>1.4499636550989318E-3</v>
      </c>
      <c r="K4269" s="108"/>
      <c r="L4269" s="108">
        <v>4.3200000000000002E-2</v>
      </c>
      <c r="O4269" s="105"/>
    </row>
    <row r="4270" spans="2:15" x14ac:dyDescent="0.2">
      <c r="B4270" s="1">
        <f t="shared" si="240"/>
        <v>4255</v>
      </c>
      <c r="C4270" s="106">
        <f ca="1"/>
        <v>2.1733409750187991</v>
      </c>
      <c r="D4270" s="106">
        <f t="shared" ca="1" si="241"/>
        <v>0.82338127763056235</v>
      </c>
      <c r="E4270" s="106">
        <f t="shared" ca="1" si="242"/>
        <v>3.5181277630562335E-2</v>
      </c>
      <c r="F4270" s="21">
        <f t="shared" ca="1" si="243"/>
        <v>1</v>
      </c>
      <c r="H4270" s="21">
        <v>4255</v>
      </c>
      <c r="I4270" s="107">
        <v>0.66772172820287046</v>
      </c>
      <c r="J4270" s="108">
        <v>1.3617164461756587E-3</v>
      </c>
      <c r="K4270" s="108"/>
      <c r="L4270" s="108">
        <v>3.9E-2</v>
      </c>
      <c r="O4270" s="105"/>
    </row>
    <row r="4271" spans="2:15" x14ac:dyDescent="0.2">
      <c r="B4271" s="1">
        <f t="shared" si="240"/>
        <v>4256</v>
      </c>
      <c r="C4271" s="106">
        <f ca="1"/>
        <v>-0.43871236450595924</v>
      </c>
      <c r="D4271" s="106">
        <f t="shared" ca="1" si="241"/>
        <v>0.63635906192880198</v>
      </c>
      <c r="E4271" s="106">
        <f t="shared" ca="1" si="242"/>
        <v>0</v>
      </c>
      <c r="F4271" s="21">
        <f t="shared" ca="1" si="243"/>
        <v>0</v>
      </c>
      <c r="H4271" s="21">
        <v>4256</v>
      </c>
      <c r="I4271" s="107">
        <v>0.66790797781197531</v>
      </c>
      <c r="J4271" s="108">
        <v>1.5605577928531746E-3</v>
      </c>
      <c r="K4271" s="108"/>
      <c r="L4271" s="108">
        <v>4.58E-2</v>
      </c>
      <c r="O4271" s="105"/>
    </row>
    <row r="4272" spans="2:15" x14ac:dyDescent="0.2">
      <c r="B4272" s="1">
        <f t="shared" ref="B4272:B4335" si="244">B4271+1</f>
        <v>4257</v>
      </c>
      <c r="C4272" s="106">
        <f ca="1"/>
        <v>-2.4816285305824</v>
      </c>
      <c r="D4272" s="106">
        <f t="shared" ca="1" si="241"/>
        <v>0.5202175074955897</v>
      </c>
      <c r="E4272" s="106">
        <f t="shared" ca="1" si="242"/>
        <v>0</v>
      </c>
      <c r="F4272" s="21">
        <f t="shared" ca="1" si="243"/>
        <v>0</v>
      </c>
      <c r="H4272" s="21">
        <v>4257</v>
      </c>
      <c r="I4272" s="107">
        <v>0.66773686902087226</v>
      </c>
      <c r="J4272" s="108">
        <v>1.3095420968155412E-3</v>
      </c>
      <c r="K4272" s="108"/>
      <c r="L4272" s="108">
        <v>4.1200000000000001E-2</v>
      </c>
      <c r="O4272" s="105"/>
    </row>
    <row r="4273" spans="2:15" x14ac:dyDescent="0.2">
      <c r="B4273" s="1">
        <f t="shared" si="244"/>
        <v>4258</v>
      </c>
      <c r="C4273" s="106">
        <f ca="1"/>
        <v>0.26462713384606656</v>
      </c>
      <c r="D4273" s="106">
        <f t="shared" ca="1" si="241"/>
        <v>0.68207614924633875</v>
      </c>
      <c r="E4273" s="106">
        <f t="shared" ca="1" si="242"/>
        <v>0</v>
      </c>
      <c r="F4273" s="21">
        <f t="shared" ca="1" si="243"/>
        <v>0</v>
      </c>
      <c r="H4273" s="21">
        <v>4258</v>
      </c>
      <c r="I4273" s="107">
        <v>0.6677026548870052</v>
      </c>
      <c r="J4273" s="108">
        <v>1.2185678928815292E-3</v>
      </c>
      <c r="K4273" s="108"/>
      <c r="L4273" s="108">
        <v>3.7199999999999997E-2</v>
      </c>
      <c r="O4273" s="105"/>
    </row>
    <row r="4274" spans="2:15" x14ac:dyDescent="0.2">
      <c r="B4274" s="1">
        <f t="shared" si="244"/>
        <v>4259</v>
      </c>
      <c r="C4274" s="106">
        <f ca="1"/>
        <v>-0.23941542776789068</v>
      </c>
      <c r="D4274" s="106">
        <f t="shared" ca="1" si="241"/>
        <v>0.64899296758608349</v>
      </c>
      <c r="E4274" s="106">
        <f t="shared" ca="1" si="242"/>
        <v>0</v>
      </c>
      <c r="F4274" s="21">
        <f t="shared" ca="1" si="243"/>
        <v>0</v>
      </c>
      <c r="H4274" s="21">
        <v>4259</v>
      </c>
      <c r="I4274" s="107">
        <v>0.66767459805369167</v>
      </c>
      <c r="J4274" s="108">
        <v>1.2542770465398085E-3</v>
      </c>
      <c r="K4274" s="108"/>
      <c r="L4274" s="108">
        <v>4.24E-2</v>
      </c>
      <c r="O4274" s="105"/>
    </row>
    <row r="4275" spans="2:15" x14ac:dyDescent="0.2">
      <c r="B4275" s="1">
        <f t="shared" si="244"/>
        <v>4260</v>
      </c>
      <c r="C4275" s="106">
        <f ca="1"/>
        <v>-0.61716674705986319</v>
      </c>
      <c r="D4275" s="106">
        <f t="shared" ca="1" si="241"/>
        <v>0.62525526473596371</v>
      </c>
      <c r="E4275" s="106">
        <f t="shared" ca="1" si="242"/>
        <v>0</v>
      </c>
      <c r="F4275" s="21">
        <f t="shared" ca="1" si="243"/>
        <v>0</v>
      </c>
      <c r="H4275" s="21">
        <v>4260</v>
      </c>
      <c r="I4275" s="107">
        <v>0.66769150373181307</v>
      </c>
      <c r="J4275" s="108">
        <v>1.267566215759304E-3</v>
      </c>
      <c r="K4275" s="108"/>
      <c r="L4275" s="108">
        <v>3.78E-2</v>
      </c>
      <c r="O4275" s="105"/>
    </row>
    <row r="4276" spans="2:15" x14ac:dyDescent="0.2">
      <c r="B4276" s="1">
        <f t="shared" si="244"/>
        <v>4261</v>
      </c>
      <c r="C4276" s="106">
        <f ca="1"/>
        <v>1.2867649440407996</v>
      </c>
      <c r="D4276" s="106">
        <f t="shared" ca="1" si="241"/>
        <v>0.75443289617152687</v>
      </c>
      <c r="E4276" s="106">
        <f t="shared" ca="1" si="242"/>
        <v>0</v>
      </c>
      <c r="F4276" s="21">
        <f t="shared" ca="1" si="243"/>
        <v>0</v>
      </c>
      <c r="H4276" s="21">
        <v>4261</v>
      </c>
      <c r="I4276" s="107">
        <v>0.66766668755834879</v>
      </c>
      <c r="J4276" s="108">
        <v>1.2732920891722203E-3</v>
      </c>
      <c r="K4276" s="108"/>
      <c r="L4276" s="108">
        <v>0.04</v>
      </c>
      <c r="O4276" s="105"/>
    </row>
    <row r="4277" spans="2:15" x14ac:dyDescent="0.2">
      <c r="B4277" s="1">
        <f t="shared" si="244"/>
        <v>4262</v>
      </c>
      <c r="C4277" s="106">
        <f ca="1"/>
        <v>0.36533353190839191</v>
      </c>
      <c r="D4277" s="106">
        <f t="shared" ca="1" si="241"/>
        <v>0.68888553147161269</v>
      </c>
      <c r="E4277" s="106">
        <f t="shared" ca="1" si="242"/>
        <v>0</v>
      </c>
      <c r="F4277" s="21">
        <f t="shared" ca="1" si="243"/>
        <v>0</v>
      </c>
      <c r="H4277" s="21">
        <v>4262</v>
      </c>
      <c r="I4277" s="107">
        <v>0.66796171918457781</v>
      </c>
      <c r="J4277" s="108">
        <v>1.7261490470192637E-3</v>
      </c>
      <c r="K4277" s="108"/>
      <c r="L4277" s="108">
        <v>4.3999999999999997E-2</v>
      </c>
      <c r="O4277" s="105"/>
    </row>
    <row r="4278" spans="2:15" x14ac:dyDescent="0.2">
      <c r="B4278" s="1">
        <f t="shared" si="244"/>
        <v>4263</v>
      </c>
      <c r="C4278" s="106">
        <f ca="1"/>
        <v>-0.73876827932427802</v>
      </c>
      <c r="D4278" s="106">
        <f t="shared" ca="1" si="241"/>
        <v>0.61780016871470977</v>
      </c>
      <c r="E4278" s="106">
        <f t="shared" ca="1" si="242"/>
        <v>0</v>
      </c>
      <c r="F4278" s="21">
        <f t="shared" ca="1" si="243"/>
        <v>0</v>
      </c>
      <c r="H4278" s="21">
        <v>4263</v>
      </c>
      <c r="I4278" s="107">
        <v>0.66766021587005164</v>
      </c>
      <c r="J4278" s="108">
        <v>1.258412899417002E-3</v>
      </c>
      <c r="K4278" s="108"/>
      <c r="L4278" s="108">
        <v>4.0599999999999997E-2</v>
      </c>
      <c r="O4278" s="105"/>
    </row>
    <row r="4279" spans="2:15" x14ac:dyDescent="0.2">
      <c r="B4279" s="1">
        <f t="shared" si="244"/>
        <v>4264</v>
      </c>
      <c r="C4279" s="106">
        <f ca="1"/>
        <v>0.28310162447673304</v>
      </c>
      <c r="D4279" s="106">
        <f t="shared" ca="1" si="241"/>
        <v>0.68332026278213154</v>
      </c>
      <c r="E4279" s="106">
        <f t="shared" ca="1" si="242"/>
        <v>0</v>
      </c>
      <c r="F4279" s="21">
        <f t="shared" ca="1" si="243"/>
        <v>0</v>
      </c>
      <c r="H4279" s="21">
        <v>4264</v>
      </c>
      <c r="I4279" s="107">
        <v>0.66764629046506885</v>
      </c>
      <c r="J4279" s="108">
        <v>1.3428200652048946E-3</v>
      </c>
      <c r="K4279" s="108"/>
      <c r="L4279" s="108">
        <v>3.9800000000000002E-2</v>
      </c>
      <c r="O4279" s="105"/>
    </row>
    <row r="4280" spans="2:15" x14ac:dyDescent="0.2">
      <c r="B4280" s="1">
        <f t="shared" si="244"/>
        <v>4265</v>
      </c>
      <c r="C4280" s="106">
        <f ca="1"/>
        <v>-1.0002444046164658</v>
      </c>
      <c r="D4280" s="106">
        <f t="shared" ca="1" si="241"/>
        <v>0.60206938847795222</v>
      </c>
      <c r="E4280" s="106">
        <f t="shared" ca="1" si="242"/>
        <v>0</v>
      </c>
      <c r="F4280" s="21">
        <f t="shared" ca="1" si="243"/>
        <v>0</v>
      </c>
      <c r="H4280" s="21">
        <v>4265</v>
      </c>
      <c r="I4280" s="107">
        <v>0.66783085491471306</v>
      </c>
      <c r="J4280" s="108">
        <v>1.4419930580905672E-3</v>
      </c>
      <c r="K4280" s="108"/>
      <c r="L4280" s="108">
        <v>4.1399999999999999E-2</v>
      </c>
      <c r="O4280" s="105"/>
    </row>
    <row r="4281" spans="2:15" x14ac:dyDescent="0.2">
      <c r="B4281" s="1">
        <f t="shared" si="244"/>
        <v>4266</v>
      </c>
      <c r="C4281" s="106">
        <f ca="1"/>
        <v>1.8106018997781741</v>
      </c>
      <c r="D4281" s="106">
        <f t="shared" ca="1" si="241"/>
        <v>0.79444067049089195</v>
      </c>
      <c r="E4281" s="106">
        <f t="shared" ca="1" si="242"/>
        <v>6.2406704908919419E-3</v>
      </c>
      <c r="F4281" s="21">
        <f t="shared" ca="1" si="243"/>
        <v>1</v>
      </c>
      <c r="H4281" s="21">
        <v>4266</v>
      </c>
      <c r="I4281" s="107">
        <v>0.6676130859915832</v>
      </c>
      <c r="J4281" s="108">
        <v>1.2259372188928946E-3</v>
      </c>
      <c r="K4281" s="108"/>
      <c r="L4281" s="108">
        <v>3.6200000000000003E-2</v>
      </c>
      <c r="O4281" s="105"/>
    </row>
    <row r="4282" spans="2:15" x14ac:dyDescent="0.2">
      <c r="B4282" s="1">
        <f t="shared" si="244"/>
        <v>4267</v>
      </c>
      <c r="C4282" s="106">
        <f ca="1"/>
        <v>0.62016156378134912</v>
      </c>
      <c r="D4282" s="106">
        <f t="shared" ca="1" si="241"/>
        <v>0.70642122455290202</v>
      </c>
      <c r="E4282" s="106">
        <f t="shared" ca="1" si="242"/>
        <v>0</v>
      </c>
      <c r="F4282" s="21">
        <f t="shared" ca="1" si="243"/>
        <v>0</v>
      </c>
      <c r="H4282" s="21">
        <v>4267</v>
      </c>
      <c r="I4282" s="107">
        <v>0.6677597037509474</v>
      </c>
      <c r="J4282" s="108">
        <v>1.4506758650919859E-3</v>
      </c>
      <c r="K4282" s="108"/>
      <c r="L4282" s="108">
        <v>4.5199999999999997E-2</v>
      </c>
      <c r="O4282" s="105"/>
    </row>
    <row r="4283" spans="2:15" x14ac:dyDescent="0.2">
      <c r="B4283" s="1">
        <f t="shared" si="244"/>
        <v>4268</v>
      </c>
      <c r="C4283" s="106">
        <f ca="1"/>
        <v>0.22816865494806199</v>
      </c>
      <c r="D4283" s="106">
        <f t="shared" ca="1" si="241"/>
        <v>0.67962759565379083</v>
      </c>
      <c r="E4283" s="106">
        <f t="shared" ca="1" si="242"/>
        <v>0</v>
      </c>
      <c r="F4283" s="21">
        <f t="shared" ca="1" si="243"/>
        <v>0</v>
      </c>
      <c r="H4283" s="21">
        <v>4268</v>
      </c>
      <c r="I4283" s="107">
        <v>0.66765103640564816</v>
      </c>
      <c r="J4283" s="108">
        <v>1.2431360413949625E-3</v>
      </c>
      <c r="K4283" s="108"/>
      <c r="L4283" s="108">
        <v>3.9399999999999998E-2</v>
      </c>
      <c r="O4283" s="105"/>
    </row>
    <row r="4284" spans="2:15" x14ac:dyDescent="0.2">
      <c r="B4284" s="1">
        <f t="shared" si="244"/>
        <v>4269</v>
      </c>
      <c r="C4284" s="106">
        <f ca="1"/>
        <v>0.71666219259958719</v>
      </c>
      <c r="D4284" s="106">
        <f t="shared" ca="1" si="241"/>
        <v>0.71317771919274775</v>
      </c>
      <c r="E4284" s="106">
        <f t="shared" ca="1" si="242"/>
        <v>0</v>
      </c>
      <c r="F4284" s="21">
        <f t="shared" ca="1" si="243"/>
        <v>0</v>
      </c>
      <c r="H4284" s="21">
        <v>4269</v>
      </c>
      <c r="I4284" s="107">
        <v>0.66772097498490846</v>
      </c>
      <c r="J4284" s="108">
        <v>1.4180334090143798E-3</v>
      </c>
      <c r="K4284" s="108"/>
      <c r="L4284" s="108">
        <v>4.1799999999999997E-2</v>
      </c>
      <c r="O4284" s="105"/>
    </row>
    <row r="4285" spans="2:15" x14ac:dyDescent="0.2">
      <c r="B4285" s="1">
        <f t="shared" si="244"/>
        <v>4270</v>
      </c>
      <c r="C4285" s="106">
        <f ca="1"/>
        <v>1.4101296575226316</v>
      </c>
      <c r="D4285" s="106">
        <f t="shared" ca="1" si="241"/>
        <v>0.76366956953372478</v>
      </c>
      <c r="E4285" s="106">
        <f t="shared" ca="1" si="242"/>
        <v>0</v>
      </c>
      <c r="F4285" s="21">
        <f t="shared" ca="1" si="243"/>
        <v>0</v>
      </c>
      <c r="H4285" s="21">
        <v>4270</v>
      </c>
      <c r="I4285" s="107">
        <v>0.66771618171395208</v>
      </c>
      <c r="J4285" s="108">
        <v>1.3113018358045603E-3</v>
      </c>
      <c r="K4285" s="108"/>
      <c r="L4285" s="108">
        <v>4.2000000000000003E-2</v>
      </c>
      <c r="O4285" s="105"/>
    </row>
    <row r="4286" spans="2:15" x14ac:dyDescent="0.2">
      <c r="B4286" s="1">
        <f t="shared" si="244"/>
        <v>4271</v>
      </c>
      <c r="C4286" s="106">
        <f ca="1"/>
        <v>0.33804598301451066</v>
      </c>
      <c r="D4286" s="106">
        <f t="shared" ca="1" si="241"/>
        <v>0.68703376536332139</v>
      </c>
      <c r="E4286" s="106">
        <f t="shared" ca="1" si="242"/>
        <v>0</v>
      </c>
      <c r="F4286" s="21">
        <f t="shared" ca="1" si="243"/>
        <v>0</v>
      </c>
      <c r="H4286" s="21">
        <v>4271</v>
      </c>
      <c r="I4286" s="107">
        <v>0.6679987076526297</v>
      </c>
      <c r="J4286" s="108">
        <v>1.7745585727629563E-3</v>
      </c>
      <c r="K4286" s="108"/>
      <c r="L4286" s="108">
        <v>4.7E-2</v>
      </c>
      <c r="O4286" s="105"/>
    </row>
    <row r="4287" spans="2:15" x14ac:dyDescent="0.2">
      <c r="B4287" s="1">
        <f t="shared" si="244"/>
        <v>4272</v>
      </c>
      <c r="C4287" s="106">
        <f ca="1"/>
        <v>-1.2503615585460899</v>
      </c>
      <c r="D4287" s="106">
        <f t="shared" ca="1" si="241"/>
        <v>0.58739694288108601</v>
      </c>
      <c r="E4287" s="106">
        <f t="shared" ca="1" si="242"/>
        <v>0</v>
      </c>
      <c r="F4287" s="21">
        <f t="shared" ca="1" si="243"/>
        <v>0</v>
      </c>
      <c r="H4287" s="21">
        <v>4272</v>
      </c>
      <c r="I4287" s="107">
        <v>0.66773802492827294</v>
      </c>
      <c r="J4287" s="108">
        <v>1.3997717276016599E-3</v>
      </c>
      <c r="K4287" s="108"/>
      <c r="L4287" s="108">
        <v>4.2799999999999998E-2</v>
      </c>
      <c r="O4287" s="105"/>
    </row>
    <row r="4288" spans="2:15" x14ac:dyDescent="0.2">
      <c r="B4288" s="1">
        <f t="shared" si="244"/>
        <v>4273</v>
      </c>
      <c r="C4288" s="106">
        <f ca="1"/>
        <v>-0.22646239799745388</v>
      </c>
      <c r="D4288" s="106">
        <f t="shared" ca="1" si="241"/>
        <v>0.64982271849087458</v>
      </c>
      <c r="E4288" s="106">
        <f t="shared" ca="1" si="242"/>
        <v>0</v>
      </c>
      <c r="F4288" s="21">
        <f t="shared" ca="1" si="243"/>
        <v>0</v>
      </c>
      <c r="H4288" s="21">
        <v>4273</v>
      </c>
      <c r="I4288" s="107">
        <v>0.66760088189748745</v>
      </c>
      <c r="J4288" s="108">
        <v>1.2589294587269783E-3</v>
      </c>
      <c r="K4288" s="108"/>
      <c r="L4288" s="108">
        <v>3.7400000000000003E-2</v>
      </c>
      <c r="O4288" s="105"/>
    </row>
    <row r="4289" spans="2:15" x14ac:dyDescent="0.2">
      <c r="B4289" s="1">
        <f t="shared" si="244"/>
        <v>4274</v>
      </c>
      <c r="C4289" s="106">
        <f ca="1"/>
        <v>-0.8607723077117555</v>
      </c>
      <c r="D4289" s="106">
        <f t="shared" ca="1" si="241"/>
        <v>0.61040972649309677</v>
      </c>
      <c r="E4289" s="106">
        <f t="shared" ca="1" si="242"/>
        <v>0</v>
      </c>
      <c r="F4289" s="21">
        <f t="shared" ca="1" si="243"/>
        <v>0</v>
      </c>
      <c r="H4289" s="21">
        <v>4274</v>
      </c>
      <c r="I4289" s="107">
        <v>0.66791163896664607</v>
      </c>
      <c r="J4289" s="108">
        <v>1.4790993395013706E-3</v>
      </c>
      <c r="K4289" s="108"/>
      <c r="L4289" s="108">
        <v>4.6399999999999997E-2</v>
      </c>
      <c r="O4289" s="105"/>
    </row>
    <row r="4290" spans="2:15" x14ac:dyDescent="0.2">
      <c r="B4290" s="1">
        <f t="shared" si="244"/>
        <v>4275</v>
      </c>
      <c r="C4290" s="106">
        <f ca="1"/>
        <v>3.0684998740135367</v>
      </c>
      <c r="D4290" s="106">
        <f t="shared" ca="1" si="241"/>
        <v>0.89939204702781095</v>
      </c>
      <c r="E4290" s="106">
        <f t="shared" ca="1" si="242"/>
        <v>0.11119204702781094</v>
      </c>
      <c r="F4290" s="21">
        <f t="shared" ca="1" si="243"/>
        <v>1</v>
      </c>
      <c r="H4290" s="21">
        <v>4275</v>
      </c>
      <c r="I4290" s="107">
        <v>0.66777907519968926</v>
      </c>
      <c r="J4290" s="108">
        <v>1.2038129519661642E-3</v>
      </c>
      <c r="K4290" s="108"/>
      <c r="L4290" s="108">
        <v>3.78E-2</v>
      </c>
      <c r="O4290" s="105"/>
    </row>
    <row r="4291" spans="2:15" x14ac:dyDescent="0.2">
      <c r="B4291" s="1">
        <f t="shared" si="244"/>
        <v>4276</v>
      </c>
      <c r="C4291" s="106">
        <f ca="1"/>
        <v>0.55217469339603742</v>
      </c>
      <c r="D4291" s="106">
        <f t="shared" ca="1" si="241"/>
        <v>0.70169959135350835</v>
      </c>
      <c r="E4291" s="106">
        <f t="shared" ca="1" si="242"/>
        <v>0</v>
      </c>
      <c r="F4291" s="21">
        <f t="shared" ca="1" si="243"/>
        <v>0</v>
      </c>
      <c r="H4291" s="21">
        <v>4276</v>
      </c>
      <c r="I4291" s="107">
        <v>0.66773866660467585</v>
      </c>
      <c r="J4291" s="108">
        <v>1.2698989776612683E-3</v>
      </c>
      <c r="K4291" s="108"/>
      <c r="L4291" s="108">
        <v>4.1599999999999998E-2</v>
      </c>
      <c r="O4291" s="105"/>
    </row>
    <row r="4292" spans="2:15" x14ac:dyDescent="0.2">
      <c r="B4292" s="1">
        <f t="shared" si="244"/>
        <v>4277</v>
      </c>
      <c r="C4292" s="106">
        <f ca="1"/>
        <v>0.68727682177064442</v>
      </c>
      <c r="D4292" s="106">
        <f t="shared" ca="1" si="241"/>
        <v>0.71111348689239895</v>
      </c>
      <c r="E4292" s="106">
        <f t="shared" ca="1" si="242"/>
        <v>0</v>
      </c>
      <c r="F4292" s="21">
        <f t="shared" ca="1" si="243"/>
        <v>0</v>
      </c>
      <c r="H4292" s="21">
        <v>4277</v>
      </c>
      <c r="I4292" s="107">
        <v>0.66771807986684995</v>
      </c>
      <c r="J4292" s="108">
        <v>1.4676471276746305E-3</v>
      </c>
      <c r="K4292" s="108"/>
      <c r="L4292" s="108">
        <v>4.2599999999999999E-2</v>
      </c>
      <c r="O4292" s="105"/>
    </row>
    <row r="4293" spans="2:15" x14ac:dyDescent="0.2">
      <c r="B4293" s="1">
        <f t="shared" si="244"/>
        <v>4278</v>
      </c>
      <c r="C4293" s="106">
        <f ca="1"/>
        <v>1.0936591154864257</v>
      </c>
      <c r="D4293" s="106">
        <f t="shared" ca="1" si="241"/>
        <v>0.74019829844232454</v>
      </c>
      <c r="E4293" s="106">
        <f t="shared" ca="1" si="242"/>
        <v>0</v>
      </c>
      <c r="F4293" s="21">
        <f t="shared" ca="1" si="243"/>
        <v>0</v>
      </c>
      <c r="H4293" s="21">
        <v>4278</v>
      </c>
      <c r="I4293" s="107">
        <v>0.66776609295612099</v>
      </c>
      <c r="J4293" s="108">
        <v>1.3329517422989681E-3</v>
      </c>
      <c r="K4293" s="108"/>
      <c r="L4293" s="108">
        <v>0.04</v>
      </c>
      <c r="O4293" s="105"/>
    </row>
    <row r="4294" spans="2:15" x14ac:dyDescent="0.2">
      <c r="B4294" s="1">
        <f t="shared" si="244"/>
        <v>4279</v>
      </c>
      <c r="C4294" s="106">
        <f ca="1"/>
        <v>-0.42188187454748738</v>
      </c>
      <c r="D4294" s="106">
        <f t="shared" ca="1" si="241"/>
        <v>0.6374164111420435</v>
      </c>
      <c r="E4294" s="106">
        <f t="shared" ca="1" si="242"/>
        <v>0</v>
      </c>
      <c r="F4294" s="21">
        <f t="shared" ca="1" si="243"/>
        <v>0</v>
      </c>
      <c r="H4294" s="21">
        <v>4279</v>
      </c>
      <c r="I4294" s="107">
        <v>0.66777693809148087</v>
      </c>
      <c r="J4294" s="108">
        <v>1.4125631719851676E-3</v>
      </c>
      <c r="K4294" s="108"/>
      <c r="L4294" s="108">
        <v>4.1200000000000001E-2</v>
      </c>
      <c r="O4294" s="105"/>
    </row>
    <row r="4295" spans="2:15" x14ac:dyDescent="0.2">
      <c r="B4295" s="1">
        <f t="shared" si="244"/>
        <v>4280</v>
      </c>
      <c r="C4295" s="106">
        <f ca="1"/>
        <v>1.8123149631758495</v>
      </c>
      <c r="D4295" s="106">
        <f t="shared" ca="1" si="241"/>
        <v>0.7945749255003578</v>
      </c>
      <c r="E4295" s="106">
        <f t="shared" ca="1" si="242"/>
        <v>6.3749255003577865E-3</v>
      </c>
      <c r="F4295" s="21">
        <f t="shared" ca="1" si="243"/>
        <v>1</v>
      </c>
      <c r="H4295" s="21">
        <v>4280</v>
      </c>
      <c r="I4295" s="107">
        <v>0.66766915296053364</v>
      </c>
      <c r="J4295" s="108">
        <v>1.2189068896371028E-3</v>
      </c>
      <c r="K4295" s="108"/>
      <c r="L4295" s="108">
        <v>3.8199999999999998E-2</v>
      </c>
      <c r="O4295" s="105"/>
    </row>
    <row r="4296" spans="2:15" x14ac:dyDescent="0.2">
      <c r="B4296" s="1">
        <f t="shared" si="244"/>
        <v>4281</v>
      </c>
      <c r="C4296" s="106">
        <f ca="1"/>
        <v>-7.8676062601389637E-2</v>
      </c>
      <c r="D4296" s="106">
        <f t="shared" ca="1" si="241"/>
        <v>0.65936511491864536</v>
      </c>
      <c r="E4296" s="106">
        <f t="shared" ca="1" si="242"/>
        <v>0</v>
      </c>
      <c r="F4296" s="21">
        <f t="shared" ca="1" si="243"/>
        <v>0</v>
      </c>
      <c r="H4296" s="21">
        <v>4281</v>
      </c>
      <c r="I4296" s="107">
        <v>0.6677295693112022</v>
      </c>
      <c r="J4296" s="108">
        <v>1.2900700324878179E-3</v>
      </c>
      <c r="K4296" s="108"/>
      <c r="L4296" s="108">
        <v>4.1399999999999999E-2</v>
      </c>
      <c r="O4296" s="105"/>
    </row>
    <row r="4297" spans="2:15" x14ac:dyDescent="0.2">
      <c r="B4297" s="1">
        <f t="shared" si="244"/>
        <v>4282</v>
      </c>
      <c r="C4297" s="106">
        <f ca="1"/>
        <v>-0.54662947964530617</v>
      </c>
      <c r="D4297" s="106">
        <f t="shared" ca="1" si="241"/>
        <v>0.62962089198707261</v>
      </c>
      <c r="E4297" s="106">
        <f t="shared" ca="1" si="242"/>
        <v>0</v>
      </c>
      <c r="F4297" s="21">
        <f t="shared" ca="1" si="243"/>
        <v>0</v>
      </c>
      <c r="H4297" s="21">
        <v>4282</v>
      </c>
      <c r="I4297" s="107">
        <v>0.66777117814370424</v>
      </c>
      <c r="J4297" s="108">
        <v>1.3805450239355748E-3</v>
      </c>
      <c r="K4297" s="108"/>
      <c r="L4297" s="108">
        <v>4.1399999999999999E-2</v>
      </c>
      <c r="O4297" s="105"/>
    </row>
    <row r="4298" spans="2:15" x14ac:dyDescent="0.2">
      <c r="B4298" s="1">
        <f t="shared" si="244"/>
        <v>4283</v>
      </c>
      <c r="C4298" s="106">
        <f ca="1"/>
        <v>-5.3235154996247806E-2</v>
      </c>
      <c r="D4298" s="106">
        <f t="shared" ca="1" si="241"/>
        <v>0.66102188604764023</v>
      </c>
      <c r="E4298" s="106">
        <f t="shared" ca="1" si="242"/>
        <v>0</v>
      </c>
      <c r="F4298" s="21">
        <f t="shared" ca="1" si="243"/>
        <v>0</v>
      </c>
      <c r="H4298" s="21">
        <v>4283</v>
      </c>
      <c r="I4298" s="107">
        <v>0.6678530793236791</v>
      </c>
      <c r="J4298" s="108">
        <v>1.6257700289173378E-3</v>
      </c>
      <c r="K4298" s="108"/>
      <c r="L4298" s="108">
        <v>4.48E-2</v>
      </c>
      <c r="O4298" s="105"/>
    </row>
    <row r="4299" spans="2:15" x14ac:dyDescent="0.2">
      <c r="B4299" s="1">
        <f t="shared" si="244"/>
        <v>4284</v>
      </c>
      <c r="C4299" s="106">
        <f ca="1"/>
        <v>-0.98661570157572132</v>
      </c>
      <c r="D4299" s="106">
        <f t="shared" ca="1" si="241"/>
        <v>0.60287932676874401</v>
      </c>
      <c r="E4299" s="106">
        <f t="shared" ca="1" si="242"/>
        <v>0</v>
      </c>
      <c r="F4299" s="21">
        <f t="shared" ca="1" si="243"/>
        <v>0</v>
      </c>
      <c r="H4299" s="21">
        <v>4284</v>
      </c>
      <c r="I4299" s="107">
        <v>0.66769597428245286</v>
      </c>
      <c r="J4299" s="108">
        <v>1.3686079764999367E-3</v>
      </c>
      <c r="K4299" s="108"/>
      <c r="L4299" s="108">
        <v>4.1399999999999999E-2</v>
      </c>
      <c r="O4299" s="105"/>
    </row>
    <row r="4300" spans="2:15" x14ac:dyDescent="0.2">
      <c r="B4300" s="1">
        <f t="shared" si="244"/>
        <v>4285</v>
      </c>
      <c r="C4300" s="106">
        <f ca="1"/>
        <v>-0.59155893323868891</v>
      </c>
      <c r="D4300" s="106">
        <f t="shared" ca="1" si="241"/>
        <v>0.62683664891104496</v>
      </c>
      <c r="E4300" s="106">
        <f t="shared" ca="1" si="242"/>
        <v>0</v>
      </c>
      <c r="F4300" s="21">
        <f t="shared" ca="1" si="243"/>
        <v>0</v>
      </c>
      <c r="H4300" s="21">
        <v>4285</v>
      </c>
      <c r="I4300" s="107">
        <v>0.66759936992407098</v>
      </c>
      <c r="J4300" s="108">
        <v>1.2154997453291882E-3</v>
      </c>
      <c r="K4300" s="108"/>
      <c r="L4300" s="108">
        <v>3.9399999999999998E-2</v>
      </c>
      <c r="O4300" s="105"/>
    </row>
    <row r="4301" spans="2:15" x14ac:dyDescent="0.2">
      <c r="B4301" s="1">
        <f t="shared" si="244"/>
        <v>4286</v>
      </c>
      <c r="C4301" s="106">
        <f ca="1"/>
        <v>0.16228561601639024</v>
      </c>
      <c r="D4301" s="106">
        <f t="shared" ca="1" si="241"/>
        <v>0.67522515917387504</v>
      </c>
      <c r="E4301" s="106">
        <f t="shared" ca="1" si="242"/>
        <v>0</v>
      </c>
      <c r="F4301" s="21">
        <f t="shared" ca="1" si="243"/>
        <v>0</v>
      </c>
      <c r="H4301" s="21">
        <v>4286</v>
      </c>
      <c r="I4301" s="107">
        <v>0.66779084322207427</v>
      </c>
      <c r="J4301" s="108">
        <v>1.4105742878256365E-3</v>
      </c>
      <c r="K4301" s="108"/>
      <c r="L4301" s="108">
        <v>4.36E-2</v>
      </c>
      <c r="O4301" s="105"/>
    </row>
    <row r="4302" spans="2:15" x14ac:dyDescent="0.2">
      <c r="B4302" s="1">
        <f t="shared" si="244"/>
        <v>4287</v>
      </c>
      <c r="C4302" s="106">
        <f ca="1"/>
        <v>-0.13266358968405048</v>
      </c>
      <c r="D4302" s="106">
        <f t="shared" ca="1" si="241"/>
        <v>0.65586306430274499</v>
      </c>
      <c r="E4302" s="106">
        <f t="shared" ca="1" si="242"/>
        <v>0</v>
      </c>
      <c r="F4302" s="21">
        <f t="shared" ca="1" si="243"/>
        <v>0</v>
      </c>
      <c r="H4302" s="21">
        <v>4287</v>
      </c>
      <c r="I4302" s="107">
        <v>0.66777451569609581</v>
      </c>
      <c r="J4302" s="108">
        <v>1.4463097730808743E-3</v>
      </c>
      <c r="K4302" s="108"/>
      <c r="L4302" s="108">
        <v>4.5400000000000003E-2</v>
      </c>
      <c r="O4302" s="105"/>
    </row>
    <row r="4303" spans="2:15" x14ac:dyDescent="0.2">
      <c r="B4303" s="1">
        <f t="shared" si="244"/>
        <v>4288</v>
      </c>
      <c r="C4303" s="106">
        <f ca="1"/>
        <v>-0.60483100897659925</v>
      </c>
      <c r="D4303" s="106">
        <f t="shared" ca="1" si="241"/>
        <v>0.6260165468951242</v>
      </c>
      <c r="E4303" s="106">
        <f t="shared" ca="1" si="242"/>
        <v>0</v>
      </c>
      <c r="F4303" s="21">
        <f t="shared" ca="1" si="243"/>
        <v>0</v>
      </c>
      <c r="H4303" s="21">
        <v>4288</v>
      </c>
      <c r="I4303" s="107">
        <v>0.66754604008003071</v>
      </c>
      <c r="J4303" s="108">
        <v>1.0998749807085797E-3</v>
      </c>
      <c r="K4303" s="108"/>
      <c r="L4303" s="108">
        <v>3.6600000000000001E-2</v>
      </c>
      <c r="O4303" s="105"/>
    </row>
    <row r="4304" spans="2:15" x14ac:dyDescent="0.2">
      <c r="B4304" s="1">
        <f t="shared" si="244"/>
        <v>4289</v>
      </c>
      <c r="C4304" s="106">
        <f ca="1"/>
        <v>1.25810786885084</v>
      </c>
      <c r="D4304" s="106">
        <f t="shared" ref="D4304:D4367" ca="1" si="245">S0*EXP((μ-0.5*σ*σ)*T+σ*SQRT(T)*$C4304)</f>
        <v>0.75230329783068461</v>
      </c>
      <c r="E4304" s="106">
        <f t="shared" ref="E4304:E4367" ca="1" si="246">MAX(0,CP*(D4304-K))</f>
        <v>0</v>
      </c>
      <c r="F4304" s="21">
        <f t="shared" ref="F4304:F4367" ca="1" si="247">(CP*(D4304-K)&gt;0)*1</f>
        <v>0</v>
      </c>
      <c r="H4304" s="21">
        <v>4289</v>
      </c>
      <c r="I4304" s="107">
        <v>0.66782022463408142</v>
      </c>
      <c r="J4304" s="108">
        <v>1.4182293842703246E-3</v>
      </c>
      <c r="K4304" s="108"/>
      <c r="L4304" s="108">
        <v>4.1599999999999998E-2</v>
      </c>
      <c r="O4304" s="105"/>
    </row>
    <row r="4305" spans="2:15" x14ac:dyDescent="0.2">
      <c r="B4305" s="1">
        <f t="shared" si="244"/>
        <v>4290</v>
      </c>
      <c r="C4305" s="106">
        <f ca="1"/>
        <v>-8.5346699008651369E-2</v>
      </c>
      <c r="D4305" s="106">
        <f t="shared" ca="1" si="245"/>
        <v>0.65893139510636767</v>
      </c>
      <c r="E4305" s="106">
        <f t="shared" ca="1" si="246"/>
        <v>0</v>
      </c>
      <c r="F4305" s="21">
        <f t="shared" ca="1" si="247"/>
        <v>0</v>
      </c>
      <c r="H4305" s="21">
        <v>4290</v>
      </c>
      <c r="I4305" s="107">
        <v>0.66785002587086129</v>
      </c>
      <c r="J4305" s="108">
        <v>1.6509658480576902E-3</v>
      </c>
      <c r="K4305" s="108"/>
      <c r="L4305" s="108">
        <v>4.6800000000000001E-2</v>
      </c>
      <c r="O4305" s="105"/>
    </row>
    <row r="4306" spans="2:15" x14ac:dyDescent="0.2">
      <c r="B4306" s="1">
        <f t="shared" si="244"/>
        <v>4291</v>
      </c>
      <c r="C4306" s="106">
        <f ca="1"/>
        <v>0.17033241991723919</v>
      </c>
      <c r="D4306" s="106">
        <f t="shared" ca="1" si="245"/>
        <v>0.67576133015574558</v>
      </c>
      <c r="E4306" s="106">
        <f t="shared" ca="1" si="246"/>
        <v>0</v>
      </c>
      <c r="F4306" s="21">
        <f t="shared" ca="1" si="247"/>
        <v>0</v>
      </c>
      <c r="H4306" s="21">
        <v>4291</v>
      </c>
      <c r="I4306" s="107">
        <v>0.66788183247607924</v>
      </c>
      <c r="J4306" s="108">
        <v>1.5861693888550971E-3</v>
      </c>
      <c r="K4306" s="108"/>
      <c r="L4306" s="108">
        <v>4.4600000000000001E-2</v>
      </c>
      <c r="O4306" s="105"/>
    </row>
    <row r="4307" spans="2:15" x14ac:dyDescent="0.2">
      <c r="B4307" s="1">
        <f t="shared" si="244"/>
        <v>4292</v>
      </c>
      <c r="C4307" s="106">
        <f ca="1"/>
        <v>-7.128864531736763E-2</v>
      </c>
      <c r="D4307" s="106">
        <f t="shared" ca="1" si="245"/>
        <v>0.65984577244138032</v>
      </c>
      <c r="E4307" s="106">
        <f t="shared" ca="1" si="246"/>
        <v>0</v>
      </c>
      <c r="F4307" s="21">
        <f t="shared" ca="1" si="247"/>
        <v>0</v>
      </c>
      <c r="H4307" s="21">
        <v>4292</v>
      </c>
      <c r="I4307" s="107">
        <v>0.66764148684855318</v>
      </c>
      <c r="J4307" s="108">
        <v>1.1614374283382117E-3</v>
      </c>
      <c r="K4307" s="108"/>
      <c r="L4307" s="108">
        <v>3.6400000000000002E-2</v>
      </c>
      <c r="O4307" s="105"/>
    </row>
    <row r="4308" spans="2:15" x14ac:dyDescent="0.2">
      <c r="B4308" s="1">
        <f t="shared" si="244"/>
        <v>4293</v>
      </c>
      <c r="C4308" s="106">
        <f ca="1"/>
        <v>1.0570457075427462</v>
      </c>
      <c r="D4308" s="106">
        <f t="shared" ca="1" si="245"/>
        <v>0.73752982352038143</v>
      </c>
      <c r="E4308" s="106">
        <f t="shared" ca="1" si="246"/>
        <v>0</v>
      </c>
      <c r="F4308" s="21">
        <f t="shared" ca="1" si="247"/>
        <v>0</v>
      </c>
      <c r="H4308" s="21">
        <v>4293</v>
      </c>
      <c r="I4308" s="107">
        <v>0.66769388679740194</v>
      </c>
      <c r="J4308" s="108">
        <v>1.1985109367868441E-3</v>
      </c>
      <c r="K4308" s="108"/>
      <c r="L4308" s="108">
        <v>3.9399999999999998E-2</v>
      </c>
      <c r="O4308" s="105"/>
    </row>
    <row r="4309" spans="2:15" x14ac:dyDescent="0.2">
      <c r="B4309" s="1">
        <f t="shared" si="244"/>
        <v>4294</v>
      </c>
      <c r="C4309" s="106">
        <f ca="1"/>
        <v>0.96851694029551072</v>
      </c>
      <c r="D4309" s="106">
        <f t="shared" ca="1" si="245"/>
        <v>0.73111731396831281</v>
      </c>
      <c r="E4309" s="106">
        <f t="shared" ca="1" si="246"/>
        <v>0</v>
      </c>
      <c r="F4309" s="21">
        <f t="shared" ca="1" si="247"/>
        <v>0</v>
      </c>
      <c r="H4309" s="21">
        <v>4294</v>
      </c>
      <c r="I4309" s="107">
        <v>0.6677495489262697</v>
      </c>
      <c r="J4309" s="108">
        <v>1.3566326672913118E-3</v>
      </c>
      <c r="K4309" s="108"/>
      <c r="L4309" s="108">
        <v>4.3400000000000001E-2</v>
      </c>
      <c r="O4309" s="105"/>
    </row>
    <row r="4310" spans="2:15" x14ac:dyDescent="0.2">
      <c r="B4310" s="1">
        <f t="shared" si="244"/>
        <v>4295</v>
      </c>
      <c r="C4310" s="106">
        <f ca="1"/>
        <v>-1.0713049514729169</v>
      </c>
      <c r="D4310" s="106">
        <f t="shared" ca="1" si="245"/>
        <v>0.5978639354491081</v>
      </c>
      <c r="E4310" s="106">
        <f t="shared" ca="1" si="246"/>
        <v>0</v>
      </c>
      <c r="F4310" s="21">
        <f t="shared" ca="1" si="247"/>
        <v>0</v>
      </c>
      <c r="H4310" s="21">
        <v>4295</v>
      </c>
      <c r="I4310" s="107">
        <v>0.66768623001864813</v>
      </c>
      <c r="J4310" s="108">
        <v>1.382436395084124E-3</v>
      </c>
      <c r="K4310" s="108"/>
      <c r="L4310" s="108">
        <v>3.9399999999999998E-2</v>
      </c>
      <c r="O4310" s="105"/>
    </row>
    <row r="4311" spans="2:15" x14ac:dyDescent="0.2">
      <c r="B4311" s="1">
        <f t="shared" si="244"/>
        <v>4296</v>
      </c>
      <c r="C4311" s="106">
        <f ca="1"/>
        <v>-1.68194289036438</v>
      </c>
      <c r="D4311" s="106">
        <f t="shared" ca="1" si="245"/>
        <v>0.56291523624411532</v>
      </c>
      <c r="E4311" s="106">
        <f t="shared" ca="1" si="246"/>
        <v>0</v>
      </c>
      <c r="F4311" s="21">
        <f t="shared" ca="1" si="247"/>
        <v>0</v>
      </c>
      <c r="H4311" s="21">
        <v>4296</v>
      </c>
      <c r="I4311" s="107">
        <v>0.66766606329833356</v>
      </c>
      <c r="J4311" s="108">
        <v>1.2596959217310293E-3</v>
      </c>
      <c r="K4311" s="108"/>
      <c r="L4311" s="108">
        <v>4.0800000000000003E-2</v>
      </c>
      <c r="O4311" s="105"/>
    </row>
    <row r="4312" spans="2:15" x14ac:dyDescent="0.2">
      <c r="B4312" s="1">
        <f t="shared" si="244"/>
        <v>4297</v>
      </c>
      <c r="C4312" s="106">
        <f ca="1"/>
        <v>-6.7788172841443825E-2</v>
      </c>
      <c r="D4312" s="106">
        <f t="shared" ca="1" si="245"/>
        <v>0.66007365075013291</v>
      </c>
      <c r="E4312" s="106">
        <f t="shared" ca="1" si="246"/>
        <v>0</v>
      </c>
      <c r="F4312" s="21">
        <f t="shared" ca="1" si="247"/>
        <v>0</v>
      </c>
      <c r="H4312" s="21">
        <v>4297</v>
      </c>
      <c r="I4312" s="107">
        <v>0.6678300221571849</v>
      </c>
      <c r="J4312" s="108">
        <v>1.4372062161577071E-3</v>
      </c>
      <c r="K4312" s="108"/>
      <c r="L4312" s="108">
        <v>4.2999999999999997E-2</v>
      </c>
      <c r="O4312" s="105"/>
    </row>
    <row r="4313" spans="2:15" x14ac:dyDescent="0.2">
      <c r="B4313" s="1">
        <f t="shared" si="244"/>
        <v>4298</v>
      </c>
      <c r="C4313" s="106">
        <f ca="1"/>
        <v>-1.9737501174829128</v>
      </c>
      <c r="D4313" s="106">
        <f t="shared" ca="1" si="245"/>
        <v>0.5469431178781029</v>
      </c>
      <c r="E4313" s="106">
        <f t="shared" ca="1" si="246"/>
        <v>0</v>
      </c>
      <c r="F4313" s="21">
        <f t="shared" ca="1" si="247"/>
        <v>0</v>
      </c>
      <c r="H4313" s="21">
        <v>4298</v>
      </c>
      <c r="I4313" s="107">
        <v>0.66787853775264072</v>
      </c>
      <c r="J4313" s="108">
        <v>1.5205535629490689E-3</v>
      </c>
      <c r="K4313" s="108"/>
      <c r="L4313" s="108">
        <v>4.4200000000000003E-2</v>
      </c>
      <c r="O4313" s="105"/>
    </row>
    <row r="4314" spans="2:15" x14ac:dyDescent="0.2">
      <c r="B4314" s="1">
        <f t="shared" si="244"/>
        <v>4299</v>
      </c>
      <c r="C4314" s="106">
        <f ca="1"/>
        <v>-0.36377555022279789</v>
      </c>
      <c r="D4314" s="106">
        <f t="shared" ca="1" si="245"/>
        <v>0.64108037144176977</v>
      </c>
      <c r="E4314" s="106">
        <f t="shared" ca="1" si="246"/>
        <v>0</v>
      </c>
      <c r="F4314" s="21">
        <f t="shared" ca="1" si="247"/>
        <v>0</v>
      </c>
      <c r="H4314" s="21">
        <v>4299</v>
      </c>
      <c r="I4314" s="107">
        <v>0.66786903693016342</v>
      </c>
      <c r="J4314" s="108">
        <v>1.4802919278237975E-3</v>
      </c>
      <c r="K4314" s="108"/>
      <c r="L4314" s="108">
        <v>4.5199999999999997E-2</v>
      </c>
      <c r="O4314" s="105"/>
    </row>
    <row r="4315" spans="2:15" x14ac:dyDescent="0.2">
      <c r="B4315" s="1">
        <f t="shared" si="244"/>
        <v>4300</v>
      </c>
      <c r="C4315" s="106">
        <f ca="1"/>
        <v>0.22864342519764341</v>
      </c>
      <c r="D4315" s="106">
        <f t="shared" ca="1" si="245"/>
        <v>0.67965942469612561</v>
      </c>
      <c r="E4315" s="106">
        <f t="shared" ca="1" si="246"/>
        <v>0</v>
      </c>
      <c r="F4315" s="21">
        <f t="shared" ca="1" si="247"/>
        <v>0</v>
      </c>
      <c r="H4315" s="21">
        <v>4300</v>
      </c>
      <c r="I4315" s="107">
        <v>0.6677913309883422</v>
      </c>
      <c r="J4315" s="108">
        <v>1.4559101907303696E-3</v>
      </c>
      <c r="K4315" s="108"/>
      <c r="L4315" s="108">
        <v>4.4600000000000001E-2</v>
      </c>
      <c r="O4315" s="105"/>
    </row>
    <row r="4316" spans="2:15" x14ac:dyDescent="0.2">
      <c r="B4316" s="1">
        <f t="shared" si="244"/>
        <v>4301</v>
      </c>
      <c r="C4316" s="106">
        <f ca="1"/>
        <v>0.97712410027494001</v>
      </c>
      <c r="D4316" s="106">
        <f t="shared" ca="1" si="245"/>
        <v>0.73173831199533457</v>
      </c>
      <c r="E4316" s="106">
        <f t="shared" ca="1" si="246"/>
        <v>0</v>
      </c>
      <c r="F4316" s="21">
        <f t="shared" ca="1" si="247"/>
        <v>0</v>
      </c>
      <c r="H4316" s="21">
        <v>4301</v>
      </c>
      <c r="I4316" s="107">
        <v>0.66779764369839889</v>
      </c>
      <c r="J4316" s="108">
        <v>1.4296122903399023E-3</v>
      </c>
      <c r="K4316" s="108"/>
      <c r="L4316" s="108">
        <v>4.5600000000000002E-2</v>
      </c>
      <c r="O4316" s="105"/>
    </row>
    <row r="4317" spans="2:15" x14ac:dyDescent="0.2">
      <c r="B4317" s="1">
        <f t="shared" si="244"/>
        <v>4302</v>
      </c>
      <c r="C4317" s="106">
        <f ca="1"/>
        <v>-1.048020296658968</v>
      </c>
      <c r="D4317" s="106">
        <f t="shared" ca="1" si="245"/>
        <v>0.59923870500721621</v>
      </c>
      <c r="E4317" s="106">
        <f t="shared" ca="1" si="246"/>
        <v>0</v>
      </c>
      <c r="F4317" s="21">
        <f t="shared" ca="1" si="247"/>
        <v>0</v>
      </c>
      <c r="H4317" s="21">
        <v>4302</v>
      </c>
      <c r="I4317" s="107">
        <v>0.6678402202830952</v>
      </c>
      <c r="J4317" s="108">
        <v>1.4258823887288185E-3</v>
      </c>
      <c r="K4317" s="108"/>
      <c r="L4317" s="108">
        <v>4.48E-2</v>
      </c>
      <c r="O4317" s="105"/>
    </row>
    <row r="4318" spans="2:15" x14ac:dyDescent="0.2">
      <c r="B4318" s="1">
        <f t="shared" si="244"/>
        <v>4303</v>
      </c>
      <c r="C4318" s="106">
        <f ca="1"/>
        <v>0.49342552298200598</v>
      </c>
      <c r="D4318" s="106">
        <f t="shared" ca="1" si="245"/>
        <v>0.69764493472788991</v>
      </c>
      <c r="E4318" s="106">
        <f t="shared" ca="1" si="246"/>
        <v>0</v>
      </c>
      <c r="F4318" s="21">
        <f t="shared" ca="1" si="247"/>
        <v>0</v>
      </c>
      <c r="H4318" s="21">
        <v>4303</v>
      </c>
      <c r="I4318" s="107">
        <v>0.66779272346476415</v>
      </c>
      <c r="J4318" s="108">
        <v>1.3986940131586504E-3</v>
      </c>
      <c r="K4318" s="108"/>
      <c r="L4318" s="108">
        <v>4.24E-2</v>
      </c>
      <c r="O4318" s="105"/>
    </row>
    <row r="4319" spans="2:15" x14ac:dyDescent="0.2">
      <c r="B4319" s="1">
        <f t="shared" si="244"/>
        <v>4304</v>
      </c>
      <c r="C4319" s="106">
        <f ca="1"/>
        <v>-2.3859327714539753</v>
      </c>
      <c r="D4319" s="106">
        <f t="shared" ca="1" si="245"/>
        <v>0.52515138022544705</v>
      </c>
      <c r="E4319" s="106">
        <f t="shared" ca="1" si="246"/>
        <v>0</v>
      </c>
      <c r="F4319" s="21">
        <f t="shared" ca="1" si="247"/>
        <v>0</v>
      </c>
      <c r="H4319" s="21">
        <v>4304</v>
      </c>
      <c r="I4319" s="107">
        <v>0.66764794666759508</v>
      </c>
      <c r="J4319" s="108">
        <v>1.2429942080909118E-3</v>
      </c>
      <c r="K4319" s="108"/>
      <c r="L4319" s="108">
        <v>3.9399999999999998E-2</v>
      </c>
      <c r="O4319" s="105"/>
    </row>
    <row r="4320" spans="2:15" x14ac:dyDescent="0.2">
      <c r="B4320" s="1">
        <f t="shared" si="244"/>
        <v>4305</v>
      </c>
      <c r="C4320" s="106">
        <f ca="1"/>
        <v>0.41114597855308693</v>
      </c>
      <c r="D4320" s="106">
        <f t="shared" ca="1" si="245"/>
        <v>0.69200565011366333</v>
      </c>
      <c r="E4320" s="106">
        <f t="shared" ca="1" si="246"/>
        <v>0</v>
      </c>
      <c r="F4320" s="21">
        <f t="shared" ca="1" si="247"/>
        <v>0</v>
      </c>
      <c r="H4320" s="21">
        <v>4305</v>
      </c>
      <c r="I4320" s="107">
        <v>0.66781863908978412</v>
      </c>
      <c r="J4320" s="108">
        <v>1.5227785423774236E-3</v>
      </c>
      <c r="K4320" s="108"/>
      <c r="L4320" s="108">
        <v>4.2599999999999999E-2</v>
      </c>
      <c r="O4320" s="105"/>
    </row>
    <row r="4321" spans="2:15" x14ac:dyDescent="0.2">
      <c r="B4321" s="1">
        <f t="shared" si="244"/>
        <v>4306</v>
      </c>
      <c r="C4321" s="106">
        <f ca="1"/>
        <v>-0.8064546969208255</v>
      </c>
      <c r="D4321" s="106">
        <f t="shared" ca="1" si="245"/>
        <v>0.61368905550117769</v>
      </c>
      <c r="E4321" s="106">
        <f t="shared" ca="1" si="246"/>
        <v>0</v>
      </c>
      <c r="F4321" s="21">
        <f t="shared" ca="1" si="247"/>
        <v>0</v>
      </c>
      <c r="H4321" s="21">
        <v>4306</v>
      </c>
      <c r="I4321" s="107">
        <v>0.66767131132048674</v>
      </c>
      <c r="J4321" s="108">
        <v>1.3098003071387268E-3</v>
      </c>
      <c r="K4321" s="108"/>
      <c r="L4321" s="108">
        <v>4.24E-2</v>
      </c>
      <c r="O4321" s="105"/>
    </row>
    <row r="4322" spans="2:15" x14ac:dyDescent="0.2">
      <c r="B4322" s="1">
        <f t="shared" si="244"/>
        <v>4307</v>
      </c>
      <c r="C4322" s="106">
        <f ca="1"/>
        <v>-0.45688493462205165</v>
      </c>
      <c r="D4322" s="106">
        <f t="shared" ca="1" si="245"/>
        <v>0.63521936784428035</v>
      </c>
      <c r="E4322" s="106">
        <f t="shared" ca="1" si="246"/>
        <v>0</v>
      </c>
      <c r="F4322" s="21">
        <f t="shared" ca="1" si="247"/>
        <v>0</v>
      </c>
      <c r="H4322" s="21">
        <v>4307</v>
      </c>
      <c r="I4322" s="107">
        <v>0.66767045476007081</v>
      </c>
      <c r="J4322" s="108">
        <v>1.1691852454139386E-3</v>
      </c>
      <c r="K4322" s="108"/>
      <c r="L4322" s="108">
        <v>4.02E-2</v>
      </c>
      <c r="O4322" s="105"/>
    </row>
    <row r="4323" spans="2:15" x14ac:dyDescent="0.2">
      <c r="B4323" s="1">
        <f t="shared" si="244"/>
        <v>4308</v>
      </c>
      <c r="C4323" s="106">
        <f ca="1"/>
        <v>0.92016191455587859</v>
      </c>
      <c r="D4323" s="106">
        <f t="shared" ca="1" si="245"/>
        <v>0.72763833142000178</v>
      </c>
      <c r="E4323" s="106">
        <f t="shared" ca="1" si="246"/>
        <v>0</v>
      </c>
      <c r="F4323" s="21">
        <f t="shared" ca="1" si="247"/>
        <v>0</v>
      </c>
      <c r="H4323" s="21">
        <v>4308</v>
      </c>
      <c r="I4323" s="107">
        <v>0.66775209662773383</v>
      </c>
      <c r="J4323" s="108">
        <v>1.3709395597738428E-3</v>
      </c>
      <c r="K4323" s="108"/>
      <c r="L4323" s="108">
        <v>4.02E-2</v>
      </c>
      <c r="O4323" s="105"/>
    </row>
    <row r="4324" spans="2:15" x14ac:dyDescent="0.2">
      <c r="B4324" s="1">
        <f t="shared" si="244"/>
        <v>4309</v>
      </c>
      <c r="C4324" s="106">
        <f ca="1"/>
        <v>1.3258974858505088</v>
      </c>
      <c r="D4324" s="106">
        <f t="shared" ca="1" si="245"/>
        <v>0.75735069974772662</v>
      </c>
      <c r="E4324" s="106">
        <f t="shared" ca="1" si="246"/>
        <v>0</v>
      </c>
      <c r="F4324" s="21">
        <f t="shared" ca="1" si="247"/>
        <v>0</v>
      </c>
      <c r="H4324" s="21">
        <v>4309</v>
      </c>
      <c r="I4324" s="107">
        <v>0.66768615072784976</v>
      </c>
      <c r="J4324" s="108">
        <v>1.2193636053490567E-3</v>
      </c>
      <c r="K4324" s="108"/>
      <c r="L4324" s="108">
        <v>3.9800000000000002E-2</v>
      </c>
      <c r="O4324" s="105"/>
    </row>
    <row r="4325" spans="2:15" x14ac:dyDescent="0.2">
      <c r="B4325" s="1">
        <f t="shared" si="244"/>
        <v>4310</v>
      </c>
      <c r="C4325" s="106">
        <f ca="1"/>
        <v>1.7948577763648541</v>
      </c>
      <c r="D4325" s="106">
        <f t="shared" ca="1" si="245"/>
        <v>0.79320784483228102</v>
      </c>
      <c r="E4325" s="106">
        <f t="shared" ca="1" si="246"/>
        <v>5.0078448322810054E-3</v>
      </c>
      <c r="F4325" s="21">
        <f t="shared" ca="1" si="247"/>
        <v>1</v>
      </c>
      <c r="H4325" s="21">
        <v>4310</v>
      </c>
      <c r="I4325" s="107">
        <v>0.66770607909500579</v>
      </c>
      <c r="J4325" s="108">
        <v>1.2877832466151777E-3</v>
      </c>
      <c r="K4325" s="108"/>
      <c r="L4325" s="108">
        <v>4.2599999999999999E-2</v>
      </c>
      <c r="O4325" s="105"/>
    </row>
    <row r="4326" spans="2:15" x14ac:dyDescent="0.2">
      <c r="B4326" s="1">
        <f t="shared" si="244"/>
        <v>4311</v>
      </c>
      <c r="C4326" s="106">
        <f ca="1"/>
        <v>0.19900218272910744</v>
      </c>
      <c r="D4326" s="106">
        <f t="shared" ca="1" si="245"/>
        <v>0.67767510384204943</v>
      </c>
      <c r="E4326" s="106">
        <f t="shared" ca="1" si="246"/>
        <v>0</v>
      </c>
      <c r="F4326" s="21">
        <f t="shared" ca="1" si="247"/>
        <v>0</v>
      </c>
      <c r="H4326" s="21">
        <v>4311</v>
      </c>
      <c r="I4326" s="107">
        <v>0.66770816824048129</v>
      </c>
      <c r="J4326" s="108">
        <v>1.1669885305779545E-3</v>
      </c>
      <c r="K4326" s="108"/>
      <c r="L4326" s="108">
        <v>4.2999999999999997E-2</v>
      </c>
      <c r="O4326" s="105"/>
    </row>
    <row r="4327" spans="2:15" x14ac:dyDescent="0.2">
      <c r="B4327" s="1">
        <f t="shared" si="244"/>
        <v>4312</v>
      </c>
      <c r="C4327" s="106">
        <f ca="1"/>
        <v>-1.3181312558066187</v>
      </c>
      <c r="D4327" s="106">
        <f t="shared" ca="1" si="245"/>
        <v>0.58348335283501196</v>
      </c>
      <c r="E4327" s="106">
        <f t="shared" ca="1" si="246"/>
        <v>0</v>
      </c>
      <c r="F4327" s="21">
        <f t="shared" ca="1" si="247"/>
        <v>0</v>
      </c>
      <c r="H4327" s="21">
        <v>4312</v>
      </c>
      <c r="I4327" s="107">
        <v>0.66758964566434276</v>
      </c>
      <c r="J4327" s="108">
        <v>1.1614165326217316E-3</v>
      </c>
      <c r="K4327" s="108"/>
      <c r="L4327" s="108">
        <v>3.8199999999999998E-2</v>
      </c>
      <c r="O4327" s="105"/>
    </row>
    <row r="4328" spans="2:15" x14ac:dyDescent="0.2">
      <c r="B4328" s="1">
        <f t="shared" si="244"/>
        <v>4313</v>
      </c>
      <c r="C4328" s="106">
        <f ca="1"/>
        <v>-1.1616748519257507</v>
      </c>
      <c r="D4328" s="106">
        <f t="shared" ca="1" si="245"/>
        <v>0.59255813632604859</v>
      </c>
      <c r="E4328" s="106">
        <f t="shared" ca="1" si="246"/>
        <v>0</v>
      </c>
      <c r="F4328" s="21">
        <f t="shared" ca="1" si="247"/>
        <v>0</v>
      </c>
      <c r="H4328" s="21">
        <v>4313</v>
      </c>
      <c r="I4328" s="107">
        <v>0.66749736663014581</v>
      </c>
      <c r="J4328" s="108">
        <v>1.0933001080260852E-3</v>
      </c>
      <c r="K4328" s="108"/>
      <c r="L4328" s="108">
        <v>3.3799999999999997E-2</v>
      </c>
      <c r="O4328" s="105"/>
    </row>
    <row r="4329" spans="2:15" x14ac:dyDescent="0.2">
      <c r="B4329" s="1">
        <f t="shared" si="244"/>
        <v>4314</v>
      </c>
      <c r="C4329" s="106">
        <f ca="1"/>
        <v>0.8827396816312193</v>
      </c>
      <c r="D4329" s="106">
        <f t="shared" ca="1" si="245"/>
        <v>0.72495729421094246</v>
      </c>
      <c r="E4329" s="106">
        <f t="shared" ca="1" si="246"/>
        <v>0</v>
      </c>
      <c r="F4329" s="21">
        <f t="shared" ca="1" si="247"/>
        <v>0</v>
      </c>
      <c r="H4329" s="21">
        <v>4314</v>
      </c>
      <c r="I4329" s="107">
        <v>0.6677741463111696</v>
      </c>
      <c r="J4329" s="108">
        <v>1.4374347738743741E-3</v>
      </c>
      <c r="K4329" s="108"/>
      <c r="L4329" s="108">
        <v>4.5999999999999999E-2</v>
      </c>
      <c r="O4329" s="105"/>
    </row>
    <row r="4330" spans="2:15" x14ac:dyDescent="0.2">
      <c r="B4330" s="1">
        <f t="shared" si="244"/>
        <v>4315</v>
      </c>
      <c r="C4330" s="106">
        <f ca="1"/>
        <v>1.7015655675206458</v>
      </c>
      <c r="D4330" s="106">
        <f t="shared" ca="1" si="245"/>
        <v>0.78594185945868633</v>
      </c>
      <c r="E4330" s="106">
        <f t="shared" ca="1" si="246"/>
        <v>0</v>
      </c>
      <c r="F4330" s="21">
        <f t="shared" ca="1" si="247"/>
        <v>0</v>
      </c>
      <c r="H4330" s="21">
        <v>4315</v>
      </c>
      <c r="I4330" s="107">
        <v>0.66768327649737136</v>
      </c>
      <c r="J4330" s="108">
        <v>1.2974610725748122E-3</v>
      </c>
      <c r="K4330" s="108"/>
      <c r="L4330" s="108">
        <v>4.1200000000000001E-2</v>
      </c>
      <c r="O4330" s="105"/>
    </row>
    <row r="4331" spans="2:15" x14ac:dyDescent="0.2">
      <c r="B4331" s="1">
        <f t="shared" si="244"/>
        <v>4316</v>
      </c>
      <c r="C4331" s="106">
        <f ca="1"/>
        <v>-0.37179018593117469</v>
      </c>
      <c r="D4331" s="106">
        <f t="shared" ca="1" si="245"/>
        <v>0.64057375006842898</v>
      </c>
      <c r="E4331" s="106">
        <f t="shared" ca="1" si="246"/>
        <v>0</v>
      </c>
      <c r="F4331" s="21">
        <f t="shared" ca="1" si="247"/>
        <v>0</v>
      </c>
      <c r="H4331" s="21">
        <v>4316</v>
      </c>
      <c r="I4331" s="107">
        <v>0.66764804777835418</v>
      </c>
      <c r="J4331" s="108">
        <v>1.2524323824811123E-3</v>
      </c>
      <c r="K4331" s="108"/>
      <c r="L4331" s="108">
        <v>3.9E-2</v>
      </c>
      <c r="O4331" s="105"/>
    </row>
    <row r="4332" spans="2:15" x14ac:dyDescent="0.2">
      <c r="B4332" s="1">
        <f t="shared" si="244"/>
        <v>4317</v>
      </c>
      <c r="C4332" s="106">
        <f ca="1"/>
        <v>0.18243622228796127</v>
      </c>
      <c r="D4332" s="106">
        <f t="shared" ca="1" si="245"/>
        <v>0.67656862716982336</v>
      </c>
      <c r="E4332" s="106">
        <f t="shared" ca="1" si="246"/>
        <v>0</v>
      </c>
      <c r="F4332" s="21">
        <f t="shared" ca="1" si="247"/>
        <v>0</v>
      </c>
      <c r="H4332" s="21">
        <v>4317</v>
      </c>
      <c r="I4332" s="107">
        <v>0.66775355426227212</v>
      </c>
      <c r="J4332" s="108">
        <v>1.2770489274735899E-3</v>
      </c>
      <c r="K4332" s="108"/>
      <c r="L4332" s="108">
        <v>4.1200000000000001E-2</v>
      </c>
      <c r="O4332" s="105"/>
    </row>
    <row r="4333" spans="2:15" x14ac:dyDescent="0.2">
      <c r="B4333" s="1">
        <f t="shared" si="244"/>
        <v>4318</v>
      </c>
      <c r="C4333" s="106">
        <f ca="1"/>
        <v>-2.2234450351706148</v>
      </c>
      <c r="D4333" s="106">
        <f t="shared" ca="1" si="245"/>
        <v>0.53363632629207847</v>
      </c>
      <c r="E4333" s="106">
        <f t="shared" ca="1" si="246"/>
        <v>0</v>
      </c>
      <c r="F4333" s="21">
        <f t="shared" ca="1" si="247"/>
        <v>0</v>
      </c>
      <c r="H4333" s="21">
        <v>4318</v>
      </c>
      <c r="I4333" s="107">
        <v>0.66773122575972155</v>
      </c>
      <c r="J4333" s="108">
        <v>1.3897304983744535E-3</v>
      </c>
      <c r="K4333" s="108"/>
      <c r="L4333" s="108">
        <v>4.2999999999999997E-2</v>
      </c>
      <c r="O4333" s="105"/>
    </row>
    <row r="4334" spans="2:15" x14ac:dyDescent="0.2">
      <c r="B4334" s="1">
        <f t="shared" si="244"/>
        <v>4319</v>
      </c>
      <c r="C4334" s="106">
        <f ca="1"/>
        <v>-0.91318403147001037</v>
      </c>
      <c r="D4334" s="106">
        <f t="shared" ca="1" si="245"/>
        <v>0.60726207508319208</v>
      </c>
      <c r="E4334" s="106">
        <f t="shared" ca="1" si="246"/>
        <v>0</v>
      </c>
      <c r="F4334" s="21">
        <f t="shared" ca="1" si="247"/>
        <v>0</v>
      </c>
      <c r="H4334" s="21">
        <v>4319</v>
      </c>
      <c r="I4334" s="107">
        <v>0.66775546622182314</v>
      </c>
      <c r="J4334" s="108">
        <v>1.4249230517443601E-3</v>
      </c>
      <c r="K4334" s="108"/>
      <c r="L4334" s="108">
        <v>4.0599999999999997E-2</v>
      </c>
      <c r="O4334" s="105"/>
    </row>
    <row r="4335" spans="2:15" x14ac:dyDescent="0.2">
      <c r="B4335" s="1">
        <f t="shared" si="244"/>
        <v>4320</v>
      </c>
      <c r="C4335" s="106">
        <f ca="1"/>
        <v>-2.0352077067525114</v>
      </c>
      <c r="D4335" s="106">
        <f t="shared" ca="1" si="245"/>
        <v>0.54363743760766492</v>
      </c>
      <c r="E4335" s="106">
        <f t="shared" ca="1" si="246"/>
        <v>0</v>
      </c>
      <c r="F4335" s="21">
        <f t="shared" ca="1" si="247"/>
        <v>0</v>
      </c>
      <c r="H4335" s="21">
        <v>4320</v>
      </c>
      <c r="I4335" s="107">
        <v>0.66786453885152908</v>
      </c>
      <c r="J4335" s="108">
        <v>1.4513056151637083E-3</v>
      </c>
      <c r="K4335" s="108"/>
      <c r="L4335" s="108">
        <v>4.5400000000000003E-2</v>
      </c>
      <c r="O4335" s="105"/>
    </row>
    <row r="4336" spans="2:15" x14ac:dyDescent="0.2">
      <c r="B4336" s="1">
        <f t="shared" ref="B4336:B4399" si="248">B4335+1</f>
        <v>4321</v>
      </c>
      <c r="C4336" s="106">
        <f ca="1"/>
        <v>-1.2970155732625599</v>
      </c>
      <c r="D4336" s="106">
        <f t="shared" ca="1" si="245"/>
        <v>0.58469994457796692</v>
      </c>
      <c r="E4336" s="106">
        <f t="shared" ca="1" si="246"/>
        <v>0</v>
      </c>
      <c r="F4336" s="21">
        <f t="shared" ca="1" si="247"/>
        <v>0</v>
      </c>
      <c r="H4336" s="21">
        <v>4321</v>
      </c>
      <c r="I4336" s="107">
        <v>0.66767268449570949</v>
      </c>
      <c r="J4336" s="108">
        <v>1.2647145577777666E-3</v>
      </c>
      <c r="K4336" s="108"/>
      <c r="L4336" s="108">
        <v>4.02E-2</v>
      </c>
      <c r="O4336" s="105"/>
    </row>
    <row r="4337" spans="2:15" x14ac:dyDescent="0.2">
      <c r="B4337" s="1">
        <f t="shared" si="248"/>
        <v>4322</v>
      </c>
      <c r="C4337" s="106">
        <f ca="1"/>
        <v>-1.5132975995670119</v>
      </c>
      <c r="D4337" s="106">
        <f t="shared" ca="1" si="245"/>
        <v>0.57235787685849027</v>
      </c>
      <c r="E4337" s="106">
        <f t="shared" ca="1" si="246"/>
        <v>0</v>
      </c>
      <c r="F4337" s="21">
        <f t="shared" ca="1" si="247"/>
        <v>0</v>
      </c>
      <c r="H4337" s="21">
        <v>4322</v>
      </c>
      <c r="I4337" s="107">
        <v>0.66779146378443999</v>
      </c>
      <c r="J4337" s="108">
        <v>1.3569162112945965E-3</v>
      </c>
      <c r="K4337" s="108"/>
      <c r="L4337" s="108">
        <v>4.2599999999999999E-2</v>
      </c>
      <c r="O4337" s="105"/>
    </row>
    <row r="4338" spans="2:15" x14ac:dyDescent="0.2">
      <c r="B4338" s="1">
        <f t="shared" si="248"/>
        <v>4323</v>
      </c>
      <c r="C4338" s="106">
        <f ca="1"/>
        <v>1.353576519231227</v>
      </c>
      <c r="D4338" s="106">
        <f t="shared" ca="1" si="245"/>
        <v>0.75942131716283179</v>
      </c>
      <c r="E4338" s="106">
        <f t="shared" ca="1" si="246"/>
        <v>0</v>
      </c>
      <c r="F4338" s="21">
        <f t="shared" ca="1" si="247"/>
        <v>0</v>
      </c>
      <c r="H4338" s="21">
        <v>4323</v>
      </c>
      <c r="I4338" s="107">
        <v>0.66768873508721416</v>
      </c>
      <c r="J4338" s="108">
        <v>1.1461893537934407E-3</v>
      </c>
      <c r="K4338" s="108"/>
      <c r="L4338" s="108">
        <v>3.9E-2</v>
      </c>
      <c r="O4338" s="105"/>
    </row>
    <row r="4339" spans="2:15" x14ac:dyDescent="0.2">
      <c r="B4339" s="1">
        <f t="shared" si="248"/>
        <v>4324</v>
      </c>
      <c r="C4339" s="106">
        <f ca="1"/>
        <v>-0.20558285316765626</v>
      </c>
      <c r="D4339" s="106">
        <f t="shared" ca="1" si="245"/>
        <v>0.65116246343994877</v>
      </c>
      <c r="E4339" s="106">
        <f t="shared" ca="1" si="246"/>
        <v>0</v>
      </c>
      <c r="F4339" s="21">
        <f t="shared" ca="1" si="247"/>
        <v>0</v>
      </c>
      <c r="H4339" s="21">
        <v>4324</v>
      </c>
      <c r="I4339" s="107">
        <v>0.66767533847312865</v>
      </c>
      <c r="J4339" s="108">
        <v>1.4015261026746532E-3</v>
      </c>
      <c r="K4339" s="108"/>
      <c r="L4339" s="108">
        <v>0.04</v>
      </c>
      <c r="O4339" s="105"/>
    </row>
    <row r="4340" spans="2:15" x14ac:dyDescent="0.2">
      <c r="B4340" s="1">
        <f t="shared" si="248"/>
        <v>4325</v>
      </c>
      <c r="C4340" s="106">
        <f ca="1"/>
        <v>-1.240284243384868</v>
      </c>
      <c r="D4340" s="106">
        <f t="shared" ca="1" si="245"/>
        <v>0.58798112908226241</v>
      </c>
      <c r="E4340" s="106">
        <f t="shared" ca="1" si="246"/>
        <v>0</v>
      </c>
      <c r="F4340" s="21">
        <f t="shared" ca="1" si="247"/>
        <v>0</v>
      </c>
      <c r="H4340" s="21">
        <v>4325</v>
      </c>
      <c r="I4340" s="107">
        <v>0.66763374372160633</v>
      </c>
      <c r="J4340" s="108">
        <v>1.3086495184293921E-3</v>
      </c>
      <c r="K4340" s="108"/>
      <c r="L4340" s="108">
        <v>3.9600000000000003E-2</v>
      </c>
      <c r="O4340" s="105"/>
    </row>
    <row r="4341" spans="2:15" x14ac:dyDescent="0.2">
      <c r="B4341" s="1">
        <f t="shared" si="248"/>
        <v>4326</v>
      </c>
      <c r="C4341" s="106">
        <f ca="1"/>
        <v>-0.72979073610871625</v>
      </c>
      <c r="D4341" s="106">
        <f t="shared" ca="1" si="245"/>
        <v>0.61834750814777517</v>
      </c>
      <c r="E4341" s="106">
        <f t="shared" ca="1" si="246"/>
        <v>0</v>
      </c>
      <c r="F4341" s="21">
        <f t="shared" ca="1" si="247"/>
        <v>0</v>
      </c>
      <c r="H4341" s="21">
        <v>4326</v>
      </c>
      <c r="I4341" s="107">
        <v>0.66774969204826518</v>
      </c>
      <c r="J4341" s="108">
        <v>1.2519561499699731E-3</v>
      </c>
      <c r="K4341" s="108"/>
      <c r="L4341" s="108">
        <v>4.1599999999999998E-2</v>
      </c>
      <c r="O4341" s="105"/>
    </row>
    <row r="4342" spans="2:15" x14ac:dyDescent="0.2">
      <c r="B4342" s="1">
        <f t="shared" si="248"/>
        <v>4327</v>
      </c>
      <c r="C4342" s="106">
        <f ca="1"/>
        <v>0.61176222388726786</v>
      </c>
      <c r="D4342" s="106">
        <f t="shared" ca="1" si="245"/>
        <v>0.70583618140508075</v>
      </c>
      <c r="E4342" s="106">
        <f t="shared" ca="1" si="246"/>
        <v>0</v>
      </c>
      <c r="F4342" s="21">
        <f t="shared" ca="1" si="247"/>
        <v>0</v>
      </c>
      <c r="H4342" s="21">
        <v>4327</v>
      </c>
      <c r="I4342" s="107">
        <v>0.6676572477110444</v>
      </c>
      <c r="J4342" s="108">
        <v>1.3092031297564557E-3</v>
      </c>
      <c r="K4342" s="108"/>
      <c r="L4342" s="108">
        <v>4.2799999999999998E-2</v>
      </c>
      <c r="O4342" s="105"/>
    </row>
    <row r="4343" spans="2:15" x14ac:dyDescent="0.2">
      <c r="B4343" s="1">
        <f t="shared" si="248"/>
        <v>4328</v>
      </c>
      <c r="C4343" s="106">
        <f ca="1"/>
        <v>0.67088682984363524</v>
      </c>
      <c r="D4343" s="106">
        <f t="shared" ca="1" si="245"/>
        <v>0.70996473686556782</v>
      </c>
      <c r="E4343" s="106">
        <f t="shared" ca="1" si="246"/>
        <v>0</v>
      </c>
      <c r="F4343" s="21">
        <f t="shared" ca="1" si="247"/>
        <v>0</v>
      </c>
      <c r="H4343" s="21">
        <v>4328</v>
      </c>
      <c r="I4343" s="107">
        <v>0.66757012859454512</v>
      </c>
      <c r="J4343" s="108">
        <v>1.229167737638194E-3</v>
      </c>
      <c r="K4343" s="108"/>
      <c r="L4343" s="108">
        <v>3.8199999999999998E-2</v>
      </c>
      <c r="O4343" s="105"/>
    </row>
    <row r="4344" spans="2:15" x14ac:dyDescent="0.2">
      <c r="B4344" s="1">
        <f t="shared" si="248"/>
        <v>4329</v>
      </c>
      <c r="C4344" s="106">
        <f ca="1"/>
        <v>-0.66579343003703662</v>
      </c>
      <c r="D4344" s="106">
        <f t="shared" ca="1" si="245"/>
        <v>0.62226334629027658</v>
      </c>
      <c r="E4344" s="106">
        <f t="shared" ca="1" si="246"/>
        <v>0</v>
      </c>
      <c r="F4344" s="21">
        <f t="shared" ca="1" si="247"/>
        <v>0</v>
      </c>
      <c r="H4344" s="21">
        <v>4329</v>
      </c>
      <c r="I4344" s="107">
        <v>0.66784780296934032</v>
      </c>
      <c r="J4344" s="108">
        <v>1.6201890340969492E-3</v>
      </c>
      <c r="K4344" s="108"/>
      <c r="L4344" s="108">
        <v>4.2999999999999997E-2</v>
      </c>
      <c r="O4344" s="105"/>
    </row>
    <row r="4345" spans="2:15" x14ac:dyDescent="0.2">
      <c r="B4345" s="1">
        <f t="shared" si="248"/>
        <v>4330</v>
      </c>
      <c r="C4345" s="106">
        <f ca="1"/>
        <v>1.6402569070611359</v>
      </c>
      <c r="D4345" s="106">
        <f t="shared" ca="1" si="245"/>
        <v>0.78120316620043528</v>
      </c>
      <c r="E4345" s="106">
        <f t="shared" ca="1" si="246"/>
        <v>0</v>
      </c>
      <c r="F4345" s="21">
        <f t="shared" ca="1" si="247"/>
        <v>0</v>
      </c>
      <c r="H4345" s="21">
        <v>4330</v>
      </c>
      <c r="I4345" s="107">
        <v>0.66782539499933258</v>
      </c>
      <c r="J4345" s="108">
        <v>1.3546475818225262E-3</v>
      </c>
      <c r="K4345" s="108"/>
      <c r="L4345" s="108">
        <v>4.4400000000000002E-2</v>
      </c>
      <c r="O4345" s="105"/>
    </row>
    <row r="4346" spans="2:15" x14ac:dyDescent="0.2">
      <c r="B4346" s="1">
        <f t="shared" si="248"/>
        <v>4331</v>
      </c>
      <c r="C4346" s="106">
        <f ca="1"/>
        <v>0.28970957066578645</v>
      </c>
      <c r="D4346" s="106">
        <f t="shared" ca="1" si="245"/>
        <v>0.68376580744478388</v>
      </c>
      <c r="E4346" s="106">
        <f t="shared" ca="1" si="246"/>
        <v>0</v>
      </c>
      <c r="F4346" s="21">
        <f t="shared" ca="1" si="247"/>
        <v>0</v>
      </c>
      <c r="H4346" s="21">
        <v>4331</v>
      </c>
      <c r="I4346" s="107">
        <v>0.6677107232789633</v>
      </c>
      <c r="J4346" s="108">
        <v>1.3038900318761381E-3</v>
      </c>
      <c r="K4346" s="108"/>
      <c r="L4346" s="108">
        <v>3.8199999999999998E-2</v>
      </c>
      <c r="O4346" s="105"/>
    </row>
    <row r="4347" spans="2:15" x14ac:dyDescent="0.2">
      <c r="B4347" s="1">
        <f t="shared" si="248"/>
        <v>4332</v>
      </c>
      <c r="C4347" s="106">
        <f ca="1"/>
        <v>-0.65726222554573432</v>
      </c>
      <c r="D4347" s="106">
        <f t="shared" ca="1" si="245"/>
        <v>0.62278721953824867</v>
      </c>
      <c r="E4347" s="106">
        <f t="shared" ca="1" si="246"/>
        <v>0</v>
      </c>
      <c r="F4347" s="21">
        <f t="shared" ca="1" si="247"/>
        <v>0</v>
      </c>
      <c r="H4347" s="21">
        <v>4332</v>
      </c>
      <c r="I4347" s="107">
        <v>0.66775364614757304</v>
      </c>
      <c r="J4347" s="108">
        <v>1.4072791427577275E-3</v>
      </c>
      <c r="K4347" s="108"/>
      <c r="L4347" s="108">
        <v>4.0599999999999997E-2</v>
      </c>
      <c r="O4347" s="105"/>
    </row>
    <row r="4348" spans="2:15" x14ac:dyDescent="0.2">
      <c r="B4348" s="1">
        <f t="shared" si="248"/>
        <v>4333</v>
      </c>
      <c r="C4348" s="106">
        <f ca="1"/>
        <v>-0.81018644769212333</v>
      </c>
      <c r="D4348" s="106">
        <f t="shared" ca="1" si="245"/>
        <v>0.61346319516013181</v>
      </c>
      <c r="E4348" s="106">
        <f t="shared" ca="1" si="246"/>
        <v>0</v>
      </c>
      <c r="F4348" s="21">
        <f t="shared" ca="1" si="247"/>
        <v>0</v>
      </c>
      <c r="H4348" s="21">
        <v>4333</v>
      </c>
      <c r="I4348" s="107">
        <v>0.66765956152932071</v>
      </c>
      <c r="J4348" s="108">
        <v>1.2588769896302305E-3</v>
      </c>
      <c r="K4348" s="108"/>
      <c r="L4348" s="108">
        <v>3.9399999999999998E-2</v>
      </c>
      <c r="O4348" s="105"/>
    </row>
    <row r="4349" spans="2:15" x14ac:dyDescent="0.2">
      <c r="B4349" s="1">
        <f t="shared" si="248"/>
        <v>4334</v>
      </c>
      <c r="C4349" s="106">
        <f ca="1"/>
        <v>-1.6809431023748476</v>
      </c>
      <c r="D4349" s="106">
        <f t="shared" ca="1" si="245"/>
        <v>0.56297075391461249</v>
      </c>
      <c r="E4349" s="106">
        <f t="shared" ca="1" si="246"/>
        <v>0</v>
      </c>
      <c r="F4349" s="21">
        <f t="shared" ca="1" si="247"/>
        <v>0</v>
      </c>
      <c r="H4349" s="21">
        <v>4334</v>
      </c>
      <c r="I4349" s="107">
        <v>0.6677687535140735</v>
      </c>
      <c r="J4349" s="108">
        <v>1.3895021172888676E-3</v>
      </c>
      <c r="K4349" s="108"/>
      <c r="L4349" s="108">
        <v>4.3799999999999999E-2</v>
      </c>
      <c r="O4349" s="105"/>
    </row>
    <row r="4350" spans="2:15" x14ac:dyDescent="0.2">
      <c r="B4350" s="1">
        <f t="shared" si="248"/>
        <v>4335</v>
      </c>
      <c r="C4350" s="106">
        <f ca="1"/>
        <v>0.57491639636994829</v>
      </c>
      <c r="D4350" s="106">
        <f t="shared" ca="1" si="245"/>
        <v>0.70327546110199646</v>
      </c>
      <c r="E4350" s="106">
        <f t="shared" ca="1" si="246"/>
        <v>0</v>
      </c>
      <c r="F4350" s="21">
        <f t="shared" ca="1" si="247"/>
        <v>0</v>
      </c>
      <c r="H4350" s="21">
        <v>4335</v>
      </c>
      <c r="I4350" s="107">
        <v>0.66768760273071537</v>
      </c>
      <c r="J4350" s="108">
        <v>1.1955816008200699E-3</v>
      </c>
      <c r="K4350" s="108"/>
      <c r="L4350" s="108">
        <v>4.0399999999999998E-2</v>
      </c>
      <c r="O4350" s="105"/>
    </row>
    <row r="4351" spans="2:15" x14ac:dyDescent="0.2">
      <c r="B4351" s="1">
        <f t="shared" si="248"/>
        <v>4336</v>
      </c>
      <c r="C4351" s="106">
        <f ca="1"/>
        <v>-1.3686839894265908</v>
      </c>
      <c r="D4351" s="106">
        <f t="shared" ca="1" si="245"/>
        <v>0.5805810037859267</v>
      </c>
      <c r="E4351" s="106">
        <f t="shared" ca="1" si="246"/>
        <v>0</v>
      </c>
      <c r="F4351" s="21">
        <f t="shared" ca="1" si="247"/>
        <v>0</v>
      </c>
      <c r="H4351" s="21">
        <v>4336</v>
      </c>
      <c r="I4351" s="107">
        <v>0.66771958212798532</v>
      </c>
      <c r="J4351" s="108">
        <v>1.3991949378840613E-3</v>
      </c>
      <c r="K4351" s="108"/>
      <c r="L4351" s="108">
        <v>4.2799999999999998E-2</v>
      </c>
      <c r="O4351" s="105"/>
    </row>
    <row r="4352" spans="2:15" x14ac:dyDescent="0.2">
      <c r="B4352" s="1">
        <f t="shared" si="248"/>
        <v>4337</v>
      </c>
      <c r="C4352" s="106">
        <f ca="1"/>
        <v>-2.4853454086583917</v>
      </c>
      <c r="D4352" s="106">
        <f t="shared" ca="1" si="245"/>
        <v>0.52002681106333248</v>
      </c>
      <c r="E4352" s="106">
        <f t="shared" ca="1" si="246"/>
        <v>0</v>
      </c>
      <c r="F4352" s="21">
        <f t="shared" ca="1" si="247"/>
        <v>0</v>
      </c>
      <c r="H4352" s="21">
        <v>4337</v>
      </c>
      <c r="I4352" s="107">
        <v>0.66760991823526961</v>
      </c>
      <c r="J4352" s="108">
        <v>1.244963128539748E-3</v>
      </c>
      <c r="K4352" s="108"/>
      <c r="L4352" s="108">
        <v>3.6600000000000001E-2</v>
      </c>
      <c r="O4352" s="105"/>
    </row>
    <row r="4353" spans="2:15" x14ac:dyDescent="0.2">
      <c r="B4353" s="1">
        <f t="shared" si="248"/>
        <v>4338</v>
      </c>
      <c r="C4353" s="106">
        <f ca="1"/>
        <v>0.25427814798665543</v>
      </c>
      <c r="D4353" s="106">
        <f t="shared" ca="1" si="245"/>
        <v>0.68138021548694239</v>
      </c>
      <c r="E4353" s="106">
        <f t="shared" ca="1" si="246"/>
        <v>0</v>
      </c>
      <c r="F4353" s="21">
        <f t="shared" ca="1" si="247"/>
        <v>0</v>
      </c>
      <c r="H4353" s="21">
        <v>4338</v>
      </c>
      <c r="I4353" s="107">
        <v>0.66777712085661567</v>
      </c>
      <c r="J4353" s="108">
        <v>1.3934525453081531E-3</v>
      </c>
      <c r="K4353" s="108"/>
      <c r="L4353" s="108">
        <v>4.2599999999999999E-2</v>
      </c>
      <c r="O4353" s="105"/>
    </row>
    <row r="4354" spans="2:15" x14ac:dyDescent="0.2">
      <c r="B4354" s="1">
        <f t="shared" si="248"/>
        <v>4339</v>
      </c>
      <c r="C4354" s="106">
        <f ca="1"/>
        <v>-1.1571280139762941</v>
      </c>
      <c r="D4354" s="106">
        <f t="shared" ca="1" si="245"/>
        <v>0.59282396188638831</v>
      </c>
      <c r="E4354" s="106">
        <f t="shared" ca="1" si="246"/>
        <v>0</v>
      </c>
      <c r="F4354" s="21">
        <f t="shared" ca="1" si="247"/>
        <v>0</v>
      </c>
      <c r="H4354" s="21">
        <v>4339</v>
      </c>
      <c r="I4354" s="107">
        <v>0.66779950996350701</v>
      </c>
      <c r="J4354" s="108">
        <v>1.4925632225375293E-3</v>
      </c>
      <c r="K4354" s="108"/>
      <c r="L4354" s="108">
        <v>4.2799999999999998E-2</v>
      </c>
      <c r="O4354" s="105"/>
    </row>
    <row r="4355" spans="2:15" x14ac:dyDescent="0.2">
      <c r="B4355" s="1">
        <f t="shared" si="248"/>
        <v>4340</v>
      </c>
      <c r="C4355" s="106">
        <f ca="1"/>
        <v>-0.86867556706073656</v>
      </c>
      <c r="D4355" s="106">
        <f t="shared" ca="1" si="245"/>
        <v>0.60993404384973948</v>
      </c>
      <c r="E4355" s="106">
        <f t="shared" ca="1" si="246"/>
        <v>0</v>
      </c>
      <c r="F4355" s="21">
        <f t="shared" ca="1" si="247"/>
        <v>0</v>
      </c>
      <c r="H4355" s="21">
        <v>4340</v>
      </c>
      <c r="I4355" s="107">
        <v>0.66783482966014596</v>
      </c>
      <c r="J4355" s="108">
        <v>1.5542641637946546E-3</v>
      </c>
      <c r="K4355" s="108"/>
      <c r="L4355" s="108">
        <v>4.4400000000000002E-2</v>
      </c>
      <c r="O4355" s="105"/>
    </row>
    <row r="4356" spans="2:15" x14ac:dyDescent="0.2">
      <c r="B4356" s="1">
        <f t="shared" si="248"/>
        <v>4341</v>
      </c>
      <c r="C4356" s="106">
        <f ca="1"/>
        <v>0.13072759606427134</v>
      </c>
      <c r="D4356" s="106">
        <f t="shared" ca="1" si="245"/>
        <v>0.67312650212043745</v>
      </c>
      <c r="E4356" s="106">
        <f t="shared" ca="1" si="246"/>
        <v>0</v>
      </c>
      <c r="F4356" s="21">
        <f t="shared" ca="1" si="247"/>
        <v>0</v>
      </c>
      <c r="H4356" s="21">
        <v>4341</v>
      </c>
      <c r="I4356" s="107">
        <v>0.66767394670049129</v>
      </c>
      <c r="J4356" s="108">
        <v>1.2508039608143328E-3</v>
      </c>
      <c r="K4356" s="108"/>
      <c r="L4356" s="108">
        <v>4.2000000000000003E-2</v>
      </c>
      <c r="O4356" s="105"/>
    </row>
    <row r="4357" spans="2:15" x14ac:dyDescent="0.2">
      <c r="B4357" s="1">
        <f t="shared" si="248"/>
        <v>4342</v>
      </c>
      <c r="C4357" s="106">
        <f ca="1"/>
        <v>-1.2072503228860969</v>
      </c>
      <c r="D4357" s="106">
        <f t="shared" ca="1" si="245"/>
        <v>0.58990019625406132</v>
      </c>
      <c r="E4357" s="106">
        <f t="shared" ca="1" si="246"/>
        <v>0</v>
      </c>
      <c r="F4357" s="21">
        <f t="shared" ca="1" si="247"/>
        <v>0</v>
      </c>
      <c r="H4357" s="21">
        <v>4342</v>
      </c>
      <c r="I4357" s="107">
        <v>0.66788521167700754</v>
      </c>
      <c r="J4357" s="108">
        <v>1.4951856846813899E-3</v>
      </c>
      <c r="K4357" s="108"/>
      <c r="L4357" s="108">
        <v>4.4400000000000002E-2</v>
      </c>
      <c r="O4357" s="105"/>
    </row>
    <row r="4358" spans="2:15" x14ac:dyDescent="0.2">
      <c r="B4358" s="1">
        <f t="shared" si="248"/>
        <v>4343</v>
      </c>
      <c r="C4358" s="106">
        <f ca="1"/>
        <v>0.31984753830978657</v>
      </c>
      <c r="D4358" s="106">
        <f t="shared" ca="1" si="245"/>
        <v>0.68580156449926555</v>
      </c>
      <c r="E4358" s="106">
        <f t="shared" ca="1" si="246"/>
        <v>0</v>
      </c>
      <c r="F4358" s="21">
        <f t="shared" ca="1" si="247"/>
        <v>0</v>
      </c>
      <c r="H4358" s="21">
        <v>4343</v>
      </c>
      <c r="I4358" s="107">
        <v>0.66769339459113985</v>
      </c>
      <c r="J4358" s="108">
        <v>1.3618566772041448E-3</v>
      </c>
      <c r="K4358" s="108"/>
      <c r="L4358" s="108">
        <v>4.4400000000000002E-2</v>
      </c>
      <c r="O4358" s="105"/>
    </row>
    <row r="4359" spans="2:15" x14ac:dyDescent="0.2">
      <c r="B4359" s="1">
        <f t="shared" si="248"/>
        <v>4344</v>
      </c>
      <c r="C4359" s="106">
        <f ca="1"/>
        <v>3.2522922799453173</v>
      </c>
      <c r="D4359" s="106">
        <f t="shared" ca="1" si="245"/>
        <v>0.91584630230647701</v>
      </c>
      <c r="E4359" s="106">
        <f t="shared" ca="1" si="246"/>
        <v>0.127646302306477</v>
      </c>
      <c r="F4359" s="21">
        <f t="shared" ca="1" si="247"/>
        <v>1</v>
      </c>
      <c r="H4359" s="21">
        <v>4344</v>
      </c>
      <c r="I4359" s="107">
        <v>0.66773206709709232</v>
      </c>
      <c r="J4359" s="108">
        <v>1.3442198283229682E-3</v>
      </c>
      <c r="K4359" s="108"/>
      <c r="L4359" s="108">
        <v>4.0599999999999997E-2</v>
      </c>
      <c r="O4359" s="105"/>
    </row>
    <row r="4360" spans="2:15" x14ac:dyDescent="0.2">
      <c r="B4360" s="1">
        <f t="shared" si="248"/>
        <v>4345</v>
      </c>
      <c r="C4360" s="106">
        <f ca="1"/>
        <v>-1.376485143956748</v>
      </c>
      <c r="D4360" s="106">
        <f t="shared" ca="1" si="245"/>
        <v>0.58013440913632885</v>
      </c>
      <c r="E4360" s="106">
        <f t="shared" ca="1" si="246"/>
        <v>0</v>
      </c>
      <c r="F4360" s="21">
        <f t="shared" ca="1" si="247"/>
        <v>0</v>
      </c>
      <c r="H4360" s="21">
        <v>4345</v>
      </c>
      <c r="I4360" s="107">
        <v>0.667846762750678</v>
      </c>
      <c r="J4360" s="108">
        <v>1.5739711259636596E-3</v>
      </c>
      <c r="K4360" s="108"/>
      <c r="L4360" s="108">
        <v>4.02E-2</v>
      </c>
      <c r="O4360" s="105"/>
    </row>
    <row r="4361" spans="2:15" x14ac:dyDescent="0.2">
      <c r="B4361" s="1">
        <f t="shared" si="248"/>
        <v>4346</v>
      </c>
      <c r="C4361" s="106">
        <f ca="1"/>
        <v>0.52382510752994138</v>
      </c>
      <c r="D4361" s="106">
        <f t="shared" ca="1" si="245"/>
        <v>0.69974007115071135</v>
      </c>
      <c r="E4361" s="106">
        <f t="shared" ca="1" si="246"/>
        <v>0</v>
      </c>
      <c r="F4361" s="21">
        <f t="shared" ca="1" si="247"/>
        <v>0</v>
      </c>
      <c r="H4361" s="21">
        <v>4346</v>
      </c>
      <c r="I4361" s="107">
        <v>0.66775497257160155</v>
      </c>
      <c r="J4361" s="108">
        <v>1.2544163894922158E-3</v>
      </c>
      <c r="K4361" s="108"/>
      <c r="L4361" s="108">
        <v>3.7999999999999999E-2</v>
      </c>
      <c r="O4361" s="105"/>
    </row>
    <row r="4362" spans="2:15" x14ac:dyDescent="0.2">
      <c r="B4362" s="1">
        <f t="shared" si="248"/>
        <v>4347</v>
      </c>
      <c r="C4362" s="106">
        <f ca="1"/>
        <v>-1.9656202521614778</v>
      </c>
      <c r="D4362" s="106">
        <f t="shared" ca="1" si="245"/>
        <v>0.547381909740427</v>
      </c>
      <c r="E4362" s="106">
        <f t="shared" ca="1" si="246"/>
        <v>0</v>
      </c>
      <c r="F4362" s="21">
        <f t="shared" ca="1" si="247"/>
        <v>0</v>
      </c>
      <c r="H4362" s="21">
        <v>4347</v>
      </c>
      <c r="I4362" s="107">
        <v>0.66768135937312667</v>
      </c>
      <c r="J4362" s="108">
        <v>1.2665270851992014E-3</v>
      </c>
      <c r="K4362" s="108"/>
      <c r="L4362" s="108">
        <v>4.0399999999999998E-2</v>
      </c>
      <c r="O4362" s="105"/>
    </row>
    <row r="4363" spans="2:15" x14ac:dyDescent="0.2">
      <c r="B4363" s="1">
        <f t="shared" si="248"/>
        <v>4348</v>
      </c>
      <c r="C4363" s="106">
        <f ca="1"/>
        <v>0.95162207404437582</v>
      </c>
      <c r="D4363" s="106">
        <f t="shared" ca="1" si="245"/>
        <v>0.72989989827756618</v>
      </c>
      <c r="E4363" s="106">
        <f t="shared" ca="1" si="246"/>
        <v>0</v>
      </c>
      <c r="F4363" s="21">
        <f t="shared" ca="1" si="247"/>
        <v>0</v>
      </c>
      <c r="H4363" s="21">
        <v>4348</v>
      </c>
      <c r="I4363" s="107">
        <v>0.66763108586503073</v>
      </c>
      <c r="J4363" s="108">
        <v>1.2489607469323598E-3</v>
      </c>
      <c r="K4363" s="108"/>
      <c r="L4363" s="108">
        <v>3.7999999999999999E-2</v>
      </c>
      <c r="O4363" s="105"/>
    </row>
    <row r="4364" spans="2:15" x14ac:dyDescent="0.2">
      <c r="B4364" s="1">
        <f t="shared" si="248"/>
        <v>4349</v>
      </c>
      <c r="C4364" s="106">
        <f ca="1"/>
        <v>1.0107395714089316</v>
      </c>
      <c r="D4364" s="106">
        <f t="shared" ca="1" si="245"/>
        <v>0.73416869169676835</v>
      </c>
      <c r="E4364" s="106">
        <f t="shared" ca="1" si="246"/>
        <v>0</v>
      </c>
      <c r="F4364" s="21">
        <f t="shared" ca="1" si="247"/>
        <v>0</v>
      </c>
      <c r="H4364" s="21">
        <v>4349</v>
      </c>
      <c r="I4364" s="107">
        <v>0.66775408489233157</v>
      </c>
      <c r="J4364" s="108">
        <v>1.3653825411726831E-3</v>
      </c>
      <c r="K4364" s="108"/>
      <c r="L4364" s="108">
        <v>4.3200000000000002E-2</v>
      </c>
      <c r="O4364" s="105"/>
    </row>
    <row r="4365" spans="2:15" x14ac:dyDescent="0.2">
      <c r="B4365" s="1">
        <f t="shared" si="248"/>
        <v>4350</v>
      </c>
      <c r="C4365" s="106">
        <f ca="1"/>
        <v>-1.4075344654384958</v>
      </c>
      <c r="D4365" s="106">
        <f t="shared" ca="1" si="245"/>
        <v>0.57836032283377103</v>
      </c>
      <c r="E4365" s="106">
        <f t="shared" ca="1" si="246"/>
        <v>0</v>
      </c>
      <c r="F4365" s="21">
        <f t="shared" ca="1" si="247"/>
        <v>0</v>
      </c>
      <c r="H4365" s="21">
        <v>4350</v>
      </c>
      <c r="I4365" s="107">
        <v>0.66781574618950534</v>
      </c>
      <c r="J4365" s="108">
        <v>1.425637761554884E-3</v>
      </c>
      <c r="K4365" s="108"/>
      <c r="L4365" s="108">
        <v>4.1599999999999998E-2</v>
      </c>
      <c r="O4365" s="105"/>
    </row>
    <row r="4366" spans="2:15" x14ac:dyDescent="0.2">
      <c r="B4366" s="1">
        <f t="shared" si="248"/>
        <v>4351</v>
      </c>
      <c r="C4366" s="106">
        <f ca="1"/>
        <v>0.4759807372470512</v>
      </c>
      <c r="D4366" s="106">
        <f t="shared" ca="1" si="245"/>
        <v>0.69644547581124028</v>
      </c>
      <c r="E4366" s="106">
        <f t="shared" ca="1" si="246"/>
        <v>0</v>
      </c>
      <c r="F4366" s="21">
        <f t="shared" ca="1" si="247"/>
        <v>0</v>
      </c>
      <c r="H4366" s="21">
        <v>4351</v>
      </c>
      <c r="I4366" s="107">
        <v>0.66766077620381914</v>
      </c>
      <c r="J4366" s="108">
        <v>1.2691659934118383E-3</v>
      </c>
      <c r="K4366" s="108"/>
      <c r="L4366" s="108">
        <v>4.1200000000000001E-2</v>
      </c>
      <c r="O4366" s="105"/>
    </row>
    <row r="4367" spans="2:15" x14ac:dyDescent="0.2">
      <c r="B4367" s="1">
        <f t="shared" si="248"/>
        <v>4352</v>
      </c>
      <c r="C4367" s="106">
        <f ca="1"/>
        <v>-0.73159232239939131</v>
      </c>
      <c r="D4367" s="106">
        <f t="shared" ca="1" si="245"/>
        <v>0.61823763084368744</v>
      </c>
      <c r="E4367" s="106">
        <f t="shared" ca="1" si="246"/>
        <v>0</v>
      </c>
      <c r="F4367" s="21">
        <f t="shared" ca="1" si="247"/>
        <v>0</v>
      </c>
      <c r="H4367" s="21">
        <v>4352</v>
      </c>
      <c r="I4367" s="107">
        <v>0.66778238620640495</v>
      </c>
      <c r="J4367" s="108">
        <v>1.4323762592932936E-3</v>
      </c>
      <c r="K4367" s="108"/>
      <c r="L4367" s="108">
        <v>4.3400000000000001E-2</v>
      </c>
      <c r="O4367" s="105"/>
    </row>
    <row r="4368" spans="2:15" x14ac:dyDescent="0.2">
      <c r="B4368" s="1">
        <f t="shared" si="248"/>
        <v>4353</v>
      </c>
      <c r="C4368" s="106">
        <f ca="1"/>
        <v>-1.5397328299479935</v>
      </c>
      <c r="D4368" s="106">
        <f t="shared" ref="D4368:D4431" ca="1" si="249">S0*EXP((μ-0.5*σ*σ)*T+σ*SQRT(T)*$C4368)</f>
        <v>0.57086733714123772</v>
      </c>
      <c r="E4368" s="106">
        <f t="shared" ref="E4368:E4431" ca="1" si="250">MAX(0,CP*(D4368-K))</f>
        <v>0</v>
      </c>
      <c r="F4368" s="21">
        <f t="shared" ref="F4368:F4431" ca="1" si="251">(CP*(D4368-K)&gt;0)*1</f>
        <v>0</v>
      </c>
      <c r="H4368" s="21">
        <v>4353</v>
      </c>
      <c r="I4368" s="107">
        <v>0.66764226431330576</v>
      </c>
      <c r="J4368" s="108">
        <v>1.1980872902840466E-3</v>
      </c>
      <c r="K4368" s="108"/>
      <c r="L4368" s="108">
        <v>3.8800000000000001E-2</v>
      </c>
      <c r="O4368" s="105"/>
    </row>
    <row r="4369" spans="2:15" x14ac:dyDescent="0.2">
      <c r="B4369" s="1">
        <f t="shared" si="248"/>
        <v>4354</v>
      </c>
      <c r="C4369" s="106">
        <f ca="1"/>
        <v>1.3802469359426435</v>
      </c>
      <c r="D4369" s="106">
        <f t="shared" ca="1" si="249"/>
        <v>0.76142183709633582</v>
      </c>
      <c r="E4369" s="106">
        <f t="shared" ca="1" si="250"/>
        <v>0</v>
      </c>
      <c r="F4369" s="21">
        <f t="shared" ca="1" si="251"/>
        <v>0</v>
      </c>
      <c r="H4369" s="21">
        <v>4354</v>
      </c>
      <c r="I4369" s="107">
        <v>0.66777742733771539</v>
      </c>
      <c r="J4369" s="108">
        <v>1.4258416051241504E-3</v>
      </c>
      <c r="K4369" s="108"/>
      <c r="L4369" s="108">
        <v>4.5999999999999999E-2</v>
      </c>
      <c r="O4369" s="105"/>
    </row>
    <row r="4370" spans="2:15" x14ac:dyDescent="0.2">
      <c r="B4370" s="1">
        <f t="shared" si="248"/>
        <v>4355</v>
      </c>
      <c r="C4370" s="106">
        <f ca="1"/>
        <v>-3.4786513851755374</v>
      </c>
      <c r="D4370" s="106">
        <f t="shared" ca="1" si="249"/>
        <v>0.47149068772876856</v>
      </c>
      <c r="E4370" s="106">
        <f t="shared" ca="1" si="250"/>
        <v>0</v>
      </c>
      <c r="F4370" s="21">
        <f t="shared" ca="1" si="251"/>
        <v>0</v>
      </c>
      <c r="H4370" s="21">
        <v>4355</v>
      </c>
      <c r="I4370" s="107">
        <v>0.66783182478028513</v>
      </c>
      <c r="J4370" s="108">
        <v>1.4571719171267055E-3</v>
      </c>
      <c r="K4370" s="108"/>
      <c r="L4370" s="108">
        <v>4.7E-2</v>
      </c>
      <c r="O4370" s="105"/>
    </row>
    <row r="4371" spans="2:15" x14ac:dyDescent="0.2">
      <c r="B4371" s="1">
        <f t="shared" si="248"/>
        <v>4356</v>
      </c>
      <c r="C4371" s="106">
        <f ca="1"/>
        <v>-0.44386972703408123</v>
      </c>
      <c r="D4371" s="106">
        <f t="shared" ca="1" si="249"/>
        <v>0.63603540990301788</v>
      </c>
      <c r="E4371" s="106">
        <f t="shared" ca="1" si="250"/>
        <v>0</v>
      </c>
      <c r="F4371" s="21">
        <f t="shared" ca="1" si="251"/>
        <v>0</v>
      </c>
      <c r="H4371" s="21">
        <v>4356</v>
      </c>
      <c r="I4371" s="107">
        <v>0.66768378289067931</v>
      </c>
      <c r="J4371" s="108">
        <v>1.2779774539130409E-3</v>
      </c>
      <c r="K4371" s="108"/>
      <c r="L4371" s="108">
        <v>4.2599999999999999E-2</v>
      </c>
      <c r="O4371" s="105"/>
    </row>
    <row r="4372" spans="2:15" x14ac:dyDescent="0.2">
      <c r="B4372" s="1">
        <f t="shared" si="248"/>
        <v>4357</v>
      </c>
      <c r="C4372" s="106">
        <f ca="1"/>
        <v>0.88374296900154536</v>
      </c>
      <c r="D4372" s="106">
        <f t="shared" ca="1" si="249"/>
        <v>0.7250290435921819</v>
      </c>
      <c r="E4372" s="106">
        <f t="shared" ca="1" si="250"/>
        <v>0</v>
      </c>
      <c r="F4372" s="21">
        <f t="shared" ca="1" si="251"/>
        <v>0</v>
      </c>
      <c r="H4372" s="21">
        <v>4357</v>
      </c>
      <c r="I4372" s="107">
        <v>0.66773955055804357</v>
      </c>
      <c r="J4372" s="108">
        <v>1.3512377744142579E-3</v>
      </c>
      <c r="K4372" s="108"/>
      <c r="L4372" s="108">
        <v>3.9E-2</v>
      </c>
      <c r="O4372" s="105"/>
    </row>
    <row r="4373" spans="2:15" x14ac:dyDescent="0.2">
      <c r="B4373" s="1">
        <f t="shared" si="248"/>
        <v>4358</v>
      </c>
      <c r="C4373" s="106">
        <f ca="1"/>
        <v>1.4177531163089812</v>
      </c>
      <c r="D4373" s="106">
        <f t="shared" ca="1" si="249"/>
        <v>0.76424405592468969</v>
      </c>
      <c r="E4373" s="106">
        <f t="shared" ca="1" si="250"/>
        <v>0</v>
      </c>
      <c r="F4373" s="21">
        <f t="shared" ca="1" si="251"/>
        <v>0</v>
      </c>
      <c r="H4373" s="21">
        <v>4358</v>
      </c>
      <c r="I4373" s="107">
        <v>0.66787592746772484</v>
      </c>
      <c r="J4373" s="108">
        <v>1.5729186405852955E-3</v>
      </c>
      <c r="K4373" s="108"/>
      <c r="L4373" s="108">
        <v>4.5999999999999999E-2</v>
      </c>
      <c r="O4373" s="105"/>
    </row>
    <row r="4374" spans="2:15" x14ac:dyDescent="0.2">
      <c r="B4374" s="1">
        <f t="shared" si="248"/>
        <v>4359</v>
      </c>
      <c r="C4374" s="106">
        <f ca="1"/>
        <v>0.12889113519730264</v>
      </c>
      <c r="D4374" s="106">
        <f t="shared" ca="1" si="249"/>
        <v>0.67300457566932914</v>
      </c>
      <c r="E4374" s="106">
        <f t="shared" ca="1" si="250"/>
        <v>0</v>
      </c>
      <c r="F4374" s="21">
        <f t="shared" ca="1" si="251"/>
        <v>0</v>
      </c>
      <c r="H4374" s="21">
        <v>4359</v>
      </c>
      <c r="I4374" s="107">
        <v>0.66775907950276747</v>
      </c>
      <c r="J4374" s="108">
        <v>1.4878721284927398E-3</v>
      </c>
      <c r="K4374" s="108"/>
      <c r="L4374" s="108">
        <v>4.4200000000000003E-2</v>
      </c>
      <c r="O4374" s="105"/>
    </row>
    <row r="4375" spans="2:15" x14ac:dyDescent="0.2">
      <c r="B4375" s="1">
        <f t="shared" si="248"/>
        <v>4360</v>
      </c>
      <c r="C4375" s="106">
        <f ca="1"/>
        <v>0.72767744103109899</v>
      </c>
      <c r="D4375" s="106">
        <f t="shared" ca="1" si="249"/>
        <v>0.71395304979938179</v>
      </c>
      <c r="E4375" s="106">
        <f t="shared" ca="1" si="250"/>
        <v>0</v>
      </c>
      <c r="F4375" s="21">
        <f t="shared" ca="1" si="251"/>
        <v>0</v>
      </c>
      <c r="H4375" s="21">
        <v>4360</v>
      </c>
      <c r="I4375" s="107">
        <v>0.66756785638554128</v>
      </c>
      <c r="J4375" s="108">
        <v>1.1261719992112942E-3</v>
      </c>
      <c r="K4375" s="108"/>
      <c r="L4375" s="108">
        <v>3.6400000000000002E-2</v>
      </c>
      <c r="O4375" s="105"/>
    </row>
    <row r="4376" spans="2:15" x14ac:dyDescent="0.2">
      <c r="B4376" s="1">
        <f t="shared" si="248"/>
        <v>4361</v>
      </c>
      <c r="C4376" s="106">
        <f ca="1"/>
        <v>0.78577060328871273</v>
      </c>
      <c r="D4376" s="106">
        <f t="shared" ca="1" si="249"/>
        <v>0.71805602132718527</v>
      </c>
      <c r="E4376" s="106">
        <f t="shared" ca="1" si="250"/>
        <v>0</v>
      </c>
      <c r="F4376" s="21">
        <f t="shared" ca="1" si="251"/>
        <v>0</v>
      </c>
      <c r="H4376" s="21">
        <v>4361</v>
      </c>
      <c r="I4376" s="107">
        <v>0.66767691431471066</v>
      </c>
      <c r="J4376" s="108">
        <v>1.3527229390091664E-3</v>
      </c>
      <c r="K4376" s="108"/>
      <c r="L4376" s="108">
        <v>3.8399999999999997E-2</v>
      </c>
      <c r="O4376" s="105"/>
    </row>
    <row r="4377" spans="2:15" x14ac:dyDescent="0.2">
      <c r="B4377" s="1">
        <f t="shared" si="248"/>
        <v>4362</v>
      </c>
      <c r="C4377" s="106">
        <f ca="1"/>
        <v>-0.35530584043262714</v>
      </c>
      <c r="D4377" s="106">
        <f t="shared" ca="1" si="249"/>
        <v>0.64161619442928852</v>
      </c>
      <c r="E4377" s="106">
        <f t="shared" ca="1" si="250"/>
        <v>0</v>
      </c>
      <c r="F4377" s="21">
        <f t="shared" ca="1" si="251"/>
        <v>0</v>
      </c>
      <c r="H4377" s="21">
        <v>4362</v>
      </c>
      <c r="I4377" s="107">
        <v>0.6676026911231574</v>
      </c>
      <c r="J4377" s="108">
        <v>1.2467410288950129E-3</v>
      </c>
      <c r="K4377" s="108"/>
      <c r="L4377" s="108">
        <v>3.8800000000000001E-2</v>
      </c>
      <c r="O4377" s="105"/>
    </row>
    <row r="4378" spans="2:15" x14ac:dyDescent="0.2">
      <c r="B4378" s="1">
        <f t="shared" si="248"/>
        <v>4363</v>
      </c>
      <c r="C4378" s="106">
        <f ca="1"/>
        <v>0.70055654760522523</v>
      </c>
      <c r="D4378" s="106">
        <f t="shared" ca="1" si="249"/>
        <v>0.71204560598511912</v>
      </c>
      <c r="E4378" s="106">
        <f t="shared" ca="1" si="250"/>
        <v>0</v>
      </c>
      <c r="F4378" s="21">
        <f t="shared" ca="1" si="251"/>
        <v>0</v>
      </c>
      <c r="H4378" s="21">
        <v>4363</v>
      </c>
      <c r="I4378" s="107">
        <v>0.6676303590341538</v>
      </c>
      <c r="J4378" s="108">
        <v>1.1868486232911937E-3</v>
      </c>
      <c r="K4378" s="108"/>
      <c r="L4378" s="108">
        <v>3.8800000000000001E-2</v>
      </c>
      <c r="O4378" s="105"/>
    </row>
    <row r="4379" spans="2:15" x14ac:dyDescent="0.2">
      <c r="B4379" s="1">
        <f t="shared" si="248"/>
        <v>4364</v>
      </c>
      <c r="C4379" s="106">
        <f ca="1"/>
        <v>-1.1244695960036886</v>
      </c>
      <c r="D4379" s="106">
        <f t="shared" ca="1" si="249"/>
        <v>0.59473680571506859</v>
      </c>
      <c r="E4379" s="106">
        <f t="shared" ca="1" si="250"/>
        <v>0</v>
      </c>
      <c r="F4379" s="21">
        <f t="shared" ca="1" si="251"/>
        <v>0</v>
      </c>
      <c r="H4379" s="21">
        <v>4364</v>
      </c>
      <c r="I4379" s="107">
        <v>0.66778454514446473</v>
      </c>
      <c r="J4379" s="108">
        <v>1.3334580812563656E-3</v>
      </c>
      <c r="K4379" s="108"/>
      <c r="L4379" s="108">
        <v>4.2599999999999999E-2</v>
      </c>
      <c r="O4379" s="105"/>
    </row>
    <row r="4380" spans="2:15" x14ac:dyDescent="0.2">
      <c r="B4380" s="1">
        <f t="shared" si="248"/>
        <v>4365</v>
      </c>
      <c r="C4380" s="106">
        <f ca="1"/>
        <v>-1.7207339505377277</v>
      </c>
      <c r="D4380" s="106">
        <f t="shared" ca="1" si="249"/>
        <v>0.56076541214979314</v>
      </c>
      <c r="E4380" s="106">
        <f t="shared" ca="1" si="250"/>
        <v>0</v>
      </c>
      <c r="F4380" s="21">
        <f t="shared" ca="1" si="251"/>
        <v>0</v>
      </c>
      <c r="H4380" s="21">
        <v>4365</v>
      </c>
      <c r="I4380" s="107">
        <v>0.66777736309284164</v>
      </c>
      <c r="J4380" s="108">
        <v>1.3533192497742254E-3</v>
      </c>
      <c r="K4380" s="108"/>
      <c r="L4380" s="108">
        <v>4.2599999999999999E-2</v>
      </c>
      <c r="O4380" s="105"/>
    </row>
    <row r="4381" spans="2:15" x14ac:dyDescent="0.2">
      <c r="B4381" s="1">
        <f t="shared" si="248"/>
        <v>4366</v>
      </c>
      <c r="C4381" s="106">
        <f ca="1"/>
        <v>0.10569922976009173</v>
      </c>
      <c r="D4381" s="106">
        <f t="shared" ca="1" si="249"/>
        <v>0.67146671609640418</v>
      </c>
      <c r="E4381" s="106">
        <f t="shared" ca="1" si="250"/>
        <v>0</v>
      </c>
      <c r="F4381" s="21">
        <f t="shared" ca="1" si="251"/>
        <v>0</v>
      </c>
      <c r="H4381" s="21">
        <v>4366</v>
      </c>
      <c r="I4381" s="107">
        <v>0.66790899100901757</v>
      </c>
      <c r="J4381" s="108">
        <v>1.5151759210174933E-3</v>
      </c>
      <c r="K4381" s="108"/>
      <c r="L4381" s="108">
        <v>4.7399999999999998E-2</v>
      </c>
      <c r="O4381" s="105"/>
    </row>
    <row r="4382" spans="2:15" x14ac:dyDescent="0.2">
      <c r="B4382" s="1">
        <f t="shared" si="248"/>
        <v>4367</v>
      </c>
      <c r="C4382" s="106">
        <f ca="1"/>
        <v>-0.26798654008545392</v>
      </c>
      <c r="D4382" s="106">
        <f t="shared" ca="1" si="249"/>
        <v>0.64716649062143938</v>
      </c>
      <c r="E4382" s="106">
        <f t="shared" ca="1" si="250"/>
        <v>0</v>
      </c>
      <c r="F4382" s="21">
        <f t="shared" ca="1" si="251"/>
        <v>0</v>
      </c>
      <c r="H4382" s="21">
        <v>4367</v>
      </c>
      <c r="I4382" s="107">
        <v>0.66768399253225741</v>
      </c>
      <c r="J4382" s="108">
        <v>1.2653059319030998E-3</v>
      </c>
      <c r="K4382" s="108"/>
      <c r="L4382" s="108">
        <v>4.02E-2</v>
      </c>
      <c r="O4382" s="105"/>
    </row>
    <row r="4383" spans="2:15" x14ac:dyDescent="0.2">
      <c r="B4383" s="1">
        <f t="shared" si="248"/>
        <v>4368</v>
      </c>
      <c r="C4383" s="106">
        <f ca="1"/>
        <v>1.4329156032943879</v>
      </c>
      <c r="D4383" s="106">
        <f t="shared" ca="1" si="249"/>
        <v>0.76538795109839308</v>
      </c>
      <c r="E4383" s="106">
        <f t="shared" ca="1" si="250"/>
        <v>0</v>
      </c>
      <c r="F4383" s="21">
        <f t="shared" ca="1" si="251"/>
        <v>0</v>
      </c>
      <c r="H4383" s="21">
        <v>4368</v>
      </c>
      <c r="I4383" s="107">
        <v>0.66771818603122823</v>
      </c>
      <c r="J4383" s="108">
        <v>1.323693232115329E-3</v>
      </c>
      <c r="K4383" s="108"/>
      <c r="L4383" s="108">
        <v>4.1000000000000002E-2</v>
      </c>
      <c r="O4383" s="105"/>
    </row>
    <row r="4384" spans="2:15" x14ac:dyDescent="0.2">
      <c r="B4384" s="1">
        <f t="shared" si="248"/>
        <v>4369</v>
      </c>
      <c r="C4384" s="106">
        <f ca="1"/>
        <v>-0.40749303607430398</v>
      </c>
      <c r="D4384" s="106">
        <f t="shared" ca="1" si="249"/>
        <v>0.63832176033684396</v>
      </c>
      <c r="E4384" s="106">
        <f t="shared" ca="1" si="250"/>
        <v>0</v>
      </c>
      <c r="F4384" s="21">
        <f t="shared" ca="1" si="251"/>
        <v>0</v>
      </c>
      <c r="H4384" s="21">
        <v>4369</v>
      </c>
      <c r="I4384" s="107">
        <v>0.66770319434091019</v>
      </c>
      <c r="J4384" s="108">
        <v>1.2923191300271352E-3</v>
      </c>
      <c r="K4384" s="108"/>
      <c r="L4384" s="108">
        <v>4.2799999999999998E-2</v>
      </c>
      <c r="O4384" s="105"/>
    </row>
    <row r="4385" spans="2:15" x14ac:dyDescent="0.2">
      <c r="B4385" s="1">
        <f t="shared" si="248"/>
        <v>4370</v>
      </c>
      <c r="C4385" s="106">
        <f ca="1"/>
        <v>0.18091337045431488</v>
      </c>
      <c r="D4385" s="106">
        <f t="shared" ca="1" si="249"/>
        <v>0.67646700328611831</v>
      </c>
      <c r="E4385" s="106">
        <f t="shared" ca="1" si="250"/>
        <v>0</v>
      </c>
      <c r="F4385" s="21">
        <f t="shared" ca="1" si="251"/>
        <v>0</v>
      </c>
      <c r="H4385" s="21">
        <v>4370</v>
      </c>
      <c r="I4385" s="107">
        <v>0.66780435216124368</v>
      </c>
      <c r="J4385" s="108">
        <v>1.4991309812148297E-3</v>
      </c>
      <c r="K4385" s="108"/>
      <c r="L4385" s="108">
        <v>4.4600000000000001E-2</v>
      </c>
      <c r="O4385" s="105"/>
    </row>
    <row r="4386" spans="2:15" x14ac:dyDescent="0.2">
      <c r="B4386" s="1">
        <f t="shared" si="248"/>
        <v>4371</v>
      </c>
      <c r="C4386" s="106">
        <f ca="1"/>
        <v>-0.84588653301163652</v>
      </c>
      <c r="D4386" s="106">
        <f t="shared" ca="1" si="249"/>
        <v>0.6113066815343936</v>
      </c>
      <c r="E4386" s="106">
        <f t="shared" ca="1" si="250"/>
        <v>0</v>
      </c>
      <c r="F4386" s="21">
        <f t="shared" ca="1" si="251"/>
        <v>0</v>
      </c>
      <c r="H4386" s="21">
        <v>4371</v>
      </c>
      <c r="I4386" s="107">
        <v>0.66775883348767662</v>
      </c>
      <c r="J4386" s="108">
        <v>1.3876659315845473E-3</v>
      </c>
      <c r="K4386" s="108"/>
      <c r="L4386" s="108">
        <v>4.3200000000000002E-2</v>
      </c>
      <c r="O4386" s="105"/>
    </row>
    <row r="4387" spans="2:15" x14ac:dyDescent="0.2">
      <c r="B4387" s="1">
        <f t="shared" si="248"/>
        <v>4372</v>
      </c>
      <c r="C4387" s="106">
        <f ca="1"/>
        <v>-0.60367613920441698</v>
      </c>
      <c r="D4387" s="106">
        <f t="shared" ca="1" si="249"/>
        <v>0.62608786543853323</v>
      </c>
      <c r="E4387" s="106">
        <f t="shared" ca="1" si="250"/>
        <v>0</v>
      </c>
      <c r="F4387" s="21">
        <f t="shared" ca="1" si="251"/>
        <v>0</v>
      </c>
      <c r="H4387" s="21">
        <v>4372</v>
      </c>
      <c r="I4387" s="107">
        <v>0.66767999124993171</v>
      </c>
      <c r="J4387" s="108">
        <v>1.353020306728305E-3</v>
      </c>
      <c r="K4387" s="108"/>
      <c r="L4387" s="108">
        <v>4.1799999999999997E-2</v>
      </c>
      <c r="O4387" s="105"/>
    </row>
    <row r="4388" spans="2:15" x14ac:dyDescent="0.2">
      <c r="B4388" s="1">
        <f t="shared" si="248"/>
        <v>4373</v>
      </c>
      <c r="C4388" s="106">
        <f ca="1"/>
        <v>-9.7512277403657754E-2</v>
      </c>
      <c r="D4388" s="106">
        <f t="shared" ca="1" si="249"/>
        <v>0.65814113273077646</v>
      </c>
      <c r="E4388" s="106">
        <f t="shared" ca="1" si="250"/>
        <v>0</v>
      </c>
      <c r="F4388" s="21">
        <f t="shared" ca="1" si="251"/>
        <v>0</v>
      </c>
      <c r="H4388" s="21">
        <v>4373</v>
      </c>
      <c r="I4388" s="107">
        <v>0.66771216727621718</v>
      </c>
      <c r="J4388" s="108">
        <v>1.3505712441731835E-3</v>
      </c>
      <c r="K4388" s="108"/>
      <c r="L4388" s="108">
        <v>4.24E-2</v>
      </c>
      <c r="O4388" s="105"/>
    </row>
    <row r="4389" spans="2:15" x14ac:dyDescent="0.2">
      <c r="B4389" s="1">
        <f t="shared" si="248"/>
        <v>4374</v>
      </c>
      <c r="C4389" s="106">
        <f ca="1"/>
        <v>1.0093318651687793</v>
      </c>
      <c r="D4389" s="106">
        <f t="shared" ca="1" si="249"/>
        <v>0.73406675357099505</v>
      </c>
      <c r="E4389" s="106">
        <f t="shared" ca="1" si="250"/>
        <v>0</v>
      </c>
      <c r="F4389" s="21">
        <f t="shared" ca="1" si="251"/>
        <v>0</v>
      </c>
      <c r="H4389" s="21">
        <v>4374</v>
      </c>
      <c r="I4389" s="107">
        <v>0.66775469357103612</v>
      </c>
      <c r="J4389" s="108">
        <v>1.3663312500371192E-3</v>
      </c>
      <c r="K4389" s="108"/>
      <c r="L4389" s="108">
        <v>4.0800000000000003E-2</v>
      </c>
      <c r="O4389" s="105"/>
    </row>
    <row r="4390" spans="2:15" x14ac:dyDescent="0.2">
      <c r="B4390" s="1">
        <f t="shared" si="248"/>
        <v>4375</v>
      </c>
      <c r="C4390" s="106">
        <f ca="1"/>
        <v>0.77085233397363595</v>
      </c>
      <c r="D4390" s="106">
        <f t="shared" ca="1" si="249"/>
        <v>0.71700013743032343</v>
      </c>
      <c r="E4390" s="106">
        <f t="shared" ca="1" si="250"/>
        <v>0</v>
      </c>
      <c r="F4390" s="21">
        <f t="shared" ca="1" si="251"/>
        <v>0</v>
      </c>
      <c r="H4390" s="21">
        <v>4375</v>
      </c>
      <c r="I4390" s="107">
        <v>0.66775987801801218</v>
      </c>
      <c r="J4390" s="108">
        <v>1.3677379366787582E-3</v>
      </c>
      <c r="K4390" s="108"/>
      <c r="L4390" s="108">
        <v>4.3200000000000002E-2</v>
      </c>
      <c r="O4390" s="105"/>
    </row>
    <row r="4391" spans="2:15" x14ac:dyDescent="0.2">
      <c r="B4391" s="1">
        <f t="shared" si="248"/>
        <v>4376</v>
      </c>
      <c r="C4391" s="106">
        <f ca="1"/>
        <v>-1.3646436692849082</v>
      </c>
      <c r="D4391" s="106">
        <f t="shared" ca="1" si="249"/>
        <v>0.58081243612587241</v>
      </c>
      <c r="E4391" s="106">
        <f t="shared" ca="1" si="250"/>
        <v>0</v>
      </c>
      <c r="F4391" s="21">
        <f t="shared" ca="1" si="251"/>
        <v>0</v>
      </c>
      <c r="H4391" s="21">
        <v>4376</v>
      </c>
      <c r="I4391" s="107">
        <v>0.6675530636478797</v>
      </c>
      <c r="J4391" s="108">
        <v>1.1333013282164382E-3</v>
      </c>
      <c r="K4391" s="108"/>
      <c r="L4391" s="108">
        <v>3.7999999999999999E-2</v>
      </c>
      <c r="O4391" s="105"/>
    </row>
    <row r="4392" spans="2:15" x14ac:dyDescent="0.2">
      <c r="B4392" s="1">
        <f t="shared" si="248"/>
        <v>4377</v>
      </c>
      <c r="C4392" s="106">
        <f ca="1"/>
        <v>0.37391453928075041</v>
      </c>
      <c r="D4392" s="106">
        <f t="shared" ca="1" si="249"/>
        <v>0.68946887993027517</v>
      </c>
      <c r="E4392" s="106">
        <f t="shared" ca="1" si="250"/>
        <v>0</v>
      </c>
      <c r="F4392" s="21">
        <f t="shared" ca="1" si="251"/>
        <v>0</v>
      </c>
      <c r="H4392" s="21">
        <v>4377</v>
      </c>
      <c r="I4392" s="107">
        <v>0.66760616723401378</v>
      </c>
      <c r="J4392" s="108">
        <v>1.2540065126489949E-3</v>
      </c>
      <c r="K4392" s="108"/>
      <c r="L4392" s="108">
        <v>3.7600000000000001E-2</v>
      </c>
      <c r="O4392" s="105"/>
    </row>
    <row r="4393" spans="2:15" x14ac:dyDescent="0.2">
      <c r="B4393" s="1">
        <f t="shared" si="248"/>
        <v>4378</v>
      </c>
      <c r="C4393" s="106">
        <f ca="1"/>
        <v>0.60549569223126942</v>
      </c>
      <c r="D4393" s="106">
        <f t="shared" ca="1" si="249"/>
        <v>0.70540001136118968</v>
      </c>
      <c r="E4393" s="106">
        <f t="shared" ca="1" si="250"/>
        <v>0</v>
      </c>
      <c r="F4393" s="21">
        <f t="shared" ca="1" si="251"/>
        <v>0</v>
      </c>
      <c r="H4393" s="21">
        <v>4378</v>
      </c>
      <c r="I4393" s="107">
        <v>0.667769753569605</v>
      </c>
      <c r="J4393" s="108">
        <v>1.3852337508834264E-3</v>
      </c>
      <c r="K4393" s="108"/>
      <c r="L4393" s="108">
        <v>4.4400000000000002E-2</v>
      </c>
      <c r="O4393" s="105"/>
    </row>
    <row r="4394" spans="2:15" x14ac:dyDescent="0.2">
      <c r="B4394" s="1">
        <f t="shared" si="248"/>
        <v>4379</v>
      </c>
      <c r="C4394" s="106">
        <f ca="1"/>
        <v>2.7560578349116304E-2</v>
      </c>
      <c r="D4394" s="106">
        <f t="shared" ca="1" si="249"/>
        <v>0.6663111462923117</v>
      </c>
      <c r="E4394" s="106">
        <f t="shared" ca="1" si="250"/>
        <v>0</v>
      </c>
      <c r="F4394" s="21">
        <f t="shared" ca="1" si="251"/>
        <v>0</v>
      </c>
      <c r="H4394" s="21">
        <v>4379</v>
      </c>
      <c r="I4394" s="107">
        <v>0.66763413767789148</v>
      </c>
      <c r="J4394" s="108">
        <v>1.3139582953645493E-3</v>
      </c>
      <c r="K4394" s="108"/>
      <c r="L4394" s="108">
        <v>3.8399999999999997E-2</v>
      </c>
      <c r="O4394" s="105"/>
    </row>
    <row r="4395" spans="2:15" x14ac:dyDescent="0.2">
      <c r="B4395" s="1">
        <f t="shared" si="248"/>
        <v>4380</v>
      </c>
      <c r="C4395" s="106">
        <f ca="1"/>
        <v>1.3396354552111265</v>
      </c>
      <c r="D4395" s="106">
        <f t="shared" ca="1" si="249"/>
        <v>0.75837770525247972</v>
      </c>
      <c r="E4395" s="106">
        <f t="shared" ca="1" si="250"/>
        <v>0</v>
      </c>
      <c r="F4395" s="21">
        <f t="shared" ca="1" si="251"/>
        <v>0</v>
      </c>
      <c r="H4395" s="21">
        <v>4380</v>
      </c>
      <c r="I4395" s="107">
        <v>0.66779134121294437</v>
      </c>
      <c r="J4395" s="108">
        <v>1.3379318387567612E-3</v>
      </c>
      <c r="K4395" s="108"/>
      <c r="L4395" s="108">
        <v>4.1799999999999997E-2</v>
      </c>
      <c r="O4395" s="105"/>
    </row>
    <row r="4396" spans="2:15" x14ac:dyDescent="0.2">
      <c r="B4396" s="1">
        <f t="shared" si="248"/>
        <v>4381</v>
      </c>
      <c r="C4396" s="106">
        <f ca="1"/>
        <v>0.52458863193925653</v>
      </c>
      <c r="D4396" s="106">
        <f t="shared" ca="1" si="249"/>
        <v>0.69979277410078533</v>
      </c>
      <c r="E4396" s="106">
        <f t="shared" ca="1" si="250"/>
        <v>0</v>
      </c>
      <c r="F4396" s="21">
        <f t="shared" ca="1" si="251"/>
        <v>0</v>
      </c>
      <c r="H4396" s="21">
        <v>4381</v>
      </c>
      <c r="I4396" s="107">
        <v>0.6678315069061127</v>
      </c>
      <c r="J4396" s="108">
        <v>1.466047783000191E-3</v>
      </c>
      <c r="K4396" s="108"/>
      <c r="L4396" s="108">
        <v>4.2799999999999998E-2</v>
      </c>
      <c r="O4396" s="105"/>
    </row>
    <row r="4397" spans="2:15" x14ac:dyDescent="0.2">
      <c r="B4397" s="1">
        <f t="shared" si="248"/>
        <v>4382</v>
      </c>
      <c r="C4397" s="106">
        <f ca="1"/>
        <v>0.15215142537976264</v>
      </c>
      <c r="D4397" s="106">
        <f t="shared" ca="1" si="249"/>
        <v>0.67455050760743163</v>
      </c>
      <c r="E4397" s="106">
        <f t="shared" ca="1" si="250"/>
        <v>0</v>
      </c>
      <c r="F4397" s="21">
        <f t="shared" ca="1" si="251"/>
        <v>0</v>
      </c>
      <c r="H4397" s="21">
        <v>4382</v>
      </c>
      <c r="I4397" s="107">
        <v>0.66776316136201408</v>
      </c>
      <c r="J4397" s="108">
        <v>1.3569283362838355E-3</v>
      </c>
      <c r="K4397" s="108"/>
      <c r="L4397" s="108">
        <v>3.9600000000000003E-2</v>
      </c>
      <c r="O4397" s="105"/>
    </row>
    <row r="4398" spans="2:15" x14ac:dyDescent="0.2">
      <c r="B4398" s="1">
        <f t="shared" si="248"/>
        <v>4383</v>
      </c>
      <c r="C4398" s="106">
        <f ca="1"/>
        <v>-0.67123560048587128</v>
      </c>
      <c r="D4398" s="106">
        <f t="shared" ca="1" si="249"/>
        <v>0.62192939071662634</v>
      </c>
      <c r="E4398" s="106">
        <f t="shared" ca="1" si="250"/>
        <v>0</v>
      </c>
      <c r="F4398" s="21">
        <f t="shared" ca="1" si="251"/>
        <v>0</v>
      </c>
      <c r="H4398" s="21">
        <v>4383</v>
      </c>
      <c r="I4398" s="107">
        <v>0.66782349450762124</v>
      </c>
      <c r="J4398" s="108">
        <v>1.4427935806378617E-3</v>
      </c>
      <c r="K4398" s="108"/>
      <c r="L4398" s="108">
        <v>4.2999999999999997E-2</v>
      </c>
      <c r="O4398" s="105"/>
    </row>
    <row r="4399" spans="2:15" x14ac:dyDescent="0.2">
      <c r="B4399" s="1">
        <f t="shared" si="248"/>
        <v>4384</v>
      </c>
      <c r="C4399" s="106">
        <f ca="1"/>
        <v>-0.35628627493045062</v>
      </c>
      <c r="D4399" s="106">
        <f t="shared" ca="1" si="249"/>
        <v>0.64155414585581561</v>
      </c>
      <c r="E4399" s="106">
        <f t="shared" ca="1" si="250"/>
        <v>0</v>
      </c>
      <c r="F4399" s="21">
        <f t="shared" ca="1" si="251"/>
        <v>0</v>
      </c>
      <c r="H4399" s="21">
        <v>4384</v>
      </c>
      <c r="I4399" s="107">
        <v>0.66777196824987528</v>
      </c>
      <c r="J4399" s="108">
        <v>1.429296724119223E-3</v>
      </c>
      <c r="K4399" s="108"/>
      <c r="L4399" s="108">
        <v>4.2000000000000003E-2</v>
      </c>
      <c r="O4399" s="105"/>
    </row>
    <row r="4400" spans="2:15" x14ac:dyDescent="0.2">
      <c r="B4400" s="1">
        <f t="shared" ref="B4400:B4463" si="252">B4399+1</f>
        <v>4385</v>
      </c>
      <c r="C4400" s="106">
        <f ca="1"/>
        <v>1.1511183904323163</v>
      </c>
      <c r="D4400" s="106">
        <f t="shared" ca="1" si="249"/>
        <v>0.74440554986405105</v>
      </c>
      <c r="E4400" s="106">
        <f t="shared" ca="1" si="250"/>
        <v>0</v>
      </c>
      <c r="F4400" s="21">
        <f t="shared" ca="1" si="251"/>
        <v>0</v>
      </c>
      <c r="H4400" s="21">
        <v>4385</v>
      </c>
      <c r="I4400" s="107">
        <v>0.66775720207281497</v>
      </c>
      <c r="J4400" s="108">
        <v>1.4285066932541077E-3</v>
      </c>
      <c r="K4400" s="108"/>
      <c r="L4400" s="108">
        <v>4.24E-2</v>
      </c>
      <c r="O4400" s="105"/>
    </row>
    <row r="4401" spans="2:15" x14ac:dyDescent="0.2">
      <c r="B4401" s="1">
        <f t="shared" si="252"/>
        <v>4386</v>
      </c>
      <c r="C4401" s="106">
        <f ca="1"/>
        <v>0.20848942106216489</v>
      </c>
      <c r="D4401" s="106">
        <f t="shared" ca="1" si="249"/>
        <v>0.67830959192868423</v>
      </c>
      <c r="E4401" s="106">
        <f t="shared" ca="1" si="250"/>
        <v>0</v>
      </c>
      <c r="F4401" s="21">
        <f t="shared" ca="1" si="251"/>
        <v>0</v>
      </c>
      <c r="H4401" s="21">
        <v>4386</v>
      </c>
      <c r="I4401" s="107">
        <v>0.66775384453572706</v>
      </c>
      <c r="J4401" s="108">
        <v>1.3511536580653684E-3</v>
      </c>
      <c r="K4401" s="108"/>
      <c r="L4401" s="108">
        <v>4.3400000000000001E-2</v>
      </c>
      <c r="O4401" s="105"/>
    </row>
    <row r="4402" spans="2:15" x14ac:dyDescent="0.2">
      <c r="B4402" s="1">
        <f t="shared" si="252"/>
        <v>4387</v>
      </c>
      <c r="C4402" s="106">
        <f ca="1"/>
        <v>-0.39663336291218454</v>
      </c>
      <c r="D4402" s="106">
        <f t="shared" ca="1" si="249"/>
        <v>0.63900590498937537</v>
      </c>
      <c r="E4402" s="106">
        <f t="shared" ca="1" si="250"/>
        <v>0</v>
      </c>
      <c r="F4402" s="21">
        <f t="shared" ca="1" si="251"/>
        <v>0</v>
      </c>
      <c r="H4402" s="21">
        <v>4387</v>
      </c>
      <c r="I4402" s="107">
        <v>0.66777334727769633</v>
      </c>
      <c r="J4402" s="108">
        <v>1.4353251170246071E-3</v>
      </c>
      <c r="K4402" s="108"/>
      <c r="L4402" s="108">
        <v>4.1399999999999999E-2</v>
      </c>
      <c r="O4402" s="105"/>
    </row>
    <row r="4403" spans="2:15" x14ac:dyDescent="0.2">
      <c r="B4403" s="1">
        <f t="shared" si="252"/>
        <v>4388</v>
      </c>
      <c r="C4403" s="106">
        <f ca="1"/>
        <v>0.61162772459680415</v>
      </c>
      <c r="D4403" s="106">
        <f t="shared" ca="1" si="249"/>
        <v>0.70582681700565464</v>
      </c>
      <c r="E4403" s="106">
        <f t="shared" ca="1" si="250"/>
        <v>0</v>
      </c>
      <c r="F4403" s="21">
        <f t="shared" ca="1" si="251"/>
        <v>0</v>
      </c>
      <c r="H4403" s="21">
        <v>4388</v>
      </c>
      <c r="I4403" s="107">
        <v>0.66776230085881505</v>
      </c>
      <c r="J4403" s="108">
        <v>1.4626819367511974E-3</v>
      </c>
      <c r="K4403" s="108"/>
      <c r="L4403" s="108">
        <v>4.0599999999999997E-2</v>
      </c>
      <c r="O4403" s="105"/>
    </row>
    <row r="4404" spans="2:15" x14ac:dyDescent="0.2">
      <c r="B4404" s="1">
        <f t="shared" si="252"/>
        <v>4389</v>
      </c>
      <c r="C4404" s="106">
        <f ca="1"/>
        <v>-0.8250132285536389</v>
      </c>
      <c r="D4404" s="106">
        <f t="shared" ca="1" si="249"/>
        <v>0.61256664057627519</v>
      </c>
      <c r="E4404" s="106">
        <f t="shared" ca="1" si="250"/>
        <v>0</v>
      </c>
      <c r="F4404" s="21">
        <f t="shared" ca="1" si="251"/>
        <v>0</v>
      </c>
      <c r="H4404" s="21">
        <v>4389</v>
      </c>
      <c r="I4404" s="107">
        <v>0.66775279794521814</v>
      </c>
      <c r="J4404" s="108">
        <v>1.3379735265220405E-3</v>
      </c>
      <c r="K4404" s="108"/>
      <c r="L4404" s="108">
        <v>4.4999999999999998E-2</v>
      </c>
      <c r="O4404" s="105"/>
    </row>
    <row r="4405" spans="2:15" x14ac:dyDescent="0.2">
      <c r="B4405" s="1">
        <f t="shared" si="252"/>
        <v>4390</v>
      </c>
      <c r="C4405" s="106">
        <f ca="1"/>
        <v>-1.0005963359402947</v>
      </c>
      <c r="D4405" s="106">
        <f t="shared" ca="1" si="249"/>
        <v>0.60204848801855326</v>
      </c>
      <c r="E4405" s="106">
        <f t="shared" ca="1" si="250"/>
        <v>0</v>
      </c>
      <c r="F4405" s="21">
        <f t="shared" ca="1" si="251"/>
        <v>0</v>
      </c>
      <c r="H4405" s="21">
        <v>4390</v>
      </c>
      <c r="I4405" s="107">
        <v>0.66786558735702439</v>
      </c>
      <c r="J4405" s="108">
        <v>1.4100039332107302E-3</v>
      </c>
      <c r="K4405" s="108"/>
      <c r="L4405" s="108">
        <v>4.6399999999999997E-2</v>
      </c>
      <c r="O4405" s="105"/>
    </row>
    <row r="4406" spans="2:15" x14ac:dyDescent="0.2">
      <c r="B4406" s="1">
        <f t="shared" si="252"/>
        <v>4391</v>
      </c>
      <c r="C4406" s="106">
        <f ca="1"/>
        <v>0.34916382262708151</v>
      </c>
      <c r="D4406" s="106">
        <f t="shared" ca="1" si="249"/>
        <v>0.68778763378075081</v>
      </c>
      <c r="E4406" s="106">
        <f t="shared" ca="1" si="250"/>
        <v>0</v>
      </c>
      <c r="F4406" s="21">
        <f t="shared" ca="1" si="251"/>
        <v>0</v>
      </c>
      <c r="H4406" s="21">
        <v>4391</v>
      </c>
      <c r="I4406" s="107">
        <v>0.66769543759519934</v>
      </c>
      <c r="J4406" s="108">
        <v>1.2025198464668181E-3</v>
      </c>
      <c r="K4406" s="108"/>
      <c r="L4406" s="108">
        <v>3.9E-2</v>
      </c>
      <c r="O4406" s="105"/>
    </row>
    <row r="4407" spans="2:15" x14ac:dyDescent="0.2">
      <c r="B4407" s="1">
        <f t="shared" si="252"/>
        <v>4392</v>
      </c>
      <c r="C4407" s="106">
        <f ca="1"/>
        <v>-0.20024920372136334</v>
      </c>
      <c r="D4407" s="106">
        <f t="shared" ca="1" si="249"/>
        <v>0.65150514203417009</v>
      </c>
      <c r="E4407" s="106">
        <f t="shared" ca="1" si="250"/>
        <v>0</v>
      </c>
      <c r="F4407" s="21">
        <f t="shared" ca="1" si="251"/>
        <v>0</v>
      </c>
      <c r="H4407" s="21">
        <v>4392</v>
      </c>
      <c r="I4407" s="107">
        <v>0.6676590652009079</v>
      </c>
      <c r="J4407" s="108">
        <v>1.363800832875786E-3</v>
      </c>
      <c r="K4407" s="108"/>
      <c r="L4407" s="108">
        <v>3.9600000000000003E-2</v>
      </c>
      <c r="O4407" s="105"/>
    </row>
    <row r="4408" spans="2:15" x14ac:dyDescent="0.2">
      <c r="B4408" s="1">
        <f t="shared" si="252"/>
        <v>4393</v>
      </c>
      <c r="C4408" s="106">
        <f ca="1"/>
        <v>0.23188127720143029</v>
      </c>
      <c r="D4408" s="106">
        <f t="shared" ca="1" si="249"/>
        <v>0.67987653307969786</v>
      </c>
      <c r="E4408" s="106">
        <f t="shared" ca="1" si="250"/>
        <v>0</v>
      </c>
      <c r="F4408" s="21">
        <f t="shared" ca="1" si="251"/>
        <v>0</v>
      </c>
      <c r="H4408" s="21">
        <v>4393</v>
      </c>
      <c r="I4408" s="107">
        <v>0.66770906437313782</v>
      </c>
      <c r="J4408" s="108">
        <v>1.3104784095483125E-3</v>
      </c>
      <c r="K4408" s="108"/>
      <c r="L4408" s="108">
        <v>4.1799999999999997E-2</v>
      </c>
      <c r="O4408" s="105"/>
    </row>
    <row r="4409" spans="2:15" x14ac:dyDescent="0.2">
      <c r="B4409" s="1">
        <f t="shared" si="252"/>
        <v>4394</v>
      </c>
      <c r="C4409" s="106">
        <f ca="1"/>
        <v>1.2889311026206527</v>
      </c>
      <c r="D4409" s="106">
        <f t="shared" ca="1" si="249"/>
        <v>0.75459411514970121</v>
      </c>
      <c r="E4409" s="106">
        <f t="shared" ca="1" si="250"/>
        <v>0</v>
      </c>
      <c r="F4409" s="21">
        <f t="shared" ca="1" si="251"/>
        <v>0</v>
      </c>
      <c r="H4409" s="21">
        <v>4394</v>
      </c>
      <c r="I4409" s="107">
        <v>0.66776943475863559</v>
      </c>
      <c r="J4409" s="108">
        <v>1.3783429001042458E-3</v>
      </c>
      <c r="K4409" s="108"/>
      <c r="L4409" s="108">
        <v>4.2599999999999999E-2</v>
      </c>
      <c r="O4409" s="105"/>
    </row>
    <row r="4410" spans="2:15" x14ac:dyDescent="0.2">
      <c r="B4410" s="1">
        <f t="shared" si="252"/>
        <v>4395</v>
      </c>
      <c r="C4410" s="106">
        <f ca="1"/>
        <v>-1.7044664454859662</v>
      </c>
      <c r="D4410" s="106">
        <f t="shared" ca="1" si="249"/>
        <v>0.56166596573823224</v>
      </c>
      <c r="E4410" s="106">
        <f t="shared" ca="1" si="250"/>
        <v>0</v>
      </c>
      <c r="F4410" s="21">
        <f t="shared" ca="1" si="251"/>
        <v>0</v>
      </c>
      <c r="H4410" s="21">
        <v>4395</v>
      </c>
      <c r="I4410" s="107">
        <v>0.66780881453326446</v>
      </c>
      <c r="J4410" s="108">
        <v>1.3664977495281409E-3</v>
      </c>
      <c r="K4410" s="108"/>
      <c r="L4410" s="108">
        <v>4.3799999999999999E-2</v>
      </c>
      <c r="O4410" s="105"/>
    </row>
    <row r="4411" spans="2:15" x14ac:dyDescent="0.2">
      <c r="B4411" s="1">
        <f t="shared" si="252"/>
        <v>4396</v>
      </c>
      <c r="C4411" s="106">
        <f ca="1"/>
        <v>-0.66716952622648307</v>
      </c>
      <c r="D4411" s="106">
        <f t="shared" ca="1" si="249"/>
        <v>0.62217888602564897</v>
      </c>
      <c r="E4411" s="106">
        <f t="shared" ca="1" si="250"/>
        <v>0</v>
      </c>
      <c r="F4411" s="21">
        <f t="shared" ca="1" si="251"/>
        <v>0</v>
      </c>
      <c r="H4411" s="21">
        <v>4396</v>
      </c>
      <c r="I4411" s="107">
        <v>0.6677632155243105</v>
      </c>
      <c r="J4411" s="108">
        <v>1.3518752048210158E-3</v>
      </c>
      <c r="K4411" s="108"/>
      <c r="L4411" s="108">
        <v>4.02E-2</v>
      </c>
      <c r="O4411" s="105"/>
    </row>
    <row r="4412" spans="2:15" x14ac:dyDescent="0.2">
      <c r="B4412" s="1">
        <f t="shared" si="252"/>
        <v>4397</v>
      </c>
      <c r="C4412" s="106">
        <f ca="1"/>
        <v>-0.20837439369179858</v>
      </c>
      <c r="D4412" s="106">
        <f t="shared" ca="1" si="249"/>
        <v>0.65098318320925053</v>
      </c>
      <c r="E4412" s="106">
        <f t="shared" ca="1" si="250"/>
        <v>0</v>
      </c>
      <c r="F4412" s="21">
        <f t="shared" ca="1" si="251"/>
        <v>0</v>
      </c>
      <c r="H4412" s="21">
        <v>4397</v>
      </c>
      <c r="I4412" s="107">
        <v>0.66775748789517719</v>
      </c>
      <c r="J4412" s="108">
        <v>1.3775870093905476E-3</v>
      </c>
      <c r="K4412" s="108"/>
      <c r="L4412" s="108">
        <v>4.4400000000000002E-2</v>
      </c>
      <c r="O4412" s="105"/>
    </row>
    <row r="4413" spans="2:15" x14ac:dyDescent="0.2">
      <c r="B4413" s="1">
        <f t="shared" si="252"/>
        <v>4398</v>
      </c>
      <c r="C4413" s="106">
        <f ca="1"/>
        <v>-0.26114107978679951</v>
      </c>
      <c r="D4413" s="106">
        <f t="shared" ca="1" si="249"/>
        <v>0.64760363431217505</v>
      </c>
      <c r="E4413" s="106">
        <f t="shared" ca="1" si="250"/>
        <v>0</v>
      </c>
      <c r="F4413" s="21">
        <f t="shared" ca="1" si="251"/>
        <v>0</v>
      </c>
      <c r="H4413" s="21">
        <v>4398</v>
      </c>
      <c r="I4413" s="107">
        <v>0.66783772981277734</v>
      </c>
      <c r="J4413" s="108">
        <v>1.4108033918564071E-3</v>
      </c>
      <c r="K4413" s="108"/>
      <c r="L4413" s="108">
        <v>4.58E-2</v>
      </c>
      <c r="O4413" s="105"/>
    </row>
    <row r="4414" spans="2:15" x14ac:dyDescent="0.2">
      <c r="B4414" s="1">
        <f t="shared" si="252"/>
        <v>4399</v>
      </c>
      <c r="C4414" s="106">
        <f ca="1"/>
        <v>0.99133979014903961</v>
      </c>
      <c r="D4414" s="106">
        <f t="shared" ca="1" si="249"/>
        <v>0.73276511508449715</v>
      </c>
      <c r="E4414" s="106">
        <f t="shared" ca="1" si="250"/>
        <v>0</v>
      </c>
      <c r="F4414" s="21">
        <f t="shared" ca="1" si="251"/>
        <v>0</v>
      </c>
      <c r="H4414" s="21">
        <v>4399</v>
      </c>
      <c r="I4414" s="107">
        <v>0.66777570853789969</v>
      </c>
      <c r="J4414" s="108">
        <v>1.3674533655132928E-3</v>
      </c>
      <c r="K4414" s="108"/>
      <c r="L4414" s="108">
        <v>4.1799999999999997E-2</v>
      </c>
      <c r="O4414" s="105"/>
    </row>
    <row r="4415" spans="2:15" x14ac:dyDescent="0.2">
      <c r="B4415" s="1">
        <f t="shared" si="252"/>
        <v>4400</v>
      </c>
      <c r="C4415" s="106">
        <f ca="1"/>
        <v>0.56984155492637534</v>
      </c>
      <c r="D4415" s="106">
        <f t="shared" ca="1" si="249"/>
        <v>0.70292349718227598</v>
      </c>
      <c r="E4415" s="106">
        <f t="shared" ca="1" si="250"/>
        <v>0</v>
      </c>
      <c r="F4415" s="21">
        <f t="shared" ca="1" si="251"/>
        <v>0</v>
      </c>
      <c r="H4415" s="21">
        <v>4400</v>
      </c>
      <c r="I4415" s="107">
        <v>0.66766339231819938</v>
      </c>
      <c r="J4415" s="108">
        <v>1.2398351332138552E-3</v>
      </c>
      <c r="K4415" s="108"/>
      <c r="L4415" s="108">
        <v>4.02E-2</v>
      </c>
      <c r="O4415" s="105"/>
    </row>
    <row r="4416" spans="2:15" x14ac:dyDescent="0.2">
      <c r="B4416" s="1">
        <f t="shared" si="252"/>
        <v>4401</v>
      </c>
      <c r="C4416" s="106">
        <f ca="1"/>
        <v>0.39641712210540941</v>
      </c>
      <c r="D4416" s="106">
        <f t="shared" ca="1" si="249"/>
        <v>0.69100098315120506</v>
      </c>
      <c r="E4416" s="106">
        <f t="shared" ca="1" si="250"/>
        <v>0</v>
      </c>
      <c r="F4416" s="21">
        <f t="shared" ca="1" si="251"/>
        <v>0</v>
      </c>
      <c r="H4416" s="21">
        <v>4401</v>
      </c>
      <c r="I4416" s="107">
        <v>0.66768469231556771</v>
      </c>
      <c r="J4416" s="108">
        <v>1.4109007303113716E-3</v>
      </c>
      <c r="K4416" s="108"/>
      <c r="L4416" s="108">
        <v>4.2200000000000001E-2</v>
      </c>
      <c r="O4416" s="105"/>
    </row>
    <row r="4417" spans="2:15" x14ac:dyDescent="0.2">
      <c r="B4417" s="1">
        <f t="shared" si="252"/>
        <v>4402</v>
      </c>
      <c r="C4417" s="106">
        <f ca="1"/>
        <v>0.61080031203881124</v>
      </c>
      <c r="D4417" s="106">
        <f t="shared" ca="1" si="249"/>
        <v>0.70576921183855468</v>
      </c>
      <c r="E4417" s="106">
        <f t="shared" ca="1" si="250"/>
        <v>0</v>
      </c>
      <c r="F4417" s="21">
        <f t="shared" ca="1" si="251"/>
        <v>0</v>
      </c>
      <c r="H4417" s="21">
        <v>4402</v>
      </c>
      <c r="I4417" s="107">
        <v>0.66760058085964058</v>
      </c>
      <c r="J4417" s="108">
        <v>1.2835650350584453E-3</v>
      </c>
      <c r="K4417" s="108"/>
      <c r="L4417" s="108">
        <v>3.9199999999999999E-2</v>
      </c>
      <c r="O4417" s="105"/>
    </row>
    <row r="4418" spans="2:15" x14ac:dyDescent="0.2">
      <c r="B4418" s="1">
        <f t="shared" si="252"/>
        <v>4403</v>
      </c>
      <c r="C4418" s="106">
        <f ca="1"/>
        <v>1.6064875616523153</v>
      </c>
      <c r="D4418" s="106">
        <f t="shared" ca="1" si="249"/>
        <v>0.77860526632223881</v>
      </c>
      <c r="E4418" s="106">
        <f t="shared" ca="1" si="250"/>
        <v>0</v>
      </c>
      <c r="F4418" s="21">
        <f t="shared" ca="1" si="251"/>
        <v>0</v>
      </c>
      <c r="H4418" s="21">
        <v>4403</v>
      </c>
      <c r="I4418" s="107">
        <v>0.66779958321152988</v>
      </c>
      <c r="J4418" s="108">
        <v>1.4703732929785473E-3</v>
      </c>
      <c r="K4418" s="108"/>
      <c r="L4418" s="108">
        <v>4.2599999999999999E-2</v>
      </c>
      <c r="O4418" s="105"/>
    </row>
    <row r="4419" spans="2:15" x14ac:dyDescent="0.2">
      <c r="B4419" s="1">
        <f t="shared" si="252"/>
        <v>4404</v>
      </c>
      <c r="C4419" s="106">
        <f ca="1"/>
        <v>-0.57806957212459353</v>
      </c>
      <c r="D4419" s="106">
        <f t="shared" ca="1" si="249"/>
        <v>0.6276712782209205</v>
      </c>
      <c r="E4419" s="106">
        <f t="shared" ca="1" si="250"/>
        <v>0</v>
      </c>
      <c r="F4419" s="21">
        <f t="shared" ca="1" si="251"/>
        <v>0</v>
      </c>
      <c r="H4419" s="21">
        <v>4404</v>
      </c>
      <c r="I4419" s="107">
        <v>0.66767796908510624</v>
      </c>
      <c r="J4419" s="108">
        <v>1.1360688099870671E-3</v>
      </c>
      <c r="K4419" s="108"/>
      <c r="L4419" s="108">
        <v>4.1000000000000002E-2</v>
      </c>
      <c r="O4419" s="105"/>
    </row>
    <row r="4420" spans="2:15" x14ac:dyDescent="0.2">
      <c r="B4420" s="1">
        <f t="shared" si="252"/>
        <v>4405</v>
      </c>
      <c r="C4420" s="106">
        <f ca="1"/>
        <v>0.13294862944986052</v>
      </c>
      <c r="D4420" s="106">
        <f t="shared" ca="1" si="249"/>
        <v>0.67327399065207194</v>
      </c>
      <c r="E4420" s="106">
        <f t="shared" ca="1" si="250"/>
        <v>0</v>
      </c>
      <c r="F4420" s="21">
        <f t="shared" ca="1" si="251"/>
        <v>0</v>
      </c>
      <c r="H4420" s="21">
        <v>4405</v>
      </c>
      <c r="I4420" s="107">
        <v>0.66781411502423893</v>
      </c>
      <c r="J4420" s="108">
        <v>1.5705512147385281E-3</v>
      </c>
      <c r="K4420" s="108"/>
      <c r="L4420" s="108">
        <v>4.3999999999999997E-2</v>
      </c>
      <c r="O4420" s="105"/>
    </row>
    <row r="4421" spans="2:15" x14ac:dyDescent="0.2">
      <c r="B4421" s="1">
        <f t="shared" si="252"/>
        <v>4406</v>
      </c>
      <c r="C4421" s="106">
        <f ca="1"/>
        <v>-0.12432960988595959</v>
      </c>
      <c r="D4421" s="106">
        <f t="shared" ca="1" si="249"/>
        <v>0.65640245448994672</v>
      </c>
      <c r="E4421" s="106">
        <f t="shared" ca="1" si="250"/>
        <v>0</v>
      </c>
      <c r="F4421" s="21">
        <f t="shared" ca="1" si="251"/>
        <v>0</v>
      </c>
      <c r="H4421" s="21">
        <v>4406</v>
      </c>
      <c r="I4421" s="107">
        <v>0.6678110552516382</v>
      </c>
      <c r="J4421" s="108">
        <v>1.4458910573014192E-3</v>
      </c>
      <c r="K4421" s="108"/>
      <c r="L4421" s="108">
        <v>4.4999999999999998E-2</v>
      </c>
      <c r="O4421" s="105"/>
    </row>
    <row r="4422" spans="2:15" x14ac:dyDescent="0.2">
      <c r="B4422" s="1">
        <f t="shared" si="252"/>
        <v>4407</v>
      </c>
      <c r="C4422" s="106">
        <f ca="1"/>
        <v>-5.5280656501239103E-2</v>
      </c>
      <c r="D4422" s="106">
        <f t="shared" ca="1" si="249"/>
        <v>0.66088852446838731</v>
      </c>
      <c r="E4422" s="106">
        <f t="shared" ca="1" si="250"/>
        <v>0</v>
      </c>
      <c r="F4422" s="21">
        <f t="shared" ca="1" si="251"/>
        <v>0</v>
      </c>
      <c r="H4422" s="21">
        <v>4407</v>
      </c>
      <c r="I4422" s="107">
        <v>0.66780525745181163</v>
      </c>
      <c r="J4422" s="108">
        <v>1.5280619370942345E-3</v>
      </c>
      <c r="K4422" s="108"/>
      <c r="L4422" s="108">
        <v>4.36E-2</v>
      </c>
      <c r="O4422" s="105"/>
    </row>
    <row r="4423" spans="2:15" x14ac:dyDescent="0.2">
      <c r="B4423" s="1">
        <f t="shared" si="252"/>
        <v>4408</v>
      </c>
      <c r="C4423" s="106">
        <f ca="1"/>
        <v>0.53212435724008622</v>
      </c>
      <c r="D4423" s="106">
        <f t="shared" ca="1" si="249"/>
        <v>0.7003131471982712</v>
      </c>
      <c r="E4423" s="106">
        <f t="shared" ca="1" si="250"/>
        <v>0</v>
      </c>
      <c r="F4423" s="21">
        <f t="shared" ca="1" si="251"/>
        <v>0</v>
      </c>
      <c r="H4423" s="21">
        <v>4408</v>
      </c>
      <c r="I4423" s="107">
        <v>0.66771234175266048</v>
      </c>
      <c r="J4423" s="108">
        <v>1.4025185204068799E-3</v>
      </c>
      <c r="K4423" s="108"/>
      <c r="L4423" s="108">
        <v>3.7999999999999999E-2</v>
      </c>
      <c r="O4423" s="105"/>
    </row>
    <row r="4424" spans="2:15" x14ac:dyDescent="0.2">
      <c r="B4424" s="1">
        <f t="shared" si="252"/>
        <v>4409</v>
      </c>
      <c r="C4424" s="106">
        <f ca="1"/>
        <v>1.0883438630983533</v>
      </c>
      <c r="D4424" s="106">
        <f t="shared" ca="1" si="249"/>
        <v>0.73981031157274912</v>
      </c>
      <c r="E4424" s="106">
        <f t="shared" ca="1" si="250"/>
        <v>0</v>
      </c>
      <c r="F4424" s="21">
        <f t="shared" ca="1" si="251"/>
        <v>0</v>
      </c>
      <c r="H4424" s="21">
        <v>4409</v>
      </c>
      <c r="I4424" s="107">
        <v>0.66773198123902389</v>
      </c>
      <c r="J4424" s="108">
        <v>1.5556560159991975E-3</v>
      </c>
      <c r="K4424" s="108"/>
      <c r="L4424" s="108">
        <v>4.2999999999999997E-2</v>
      </c>
      <c r="O4424" s="105"/>
    </row>
    <row r="4425" spans="2:15" x14ac:dyDescent="0.2">
      <c r="B4425" s="1">
        <f t="shared" si="252"/>
        <v>4410</v>
      </c>
      <c r="C4425" s="106">
        <f ca="1"/>
        <v>-0.46093044597024518</v>
      </c>
      <c r="D4425" s="106">
        <f t="shared" ca="1" si="249"/>
        <v>0.63496593120265443</v>
      </c>
      <c r="E4425" s="106">
        <f t="shared" ca="1" si="250"/>
        <v>0</v>
      </c>
      <c r="F4425" s="21">
        <f t="shared" ca="1" si="251"/>
        <v>0</v>
      </c>
      <c r="H4425" s="21">
        <v>4410</v>
      </c>
      <c r="I4425" s="107">
        <v>0.66777940976378414</v>
      </c>
      <c r="J4425" s="108">
        <v>1.376231323813057E-3</v>
      </c>
      <c r="K4425" s="108"/>
      <c r="L4425" s="108">
        <v>4.2599999999999999E-2</v>
      </c>
      <c r="O4425" s="105"/>
    </row>
    <row r="4426" spans="2:15" x14ac:dyDescent="0.2">
      <c r="B4426" s="1">
        <f t="shared" si="252"/>
        <v>4411</v>
      </c>
      <c r="C4426" s="106">
        <f ca="1"/>
        <v>2.0002268817003506</v>
      </c>
      <c r="D4426" s="106">
        <f t="shared" ca="1" si="249"/>
        <v>0.80944041846527248</v>
      </c>
      <c r="E4426" s="106">
        <f t="shared" ca="1" si="250"/>
        <v>2.124041846527247E-2</v>
      </c>
      <c r="F4426" s="21">
        <f t="shared" ca="1" si="251"/>
        <v>1</v>
      </c>
      <c r="H4426" s="21">
        <v>4411</v>
      </c>
      <c r="I4426" s="107">
        <v>0.66775198842489258</v>
      </c>
      <c r="J4426" s="108">
        <v>1.2938486825250892E-3</v>
      </c>
      <c r="K4426" s="108"/>
      <c r="L4426" s="108">
        <v>4.1200000000000001E-2</v>
      </c>
      <c r="O4426" s="105"/>
    </row>
    <row r="4427" spans="2:15" x14ac:dyDescent="0.2">
      <c r="B4427" s="1">
        <f t="shared" si="252"/>
        <v>4412</v>
      </c>
      <c r="C4427" s="106">
        <f ca="1"/>
        <v>-0.80613400368416011</v>
      </c>
      <c r="D4427" s="106">
        <f t="shared" ca="1" si="249"/>
        <v>0.6137084690060417</v>
      </c>
      <c r="E4427" s="106">
        <f t="shared" ca="1" si="250"/>
        <v>0</v>
      </c>
      <c r="F4427" s="21">
        <f t="shared" ca="1" si="251"/>
        <v>0</v>
      </c>
      <c r="H4427" s="21">
        <v>4412</v>
      </c>
      <c r="I4427" s="107">
        <v>0.66769088606575633</v>
      </c>
      <c r="J4427" s="108">
        <v>1.356079035958581E-3</v>
      </c>
      <c r="K4427" s="108"/>
      <c r="L4427" s="108">
        <v>3.8600000000000002E-2</v>
      </c>
      <c r="O4427" s="105"/>
    </row>
    <row r="4428" spans="2:15" x14ac:dyDescent="0.2">
      <c r="B4428" s="1">
        <f t="shared" si="252"/>
        <v>4413</v>
      </c>
      <c r="C4428" s="106">
        <f ca="1"/>
        <v>-0.81245587625310745</v>
      </c>
      <c r="D4428" s="106">
        <f t="shared" ca="1" si="249"/>
        <v>0.6133258810016925</v>
      </c>
      <c r="E4428" s="106">
        <f t="shared" ca="1" si="250"/>
        <v>0</v>
      </c>
      <c r="F4428" s="21">
        <f t="shared" ca="1" si="251"/>
        <v>0</v>
      </c>
      <c r="H4428" s="21">
        <v>4413</v>
      </c>
      <c r="I4428" s="107">
        <v>0.66783366027663604</v>
      </c>
      <c r="J4428" s="108">
        <v>1.5318175406399443E-3</v>
      </c>
      <c r="K4428" s="108"/>
      <c r="L4428" s="108">
        <v>4.58E-2</v>
      </c>
      <c r="O4428" s="105"/>
    </row>
    <row r="4429" spans="2:15" x14ac:dyDescent="0.2">
      <c r="B4429" s="1">
        <f t="shared" si="252"/>
        <v>4414</v>
      </c>
      <c r="C4429" s="106">
        <f ca="1"/>
        <v>-0.72274219138033446</v>
      </c>
      <c r="D4429" s="106">
        <f t="shared" ca="1" si="249"/>
        <v>0.61877758093355795</v>
      </c>
      <c r="E4429" s="106">
        <f t="shared" ca="1" si="250"/>
        <v>0</v>
      </c>
      <c r="F4429" s="21">
        <f t="shared" ca="1" si="251"/>
        <v>0</v>
      </c>
      <c r="H4429" s="21">
        <v>4414</v>
      </c>
      <c r="I4429" s="107">
        <v>0.66782966906715524</v>
      </c>
      <c r="J4429" s="108">
        <v>1.4760221649733449E-3</v>
      </c>
      <c r="K4429" s="108"/>
      <c r="L4429" s="108">
        <v>4.4400000000000002E-2</v>
      </c>
      <c r="O4429" s="105"/>
    </row>
    <row r="4430" spans="2:15" x14ac:dyDescent="0.2">
      <c r="B4430" s="1">
        <f t="shared" si="252"/>
        <v>4415</v>
      </c>
      <c r="C4430" s="106">
        <f ca="1"/>
        <v>-0.86804784213730612</v>
      </c>
      <c r="D4430" s="106">
        <f t="shared" ca="1" si="249"/>
        <v>0.60997181190242433</v>
      </c>
      <c r="E4430" s="106">
        <f t="shared" ca="1" si="250"/>
        <v>0</v>
      </c>
      <c r="F4430" s="21">
        <f t="shared" ca="1" si="251"/>
        <v>0</v>
      </c>
      <c r="H4430" s="21">
        <v>4415</v>
      </c>
      <c r="I4430" s="107">
        <v>0.66771933361704183</v>
      </c>
      <c r="J4430" s="108">
        <v>1.2781526915164132E-3</v>
      </c>
      <c r="K4430" s="108"/>
      <c r="L4430" s="108">
        <v>3.9399999999999998E-2</v>
      </c>
      <c r="O4430" s="105"/>
    </row>
    <row r="4431" spans="2:15" x14ac:dyDescent="0.2">
      <c r="B4431" s="1">
        <f t="shared" si="252"/>
        <v>4416</v>
      </c>
      <c r="C4431" s="106">
        <f ca="1"/>
        <v>7.3600968545209533E-2</v>
      </c>
      <c r="D4431" s="106">
        <f t="shared" ca="1" si="249"/>
        <v>0.66934407023026399</v>
      </c>
      <c r="E4431" s="106">
        <f t="shared" ca="1" si="250"/>
        <v>0</v>
      </c>
      <c r="F4431" s="21">
        <f t="shared" ca="1" si="251"/>
        <v>0</v>
      </c>
      <c r="H4431" s="21">
        <v>4416</v>
      </c>
      <c r="I4431" s="107">
        <v>0.66769354309852436</v>
      </c>
      <c r="J4431" s="108">
        <v>1.3093710494178747E-3</v>
      </c>
      <c r="K4431" s="108"/>
      <c r="L4431" s="108">
        <v>4.2599999999999999E-2</v>
      </c>
      <c r="O4431" s="105"/>
    </row>
    <row r="4432" spans="2:15" x14ac:dyDescent="0.2">
      <c r="B4432" s="1">
        <f t="shared" si="252"/>
        <v>4417</v>
      </c>
      <c r="C4432" s="106">
        <f ca="1"/>
        <v>-0.13413411225009772</v>
      </c>
      <c r="D4432" s="106">
        <f t="shared" ref="D4432:D4495" ca="1" si="253">S0*EXP((μ-0.5*σ*σ)*T+σ*SQRT(T)*$C4432)</f>
        <v>0.65576793544760992</v>
      </c>
      <c r="E4432" s="106">
        <f t="shared" ref="E4432:E4495" ca="1" si="254">MAX(0,CP*(D4432-K))</f>
        <v>0</v>
      </c>
      <c r="F4432" s="21">
        <f t="shared" ref="F4432:F4495" ca="1" si="255">(CP*(D4432-K)&gt;0)*1</f>
        <v>0</v>
      </c>
      <c r="H4432" s="21">
        <v>4417</v>
      </c>
      <c r="I4432" s="107">
        <v>0.66774773150738198</v>
      </c>
      <c r="J4432" s="108">
        <v>1.3879462562000973E-3</v>
      </c>
      <c r="K4432" s="108"/>
      <c r="L4432" s="108">
        <v>4.5400000000000003E-2</v>
      </c>
      <c r="O4432" s="105"/>
    </row>
    <row r="4433" spans="2:15" x14ac:dyDescent="0.2">
      <c r="B4433" s="1">
        <f t="shared" si="252"/>
        <v>4418</v>
      </c>
      <c r="C4433" s="106">
        <f ca="1"/>
        <v>-1.0423846864884627</v>
      </c>
      <c r="D4433" s="106">
        <f t="shared" ca="1" si="253"/>
        <v>0.59957191684379718</v>
      </c>
      <c r="E4433" s="106">
        <f t="shared" ca="1" si="254"/>
        <v>0</v>
      </c>
      <c r="F4433" s="21">
        <f t="shared" ca="1" si="255"/>
        <v>0</v>
      </c>
      <c r="H4433" s="21">
        <v>4418</v>
      </c>
      <c r="I4433" s="107">
        <v>0.66782618283970974</v>
      </c>
      <c r="J4433" s="108">
        <v>1.6388069992769648E-3</v>
      </c>
      <c r="K4433" s="108"/>
      <c r="L4433" s="108">
        <v>4.4600000000000001E-2</v>
      </c>
      <c r="O4433" s="105"/>
    </row>
    <row r="4434" spans="2:15" x14ac:dyDescent="0.2">
      <c r="B4434" s="1">
        <f t="shared" si="252"/>
        <v>4419</v>
      </c>
      <c r="C4434" s="106">
        <f ca="1"/>
        <v>0.78327549249729</v>
      </c>
      <c r="D4434" s="106">
        <f t="shared" ca="1" si="253"/>
        <v>0.71787931438156349</v>
      </c>
      <c r="E4434" s="106">
        <f t="shared" ca="1" si="254"/>
        <v>0</v>
      </c>
      <c r="F4434" s="21">
        <f t="shared" ca="1" si="255"/>
        <v>0</v>
      </c>
      <c r="H4434" s="21">
        <v>4419</v>
      </c>
      <c r="I4434" s="107">
        <v>0.667742049221837</v>
      </c>
      <c r="J4434" s="108">
        <v>1.3421927173683493E-3</v>
      </c>
      <c r="K4434" s="108"/>
      <c r="L4434" s="108">
        <v>4.2200000000000001E-2</v>
      </c>
      <c r="O4434" s="105"/>
    </row>
    <row r="4435" spans="2:15" x14ac:dyDescent="0.2">
      <c r="B4435" s="1">
        <f t="shared" si="252"/>
        <v>4420</v>
      </c>
      <c r="C4435" s="106">
        <f ca="1"/>
        <v>-1.50876538650097</v>
      </c>
      <c r="D4435" s="106">
        <f t="shared" ca="1" si="253"/>
        <v>0.5726138143832139</v>
      </c>
      <c r="E4435" s="106">
        <f t="shared" ca="1" si="254"/>
        <v>0</v>
      </c>
      <c r="F4435" s="21">
        <f t="shared" ca="1" si="255"/>
        <v>0</v>
      </c>
      <c r="H4435" s="21">
        <v>4420</v>
      </c>
      <c r="I4435" s="107">
        <v>0.66776634273761515</v>
      </c>
      <c r="J4435" s="108">
        <v>1.3864304154775392E-3</v>
      </c>
      <c r="K4435" s="108"/>
      <c r="L4435" s="108">
        <v>4.36E-2</v>
      </c>
      <c r="O4435" s="105"/>
    </row>
    <row r="4436" spans="2:15" x14ac:dyDescent="0.2">
      <c r="B4436" s="1">
        <f t="shared" si="252"/>
        <v>4421</v>
      </c>
      <c r="C4436" s="106">
        <f ca="1"/>
        <v>0.8650561953997058</v>
      </c>
      <c r="D4436" s="106">
        <f t="shared" ca="1" si="253"/>
        <v>0.72369383713090807</v>
      </c>
      <c r="E4436" s="106">
        <f t="shared" ca="1" si="254"/>
        <v>0</v>
      </c>
      <c r="F4436" s="21">
        <f t="shared" ca="1" si="255"/>
        <v>0</v>
      </c>
      <c r="H4436" s="21">
        <v>4421</v>
      </c>
      <c r="I4436" s="107">
        <v>0.66782394581662297</v>
      </c>
      <c r="J4436" s="108">
        <v>1.3465429956194552E-3</v>
      </c>
      <c r="K4436" s="108"/>
      <c r="L4436" s="108">
        <v>4.36E-2</v>
      </c>
      <c r="O4436" s="105"/>
    </row>
    <row r="4437" spans="2:15" x14ac:dyDescent="0.2">
      <c r="B4437" s="1">
        <f t="shared" si="252"/>
        <v>4422</v>
      </c>
      <c r="C4437" s="106">
        <f ca="1"/>
        <v>2.8837985377362951</v>
      </c>
      <c r="D4437" s="106">
        <f t="shared" ca="1" si="253"/>
        <v>0.88315422631038953</v>
      </c>
      <c r="E4437" s="106">
        <f t="shared" ca="1" si="254"/>
        <v>9.4954226310389522E-2</v>
      </c>
      <c r="F4437" s="21">
        <f t="shared" ca="1" si="255"/>
        <v>1</v>
      </c>
      <c r="H4437" s="21">
        <v>4422</v>
      </c>
      <c r="I4437" s="107">
        <v>0.66759742406342204</v>
      </c>
      <c r="J4437" s="108">
        <v>1.2853454072926619E-3</v>
      </c>
      <c r="K4437" s="108"/>
      <c r="L4437" s="108">
        <v>3.9199999999999999E-2</v>
      </c>
      <c r="O4437" s="105"/>
    </row>
    <row r="4438" spans="2:15" x14ac:dyDescent="0.2">
      <c r="B4438" s="1">
        <f t="shared" si="252"/>
        <v>4423</v>
      </c>
      <c r="C4438" s="106">
        <f ca="1"/>
        <v>0.42116568803572463</v>
      </c>
      <c r="D4438" s="106">
        <f t="shared" ca="1" si="253"/>
        <v>0.69268993714196914</v>
      </c>
      <c r="E4438" s="106">
        <f t="shared" ca="1" si="254"/>
        <v>0</v>
      </c>
      <c r="F4438" s="21">
        <f t="shared" ca="1" si="255"/>
        <v>0</v>
      </c>
      <c r="H4438" s="21">
        <v>4423</v>
      </c>
      <c r="I4438" s="107">
        <v>0.66779016533946733</v>
      </c>
      <c r="J4438" s="108">
        <v>1.3872301699511572E-3</v>
      </c>
      <c r="K4438" s="108"/>
      <c r="L4438" s="108">
        <v>4.4400000000000002E-2</v>
      </c>
      <c r="O4438" s="105"/>
    </row>
    <row r="4439" spans="2:15" x14ac:dyDescent="0.2">
      <c r="B4439" s="1">
        <f t="shared" si="252"/>
        <v>4424</v>
      </c>
      <c r="C4439" s="106">
        <f ca="1"/>
        <v>-0.15376561456892177</v>
      </c>
      <c r="D4439" s="106">
        <f t="shared" ca="1" si="253"/>
        <v>0.65449928440429339</v>
      </c>
      <c r="E4439" s="106">
        <f t="shared" ca="1" si="254"/>
        <v>0</v>
      </c>
      <c r="F4439" s="21">
        <f t="shared" ca="1" si="255"/>
        <v>0</v>
      </c>
      <c r="H4439" s="21">
        <v>4424</v>
      </c>
      <c r="I4439" s="107">
        <v>0.66759223493399633</v>
      </c>
      <c r="J4439" s="108">
        <v>1.1482904091499734E-3</v>
      </c>
      <c r="K4439" s="108"/>
      <c r="L4439" s="108">
        <v>3.6799999999999999E-2</v>
      </c>
      <c r="O4439" s="105"/>
    </row>
    <row r="4440" spans="2:15" x14ac:dyDescent="0.2">
      <c r="B4440" s="1">
        <f t="shared" si="252"/>
        <v>4425</v>
      </c>
      <c r="C4440" s="106">
        <f ca="1"/>
        <v>-1.1895212455459185</v>
      </c>
      <c r="D4440" s="106">
        <f t="shared" ca="1" si="253"/>
        <v>0.59093272792714535</v>
      </c>
      <c r="E4440" s="106">
        <f t="shared" ca="1" si="254"/>
        <v>0</v>
      </c>
      <c r="F4440" s="21">
        <f t="shared" ca="1" si="255"/>
        <v>0</v>
      </c>
      <c r="H4440" s="21">
        <v>4425</v>
      </c>
      <c r="I4440" s="107">
        <v>0.66769440091875798</v>
      </c>
      <c r="J4440" s="108">
        <v>1.2683005056289168E-3</v>
      </c>
      <c r="K4440" s="108"/>
      <c r="L4440" s="108">
        <v>4.02E-2</v>
      </c>
      <c r="O4440" s="105"/>
    </row>
    <row r="4441" spans="2:15" x14ac:dyDescent="0.2">
      <c r="B4441" s="1">
        <f t="shared" si="252"/>
        <v>4426</v>
      </c>
      <c r="C4441" s="106">
        <f ca="1"/>
        <v>0.24759547274055563</v>
      </c>
      <c r="D4441" s="106">
        <f t="shared" ca="1" si="253"/>
        <v>0.6809312058694138</v>
      </c>
      <c r="E4441" s="106">
        <f t="shared" ca="1" si="254"/>
        <v>0</v>
      </c>
      <c r="F4441" s="21">
        <f t="shared" ca="1" si="255"/>
        <v>0</v>
      </c>
      <c r="H4441" s="21">
        <v>4426</v>
      </c>
      <c r="I4441" s="107">
        <v>0.66789072156410012</v>
      </c>
      <c r="J4441" s="108">
        <v>1.601860094193314E-3</v>
      </c>
      <c r="K4441" s="108"/>
      <c r="L4441" s="108">
        <v>4.2799999999999998E-2</v>
      </c>
      <c r="O4441" s="105"/>
    </row>
    <row r="4442" spans="2:15" x14ac:dyDescent="0.2">
      <c r="B4442" s="1">
        <f t="shared" si="252"/>
        <v>4427</v>
      </c>
      <c r="C4442" s="106">
        <f ca="1"/>
        <v>-0.81795765039074853</v>
      </c>
      <c r="D4442" s="106">
        <f t="shared" ca="1" si="253"/>
        <v>0.61299311794229328</v>
      </c>
      <c r="E4442" s="106">
        <f t="shared" ca="1" si="254"/>
        <v>0</v>
      </c>
      <c r="F4442" s="21">
        <f t="shared" ca="1" si="255"/>
        <v>0</v>
      </c>
      <c r="H4442" s="21">
        <v>4427</v>
      </c>
      <c r="I4442" s="107">
        <v>0.66775573022186918</v>
      </c>
      <c r="J4442" s="108">
        <v>1.4539230392911977E-3</v>
      </c>
      <c r="K4442" s="108"/>
      <c r="L4442" s="108">
        <v>3.9399999999999998E-2</v>
      </c>
      <c r="O4442" s="105"/>
    </row>
    <row r="4443" spans="2:15" x14ac:dyDescent="0.2">
      <c r="B4443" s="1">
        <f t="shared" si="252"/>
        <v>4428</v>
      </c>
      <c r="C4443" s="106">
        <f ca="1"/>
        <v>-1.5654971664240438</v>
      </c>
      <c r="D4443" s="106">
        <f t="shared" ca="1" si="253"/>
        <v>0.56941836074551733</v>
      </c>
      <c r="E4443" s="106">
        <f t="shared" ca="1" si="254"/>
        <v>0</v>
      </c>
      <c r="F4443" s="21">
        <f t="shared" ca="1" si="255"/>
        <v>0</v>
      </c>
      <c r="H4443" s="21">
        <v>4428</v>
      </c>
      <c r="I4443" s="107">
        <v>0.66767718354910344</v>
      </c>
      <c r="J4443" s="108">
        <v>1.2293719416942386E-3</v>
      </c>
      <c r="K4443" s="108"/>
      <c r="L4443" s="108">
        <v>3.9800000000000002E-2</v>
      </c>
      <c r="O4443" s="105"/>
    </row>
    <row r="4444" spans="2:15" x14ac:dyDescent="0.2">
      <c r="B4444" s="1">
        <f t="shared" si="252"/>
        <v>4429</v>
      </c>
      <c r="C4444" s="106">
        <f ca="1"/>
        <v>0.45761468721525606</v>
      </c>
      <c r="D4444" s="106">
        <f t="shared" ca="1" si="253"/>
        <v>0.69518490150890078</v>
      </c>
      <c r="E4444" s="106">
        <f t="shared" ca="1" si="254"/>
        <v>0</v>
      </c>
      <c r="F4444" s="21">
        <f t="shared" ca="1" si="255"/>
        <v>0</v>
      </c>
      <c r="H4444" s="21">
        <v>4429</v>
      </c>
      <c r="I4444" s="107">
        <v>0.66779265336795013</v>
      </c>
      <c r="J4444" s="108">
        <v>1.4261796286235404E-3</v>
      </c>
      <c r="K4444" s="108"/>
      <c r="L4444" s="108">
        <v>4.3200000000000002E-2</v>
      </c>
      <c r="O4444" s="105"/>
    </row>
    <row r="4445" spans="2:15" x14ac:dyDescent="0.2">
      <c r="B4445" s="1">
        <f t="shared" si="252"/>
        <v>4430</v>
      </c>
      <c r="C4445" s="106">
        <f ca="1"/>
        <v>0.68605292729945389</v>
      </c>
      <c r="D4445" s="106">
        <f t="shared" ca="1" si="253"/>
        <v>0.71102764177994182</v>
      </c>
      <c r="E4445" s="106">
        <f t="shared" ca="1" si="254"/>
        <v>0</v>
      </c>
      <c r="F4445" s="21">
        <f t="shared" ca="1" si="255"/>
        <v>0</v>
      </c>
      <c r="H4445" s="21">
        <v>4430</v>
      </c>
      <c r="I4445" s="107">
        <v>0.66766517849581608</v>
      </c>
      <c r="J4445" s="108">
        <v>1.3234608259139954E-3</v>
      </c>
      <c r="K4445" s="108"/>
      <c r="L4445" s="108">
        <v>3.7600000000000001E-2</v>
      </c>
      <c r="O4445" s="105"/>
    </row>
    <row r="4446" spans="2:15" x14ac:dyDescent="0.2">
      <c r="B4446" s="1">
        <f t="shared" si="252"/>
        <v>4431</v>
      </c>
      <c r="C4446" s="106">
        <f ca="1"/>
        <v>-1.0431155911901415</v>
      </c>
      <c r="D4446" s="106">
        <f t="shared" ca="1" si="253"/>
        <v>0.599528690820475</v>
      </c>
      <c r="E4446" s="106">
        <f t="shared" ca="1" si="254"/>
        <v>0</v>
      </c>
      <c r="F4446" s="21">
        <f t="shared" ca="1" si="255"/>
        <v>0</v>
      </c>
      <c r="H4446" s="21">
        <v>4431</v>
      </c>
      <c r="I4446" s="107">
        <v>0.66769681470796005</v>
      </c>
      <c r="J4446" s="108">
        <v>1.288848119622232E-3</v>
      </c>
      <c r="K4446" s="108"/>
      <c r="L4446" s="108">
        <v>4.36E-2</v>
      </c>
      <c r="O4446" s="105"/>
    </row>
    <row r="4447" spans="2:15" x14ac:dyDescent="0.2">
      <c r="B4447" s="1">
        <f t="shared" si="252"/>
        <v>4432</v>
      </c>
      <c r="C4447" s="106">
        <f ca="1"/>
        <v>2.1045733470503247</v>
      </c>
      <c r="D4447" s="106">
        <f t="shared" ca="1" si="253"/>
        <v>0.81781491130848349</v>
      </c>
      <c r="E4447" s="106">
        <f t="shared" ca="1" si="254"/>
        <v>2.9614911308483483E-2</v>
      </c>
      <c r="F4447" s="21">
        <f t="shared" ca="1" si="255"/>
        <v>1</v>
      </c>
      <c r="H4447" s="21">
        <v>4432</v>
      </c>
      <c r="I4447" s="107">
        <v>0.6678433751420797</v>
      </c>
      <c r="J4447" s="108">
        <v>1.4536906003802736E-3</v>
      </c>
      <c r="K4447" s="108"/>
      <c r="L4447" s="108">
        <v>4.2999999999999997E-2</v>
      </c>
      <c r="O4447" s="105"/>
    </row>
    <row r="4448" spans="2:15" x14ac:dyDescent="0.2">
      <c r="B4448" s="1">
        <f t="shared" si="252"/>
        <v>4433</v>
      </c>
      <c r="C4448" s="106">
        <f ca="1"/>
        <v>-0.56980074249212431</v>
      </c>
      <c r="D4448" s="106">
        <f t="shared" ca="1" si="253"/>
        <v>0.62818344608896837</v>
      </c>
      <c r="E4448" s="106">
        <f t="shared" ca="1" si="254"/>
        <v>0</v>
      </c>
      <c r="F4448" s="21">
        <f t="shared" ca="1" si="255"/>
        <v>0</v>
      </c>
      <c r="H4448" s="21">
        <v>4433</v>
      </c>
      <c r="I4448" s="107">
        <v>0.6677131205397856</v>
      </c>
      <c r="J4448" s="108">
        <v>1.2857118707646305E-3</v>
      </c>
      <c r="K4448" s="108"/>
      <c r="L4448" s="108">
        <v>3.6799999999999999E-2</v>
      </c>
      <c r="O4448" s="105"/>
    </row>
    <row r="4449" spans="2:15" x14ac:dyDescent="0.2">
      <c r="B4449" s="1">
        <f t="shared" si="252"/>
        <v>4434</v>
      </c>
      <c r="C4449" s="106">
        <f ca="1"/>
        <v>0.87338863352472396</v>
      </c>
      <c r="D4449" s="106">
        <f t="shared" ca="1" si="253"/>
        <v>0.7242889020701927</v>
      </c>
      <c r="E4449" s="106">
        <f t="shared" ca="1" si="254"/>
        <v>0</v>
      </c>
      <c r="F4449" s="21">
        <f t="shared" ca="1" si="255"/>
        <v>0</v>
      </c>
      <c r="H4449" s="21">
        <v>4434</v>
      </c>
      <c r="I4449" s="107">
        <v>0.66791113465913532</v>
      </c>
      <c r="J4449" s="108">
        <v>1.4964743846911488E-3</v>
      </c>
      <c r="K4449" s="108"/>
      <c r="L4449" s="108">
        <v>4.6399999999999997E-2</v>
      </c>
      <c r="O4449" s="105"/>
    </row>
    <row r="4450" spans="2:15" x14ac:dyDescent="0.2">
      <c r="B4450" s="1">
        <f t="shared" si="252"/>
        <v>4435</v>
      </c>
      <c r="C4450" s="106">
        <f ca="1"/>
        <v>0.60674347201454459</v>
      </c>
      <c r="D4450" s="106">
        <f t="shared" ca="1" si="253"/>
        <v>0.70548683920876121</v>
      </c>
      <c r="E4450" s="106">
        <f t="shared" ca="1" si="254"/>
        <v>0</v>
      </c>
      <c r="F4450" s="21">
        <f t="shared" ca="1" si="255"/>
        <v>0</v>
      </c>
      <c r="H4450" s="21">
        <v>4435</v>
      </c>
      <c r="I4450" s="107">
        <v>0.66795260417989288</v>
      </c>
      <c r="J4450" s="108">
        <v>1.6907439347242864E-3</v>
      </c>
      <c r="K4450" s="108"/>
      <c r="L4450" s="108">
        <v>4.58E-2</v>
      </c>
      <c r="O4450" s="105"/>
    </row>
    <row r="4451" spans="2:15" x14ac:dyDescent="0.2">
      <c r="B4451" s="1">
        <f t="shared" si="252"/>
        <v>4436</v>
      </c>
      <c r="C4451" s="106">
        <f ca="1"/>
        <v>-0.7078963214627122</v>
      </c>
      <c r="D4451" s="106">
        <f t="shared" ca="1" si="253"/>
        <v>0.61968439271639353</v>
      </c>
      <c r="E4451" s="106">
        <f t="shared" ca="1" si="254"/>
        <v>0</v>
      </c>
      <c r="F4451" s="21">
        <f t="shared" ca="1" si="255"/>
        <v>0</v>
      </c>
      <c r="H4451" s="21">
        <v>4436</v>
      </c>
      <c r="I4451" s="107">
        <v>0.66776179506483491</v>
      </c>
      <c r="J4451" s="108">
        <v>1.5497648145283047E-3</v>
      </c>
      <c r="K4451" s="108"/>
      <c r="L4451" s="108">
        <v>4.1399999999999999E-2</v>
      </c>
      <c r="O4451" s="105"/>
    </row>
    <row r="4452" spans="2:15" x14ac:dyDescent="0.2">
      <c r="B4452" s="1">
        <f t="shared" si="252"/>
        <v>4437</v>
      </c>
      <c r="C4452" s="106">
        <f ca="1"/>
        <v>-0.5144624447836883</v>
      </c>
      <c r="D4452" s="106">
        <f t="shared" ca="1" si="253"/>
        <v>0.63162185126758374</v>
      </c>
      <c r="E4452" s="106">
        <f t="shared" ca="1" si="254"/>
        <v>0</v>
      </c>
      <c r="F4452" s="21">
        <f t="shared" ca="1" si="255"/>
        <v>0</v>
      </c>
      <c r="H4452" s="21">
        <v>4437</v>
      </c>
      <c r="I4452" s="107">
        <v>0.66785439112969303</v>
      </c>
      <c r="J4452" s="108">
        <v>1.4646569604998003E-3</v>
      </c>
      <c r="K4452" s="108"/>
      <c r="L4452" s="108">
        <v>4.6399999999999997E-2</v>
      </c>
      <c r="O4452" s="105"/>
    </row>
    <row r="4453" spans="2:15" x14ac:dyDescent="0.2">
      <c r="B4453" s="1">
        <f t="shared" si="252"/>
        <v>4438</v>
      </c>
      <c r="C4453" s="106">
        <f ca="1"/>
        <v>-0.64549785381344615</v>
      </c>
      <c r="D4453" s="106">
        <f t="shared" ca="1" si="253"/>
        <v>0.62351035447631087</v>
      </c>
      <c r="E4453" s="106">
        <f t="shared" ca="1" si="254"/>
        <v>0</v>
      </c>
      <c r="F4453" s="21">
        <f t="shared" ca="1" si="255"/>
        <v>0</v>
      </c>
      <c r="H4453" s="21">
        <v>4438</v>
      </c>
      <c r="I4453" s="107">
        <v>0.66768747692827923</v>
      </c>
      <c r="J4453" s="108">
        <v>1.3631813106439546E-3</v>
      </c>
      <c r="K4453" s="108"/>
      <c r="L4453" s="108">
        <v>4.1599999999999998E-2</v>
      </c>
      <c r="O4453" s="105"/>
    </row>
    <row r="4454" spans="2:15" x14ac:dyDescent="0.2">
      <c r="B4454" s="1">
        <f t="shared" si="252"/>
        <v>4439</v>
      </c>
      <c r="C4454" s="106">
        <f ca="1"/>
        <v>-1.3906553377177289</v>
      </c>
      <c r="D4454" s="106">
        <f t="shared" ca="1" si="253"/>
        <v>0.57932408303367666</v>
      </c>
      <c r="E4454" s="106">
        <f t="shared" ca="1" si="254"/>
        <v>0</v>
      </c>
      <c r="F4454" s="21">
        <f t="shared" ca="1" si="255"/>
        <v>0</v>
      </c>
      <c r="H4454" s="21">
        <v>4439</v>
      </c>
      <c r="I4454" s="107">
        <v>0.66759938520771123</v>
      </c>
      <c r="J4454" s="108">
        <v>1.0791675100108933E-3</v>
      </c>
      <c r="K4454" s="108"/>
      <c r="L4454" s="108">
        <v>3.6600000000000001E-2</v>
      </c>
      <c r="O4454" s="105"/>
    </row>
    <row r="4455" spans="2:15" x14ac:dyDescent="0.2">
      <c r="B4455" s="1">
        <f t="shared" si="252"/>
        <v>4440</v>
      </c>
      <c r="C4455" s="106">
        <f ca="1"/>
        <v>0.70146985851564914</v>
      </c>
      <c r="D4455" s="106">
        <f t="shared" ca="1" si="253"/>
        <v>0.71210975720514325</v>
      </c>
      <c r="E4455" s="106">
        <f t="shared" ca="1" si="254"/>
        <v>0</v>
      </c>
      <c r="F4455" s="21">
        <f t="shared" ca="1" si="255"/>
        <v>0</v>
      </c>
      <c r="H4455" s="21">
        <v>4440</v>
      </c>
      <c r="I4455" s="107">
        <v>0.66762745779902155</v>
      </c>
      <c r="J4455" s="108">
        <v>1.1806777339709142E-3</v>
      </c>
      <c r="K4455" s="108"/>
      <c r="L4455" s="108">
        <v>3.9600000000000003E-2</v>
      </c>
      <c r="O4455" s="105"/>
    </row>
    <row r="4456" spans="2:15" x14ac:dyDescent="0.2">
      <c r="B4456" s="1">
        <f t="shared" si="252"/>
        <v>4441</v>
      </c>
      <c r="C4456" s="106">
        <f ca="1"/>
        <v>-4.5706098859887814E-2</v>
      </c>
      <c r="D4456" s="106">
        <f t="shared" ca="1" si="253"/>
        <v>0.66151299353446036</v>
      </c>
      <c r="E4456" s="106">
        <f t="shared" ca="1" si="254"/>
        <v>0</v>
      </c>
      <c r="F4456" s="21">
        <f t="shared" ca="1" si="255"/>
        <v>0</v>
      </c>
      <c r="H4456" s="21">
        <v>4441</v>
      </c>
      <c r="I4456" s="107">
        <v>0.66783689054746542</v>
      </c>
      <c r="J4456" s="108">
        <v>1.3713942091047677E-3</v>
      </c>
      <c r="K4456" s="108"/>
      <c r="L4456" s="108">
        <v>4.3400000000000001E-2</v>
      </c>
      <c r="O4456" s="105"/>
    </row>
    <row r="4457" spans="2:15" x14ac:dyDescent="0.2">
      <c r="B4457" s="1">
        <f t="shared" si="252"/>
        <v>4442</v>
      </c>
      <c r="C4457" s="106">
        <f ca="1"/>
        <v>-1.2764764186659789</v>
      </c>
      <c r="D4457" s="106">
        <f t="shared" ca="1" si="253"/>
        <v>0.58588575300889145</v>
      </c>
      <c r="E4457" s="106">
        <f t="shared" ca="1" si="254"/>
        <v>0</v>
      </c>
      <c r="F4457" s="21">
        <f t="shared" ca="1" si="255"/>
        <v>0</v>
      </c>
      <c r="H4457" s="21">
        <v>4442</v>
      </c>
      <c r="I4457" s="107">
        <v>0.66791078765781309</v>
      </c>
      <c r="J4457" s="108">
        <v>1.71058334782862E-3</v>
      </c>
      <c r="K4457" s="108"/>
      <c r="L4457" s="108">
        <v>4.3999999999999997E-2</v>
      </c>
      <c r="O4457" s="105"/>
    </row>
    <row r="4458" spans="2:15" x14ac:dyDescent="0.2">
      <c r="B4458" s="1">
        <f t="shared" si="252"/>
        <v>4443</v>
      </c>
      <c r="C4458" s="106">
        <f ca="1"/>
        <v>-5.0635527063992727E-2</v>
      </c>
      <c r="D4458" s="106">
        <f t="shared" ca="1" si="253"/>
        <v>0.66119141411800342</v>
      </c>
      <c r="E4458" s="106">
        <f t="shared" ca="1" si="254"/>
        <v>0</v>
      </c>
      <c r="F4458" s="21">
        <f t="shared" ca="1" si="255"/>
        <v>0</v>
      </c>
      <c r="H4458" s="21">
        <v>4443</v>
      </c>
      <c r="I4458" s="107">
        <v>0.66767314958399215</v>
      </c>
      <c r="J4458" s="108">
        <v>1.3122745203146889E-3</v>
      </c>
      <c r="K4458" s="108"/>
      <c r="L4458" s="108">
        <v>3.7400000000000003E-2</v>
      </c>
      <c r="O4458" s="105"/>
    </row>
    <row r="4459" spans="2:15" x14ac:dyDescent="0.2">
      <c r="B4459" s="1">
        <f t="shared" si="252"/>
        <v>4444</v>
      </c>
      <c r="C4459" s="106">
        <f ca="1"/>
        <v>0.5558714013543381</v>
      </c>
      <c r="D4459" s="106">
        <f t="shared" ca="1" si="253"/>
        <v>0.70195551148574475</v>
      </c>
      <c r="E4459" s="106">
        <f t="shared" ca="1" si="254"/>
        <v>0</v>
      </c>
      <c r="F4459" s="21">
        <f t="shared" ca="1" si="255"/>
        <v>0</v>
      </c>
      <c r="H4459" s="21">
        <v>4444</v>
      </c>
      <c r="I4459" s="107">
        <v>0.66777455446230838</v>
      </c>
      <c r="J4459" s="108">
        <v>1.2853958682346543E-3</v>
      </c>
      <c r="K4459" s="108"/>
      <c r="L4459" s="108">
        <v>4.4200000000000003E-2</v>
      </c>
      <c r="O4459" s="105"/>
    </row>
    <row r="4460" spans="2:15" x14ac:dyDescent="0.2">
      <c r="B4460" s="1">
        <f t="shared" si="252"/>
        <v>4445</v>
      </c>
      <c r="C4460" s="106">
        <f ca="1"/>
        <v>1.8645245051305945</v>
      </c>
      <c r="D4460" s="106">
        <f t="shared" ca="1" si="253"/>
        <v>0.79867755625981229</v>
      </c>
      <c r="E4460" s="106">
        <f t="shared" ca="1" si="254"/>
        <v>1.0477556259812282E-2</v>
      </c>
      <c r="F4460" s="21">
        <f t="shared" ca="1" si="255"/>
        <v>1</v>
      </c>
      <c r="H4460" s="21">
        <v>4445</v>
      </c>
      <c r="I4460" s="107">
        <v>0.66771082645664825</v>
      </c>
      <c r="J4460" s="108">
        <v>1.243889171252825E-3</v>
      </c>
      <c r="K4460" s="108"/>
      <c r="L4460" s="108">
        <v>4.1200000000000001E-2</v>
      </c>
      <c r="O4460" s="105"/>
    </row>
    <row r="4461" spans="2:15" x14ac:dyDescent="0.2">
      <c r="B4461" s="1">
        <f t="shared" si="252"/>
        <v>4446</v>
      </c>
      <c r="C4461" s="106">
        <f ca="1"/>
        <v>-1.2241750160167248</v>
      </c>
      <c r="D4461" s="106">
        <f t="shared" ca="1" si="253"/>
        <v>0.58891619472548107</v>
      </c>
      <c r="E4461" s="106">
        <f t="shared" ca="1" si="254"/>
        <v>0</v>
      </c>
      <c r="F4461" s="21">
        <f t="shared" ca="1" si="255"/>
        <v>0</v>
      </c>
      <c r="H4461" s="21">
        <v>4446</v>
      </c>
      <c r="I4461" s="107">
        <v>0.66763899753776956</v>
      </c>
      <c r="J4461" s="108">
        <v>1.3110491421692697E-3</v>
      </c>
      <c r="K4461" s="108"/>
      <c r="L4461" s="108">
        <v>3.9600000000000003E-2</v>
      </c>
      <c r="O4461" s="105"/>
    </row>
    <row r="4462" spans="2:15" x14ac:dyDescent="0.2">
      <c r="B4462" s="1">
        <f t="shared" si="252"/>
        <v>4447</v>
      </c>
      <c r="C4462" s="106">
        <f ca="1"/>
        <v>1.1595456690616905</v>
      </c>
      <c r="D4462" s="106">
        <f t="shared" ca="1" si="253"/>
        <v>0.74502461504550199</v>
      </c>
      <c r="E4462" s="106">
        <f t="shared" ca="1" si="254"/>
        <v>0</v>
      </c>
      <c r="F4462" s="21">
        <f t="shared" ca="1" si="255"/>
        <v>0</v>
      </c>
      <c r="H4462" s="21">
        <v>4447</v>
      </c>
      <c r="I4462" s="107">
        <v>0.66788676986361672</v>
      </c>
      <c r="J4462" s="108">
        <v>1.4855529115174321E-3</v>
      </c>
      <c r="K4462" s="108"/>
      <c r="L4462" s="108">
        <v>4.5600000000000002E-2</v>
      </c>
      <c r="O4462" s="105"/>
    </row>
    <row r="4463" spans="2:15" x14ac:dyDescent="0.2">
      <c r="B4463" s="1">
        <f t="shared" si="252"/>
        <v>4448</v>
      </c>
      <c r="C4463" s="106">
        <f ca="1"/>
        <v>0.83358963295345401</v>
      </c>
      <c r="D4463" s="106">
        <f t="shared" ca="1" si="253"/>
        <v>0.72145104385001479</v>
      </c>
      <c r="E4463" s="106">
        <f t="shared" ca="1" si="254"/>
        <v>0</v>
      </c>
      <c r="F4463" s="21">
        <f t="shared" ca="1" si="255"/>
        <v>0</v>
      </c>
      <c r="H4463" s="21">
        <v>4448</v>
      </c>
      <c r="I4463" s="107">
        <v>0.66767554228433179</v>
      </c>
      <c r="J4463" s="108">
        <v>1.2905842683510298E-3</v>
      </c>
      <c r="K4463" s="108"/>
      <c r="L4463" s="108">
        <v>4.1200000000000001E-2</v>
      </c>
      <c r="O4463" s="105"/>
    </row>
    <row r="4464" spans="2:15" x14ac:dyDescent="0.2">
      <c r="B4464" s="1">
        <f t="shared" ref="B4464:B4527" si="256">B4463+1</f>
        <v>4449</v>
      </c>
      <c r="C4464" s="106">
        <f ca="1"/>
        <v>-0.76789131861081028</v>
      </c>
      <c r="D4464" s="106">
        <f t="shared" ca="1" si="253"/>
        <v>0.61602793921187415</v>
      </c>
      <c r="E4464" s="106">
        <f t="shared" ca="1" si="254"/>
        <v>0</v>
      </c>
      <c r="F4464" s="21">
        <f t="shared" ca="1" si="255"/>
        <v>0</v>
      </c>
      <c r="H4464" s="21">
        <v>4449</v>
      </c>
      <c r="I4464" s="107">
        <v>0.66778287722898189</v>
      </c>
      <c r="J4464" s="108">
        <v>1.3510268073073169E-3</v>
      </c>
      <c r="K4464" s="108"/>
      <c r="L4464" s="108">
        <v>4.24E-2</v>
      </c>
      <c r="O4464" s="105"/>
    </row>
    <row r="4465" spans="2:15" x14ac:dyDescent="0.2">
      <c r="B4465" s="1">
        <f t="shared" si="256"/>
        <v>4450</v>
      </c>
      <c r="C4465" s="106">
        <f ca="1"/>
        <v>2.507849722646005</v>
      </c>
      <c r="D4465" s="106">
        <f t="shared" ca="1" si="253"/>
        <v>0.8510030882602867</v>
      </c>
      <c r="E4465" s="106">
        <f t="shared" ca="1" si="254"/>
        <v>6.2803088260286688E-2</v>
      </c>
      <c r="F4465" s="21">
        <f t="shared" ca="1" si="255"/>
        <v>1</v>
      </c>
      <c r="H4465" s="21">
        <v>4450</v>
      </c>
      <c r="I4465" s="107">
        <v>0.66779905533315964</v>
      </c>
      <c r="J4465" s="108">
        <v>1.4891929325273681E-3</v>
      </c>
      <c r="K4465" s="108"/>
      <c r="L4465" s="108">
        <v>4.4200000000000003E-2</v>
      </c>
      <c r="O4465" s="105"/>
    </row>
    <row r="4466" spans="2:15" x14ac:dyDescent="0.2">
      <c r="B4466" s="1">
        <f t="shared" si="256"/>
        <v>4451</v>
      </c>
      <c r="C4466" s="106">
        <f ca="1"/>
        <v>-0.46031629184536044</v>
      </c>
      <c r="D4466" s="106">
        <f t="shared" ca="1" si="253"/>
        <v>0.63500439922439744</v>
      </c>
      <c r="E4466" s="106">
        <f t="shared" ca="1" si="254"/>
        <v>0</v>
      </c>
      <c r="F4466" s="21">
        <f t="shared" ca="1" si="255"/>
        <v>0</v>
      </c>
      <c r="H4466" s="21">
        <v>4451</v>
      </c>
      <c r="I4466" s="107">
        <v>0.66767598493188496</v>
      </c>
      <c r="J4466" s="108">
        <v>1.3365891218150979E-3</v>
      </c>
      <c r="K4466" s="108"/>
      <c r="L4466" s="108">
        <v>4.3200000000000002E-2</v>
      </c>
      <c r="O4466" s="105"/>
    </row>
    <row r="4467" spans="2:15" x14ac:dyDescent="0.2">
      <c r="B4467" s="1">
        <f t="shared" si="256"/>
        <v>4452</v>
      </c>
      <c r="C4467" s="106">
        <f ca="1"/>
        <v>-3.5372446945568986E-2</v>
      </c>
      <c r="D4467" s="106">
        <f t="shared" ca="1" si="253"/>
        <v>0.66218763412981541</v>
      </c>
      <c r="E4467" s="106">
        <f t="shared" ca="1" si="254"/>
        <v>0</v>
      </c>
      <c r="F4467" s="21">
        <f t="shared" ca="1" si="255"/>
        <v>0</v>
      </c>
      <c r="H4467" s="21">
        <v>4452</v>
      </c>
      <c r="I4467" s="107">
        <v>0.66801950298943691</v>
      </c>
      <c r="J4467" s="108">
        <v>1.7807944841758683E-3</v>
      </c>
      <c r="K4467" s="108"/>
      <c r="L4467" s="108">
        <v>4.9200000000000001E-2</v>
      </c>
      <c r="O4467" s="105"/>
    </row>
    <row r="4468" spans="2:15" x14ac:dyDescent="0.2">
      <c r="B4468" s="1">
        <f t="shared" si="256"/>
        <v>4453</v>
      </c>
      <c r="C4468" s="106">
        <f ca="1"/>
        <v>0.52470379749569007</v>
      </c>
      <c r="D4468" s="106">
        <f t="shared" ca="1" si="253"/>
        <v>0.69980072385005521</v>
      </c>
      <c r="E4468" s="106">
        <f t="shared" ca="1" si="254"/>
        <v>0</v>
      </c>
      <c r="F4468" s="21">
        <f t="shared" ca="1" si="255"/>
        <v>0</v>
      </c>
      <c r="H4468" s="21">
        <v>4453</v>
      </c>
      <c r="I4468" s="107">
        <v>0.6676468050034633</v>
      </c>
      <c r="J4468" s="108">
        <v>1.1751122624102718E-3</v>
      </c>
      <c r="K4468" s="108"/>
      <c r="L4468" s="108">
        <v>4.1000000000000002E-2</v>
      </c>
      <c r="O4468" s="105"/>
    </row>
    <row r="4469" spans="2:15" x14ac:dyDescent="0.2">
      <c r="B4469" s="1">
        <f t="shared" si="256"/>
        <v>4454</v>
      </c>
      <c r="C4469" s="106">
        <f ca="1"/>
        <v>0.20237187837473086</v>
      </c>
      <c r="D4469" s="106">
        <f t="shared" ca="1" si="253"/>
        <v>0.67790039455439577</v>
      </c>
      <c r="E4469" s="106">
        <f t="shared" ca="1" si="254"/>
        <v>0</v>
      </c>
      <c r="F4469" s="21">
        <f t="shared" ca="1" si="255"/>
        <v>0</v>
      </c>
      <c r="H4469" s="21">
        <v>4454</v>
      </c>
      <c r="I4469" s="107">
        <v>0.66773430433581193</v>
      </c>
      <c r="J4469" s="108">
        <v>1.5017372519715029E-3</v>
      </c>
      <c r="K4469" s="108"/>
      <c r="L4469" s="108">
        <v>4.3400000000000001E-2</v>
      </c>
      <c r="O4469" s="105"/>
    </row>
    <row r="4470" spans="2:15" x14ac:dyDescent="0.2">
      <c r="B4470" s="1">
        <f t="shared" si="256"/>
        <v>4455</v>
      </c>
      <c r="C4470" s="106">
        <f ca="1"/>
        <v>-0.47123027638919474</v>
      </c>
      <c r="D4470" s="106">
        <f t="shared" ca="1" si="253"/>
        <v>0.63432114045268639</v>
      </c>
      <c r="E4470" s="106">
        <f t="shared" ca="1" si="254"/>
        <v>0</v>
      </c>
      <c r="F4470" s="21">
        <f t="shared" ca="1" si="255"/>
        <v>0</v>
      </c>
      <c r="H4470" s="21">
        <v>4455</v>
      </c>
      <c r="I4470" s="107">
        <v>0.6677363310647394</v>
      </c>
      <c r="J4470" s="108">
        <v>1.3124978174290551E-3</v>
      </c>
      <c r="K4470" s="108"/>
      <c r="L4470" s="108">
        <v>4.1799999999999997E-2</v>
      </c>
      <c r="O4470" s="105"/>
    </row>
    <row r="4471" spans="2:15" x14ac:dyDescent="0.2">
      <c r="B4471" s="1">
        <f t="shared" si="256"/>
        <v>4456</v>
      </c>
      <c r="C4471" s="106">
        <f ca="1"/>
        <v>0.33078270246410191</v>
      </c>
      <c r="D4471" s="106">
        <f t="shared" ca="1" si="253"/>
        <v>0.6865417097009221</v>
      </c>
      <c r="E4471" s="106">
        <f t="shared" ca="1" si="254"/>
        <v>0</v>
      </c>
      <c r="F4471" s="21">
        <f t="shared" ca="1" si="255"/>
        <v>0</v>
      </c>
      <c r="H4471" s="21">
        <v>4456</v>
      </c>
      <c r="I4471" s="107">
        <v>0.6678745850647736</v>
      </c>
      <c r="J4471" s="108">
        <v>1.6135471735195146E-3</v>
      </c>
      <c r="K4471" s="108"/>
      <c r="L4471" s="108">
        <v>4.7399999999999998E-2</v>
      </c>
      <c r="O4471" s="105"/>
    </row>
    <row r="4472" spans="2:15" x14ac:dyDescent="0.2">
      <c r="B4472" s="1">
        <f t="shared" si="256"/>
        <v>4457</v>
      </c>
      <c r="C4472" s="106">
        <f ca="1"/>
        <v>-1.2583577424093737</v>
      </c>
      <c r="D4472" s="106">
        <f t="shared" ca="1" si="253"/>
        <v>0.58693381376015397</v>
      </c>
      <c r="E4472" s="106">
        <f t="shared" ca="1" si="254"/>
        <v>0</v>
      </c>
      <c r="F4472" s="21">
        <f t="shared" ca="1" si="255"/>
        <v>0</v>
      </c>
      <c r="H4472" s="21">
        <v>4457</v>
      </c>
      <c r="I4472" s="107">
        <v>0.66784275301549834</v>
      </c>
      <c r="J4472" s="108">
        <v>1.4855951812540035E-3</v>
      </c>
      <c r="K4472" s="108"/>
      <c r="L4472" s="108">
        <v>4.24E-2</v>
      </c>
      <c r="O4472" s="105"/>
    </row>
    <row r="4473" spans="2:15" x14ac:dyDescent="0.2">
      <c r="B4473" s="1">
        <f t="shared" si="256"/>
        <v>4458</v>
      </c>
      <c r="C4473" s="106">
        <f ca="1"/>
        <v>-0.85950573045077738</v>
      </c>
      <c r="D4473" s="106">
        <f t="shared" ca="1" si="253"/>
        <v>0.61048599393197334</v>
      </c>
      <c r="E4473" s="106">
        <f t="shared" ca="1" si="254"/>
        <v>0</v>
      </c>
      <c r="F4473" s="21">
        <f t="shared" ca="1" si="255"/>
        <v>0</v>
      </c>
      <c r="H4473" s="21">
        <v>4458</v>
      </c>
      <c r="I4473" s="107">
        <v>0.66773753801410463</v>
      </c>
      <c r="J4473" s="108">
        <v>1.4142272512538347E-3</v>
      </c>
      <c r="K4473" s="108"/>
      <c r="L4473" s="108">
        <v>4.1000000000000002E-2</v>
      </c>
      <c r="O4473" s="105"/>
    </row>
    <row r="4474" spans="2:15" x14ac:dyDescent="0.2">
      <c r="B4474" s="1">
        <f t="shared" si="256"/>
        <v>4459</v>
      </c>
      <c r="C4474" s="106">
        <f ca="1"/>
        <v>-0.24849524851198115</v>
      </c>
      <c r="D4474" s="106">
        <f t="shared" ca="1" si="253"/>
        <v>0.64841196014604907</v>
      </c>
      <c r="E4474" s="106">
        <f t="shared" ca="1" si="254"/>
        <v>0</v>
      </c>
      <c r="F4474" s="21">
        <f t="shared" ca="1" si="255"/>
        <v>0</v>
      </c>
      <c r="H4474" s="21">
        <v>4459</v>
      </c>
      <c r="I4474" s="107">
        <v>0.66769681196264241</v>
      </c>
      <c r="J4474" s="108">
        <v>1.323768623750078E-3</v>
      </c>
      <c r="K4474" s="108"/>
      <c r="L4474" s="108">
        <v>4.0599999999999997E-2</v>
      </c>
      <c r="O4474" s="105"/>
    </row>
    <row r="4475" spans="2:15" x14ac:dyDescent="0.2">
      <c r="B4475" s="1">
        <f t="shared" si="256"/>
        <v>4460</v>
      </c>
      <c r="C4475" s="106">
        <f ca="1"/>
        <v>0.49925562443678156</v>
      </c>
      <c r="D4475" s="106">
        <f t="shared" ca="1" si="253"/>
        <v>0.69804625799892772</v>
      </c>
      <c r="E4475" s="106">
        <f t="shared" ca="1" si="254"/>
        <v>0</v>
      </c>
      <c r="F4475" s="21">
        <f t="shared" ca="1" si="255"/>
        <v>0</v>
      </c>
      <c r="H4475" s="21">
        <v>4460</v>
      </c>
      <c r="I4475" s="107">
        <v>0.66778325143507267</v>
      </c>
      <c r="J4475" s="108">
        <v>1.3634420456501556E-3</v>
      </c>
      <c r="K4475" s="108"/>
      <c r="L4475" s="108">
        <v>4.3999999999999997E-2</v>
      </c>
      <c r="O4475" s="105"/>
    </row>
    <row r="4476" spans="2:15" x14ac:dyDescent="0.2">
      <c r="B4476" s="1">
        <f t="shared" si="256"/>
        <v>4461</v>
      </c>
      <c r="C4476" s="106">
        <f ca="1"/>
        <v>-1.2653046305081384</v>
      </c>
      <c r="D4476" s="106">
        <f t="shared" ca="1" si="253"/>
        <v>0.58653175498753107</v>
      </c>
      <c r="E4476" s="106">
        <f t="shared" ca="1" si="254"/>
        <v>0</v>
      </c>
      <c r="F4476" s="21">
        <f t="shared" ca="1" si="255"/>
        <v>0</v>
      </c>
      <c r="H4476" s="21">
        <v>4461</v>
      </c>
      <c r="I4476" s="107">
        <v>0.66778197391377148</v>
      </c>
      <c r="J4476" s="108">
        <v>1.4720523215919861E-3</v>
      </c>
      <c r="K4476" s="108"/>
      <c r="L4476" s="108">
        <v>4.2200000000000001E-2</v>
      </c>
      <c r="O4476" s="105"/>
    </row>
    <row r="4477" spans="2:15" x14ac:dyDescent="0.2">
      <c r="B4477" s="1">
        <f t="shared" si="256"/>
        <v>4462</v>
      </c>
      <c r="C4477" s="106">
        <f ca="1"/>
        <v>-0.7713636654135011</v>
      </c>
      <c r="D4477" s="106">
        <f t="shared" ca="1" si="253"/>
        <v>0.61581697536806801</v>
      </c>
      <c r="E4477" s="106">
        <f t="shared" ca="1" si="254"/>
        <v>0</v>
      </c>
      <c r="F4477" s="21">
        <f t="shared" ca="1" si="255"/>
        <v>0</v>
      </c>
      <c r="H4477" s="21">
        <v>4462</v>
      </c>
      <c r="I4477" s="107">
        <v>0.66780353942378945</v>
      </c>
      <c r="J4477" s="108">
        <v>1.323506764325213E-3</v>
      </c>
      <c r="K4477" s="108"/>
      <c r="L4477" s="108">
        <v>4.0599999999999997E-2</v>
      </c>
      <c r="O4477" s="105"/>
    </row>
    <row r="4478" spans="2:15" x14ac:dyDescent="0.2">
      <c r="B4478" s="1">
        <f t="shared" si="256"/>
        <v>4463</v>
      </c>
      <c r="C4478" s="106">
        <f ca="1"/>
        <v>-3.7995102912852206E-2</v>
      </c>
      <c r="D4478" s="106">
        <f t="shared" ca="1" si="253"/>
        <v>0.66201634684839383</v>
      </c>
      <c r="E4478" s="106">
        <f t="shared" ca="1" si="254"/>
        <v>0</v>
      </c>
      <c r="F4478" s="21">
        <f t="shared" ca="1" si="255"/>
        <v>0</v>
      </c>
      <c r="H4478" s="21">
        <v>4463</v>
      </c>
      <c r="I4478" s="107">
        <v>0.66782696827279397</v>
      </c>
      <c r="J4478" s="108">
        <v>1.5647288985386686E-3</v>
      </c>
      <c r="K4478" s="108"/>
      <c r="L4478" s="108">
        <v>4.5400000000000003E-2</v>
      </c>
      <c r="O4478" s="105"/>
    </row>
    <row r="4479" spans="2:15" x14ac:dyDescent="0.2">
      <c r="B4479" s="1">
        <f t="shared" si="256"/>
        <v>4464</v>
      </c>
      <c r="C4479" s="106">
        <f ca="1"/>
        <v>1.5213084085539277</v>
      </c>
      <c r="D4479" s="106">
        <f t="shared" ca="1" si="253"/>
        <v>0.77209068782355961</v>
      </c>
      <c r="E4479" s="106">
        <f t="shared" ca="1" si="254"/>
        <v>0</v>
      </c>
      <c r="F4479" s="21">
        <f t="shared" ca="1" si="255"/>
        <v>0</v>
      </c>
      <c r="H4479" s="21">
        <v>4464</v>
      </c>
      <c r="I4479" s="107">
        <v>0.66789525365182911</v>
      </c>
      <c r="J4479" s="108">
        <v>1.5842698762226987E-3</v>
      </c>
      <c r="K4479" s="108"/>
      <c r="L4479" s="108">
        <v>4.7E-2</v>
      </c>
      <c r="O4479" s="105"/>
    </row>
    <row r="4480" spans="2:15" x14ac:dyDescent="0.2">
      <c r="B4480" s="1">
        <f t="shared" si="256"/>
        <v>4465</v>
      </c>
      <c r="C4480" s="106">
        <f ca="1"/>
        <v>-0.10356953932987192</v>
      </c>
      <c r="D4480" s="106">
        <f t="shared" ca="1" si="253"/>
        <v>0.65774801326363352</v>
      </c>
      <c r="E4480" s="106">
        <f t="shared" ca="1" si="254"/>
        <v>0</v>
      </c>
      <c r="F4480" s="21">
        <f t="shared" ca="1" si="255"/>
        <v>0</v>
      </c>
      <c r="H4480" s="21">
        <v>4465</v>
      </c>
      <c r="I4480" s="107">
        <v>0.66768821156094227</v>
      </c>
      <c r="J4480" s="108">
        <v>1.2468347493902654E-3</v>
      </c>
      <c r="K4480" s="108"/>
      <c r="L4480" s="108">
        <v>3.9399999999999998E-2</v>
      </c>
      <c r="O4480" s="105"/>
    </row>
    <row r="4481" spans="2:15" x14ac:dyDescent="0.2">
      <c r="B4481" s="1">
        <f t="shared" si="256"/>
        <v>4466</v>
      </c>
      <c r="C4481" s="106">
        <f ca="1"/>
        <v>2.6068184921566404</v>
      </c>
      <c r="D4481" s="106">
        <f t="shared" ca="1" si="253"/>
        <v>0.85935161442462216</v>
      </c>
      <c r="E4481" s="106">
        <f t="shared" ca="1" si="254"/>
        <v>7.1151614424622145E-2</v>
      </c>
      <c r="F4481" s="21">
        <f t="shared" ca="1" si="255"/>
        <v>1</v>
      </c>
      <c r="H4481" s="21">
        <v>4466</v>
      </c>
      <c r="I4481" s="107">
        <v>0.66776521947129108</v>
      </c>
      <c r="J4481" s="108">
        <v>1.3379670085431194E-3</v>
      </c>
      <c r="K4481" s="108"/>
      <c r="L4481" s="108">
        <v>3.9800000000000002E-2</v>
      </c>
      <c r="O4481" s="105"/>
    </row>
    <row r="4482" spans="2:15" x14ac:dyDescent="0.2">
      <c r="B4482" s="1">
        <f t="shared" si="256"/>
        <v>4467</v>
      </c>
      <c r="C4482" s="106">
        <f ca="1"/>
        <v>-1.1911499261660361</v>
      </c>
      <c r="D4482" s="106">
        <f t="shared" ca="1" si="253"/>
        <v>0.59083779912793188</v>
      </c>
      <c r="E4482" s="106">
        <f t="shared" ca="1" si="254"/>
        <v>0</v>
      </c>
      <c r="F4482" s="21">
        <f t="shared" ca="1" si="255"/>
        <v>0</v>
      </c>
      <c r="H4482" s="21">
        <v>4467</v>
      </c>
      <c r="I4482" s="107">
        <v>0.66787136079654463</v>
      </c>
      <c r="J4482" s="108">
        <v>1.5023396039680415E-3</v>
      </c>
      <c r="K4482" s="108"/>
      <c r="L4482" s="108">
        <v>4.4400000000000002E-2</v>
      </c>
      <c r="O4482" s="105"/>
    </row>
    <row r="4483" spans="2:15" x14ac:dyDescent="0.2">
      <c r="B4483" s="1">
        <f t="shared" si="256"/>
        <v>4468</v>
      </c>
      <c r="C4483" s="106">
        <f ca="1"/>
        <v>0.35180114501658205</v>
      </c>
      <c r="D4483" s="106">
        <f t="shared" ca="1" si="253"/>
        <v>0.6879665843059426</v>
      </c>
      <c r="E4483" s="106">
        <f t="shared" ca="1" si="254"/>
        <v>0</v>
      </c>
      <c r="F4483" s="21">
        <f t="shared" ca="1" si="255"/>
        <v>0</v>
      </c>
      <c r="H4483" s="21">
        <v>4468</v>
      </c>
      <c r="I4483" s="107">
        <v>0.66795547771313024</v>
      </c>
      <c r="J4483" s="108">
        <v>1.5734510539826458E-3</v>
      </c>
      <c r="K4483" s="108"/>
      <c r="L4483" s="108">
        <v>4.9000000000000002E-2</v>
      </c>
      <c r="O4483" s="105"/>
    </row>
    <row r="4484" spans="2:15" x14ac:dyDescent="0.2">
      <c r="B4484" s="1">
        <f t="shared" si="256"/>
        <v>4469</v>
      </c>
      <c r="C4484" s="106">
        <f ca="1"/>
        <v>-0.28620448601945669</v>
      </c>
      <c r="D4484" s="106">
        <f t="shared" ca="1" si="253"/>
        <v>0.64600454937847762</v>
      </c>
      <c r="E4484" s="106">
        <f t="shared" ca="1" si="254"/>
        <v>0</v>
      </c>
      <c r="F4484" s="21">
        <f t="shared" ca="1" si="255"/>
        <v>0</v>
      </c>
      <c r="H4484" s="21">
        <v>4469</v>
      </c>
      <c r="I4484" s="107">
        <v>0.6677334864035751</v>
      </c>
      <c r="J4484" s="108">
        <v>1.3965986114268388E-3</v>
      </c>
      <c r="K4484" s="108"/>
      <c r="L4484" s="108">
        <v>4.0399999999999998E-2</v>
      </c>
      <c r="O4484" s="105"/>
    </row>
    <row r="4485" spans="2:15" x14ac:dyDescent="0.2">
      <c r="B4485" s="1">
        <f t="shared" si="256"/>
        <v>4470</v>
      </c>
      <c r="C4485" s="106">
        <f ca="1"/>
        <v>-0.37796795741311712</v>
      </c>
      <c r="D4485" s="106">
        <f t="shared" ca="1" si="253"/>
        <v>0.64018351386408001</v>
      </c>
      <c r="E4485" s="106">
        <f t="shared" ca="1" si="254"/>
        <v>0</v>
      </c>
      <c r="F4485" s="21">
        <f t="shared" ca="1" si="255"/>
        <v>0</v>
      </c>
      <c r="H4485" s="21">
        <v>4470</v>
      </c>
      <c r="I4485" s="107">
        <v>0.66774270487069087</v>
      </c>
      <c r="J4485" s="108">
        <v>1.325345535459683E-3</v>
      </c>
      <c r="K4485" s="108"/>
      <c r="L4485" s="108">
        <v>3.9199999999999999E-2</v>
      </c>
      <c r="O4485" s="105"/>
    </row>
    <row r="4486" spans="2:15" x14ac:dyDescent="0.2">
      <c r="B4486" s="1">
        <f t="shared" si="256"/>
        <v>4471</v>
      </c>
      <c r="C4486" s="106">
        <f ca="1"/>
        <v>-0.82866317261206446</v>
      </c>
      <c r="D4486" s="106">
        <f t="shared" ca="1" si="253"/>
        <v>0.61234613464660892</v>
      </c>
      <c r="E4486" s="106">
        <f t="shared" ca="1" si="254"/>
        <v>0</v>
      </c>
      <c r="F4486" s="21">
        <f t="shared" ca="1" si="255"/>
        <v>0</v>
      </c>
      <c r="H4486" s="21">
        <v>4471</v>
      </c>
      <c r="I4486" s="107">
        <v>0.66769729644320541</v>
      </c>
      <c r="J4486" s="108">
        <v>1.2749313986103704E-3</v>
      </c>
      <c r="K4486" s="108"/>
      <c r="L4486" s="108">
        <v>3.9600000000000003E-2</v>
      </c>
      <c r="O4486" s="105"/>
    </row>
    <row r="4487" spans="2:15" x14ac:dyDescent="0.2">
      <c r="B4487" s="1">
        <f t="shared" si="256"/>
        <v>4472</v>
      </c>
      <c r="C4487" s="106">
        <f ca="1"/>
        <v>-1.4064471551797142</v>
      </c>
      <c r="D4487" s="106">
        <f t="shared" ca="1" si="253"/>
        <v>0.5784223574597076</v>
      </c>
      <c r="E4487" s="106">
        <f t="shared" ca="1" si="254"/>
        <v>0</v>
      </c>
      <c r="F4487" s="21">
        <f t="shared" ca="1" si="255"/>
        <v>0</v>
      </c>
      <c r="H4487" s="21">
        <v>4472</v>
      </c>
      <c r="I4487" s="107">
        <v>0.66791036951441496</v>
      </c>
      <c r="J4487" s="108">
        <v>1.5451180175677847E-3</v>
      </c>
      <c r="K4487" s="108"/>
      <c r="L4487" s="108">
        <v>4.5999999999999999E-2</v>
      </c>
      <c r="O4487" s="105"/>
    </row>
    <row r="4488" spans="2:15" x14ac:dyDescent="0.2">
      <c r="B4488" s="1">
        <f t="shared" si="256"/>
        <v>4473</v>
      </c>
      <c r="C4488" s="106">
        <f ca="1"/>
        <v>0.11665278351516689</v>
      </c>
      <c r="D4488" s="106">
        <f t="shared" ca="1" si="253"/>
        <v>0.67219260988041019</v>
      </c>
      <c r="E4488" s="106">
        <f t="shared" ca="1" si="254"/>
        <v>0</v>
      </c>
      <c r="F4488" s="21">
        <f t="shared" ca="1" si="255"/>
        <v>0</v>
      </c>
      <c r="H4488" s="21">
        <v>4473</v>
      </c>
      <c r="I4488" s="107">
        <v>0.66771859419701363</v>
      </c>
      <c r="J4488" s="108">
        <v>1.3083930191146308E-3</v>
      </c>
      <c r="K4488" s="108"/>
      <c r="L4488" s="108">
        <v>4.02E-2</v>
      </c>
      <c r="O4488" s="105"/>
    </row>
    <row r="4489" spans="2:15" x14ac:dyDescent="0.2">
      <c r="B4489" s="1">
        <f t="shared" si="256"/>
        <v>4474</v>
      </c>
      <c r="C4489" s="106">
        <f ca="1"/>
        <v>-1.1706024791048957</v>
      </c>
      <c r="D4489" s="106">
        <f t="shared" ca="1" si="253"/>
        <v>0.5920365397893661</v>
      </c>
      <c r="E4489" s="106">
        <f t="shared" ca="1" si="254"/>
        <v>0</v>
      </c>
      <c r="F4489" s="21">
        <f t="shared" ca="1" si="255"/>
        <v>0</v>
      </c>
      <c r="H4489" s="21">
        <v>4474</v>
      </c>
      <c r="I4489" s="107">
        <v>0.66776342556248447</v>
      </c>
      <c r="J4489" s="108">
        <v>1.4192920080565578E-3</v>
      </c>
      <c r="K4489" s="108"/>
      <c r="L4489" s="108">
        <v>4.4400000000000002E-2</v>
      </c>
      <c r="O4489" s="105"/>
    </row>
    <row r="4490" spans="2:15" x14ac:dyDescent="0.2">
      <c r="B4490" s="1">
        <f t="shared" si="256"/>
        <v>4475</v>
      </c>
      <c r="C4490" s="106">
        <f ca="1"/>
        <v>-0.26289389691120263</v>
      </c>
      <c r="D4490" s="106">
        <f t="shared" ca="1" si="253"/>
        <v>0.64749167319038803</v>
      </c>
      <c r="E4490" s="106">
        <f t="shared" ca="1" si="254"/>
        <v>0</v>
      </c>
      <c r="F4490" s="21">
        <f t="shared" ca="1" si="255"/>
        <v>0</v>
      </c>
      <c r="H4490" s="21">
        <v>4475</v>
      </c>
      <c r="I4490" s="107">
        <v>0.6678524410910498</v>
      </c>
      <c r="J4490" s="108">
        <v>1.388365461572778E-3</v>
      </c>
      <c r="K4490" s="108"/>
      <c r="L4490" s="108">
        <v>4.5600000000000002E-2</v>
      </c>
      <c r="O4490" s="105"/>
    </row>
    <row r="4491" spans="2:15" x14ac:dyDescent="0.2">
      <c r="B4491" s="1">
        <f t="shared" si="256"/>
        <v>4476</v>
      </c>
      <c r="C4491" s="106">
        <f ca="1"/>
        <v>-0.90527335579430956</v>
      </c>
      <c r="D4491" s="106">
        <f t="shared" ca="1" si="253"/>
        <v>0.60773611847267384</v>
      </c>
      <c r="E4491" s="106">
        <f t="shared" ca="1" si="254"/>
        <v>0</v>
      </c>
      <c r="F4491" s="21">
        <f t="shared" ca="1" si="255"/>
        <v>0</v>
      </c>
      <c r="H4491" s="21">
        <v>4476</v>
      </c>
      <c r="I4491" s="107">
        <v>0.66803547642528127</v>
      </c>
      <c r="J4491" s="108">
        <v>1.6194602656199918E-3</v>
      </c>
      <c r="K4491" s="108"/>
      <c r="L4491" s="108">
        <v>4.7600000000000003E-2</v>
      </c>
      <c r="O4491" s="105"/>
    </row>
    <row r="4492" spans="2:15" x14ac:dyDescent="0.2">
      <c r="B4492" s="1">
        <f t="shared" si="256"/>
        <v>4477</v>
      </c>
      <c r="C4492" s="106">
        <f ca="1"/>
        <v>-0.5594596128709125</v>
      </c>
      <c r="D4492" s="106">
        <f t="shared" ca="1" si="253"/>
        <v>0.62882455954592487</v>
      </c>
      <c r="E4492" s="106">
        <f t="shared" ca="1" si="254"/>
        <v>0</v>
      </c>
      <c r="F4492" s="21">
        <f t="shared" ca="1" si="255"/>
        <v>0</v>
      </c>
      <c r="H4492" s="21">
        <v>4477</v>
      </c>
      <c r="I4492" s="107">
        <v>0.6676727650546469</v>
      </c>
      <c r="J4492" s="108">
        <v>1.2595930679379294E-3</v>
      </c>
      <c r="K4492" s="108"/>
      <c r="L4492" s="108">
        <v>3.9600000000000003E-2</v>
      </c>
      <c r="O4492" s="105"/>
    </row>
    <row r="4493" spans="2:15" x14ac:dyDescent="0.2">
      <c r="B4493" s="1">
        <f t="shared" si="256"/>
        <v>4478</v>
      </c>
      <c r="C4493" s="106">
        <f ca="1"/>
        <v>2.2787986322741602</v>
      </c>
      <c r="D4493" s="106">
        <f t="shared" ca="1" si="253"/>
        <v>0.83199119207954919</v>
      </c>
      <c r="E4493" s="106">
        <f t="shared" ca="1" si="254"/>
        <v>4.3791192079549179E-2</v>
      </c>
      <c r="F4493" s="21">
        <f t="shared" ca="1" si="255"/>
        <v>1</v>
      </c>
      <c r="H4493" s="21">
        <v>4478</v>
      </c>
      <c r="I4493" s="107">
        <v>0.66776526911245904</v>
      </c>
      <c r="J4493" s="108">
        <v>1.4576482419474106E-3</v>
      </c>
      <c r="K4493" s="108"/>
      <c r="L4493" s="108">
        <v>4.2000000000000003E-2</v>
      </c>
      <c r="O4493" s="105"/>
    </row>
    <row r="4494" spans="2:15" x14ac:dyDescent="0.2">
      <c r="B4494" s="1">
        <f t="shared" si="256"/>
        <v>4479</v>
      </c>
      <c r="C4494" s="106">
        <f ca="1"/>
        <v>-1.4295552862465868</v>
      </c>
      <c r="D4494" s="106">
        <f t="shared" ca="1" si="253"/>
        <v>0.57710539341260259</v>
      </c>
      <c r="E4494" s="106">
        <f t="shared" ca="1" si="254"/>
        <v>0</v>
      </c>
      <c r="F4494" s="21">
        <f t="shared" ca="1" si="255"/>
        <v>0</v>
      </c>
      <c r="H4494" s="21">
        <v>4479</v>
      </c>
      <c r="I4494" s="107">
        <v>0.66779637979122997</v>
      </c>
      <c r="J4494" s="108">
        <v>1.4629553003024044E-3</v>
      </c>
      <c r="K4494" s="108"/>
      <c r="L4494" s="108">
        <v>4.2599999999999999E-2</v>
      </c>
      <c r="O4494" s="105"/>
    </row>
    <row r="4495" spans="2:15" x14ac:dyDescent="0.2">
      <c r="B4495" s="1">
        <f t="shared" si="256"/>
        <v>4480</v>
      </c>
      <c r="C4495" s="106">
        <f ca="1"/>
        <v>-0.93327445456170233</v>
      </c>
      <c r="D4495" s="106">
        <f t="shared" ca="1" si="253"/>
        <v>0.60605982758182531</v>
      </c>
      <c r="E4495" s="106">
        <f t="shared" ca="1" si="254"/>
        <v>0</v>
      </c>
      <c r="F4495" s="21">
        <f t="shared" ca="1" si="255"/>
        <v>0</v>
      </c>
      <c r="H4495" s="21">
        <v>4480</v>
      </c>
      <c r="I4495" s="107">
        <v>0.66758796859410618</v>
      </c>
      <c r="J4495" s="108">
        <v>1.2820807131651718E-3</v>
      </c>
      <c r="K4495" s="108"/>
      <c r="L4495" s="108">
        <v>3.78E-2</v>
      </c>
      <c r="O4495" s="105"/>
    </row>
    <row r="4496" spans="2:15" x14ac:dyDescent="0.2">
      <c r="B4496" s="1">
        <f t="shared" si="256"/>
        <v>4481</v>
      </c>
      <c r="C4496" s="106">
        <f ca="1"/>
        <v>-1.3366911835640676</v>
      </c>
      <c r="D4496" s="106">
        <f t="shared" ref="D4496:D4559" ca="1" si="257">S0*EXP((μ-0.5*σ*σ)*T+σ*SQRT(T)*$C4496)</f>
        <v>0.58241610283206713</v>
      </c>
      <c r="E4496" s="106">
        <f t="shared" ref="E4496:E4559" ca="1" si="258">MAX(0,CP*(D4496-K))</f>
        <v>0</v>
      </c>
      <c r="F4496" s="21">
        <f t="shared" ref="F4496:F4559" ca="1" si="259">(CP*(D4496-K)&gt;0)*1</f>
        <v>0</v>
      </c>
      <c r="H4496" s="21">
        <v>4481</v>
      </c>
      <c r="I4496" s="107">
        <v>0.66780599253274664</v>
      </c>
      <c r="J4496" s="108">
        <v>1.5726765237472336E-3</v>
      </c>
      <c r="K4496" s="108"/>
      <c r="L4496" s="108">
        <v>4.1000000000000002E-2</v>
      </c>
      <c r="O4496" s="105"/>
    </row>
    <row r="4497" spans="2:15" x14ac:dyDescent="0.2">
      <c r="B4497" s="1">
        <f t="shared" si="256"/>
        <v>4482</v>
      </c>
      <c r="C4497" s="106">
        <f ca="1"/>
        <v>0.91626695373427602</v>
      </c>
      <c r="D4497" s="106">
        <f t="shared" ca="1" si="257"/>
        <v>0.72735882348778336</v>
      </c>
      <c r="E4497" s="106">
        <f t="shared" ca="1" si="258"/>
        <v>0</v>
      </c>
      <c r="F4497" s="21">
        <f t="shared" ca="1" si="259"/>
        <v>0</v>
      </c>
      <c r="H4497" s="21">
        <v>4482</v>
      </c>
      <c r="I4497" s="107">
        <v>0.6678997998663907</v>
      </c>
      <c r="J4497" s="108">
        <v>1.6601274564461439E-3</v>
      </c>
      <c r="K4497" s="108"/>
      <c r="L4497" s="108">
        <v>4.7600000000000003E-2</v>
      </c>
      <c r="O4497" s="105"/>
    </row>
    <row r="4498" spans="2:15" x14ac:dyDescent="0.2">
      <c r="B4498" s="1">
        <f t="shared" si="256"/>
        <v>4483</v>
      </c>
      <c r="C4498" s="106">
        <f ca="1"/>
        <v>0.39639653869426761</v>
      </c>
      <c r="D4498" s="106">
        <f t="shared" ca="1" si="257"/>
        <v>0.69099958016153329</v>
      </c>
      <c r="E4498" s="106">
        <f t="shared" ca="1" si="258"/>
        <v>0</v>
      </c>
      <c r="F4498" s="21">
        <f t="shared" ca="1" si="259"/>
        <v>0</v>
      </c>
      <c r="H4498" s="21">
        <v>4483</v>
      </c>
      <c r="I4498" s="107">
        <v>0.66781917629952459</v>
      </c>
      <c r="J4498" s="108">
        <v>1.5014243984359768E-3</v>
      </c>
      <c r="K4498" s="108"/>
      <c r="L4498" s="108">
        <v>4.2599999999999999E-2</v>
      </c>
      <c r="O4498" s="105"/>
    </row>
    <row r="4499" spans="2:15" x14ac:dyDescent="0.2">
      <c r="B4499" s="1">
        <f t="shared" si="256"/>
        <v>4484</v>
      </c>
      <c r="C4499" s="106">
        <f ca="1"/>
        <v>-0.5349323138227754</v>
      </c>
      <c r="D4499" s="106">
        <f t="shared" ca="1" si="257"/>
        <v>0.63034778291960647</v>
      </c>
      <c r="E4499" s="106">
        <f t="shared" ca="1" si="258"/>
        <v>0</v>
      </c>
      <c r="F4499" s="21">
        <f t="shared" ca="1" si="259"/>
        <v>0</v>
      </c>
      <c r="H4499" s="21">
        <v>4484</v>
      </c>
      <c r="I4499" s="107">
        <v>0.66782407707212366</v>
      </c>
      <c r="J4499" s="108">
        <v>1.4286783135316042E-3</v>
      </c>
      <c r="K4499" s="108"/>
      <c r="L4499" s="108">
        <v>4.3799999999999999E-2</v>
      </c>
      <c r="O4499" s="105"/>
    </row>
    <row r="4500" spans="2:15" x14ac:dyDescent="0.2">
      <c r="B4500" s="1">
        <f t="shared" si="256"/>
        <v>4485</v>
      </c>
      <c r="C4500" s="106">
        <f ca="1"/>
        <v>1.6618174290973622</v>
      </c>
      <c r="D4500" s="106">
        <f t="shared" ca="1" si="257"/>
        <v>0.78286636464087789</v>
      </c>
      <c r="E4500" s="106">
        <f t="shared" ca="1" si="258"/>
        <v>0</v>
      </c>
      <c r="F4500" s="21">
        <f t="shared" ca="1" si="259"/>
        <v>0</v>
      </c>
      <c r="H4500" s="21">
        <v>4485</v>
      </c>
      <c r="I4500" s="107">
        <v>0.66784319227754563</v>
      </c>
      <c r="J4500" s="108">
        <v>1.4381449509061086E-3</v>
      </c>
      <c r="K4500" s="108"/>
      <c r="L4500" s="108">
        <v>4.24E-2</v>
      </c>
      <c r="O4500" s="105"/>
    </row>
    <row r="4501" spans="2:15" x14ac:dyDescent="0.2">
      <c r="B4501" s="1">
        <f t="shared" si="256"/>
        <v>4486</v>
      </c>
      <c r="C4501" s="106">
        <f ca="1"/>
        <v>1.3062711759611749</v>
      </c>
      <c r="D4501" s="106">
        <f t="shared" ca="1" si="257"/>
        <v>0.75588591347322431</v>
      </c>
      <c r="E4501" s="106">
        <f t="shared" ca="1" si="258"/>
        <v>0</v>
      </c>
      <c r="F4501" s="21">
        <f t="shared" ca="1" si="259"/>
        <v>0</v>
      </c>
      <c r="H4501" s="21">
        <v>4486</v>
      </c>
      <c r="I4501" s="107">
        <v>0.66768414930162301</v>
      </c>
      <c r="J4501" s="108">
        <v>1.2636315688459774E-3</v>
      </c>
      <c r="K4501" s="108"/>
      <c r="L4501" s="108">
        <v>3.6400000000000002E-2</v>
      </c>
      <c r="O4501" s="105"/>
    </row>
    <row r="4502" spans="2:15" x14ac:dyDescent="0.2">
      <c r="B4502" s="1">
        <f t="shared" si="256"/>
        <v>4487</v>
      </c>
      <c r="C4502" s="106">
        <f ca="1"/>
        <v>2.7780207520829034E-2</v>
      </c>
      <c r="D4502" s="106">
        <f t="shared" ca="1" si="257"/>
        <v>0.66632558175495382</v>
      </c>
      <c r="E4502" s="106">
        <f t="shared" ca="1" si="258"/>
        <v>0</v>
      </c>
      <c r="F4502" s="21">
        <f t="shared" ca="1" si="259"/>
        <v>0</v>
      </c>
      <c r="H4502" s="21">
        <v>4487</v>
      </c>
      <c r="I4502" s="107">
        <v>0.66764865095095138</v>
      </c>
      <c r="J4502" s="108">
        <v>1.2398897316489093E-3</v>
      </c>
      <c r="K4502" s="108"/>
      <c r="L4502" s="108">
        <v>3.78E-2</v>
      </c>
      <c r="O4502" s="105"/>
    </row>
    <row r="4503" spans="2:15" x14ac:dyDescent="0.2">
      <c r="B4503" s="1">
        <f t="shared" si="256"/>
        <v>4488</v>
      </c>
      <c r="C4503" s="106">
        <f ca="1"/>
        <v>0.2093875893234117</v>
      </c>
      <c r="D4503" s="106">
        <f t="shared" ca="1" si="257"/>
        <v>0.67836969045212669</v>
      </c>
      <c r="E4503" s="106">
        <f t="shared" ca="1" si="258"/>
        <v>0</v>
      </c>
      <c r="F4503" s="21">
        <f t="shared" ca="1" si="259"/>
        <v>0</v>
      </c>
      <c r="H4503" s="21">
        <v>4488</v>
      </c>
      <c r="I4503" s="107">
        <v>0.66772406234050352</v>
      </c>
      <c r="J4503" s="108">
        <v>1.4016909887516762E-3</v>
      </c>
      <c r="K4503" s="108"/>
      <c r="L4503" s="108">
        <v>4.0800000000000003E-2</v>
      </c>
      <c r="O4503" s="105"/>
    </row>
    <row r="4504" spans="2:15" x14ac:dyDescent="0.2">
      <c r="B4504" s="1">
        <f t="shared" si="256"/>
        <v>4489</v>
      </c>
      <c r="C4504" s="106">
        <f ca="1"/>
        <v>-0.47058711237671236</v>
      </c>
      <c r="D4504" s="106">
        <f t="shared" ca="1" si="257"/>
        <v>0.6343613846804963</v>
      </c>
      <c r="E4504" s="106">
        <f t="shared" ca="1" si="258"/>
        <v>0</v>
      </c>
      <c r="F4504" s="21">
        <f t="shared" ca="1" si="259"/>
        <v>0</v>
      </c>
      <c r="H4504" s="21">
        <v>4489</v>
      </c>
      <c r="I4504" s="107">
        <v>0.66772147837508078</v>
      </c>
      <c r="J4504" s="108">
        <v>1.4478107803427996E-3</v>
      </c>
      <c r="K4504" s="108"/>
      <c r="L4504" s="108">
        <v>4.0599999999999997E-2</v>
      </c>
      <c r="O4504" s="105"/>
    </row>
    <row r="4505" spans="2:15" x14ac:dyDescent="0.2">
      <c r="B4505" s="1">
        <f t="shared" si="256"/>
        <v>4490</v>
      </c>
      <c r="C4505" s="106">
        <f ca="1"/>
        <v>-0.64774933223766107</v>
      </c>
      <c r="D4505" s="106">
        <f t="shared" ca="1" si="257"/>
        <v>0.62337189517518621</v>
      </c>
      <c r="E4505" s="106">
        <f t="shared" ca="1" si="258"/>
        <v>0</v>
      </c>
      <c r="F4505" s="21">
        <f t="shared" ca="1" si="259"/>
        <v>0</v>
      </c>
      <c r="H4505" s="21">
        <v>4490</v>
      </c>
      <c r="I4505" s="107">
        <v>0.66773991943004229</v>
      </c>
      <c r="J4505" s="108">
        <v>1.3971548261728867E-3</v>
      </c>
      <c r="K4505" s="108"/>
      <c r="L4505" s="108">
        <v>4.3799999999999999E-2</v>
      </c>
      <c r="O4505" s="105"/>
    </row>
    <row r="4506" spans="2:15" x14ac:dyDescent="0.2">
      <c r="B4506" s="1">
        <f t="shared" si="256"/>
        <v>4491</v>
      </c>
      <c r="C4506" s="106">
        <f ca="1"/>
        <v>0.95851291412377537</v>
      </c>
      <c r="D4506" s="106">
        <f t="shared" ca="1" si="257"/>
        <v>0.73039619565796443</v>
      </c>
      <c r="E4506" s="106">
        <f t="shared" ca="1" si="258"/>
        <v>0</v>
      </c>
      <c r="F4506" s="21">
        <f t="shared" ca="1" si="259"/>
        <v>0</v>
      </c>
      <c r="H4506" s="21">
        <v>4491</v>
      </c>
      <c r="I4506" s="107">
        <v>0.66795162511363637</v>
      </c>
      <c r="J4506" s="108">
        <v>1.5832098802534833E-3</v>
      </c>
      <c r="K4506" s="108"/>
      <c r="L4506" s="108">
        <v>4.6399999999999997E-2</v>
      </c>
      <c r="O4506" s="105"/>
    </row>
    <row r="4507" spans="2:15" x14ac:dyDescent="0.2">
      <c r="B4507" s="1">
        <f t="shared" si="256"/>
        <v>4492</v>
      </c>
      <c r="C4507" s="106">
        <f ca="1"/>
        <v>-2.0023805691935803</v>
      </c>
      <c r="D4507" s="106">
        <f t="shared" ca="1" si="257"/>
        <v>0.54540064991827131</v>
      </c>
      <c r="E4507" s="106">
        <f t="shared" ca="1" si="258"/>
        <v>0</v>
      </c>
      <c r="F4507" s="21">
        <f t="shared" ca="1" si="259"/>
        <v>0</v>
      </c>
      <c r="H4507" s="21">
        <v>4492</v>
      </c>
      <c r="I4507" s="107">
        <v>0.66771241864934006</v>
      </c>
      <c r="J4507" s="108">
        <v>1.3016815933713606E-3</v>
      </c>
      <c r="K4507" s="108"/>
      <c r="L4507" s="108">
        <v>3.8600000000000002E-2</v>
      </c>
      <c r="O4507" s="105"/>
    </row>
    <row r="4508" spans="2:15" x14ac:dyDescent="0.2">
      <c r="B4508" s="1">
        <f t="shared" si="256"/>
        <v>4493</v>
      </c>
      <c r="C4508" s="106">
        <f ca="1"/>
        <v>-1.7442382476826612</v>
      </c>
      <c r="D4508" s="106">
        <f t="shared" ca="1" si="257"/>
        <v>0.5594667863383096</v>
      </c>
      <c r="E4508" s="106">
        <f t="shared" ca="1" si="258"/>
        <v>0</v>
      </c>
      <c r="F4508" s="21">
        <f t="shared" ca="1" si="259"/>
        <v>0</v>
      </c>
      <c r="H4508" s="21">
        <v>4493</v>
      </c>
      <c r="I4508" s="107">
        <v>0.66779094988116361</v>
      </c>
      <c r="J4508" s="108">
        <v>1.4586637372290075E-3</v>
      </c>
      <c r="K4508" s="108"/>
      <c r="L4508" s="108">
        <v>4.4999999999999998E-2</v>
      </c>
      <c r="O4508" s="105"/>
    </row>
    <row r="4509" spans="2:15" x14ac:dyDescent="0.2">
      <c r="B4509" s="1">
        <f t="shared" si="256"/>
        <v>4494</v>
      </c>
      <c r="C4509" s="106">
        <f ca="1"/>
        <v>-0.42430875779475796</v>
      </c>
      <c r="D4509" s="106">
        <f t="shared" ca="1" si="257"/>
        <v>0.63726383766516648</v>
      </c>
      <c r="E4509" s="106">
        <f t="shared" ca="1" si="258"/>
        <v>0</v>
      </c>
      <c r="F4509" s="21">
        <f t="shared" ca="1" si="259"/>
        <v>0</v>
      </c>
      <c r="H4509" s="21">
        <v>4494</v>
      </c>
      <c r="I4509" s="107">
        <v>0.66783567222049567</v>
      </c>
      <c r="J4509" s="108">
        <v>1.5292253186627355E-3</v>
      </c>
      <c r="K4509" s="108"/>
      <c r="L4509" s="108">
        <v>4.2599999999999999E-2</v>
      </c>
      <c r="O4509" s="105"/>
    </row>
    <row r="4510" spans="2:15" x14ac:dyDescent="0.2">
      <c r="B4510" s="1">
        <f t="shared" si="256"/>
        <v>4495</v>
      </c>
      <c r="C4510" s="106">
        <f ca="1"/>
        <v>-0.37936510505328164</v>
      </c>
      <c r="D4510" s="106">
        <f t="shared" ca="1" si="257"/>
        <v>0.64009529209505867</v>
      </c>
      <c r="E4510" s="106">
        <f t="shared" ca="1" si="258"/>
        <v>0</v>
      </c>
      <c r="F4510" s="21">
        <f t="shared" ca="1" si="259"/>
        <v>0</v>
      </c>
      <c r="H4510" s="21">
        <v>4495</v>
      </c>
      <c r="I4510" s="107">
        <v>0.66771010743325621</v>
      </c>
      <c r="J4510" s="108">
        <v>1.3695357693216221E-3</v>
      </c>
      <c r="K4510" s="108"/>
      <c r="L4510" s="108">
        <v>4.2000000000000003E-2</v>
      </c>
      <c r="O4510" s="105"/>
    </row>
    <row r="4511" spans="2:15" x14ac:dyDescent="0.2">
      <c r="B4511" s="1">
        <f t="shared" si="256"/>
        <v>4496</v>
      </c>
      <c r="C4511" s="106">
        <f ca="1"/>
        <v>-0.33546050737687305</v>
      </c>
      <c r="D4511" s="106">
        <f t="shared" ca="1" si="257"/>
        <v>0.64287343318413293</v>
      </c>
      <c r="E4511" s="106">
        <f t="shared" ca="1" si="258"/>
        <v>0</v>
      </c>
      <c r="F4511" s="21">
        <f t="shared" ca="1" si="259"/>
        <v>0</v>
      </c>
      <c r="H4511" s="21">
        <v>4496</v>
      </c>
      <c r="I4511" s="107">
        <v>0.66755925690496276</v>
      </c>
      <c r="J4511" s="108">
        <v>1.2232841418177783E-3</v>
      </c>
      <c r="K4511" s="108"/>
      <c r="L4511" s="108">
        <v>3.6200000000000003E-2</v>
      </c>
      <c r="O4511" s="105"/>
    </row>
    <row r="4512" spans="2:15" x14ac:dyDescent="0.2">
      <c r="B4512" s="1">
        <f t="shared" si="256"/>
        <v>4497</v>
      </c>
      <c r="C4512" s="106">
        <f ca="1"/>
        <v>-0.55930395052883364</v>
      </c>
      <c r="D4512" s="106">
        <f t="shared" ca="1" si="257"/>
        <v>0.62883421505754189</v>
      </c>
      <c r="E4512" s="106">
        <f t="shared" ca="1" si="258"/>
        <v>0</v>
      </c>
      <c r="F4512" s="21">
        <f t="shared" ca="1" si="259"/>
        <v>0</v>
      </c>
      <c r="H4512" s="21">
        <v>4497</v>
      </c>
      <c r="I4512" s="107">
        <v>0.66788792552828102</v>
      </c>
      <c r="J4512" s="108">
        <v>1.6116451429927054E-3</v>
      </c>
      <c r="K4512" s="108"/>
      <c r="L4512" s="108">
        <v>4.6399999999999997E-2</v>
      </c>
      <c r="O4512" s="105"/>
    </row>
    <row r="4513" spans="2:15" x14ac:dyDescent="0.2">
      <c r="B4513" s="1">
        <f t="shared" si="256"/>
        <v>4498</v>
      </c>
      <c r="C4513" s="106">
        <f ca="1"/>
        <v>-0.57724248941214618</v>
      </c>
      <c r="D4513" s="106">
        <f t="shared" ca="1" si="257"/>
        <v>0.62772248857941737</v>
      </c>
      <c r="E4513" s="106">
        <f t="shared" ca="1" si="258"/>
        <v>0</v>
      </c>
      <c r="F4513" s="21">
        <f t="shared" ca="1" si="259"/>
        <v>0</v>
      </c>
      <c r="H4513" s="21">
        <v>4498</v>
      </c>
      <c r="I4513" s="107">
        <v>0.66770302156842243</v>
      </c>
      <c r="J4513" s="108">
        <v>1.1576898893091547E-3</v>
      </c>
      <c r="K4513" s="108"/>
      <c r="L4513" s="108">
        <v>4.1799999999999997E-2</v>
      </c>
      <c r="O4513" s="105"/>
    </row>
    <row r="4514" spans="2:15" x14ac:dyDescent="0.2">
      <c r="B4514" s="1">
        <f t="shared" si="256"/>
        <v>4499</v>
      </c>
      <c r="C4514" s="106">
        <f ca="1"/>
        <v>0.41521044347532376</v>
      </c>
      <c r="D4514" s="106">
        <f t="shared" ca="1" si="257"/>
        <v>0.69228314755518872</v>
      </c>
      <c r="E4514" s="106">
        <f t="shared" ca="1" si="258"/>
        <v>0</v>
      </c>
      <c r="F4514" s="21">
        <f t="shared" ca="1" si="259"/>
        <v>0</v>
      </c>
      <c r="H4514" s="21">
        <v>4499</v>
      </c>
      <c r="I4514" s="107">
        <v>0.66769387757765875</v>
      </c>
      <c r="J4514" s="108">
        <v>1.4148444008268463E-3</v>
      </c>
      <c r="K4514" s="108"/>
      <c r="L4514" s="108">
        <v>4.0399999999999998E-2</v>
      </c>
      <c r="O4514" s="105"/>
    </row>
    <row r="4515" spans="2:15" x14ac:dyDescent="0.2">
      <c r="B4515" s="1">
        <f t="shared" si="256"/>
        <v>4500</v>
      </c>
      <c r="C4515" s="106">
        <f ca="1"/>
        <v>0.96459909240236164</v>
      </c>
      <c r="D4515" s="106">
        <f t="shared" ca="1" si="257"/>
        <v>0.73083481971082709</v>
      </c>
      <c r="E4515" s="106">
        <f t="shared" ca="1" si="258"/>
        <v>0</v>
      </c>
      <c r="F4515" s="21">
        <f t="shared" ca="1" si="259"/>
        <v>0</v>
      </c>
      <c r="H4515" s="21">
        <v>4500</v>
      </c>
      <c r="I4515" s="107">
        <v>0.66779700584765134</v>
      </c>
      <c r="J4515" s="108">
        <v>1.5855271498213224E-3</v>
      </c>
      <c r="K4515" s="108"/>
      <c r="L4515" s="108">
        <v>4.5400000000000003E-2</v>
      </c>
      <c r="O4515" s="105"/>
    </row>
    <row r="4516" spans="2:15" x14ac:dyDescent="0.2">
      <c r="B4516" s="1">
        <f t="shared" si="256"/>
        <v>4501</v>
      </c>
      <c r="C4516" s="106">
        <f ca="1"/>
        <v>1.579134543092561</v>
      </c>
      <c r="D4516" s="106">
        <f t="shared" ca="1" si="257"/>
        <v>0.77650731341093004</v>
      </c>
      <c r="E4516" s="106">
        <f t="shared" ca="1" si="258"/>
        <v>0</v>
      </c>
      <c r="F4516" s="21">
        <f t="shared" ca="1" si="259"/>
        <v>0</v>
      </c>
      <c r="H4516" s="21">
        <v>4501</v>
      </c>
      <c r="I4516" s="107">
        <v>0.66786567108371242</v>
      </c>
      <c r="J4516" s="108">
        <v>1.5151536034938408E-3</v>
      </c>
      <c r="K4516" s="108"/>
      <c r="L4516" s="108">
        <v>4.2999999999999997E-2</v>
      </c>
      <c r="O4516" s="105"/>
    </row>
    <row r="4517" spans="2:15" x14ac:dyDescent="0.2">
      <c r="B4517" s="1">
        <f t="shared" si="256"/>
        <v>4502</v>
      </c>
      <c r="C4517" s="106">
        <f ca="1"/>
        <v>-0.22183074589077492</v>
      </c>
      <c r="D4517" s="106">
        <f t="shared" ca="1" si="257"/>
        <v>0.65011967232347756</v>
      </c>
      <c r="E4517" s="106">
        <f t="shared" ca="1" si="258"/>
        <v>0</v>
      </c>
      <c r="F4517" s="21">
        <f t="shared" ca="1" si="259"/>
        <v>0</v>
      </c>
      <c r="H4517" s="21">
        <v>4502</v>
      </c>
      <c r="I4517" s="107">
        <v>0.667748049154123</v>
      </c>
      <c r="J4517" s="108">
        <v>1.1946747297268772E-3</v>
      </c>
      <c r="K4517" s="108"/>
      <c r="L4517" s="108">
        <v>3.8199999999999998E-2</v>
      </c>
      <c r="O4517" s="105"/>
    </row>
    <row r="4518" spans="2:15" x14ac:dyDescent="0.2">
      <c r="B4518" s="1">
        <f t="shared" si="256"/>
        <v>4503</v>
      </c>
      <c r="C4518" s="106">
        <f ca="1"/>
        <v>-0.44810974244575674</v>
      </c>
      <c r="D4518" s="106">
        <f t="shared" ca="1" si="257"/>
        <v>0.63576944960316795</v>
      </c>
      <c r="E4518" s="106">
        <f t="shared" ca="1" si="258"/>
        <v>0</v>
      </c>
      <c r="F4518" s="21">
        <f t="shared" ca="1" si="259"/>
        <v>0</v>
      </c>
      <c r="H4518" s="21">
        <v>4503</v>
      </c>
      <c r="I4518" s="107">
        <v>0.66773721027826516</v>
      </c>
      <c r="J4518" s="108">
        <v>1.3666657763316253E-3</v>
      </c>
      <c r="K4518" s="108"/>
      <c r="L4518" s="108">
        <v>4.36E-2</v>
      </c>
      <c r="O4518" s="105"/>
    </row>
    <row r="4519" spans="2:15" x14ac:dyDescent="0.2">
      <c r="B4519" s="1">
        <f t="shared" si="256"/>
        <v>4504</v>
      </c>
      <c r="C4519" s="106">
        <f ca="1"/>
        <v>0.77372068910528868</v>
      </c>
      <c r="D4519" s="106">
        <f t="shared" ca="1" si="257"/>
        <v>0.71720303297038746</v>
      </c>
      <c r="E4519" s="106">
        <f t="shared" ca="1" si="258"/>
        <v>0</v>
      </c>
      <c r="F4519" s="21">
        <f t="shared" ca="1" si="259"/>
        <v>0</v>
      </c>
      <c r="H4519" s="21">
        <v>4504</v>
      </c>
      <c r="I4519" s="107">
        <v>0.66788727299584549</v>
      </c>
      <c r="J4519" s="108">
        <v>1.5576705080893542E-3</v>
      </c>
      <c r="K4519" s="108"/>
      <c r="L4519" s="108">
        <v>4.6399999999999997E-2</v>
      </c>
      <c r="O4519" s="105"/>
    </row>
    <row r="4520" spans="2:15" x14ac:dyDescent="0.2">
      <c r="B4520" s="1">
        <f t="shared" si="256"/>
        <v>4505</v>
      </c>
      <c r="C4520" s="106">
        <f ca="1"/>
        <v>-0.40281729476947142</v>
      </c>
      <c r="D4520" s="106">
        <f t="shared" ca="1" si="257"/>
        <v>0.63861623584649985</v>
      </c>
      <c r="E4520" s="106">
        <f t="shared" ca="1" si="258"/>
        <v>0</v>
      </c>
      <c r="F4520" s="21">
        <f t="shared" ca="1" si="259"/>
        <v>0</v>
      </c>
      <c r="H4520" s="21">
        <v>4505</v>
      </c>
      <c r="I4520" s="107">
        <v>0.667826997146034</v>
      </c>
      <c r="J4520" s="108">
        <v>1.5597406304765755E-3</v>
      </c>
      <c r="K4520" s="108"/>
      <c r="L4520" s="108">
        <v>4.3400000000000001E-2</v>
      </c>
      <c r="O4520" s="105"/>
    </row>
    <row r="4521" spans="2:15" x14ac:dyDescent="0.2">
      <c r="B4521" s="1">
        <f t="shared" si="256"/>
        <v>4506</v>
      </c>
      <c r="C4521" s="106">
        <f ca="1"/>
        <v>-0.77170544900162064</v>
      </c>
      <c r="D4521" s="106">
        <f t="shared" ca="1" si="257"/>
        <v>0.61579621407299845</v>
      </c>
      <c r="E4521" s="106">
        <f t="shared" ca="1" si="258"/>
        <v>0</v>
      </c>
      <c r="F4521" s="21">
        <f t="shared" ca="1" si="259"/>
        <v>0</v>
      </c>
      <c r="H4521" s="21">
        <v>4506</v>
      </c>
      <c r="I4521" s="107">
        <v>0.66778409420228635</v>
      </c>
      <c r="J4521" s="108">
        <v>1.295853149225134E-3</v>
      </c>
      <c r="K4521" s="108"/>
      <c r="L4521" s="108">
        <v>4.4400000000000002E-2</v>
      </c>
      <c r="O4521" s="105"/>
    </row>
    <row r="4522" spans="2:15" x14ac:dyDescent="0.2">
      <c r="B4522" s="1">
        <f t="shared" si="256"/>
        <v>4507</v>
      </c>
      <c r="C4522" s="106">
        <f ca="1"/>
        <v>0.12610621026929941</v>
      </c>
      <c r="D4522" s="106">
        <f t="shared" ca="1" si="257"/>
        <v>0.672819720857737</v>
      </c>
      <c r="E4522" s="106">
        <f t="shared" ca="1" si="258"/>
        <v>0</v>
      </c>
      <c r="F4522" s="21">
        <f t="shared" ca="1" si="259"/>
        <v>0</v>
      </c>
      <c r="H4522" s="21">
        <v>4507</v>
      </c>
      <c r="I4522" s="107">
        <v>0.66768253010960021</v>
      </c>
      <c r="J4522" s="108">
        <v>1.3554812431107535E-3</v>
      </c>
      <c r="K4522" s="108"/>
      <c r="L4522" s="108">
        <v>0.04</v>
      </c>
      <c r="O4522" s="105"/>
    </row>
    <row r="4523" spans="2:15" x14ac:dyDescent="0.2">
      <c r="B4523" s="1">
        <f t="shared" si="256"/>
        <v>4508</v>
      </c>
      <c r="C4523" s="106">
        <f ca="1"/>
        <v>0.25817032911729443</v>
      </c>
      <c r="D4523" s="106">
        <f t="shared" ca="1" si="257"/>
        <v>0.68164186795449233</v>
      </c>
      <c r="E4523" s="106">
        <f t="shared" ca="1" si="258"/>
        <v>0</v>
      </c>
      <c r="F4523" s="21">
        <f t="shared" ca="1" si="259"/>
        <v>0</v>
      </c>
      <c r="H4523" s="21">
        <v>4508</v>
      </c>
      <c r="I4523" s="107">
        <v>0.66768894971086246</v>
      </c>
      <c r="J4523" s="108">
        <v>1.3255148224038159E-3</v>
      </c>
      <c r="K4523" s="108"/>
      <c r="L4523" s="108">
        <v>0.04</v>
      </c>
      <c r="O4523" s="105"/>
    </row>
    <row r="4524" spans="2:15" x14ac:dyDescent="0.2">
      <c r="B4524" s="1">
        <f t="shared" si="256"/>
        <v>4509</v>
      </c>
      <c r="C4524" s="106">
        <f ca="1"/>
        <v>-0.42143249998231441</v>
      </c>
      <c r="D4524" s="106">
        <f t="shared" ca="1" si="257"/>
        <v>0.63744466646362152</v>
      </c>
      <c r="E4524" s="106">
        <f t="shared" ca="1" si="258"/>
        <v>0</v>
      </c>
      <c r="F4524" s="21">
        <f t="shared" ca="1" si="259"/>
        <v>0</v>
      </c>
      <c r="H4524" s="21">
        <v>4509</v>
      </c>
      <c r="I4524" s="107">
        <v>0.66772437340760893</v>
      </c>
      <c r="J4524" s="108">
        <v>1.4213236142656442E-3</v>
      </c>
      <c r="K4524" s="108"/>
      <c r="L4524" s="108">
        <v>4.48E-2</v>
      </c>
      <c r="O4524" s="105"/>
    </row>
    <row r="4525" spans="2:15" x14ac:dyDescent="0.2">
      <c r="B4525" s="1">
        <f t="shared" si="256"/>
        <v>4510</v>
      </c>
      <c r="C4525" s="106">
        <f ca="1"/>
        <v>1.7240512457912864</v>
      </c>
      <c r="D4525" s="106">
        <f t="shared" ca="1" si="257"/>
        <v>0.78768702664453383</v>
      </c>
      <c r="E4525" s="106">
        <f t="shared" ca="1" si="258"/>
        <v>0</v>
      </c>
      <c r="F4525" s="21">
        <f t="shared" ca="1" si="259"/>
        <v>0</v>
      </c>
      <c r="H4525" s="21">
        <v>4510</v>
      </c>
      <c r="I4525" s="107">
        <v>0.66777734909343667</v>
      </c>
      <c r="J4525" s="108">
        <v>1.4374253435742968E-3</v>
      </c>
      <c r="K4525" s="108"/>
      <c r="L4525" s="108">
        <v>4.24E-2</v>
      </c>
      <c r="O4525" s="105"/>
    </row>
    <row r="4526" spans="2:15" x14ac:dyDescent="0.2">
      <c r="B4526" s="1">
        <f t="shared" si="256"/>
        <v>4511</v>
      </c>
      <c r="C4526" s="106">
        <f ca="1"/>
        <v>0.37613414917753241</v>
      </c>
      <c r="D4526" s="106">
        <f t="shared" ca="1" si="257"/>
        <v>0.68961985240220525</v>
      </c>
      <c r="E4526" s="106">
        <f t="shared" ca="1" si="258"/>
        <v>0</v>
      </c>
      <c r="F4526" s="21">
        <f t="shared" ca="1" si="259"/>
        <v>0</v>
      </c>
      <c r="H4526" s="21">
        <v>4511</v>
      </c>
      <c r="I4526" s="107">
        <v>0.66769370543286277</v>
      </c>
      <c r="J4526" s="108">
        <v>1.2951317884497165E-3</v>
      </c>
      <c r="K4526" s="108"/>
      <c r="L4526" s="108">
        <v>4.1599999999999998E-2</v>
      </c>
      <c r="O4526" s="105"/>
    </row>
    <row r="4527" spans="2:15" x14ac:dyDescent="0.2">
      <c r="B4527" s="1">
        <f t="shared" si="256"/>
        <v>4512</v>
      </c>
      <c r="C4527" s="106">
        <f ca="1"/>
        <v>2.527731936137013</v>
      </c>
      <c r="D4527" s="106">
        <f t="shared" ca="1" si="257"/>
        <v>0.8526737199306661</v>
      </c>
      <c r="E4527" s="106">
        <f t="shared" ca="1" si="258"/>
        <v>6.4473719930666085E-2</v>
      </c>
      <c r="F4527" s="21">
        <f t="shared" ca="1" si="259"/>
        <v>1</v>
      </c>
      <c r="H4527" s="21">
        <v>4512</v>
      </c>
      <c r="I4527" s="107">
        <v>0.66776378067154873</v>
      </c>
      <c r="J4527" s="108">
        <v>1.4307039146546437E-3</v>
      </c>
      <c r="K4527" s="108"/>
      <c r="L4527" s="108">
        <v>4.1200000000000001E-2</v>
      </c>
      <c r="O4527" s="105"/>
    </row>
    <row r="4528" spans="2:15" x14ac:dyDescent="0.2">
      <c r="B4528" s="1">
        <f t="shared" ref="B4528:B4591" si="260">B4527+1</f>
        <v>4513</v>
      </c>
      <c r="C4528" s="106">
        <f ca="1"/>
        <v>0.61661096165450024</v>
      </c>
      <c r="D4528" s="106">
        <f t="shared" ca="1" si="257"/>
        <v>0.70617385365914542</v>
      </c>
      <c r="E4528" s="106">
        <f t="shared" ca="1" si="258"/>
        <v>0</v>
      </c>
      <c r="F4528" s="21">
        <f t="shared" ca="1" si="259"/>
        <v>0</v>
      </c>
      <c r="H4528" s="21">
        <v>4513</v>
      </c>
      <c r="I4528" s="107">
        <v>0.6676161179222615</v>
      </c>
      <c r="J4528" s="108">
        <v>1.1894872600330139E-3</v>
      </c>
      <c r="K4528" s="108"/>
      <c r="L4528" s="108">
        <v>3.9E-2</v>
      </c>
      <c r="O4528" s="105"/>
    </row>
    <row r="4529" spans="2:15" x14ac:dyDescent="0.2">
      <c r="B4529" s="1">
        <f t="shared" si="260"/>
        <v>4514</v>
      </c>
      <c r="C4529" s="106">
        <f ca="1"/>
        <v>0.12713407244593866</v>
      </c>
      <c r="D4529" s="106">
        <f t="shared" ca="1" si="257"/>
        <v>0.67288794129755236</v>
      </c>
      <c r="E4529" s="106">
        <f t="shared" ca="1" si="258"/>
        <v>0</v>
      </c>
      <c r="F4529" s="21">
        <f t="shared" ca="1" si="259"/>
        <v>0</v>
      </c>
      <c r="H4529" s="21">
        <v>4514</v>
      </c>
      <c r="I4529" s="107">
        <v>0.66765759703467331</v>
      </c>
      <c r="J4529" s="108">
        <v>1.273903392525435E-3</v>
      </c>
      <c r="K4529" s="108"/>
      <c r="L4529" s="108">
        <v>4.1000000000000002E-2</v>
      </c>
      <c r="O4529" s="105"/>
    </row>
    <row r="4530" spans="2:15" x14ac:dyDescent="0.2">
      <c r="B4530" s="1">
        <f t="shared" si="260"/>
        <v>4515</v>
      </c>
      <c r="C4530" s="106">
        <f ca="1"/>
        <v>1.4174926765848406</v>
      </c>
      <c r="D4530" s="106">
        <f t="shared" ca="1" si="257"/>
        <v>0.7642244226556264</v>
      </c>
      <c r="E4530" s="106">
        <f t="shared" ca="1" si="258"/>
        <v>0</v>
      </c>
      <c r="F4530" s="21">
        <f t="shared" ca="1" si="259"/>
        <v>0</v>
      </c>
      <c r="H4530" s="21">
        <v>4515</v>
      </c>
      <c r="I4530" s="107">
        <v>0.66793052770776562</v>
      </c>
      <c r="J4530" s="108">
        <v>1.5881338716761703E-3</v>
      </c>
      <c r="K4530" s="108"/>
      <c r="L4530" s="108">
        <v>4.5999999999999999E-2</v>
      </c>
      <c r="O4530" s="105"/>
    </row>
    <row r="4531" spans="2:15" x14ac:dyDescent="0.2">
      <c r="B4531" s="1">
        <f t="shared" si="260"/>
        <v>4516</v>
      </c>
      <c r="C4531" s="106">
        <f ca="1"/>
        <v>0.55854658910215627</v>
      </c>
      <c r="D4531" s="106">
        <f t="shared" ca="1" si="257"/>
        <v>0.70214077080276571</v>
      </c>
      <c r="E4531" s="106">
        <f t="shared" ca="1" si="258"/>
        <v>0</v>
      </c>
      <c r="F4531" s="21">
        <f t="shared" ca="1" si="259"/>
        <v>0</v>
      </c>
      <c r="H4531" s="21">
        <v>4516</v>
      </c>
      <c r="I4531" s="107">
        <v>0.6676491382937495</v>
      </c>
      <c r="J4531" s="108">
        <v>1.1925839524869193E-3</v>
      </c>
      <c r="K4531" s="108"/>
      <c r="L4531" s="108">
        <v>3.78E-2</v>
      </c>
      <c r="O4531" s="105"/>
    </row>
    <row r="4532" spans="2:15" x14ac:dyDescent="0.2">
      <c r="B4532" s="1">
        <f t="shared" si="260"/>
        <v>4517</v>
      </c>
      <c r="C4532" s="106">
        <f ca="1"/>
        <v>0.41969606687147537</v>
      </c>
      <c r="D4532" s="106">
        <f t="shared" ca="1" si="257"/>
        <v>0.69258952836007281</v>
      </c>
      <c r="E4532" s="106">
        <f t="shared" ca="1" si="258"/>
        <v>0</v>
      </c>
      <c r="F4532" s="21">
        <f t="shared" ca="1" si="259"/>
        <v>0</v>
      </c>
      <c r="H4532" s="21">
        <v>4517</v>
      </c>
      <c r="I4532" s="107">
        <v>0.66773676431538298</v>
      </c>
      <c r="J4532" s="108">
        <v>1.304988191353635E-3</v>
      </c>
      <c r="K4532" s="108"/>
      <c r="L4532" s="108">
        <v>4.1599999999999998E-2</v>
      </c>
      <c r="O4532" s="105"/>
    </row>
    <row r="4533" spans="2:15" x14ac:dyDescent="0.2">
      <c r="B4533" s="1">
        <f t="shared" si="260"/>
        <v>4518</v>
      </c>
      <c r="C4533" s="106">
        <f ca="1"/>
        <v>0.83806011512848488</v>
      </c>
      <c r="D4533" s="106">
        <f t="shared" ca="1" si="257"/>
        <v>0.72176925536719916</v>
      </c>
      <c r="E4533" s="106">
        <f t="shared" ca="1" si="258"/>
        <v>0</v>
      </c>
      <c r="F4533" s="21">
        <f t="shared" ca="1" si="259"/>
        <v>0</v>
      </c>
      <c r="H4533" s="21">
        <v>4518</v>
      </c>
      <c r="I4533" s="107">
        <v>0.66784471532701095</v>
      </c>
      <c r="J4533" s="108">
        <v>1.4841227975703896E-3</v>
      </c>
      <c r="K4533" s="108"/>
      <c r="L4533" s="108">
        <v>4.4200000000000003E-2</v>
      </c>
      <c r="O4533" s="105"/>
    </row>
    <row r="4534" spans="2:15" x14ac:dyDescent="0.2">
      <c r="B4534" s="1">
        <f t="shared" si="260"/>
        <v>4519</v>
      </c>
      <c r="C4534" s="106">
        <f ca="1"/>
        <v>0.19653752003393557</v>
      </c>
      <c r="D4534" s="106">
        <f t="shared" ca="1" si="257"/>
        <v>0.67751036912582308</v>
      </c>
      <c r="E4534" s="106">
        <f t="shared" ca="1" si="258"/>
        <v>0</v>
      </c>
      <c r="F4534" s="21">
        <f t="shared" ca="1" si="259"/>
        <v>0</v>
      </c>
      <c r="H4534" s="21">
        <v>4519</v>
      </c>
      <c r="I4534" s="107">
        <v>0.66773377071200291</v>
      </c>
      <c r="J4534" s="108">
        <v>1.3373091407658433E-3</v>
      </c>
      <c r="K4534" s="108"/>
      <c r="L4534" s="108">
        <v>4.1799999999999997E-2</v>
      </c>
      <c r="O4534" s="105"/>
    </row>
    <row r="4535" spans="2:15" x14ac:dyDescent="0.2">
      <c r="B4535" s="1">
        <f t="shared" si="260"/>
        <v>4520</v>
      </c>
      <c r="C4535" s="106">
        <f ca="1"/>
        <v>1.2418305045493774</v>
      </c>
      <c r="D4535" s="106">
        <f t="shared" ca="1" si="257"/>
        <v>0.75109635321876134</v>
      </c>
      <c r="E4535" s="106">
        <f t="shared" ca="1" si="258"/>
        <v>0</v>
      </c>
      <c r="F4535" s="21">
        <f t="shared" ca="1" si="259"/>
        <v>0</v>
      </c>
      <c r="H4535" s="21">
        <v>4520</v>
      </c>
      <c r="I4535" s="107">
        <v>0.66751944306827904</v>
      </c>
      <c r="J4535" s="108">
        <v>1.0957175804850842E-3</v>
      </c>
      <c r="K4535" s="108"/>
      <c r="L4535" s="108">
        <v>3.5000000000000003E-2</v>
      </c>
      <c r="O4535" s="105"/>
    </row>
    <row r="4536" spans="2:15" x14ac:dyDescent="0.2">
      <c r="B4536" s="1">
        <f t="shared" si="260"/>
        <v>4521</v>
      </c>
      <c r="C4536" s="106">
        <f ca="1"/>
        <v>0.41986018721167101</v>
      </c>
      <c r="D4536" s="106">
        <f t="shared" ca="1" si="257"/>
        <v>0.69260074081591094</v>
      </c>
      <c r="E4536" s="106">
        <f t="shared" ca="1" si="258"/>
        <v>0</v>
      </c>
      <c r="F4536" s="21">
        <f t="shared" ca="1" si="259"/>
        <v>0</v>
      </c>
      <c r="H4536" s="21">
        <v>4521</v>
      </c>
      <c r="I4536" s="107">
        <v>0.66770278274582384</v>
      </c>
      <c r="J4536" s="108">
        <v>1.2926183180572959E-3</v>
      </c>
      <c r="K4536" s="108"/>
      <c r="L4536" s="108">
        <v>4.1000000000000002E-2</v>
      </c>
      <c r="O4536" s="105"/>
    </row>
    <row r="4537" spans="2:15" x14ac:dyDescent="0.2">
      <c r="B4537" s="1">
        <f t="shared" si="260"/>
        <v>4522</v>
      </c>
      <c r="C4537" s="106">
        <f ca="1"/>
        <v>0.52093457036921653</v>
      </c>
      <c r="D4537" s="106">
        <f t="shared" ca="1" si="257"/>
        <v>0.69954058521160289</v>
      </c>
      <c r="E4537" s="106">
        <f t="shared" ca="1" si="258"/>
        <v>0</v>
      </c>
      <c r="F4537" s="21">
        <f t="shared" ca="1" si="259"/>
        <v>0</v>
      </c>
      <c r="H4537" s="21">
        <v>4522</v>
      </c>
      <c r="I4537" s="107">
        <v>0.66775377591821838</v>
      </c>
      <c r="J4537" s="108">
        <v>1.3809954701355517E-3</v>
      </c>
      <c r="K4537" s="108"/>
      <c r="L4537" s="108">
        <v>4.2599999999999999E-2</v>
      </c>
      <c r="O4537" s="105"/>
    </row>
    <row r="4538" spans="2:15" x14ac:dyDescent="0.2">
      <c r="B4538" s="1">
        <f t="shared" si="260"/>
        <v>4523</v>
      </c>
      <c r="C4538" s="106">
        <f ca="1"/>
        <v>-0.7506261015007698</v>
      </c>
      <c r="D4538" s="106">
        <f t="shared" ca="1" si="257"/>
        <v>0.61707796803915249</v>
      </c>
      <c r="E4538" s="106">
        <f t="shared" ca="1" si="258"/>
        <v>0</v>
      </c>
      <c r="F4538" s="21">
        <f t="shared" ca="1" si="259"/>
        <v>0</v>
      </c>
      <c r="H4538" s="21">
        <v>4523</v>
      </c>
      <c r="I4538" s="107">
        <v>0.66761058643244764</v>
      </c>
      <c r="J4538" s="108">
        <v>1.2323153859261338E-3</v>
      </c>
      <c r="K4538" s="108"/>
      <c r="L4538" s="108">
        <v>3.8800000000000001E-2</v>
      </c>
      <c r="O4538" s="105"/>
    </row>
    <row r="4539" spans="2:15" x14ac:dyDescent="0.2">
      <c r="B4539" s="1">
        <f t="shared" si="260"/>
        <v>4524</v>
      </c>
      <c r="C4539" s="106">
        <f ca="1"/>
        <v>-1.0084639219640161</v>
      </c>
      <c r="D4539" s="106">
        <f t="shared" ca="1" si="257"/>
        <v>0.60158143803566688</v>
      </c>
      <c r="E4539" s="106">
        <f t="shared" ca="1" si="258"/>
        <v>0</v>
      </c>
      <c r="F4539" s="21">
        <f t="shared" ca="1" si="259"/>
        <v>0</v>
      </c>
      <c r="H4539" s="21">
        <v>4524</v>
      </c>
      <c r="I4539" s="107">
        <v>0.66770161992918142</v>
      </c>
      <c r="J4539" s="108">
        <v>1.3521429336040595E-3</v>
      </c>
      <c r="K4539" s="108"/>
      <c r="L4539" s="108">
        <v>4.1000000000000002E-2</v>
      </c>
      <c r="O4539" s="105"/>
    </row>
    <row r="4540" spans="2:15" x14ac:dyDescent="0.2">
      <c r="B4540" s="1">
        <f t="shared" si="260"/>
        <v>4525</v>
      </c>
      <c r="C4540" s="106">
        <f ca="1"/>
        <v>0.64579223166281752</v>
      </c>
      <c r="D4540" s="106">
        <f t="shared" ca="1" si="257"/>
        <v>0.70820948874209888</v>
      </c>
      <c r="E4540" s="106">
        <f t="shared" ca="1" si="258"/>
        <v>0</v>
      </c>
      <c r="F4540" s="21">
        <f t="shared" ca="1" si="259"/>
        <v>0</v>
      </c>
      <c r="H4540" s="21">
        <v>4525</v>
      </c>
      <c r="I4540" s="107">
        <v>0.66781517076847063</v>
      </c>
      <c r="J4540" s="108">
        <v>1.4651451915963735E-3</v>
      </c>
      <c r="K4540" s="108"/>
      <c r="L4540" s="108">
        <v>4.3400000000000001E-2</v>
      </c>
      <c r="O4540" s="105"/>
    </row>
    <row r="4541" spans="2:15" x14ac:dyDescent="0.2">
      <c r="B4541" s="1">
        <f t="shared" si="260"/>
        <v>4526</v>
      </c>
      <c r="C4541" s="106">
        <f ca="1"/>
        <v>0.42939265246042035</v>
      </c>
      <c r="D4541" s="106">
        <f t="shared" ca="1" si="257"/>
        <v>0.69325229611548478</v>
      </c>
      <c r="E4541" s="106">
        <f t="shared" ca="1" si="258"/>
        <v>0</v>
      </c>
      <c r="F4541" s="21">
        <f t="shared" ca="1" si="259"/>
        <v>0</v>
      </c>
      <c r="H4541" s="21">
        <v>4526</v>
      </c>
      <c r="I4541" s="107">
        <v>0.66777503316153042</v>
      </c>
      <c r="J4541" s="108">
        <v>1.4287787442397266E-3</v>
      </c>
      <c r="K4541" s="108"/>
      <c r="L4541" s="108">
        <v>4.2999999999999997E-2</v>
      </c>
      <c r="O4541" s="105"/>
    </row>
    <row r="4542" spans="2:15" x14ac:dyDescent="0.2">
      <c r="B4542" s="1">
        <f t="shared" si="260"/>
        <v>4527</v>
      </c>
      <c r="C4542" s="106">
        <f ca="1"/>
        <v>0.26778177848359186</v>
      </c>
      <c r="D4542" s="106">
        <f t="shared" ca="1" si="257"/>
        <v>0.68228842958977032</v>
      </c>
      <c r="E4542" s="106">
        <f t="shared" ca="1" si="258"/>
        <v>0</v>
      </c>
      <c r="F4542" s="21">
        <f t="shared" ca="1" si="259"/>
        <v>0</v>
      </c>
      <c r="H4542" s="21">
        <v>4527</v>
      </c>
      <c r="I4542" s="107">
        <v>0.6677028003056128</v>
      </c>
      <c r="J4542" s="108">
        <v>1.3032337812246898E-3</v>
      </c>
      <c r="K4542" s="108"/>
      <c r="L4542" s="108">
        <v>3.9800000000000002E-2</v>
      </c>
      <c r="O4542" s="105"/>
    </row>
    <row r="4543" spans="2:15" x14ac:dyDescent="0.2">
      <c r="B4543" s="1">
        <f t="shared" si="260"/>
        <v>4528</v>
      </c>
      <c r="C4543" s="106">
        <f ca="1"/>
        <v>-0.2392183130629752</v>
      </c>
      <c r="D4543" s="106">
        <f t="shared" ca="1" si="257"/>
        <v>0.6490055865046539</v>
      </c>
      <c r="E4543" s="106">
        <f t="shared" ca="1" si="258"/>
        <v>0</v>
      </c>
      <c r="F4543" s="21">
        <f t="shared" ca="1" si="259"/>
        <v>0</v>
      </c>
      <c r="H4543" s="21">
        <v>4528</v>
      </c>
      <c r="I4543" s="107">
        <v>0.66769800821665293</v>
      </c>
      <c r="J4543" s="108">
        <v>1.3301212187549587E-3</v>
      </c>
      <c r="K4543" s="108"/>
      <c r="L4543" s="108">
        <v>4.2200000000000001E-2</v>
      </c>
      <c r="O4543" s="105"/>
    </row>
    <row r="4544" spans="2:15" x14ac:dyDescent="0.2">
      <c r="B4544" s="1">
        <f t="shared" si="260"/>
        <v>4529</v>
      </c>
      <c r="C4544" s="106">
        <f ca="1"/>
        <v>0.77645776983600368</v>
      </c>
      <c r="D4544" s="106">
        <f t="shared" ca="1" si="257"/>
        <v>0.71739669623746616</v>
      </c>
      <c r="E4544" s="106">
        <f t="shared" ca="1" si="258"/>
        <v>0</v>
      </c>
      <c r="F4544" s="21">
        <f t="shared" ca="1" si="259"/>
        <v>0</v>
      </c>
      <c r="H4544" s="21">
        <v>4529</v>
      </c>
      <c r="I4544" s="107">
        <v>0.66773218170013182</v>
      </c>
      <c r="J4544" s="108">
        <v>1.3085933229980962E-3</v>
      </c>
      <c r="K4544" s="108"/>
      <c r="L4544" s="108">
        <v>3.9600000000000003E-2</v>
      </c>
      <c r="O4544" s="105"/>
    </row>
    <row r="4545" spans="2:15" x14ac:dyDescent="0.2">
      <c r="B4545" s="1">
        <f t="shared" si="260"/>
        <v>4530</v>
      </c>
      <c r="C4545" s="106">
        <f ca="1"/>
        <v>-1.0648527547774984</v>
      </c>
      <c r="D4545" s="106">
        <f t="shared" ca="1" si="257"/>
        <v>0.59824456900047551</v>
      </c>
      <c r="E4545" s="106">
        <f t="shared" ca="1" si="258"/>
        <v>0</v>
      </c>
      <c r="F4545" s="21">
        <f t="shared" ca="1" si="259"/>
        <v>0</v>
      </c>
      <c r="H4545" s="21">
        <v>4530</v>
      </c>
      <c r="I4545" s="107">
        <v>0.66783200390497188</v>
      </c>
      <c r="J4545" s="108">
        <v>1.5393797565427497E-3</v>
      </c>
      <c r="K4545" s="108"/>
      <c r="L4545" s="108">
        <v>4.5999999999999999E-2</v>
      </c>
      <c r="O4545" s="105"/>
    </row>
    <row r="4546" spans="2:15" x14ac:dyDescent="0.2">
      <c r="B4546" s="1">
        <f t="shared" si="260"/>
        <v>4531</v>
      </c>
      <c r="C4546" s="106">
        <f ca="1"/>
        <v>-1.8758578719951797</v>
      </c>
      <c r="D4546" s="106">
        <f t="shared" ca="1" si="257"/>
        <v>0.55225010290501231</v>
      </c>
      <c r="E4546" s="106">
        <f t="shared" ca="1" si="258"/>
        <v>0</v>
      </c>
      <c r="F4546" s="21">
        <f t="shared" ca="1" si="259"/>
        <v>0</v>
      </c>
      <c r="H4546" s="21">
        <v>4531</v>
      </c>
      <c r="I4546" s="107">
        <v>0.66763954235127765</v>
      </c>
      <c r="J4546" s="108">
        <v>1.2390928641048255E-3</v>
      </c>
      <c r="K4546" s="108"/>
      <c r="L4546" s="108">
        <v>4.0599999999999997E-2</v>
      </c>
      <c r="O4546" s="105"/>
    </row>
    <row r="4547" spans="2:15" x14ac:dyDescent="0.2">
      <c r="B4547" s="1">
        <f t="shared" si="260"/>
        <v>4532</v>
      </c>
      <c r="C4547" s="106">
        <f ca="1"/>
        <v>-0.55836407480202599</v>
      </c>
      <c r="D4547" s="106">
        <f t="shared" ca="1" si="257"/>
        <v>0.6288925173497939</v>
      </c>
      <c r="E4547" s="106">
        <f t="shared" ca="1" si="258"/>
        <v>0</v>
      </c>
      <c r="F4547" s="21">
        <f t="shared" ca="1" si="259"/>
        <v>0</v>
      </c>
      <c r="H4547" s="21">
        <v>4532</v>
      </c>
      <c r="I4547" s="107">
        <v>0.66782883276346772</v>
      </c>
      <c r="J4547" s="108">
        <v>1.5148243527185116E-3</v>
      </c>
      <c r="K4547" s="108"/>
      <c r="L4547" s="108">
        <v>4.5999999999999999E-2</v>
      </c>
      <c r="O4547" s="105"/>
    </row>
    <row r="4548" spans="2:15" x14ac:dyDescent="0.2">
      <c r="B4548" s="1">
        <f t="shared" si="260"/>
        <v>4533</v>
      </c>
      <c r="C4548" s="106">
        <f ca="1"/>
        <v>-0.40951669736039503</v>
      </c>
      <c r="D4548" s="106">
        <f t="shared" ca="1" si="257"/>
        <v>0.6381943534135035</v>
      </c>
      <c r="E4548" s="106">
        <f t="shared" ca="1" si="258"/>
        <v>0</v>
      </c>
      <c r="F4548" s="21">
        <f t="shared" ca="1" si="259"/>
        <v>0</v>
      </c>
      <c r="H4548" s="21">
        <v>4533</v>
      </c>
      <c r="I4548" s="107">
        <v>0.66778528880772992</v>
      </c>
      <c r="J4548" s="108">
        <v>1.4165443344084801E-3</v>
      </c>
      <c r="K4548" s="108"/>
      <c r="L4548" s="108">
        <v>4.3400000000000001E-2</v>
      </c>
      <c r="O4548" s="105"/>
    </row>
    <row r="4549" spans="2:15" x14ac:dyDescent="0.2">
      <c r="B4549" s="1">
        <f t="shared" si="260"/>
        <v>4534</v>
      </c>
      <c r="C4549" s="106">
        <f ca="1"/>
        <v>-0.16084877045925144</v>
      </c>
      <c r="D4549" s="106">
        <f t="shared" ca="1" si="257"/>
        <v>0.65404215078019379</v>
      </c>
      <c r="E4549" s="106">
        <f t="shared" ca="1" si="258"/>
        <v>0</v>
      </c>
      <c r="F4549" s="21">
        <f t="shared" ca="1" si="259"/>
        <v>0</v>
      </c>
      <c r="H4549" s="21">
        <v>4534</v>
      </c>
      <c r="I4549" s="107">
        <v>0.66775002341433021</v>
      </c>
      <c r="J4549" s="108">
        <v>1.3574245860263504E-3</v>
      </c>
      <c r="K4549" s="108"/>
      <c r="L4549" s="108">
        <v>4.1599999999999998E-2</v>
      </c>
      <c r="O4549" s="105"/>
    </row>
    <row r="4550" spans="2:15" x14ac:dyDescent="0.2">
      <c r="B4550" s="1">
        <f t="shared" si="260"/>
        <v>4535</v>
      </c>
      <c r="C4550" s="106">
        <f ca="1"/>
        <v>2.1690026241935336</v>
      </c>
      <c r="D4550" s="106">
        <f t="shared" ca="1" si="257"/>
        <v>0.82302899467262836</v>
      </c>
      <c r="E4550" s="106">
        <f t="shared" ca="1" si="258"/>
        <v>3.4828994672628344E-2</v>
      </c>
      <c r="F4550" s="21">
        <f t="shared" ca="1" si="259"/>
        <v>1</v>
      </c>
      <c r="H4550" s="21">
        <v>4535</v>
      </c>
      <c r="I4550" s="107">
        <v>0.66781547384439333</v>
      </c>
      <c r="J4550" s="108">
        <v>1.5564502499104418E-3</v>
      </c>
      <c r="K4550" s="108"/>
      <c r="L4550" s="108">
        <v>4.58E-2</v>
      </c>
      <c r="O4550" s="105"/>
    </row>
    <row r="4551" spans="2:15" x14ac:dyDescent="0.2">
      <c r="B4551" s="1">
        <f t="shared" si="260"/>
        <v>4536</v>
      </c>
      <c r="C4551" s="106">
        <f ca="1"/>
        <v>0.39182611129920264</v>
      </c>
      <c r="D4551" s="106">
        <f t="shared" ca="1" si="257"/>
        <v>0.6906881249480934</v>
      </c>
      <c r="E4551" s="106">
        <f t="shared" ca="1" si="258"/>
        <v>0</v>
      </c>
      <c r="F4551" s="21">
        <f t="shared" ca="1" si="259"/>
        <v>0</v>
      </c>
      <c r="H4551" s="21">
        <v>4536</v>
      </c>
      <c r="I4551" s="107">
        <v>0.66767828652376227</v>
      </c>
      <c r="J4551" s="108">
        <v>1.3223165875740294E-3</v>
      </c>
      <c r="K4551" s="108"/>
      <c r="L4551" s="108">
        <v>0.04</v>
      </c>
      <c r="O4551" s="105"/>
    </row>
    <row r="4552" spans="2:15" x14ac:dyDescent="0.2">
      <c r="B4552" s="1">
        <f t="shared" si="260"/>
        <v>4537</v>
      </c>
      <c r="C4552" s="106">
        <f ca="1"/>
        <v>-1.4574900954588532</v>
      </c>
      <c r="D4552" s="106">
        <f t="shared" ca="1" si="257"/>
        <v>0.57551735308948737</v>
      </c>
      <c r="E4552" s="106">
        <f t="shared" ca="1" si="258"/>
        <v>0</v>
      </c>
      <c r="F4552" s="21">
        <f t="shared" ca="1" si="259"/>
        <v>0</v>
      </c>
      <c r="H4552" s="21">
        <v>4537</v>
      </c>
      <c r="I4552" s="107">
        <v>0.66764202361177405</v>
      </c>
      <c r="J4552" s="108">
        <v>1.136635247255776E-3</v>
      </c>
      <c r="K4552" s="108"/>
      <c r="L4552" s="108">
        <v>0.04</v>
      </c>
      <c r="O4552" s="105"/>
    </row>
    <row r="4553" spans="2:15" x14ac:dyDescent="0.2">
      <c r="B4553" s="1">
        <f t="shared" si="260"/>
        <v>4538</v>
      </c>
      <c r="C4553" s="106">
        <f ca="1"/>
        <v>-0.10687454074145147</v>
      </c>
      <c r="D4553" s="106">
        <f t="shared" ca="1" si="257"/>
        <v>0.65753361596710891</v>
      </c>
      <c r="E4553" s="106">
        <f t="shared" ca="1" si="258"/>
        <v>0</v>
      </c>
      <c r="F4553" s="21">
        <f t="shared" ca="1" si="259"/>
        <v>0</v>
      </c>
      <c r="H4553" s="21">
        <v>4538</v>
      </c>
      <c r="I4553" s="107">
        <v>0.66758339155264201</v>
      </c>
      <c r="J4553" s="108">
        <v>1.1519925577560227E-3</v>
      </c>
      <c r="K4553" s="108"/>
      <c r="L4553" s="108">
        <v>4.0399999999999998E-2</v>
      </c>
      <c r="O4553" s="105"/>
    </row>
    <row r="4554" spans="2:15" x14ac:dyDescent="0.2">
      <c r="B4554" s="1">
        <f t="shared" si="260"/>
        <v>4539</v>
      </c>
      <c r="C4554" s="106">
        <f ca="1"/>
        <v>9.9619476765172896E-2</v>
      </c>
      <c r="D4554" s="106">
        <f t="shared" ca="1" si="257"/>
        <v>0.67106414822979954</v>
      </c>
      <c r="E4554" s="106">
        <f t="shared" ca="1" si="258"/>
        <v>0</v>
      </c>
      <c r="F4554" s="21">
        <f t="shared" ca="1" si="259"/>
        <v>0</v>
      </c>
      <c r="H4554" s="21">
        <v>4539</v>
      </c>
      <c r="I4554" s="107">
        <v>0.66789293517915571</v>
      </c>
      <c r="J4554" s="108">
        <v>1.5105559120016296E-3</v>
      </c>
      <c r="K4554" s="108"/>
      <c r="L4554" s="108">
        <v>4.5600000000000002E-2</v>
      </c>
      <c r="O4554" s="105"/>
    </row>
    <row r="4555" spans="2:15" x14ac:dyDescent="0.2">
      <c r="B4555" s="1">
        <f t="shared" si="260"/>
        <v>4540</v>
      </c>
      <c r="C4555" s="106">
        <f ca="1"/>
        <v>-1.867841119201576E-2</v>
      </c>
      <c r="D4555" s="106">
        <f t="shared" ca="1" si="257"/>
        <v>0.6632789712730166</v>
      </c>
      <c r="E4555" s="106">
        <f t="shared" ca="1" si="258"/>
        <v>0</v>
      </c>
      <c r="F4555" s="21">
        <f t="shared" ca="1" si="259"/>
        <v>0</v>
      </c>
      <c r="H4555" s="21">
        <v>4540</v>
      </c>
      <c r="I4555" s="107">
        <v>0.6677631832514429</v>
      </c>
      <c r="J4555" s="108">
        <v>1.2583197262484255E-3</v>
      </c>
      <c r="K4555" s="108"/>
      <c r="L4555" s="108">
        <v>4.0800000000000003E-2</v>
      </c>
      <c r="O4555" s="105"/>
    </row>
    <row r="4556" spans="2:15" x14ac:dyDescent="0.2">
      <c r="B4556" s="1">
        <f t="shared" si="260"/>
        <v>4541</v>
      </c>
      <c r="C4556" s="106">
        <f ca="1"/>
        <v>2.0213772271934354</v>
      </c>
      <c r="D4556" s="106">
        <f t="shared" ca="1" si="257"/>
        <v>0.81113091531547155</v>
      </c>
      <c r="E4556" s="106">
        <f t="shared" ca="1" si="258"/>
        <v>2.2930915315471534E-2</v>
      </c>
      <c r="F4556" s="21">
        <f t="shared" ca="1" si="259"/>
        <v>1</v>
      </c>
      <c r="H4556" s="21">
        <v>4541</v>
      </c>
      <c r="I4556" s="107">
        <v>0.66760325455346603</v>
      </c>
      <c r="J4556" s="108">
        <v>1.3097544998173689E-3</v>
      </c>
      <c r="K4556" s="108"/>
      <c r="L4556" s="108">
        <v>4.0599999999999997E-2</v>
      </c>
      <c r="O4556" s="105"/>
    </row>
    <row r="4557" spans="2:15" x14ac:dyDescent="0.2">
      <c r="B4557" s="1">
        <f t="shared" si="260"/>
        <v>4542</v>
      </c>
      <c r="C4557" s="106">
        <f ca="1"/>
        <v>1.1004937909900485</v>
      </c>
      <c r="D4557" s="106">
        <f t="shared" ca="1" si="257"/>
        <v>0.7406974946620809</v>
      </c>
      <c r="E4557" s="106">
        <f t="shared" ca="1" si="258"/>
        <v>0</v>
      </c>
      <c r="F4557" s="21">
        <f t="shared" ca="1" si="259"/>
        <v>0</v>
      </c>
      <c r="H4557" s="21">
        <v>4542</v>
      </c>
      <c r="I4557" s="107">
        <v>0.66786818941431003</v>
      </c>
      <c r="J4557" s="108">
        <v>1.5321514334371621E-3</v>
      </c>
      <c r="K4557" s="108"/>
      <c r="L4557" s="108">
        <v>4.2599999999999999E-2</v>
      </c>
      <c r="O4557" s="105"/>
    </row>
    <row r="4558" spans="2:15" x14ac:dyDescent="0.2">
      <c r="B4558" s="1">
        <f t="shared" si="260"/>
        <v>4543</v>
      </c>
      <c r="C4558" s="106">
        <f ca="1"/>
        <v>-0.512749501213137</v>
      </c>
      <c r="D4558" s="106">
        <f t="shared" ca="1" si="257"/>
        <v>0.63172858354943107</v>
      </c>
      <c r="E4558" s="106">
        <f t="shared" ca="1" si="258"/>
        <v>0</v>
      </c>
      <c r="F4558" s="21">
        <f t="shared" ca="1" si="259"/>
        <v>0</v>
      </c>
      <c r="H4558" s="21">
        <v>4543</v>
      </c>
      <c r="I4558" s="107">
        <v>0.6677444573260316</v>
      </c>
      <c r="J4558" s="108">
        <v>1.3506619620127819E-3</v>
      </c>
      <c r="K4558" s="108"/>
      <c r="L4558" s="108">
        <v>4.24E-2</v>
      </c>
      <c r="O4558" s="105"/>
    </row>
    <row r="4559" spans="2:15" x14ac:dyDescent="0.2">
      <c r="B4559" s="1">
        <f t="shared" si="260"/>
        <v>4544</v>
      </c>
      <c r="C4559" s="106">
        <f ca="1"/>
        <v>1.2808739147541452</v>
      </c>
      <c r="D4559" s="106">
        <f t="shared" ca="1" si="257"/>
        <v>0.75399462336830592</v>
      </c>
      <c r="E4559" s="106">
        <f t="shared" ca="1" si="258"/>
        <v>0</v>
      </c>
      <c r="F4559" s="21">
        <f t="shared" ca="1" si="259"/>
        <v>0</v>
      </c>
      <c r="H4559" s="21">
        <v>4544</v>
      </c>
      <c r="I4559" s="107">
        <v>0.66777147907761358</v>
      </c>
      <c r="J4559" s="108">
        <v>1.4311810626568037E-3</v>
      </c>
      <c r="K4559" s="108"/>
      <c r="L4559" s="108">
        <v>4.0399999999999998E-2</v>
      </c>
      <c r="O4559" s="105"/>
    </row>
    <row r="4560" spans="2:15" x14ac:dyDescent="0.2">
      <c r="B4560" s="1">
        <f t="shared" si="260"/>
        <v>4545</v>
      </c>
      <c r="C4560" s="106">
        <f ca="1"/>
        <v>-1.2497823526825274</v>
      </c>
      <c r="D4560" s="106">
        <f t="shared" ref="D4560:D4623" ca="1" si="261">S0*EXP((μ-0.5*σ*σ)*T+σ*SQRT(T)*$C4560)</f>
        <v>0.58743050396191787</v>
      </c>
      <c r="E4560" s="106">
        <f t="shared" ref="E4560:E4623" ca="1" si="262">MAX(0,CP*(D4560-K))</f>
        <v>0</v>
      </c>
      <c r="F4560" s="21">
        <f t="shared" ref="F4560:F4623" ca="1" si="263">(CP*(D4560-K)&gt;0)*1</f>
        <v>0</v>
      </c>
      <c r="H4560" s="21">
        <v>4545</v>
      </c>
      <c r="I4560" s="107">
        <v>0.66781965851959313</v>
      </c>
      <c r="J4560" s="108">
        <v>1.4229621540771233E-3</v>
      </c>
      <c r="K4560" s="108"/>
      <c r="L4560" s="108">
        <v>4.5999999999999999E-2</v>
      </c>
      <c r="O4560" s="105"/>
    </row>
    <row r="4561" spans="2:15" x14ac:dyDescent="0.2">
      <c r="B4561" s="1">
        <f t="shared" si="260"/>
        <v>4546</v>
      </c>
      <c r="C4561" s="106">
        <f ca="1"/>
        <v>5.6327491595596253E-2</v>
      </c>
      <c r="D4561" s="106">
        <f t="shared" ca="1" si="261"/>
        <v>0.66820456021726793</v>
      </c>
      <c r="E4561" s="106">
        <f t="shared" ca="1" si="262"/>
        <v>0</v>
      </c>
      <c r="F4561" s="21">
        <f t="shared" ca="1" si="263"/>
        <v>0</v>
      </c>
      <c r="H4561" s="21">
        <v>4546</v>
      </c>
      <c r="I4561" s="107">
        <v>0.66760756078120742</v>
      </c>
      <c r="J4561" s="108">
        <v>1.2499308446759939E-3</v>
      </c>
      <c r="K4561" s="108"/>
      <c r="L4561" s="108">
        <v>3.7999999999999999E-2</v>
      </c>
      <c r="O4561" s="105"/>
    </row>
    <row r="4562" spans="2:15" x14ac:dyDescent="0.2">
      <c r="B4562" s="1">
        <f t="shared" si="260"/>
        <v>4547</v>
      </c>
      <c r="C4562" s="106">
        <f ca="1"/>
        <v>-0.39716109723047582</v>
      </c>
      <c r="D4562" s="106">
        <f t="shared" ca="1" si="261"/>
        <v>0.63897264149999455</v>
      </c>
      <c r="E4562" s="106">
        <f t="shared" ca="1" si="262"/>
        <v>0</v>
      </c>
      <c r="F4562" s="21">
        <f t="shared" ca="1" si="263"/>
        <v>0</v>
      </c>
      <c r="H4562" s="21">
        <v>4547</v>
      </c>
      <c r="I4562" s="107">
        <v>0.66764849705451457</v>
      </c>
      <c r="J4562" s="108">
        <v>1.2222622085779409E-3</v>
      </c>
      <c r="K4562" s="108"/>
      <c r="L4562" s="108">
        <v>3.8399999999999997E-2</v>
      </c>
      <c r="O4562" s="105"/>
    </row>
    <row r="4563" spans="2:15" x14ac:dyDescent="0.2">
      <c r="B4563" s="1">
        <f t="shared" si="260"/>
        <v>4548</v>
      </c>
      <c r="C4563" s="106">
        <f ca="1"/>
        <v>-0.30214302031009771</v>
      </c>
      <c r="D4563" s="106">
        <f t="shared" ca="1" si="261"/>
        <v>0.6449897002000311</v>
      </c>
      <c r="E4563" s="106">
        <f t="shared" ca="1" si="262"/>
        <v>0</v>
      </c>
      <c r="F4563" s="21">
        <f t="shared" ca="1" si="263"/>
        <v>0</v>
      </c>
      <c r="H4563" s="21">
        <v>4548</v>
      </c>
      <c r="I4563" s="107">
        <v>0.66777507900731781</v>
      </c>
      <c r="J4563" s="108">
        <v>1.5453810146451408E-3</v>
      </c>
      <c r="K4563" s="108"/>
      <c r="L4563" s="108">
        <v>4.1799999999999997E-2</v>
      </c>
      <c r="O4563" s="105"/>
    </row>
    <row r="4564" spans="2:15" x14ac:dyDescent="0.2">
      <c r="B4564" s="1">
        <f t="shared" si="260"/>
        <v>4549</v>
      </c>
      <c r="C4564" s="106">
        <f ca="1"/>
        <v>0.27082339789688209</v>
      </c>
      <c r="D4564" s="106">
        <f t="shared" ca="1" si="261"/>
        <v>0.68249316687047901</v>
      </c>
      <c r="E4564" s="106">
        <f t="shared" ca="1" si="262"/>
        <v>0</v>
      </c>
      <c r="F4564" s="21">
        <f t="shared" ca="1" si="263"/>
        <v>0</v>
      </c>
      <c r="H4564" s="21">
        <v>4549</v>
      </c>
      <c r="I4564" s="107">
        <v>0.66777322829966712</v>
      </c>
      <c r="J4564" s="108">
        <v>1.4786046491816935E-3</v>
      </c>
      <c r="K4564" s="108"/>
      <c r="L4564" s="108">
        <v>4.24E-2</v>
      </c>
      <c r="O4564" s="105"/>
    </row>
    <row r="4565" spans="2:15" x14ac:dyDescent="0.2">
      <c r="B4565" s="1">
        <f t="shared" si="260"/>
        <v>4550</v>
      </c>
      <c r="C4565" s="106">
        <f ca="1"/>
        <v>-1.6492136909515709</v>
      </c>
      <c r="D4565" s="106">
        <f t="shared" ca="1" si="261"/>
        <v>0.56473551761536989</v>
      </c>
      <c r="E4565" s="106">
        <f t="shared" ca="1" si="262"/>
        <v>0</v>
      </c>
      <c r="F4565" s="21">
        <f t="shared" ca="1" si="263"/>
        <v>0</v>
      </c>
      <c r="H4565" s="21">
        <v>4550</v>
      </c>
      <c r="I4565" s="107">
        <v>0.66791091194642382</v>
      </c>
      <c r="J4565" s="108">
        <v>1.5052181794690427E-3</v>
      </c>
      <c r="K4565" s="108"/>
      <c r="L4565" s="108">
        <v>4.3799999999999999E-2</v>
      </c>
      <c r="O4565" s="105"/>
    </row>
    <row r="4566" spans="2:15" x14ac:dyDescent="0.2">
      <c r="B4566" s="1">
        <f t="shared" si="260"/>
        <v>4551</v>
      </c>
      <c r="C4566" s="106">
        <f ca="1"/>
        <v>0.19381070086461369</v>
      </c>
      <c r="D4566" s="106">
        <f t="shared" ca="1" si="261"/>
        <v>0.67732815888626563</v>
      </c>
      <c r="E4566" s="106">
        <f t="shared" ca="1" si="262"/>
        <v>0</v>
      </c>
      <c r="F4566" s="21">
        <f t="shared" ca="1" si="263"/>
        <v>0</v>
      </c>
      <c r="H4566" s="21">
        <v>4551</v>
      </c>
      <c r="I4566" s="107">
        <v>0.66783945475982209</v>
      </c>
      <c r="J4566" s="108">
        <v>1.5723007284473708E-3</v>
      </c>
      <c r="K4566" s="108"/>
      <c r="L4566" s="108">
        <v>4.7199999999999999E-2</v>
      </c>
      <c r="O4566" s="105"/>
    </row>
    <row r="4567" spans="2:15" x14ac:dyDescent="0.2">
      <c r="B4567" s="1">
        <f t="shared" si="260"/>
        <v>4552</v>
      </c>
      <c r="C4567" s="106">
        <f ca="1"/>
        <v>-1.3426264954584657</v>
      </c>
      <c r="D4567" s="106">
        <f t="shared" ca="1" si="261"/>
        <v>0.58207521720211675</v>
      </c>
      <c r="E4567" s="106">
        <f t="shared" ca="1" si="262"/>
        <v>0</v>
      </c>
      <c r="F4567" s="21">
        <f t="shared" ca="1" si="263"/>
        <v>0</v>
      </c>
      <c r="H4567" s="21">
        <v>4552</v>
      </c>
      <c r="I4567" s="107">
        <v>0.66782068314065657</v>
      </c>
      <c r="J4567" s="108">
        <v>1.4426428516776954E-3</v>
      </c>
      <c r="K4567" s="108"/>
      <c r="L4567" s="108">
        <v>4.1799999999999997E-2</v>
      </c>
      <c r="O4567" s="105"/>
    </row>
    <row r="4568" spans="2:15" x14ac:dyDescent="0.2">
      <c r="B4568" s="1">
        <f t="shared" si="260"/>
        <v>4553</v>
      </c>
      <c r="C4568" s="106">
        <f ca="1"/>
        <v>-4.3371174883048008E-3</v>
      </c>
      <c r="D4568" s="106">
        <f t="shared" ca="1" si="261"/>
        <v>0.66421793903478976</v>
      </c>
      <c r="E4568" s="106">
        <f t="shared" ca="1" si="262"/>
        <v>0</v>
      </c>
      <c r="F4568" s="21">
        <f t="shared" ca="1" si="263"/>
        <v>0</v>
      </c>
      <c r="H4568" s="21">
        <v>4553</v>
      </c>
      <c r="I4568" s="107">
        <v>0.66776652776076439</v>
      </c>
      <c r="J4568" s="108">
        <v>1.405924989742019E-3</v>
      </c>
      <c r="K4568" s="108"/>
      <c r="L4568" s="108">
        <v>4.2799999999999998E-2</v>
      </c>
      <c r="O4568" s="105"/>
    </row>
    <row r="4569" spans="2:15" x14ac:dyDescent="0.2">
      <c r="B4569" s="1">
        <f t="shared" si="260"/>
        <v>4554</v>
      </c>
      <c r="C4569" s="106">
        <f ca="1"/>
        <v>-0.36422752996311941</v>
      </c>
      <c r="D4569" s="106">
        <f t="shared" ca="1" si="261"/>
        <v>0.6410517902280386</v>
      </c>
      <c r="E4569" s="106">
        <f t="shared" ca="1" si="262"/>
        <v>0</v>
      </c>
      <c r="F4569" s="21">
        <f t="shared" ca="1" si="263"/>
        <v>0</v>
      </c>
      <c r="H4569" s="21">
        <v>4554</v>
      </c>
      <c r="I4569" s="107">
        <v>0.66783314299188545</v>
      </c>
      <c r="J4569" s="108">
        <v>1.3468238636598026E-3</v>
      </c>
      <c r="K4569" s="108"/>
      <c r="L4569" s="108">
        <v>4.4600000000000001E-2</v>
      </c>
      <c r="O4569" s="105"/>
    </row>
    <row r="4570" spans="2:15" x14ac:dyDescent="0.2">
      <c r="B4570" s="1">
        <f t="shared" si="260"/>
        <v>4555</v>
      </c>
      <c r="C4570" s="106">
        <f ca="1"/>
        <v>7.3570602976651273E-2</v>
      </c>
      <c r="D4570" s="106">
        <f t="shared" ca="1" si="261"/>
        <v>0.66934206534701324</v>
      </c>
      <c r="E4570" s="106">
        <f t="shared" ca="1" si="262"/>
        <v>0</v>
      </c>
      <c r="F4570" s="21">
        <f t="shared" ca="1" si="263"/>
        <v>0</v>
      </c>
      <c r="H4570" s="21">
        <v>4555</v>
      </c>
      <c r="I4570" s="107">
        <v>0.66779426240604145</v>
      </c>
      <c r="J4570" s="108">
        <v>1.3839804318011024E-3</v>
      </c>
      <c r="K4570" s="108"/>
      <c r="L4570" s="108">
        <v>4.1399999999999999E-2</v>
      </c>
      <c r="O4570" s="105"/>
    </row>
    <row r="4571" spans="2:15" x14ac:dyDescent="0.2">
      <c r="B4571" s="1">
        <f t="shared" si="260"/>
        <v>4556</v>
      </c>
      <c r="C4571" s="106">
        <f ca="1"/>
        <v>-1.540591486428184</v>
      </c>
      <c r="D4571" s="106">
        <f t="shared" ca="1" si="261"/>
        <v>0.57081898728851599</v>
      </c>
      <c r="E4571" s="106">
        <f t="shared" ca="1" si="262"/>
        <v>0</v>
      </c>
      <c r="F4571" s="21">
        <f t="shared" ca="1" si="263"/>
        <v>0</v>
      </c>
      <c r="H4571" s="21">
        <v>4556</v>
      </c>
      <c r="I4571" s="107">
        <v>0.6677453989499974</v>
      </c>
      <c r="J4571" s="108">
        <v>1.226157427602187E-3</v>
      </c>
      <c r="K4571" s="108"/>
      <c r="L4571" s="108">
        <v>4.3999999999999997E-2</v>
      </c>
      <c r="O4571" s="105"/>
    </row>
    <row r="4572" spans="2:15" x14ac:dyDescent="0.2">
      <c r="B4572" s="1">
        <f t="shared" si="260"/>
        <v>4557</v>
      </c>
      <c r="C4572" s="106">
        <f ca="1"/>
        <v>0.78915331381997322</v>
      </c>
      <c r="D4572" s="106">
        <f t="shared" ca="1" si="261"/>
        <v>0.71829565868535261</v>
      </c>
      <c r="E4572" s="106">
        <f t="shared" ca="1" si="262"/>
        <v>0</v>
      </c>
      <c r="F4572" s="21">
        <f t="shared" ca="1" si="263"/>
        <v>0</v>
      </c>
      <c r="H4572" s="21">
        <v>4557</v>
      </c>
      <c r="I4572" s="107">
        <v>0.66764493489614807</v>
      </c>
      <c r="J4572" s="108">
        <v>1.1614215319860892E-3</v>
      </c>
      <c r="K4572" s="108"/>
      <c r="L4572" s="108">
        <v>3.56E-2</v>
      </c>
      <c r="O4572" s="105"/>
    </row>
    <row r="4573" spans="2:15" x14ac:dyDescent="0.2">
      <c r="B4573" s="1">
        <f t="shared" si="260"/>
        <v>4558</v>
      </c>
      <c r="C4573" s="106">
        <f ca="1"/>
        <v>0.69946357925329194</v>
      </c>
      <c r="D4573" s="106">
        <f t="shared" ca="1" si="261"/>
        <v>0.71196884317105258</v>
      </c>
      <c r="E4573" s="106">
        <f t="shared" ca="1" si="262"/>
        <v>0</v>
      </c>
      <c r="F4573" s="21">
        <f t="shared" ca="1" si="263"/>
        <v>0</v>
      </c>
      <c r="H4573" s="21">
        <v>4558</v>
      </c>
      <c r="I4573" s="107">
        <v>0.66780506198264444</v>
      </c>
      <c r="J4573" s="108">
        <v>1.4325119496174791E-3</v>
      </c>
      <c r="K4573" s="108"/>
      <c r="L4573" s="108">
        <v>4.0599999999999997E-2</v>
      </c>
      <c r="O4573" s="105"/>
    </row>
    <row r="4574" spans="2:15" x14ac:dyDescent="0.2">
      <c r="B4574" s="1">
        <f t="shared" si="260"/>
        <v>4559</v>
      </c>
      <c r="C4574" s="106">
        <f ca="1"/>
        <v>-1.1471873658383327</v>
      </c>
      <c r="D4574" s="106">
        <f t="shared" ca="1" si="261"/>
        <v>0.59340554567841342</v>
      </c>
      <c r="E4574" s="106">
        <f t="shared" ca="1" si="262"/>
        <v>0</v>
      </c>
      <c r="F4574" s="21">
        <f t="shared" ca="1" si="263"/>
        <v>0</v>
      </c>
      <c r="H4574" s="21">
        <v>4559</v>
      </c>
      <c r="I4574" s="107">
        <v>0.66767091969601822</v>
      </c>
      <c r="J4574" s="108">
        <v>1.1544946429168004E-3</v>
      </c>
      <c r="K4574" s="108"/>
      <c r="L4574" s="108">
        <v>3.7199999999999997E-2</v>
      </c>
      <c r="O4574" s="105"/>
    </row>
    <row r="4575" spans="2:15" x14ac:dyDescent="0.2">
      <c r="B4575" s="1">
        <f t="shared" si="260"/>
        <v>4560</v>
      </c>
      <c r="C4575" s="106">
        <f ca="1"/>
        <v>0.675479514505822</v>
      </c>
      <c r="D4575" s="106">
        <f t="shared" ca="1" si="261"/>
        <v>0.7102864439938823</v>
      </c>
      <c r="E4575" s="106">
        <f t="shared" ca="1" si="262"/>
        <v>0</v>
      </c>
      <c r="F4575" s="21">
        <f t="shared" ca="1" si="263"/>
        <v>0</v>
      </c>
      <c r="H4575" s="21">
        <v>4560</v>
      </c>
      <c r="I4575" s="107">
        <v>0.66755314683449052</v>
      </c>
      <c r="J4575" s="108">
        <v>1.1531258059961315E-3</v>
      </c>
      <c r="K4575" s="108"/>
      <c r="L4575" s="108">
        <v>3.7199999999999997E-2</v>
      </c>
      <c r="O4575" s="105"/>
    </row>
    <row r="4576" spans="2:15" x14ac:dyDescent="0.2">
      <c r="B4576" s="1">
        <f t="shared" si="260"/>
        <v>4561</v>
      </c>
      <c r="C4576" s="106">
        <f ca="1"/>
        <v>-0.23310802404290387</v>
      </c>
      <c r="D4576" s="106">
        <f t="shared" ca="1" si="261"/>
        <v>0.64939687761013531</v>
      </c>
      <c r="E4576" s="106">
        <f t="shared" ca="1" si="262"/>
        <v>0</v>
      </c>
      <c r="F4576" s="21">
        <f t="shared" ca="1" si="263"/>
        <v>0</v>
      </c>
      <c r="H4576" s="21">
        <v>4561</v>
      </c>
      <c r="I4576" s="107">
        <v>0.66769100059779463</v>
      </c>
      <c r="J4576" s="108">
        <v>1.4069069220873135E-3</v>
      </c>
      <c r="K4576" s="108"/>
      <c r="L4576" s="108">
        <v>4.1000000000000002E-2</v>
      </c>
      <c r="O4576" s="105"/>
    </row>
    <row r="4577" spans="2:15" x14ac:dyDescent="0.2">
      <c r="B4577" s="1">
        <f t="shared" si="260"/>
        <v>4562</v>
      </c>
      <c r="C4577" s="106">
        <f ca="1"/>
        <v>1.3427656754005373</v>
      </c>
      <c r="D4577" s="106">
        <f t="shared" ca="1" si="261"/>
        <v>0.75861190498575815</v>
      </c>
      <c r="E4577" s="106">
        <f t="shared" ca="1" si="262"/>
        <v>0</v>
      </c>
      <c r="F4577" s="21">
        <f t="shared" ca="1" si="263"/>
        <v>0</v>
      </c>
      <c r="H4577" s="21">
        <v>4562</v>
      </c>
      <c r="I4577" s="107">
        <v>0.66784824924000064</v>
      </c>
      <c r="J4577" s="108">
        <v>1.5076667246997986E-3</v>
      </c>
      <c r="K4577" s="108"/>
      <c r="L4577" s="108">
        <v>4.3999999999999997E-2</v>
      </c>
      <c r="O4577" s="105"/>
    </row>
    <row r="4578" spans="2:15" x14ac:dyDescent="0.2">
      <c r="B4578" s="1">
        <f t="shared" si="260"/>
        <v>4563</v>
      </c>
      <c r="C4578" s="106">
        <f ca="1"/>
        <v>-0.91219842515182403</v>
      </c>
      <c r="D4578" s="106">
        <f t="shared" ca="1" si="261"/>
        <v>0.60732111689149193</v>
      </c>
      <c r="E4578" s="106">
        <f t="shared" ca="1" si="262"/>
        <v>0</v>
      </c>
      <c r="F4578" s="21">
        <f t="shared" ca="1" si="263"/>
        <v>0</v>
      </c>
      <c r="H4578" s="21">
        <v>4563</v>
      </c>
      <c r="I4578" s="107">
        <v>0.66776215511629267</v>
      </c>
      <c r="J4578" s="108">
        <v>1.5076872953482209E-3</v>
      </c>
      <c r="K4578" s="108"/>
      <c r="L4578" s="108">
        <v>4.36E-2</v>
      </c>
      <c r="O4578" s="105"/>
    </row>
    <row r="4579" spans="2:15" x14ac:dyDescent="0.2">
      <c r="B4579" s="1">
        <f t="shared" si="260"/>
        <v>4564</v>
      </c>
      <c r="C4579" s="106">
        <f ca="1"/>
        <v>-0.11554864327134652</v>
      </c>
      <c r="D4579" s="106">
        <f t="shared" ca="1" si="261"/>
        <v>0.65697125440405701</v>
      </c>
      <c r="E4579" s="106">
        <f t="shared" ca="1" si="262"/>
        <v>0</v>
      </c>
      <c r="F4579" s="21">
        <f t="shared" ca="1" si="263"/>
        <v>0</v>
      </c>
      <c r="H4579" s="21">
        <v>4564</v>
      </c>
      <c r="I4579" s="107">
        <v>0.66773420309346665</v>
      </c>
      <c r="J4579" s="108">
        <v>1.2859868944735712E-3</v>
      </c>
      <c r="K4579" s="108"/>
      <c r="L4579" s="108">
        <v>4.1000000000000002E-2</v>
      </c>
      <c r="O4579" s="105"/>
    </row>
    <row r="4580" spans="2:15" x14ac:dyDescent="0.2">
      <c r="B4580" s="1">
        <f t="shared" si="260"/>
        <v>4565</v>
      </c>
      <c r="C4580" s="106">
        <f ca="1"/>
        <v>0.5929956241203892</v>
      </c>
      <c r="D4580" s="106">
        <f t="shared" ca="1" si="261"/>
        <v>0.70453077272384512</v>
      </c>
      <c r="E4580" s="106">
        <f t="shared" ca="1" si="262"/>
        <v>0</v>
      </c>
      <c r="F4580" s="21">
        <f t="shared" ca="1" si="263"/>
        <v>0</v>
      </c>
      <c r="H4580" s="21">
        <v>4565</v>
      </c>
      <c r="I4580" s="107">
        <v>0.66774024437294177</v>
      </c>
      <c r="J4580" s="108">
        <v>1.3146037606942354E-3</v>
      </c>
      <c r="K4580" s="108"/>
      <c r="L4580" s="108">
        <v>3.8600000000000002E-2</v>
      </c>
      <c r="O4580" s="105"/>
    </row>
    <row r="4581" spans="2:15" x14ac:dyDescent="0.2">
      <c r="B4581" s="1">
        <f t="shared" si="260"/>
        <v>4566</v>
      </c>
      <c r="C4581" s="106">
        <f ca="1"/>
        <v>-0.5443310319547604</v>
      </c>
      <c r="D4581" s="106">
        <f t="shared" ca="1" si="261"/>
        <v>0.62976365703260673</v>
      </c>
      <c r="E4581" s="106">
        <f t="shared" ca="1" si="262"/>
        <v>0</v>
      </c>
      <c r="F4581" s="21">
        <f t="shared" ca="1" si="263"/>
        <v>0</v>
      </c>
      <c r="H4581" s="21">
        <v>4566</v>
      </c>
      <c r="I4581" s="107">
        <v>0.6676162031611087</v>
      </c>
      <c r="J4581" s="108">
        <v>1.1699007392965179E-3</v>
      </c>
      <c r="K4581" s="108"/>
      <c r="L4581" s="108">
        <v>3.6999999999999998E-2</v>
      </c>
      <c r="O4581" s="105"/>
    </row>
    <row r="4582" spans="2:15" x14ac:dyDescent="0.2">
      <c r="B4582" s="1">
        <f t="shared" si="260"/>
        <v>4567</v>
      </c>
      <c r="C4582" s="106">
        <f ca="1"/>
        <v>-0.24407237943499033</v>
      </c>
      <c r="D4582" s="106">
        <f t="shared" ca="1" si="261"/>
        <v>0.64869490952262099</v>
      </c>
      <c r="E4582" s="106">
        <f t="shared" ca="1" si="262"/>
        <v>0</v>
      </c>
      <c r="F4582" s="21">
        <f t="shared" ca="1" si="263"/>
        <v>0</v>
      </c>
      <c r="H4582" s="21">
        <v>4567</v>
      </c>
      <c r="I4582" s="107">
        <v>0.66772030462153575</v>
      </c>
      <c r="J4582" s="108">
        <v>1.3724476956740546E-3</v>
      </c>
      <c r="K4582" s="108"/>
      <c r="L4582" s="108">
        <v>4.1000000000000002E-2</v>
      </c>
      <c r="O4582" s="105"/>
    </row>
    <row r="4583" spans="2:15" x14ac:dyDescent="0.2">
      <c r="B4583" s="1">
        <f t="shared" si="260"/>
        <v>4568</v>
      </c>
      <c r="C4583" s="106">
        <f ca="1"/>
        <v>0.61399232159214612</v>
      </c>
      <c r="D4583" s="106">
        <f t="shared" ca="1" si="261"/>
        <v>0.70599146818235392</v>
      </c>
      <c r="E4583" s="106">
        <f t="shared" ca="1" si="262"/>
        <v>0</v>
      </c>
      <c r="F4583" s="21">
        <f t="shared" ca="1" si="263"/>
        <v>0</v>
      </c>
      <c r="H4583" s="21">
        <v>4568</v>
      </c>
      <c r="I4583" s="107">
        <v>0.66777895149938626</v>
      </c>
      <c r="J4583" s="108">
        <v>1.4729910635287251E-3</v>
      </c>
      <c r="K4583" s="108"/>
      <c r="L4583" s="108">
        <v>4.4200000000000003E-2</v>
      </c>
      <c r="O4583" s="105"/>
    </row>
    <row r="4584" spans="2:15" x14ac:dyDescent="0.2">
      <c r="B4584" s="1">
        <f t="shared" si="260"/>
        <v>4569</v>
      </c>
      <c r="C4584" s="106">
        <f ca="1"/>
        <v>-0.7042844315250858</v>
      </c>
      <c r="D4584" s="106">
        <f t="shared" ca="1" si="261"/>
        <v>0.61990521420572486</v>
      </c>
      <c r="E4584" s="106">
        <f t="shared" ca="1" si="262"/>
        <v>0</v>
      </c>
      <c r="F4584" s="21">
        <f t="shared" ca="1" si="263"/>
        <v>0</v>
      </c>
      <c r="H4584" s="21">
        <v>4569</v>
      </c>
      <c r="I4584" s="107">
        <v>0.66774237344318621</v>
      </c>
      <c r="J4584" s="108">
        <v>1.2406596429164259E-3</v>
      </c>
      <c r="K4584" s="108"/>
      <c r="L4584" s="108">
        <v>4.2000000000000003E-2</v>
      </c>
      <c r="O4584" s="105"/>
    </row>
    <row r="4585" spans="2:15" x14ac:dyDescent="0.2">
      <c r="B4585" s="1">
        <f t="shared" si="260"/>
        <v>4570</v>
      </c>
      <c r="C4585" s="106">
        <f ca="1"/>
        <v>-1.0660611834821789</v>
      </c>
      <c r="D4585" s="106">
        <f t="shared" ca="1" si="261"/>
        <v>0.59817326189393261</v>
      </c>
      <c r="E4585" s="106">
        <f t="shared" ca="1" si="262"/>
        <v>0</v>
      </c>
      <c r="F4585" s="21">
        <f t="shared" ca="1" si="263"/>
        <v>0</v>
      </c>
      <c r="H4585" s="21">
        <v>4570</v>
      </c>
      <c r="I4585" s="107">
        <v>0.66783240343027406</v>
      </c>
      <c r="J4585" s="108">
        <v>1.4679678486673525E-3</v>
      </c>
      <c r="K4585" s="108"/>
      <c r="L4585" s="108">
        <v>4.48E-2</v>
      </c>
      <c r="O4585" s="105"/>
    </row>
    <row r="4586" spans="2:15" x14ac:dyDescent="0.2">
      <c r="B4586" s="1">
        <f t="shared" si="260"/>
        <v>4571</v>
      </c>
      <c r="C4586" s="106">
        <f ca="1"/>
        <v>-0.20477062533585891</v>
      </c>
      <c r="D4586" s="106">
        <f t="shared" ca="1" si="261"/>
        <v>0.65121463616521524</v>
      </c>
      <c r="E4586" s="106">
        <f t="shared" ca="1" si="262"/>
        <v>0</v>
      </c>
      <c r="F4586" s="21">
        <f t="shared" ca="1" si="263"/>
        <v>0</v>
      </c>
      <c r="H4586" s="21">
        <v>4571</v>
      </c>
      <c r="I4586" s="107">
        <v>0.66777313949282702</v>
      </c>
      <c r="J4586" s="108">
        <v>1.3812246835382107E-3</v>
      </c>
      <c r="K4586" s="108"/>
      <c r="L4586" s="108">
        <v>4.1799999999999997E-2</v>
      </c>
      <c r="O4586" s="105"/>
    </row>
    <row r="4587" spans="2:15" x14ac:dyDescent="0.2">
      <c r="B4587" s="1">
        <f t="shared" si="260"/>
        <v>4572</v>
      </c>
      <c r="C4587" s="106">
        <f ca="1"/>
        <v>0.6050412375467541</v>
      </c>
      <c r="D4587" s="106">
        <f t="shared" ca="1" si="261"/>
        <v>0.7053683903893635</v>
      </c>
      <c r="E4587" s="106">
        <f t="shared" ca="1" si="262"/>
        <v>0</v>
      </c>
      <c r="F4587" s="21">
        <f t="shared" ca="1" si="263"/>
        <v>0</v>
      </c>
      <c r="H4587" s="21">
        <v>4572</v>
      </c>
      <c r="I4587" s="107">
        <v>0.66764459278512245</v>
      </c>
      <c r="J4587" s="108">
        <v>1.3108831046375641E-3</v>
      </c>
      <c r="K4587" s="108"/>
      <c r="L4587" s="108">
        <v>3.9399999999999998E-2</v>
      </c>
      <c r="O4587" s="105"/>
    </row>
    <row r="4588" spans="2:15" x14ac:dyDescent="0.2">
      <c r="B4588" s="1">
        <f t="shared" si="260"/>
        <v>4573</v>
      </c>
      <c r="C4588" s="106">
        <f ca="1"/>
        <v>-0.48986976476978261</v>
      </c>
      <c r="D4588" s="106">
        <f t="shared" ca="1" si="261"/>
        <v>0.63315593399460879</v>
      </c>
      <c r="E4588" s="106">
        <f t="shared" ca="1" si="262"/>
        <v>0</v>
      </c>
      <c r="F4588" s="21">
        <f t="shared" ca="1" si="263"/>
        <v>0</v>
      </c>
      <c r="H4588" s="21">
        <v>4573</v>
      </c>
      <c r="I4588" s="107">
        <v>0.66797016698068135</v>
      </c>
      <c r="J4588" s="108">
        <v>1.6778496403602513E-3</v>
      </c>
      <c r="K4588" s="108"/>
      <c r="L4588" s="108">
        <v>4.7600000000000003E-2</v>
      </c>
      <c r="O4588" s="105"/>
    </row>
    <row r="4589" spans="2:15" x14ac:dyDescent="0.2">
      <c r="B4589" s="1">
        <f t="shared" si="260"/>
        <v>4574</v>
      </c>
      <c r="C4589" s="106">
        <f ca="1"/>
        <v>-1.074893370762759</v>
      </c>
      <c r="D4589" s="106">
        <f t="shared" ca="1" si="261"/>
        <v>0.59765234913200804</v>
      </c>
      <c r="E4589" s="106">
        <f t="shared" ca="1" si="262"/>
        <v>0</v>
      </c>
      <c r="F4589" s="21">
        <f t="shared" ca="1" si="263"/>
        <v>0</v>
      </c>
      <c r="H4589" s="21">
        <v>4574</v>
      </c>
      <c r="I4589" s="107">
        <v>0.66763193647184393</v>
      </c>
      <c r="J4589" s="108">
        <v>1.2016233603021544E-3</v>
      </c>
      <c r="K4589" s="108"/>
      <c r="L4589" s="108">
        <v>4.1000000000000002E-2</v>
      </c>
      <c r="O4589" s="105"/>
    </row>
    <row r="4590" spans="2:15" x14ac:dyDescent="0.2">
      <c r="B4590" s="1">
        <f t="shared" si="260"/>
        <v>4575</v>
      </c>
      <c r="C4590" s="106">
        <f ca="1"/>
        <v>-0.24340737184666131</v>
      </c>
      <c r="D4590" s="106">
        <f t="shared" ca="1" si="261"/>
        <v>0.64873746350759942</v>
      </c>
      <c r="E4590" s="106">
        <f t="shared" ca="1" si="262"/>
        <v>0</v>
      </c>
      <c r="F4590" s="21">
        <f t="shared" ca="1" si="263"/>
        <v>0</v>
      </c>
      <c r="H4590" s="21">
        <v>4575</v>
      </c>
      <c r="I4590" s="107">
        <v>0.66783600346816452</v>
      </c>
      <c r="J4590" s="108">
        <v>1.5997762895618966E-3</v>
      </c>
      <c r="K4590" s="108"/>
      <c r="L4590" s="108">
        <v>4.58E-2</v>
      </c>
      <c r="O4590" s="105"/>
    </row>
    <row r="4591" spans="2:15" x14ac:dyDescent="0.2">
      <c r="B4591" s="1">
        <f t="shared" si="260"/>
        <v>4576</v>
      </c>
      <c r="C4591" s="106">
        <f ca="1"/>
        <v>-1.7729180939507601</v>
      </c>
      <c r="D4591" s="106">
        <f t="shared" ca="1" si="261"/>
        <v>0.55788628138917151</v>
      </c>
      <c r="E4591" s="106">
        <f t="shared" ca="1" si="262"/>
        <v>0</v>
      </c>
      <c r="F4591" s="21">
        <f t="shared" ca="1" si="263"/>
        <v>0</v>
      </c>
      <c r="H4591" s="21">
        <v>4576</v>
      </c>
      <c r="I4591" s="107">
        <v>0.66765588190807401</v>
      </c>
      <c r="J4591" s="108">
        <v>1.2832550213648999E-3</v>
      </c>
      <c r="K4591" s="108"/>
      <c r="L4591" s="108">
        <v>4.0399999999999998E-2</v>
      </c>
      <c r="O4591" s="105"/>
    </row>
    <row r="4592" spans="2:15" x14ac:dyDescent="0.2">
      <c r="B4592" s="1">
        <f t="shared" ref="B4592:B4655" si="264">B4591+1</f>
        <v>4577</v>
      </c>
      <c r="C4592" s="106">
        <f ca="1"/>
        <v>-0.71227500021486023</v>
      </c>
      <c r="D4592" s="106">
        <f t="shared" ca="1" si="261"/>
        <v>0.61941679724710053</v>
      </c>
      <c r="E4592" s="106">
        <f t="shared" ca="1" si="262"/>
        <v>0</v>
      </c>
      <c r="F4592" s="21">
        <f t="shared" ca="1" si="263"/>
        <v>0</v>
      </c>
      <c r="H4592" s="21">
        <v>4577</v>
      </c>
      <c r="I4592" s="107">
        <v>0.66782362373437765</v>
      </c>
      <c r="J4592" s="108">
        <v>1.4102362826878289E-3</v>
      </c>
      <c r="K4592" s="108"/>
      <c r="L4592" s="108">
        <v>4.2200000000000001E-2</v>
      </c>
      <c r="O4592" s="105"/>
    </row>
    <row r="4593" spans="2:15" x14ac:dyDescent="0.2">
      <c r="B4593" s="1">
        <f t="shared" si="264"/>
        <v>4578</v>
      </c>
      <c r="C4593" s="106">
        <f ca="1"/>
        <v>-6.5741774506102885E-2</v>
      </c>
      <c r="D4593" s="106">
        <f t="shared" ca="1" si="261"/>
        <v>0.66020690629982259</v>
      </c>
      <c r="E4593" s="106">
        <f t="shared" ca="1" si="262"/>
        <v>0</v>
      </c>
      <c r="F4593" s="21">
        <f t="shared" ca="1" si="263"/>
        <v>0</v>
      </c>
      <c r="H4593" s="21">
        <v>4578</v>
      </c>
      <c r="I4593" s="107">
        <v>0.66782937246179253</v>
      </c>
      <c r="J4593" s="108">
        <v>1.5301474415710789E-3</v>
      </c>
      <c r="K4593" s="108"/>
      <c r="L4593" s="108">
        <v>4.1200000000000001E-2</v>
      </c>
      <c r="O4593" s="105"/>
    </row>
    <row r="4594" spans="2:15" x14ac:dyDescent="0.2">
      <c r="B4594" s="1">
        <f t="shared" si="264"/>
        <v>4579</v>
      </c>
      <c r="C4594" s="106">
        <f ca="1"/>
        <v>-2.9532808439297069</v>
      </c>
      <c r="D4594" s="106">
        <f t="shared" ca="1" si="261"/>
        <v>0.49656907529787597</v>
      </c>
      <c r="E4594" s="106">
        <f t="shared" ca="1" si="262"/>
        <v>0</v>
      </c>
      <c r="F4594" s="21">
        <f t="shared" ca="1" si="263"/>
        <v>0</v>
      </c>
      <c r="H4594" s="21">
        <v>4579</v>
      </c>
      <c r="I4594" s="107">
        <v>0.66772188719670389</v>
      </c>
      <c r="J4594" s="108">
        <v>1.4424161454145662E-3</v>
      </c>
      <c r="K4594" s="108"/>
      <c r="L4594" s="108">
        <v>4.1799999999999997E-2</v>
      </c>
      <c r="O4594" s="105"/>
    </row>
    <row r="4595" spans="2:15" x14ac:dyDescent="0.2">
      <c r="B4595" s="1">
        <f t="shared" si="264"/>
        <v>4580</v>
      </c>
      <c r="C4595" s="106">
        <f ca="1"/>
        <v>2.4426340363507045E-2</v>
      </c>
      <c r="D4595" s="106">
        <f t="shared" ca="1" si="261"/>
        <v>0.66610517778760259</v>
      </c>
      <c r="E4595" s="106">
        <f t="shared" ca="1" si="262"/>
        <v>0</v>
      </c>
      <c r="F4595" s="21">
        <f t="shared" ca="1" si="263"/>
        <v>0</v>
      </c>
      <c r="H4595" s="21">
        <v>4580</v>
      </c>
      <c r="I4595" s="107">
        <v>0.66760255829755755</v>
      </c>
      <c r="J4595" s="108">
        <v>1.2869548575217865E-3</v>
      </c>
      <c r="K4595" s="108"/>
      <c r="L4595" s="108">
        <v>3.8600000000000002E-2</v>
      </c>
      <c r="O4595" s="105"/>
    </row>
    <row r="4596" spans="2:15" x14ac:dyDescent="0.2">
      <c r="B4596" s="1">
        <f t="shared" si="264"/>
        <v>4581</v>
      </c>
      <c r="C4596" s="106">
        <f ca="1"/>
        <v>-0.30879753437214535</v>
      </c>
      <c r="D4596" s="106">
        <f t="shared" ca="1" si="261"/>
        <v>0.64456646137756768</v>
      </c>
      <c r="E4596" s="106">
        <f t="shared" ca="1" si="262"/>
        <v>0</v>
      </c>
      <c r="F4596" s="21">
        <f t="shared" ca="1" si="263"/>
        <v>0</v>
      </c>
      <c r="H4596" s="21">
        <v>4581</v>
      </c>
      <c r="I4596" s="107">
        <v>0.66771587176756431</v>
      </c>
      <c r="J4596" s="108">
        <v>1.401471330203145E-3</v>
      </c>
      <c r="K4596" s="108"/>
      <c r="L4596" s="108">
        <v>4.4400000000000002E-2</v>
      </c>
      <c r="O4596" s="105"/>
    </row>
    <row r="4597" spans="2:15" x14ac:dyDescent="0.2">
      <c r="B4597" s="1">
        <f t="shared" si="264"/>
        <v>4582</v>
      </c>
      <c r="C4597" s="106">
        <f ca="1"/>
        <v>-7.3134237284598821E-2</v>
      </c>
      <c r="D4597" s="106">
        <f t="shared" ca="1" si="261"/>
        <v>0.65972565737127353</v>
      </c>
      <c r="E4597" s="106">
        <f t="shared" ca="1" si="262"/>
        <v>0</v>
      </c>
      <c r="F4597" s="21">
        <f t="shared" ca="1" si="263"/>
        <v>0</v>
      </c>
      <c r="H4597" s="21">
        <v>4582</v>
      </c>
      <c r="I4597" s="107">
        <v>0.66769559310210769</v>
      </c>
      <c r="J4597" s="108">
        <v>1.3784817695586737E-3</v>
      </c>
      <c r="K4597" s="108"/>
      <c r="L4597" s="108">
        <v>4.2999999999999997E-2</v>
      </c>
      <c r="O4597" s="105"/>
    </row>
    <row r="4598" spans="2:15" x14ac:dyDescent="0.2">
      <c r="B4598" s="1">
        <f t="shared" si="264"/>
        <v>4583</v>
      </c>
      <c r="C4598" s="106">
        <f ca="1"/>
        <v>-0.30711214992340818</v>
      </c>
      <c r="D4598" s="106">
        <f t="shared" ca="1" si="261"/>
        <v>0.64467362852925258</v>
      </c>
      <c r="E4598" s="106">
        <f t="shared" ca="1" si="262"/>
        <v>0</v>
      </c>
      <c r="F4598" s="21">
        <f t="shared" ca="1" si="263"/>
        <v>0</v>
      </c>
      <c r="H4598" s="21">
        <v>4583</v>
      </c>
      <c r="I4598" s="107">
        <v>0.6677191930313402</v>
      </c>
      <c r="J4598" s="108">
        <v>1.4188756271776518E-3</v>
      </c>
      <c r="K4598" s="108"/>
      <c r="L4598" s="108">
        <v>4.2000000000000003E-2</v>
      </c>
      <c r="O4598" s="105"/>
    </row>
    <row r="4599" spans="2:15" x14ac:dyDescent="0.2">
      <c r="B4599" s="1">
        <f t="shared" si="264"/>
        <v>4584</v>
      </c>
      <c r="C4599" s="106">
        <f ca="1"/>
        <v>0.10423338332867745</v>
      </c>
      <c r="D4599" s="106">
        <f t="shared" ca="1" si="261"/>
        <v>0.67136963370466562</v>
      </c>
      <c r="E4599" s="106">
        <f t="shared" ca="1" si="262"/>
        <v>0</v>
      </c>
      <c r="F4599" s="21">
        <f t="shared" ca="1" si="263"/>
        <v>0</v>
      </c>
      <c r="H4599" s="21">
        <v>4584</v>
      </c>
      <c r="I4599" s="107">
        <v>0.66791630627063658</v>
      </c>
      <c r="J4599" s="108">
        <v>1.4925950974186194E-3</v>
      </c>
      <c r="K4599" s="108"/>
      <c r="L4599" s="108">
        <v>4.3999999999999997E-2</v>
      </c>
      <c r="O4599" s="105"/>
    </row>
    <row r="4600" spans="2:15" x14ac:dyDescent="0.2">
      <c r="B4600" s="1">
        <f t="shared" si="264"/>
        <v>4585</v>
      </c>
      <c r="C4600" s="106">
        <f ca="1"/>
        <v>-0.70745134475746119</v>
      </c>
      <c r="D4600" s="106">
        <f t="shared" ca="1" si="261"/>
        <v>0.61971159317749314</v>
      </c>
      <c r="E4600" s="106">
        <f t="shared" ca="1" si="262"/>
        <v>0</v>
      </c>
      <c r="F4600" s="21">
        <f t="shared" ca="1" si="263"/>
        <v>0</v>
      </c>
      <c r="H4600" s="21">
        <v>4585</v>
      </c>
      <c r="I4600" s="107">
        <v>0.66780714517601614</v>
      </c>
      <c r="J4600" s="108">
        <v>1.5253471776885449E-3</v>
      </c>
      <c r="K4600" s="108"/>
      <c r="L4600" s="108">
        <v>4.2999999999999997E-2</v>
      </c>
      <c r="O4600" s="105"/>
    </row>
    <row r="4601" spans="2:15" x14ac:dyDescent="0.2">
      <c r="B4601" s="1">
        <f t="shared" si="264"/>
        <v>4586</v>
      </c>
      <c r="C4601" s="106">
        <f ca="1"/>
        <v>0.31437628021413166</v>
      </c>
      <c r="D4601" s="106">
        <f t="shared" ca="1" si="261"/>
        <v>0.68543154263489259</v>
      </c>
      <c r="E4601" s="106">
        <f t="shared" ca="1" si="262"/>
        <v>0</v>
      </c>
      <c r="F4601" s="21">
        <f t="shared" ca="1" si="263"/>
        <v>0</v>
      </c>
      <c r="H4601" s="21">
        <v>4586</v>
      </c>
      <c r="I4601" s="107">
        <v>0.66772213066592112</v>
      </c>
      <c r="J4601" s="108">
        <v>1.2726027423397384E-3</v>
      </c>
      <c r="K4601" s="108"/>
      <c r="L4601" s="108">
        <v>3.9399999999999998E-2</v>
      </c>
      <c r="O4601" s="105"/>
    </row>
    <row r="4602" spans="2:15" x14ac:dyDescent="0.2">
      <c r="B4602" s="1">
        <f t="shared" si="264"/>
        <v>4587</v>
      </c>
      <c r="C4602" s="106">
        <f ca="1"/>
        <v>-0.10113573885475181</v>
      </c>
      <c r="D4602" s="106">
        <f t="shared" ca="1" si="261"/>
        <v>0.65790593995960789</v>
      </c>
      <c r="E4602" s="106">
        <f t="shared" ca="1" si="262"/>
        <v>0</v>
      </c>
      <c r="F4602" s="21">
        <f t="shared" ca="1" si="263"/>
        <v>0</v>
      </c>
      <c r="H4602" s="21">
        <v>4587</v>
      </c>
      <c r="I4602" s="107">
        <v>0.66770582676957324</v>
      </c>
      <c r="J4602" s="108">
        <v>1.2911628534914015E-3</v>
      </c>
      <c r="K4602" s="108"/>
      <c r="L4602" s="108">
        <v>4.1799999999999997E-2</v>
      </c>
      <c r="O4602" s="105"/>
    </row>
    <row r="4603" spans="2:15" x14ac:dyDescent="0.2">
      <c r="B4603" s="1">
        <f t="shared" si="264"/>
        <v>4588</v>
      </c>
      <c r="C4603" s="106">
        <f ca="1"/>
        <v>0.88943276439998575</v>
      </c>
      <c r="D4603" s="106">
        <f t="shared" ca="1" si="261"/>
        <v>0.72543607960349688</v>
      </c>
      <c r="E4603" s="106">
        <f t="shared" ca="1" si="262"/>
        <v>0</v>
      </c>
      <c r="F4603" s="21">
        <f t="shared" ca="1" si="263"/>
        <v>0</v>
      </c>
      <c r="H4603" s="21">
        <v>4588</v>
      </c>
      <c r="I4603" s="107">
        <v>0.6676877661168602</v>
      </c>
      <c r="J4603" s="108">
        <v>1.2367311480038418E-3</v>
      </c>
      <c r="K4603" s="108"/>
      <c r="L4603" s="108">
        <v>4.1799999999999997E-2</v>
      </c>
      <c r="O4603" s="105"/>
    </row>
    <row r="4604" spans="2:15" x14ac:dyDescent="0.2">
      <c r="B4604" s="1">
        <f t="shared" si="264"/>
        <v>4589</v>
      </c>
      <c r="C4604" s="106">
        <f ca="1"/>
        <v>1.6864015085680815</v>
      </c>
      <c r="D4604" s="106">
        <f t="shared" ca="1" si="261"/>
        <v>0.78476712416776717</v>
      </c>
      <c r="E4604" s="106">
        <f t="shared" ca="1" si="262"/>
        <v>0</v>
      </c>
      <c r="F4604" s="21">
        <f t="shared" ca="1" si="263"/>
        <v>0</v>
      </c>
      <c r="H4604" s="21">
        <v>4589</v>
      </c>
      <c r="I4604" s="107">
        <v>0.66787461327662589</v>
      </c>
      <c r="J4604" s="108">
        <v>1.4124998308023093E-3</v>
      </c>
      <c r="K4604" s="108"/>
      <c r="L4604" s="108">
        <v>4.24E-2</v>
      </c>
      <c r="O4604" s="105"/>
    </row>
    <row r="4605" spans="2:15" x14ac:dyDescent="0.2">
      <c r="B4605" s="1">
        <f t="shared" si="264"/>
        <v>4590</v>
      </c>
      <c r="C4605" s="106">
        <f ca="1"/>
        <v>-1.0504713991808938</v>
      </c>
      <c r="D4605" s="106">
        <f t="shared" ca="1" si="261"/>
        <v>0.59909383858531795</v>
      </c>
      <c r="E4605" s="106">
        <f t="shared" ca="1" si="262"/>
        <v>0</v>
      </c>
      <c r="F4605" s="21">
        <f t="shared" ca="1" si="263"/>
        <v>0</v>
      </c>
      <c r="H4605" s="21">
        <v>4590</v>
      </c>
      <c r="I4605" s="107">
        <v>0.66779283028659919</v>
      </c>
      <c r="J4605" s="108">
        <v>1.5375816301687478E-3</v>
      </c>
      <c r="K4605" s="108"/>
      <c r="L4605" s="108">
        <v>4.2999999999999997E-2</v>
      </c>
      <c r="O4605" s="105"/>
    </row>
    <row r="4606" spans="2:15" x14ac:dyDescent="0.2">
      <c r="B4606" s="1">
        <f t="shared" si="264"/>
        <v>4591</v>
      </c>
      <c r="C4606" s="106">
        <f ca="1"/>
        <v>3.1923655320997044E-2</v>
      </c>
      <c r="D4606" s="106">
        <f t="shared" ca="1" si="261"/>
        <v>0.66659797479966731</v>
      </c>
      <c r="E4606" s="106">
        <f t="shared" ca="1" si="262"/>
        <v>0</v>
      </c>
      <c r="F4606" s="21">
        <f t="shared" ca="1" si="263"/>
        <v>0</v>
      </c>
      <c r="H4606" s="21">
        <v>4591</v>
      </c>
      <c r="I4606" s="107">
        <v>0.66782760829161247</v>
      </c>
      <c r="J4606" s="108">
        <v>1.5577449498578434E-3</v>
      </c>
      <c r="K4606" s="108"/>
      <c r="L4606" s="108">
        <v>4.4400000000000002E-2</v>
      </c>
      <c r="O4606" s="105"/>
    </row>
    <row r="4607" spans="2:15" x14ac:dyDescent="0.2">
      <c r="B4607" s="1">
        <f t="shared" si="264"/>
        <v>4592</v>
      </c>
      <c r="C4607" s="106">
        <f ca="1"/>
        <v>-8.6500934193561405E-2</v>
      </c>
      <c r="D4607" s="106">
        <f t="shared" ca="1" si="261"/>
        <v>0.65885637655273266</v>
      </c>
      <c r="E4607" s="106">
        <f t="shared" ca="1" si="262"/>
        <v>0</v>
      </c>
      <c r="F4607" s="21">
        <f t="shared" ca="1" si="263"/>
        <v>0</v>
      </c>
      <c r="H4607" s="21">
        <v>4592</v>
      </c>
      <c r="I4607" s="107">
        <v>0.66780501145678617</v>
      </c>
      <c r="J4607" s="108">
        <v>1.5238759104587939E-3</v>
      </c>
      <c r="K4607" s="108"/>
      <c r="L4607" s="108">
        <v>4.4400000000000002E-2</v>
      </c>
      <c r="O4607" s="105"/>
    </row>
    <row r="4608" spans="2:15" x14ac:dyDescent="0.2">
      <c r="B4608" s="1">
        <f t="shared" si="264"/>
        <v>4593</v>
      </c>
      <c r="C4608" s="106">
        <f ca="1"/>
        <v>0.44148278278012026</v>
      </c>
      <c r="D4608" s="106">
        <f t="shared" ca="1" si="261"/>
        <v>0.69407955262284959</v>
      </c>
      <c r="E4608" s="106">
        <f t="shared" ca="1" si="262"/>
        <v>0</v>
      </c>
      <c r="F4608" s="21">
        <f t="shared" ca="1" si="263"/>
        <v>0</v>
      </c>
      <c r="H4608" s="21">
        <v>4593</v>
      </c>
      <c r="I4608" s="107">
        <v>0.66776846030947845</v>
      </c>
      <c r="J4608" s="108">
        <v>1.4715261549490082E-3</v>
      </c>
      <c r="K4608" s="108"/>
      <c r="L4608" s="108">
        <v>4.2599999999999999E-2</v>
      </c>
      <c r="O4608" s="105"/>
    </row>
    <row r="4609" spans="2:15" x14ac:dyDescent="0.2">
      <c r="B4609" s="1">
        <f t="shared" si="264"/>
        <v>4594</v>
      </c>
      <c r="C4609" s="106">
        <f ca="1"/>
        <v>-1.8375882383715798</v>
      </c>
      <c r="D4609" s="106">
        <f t="shared" ca="1" si="261"/>
        <v>0.55433876888121558</v>
      </c>
      <c r="E4609" s="106">
        <f t="shared" ca="1" si="262"/>
        <v>0</v>
      </c>
      <c r="F4609" s="21">
        <f t="shared" ca="1" si="263"/>
        <v>0</v>
      </c>
      <c r="H4609" s="21">
        <v>4594</v>
      </c>
      <c r="I4609" s="107">
        <v>0.66776169158542142</v>
      </c>
      <c r="J4609" s="108">
        <v>1.3742273031556605E-3</v>
      </c>
      <c r="K4609" s="108"/>
      <c r="L4609" s="108">
        <v>3.9600000000000003E-2</v>
      </c>
      <c r="O4609" s="105"/>
    </row>
    <row r="4610" spans="2:15" x14ac:dyDescent="0.2">
      <c r="B4610" s="1">
        <f t="shared" si="264"/>
        <v>4595</v>
      </c>
      <c r="C4610" s="106">
        <f ca="1"/>
        <v>-1.0116292847109167</v>
      </c>
      <c r="D4610" s="106">
        <f t="shared" ca="1" si="261"/>
        <v>0.60139363222906983</v>
      </c>
      <c r="E4610" s="106">
        <f t="shared" ca="1" si="262"/>
        <v>0</v>
      </c>
      <c r="F4610" s="21">
        <f t="shared" ca="1" si="263"/>
        <v>0</v>
      </c>
      <c r="H4610" s="21">
        <v>4595</v>
      </c>
      <c r="I4610" s="107">
        <v>0.66784530092446603</v>
      </c>
      <c r="J4610" s="108">
        <v>1.4763984615060463E-3</v>
      </c>
      <c r="K4610" s="108"/>
      <c r="L4610" s="108">
        <v>4.36E-2</v>
      </c>
      <c r="O4610" s="105"/>
    </row>
    <row r="4611" spans="2:15" x14ac:dyDescent="0.2">
      <c r="B4611" s="1">
        <f t="shared" si="264"/>
        <v>4596</v>
      </c>
      <c r="C4611" s="106">
        <f ca="1"/>
        <v>-0.16581943508800887</v>
      </c>
      <c r="D4611" s="106">
        <f t="shared" ca="1" si="261"/>
        <v>0.65372154404976557</v>
      </c>
      <c r="E4611" s="106">
        <f t="shared" ca="1" si="262"/>
        <v>0</v>
      </c>
      <c r="F4611" s="21">
        <f t="shared" ca="1" si="263"/>
        <v>0</v>
      </c>
      <c r="H4611" s="21">
        <v>4596</v>
      </c>
      <c r="I4611" s="107">
        <v>0.66782384291479735</v>
      </c>
      <c r="J4611" s="108">
        <v>1.4140127894179031E-3</v>
      </c>
      <c r="K4611" s="108"/>
      <c r="L4611" s="108">
        <v>4.82E-2</v>
      </c>
      <c r="O4611" s="105"/>
    </row>
    <row r="4612" spans="2:15" x14ac:dyDescent="0.2">
      <c r="B4612" s="1">
        <f t="shared" si="264"/>
        <v>4597</v>
      </c>
      <c r="C4612" s="106">
        <f ca="1"/>
        <v>-1.1127204183444614</v>
      </c>
      <c r="D4612" s="106">
        <f t="shared" ca="1" si="261"/>
        <v>0.59542647816143779</v>
      </c>
      <c r="E4612" s="106">
        <f t="shared" ca="1" si="262"/>
        <v>0</v>
      </c>
      <c r="F4612" s="21">
        <f t="shared" ca="1" si="263"/>
        <v>0</v>
      </c>
      <c r="H4612" s="21">
        <v>4597</v>
      </c>
      <c r="I4612" s="107">
        <v>0.66778339103913997</v>
      </c>
      <c r="J4612" s="108">
        <v>1.4991966486217828E-3</v>
      </c>
      <c r="K4612" s="108"/>
      <c r="L4612" s="108">
        <v>4.2599999999999999E-2</v>
      </c>
      <c r="O4612" s="105"/>
    </row>
    <row r="4613" spans="2:15" x14ac:dyDescent="0.2">
      <c r="B4613" s="1">
        <f t="shared" si="264"/>
        <v>4598</v>
      </c>
      <c r="C4613" s="106">
        <f ca="1"/>
        <v>1.1716728397733758</v>
      </c>
      <c r="D4613" s="106">
        <f t="shared" ca="1" si="261"/>
        <v>0.74591637671185418</v>
      </c>
      <c r="E4613" s="106">
        <f t="shared" ca="1" si="262"/>
        <v>0</v>
      </c>
      <c r="F4613" s="21">
        <f t="shared" ca="1" si="263"/>
        <v>0</v>
      </c>
      <c r="H4613" s="21">
        <v>4598</v>
      </c>
      <c r="I4613" s="107">
        <v>0.66767863129352101</v>
      </c>
      <c r="J4613" s="108">
        <v>1.2257665736719254E-3</v>
      </c>
      <c r="K4613" s="108"/>
      <c r="L4613" s="108">
        <v>3.9600000000000003E-2</v>
      </c>
      <c r="O4613" s="105"/>
    </row>
    <row r="4614" spans="2:15" x14ac:dyDescent="0.2">
      <c r="B4614" s="1">
        <f t="shared" si="264"/>
        <v>4599</v>
      </c>
      <c r="C4614" s="106">
        <f ca="1"/>
        <v>0.53359066949869915</v>
      </c>
      <c r="D4614" s="106">
        <f t="shared" ca="1" si="261"/>
        <v>0.70041444710696943</v>
      </c>
      <c r="E4614" s="106">
        <f t="shared" ca="1" si="262"/>
        <v>0</v>
      </c>
      <c r="F4614" s="21">
        <f t="shared" ca="1" si="263"/>
        <v>0</v>
      </c>
      <c r="H4614" s="21">
        <v>4599</v>
      </c>
      <c r="I4614" s="107">
        <v>0.6677630160228919</v>
      </c>
      <c r="J4614" s="108">
        <v>1.2883970461880785E-3</v>
      </c>
      <c r="K4614" s="108"/>
      <c r="L4614" s="108">
        <v>4.5600000000000002E-2</v>
      </c>
      <c r="O4614" s="105"/>
    </row>
    <row r="4615" spans="2:15" x14ac:dyDescent="0.2">
      <c r="B4615" s="1">
        <f t="shared" si="264"/>
        <v>4600</v>
      </c>
      <c r="C4615" s="106">
        <f ca="1"/>
        <v>0.95963995419152071</v>
      </c>
      <c r="D4615" s="106">
        <f t="shared" ca="1" si="261"/>
        <v>0.73047740030822972</v>
      </c>
      <c r="E4615" s="106">
        <f t="shared" ca="1" si="262"/>
        <v>0</v>
      </c>
      <c r="F4615" s="21">
        <f t="shared" ca="1" si="263"/>
        <v>0</v>
      </c>
      <c r="H4615" s="21">
        <v>4600</v>
      </c>
      <c r="I4615" s="107">
        <v>0.66780734823696075</v>
      </c>
      <c r="J4615" s="108">
        <v>1.3571657922065033E-3</v>
      </c>
      <c r="K4615" s="108"/>
      <c r="L4615" s="108">
        <v>4.3799999999999999E-2</v>
      </c>
      <c r="O4615" s="105"/>
    </row>
    <row r="4616" spans="2:15" x14ac:dyDescent="0.2">
      <c r="B4616" s="1">
        <f t="shared" si="264"/>
        <v>4601</v>
      </c>
      <c r="C4616" s="106">
        <f ca="1"/>
        <v>-0.2229916887500461</v>
      </c>
      <c r="D4616" s="106">
        <f t="shared" ca="1" si="261"/>
        <v>0.65004522686887789</v>
      </c>
      <c r="E4616" s="106">
        <f t="shared" ca="1" si="262"/>
        <v>0</v>
      </c>
      <c r="F4616" s="21">
        <f t="shared" ca="1" si="263"/>
        <v>0</v>
      </c>
      <c r="H4616" s="21">
        <v>4601</v>
      </c>
      <c r="I4616" s="107">
        <v>0.66771227137027322</v>
      </c>
      <c r="J4616" s="108">
        <v>1.3426825576350933E-3</v>
      </c>
      <c r="K4616" s="108"/>
      <c r="L4616" s="108">
        <v>4.1000000000000002E-2</v>
      </c>
      <c r="O4616" s="105"/>
    </row>
    <row r="4617" spans="2:15" x14ac:dyDescent="0.2">
      <c r="B4617" s="1">
        <f t="shared" si="264"/>
        <v>4602</v>
      </c>
      <c r="C4617" s="106">
        <f ca="1"/>
        <v>-1.5787212134549709</v>
      </c>
      <c r="D4617" s="106">
        <f t="shared" ca="1" si="261"/>
        <v>0.56867607430324962</v>
      </c>
      <c r="E4617" s="106">
        <f t="shared" ca="1" si="262"/>
        <v>0</v>
      </c>
      <c r="F4617" s="21">
        <f t="shared" ca="1" si="263"/>
        <v>0</v>
      </c>
      <c r="H4617" s="21">
        <v>4602</v>
      </c>
      <c r="I4617" s="107">
        <v>0.66767927509807545</v>
      </c>
      <c r="J4617" s="108">
        <v>1.2182876677554421E-3</v>
      </c>
      <c r="K4617" s="108"/>
      <c r="L4617" s="108">
        <v>3.7600000000000001E-2</v>
      </c>
      <c r="O4617" s="105"/>
    </row>
    <row r="4618" spans="2:15" x14ac:dyDescent="0.2">
      <c r="B4618" s="1">
        <f t="shared" si="264"/>
        <v>4603</v>
      </c>
      <c r="C4618" s="106">
        <f ca="1"/>
        <v>0.7899483940653329</v>
      </c>
      <c r="D4618" s="106">
        <f t="shared" ca="1" si="261"/>
        <v>0.71835199522084514</v>
      </c>
      <c r="E4618" s="106">
        <f t="shared" ca="1" si="262"/>
        <v>0</v>
      </c>
      <c r="F4618" s="21">
        <f t="shared" ca="1" si="263"/>
        <v>0</v>
      </c>
      <c r="H4618" s="21">
        <v>4603</v>
      </c>
      <c r="I4618" s="107">
        <v>0.66768366421910641</v>
      </c>
      <c r="J4618" s="108">
        <v>1.2183141795705939E-3</v>
      </c>
      <c r="K4618" s="108"/>
      <c r="L4618" s="108">
        <v>4.1000000000000002E-2</v>
      </c>
      <c r="O4618" s="105"/>
    </row>
    <row r="4619" spans="2:15" x14ac:dyDescent="0.2">
      <c r="B4619" s="1">
        <f t="shared" si="264"/>
        <v>4604</v>
      </c>
      <c r="C4619" s="106">
        <f ca="1"/>
        <v>0.20145407074859689</v>
      </c>
      <c r="D4619" s="106">
        <f t="shared" ca="1" si="261"/>
        <v>0.67783902446014088</v>
      </c>
      <c r="E4619" s="106">
        <f t="shared" ca="1" si="262"/>
        <v>0</v>
      </c>
      <c r="F4619" s="21">
        <f t="shared" ca="1" si="263"/>
        <v>0</v>
      </c>
      <c r="H4619" s="21">
        <v>4604</v>
      </c>
      <c r="I4619" s="107">
        <v>0.66789612041679536</v>
      </c>
      <c r="J4619" s="108">
        <v>1.5470743672382832E-3</v>
      </c>
      <c r="K4619" s="108"/>
      <c r="L4619" s="108">
        <v>4.4600000000000001E-2</v>
      </c>
      <c r="O4619" s="105"/>
    </row>
    <row r="4620" spans="2:15" x14ac:dyDescent="0.2">
      <c r="B4620" s="1">
        <f t="shared" si="264"/>
        <v>4605</v>
      </c>
      <c r="C4620" s="106">
        <f ca="1"/>
        <v>0.10378314545154051</v>
      </c>
      <c r="D4620" s="106">
        <f t="shared" ca="1" si="261"/>
        <v>0.67133981745757088</v>
      </c>
      <c r="E4620" s="106">
        <f t="shared" ca="1" si="262"/>
        <v>0</v>
      </c>
      <c r="F4620" s="21">
        <f t="shared" ca="1" si="263"/>
        <v>0</v>
      </c>
      <c r="H4620" s="21">
        <v>4605</v>
      </c>
      <c r="I4620" s="107">
        <v>0.66761752516326833</v>
      </c>
      <c r="J4620" s="108">
        <v>1.2342899136025278E-3</v>
      </c>
      <c r="K4620" s="108"/>
      <c r="L4620" s="108">
        <v>4.0599999999999997E-2</v>
      </c>
      <c r="O4620" s="105"/>
    </row>
    <row r="4621" spans="2:15" x14ac:dyDescent="0.2">
      <c r="B4621" s="1">
        <f t="shared" si="264"/>
        <v>4606</v>
      </c>
      <c r="C4621" s="106">
        <f ca="1"/>
        <v>-0.12399511270257663</v>
      </c>
      <c r="D4621" s="106">
        <f t="shared" ca="1" si="261"/>
        <v>0.65642411300747949</v>
      </c>
      <c r="E4621" s="106">
        <f t="shared" ca="1" si="262"/>
        <v>0</v>
      </c>
      <c r="F4621" s="21">
        <f t="shared" ca="1" si="263"/>
        <v>0</v>
      </c>
      <c r="H4621" s="21">
        <v>4606</v>
      </c>
      <c r="I4621" s="107">
        <v>0.66805961177853201</v>
      </c>
      <c r="J4621" s="108">
        <v>1.66247549178224E-3</v>
      </c>
      <c r="K4621" s="108"/>
      <c r="L4621" s="108">
        <v>4.7600000000000003E-2</v>
      </c>
      <c r="O4621" s="105"/>
    </row>
    <row r="4622" spans="2:15" x14ac:dyDescent="0.2">
      <c r="B4622" s="1">
        <f t="shared" si="264"/>
        <v>4607</v>
      </c>
      <c r="C4622" s="106">
        <f ca="1"/>
        <v>1.3575352364983884</v>
      </c>
      <c r="D4622" s="106">
        <f t="shared" ca="1" si="261"/>
        <v>0.75971792386970605</v>
      </c>
      <c r="E4622" s="106">
        <f t="shared" ca="1" si="262"/>
        <v>0</v>
      </c>
      <c r="F4622" s="21">
        <f t="shared" ca="1" si="263"/>
        <v>0</v>
      </c>
      <c r="H4622" s="21">
        <v>4607</v>
      </c>
      <c r="I4622" s="107">
        <v>0.66769331309336544</v>
      </c>
      <c r="J4622" s="108">
        <v>1.4089367402860071E-3</v>
      </c>
      <c r="K4622" s="108"/>
      <c r="L4622" s="108">
        <v>4.3799999999999999E-2</v>
      </c>
      <c r="O4622" s="105"/>
    </row>
    <row r="4623" spans="2:15" x14ac:dyDescent="0.2">
      <c r="B4623" s="1">
        <f t="shared" si="264"/>
        <v>4608</v>
      </c>
      <c r="C4623" s="106">
        <f ca="1"/>
        <v>-1.6355721807908936</v>
      </c>
      <c r="D4623" s="106">
        <f t="shared" ca="1" si="261"/>
        <v>0.56549594663765645</v>
      </c>
      <c r="E4623" s="106">
        <f t="shared" ca="1" si="262"/>
        <v>0</v>
      </c>
      <c r="F4623" s="21">
        <f t="shared" ca="1" si="263"/>
        <v>0</v>
      </c>
      <c r="H4623" s="21">
        <v>4608</v>
      </c>
      <c r="I4623" s="107">
        <v>0.66771914623381234</v>
      </c>
      <c r="J4623" s="108">
        <v>1.4226267663955254E-3</v>
      </c>
      <c r="K4623" s="108"/>
      <c r="L4623" s="108">
        <v>4.0599999999999997E-2</v>
      </c>
      <c r="O4623" s="105"/>
    </row>
    <row r="4624" spans="2:15" x14ac:dyDescent="0.2">
      <c r="B4624" s="1">
        <f t="shared" si="264"/>
        <v>4609</v>
      </c>
      <c r="C4624" s="106">
        <f ca="1"/>
        <v>-2.1204315040229602</v>
      </c>
      <c r="D4624" s="106">
        <f t="shared" ref="D4624:D4687" ca="1" si="265">S0*EXP((μ-0.5*σ*σ)*T+σ*SQRT(T)*$C4624)</f>
        <v>0.53908645736872551</v>
      </c>
      <c r="E4624" s="106">
        <f t="shared" ref="E4624:E4687" ca="1" si="266">MAX(0,CP*(D4624-K))</f>
        <v>0</v>
      </c>
      <c r="F4624" s="21">
        <f t="shared" ref="F4624:F4687" ca="1" si="267">(CP*(D4624-K)&gt;0)*1</f>
        <v>0</v>
      </c>
      <c r="H4624" s="21">
        <v>4609</v>
      </c>
      <c r="I4624" s="107">
        <v>0.66758424225395019</v>
      </c>
      <c r="J4624" s="108">
        <v>1.1496604700249838E-3</v>
      </c>
      <c r="K4624" s="108"/>
      <c r="L4624" s="108">
        <v>3.8800000000000001E-2</v>
      </c>
      <c r="O4624" s="105"/>
    </row>
    <row r="4625" spans="2:15" x14ac:dyDescent="0.2">
      <c r="B4625" s="1">
        <f t="shared" si="264"/>
        <v>4610</v>
      </c>
      <c r="C4625" s="106">
        <f ca="1"/>
        <v>-0.79457367208370266</v>
      </c>
      <c r="D4625" s="106">
        <f t="shared" ca="1" si="265"/>
        <v>0.61440869616474925</v>
      </c>
      <c r="E4625" s="106">
        <f t="shared" ca="1" si="266"/>
        <v>0</v>
      </c>
      <c r="F4625" s="21">
        <f t="shared" ca="1" si="267"/>
        <v>0</v>
      </c>
      <c r="H4625" s="21">
        <v>4610</v>
      </c>
      <c r="I4625" s="107">
        <v>0.66773408382119182</v>
      </c>
      <c r="J4625" s="108">
        <v>1.5360701650778605E-3</v>
      </c>
      <c r="K4625" s="108"/>
      <c r="L4625" s="108">
        <v>4.1399999999999999E-2</v>
      </c>
      <c r="O4625" s="105"/>
    </row>
    <row r="4626" spans="2:15" x14ac:dyDescent="0.2">
      <c r="B4626" s="1">
        <f t="shared" si="264"/>
        <v>4611</v>
      </c>
      <c r="C4626" s="106">
        <f ca="1"/>
        <v>-1.8691230194821855</v>
      </c>
      <c r="D4626" s="106">
        <f t="shared" ca="1" si="265"/>
        <v>0.55261710374824391</v>
      </c>
      <c r="E4626" s="106">
        <f t="shared" ca="1" si="266"/>
        <v>0</v>
      </c>
      <c r="F4626" s="21">
        <f t="shared" ca="1" si="267"/>
        <v>0</v>
      </c>
      <c r="H4626" s="21">
        <v>4611</v>
      </c>
      <c r="I4626" s="107">
        <v>0.66764382420711565</v>
      </c>
      <c r="J4626" s="108">
        <v>1.2984286304836925E-3</v>
      </c>
      <c r="K4626" s="108"/>
      <c r="L4626" s="108">
        <v>4.1799999999999997E-2</v>
      </c>
      <c r="O4626" s="105"/>
    </row>
    <row r="4627" spans="2:15" x14ac:dyDescent="0.2">
      <c r="B4627" s="1">
        <f t="shared" si="264"/>
        <v>4612</v>
      </c>
      <c r="C4627" s="106">
        <f ca="1"/>
        <v>-0.72682114216658611</v>
      </c>
      <c r="D4627" s="106">
        <f t="shared" ca="1" si="265"/>
        <v>0.61852866392705896</v>
      </c>
      <c r="E4627" s="106">
        <f t="shared" ca="1" si="266"/>
        <v>0</v>
      </c>
      <c r="F4627" s="21">
        <f t="shared" ca="1" si="267"/>
        <v>0</v>
      </c>
      <c r="H4627" s="21">
        <v>4612</v>
      </c>
      <c r="I4627" s="107">
        <v>0.66769680434453371</v>
      </c>
      <c r="J4627" s="108">
        <v>1.3855717732304785E-3</v>
      </c>
      <c r="K4627" s="108"/>
      <c r="L4627" s="108">
        <v>4.2000000000000003E-2</v>
      </c>
      <c r="O4627" s="105"/>
    </row>
    <row r="4628" spans="2:15" x14ac:dyDescent="0.2">
      <c r="B4628" s="1">
        <f t="shared" si="264"/>
        <v>4613</v>
      </c>
      <c r="C4628" s="106">
        <f ca="1"/>
        <v>-0.77493255943314243</v>
      </c>
      <c r="D4628" s="106">
        <f t="shared" ca="1" si="265"/>
        <v>0.61560022104594947</v>
      </c>
      <c r="E4628" s="106">
        <f t="shared" ca="1" si="266"/>
        <v>0</v>
      </c>
      <c r="F4628" s="21">
        <f t="shared" ca="1" si="267"/>
        <v>0</v>
      </c>
      <c r="H4628" s="21">
        <v>4613</v>
      </c>
      <c r="I4628" s="107">
        <v>0.66772651266377248</v>
      </c>
      <c r="J4628" s="108">
        <v>1.3230880109720451E-3</v>
      </c>
      <c r="K4628" s="108"/>
      <c r="L4628" s="108">
        <v>4.24E-2</v>
      </c>
      <c r="O4628" s="105"/>
    </row>
    <row r="4629" spans="2:15" x14ac:dyDescent="0.2">
      <c r="B4629" s="1">
        <f t="shared" si="264"/>
        <v>4614</v>
      </c>
      <c r="C4629" s="106">
        <f ca="1"/>
        <v>0.30943564801788537</v>
      </c>
      <c r="D4629" s="106">
        <f t="shared" ca="1" si="265"/>
        <v>0.68509757860842546</v>
      </c>
      <c r="E4629" s="106">
        <f t="shared" ca="1" si="266"/>
        <v>0</v>
      </c>
      <c r="F4629" s="21">
        <f t="shared" ca="1" si="267"/>
        <v>0</v>
      </c>
      <c r="H4629" s="21">
        <v>4614</v>
      </c>
      <c r="I4629" s="107">
        <v>0.66775134969924477</v>
      </c>
      <c r="J4629" s="108">
        <v>1.3095643125540124E-3</v>
      </c>
      <c r="K4629" s="108"/>
      <c r="L4629" s="108">
        <v>4.2599999999999999E-2</v>
      </c>
      <c r="O4629" s="105"/>
    </row>
    <row r="4630" spans="2:15" x14ac:dyDescent="0.2">
      <c r="B4630" s="1">
        <f t="shared" si="264"/>
        <v>4615</v>
      </c>
      <c r="C4630" s="106">
        <f ca="1"/>
        <v>-2.8443739992265123E-2</v>
      </c>
      <c r="D4630" s="106">
        <f t="shared" ca="1" si="265"/>
        <v>0.66264036549108873</v>
      </c>
      <c r="E4630" s="106">
        <f t="shared" ca="1" si="266"/>
        <v>0</v>
      </c>
      <c r="F4630" s="21">
        <f t="shared" ca="1" si="267"/>
        <v>0</v>
      </c>
      <c r="H4630" s="21">
        <v>4615</v>
      </c>
      <c r="I4630" s="107">
        <v>0.66773707132705362</v>
      </c>
      <c r="J4630" s="108">
        <v>1.2349938254781602E-3</v>
      </c>
      <c r="K4630" s="108"/>
      <c r="L4630" s="108">
        <v>4.24E-2</v>
      </c>
      <c r="O4630" s="105"/>
    </row>
    <row r="4631" spans="2:15" x14ac:dyDescent="0.2">
      <c r="B4631" s="1">
        <f t="shared" si="264"/>
        <v>4616</v>
      </c>
      <c r="C4631" s="106">
        <f ca="1"/>
        <v>0.25336507630740701</v>
      </c>
      <c r="D4631" s="106">
        <f t="shared" ca="1" si="265"/>
        <v>0.68131884865056436</v>
      </c>
      <c r="E4631" s="106">
        <f t="shared" ca="1" si="266"/>
        <v>0</v>
      </c>
      <c r="F4631" s="21">
        <f t="shared" ca="1" si="267"/>
        <v>0</v>
      </c>
      <c r="H4631" s="21">
        <v>4616</v>
      </c>
      <c r="I4631" s="107">
        <v>0.66762501126116236</v>
      </c>
      <c r="J4631" s="108">
        <v>1.2478497854868547E-3</v>
      </c>
      <c r="K4631" s="108"/>
      <c r="L4631" s="108">
        <v>0.04</v>
      </c>
      <c r="O4631" s="105"/>
    </row>
    <row r="4632" spans="2:15" x14ac:dyDescent="0.2">
      <c r="B4632" s="1">
        <f t="shared" si="264"/>
        <v>4617</v>
      </c>
      <c r="C4632" s="106">
        <f ca="1"/>
        <v>-0.1876721746911188</v>
      </c>
      <c r="D4632" s="106">
        <f t="shared" ca="1" si="265"/>
        <v>0.65231391054858223</v>
      </c>
      <c r="E4632" s="106">
        <f t="shared" ca="1" si="266"/>
        <v>0</v>
      </c>
      <c r="F4632" s="21">
        <f t="shared" ca="1" si="267"/>
        <v>0</v>
      </c>
      <c r="H4632" s="21">
        <v>4617</v>
      </c>
      <c r="I4632" s="107">
        <v>0.66779140877106868</v>
      </c>
      <c r="J4632" s="108">
        <v>1.513010945693961E-3</v>
      </c>
      <c r="K4632" s="108"/>
      <c r="L4632" s="108">
        <v>4.0599999999999997E-2</v>
      </c>
      <c r="O4632" s="105"/>
    </row>
    <row r="4633" spans="2:15" x14ac:dyDescent="0.2">
      <c r="B4633" s="1">
        <f t="shared" si="264"/>
        <v>4618</v>
      </c>
      <c r="C4633" s="106">
        <f ca="1"/>
        <v>7.2259818470579329E-2</v>
      </c>
      <c r="D4633" s="106">
        <f t="shared" ca="1" si="265"/>
        <v>0.66925552667168497</v>
      </c>
      <c r="E4633" s="106">
        <f t="shared" ca="1" si="266"/>
        <v>0</v>
      </c>
      <c r="F4633" s="21">
        <f t="shared" ca="1" si="267"/>
        <v>0</v>
      </c>
      <c r="H4633" s="21">
        <v>4618</v>
      </c>
      <c r="I4633" s="107">
        <v>0.6676572819544595</v>
      </c>
      <c r="J4633" s="108">
        <v>1.1528257911778376E-3</v>
      </c>
      <c r="K4633" s="108"/>
      <c r="L4633" s="108">
        <v>4.0399999999999998E-2</v>
      </c>
      <c r="O4633" s="105"/>
    </row>
    <row r="4634" spans="2:15" x14ac:dyDescent="0.2">
      <c r="B4634" s="1">
        <f t="shared" si="264"/>
        <v>4619</v>
      </c>
      <c r="C4634" s="106">
        <f ca="1"/>
        <v>-1.9567266334587163</v>
      </c>
      <c r="D4634" s="106">
        <f t="shared" ca="1" si="265"/>
        <v>0.54786232673228474</v>
      </c>
      <c r="E4634" s="106">
        <f t="shared" ca="1" si="266"/>
        <v>0</v>
      </c>
      <c r="F4634" s="21">
        <f t="shared" ca="1" si="267"/>
        <v>0</v>
      </c>
      <c r="H4634" s="21">
        <v>4619</v>
      </c>
      <c r="I4634" s="107">
        <v>0.66785042655794014</v>
      </c>
      <c r="J4634" s="108">
        <v>1.5165219821549234E-3</v>
      </c>
      <c r="K4634" s="108"/>
      <c r="L4634" s="108">
        <v>4.7E-2</v>
      </c>
      <c r="O4634" s="105"/>
    </row>
    <row r="4635" spans="2:15" x14ac:dyDescent="0.2">
      <c r="B4635" s="1">
        <f t="shared" si="264"/>
        <v>4620</v>
      </c>
      <c r="C4635" s="106">
        <f ca="1"/>
        <v>-2.392929919304946</v>
      </c>
      <c r="D4635" s="106">
        <f t="shared" ca="1" si="265"/>
        <v>0.52478904163166906</v>
      </c>
      <c r="E4635" s="106">
        <f t="shared" ca="1" si="266"/>
        <v>0</v>
      </c>
      <c r="F4635" s="21">
        <f t="shared" ca="1" si="267"/>
        <v>0</v>
      </c>
      <c r="H4635" s="21">
        <v>4620</v>
      </c>
      <c r="I4635" s="107">
        <v>0.66778599682560058</v>
      </c>
      <c r="J4635" s="108">
        <v>1.4523876511099163E-3</v>
      </c>
      <c r="K4635" s="108"/>
      <c r="L4635" s="108">
        <v>4.2000000000000003E-2</v>
      </c>
      <c r="O4635" s="105"/>
    </row>
    <row r="4636" spans="2:15" x14ac:dyDescent="0.2">
      <c r="B4636" s="1">
        <f t="shared" si="264"/>
        <v>4621</v>
      </c>
      <c r="C4636" s="106">
        <f ca="1"/>
        <v>1.9940361127817634</v>
      </c>
      <c r="D4636" s="106">
        <f t="shared" ca="1" si="265"/>
        <v>0.80894627189757096</v>
      </c>
      <c r="E4636" s="106">
        <f t="shared" ca="1" si="266"/>
        <v>2.0746271897570945E-2</v>
      </c>
      <c r="F4636" s="21">
        <f t="shared" ca="1" si="267"/>
        <v>1</v>
      </c>
      <c r="H4636" s="21">
        <v>4621</v>
      </c>
      <c r="I4636" s="107">
        <v>0.66773927389926246</v>
      </c>
      <c r="J4636" s="108">
        <v>1.4319780993473042E-3</v>
      </c>
      <c r="K4636" s="108"/>
      <c r="L4636" s="108">
        <v>4.0800000000000003E-2</v>
      </c>
      <c r="O4636" s="105"/>
    </row>
    <row r="4637" spans="2:15" x14ac:dyDescent="0.2">
      <c r="B4637" s="1">
        <f t="shared" si="264"/>
        <v>4622</v>
      </c>
      <c r="C4637" s="106">
        <f ca="1"/>
        <v>-0.14522654924698578</v>
      </c>
      <c r="D4637" s="106">
        <f t="shared" ca="1" si="265"/>
        <v>0.65505080448488362</v>
      </c>
      <c r="E4637" s="106">
        <f t="shared" ca="1" si="266"/>
        <v>0</v>
      </c>
      <c r="F4637" s="21">
        <f t="shared" ca="1" si="267"/>
        <v>0</v>
      </c>
      <c r="H4637" s="21">
        <v>4622</v>
      </c>
      <c r="I4637" s="107">
        <v>0.66778117996710196</v>
      </c>
      <c r="J4637" s="108">
        <v>1.4623929982957528E-3</v>
      </c>
      <c r="K4637" s="108"/>
      <c r="L4637" s="108">
        <v>4.5600000000000002E-2</v>
      </c>
      <c r="O4637" s="105"/>
    </row>
    <row r="4638" spans="2:15" x14ac:dyDescent="0.2">
      <c r="B4638" s="1">
        <f t="shared" si="264"/>
        <v>4623</v>
      </c>
      <c r="C4638" s="106">
        <f ca="1"/>
        <v>-0.19521545970265997</v>
      </c>
      <c r="D4638" s="106">
        <f t="shared" ca="1" si="265"/>
        <v>0.65182871758614347</v>
      </c>
      <c r="E4638" s="106">
        <f t="shared" ca="1" si="266"/>
        <v>0</v>
      </c>
      <c r="F4638" s="21">
        <f t="shared" ca="1" si="267"/>
        <v>0</v>
      </c>
      <c r="H4638" s="21">
        <v>4623</v>
      </c>
      <c r="I4638" s="107">
        <v>0.66760799900124346</v>
      </c>
      <c r="J4638" s="108">
        <v>1.2144365632491382E-3</v>
      </c>
      <c r="K4638" s="108"/>
      <c r="L4638" s="108">
        <v>3.9E-2</v>
      </c>
      <c r="O4638" s="105"/>
    </row>
    <row r="4639" spans="2:15" x14ac:dyDescent="0.2">
      <c r="B4639" s="1">
        <f t="shared" si="264"/>
        <v>4624</v>
      </c>
      <c r="C4639" s="106">
        <f ca="1"/>
        <v>1.1887625790366105</v>
      </c>
      <c r="D4639" s="106">
        <f t="shared" ca="1" si="265"/>
        <v>0.74717486908539454</v>
      </c>
      <c r="E4639" s="106">
        <f t="shared" ca="1" si="266"/>
        <v>0</v>
      </c>
      <c r="F4639" s="21">
        <f t="shared" ca="1" si="267"/>
        <v>0</v>
      </c>
      <c r="H4639" s="21">
        <v>4624</v>
      </c>
      <c r="I4639" s="107">
        <v>0.66771561060261064</v>
      </c>
      <c r="J4639" s="108">
        <v>1.1548103234863055E-3</v>
      </c>
      <c r="K4639" s="108"/>
      <c r="L4639" s="108">
        <v>4.1599999999999998E-2</v>
      </c>
      <c r="O4639" s="105"/>
    </row>
    <row r="4640" spans="2:15" x14ac:dyDescent="0.2">
      <c r="B4640" s="1">
        <f t="shared" si="264"/>
        <v>4625</v>
      </c>
      <c r="C4640" s="106">
        <f ca="1"/>
        <v>0.4761773906284566</v>
      </c>
      <c r="D4640" s="106">
        <f t="shared" ca="1" si="265"/>
        <v>0.69645898569625964</v>
      </c>
      <c r="E4640" s="106">
        <f t="shared" ca="1" si="266"/>
        <v>0</v>
      </c>
      <c r="F4640" s="21">
        <f t="shared" ca="1" si="267"/>
        <v>0</v>
      </c>
      <c r="H4640" s="21">
        <v>4625</v>
      </c>
      <c r="I4640" s="107">
        <v>0.6677641803889186</v>
      </c>
      <c r="J4640" s="108">
        <v>1.4671144705545053E-3</v>
      </c>
      <c r="K4640" s="108"/>
      <c r="L4640" s="108">
        <v>3.8800000000000001E-2</v>
      </c>
      <c r="O4640" s="105"/>
    </row>
    <row r="4641" spans="2:15" x14ac:dyDescent="0.2">
      <c r="B4641" s="1">
        <f t="shared" si="264"/>
        <v>4626</v>
      </c>
      <c r="C4641" s="106">
        <f ca="1"/>
        <v>-0.2943851144498878</v>
      </c>
      <c r="D4641" s="106">
        <f t="shared" ca="1" si="265"/>
        <v>0.64548346754867036</v>
      </c>
      <c r="E4641" s="106">
        <f t="shared" ca="1" si="266"/>
        <v>0</v>
      </c>
      <c r="F4641" s="21">
        <f t="shared" ca="1" si="267"/>
        <v>0</v>
      </c>
      <c r="H4641" s="21">
        <v>4626</v>
      </c>
      <c r="I4641" s="107">
        <v>0.66791033524080634</v>
      </c>
      <c r="J4641" s="108">
        <v>1.5891962432971083E-3</v>
      </c>
      <c r="K4641" s="108"/>
      <c r="L4641" s="108">
        <v>4.7600000000000003E-2</v>
      </c>
      <c r="O4641" s="105"/>
    </row>
    <row r="4642" spans="2:15" x14ac:dyDescent="0.2">
      <c r="B4642" s="1">
        <f t="shared" si="264"/>
        <v>4627</v>
      </c>
      <c r="C4642" s="106">
        <f ca="1"/>
        <v>-0.58780581134984966</v>
      </c>
      <c r="D4642" s="106">
        <f t="shared" ca="1" si="265"/>
        <v>0.62706875489816405</v>
      </c>
      <c r="E4642" s="106">
        <f t="shared" ca="1" si="266"/>
        <v>0</v>
      </c>
      <c r="F4642" s="21">
        <f t="shared" ca="1" si="267"/>
        <v>0</v>
      </c>
      <c r="H4642" s="21">
        <v>4627</v>
      </c>
      <c r="I4642" s="107">
        <v>0.6678101173074833</v>
      </c>
      <c r="J4642" s="108">
        <v>1.4337625739175627E-3</v>
      </c>
      <c r="K4642" s="108"/>
      <c r="L4642" s="108">
        <v>4.4400000000000002E-2</v>
      </c>
      <c r="O4642" s="105"/>
    </row>
    <row r="4643" spans="2:15" x14ac:dyDescent="0.2">
      <c r="B4643" s="1">
        <f t="shared" si="264"/>
        <v>4628</v>
      </c>
      <c r="C4643" s="106">
        <f ca="1"/>
        <v>0.10433239165855847</v>
      </c>
      <c r="D4643" s="106">
        <f t="shared" ca="1" si="265"/>
        <v>0.67137619054261244</v>
      </c>
      <c r="E4643" s="106">
        <f t="shared" ca="1" si="266"/>
        <v>0</v>
      </c>
      <c r="F4643" s="21">
        <f t="shared" ca="1" si="267"/>
        <v>0</v>
      </c>
      <c r="H4643" s="21">
        <v>4628</v>
      </c>
      <c r="I4643" s="107">
        <v>0.66786476523315197</v>
      </c>
      <c r="J4643" s="108">
        <v>1.607976308749621E-3</v>
      </c>
      <c r="K4643" s="108"/>
      <c r="L4643" s="108">
        <v>4.2200000000000001E-2</v>
      </c>
      <c r="O4643" s="105"/>
    </row>
    <row r="4644" spans="2:15" x14ac:dyDescent="0.2">
      <c r="B4644" s="1">
        <f t="shared" si="264"/>
        <v>4629</v>
      </c>
      <c r="C4644" s="106">
        <f ca="1"/>
        <v>0.11392159915457473</v>
      </c>
      <c r="D4644" s="106">
        <f t="shared" ca="1" si="265"/>
        <v>0.67201154044340239</v>
      </c>
      <c r="E4644" s="106">
        <f t="shared" ca="1" si="266"/>
        <v>0</v>
      </c>
      <c r="F4644" s="21">
        <f t="shared" ca="1" si="267"/>
        <v>0</v>
      </c>
      <c r="H4644" s="21">
        <v>4629</v>
      </c>
      <c r="I4644" s="107">
        <v>0.6678770770749074</v>
      </c>
      <c r="J4644" s="108">
        <v>1.5289522801299634E-3</v>
      </c>
      <c r="K4644" s="108"/>
      <c r="L4644" s="108">
        <v>4.6399999999999997E-2</v>
      </c>
      <c r="O4644" s="105"/>
    </row>
    <row r="4645" spans="2:15" x14ac:dyDescent="0.2">
      <c r="B4645" s="1">
        <f t="shared" si="264"/>
        <v>4630</v>
      </c>
      <c r="C4645" s="106">
        <f ca="1"/>
        <v>0.96545592584964901</v>
      </c>
      <c r="D4645" s="106">
        <f t="shared" ca="1" si="265"/>
        <v>0.73089659188619771</v>
      </c>
      <c r="E4645" s="106">
        <f t="shared" ca="1" si="266"/>
        <v>0</v>
      </c>
      <c r="F4645" s="21">
        <f t="shared" ca="1" si="267"/>
        <v>0</v>
      </c>
      <c r="H4645" s="21">
        <v>4630</v>
      </c>
      <c r="I4645" s="107">
        <v>0.66772322236483794</v>
      </c>
      <c r="J4645" s="108">
        <v>1.4214538453345849E-3</v>
      </c>
      <c r="K4645" s="108"/>
      <c r="L4645" s="108">
        <v>4.0399999999999998E-2</v>
      </c>
      <c r="O4645" s="105"/>
    </row>
    <row r="4646" spans="2:15" x14ac:dyDescent="0.2">
      <c r="B4646" s="1">
        <f t="shared" si="264"/>
        <v>4631</v>
      </c>
      <c r="C4646" s="106">
        <f ca="1"/>
        <v>-1.3464673627084949</v>
      </c>
      <c r="D4646" s="106">
        <f t="shared" ca="1" si="265"/>
        <v>0.58185472916099967</v>
      </c>
      <c r="E4646" s="106">
        <f t="shared" ca="1" si="266"/>
        <v>0</v>
      </c>
      <c r="F4646" s="21">
        <f t="shared" ca="1" si="267"/>
        <v>0</v>
      </c>
      <c r="H4646" s="21">
        <v>4631</v>
      </c>
      <c r="I4646" s="107">
        <v>0.66770706514858291</v>
      </c>
      <c r="J4646" s="108">
        <v>1.4298951507975264E-3</v>
      </c>
      <c r="K4646" s="108"/>
      <c r="L4646" s="108">
        <v>3.9600000000000003E-2</v>
      </c>
      <c r="O4646" s="105"/>
    </row>
    <row r="4647" spans="2:15" x14ac:dyDescent="0.2">
      <c r="B4647" s="1">
        <f t="shared" si="264"/>
        <v>4632</v>
      </c>
      <c r="C4647" s="106">
        <f ca="1"/>
        <v>-0.16760444357655366</v>
      </c>
      <c r="D4647" s="106">
        <f t="shared" ca="1" si="265"/>
        <v>0.65360644976711579</v>
      </c>
      <c r="E4647" s="106">
        <f t="shared" ca="1" si="266"/>
        <v>0</v>
      </c>
      <c r="F4647" s="21">
        <f t="shared" ca="1" si="267"/>
        <v>0</v>
      </c>
      <c r="H4647" s="21">
        <v>4632</v>
      </c>
      <c r="I4647" s="107">
        <v>0.66772473419448763</v>
      </c>
      <c r="J4647" s="108">
        <v>1.3481143364663082E-3</v>
      </c>
      <c r="K4647" s="108"/>
      <c r="L4647" s="108">
        <v>4.0599999999999997E-2</v>
      </c>
      <c r="O4647" s="105"/>
    </row>
    <row r="4648" spans="2:15" x14ac:dyDescent="0.2">
      <c r="B4648" s="1">
        <f t="shared" si="264"/>
        <v>4633</v>
      </c>
      <c r="C4648" s="106">
        <f ca="1"/>
        <v>1.4431353564602352</v>
      </c>
      <c r="D4648" s="106">
        <f t="shared" ca="1" si="265"/>
        <v>0.76615992008072797</v>
      </c>
      <c r="E4648" s="106">
        <f t="shared" ca="1" si="266"/>
        <v>0</v>
      </c>
      <c r="F4648" s="21">
        <f t="shared" ca="1" si="267"/>
        <v>0</v>
      </c>
      <c r="H4648" s="21">
        <v>4633</v>
      </c>
      <c r="I4648" s="107">
        <v>0.6677620831647324</v>
      </c>
      <c r="J4648" s="108">
        <v>1.3539303224633381E-3</v>
      </c>
      <c r="K4648" s="108"/>
      <c r="L4648" s="108">
        <v>4.1799999999999997E-2</v>
      </c>
      <c r="O4648" s="105"/>
    </row>
    <row r="4649" spans="2:15" x14ac:dyDescent="0.2">
      <c r="B4649" s="1">
        <f t="shared" si="264"/>
        <v>4634</v>
      </c>
      <c r="C4649" s="106">
        <f ca="1"/>
        <v>0.84120567381358446</v>
      </c>
      <c r="D4649" s="106">
        <f t="shared" ca="1" si="265"/>
        <v>0.72199324218004368</v>
      </c>
      <c r="E4649" s="106">
        <f t="shared" ca="1" si="266"/>
        <v>0</v>
      </c>
      <c r="F4649" s="21">
        <f t="shared" ca="1" si="267"/>
        <v>0</v>
      </c>
      <c r="H4649" s="21">
        <v>4634</v>
      </c>
      <c r="I4649" s="107">
        <v>0.667766280287314</v>
      </c>
      <c r="J4649" s="108">
        <v>1.3509785826042024E-3</v>
      </c>
      <c r="K4649" s="108"/>
      <c r="L4649" s="108">
        <v>4.1599999999999998E-2</v>
      </c>
      <c r="O4649" s="105"/>
    </row>
    <row r="4650" spans="2:15" x14ac:dyDescent="0.2">
      <c r="B4650" s="1">
        <f t="shared" si="264"/>
        <v>4635</v>
      </c>
      <c r="C4650" s="106">
        <f ca="1"/>
        <v>1.3496232500847474</v>
      </c>
      <c r="D4650" s="106">
        <f t="shared" ca="1" si="265"/>
        <v>0.7591252342174909</v>
      </c>
      <c r="E4650" s="106">
        <f t="shared" ca="1" si="266"/>
        <v>0</v>
      </c>
      <c r="F4650" s="21">
        <f t="shared" ca="1" si="267"/>
        <v>0</v>
      </c>
      <c r="H4650" s="21">
        <v>4635</v>
      </c>
      <c r="I4650" s="107">
        <v>0.66759695754562143</v>
      </c>
      <c r="J4650" s="108">
        <v>1.1012829586204238E-3</v>
      </c>
      <c r="K4650" s="108"/>
      <c r="L4650" s="108">
        <v>3.6600000000000001E-2</v>
      </c>
      <c r="O4650" s="105"/>
    </row>
    <row r="4651" spans="2:15" x14ac:dyDescent="0.2">
      <c r="B4651" s="1">
        <f t="shared" si="264"/>
        <v>4636</v>
      </c>
      <c r="C4651" s="106">
        <f ca="1"/>
        <v>-0.4906656621326555</v>
      </c>
      <c r="D4651" s="106">
        <f t="shared" ca="1" si="265"/>
        <v>0.6331062279048093</v>
      </c>
      <c r="E4651" s="106">
        <f t="shared" ca="1" si="266"/>
        <v>0</v>
      </c>
      <c r="F4651" s="21">
        <f t="shared" ca="1" si="267"/>
        <v>0</v>
      </c>
      <c r="H4651" s="21">
        <v>4636</v>
      </c>
      <c r="I4651" s="107">
        <v>0.66782565375875624</v>
      </c>
      <c r="J4651" s="108">
        <v>1.4341069305624887E-3</v>
      </c>
      <c r="K4651" s="108"/>
      <c r="L4651" s="108">
        <v>4.2599999999999999E-2</v>
      </c>
      <c r="O4651" s="105"/>
    </row>
    <row r="4652" spans="2:15" x14ac:dyDescent="0.2">
      <c r="B4652" s="1">
        <f t="shared" si="264"/>
        <v>4637</v>
      </c>
      <c r="C4652" s="106">
        <f ca="1"/>
        <v>-1.4693816548726302</v>
      </c>
      <c r="D4652" s="106">
        <f t="shared" ca="1" si="265"/>
        <v>0.57484266748297641</v>
      </c>
      <c r="E4652" s="106">
        <f t="shared" ca="1" si="266"/>
        <v>0</v>
      </c>
      <c r="F4652" s="21">
        <f t="shared" ca="1" si="267"/>
        <v>0</v>
      </c>
      <c r="H4652" s="21">
        <v>4637</v>
      </c>
      <c r="I4652" s="107">
        <v>0.66773713043864402</v>
      </c>
      <c r="J4652" s="108">
        <v>1.378234185234339E-3</v>
      </c>
      <c r="K4652" s="108"/>
      <c r="L4652" s="108">
        <v>4.1200000000000001E-2</v>
      </c>
      <c r="O4652" s="105"/>
    </row>
    <row r="4653" spans="2:15" x14ac:dyDescent="0.2">
      <c r="B4653" s="1">
        <f t="shared" si="264"/>
        <v>4638</v>
      </c>
      <c r="C4653" s="106">
        <f ca="1"/>
        <v>-0.57166586540250075</v>
      </c>
      <c r="D4653" s="106">
        <f t="shared" ca="1" si="265"/>
        <v>0.62806788466214247</v>
      </c>
      <c r="E4653" s="106">
        <f t="shared" ca="1" si="266"/>
        <v>0</v>
      </c>
      <c r="F4653" s="21">
        <f t="shared" ca="1" si="267"/>
        <v>0</v>
      </c>
      <c r="H4653" s="21">
        <v>4638</v>
      </c>
      <c r="I4653" s="107">
        <v>0.66785215330684544</v>
      </c>
      <c r="J4653" s="108">
        <v>1.4669860115177485E-3</v>
      </c>
      <c r="K4653" s="108"/>
      <c r="L4653" s="108">
        <v>4.0399999999999998E-2</v>
      </c>
      <c r="O4653" s="105"/>
    </row>
    <row r="4654" spans="2:15" x14ac:dyDescent="0.2">
      <c r="B4654" s="1">
        <f t="shared" si="264"/>
        <v>4639</v>
      </c>
      <c r="C4654" s="106">
        <f ca="1"/>
        <v>1.3242148672693692</v>
      </c>
      <c r="D4654" s="106">
        <f t="shared" ca="1" si="265"/>
        <v>0.75722500834543516</v>
      </c>
      <c r="E4654" s="106">
        <f t="shared" ca="1" si="266"/>
        <v>0</v>
      </c>
      <c r="F4654" s="21">
        <f t="shared" ca="1" si="267"/>
        <v>0</v>
      </c>
      <c r="H4654" s="21">
        <v>4639</v>
      </c>
      <c r="I4654" s="107">
        <v>0.66763100491538263</v>
      </c>
      <c r="J4654" s="108">
        <v>1.3185518100158062E-3</v>
      </c>
      <c r="K4654" s="108"/>
      <c r="L4654" s="108">
        <v>4.0599999999999997E-2</v>
      </c>
      <c r="O4654" s="105"/>
    </row>
    <row r="4655" spans="2:15" x14ac:dyDescent="0.2">
      <c r="B4655" s="1">
        <f t="shared" si="264"/>
        <v>4640</v>
      </c>
      <c r="C4655" s="106">
        <f ca="1"/>
        <v>1.0445324329959487</v>
      </c>
      <c r="D4655" s="106">
        <f t="shared" ca="1" si="265"/>
        <v>0.73662003289471056</v>
      </c>
      <c r="E4655" s="106">
        <f t="shared" ca="1" si="266"/>
        <v>0</v>
      </c>
      <c r="F4655" s="21">
        <f t="shared" ca="1" si="267"/>
        <v>0</v>
      </c>
      <c r="H4655" s="21">
        <v>4640</v>
      </c>
      <c r="I4655" s="107">
        <v>0.66779033662278275</v>
      </c>
      <c r="J4655" s="108">
        <v>1.4455810123052935E-3</v>
      </c>
      <c r="K4655" s="108"/>
      <c r="L4655" s="108">
        <v>4.36E-2</v>
      </c>
      <c r="O4655" s="105"/>
    </row>
    <row r="4656" spans="2:15" x14ac:dyDescent="0.2">
      <c r="B4656" s="1">
        <f t="shared" ref="B4656:B4719" si="268">B4655+1</f>
        <v>4641</v>
      </c>
      <c r="C4656" s="106">
        <f ca="1"/>
        <v>-0.66636185027267569</v>
      </c>
      <c r="D4656" s="106">
        <f t="shared" ca="1" si="265"/>
        <v>0.62222845713329866</v>
      </c>
      <c r="E4656" s="106">
        <f t="shared" ca="1" si="266"/>
        <v>0</v>
      </c>
      <c r="F4656" s="21">
        <f t="shared" ca="1" si="267"/>
        <v>0</v>
      </c>
      <c r="H4656" s="21">
        <v>4641</v>
      </c>
      <c r="I4656" s="107">
        <v>0.66774433190981763</v>
      </c>
      <c r="J4656" s="108">
        <v>1.2889839014790503E-3</v>
      </c>
      <c r="K4656" s="108"/>
      <c r="L4656" s="108">
        <v>3.9399999999999998E-2</v>
      </c>
      <c r="O4656" s="105"/>
    </row>
    <row r="4657" spans="2:15" x14ac:dyDescent="0.2">
      <c r="B4657" s="1">
        <f t="shared" si="268"/>
        <v>4642</v>
      </c>
      <c r="C4657" s="106">
        <f ca="1"/>
        <v>0.52789774209987239</v>
      </c>
      <c r="D4657" s="106">
        <f t="shared" ca="1" si="265"/>
        <v>0.70002123425286877</v>
      </c>
      <c r="E4657" s="106">
        <f t="shared" ca="1" si="266"/>
        <v>0</v>
      </c>
      <c r="F4657" s="21">
        <f t="shared" ca="1" si="267"/>
        <v>0</v>
      </c>
      <c r="H4657" s="21">
        <v>4642</v>
      </c>
      <c r="I4657" s="107">
        <v>0.66770657622840157</v>
      </c>
      <c r="J4657" s="108">
        <v>1.2910587340966249E-3</v>
      </c>
      <c r="K4657" s="108"/>
      <c r="L4657" s="108">
        <v>3.9E-2</v>
      </c>
      <c r="O4657" s="105"/>
    </row>
    <row r="4658" spans="2:15" x14ac:dyDescent="0.2">
      <c r="B4658" s="1">
        <f t="shared" si="268"/>
        <v>4643</v>
      </c>
      <c r="C4658" s="106">
        <f ca="1"/>
        <v>1.0809955418121209</v>
      </c>
      <c r="D4658" s="106">
        <f t="shared" ca="1" si="265"/>
        <v>0.73927425573723304</v>
      </c>
      <c r="E4658" s="106">
        <f t="shared" ca="1" si="266"/>
        <v>0</v>
      </c>
      <c r="F4658" s="21">
        <f t="shared" ca="1" si="267"/>
        <v>0</v>
      </c>
      <c r="H4658" s="21">
        <v>4643</v>
      </c>
      <c r="I4658" s="107">
        <v>0.66757521380794005</v>
      </c>
      <c r="J4658" s="108">
        <v>1.2456286857253419E-3</v>
      </c>
      <c r="K4658" s="108"/>
      <c r="L4658" s="108">
        <v>3.78E-2</v>
      </c>
      <c r="O4658" s="105"/>
    </row>
    <row r="4659" spans="2:15" x14ac:dyDescent="0.2">
      <c r="B4659" s="1">
        <f t="shared" si="268"/>
        <v>4644</v>
      </c>
      <c r="C4659" s="106">
        <f ca="1"/>
        <v>0.58564513770833571</v>
      </c>
      <c r="D4659" s="106">
        <f t="shared" ca="1" si="265"/>
        <v>0.70402012957293458</v>
      </c>
      <c r="E4659" s="106">
        <f t="shared" ca="1" si="266"/>
        <v>0</v>
      </c>
      <c r="F4659" s="21">
        <f t="shared" ca="1" si="267"/>
        <v>0</v>
      </c>
      <c r="H4659" s="21">
        <v>4644</v>
      </c>
      <c r="I4659" s="107">
        <v>0.66780409252275408</v>
      </c>
      <c r="J4659" s="108">
        <v>1.416383679864016E-3</v>
      </c>
      <c r="K4659" s="108"/>
      <c r="L4659" s="108">
        <v>4.4400000000000002E-2</v>
      </c>
      <c r="O4659" s="105"/>
    </row>
    <row r="4660" spans="2:15" x14ac:dyDescent="0.2">
      <c r="B4660" s="1">
        <f t="shared" si="268"/>
        <v>4645</v>
      </c>
      <c r="C4660" s="106">
        <f ca="1"/>
        <v>-0.52519720706589301</v>
      </c>
      <c r="D4660" s="106">
        <f t="shared" ca="1" si="265"/>
        <v>0.63095338643631349</v>
      </c>
      <c r="E4660" s="106">
        <f t="shared" ca="1" si="266"/>
        <v>0</v>
      </c>
      <c r="F4660" s="21">
        <f t="shared" ca="1" si="267"/>
        <v>0</v>
      </c>
      <c r="H4660" s="21">
        <v>4645</v>
      </c>
      <c r="I4660" s="107">
        <v>0.66768989292561665</v>
      </c>
      <c r="J4660" s="108">
        <v>1.2989522766102392E-3</v>
      </c>
      <c r="K4660" s="108"/>
      <c r="L4660" s="108">
        <v>4.2200000000000001E-2</v>
      </c>
      <c r="O4660" s="105"/>
    </row>
    <row r="4661" spans="2:15" x14ac:dyDescent="0.2">
      <c r="B4661" s="1">
        <f t="shared" si="268"/>
        <v>4646</v>
      </c>
      <c r="C4661" s="106">
        <f ca="1"/>
        <v>0.84461586227584862</v>
      </c>
      <c r="D4661" s="106">
        <f t="shared" ca="1" si="265"/>
        <v>0.72223615109900485</v>
      </c>
      <c r="E4661" s="106">
        <f t="shared" ca="1" si="266"/>
        <v>0</v>
      </c>
      <c r="F4661" s="21">
        <f t="shared" ca="1" si="267"/>
        <v>0</v>
      </c>
      <c r="H4661" s="21">
        <v>4646</v>
      </c>
      <c r="I4661" s="107">
        <v>0.66769752490729839</v>
      </c>
      <c r="J4661" s="108">
        <v>1.3416179591727812E-3</v>
      </c>
      <c r="K4661" s="108"/>
      <c r="L4661" s="108">
        <v>4.2799999999999998E-2</v>
      </c>
      <c r="O4661" s="105"/>
    </row>
    <row r="4662" spans="2:15" x14ac:dyDescent="0.2">
      <c r="B4662" s="1">
        <f t="shared" si="268"/>
        <v>4647</v>
      </c>
      <c r="C4662" s="106">
        <f ca="1"/>
        <v>-2.8498700878533553E-2</v>
      </c>
      <c r="D4662" s="106">
        <f t="shared" ca="1" si="265"/>
        <v>0.66263677305261726</v>
      </c>
      <c r="E4662" s="106">
        <f t="shared" ca="1" si="266"/>
        <v>0</v>
      </c>
      <c r="F4662" s="21">
        <f t="shared" ca="1" si="267"/>
        <v>0</v>
      </c>
      <c r="H4662" s="21">
        <v>4647</v>
      </c>
      <c r="I4662" s="107">
        <v>0.66781123748723548</v>
      </c>
      <c r="J4662" s="108">
        <v>1.4325717571541208E-3</v>
      </c>
      <c r="K4662" s="108"/>
      <c r="L4662" s="108">
        <v>4.1599999999999998E-2</v>
      </c>
      <c r="O4662" s="105"/>
    </row>
    <row r="4663" spans="2:15" x14ac:dyDescent="0.2">
      <c r="B4663" s="1">
        <f t="shared" si="268"/>
        <v>4648</v>
      </c>
      <c r="C4663" s="106">
        <f ca="1"/>
        <v>0.49241594714017417</v>
      </c>
      <c r="D4663" s="106">
        <f t="shared" ca="1" si="265"/>
        <v>0.69757546258881376</v>
      </c>
      <c r="E4663" s="106">
        <f t="shared" ca="1" si="266"/>
        <v>0</v>
      </c>
      <c r="F4663" s="21">
        <f t="shared" ca="1" si="267"/>
        <v>0</v>
      </c>
      <c r="H4663" s="21">
        <v>4648</v>
      </c>
      <c r="I4663" s="107">
        <v>0.66778220953238865</v>
      </c>
      <c r="J4663" s="108">
        <v>1.484512144459505E-3</v>
      </c>
      <c r="K4663" s="108"/>
      <c r="L4663" s="108">
        <v>4.02E-2</v>
      </c>
      <c r="O4663" s="105"/>
    </row>
    <row r="4664" spans="2:15" x14ac:dyDescent="0.2">
      <c r="B4664" s="1">
        <f t="shared" si="268"/>
        <v>4649</v>
      </c>
      <c r="C4664" s="106">
        <f ca="1"/>
        <v>-1.5818459195177742E-2</v>
      </c>
      <c r="D4664" s="106">
        <f t="shared" ca="1" si="265"/>
        <v>0.66346611493943164</v>
      </c>
      <c r="E4664" s="106">
        <f t="shared" ca="1" si="266"/>
        <v>0</v>
      </c>
      <c r="F4664" s="21">
        <f t="shared" ca="1" si="267"/>
        <v>0</v>
      </c>
      <c r="H4664" s="21">
        <v>4649</v>
      </c>
      <c r="I4664" s="107">
        <v>0.66761854309702218</v>
      </c>
      <c r="J4664" s="108">
        <v>1.2686438587309807E-3</v>
      </c>
      <c r="K4664" s="108"/>
      <c r="L4664" s="108">
        <v>4.0599999999999997E-2</v>
      </c>
      <c r="O4664" s="105"/>
    </row>
    <row r="4665" spans="2:15" x14ac:dyDescent="0.2">
      <c r="B4665" s="1">
        <f t="shared" si="268"/>
        <v>4650</v>
      </c>
      <c r="C4665" s="106">
        <f ca="1"/>
        <v>-0.68244489217376236</v>
      </c>
      <c r="D4665" s="106">
        <f t="shared" ca="1" si="265"/>
        <v>0.62124210380320877</v>
      </c>
      <c r="E4665" s="106">
        <f t="shared" ca="1" si="266"/>
        <v>0</v>
      </c>
      <c r="F4665" s="21">
        <f t="shared" ca="1" si="267"/>
        <v>0</v>
      </c>
      <c r="H4665" s="21">
        <v>4650</v>
      </c>
      <c r="I4665" s="107">
        <v>0.66772671768366521</v>
      </c>
      <c r="J4665" s="108">
        <v>1.2387835702245391E-3</v>
      </c>
      <c r="K4665" s="108"/>
      <c r="L4665" s="108">
        <v>3.9199999999999999E-2</v>
      </c>
      <c r="O4665" s="105"/>
    </row>
    <row r="4666" spans="2:15" x14ac:dyDescent="0.2">
      <c r="B4666" s="1">
        <f t="shared" si="268"/>
        <v>4651</v>
      </c>
      <c r="C4666" s="106">
        <f ca="1"/>
        <v>0.59251932218334169</v>
      </c>
      <c r="D4666" s="106">
        <f t="shared" ca="1" si="265"/>
        <v>0.70449767249370931</v>
      </c>
      <c r="E4666" s="106">
        <f t="shared" ca="1" si="266"/>
        <v>0</v>
      </c>
      <c r="F4666" s="21">
        <f t="shared" ca="1" si="267"/>
        <v>0</v>
      </c>
      <c r="H4666" s="21">
        <v>4651</v>
      </c>
      <c r="I4666" s="107">
        <v>0.66769397576879264</v>
      </c>
      <c r="J4666" s="108">
        <v>1.2883135214208235E-3</v>
      </c>
      <c r="K4666" s="108"/>
      <c r="L4666" s="108">
        <v>4.1599999999999998E-2</v>
      </c>
      <c r="O4666" s="105"/>
    </row>
    <row r="4667" spans="2:15" x14ac:dyDescent="0.2">
      <c r="B4667" s="1">
        <f t="shared" si="268"/>
        <v>4652</v>
      </c>
      <c r="C4667" s="106">
        <f ca="1"/>
        <v>1.2428064394856313</v>
      </c>
      <c r="D4667" s="106">
        <f t="shared" ca="1" si="265"/>
        <v>0.75116866287942263</v>
      </c>
      <c r="E4667" s="106">
        <f t="shared" ca="1" si="266"/>
        <v>0</v>
      </c>
      <c r="F4667" s="21">
        <f t="shared" ca="1" si="267"/>
        <v>0</v>
      </c>
      <c r="H4667" s="21">
        <v>4652</v>
      </c>
      <c r="I4667" s="107">
        <v>0.66772032157511063</v>
      </c>
      <c r="J4667" s="108">
        <v>1.3730182891932123E-3</v>
      </c>
      <c r="K4667" s="108"/>
      <c r="L4667" s="108">
        <v>4.1200000000000001E-2</v>
      </c>
      <c r="O4667" s="105"/>
    </row>
    <row r="4668" spans="2:15" x14ac:dyDescent="0.2">
      <c r="B4668" s="1">
        <f t="shared" si="268"/>
        <v>4653</v>
      </c>
      <c r="C4668" s="106">
        <f ca="1"/>
        <v>-1.3531661238296568</v>
      </c>
      <c r="D4668" s="106">
        <f t="shared" ca="1" si="265"/>
        <v>0.58147038128736139</v>
      </c>
      <c r="E4668" s="106">
        <f t="shared" ca="1" si="266"/>
        <v>0</v>
      </c>
      <c r="F4668" s="21">
        <f t="shared" ca="1" si="267"/>
        <v>0</v>
      </c>
      <c r="H4668" s="21">
        <v>4653</v>
      </c>
      <c r="I4668" s="107">
        <v>0.66757678214199201</v>
      </c>
      <c r="J4668" s="108">
        <v>1.0550268096043429E-3</v>
      </c>
      <c r="K4668" s="108"/>
      <c r="L4668" s="108">
        <v>3.3599999999999998E-2</v>
      </c>
      <c r="O4668" s="105"/>
    </row>
    <row r="4669" spans="2:15" x14ac:dyDescent="0.2">
      <c r="B4669" s="1">
        <f t="shared" si="268"/>
        <v>4654</v>
      </c>
      <c r="C4669" s="106">
        <f ca="1"/>
        <v>0.84120782011265383</v>
      </c>
      <c r="D4669" s="106">
        <f t="shared" ca="1" si="265"/>
        <v>0.72199339503598237</v>
      </c>
      <c r="E4669" s="106">
        <f t="shared" ca="1" si="266"/>
        <v>0</v>
      </c>
      <c r="F4669" s="21">
        <f t="shared" ca="1" si="267"/>
        <v>0</v>
      </c>
      <c r="H4669" s="21">
        <v>4654</v>
      </c>
      <c r="I4669" s="107">
        <v>0.66783865810671272</v>
      </c>
      <c r="J4669" s="108">
        <v>1.3975045092842221E-3</v>
      </c>
      <c r="K4669" s="108"/>
      <c r="L4669" s="108">
        <v>4.36E-2</v>
      </c>
      <c r="O4669" s="105"/>
    </row>
    <row r="4670" spans="2:15" x14ac:dyDescent="0.2">
      <c r="B4670" s="1">
        <f t="shared" si="268"/>
        <v>4655</v>
      </c>
      <c r="C4670" s="106">
        <f ca="1"/>
        <v>6.7210923220183279E-4</v>
      </c>
      <c r="D4670" s="106">
        <f t="shared" ca="1" si="265"/>
        <v>0.6645462213521498</v>
      </c>
      <c r="E4670" s="106">
        <f t="shared" ca="1" si="266"/>
        <v>0</v>
      </c>
      <c r="F4670" s="21">
        <f t="shared" ca="1" si="267"/>
        <v>0</v>
      </c>
      <c r="H4670" s="21">
        <v>4655</v>
      </c>
      <c r="I4670" s="107">
        <v>0.66781634597906037</v>
      </c>
      <c r="J4670" s="108">
        <v>1.4654208232285776E-3</v>
      </c>
      <c r="K4670" s="108"/>
      <c r="L4670" s="108">
        <v>4.48E-2</v>
      </c>
      <c r="O4670" s="105"/>
    </row>
    <row r="4671" spans="2:15" x14ac:dyDescent="0.2">
      <c r="B4671" s="1">
        <f t="shared" si="268"/>
        <v>4656</v>
      </c>
      <c r="C4671" s="106">
        <f ca="1"/>
        <v>-0.81314279688900615</v>
      </c>
      <c r="D4671" s="106">
        <f t="shared" ca="1" si="265"/>
        <v>0.61328432420709189</v>
      </c>
      <c r="E4671" s="106">
        <f t="shared" ca="1" si="266"/>
        <v>0</v>
      </c>
      <c r="F4671" s="21">
        <f t="shared" ca="1" si="267"/>
        <v>0</v>
      </c>
      <c r="H4671" s="21">
        <v>4656</v>
      </c>
      <c r="I4671" s="107">
        <v>0.66774582856255871</v>
      </c>
      <c r="J4671" s="108">
        <v>1.3606187336065228E-3</v>
      </c>
      <c r="K4671" s="108"/>
      <c r="L4671" s="108">
        <v>4.2799999999999998E-2</v>
      </c>
      <c r="O4671" s="105"/>
    </row>
    <row r="4672" spans="2:15" x14ac:dyDescent="0.2">
      <c r="B4672" s="1">
        <f t="shared" si="268"/>
        <v>4657</v>
      </c>
      <c r="C4672" s="106">
        <f ca="1"/>
        <v>-1.6596449579233046</v>
      </c>
      <c r="D4672" s="106">
        <f t="shared" ca="1" si="265"/>
        <v>0.56415472959691404</v>
      </c>
      <c r="E4672" s="106">
        <f t="shared" ca="1" si="266"/>
        <v>0</v>
      </c>
      <c r="F4672" s="21">
        <f t="shared" ca="1" si="267"/>
        <v>0</v>
      </c>
      <c r="H4672" s="21">
        <v>4657</v>
      </c>
      <c r="I4672" s="107">
        <v>0.66779006008459885</v>
      </c>
      <c r="J4672" s="108">
        <v>1.4466163751029083E-3</v>
      </c>
      <c r="K4672" s="108"/>
      <c r="L4672" s="108">
        <v>4.4400000000000002E-2</v>
      </c>
      <c r="O4672" s="105"/>
    </row>
    <row r="4673" spans="2:15" x14ac:dyDescent="0.2">
      <c r="B4673" s="1">
        <f t="shared" si="268"/>
        <v>4658</v>
      </c>
      <c r="C4673" s="106">
        <f ca="1"/>
        <v>1.2553176134625363</v>
      </c>
      <c r="D4673" s="106">
        <f t="shared" ca="1" si="265"/>
        <v>0.75209626650801997</v>
      </c>
      <c r="E4673" s="106">
        <f t="shared" ca="1" si="266"/>
        <v>0</v>
      </c>
      <c r="F4673" s="21">
        <f t="shared" ca="1" si="267"/>
        <v>0</v>
      </c>
      <c r="H4673" s="21">
        <v>4658</v>
      </c>
      <c r="I4673" s="107">
        <v>0.66773853925539839</v>
      </c>
      <c r="J4673" s="108">
        <v>1.4134263861349348E-3</v>
      </c>
      <c r="K4673" s="108"/>
      <c r="L4673" s="108">
        <v>4.0800000000000003E-2</v>
      </c>
      <c r="O4673" s="105"/>
    </row>
    <row r="4674" spans="2:15" x14ac:dyDescent="0.2">
      <c r="B4674" s="1">
        <f t="shared" si="268"/>
        <v>4659</v>
      </c>
      <c r="C4674" s="106">
        <f ca="1"/>
        <v>-2.7644539197511722</v>
      </c>
      <c r="D4674" s="106">
        <f t="shared" ca="1" si="265"/>
        <v>0.5059049149024627</v>
      </c>
      <c r="E4674" s="106">
        <f t="shared" ca="1" si="266"/>
        <v>0</v>
      </c>
      <c r="F4674" s="21">
        <f t="shared" ca="1" si="267"/>
        <v>0</v>
      </c>
      <c r="H4674" s="21">
        <v>4659</v>
      </c>
      <c r="I4674" s="107">
        <v>0.66780284854160255</v>
      </c>
      <c r="J4674" s="108">
        <v>1.3792486158577051E-3</v>
      </c>
      <c r="K4674" s="108"/>
      <c r="L4674" s="108">
        <v>4.36E-2</v>
      </c>
      <c r="O4674" s="105"/>
    </row>
    <row r="4675" spans="2:15" x14ac:dyDescent="0.2">
      <c r="B4675" s="1">
        <f t="shared" si="268"/>
        <v>4660</v>
      </c>
      <c r="C4675" s="106">
        <f ca="1"/>
        <v>-0.83495125680572813</v>
      </c>
      <c r="D4675" s="106">
        <f t="shared" ca="1" si="265"/>
        <v>0.61196643556423513</v>
      </c>
      <c r="E4675" s="106">
        <f t="shared" ca="1" si="266"/>
        <v>0</v>
      </c>
      <c r="F4675" s="21">
        <f t="shared" ca="1" si="267"/>
        <v>0</v>
      </c>
      <c r="H4675" s="21">
        <v>4660</v>
      </c>
      <c r="I4675" s="107">
        <v>0.66781414889072865</v>
      </c>
      <c r="J4675" s="108">
        <v>1.464491044574575E-3</v>
      </c>
      <c r="K4675" s="108"/>
      <c r="L4675" s="108">
        <v>4.36E-2</v>
      </c>
      <c r="O4675" s="105"/>
    </row>
    <row r="4676" spans="2:15" x14ac:dyDescent="0.2">
      <c r="B4676" s="1">
        <f t="shared" si="268"/>
        <v>4661</v>
      </c>
      <c r="C4676" s="106">
        <f ca="1"/>
        <v>0.1542334692326606</v>
      </c>
      <c r="D4676" s="106">
        <f t="shared" ca="1" si="265"/>
        <v>0.67468905802664381</v>
      </c>
      <c r="E4676" s="106">
        <f t="shared" ca="1" si="266"/>
        <v>0</v>
      </c>
      <c r="F4676" s="21">
        <f t="shared" ca="1" si="267"/>
        <v>0</v>
      </c>
      <c r="H4676" s="21">
        <v>4661</v>
      </c>
      <c r="I4676" s="107">
        <v>0.66768277053071701</v>
      </c>
      <c r="J4676" s="108">
        <v>1.3367056760403243E-3</v>
      </c>
      <c r="K4676" s="108"/>
      <c r="L4676" s="108">
        <v>4.24E-2</v>
      </c>
      <c r="O4676" s="105"/>
    </row>
    <row r="4677" spans="2:15" x14ac:dyDescent="0.2">
      <c r="B4677" s="1">
        <f t="shared" si="268"/>
        <v>4662</v>
      </c>
      <c r="C4677" s="106">
        <f ca="1"/>
        <v>1.9195311885027269</v>
      </c>
      <c r="D4677" s="106">
        <f t="shared" ca="1" si="265"/>
        <v>0.80302290463075365</v>
      </c>
      <c r="E4677" s="106">
        <f t="shared" ca="1" si="266"/>
        <v>1.4822904630753642E-2</v>
      </c>
      <c r="F4677" s="21">
        <f t="shared" ca="1" si="267"/>
        <v>1</v>
      </c>
      <c r="H4677" s="21">
        <v>4662</v>
      </c>
      <c r="I4677" s="107">
        <v>0.66784963666526831</v>
      </c>
      <c r="J4677" s="108">
        <v>1.5556813465354539E-3</v>
      </c>
      <c r="K4677" s="108"/>
      <c r="L4677" s="108">
        <v>4.4600000000000001E-2</v>
      </c>
      <c r="O4677" s="105"/>
    </row>
    <row r="4678" spans="2:15" x14ac:dyDescent="0.2">
      <c r="B4678" s="1">
        <f t="shared" si="268"/>
        <v>4663</v>
      </c>
      <c r="C4678" s="106">
        <f ca="1"/>
        <v>0.88525419712262876</v>
      </c>
      <c r="D4678" s="106">
        <f t="shared" ca="1" si="265"/>
        <v>0.72513713139821101</v>
      </c>
      <c r="E4678" s="106">
        <f t="shared" ca="1" si="266"/>
        <v>0</v>
      </c>
      <c r="F4678" s="21">
        <f t="shared" ca="1" si="267"/>
        <v>0</v>
      </c>
      <c r="H4678" s="21">
        <v>4663</v>
      </c>
      <c r="I4678" s="107">
        <v>0.66790765150434495</v>
      </c>
      <c r="J4678" s="108">
        <v>1.4801474492913737E-3</v>
      </c>
      <c r="K4678" s="108"/>
      <c r="L4678" s="108">
        <v>4.4600000000000001E-2</v>
      </c>
      <c r="O4678" s="105"/>
    </row>
    <row r="4679" spans="2:15" x14ac:dyDescent="0.2">
      <c r="B4679" s="1">
        <f t="shared" si="268"/>
        <v>4664</v>
      </c>
      <c r="C4679" s="106">
        <f ca="1"/>
        <v>0.78887232184002398</v>
      </c>
      <c r="D4679" s="106">
        <f t="shared" ca="1" si="265"/>
        <v>0.71827574965778285</v>
      </c>
      <c r="E4679" s="106">
        <f t="shared" ca="1" si="266"/>
        <v>0</v>
      </c>
      <c r="F4679" s="21">
        <f t="shared" ca="1" si="267"/>
        <v>0</v>
      </c>
      <c r="H4679" s="21">
        <v>4664</v>
      </c>
      <c r="I4679" s="107">
        <v>0.66774836535488213</v>
      </c>
      <c r="J4679" s="108">
        <v>1.35294638618117E-3</v>
      </c>
      <c r="K4679" s="108"/>
      <c r="L4679" s="108">
        <v>4.1799999999999997E-2</v>
      </c>
      <c r="O4679" s="105"/>
    </row>
    <row r="4680" spans="2:15" x14ac:dyDescent="0.2">
      <c r="B4680" s="1">
        <f t="shared" si="268"/>
        <v>4665</v>
      </c>
      <c r="C4680" s="106">
        <f ca="1"/>
        <v>-1.4981817462358151</v>
      </c>
      <c r="D4680" s="106">
        <f t="shared" ca="1" si="265"/>
        <v>0.57321192637495177</v>
      </c>
      <c r="E4680" s="106">
        <f t="shared" ca="1" si="266"/>
        <v>0</v>
      </c>
      <c r="F4680" s="21">
        <f t="shared" ca="1" si="267"/>
        <v>0</v>
      </c>
      <c r="H4680" s="21">
        <v>4665</v>
      </c>
      <c r="I4680" s="107">
        <v>0.66777746950926453</v>
      </c>
      <c r="J4680" s="108">
        <v>1.380494686305346E-3</v>
      </c>
      <c r="K4680" s="108"/>
      <c r="L4680" s="108">
        <v>4.1799999999999997E-2</v>
      </c>
      <c r="O4680" s="105"/>
    </row>
    <row r="4681" spans="2:15" x14ac:dyDescent="0.2">
      <c r="B4681" s="1">
        <f t="shared" si="268"/>
        <v>4666</v>
      </c>
      <c r="C4681" s="106">
        <f ca="1"/>
        <v>-0.68974705097771694</v>
      </c>
      <c r="D4681" s="106">
        <f t="shared" ca="1" si="265"/>
        <v>0.62079478757385886</v>
      </c>
      <c r="E4681" s="106">
        <f t="shared" ca="1" si="266"/>
        <v>0</v>
      </c>
      <c r="F4681" s="21">
        <f t="shared" ca="1" si="267"/>
        <v>0</v>
      </c>
      <c r="H4681" s="21">
        <v>4666</v>
      </c>
      <c r="I4681" s="107">
        <v>0.66769832807964702</v>
      </c>
      <c r="J4681" s="108">
        <v>1.201358101610874E-3</v>
      </c>
      <c r="K4681" s="108"/>
      <c r="L4681" s="108">
        <v>3.8199999999999998E-2</v>
      </c>
      <c r="O4681" s="105"/>
    </row>
    <row r="4682" spans="2:15" x14ac:dyDescent="0.2">
      <c r="B4682" s="1">
        <f t="shared" si="268"/>
        <v>4667</v>
      </c>
      <c r="C4682" s="106">
        <f ca="1"/>
        <v>0.30356715176906934</v>
      </c>
      <c r="D4682" s="106">
        <f t="shared" ca="1" si="265"/>
        <v>0.68470110665624384</v>
      </c>
      <c r="E4682" s="106">
        <f t="shared" ca="1" si="266"/>
        <v>0</v>
      </c>
      <c r="F4682" s="21">
        <f t="shared" ca="1" si="267"/>
        <v>0</v>
      </c>
      <c r="H4682" s="21">
        <v>4667</v>
      </c>
      <c r="I4682" s="107">
        <v>0.66773532762094745</v>
      </c>
      <c r="J4682" s="108">
        <v>1.4134579778001298E-3</v>
      </c>
      <c r="K4682" s="108"/>
      <c r="L4682" s="108">
        <v>4.1200000000000001E-2</v>
      </c>
      <c r="O4682" s="105"/>
    </row>
    <row r="4683" spans="2:15" x14ac:dyDescent="0.2">
      <c r="B4683" s="1">
        <f t="shared" si="268"/>
        <v>4668</v>
      </c>
      <c r="C4683" s="106">
        <f ca="1"/>
        <v>-0.68414426893909441</v>
      </c>
      <c r="D4683" s="106">
        <f t="shared" ca="1" si="265"/>
        <v>0.62113797447683949</v>
      </c>
      <c r="E4683" s="106">
        <f t="shared" ca="1" si="266"/>
        <v>0</v>
      </c>
      <c r="F4683" s="21">
        <f t="shared" ca="1" si="267"/>
        <v>0</v>
      </c>
      <c r="H4683" s="21">
        <v>4668</v>
      </c>
      <c r="I4683" s="107">
        <v>0.66766773823008951</v>
      </c>
      <c r="J4683" s="108">
        <v>1.2573031692601155E-3</v>
      </c>
      <c r="K4683" s="108"/>
      <c r="L4683" s="108">
        <v>3.6799999999999999E-2</v>
      </c>
      <c r="O4683" s="105"/>
    </row>
    <row r="4684" spans="2:15" x14ac:dyDescent="0.2">
      <c r="B4684" s="1">
        <f t="shared" si="268"/>
        <v>4669</v>
      </c>
      <c r="C4684" s="106">
        <f ca="1"/>
        <v>0.46382297156763747</v>
      </c>
      <c r="D4684" s="106">
        <f t="shared" ca="1" si="265"/>
        <v>0.6956107585365523</v>
      </c>
      <c r="E4684" s="106">
        <f t="shared" ca="1" si="266"/>
        <v>0</v>
      </c>
      <c r="F4684" s="21">
        <f t="shared" ca="1" si="267"/>
        <v>0</v>
      </c>
      <c r="H4684" s="21">
        <v>4669</v>
      </c>
      <c r="I4684" s="107">
        <v>0.66768820413457552</v>
      </c>
      <c r="J4684" s="108">
        <v>1.2537517078468137E-3</v>
      </c>
      <c r="K4684" s="108"/>
      <c r="L4684" s="108">
        <v>4.24E-2</v>
      </c>
      <c r="O4684" s="105"/>
    </row>
    <row r="4685" spans="2:15" x14ac:dyDescent="0.2">
      <c r="B4685" s="1">
        <f t="shared" si="268"/>
        <v>4670</v>
      </c>
      <c r="C4685" s="106">
        <f ca="1"/>
        <v>-1.7277192753071042</v>
      </c>
      <c r="D4685" s="106">
        <f t="shared" ca="1" si="265"/>
        <v>0.56037915448815756</v>
      </c>
      <c r="E4685" s="106">
        <f t="shared" ca="1" si="266"/>
        <v>0</v>
      </c>
      <c r="F4685" s="21">
        <f t="shared" ca="1" si="267"/>
        <v>0</v>
      </c>
      <c r="H4685" s="21">
        <v>4670</v>
      </c>
      <c r="I4685" s="107">
        <v>0.66779689808086529</v>
      </c>
      <c r="J4685" s="108">
        <v>1.4227540467290863E-3</v>
      </c>
      <c r="K4685" s="108"/>
      <c r="L4685" s="108">
        <v>4.3999999999999997E-2</v>
      </c>
      <c r="O4685" s="105"/>
    </row>
    <row r="4686" spans="2:15" x14ac:dyDescent="0.2">
      <c r="B4686" s="1">
        <f t="shared" si="268"/>
        <v>4671</v>
      </c>
      <c r="C4686" s="106">
        <f ca="1"/>
        <v>0.99123545866985685</v>
      </c>
      <c r="D4686" s="106">
        <f t="shared" ca="1" si="265"/>
        <v>0.73275757394774821</v>
      </c>
      <c r="E4686" s="106">
        <f t="shared" ca="1" si="266"/>
        <v>0</v>
      </c>
      <c r="F4686" s="21">
        <f t="shared" ca="1" si="267"/>
        <v>0</v>
      </c>
      <c r="H4686" s="21">
        <v>4671</v>
      </c>
      <c r="I4686" s="107">
        <v>0.66780522619174421</v>
      </c>
      <c r="J4686" s="108">
        <v>1.4736800367615092E-3</v>
      </c>
      <c r="K4686" s="108"/>
      <c r="L4686" s="108">
        <v>4.3400000000000001E-2</v>
      </c>
      <c r="O4686" s="105"/>
    </row>
    <row r="4687" spans="2:15" x14ac:dyDescent="0.2">
      <c r="B4687" s="1">
        <f t="shared" si="268"/>
        <v>4672</v>
      </c>
      <c r="C4687" s="106">
        <f ca="1"/>
        <v>0.67153669380499204</v>
      </c>
      <c r="D4687" s="106">
        <f t="shared" ca="1" si="265"/>
        <v>0.71001024950815073</v>
      </c>
      <c r="E4687" s="106">
        <f t="shared" ca="1" si="266"/>
        <v>0</v>
      </c>
      <c r="F4687" s="21">
        <f t="shared" ca="1" si="267"/>
        <v>0</v>
      </c>
      <c r="H4687" s="21">
        <v>4672</v>
      </c>
      <c r="I4687" s="107">
        <v>0.66775403088730334</v>
      </c>
      <c r="J4687" s="108">
        <v>1.3859628268839453E-3</v>
      </c>
      <c r="K4687" s="108"/>
      <c r="L4687" s="108">
        <v>4.4600000000000001E-2</v>
      </c>
      <c r="O4687" s="105"/>
    </row>
    <row r="4688" spans="2:15" x14ac:dyDescent="0.2">
      <c r="B4688" s="1">
        <f t="shared" si="268"/>
        <v>4673</v>
      </c>
      <c r="C4688" s="106">
        <f ca="1"/>
        <v>1.3594404306221357</v>
      </c>
      <c r="D4688" s="106">
        <f t="shared" ref="D4688:D4751" ca="1" si="269">S0*EXP((μ-0.5*σ*σ)*T+σ*SQRT(T)*$C4688)</f>
        <v>0.75986071173999514</v>
      </c>
      <c r="E4688" s="106">
        <f t="shared" ref="E4688:E4751" ca="1" si="270">MAX(0,CP*(D4688-K))</f>
        <v>0</v>
      </c>
      <c r="F4688" s="21">
        <f t="shared" ref="F4688:F4751" ca="1" si="271">(CP*(D4688-K)&gt;0)*1</f>
        <v>0</v>
      </c>
      <c r="H4688" s="21">
        <v>4673</v>
      </c>
      <c r="I4688" s="107">
        <v>0.66784408255788863</v>
      </c>
      <c r="J4688" s="108">
        <v>1.5178966866808779E-3</v>
      </c>
      <c r="K4688" s="108"/>
      <c r="L4688" s="108">
        <v>4.7600000000000003E-2</v>
      </c>
      <c r="O4688" s="105"/>
    </row>
    <row r="4689" spans="2:15" x14ac:dyDescent="0.2">
      <c r="B4689" s="1">
        <f t="shared" si="268"/>
        <v>4674</v>
      </c>
      <c r="C4689" s="106">
        <f ca="1"/>
        <v>0.57076436501250361</v>
      </c>
      <c r="D4689" s="106">
        <f t="shared" ca="1" si="269"/>
        <v>0.70298748525958099</v>
      </c>
      <c r="E4689" s="106">
        <f t="shared" ca="1" si="270"/>
        <v>0</v>
      </c>
      <c r="F4689" s="21">
        <f t="shared" ca="1" si="271"/>
        <v>0</v>
      </c>
      <c r="H4689" s="21">
        <v>4674</v>
      </c>
      <c r="I4689" s="107">
        <v>0.6678944030145002</v>
      </c>
      <c r="J4689" s="108">
        <v>1.6010121665267164E-3</v>
      </c>
      <c r="K4689" s="108"/>
      <c r="L4689" s="108">
        <v>4.5400000000000003E-2</v>
      </c>
      <c r="O4689" s="105"/>
    </row>
    <row r="4690" spans="2:15" x14ac:dyDescent="0.2">
      <c r="B4690" s="1">
        <f t="shared" si="268"/>
        <v>4675</v>
      </c>
      <c r="C4690" s="106">
        <f ca="1"/>
        <v>-1.1902267777974822</v>
      </c>
      <c r="D4690" s="106">
        <f t="shared" ca="1" si="269"/>
        <v>0.5908916036096844</v>
      </c>
      <c r="E4690" s="106">
        <f t="shared" ca="1" si="270"/>
        <v>0</v>
      </c>
      <c r="F4690" s="21">
        <f t="shared" ca="1" si="271"/>
        <v>0</v>
      </c>
      <c r="H4690" s="21">
        <v>4675</v>
      </c>
      <c r="I4690" s="107">
        <v>0.66768290723163137</v>
      </c>
      <c r="J4690" s="108">
        <v>1.3844306204497147E-3</v>
      </c>
      <c r="K4690" s="108"/>
      <c r="L4690" s="108">
        <v>4.1000000000000002E-2</v>
      </c>
      <c r="O4690" s="105"/>
    </row>
    <row r="4691" spans="2:15" x14ac:dyDescent="0.2">
      <c r="B4691" s="1">
        <f t="shared" si="268"/>
        <v>4676</v>
      </c>
      <c r="C4691" s="106">
        <f ca="1"/>
        <v>-1.6897604118668959</v>
      </c>
      <c r="D4691" s="106">
        <f t="shared" ca="1" si="269"/>
        <v>0.56248132235593185</v>
      </c>
      <c r="E4691" s="106">
        <f t="shared" ca="1" si="270"/>
        <v>0</v>
      </c>
      <c r="F4691" s="21">
        <f t="shared" ca="1" si="271"/>
        <v>0</v>
      </c>
      <c r="H4691" s="21">
        <v>4676</v>
      </c>
      <c r="I4691" s="107">
        <v>0.66768626246954421</v>
      </c>
      <c r="J4691" s="108">
        <v>1.2551204100056037E-3</v>
      </c>
      <c r="K4691" s="108"/>
      <c r="L4691" s="108">
        <v>4.0599999999999997E-2</v>
      </c>
      <c r="O4691" s="105"/>
    </row>
    <row r="4692" spans="2:15" x14ac:dyDescent="0.2">
      <c r="B4692" s="1">
        <f t="shared" si="268"/>
        <v>4677</v>
      </c>
      <c r="C4692" s="106">
        <f ca="1"/>
        <v>1.2984594936275933</v>
      </c>
      <c r="D4692" s="106">
        <f t="shared" ca="1" si="269"/>
        <v>0.75530368637625789</v>
      </c>
      <c r="E4692" s="106">
        <f t="shared" ca="1" si="270"/>
        <v>0</v>
      </c>
      <c r="F4692" s="21">
        <f t="shared" ca="1" si="271"/>
        <v>0</v>
      </c>
      <c r="H4692" s="21">
        <v>4677</v>
      </c>
      <c r="I4692" s="107">
        <v>0.66785027755902737</v>
      </c>
      <c r="J4692" s="108">
        <v>1.5024410563417006E-3</v>
      </c>
      <c r="K4692" s="108"/>
      <c r="L4692" s="108">
        <v>4.5600000000000002E-2</v>
      </c>
      <c r="O4692" s="105"/>
    </row>
    <row r="4693" spans="2:15" x14ac:dyDescent="0.2">
      <c r="B4693" s="1">
        <f t="shared" si="268"/>
        <v>4678</v>
      </c>
      <c r="C4693" s="106">
        <f ca="1"/>
        <v>-0.71094154956861411</v>
      </c>
      <c r="D4693" s="106">
        <f t="shared" ca="1" si="269"/>
        <v>0.61949827656554624</v>
      </c>
      <c r="E4693" s="106">
        <f t="shared" ca="1" si="270"/>
        <v>0</v>
      </c>
      <c r="F4693" s="21">
        <f t="shared" ca="1" si="271"/>
        <v>0</v>
      </c>
      <c r="H4693" s="21">
        <v>4678</v>
      </c>
      <c r="I4693" s="107">
        <v>0.66784446366725025</v>
      </c>
      <c r="J4693" s="108">
        <v>1.5401463582867484E-3</v>
      </c>
      <c r="K4693" s="108"/>
      <c r="L4693" s="108">
        <v>4.3999999999999997E-2</v>
      </c>
      <c r="O4693" s="105"/>
    </row>
    <row r="4694" spans="2:15" x14ac:dyDescent="0.2">
      <c r="B4694" s="1">
        <f t="shared" si="268"/>
        <v>4679</v>
      </c>
      <c r="C4694" s="106">
        <f ca="1"/>
        <v>-0.76839787034102303</v>
      </c>
      <c r="D4694" s="106">
        <f t="shared" ca="1" si="269"/>
        <v>0.61599715895335116</v>
      </c>
      <c r="E4694" s="106">
        <f t="shared" ca="1" si="270"/>
        <v>0</v>
      </c>
      <c r="F4694" s="21">
        <f t="shared" ca="1" si="271"/>
        <v>0</v>
      </c>
      <c r="H4694" s="21">
        <v>4679</v>
      </c>
      <c r="I4694" s="107">
        <v>0.66769671823664667</v>
      </c>
      <c r="J4694" s="108">
        <v>1.2213250987675823E-3</v>
      </c>
      <c r="K4694" s="108"/>
      <c r="L4694" s="108">
        <v>3.9399999999999998E-2</v>
      </c>
      <c r="O4694" s="105"/>
    </row>
    <row r="4695" spans="2:15" x14ac:dyDescent="0.2">
      <c r="B4695" s="1">
        <f t="shared" si="268"/>
        <v>4680</v>
      </c>
      <c r="C4695" s="106">
        <f ca="1"/>
        <v>0.75271907766444535</v>
      </c>
      <c r="D4695" s="106">
        <f t="shared" ca="1" si="269"/>
        <v>0.71571879387485027</v>
      </c>
      <c r="E4695" s="106">
        <f t="shared" ca="1" si="270"/>
        <v>0</v>
      </c>
      <c r="F4695" s="21">
        <f t="shared" ca="1" si="271"/>
        <v>0</v>
      </c>
      <c r="H4695" s="21">
        <v>4680</v>
      </c>
      <c r="I4695" s="107">
        <v>0.66775159042140986</v>
      </c>
      <c r="J4695" s="108">
        <v>1.4116930955751323E-3</v>
      </c>
      <c r="K4695" s="108"/>
      <c r="L4695" s="108">
        <v>4.1000000000000002E-2</v>
      </c>
      <c r="O4695" s="105"/>
    </row>
    <row r="4696" spans="2:15" x14ac:dyDescent="0.2">
      <c r="B4696" s="1">
        <f t="shared" si="268"/>
        <v>4681</v>
      </c>
      <c r="C4696" s="106">
        <f ca="1"/>
        <v>-0.51444530668667976</v>
      </c>
      <c r="D4696" s="106">
        <f t="shared" ca="1" si="269"/>
        <v>0.63162291904077006</v>
      </c>
      <c r="E4696" s="106">
        <f t="shared" ca="1" si="270"/>
        <v>0</v>
      </c>
      <c r="F4696" s="21">
        <f t="shared" ca="1" si="271"/>
        <v>0</v>
      </c>
      <c r="H4696" s="21">
        <v>4681</v>
      </c>
      <c r="I4696" s="107">
        <v>0.66768517017754681</v>
      </c>
      <c r="J4696" s="108">
        <v>1.3648965828066081E-3</v>
      </c>
      <c r="K4696" s="108"/>
      <c r="L4696" s="108">
        <v>4.1599999999999998E-2</v>
      </c>
      <c r="O4696" s="105"/>
    </row>
    <row r="4697" spans="2:15" x14ac:dyDescent="0.2">
      <c r="B4697" s="1">
        <f t="shared" si="268"/>
        <v>4682</v>
      </c>
      <c r="C4697" s="106">
        <f ca="1"/>
        <v>1.2262260434086645</v>
      </c>
      <c r="D4697" s="106">
        <f t="shared" ca="1" si="269"/>
        <v>0.74994112143206249</v>
      </c>
      <c r="E4697" s="106">
        <f t="shared" ca="1" si="270"/>
        <v>0</v>
      </c>
      <c r="F4697" s="21">
        <f t="shared" ca="1" si="271"/>
        <v>0</v>
      </c>
      <c r="H4697" s="21">
        <v>4682</v>
      </c>
      <c r="I4697" s="107">
        <v>0.66777779349363586</v>
      </c>
      <c r="J4697" s="108">
        <v>1.5107341620546385E-3</v>
      </c>
      <c r="K4697" s="108"/>
      <c r="L4697" s="108">
        <v>4.2799999999999998E-2</v>
      </c>
      <c r="O4697" s="105"/>
    </row>
    <row r="4698" spans="2:15" x14ac:dyDescent="0.2">
      <c r="B4698" s="1">
        <f t="shared" si="268"/>
        <v>4683</v>
      </c>
      <c r="C4698" s="106">
        <f ca="1"/>
        <v>0.21093036019075842</v>
      </c>
      <c r="D4698" s="106">
        <f t="shared" ca="1" si="269"/>
        <v>0.67847293326096614</v>
      </c>
      <c r="E4698" s="106">
        <f t="shared" ca="1" si="270"/>
        <v>0</v>
      </c>
      <c r="F4698" s="21">
        <f t="shared" ca="1" si="271"/>
        <v>0</v>
      </c>
      <c r="H4698" s="21">
        <v>4683</v>
      </c>
      <c r="I4698" s="107">
        <v>0.66770868832105335</v>
      </c>
      <c r="J4698" s="108">
        <v>1.3719322448671634E-3</v>
      </c>
      <c r="K4698" s="108"/>
      <c r="L4698" s="108">
        <v>3.9399999999999998E-2</v>
      </c>
      <c r="O4698" s="105"/>
    </row>
    <row r="4699" spans="2:15" x14ac:dyDescent="0.2">
      <c r="B4699" s="1">
        <f t="shared" si="268"/>
        <v>4684</v>
      </c>
      <c r="C4699" s="106">
        <f ca="1"/>
        <v>-1.1080571850349359</v>
      </c>
      <c r="D4699" s="106">
        <f t="shared" ca="1" si="269"/>
        <v>0.59570042991045502</v>
      </c>
      <c r="E4699" s="106">
        <f t="shared" ca="1" si="270"/>
        <v>0</v>
      </c>
      <c r="F4699" s="21">
        <f t="shared" ca="1" si="271"/>
        <v>0</v>
      </c>
      <c r="H4699" s="21">
        <v>4684</v>
      </c>
      <c r="I4699" s="107">
        <v>0.66781137683660485</v>
      </c>
      <c r="J4699" s="108">
        <v>1.3076374716903341E-3</v>
      </c>
      <c r="K4699" s="108"/>
      <c r="L4699" s="108">
        <v>4.3799999999999999E-2</v>
      </c>
      <c r="O4699" s="105"/>
    </row>
    <row r="4700" spans="2:15" x14ac:dyDescent="0.2">
      <c r="B4700" s="1">
        <f t="shared" si="268"/>
        <v>4685</v>
      </c>
      <c r="C4700" s="106">
        <f ca="1"/>
        <v>2.3912945124185496</v>
      </c>
      <c r="D4700" s="106">
        <f t="shared" ca="1" si="269"/>
        <v>0.84127499906080561</v>
      </c>
      <c r="E4700" s="106">
        <f t="shared" ca="1" si="270"/>
        <v>5.3074999060805594E-2</v>
      </c>
      <c r="F4700" s="21">
        <f t="shared" ca="1" si="271"/>
        <v>1</v>
      </c>
      <c r="H4700" s="21">
        <v>4685</v>
      </c>
      <c r="I4700" s="107">
        <v>0.66769042595806938</v>
      </c>
      <c r="J4700" s="108">
        <v>1.3433633483301822E-3</v>
      </c>
      <c r="K4700" s="108"/>
      <c r="L4700" s="108">
        <v>4.1000000000000002E-2</v>
      </c>
      <c r="O4700" s="105"/>
    </row>
    <row r="4701" spans="2:15" x14ac:dyDescent="0.2">
      <c r="B4701" s="1">
        <f t="shared" si="268"/>
        <v>4686</v>
      </c>
      <c r="C4701" s="106">
        <f ca="1"/>
        <v>-1.1600239444107452</v>
      </c>
      <c r="D4701" s="106">
        <f t="shared" ca="1" si="269"/>
        <v>0.59265464091678177</v>
      </c>
      <c r="E4701" s="106">
        <f t="shared" ca="1" si="270"/>
        <v>0</v>
      </c>
      <c r="F4701" s="21">
        <f t="shared" ca="1" si="271"/>
        <v>0</v>
      </c>
      <c r="H4701" s="21">
        <v>4686</v>
      </c>
      <c r="I4701" s="107">
        <v>0.66774645564410495</v>
      </c>
      <c r="J4701" s="108">
        <v>1.2861469234033216E-3</v>
      </c>
      <c r="K4701" s="108"/>
      <c r="L4701" s="108">
        <v>4.0399999999999998E-2</v>
      </c>
      <c r="O4701" s="105"/>
    </row>
    <row r="4702" spans="2:15" x14ac:dyDescent="0.2">
      <c r="B4702" s="1">
        <f t="shared" si="268"/>
        <v>4687</v>
      </c>
      <c r="C4702" s="106">
        <f ca="1"/>
        <v>-1.457875964352074</v>
      </c>
      <c r="D4702" s="106">
        <f t="shared" ca="1" si="269"/>
        <v>0.57549544780852302</v>
      </c>
      <c r="E4702" s="106">
        <f t="shared" ca="1" si="270"/>
        <v>0</v>
      </c>
      <c r="F4702" s="21">
        <f t="shared" ca="1" si="271"/>
        <v>0</v>
      </c>
      <c r="H4702" s="21">
        <v>4687</v>
      </c>
      <c r="I4702" s="107">
        <v>0.66778812314333769</v>
      </c>
      <c r="J4702" s="108">
        <v>1.419951216104922E-3</v>
      </c>
      <c r="K4702" s="108"/>
      <c r="L4702" s="108">
        <v>4.3200000000000002E-2</v>
      </c>
      <c r="O4702" s="105"/>
    </row>
    <row r="4703" spans="2:15" x14ac:dyDescent="0.2">
      <c r="B4703" s="1">
        <f t="shared" si="268"/>
        <v>4688</v>
      </c>
      <c r="C4703" s="106">
        <f ca="1"/>
        <v>0.83826620060305623</v>
      </c>
      <c r="D4703" s="106">
        <f t="shared" ca="1" si="269"/>
        <v>0.7217839280347137</v>
      </c>
      <c r="E4703" s="106">
        <f t="shared" ca="1" si="270"/>
        <v>0</v>
      </c>
      <c r="F4703" s="21">
        <f t="shared" ca="1" si="271"/>
        <v>0</v>
      </c>
      <c r="H4703" s="21">
        <v>4688</v>
      </c>
      <c r="I4703" s="107">
        <v>0.66787182454163596</v>
      </c>
      <c r="J4703" s="108">
        <v>1.4994039517260062E-3</v>
      </c>
      <c r="K4703" s="108"/>
      <c r="L4703" s="108">
        <v>4.9200000000000001E-2</v>
      </c>
      <c r="O4703" s="105"/>
    </row>
    <row r="4704" spans="2:15" x14ac:dyDescent="0.2">
      <c r="B4704" s="1">
        <f t="shared" si="268"/>
        <v>4689</v>
      </c>
      <c r="C4704" s="106">
        <f ca="1"/>
        <v>-1.1060763819457136</v>
      </c>
      <c r="D4704" s="106">
        <f t="shared" ca="1" si="269"/>
        <v>0.59581683461898438</v>
      </c>
      <c r="E4704" s="106">
        <f t="shared" ca="1" si="270"/>
        <v>0</v>
      </c>
      <c r="F4704" s="21">
        <f t="shared" ca="1" si="271"/>
        <v>0</v>
      </c>
      <c r="H4704" s="21">
        <v>4689</v>
      </c>
      <c r="I4704" s="107">
        <v>0.66776901339361594</v>
      </c>
      <c r="J4704" s="108">
        <v>1.4889604836065683E-3</v>
      </c>
      <c r="K4704" s="108"/>
      <c r="L4704" s="108">
        <v>4.4999999999999998E-2</v>
      </c>
      <c r="O4704" s="105"/>
    </row>
    <row r="4705" spans="2:15" x14ac:dyDescent="0.2">
      <c r="B4705" s="1">
        <f t="shared" si="268"/>
        <v>4690</v>
      </c>
      <c r="C4705" s="106">
        <f ca="1"/>
        <v>0.14572873708241499</v>
      </c>
      <c r="D4705" s="106">
        <f t="shared" ca="1" si="269"/>
        <v>0.67412328654576992</v>
      </c>
      <c r="E4705" s="106">
        <f t="shared" ca="1" si="270"/>
        <v>0</v>
      </c>
      <c r="F4705" s="21">
        <f t="shared" ca="1" si="271"/>
        <v>0</v>
      </c>
      <c r="H4705" s="21">
        <v>4690</v>
      </c>
      <c r="I4705" s="107">
        <v>0.66770290077391059</v>
      </c>
      <c r="J4705" s="108">
        <v>1.3189553516492153E-3</v>
      </c>
      <c r="K4705" s="108"/>
      <c r="L4705" s="108">
        <v>0.04</v>
      </c>
      <c r="O4705" s="105"/>
    </row>
    <row r="4706" spans="2:15" x14ac:dyDescent="0.2">
      <c r="B4706" s="1">
        <f t="shared" si="268"/>
        <v>4691</v>
      </c>
      <c r="C4706" s="106">
        <f ca="1"/>
        <v>2.7126043734103891</v>
      </c>
      <c r="D4706" s="106">
        <f t="shared" ca="1" si="269"/>
        <v>0.86836577681228788</v>
      </c>
      <c r="E4706" s="106">
        <f t="shared" ca="1" si="270"/>
        <v>8.016577681228787E-2</v>
      </c>
      <c r="F4706" s="21">
        <f t="shared" ca="1" si="271"/>
        <v>1</v>
      </c>
      <c r="H4706" s="21">
        <v>4691</v>
      </c>
      <c r="I4706" s="107">
        <v>0.6677218327042147</v>
      </c>
      <c r="J4706" s="108">
        <v>1.4729932909496486E-3</v>
      </c>
      <c r="K4706" s="108"/>
      <c r="L4706" s="108">
        <v>3.9600000000000003E-2</v>
      </c>
      <c r="O4706" s="105"/>
    </row>
    <row r="4707" spans="2:15" x14ac:dyDescent="0.2">
      <c r="B4707" s="1">
        <f t="shared" si="268"/>
        <v>4692</v>
      </c>
      <c r="C4707" s="106">
        <f ca="1"/>
        <v>0.69794387025237037</v>
      </c>
      <c r="D4707" s="106">
        <f t="shared" ca="1" si="269"/>
        <v>0.71186212269010929</v>
      </c>
      <c r="E4707" s="106">
        <f t="shared" ca="1" si="270"/>
        <v>0</v>
      </c>
      <c r="F4707" s="21">
        <f t="shared" ca="1" si="271"/>
        <v>0</v>
      </c>
      <c r="H4707" s="21">
        <v>4692</v>
      </c>
      <c r="I4707" s="107">
        <v>0.66799641171536173</v>
      </c>
      <c r="J4707" s="108">
        <v>1.6432033609872971E-3</v>
      </c>
      <c r="K4707" s="108"/>
      <c r="L4707" s="108">
        <v>5.0799999999999998E-2</v>
      </c>
      <c r="O4707" s="105"/>
    </row>
    <row r="4708" spans="2:15" x14ac:dyDescent="0.2">
      <c r="B4708" s="1">
        <f t="shared" si="268"/>
        <v>4693</v>
      </c>
      <c r="C4708" s="106">
        <f ca="1"/>
        <v>-0.73516537195358622</v>
      </c>
      <c r="D4708" s="106">
        <f t="shared" ca="1" si="269"/>
        <v>0.61801977117198459</v>
      </c>
      <c r="E4708" s="106">
        <f t="shared" ca="1" si="270"/>
        <v>0</v>
      </c>
      <c r="F4708" s="21">
        <f t="shared" ca="1" si="271"/>
        <v>0</v>
      </c>
      <c r="H4708" s="21">
        <v>4693</v>
      </c>
      <c r="I4708" s="107">
        <v>0.66785670495152138</v>
      </c>
      <c r="J4708" s="108">
        <v>1.4864863563517567E-3</v>
      </c>
      <c r="K4708" s="108"/>
      <c r="L4708" s="108">
        <v>4.3799999999999999E-2</v>
      </c>
      <c r="O4708" s="105"/>
    </row>
    <row r="4709" spans="2:15" x14ac:dyDescent="0.2">
      <c r="B4709" s="1">
        <f t="shared" si="268"/>
        <v>4694</v>
      </c>
      <c r="C4709" s="106">
        <f ca="1"/>
        <v>1.1826516432348997</v>
      </c>
      <c r="D4709" s="106">
        <f t="shared" ca="1" si="269"/>
        <v>0.74672461465972817</v>
      </c>
      <c r="E4709" s="106">
        <f t="shared" ca="1" si="270"/>
        <v>0</v>
      </c>
      <c r="F4709" s="21">
        <f t="shared" ca="1" si="271"/>
        <v>0</v>
      </c>
      <c r="H4709" s="21">
        <v>4694</v>
      </c>
      <c r="I4709" s="107">
        <v>0.66762129359404943</v>
      </c>
      <c r="J4709" s="108">
        <v>1.2105361380606342E-3</v>
      </c>
      <c r="K4709" s="108"/>
      <c r="L4709" s="108">
        <v>3.8199999999999998E-2</v>
      </c>
      <c r="O4709" s="105"/>
    </row>
    <row r="4710" spans="2:15" x14ac:dyDescent="0.2">
      <c r="B4710" s="1">
        <f t="shared" si="268"/>
        <v>4695</v>
      </c>
      <c r="C4710" s="106">
        <f ca="1"/>
        <v>-0.19216280591905066</v>
      </c>
      <c r="D4710" s="106">
        <f t="shared" ca="1" si="269"/>
        <v>0.6520250243804514</v>
      </c>
      <c r="E4710" s="106">
        <f t="shared" ca="1" si="270"/>
        <v>0</v>
      </c>
      <c r="F4710" s="21">
        <f t="shared" ca="1" si="271"/>
        <v>0</v>
      </c>
      <c r="H4710" s="21">
        <v>4695</v>
      </c>
      <c r="I4710" s="107">
        <v>0.66793711559169</v>
      </c>
      <c r="J4710" s="108">
        <v>1.6356120241783235E-3</v>
      </c>
      <c r="K4710" s="108"/>
      <c r="L4710" s="108">
        <v>4.5999999999999999E-2</v>
      </c>
      <c r="O4710" s="105"/>
    </row>
    <row r="4711" spans="2:15" x14ac:dyDescent="0.2">
      <c r="B4711" s="1">
        <f t="shared" si="268"/>
        <v>4696</v>
      </c>
      <c r="C4711" s="106">
        <f ca="1"/>
        <v>-2.212143881511228E-2</v>
      </c>
      <c r="D4711" s="106">
        <f t="shared" ca="1" si="269"/>
        <v>0.66305374352745428</v>
      </c>
      <c r="E4711" s="106">
        <f t="shared" ca="1" si="270"/>
        <v>0</v>
      </c>
      <c r="F4711" s="21">
        <f t="shared" ca="1" si="271"/>
        <v>0</v>
      </c>
      <c r="H4711" s="21">
        <v>4696</v>
      </c>
      <c r="I4711" s="107">
        <v>0.66776010615365644</v>
      </c>
      <c r="J4711" s="108">
        <v>1.5607214098279877E-3</v>
      </c>
      <c r="K4711" s="108"/>
      <c r="L4711" s="108">
        <v>4.2200000000000001E-2</v>
      </c>
      <c r="O4711" s="105"/>
    </row>
    <row r="4712" spans="2:15" x14ac:dyDescent="0.2">
      <c r="B4712" s="1">
        <f t="shared" si="268"/>
        <v>4697</v>
      </c>
      <c r="C4712" s="106">
        <f ca="1"/>
        <v>-0.48933325162541946</v>
      </c>
      <c r="D4712" s="106">
        <f t="shared" ca="1" si="269"/>
        <v>0.63318944299253455</v>
      </c>
      <c r="E4712" s="106">
        <f t="shared" ca="1" si="270"/>
        <v>0</v>
      </c>
      <c r="F4712" s="21">
        <f t="shared" ca="1" si="271"/>
        <v>0</v>
      </c>
      <c r="H4712" s="21">
        <v>4697</v>
      </c>
      <c r="I4712" s="107">
        <v>0.66779301478665987</v>
      </c>
      <c r="J4712" s="108">
        <v>1.4842913951573318E-3</v>
      </c>
      <c r="K4712" s="108"/>
      <c r="L4712" s="108">
        <v>4.5600000000000002E-2</v>
      </c>
      <c r="O4712" s="105"/>
    </row>
    <row r="4713" spans="2:15" x14ac:dyDescent="0.2">
      <c r="B4713" s="1">
        <f t="shared" si="268"/>
        <v>4698</v>
      </c>
      <c r="C4713" s="106">
        <f ca="1"/>
        <v>0.65429447216569103</v>
      </c>
      <c r="D4713" s="106">
        <f t="shared" ca="1" si="269"/>
        <v>0.70880369354204797</v>
      </c>
      <c r="E4713" s="106">
        <f t="shared" ca="1" si="270"/>
        <v>0</v>
      </c>
      <c r="F4713" s="21">
        <f t="shared" ca="1" si="271"/>
        <v>0</v>
      </c>
      <c r="H4713" s="21">
        <v>4698</v>
      </c>
      <c r="I4713" s="107">
        <v>0.66785443564885771</v>
      </c>
      <c r="J4713" s="108">
        <v>1.5150184590208677E-3</v>
      </c>
      <c r="K4713" s="108"/>
      <c r="L4713" s="108">
        <v>4.0800000000000003E-2</v>
      </c>
      <c r="O4713" s="105"/>
    </row>
    <row r="4714" spans="2:15" x14ac:dyDescent="0.2">
      <c r="B4714" s="1">
        <f t="shared" si="268"/>
        <v>4699</v>
      </c>
      <c r="C4714" s="106">
        <f ca="1"/>
        <v>0.37626206306478532</v>
      </c>
      <c r="D4714" s="106">
        <f t="shared" ca="1" si="269"/>
        <v>0.68962855380139354</v>
      </c>
      <c r="E4714" s="106">
        <f t="shared" ca="1" si="270"/>
        <v>0</v>
      </c>
      <c r="F4714" s="21">
        <f t="shared" ca="1" si="271"/>
        <v>0</v>
      </c>
      <c r="H4714" s="21">
        <v>4699</v>
      </c>
      <c r="I4714" s="107">
        <v>0.6675854340725994</v>
      </c>
      <c r="J4714" s="108">
        <v>1.2198114354991484E-3</v>
      </c>
      <c r="K4714" s="108"/>
      <c r="L4714" s="108">
        <v>3.8600000000000002E-2</v>
      </c>
      <c r="O4714" s="105"/>
    </row>
    <row r="4715" spans="2:15" x14ac:dyDescent="0.2">
      <c r="B4715" s="1">
        <f t="shared" si="268"/>
        <v>4700</v>
      </c>
      <c r="C4715" s="106">
        <f ca="1"/>
        <v>-0.11135658717963617</v>
      </c>
      <c r="D4715" s="106">
        <f t="shared" ca="1" si="269"/>
        <v>0.65724297474379578</v>
      </c>
      <c r="E4715" s="106">
        <f t="shared" ca="1" si="270"/>
        <v>0</v>
      </c>
      <c r="F4715" s="21">
        <f t="shared" ca="1" si="271"/>
        <v>0</v>
      </c>
      <c r="H4715" s="21">
        <v>4700</v>
      </c>
      <c r="I4715" s="107">
        <v>0.66768215491128435</v>
      </c>
      <c r="J4715" s="108">
        <v>1.3687191386677086E-3</v>
      </c>
      <c r="K4715" s="108"/>
      <c r="L4715" s="108">
        <v>4.02E-2</v>
      </c>
      <c r="O4715" s="105"/>
    </row>
    <row r="4716" spans="2:15" x14ac:dyDescent="0.2">
      <c r="B4716" s="1">
        <f t="shared" si="268"/>
        <v>4701</v>
      </c>
      <c r="C4716" s="106">
        <f ca="1"/>
        <v>0.35151455381548102</v>
      </c>
      <c r="D4716" s="106">
        <f t="shared" ca="1" si="269"/>
        <v>0.68794713594710832</v>
      </c>
      <c r="E4716" s="106">
        <f t="shared" ca="1" si="270"/>
        <v>0</v>
      </c>
      <c r="F4716" s="21">
        <f t="shared" ca="1" si="271"/>
        <v>0</v>
      </c>
      <c r="H4716" s="21">
        <v>4701</v>
      </c>
      <c r="I4716" s="107">
        <v>0.66788349251814216</v>
      </c>
      <c r="J4716" s="108">
        <v>1.598917377108939E-3</v>
      </c>
      <c r="K4716" s="108"/>
      <c r="L4716" s="108">
        <v>4.4600000000000001E-2</v>
      </c>
      <c r="O4716" s="105"/>
    </row>
    <row r="4717" spans="2:15" x14ac:dyDescent="0.2">
      <c r="B4717" s="1">
        <f t="shared" si="268"/>
        <v>4702</v>
      </c>
      <c r="C4717" s="106">
        <f ca="1"/>
        <v>-9.5177666815300835E-2</v>
      </c>
      <c r="D4717" s="106">
        <f t="shared" ca="1" si="269"/>
        <v>0.65829271290206115</v>
      </c>
      <c r="E4717" s="106">
        <f t="shared" ca="1" si="270"/>
        <v>0</v>
      </c>
      <c r="F4717" s="21">
        <f t="shared" ca="1" si="271"/>
        <v>0</v>
      </c>
      <c r="H4717" s="21">
        <v>4702</v>
      </c>
      <c r="I4717" s="107">
        <v>0.66786925804904518</v>
      </c>
      <c r="J4717" s="108">
        <v>1.6340670077692177E-3</v>
      </c>
      <c r="K4717" s="108"/>
      <c r="L4717" s="108">
        <v>4.6600000000000003E-2</v>
      </c>
      <c r="O4717" s="105"/>
    </row>
    <row r="4718" spans="2:15" x14ac:dyDescent="0.2">
      <c r="B4718" s="1">
        <f t="shared" si="268"/>
        <v>4703</v>
      </c>
      <c r="C4718" s="106">
        <f ca="1"/>
        <v>-0.18667051677007318</v>
      </c>
      <c r="D4718" s="106">
        <f t="shared" ca="1" si="269"/>
        <v>0.65237836552082484</v>
      </c>
      <c r="E4718" s="106">
        <f t="shared" ca="1" si="270"/>
        <v>0</v>
      </c>
      <c r="F4718" s="21">
        <f t="shared" ca="1" si="271"/>
        <v>0</v>
      </c>
      <c r="H4718" s="21">
        <v>4703</v>
      </c>
      <c r="I4718" s="107">
        <v>0.66776594302623993</v>
      </c>
      <c r="J4718" s="108">
        <v>1.3366123774874567E-3</v>
      </c>
      <c r="K4718" s="108"/>
      <c r="L4718" s="108">
        <v>4.1799999999999997E-2</v>
      </c>
      <c r="O4718" s="105"/>
    </row>
    <row r="4719" spans="2:15" x14ac:dyDescent="0.2">
      <c r="B4719" s="1">
        <f t="shared" si="268"/>
        <v>4704</v>
      </c>
      <c r="C4719" s="106">
        <f ca="1"/>
        <v>0.77582113830832711</v>
      </c>
      <c r="D4719" s="106">
        <f t="shared" ca="1" si="269"/>
        <v>0.71735164644663763</v>
      </c>
      <c r="E4719" s="106">
        <f t="shared" ca="1" si="270"/>
        <v>0</v>
      </c>
      <c r="F4719" s="21">
        <f t="shared" ca="1" si="271"/>
        <v>0</v>
      </c>
      <c r="H4719" s="21">
        <v>4704</v>
      </c>
      <c r="I4719" s="107">
        <v>0.66768604474864279</v>
      </c>
      <c r="J4719" s="108">
        <v>1.3118537157957918E-3</v>
      </c>
      <c r="K4719" s="108"/>
      <c r="L4719" s="108">
        <v>4.1000000000000002E-2</v>
      </c>
      <c r="O4719" s="105"/>
    </row>
    <row r="4720" spans="2:15" x14ac:dyDescent="0.2">
      <c r="B4720" s="1">
        <f t="shared" ref="B4720:B4783" si="272">B4719+1</f>
        <v>4705</v>
      </c>
      <c r="C4720" s="106">
        <f ca="1"/>
        <v>-7.9001141816154551E-3</v>
      </c>
      <c r="D4720" s="106">
        <f t="shared" ca="1" si="269"/>
        <v>0.66398453486814402</v>
      </c>
      <c r="E4720" s="106">
        <f t="shared" ca="1" si="270"/>
        <v>0</v>
      </c>
      <c r="F4720" s="21">
        <f t="shared" ca="1" si="271"/>
        <v>0</v>
      </c>
      <c r="H4720" s="21">
        <v>4705</v>
      </c>
      <c r="I4720" s="107">
        <v>0.66751455979303498</v>
      </c>
      <c r="J4720" s="108">
        <v>1.0816825833171652E-3</v>
      </c>
      <c r="K4720" s="108"/>
      <c r="L4720" s="108">
        <v>3.6200000000000003E-2</v>
      </c>
      <c r="O4720" s="105"/>
    </row>
    <row r="4721" spans="2:15" x14ac:dyDescent="0.2">
      <c r="B4721" s="1">
        <f t="shared" si="272"/>
        <v>4706</v>
      </c>
      <c r="C4721" s="106">
        <f ca="1"/>
        <v>-0.94810368033611636</v>
      </c>
      <c r="D4721" s="106">
        <f t="shared" ca="1" si="269"/>
        <v>0.60517394680619774</v>
      </c>
      <c r="E4721" s="106">
        <f t="shared" ca="1" si="270"/>
        <v>0</v>
      </c>
      <c r="F4721" s="21">
        <f t="shared" ca="1" si="271"/>
        <v>0</v>
      </c>
      <c r="H4721" s="21">
        <v>4706</v>
      </c>
      <c r="I4721" s="107">
        <v>0.66765403013214619</v>
      </c>
      <c r="J4721" s="108">
        <v>1.23774953411906E-3</v>
      </c>
      <c r="K4721" s="108"/>
      <c r="L4721" s="108">
        <v>3.5999999999999997E-2</v>
      </c>
      <c r="O4721" s="105"/>
    </row>
    <row r="4722" spans="2:15" x14ac:dyDescent="0.2">
      <c r="B4722" s="1">
        <f t="shared" si="272"/>
        <v>4707</v>
      </c>
      <c r="C4722" s="106">
        <f ca="1"/>
        <v>1.0100838798893865</v>
      </c>
      <c r="D4722" s="106">
        <f t="shared" ca="1" si="269"/>
        <v>0.73412120846356921</v>
      </c>
      <c r="E4722" s="106">
        <f t="shared" ca="1" si="270"/>
        <v>0</v>
      </c>
      <c r="F4722" s="21">
        <f t="shared" ca="1" si="271"/>
        <v>0</v>
      </c>
      <c r="H4722" s="21">
        <v>4707</v>
      </c>
      <c r="I4722" s="107">
        <v>0.66781281106839652</v>
      </c>
      <c r="J4722" s="108">
        <v>1.4345582223077495E-3</v>
      </c>
      <c r="K4722" s="108"/>
      <c r="L4722" s="108">
        <v>4.36E-2</v>
      </c>
      <c r="O4722" s="105"/>
    </row>
    <row r="4723" spans="2:15" x14ac:dyDescent="0.2">
      <c r="B4723" s="1">
        <f t="shared" si="272"/>
        <v>4708</v>
      </c>
      <c r="C4723" s="106">
        <f ca="1"/>
        <v>-0.22508101562851485</v>
      </c>
      <c r="D4723" s="106">
        <f t="shared" ca="1" si="269"/>
        <v>0.64991127026957773</v>
      </c>
      <c r="E4723" s="106">
        <f t="shared" ca="1" si="270"/>
        <v>0</v>
      </c>
      <c r="F4723" s="21">
        <f t="shared" ca="1" si="271"/>
        <v>0</v>
      </c>
      <c r="H4723" s="21">
        <v>4708</v>
      </c>
      <c r="I4723" s="107">
        <v>0.6677310473812772</v>
      </c>
      <c r="J4723" s="108">
        <v>1.3665604069277673E-3</v>
      </c>
      <c r="K4723" s="108"/>
      <c r="L4723" s="108">
        <v>4.1399999999999999E-2</v>
      </c>
      <c r="O4723" s="105"/>
    </row>
    <row r="4724" spans="2:15" x14ac:dyDescent="0.2">
      <c r="B4724" s="1">
        <f t="shared" si="272"/>
        <v>4709</v>
      </c>
      <c r="C4724" s="106">
        <f ca="1"/>
        <v>-1.693752766698267</v>
      </c>
      <c r="D4724" s="106">
        <f t="shared" ca="1" si="269"/>
        <v>0.56225985453741856</v>
      </c>
      <c r="E4724" s="106">
        <f t="shared" ca="1" si="270"/>
        <v>0</v>
      </c>
      <c r="F4724" s="21">
        <f t="shared" ca="1" si="271"/>
        <v>0</v>
      </c>
      <c r="H4724" s="21">
        <v>4709</v>
      </c>
      <c r="I4724" s="107">
        <v>0.66781836303344466</v>
      </c>
      <c r="J4724" s="108">
        <v>1.4867475245859062E-3</v>
      </c>
      <c r="K4724" s="108"/>
      <c r="L4724" s="108">
        <v>4.4600000000000001E-2</v>
      </c>
      <c r="O4724" s="105"/>
    </row>
    <row r="4725" spans="2:15" x14ac:dyDescent="0.2">
      <c r="B4725" s="1">
        <f t="shared" si="272"/>
        <v>4710</v>
      </c>
      <c r="C4725" s="106">
        <f ca="1"/>
        <v>-1.785754286083399</v>
      </c>
      <c r="D4725" s="106">
        <f t="shared" ca="1" si="269"/>
        <v>0.557180344505393</v>
      </c>
      <c r="E4725" s="106">
        <f t="shared" ca="1" si="270"/>
        <v>0</v>
      </c>
      <c r="F4725" s="21">
        <f t="shared" ca="1" si="271"/>
        <v>0</v>
      </c>
      <c r="H4725" s="21">
        <v>4710</v>
      </c>
      <c r="I4725" s="107">
        <v>0.66770114568124783</v>
      </c>
      <c r="J4725" s="108">
        <v>1.2930811576466138E-3</v>
      </c>
      <c r="K4725" s="108"/>
      <c r="L4725" s="108">
        <v>3.7400000000000003E-2</v>
      </c>
      <c r="O4725" s="105"/>
    </row>
    <row r="4726" spans="2:15" x14ac:dyDescent="0.2">
      <c r="B4726" s="1">
        <f t="shared" si="272"/>
        <v>4711</v>
      </c>
      <c r="C4726" s="106">
        <f ca="1"/>
        <v>0.54520064659573841</v>
      </c>
      <c r="D4726" s="106">
        <f t="shared" ca="1" si="269"/>
        <v>0.70121703769972465</v>
      </c>
      <c r="E4726" s="106">
        <f t="shared" ca="1" si="270"/>
        <v>0</v>
      </c>
      <c r="F4726" s="21">
        <f t="shared" ca="1" si="271"/>
        <v>0</v>
      </c>
      <c r="H4726" s="21">
        <v>4711</v>
      </c>
      <c r="I4726" s="107">
        <v>0.6677962495458053</v>
      </c>
      <c r="J4726" s="108">
        <v>1.4538890024050105E-3</v>
      </c>
      <c r="K4726" s="108"/>
      <c r="L4726" s="108">
        <v>4.4400000000000002E-2</v>
      </c>
      <c r="O4726" s="105"/>
    </row>
    <row r="4727" spans="2:15" x14ac:dyDescent="0.2">
      <c r="B4727" s="1">
        <f t="shared" si="272"/>
        <v>4712</v>
      </c>
      <c r="C4727" s="106">
        <f ca="1"/>
        <v>-1.5250335443122487</v>
      </c>
      <c r="D4727" s="106">
        <f t="shared" ca="1" si="269"/>
        <v>0.57169567062473836</v>
      </c>
      <c r="E4727" s="106">
        <f t="shared" ca="1" si="270"/>
        <v>0</v>
      </c>
      <c r="F4727" s="21">
        <f t="shared" ca="1" si="271"/>
        <v>0</v>
      </c>
      <c r="H4727" s="21">
        <v>4712</v>
      </c>
      <c r="I4727" s="107">
        <v>0.66773891499921756</v>
      </c>
      <c r="J4727" s="108">
        <v>1.3180388206489968E-3</v>
      </c>
      <c r="K4727" s="108"/>
      <c r="L4727" s="108">
        <v>3.9199999999999999E-2</v>
      </c>
      <c r="O4727" s="105"/>
    </row>
    <row r="4728" spans="2:15" x14ac:dyDescent="0.2">
      <c r="B4728" s="1">
        <f t="shared" si="272"/>
        <v>4713</v>
      </c>
      <c r="C4728" s="106">
        <f ca="1"/>
        <v>-2.2371776973693964</v>
      </c>
      <c r="D4728" s="106">
        <f t="shared" ca="1" si="269"/>
        <v>0.53291394763282984</v>
      </c>
      <c r="E4728" s="106">
        <f t="shared" ca="1" si="270"/>
        <v>0</v>
      </c>
      <c r="F4728" s="21">
        <f t="shared" ca="1" si="271"/>
        <v>0</v>
      </c>
      <c r="H4728" s="21">
        <v>4713</v>
      </c>
      <c r="I4728" s="107">
        <v>0.66770201907224302</v>
      </c>
      <c r="J4728" s="108">
        <v>1.412450812599008E-3</v>
      </c>
      <c r="K4728" s="108"/>
      <c r="L4728" s="108">
        <v>4.0399999999999998E-2</v>
      </c>
      <c r="O4728" s="105"/>
    </row>
    <row r="4729" spans="2:15" x14ac:dyDescent="0.2">
      <c r="B4729" s="1">
        <f t="shared" si="272"/>
        <v>4714</v>
      </c>
      <c r="C4729" s="106">
        <f ca="1"/>
        <v>-0.2874760197333211</v>
      </c>
      <c r="D4729" s="106">
        <f t="shared" ca="1" si="269"/>
        <v>0.64592352884075166</v>
      </c>
      <c r="E4729" s="106">
        <f t="shared" ca="1" si="270"/>
        <v>0</v>
      </c>
      <c r="F4729" s="21">
        <f t="shared" ca="1" si="271"/>
        <v>0</v>
      </c>
      <c r="H4729" s="21">
        <v>4714</v>
      </c>
      <c r="I4729" s="107">
        <v>0.66774958087284852</v>
      </c>
      <c r="J4729" s="108">
        <v>1.3861414876815508E-3</v>
      </c>
      <c r="K4729" s="108"/>
      <c r="L4729" s="108">
        <v>4.1200000000000001E-2</v>
      </c>
      <c r="O4729" s="105"/>
    </row>
    <row r="4730" spans="2:15" x14ac:dyDescent="0.2">
      <c r="B4730" s="1">
        <f t="shared" si="272"/>
        <v>4715</v>
      </c>
      <c r="C4730" s="106">
        <f ca="1"/>
        <v>-0.51535780919800622</v>
      </c>
      <c r="D4730" s="106">
        <f t="shared" ca="1" si="269"/>
        <v>0.6315660689314615</v>
      </c>
      <c r="E4730" s="106">
        <f t="shared" ca="1" si="270"/>
        <v>0</v>
      </c>
      <c r="F4730" s="21">
        <f t="shared" ca="1" si="271"/>
        <v>0</v>
      </c>
      <c r="H4730" s="21">
        <v>4715</v>
      </c>
      <c r="I4730" s="107">
        <v>0.66757405541427806</v>
      </c>
      <c r="J4730" s="108">
        <v>1.196784602378171E-3</v>
      </c>
      <c r="K4730" s="108"/>
      <c r="L4730" s="108">
        <v>3.8600000000000002E-2</v>
      </c>
      <c r="O4730" s="105"/>
    </row>
    <row r="4731" spans="2:15" x14ac:dyDescent="0.2">
      <c r="B4731" s="1">
        <f t="shared" si="272"/>
        <v>4716</v>
      </c>
      <c r="C4731" s="106">
        <f ca="1"/>
        <v>-0.49171201773739959</v>
      </c>
      <c r="D4731" s="106">
        <f t="shared" ca="1" si="269"/>
        <v>0.63304088591149221</v>
      </c>
      <c r="E4731" s="106">
        <f t="shared" ca="1" si="270"/>
        <v>0</v>
      </c>
      <c r="F4731" s="21">
        <f t="shared" ca="1" si="271"/>
        <v>0</v>
      </c>
      <c r="H4731" s="21">
        <v>4716</v>
      </c>
      <c r="I4731" s="107">
        <v>0.66771005051304</v>
      </c>
      <c r="J4731" s="108">
        <v>1.3498382275473442E-3</v>
      </c>
      <c r="K4731" s="108"/>
      <c r="L4731" s="108">
        <v>4.2799999999999998E-2</v>
      </c>
      <c r="O4731" s="105"/>
    </row>
    <row r="4732" spans="2:15" x14ac:dyDescent="0.2">
      <c r="B4732" s="1">
        <f t="shared" si="272"/>
        <v>4717</v>
      </c>
      <c r="C4732" s="106">
        <f ca="1"/>
        <v>-1.0424671902991243</v>
      </c>
      <c r="D4732" s="106">
        <f t="shared" ca="1" si="269"/>
        <v>0.59956703737635664</v>
      </c>
      <c r="E4732" s="106">
        <f t="shared" ca="1" si="270"/>
        <v>0</v>
      </c>
      <c r="F4732" s="21">
        <f t="shared" ca="1" si="271"/>
        <v>0</v>
      </c>
      <c r="H4732" s="21">
        <v>4717</v>
      </c>
      <c r="I4732" s="107">
        <v>0.66791264980489096</v>
      </c>
      <c r="J4732" s="108">
        <v>1.6016407881874475E-3</v>
      </c>
      <c r="K4732" s="108"/>
      <c r="L4732" s="108">
        <v>4.6199999999999998E-2</v>
      </c>
      <c r="O4732" s="105"/>
    </row>
    <row r="4733" spans="2:15" x14ac:dyDescent="0.2">
      <c r="B4733" s="1">
        <f t="shared" si="272"/>
        <v>4718</v>
      </c>
      <c r="C4733" s="106">
        <f ca="1"/>
        <v>1.0642895911475965</v>
      </c>
      <c r="D4733" s="106">
        <f t="shared" ca="1" si="269"/>
        <v>0.73805701104150589</v>
      </c>
      <c r="E4733" s="106">
        <f t="shared" ca="1" si="270"/>
        <v>0</v>
      </c>
      <c r="F4733" s="21">
        <f t="shared" ca="1" si="271"/>
        <v>0</v>
      </c>
      <c r="H4733" s="21">
        <v>4718</v>
      </c>
      <c r="I4733" s="107">
        <v>0.66765393651334559</v>
      </c>
      <c r="J4733" s="108">
        <v>1.1868752835535903E-3</v>
      </c>
      <c r="K4733" s="108"/>
      <c r="L4733" s="108">
        <v>3.9399999999999998E-2</v>
      </c>
      <c r="O4733" s="105"/>
    </row>
    <row r="4734" spans="2:15" x14ac:dyDescent="0.2">
      <c r="B4734" s="1">
        <f t="shared" si="272"/>
        <v>4719</v>
      </c>
      <c r="C4734" s="106">
        <f ca="1"/>
        <v>-5.4156887957054346E-2</v>
      </c>
      <c r="D4734" s="106">
        <f t="shared" ca="1" si="269"/>
        <v>0.66096178803447525</v>
      </c>
      <c r="E4734" s="106">
        <f t="shared" ca="1" si="270"/>
        <v>0</v>
      </c>
      <c r="F4734" s="21">
        <f t="shared" ca="1" si="271"/>
        <v>0</v>
      </c>
      <c r="H4734" s="21">
        <v>4719</v>
      </c>
      <c r="I4734" s="107">
        <v>0.66767958642942515</v>
      </c>
      <c r="J4734" s="108">
        <v>1.1773664487087596E-3</v>
      </c>
      <c r="K4734" s="108"/>
      <c r="L4734" s="108">
        <v>3.8600000000000002E-2</v>
      </c>
      <c r="O4734" s="105"/>
    </row>
    <row r="4735" spans="2:15" x14ac:dyDescent="0.2">
      <c r="B4735" s="1">
        <f t="shared" si="272"/>
        <v>4720</v>
      </c>
      <c r="C4735" s="106">
        <f ca="1"/>
        <v>-0.28257297194578779</v>
      </c>
      <c r="D4735" s="106">
        <f t="shared" ca="1" si="269"/>
        <v>0.64623600087698818</v>
      </c>
      <c r="E4735" s="106">
        <f t="shared" ca="1" si="270"/>
        <v>0</v>
      </c>
      <c r="F4735" s="21">
        <f t="shared" ca="1" si="271"/>
        <v>0</v>
      </c>
      <c r="H4735" s="21">
        <v>4720</v>
      </c>
      <c r="I4735" s="107">
        <v>0.66787692483861816</v>
      </c>
      <c r="J4735" s="108">
        <v>1.5330777669774107E-3</v>
      </c>
      <c r="K4735" s="108"/>
      <c r="L4735" s="108">
        <v>4.7800000000000002E-2</v>
      </c>
      <c r="O4735" s="105"/>
    </row>
    <row r="4736" spans="2:15" x14ac:dyDescent="0.2">
      <c r="B4736" s="1">
        <f t="shared" si="272"/>
        <v>4721</v>
      </c>
      <c r="C4736" s="106">
        <f ca="1"/>
        <v>-0.61123200012730827</v>
      </c>
      <c r="D4736" s="106">
        <f t="shared" ca="1" si="269"/>
        <v>0.62562140339717176</v>
      </c>
      <c r="E4736" s="106">
        <f t="shared" ca="1" si="270"/>
        <v>0</v>
      </c>
      <c r="F4736" s="21">
        <f t="shared" ca="1" si="271"/>
        <v>0</v>
      </c>
      <c r="H4736" s="21">
        <v>4721</v>
      </c>
      <c r="I4736" s="107">
        <v>0.66767695412043682</v>
      </c>
      <c r="J4736" s="108">
        <v>1.3875308259825262E-3</v>
      </c>
      <c r="K4736" s="108"/>
      <c r="L4736" s="108">
        <v>4.1000000000000002E-2</v>
      </c>
      <c r="O4736" s="105"/>
    </row>
    <row r="4737" spans="2:15" x14ac:dyDescent="0.2">
      <c r="B4737" s="1">
        <f t="shared" si="272"/>
        <v>4722</v>
      </c>
      <c r="C4737" s="106">
        <f ca="1"/>
        <v>0.77198945918833672</v>
      </c>
      <c r="D4737" s="106">
        <f t="shared" ca="1" si="269"/>
        <v>0.71708056608167303</v>
      </c>
      <c r="E4737" s="106">
        <f t="shared" ca="1" si="270"/>
        <v>0</v>
      </c>
      <c r="F4737" s="21">
        <f t="shared" ca="1" si="271"/>
        <v>0</v>
      </c>
      <c r="H4737" s="21">
        <v>4722</v>
      </c>
      <c r="I4737" s="107">
        <v>0.6676649337999534</v>
      </c>
      <c r="J4737" s="108">
        <v>1.2205913567118738E-3</v>
      </c>
      <c r="K4737" s="108"/>
      <c r="L4737" s="108">
        <v>4.0800000000000003E-2</v>
      </c>
      <c r="O4737" s="105"/>
    </row>
    <row r="4738" spans="2:15" x14ac:dyDescent="0.2">
      <c r="B4738" s="1">
        <f t="shared" si="272"/>
        <v>4723</v>
      </c>
      <c r="C4738" s="106">
        <f ca="1"/>
        <v>-1.7004391570448723</v>
      </c>
      <c r="D4738" s="106">
        <f t="shared" ca="1" si="269"/>
        <v>0.56188913583971811</v>
      </c>
      <c r="E4738" s="106">
        <f t="shared" ca="1" si="270"/>
        <v>0</v>
      </c>
      <c r="F4738" s="21">
        <f t="shared" ca="1" si="271"/>
        <v>0</v>
      </c>
      <c r="H4738" s="21">
        <v>4723</v>
      </c>
      <c r="I4738" s="107">
        <v>0.66760076104548405</v>
      </c>
      <c r="J4738" s="108">
        <v>1.2049357222850493E-3</v>
      </c>
      <c r="K4738" s="108"/>
      <c r="L4738" s="108">
        <v>3.7400000000000003E-2</v>
      </c>
      <c r="O4738" s="105"/>
    </row>
    <row r="4739" spans="2:15" x14ac:dyDescent="0.2">
      <c r="B4739" s="1">
        <f t="shared" si="272"/>
        <v>4724</v>
      </c>
      <c r="C4739" s="106">
        <f ca="1"/>
        <v>1.1777885232940246</v>
      </c>
      <c r="D4739" s="106">
        <f t="shared" ca="1" si="269"/>
        <v>0.74636649333148253</v>
      </c>
      <c r="E4739" s="106">
        <f t="shared" ca="1" si="270"/>
        <v>0</v>
      </c>
      <c r="F4739" s="21">
        <f t="shared" ca="1" si="271"/>
        <v>0</v>
      </c>
      <c r="H4739" s="21">
        <v>4724</v>
      </c>
      <c r="I4739" s="107">
        <v>0.66773918435502289</v>
      </c>
      <c r="J4739" s="108">
        <v>1.4067205569749824E-3</v>
      </c>
      <c r="K4739" s="108"/>
      <c r="L4739" s="108">
        <v>4.1599999999999998E-2</v>
      </c>
      <c r="O4739" s="105"/>
    </row>
    <row r="4740" spans="2:15" x14ac:dyDescent="0.2">
      <c r="B4740" s="1">
        <f t="shared" si="272"/>
        <v>4725</v>
      </c>
      <c r="C4740" s="106">
        <f ca="1"/>
        <v>0.86384279344751458</v>
      </c>
      <c r="D4740" s="106">
        <f t="shared" ca="1" si="269"/>
        <v>0.72360722225773355</v>
      </c>
      <c r="E4740" s="106">
        <f t="shared" ca="1" si="270"/>
        <v>0</v>
      </c>
      <c r="F4740" s="21">
        <f t="shared" ca="1" si="271"/>
        <v>0</v>
      </c>
      <c r="H4740" s="21">
        <v>4725</v>
      </c>
      <c r="I4740" s="107">
        <v>0.66782113810694954</v>
      </c>
      <c r="J4740" s="108">
        <v>1.4678432397188525E-3</v>
      </c>
      <c r="K4740" s="108"/>
      <c r="L4740" s="108">
        <v>4.3200000000000002E-2</v>
      </c>
      <c r="O4740" s="105"/>
    </row>
    <row r="4741" spans="2:15" x14ac:dyDescent="0.2">
      <c r="B4741" s="1">
        <f t="shared" si="272"/>
        <v>4726</v>
      </c>
      <c r="C4741" s="106">
        <f ca="1"/>
        <v>-1.8476630263338354</v>
      </c>
      <c r="D4741" s="106">
        <f t="shared" ca="1" si="269"/>
        <v>0.55378814595861403</v>
      </c>
      <c r="E4741" s="106">
        <f t="shared" ca="1" si="270"/>
        <v>0</v>
      </c>
      <c r="F4741" s="21">
        <f t="shared" ca="1" si="271"/>
        <v>0</v>
      </c>
      <c r="H4741" s="21">
        <v>4726</v>
      </c>
      <c r="I4741" s="107">
        <v>0.6677195433305535</v>
      </c>
      <c r="J4741" s="108">
        <v>1.3075649671976804E-3</v>
      </c>
      <c r="K4741" s="108"/>
      <c r="L4741" s="108">
        <v>4.02E-2</v>
      </c>
      <c r="O4741" s="105"/>
    </row>
    <row r="4742" spans="2:15" x14ac:dyDescent="0.2">
      <c r="B4742" s="1">
        <f t="shared" si="272"/>
        <v>4727</v>
      </c>
      <c r="C4742" s="106">
        <f ca="1"/>
        <v>-7.0336738603695048E-2</v>
      </c>
      <c r="D4742" s="106">
        <f t="shared" ca="1" si="269"/>
        <v>0.65990773311330841</v>
      </c>
      <c r="E4742" s="106">
        <f t="shared" ca="1" si="270"/>
        <v>0</v>
      </c>
      <c r="F4742" s="21">
        <f t="shared" ca="1" si="271"/>
        <v>0</v>
      </c>
      <c r="H4742" s="21">
        <v>4727</v>
      </c>
      <c r="I4742" s="107">
        <v>0.66775730925127741</v>
      </c>
      <c r="J4742" s="108">
        <v>1.3303490804287509E-3</v>
      </c>
      <c r="K4742" s="108"/>
      <c r="L4742" s="108">
        <v>3.8199999999999998E-2</v>
      </c>
      <c r="O4742" s="105"/>
    </row>
    <row r="4743" spans="2:15" x14ac:dyDescent="0.2">
      <c r="B4743" s="1">
        <f t="shared" si="272"/>
        <v>4728</v>
      </c>
      <c r="C4743" s="106">
        <f ca="1"/>
        <v>1.3260790910758373</v>
      </c>
      <c r="D4743" s="106">
        <f t="shared" ca="1" si="269"/>
        <v>0.75736426688320935</v>
      </c>
      <c r="E4743" s="106">
        <f t="shared" ca="1" si="270"/>
        <v>0</v>
      </c>
      <c r="F4743" s="21">
        <f t="shared" ca="1" si="271"/>
        <v>0</v>
      </c>
      <c r="H4743" s="21">
        <v>4728</v>
      </c>
      <c r="I4743" s="107">
        <v>0.66772656551603804</v>
      </c>
      <c r="J4743" s="108">
        <v>1.3281609616879451E-3</v>
      </c>
      <c r="K4743" s="108"/>
      <c r="L4743" s="108">
        <v>0.04</v>
      </c>
      <c r="O4743" s="105"/>
    </row>
    <row r="4744" spans="2:15" x14ac:dyDescent="0.2">
      <c r="B4744" s="1">
        <f t="shared" si="272"/>
        <v>4729</v>
      </c>
      <c r="C4744" s="106">
        <f ca="1"/>
        <v>5.9269452023354499E-2</v>
      </c>
      <c r="D4744" s="106">
        <f t="shared" ca="1" si="269"/>
        <v>0.66839850056948824</v>
      </c>
      <c r="E4744" s="106">
        <f t="shared" ca="1" si="270"/>
        <v>0</v>
      </c>
      <c r="F4744" s="21">
        <f t="shared" ca="1" si="271"/>
        <v>0</v>
      </c>
      <c r="H4744" s="21">
        <v>4729</v>
      </c>
      <c r="I4744" s="107">
        <v>0.66772630382696996</v>
      </c>
      <c r="J4744" s="108">
        <v>1.3160311061384256E-3</v>
      </c>
      <c r="K4744" s="108"/>
      <c r="L4744" s="108">
        <v>4.0599999999999997E-2</v>
      </c>
      <c r="O4744" s="105"/>
    </row>
    <row r="4745" spans="2:15" x14ac:dyDescent="0.2">
      <c r="B4745" s="1">
        <f t="shared" si="272"/>
        <v>4730</v>
      </c>
      <c r="C4745" s="106">
        <f ca="1"/>
        <v>1.2037576178032889</v>
      </c>
      <c r="D4745" s="106">
        <f t="shared" ca="1" si="269"/>
        <v>0.74828085597380656</v>
      </c>
      <c r="E4745" s="106">
        <f t="shared" ca="1" si="270"/>
        <v>0</v>
      </c>
      <c r="F4745" s="21">
        <f t="shared" ca="1" si="271"/>
        <v>0</v>
      </c>
      <c r="H4745" s="21">
        <v>4730</v>
      </c>
      <c r="I4745" s="107">
        <v>0.66751247952308657</v>
      </c>
      <c r="J4745" s="108">
        <v>1.0162149481978138E-3</v>
      </c>
      <c r="K4745" s="108"/>
      <c r="L4745" s="108">
        <v>3.5999999999999997E-2</v>
      </c>
      <c r="O4745" s="105"/>
    </row>
    <row r="4746" spans="2:15" x14ac:dyDescent="0.2">
      <c r="B4746" s="1">
        <f t="shared" si="272"/>
        <v>4731</v>
      </c>
      <c r="C4746" s="106">
        <f ca="1"/>
        <v>-0.92334127034095803</v>
      </c>
      <c r="D4746" s="106">
        <f t="shared" ca="1" si="269"/>
        <v>0.60665394963289865</v>
      </c>
      <c r="E4746" s="106">
        <f t="shared" ca="1" si="270"/>
        <v>0</v>
      </c>
      <c r="F4746" s="21">
        <f t="shared" ca="1" si="271"/>
        <v>0</v>
      </c>
      <c r="H4746" s="21">
        <v>4731</v>
      </c>
      <c r="I4746" s="107">
        <v>0.6676310070920799</v>
      </c>
      <c r="J4746" s="108">
        <v>1.2370503227913839E-3</v>
      </c>
      <c r="K4746" s="108"/>
      <c r="L4746" s="108">
        <v>3.78E-2</v>
      </c>
      <c r="O4746" s="105"/>
    </row>
    <row r="4747" spans="2:15" x14ac:dyDescent="0.2">
      <c r="B4747" s="1">
        <f t="shared" si="272"/>
        <v>4732</v>
      </c>
      <c r="C4747" s="106">
        <f ca="1"/>
        <v>-0.83336694623957797</v>
      </c>
      <c r="D4747" s="106">
        <f t="shared" ca="1" si="269"/>
        <v>0.61206208023098152</v>
      </c>
      <c r="E4747" s="106">
        <f t="shared" ca="1" si="270"/>
        <v>0</v>
      </c>
      <c r="F4747" s="21">
        <f t="shared" ca="1" si="271"/>
        <v>0</v>
      </c>
      <c r="H4747" s="21">
        <v>4732</v>
      </c>
      <c r="I4747" s="107">
        <v>0.66762467470374787</v>
      </c>
      <c r="J4747" s="108">
        <v>1.0993680442343647E-3</v>
      </c>
      <c r="K4747" s="108"/>
      <c r="L4747" s="108">
        <v>3.8199999999999998E-2</v>
      </c>
      <c r="O4747" s="105"/>
    </row>
    <row r="4748" spans="2:15" x14ac:dyDescent="0.2">
      <c r="B4748" s="1">
        <f t="shared" si="272"/>
        <v>4733</v>
      </c>
      <c r="C4748" s="106">
        <f ca="1"/>
        <v>-6.6840026925111429E-2</v>
      </c>
      <c r="D4748" s="106">
        <f t="shared" ca="1" si="269"/>
        <v>0.66013538792973891</v>
      </c>
      <c r="E4748" s="106">
        <f t="shared" ca="1" si="270"/>
        <v>0</v>
      </c>
      <c r="F4748" s="21">
        <f t="shared" ca="1" si="271"/>
        <v>0</v>
      </c>
      <c r="H4748" s="21">
        <v>4733</v>
      </c>
      <c r="I4748" s="107">
        <v>0.66764858980759678</v>
      </c>
      <c r="J4748" s="108">
        <v>1.3152335431093145E-3</v>
      </c>
      <c r="K4748" s="108"/>
      <c r="L4748" s="108">
        <v>3.6600000000000001E-2</v>
      </c>
      <c r="O4748" s="105"/>
    </row>
    <row r="4749" spans="2:15" x14ac:dyDescent="0.2">
      <c r="B4749" s="1">
        <f t="shared" si="272"/>
        <v>4734</v>
      </c>
      <c r="C4749" s="106">
        <f ca="1"/>
        <v>1.1444552110830986</v>
      </c>
      <c r="D4749" s="106">
        <f t="shared" ca="1" si="269"/>
        <v>0.74391643902112181</v>
      </c>
      <c r="E4749" s="106">
        <f t="shared" ca="1" si="270"/>
        <v>0</v>
      </c>
      <c r="F4749" s="21">
        <f t="shared" ca="1" si="271"/>
        <v>0</v>
      </c>
      <c r="H4749" s="21">
        <v>4734</v>
      </c>
      <c r="I4749" s="107">
        <v>0.66777775519890792</v>
      </c>
      <c r="J4749" s="108">
        <v>1.4063044433639544E-3</v>
      </c>
      <c r="K4749" s="108"/>
      <c r="L4749" s="108">
        <v>4.0800000000000003E-2</v>
      </c>
      <c r="O4749" s="105"/>
    </row>
    <row r="4750" spans="2:15" x14ac:dyDescent="0.2">
      <c r="B4750" s="1">
        <f t="shared" si="272"/>
        <v>4735</v>
      </c>
      <c r="C4750" s="106">
        <f ca="1"/>
        <v>2.1503676899088249</v>
      </c>
      <c r="D4750" s="106">
        <f t="shared" ca="1" si="269"/>
        <v>0.8215175132692637</v>
      </c>
      <c r="E4750" s="106">
        <f t="shared" ca="1" si="270"/>
        <v>3.3317513269263688E-2</v>
      </c>
      <c r="F4750" s="21">
        <f t="shared" ca="1" si="271"/>
        <v>1</v>
      </c>
      <c r="H4750" s="21">
        <v>4735</v>
      </c>
      <c r="I4750" s="107">
        <v>0.66759540228164349</v>
      </c>
      <c r="J4750" s="108">
        <v>1.3144105871469593E-3</v>
      </c>
      <c r="K4750" s="108"/>
      <c r="L4750" s="108">
        <v>3.9E-2</v>
      </c>
      <c r="O4750" s="105"/>
    </row>
    <row r="4751" spans="2:15" x14ac:dyDescent="0.2">
      <c r="B4751" s="1">
        <f t="shared" si="272"/>
        <v>4736</v>
      </c>
      <c r="C4751" s="106">
        <f ca="1"/>
        <v>-0.49419069752829126</v>
      </c>
      <c r="D4751" s="106">
        <f t="shared" ca="1" si="269"/>
        <v>0.63288612617000783</v>
      </c>
      <c r="E4751" s="106">
        <f t="shared" ca="1" si="270"/>
        <v>0</v>
      </c>
      <c r="F4751" s="21">
        <f t="shared" ca="1" si="271"/>
        <v>0</v>
      </c>
      <c r="H4751" s="21">
        <v>4736</v>
      </c>
      <c r="I4751" s="107">
        <v>0.66773391618504929</v>
      </c>
      <c r="J4751" s="108">
        <v>1.375327257743468E-3</v>
      </c>
      <c r="K4751" s="108"/>
      <c r="L4751" s="108">
        <v>4.1399999999999999E-2</v>
      </c>
      <c r="O4751" s="105"/>
    </row>
    <row r="4752" spans="2:15" x14ac:dyDescent="0.2">
      <c r="B4752" s="1">
        <f t="shared" si="272"/>
        <v>4737</v>
      </c>
      <c r="C4752" s="106">
        <f ca="1"/>
        <v>0.43702221224797427</v>
      </c>
      <c r="D4752" s="106">
        <f t="shared" ref="D4752:D4815" ca="1" si="273">S0*EXP((μ-0.5*σ*σ)*T+σ*SQRT(T)*$C4752)</f>
        <v>0.69377422716184411</v>
      </c>
      <c r="E4752" s="106">
        <f t="shared" ref="E4752:E4815" ca="1" si="274">MAX(0,CP*(D4752-K))</f>
        <v>0</v>
      </c>
      <c r="F4752" s="21">
        <f t="shared" ref="F4752:F4815" ca="1" si="275">(CP*(D4752-K)&gt;0)*1</f>
        <v>0</v>
      </c>
      <c r="H4752" s="21">
        <v>4737</v>
      </c>
      <c r="I4752" s="107">
        <v>0.66779339948530492</v>
      </c>
      <c r="J4752" s="108">
        <v>1.327186460098399E-3</v>
      </c>
      <c r="K4752" s="108"/>
      <c r="L4752" s="108">
        <v>3.9600000000000003E-2</v>
      </c>
      <c r="O4752" s="105"/>
    </row>
    <row r="4753" spans="2:15" x14ac:dyDescent="0.2">
      <c r="B4753" s="1">
        <f t="shared" si="272"/>
        <v>4738</v>
      </c>
      <c r="C4753" s="106">
        <f ca="1"/>
        <v>0.86348349065737418</v>
      </c>
      <c r="D4753" s="106">
        <f t="shared" ca="1" si="273"/>
        <v>0.72358157655008926</v>
      </c>
      <c r="E4753" s="106">
        <f t="shared" ca="1" si="274"/>
        <v>0</v>
      </c>
      <c r="F4753" s="21">
        <f t="shared" ca="1" si="275"/>
        <v>0</v>
      </c>
      <c r="H4753" s="21">
        <v>4738</v>
      </c>
      <c r="I4753" s="107">
        <v>0.66778217220645275</v>
      </c>
      <c r="J4753" s="108">
        <v>1.4819270261950709E-3</v>
      </c>
      <c r="K4753" s="108"/>
      <c r="L4753" s="108">
        <v>4.2599999999999999E-2</v>
      </c>
      <c r="O4753" s="105"/>
    </row>
    <row r="4754" spans="2:15" x14ac:dyDescent="0.2">
      <c r="B4754" s="1">
        <f t="shared" si="272"/>
        <v>4739</v>
      </c>
      <c r="C4754" s="106">
        <f ca="1"/>
        <v>1.8422324916466002</v>
      </c>
      <c r="D4754" s="106">
        <f t="shared" ca="1" si="273"/>
        <v>0.79692326266533908</v>
      </c>
      <c r="E4754" s="106">
        <f t="shared" ca="1" si="274"/>
        <v>8.723262665339071E-3</v>
      </c>
      <c r="F4754" s="21">
        <f t="shared" ca="1" si="275"/>
        <v>1</v>
      </c>
      <c r="H4754" s="21">
        <v>4739</v>
      </c>
      <c r="I4754" s="107">
        <v>0.66760912335043354</v>
      </c>
      <c r="J4754" s="108">
        <v>1.2435419753873717E-3</v>
      </c>
      <c r="K4754" s="108"/>
      <c r="L4754" s="108">
        <v>4.2200000000000001E-2</v>
      </c>
      <c r="O4754" s="105"/>
    </row>
    <row r="4755" spans="2:15" x14ac:dyDescent="0.2">
      <c r="B4755" s="1">
        <f t="shared" si="272"/>
        <v>4740</v>
      </c>
      <c r="C4755" s="106">
        <f ca="1"/>
        <v>1.2014000351215601</v>
      </c>
      <c r="D4755" s="106">
        <f t="shared" ca="1" si="273"/>
        <v>0.74810685969113244</v>
      </c>
      <c r="E4755" s="106">
        <f t="shared" ca="1" si="274"/>
        <v>0</v>
      </c>
      <c r="F4755" s="21">
        <f t="shared" ca="1" si="275"/>
        <v>0</v>
      </c>
      <c r="H4755" s="21">
        <v>4740</v>
      </c>
      <c r="I4755" s="107">
        <v>0.66765451183123259</v>
      </c>
      <c r="J4755" s="108">
        <v>1.1246261146788852E-3</v>
      </c>
      <c r="K4755" s="108"/>
      <c r="L4755" s="108">
        <v>3.6799999999999999E-2</v>
      </c>
      <c r="O4755" s="105"/>
    </row>
    <row r="4756" spans="2:15" x14ac:dyDescent="0.2">
      <c r="B4756" s="1">
        <f t="shared" si="272"/>
        <v>4741</v>
      </c>
      <c r="C4756" s="106">
        <f ca="1"/>
        <v>-0.74883622976894793</v>
      </c>
      <c r="D4756" s="106">
        <f t="shared" ca="1" si="273"/>
        <v>0.6171869260558972</v>
      </c>
      <c r="E4756" s="106">
        <f t="shared" ca="1" si="274"/>
        <v>0</v>
      </c>
      <c r="F4756" s="21">
        <f t="shared" ca="1" si="275"/>
        <v>0</v>
      </c>
      <c r="H4756" s="21">
        <v>4741</v>
      </c>
      <c r="I4756" s="107">
        <v>0.66768520745055748</v>
      </c>
      <c r="J4756" s="108">
        <v>1.2674200301972139E-3</v>
      </c>
      <c r="K4756" s="108"/>
      <c r="L4756" s="108">
        <v>4.02E-2</v>
      </c>
      <c r="O4756" s="105"/>
    </row>
    <row r="4757" spans="2:15" x14ac:dyDescent="0.2">
      <c r="B4757" s="1">
        <f t="shared" si="272"/>
        <v>4742</v>
      </c>
      <c r="C4757" s="106">
        <f ca="1"/>
        <v>0.11477885930425885</v>
      </c>
      <c r="D4757" s="106">
        <f t="shared" ca="1" si="273"/>
        <v>0.67206836900059941</v>
      </c>
      <c r="E4757" s="106">
        <f t="shared" ca="1" si="274"/>
        <v>0</v>
      </c>
      <c r="F4757" s="21">
        <f t="shared" ca="1" si="275"/>
        <v>0</v>
      </c>
      <c r="H4757" s="21">
        <v>4742</v>
      </c>
      <c r="I4757" s="107">
        <v>0.6677219901126229</v>
      </c>
      <c r="J4757" s="108">
        <v>1.3207736119635002E-3</v>
      </c>
      <c r="K4757" s="108"/>
      <c r="L4757" s="108">
        <v>4.02E-2</v>
      </c>
      <c r="O4757" s="105"/>
    </row>
    <row r="4758" spans="2:15" x14ac:dyDescent="0.2">
      <c r="B4758" s="1">
        <f t="shared" si="272"/>
        <v>4743</v>
      </c>
      <c r="C4758" s="106">
        <f ca="1"/>
        <v>0.7343668338914936</v>
      </c>
      <c r="D4758" s="106">
        <f t="shared" ca="1" si="273"/>
        <v>0.71442430759637998</v>
      </c>
      <c r="E4758" s="106">
        <f t="shared" ca="1" si="274"/>
        <v>0</v>
      </c>
      <c r="F4758" s="21">
        <f t="shared" ca="1" si="275"/>
        <v>0</v>
      </c>
      <c r="H4758" s="21">
        <v>4743</v>
      </c>
      <c r="I4758" s="107">
        <v>0.66774904983627925</v>
      </c>
      <c r="J4758" s="108">
        <v>1.426251943529903E-3</v>
      </c>
      <c r="K4758" s="108"/>
      <c r="L4758" s="108">
        <v>4.2599999999999999E-2</v>
      </c>
      <c r="O4758" s="105"/>
    </row>
    <row r="4759" spans="2:15" x14ac:dyDescent="0.2">
      <c r="B4759" s="1">
        <f t="shared" si="272"/>
        <v>4744</v>
      </c>
      <c r="C4759" s="106">
        <f ca="1"/>
        <v>4.6967036701555734E-2</v>
      </c>
      <c r="D4759" s="106">
        <f t="shared" ca="1" si="273"/>
        <v>0.66758787319647805</v>
      </c>
      <c r="E4759" s="106">
        <f t="shared" ca="1" si="274"/>
        <v>0</v>
      </c>
      <c r="F4759" s="21">
        <f t="shared" ca="1" si="275"/>
        <v>0</v>
      </c>
      <c r="H4759" s="21">
        <v>4744</v>
      </c>
      <c r="I4759" s="107">
        <v>0.66781670251719938</v>
      </c>
      <c r="J4759" s="108">
        <v>1.4225938115005694E-3</v>
      </c>
      <c r="K4759" s="108"/>
      <c r="L4759" s="108">
        <v>4.6199999999999998E-2</v>
      </c>
      <c r="O4759" s="105"/>
    </row>
    <row r="4760" spans="2:15" x14ac:dyDescent="0.2">
      <c r="B4760" s="1">
        <f t="shared" si="272"/>
        <v>4745</v>
      </c>
      <c r="C4760" s="106">
        <f ca="1"/>
        <v>0.56787396983835781</v>
      </c>
      <c r="D4760" s="106">
        <f t="shared" ca="1" si="273"/>
        <v>0.70278708337196705</v>
      </c>
      <c r="E4760" s="106">
        <f t="shared" ca="1" si="274"/>
        <v>0</v>
      </c>
      <c r="F4760" s="21">
        <f t="shared" ca="1" si="275"/>
        <v>0</v>
      </c>
      <c r="H4760" s="21">
        <v>4745</v>
      </c>
      <c r="I4760" s="107">
        <v>0.66754337582844925</v>
      </c>
      <c r="J4760" s="108">
        <v>1.3445896139825172E-3</v>
      </c>
      <c r="K4760" s="108"/>
      <c r="L4760" s="108">
        <v>3.7600000000000001E-2</v>
      </c>
      <c r="O4760" s="105"/>
    </row>
    <row r="4761" spans="2:15" x14ac:dyDescent="0.2">
      <c r="B4761" s="1">
        <f t="shared" si="272"/>
        <v>4746</v>
      </c>
      <c r="C4761" s="106">
        <f ca="1"/>
        <v>-0.11195019265896583</v>
      </c>
      <c r="D4761" s="106">
        <f t="shared" ca="1" si="273"/>
        <v>0.657204491644655</v>
      </c>
      <c r="E4761" s="106">
        <f t="shared" ca="1" si="274"/>
        <v>0</v>
      </c>
      <c r="F4761" s="21">
        <f t="shared" ca="1" si="275"/>
        <v>0</v>
      </c>
      <c r="H4761" s="21">
        <v>4746</v>
      </c>
      <c r="I4761" s="107">
        <v>0.66763188288096897</v>
      </c>
      <c r="J4761" s="108">
        <v>1.2595185099939792E-3</v>
      </c>
      <c r="K4761" s="108"/>
      <c r="L4761" s="108">
        <v>4.02E-2</v>
      </c>
      <c r="O4761" s="105"/>
    </row>
    <row r="4762" spans="2:15" x14ac:dyDescent="0.2">
      <c r="B4762" s="1">
        <f t="shared" si="272"/>
        <v>4747</v>
      </c>
      <c r="C4762" s="106">
        <f ca="1"/>
        <v>0.76500260438564283</v>
      </c>
      <c r="D4762" s="106">
        <f t="shared" ca="1" si="273"/>
        <v>0.71658652970976677</v>
      </c>
      <c r="E4762" s="106">
        <f t="shared" ca="1" si="274"/>
        <v>0</v>
      </c>
      <c r="F4762" s="21">
        <f t="shared" ca="1" si="275"/>
        <v>0</v>
      </c>
      <c r="H4762" s="21">
        <v>4747</v>
      </c>
      <c r="I4762" s="107">
        <v>0.66773527930903642</v>
      </c>
      <c r="J4762" s="108">
        <v>1.1790320057677058E-3</v>
      </c>
      <c r="K4762" s="108"/>
      <c r="L4762" s="108">
        <v>4.2999999999999997E-2</v>
      </c>
      <c r="O4762" s="105"/>
    </row>
    <row r="4763" spans="2:15" x14ac:dyDescent="0.2">
      <c r="B4763" s="1">
        <f t="shared" si="272"/>
        <v>4748</v>
      </c>
      <c r="C4763" s="106">
        <f ca="1"/>
        <v>-0.33647120513357476</v>
      </c>
      <c r="D4763" s="106">
        <f t="shared" ca="1" si="273"/>
        <v>0.64280934410482482</v>
      </c>
      <c r="E4763" s="106">
        <f t="shared" ca="1" si="274"/>
        <v>0</v>
      </c>
      <c r="F4763" s="21">
        <f t="shared" ca="1" si="275"/>
        <v>0</v>
      </c>
      <c r="H4763" s="21">
        <v>4748</v>
      </c>
      <c r="I4763" s="107">
        <v>0.66772634661023544</v>
      </c>
      <c r="J4763" s="108">
        <v>1.4589693890523117E-3</v>
      </c>
      <c r="K4763" s="108"/>
      <c r="L4763" s="108">
        <v>4.2200000000000001E-2</v>
      </c>
      <c r="O4763" s="105"/>
    </row>
    <row r="4764" spans="2:15" x14ac:dyDescent="0.2">
      <c r="B4764" s="1">
        <f t="shared" si="272"/>
        <v>4749</v>
      </c>
      <c r="C4764" s="106">
        <f ca="1"/>
        <v>-0.22401965502411791</v>
      </c>
      <c r="D4764" s="106">
        <f t="shared" ca="1" si="273"/>
        <v>0.64997931565315281</v>
      </c>
      <c r="E4764" s="106">
        <f t="shared" ca="1" si="274"/>
        <v>0</v>
      </c>
      <c r="F4764" s="21">
        <f t="shared" ca="1" si="275"/>
        <v>0</v>
      </c>
      <c r="H4764" s="21">
        <v>4749</v>
      </c>
      <c r="I4764" s="107">
        <v>0.66793131697043628</v>
      </c>
      <c r="J4764" s="108">
        <v>1.5456833381853362E-3</v>
      </c>
      <c r="K4764" s="108"/>
      <c r="L4764" s="108">
        <v>4.8000000000000001E-2</v>
      </c>
      <c r="O4764" s="105"/>
    </row>
    <row r="4765" spans="2:15" x14ac:dyDescent="0.2">
      <c r="B4765" s="1">
        <f t="shared" si="272"/>
        <v>4750</v>
      </c>
      <c r="C4765" s="106">
        <f ca="1"/>
        <v>-0.44210485599106497</v>
      </c>
      <c r="D4765" s="106">
        <f t="shared" ca="1" si="273"/>
        <v>0.63614614644983536</v>
      </c>
      <c r="E4765" s="106">
        <f t="shared" ca="1" si="274"/>
        <v>0</v>
      </c>
      <c r="F4765" s="21">
        <f t="shared" ca="1" si="275"/>
        <v>0</v>
      </c>
      <c r="H4765" s="21">
        <v>4750</v>
      </c>
      <c r="I4765" s="107">
        <v>0.6676193356088318</v>
      </c>
      <c r="J4765" s="108">
        <v>1.2689299017294489E-3</v>
      </c>
      <c r="K4765" s="108"/>
      <c r="L4765" s="108">
        <v>3.78E-2</v>
      </c>
      <c r="O4765" s="105"/>
    </row>
    <row r="4766" spans="2:15" x14ac:dyDescent="0.2">
      <c r="B4766" s="1">
        <f t="shared" si="272"/>
        <v>4751</v>
      </c>
      <c r="C4766" s="106">
        <f ca="1"/>
        <v>-0.44190858970289826</v>
      </c>
      <c r="D4766" s="106">
        <f t="shared" ca="1" si="273"/>
        <v>0.63615846233737106</v>
      </c>
      <c r="E4766" s="106">
        <f t="shared" ca="1" si="274"/>
        <v>0</v>
      </c>
      <c r="F4766" s="21">
        <f t="shared" ca="1" si="275"/>
        <v>0</v>
      </c>
      <c r="H4766" s="21">
        <v>4751</v>
      </c>
      <c r="I4766" s="107">
        <v>0.66773850519026035</v>
      </c>
      <c r="J4766" s="108">
        <v>1.3982362259517924E-3</v>
      </c>
      <c r="K4766" s="108"/>
      <c r="L4766" s="108">
        <v>4.24E-2</v>
      </c>
      <c r="O4766" s="105"/>
    </row>
    <row r="4767" spans="2:15" x14ac:dyDescent="0.2">
      <c r="B4767" s="1">
        <f t="shared" si="272"/>
        <v>4752</v>
      </c>
      <c r="C4767" s="106">
        <f ca="1"/>
        <v>-0.98656196614746816</v>
      </c>
      <c r="D4767" s="106">
        <f t="shared" ca="1" si="273"/>
        <v>0.60288252235951234</v>
      </c>
      <c r="E4767" s="106">
        <f t="shared" ca="1" si="274"/>
        <v>0</v>
      </c>
      <c r="F4767" s="21">
        <f t="shared" ca="1" si="275"/>
        <v>0</v>
      </c>
      <c r="H4767" s="21">
        <v>4752</v>
      </c>
      <c r="I4767" s="107">
        <v>0.66779671927059792</v>
      </c>
      <c r="J4767" s="108">
        <v>1.4833905465318172E-3</v>
      </c>
      <c r="K4767" s="108"/>
      <c r="L4767" s="108">
        <v>4.4200000000000003E-2</v>
      </c>
      <c r="O4767" s="105"/>
    </row>
    <row r="4768" spans="2:15" x14ac:dyDescent="0.2">
      <c r="B4768" s="1">
        <f t="shared" si="272"/>
        <v>4753</v>
      </c>
      <c r="C4768" s="106">
        <f ca="1"/>
        <v>2.3488224578675516</v>
      </c>
      <c r="D4768" s="106">
        <f t="shared" ca="1" si="273"/>
        <v>0.83775785033790617</v>
      </c>
      <c r="E4768" s="106">
        <f t="shared" ca="1" si="274"/>
        <v>4.9557850337906162E-2</v>
      </c>
      <c r="F4768" s="21">
        <f t="shared" ca="1" si="275"/>
        <v>1</v>
      </c>
      <c r="H4768" s="21">
        <v>4753</v>
      </c>
      <c r="I4768" s="107">
        <v>0.66780312077812198</v>
      </c>
      <c r="J4768" s="108">
        <v>1.4231916501523201E-3</v>
      </c>
      <c r="K4768" s="108"/>
      <c r="L4768" s="108">
        <v>4.0599999999999997E-2</v>
      </c>
      <c r="O4768" s="105"/>
    </row>
    <row r="4769" spans="2:15" x14ac:dyDescent="0.2">
      <c r="B4769" s="1">
        <f t="shared" si="272"/>
        <v>4754</v>
      </c>
      <c r="C4769" s="106">
        <f ca="1"/>
        <v>0.17830707502731308</v>
      </c>
      <c r="D4769" s="106">
        <f t="shared" ca="1" si="273"/>
        <v>0.67629311379550971</v>
      </c>
      <c r="E4769" s="106">
        <f t="shared" ca="1" si="274"/>
        <v>0</v>
      </c>
      <c r="F4769" s="21">
        <f t="shared" ca="1" si="275"/>
        <v>0</v>
      </c>
      <c r="H4769" s="21">
        <v>4754</v>
      </c>
      <c r="I4769" s="107">
        <v>0.66748897856239942</v>
      </c>
      <c r="J4769" s="108">
        <v>1.0751020311316503E-3</v>
      </c>
      <c r="K4769" s="108"/>
      <c r="L4769" s="108">
        <v>3.4599999999999999E-2</v>
      </c>
      <c r="O4769" s="105"/>
    </row>
    <row r="4770" spans="2:15" x14ac:dyDescent="0.2">
      <c r="B4770" s="1">
        <f t="shared" si="272"/>
        <v>4755</v>
      </c>
      <c r="C4770" s="106">
        <f ca="1"/>
        <v>-0.36806357494864878</v>
      </c>
      <c r="D4770" s="106">
        <f t="shared" ca="1" si="273"/>
        <v>0.6408092668854809</v>
      </c>
      <c r="E4770" s="106">
        <f t="shared" ca="1" si="274"/>
        <v>0</v>
      </c>
      <c r="F4770" s="21">
        <f t="shared" ca="1" si="275"/>
        <v>0</v>
      </c>
      <c r="H4770" s="21">
        <v>4755</v>
      </c>
      <c r="I4770" s="107">
        <v>0.66775327074991264</v>
      </c>
      <c r="J4770" s="108">
        <v>1.5018499681450845E-3</v>
      </c>
      <c r="K4770" s="108"/>
      <c r="L4770" s="108">
        <v>4.0399999999999998E-2</v>
      </c>
      <c r="O4770" s="105"/>
    </row>
    <row r="4771" spans="2:15" x14ac:dyDescent="0.2">
      <c r="B4771" s="1">
        <f t="shared" si="272"/>
        <v>4756</v>
      </c>
      <c r="C4771" s="106">
        <f ca="1"/>
        <v>0.29129071909709603</v>
      </c>
      <c r="D4771" s="106">
        <f t="shared" ca="1" si="273"/>
        <v>0.68387246037451099</v>
      </c>
      <c r="E4771" s="106">
        <f t="shared" ca="1" si="274"/>
        <v>0</v>
      </c>
      <c r="F4771" s="21">
        <f t="shared" ca="1" si="275"/>
        <v>0</v>
      </c>
      <c r="H4771" s="21">
        <v>4756</v>
      </c>
      <c r="I4771" s="107">
        <v>0.66786360229119224</v>
      </c>
      <c r="J4771" s="108">
        <v>1.4949008039985782E-3</v>
      </c>
      <c r="K4771" s="108"/>
      <c r="L4771" s="108">
        <v>4.4600000000000001E-2</v>
      </c>
      <c r="O4771" s="105"/>
    </row>
    <row r="4772" spans="2:15" x14ac:dyDescent="0.2">
      <c r="B4772" s="1">
        <f t="shared" si="272"/>
        <v>4757</v>
      </c>
      <c r="C4772" s="106">
        <f ca="1"/>
        <v>-9.2510848453404293E-2</v>
      </c>
      <c r="D4772" s="106">
        <f t="shared" ca="1" si="273"/>
        <v>0.65846590517373571</v>
      </c>
      <c r="E4772" s="106">
        <f t="shared" ca="1" si="274"/>
        <v>0</v>
      </c>
      <c r="F4772" s="21">
        <f t="shared" ca="1" si="275"/>
        <v>0</v>
      </c>
      <c r="H4772" s="21">
        <v>4757</v>
      </c>
      <c r="I4772" s="107">
        <v>0.66778553948535846</v>
      </c>
      <c r="J4772" s="108">
        <v>1.3653985685963641E-3</v>
      </c>
      <c r="K4772" s="108"/>
      <c r="L4772" s="108">
        <v>4.02E-2</v>
      </c>
      <c r="O4772" s="105"/>
    </row>
    <row r="4773" spans="2:15" x14ac:dyDescent="0.2">
      <c r="B4773" s="1">
        <f t="shared" si="272"/>
        <v>4758</v>
      </c>
      <c r="C4773" s="106">
        <f ca="1"/>
        <v>-0.60126257499995939</v>
      </c>
      <c r="D4773" s="106">
        <f t="shared" ca="1" si="273"/>
        <v>0.62623694041252498</v>
      </c>
      <c r="E4773" s="106">
        <f t="shared" ca="1" si="274"/>
        <v>0</v>
      </c>
      <c r="F4773" s="21">
        <f t="shared" ca="1" si="275"/>
        <v>0</v>
      </c>
      <c r="H4773" s="21">
        <v>4758</v>
      </c>
      <c r="I4773" s="107">
        <v>0.66766394412060304</v>
      </c>
      <c r="J4773" s="108">
        <v>1.3346291959204241E-3</v>
      </c>
      <c r="K4773" s="108"/>
      <c r="L4773" s="108">
        <v>4.0599999999999997E-2</v>
      </c>
      <c r="O4773" s="105"/>
    </row>
    <row r="4774" spans="2:15" x14ac:dyDescent="0.2">
      <c r="B4774" s="1">
        <f t="shared" si="272"/>
        <v>4759</v>
      </c>
      <c r="C4774" s="106">
        <f ca="1"/>
        <v>-1.1839230355201344</v>
      </c>
      <c r="D4774" s="106">
        <f t="shared" ca="1" si="273"/>
        <v>0.59125913987656364</v>
      </c>
      <c r="E4774" s="106">
        <f t="shared" ca="1" si="274"/>
        <v>0</v>
      </c>
      <c r="F4774" s="21">
        <f t="shared" ca="1" si="275"/>
        <v>0</v>
      </c>
      <c r="H4774" s="21">
        <v>4759</v>
      </c>
      <c r="I4774" s="107">
        <v>0.66791329924292553</v>
      </c>
      <c r="J4774" s="108">
        <v>1.6027387395253776E-3</v>
      </c>
      <c r="K4774" s="108"/>
      <c r="L4774" s="108">
        <v>4.5400000000000003E-2</v>
      </c>
      <c r="O4774" s="105"/>
    </row>
    <row r="4775" spans="2:15" x14ac:dyDescent="0.2">
      <c r="B4775" s="1">
        <f t="shared" si="272"/>
        <v>4760</v>
      </c>
      <c r="C4775" s="106">
        <f ca="1"/>
        <v>-1.0968290300641845</v>
      </c>
      <c r="D4775" s="106">
        <f t="shared" ca="1" si="273"/>
        <v>0.59636056943816018</v>
      </c>
      <c r="E4775" s="106">
        <f t="shared" ca="1" si="274"/>
        <v>0</v>
      </c>
      <c r="F4775" s="21">
        <f t="shared" ca="1" si="275"/>
        <v>0</v>
      </c>
      <c r="H4775" s="21">
        <v>4760</v>
      </c>
      <c r="I4775" s="107">
        <v>0.66765430961382599</v>
      </c>
      <c r="J4775" s="108">
        <v>1.3384214705391216E-3</v>
      </c>
      <c r="K4775" s="108"/>
      <c r="L4775" s="108">
        <v>3.78E-2</v>
      </c>
      <c r="O4775" s="105"/>
    </row>
    <row r="4776" spans="2:15" x14ac:dyDescent="0.2">
      <c r="B4776" s="1">
        <f t="shared" si="272"/>
        <v>4761</v>
      </c>
      <c r="C4776" s="106">
        <f ca="1"/>
        <v>-2.2238372137789724</v>
      </c>
      <c r="D4776" s="106">
        <f t="shared" ca="1" si="273"/>
        <v>0.5336156829605585</v>
      </c>
      <c r="E4776" s="106">
        <f t="shared" ca="1" si="274"/>
        <v>0</v>
      </c>
      <c r="F4776" s="21">
        <f t="shared" ca="1" si="275"/>
        <v>0</v>
      </c>
      <c r="H4776" s="21">
        <v>4761</v>
      </c>
      <c r="I4776" s="107">
        <v>0.66758782466004729</v>
      </c>
      <c r="J4776" s="108">
        <v>1.2387672708375052E-3</v>
      </c>
      <c r="K4776" s="108"/>
      <c r="L4776" s="108">
        <v>3.5000000000000003E-2</v>
      </c>
      <c r="O4776" s="105"/>
    </row>
    <row r="4777" spans="2:15" x14ac:dyDescent="0.2">
      <c r="B4777" s="1">
        <f t="shared" si="272"/>
        <v>4762</v>
      </c>
      <c r="C4777" s="106">
        <f ca="1"/>
        <v>-0.42014970265124824</v>
      </c>
      <c r="D4777" s="106">
        <f t="shared" ca="1" si="273"/>
        <v>0.63752533179411008</v>
      </c>
      <c r="E4777" s="106">
        <f t="shared" ca="1" si="274"/>
        <v>0</v>
      </c>
      <c r="F4777" s="21">
        <f t="shared" ca="1" si="275"/>
        <v>0</v>
      </c>
      <c r="H4777" s="21">
        <v>4762</v>
      </c>
      <c r="I4777" s="107">
        <v>0.66773986930420515</v>
      </c>
      <c r="J4777" s="108">
        <v>1.2703494380339228E-3</v>
      </c>
      <c r="K4777" s="108"/>
      <c r="L4777" s="108">
        <v>4.2599999999999999E-2</v>
      </c>
      <c r="O4777" s="105"/>
    </row>
    <row r="4778" spans="2:15" x14ac:dyDescent="0.2">
      <c r="B4778" s="1">
        <f t="shared" si="272"/>
        <v>4763</v>
      </c>
      <c r="C4778" s="106">
        <f ca="1"/>
        <v>-0.4290702623701253</v>
      </c>
      <c r="D4778" s="106">
        <f t="shared" ca="1" si="273"/>
        <v>0.63696459714894738</v>
      </c>
      <c r="E4778" s="106">
        <f t="shared" ca="1" si="274"/>
        <v>0</v>
      </c>
      <c r="F4778" s="21">
        <f t="shared" ca="1" si="275"/>
        <v>0</v>
      </c>
      <c r="H4778" s="21">
        <v>4763</v>
      </c>
      <c r="I4778" s="107">
        <v>0.66770518703963189</v>
      </c>
      <c r="J4778" s="108">
        <v>1.3549611574452641E-3</v>
      </c>
      <c r="K4778" s="108"/>
      <c r="L4778" s="108">
        <v>3.9399999999999998E-2</v>
      </c>
      <c r="O4778" s="105"/>
    </row>
    <row r="4779" spans="2:15" x14ac:dyDescent="0.2">
      <c r="B4779" s="1">
        <f t="shared" si="272"/>
        <v>4764</v>
      </c>
      <c r="C4779" s="106">
        <f ca="1"/>
        <v>-3.7506218267573693E-2</v>
      </c>
      <c r="D4779" s="106">
        <f t="shared" ca="1" si="273"/>
        <v>0.66204827284647194</v>
      </c>
      <c r="E4779" s="106">
        <f t="shared" ca="1" si="274"/>
        <v>0</v>
      </c>
      <c r="F4779" s="21">
        <f t="shared" ca="1" si="275"/>
        <v>0</v>
      </c>
      <c r="H4779" s="21">
        <v>4764</v>
      </c>
      <c r="I4779" s="107">
        <v>0.66774597962451077</v>
      </c>
      <c r="J4779" s="108">
        <v>1.3723669311330889E-3</v>
      </c>
      <c r="K4779" s="108"/>
      <c r="L4779" s="108">
        <v>4.2000000000000003E-2</v>
      </c>
      <c r="O4779" s="105"/>
    </row>
    <row r="4780" spans="2:15" x14ac:dyDescent="0.2">
      <c r="B4780" s="1">
        <f t="shared" si="272"/>
        <v>4765</v>
      </c>
      <c r="C4780" s="106">
        <f ca="1"/>
        <v>1.4166497255810115</v>
      </c>
      <c r="D4780" s="106">
        <f t="shared" ca="1" si="273"/>
        <v>0.76416088018604067</v>
      </c>
      <c r="E4780" s="106">
        <f t="shared" ca="1" si="274"/>
        <v>0</v>
      </c>
      <c r="F4780" s="21">
        <f t="shared" ca="1" si="275"/>
        <v>0</v>
      </c>
      <c r="H4780" s="21">
        <v>4765</v>
      </c>
      <c r="I4780" s="107">
        <v>0.66777090036910713</v>
      </c>
      <c r="J4780" s="108">
        <v>1.4000064196097442E-3</v>
      </c>
      <c r="K4780" s="108"/>
      <c r="L4780" s="108">
        <v>4.3200000000000002E-2</v>
      </c>
      <c r="O4780" s="105"/>
    </row>
    <row r="4781" spans="2:15" x14ac:dyDescent="0.2">
      <c r="B4781" s="1">
        <f t="shared" si="272"/>
        <v>4766</v>
      </c>
      <c r="C4781" s="106">
        <f ca="1"/>
        <v>1.9632583620167616</v>
      </c>
      <c r="D4781" s="106">
        <f t="shared" ca="1" si="273"/>
        <v>0.80649406915487765</v>
      </c>
      <c r="E4781" s="106">
        <f t="shared" ca="1" si="274"/>
        <v>1.8294069154877635E-2</v>
      </c>
      <c r="F4781" s="21">
        <f t="shared" ca="1" si="275"/>
        <v>1</v>
      </c>
      <c r="H4781" s="21">
        <v>4766</v>
      </c>
      <c r="I4781" s="107">
        <v>0.6677007592213603</v>
      </c>
      <c r="J4781" s="108">
        <v>1.4943881051169101E-3</v>
      </c>
      <c r="K4781" s="108"/>
      <c r="L4781" s="108">
        <v>4.1200000000000001E-2</v>
      </c>
      <c r="O4781" s="105"/>
    </row>
    <row r="4782" spans="2:15" x14ac:dyDescent="0.2">
      <c r="B4782" s="1">
        <f t="shared" si="272"/>
        <v>4767</v>
      </c>
      <c r="C4782" s="106">
        <f ca="1"/>
        <v>-0.4222004248683589</v>
      </c>
      <c r="D4782" s="106">
        <f t="shared" ca="1" si="273"/>
        <v>0.63739638241420826</v>
      </c>
      <c r="E4782" s="106">
        <f t="shared" ca="1" si="274"/>
        <v>0</v>
      </c>
      <c r="F4782" s="21">
        <f t="shared" ca="1" si="275"/>
        <v>0</v>
      </c>
      <c r="H4782" s="21">
        <v>4767</v>
      </c>
      <c r="I4782" s="107">
        <v>0.66792021157403392</v>
      </c>
      <c r="J4782" s="108">
        <v>1.4527681652011638E-3</v>
      </c>
      <c r="K4782" s="108"/>
      <c r="L4782" s="108">
        <v>4.58E-2</v>
      </c>
      <c r="O4782" s="105"/>
    </row>
    <row r="4783" spans="2:15" x14ac:dyDescent="0.2">
      <c r="B4783" s="1">
        <f t="shared" si="272"/>
        <v>4768</v>
      </c>
      <c r="C4783" s="106">
        <f ca="1"/>
        <v>-2.3866836186973135</v>
      </c>
      <c r="D4783" s="106">
        <f t="shared" ca="1" si="273"/>
        <v>0.52511248655592158</v>
      </c>
      <c r="E4783" s="106">
        <f t="shared" ca="1" si="274"/>
        <v>0</v>
      </c>
      <c r="F4783" s="21">
        <f t="shared" ca="1" si="275"/>
        <v>0</v>
      </c>
      <c r="H4783" s="21">
        <v>4768</v>
      </c>
      <c r="I4783" s="107">
        <v>0.66801487262515036</v>
      </c>
      <c r="J4783" s="108">
        <v>1.7269451850350254E-3</v>
      </c>
      <c r="K4783" s="108"/>
      <c r="L4783" s="108">
        <v>4.8399999999999999E-2</v>
      </c>
      <c r="O4783" s="105"/>
    </row>
    <row r="4784" spans="2:15" x14ac:dyDescent="0.2">
      <c r="B4784" s="1">
        <f t="shared" ref="B4784:B4847" si="276">B4783+1</f>
        <v>4769</v>
      </c>
      <c r="C4784" s="106">
        <f ca="1"/>
        <v>-0.49996773084154644</v>
      </c>
      <c r="D4784" s="106">
        <f t="shared" ca="1" si="273"/>
        <v>0.63252557607731019</v>
      </c>
      <c r="E4784" s="106">
        <f t="shared" ca="1" si="274"/>
        <v>0</v>
      </c>
      <c r="F4784" s="21">
        <f t="shared" ca="1" si="275"/>
        <v>0</v>
      </c>
      <c r="H4784" s="21">
        <v>4769</v>
      </c>
      <c r="I4784" s="107">
        <v>0.66776181317117167</v>
      </c>
      <c r="J4784" s="108">
        <v>1.3262881063453528E-3</v>
      </c>
      <c r="K4784" s="108"/>
      <c r="L4784" s="108">
        <v>4.1599999999999998E-2</v>
      </c>
      <c r="O4784" s="105"/>
    </row>
    <row r="4785" spans="2:15" x14ac:dyDescent="0.2">
      <c r="B4785" s="1">
        <f t="shared" si="276"/>
        <v>4770</v>
      </c>
      <c r="C4785" s="106">
        <f ca="1"/>
        <v>0.34207772574940015</v>
      </c>
      <c r="D4785" s="106">
        <f t="shared" ca="1" si="273"/>
        <v>0.68730705059049846</v>
      </c>
      <c r="E4785" s="106">
        <f t="shared" ca="1" si="274"/>
        <v>0</v>
      </c>
      <c r="F4785" s="21">
        <f t="shared" ca="1" si="275"/>
        <v>0</v>
      </c>
      <c r="H4785" s="21">
        <v>4770</v>
      </c>
      <c r="I4785" s="107">
        <v>0.6678519419188037</v>
      </c>
      <c r="J4785" s="108">
        <v>1.4682390138964715E-3</v>
      </c>
      <c r="K4785" s="108"/>
      <c r="L4785" s="108">
        <v>4.4200000000000003E-2</v>
      </c>
      <c r="O4785" s="105"/>
    </row>
    <row r="4786" spans="2:15" x14ac:dyDescent="0.2">
      <c r="B4786" s="1">
        <f t="shared" si="276"/>
        <v>4771</v>
      </c>
      <c r="C4786" s="106">
        <f ca="1"/>
        <v>-0.33361257181551796</v>
      </c>
      <c r="D4786" s="106">
        <f t="shared" ca="1" si="273"/>
        <v>0.64299062864342293</v>
      </c>
      <c r="E4786" s="106">
        <f t="shared" ca="1" si="274"/>
        <v>0</v>
      </c>
      <c r="F4786" s="21">
        <f t="shared" ca="1" si="275"/>
        <v>0</v>
      </c>
      <c r="H4786" s="21">
        <v>4771</v>
      </c>
      <c r="I4786" s="107">
        <v>0.66766734730179544</v>
      </c>
      <c r="J4786" s="108">
        <v>1.2595011384085161E-3</v>
      </c>
      <c r="K4786" s="108"/>
      <c r="L4786" s="108">
        <v>4.0399999999999998E-2</v>
      </c>
      <c r="O4786" s="105"/>
    </row>
    <row r="4787" spans="2:15" x14ac:dyDescent="0.2">
      <c r="B4787" s="1">
        <f t="shared" si="276"/>
        <v>4772</v>
      </c>
      <c r="C4787" s="106">
        <f ca="1"/>
        <v>-0.37510516075227507</v>
      </c>
      <c r="D4787" s="106">
        <f t="shared" ca="1" si="273"/>
        <v>0.6403643208515527</v>
      </c>
      <c r="E4787" s="106">
        <f t="shared" ca="1" si="274"/>
        <v>0</v>
      </c>
      <c r="F4787" s="21">
        <f t="shared" ca="1" si="275"/>
        <v>0</v>
      </c>
      <c r="H4787" s="21">
        <v>4772</v>
      </c>
      <c r="I4787" s="107">
        <v>0.66765192306095189</v>
      </c>
      <c r="J4787" s="108">
        <v>1.2835253533245296E-3</v>
      </c>
      <c r="K4787" s="108"/>
      <c r="L4787" s="108">
        <v>3.7400000000000003E-2</v>
      </c>
      <c r="O4787" s="105"/>
    </row>
    <row r="4788" spans="2:15" x14ac:dyDescent="0.2">
      <c r="B4788" s="1">
        <f t="shared" si="276"/>
        <v>4773</v>
      </c>
      <c r="C4788" s="106">
        <f ca="1"/>
        <v>1.412382739828991</v>
      </c>
      <c r="D4788" s="106">
        <f t="shared" ca="1" si="273"/>
        <v>0.76383931168586239</v>
      </c>
      <c r="E4788" s="106">
        <f t="shared" ca="1" si="274"/>
        <v>0</v>
      </c>
      <c r="F4788" s="21">
        <f t="shared" ca="1" si="275"/>
        <v>0</v>
      </c>
      <c r="H4788" s="21">
        <v>4773</v>
      </c>
      <c r="I4788" s="107">
        <v>0.66764383656156956</v>
      </c>
      <c r="J4788" s="108">
        <v>1.2217492122988708E-3</v>
      </c>
      <c r="K4788" s="108"/>
      <c r="L4788" s="108">
        <v>3.9199999999999999E-2</v>
      </c>
      <c r="O4788" s="105"/>
    </row>
    <row r="4789" spans="2:15" x14ac:dyDescent="0.2">
      <c r="B4789" s="1">
        <f t="shared" si="276"/>
        <v>4774</v>
      </c>
      <c r="C4789" s="106">
        <f ca="1"/>
        <v>-1.5152370923967184</v>
      </c>
      <c r="D4789" s="106">
        <f t="shared" ca="1" si="273"/>
        <v>0.57224838717499316</v>
      </c>
      <c r="E4789" s="106">
        <f t="shared" ca="1" si="274"/>
        <v>0</v>
      </c>
      <c r="F4789" s="21">
        <f t="shared" ca="1" si="275"/>
        <v>0</v>
      </c>
      <c r="H4789" s="21">
        <v>4774</v>
      </c>
      <c r="I4789" s="107">
        <v>0.66773451513368764</v>
      </c>
      <c r="J4789" s="108">
        <v>1.3076270057568191E-3</v>
      </c>
      <c r="K4789" s="108"/>
      <c r="L4789" s="108">
        <v>4.58E-2</v>
      </c>
      <c r="O4789" s="105"/>
    </row>
    <row r="4790" spans="2:15" x14ac:dyDescent="0.2">
      <c r="B4790" s="1">
        <f t="shared" si="276"/>
        <v>4775</v>
      </c>
      <c r="C4790" s="106">
        <f ca="1"/>
        <v>-0.37000208746857999</v>
      </c>
      <c r="D4790" s="106">
        <f t="shared" ca="1" si="273"/>
        <v>0.64068674468931119</v>
      </c>
      <c r="E4790" s="106">
        <f t="shared" ca="1" si="274"/>
        <v>0</v>
      </c>
      <c r="F4790" s="21">
        <f t="shared" ca="1" si="275"/>
        <v>0</v>
      </c>
      <c r="H4790" s="21">
        <v>4775</v>
      </c>
      <c r="I4790" s="107">
        <v>0.66769484367255794</v>
      </c>
      <c r="J4790" s="108">
        <v>1.3481949711015644E-3</v>
      </c>
      <c r="K4790" s="108"/>
      <c r="L4790" s="108">
        <v>3.8399999999999997E-2</v>
      </c>
      <c r="O4790" s="105"/>
    </row>
    <row r="4791" spans="2:15" x14ac:dyDescent="0.2">
      <c r="B4791" s="1">
        <f t="shared" si="276"/>
        <v>4776</v>
      </c>
      <c r="C4791" s="106">
        <f ca="1"/>
        <v>-9.367924103479762E-2</v>
      </c>
      <c r="D4791" s="106">
        <f t="shared" ca="1" si="273"/>
        <v>0.6583900201703996</v>
      </c>
      <c r="E4791" s="106">
        <f t="shared" ca="1" si="274"/>
        <v>0</v>
      </c>
      <c r="F4791" s="21">
        <f t="shared" ca="1" si="275"/>
        <v>0</v>
      </c>
      <c r="H4791" s="21">
        <v>4776</v>
      </c>
      <c r="I4791" s="107">
        <v>0.66772592499211803</v>
      </c>
      <c r="J4791" s="108">
        <v>1.3487886156176212E-3</v>
      </c>
      <c r="K4791" s="108"/>
      <c r="L4791" s="108">
        <v>4.1000000000000002E-2</v>
      </c>
      <c r="O4791" s="105"/>
    </row>
    <row r="4792" spans="2:15" x14ac:dyDescent="0.2">
      <c r="B4792" s="1">
        <f t="shared" si="276"/>
        <v>4777</v>
      </c>
      <c r="C4792" s="106">
        <f ca="1"/>
        <v>-0.67669848142912215</v>
      </c>
      <c r="D4792" s="106">
        <f t="shared" ca="1" si="273"/>
        <v>0.62159434450687856</v>
      </c>
      <c r="E4792" s="106">
        <f t="shared" ca="1" si="274"/>
        <v>0</v>
      </c>
      <c r="F4792" s="21">
        <f t="shared" ca="1" si="275"/>
        <v>0</v>
      </c>
      <c r="H4792" s="21">
        <v>4777</v>
      </c>
      <c r="I4792" s="107">
        <v>0.6677681985217615</v>
      </c>
      <c r="J4792" s="108">
        <v>1.3762416175996052E-3</v>
      </c>
      <c r="K4792" s="108"/>
      <c r="L4792" s="108">
        <v>4.1599999999999998E-2</v>
      </c>
      <c r="O4792" s="105"/>
    </row>
    <row r="4793" spans="2:15" x14ac:dyDescent="0.2">
      <c r="B4793" s="1">
        <f t="shared" si="276"/>
        <v>4778</v>
      </c>
      <c r="C4793" s="106">
        <f ca="1"/>
        <v>1.0581564281694757</v>
      </c>
      <c r="D4793" s="106">
        <f t="shared" ca="1" si="273"/>
        <v>0.737610633894208</v>
      </c>
      <c r="E4793" s="106">
        <f t="shared" ca="1" si="274"/>
        <v>0</v>
      </c>
      <c r="F4793" s="21">
        <f t="shared" ca="1" si="275"/>
        <v>0</v>
      </c>
      <c r="H4793" s="21">
        <v>4778</v>
      </c>
      <c r="I4793" s="107">
        <v>0.66782700100493808</v>
      </c>
      <c r="J4793" s="108">
        <v>1.366711243692265E-3</v>
      </c>
      <c r="K4793" s="108"/>
      <c r="L4793" s="108">
        <v>4.4999999999999998E-2</v>
      </c>
      <c r="O4793" s="105"/>
    </row>
    <row r="4794" spans="2:15" x14ac:dyDescent="0.2">
      <c r="B4794" s="1">
        <f t="shared" si="276"/>
        <v>4779</v>
      </c>
      <c r="C4794" s="106">
        <f ca="1"/>
        <v>0.15868697221478542</v>
      </c>
      <c r="D4794" s="106">
        <f t="shared" ca="1" si="273"/>
        <v>0.67498551366260018</v>
      </c>
      <c r="E4794" s="106">
        <f t="shared" ca="1" si="274"/>
        <v>0</v>
      </c>
      <c r="F4794" s="21">
        <f t="shared" ca="1" si="275"/>
        <v>0</v>
      </c>
      <c r="H4794" s="21">
        <v>4779</v>
      </c>
      <c r="I4794" s="107">
        <v>0.66762749694844281</v>
      </c>
      <c r="J4794" s="108">
        <v>1.1318798679571698E-3</v>
      </c>
      <c r="K4794" s="108"/>
      <c r="L4794" s="108">
        <v>3.9800000000000002E-2</v>
      </c>
      <c r="O4794" s="105"/>
    </row>
    <row r="4795" spans="2:15" x14ac:dyDescent="0.2">
      <c r="B4795" s="1">
        <f t="shared" si="276"/>
        <v>4780</v>
      </c>
      <c r="C4795" s="106">
        <f ca="1"/>
        <v>-0.31684671048942881</v>
      </c>
      <c r="D4795" s="106">
        <f t="shared" ca="1" si="273"/>
        <v>0.64405489070956501</v>
      </c>
      <c r="E4795" s="106">
        <f t="shared" ca="1" si="274"/>
        <v>0</v>
      </c>
      <c r="F4795" s="21">
        <f t="shared" ca="1" si="275"/>
        <v>0</v>
      </c>
      <c r="H4795" s="21">
        <v>4780</v>
      </c>
      <c r="I4795" s="107">
        <v>0.66772680195764422</v>
      </c>
      <c r="J4795" s="108">
        <v>1.3490888827754346E-3</v>
      </c>
      <c r="K4795" s="108"/>
      <c r="L4795" s="108">
        <v>4.1799999999999997E-2</v>
      </c>
      <c r="O4795" s="105"/>
    </row>
    <row r="4796" spans="2:15" x14ac:dyDescent="0.2">
      <c r="B4796" s="1">
        <f t="shared" si="276"/>
        <v>4781</v>
      </c>
      <c r="C4796" s="106">
        <f ca="1"/>
        <v>-1.6686747960699551</v>
      </c>
      <c r="D4796" s="106">
        <f t="shared" ca="1" si="273"/>
        <v>0.56365245212688786</v>
      </c>
      <c r="E4796" s="106">
        <f t="shared" ca="1" si="274"/>
        <v>0</v>
      </c>
      <c r="F4796" s="21">
        <f t="shared" ca="1" si="275"/>
        <v>0</v>
      </c>
      <c r="H4796" s="21">
        <v>4781</v>
      </c>
      <c r="I4796" s="107">
        <v>0.66779888067993531</v>
      </c>
      <c r="J4796" s="108">
        <v>1.3154303301714377E-3</v>
      </c>
      <c r="K4796" s="108"/>
      <c r="L4796" s="108">
        <v>4.3799999999999999E-2</v>
      </c>
      <c r="O4796" s="105"/>
    </row>
    <row r="4797" spans="2:15" x14ac:dyDescent="0.2">
      <c r="B4797" s="1">
        <f t="shared" si="276"/>
        <v>4782</v>
      </c>
      <c r="C4797" s="106">
        <f ca="1"/>
        <v>-0.29388074229372207</v>
      </c>
      <c r="D4797" s="106">
        <f t="shared" ca="1" si="273"/>
        <v>0.64551558240111495</v>
      </c>
      <c r="E4797" s="106">
        <f t="shared" ca="1" si="274"/>
        <v>0</v>
      </c>
      <c r="F4797" s="21">
        <f t="shared" ca="1" si="275"/>
        <v>0</v>
      </c>
      <c r="H4797" s="21">
        <v>4782</v>
      </c>
      <c r="I4797" s="107">
        <v>0.66776090033541069</v>
      </c>
      <c r="J4797" s="108">
        <v>1.2858996023478238E-3</v>
      </c>
      <c r="K4797" s="108"/>
      <c r="L4797" s="108">
        <v>4.1200000000000001E-2</v>
      </c>
      <c r="O4797" s="105"/>
    </row>
    <row r="4798" spans="2:15" x14ac:dyDescent="0.2">
      <c r="B4798" s="1">
        <f t="shared" si="276"/>
        <v>4783</v>
      </c>
      <c r="C4798" s="106">
        <f ca="1"/>
        <v>-0.75435520686902779</v>
      </c>
      <c r="D4798" s="106">
        <f t="shared" ca="1" si="273"/>
        <v>0.61685102141738424</v>
      </c>
      <c r="E4798" s="106">
        <f t="shared" ca="1" si="274"/>
        <v>0</v>
      </c>
      <c r="F4798" s="21">
        <f t="shared" ca="1" si="275"/>
        <v>0</v>
      </c>
      <c r="H4798" s="21">
        <v>4783</v>
      </c>
      <c r="I4798" s="107">
        <v>0.66785299307000801</v>
      </c>
      <c r="J4798" s="108">
        <v>1.5279522369685279E-3</v>
      </c>
      <c r="K4798" s="108"/>
      <c r="L4798" s="108">
        <v>4.4400000000000002E-2</v>
      </c>
      <c r="O4798" s="105"/>
    </row>
    <row r="4799" spans="2:15" x14ac:dyDescent="0.2">
      <c r="B4799" s="1">
        <f t="shared" si="276"/>
        <v>4784</v>
      </c>
      <c r="C4799" s="106">
        <f ca="1"/>
        <v>0.17516005186565689</v>
      </c>
      <c r="D4799" s="106">
        <f t="shared" ca="1" si="273"/>
        <v>0.67608320704827451</v>
      </c>
      <c r="E4799" s="106">
        <f t="shared" ca="1" si="274"/>
        <v>0</v>
      </c>
      <c r="F4799" s="21">
        <f t="shared" ca="1" si="275"/>
        <v>0</v>
      </c>
      <c r="H4799" s="21">
        <v>4784</v>
      </c>
      <c r="I4799" s="107">
        <v>0.66767780813287447</v>
      </c>
      <c r="J4799" s="108">
        <v>1.2745446575956776E-3</v>
      </c>
      <c r="K4799" s="108"/>
      <c r="L4799" s="108">
        <v>4.2599999999999999E-2</v>
      </c>
      <c r="O4799" s="105"/>
    </row>
    <row r="4800" spans="2:15" x14ac:dyDescent="0.2">
      <c r="B4800" s="1">
        <f t="shared" si="276"/>
        <v>4785</v>
      </c>
      <c r="C4800" s="106">
        <f ca="1"/>
        <v>-0.37185319495544505</v>
      </c>
      <c r="D4800" s="106">
        <f t="shared" ca="1" si="273"/>
        <v>0.64056976872681537</v>
      </c>
      <c r="E4800" s="106">
        <f t="shared" ca="1" si="274"/>
        <v>0</v>
      </c>
      <c r="F4800" s="21">
        <f t="shared" ca="1" si="275"/>
        <v>0</v>
      </c>
      <c r="H4800" s="21">
        <v>4785</v>
      </c>
      <c r="I4800" s="107">
        <v>0.66798324011058496</v>
      </c>
      <c r="J4800" s="108">
        <v>1.5494542086614983E-3</v>
      </c>
      <c r="K4800" s="108"/>
      <c r="L4800" s="108">
        <v>4.8599999999999997E-2</v>
      </c>
      <c r="O4800" s="105"/>
    </row>
    <row r="4801" spans="2:15" x14ac:dyDescent="0.2">
      <c r="B4801" s="1">
        <f t="shared" si="276"/>
        <v>4786</v>
      </c>
      <c r="C4801" s="106">
        <f ca="1"/>
        <v>-0.19888565761541568</v>
      </c>
      <c r="D4801" s="106">
        <f t="shared" ca="1" si="273"/>
        <v>0.65159277666932403</v>
      </c>
      <c r="E4801" s="106">
        <f t="shared" ca="1" si="274"/>
        <v>0</v>
      </c>
      <c r="F4801" s="21">
        <f t="shared" ca="1" si="275"/>
        <v>0</v>
      </c>
      <c r="H4801" s="21">
        <v>4786</v>
      </c>
      <c r="I4801" s="107">
        <v>0.66776636500459008</v>
      </c>
      <c r="J4801" s="108">
        <v>1.3740794571244952E-3</v>
      </c>
      <c r="K4801" s="108"/>
      <c r="L4801" s="108">
        <v>0.04</v>
      </c>
      <c r="O4801" s="105"/>
    </row>
    <row r="4802" spans="2:15" x14ac:dyDescent="0.2">
      <c r="B4802" s="1">
        <f t="shared" si="276"/>
        <v>4787</v>
      </c>
      <c r="C4802" s="106">
        <f ca="1"/>
        <v>-5.6268585358965691E-4</v>
      </c>
      <c r="D4802" s="106">
        <f t="shared" ca="1" si="273"/>
        <v>0.66446528333934829</v>
      </c>
      <c r="E4802" s="106">
        <f t="shared" ca="1" si="274"/>
        <v>0</v>
      </c>
      <c r="F4802" s="21">
        <f t="shared" ca="1" si="275"/>
        <v>0</v>
      </c>
      <c r="H4802" s="21">
        <v>4787</v>
      </c>
      <c r="I4802" s="107">
        <v>0.66769091805671421</v>
      </c>
      <c r="J4802" s="108">
        <v>1.3285480655878088E-3</v>
      </c>
      <c r="K4802" s="108"/>
      <c r="L4802" s="108">
        <v>3.9E-2</v>
      </c>
      <c r="O4802" s="105"/>
    </row>
    <row r="4803" spans="2:15" x14ac:dyDescent="0.2">
      <c r="B4803" s="1">
        <f t="shared" si="276"/>
        <v>4788</v>
      </c>
      <c r="C4803" s="106">
        <f ca="1"/>
        <v>-1.0325063448464862</v>
      </c>
      <c r="D4803" s="106">
        <f t="shared" ca="1" si="273"/>
        <v>0.60015643207697711</v>
      </c>
      <c r="E4803" s="106">
        <f t="shared" ca="1" si="274"/>
        <v>0</v>
      </c>
      <c r="F4803" s="21">
        <f t="shared" ca="1" si="275"/>
        <v>0</v>
      </c>
      <c r="H4803" s="21">
        <v>4788</v>
      </c>
      <c r="I4803" s="107">
        <v>0.66751402936185011</v>
      </c>
      <c r="J4803" s="108">
        <v>1.1305269145843379E-3</v>
      </c>
      <c r="K4803" s="108"/>
      <c r="L4803" s="108">
        <v>3.7600000000000001E-2</v>
      </c>
      <c r="O4803" s="105"/>
    </row>
    <row r="4804" spans="2:15" x14ac:dyDescent="0.2">
      <c r="B4804" s="1">
        <f t="shared" si="276"/>
        <v>4789</v>
      </c>
      <c r="C4804" s="106">
        <f ca="1"/>
        <v>-1.3122419258963169</v>
      </c>
      <c r="D4804" s="106">
        <f t="shared" ca="1" si="273"/>
        <v>0.5838224150600656</v>
      </c>
      <c r="E4804" s="106">
        <f t="shared" ca="1" si="274"/>
        <v>0</v>
      </c>
      <c r="F4804" s="21">
        <f t="shared" ca="1" si="275"/>
        <v>0</v>
      </c>
      <c r="H4804" s="21">
        <v>4789</v>
      </c>
      <c r="I4804" s="107">
        <v>0.66783761280133891</v>
      </c>
      <c r="J4804" s="108">
        <v>1.5767964955756672E-3</v>
      </c>
      <c r="K4804" s="108"/>
      <c r="L4804" s="108">
        <v>4.36E-2</v>
      </c>
      <c r="O4804" s="105"/>
    </row>
    <row r="4805" spans="2:15" x14ac:dyDescent="0.2">
      <c r="B4805" s="1">
        <f t="shared" si="276"/>
        <v>4790</v>
      </c>
      <c r="C4805" s="106">
        <f ca="1"/>
        <v>1.4489679565060614</v>
      </c>
      <c r="D4805" s="106">
        <f t="shared" ca="1" si="273"/>
        <v>0.76660084583365395</v>
      </c>
      <c r="E4805" s="106">
        <f t="shared" ca="1" si="274"/>
        <v>0</v>
      </c>
      <c r="F4805" s="21">
        <f t="shared" ca="1" si="275"/>
        <v>0</v>
      </c>
      <c r="H4805" s="21">
        <v>4790</v>
      </c>
      <c r="I4805" s="107">
        <v>0.66786126943635049</v>
      </c>
      <c r="J4805" s="108">
        <v>1.4944822339934692E-3</v>
      </c>
      <c r="K4805" s="108"/>
      <c r="L4805" s="108">
        <v>4.4999999999999998E-2</v>
      </c>
      <c r="O4805" s="105"/>
    </row>
    <row r="4806" spans="2:15" x14ac:dyDescent="0.2">
      <c r="B4806" s="1">
        <f t="shared" si="276"/>
        <v>4791</v>
      </c>
      <c r="C4806" s="106">
        <f ca="1"/>
        <v>-0.55904129845621475</v>
      </c>
      <c r="D4806" s="106">
        <f t="shared" ca="1" si="273"/>
        <v>0.62885050732468595</v>
      </c>
      <c r="E4806" s="106">
        <f t="shared" ca="1" si="274"/>
        <v>0</v>
      </c>
      <c r="F4806" s="21">
        <f t="shared" ca="1" si="275"/>
        <v>0</v>
      </c>
      <c r="H4806" s="21">
        <v>4791</v>
      </c>
      <c r="I4806" s="107">
        <v>0.66773756861232592</v>
      </c>
      <c r="J4806" s="108">
        <v>1.4162875111212647E-3</v>
      </c>
      <c r="K4806" s="108"/>
      <c r="L4806" s="108">
        <v>4.1200000000000001E-2</v>
      </c>
      <c r="O4806" s="105"/>
    </row>
    <row r="4807" spans="2:15" x14ac:dyDescent="0.2">
      <c r="B4807" s="1">
        <f t="shared" si="276"/>
        <v>4792</v>
      </c>
      <c r="C4807" s="106">
        <f ca="1"/>
        <v>-1.1712376011182219</v>
      </c>
      <c r="D4807" s="106">
        <f t="shared" ca="1" si="273"/>
        <v>0.59199945028977063</v>
      </c>
      <c r="E4807" s="106">
        <f t="shared" ca="1" si="274"/>
        <v>0</v>
      </c>
      <c r="F4807" s="21">
        <f t="shared" ca="1" si="275"/>
        <v>0</v>
      </c>
      <c r="H4807" s="21">
        <v>4792</v>
      </c>
      <c r="I4807" s="107">
        <v>0.6677102563791032</v>
      </c>
      <c r="J4807" s="108">
        <v>1.3024781709814047E-3</v>
      </c>
      <c r="K4807" s="108"/>
      <c r="L4807" s="108">
        <v>4.1599999999999998E-2</v>
      </c>
      <c r="O4807" s="105"/>
    </row>
    <row r="4808" spans="2:15" x14ac:dyDescent="0.2">
      <c r="B4808" s="1">
        <f t="shared" si="276"/>
        <v>4793</v>
      </c>
      <c r="C4808" s="106">
        <f ca="1"/>
        <v>0.141679748028705</v>
      </c>
      <c r="D4808" s="106">
        <f t="shared" ca="1" si="273"/>
        <v>0.67385409705088295</v>
      </c>
      <c r="E4808" s="106">
        <f t="shared" ca="1" si="274"/>
        <v>0</v>
      </c>
      <c r="F4808" s="21">
        <f t="shared" ca="1" si="275"/>
        <v>0</v>
      </c>
      <c r="H4808" s="21">
        <v>4793</v>
      </c>
      <c r="I4808" s="107">
        <v>0.66767956918707494</v>
      </c>
      <c r="J4808" s="108">
        <v>1.2542480943289851E-3</v>
      </c>
      <c r="K4808" s="108"/>
      <c r="L4808" s="108">
        <v>3.44E-2</v>
      </c>
      <c r="O4808" s="105"/>
    </row>
    <row r="4809" spans="2:15" x14ac:dyDescent="0.2">
      <c r="B4809" s="1">
        <f t="shared" si="276"/>
        <v>4794</v>
      </c>
      <c r="C4809" s="106">
        <f ca="1"/>
        <v>-0.44669794189685014</v>
      </c>
      <c r="D4809" s="106">
        <f t="shared" ca="1" si="273"/>
        <v>0.63585799421590805</v>
      </c>
      <c r="E4809" s="106">
        <f t="shared" ca="1" si="274"/>
        <v>0</v>
      </c>
      <c r="F4809" s="21">
        <f t="shared" ca="1" si="275"/>
        <v>0</v>
      </c>
      <c r="H4809" s="21">
        <v>4794</v>
      </c>
      <c r="I4809" s="107">
        <v>0.66777347593976188</v>
      </c>
      <c r="J4809" s="108">
        <v>1.3143858589422818E-3</v>
      </c>
      <c r="K4809" s="108"/>
      <c r="L4809" s="108">
        <v>3.7400000000000003E-2</v>
      </c>
      <c r="O4809" s="105"/>
    </row>
    <row r="4810" spans="2:15" x14ac:dyDescent="0.2">
      <c r="B4810" s="1">
        <f t="shared" si="276"/>
        <v>4795</v>
      </c>
      <c r="C4810" s="106">
        <f ca="1"/>
        <v>-0.48229550310122415</v>
      </c>
      <c r="D4810" s="106">
        <f t="shared" ca="1" si="273"/>
        <v>0.63362916384934842</v>
      </c>
      <c r="E4810" s="106">
        <f t="shared" ca="1" si="274"/>
        <v>0</v>
      </c>
      <c r="F4810" s="21">
        <f t="shared" ca="1" si="275"/>
        <v>0</v>
      </c>
      <c r="H4810" s="21">
        <v>4795</v>
      </c>
      <c r="I4810" s="107">
        <v>0.66774936375652294</v>
      </c>
      <c r="J4810" s="108">
        <v>1.4045685799946596E-3</v>
      </c>
      <c r="K4810" s="108"/>
      <c r="L4810" s="108">
        <v>4.2000000000000003E-2</v>
      </c>
      <c r="O4810" s="105"/>
    </row>
    <row r="4811" spans="2:15" x14ac:dyDescent="0.2">
      <c r="B4811" s="1">
        <f t="shared" si="276"/>
        <v>4796</v>
      </c>
      <c r="C4811" s="106">
        <f ca="1"/>
        <v>-0.5694299612918432</v>
      </c>
      <c r="D4811" s="106">
        <f t="shared" ca="1" si="273"/>
        <v>0.62820642190982545</v>
      </c>
      <c r="E4811" s="106">
        <f t="shared" ca="1" si="274"/>
        <v>0</v>
      </c>
      <c r="F4811" s="21">
        <f t="shared" ca="1" si="275"/>
        <v>0</v>
      </c>
      <c r="H4811" s="21">
        <v>4796</v>
      </c>
      <c r="I4811" s="107">
        <v>0.66770734066194137</v>
      </c>
      <c r="J4811" s="108">
        <v>1.2587279105668021E-3</v>
      </c>
      <c r="K4811" s="108"/>
      <c r="L4811" s="108">
        <v>4.0399999999999998E-2</v>
      </c>
      <c r="O4811" s="105"/>
    </row>
    <row r="4812" spans="2:15" x14ac:dyDescent="0.2">
      <c r="B4812" s="1">
        <f t="shared" si="276"/>
        <v>4797</v>
      </c>
      <c r="C4812" s="106">
        <f ca="1"/>
        <v>-1.4159330657093305</v>
      </c>
      <c r="D4812" s="106">
        <f t="shared" ca="1" si="273"/>
        <v>0.57788137918251803</v>
      </c>
      <c r="E4812" s="106">
        <f t="shared" ca="1" si="274"/>
        <v>0</v>
      </c>
      <c r="F4812" s="21">
        <f t="shared" ca="1" si="275"/>
        <v>0</v>
      </c>
      <c r="H4812" s="21">
        <v>4797</v>
      </c>
      <c r="I4812" s="107">
        <v>0.66770424124881089</v>
      </c>
      <c r="J4812" s="108">
        <v>1.2573454422125357E-3</v>
      </c>
      <c r="K4812" s="108"/>
      <c r="L4812" s="108">
        <v>3.7400000000000003E-2</v>
      </c>
      <c r="O4812" s="105"/>
    </row>
    <row r="4813" spans="2:15" x14ac:dyDescent="0.2">
      <c r="B4813" s="1">
        <f t="shared" si="276"/>
        <v>4798</v>
      </c>
      <c r="C4813" s="106">
        <f ca="1"/>
        <v>-0.14414366314023988</v>
      </c>
      <c r="D4813" s="106">
        <f t="shared" ca="1" si="273"/>
        <v>0.65512077899426213</v>
      </c>
      <c r="E4813" s="106">
        <f t="shared" ca="1" si="274"/>
        <v>0</v>
      </c>
      <c r="F4813" s="21">
        <f t="shared" ca="1" si="275"/>
        <v>0</v>
      </c>
      <c r="H4813" s="21">
        <v>4798</v>
      </c>
      <c r="I4813" s="107">
        <v>0.66792487139843637</v>
      </c>
      <c r="J4813" s="108">
        <v>1.673730032016298E-3</v>
      </c>
      <c r="K4813" s="108"/>
      <c r="L4813" s="108">
        <v>4.58E-2</v>
      </c>
      <c r="O4813" s="105"/>
    </row>
    <row r="4814" spans="2:15" x14ac:dyDescent="0.2">
      <c r="B4814" s="1">
        <f t="shared" si="276"/>
        <v>4799</v>
      </c>
      <c r="C4814" s="106">
        <f ca="1"/>
        <v>0.25147039481471906</v>
      </c>
      <c r="D4814" s="106">
        <f t="shared" ca="1" si="273"/>
        <v>0.68119152621591383</v>
      </c>
      <c r="E4814" s="106">
        <f t="shared" ca="1" si="274"/>
        <v>0</v>
      </c>
      <c r="F4814" s="21">
        <f t="shared" ca="1" si="275"/>
        <v>0</v>
      </c>
      <c r="H4814" s="21">
        <v>4799</v>
      </c>
      <c r="I4814" s="107">
        <v>0.66764726486596171</v>
      </c>
      <c r="J4814" s="108">
        <v>1.3884121872663976E-3</v>
      </c>
      <c r="K4814" s="108"/>
      <c r="L4814" s="108">
        <v>3.9E-2</v>
      </c>
      <c r="O4814" s="105"/>
    </row>
    <row r="4815" spans="2:15" x14ac:dyDescent="0.2">
      <c r="B4815" s="1">
        <f t="shared" si="276"/>
        <v>4800</v>
      </c>
      <c r="C4815" s="106">
        <f ca="1"/>
        <v>1.8001194095466786</v>
      </c>
      <c r="D4815" s="106">
        <f t="shared" ca="1" si="273"/>
        <v>0.79361963803772118</v>
      </c>
      <c r="E4815" s="106">
        <f t="shared" ca="1" si="274"/>
        <v>5.4196380377211639E-3</v>
      </c>
      <c r="F4815" s="21">
        <f t="shared" ca="1" si="275"/>
        <v>1</v>
      </c>
      <c r="H4815" s="21">
        <v>4800</v>
      </c>
      <c r="I4815" s="107">
        <v>0.66765737312324314</v>
      </c>
      <c r="J4815" s="108">
        <v>1.1760496992943095E-3</v>
      </c>
      <c r="K4815" s="108"/>
      <c r="L4815" s="108">
        <v>4.1399999999999999E-2</v>
      </c>
      <c r="O4815" s="105"/>
    </row>
    <row r="4816" spans="2:15" x14ac:dyDescent="0.2">
      <c r="B4816" s="1">
        <f t="shared" si="276"/>
        <v>4801</v>
      </c>
      <c r="C4816" s="106">
        <f ca="1"/>
        <v>-0.59517134465338928</v>
      </c>
      <c r="D4816" s="106">
        <f t="shared" ref="D4816:D4879" ca="1" si="277">S0*EXP((μ-0.5*σ*σ)*T+σ*SQRT(T)*$C4816)</f>
        <v>0.62661332608637488</v>
      </c>
      <c r="E4816" s="106">
        <f t="shared" ref="E4816:E4879" ca="1" si="278">MAX(0,CP*(D4816-K))</f>
        <v>0</v>
      </c>
      <c r="F4816" s="21">
        <f t="shared" ref="F4816:F4879" ca="1" si="279">(CP*(D4816-K)&gt;0)*1</f>
        <v>0</v>
      </c>
      <c r="H4816" s="21">
        <v>4801</v>
      </c>
      <c r="I4816" s="107">
        <v>0.66776110152653956</v>
      </c>
      <c r="J4816" s="108">
        <v>1.3783852185888642E-3</v>
      </c>
      <c r="K4816" s="108"/>
      <c r="L4816" s="108">
        <v>4.2000000000000003E-2</v>
      </c>
      <c r="O4816" s="105"/>
    </row>
    <row r="4817" spans="2:15" x14ac:dyDescent="0.2">
      <c r="B4817" s="1">
        <f t="shared" si="276"/>
        <v>4802</v>
      </c>
      <c r="C4817" s="106">
        <f ca="1"/>
        <v>-0.42839929385808573</v>
      </c>
      <c r="D4817" s="106">
        <f t="shared" ca="1" si="277"/>
        <v>0.63700675618835634</v>
      </c>
      <c r="E4817" s="106">
        <f t="shared" ca="1" si="278"/>
        <v>0</v>
      </c>
      <c r="F4817" s="21">
        <f t="shared" ca="1" si="279"/>
        <v>0</v>
      </c>
      <c r="H4817" s="21">
        <v>4802</v>
      </c>
      <c r="I4817" s="107">
        <v>0.66779368601348632</v>
      </c>
      <c r="J4817" s="108">
        <v>1.5114615105228095E-3</v>
      </c>
      <c r="K4817" s="108"/>
      <c r="L4817" s="108">
        <v>4.48E-2</v>
      </c>
      <c r="O4817" s="105"/>
    </row>
    <row r="4818" spans="2:15" x14ac:dyDescent="0.2">
      <c r="B4818" s="1">
        <f t="shared" si="276"/>
        <v>4803</v>
      </c>
      <c r="C4818" s="106">
        <f ca="1"/>
        <v>-0.13986640160902736</v>
      </c>
      <c r="D4818" s="106">
        <f t="shared" ca="1" si="277"/>
        <v>0.65539724243059794</v>
      </c>
      <c r="E4818" s="106">
        <f t="shared" ca="1" si="278"/>
        <v>0</v>
      </c>
      <c r="F4818" s="21">
        <f t="shared" ca="1" si="279"/>
        <v>0</v>
      </c>
      <c r="H4818" s="21">
        <v>4803</v>
      </c>
      <c r="I4818" s="107">
        <v>0.66755006060171873</v>
      </c>
      <c r="J4818" s="108">
        <v>1.1370243242167131E-3</v>
      </c>
      <c r="K4818" s="108"/>
      <c r="L4818" s="108">
        <v>3.6600000000000001E-2</v>
      </c>
      <c r="O4818" s="105"/>
    </row>
    <row r="4819" spans="2:15" x14ac:dyDescent="0.2">
      <c r="B4819" s="1">
        <f t="shared" si="276"/>
        <v>4804</v>
      </c>
      <c r="C4819" s="106">
        <f ca="1"/>
        <v>-0.22632506648120679</v>
      </c>
      <c r="D4819" s="106">
        <f t="shared" ca="1" si="277"/>
        <v>0.64983152141478495</v>
      </c>
      <c r="E4819" s="106">
        <f t="shared" ca="1" si="278"/>
        <v>0</v>
      </c>
      <c r="F4819" s="21">
        <f t="shared" ca="1" si="279"/>
        <v>0</v>
      </c>
      <c r="H4819" s="21">
        <v>4804</v>
      </c>
      <c r="I4819" s="107">
        <v>0.66771974499180931</v>
      </c>
      <c r="J4819" s="108">
        <v>1.3794518263033561E-3</v>
      </c>
      <c r="K4819" s="108"/>
      <c r="L4819" s="108">
        <v>3.9800000000000002E-2</v>
      </c>
      <c r="O4819" s="105"/>
    </row>
    <row r="4820" spans="2:15" x14ac:dyDescent="0.2">
      <c r="B4820" s="1">
        <f t="shared" si="276"/>
        <v>4805</v>
      </c>
      <c r="C4820" s="106">
        <f ca="1"/>
        <v>1.1985789643943808E-2</v>
      </c>
      <c r="D4820" s="106">
        <f t="shared" ca="1" si="277"/>
        <v>0.66528826654902662</v>
      </c>
      <c r="E4820" s="106">
        <f t="shared" ca="1" si="278"/>
        <v>0</v>
      </c>
      <c r="F4820" s="21">
        <f t="shared" ca="1" si="279"/>
        <v>0</v>
      </c>
      <c r="H4820" s="21">
        <v>4805</v>
      </c>
      <c r="I4820" s="107">
        <v>0.66778203248480905</v>
      </c>
      <c r="J4820" s="108">
        <v>1.4629729081652736E-3</v>
      </c>
      <c r="K4820" s="108"/>
      <c r="L4820" s="108">
        <v>4.4200000000000003E-2</v>
      </c>
      <c r="O4820" s="105"/>
    </row>
    <row r="4821" spans="2:15" x14ac:dyDescent="0.2">
      <c r="B4821" s="1">
        <f t="shared" si="276"/>
        <v>4806</v>
      </c>
      <c r="C4821" s="106">
        <f ca="1"/>
        <v>0.68116845214039912</v>
      </c>
      <c r="D4821" s="106">
        <f t="shared" ca="1" si="277"/>
        <v>0.71068514328232901</v>
      </c>
      <c r="E4821" s="106">
        <f t="shared" ca="1" si="278"/>
        <v>0</v>
      </c>
      <c r="F4821" s="21">
        <f t="shared" ca="1" si="279"/>
        <v>0</v>
      </c>
      <c r="H4821" s="21">
        <v>4806</v>
      </c>
      <c r="I4821" s="107">
        <v>0.66767418789294797</v>
      </c>
      <c r="J4821" s="108">
        <v>1.4250301126367462E-3</v>
      </c>
      <c r="K4821" s="108"/>
      <c r="L4821" s="108">
        <v>4.2599999999999999E-2</v>
      </c>
      <c r="O4821" s="105"/>
    </row>
    <row r="4822" spans="2:15" x14ac:dyDescent="0.2">
      <c r="B4822" s="1">
        <f t="shared" si="276"/>
        <v>4807</v>
      </c>
      <c r="C4822" s="106">
        <f ca="1"/>
        <v>-2.1511986735753021</v>
      </c>
      <c r="D4822" s="106">
        <f t="shared" ca="1" si="277"/>
        <v>0.537452856292855</v>
      </c>
      <c r="E4822" s="106">
        <f t="shared" ca="1" si="278"/>
        <v>0</v>
      </c>
      <c r="F4822" s="21">
        <f t="shared" ca="1" si="279"/>
        <v>0</v>
      </c>
      <c r="H4822" s="21">
        <v>4807</v>
      </c>
      <c r="I4822" s="107">
        <v>0.66777694033655921</v>
      </c>
      <c r="J4822" s="108">
        <v>1.3453585909775703E-3</v>
      </c>
      <c r="K4822" s="108"/>
      <c r="L4822" s="108">
        <v>4.36E-2</v>
      </c>
      <c r="O4822" s="105"/>
    </row>
    <row r="4823" spans="2:15" x14ac:dyDescent="0.2">
      <c r="B4823" s="1">
        <f t="shared" si="276"/>
        <v>4808</v>
      </c>
      <c r="C4823" s="106">
        <f ca="1"/>
        <v>-1.4043354765381149</v>
      </c>
      <c r="D4823" s="106">
        <f t="shared" ca="1" si="277"/>
        <v>0.57854285468083022</v>
      </c>
      <c r="E4823" s="106">
        <f t="shared" ca="1" si="278"/>
        <v>0</v>
      </c>
      <c r="F4823" s="21">
        <f t="shared" ca="1" si="279"/>
        <v>0</v>
      </c>
      <c r="H4823" s="21">
        <v>4808</v>
      </c>
      <c r="I4823" s="107">
        <v>0.66769439190734226</v>
      </c>
      <c r="J4823" s="108">
        <v>1.3188875134284804E-3</v>
      </c>
      <c r="K4823" s="108"/>
      <c r="L4823" s="108">
        <v>3.8600000000000002E-2</v>
      </c>
      <c r="O4823" s="105"/>
    </row>
    <row r="4824" spans="2:15" x14ac:dyDescent="0.2">
      <c r="B4824" s="1">
        <f t="shared" si="276"/>
        <v>4809</v>
      </c>
      <c r="C4824" s="106">
        <f ca="1"/>
        <v>-0.29216728253406216</v>
      </c>
      <c r="D4824" s="106">
        <f t="shared" ca="1" si="277"/>
        <v>0.645624695337363</v>
      </c>
      <c r="E4824" s="106">
        <f t="shared" ca="1" si="278"/>
        <v>0</v>
      </c>
      <c r="F4824" s="21">
        <f t="shared" ca="1" si="279"/>
        <v>0</v>
      </c>
      <c r="H4824" s="21">
        <v>4809</v>
      </c>
      <c r="I4824" s="107">
        <v>0.66777232360526084</v>
      </c>
      <c r="J4824" s="108">
        <v>1.5359183027078502E-3</v>
      </c>
      <c r="K4824" s="108"/>
      <c r="L4824" s="108">
        <v>4.5400000000000003E-2</v>
      </c>
      <c r="O4824" s="105"/>
    </row>
    <row r="4825" spans="2:15" x14ac:dyDescent="0.2">
      <c r="B4825" s="1">
        <f t="shared" si="276"/>
        <v>4810</v>
      </c>
      <c r="C4825" s="106">
        <f ca="1"/>
        <v>0.51245266216658869</v>
      </c>
      <c r="D4825" s="106">
        <f t="shared" ca="1" si="277"/>
        <v>0.69895554769437318</v>
      </c>
      <c r="E4825" s="106">
        <f t="shared" ca="1" si="278"/>
        <v>0</v>
      </c>
      <c r="F4825" s="21">
        <f t="shared" ca="1" si="279"/>
        <v>0</v>
      </c>
      <c r="H4825" s="21">
        <v>4810</v>
      </c>
      <c r="I4825" s="107">
        <v>0.6675228578137683</v>
      </c>
      <c r="J4825" s="108">
        <v>1.1971530713247073E-3</v>
      </c>
      <c r="K4825" s="108"/>
      <c r="L4825" s="108">
        <v>3.5200000000000002E-2</v>
      </c>
      <c r="O4825" s="105"/>
    </row>
    <row r="4826" spans="2:15" x14ac:dyDescent="0.2">
      <c r="B4826" s="1">
        <f t="shared" si="276"/>
        <v>4811</v>
      </c>
      <c r="C4826" s="106">
        <f ca="1"/>
        <v>-1.5376500591154196</v>
      </c>
      <c r="D4826" s="106">
        <f t="shared" ca="1" si="277"/>
        <v>0.57098463232929642</v>
      </c>
      <c r="E4826" s="106">
        <f t="shared" ca="1" si="278"/>
        <v>0</v>
      </c>
      <c r="F4826" s="21">
        <f t="shared" ca="1" si="279"/>
        <v>0</v>
      </c>
      <c r="H4826" s="21">
        <v>4811</v>
      </c>
      <c r="I4826" s="107">
        <v>0.66778428962638758</v>
      </c>
      <c r="J4826" s="108">
        <v>1.3592515144779658E-3</v>
      </c>
      <c r="K4826" s="108"/>
      <c r="L4826" s="108">
        <v>4.2200000000000001E-2</v>
      </c>
      <c r="O4826" s="105"/>
    </row>
    <row r="4827" spans="2:15" x14ac:dyDescent="0.2">
      <c r="B4827" s="1">
        <f t="shared" si="276"/>
        <v>4812</v>
      </c>
      <c r="C4827" s="106">
        <f ca="1"/>
        <v>0.32862119019473829</v>
      </c>
      <c r="D4827" s="106">
        <f t="shared" ca="1" si="277"/>
        <v>0.68639534470167929</v>
      </c>
      <c r="E4827" s="106">
        <f t="shared" ca="1" si="278"/>
        <v>0</v>
      </c>
      <c r="F4827" s="21">
        <f t="shared" ca="1" si="279"/>
        <v>0</v>
      </c>
      <c r="H4827" s="21">
        <v>4812</v>
      </c>
      <c r="I4827" s="107">
        <v>0.66772756348654871</v>
      </c>
      <c r="J4827" s="108">
        <v>1.3347465234824539E-3</v>
      </c>
      <c r="K4827" s="108"/>
      <c r="L4827" s="108">
        <v>3.9600000000000003E-2</v>
      </c>
      <c r="O4827" s="105"/>
    </row>
    <row r="4828" spans="2:15" x14ac:dyDescent="0.2">
      <c r="B4828" s="1">
        <f t="shared" si="276"/>
        <v>4813</v>
      </c>
      <c r="C4828" s="106">
        <f ca="1"/>
        <v>1.1891783449000448</v>
      </c>
      <c r="D4828" s="106">
        <f t="shared" ca="1" si="277"/>
        <v>0.74720551262233492</v>
      </c>
      <c r="E4828" s="106">
        <f t="shared" ca="1" si="278"/>
        <v>0</v>
      </c>
      <c r="F4828" s="21">
        <f t="shared" ca="1" si="279"/>
        <v>0</v>
      </c>
      <c r="H4828" s="21">
        <v>4813</v>
      </c>
      <c r="I4828" s="107">
        <v>0.66780851711550326</v>
      </c>
      <c r="J4828" s="108">
        <v>1.5044414043288614E-3</v>
      </c>
      <c r="K4828" s="108"/>
      <c r="L4828" s="108">
        <v>4.5999999999999999E-2</v>
      </c>
      <c r="O4828" s="105"/>
    </row>
    <row r="4829" spans="2:15" x14ac:dyDescent="0.2">
      <c r="B4829" s="1">
        <f t="shared" si="276"/>
        <v>4814</v>
      </c>
      <c r="C4829" s="106">
        <f ca="1"/>
        <v>1.0453912743841565</v>
      </c>
      <c r="D4829" s="106">
        <f t="shared" ca="1" si="277"/>
        <v>0.73668243996395733</v>
      </c>
      <c r="E4829" s="106">
        <f t="shared" ca="1" si="278"/>
        <v>0</v>
      </c>
      <c r="F4829" s="21">
        <f t="shared" ca="1" si="279"/>
        <v>0</v>
      </c>
      <c r="H4829" s="21">
        <v>4814</v>
      </c>
      <c r="I4829" s="107">
        <v>0.66785405147354227</v>
      </c>
      <c r="J4829" s="108">
        <v>1.6263713839601063E-3</v>
      </c>
      <c r="K4829" s="108"/>
      <c r="L4829" s="108">
        <v>4.4999999999999998E-2</v>
      </c>
      <c r="O4829" s="105"/>
    </row>
    <row r="4830" spans="2:15" x14ac:dyDescent="0.2">
      <c r="B4830" s="1">
        <f t="shared" si="276"/>
        <v>4815</v>
      </c>
      <c r="C4830" s="106">
        <f ca="1"/>
        <v>0.54085233218167783</v>
      </c>
      <c r="D4830" s="106">
        <f t="shared" ca="1" si="277"/>
        <v>0.70091633372871054</v>
      </c>
      <c r="E4830" s="106">
        <f t="shared" ca="1" si="278"/>
        <v>0</v>
      </c>
      <c r="F4830" s="21">
        <f t="shared" ca="1" si="279"/>
        <v>0</v>
      </c>
      <c r="H4830" s="21">
        <v>4815</v>
      </c>
      <c r="I4830" s="107">
        <v>0.66779540266385251</v>
      </c>
      <c r="J4830" s="108">
        <v>1.4552118697260075E-3</v>
      </c>
      <c r="K4830" s="108"/>
      <c r="L4830" s="108">
        <v>3.9600000000000003E-2</v>
      </c>
      <c r="O4830" s="105"/>
    </row>
    <row r="4831" spans="2:15" x14ac:dyDescent="0.2">
      <c r="B4831" s="1">
        <f t="shared" si="276"/>
        <v>4816</v>
      </c>
      <c r="C4831" s="106">
        <f ca="1"/>
        <v>-0.11756463612022351</v>
      </c>
      <c r="D4831" s="106">
        <f t="shared" ca="1" si="277"/>
        <v>0.65684062195341286</v>
      </c>
      <c r="E4831" s="106">
        <f t="shared" ca="1" si="278"/>
        <v>0</v>
      </c>
      <c r="F4831" s="21">
        <f t="shared" ca="1" si="279"/>
        <v>0</v>
      </c>
      <c r="H4831" s="21">
        <v>4816</v>
      </c>
      <c r="I4831" s="107">
        <v>0.6677370254195143</v>
      </c>
      <c r="J4831" s="108">
        <v>1.2482100060226865E-3</v>
      </c>
      <c r="K4831" s="108"/>
      <c r="L4831" s="108">
        <v>3.8800000000000001E-2</v>
      </c>
      <c r="O4831" s="105"/>
    </row>
    <row r="4832" spans="2:15" x14ac:dyDescent="0.2">
      <c r="B4832" s="1">
        <f t="shared" si="276"/>
        <v>4817</v>
      </c>
      <c r="C4832" s="106">
        <f ca="1"/>
        <v>-0.8300255464331775</v>
      </c>
      <c r="D4832" s="106">
        <f t="shared" ca="1" si="277"/>
        <v>0.6122638492077167</v>
      </c>
      <c r="E4832" s="106">
        <f t="shared" ca="1" si="278"/>
        <v>0</v>
      </c>
      <c r="F4832" s="21">
        <f t="shared" ca="1" si="279"/>
        <v>0</v>
      </c>
      <c r="H4832" s="21">
        <v>4817</v>
      </c>
      <c r="I4832" s="107">
        <v>0.66778708158508715</v>
      </c>
      <c r="J4832" s="108">
        <v>1.5286231494805081E-3</v>
      </c>
      <c r="K4832" s="108"/>
      <c r="L4832" s="108">
        <v>4.3999999999999997E-2</v>
      </c>
      <c r="O4832" s="105"/>
    </row>
    <row r="4833" spans="2:15" x14ac:dyDescent="0.2">
      <c r="B4833" s="1">
        <f t="shared" si="276"/>
        <v>4818</v>
      </c>
      <c r="C4833" s="106">
        <f ca="1"/>
        <v>1.6179350722111636</v>
      </c>
      <c r="D4833" s="106">
        <f t="shared" ca="1" si="277"/>
        <v>0.77948496211624863</v>
      </c>
      <c r="E4833" s="106">
        <f t="shared" ca="1" si="278"/>
        <v>0</v>
      </c>
      <c r="F4833" s="21">
        <f t="shared" ca="1" si="279"/>
        <v>0</v>
      </c>
      <c r="H4833" s="21">
        <v>4818</v>
      </c>
      <c r="I4833" s="107">
        <v>0.66758218217836163</v>
      </c>
      <c r="J4833" s="108">
        <v>1.1280677380928806E-3</v>
      </c>
      <c r="K4833" s="108"/>
      <c r="L4833" s="108">
        <v>3.8800000000000001E-2</v>
      </c>
      <c r="O4833" s="105"/>
    </row>
    <row r="4834" spans="2:15" x14ac:dyDescent="0.2">
      <c r="B4834" s="1">
        <f t="shared" si="276"/>
        <v>4819</v>
      </c>
      <c r="C4834" s="106">
        <f ca="1"/>
        <v>2.7392616874142042E-2</v>
      </c>
      <c r="D4834" s="106">
        <f t="shared" ca="1" si="277"/>
        <v>0.66630010697895647</v>
      </c>
      <c r="E4834" s="106">
        <f t="shared" ca="1" si="278"/>
        <v>0</v>
      </c>
      <c r="F4834" s="21">
        <f t="shared" ca="1" si="279"/>
        <v>0</v>
      </c>
      <c r="H4834" s="21">
        <v>4819</v>
      </c>
      <c r="I4834" s="107">
        <v>0.66784502312376981</v>
      </c>
      <c r="J4834" s="108">
        <v>1.5172527690586104E-3</v>
      </c>
      <c r="K4834" s="108"/>
      <c r="L4834" s="108">
        <v>4.2200000000000001E-2</v>
      </c>
      <c r="O4834" s="105"/>
    </row>
    <row r="4835" spans="2:15" x14ac:dyDescent="0.2">
      <c r="B4835" s="1">
        <f t="shared" si="276"/>
        <v>4820</v>
      </c>
      <c r="C4835" s="106">
        <f ca="1"/>
        <v>1.562541888830022</v>
      </c>
      <c r="D4835" s="106">
        <f t="shared" ca="1" si="277"/>
        <v>0.7752374267714186</v>
      </c>
      <c r="E4835" s="106">
        <f t="shared" ca="1" si="278"/>
        <v>0</v>
      </c>
      <c r="F4835" s="21">
        <f t="shared" ca="1" si="279"/>
        <v>0</v>
      </c>
      <c r="H4835" s="21">
        <v>4820</v>
      </c>
      <c r="I4835" s="107">
        <v>0.6677909325519652</v>
      </c>
      <c r="J4835" s="108">
        <v>1.4773685428995267E-3</v>
      </c>
      <c r="K4835" s="108"/>
      <c r="L4835" s="108">
        <v>4.4600000000000001E-2</v>
      </c>
      <c r="O4835" s="105"/>
    </row>
    <row r="4836" spans="2:15" x14ac:dyDescent="0.2">
      <c r="B4836" s="1">
        <f t="shared" si="276"/>
        <v>4821</v>
      </c>
      <c r="C4836" s="106">
        <f ca="1"/>
        <v>0.65225401666205352</v>
      </c>
      <c r="D4836" s="106">
        <f t="shared" ca="1" si="277"/>
        <v>0.7086610446851076</v>
      </c>
      <c r="E4836" s="106">
        <f t="shared" ca="1" si="278"/>
        <v>0</v>
      </c>
      <c r="F4836" s="21">
        <f t="shared" ca="1" si="279"/>
        <v>0</v>
      </c>
      <c r="H4836" s="21">
        <v>4821</v>
      </c>
      <c r="I4836" s="107">
        <v>0.66779122345118191</v>
      </c>
      <c r="J4836" s="108">
        <v>1.3223503429478016E-3</v>
      </c>
      <c r="K4836" s="108"/>
      <c r="L4836" s="108">
        <v>4.2799999999999998E-2</v>
      </c>
      <c r="O4836" s="105"/>
    </row>
    <row r="4837" spans="2:15" x14ac:dyDescent="0.2">
      <c r="B4837" s="1">
        <f t="shared" si="276"/>
        <v>4822</v>
      </c>
      <c r="C4837" s="106">
        <f ca="1"/>
        <v>0.86084247122334467</v>
      </c>
      <c r="D4837" s="106">
        <f t="shared" ca="1" si="277"/>
        <v>0.72339309821812547</v>
      </c>
      <c r="E4837" s="106">
        <f t="shared" ca="1" si="278"/>
        <v>0</v>
      </c>
      <c r="F4837" s="21">
        <f t="shared" ca="1" si="279"/>
        <v>0</v>
      </c>
      <c r="H4837" s="21">
        <v>4822</v>
      </c>
      <c r="I4837" s="107">
        <v>0.66792038547305888</v>
      </c>
      <c r="J4837" s="108">
        <v>1.5065065961897325E-3</v>
      </c>
      <c r="K4837" s="108"/>
      <c r="L4837" s="108">
        <v>0.05</v>
      </c>
      <c r="O4837" s="105"/>
    </row>
    <row r="4838" spans="2:15" x14ac:dyDescent="0.2">
      <c r="B4838" s="1">
        <f t="shared" si="276"/>
        <v>4823</v>
      </c>
      <c r="C4838" s="106">
        <f ca="1"/>
        <v>1.0110395758347535</v>
      </c>
      <c r="D4838" s="106">
        <f t="shared" ca="1" si="277"/>
        <v>0.7341904181506812</v>
      </c>
      <c r="E4838" s="106">
        <f t="shared" ca="1" si="278"/>
        <v>0</v>
      </c>
      <c r="F4838" s="21">
        <f t="shared" ca="1" si="279"/>
        <v>0</v>
      </c>
      <c r="H4838" s="21">
        <v>4823</v>
      </c>
      <c r="I4838" s="107">
        <v>0.66758672485004755</v>
      </c>
      <c r="J4838" s="108">
        <v>1.3181553998313804E-3</v>
      </c>
      <c r="K4838" s="108"/>
      <c r="L4838" s="108">
        <v>3.8800000000000001E-2</v>
      </c>
      <c r="O4838" s="105"/>
    </row>
    <row r="4839" spans="2:15" x14ac:dyDescent="0.2">
      <c r="B4839" s="1">
        <f t="shared" si="276"/>
        <v>4824</v>
      </c>
      <c r="C4839" s="106">
        <f ca="1"/>
        <v>-1.9790292033643027</v>
      </c>
      <c r="D4839" s="106">
        <f t="shared" ca="1" si="277"/>
        <v>0.54665837903349013</v>
      </c>
      <c r="E4839" s="106">
        <f t="shared" ca="1" si="278"/>
        <v>0</v>
      </c>
      <c r="F4839" s="21">
        <f t="shared" ca="1" si="279"/>
        <v>0</v>
      </c>
      <c r="H4839" s="21">
        <v>4824</v>
      </c>
      <c r="I4839" s="107">
        <v>0.66776602539267504</v>
      </c>
      <c r="J4839" s="108">
        <v>1.3270434997053801E-3</v>
      </c>
      <c r="K4839" s="108"/>
      <c r="L4839" s="108">
        <v>3.9800000000000002E-2</v>
      </c>
      <c r="O4839" s="105"/>
    </row>
    <row r="4840" spans="2:15" x14ac:dyDescent="0.2">
      <c r="B4840" s="1">
        <f t="shared" si="276"/>
        <v>4825</v>
      </c>
      <c r="C4840" s="106">
        <f ca="1"/>
        <v>1.5041546177308984</v>
      </c>
      <c r="D4840" s="106">
        <f t="shared" ca="1" si="277"/>
        <v>0.77078535894004085</v>
      </c>
      <c r="E4840" s="106">
        <f t="shared" ca="1" si="278"/>
        <v>0</v>
      </c>
      <c r="F4840" s="21">
        <f t="shared" ca="1" si="279"/>
        <v>0</v>
      </c>
      <c r="H4840" s="21">
        <v>4825</v>
      </c>
      <c r="I4840" s="107">
        <v>0.66761681987613397</v>
      </c>
      <c r="J4840" s="108">
        <v>1.1503016305916063E-3</v>
      </c>
      <c r="K4840" s="108"/>
      <c r="L4840" s="108">
        <v>3.9800000000000002E-2</v>
      </c>
      <c r="O4840" s="105"/>
    </row>
    <row r="4841" spans="2:15" x14ac:dyDescent="0.2">
      <c r="B4841" s="1">
        <f t="shared" si="276"/>
        <v>4826</v>
      </c>
      <c r="C4841" s="106">
        <f ca="1"/>
        <v>0.5689813978547601</v>
      </c>
      <c r="D4841" s="106">
        <f t="shared" ca="1" si="277"/>
        <v>0.70286385873858181</v>
      </c>
      <c r="E4841" s="106">
        <f t="shared" ca="1" si="278"/>
        <v>0</v>
      </c>
      <c r="F4841" s="21">
        <f t="shared" ca="1" si="279"/>
        <v>0</v>
      </c>
      <c r="H4841" s="21">
        <v>4826</v>
      </c>
      <c r="I4841" s="107">
        <v>0.66769037003394538</v>
      </c>
      <c r="J4841" s="108">
        <v>1.3794982280156548E-3</v>
      </c>
      <c r="K4841" s="108"/>
      <c r="L4841" s="108">
        <v>3.9800000000000002E-2</v>
      </c>
      <c r="O4841" s="105"/>
    </row>
    <row r="4842" spans="2:15" x14ac:dyDescent="0.2">
      <c r="B4842" s="1">
        <f t="shared" si="276"/>
        <v>4827</v>
      </c>
      <c r="C4842" s="106">
        <f ca="1"/>
        <v>0.50047164370992148</v>
      </c>
      <c r="D4842" s="106">
        <f t="shared" ca="1" si="277"/>
        <v>0.69812999349726446</v>
      </c>
      <c r="E4842" s="106">
        <f t="shared" ca="1" si="278"/>
        <v>0</v>
      </c>
      <c r="F4842" s="21">
        <f t="shared" ca="1" si="279"/>
        <v>0</v>
      </c>
      <c r="H4842" s="21">
        <v>4827</v>
      </c>
      <c r="I4842" s="107">
        <v>0.66777813032981315</v>
      </c>
      <c r="J4842" s="108">
        <v>1.2320334040856176E-3</v>
      </c>
      <c r="K4842" s="108"/>
      <c r="L4842" s="108">
        <v>3.8199999999999998E-2</v>
      </c>
      <c r="O4842" s="105"/>
    </row>
    <row r="4843" spans="2:15" x14ac:dyDescent="0.2">
      <c r="B4843" s="1">
        <f t="shared" si="276"/>
        <v>4828</v>
      </c>
      <c r="C4843" s="106">
        <f ca="1"/>
        <v>1.8309383529559244</v>
      </c>
      <c r="D4843" s="106">
        <f t="shared" ca="1" si="277"/>
        <v>0.79603592967816361</v>
      </c>
      <c r="E4843" s="106">
        <f t="shared" ca="1" si="278"/>
        <v>7.8359296781636001E-3</v>
      </c>
      <c r="F4843" s="21">
        <f t="shared" ca="1" si="279"/>
        <v>1</v>
      </c>
      <c r="H4843" s="21">
        <v>4828</v>
      </c>
      <c r="I4843" s="107">
        <v>0.66776261550762062</v>
      </c>
      <c r="J4843" s="108">
        <v>1.2568540436896864E-3</v>
      </c>
      <c r="K4843" s="108"/>
      <c r="L4843" s="108">
        <v>4.1799999999999997E-2</v>
      </c>
      <c r="O4843" s="105"/>
    </row>
    <row r="4844" spans="2:15" x14ac:dyDescent="0.2">
      <c r="B4844" s="1">
        <f t="shared" si="276"/>
        <v>4829</v>
      </c>
      <c r="C4844" s="106">
        <f ca="1"/>
        <v>1.0215372930184807</v>
      </c>
      <c r="D4844" s="106">
        <f t="shared" ca="1" si="277"/>
        <v>0.73495107251003289</v>
      </c>
      <c r="E4844" s="106">
        <f t="shared" ca="1" si="278"/>
        <v>0</v>
      </c>
      <c r="F4844" s="21">
        <f t="shared" ca="1" si="279"/>
        <v>0</v>
      </c>
      <c r="H4844" s="21">
        <v>4829</v>
      </c>
      <c r="I4844" s="107">
        <v>0.6677296401442383</v>
      </c>
      <c r="J4844" s="108">
        <v>1.292947264487056E-3</v>
      </c>
      <c r="K4844" s="108"/>
      <c r="L4844" s="108">
        <v>4.4600000000000001E-2</v>
      </c>
      <c r="O4844" s="105"/>
    </row>
    <row r="4845" spans="2:15" x14ac:dyDescent="0.2">
      <c r="B4845" s="1">
        <f t="shared" si="276"/>
        <v>4830</v>
      </c>
      <c r="C4845" s="106">
        <f ca="1"/>
        <v>0.14163187934567151</v>
      </c>
      <c r="D4845" s="106">
        <f t="shared" ca="1" si="277"/>
        <v>0.67385091523366314</v>
      </c>
      <c r="E4845" s="106">
        <f t="shared" ca="1" si="278"/>
        <v>0</v>
      </c>
      <c r="F4845" s="21">
        <f t="shared" ca="1" si="279"/>
        <v>0</v>
      </c>
      <c r="H4845" s="21">
        <v>4830</v>
      </c>
      <c r="I4845" s="107">
        <v>0.66766631493309092</v>
      </c>
      <c r="J4845" s="108">
        <v>1.2624548252175385E-3</v>
      </c>
      <c r="K4845" s="108"/>
      <c r="L4845" s="108">
        <v>4.2999999999999997E-2</v>
      </c>
      <c r="O4845" s="105"/>
    </row>
    <row r="4846" spans="2:15" x14ac:dyDescent="0.2">
      <c r="B4846" s="1">
        <f t="shared" si="276"/>
        <v>4831</v>
      </c>
      <c r="C4846" s="106">
        <f ca="1"/>
        <v>0.96623745644676418</v>
      </c>
      <c r="D4846" s="106">
        <f t="shared" ca="1" si="277"/>
        <v>0.73095293976387532</v>
      </c>
      <c r="E4846" s="106">
        <f t="shared" ca="1" si="278"/>
        <v>0</v>
      </c>
      <c r="F4846" s="21">
        <f t="shared" ca="1" si="279"/>
        <v>0</v>
      </c>
      <c r="H4846" s="21">
        <v>4831</v>
      </c>
      <c r="I4846" s="107">
        <v>0.66759102122031944</v>
      </c>
      <c r="J4846" s="108">
        <v>1.1952959630225817E-3</v>
      </c>
      <c r="K4846" s="108"/>
      <c r="L4846" s="108">
        <v>3.9199999999999999E-2</v>
      </c>
      <c r="O4846" s="105"/>
    </row>
    <row r="4847" spans="2:15" x14ac:dyDescent="0.2">
      <c r="B4847" s="1">
        <f t="shared" si="276"/>
        <v>4832</v>
      </c>
      <c r="C4847" s="106">
        <f ca="1"/>
        <v>0.52967368354112898</v>
      </c>
      <c r="D4847" s="106">
        <f t="shared" ca="1" si="277"/>
        <v>0.70014387556739888</v>
      </c>
      <c r="E4847" s="106">
        <f t="shared" ca="1" si="278"/>
        <v>0</v>
      </c>
      <c r="F4847" s="21">
        <f t="shared" ca="1" si="279"/>
        <v>0</v>
      </c>
      <c r="H4847" s="21">
        <v>4832</v>
      </c>
      <c r="I4847" s="107">
        <v>0.66769181605426786</v>
      </c>
      <c r="J4847" s="108">
        <v>1.2692482239868345E-3</v>
      </c>
      <c r="K4847" s="108"/>
      <c r="L4847" s="108">
        <v>4.1799999999999997E-2</v>
      </c>
      <c r="O4847" s="105"/>
    </row>
    <row r="4848" spans="2:15" x14ac:dyDescent="0.2">
      <c r="B4848" s="1">
        <f t="shared" ref="B4848:B4911" si="280">B4847+1</f>
        <v>4833</v>
      </c>
      <c r="C4848" s="106">
        <f ca="1"/>
        <v>0.93936254703530375</v>
      </c>
      <c r="D4848" s="106">
        <f t="shared" ca="1" si="277"/>
        <v>0.72901776673861785</v>
      </c>
      <c r="E4848" s="106">
        <f t="shared" ca="1" si="278"/>
        <v>0</v>
      </c>
      <c r="F4848" s="21">
        <f t="shared" ca="1" si="279"/>
        <v>0</v>
      </c>
      <c r="H4848" s="21">
        <v>4833</v>
      </c>
      <c r="I4848" s="107">
        <v>0.66792598569606521</v>
      </c>
      <c r="J4848" s="108">
        <v>1.4036672492761591E-3</v>
      </c>
      <c r="K4848" s="108"/>
      <c r="L4848" s="108">
        <v>4.2000000000000003E-2</v>
      </c>
      <c r="O4848" s="105"/>
    </row>
    <row r="4849" spans="2:15" x14ac:dyDescent="0.2">
      <c r="B4849" s="1">
        <f t="shared" si="280"/>
        <v>4834</v>
      </c>
      <c r="C4849" s="106">
        <f ca="1"/>
        <v>-1.6658531429973631</v>
      </c>
      <c r="D4849" s="106">
        <f t="shared" ca="1" si="277"/>
        <v>0.56380935625036932</v>
      </c>
      <c r="E4849" s="106">
        <f t="shared" ca="1" si="278"/>
        <v>0</v>
      </c>
      <c r="F4849" s="21">
        <f t="shared" ca="1" si="279"/>
        <v>0</v>
      </c>
      <c r="H4849" s="21">
        <v>4834</v>
      </c>
      <c r="I4849" s="107">
        <v>0.66775431660843121</v>
      </c>
      <c r="J4849" s="108">
        <v>1.4765172737146526E-3</v>
      </c>
      <c r="K4849" s="108"/>
      <c r="L4849" s="108">
        <v>4.6399999999999997E-2</v>
      </c>
      <c r="O4849" s="105"/>
    </row>
    <row r="4850" spans="2:15" x14ac:dyDescent="0.2">
      <c r="B4850" s="1">
        <f t="shared" si="280"/>
        <v>4835</v>
      </c>
      <c r="C4850" s="106">
        <f ca="1"/>
        <v>1.4081942901448301</v>
      </c>
      <c r="D4850" s="106">
        <f t="shared" ca="1" si="277"/>
        <v>0.76352379342672927</v>
      </c>
      <c r="E4850" s="106">
        <f t="shared" ca="1" si="278"/>
        <v>0</v>
      </c>
      <c r="F4850" s="21">
        <f t="shared" ca="1" si="279"/>
        <v>0</v>
      </c>
      <c r="H4850" s="21">
        <v>4835</v>
      </c>
      <c r="I4850" s="107">
        <v>0.66765627072796352</v>
      </c>
      <c r="J4850" s="108">
        <v>1.1569839103505993E-3</v>
      </c>
      <c r="K4850" s="108"/>
      <c r="L4850" s="108">
        <v>4.3200000000000002E-2</v>
      </c>
      <c r="O4850" s="105"/>
    </row>
    <row r="4851" spans="2:15" x14ac:dyDescent="0.2">
      <c r="B4851" s="1">
        <f t="shared" si="280"/>
        <v>4836</v>
      </c>
      <c r="C4851" s="106">
        <f ca="1"/>
        <v>-0.28225840078743902</v>
      </c>
      <c r="D4851" s="106">
        <f t="shared" ca="1" si="277"/>
        <v>0.64625605370774886</v>
      </c>
      <c r="E4851" s="106">
        <f t="shared" ca="1" si="278"/>
        <v>0</v>
      </c>
      <c r="F4851" s="21">
        <f t="shared" ca="1" si="279"/>
        <v>0</v>
      </c>
      <c r="H4851" s="21">
        <v>4836</v>
      </c>
      <c r="I4851" s="107">
        <v>0.66767383402149727</v>
      </c>
      <c r="J4851" s="108">
        <v>1.3831954026261568E-3</v>
      </c>
      <c r="K4851" s="108"/>
      <c r="L4851" s="108">
        <v>0.04</v>
      </c>
      <c r="O4851" s="105"/>
    </row>
    <row r="4852" spans="2:15" x14ac:dyDescent="0.2">
      <c r="B4852" s="1">
        <f t="shared" si="280"/>
        <v>4837</v>
      </c>
      <c r="C4852" s="106">
        <f ca="1"/>
        <v>1.1577601730143559</v>
      </c>
      <c r="D4852" s="106">
        <f t="shared" ca="1" si="277"/>
        <v>0.74489341011023924</v>
      </c>
      <c r="E4852" s="106">
        <f t="shared" ca="1" si="278"/>
        <v>0</v>
      </c>
      <c r="F4852" s="21">
        <f t="shared" ca="1" si="279"/>
        <v>0</v>
      </c>
      <c r="H4852" s="21">
        <v>4837</v>
      </c>
      <c r="I4852" s="107">
        <v>0.66785526308117638</v>
      </c>
      <c r="J4852" s="108">
        <v>1.4713944758905438E-3</v>
      </c>
      <c r="K4852" s="108"/>
      <c r="L4852" s="108">
        <v>4.36E-2</v>
      </c>
      <c r="O4852" s="105"/>
    </row>
    <row r="4853" spans="2:15" x14ac:dyDescent="0.2">
      <c r="B4853" s="1">
        <f t="shared" si="280"/>
        <v>4838</v>
      </c>
      <c r="C4853" s="106">
        <f ca="1"/>
        <v>-0.18668044270331222</v>
      </c>
      <c r="D4853" s="106">
        <f t="shared" ca="1" si="277"/>
        <v>0.6523777267727735</v>
      </c>
      <c r="E4853" s="106">
        <f t="shared" ca="1" si="278"/>
        <v>0</v>
      </c>
      <c r="F4853" s="21">
        <f t="shared" ca="1" si="279"/>
        <v>0</v>
      </c>
      <c r="H4853" s="21">
        <v>4838</v>
      </c>
      <c r="I4853" s="107">
        <v>0.66789144610672369</v>
      </c>
      <c r="J4853" s="108">
        <v>1.6345097757739016E-3</v>
      </c>
      <c r="K4853" s="108"/>
      <c r="L4853" s="108">
        <v>4.4200000000000003E-2</v>
      </c>
      <c r="O4853" s="105"/>
    </row>
    <row r="4854" spans="2:15" x14ac:dyDescent="0.2">
      <c r="B4854" s="1">
        <f t="shared" si="280"/>
        <v>4839</v>
      </c>
      <c r="C4854" s="106">
        <f ca="1"/>
        <v>-0.57666567327455487</v>
      </c>
      <c r="D4854" s="106">
        <f t="shared" ca="1" si="277"/>
        <v>0.62775820569226304</v>
      </c>
      <c r="E4854" s="106">
        <f t="shared" ca="1" si="278"/>
        <v>0</v>
      </c>
      <c r="F4854" s="21">
        <f t="shared" ca="1" si="279"/>
        <v>0</v>
      </c>
      <c r="H4854" s="21">
        <v>4839</v>
      </c>
      <c r="I4854" s="107">
        <v>0.66778058920198446</v>
      </c>
      <c r="J4854" s="108">
        <v>1.5410533748137451E-3</v>
      </c>
      <c r="K4854" s="108"/>
      <c r="L4854" s="108">
        <v>4.3999999999999997E-2</v>
      </c>
      <c r="O4854" s="105"/>
    </row>
    <row r="4855" spans="2:15" x14ac:dyDescent="0.2">
      <c r="B4855" s="1">
        <f t="shared" si="280"/>
        <v>4840</v>
      </c>
      <c r="C4855" s="106">
        <f ca="1"/>
        <v>-0.74466818822962599</v>
      </c>
      <c r="D4855" s="106">
        <f t="shared" ca="1" si="277"/>
        <v>0.6174407291651729</v>
      </c>
      <c r="E4855" s="106">
        <f t="shared" ca="1" si="278"/>
        <v>0</v>
      </c>
      <c r="F4855" s="21">
        <f t="shared" ca="1" si="279"/>
        <v>0</v>
      </c>
      <c r="H4855" s="21">
        <v>4840</v>
      </c>
      <c r="I4855" s="107">
        <v>0.66762131320403473</v>
      </c>
      <c r="J4855" s="108">
        <v>1.2503639529481061E-3</v>
      </c>
      <c r="K4855" s="108"/>
      <c r="L4855" s="108">
        <v>3.9199999999999999E-2</v>
      </c>
      <c r="O4855" s="105"/>
    </row>
    <row r="4856" spans="2:15" x14ac:dyDescent="0.2">
      <c r="B4856" s="1">
        <f t="shared" si="280"/>
        <v>4841</v>
      </c>
      <c r="C4856" s="106">
        <f ca="1"/>
        <v>-3.1455138498003493E-2</v>
      </c>
      <c r="D4856" s="106">
        <f t="shared" ca="1" si="277"/>
        <v>0.66244355850187109</v>
      </c>
      <c r="E4856" s="106">
        <f t="shared" ca="1" si="278"/>
        <v>0</v>
      </c>
      <c r="F4856" s="21">
        <f t="shared" ca="1" si="279"/>
        <v>0</v>
      </c>
      <c r="H4856" s="21">
        <v>4841</v>
      </c>
      <c r="I4856" s="107">
        <v>0.66770191442059523</v>
      </c>
      <c r="J4856" s="108">
        <v>1.4498128942192995E-3</v>
      </c>
      <c r="K4856" s="108"/>
      <c r="L4856" s="108">
        <v>4.1399999999999999E-2</v>
      </c>
      <c r="O4856" s="105"/>
    </row>
    <row r="4857" spans="2:15" x14ac:dyDescent="0.2">
      <c r="B4857" s="1">
        <f t="shared" si="280"/>
        <v>4842</v>
      </c>
      <c r="C4857" s="106">
        <f ca="1"/>
        <v>0.6225254923322131</v>
      </c>
      <c r="D4857" s="106">
        <f t="shared" ca="1" si="277"/>
        <v>0.70658596779990823</v>
      </c>
      <c r="E4857" s="106">
        <f t="shared" ca="1" si="278"/>
        <v>0</v>
      </c>
      <c r="F4857" s="21">
        <f t="shared" ca="1" si="279"/>
        <v>0</v>
      </c>
      <c r="H4857" s="21">
        <v>4842</v>
      </c>
      <c r="I4857" s="107">
        <v>0.66770702587983954</v>
      </c>
      <c r="J4857" s="108">
        <v>1.2126437129544019E-3</v>
      </c>
      <c r="K4857" s="108"/>
      <c r="L4857" s="108">
        <v>4.1000000000000002E-2</v>
      </c>
      <c r="O4857" s="105"/>
    </row>
    <row r="4858" spans="2:15" x14ac:dyDescent="0.2">
      <c r="B4858" s="1">
        <f t="shared" si="280"/>
        <v>4843</v>
      </c>
      <c r="C4858" s="106">
        <f ca="1"/>
        <v>-1.3333924514662858</v>
      </c>
      <c r="D4858" s="106">
        <f t="shared" ca="1" si="277"/>
        <v>0.58260564680556914</v>
      </c>
      <c r="E4858" s="106">
        <f t="shared" ca="1" si="278"/>
        <v>0</v>
      </c>
      <c r="F4858" s="21">
        <f t="shared" ca="1" si="279"/>
        <v>0</v>
      </c>
      <c r="H4858" s="21">
        <v>4843</v>
      </c>
      <c r="I4858" s="107">
        <v>0.66778497596752551</v>
      </c>
      <c r="J4858" s="108">
        <v>1.4298682847565317E-3</v>
      </c>
      <c r="K4858" s="108"/>
      <c r="L4858" s="108">
        <v>4.1599999999999998E-2</v>
      </c>
      <c r="O4858" s="105"/>
    </row>
    <row r="4859" spans="2:15" x14ac:dyDescent="0.2">
      <c r="B4859" s="1">
        <f t="shared" si="280"/>
        <v>4844</v>
      </c>
      <c r="C4859" s="106">
        <f ca="1"/>
        <v>0.21899734894216075</v>
      </c>
      <c r="D4859" s="106">
        <f t="shared" ca="1" si="277"/>
        <v>0.67901303513309885</v>
      </c>
      <c r="E4859" s="106">
        <f t="shared" ca="1" si="278"/>
        <v>0</v>
      </c>
      <c r="F4859" s="21">
        <f t="shared" ca="1" si="279"/>
        <v>0</v>
      </c>
      <c r="H4859" s="21">
        <v>4844</v>
      </c>
      <c r="I4859" s="107">
        <v>0.66772278037416877</v>
      </c>
      <c r="J4859" s="108">
        <v>1.4114093282060825E-3</v>
      </c>
      <c r="K4859" s="108"/>
      <c r="L4859" s="108">
        <v>3.8800000000000001E-2</v>
      </c>
      <c r="O4859" s="105"/>
    </row>
    <row r="4860" spans="2:15" x14ac:dyDescent="0.2">
      <c r="B4860" s="1">
        <f t="shared" si="280"/>
        <v>4845</v>
      </c>
      <c r="C4860" s="106">
        <f ca="1"/>
        <v>-0.31702885030468925</v>
      </c>
      <c r="D4860" s="106">
        <f t="shared" ca="1" si="277"/>
        <v>0.64404331939304205</v>
      </c>
      <c r="E4860" s="106">
        <f t="shared" ca="1" si="278"/>
        <v>0</v>
      </c>
      <c r="F4860" s="21">
        <f t="shared" ca="1" si="279"/>
        <v>0</v>
      </c>
      <c r="H4860" s="21">
        <v>4845</v>
      </c>
      <c r="I4860" s="107">
        <v>0.66759599512062007</v>
      </c>
      <c r="J4860" s="108">
        <v>1.2788155650737159E-3</v>
      </c>
      <c r="K4860" s="108"/>
      <c r="L4860" s="108">
        <v>3.9E-2</v>
      </c>
      <c r="O4860" s="105"/>
    </row>
    <row r="4861" spans="2:15" x14ac:dyDescent="0.2">
      <c r="B4861" s="1">
        <f t="shared" si="280"/>
        <v>4846</v>
      </c>
      <c r="C4861" s="106">
        <f ca="1"/>
        <v>-0.1717251801220761</v>
      </c>
      <c r="D4861" s="106">
        <f t="shared" ca="1" si="277"/>
        <v>0.653340829128081</v>
      </c>
      <c r="E4861" s="106">
        <f t="shared" ca="1" si="278"/>
        <v>0</v>
      </c>
      <c r="F4861" s="21">
        <f t="shared" ca="1" si="279"/>
        <v>0</v>
      </c>
      <c r="H4861" s="21">
        <v>4846</v>
      </c>
      <c r="I4861" s="107">
        <v>0.66777758194982129</v>
      </c>
      <c r="J4861" s="108">
        <v>1.284530698677128E-3</v>
      </c>
      <c r="K4861" s="108"/>
      <c r="L4861" s="108">
        <v>4.1200000000000001E-2</v>
      </c>
      <c r="O4861" s="105"/>
    </row>
    <row r="4862" spans="2:15" x14ac:dyDescent="0.2">
      <c r="B4862" s="1">
        <f t="shared" si="280"/>
        <v>4847</v>
      </c>
      <c r="C4862" s="106">
        <f ca="1"/>
        <v>-0.140796068848588</v>
      </c>
      <c r="D4862" s="106">
        <f t="shared" ca="1" si="277"/>
        <v>0.65533714289383194</v>
      </c>
      <c r="E4862" s="106">
        <f t="shared" ca="1" si="278"/>
        <v>0</v>
      </c>
      <c r="F4862" s="21">
        <f t="shared" ca="1" si="279"/>
        <v>0</v>
      </c>
      <c r="H4862" s="21">
        <v>4847</v>
      </c>
      <c r="I4862" s="107">
        <v>0.66781936263152131</v>
      </c>
      <c r="J4862" s="108">
        <v>1.3553300250083373E-3</v>
      </c>
      <c r="K4862" s="108"/>
      <c r="L4862" s="108">
        <v>4.1399999999999999E-2</v>
      </c>
      <c r="O4862" s="105"/>
    </row>
    <row r="4863" spans="2:15" x14ac:dyDescent="0.2">
      <c r="B4863" s="1">
        <f t="shared" si="280"/>
        <v>4848</v>
      </c>
      <c r="C4863" s="106">
        <f ca="1"/>
        <v>0.90753860749376403</v>
      </c>
      <c r="D4863" s="106">
        <f t="shared" ca="1" si="277"/>
        <v>0.7267328547662294</v>
      </c>
      <c r="E4863" s="106">
        <f t="shared" ca="1" si="278"/>
        <v>0</v>
      </c>
      <c r="F4863" s="21">
        <f t="shared" ca="1" si="279"/>
        <v>0</v>
      </c>
      <c r="H4863" s="21">
        <v>4848</v>
      </c>
      <c r="I4863" s="107">
        <v>0.6677912919926452</v>
      </c>
      <c r="J4863" s="108">
        <v>1.4543191301806533E-3</v>
      </c>
      <c r="K4863" s="108"/>
      <c r="L4863" s="108">
        <v>4.3200000000000002E-2</v>
      </c>
      <c r="O4863" s="105"/>
    </row>
    <row r="4864" spans="2:15" x14ac:dyDescent="0.2">
      <c r="B4864" s="1">
        <f t="shared" si="280"/>
        <v>4849</v>
      </c>
      <c r="C4864" s="106">
        <f ca="1"/>
        <v>0.2981273006053537</v>
      </c>
      <c r="D4864" s="106">
        <f t="shared" ca="1" si="277"/>
        <v>0.6843337986175696</v>
      </c>
      <c r="E4864" s="106">
        <f t="shared" ca="1" si="278"/>
        <v>0</v>
      </c>
      <c r="F4864" s="21">
        <f t="shared" ca="1" si="279"/>
        <v>0</v>
      </c>
      <c r="H4864" s="21">
        <v>4849</v>
      </c>
      <c r="I4864" s="107">
        <v>0.667700687600291</v>
      </c>
      <c r="J4864" s="108">
        <v>1.3249284192560881E-3</v>
      </c>
      <c r="K4864" s="108"/>
      <c r="L4864" s="108">
        <v>0.04</v>
      </c>
      <c r="O4864" s="105"/>
    </row>
    <row r="4865" spans="2:15" x14ac:dyDescent="0.2">
      <c r="B4865" s="1">
        <f t="shared" si="280"/>
        <v>4850</v>
      </c>
      <c r="C4865" s="106">
        <f ca="1"/>
        <v>1.5389208763602091</v>
      </c>
      <c r="D4865" s="106">
        <f t="shared" ca="1" si="277"/>
        <v>0.77343322010024373</v>
      </c>
      <c r="E4865" s="106">
        <f t="shared" ca="1" si="278"/>
        <v>0</v>
      </c>
      <c r="F4865" s="21">
        <f t="shared" ca="1" si="279"/>
        <v>0</v>
      </c>
      <c r="H4865" s="21">
        <v>4850</v>
      </c>
      <c r="I4865" s="107">
        <v>0.6677757166334708</v>
      </c>
      <c r="J4865" s="108">
        <v>1.3257013875134125E-3</v>
      </c>
      <c r="K4865" s="108"/>
      <c r="L4865" s="108">
        <v>4.2799999999999998E-2</v>
      </c>
      <c r="O4865" s="105"/>
    </row>
    <row r="4866" spans="2:15" x14ac:dyDescent="0.2">
      <c r="B4866" s="1">
        <f t="shared" si="280"/>
        <v>4851</v>
      </c>
      <c r="C4866" s="106">
        <f ca="1"/>
        <v>0.64728564938203248</v>
      </c>
      <c r="D4866" s="106">
        <f t="shared" ca="1" si="277"/>
        <v>0.70831382468152015</v>
      </c>
      <c r="E4866" s="106">
        <f t="shared" ca="1" si="278"/>
        <v>0</v>
      </c>
      <c r="F4866" s="21">
        <f t="shared" ca="1" si="279"/>
        <v>0</v>
      </c>
      <c r="H4866" s="21">
        <v>4851</v>
      </c>
      <c r="I4866" s="107">
        <v>0.66770733796857018</v>
      </c>
      <c r="J4866" s="108">
        <v>1.4118301982100848E-3</v>
      </c>
      <c r="K4866" s="108"/>
      <c r="L4866" s="108">
        <v>4.2999999999999997E-2</v>
      </c>
      <c r="O4866" s="105"/>
    </row>
    <row r="4867" spans="2:15" x14ac:dyDescent="0.2">
      <c r="B4867" s="1">
        <f t="shared" si="280"/>
        <v>4852</v>
      </c>
      <c r="C4867" s="106">
        <f ca="1"/>
        <v>-1.6658983366019788</v>
      </c>
      <c r="D4867" s="106">
        <f t="shared" ca="1" si="277"/>
        <v>0.56380684281806281</v>
      </c>
      <c r="E4867" s="106">
        <f t="shared" ca="1" si="278"/>
        <v>0</v>
      </c>
      <c r="F4867" s="21">
        <f t="shared" ca="1" si="279"/>
        <v>0</v>
      </c>
      <c r="H4867" s="21">
        <v>4852</v>
      </c>
      <c r="I4867" s="107">
        <v>0.66774686975549979</v>
      </c>
      <c r="J4867" s="108">
        <v>1.4752711102215862E-3</v>
      </c>
      <c r="K4867" s="108"/>
      <c r="L4867" s="108">
        <v>4.5400000000000003E-2</v>
      </c>
      <c r="O4867" s="105"/>
    </row>
    <row r="4868" spans="2:15" x14ac:dyDescent="0.2">
      <c r="B4868" s="1">
        <f t="shared" si="280"/>
        <v>4853</v>
      </c>
      <c r="C4868" s="106">
        <f ca="1"/>
        <v>1.5669273992909845</v>
      </c>
      <c r="D4868" s="106">
        <f t="shared" ca="1" si="277"/>
        <v>0.77557286126715252</v>
      </c>
      <c r="E4868" s="106">
        <f t="shared" ca="1" si="278"/>
        <v>0</v>
      </c>
      <c r="F4868" s="21">
        <f t="shared" ca="1" si="279"/>
        <v>0</v>
      </c>
      <c r="H4868" s="21">
        <v>4853</v>
      </c>
      <c r="I4868" s="107">
        <v>0.66772021402469794</v>
      </c>
      <c r="J4868" s="108">
        <v>1.2415585868267584E-3</v>
      </c>
      <c r="K4868" s="108"/>
      <c r="L4868" s="108">
        <v>3.6999999999999998E-2</v>
      </c>
      <c r="O4868" s="105"/>
    </row>
    <row r="4869" spans="2:15" x14ac:dyDescent="0.2">
      <c r="B4869" s="1">
        <f t="shared" si="280"/>
        <v>4854</v>
      </c>
      <c r="C4869" s="106">
        <f ca="1"/>
        <v>1.0159153030491481</v>
      </c>
      <c r="D4869" s="106">
        <f t="shared" ca="1" si="277"/>
        <v>0.73454361063501616</v>
      </c>
      <c r="E4869" s="106">
        <f t="shared" ca="1" si="278"/>
        <v>0</v>
      </c>
      <c r="F4869" s="21">
        <f t="shared" ca="1" si="279"/>
        <v>0</v>
      </c>
      <c r="H4869" s="21">
        <v>4854</v>
      </c>
      <c r="I4869" s="107">
        <v>0.66779491233229438</v>
      </c>
      <c r="J4869" s="108">
        <v>1.5039668760902212E-3</v>
      </c>
      <c r="K4869" s="108"/>
      <c r="L4869" s="108">
        <v>4.3200000000000002E-2</v>
      </c>
      <c r="O4869" s="105"/>
    </row>
    <row r="4870" spans="2:15" x14ac:dyDescent="0.2">
      <c r="B4870" s="1">
        <f t="shared" si="280"/>
        <v>4855</v>
      </c>
      <c r="C4870" s="106">
        <f ca="1"/>
        <v>-1.2454356215436742</v>
      </c>
      <c r="D4870" s="106">
        <f t="shared" ca="1" si="277"/>
        <v>0.58768242897087686</v>
      </c>
      <c r="E4870" s="106">
        <f t="shared" ca="1" si="278"/>
        <v>0</v>
      </c>
      <c r="F4870" s="21">
        <f t="shared" ca="1" si="279"/>
        <v>0</v>
      </c>
      <c r="H4870" s="21">
        <v>4855</v>
      </c>
      <c r="I4870" s="107">
        <v>0.6677912031780433</v>
      </c>
      <c r="J4870" s="108">
        <v>1.3603097593207845E-3</v>
      </c>
      <c r="K4870" s="108"/>
      <c r="L4870" s="108">
        <v>4.3999999999999997E-2</v>
      </c>
      <c r="O4870" s="105"/>
    </row>
    <row r="4871" spans="2:15" x14ac:dyDescent="0.2">
      <c r="B4871" s="1">
        <f t="shared" si="280"/>
        <v>4856</v>
      </c>
      <c r="C4871" s="106">
        <f ca="1"/>
        <v>0.10751410796605994</v>
      </c>
      <c r="D4871" s="106">
        <f t="shared" ca="1" si="277"/>
        <v>0.6715869341662285</v>
      </c>
      <c r="E4871" s="106">
        <f t="shared" ca="1" si="278"/>
        <v>0</v>
      </c>
      <c r="F4871" s="21">
        <f t="shared" ca="1" si="279"/>
        <v>0</v>
      </c>
      <c r="H4871" s="21">
        <v>4856</v>
      </c>
      <c r="I4871" s="107">
        <v>0.66787740966234366</v>
      </c>
      <c r="J4871" s="108">
        <v>1.6110630558516675E-3</v>
      </c>
      <c r="K4871" s="108"/>
      <c r="L4871" s="108">
        <v>4.5600000000000002E-2</v>
      </c>
      <c r="O4871" s="105"/>
    </row>
    <row r="4872" spans="2:15" x14ac:dyDescent="0.2">
      <c r="B4872" s="1">
        <f t="shared" si="280"/>
        <v>4857</v>
      </c>
      <c r="C4872" s="106">
        <f ca="1"/>
        <v>0.50337663289720103</v>
      </c>
      <c r="D4872" s="106">
        <f t="shared" ca="1" si="277"/>
        <v>0.69833007269770531</v>
      </c>
      <c r="E4872" s="106">
        <f t="shared" ca="1" si="278"/>
        <v>0</v>
      </c>
      <c r="F4872" s="21">
        <f t="shared" ca="1" si="279"/>
        <v>0</v>
      </c>
      <c r="H4872" s="21">
        <v>4857</v>
      </c>
      <c r="I4872" s="107">
        <v>0.66764110174582958</v>
      </c>
      <c r="J4872" s="108">
        <v>1.2857688350863838E-3</v>
      </c>
      <c r="K4872" s="108"/>
      <c r="L4872" s="108">
        <v>3.6600000000000001E-2</v>
      </c>
      <c r="O4872" s="105"/>
    </row>
    <row r="4873" spans="2:15" x14ac:dyDescent="0.2">
      <c r="B4873" s="1">
        <f t="shared" si="280"/>
        <v>4858</v>
      </c>
      <c r="C4873" s="106">
        <f ca="1"/>
        <v>0.98496402935552152</v>
      </c>
      <c r="D4873" s="106">
        <f t="shared" ca="1" si="277"/>
        <v>0.73230441409888591</v>
      </c>
      <c r="E4873" s="106">
        <f t="shared" ca="1" si="278"/>
        <v>0</v>
      </c>
      <c r="F4873" s="21">
        <f t="shared" ca="1" si="279"/>
        <v>0</v>
      </c>
      <c r="H4873" s="21">
        <v>4858</v>
      </c>
      <c r="I4873" s="107">
        <v>0.66781027369222412</v>
      </c>
      <c r="J4873" s="108">
        <v>1.3924024394730882E-3</v>
      </c>
      <c r="K4873" s="108"/>
      <c r="L4873" s="108">
        <v>3.8800000000000001E-2</v>
      </c>
      <c r="O4873" s="105"/>
    </row>
    <row r="4874" spans="2:15" x14ac:dyDescent="0.2">
      <c r="B4874" s="1">
        <f t="shared" si="280"/>
        <v>4859</v>
      </c>
      <c r="C4874" s="106">
        <f ca="1"/>
        <v>0.80980949732313567</v>
      </c>
      <c r="D4874" s="106">
        <f t="shared" ca="1" si="277"/>
        <v>0.71976071645357442</v>
      </c>
      <c r="E4874" s="106">
        <f t="shared" ca="1" si="278"/>
        <v>0</v>
      </c>
      <c r="F4874" s="21">
        <f t="shared" ca="1" si="279"/>
        <v>0</v>
      </c>
      <c r="H4874" s="21">
        <v>4859</v>
      </c>
      <c r="I4874" s="107">
        <v>0.66773907665463217</v>
      </c>
      <c r="J4874" s="108">
        <v>1.2695233003323697E-3</v>
      </c>
      <c r="K4874" s="108"/>
      <c r="L4874" s="108">
        <v>3.9399999999999998E-2</v>
      </c>
      <c r="O4874" s="105"/>
    </row>
    <row r="4875" spans="2:15" x14ac:dyDescent="0.2">
      <c r="B4875" s="1">
        <f t="shared" si="280"/>
        <v>4860</v>
      </c>
      <c r="C4875" s="106">
        <f ca="1"/>
        <v>-0.42177631971860396</v>
      </c>
      <c r="D4875" s="106">
        <f t="shared" ca="1" si="277"/>
        <v>0.63742304799977934</v>
      </c>
      <c r="E4875" s="106">
        <f t="shared" ca="1" si="278"/>
        <v>0</v>
      </c>
      <c r="F4875" s="21">
        <f t="shared" ca="1" si="279"/>
        <v>0</v>
      </c>
      <c r="H4875" s="21">
        <v>4860</v>
      </c>
      <c r="I4875" s="107">
        <v>0.667918807410253</v>
      </c>
      <c r="J4875" s="108">
        <v>1.4260177539605905E-3</v>
      </c>
      <c r="K4875" s="108"/>
      <c r="L4875" s="108">
        <v>4.4600000000000001E-2</v>
      </c>
      <c r="O4875" s="105"/>
    </row>
    <row r="4876" spans="2:15" x14ac:dyDescent="0.2">
      <c r="B4876" s="1">
        <f t="shared" si="280"/>
        <v>4861</v>
      </c>
      <c r="C4876" s="106">
        <f ca="1"/>
        <v>0.76143981250794524</v>
      </c>
      <c r="D4876" s="106">
        <f t="shared" ca="1" si="277"/>
        <v>0.71633473785170731</v>
      </c>
      <c r="E4876" s="106">
        <f t="shared" ca="1" si="278"/>
        <v>0</v>
      </c>
      <c r="F4876" s="21">
        <f t="shared" ca="1" si="279"/>
        <v>0</v>
      </c>
      <c r="H4876" s="21">
        <v>4861</v>
      </c>
      <c r="I4876" s="107">
        <v>0.66756502880271917</v>
      </c>
      <c r="J4876" s="108">
        <v>1.2954558582957808E-3</v>
      </c>
      <c r="K4876" s="108"/>
      <c r="L4876" s="108">
        <v>3.6200000000000003E-2</v>
      </c>
      <c r="O4876" s="105"/>
    </row>
    <row r="4877" spans="2:15" x14ac:dyDescent="0.2">
      <c r="B4877" s="1">
        <f t="shared" si="280"/>
        <v>4862</v>
      </c>
      <c r="C4877" s="106">
        <f ca="1"/>
        <v>-9.0150335192612632E-2</v>
      </c>
      <c r="D4877" s="106">
        <f t="shared" ca="1" si="277"/>
        <v>0.65861924296390162</v>
      </c>
      <c r="E4877" s="106">
        <f t="shared" ca="1" si="278"/>
        <v>0</v>
      </c>
      <c r="F4877" s="21">
        <f t="shared" ca="1" si="279"/>
        <v>0</v>
      </c>
      <c r="H4877" s="21">
        <v>4862</v>
      </c>
      <c r="I4877" s="107">
        <v>0.66765882198107362</v>
      </c>
      <c r="J4877" s="108">
        <v>1.3119766105210964E-3</v>
      </c>
      <c r="K4877" s="108"/>
      <c r="L4877" s="108">
        <v>4.0599999999999997E-2</v>
      </c>
      <c r="O4877" s="105"/>
    </row>
    <row r="4878" spans="2:15" x14ac:dyDescent="0.2">
      <c r="B4878" s="1">
        <f t="shared" si="280"/>
        <v>4863</v>
      </c>
      <c r="C4878" s="106">
        <f ca="1"/>
        <v>-0.36475860879429861</v>
      </c>
      <c r="D4878" s="106">
        <f t="shared" ca="1" si="277"/>
        <v>0.6410182087634354</v>
      </c>
      <c r="E4878" s="106">
        <f t="shared" ca="1" si="278"/>
        <v>0</v>
      </c>
      <c r="F4878" s="21">
        <f t="shared" ca="1" si="279"/>
        <v>0</v>
      </c>
      <c r="H4878" s="21">
        <v>4863</v>
      </c>
      <c r="I4878" s="107">
        <v>0.66753803293506142</v>
      </c>
      <c r="J4878" s="108">
        <v>1.0783195495014087E-3</v>
      </c>
      <c r="K4878" s="108"/>
      <c r="L4878" s="108">
        <v>3.6400000000000002E-2</v>
      </c>
      <c r="O4878" s="105"/>
    </row>
    <row r="4879" spans="2:15" x14ac:dyDescent="0.2">
      <c r="B4879" s="1">
        <f t="shared" si="280"/>
        <v>4864</v>
      </c>
      <c r="C4879" s="106">
        <f ca="1"/>
        <v>-0.73777704818316214</v>
      </c>
      <c r="D4879" s="106">
        <f t="shared" ca="1" si="277"/>
        <v>0.61786057791589333</v>
      </c>
      <c r="E4879" s="106">
        <f t="shared" ca="1" si="278"/>
        <v>0</v>
      </c>
      <c r="F4879" s="21">
        <f t="shared" ca="1" si="279"/>
        <v>0</v>
      </c>
      <c r="H4879" s="21">
        <v>4864</v>
      </c>
      <c r="I4879" s="107">
        <v>0.66791564378230051</v>
      </c>
      <c r="J4879" s="108">
        <v>1.5501506030851234E-3</v>
      </c>
      <c r="K4879" s="108"/>
      <c r="L4879" s="108">
        <v>4.48E-2</v>
      </c>
      <c r="O4879" s="105"/>
    </row>
    <row r="4880" spans="2:15" x14ac:dyDescent="0.2">
      <c r="B4880" s="1">
        <f t="shared" si="280"/>
        <v>4865</v>
      </c>
      <c r="C4880" s="106">
        <f ca="1"/>
        <v>-1.1103704985694742</v>
      </c>
      <c r="D4880" s="106">
        <f t="shared" ref="D4880:D4943" ca="1" si="281">S0*EXP((μ-0.5*σ*σ)*T+σ*SQRT(T)*$C4880)</f>
        <v>0.59556451354158191</v>
      </c>
      <c r="E4880" s="106">
        <f t="shared" ref="E4880:E4943" ca="1" si="282">MAX(0,CP*(D4880-K))</f>
        <v>0</v>
      </c>
      <c r="F4880" s="21">
        <f t="shared" ref="F4880:F4943" ca="1" si="283">(CP*(D4880-K)&gt;0)*1</f>
        <v>0</v>
      </c>
      <c r="H4880" s="21">
        <v>4865</v>
      </c>
      <c r="I4880" s="107">
        <v>0.66782675821542936</v>
      </c>
      <c r="J4880" s="108">
        <v>1.5456223722138257E-3</v>
      </c>
      <c r="K4880" s="108"/>
      <c r="L4880" s="108">
        <v>4.24E-2</v>
      </c>
      <c r="O4880" s="105"/>
    </row>
    <row r="4881" spans="2:15" x14ac:dyDescent="0.2">
      <c r="B4881" s="1">
        <f t="shared" si="280"/>
        <v>4866</v>
      </c>
      <c r="C4881" s="106">
        <f ca="1"/>
        <v>1.4354918939148036</v>
      </c>
      <c r="D4881" s="106">
        <f t="shared" ca="1" si="281"/>
        <v>0.76558248287752251</v>
      </c>
      <c r="E4881" s="106">
        <f t="shared" ca="1" si="282"/>
        <v>0</v>
      </c>
      <c r="F4881" s="21">
        <f t="shared" ca="1" si="283"/>
        <v>0</v>
      </c>
      <c r="H4881" s="21">
        <v>4866</v>
      </c>
      <c r="I4881" s="107">
        <v>0.66754846833772563</v>
      </c>
      <c r="J4881" s="108">
        <v>1.171659984763717E-3</v>
      </c>
      <c r="K4881" s="108"/>
      <c r="L4881" s="108">
        <v>3.7999999999999999E-2</v>
      </c>
      <c r="O4881" s="105"/>
    </row>
    <row r="4882" spans="2:15" x14ac:dyDescent="0.2">
      <c r="B4882" s="1">
        <f t="shared" si="280"/>
        <v>4867</v>
      </c>
      <c r="C4882" s="106">
        <f ca="1"/>
        <v>0.2145127851567413</v>
      </c>
      <c r="D4882" s="106">
        <f t="shared" ca="1" si="281"/>
        <v>0.67871273110104402</v>
      </c>
      <c r="E4882" s="106">
        <f t="shared" ca="1" si="282"/>
        <v>0</v>
      </c>
      <c r="F4882" s="21">
        <f t="shared" ca="1" si="283"/>
        <v>0</v>
      </c>
      <c r="H4882" s="21">
        <v>4867</v>
      </c>
      <c r="I4882" s="107">
        <v>0.66758058418638733</v>
      </c>
      <c r="J4882" s="108">
        <v>1.1951833679784824E-3</v>
      </c>
      <c r="K4882" s="108"/>
      <c r="L4882" s="108">
        <v>3.6400000000000002E-2</v>
      </c>
      <c r="O4882" s="105"/>
    </row>
    <row r="4883" spans="2:15" x14ac:dyDescent="0.2">
      <c r="B4883" s="1">
        <f t="shared" si="280"/>
        <v>4868</v>
      </c>
      <c r="C4883" s="106">
        <f ca="1"/>
        <v>1.071428442168024</v>
      </c>
      <c r="D4883" s="106">
        <f t="shared" ca="1" si="281"/>
        <v>0.73857692329185454</v>
      </c>
      <c r="E4883" s="106">
        <f t="shared" ca="1" si="282"/>
        <v>0</v>
      </c>
      <c r="F4883" s="21">
        <f t="shared" ca="1" si="283"/>
        <v>0</v>
      </c>
      <c r="H4883" s="21">
        <v>4868</v>
      </c>
      <c r="I4883" s="107">
        <v>0.66761733798883871</v>
      </c>
      <c r="J4883" s="108">
        <v>1.0921446135330744E-3</v>
      </c>
      <c r="K4883" s="108"/>
      <c r="L4883" s="108">
        <v>3.7199999999999997E-2</v>
      </c>
      <c r="O4883" s="105"/>
    </row>
    <row r="4884" spans="2:15" x14ac:dyDescent="0.2">
      <c r="B4884" s="1">
        <f t="shared" si="280"/>
        <v>4869</v>
      </c>
      <c r="C4884" s="106">
        <f ca="1"/>
        <v>0.67175790054549855</v>
      </c>
      <c r="D4884" s="106">
        <f t="shared" ca="1" si="281"/>
        <v>0.71002574219038983</v>
      </c>
      <c r="E4884" s="106">
        <f t="shared" ca="1" si="282"/>
        <v>0</v>
      </c>
      <c r="F4884" s="21">
        <f t="shared" ca="1" si="283"/>
        <v>0</v>
      </c>
      <c r="H4884" s="21">
        <v>4869</v>
      </c>
      <c r="I4884" s="107">
        <v>0.66767870432903831</v>
      </c>
      <c r="J4884" s="108">
        <v>1.2872688217755749E-3</v>
      </c>
      <c r="K4884" s="108"/>
      <c r="L4884" s="108">
        <v>0.04</v>
      </c>
      <c r="O4884" s="105"/>
    </row>
    <row r="4885" spans="2:15" x14ac:dyDescent="0.2">
      <c r="B4885" s="1">
        <f t="shared" si="280"/>
        <v>4870</v>
      </c>
      <c r="C4885" s="106">
        <f ca="1"/>
        <v>-0.69142184561764208</v>
      </c>
      <c r="D4885" s="106">
        <f t="shared" ca="1" si="281"/>
        <v>0.62069223828533471</v>
      </c>
      <c r="E4885" s="106">
        <f t="shared" ca="1" si="282"/>
        <v>0</v>
      </c>
      <c r="F4885" s="21">
        <f t="shared" ca="1" si="283"/>
        <v>0</v>
      </c>
      <c r="H4885" s="21">
        <v>4870</v>
      </c>
      <c r="I4885" s="107">
        <v>0.66770686593268092</v>
      </c>
      <c r="J4885" s="108">
        <v>1.3548514596090522E-3</v>
      </c>
      <c r="K4885" s="108"/>
      <c r="L4885" s="108">
        <v>4.2599999999999999E-2</v>
      </c>
      <c r="O4885" s="105"/>
    </row>
    <row r="4886" spans="2:15" x14ac:dyDescent="0.2">
      <c r="B4886" s="1">
        <f t="shared" si="280"/>
        <v>4871</v>
      </c>
      <c r="C4886" s="106">
        <f ca="1"/>
        <v>-0.60809182016950947</v>
      </c>
      <c r="D4886" s="106">
        <f t="shared" ca="1" si="281"/>
        <v>0.62581522059021344</v>
      </c>
      <c r="E4886" s="106">
        <f t="shared" ca="1" si="282"/>
        <v>0</v>
      </c>
      <c r="F4886" s="21">
        <f t="shared" ca="1" si="283"/>
        <v>0</v>
      </c>
      <c r="H4886" s="21">
        <v>4871</v>
      </c>
      <c r="I4886" s="107">
        <v>0.66764589099231098</v>
      </c>
      <c r="J4886" s="108">
        <v>1.1471195259021324E-3</v>
      </c>
      <c r="K4886" s="108"/>
      <c r="L4886" s="108">
        <v>3.9800000000000002E-2</v>
      </c>
      <c r="O4886" s="105"/>
    </row>
    <row r="4887" spans="2:15" x14ac:dyDescent="0.2">
      <c r="B4887" s="1">
        <f t="shared" si="280"/>
        <v>4872</v>
      </c>
      <c r="C4887" s="106">
        <f ca="1"/>
        <v>-2.7042383786785384</v>
      </c>
      <c r="D4887" s="106">
        <f t="shared" ca="1" si="281"/>
        <v>0.50891880095805497</v>
      </c>
      <c r="E4887" s="106">
        <f t="shared" ca="1" si="282"/>
        <v>0</v>
      </c>
      <c r="F4887" s="21">
        <f t="shared" ca="1" si="283"/>
        <v>0</v>
      </c>
      <c r="H4887" s="21">
        <v>4872</v>
      </c>
      <c r="I4887" s="107">
        <v>0.66779445678597238</v>
      </c>
      <c r="J4887" s="108">
        <v>1.4278601013893403E-3</v>
      </c>
      <c r="K4887" s="108"/>
      <c r="L4887" s="108">
        <v>4.2799999999999998E-2</v>
      </c>
      <c r="O4887" s="105"/>
    </row>
    <row r="4888" spans="2:15" x14ac:dyDescent="0.2">
      <c r="B4888" s="1">
        <f t="shared" si="280"/>
        <v>4873</v>
      </c>
      <c r="C4888" s="106">
        <f ca="1"/>
        <v>1.7057468732022179</v>
      </c>
      <c r="D4888" s="106">
        <f t="shared" ca="1" si="281"/>
        <v>0.78626608767312822</v>
      </c>
      <c r="E4888" s="106">
        <f t="shared" ca="1" si="282"/>
        <v>0</v>
      </c>
      <c r="F4888" s="21">
        <f t="shared" ca="1" si="283"/>
        <v>0</v>
      </c>
      <c r="H4888" s="21">
        <v>4873</v>
      </c>
      <c r="I4888" s="107">
        <v>0.66763074372251319</v>
      </c>
      <c r="J4888" s="108">
        <v>1.2337547421068023E-3</v>
      </c>
      <c r="K4888" s="108"/>
      <c r="L4888" s="108">
        <v>3.7400000000000003E-2</v>
      </c>
      <c r="O4888" s="105"/>
    </row>
    <row r="4889" spans="2:15" x14ac:dyDescent="0.2">
      <c r="B4889" s="1">
        <f t="shared" si="280"/>
        <v>4874</v>
      </c>
      <c r="C4889" s="106">
        <f ca="1"/>
        <v>0.18712217880211393</v>
      </c>
      <c r="D4889" s="106">
        <f t="shared" ca="1" si="281"/>
        <v>0.67688142907226501</v>
      </c>
      <c r="E4889" s="106">
        <f t="shared" ca="1" si="282"/>
        <v>0</v>
      </c>
      <c r="F4889" s="21">
        <f t="shared" ca="1" si="283"/>
        <v>0</v>
      </c>
      <c r="H4889" s="21">
        <v>4874</v>
      </c>
      <c r="I4889" s="107">
        <v>0.66785441689700009</v>
      </c>
      <c r="J4889" s="108">
        <v>1.548230099951827E-3</v>
      </c>
      <c r="K4889" s="108"/>
      <c r="L4889" s="108">
        <v>4.4400000000000002E-2</v>
      </c>
      <c r="O4889" s="105"/>
    </row>
    <row r="4890" spans="2:15" x14ac:dyDescent="0.2">
      <c r="B4890" s="1">
        <f t="shared" si="280"/>
        <v>4875</v>
      </c>
      <c r="C4890" s="106">
        <f ca="1"/>
        <v>-0.13241104257388062</v>
      </c>
      <c r="D4890" s="106">
        <f t="shared" ca="1" si="281"/>
        <v>0.65587940309261006</v>
      </c>
      <c r="E4890" s="106">
        <f t="shared" ca="1" si="282"/>
        <v>0</v>
      </c>
      <c r="F4890" s="21">
        <f t="shared" ca="1" si="283"/>
        <v>0</v>
      </c>
      <c r="H4890" s="21">
        <v>4875</v>
      </c>
      <c r="I4890" s="107">
        <v>0.66775039212209841</v>
      </c>
      <c r="J4890" s="108">
        <v>1.4711463933509751E-3</v>
      </c>
      <c r="K4890" s="108"/>
      <c r="L4890" s="108">
        <v>4.3799999999999999E-2</v>
      </c>
      <c r="O4890" s="105"/>
    </row>
    <row r="4891" spans="2:15" x14ac:dyDescent="0.2">
      <c r="B4891" s="1">
        <f t="shared" si="280"/>
        <v>4876</v>
      </c>
      <c r="C4891" s="106">
        <f ca="1"/>
        <v>-1.5135078398022916</v>
      </c>
      <c r="D4891" s="106">
        <f t="shared" ca="1" si="281"/>
        <v>0.57234600720897733</v>
      </c>
      <c r="E4891" s="106">
        <f t="shared" ca="1" si="282"/>
        <v>0</v>
      </c>
      <c r="F4891" s="21">
        <f t="shared" ca="1" si="283"/>
        <v>0</v>
      </c>
      <c r="H4891" s="21">
        <v>4876</v>
      </c>
      <c r="I4891" s="107">
        <v>0.66765146115936114</v>
      </c>
      <c r="J4891" s="108">
        <v>1.3482825070136519E-3</v>
      </c>
      <c r="K4891" s="108"/>
      <c r="L4891" s="108">
        <v>3.9399999999999998E-2</v>
      </c>
      <c r="O4891" s="105"/>
    </row>
    <row r="4892" spans="2:15" x14ac:dyDescent="0.2">
      <c r="B4892" s="1">
        <f t="shared" si="280"/>
        <v>4877</v>
      </c>
      <c r="C4892" s="106">
        <f ca="1"/>
        <v>-0.46467198918656949</v>
      </c>
      <c r="D4892" s="106">
        <f t="shared" ca="1" si="281"/>
        <v>0.63473162706914044</v>
      </c>
      <c r="E4892" s="106">
        <f t="shared" ca="1" si="282"/>
        <v>0</v>
      </c>
      <c r="F4892" s="21">
        <f t="shared" ca="1" si="283"/>
        <v>0</v>
      </c>
      <c r="H4892" s="21">
        <v>4877</v>
      </c>
      <c r="I4892" s="107">
        <v>0.6678348937374492</v>
      </c>
      <c r="J4892" s="108">
        <v>1.4227609766316049E-3</v>
      </c>
      <c r="K4892" s="108"/>
      <c r="L4892" s="108">
        <v>4.1799999999999997E-2</v>
      </c>
      <c r="O4892" s="105"/>
    </row>
    <row r="4893" spans="2:15" x14ac:dyDescent="0.2">
      <c r="B4893" s="1">
        <f t="shared" si="280"/>
        <v>4878</v>
      </c>
      <c r="C4893" s="106">
        <f ca="1"/>
        <v>0.31652942391168937</v>
      </c>
      <c r="D4893" s="106">
        <f t="shared" ca="1" si="281"/>
        <v>0.68557713618045313</v>
      </c>
      <c r="E4893" s="106">
        <f t="shared" ca="1" si="282"/>
        <v>0</v>
      </c>
      <c r="F4893" s="21">
        <f t="shared" ca="1" si="283"/>
        <v>0</v>
      </c>
      <c r="H4893" s="21">
        <v>4878</v>
      </c>
      <c r="I4893" s="107">
        <v>0.66774433588215887</v>
      </c>
      <c r="J4893" s="108">
        <v>1.4256991767368336E-3</v>
      </c>
      <c r="K4893" s="108"/>
      <c r="L4893" s="108">
        <v>4.4400000000000002E-2</v>
      </c>
      <c r="O4893" s="105"/>
    </row>
    <row r="4894" spans="2:15" x14ac:dyDescent="0.2">
      <c r="B4894" s="1">
        <f t="shared" si="280"/>
        <v>4879</v>
      </c>
      <c r="C4894" s="106">
        <f ca="1"/>
        <v>0.23899113161735955</v>
      </c>
      <c r="D4894" s="106">
        <f t="shared" ca="1" si="281"/>
        <v>0.68035351504605435</v>
      </c>
      <c r="E4894" s="106">
        <f t="shared" ca="1" si="282"/>
        <v>0</v>
      </c>
      <c r="F4894" s="21">
        <f t="shared" ca="1" si="283"/>
        <v>0</v>
      </c>
      <c r="H4894" s="21">
        <v>4879</v>
      </c>
      <c r="I4894" s="107">
        <v>0.66771581481517761</v>
      </c>
      <c r="J4894" s="108">
        <v>1.3846657955101649E-3</v>
      </c>
      <c r="K4894" s="108"/>
      <c r="L4894" s="108">
        <v>4.5199999999999997E-2</v>
      </c>
      <c r="O4894" s="105"/>
    </row>
    <row r="4895" spans="2:15" x14ac:dyDescent="0.2">
      <c r="B4895" s="1">
        <f t="shared" si="280"/>
        <v>4880</v>
      </c>
      <c r="C4895" s="106">
        <f ca="1"/>
        <v>1.5786438030748098</v>
      </c>
      <c r="D4895" s="106">
        <f t="shared" ca="1" si="281"/>
        <v>0.77646972574018713</v>
      </c>
      <c r="E4895" s="106">
        <f t="shared" ca="1" si="282"/>
        <v>0</v>
      </c>
      <c r="F4895" s="21">
        <f t="shared" ca="1" si="283"/>
        <v>0</v>
      </c>
      <c r="H4895" s="21">
        <v>4880</v>
      </c>
      <c r="I4895" s="107">
        <v>0.66774005815611648</v>
      </c>
      <c r="J4895" s="108">
        <v>1.4932934542020361E-3</v>
      </c>
      <c r="K4895" s="108"/>
      <c r="L4895" s="108">
        <v>4.0599999999999997E-2</v>
      </c>
      <c r="O4895" s="105"/>
    </row>
    <row r="4896" spans="2:15" x14ac:dyDescent="0.2">
      <c r="B4896" s="1">
        <f t="shared" si="280"/>
        <v>4881</v>
      </c>
      <c r="C4896" s="106">
        <f ca="1"/>
        <v>0.64898984193742471</v>
      </c>
      <c r="D4896" s="106">
        <f t="shared" ca="1" si="281"/>
        <v>0.70843290494491007</v>
      </c>
      <c r="E4896" s="106">
        <f t="shared" ca="1" si="282"/>
        <v>0</v>
      </c>
      <c r="F4896" s="21">
        <f t="shared" ca="1" si="283"/>
        <v>0</v>
      </c>
      <c r="H4896" s="21">
        <v>4881</v>
      </c>
      <c r="I4896" s="107">
        <v>0.66779132793568186</v>
      </c>
      <c r="J4896" s="108">
        <v>1.4106979979693238E-3</v>
      </c>
      <c r="K4896" s="108"/>
      <c r="L4896" s="108">
        <v>4.5199999999999997E-2</v>
      </c>
      <c r="O4896" s="105"/>
    </row>
    <row r="4897" spans="2:15" x14ac:dyDescent="0.2">
      <c r="B4897" s="1">
        <f t="shared" si="280"/>
        <v>4882</v>
      </c>
      <c r="C4897" s="106">
        <f ca="1"/>
        <v>-1.3450666490499685</v>
      </c>
      <c r="D4897" s="106">
        <f t="shared" ca="1" si="281"/>
        <v>0.58193512856621266</v>
      </c>
      <c r="E4897" s="106">
        <f t="shared" ca="1" si="282"/>
        <v>0</v>
      </c>
      <c r="F4897" s="21">
        <f t="shared" ca="1" si="283"/>
        <v>0</v>
      </c>
      <c r="H4897" s="21">
        <v>4882</v>
      </c>
      <c r="I4897" s="107">
        <v>0.66783233296992039</v>
      </c>
      <c r="J4897" s="108">
        <v>1.5806329495612218E-3</v>
      </c>
      <c r="K4897" s="108"/>
      <c r="L4897" s="108">
        <v>4.3799999999999999E-2</v>
      </c>
      <c r="O4897" s="105"/>
    </row>
    <row r="4898" spans="2:15" x14ac:dyDescent="0.2">
      <c r="B4898" s="1">
        <f t="shared" si="280"/>
        <v>4883</v>
      </c>
      <c r="C4898" s="106">
        <f ca="1"/>
        <v>0.48685277326277099</v>
      </c>
      <c r="D4898" s="106">
        <f t="shared" ca="1" si="281"/>
        <v>0.69719276689588006</v>
      </c>
      <c r="E4898" s="106">
        <f t="shared" ca="1" si="282"/>
        <v>0</v>
      </c>
      <c r="F4898" s="21">
        <f t="shared" ca="1" si="283"/>
        <v>0</v>
      </c>
      <c r="H4898" s="21">
        <v>4883</v>
      </c>
      <c r="I4898" s="107">
        <v>0.66773667845604556</v>
      </c>
      <c r="J4898" s="108">
        <v>1.3181240552970982E-3</v>
      </c>
      <c r="K4898" s="108"/>
      <c r="L4898" s="108">
        <v>4.0399999999999998E-2</v>
      </c>
      <c r="O4898" s="105"/>
    </row>
    <row r="4899" spans="2:15" x14ac:dyDescent="0.2">
      <c r="B4899" s="1">
        <f t="shared" si="280"/>
        <v>4884</v>
      </c>
      <c r="C4899" s="106">
        <f ca="1"/>
        <v>-1.7884363931986964</v>
      </c>
      <c r="D4899" s="106">
        <f t="shared" ca="1" si="281"/>
        <v>0.55703295269344844</v>
      </c>
      <c r="E4899" s="106">
        <f t="shared" ca="1" si="282"/>
        <v>0</v>
      </c>
      <c r="F4899" s="21">
        <f t="shared" ca="1" si="283"/>
        <v>0</v>
      </c>
      <c r="H4899" s="21">
        <v>4884</v>
      </c>
      <c r="I4899" s="107">
        <v>0.66787380248073913</v>
      </c>
      <c r="J4899" s="108">
        <v>1.452658148047477E-3</v>
      </c>
      <c r="K4899" s="108"/>
      <c r="L4899" s="108">
        <v>4.58E-2</v>
      </c>
      <c r="O4899" s="105"/>
    </row>
    <row r="4900" spans="2:15" x14ac:dyDescent="0.2">
      <c r="B4900" s="1">
        <f t="shared" si="280"/>
        <v>4885</v>
      </c>
      <c r="C4900" s="106">
        <f ca="1"/>
        <v>-0.10676608553165917</v>
      </c>
      <c r="D4900" s="106">
        <f t="shared" ca="1" si="281"/>
        <v>0.65754065040830045</v>
      </c>
      <c r="E4900" s="106">
        <f t="shared" ca="1" si="282"/>
        <v>0</v>
      </c>
      <c r="F4900" s="21">
        <f t="shared" ca="1" si="283"/>
        <v>0</v>
      </c>
      <c r="H4900" s="21">
        <v>4885</v>
      </c>
      <c r="I4900" s="107">
        <v>0.66784686431645413</v>
      </c>
      <c r="J4900" s="108">
        <v>1.5713085551047842E-3</v>
      </c>
      <c r="K4900" s="108"/>
      <c r="L4900" s="108">
        <v>4.0399999999999998E-2</v>
      </c>
      <c r="O4900" s="105"/>
    </row>
    <row r="4901" spans="2:15" x14ac:dyDescent="0.2">
      <c r="B4901" s="1">
        <f t="shared" si="280"/>
        <v>4886</v>
      </c>
      <c r="C4901" s="106">
        <f ca="1"/>
        <v>3.1430200401092674</v>
      </c>
      <c r="D4901" s="106">
        <f t="shared" ca="1" si="281"/>
        <v>0.90602762771682932</v>
      </c>
      <c r="E4901" s="106">
        <f t="shared" ca="1" si="282"/>
        <v>0.11782762771682931</v>
      </c>
      <c r="F4901" s="21">
        <f t="shared" ca="1" si="283"/>
        <v>1</v>
      </c>
      <c r="H4901" s="21">
        <v>4886</v>
      </c>
      <c r="I4901" s="107">
        <v>0.6677097505193802</v>
      </c>
      <c r="J4901" s="108">
        <v>1.3314704258421939E-3</v>
      </c>
      <c r="K4901" s="108"/>
      <c r="L4901" s="108">
        <v>4.2000000000000003E-2</v>
      </c>
      <c r="O4901" s="105"/>
    </row>
    <row r="4902" spans="2:15" x14ac:dyDescent="0.2">
      <c r="B4902" s="1">
        <f t="shared" si="280"/>
        <v>4887</v>
      </c>
      <c r="C4902" s="106">
        <f ca="1"/>
        <v>1.0926258016516284</v>
      </c>
      <c r="D4902" s="106">
        <f t="shared" ca="1" si="281"/>
        <v>0.74012285576469405</v>
      </c>
      <c r="E4902" s="106">
        <f t="shared" ca="1" si="282"/>
        <v>0</v>
      </c>
      <c r="F4902" s="21">
        <f t="shared" ca="1" si="283"/>
        <v>0</v>
      </c>
      <c r="H4902" s="21">
        <v>4887</v>
      </c>
      <c r="I4902" s="107">
        <v>0.66788043123877183</v>
      </c>
      <c r="J4902" s="108">
        <v>1.4469915975733184E-3</v>
      </c>
      <c r="K4902" s="108"/>
      <c r="L4902" s="108">
        <v>4.2999999999999997E-2</v>
      </c>
      <c r="O4902" s="105"/>
    </row>
    <row r="4903" spans="2:15" x14ac:dyDescent="0.2">
      <c r="B4903" s="1">
        <f t="shared" si="280"/>
        <v>4888</v>
      </c>
      <c r="C4903" s="106">
        <f ca="1"/>
        <v>1.5673057111848645</v>
      </c>
      <c r="D4903" s="106">
        <f t="shared" ca="1" si="281"/>
        <v>0.77560180400449408</v>
      </c>
      <c r="E4903" s="106">
        <f t="shared" ca="1" si="282"/>
        <v>0</v>
      </c>
      <c r="F4903" s="21">
        <f t="shared" ca="1" si="283"/>
        <v>0</v>
      </c>
      <c r="H4903" s="21">
        <v>4888</v>
      </c>
      <c r="I4903" s="107">
        <v>0.66777567030552787</v>
      </c>
      <c r="J4903" s="108">
        <v>1.3648943716356159E-3</v>
      </c>
      <c r="K4903" s="108"/>
      <c r="L4903" s="108">
        <v>4.24E-2</v>
      </c>
      <c r="O4903" s="105"/>
    </row>
    <row r="4904" spans="2:15" x14ac:dyDescent="0.2">
      <c r="B4904" s="1">
        <f t="shared" si="280"/>
        <v>4889</v>
      </c>
      <c r="C4904" s="106">
        <f ca="1"/>
        <v>2.0017763575445136</v>
      </c>
      <c r="D4904" s="106">
        <f t="shared" ca="1" si="281"/>
        <v>0.80956414469730198</v>
      </c>
      <c r="E4904" s="106">
        <f t="shared" ca="1" si="282"/>
        <v>2.1364144697301968E-2</v>
      </c>
      <c r="F4904" s="21">
        <f t="shared" ca="1" si="283"/>
        <v>1</v>
      </c>
      <c r="H4904" s="21">
        <v>4889</v>
      </c>
      <c r="I4904" s="107">
        <v>0.66776096396869755</v>
      </c>
      <c r="J4904" s="108">
        <v>1.3254150318413897E-3</v>
      </c>
      <c r="K4904" s="108"/>
      <c r="L4904" s="108">
        <v>4.2000000000000003E-2</v>
      </c>
      <c r="O4904" s="105"/>
    </row>
    <row r="4905" spans="2:15" x14ac:dyDescent="0.2">
      <c r="B4905" s="1">
        <f t="shared" si="280"/>
        <v>4890</v>
      </c>
      <c r="C4905" s="106">
        <f ca="1"/>
        <v>-0.35493289269260392</v>
      </c>
      <c r="D4905" s="106">
        <f t="shared" ca="1" si="281"/>
        <v>0.64163979867821119</v>
      </c>
      <c r="E4905" s="106">
        <f t="shared" ca="1" si="282"/>
        <v>0</v>
      </c>
      <c r="F4905" s="21">
        <f t="shared" ca="1" si="283"/>
        <v>0</v>
      </c>
      <c r="H4905" s="21">
        <v>4890</v>
      </c>
      <c r="I4905" s="107">
        <v>0.6677320827608495</v>
      </c>
      <c r="J4905" s="108">
        <v>1.4346460070771472E-3</v>
      </c>
      <c r="K4905" s="108"/>
      <c r="L4905" s="108">
        <v>4.3200000000000002E-2</v>
      </c>
      <c r="O4905" s="105"/>
    </row>
    <row r="4906" spans="2:15" x14ac:dyDescent="0.2">
      <c r="B4906" s="1">
        <f t="shared" si="280"/>
        <v>4891</v>
      </c>
      <c r="C4906" s="106">
        <f ca="1"/>
        <v>0.94714242593916009</v>
      </c>
      <c r="D4906" s="106">
        <f t="shared" ca="1" si="281"/>
        <v>0.72957744250624224</v>
      </c>
      <c r="E4906" s="106">
        <f t="shared" ca="1" si="282"/>
        <v>0</v>
      </c>
      <c r="F4906" s="21">
        <f t="shared" ca="1" si="283"/>
        <v>0</v>
      </c>
      <c r="H4906" s="21">
        <v>4891</v>
      </c>
      <c r="I4906" s="107">
        <v>0.66774618925545337</v>
      </c>
      <c r="J4906" s="108">
        <v>1.3881613480047515E-3</v>
      </c>
      <c r="K4906" s="108"/>
      <c r="L4906" s="108">
        <v>4.3400000000000001E-2</v>
      </c>
      <c r="O4906" s="105"/>
    </row>
    <row r="4907" spans="2:15" x14ac:dyDescent="0.2">
      <c r="B4907" s="1">
        <f t="shared" si="280"/>
        <v>4892</v>
      </c>
      <c r="C4907" s="106">
        <f ca="1"/>
        <v>0.61502030464700286</v>
      </c>
      <c r="D4907" s="106">
        <f t="shared" ca="1" si="281"/>
        <v>0.70606306048458556</v>
      </c>
      <c r="E4907" s="106">
        <f t="shared" ca="1" si="282"/>
        <v>0</v>
      </c>
      <c r="F4907" s="21">
        <f t="shared" ca="1" si="283"/>
        <v>0</v>
      </c>
      <c r="H4907" s="21">
        <v>4892</v>
      </c>
      <c r="I4907" s="107">
        <v>0.66776942432799646</v>
      </c>
      <c r="J4907" s="108">
        <v>1.3707854383866709E-3</v>
      </c>
      <c r="K4907" s="108"/>
      <c r="L4907" s="108">
        <v>4.3400000000000001E-2</v>
      </c>
      <c r="O4907" s="105"/>
    </row>
    <row r="4908" spans="2:15" x14ac:dyDescent="0.2">
      <c r="B4908" s="1">
        <f t="shared" si="280"/>
        <v>4893</v>
      </c>
      <c r="C4908" s="106">
        <f ca="1"/>
        <v>-1.5740875523821636</v>
      </c>
      <c r="D4908" s="106">
        <f t="shared" ca="1" si="281"/>
        <v>0.56893605875567188</v>
      </c>
      <c r="E4908" s="106">
        <f t="shared" ca="1" si="282"/>
        <v>0</v>
      </c>
      <c r="F4908" s="21">
        <f t="shared" ca="1" si="283"/>
        <v>0</v>
      </c>
      <c r="H4908" s="21">
        <v>4893</v>
      </c>
      <c r="I4908" s="107">
        <v>0.66775483603218722</v>
      </c>
      <c r="J4908" s="108">
        <v>1.2685428949643035E-3</v>
      </c>
      <c r="K4908" s="108"/>
      <c r="L4908" s="108">
        <v>4.2200000000000001E-2</v>
      </c>
      <c r="O4908" s="105"/>
    </row>
    <row r="4909" spans="2:15" x14ac:dyDescent="0.2">
      <c r="B4909" s="1">
        <f t="shared" si="280"/>
        <v>4894</v>
      </c>
      <c r="C4909" s="106">
        <f ca="1"/>
        <v>-6.0192326148243387E-2</v>
      </c>
      <c r="D4909" s="106">
        <f t="shared" ca="1" si="281"/>
        <v>0.66056840575819387</v>
      </c>
      <c r="E4909" s="106">
        <f t="shared" ca="1" si="282"/>
        <v>0</v>
      </c>
      <c r="F4909" s="21">
        <f t="shared" ca="1" si="283"/>
        <v>0</v>
      </c>
      <c r="H4909" s="21">
        <v>4894</v>
      </c>
      <c r="I4909" s="107">
        <v>0.66778162385631978</v>
      </c>
      <c r="J4909" s="108">
        <v>1.3549155564781476E-3</v>
      </c>
      <c r="K4909" s="108"/>
      <c r="L4909" s="108">
        <v>4.1000000000000002E-2</v>
      </c>
      <c r="O4909" s="105"/>
    </row>
    <row r="4910" spans="2:15" x14ac:dyDescent="0.2">
      <c r="B4910" s="1">
        <f t="shared" si="280"/>
        <v>4895</v>
      </c>
      <c r="C4910" s="106">
        <f ca="1"/>
        <v>1.1954591297762476</v>
      </c>
      <c r="D4910" s="106">
        <f t="shared" ca="1" si="281"/>
        <v>0.74766858345386633</v>
      </c>
      <c r="E4910" s="106">
        <f t="shared" ca="1" si="282"/>
        <v>0</v>
      </c>
      <c r="F4910" s="21">
        <f t="shared" ca="1" si="283"/>
        <v>0</v>
      </c>
      <c r="H4910" s="21">
        <v>4895</v>
      </c>
      <c r="I4910" s="107">
        <v>0.66772060146623957</v>
      </c>
      <c r="J4910" s="108">
        <v>1.3719952937722697E-3</v>
      </c>
      <c r="K4910" s="108"/>
      <c r="L4910" s="108">
        <v>4.1000000000000002E-2</v>
      </c>
      <c r="O4910" s="105"/>
    </row>
    <row r="4911" spans="2:15" x14ac:dyDescent="0.2">
      <c r="B4911" s="1">
        <f t="shared" si="280"/>
        <v>4896</v>
      </c>
      <c r="C4911" s="106">
        <f ca="1"/>
        <v>4.5225884865362866E-2</v>
      </c>
      <c r="D4911" s="106">
        <f t="shared" ca="1" si="281"/>
        <v>0.66747322514169516</v>
      </c>
      <c r="E4911" s="106">
        <f t="shared" ca="1" si="282"/>
        <v>0</v>
      </c>
      <c r="F4911" s="21">
        <f t="shared" ca="1" si="283"/>
        <v>0</v>
      </c>
      <c r="H4911" s="21">
        <v>4896</v>
      </c>
      <c r="I4911" s="107">
        <v>0.66777321677914925</v>
      </c>
      <c r="J4911" s="108">
        <v>1.3310913286243981E-3</v>
      </c>
      <c r="K4911" s="108"/>
      <c r="L4911" s="108">
        <v>4.2000000000000003E-2</v>
      </c>
      <c r="O4911" s="105"/>
    </row>
    <row r="4912" spans="2:15" x14ac:dyDescent="0.2">
      <c r="B4912" s="1">
        <f t="shared" ref="B4912:B4975" si="284">B4911+1</f>
        <v>4897</v>
      </c>
      <c r="C4912" s="106">
        <f ca="1"/>
        <v>0.95509191957481288</v>
      </c>
      <c r="D4912" s="106">
        <f t="shared" ca="1" si="281"/>
        <v>0.73014976399331188</v>
      </c>
      <c r="E4912" s="106">
        <f t="shared" ca="1" si="282"/>
        <v>0</v>
      </c>
      <c r="F4912" s="21">
        <f t="shared" ca="1" si="283"/>
        <v>0</v>
      </c>
      <c r="H4912" s="21">
        <v>4897</v>
      </c>
      <c r="I4912" s="107">
        <v>0.66769810913311145</v>
      </c>
      <c r="J4912" s="108">
        <v>1.3447921373761457E-3</v>
      </c>
      <c r="K4912" s="108"/>
      <c r="L4912" s="108">
        <v>4.0599999999999997E-2</v>
      </c>
      <c r="O4912" s="105"/>
    </row>
    <row r="4913" spans="2:15" x14ac:dyDescent="0.2">
      <c r="B4913" s="1">
        <f t="shared" si="284"/>
        <v>4898</v>
      </c>
      <c r="C4913" s="106">
        <f ca="1"/>
        <v>-0.29994626319977713</v>
      </c>
      <c r="D4913" s="106">
        <f t="shared" ca="1" si="281"/>
        <v>0.64512947882876537</v>
      </c>
      <c r="E4913" s="106">
        <f t="shared" ca="1" si="282"/>
        <v>0</v>
      </c>
      <c r="F4913" s="21">
        <f t="shared" ca="1" si="283"/>
        <v>0</v>
      </c>
      <c r="H4913" s="21">
        <v>4898</v>
      </c>
      <c r="I4913" s="107">
        <v>0.66770216420877548</v>
      </c>
      <c r="J4913" s="108">
        <v>1.3452262129943909E-3</v>
      </c>
      <c r="K4913" s="108"/>
      <c r="L4913" s="108">
        <v>4.3200000000000002E-2</v>
      </c>
      <c r="O4913" s="105"/>
    </row>
    <row r="4914" spans="2:15" x14ac:dyDescent="0.2">
      <c r="B4914" s="1">
        <f t="shared" si="284"/>
        <v>4899</v>
      </c>
      <c r="C4914" s="106">
        <f ca="1"/>
        <v>-0.19847359584906094</v>
      </c>
      <c r="D4914" s="106">
        <f t="shared" ca="1" si="281"/>
        <v>0.65161926205540055</v>
      </c>
      <c r="E4914" s="106">
        <f t="shared" ca="1" si="282"/>
        <v>0</v>
      </c>
      <c r="F4914" s="21">
        <f t="shared" ca="1" si="283"/>
        <v>0</v>
      </c>
      <c r="H4914" s="21">
        <v>4899</v>
      </c>
      <c r="I4914" s="107">
        <v>0.6678653579063043</v>
      </c>
      <c r="J4914" s="108">
        <v>1.5206827263146052E-3</v>
      </c>
      <c r="K4914" s="108"/>
      <c r="L4914" s="108">
        <v>4.4999999999999998E-2</v>
      </c>
      <c r="O4914" s="105"/>
    </row>
    <row r="4915" spans="2:15" x14ac:dyDescent="0.2">
      <c r="B4915" s="1">
        <f t="shared" si="284"/>
        <v>4900</v>
      </c>
      <c r="C4915" s="106">
        <f ca="1"/>
        <v>-0.58041405212778996</v>
      </c>
      <c r="D4915" s="106">
        <f t="shared" ca="1" si="281"/>
        <v>0.62752613810267799</v>
      </c>
      <c r="E4915" s="106">
        <f t="shared" ca="1" si="282"/>
        <v>0</v>
      </c>
      <c r="F4915" s="21">
        <f t="shared" ca="1" si="283"/>
        <v>0</v>
      </c>
      <c r="H4915" s="21">
        <v>4900</v>
      </c>
      <c r="I4915" s="107">
        <v>0.66771498727992917</v>
      </c>
      <c r="J4915" s="108">
        <v>1.3365237121160292E-3</v>
      </c>
      <c r="K4915" s="108"/>
      <c r="L4915" s="108">
        <v>3.9E-2</v>
      </c>
      <c r="O4915" s="105"/>
    </row>
    <row r="4916" spans="2:15" x14ac:dyDescent="0.2">
      <c r="B4916" s="1">
        <f t="shared" si="284"/>
        <v>4901</v>
      </c>
      <c r="C4916" s="106">
        <f ca="1"/>
        <v>-1.0295698389242081</v>
      </c>
      <c r="D4916" s="106">
        <f t="shared" ca="1" si="281"/>
        <v>0.60033029907161384</v>
      </c>
      <c r="E4916" s="106">
        <f t="shared" ca="1" si="282"/>
        <v>0</v>
      </c>
      <c r="F4916" s="21">
        <f t="shared" ca="1" si="283"/>
        <v>0</v>
      </c>
      <c r="H4916" s="21">
        <v>4901</v>
      </c>
      <c r="I4916" s="107">
        <v>0.6677206587590313</v>
      </c>
      <c r="J4916" s="108">
        <v>1.2980641237974866E-3</v>
      </c>
      <c r="K4916" s="108"/>
      <c r="L4916" s="108">
        <v>4.0800000000000003E-2</v>
      </c>
      <c r="O4916" s="105"/>
    </row>
    <row r="4917" spans="2:15" x14ac:dyDescent="0.2">
      <c r="B4917" s="1">
        <f t="shared" si="284"/>
        <v>4902</v>
      </c>
      <c r="C4917" s="106">
        <f ca="1"/>
        <v>-1.1264301767815124</v>
      </c>
      <c r="D4917" s="106">
        <f t="shared" ca="1" si="281"/>
        <v>0.59462179813572091</v>
      </c>
      <c r="E4917" s="106">
        <f t="shared" ca="1" si="282"/>
        <v>0</v>
      </c>
      <c r="F4917" s="21">
        <f t="shared" ca="1" si="283"/>
        <v>0</v>
      </c>
      <c r="H4917" s="21">
        <v>4902</v>
      </c>
      <c r="I4917" s="107">
        <v>0.66777274683974797</v>
      </c>
      <c r="J4917" s="108">
        <v>1.4039255024179671E-3</v>
      </c>
      <c r="K4917" s="108"/>
      <c r="L4917" s="108">
        <v>4.3400000000000001E-2</v>
      </c>
      <c r="O4917" s="105"/>
    </row>
    <row r="4918" spans="2:15" x14ac:dyDescent="0.2">
      <c r="B4918" s="1">
        <f t="shared" si="284"/>
        <v>4903</v>
      </c>
      <c r="C4918" s="106">
        <f ca="1"/>
        <v>-0.65518944995369477</v>
      </c>
      <c r="D4918" s="106">
        <f t="shared" ca="1" si="281"/>
        <v>0.62291456846148796</v>
      </c>
      <c r="E4918" s="106">
        <f t="shared" ca="1" si="282"/>
        <v>0</v>
      </c>
      <c r="F4918" s="21">
        <f t="shared" ca="1" si="283"/>
        <v>0</v>
      </c>
      <c r="H4918" s="21">
        <v>4903</v>
      </c>
      <c r="I4918" s="107">
        <v>0.66784985941006114</v>
      </c>
      <c r="J4918" s="108">
        <v>1.5763369416863806E-3</v>
      </c>
      <c r="K4918" s="108"/>
      <c r="L4918" s="108">
        <v>4.4600000000000001E-2</v>
      </c>
      <c r="O4918" s="105"/>
    </row>
    <row r="4919" spans="2:15" x14ac:dyDescent="0.2">
      <c r="B4919" s="1">
        <f t="shared" si="284"/>
        <v>4904</v>
      </c>
      <c r="C4919" s="106">
        <f ca="1"/>
        <v>-0.10524852237538423</v>
      </c>
      <c r="D4919" s="106">
        <f t="shared" ca="1" si="281"/>
        <v>0.657639087956431</v>
      </c>
      <c r="E4919" s="106">
        <f t="shared" ca="1" si="282"/>
        <v>0</v>
      </c>
      <c r="F4919" s="21">
        <f t="shared" ca="1" si="283"/>
        <v>0</v>
      </c>
      <c r="H4919" s="21">
        <v>4904</v>
      </c>
      <c r="I4919" s="107">
        <v>0.66769267760013318</v>
      </c>
      <c r="J4919" s="108">
        <v>1.3381047735995446E-3</v>
      </c>
      <c r="K4919" s="108"/>
      <c r="L4919" s="108">
        <v>4.02E-2</v>
      </c>
      <c r="O4919" s="105"/>
    </row>
    <row r="4920" spans="2:15" x14ac:dyDescent="0.2">
      <c r="B4920" s="1">
        <f t="shared" si="284"/>
        <v>4905</v>
      </c>
      <c r="C4920" s="106">
        <f ca="1"/>
        <v>0.72273599645914566</v>
      </c>
      <c r="D4920" s="106">
        <f t="shared" ca="1" si="281"/>
        <v>0.71360513200447684</v>
      </c>
      <c r="E4920" s="106">
        <f t="shared" ca="1" si="282"/>
        <v>0</v>
      </c>
      <c r="F4920" s="21">
        <f t="shared" ca="1" si="283"/>
        <v>0</v>
      </c>
      <c r="H4920" s="21">
        <v>4905</v>
      </c>
      <c r="I4920" s="107">
        <v>0.66785064570581087</v>
      </c>
      <c r="J4920" s="108">
        <v>1.4421187451338039E-3</v>
      </c>
      <c r="K4920" s="108"/>
      <c r="L4920" s="108">
        <v>4.1000000000000002E-2</v>
      </c>
      <c r="O4920" s="105"/>
    </row>
    <row r="4921" spans="2:15" x14ac:dyDescent="0.2">
      <c r="B4921" s="1">
        <f t="shared" si="284"/>
        <v>4906</v>
      </c>
      <c r="C4921" s="106">
        <f ca="1"/>
        <v>0.28957932417608584</v>
      </c>
      <c r="D4921" s="106">
        <f t="shared" ca="1" si="281"/>
        <v>0.6837570226925368</v>
      </c>
      <c r="E4921" s="106">
        <f t="shared" ca="1" si="282"/>
        <v>0</v>
      </c>
      <c r="F4921" s="21">
        <f t="shared" ca="1" si="283"/>
        <v>0</v>
      </c>
      <c r="H4921" s="21">
        <v>4906</v>
      </c>
      <c r="I4921" s="107">
        <v>0.66773387133083273</v>
      </c>
      <c r="J4921" s="108">
        <v>1.3923179001258269E-3</v>
      </c>
      <c r="K4921" s="108"/>
      <c r="L4921" s="108">
        <v>0.04</v>
      </c>
      <c r="O4921" s="105"/>
    </row>
    <row r="4922" spans="2:15" x14ac:dyDescent="0.2">
      <c r="B4922" s="1">
        <f t="shared" si="284"/>
        <v>4907</v>
      </c>
      <c r="C4922" s="106">
        <f ca="1"/>
        <v>-0.73701811605880863</v>
      </c>
      <c r="D4922" s="106">
        <f t="shared" ca="1" si="281"/>
        <v>0.61790683396968193</v>
      </c>
      <c r="E4922" s="106">
        <f t="shared" ca="1" si="282"/>
        <v>0</v>
      </c>
      <c r="F4922" s="21">
        <f t="shared" ca="1" si="283"/>
        <v>0</v>
      </c>
      <c r="H4922" s="21">
        <v>4907</v>
      </c>
      <c r="I4922" s="107">
        <v>0.6678475634321257</v>
      </c>
      <c r="J4922" s="108">
        <v>1.5987845515124592E-3</v>
      </c>
      <c r="K4922" s="108"/>
      <c r="L4922" s="108">
        <v>4.4600000000000001E-2</v>
      </c>
      <c r="O4922" s="105"/>
    </row>
    <row r="4923" spans="2:15" x14ac:dyDescent="0.2">
      <c r="B4923" s="1">
        <f t="shared" si="284"/>
        <v>4908</v>
      </c>
      <c r="C4923" s="106">
        <f ca="1"/>
        <v>-0.9032679620107037</v>
      </c>
      <c r="D4923" s="106">
        <f t="shared" ca="1" si="281"/>
        <v>0.60785634950287981</v>
      </c>
      <c r="E4923" s="106">
        <f t="shared" ca="1" si="282"/>
        <v>0</v>
      </c>
      <c r="F4923" s="21">
        <f t="shared" ca="1" si="283"/>
        <v>0</v>
      </c>
      <c r="H4923" s="21">
        <v>4908</v>
      </c>
      <c r="I4923" s="107">
        <v>0.6677347250570751</v>
      </c>
      <c r="J4923" s="108">
        <v>1.3570026573711206E-3</v>
      </c>
      <c r="K4923" s="108"/>
      <c r="L4923" s="108">
        <v>4.02E-2</v>
      </c>
      <c r="O4923" s="105"/>
    </row>
    <row r="4924" spans="2:15" x14ac:dyDescent="0.2">
      <c r="B4924" s="1">
        <f t="shared" si="284"/>
        <v>4909</v>
      </c>
      <c r="C4924" s="106">
        <f ca="1"/>
        <v>0.67378887670318</v>
      </c>
      <c r="D4924" s="106">
        <f t="shared" ca="1" si="281"/>
        <v>0.71016800170542704</v>
      </c>
      <c r="E4924" s="106">
        <f t="shared" ca="1" si="282"/>
        <v>0</v>
      </c>
      <c r="F4924" s="21">
        <f t="shared" ca="1" si="283"/>
        <v>0</v>
      </c>
      <c r="H4924" s="21">
        <v>4909</v>
      </c>
      <c r="I4924" s="107">
        <v>0.66769544890236499</v>
      </c>
      <c r="J4924" s="108">
        <v>1.3281260684226931E-3</v>
      </c>
      <c r="K4924" s="108"/>
      <c r="L4924" s="108">
        <v>4.1200000000000001E-2</v>
      </c>
      <c r="O4924" s="105"/>
    </row>
    <row r="4925" spans="2:15" x14ac:dyDescent="0.2">
      <c r="B4925" s="1">
        <f t="shared" si="284"/>
        <v>4910</v>
      </c>
      <c r="C4925" s="106">
        <f ca="1"/>
        <v>-5.5561884704641198E-2</v>
      </c>
      <c r="D4925" s="106">
        <f t="shared" ca="1" si="281"/>
        <v>0.66087019119730117</v>
      </c>
      <c r="E4925" s="106">
        <f t="shared" ca="1" si="282"/>
        <v>0</v>
      </c>
      <c r="F4925" s="21">
        <f t="shared" ca="1" si="283"/>
        <v>0</v>
      </c>
      <c r="H4925" s="21">
        <v>4910</v>
      </c>
      <c r="I4925" s="107">
        <v>0.66773194979972461</v>
      </c>
      <c r="J4925" s="108">
        <v>1.4664554568876323E-3</v>
      </c>
      <c r="K4925" s="108"/>
      <c r="L4925" s="108">
        <v>4.2200000000000001E-2</v>
      </c>
      <c r="O4925" s="105"/>
    </row>
    <row r="4926" spans="2:15" x14ac:dyDescent="0.2">
      <c r="B4926" s="1">
        <f t="shared" si="284"/>
        <v>4911</v>
      </c>
      <c r="C4926" s="106">
        <f ca="1"/>
        <v>0.66732133379311409</v>
      </c>
      <c r="D4926" s="106">
        <f t="shared" ca="1" si="281"/>
        <v>0.70971508243997738</v>
      </c>
      <c r="E4926" s="106">
        <f t="shared" ca="1" si="282"/>
        <v>0</v>
      </c>
      <c r="F4926" s="21">
        <f t="shared" ca="1" si="283"/>
        <v>0</v>
      </c>
      <c r="H4926" s="21">
        <v>4911</v>
      </c>
      <c r="I4926" s="107">
        <v>0.66773446573351025</v>
      </c>
      <c r="J4926" s="108">
        <v>1.4467582507669363E-3</v>
      </c>
      <c r="K4926" s="108"/>
      <c r="L4926" s="108">
        <v>4.3999999999999997E-2</v>
      </c>
      <c r="O4926" s="105"/>
    </row>
    <row r="4927" spans="2:15" x14ac:dyDescent="0.2">
      <c r="B4927" s="1">
        <f t="shared" si="284"/>
        <v>4912</v>
      </c>
      <c r="C4927" s="106">
        <f ca="1"/>
        <v>-0.11851274929263717</v>
      </c>
      <c r="D4927" s="106">
        <f t="shared" ca="1" si="281"/>
        <v>0.65677919502823323</v>
      </c>
      <c r="E4927" s="106">
        <f t="shared" ca="1" si="282"/>
        <v>0</v>
      </c>
      <c r="F4927" s="21">
        <f t="shared" ca="1" si="283"/>
        <v>0</v>
      </c>
      <c r="H4927" s="21">
        <v>4912</v>
      </c>
      <c r="I4927" s="107">
        <v>0.66764254596880068</v>
      </c>
      <c r="J4927" s="108">
        <v>1.1872608383633747E-3</v>
      </c>
      <c r="K4927" s="108"/>
      <c r="L4927" s="108">
        <v>3.7999999999999999E-2</v>
      </c>
      <c r="O4927" s="105"/>
    </row>
    <row r="4928" spans="2:15" x14ac:dyDescent="0.2">
      <c r="B4928" s="1">
        <f t="shared" si="284"/>
        <v>4913</v>
      </c>
      <c r="C4928" s="106">
        <f ca="1"/>
        <v>0.76631561713825413</v>
      </c>
      <c r="D4928" s="106">
        <f t="shared" ca="1" si="281"/>
        <v>0.71667934608622108</v>
      </c>
      <c r="E4928" s="106">
        <f t="shared" ca="1" si="282"/>
        <v>0</v>
      </c>
      <c r="F4928" s="21">
        <f t="shared" ca="1" si="283"/>
        <v>0</v>
      </c>
      <c r="H4928" s="21">
        <v>4913</v>
      </c>
      <c r="I4928" s="107">
        <v>0.66758660888456334</v>
      </c>
      <c r="J4928" s="108">
        <v>1.2143526974237918E-3</v>
      </c>
      <c r="K4928" s="108"/>
      <c r="L4928" s="108">
        <v>3.5999999999999997E-2</v>
      </c>
      <c r="O4928" s="105"/>
    </row>
    <row r="4929" spans="2:15" x14ac:dyDescent="0.2">
      <c r="B4929" s="1">
        <f t="shared" si="284"/>
        <v>4914</v>
      </c>
      <c r="C4929" s="106">
        <f ca="1"/>
        <v>5.7370703592802941E-2</v>
      </c>
      <c r="D4929" s="106">
        <f t="shared" ca="1" si="281"/>
        <v>0.6682733245533492</v>
      </c>
      <c r="E4929" s="106">
        <f t="shared" ca="1" si="282"/>
        <v>0</v>
      </c>
      <c r="F4929" s="21">
        <f t="shared" ca="1" si="283"/>
        <v>0</v>
      </c>
      <c r="H4929" s="21">
        <v>4914</v>
      </c>
      <c r="I4929" s="107">
        <v>0.66765570807940733</v>
      </c>
      <c r="J4929" s="108">
        <v>1.3117952501456008E-3</v>
      </c>
      <c r="K4929" s="108"/>
      <c r="L4929" s="108">
        <v>3.9600000000000003E-2</v>
      </c>
      <c r="O4929" s="105"/>
    </row>
    <row r="4930" spans="2:15" x14ac:dyDescent="0.2">
      <c r="B4930" s="1">
        <f t="shared" si="284"/>
        <v>4915</v>
      </c>
      <c r="C4930" s="106">
        <f ca="1"/>
        <v>0.85647535168821398</v>
      </c>
      <c r="D4930" s="106">
        <f t="shared" ca="1" si="281"/>
        <v>0.72308154316319739</v>
      </c>
      <c r="E4930" s="106">
        <f t="shared" ca="1" si="282"/>
        <v>0</v>
      </c>
      <c r="F4930" s="21">
        <f t="shared" ca="1" si="283"/>
        <v>0</v>
      </c>
      <c r="H4930" s="21">
        <v>4915</v>
      </c>
      <c r="I4930" s="107">
        <v>0.66770099846848652</v>
      </c>
      <c r="J4930" s="108">
        <v>1.4012359132482644E-3</v>
      </c>
      <c r="K4930" s="108"/>
      <c r="L4930" s="108">
        <v>3.9399999999999998E-2</v>
      </c>
      <c r="O4930" s="105"/>
    </row>
    <row r="4931" spans="2:15" x14ac:dyDescent="0.2">
      <c r="B4931" s="1">
        <f t="shared" si="284"/>
        <v>4916</v>
      </c>
      <c r="C4931" s="106">
        <f ca="1"/>
        <v>1.0158305353663468</v>
      </c>
      <c r="D4931" s="106">
        <f t="shared" ca="1" si="281"/>
        <v>0.73453746870332703</v>
      </c>
      <c r="E4931" s="106">
        <f t="shared" ca="1" si="282"/>
        <v>0</v>
      </c>
      <c r="F4931" s="21">
        <f t="shared" ca="1" si="283"/>
        <v>0</v>
      </c>
      <c r="H4931" s="21">
        <v>4916</v>
      </c>
      <c r="I4931" s="107">
        <v>0.66785221478603618</v>
      </c>
      <c r="J4931" s="108">
        <v>1.5984478329524609E-3</v>
      </c>
      <c r="K4931" s="108"/>
      <c r="L4931" s="108">
        <v>4.4400000000000002E-2</v>
      </c>
      <c r="O4931" s="105"/>
    </row>
    <row r="4932" spans="2:15" x14ac:dyDescent="0.2">
      <c r="B4932" s="1">
        <f t="shared" si="284"/>
        <v>4917</v>
      </c>
      <c r="C4932" s="106">
        <f ca="1"/>
        <v>-0.48464207741900184</v>
      </c>
      <c r="D4932" s="106">
        <f t="shared" ca="1" si="281"/>
        <v>0.63348251518558851</v>
      </c>
      <c r="E4932" s="106">
        <f t="shared" ca="1" si="282"/>
        <v>0</v>
      </c>
      <c r="F4932" s="21">
        <f t="shared" ca="1" si="283"/>
        <v>0</v>
      </c>
      <c r="H4932" s="21">
        <v>4917</v>
      </c>
      <c r="I4932" s="107">
        <v>0.6678605365533542</v>
      </c>
      <c r="J4932" s="108">
        <v>1.512494220987172E-3</v>
      </c>
      <c r="K4932" s="108"/>
      <c r="L4932" s="108">
        <v>4.6399999999999997E-2</v>
      </c>
      <c r="O4932" s="105"/>
    </row>
    <row r="4933" spans="2:15" x14ac:dyDescent="0.2">
      <c r="B4933" s="1">
        <f t="shared" si="284"/>
        <v>4918</v>
      </c>
      <c r="C4933" s="106">
        <f ca="1"/>
        <v>0.1217938563171834</v>
      </c>
      <c r="D4933" s="106">
        <f t="shared" ca="1" si="281"/>
        <v>0.67253358014995779</v>
      </c>
      <c r="E4933" s="106">
        <f t="shared" ca="1" si="282"/>
        <v>0</v>
      </c>
      <c r="F4933" s="21">
        <f t="shared" ca="1" si="283"/>
        <v>0</v>
      </c>
      <c r="H4933" s="21">
        <v>4918</v>
      </c>
      <c r="I4933" s="107">
        <v>0.6677107521193576</v>
      </c>
      <c r="J4933" s="108">
        <v>1.4034780472811145E-3</v>
      </c>
      <c r="K4933" s="108"/>
      <c r="L4933" s="108">
        <v>4.2200000000000001E-2</v>
      </c>
      <c r="O4933" s="105"/>
    </row>
    <row r="4934" spans="2:15" x14ac:dyDescent="0.2">
      <c r="B4934" s="1">
        <f t="shared" si="284"/>
        <v>4919</v>
      </c>
      <c r="C4934" s="106">
        <f ca="1"/>
        <v>0.90283608714842489</v>
      </c>
      <c r="D4934" s="106">
        <f t="shared" ca="1" si="281"/>
        <v>0.72639582857235363</v>
      </c>
      <c r="E4934" s="106">
        <f t="shared" ca="1" si="282"/>
        <v>0</v>
      </c>
      <c r="F4934" s="21">
        <f t="shared" ca="1" si="283"/>
        <v>0</v>
      </c>
      <c r="H4934" s="21">
        <v>4919</v>
      </c>
      <c r="I4934" s="107">
        <v>0.66764264889089031</v>
      </c>
      <c r="J4934" s="108">
        <v>1.2449268495104086E-3</v>
      </c>
      <c r="K4934" s="108"/>
      <c r="L4934" s="108">
        <v>3.8800000000000001E-2</v>
      </c>
      <c r="O4934" s="105"/>
    </row>
    <row r="4935" spans="2:15" x14ac:dyDescent="0.2">
      <c r="B4935" s="1">
        <f t="shared" si="284"/>
        <v>4920</v>
      </c>
      <c r="C4935" s="106">
        <f ca="1"/>
        <v>-0.40410186384483365</v>
      </c>
      <c r="D4935" s="106">
        <f t="shared" ca="1" si="281"/>
        <v>0.63853532089016052</v>
      </c>
      <c r="E4935" s="106">
        <f t="shared" ca="1" si="282"/>
        <v>0</v>
      </c>
      <c r="F4935" s="21">
        <f t="shared" ca="1" si="283"/>
        <v>0</v>
      </c>
      <c r="H4935" s="21">
        <v>4920</v>
      </c>
      <c r="I4935" s="107">
        <v>0.66772435226567095</v>
      </c>
      <c r="J4935" s="108">
        <v>1.1811009593340337E-3</v>
      </c>
      <c r="K4935" s="108"/>
      <c r="L4935" s="108">
        <v>3.9800000000000002E-2</v>
      </c>
      <c r="O4935" s="105"/>
    </row>
    <row r="4936" spans="2:15" x14ac:dyDescent="0.2">
      <c r="B4936" s="1">
        <f t="shared" si="284"/>
        <v>4921</v>
      </c>
      <c r="C4936" s="106">
        <f ca="1"/>
        <v>-0.37436424604752239</v>
      </c>
      <c r="D4936" s="106">
        <f t="shared" ca="1" si="281"/>
        <v>0.64041112346573592</v>
      </c>
      <c r="E4936" s="106">
        <f t="shared" ca="1" si="282"/>
        <v>0</v>
      </c>
      <c r="F4936" s="21">
        <f t="shared" ca="1" si="283"/>
        <v>0</v>
      </c>
      <c r="H4936" s="21">
        <v>4921</v>
      </c>
      <c r="I4936" s="107">
        <v>0.6677537996724775</v>
      </c>
      <c r="J4936" s="108">
        <v>1.3964809195776769E-3</v>
      </c>
      <c r="K4936" s="108"/>
      <c r="L4936" s="108">
        <v>4.1000000000000002E-2</v>
      </c>
      <c r="O4936" s="105"/>
    </row>
    <row r="4937" spans="2:15" x14ac:dyDescent="0.2">
      <c r="B4937" s="1">
        <f t="shared" si="284"/>
        <v>4922</v>
      </c>
      <c r="C4937" s="106">
        <f ca="1"/>
        <v>2.357415529256127</v>
      </c>
      <c r="D4937" s="106">
        <f t="shared" ca="1" si="281"/>
        <v>0.83846826170286382</v>
      </c>
      <c r="E4937" s="106">
        <f t="shared" ca="1" si="282"/>
        <v>5.0268261702863803E-2</v>
      </c>
      <c r="F4937" s="21">
        <f t="shared" ca="1" si="283"/>
        <v>1</v>
      </c>
      <c r="H4937" s="21">
        <v>4922</v>
      </c>
      <c r="I4937" s="107">
        <v>0.66792443129800549</v>
      </c>
      <c r="J4937" s="108">
        <v>1.5667225162779095E-3</v>
      </c>
      <c r="K4937" s="108"/>
      <c r="L4937" s="108">
        <v>4.7600000000000003E-2</v>
      </c>
      <c r="O4937" s="105"/>
    </row>
    <row r="4938" spans="2:15" x14ac:dyDescent="0.2">
      <c r="B4938" s="1">
        <f t="shared" si="284"/>
        <v>4923</v>
      </c>
      <c r="C4938" s="106">
        <f ca="1"/>
        <v>-0.52287457046999875</v>
      </c>
      <c r="D4938" s="106">
        <f t="shared" ca="1" si="281"/>
        <v>0.63109795943595615</v>
      </c>
      <c r="E4938" s="106">
        <f t="shared" ca="1" si="282"/>
        <v>0</v>
      </c>
      <c r="F4938" s="21">
        <f t="shared" ca="1" si="283"/>
        <v>0</v>
      </c>
      <c r="H4938" s="21">
        <v>4923</v>
      </c>
      <c r="I4938" s="107">
        <v>0.66764679009915551</v>
      </c>
      <c r="J4938" s="108">
        <v>1.2709537211103474E-3</v>
      </c>
      <c r="K4938" s="108"/>
      <c r="L4938" s="108">
        <v>3.9199999999999999E-2</v>
      </c>
      <c r="O4938" s="105"/>
    </row>
    <row r="4939" spans="2:15" x14ac:dyDescent="0.2">
      <c r="B4939" s="1">
        <f t="shared" si="284"/>
        <v>4924</v>
      </c>
      <c r="C4939" s="106">
        <f ca="1"/>
        <v>1.4588255042532015</v>
      </c>
      <c r="D4939" s="106">
        <f t="shared" ca="1" si="281"/>
        <v>0.76734662156532463</v>
      </c>
      <c r="E4939" s="106">
        <f t="shared" ca="1" si="282"/>
        <v>0</v>
      </c>
      <c r="F4939" s="21">
        <f t="shared" ca="1" si="283"/>
        <v>0</v>
      </c>
      <c r="H4939" s="21">
        <v>4924</v>
      </c>
      <c r="I4939" s="107">
        <v>0.66775769976138177</v>
      </c>
      <c r="J4939" s="108">
        <v>1.4109194009699849E-3</v>
      </c>
      <c r="K4939" s="108"/>
      <c r="L4939" s="108">
        <v>4.0599999999999997E-2</v>
      </c>
      <c r="O4939" s="105"/>
    </row>
    <row r="4940" spans="2:15" x14ac:dyDescent="0.2">
      <c r="B4940" s="1">
        <f t="shared" si="284"/>
        <v>4925</v>
      </c>
      <c r="C4940" s="106">
        <f ca="1"/>
        <v>-0.31046582859792282</v>
      </c>
      <c r="D4940" s="106">
        <f t="shared" ca="1" si="281"/>
        <v>0.64446039847266035</v>
      </c>
      <c r="E4940" s="106">
        <f t="shared" ca="1" si="282"/>
        <v>0</v>
      </c>
      <c r="F4940" s="21">
        <f t="shared" ca="1" si="283"/>
        <v>0</v>
      </c>
      <c r="H4940" s="21">
        <v>4925</v>
      </c>
      <c r="I4940" s="107">
        <v>0.66761548389942671</v>
      </c>
      <c r="J4940" s="108">
        <v>1.200487291035137E-3</v>
      </c>
      <c r="K4940" s="108"/>
      <c r="L4940" s="108">
        <v>3.7600000000000001E-2</v>
      </c>
      <c r="O4940" s="105"/>
    </row>
    <row r="4941" spans="2:15" x14ac:dyDescent="0.2">
      <c r="B4941" s="1">
        <f t="shared" si="284"/>
        <v>4926</v>
      </c>
      <c r="C4941" s="106">
        <f ca="1"/>
        <v>1.149695083191059E-2</v>
      </c>
      <c r="D4941" s="106">
        <f t="shared" ca="1" si="281"/>
        <v>0.66525618731617375</v>
      </c>
      <c r="E4941" s="106">
        <f t="shared" ca="1" si="282"/>
        <v>0</v>
      </c>
      <c r="F4941" s="21">
        <f t="shared" ca="1" si="283"/>
        <v>0</v>
      </c>
      <c r="H4941" s="21">
        <v>4926</v>
      </c>
      <c r="I4941" s="107">
        <v>0.66768553815497977</v>
      </c>
      <c r="J4941" s="108">
        <v>1.2008966424049102E-3</v>
      </c>
      <c r="K4941" s="108"/>
      <c r="L4941" s="108">
        <v>3.7400000000000003E-2</v>
      </c>
      <c r="O4941" s="105"/>
    </row>
    <row r="4942" spans="2:15" x14ac:dyDescent="0.2">
      <c r="B4942" s="1">
        <f t="shared" si="284"/>
        <v>4927</v>
      </c>
      <c r="C4942" s="106">
        <f ca="1"/>
        <v>-0.83510246081454409</v>
      </c>
      <c r="D4942" s="106">
        <f t="shared" ca="1" si="281"/>
        <v>0.61195730817501381</v>
      </c>
      <c r="E4942" s="106">
        <f t="shared" ca="1" si="282"/>
        <v>0</v>
      </c>
      <c r="F4942" s="21">
        <f t="shared" ca="1" si="283"/>
        <v>0</v>
      </c>
      <c r="H4942" s="21">
        <v>4927</v>
      </c>
      <c r="I4942" s="107">
        <v>0.66774041240548199</v>
      </c>
      <c r="J4942" s="108">
        <v>1.4708645567150765E-3</v>
      </c>
      <c r="K4942" s="108"/>
      <c r="L4942" s="108">
        <v>3.9399999999999998E-2</v>
      </c>
      <c r="O4942" s="105"/>
    </row>
    <row r="4943" spans="2:15" x14ac:dyDescent="0.2">
      <c r="B4943" s="1">
        <f t="shared" si="284"/>
        <v>4928</v>
      </c>
      <c r="C4943" s="106">
        <f ca="1"/>
        <v>0.24873898796407193</v>
      </c>
      <c r="D4943" s="106">
        <f t="shared" ca="1" si="281"/>
        <v>0.6810080177826926</v>
      </c>
      <c r="E4943" s="106">
        <f t="shared" ca="1" si="282"/>
        <v>0</v>
      </c>
      <c r="F4943" s="21">
        <f t="shared" ca="1" si="283"/>
        <v>0</v>
      </c>
      <c r="H4943" s="21">
        <v>4928</v>
      </c>
      <c r="I4943" s="107">
        <v>0.66766647899408904</v>
      </c>
      <c r="J4943" s="108">
        <v>1.338007987151752E-3</v>
      </c>
      <c r="K4943" s="108"/>
      <c r="L4943" s="108">
        <v>4.1599999999999998E-2</v>
      </c>
      <c r="O4943" s="105"/>
    </row>
    <row r="4944" spans="2:15" x14ac:dyDescent="0.2">
      <c r="B4944" s="1">
        <f t="shared" si="284"/>
        <v>4929</v>
      </c>
      <c r="C4944" s="106">
        <f ca="1"/>
        <v>-1.3375691838942991</v>
      </c>
      <c r="D4944" s="106">
        <f t="shared" ref="D4944:D5007" ca="1" si="285">S0*EXP((μ-0.5*σ*σ)*T+σ*SQRT(T)*$C4944)</f>
        <v>0.58236566363696918</v>
      </c>
      <c r="E4944" s="106">
        <f t="shared" ref="E4944:E5007" ca="1" si="286">MAX(0,CP*(D4944-K))</f>
        <v>0</v>
      </c>
      <c r="F4944" s="21">
        <f t="shared" ref="F4944:F5007" ca="1" si="287">(CP*(D4944-K)&gt;0)*1</f>
        <v>0</v>
      </c>
      <c r="H4944" s="21">
        <v>4929</v>
      </c>
      <c r="I4944" s="107">
        <v>0.66784875019089163</v>
      </c>
      <c r="J4944" s="108">
        <v>1.4606169927704332E-3</v>
      </c>
      <c r="K4944" s="108"/>
      <c r="L4944" s="108">
        <v>4.6600000000000003E-2</v>
      </c>
      <c r="O4944" s="105"/>
    </row>
    <row r="4945" spans="2:15" x14ac:dyDescent="0.2">
      <c r="B4945" s="1">
        <f t="shared" si="284"/>
        <v>4930</v>
      </c>
      <c r="C4945" s="106">
        <f ca="1"/>
        <v>-0.54986929679277452</v>
      </c>
      <c r="D4945" s="106">
        <f t="shared" ca="1" si="285"/>
        <v>0.62941970997996888</v>
      </c>
      <c r="E4945" s="106">
        <f t="shared" ca="1" si="286"/>
        <v>0</v>
      </c>
      <c r="F4945" s="21">
        <f t="shared" ca="1" si="287"/>
        <v>0</v>
      </c>
      <c r="H4945" s="21">
        <v>4930</v>
      </c>
      <c r="I4945" s="107">
        <v>0.66770675938396717</v>
      </c>
      <c r="J4945" s="108">
        <v>1.2610029609640041E-3</v>
      </c>
      <c r="K4945" s="108"/>
      <c r="L4945" s="108">
        <v>4.2599999999999999E-2</v>
      </c>
      <c r="O4945" s="105"/>
    </row>
    <row r="4946" spans="2:15" x14ac:dyDescent="0.2">
      <c r="B4946" s="1">
        <f t="shared" si="284"/>
        <v>4931</v>
      </c>
      <c r="C4946" s="106">
        <f ca="1"/>
        <v>-9.1507322955208734E-2</v>
      </c>
      <c r="D4946" s="106">
        <f t="shared" ca="1" si="285"/>
        <v>0.65853108933778304</v>
      </c>
      <c r="E4946" s="106">
        <f t="shared" ca="1" si="286"/>
        <v>0</v>
      </c>
      <c r="F4946" s="21">
        <f t="shared" ca="1" si="287"/>
        <v>0</v>
      </c>
      <c r="H4946" s="21">
        <v>4931</v>
      </c>
      <c r="I4946" s="107">
        <v>0.66783730941725306</v>
      </c>
      <c r="J4946" s="108">
        <v>1.5140511005606002E-3</v>
      </c>
      <c r="K4946" s="108"/>
      <c r="L4946" s="108">
        <v>4.58E-2</v>
      </c>
      <c r="O4946" s="105"/>
    </row>
    <row r="4947" spans="2:15" x14ac:dyDescent="0.2">
      <c r="B4947" s="1">
        <f t="shared" si="284"/>
        <v>4932</v>
      </c>
      <c r="C4947" s="106">
        <f ca="1"/>
        <v>0.50221624229511741</v>
      </c>
      <c r="D4947" s="106">
        <f t="shared" ca="1" si="285"/>
        <v>0.69825014468899327</v>
      </c>
      <c r="E4947" s="106">
        <f t="shared" ca="1" si="286"/>
        <v>0</v>
      </c>
      <c r="F4947" s="21">
        <f t="shared" ca="1" si="287"/>
        <v>0</v>
      </c>
      <c r="H4947" s="21">
        <v>4932</v>
      </c>
      <c r="I4947" s="107">
        <v>0.66779186261293211</v>
      </c>
      <c r="J4947" s="108">
        <v>1.4161751289545235E-3</v>
      </c>
      <c r="K4947" s="108"/>
      <c r="L4947" s="108">
        <v>4.24E-2</v>
      </c>
      <c r="O4947" s="105"/>
    </row>
    <row r="4948" spans="2:15" x14ac:dyDescent="0.2">
      <c r="B4948" s="1">
        <f t="shared" si="284"/>
        <v>4933</v>
      </c>
      <c r="C4948" s="106">
        <f ca="1"/>
        <v>0.56998668640238026</v>
      </c>
      <c r="D4948" s="106">
        <f t="shared" ca="1" si="285"/>
        <v>0.70293356027982201</v>
      </c>
      <c r="E4948" s="106">
        <f t="shared" ca="1" si="286"/>
        <v>0</v>
      </c>
      <c r="F4948" s="21">
        <f t="shared" ca="1" si="287"/>
        <v>0</v>
      </c>
      <c r="H4948" s="21">
        <v>4933</v>
      </c>
      <c r="I4948" s="107">
        <v>0.66777862230483997</v>
      </c>
      <c r="J4948" s="108">
        <v>1.4583458202347063E-3</v>
      </c>
      <c r="K4948" s="108"/>
      <c r="L4948" s="108">
        <v>4.6199999999999998E-2</v>
      </c>
      <c r="O4948" s="105"/>
    </row>
    <row r="4949" spans="2:15" x14ac:dyDescent="0.2">
      <c r="B4949" s="1">
        <f t="shared" si="284"/>
        <v>4934</v>
      </c>
      <c r="C4949" s="106">
        <f ca="1"/>
        <v>0.26468617567731534</v>
      </c>
      <c r="D4949" s="106">
        <f t="shared" ca="1" si="285"/>
        <v>0.68208012164519261</v>
      </c>
      <c r="E4949" s="106">
        <f t="shared" ca="1" si="286"/>
        <v>0</v>
      </c>
      <c r="F4949" s="21">
        <f t="shared" ca="1" si="287"/>
        <v>0</v>
      </c>
      <c r="H4949" s="21">
        <v>4934</v>
      </c>
      <c r="I4949" s="107">
        <v>0.66759106755151054</v>
      </c>
      <c r="J4949" s="108">
        <v>1.3026586328451504E-3</v>
      </c>
      <c r="K4949" s="108"/>
      <c r="L4949" s="108">
        <v>3.8600000000000002E-2</v>
      </c>
      <c r="O4949" s="105"/>
    </row>
    <row r="4950" spans="2:15" x14ac:dyDescent="0.2">
      <c r="B4950" s="1">
        <f t="shared" si="284"/>
        <v>4935</v>
      </c>
      <c r="C4950" s="106">
        <f ca="1"/>
        <v>-2.2882624377637346</v>
      </c>
      <c r="D4950" s="106">
        <f t="shared" ca="1" si="285"/>
        <v>0.53023531337797281</v>
      </c>
      <c r="E4950" s="106">
        <f t="shared" ca="1" si="286"/>
        <v>0</v>
      </c>
      <c r="F4950" s="21">
        <f t="shared" ca="1" si="287"/>
        <v>0</v>
      </c>
      <c r="H4950" s="21">
        <v>4935</v>
      </c>
      <c r="I4950" s="107">
        <v>0.66764927845714928</v>
      </c>
      <c r="J4950" s="108">
        <v>1.1867324774627846E-3</v>
      </c>
      <c r="K4950" s="108"/>
      <c r="L4950" s="108">
        <v>4.1200000000000001E-2</v>
      </c>
      <c r="O4950" s="105"/>
    </row>
    <row r="4951" spans="2:15" x14ac:dyDescent="0.2">
      <c r="B4951" s="1">
        <f t="shared" si="284"/>
        <v>4936</v>
      </c>
      <c r="C4951" s="106">
        <f ca="1"/>
        <v>0.46467876580134515</v>
      </c>
      <c r="D4951" s="106">
        <f t="shared" ca="1" si="285"/>
        <v>0.69566948216441904</v>
      </c>
      <c r="E4951" s="106">
        <f t="shared" ca="1" si="286"/>
        <v>0</v>
      </c>
      <c r="F4951" s="21">
        <f t="shared" ca="1" si="287"/>
        <v>0</v>
      </c>
      <c r="H4951" s="21">
        <v>4936</v>
      </c>
      <c r="I4951" s="107">
        <v>0.66764230587848683</v>
      </c>
      <c r="J4951" s="108">
        <v>1.3451853621320442E-3</v>
      </c>
      <c r="K4951" s="108"/>
      <c r="L4951" s="108">
        <v>4.2799999999999998E-2</v>
      </c>
      <c r="O4951" s="105"/>
    </row>
    <row r="4952" spans="2:15" x14ac:dyDescent="0.2">
      <c r="B4952" s="1">
        <f t="shared" si="284"/>
        <v>4937</v>
      </c>
      <c r="C4952" s="106">
        <f ca="1"/>
        <v>-0.422085187998605</v>
      </c>
      <c r="D4952" s="106">
        <f t="shared" ca="1" si="285"/>
        <v>0.63740362781503079</v>
      </c>
      <c r="E4952" s="106">
        <f t="shared" ca="1" si="286"/>
        <v>0</v>
      </c>
      <c r="F4952" s="21">
        <f t="shared" ca="1" si="287"/>
        <v>0</v>
      </c>
      <c r="H4952" s="21">
        <v>4937</v>
      </c>
      <c r="I4952" s="107">
        <v>0.66769665384070831</v>
      </c>
      <c r="J4952" s="108">
        <v>1.3133800360963547E-3</v>
      </c>
      <c r="K4952" s="108"/>
      <c r="L4952" s="108">
        <v>3.8800000000000001E-2</v>
      </c>
      <c r="O4952" s="105"/>
    </row>
    <row r="4953" spans="2:15" x14ac:dyDescent="0.2">
      <c r="B4953" s="1">
        <f t="shared" si="284"/>
        <v>4938</v>
      </c>
      <c r="C4953" s="106">
        <f ca="1"/>
        <v>0.25868121389091464</v>
      </c>
      <c r="D4953" s="106">
        <f t="shared" ca="1" si="285"/>
        <v>0.68167621971986414</v>
      </c>
      <c r="E4953" s="106">
        <f t="shared" ca="1" si="286"/>
        <v>0</v>
      </c>
      <c r="F4953" s="21">
        <f t="shared" ca="1" si="287"/>
        <v>0</v>
      </c>
      <c r="H4953" s="21">
        <v>4938</v>
      </c>
      <c r="I4953" s="107">
        <v>0.66790284661490262</v>
      </c>
      <c r="J4953" s="108">
        <v>1.5035854487749007E-3</v>
      </c>
      <c r="K4953" s="108"/>
      <c r="L4953" s="108">
        <v>4.5600000000000002E-2</v>
      </c>
      <c r="O4953" s="105"/>
    </row>
    <row r="4954" spans="2:15" x14ac:dyDescent="0.2">
      <c r="B4954" s="1">
        <f t="shared" si="284"/>
        <v>4939</v>
      </c>
      <c r="C4954" s="106">
        <f ca="1"/>
        <v>-1.1167738933502436</v>
      </c>
      <c r="D4954" s="106">
        <f t="shared" ca="1" si="285"/>
        <v>0.59518845033968171</v>
      </c>
      <c r="E4954" s="106">
        <f t="shared" ca="1" si="286"/>
        <v>0</v>
      </c>
      <c r="F4954" s="21">
        <f t="shared" ca="1" si="287"/>
        <v>0</v>
      </c>
      <c r="H4954" s="21">
        <v>4939</v>
      </c>
      <c r="I4954" s="107">
        <v>0.66776225003766043</v>
      </c>
      <c r="J4954" s="108">
        <v>1.351878925879586E-3</v>
      </c>
      <c r="K4954" s="108"/>
      <c r="L4954" s="108">
        <v>4.1599999999999998E-2</v>
      </c>
      <c r="O4954" s="105"/>
    </row>
    <row r="4955" spans="2:15" x14ac:dyDescent="0.2">
      <c r="B4955" s="1">
        <f t="shared" si="284"/>
        <v>4940</v>
      </c>
      <c r="C4955" s="106">
        <f ca="1"/>
        <v>-0.18475748404914027</v>
      </c>
      <c r="D4955" s="106">
        <f t="shared" ca="1" si="285"/>
        <v>0.65250148359867566</v>
      </c>
      <c r="E4955" s="106">
        <f t="shared" ca="1" si="286"/>
        <v>0</v>
      </c>
      <c r="F4955" s="21">
        <f t="shared" ca="1" si="287"/>
        <v>0</v>
      </c>
      <c r="H4955" s="21">
        <v>4940</v>
      </c>
      <c r="I4955" s="107">
        <v>0.66773671256373845</v>
      </c>
      <c r="J4955" s="108">
        <v>1.3607167082638643E-3</v>
      </c>
      <c r="K4955" s="108"/>
      <c r="L4955" s="108">
        <v>4.2799999999999998E-2</v>
      </c>
      <c r="O4955" s="105"/>
    </row>
    <row r="4956" spans="2:15" x14ac:dyDescent="0.2">
      <c r="B4956" s="1">
        <f t="shared" si="284"/>
        <v>4941</v>
      </c>
      <c r="C4956" s="106">
        <f ca="1"/>
        <v>0.19225389090276496</v>
      </c>
      <c r="D4956" s="106">
        <f t="shared" ca="1" si="285"/>
        <v>0.67722415243275158</v>
      </c>
      <c r="E4956" s="106">
        <f t="shared" ca="1" si="286"/>
        <v>0</v>
      </c>
      <c r="F4956" s="21">
        <f t="shared" ca="1" si="287"/>
        <v>0</v>
      </c>
      <c r="H4956" s="21">
        <v>4941</v>
      </c>
      <c r="I4956" s="107">
        <v>0.66770324427596783</v>
      </c>
      <c r="J4956" s="108">
        <v>1.427768721765527E-3</v>
      </c>
      <c r="K4956" s="108"/>
      <c r="L4956" s="108">
        <v>4.24E-2</v>
      </c>
      <c r="O4956" s="105"/>
    </row>
    <row r="4957" spans="2:15" x14ac:dyDescent="0.2">
      <c r="B4957" s="1">
        <f t="shared" si="284"/>
        <v>4942</v>
      </c>
      <c r="C4957" s="106">
        <f ca="1"/>
        <v>0.83047933839983035</v>
      </c>
      <c r="D4957" s="106">
        <f t="shared" ca="1" si="285"/>
        <v>0.72122973403925539</v>
      </c>
      <c r="E4957" s="106">
        <f t="shared" ca="1" si="286"/>
        <v>0</v>
      </c>
      <c r="F4957" s="21">
        <f t="shared" ca="1" si="287"/>
        <v>0</v>
      </c>
      <c r="H4957" s="21">
        <v>4942</v>
      </c>
      <c r="I4957" s="107">
        <v>0.66761485711046564</v>
      </c>
      <c r="J4957" s="108">
        <v>1.2847073582096355E-3</v>
      </c>
      <c r="K4957" s="108"/>
      <c r="L4957" s="108">
        <v>3.8600000000000002E-2</v>
      </c>
      <c r="O4957" s="105"/>
    </row>
    <row r="4958" spans="2:15" x14ac:dyDescent="0.2">
      <c r="B4958" s="1">
        <f t="shared" si="284"/>
        <v>4943</v>
      </c>
      <c r="C4958" s="106">
        <f ca="1"/>
        <v>6.5973021589072122E-3</v>
      </c>
      <c r="D4958" s="106">
        <f t="shared" ca="1" si="285"/>
        <v>0.6649347414695469</v>
      </c>
      <c r="E4958" s="106">
        <f t="shared" ca="1" si="286"/>
        <v>0</v>
      </c>
      <c r="F4958" s="21">
        <f t="shared" ca="1" si="287"/>
        <v>0</v>
      </c>
      <c r="H4958" s="21">
        <v>4943</v>
      </c>
      <c r="I4958" s="107">
        <v>0.66753290739536997</v>
      </c>
      <c r="J4958" s="108">
        <v>1.0582393537059062E-3</v>
      </c>
      <c r="K4958" s="108"/>
      <c r="L4958" s="108">
        <v>3.78E-2</v>
      </c>
      <c r="O4958" s="105"/>
    </row>
    <row r="4959" spans="2:15" x14ac:dyDescent="0.2">
      <c r="B4959" s="1">
        <f t="shared" si="284"/>
        <v>4944</v>
      </c>
      <c r="C4959" s="106">
        <f ca="1"/>
        <v>-1.6354553714960876</v>
      </c>
      <c r="D4959" s="106">
        <f t="shared" ca="1" si="285"/>
        <v>0.56550246244599423</v>
      </c>
      <c r="E4959" s="106">
        <f t="shared" ca="1" si="286"/>
        <v>0</v>
      </c>
      <c r="F4959" s="21">
        <f t="shared" ca="1" si="287"/>
        <v>0</v>
      </c>
      <c r="H4959" s="21">
        <v>4944</v>
      </c>
      <c r="I4959" s="107">
        <v>0.6679134995458853</v>
      </c>
      <c r="J4959" s="108">
        <v>1.6100836300997983E-3</v>
      </c>
      <c r="K4959" s="108"/>
      <c r="L4959" s="108">
        <v>4.9799999999999997E-2</v>
      </c>
      <c r="O4959" s="105"/>
    </row>
    <row r="4960" spans="2:15" x14ac:dyDescent="0.2">
      <c r="B4960" s="1">
        <f t="shared" si="284"/>
        <v>4945</v>
      </c>
      <c r="C4960" s="106">
        <f ca="1"/>
        <v>-0.60645935786990079</v>
      </c>
      <c r="D4960" s="106">
        <f t="shared" ca="1" si="285"/>
        <v>0.62591600263135017</v>
      </c>
      <c r="E4960" s="106">
        <f t="shared" ca="1" si="286"/>
        <v>0</v>
      </c>
      <c r="F4960" s="21">
        <f t="shared" ca="1" si="287"/>
        <v>0</v>
      </c>
      <c r="H4960" s="21">
        <v>4945</v>
      </c>
      <c r="I4960" s="107">
        <v>0.66785105208910611</v>
      </c>
      <c r="J4960" s="108">
        <v>1.5160325932379256E-3</v>
      </c>
      <c r="K4960" s="108"/>
      <c r="L4960" s="108">
        <v>4.5199999999999997E-2</v>
      </c>
      <c r="O4960" s="105"/>
    </row>
    <row r="4961" spans="2:15" x14ac:dyDescent="0.2">
      <c r="B4961" s="1">
        <f t="shared" si="284"/>
        <v>4946</v>
      </c>
      <c r="C4961" s="106">
        <f ca="1"/>
        <v>0.50499384603445996</v>
      </c>
      <c r="D4961" s="106">
        <f t="shared" ca="1" si="285"/>
        <v>0.69844148202367351</v>
      </c>
      <c r="E4961" s="106">
        <f t="shared" ca="1" si="286"/>
        <v>0</v>
      </c>
      <c r="F4961" s="21">
        <f t="shared" ca="1" si="287"/>
        <v>0</v>
      </c>
      <c r="H4961" s="21">
        <v>4946</v>
      </c>
      <c r="I4961" s="107">
        <v>0.66772339675344361</v>
      </c>
      <c r="J4961" s="108">
        <v>1.27528469758697E-3</v>
      </c>
      <c r="K4961" s="108"/>
      <c r="L4961" s="108">
        <v>4.1599999999999998E-2</v>
      </c>
      <c r="O4961" s="105"/>
    </row>
    <row r="4962" spans="2:15" x14ac:dyDescent="0.2">
      <c r="B4962" s="1">
        <f t="shared" si="284"/>
        <v>4947</v>
      </c>
      <c r="C4962" s="106">
        <f ca="1"/>
        <v>1.4360571775965744E-2</v>
      </c>
      <c r="D4962" s="106">
        <f t="shared" ca="1" si="285"/>
        <v>0.66544412968333888</v>
      </c>
      <c r="E4962" s="106">
        <f t="shared" ca="1" si="286"/>
        <v>0</v>
      </c>
      <c r="F4962" s="21">
        <f t="shared" ca="1" si="287"/>
        <v>0</v>
      </c>
      <c r="H4962" s="21">
        <v>4947</v>
      </c>
      <c r="I4962" s="107">
        <v>0.66774563662994246</v>
      </c>
      <c r="J4962" s="108">
        <v>1.2158274062374591E-3</v>
      </c>
      <c r="K4962" s="108"/>
      <c r="L4962" s="108">
        <v>3.8399999999999997E-2</v>
      </c>
      <c r="O4962" s="105"/>
    </row>
    <row r="4963" spans="2:15" x14ac:dyDescent="0.2">
      <c r="B4963" s="1">
        <f t="shared" si="284"/>
        <v>4948</v>
      </c>
      <c r="C4963" s="106">
        <f ca="1"/>
        <v>0.98832925990474052</v>
      </c>
      <c r="D4963" s="106">
        <f t="shared" ca="1" si="285"/>
        <v>0.73254754348836693</v>
      </c>
      <c r="E4963" s="106">
        <f t="shared" ca="1" si="286"/>
        <v>0</v>
      </c>
      <c r="F4963" s="21">
        <f t="shared" ca="1" si="287"/>
        <v>0</v>
      </c>
      <c r="H4963" s="21">
        <v>4948</v>
      </c>
      <c r="I4963" s="107">
        <v>0.66778444363802558</v>
      </c>
      <c r="J4963" s="108">
        <v>1.4563720619294191E-3</v>
      </c>
      <c r="K4963" s="108"/>
      <c r="L4963" s="108">
        <v>4.2999999999999997E-2</v>
      </c>
      <c r="O4963" s="105"/>
    </row>
    <row r="4964" spans="2:15" x14ac:dyDescent="0.2">
      <c r="B4964" s="1">
        <f t="shared" si="284"/>
        <v>4949</v>
      </c>
      <c r="C4964" s="106">
        <f ca="1"/>
        <v>1.1241507602426188</v>
      </c>
      <c r="D4964" s="106">
        <f t="shared" ca="1" si="285"/>
        <v>0.74242797115961656</v>
      </c>
      <c r="E4964" s="106">
        <f t="shared" ca="1" si="286"/>
        <v>0</v>
      </c>
      <c r="F4964" s="21">
        <f t="shared" ca="1" si="287"/>
        <v>0</v>
      </c>
      <c r="H4964" s="21">
        <v>4949</v>
      </c>
      <c r="I4964" s="107">
        <v>0.6679149274129762</v>
      </c>
      <c r="J4964" s="108">
        <v>1.5416163581649261E-3</v>
      </c>
      <c r="K4964" s="108"/>
      <c r="L4964" s="108">
        <v>4.3200000000000002E-2</v>
      </c>
      <c r="O4964" s="105"/>
    </row>
    <row r="4965" spans="2:15" x14ac:dyDescent="0.2">
      <c r="B4965" s="1">
        <f t="shared" si="284"/>
        <v>4950</v>
      </c>
      <c r="C4965" s="106">
        <f ca="1"/>
        <v>-1.6657629026255905</v>
      </c>
      <c r="D4965" s="106">
        <f t="shared" ca="1" si="285"/>
        <v>0.56381437498217302</v>
      </c>
      <c r="E4965" s="106">
        <f t="shared" ca="1" si="286"/>
        <v>0</v>
      </c>
      <c r="F4965" s="21">
        <f t="shared" ca="1" si="287"/>
        <v>0</v>
      </c>
      <c r="H4965" s="21">
        <v>4950</v>
      </c>
      <c r="I4965" s="107">
        <v>0.66754356245643121</v>
      </c>
      <c r="J4965" s="108">
        <v>1.0879330673866578E-3</v>
      </c>
      <c r="K4965" s="108"/>
      <c r="L4965" s="108">
        <v>3.78E-2</v>
      </c>
      <c r="O4965" s="105"/>
    </row>
    <row r="4966" spans="2:15" x14ac:dyDescent="0.2">
      <c r="B4966" s="1">
        <f t="shared" si="284"/>
        <v>4951</v>
      </c>
      <c r="C4966" s="106">
        <f ca="1"/>
        <v>-0.85944340208668157</v>
      </c>
      <c r="D4966" s="106">
        <f t="shared" ca="1" si="285"/>
        <v>0.61048974730448125</v>
      </c>
      <c r="E4966" s="106">
        <f t="shared" ca="1" si="286"/>
        <v>0</v>
      </c>
      <c r="F4966" s="21">
        <f t="shared" ca="1" si="287"/>
        <v>0</v>
      </c>
      <c r="H4966" s="21">
        <v>4951</v>
      </c>
      <c r="I4966" s="107">
        <v>0.66765202295541071</v>
      </c>
      <c r="J4966" s="108">
        <v>1.4298012575595885E-3</v>
      </c>
      <c r="K4966" s="108"/>
      <c r="L4966" s="108">
        <v>4.2799999999999998E-2</v>
      </c>
      <c r="O4966" s="105"/>
    </row>
    <row r="4967" spans="2:15" x14ac:dyDescent="0.2">
      <c r="B4967" s="1">
        <f t="shared" si="284"/>
        <v>4952</v>
      </c>
      <c r="C4967" s="106">
        <f ca="1"/>
        <v>1.6304791727878887</v>
      </c>
      <c r="D4967" s="106">
        <f t="shared" ca="1" si="285"/>
        <v>0.78045006783213922</v>
      </c>
      <c r="E4967" s="106">
        <f t="shared" ca="1" si="286"/>
        <v>0</v>
      </c>
      <c r="F4967" s="21">
        <f t="shared" ca="1" si="287"/>
        <v>0</v>
      </c>
      <c r="H4967" s="21">
        <v>4952</v>
      </c>
      <c r="I4967" s="107">
        <v>0.66775388559860005</v>
      </c>
      <c r="J4967" s="108">
        <v>1.4940880455954399E-3</v>
      </c>
      <c r="K4967" s="108"/>
      <c r="L4967" s="108">
        <v>4.0599999999999997E-2</v>
      </c>
      <c r="O4967" s="105"/>
    </row>
    <row r="4968" spans="2:15" x14ac:dyDescent="0.2">
      <c r="B4968" s="1">
        <f t="shared" si="284"/>
        <v>4953</v>
      </c>
      <c r="C4968" s="106">
        <f ca="1"/>
        <v>0.38522913110698959</v>
      </c>
      <c r="D4968" s="106">
        <f t="shared" ca="1" si="285"/>
        <v>0.69023881630562212</v>
      </c>
      <c r="E4968" s="106">
        <f t="shared" ca="1" si="286"/>
        <v>0</v>
      </c>
      <c r="F4968" s="21">
        <f t="shared" ca="1" si="287"/>
        <v>0</v>
      </c>
      <c r="H4968" s="21">
        <v>4953</v>
      </c>
      <c r="I4968" s="107">
        <v>0.66760187182149211</v>
      </c>
      <c r="J4968" s="108">
        <v>1.2154182746403717E-3</v>
      </c>
      <c r="K4968" s="108"/>
      <c r="L4968" s="108">
        <v>3.6799999999999999E-2</v>
      </c>
      <c r="O4968" s="105"/>
    </row>
    <row r="4969" spans="2:15" x14ac:dyDescent="0.2">
      <c r="B4969" s="1">
        <f t="shared" si="284"/>
        <v>4954</v>
      </c>
      <c r="C4969" s="106">
        <f ca="1"/>
        <v>-0.54539385075767333</v>
      </c>
      <c r="D4969" s="106">
        <f t="shared" ca="1" si="285"/>
        <v>0.6296976374219001</v>
      </c>
      <c r="E4969" s="106">
        <f t="shared" ca="1" si="286"/>
        <v>0</v>
      </c>
      <c r="F4969" s="21">
        <f t="shared" ca="1" si="287"/>
        <v>0</v>
      </c>
      <c r="H4969" s="21">
        <v>4954</v>
      </c>
      <c r="I4969" s="107">
        <v>0.66782850777074587</v>
      </c>
      <c r="J4969" s="108">
        <v>1.5063018614019639E-3</v>
      </c>
      <c r="K4969" s="108"/>
      <c r="L4969" s="108">
        <v>4.2599999999999999E-2</v>
      </c>
      <c r="O4969" s="105"/>
    </row>
    <row r="4970" spans="2:15" x14ac:dyDescent="0.2">
      <c r="B4970" s="1">
        <f t="shared" si="284"/>
        <v>4955</v>
      </c>
      <c r="C4970" s="106">
        <f ca="1"/>
        <v>-0.78285565123215395</v>
      </c>
      <c r="D4970" s="106">
        <f t="shared" ca="1" si="285"/>
        <v>0.61511929017376898</v>
      </c>
      <c r="E4970" s="106">
        <f t="shared" ca="1" si="286"/>
        <v>0</v>
      </c>
      <c r="F4970" s="21">
        <f t="shared" ca="1" si="287"/>
        <v>0</v>
      </c>
      <c r="H4970" s="21">
        <v>4955</v>
      </c>
      <c r="I4970" s="107">
        <v>0.6678450442225925</v>
      </c>
      <c r="J4970" s="108">
        <v>1.4903956674942973E-3</v>
      </c>
      <c r="K4970" s="108"/>
      <c r="L4970" s="108">
        <v>4.3400000000000001E-2</v>
      </c>
      <c r="O4970" s="105"/>
    </row>
    <row r="4971" spans="2:15" x14ac:dyDescent="0.2">
      <c r="B4971" s="1">
        <f t="shared" si="284"/>
        <v>4956</v>
      </c>
      <c r="C4971" s="106">
        <f ca="1"/>
        <v>8.5832107743344984E-3</v>
      </c>
      <c r="D4971" s="106">
        <f t="shared" ca="1" si="285"/>
        <v>0.6650650100628136</v>
      </c>
      <c r="E4971" s="106">
        <f t="shared" ca="1" si="286"/>
        <v>0</v>
      </c>
      <c r="F4971" s="21">
        <f t="shared" ca="1" si="287"/>
        <v>0</v>
      </c>
      <c r="H4971" s="21">
        <v>4956</v>
      </c>
      <c r="I4971" s="107">
        <v>0.66775304005168135</v>
      </c>
      <c r="J4971" s="108">
        <v>1.3540521460597395E-3</v>
      </c>
      <c r="K4971" s="108"/>
      <c r="L4971" s="108">
        <v>4.2200000000000001E-2</v>
      </c>
      <c r="O4971" s="105"/>
    </row>
    <row r="4972" spans="2:15" x14ac:dyDescent="0.2">
      <c r="B4972" s="1">
        <f t="shared" si="284"/>
        <v>4957</v>
      </c>
      <c r="C4972" s="106">
        <f ca="1"/>
        <v>8.4153852500822107E-2</v>
      </c>
      <c r="D4972" s="106">
        <f t="shared" ca="1" si="285"/>
        <v>0.67004118701984627</v>
      </c>
      <c r="E4972" s="106">
        <f t="shared" ca="1" si="286"/>
        <v>0</v>
      </c>
      <c r="F4972" s="21">
        <f t="shared" ca="1" si="287"/>
        <v>0</v>
      </c>
      <c r="H4972" s="21">
        <v>4957</v>
      </c>
      <c r="I4972" s="107">
        <v>0.66774721226552047</v>
      </c>
      <c r="J4972" s="108">
        <v>1.4125531706943269E-3</v>
      </c>
      <c r="K4972" s="108"/>
      <c r="L4972" s="108">
        <v>4.36E-2</v>
      </c>
      <c r="O4972" s="105"/>
    </row>
    <row r="4973" spans="2:15" x14ac:dyDescent="0.2">
      <c r="B4973" s="1">
        <f t="shared" si="284"/>
        <v>4958</v>
      </c>
      <c r="C4973" s="106">
        <f ca="1"/>
        <v>-2.1680247800229414E-2</v>
      </c>
      <c r="D4973" s="106">
        <f t="shared" ca="1" si="285"/>
        <v>0.6630826000332346</v>
      </c>
      <c r="E4973" s="106">
        <f t="shared" ca="1" si="286"/>
        <v>0</v>
      </c>
      <c r="F4973" s="21">
        <f t="shared" ca="1" si="287"/>
        <v>0</v>
      </c>
      <c r="H4973" s="21">
        <v>4958</v>
      </c>
      <c r="I4973" s="107">
        <v>0.66766093373237767</v>
      </c>
      <c r="J4973" s="108">
        <v>1.2247721633821753E-3</v>
      </c>
      <c r="K4973" s="108"/>
      <c r="L4973" s="108">
        <v>4.1200000000000001E-2</v>
      </c>
      <c r="O4973" s="105"/>
    </row>
    <row r="4974" spans="2:15" x14ac:dyDescent="0.2">
      <c r="B4974" s="1">
        <f t="shared" si="284"/>
        <v>4959</v>
      </c>
      <c r="C4974" s="106">
        <f ca="1"/>
        <v>-0.90127355541691956</v>
      </c>
      <c r="D4974" s="106">
        <f t="shared" ca="1" si="285"/>
        <v>0.60797594539970667</v>
      </c>
      <c r="E4974" s="106">
        <f t="shared" ca="1" si="286"/>
        <v>0</v>
      </c>
      <c r="F4974" s="21">
        <f t="shared" ca="1" si="287"/>
        <v>0</v>
      </c>
      <c r="H4974" s="21">
        <v>4959</v>
      </c>
      <c r="I4974" s="107">
        <v>0.6677758031893668</v>
      </c>
      <c r="J4974" s="108">
        <v>1.4946713711481423E-3</v>
      </c>
      <c r="K4974" s="108"/>
      <c r="L4974" s="108">
        <v>4.3200000000000002E-2</v>
      </c>
      <c r="O4974" s="105"/>
    </row>
    <row r="4975" spans="2:15" x14ac:dyDescent="0.2">
      <c r="B4975" s="1">
        <f t="shared" si="284"/>
        <v>4960</v>
      </c>
      <c r="C4975" s="106">
        <f ca="1"/>
        <v>1.0466975417657582</v>
      </c>
      <c r="D4975" s="106">
        <f t="shared" ca="1" si="285"/>
        <v>0.73677736904593816</v>
      </c>
      <c r="E4975" s="106">
        <f t="shared" ca="1" si="286"/>
        <v>0</v>
      </c>
      <c r="F4975" s="21">
        <f t="shared" ca="1" si="287"/>
        <v>0</v>
      </c>
      <c r="H4975" s="21">
        <v>4960</v>
      </c>
      <c r="I4975" s="107">
        <v>0.66774766838677713</v>
      </c>
      <c r="J4975" s="108">
        <v>1.2949614001341993E-3</v>
      </c>
      <c r="K4975" s="108"/>
      <c r="L4975" s="108">
        <v>4.3400000000000001E-2</v>
      </c>
      <c r="O4975" s="105"/>
    </row>
    <row r="4976" spans="2:15" x14ac:dyDescent="0.2">
      <c r="B4976" s="1">
        <f t="shared" ref="B4976:B5015" si="288">B4975+1</f>
        <v>4961</v>
      </c>
      <c r="C4976" s="106">
        <f ca="1"/>
        <v>-0.83383832452614914</v>
      </c>
      <c r="D4976" s="106">
        <f t="shared" ca="1" si="285"/>
        <v>0.61203362161001995</v>
      </c>
      <c r="E4976" s="106">
        <f t="shared" ca="1" si="286"/>
        <v>0</v>
      </c>
      <c r="F4976" s="21">
        <f t="shared" ca="1" si="287"/>
        <v>0</v>
      </c>
      <c r="H4976" s="21">
        <v>4961</v>
      </c>
      <c r="I4976" s="107">
        <v>0.66774246655313152</v>
      </c>
      <c r="J4976" s="108">
        <v>1.2897729310971161E-3</v>
      </c>
      <c r="K4976" s="108"/>
      <c r="L4976" s="108">
        <v>4.24E-2</v>
      </c>
      <c r="O4976" s="105"/>
    </row>
    <row r="4977" spans="2:15" x14ac:dyDescent="0.2">
      <c r="B4977" s="1">
        <f t="shared" si="288"/>
        <v>4962</v>
      </c>
      <c r="C4977" s="106">
        <f ca="1"/>
        <v>1.6589082765125256</v>
      </c>
      <c r="D4977" s="106">
        <f t="shared" ca="1" si="285"/>
        <v>0.78264174345081983</v>
      </c>
      <c r="E4977" s="106">
        <f t="shared" ca="1" si="286"/>
        <v>0</v>
      </c>
      <c r="F4977" s="21">
        <f t="shared" ca="1" si="287"/>
        <v>0</v>
      </c>
      <c r="H4977" s="21">
        <v>4962</v>
      </c>
      <c r="I4977" s="107">
        <v>0.66787669511548975</v>
      </c>
      <c r="J4977" s="108">
        <v>1.5482916071323702E-3</v>
      </c>
      <c r="K4977" s="108"/>
      <c r="L4977" s="108">
        <v>4.7600000000000003E-2</v>
      </c>
      <c r="O4977" s="105"/>
    </row>
    <row r="4978" spans="2:15" x14ac:dyDescent="0.2">
      <c r="B4978" s="1">
        <f t="shared" si="288"/>
        <v>4963</v>
      </c>
      <c r="C4978" s="106">
        <f ca="1"/>
        <v>0.77406888560261944</v>
      </c>
      <c r="D4978" s="106">
        <f t="shared" ca="1" si="285"/>
        <v>0.71722766685339145</v>
      </c>
      <c r="E4978" s="106">
        <f t="shared" ca="1" si="286"/>
        <v>0</v>
      </c>
      <c r="F4978" s="21">
        <f t="shared" ca="1" si="287"/>
        <v>0</v>
      </c>
      <c r="H4978" s="21">
        <v>4963</v>
      </c>
      <c r="I4978" s="107">
        <v>0.66781412767511039</v>
      </c>
      <c r="J4978" s="108">
        <v>1.4976962593895207E-3</v>
      </c>
      <c r="K4978" s="108"/>
      <c r="L4978" s="108">
        <v>4.58E-2</v>
      </c>
      <c r="O4978" s="105"/>
    </row>
    <row r="4979" spans="2:15" x14ac:dyDescent="0.2">
      <c r="B4979" s="1">
        <f t="shared" si="288"/>
        <v>4964</v>
      </c>
      <c r="C4979" s="106">
        <f ca="1"/>
        <v>-1.8260728288076387</v>
      </c>
      <c r="D4979" s="106">
        <f t="shared" ca="1" si="285"/>
        <v>0.55496879742009486</v>
      </c>
      <c r="E4979" s="106">
        <f t="shared" ca="1" si="286"/>
        <v>0</v>
      </c>
      <c r="F4979" s="21">
        <f t="shared" ca="1" si="287"/>
        <v>0</v>
      </c>
      <c r="H4979" s="21">
        <v>4964</v>
      </c>
      <c r="I4979" s="107">
        <v>0.66788589992089142</v>
      </c>
      <c r="J4979" s="108">
        <v>1.4564985280301128E-3</v>
      </c>
      <c r="K4979" s="108"/>
      <c r="L4979" s="108">
        <v>4.3999999999999997E-2</v>
      </c>
      <c r="O4979" s="105"/>
    </row>
    <row r="4980" spans="2:15" x14ac:dyDescent="0.2">
      <c r="B4980" s="1">
        <f t="shared" si="288"/>
        <v>4965</v>
      </c>
      <c r="C4980" s="106">
        <f ca="1"/>
        <v>0.41792683835266403</v>
      </c>
      <c r="D4980" s="106">
        <f t="shared" ca="1" si="285"/>
        <v>0.69246866884229419</v>
      </c>
      <c r="E4980" s="106">
        <f t="shared" ca="1" si="286"/>
        <v>0</v>
      </c>
      <c r="F4980" s="21">
        <f t="shared" ca="1" si="287"/>
        <v>0</v>
      </c>
      <c r="H4980" s="21">
        <v>4965</v>
      </c>
      <c r="I4980" s="107">
        <v>0.66774020956043367</v>
      </c>
      <c r="J4980" s="108">
        <v>1.3561647102060834E-3</v>
      </c>
      <c r="K4980" s="108"/>
      <c r="L4980" s="108">
        <v>4.1599999999999998E-2</v>
      </c>
      <c r="O4980" s="105"/>
    </row>
    <row r="4981" spans="2:15" x14ac:dyDescent="0.2">
      <c r="B4981" s="1">
        <f t="shared" si="288"/>
        <v>4966</v>
      </c>
      <c r="C4981" s="106">
        <f ca="1"/>
        <v>-0.68816038317860106</v>
      </c>
      <c r="D4981" s="106">
        <f t="shared" ca="1" si="285"/>
        <v>0.62089195640012473</v>
      </c>
      <c r="E4981" s="106">
        <f t="shared" ca="1" si="286"/>
        <v>0</v>
      </c>
      <c r="F4981" s="21">
        <f t="shared" ca="1" si="287"/>
        <v>0</v>
      </c>
      <c r="H4981" s="21">
        <v>4966</v>
      </c>
      <c r="I4981" s="107">
        <v>0.6678732823837058</v>
      </c>
      <c r="J4981" s="108">
        <v>1.5134891852495657E-3</v>
      </c>
      <c r="K4981" s="108"/>
      <c r="L4981" s="108">
        <v>4.4600000000000001E-2</v>
      </c>
      <c r="O4981" s="105"/>
    </row>
    <row r="4982" spans="2:15" x14ac:dyDescent="0.2">
      <c r="B4982" s="1">
        <f t="shared" si="288"/>
        <v>4967</v>
      </c>
      <c r="C4982" s="106">
        <f ca="1"/>
        <v>-1.3056371847293045</v>
      </c>
      <c r="D4982" s="106">
        <f t="shared" ca="1" si="285"/>
        <v>0.5842028995410774</v>
      </c>
      <c r="E4982" s="106">
        <f t="shared" ca="1" si="286"/>
        <v>0</v>
      </c>
      <c r="F4982" s="21">
        <f t="shared" ca="1" si="287"/>
        <v>0</v>
      </c>
      <c r="H4982" s="21">
        <v>4967</v>
      </c>
      <c r="I4982" s="107">
        <v>0.66743206916433218</v>
      </c>
      <c r="J4982" s="108">
        <v>1.052115431954751E-3</v>
      </c>
      <c r="K4982" s="108"/>
      <c r="L4982" s="108">
        <v>3.5400000000000001E-2</v>
      </c>
      <c r="O4982" s="105"/>
    </row>
    <row r="4983" spans="2:15" x14ac:dyDescent="0.2">
      <c r="B4983" s="1">
        <f t="shared" si="288"/>
        <v>4968</v>
      </c>
      <c r="C4983" s="106">
        <f ca="1"/>
        <v>-0.88531368530154186</v>
      </c>
      <c r="D4983" s="106">
        <f t="shared" ca="1" si="285"/>
        <v>0.60893383740897566</v>
      </c>
      <c r="E4983" s="106">
        <f t="shared" ca="1" si="286"/>
        <v>0</v>
      </c>
      <c r="F4983" s="21">
        <f t="shared" ca="1" si="287"/>
        <v>0</v>
      </c>
      <c r="H4983" s="21">
        <v>4968</v>
      </c>
      <c r="I4983" s="107">
        <v>0.66781509283171847</v>
      </c>
      <c r="J4983" s="108">
        <v>1.3924246684508476E-3</v>
      </c>
      <c r="K4983" s="108"/>
      <c r="L4983" s="108">
        <v>4.3400000000000001E-2</v>
      </c>
      <c r="O4983" s="105"/>
    </row>
    <row r="4984" spans="2:15" x14ac:dyDescent="0.2">
      <c r="B4984" s="1">
        <f t="shared" si="288"/>
        <v>4969</v>
      </c>
      <c r="C4984" s="106">
        <f ca="1"/>
        <v>-0.22187603753063986</v>
      </c>
      <c r="D4984" s="106">
        <f t="shared" ca="1" si="285"/>
        <v>0.65011676783750272</v>
      </c>
      <c r="E4984" s="106">
        <f t="shared" ca="1" si="286"/>
        <v>0</v>
      </c>
      <c r="F4984" s="21">
        <f t="shared" ca="1" si="287"/>
        <v>0</v>
      </c>
      <c r="H4984" s="21">
        <v>4969</v>
      </c>
      <c r="I4984" s="107">
        <v>0.66772647170641508</v>
      </c>
      <c r="J4984" s="108">
        <v>1.3179704004774189E-3</v>
      </c>
      <c r="K4984" s="108"/>
      <c r="L4984" s="108">
        <v>3.6999999999999998E-2</v>
      </c>
      <c r="O4984" s="105"/>
    </row>
    <row r="4985" spans="2:15" x14ac:dyDescent="0.2">
      <c r="B4985" s="1">
        <f t="shared" si="288"/>
        <v>4970</v>
      </c>
      <c r="C4985" s="106">
        <f ca="1"/>
        <v>-0.16589091279269266</v>
      </c>
      <c r="D4985" s="106">
        <f t="shared" ca="1" si="285"/>
        <v>0.6537169349005798</v>
      </c>
      <c r="E4985" s="106">
        <f t="shared" ca="1" si="286"/>
        <v>0</v>
      </c>
      <c r="F4985" s="21">
        <f t="shared" ca="1" si="287"/>
        <v>0</v>
      </c>
      <c r="H4985" s="21">
        <v>4970</v>
      </c>
      <c r="I4985" s="107">
        <v>0.66780292427353571</v>
      </c>
      <c r="J4985" s="108">
        <v>1.3942656175759331E-3</v>
      </c>
      <c r="K4985" s="108"/>
      <c r="L4985" s="108">
        <v>4.2599999999999999E-2</v>
      </c>
      <c r="O4985" s="105"/>
    </row>
    <row r="4986" spans="2:15" x14ac:dyDescent="0.2">
      <c r="B4986" s="1">
        <f t="shared" si="288"/>
        <v>4971</v>
      </c>
      <c r="C4986" s="106">
        <f ca="1"/>
        <v>-0.58000676933869655</v>
      </c>
      <c r="D4986" s="106">
        <f t="shared" ca="1" si="285"/>
        <v>0.62755134941791135</v>
      </c>
      <c r="E4986" s="106">
        <f t="shared" ca="1" si="286"/>
        <v>0</v>
      </c>
      <c r="F4986" s="21">
        <f t="shared" ca="1" si="287"/>
        <v>0</v>
      </c>
      <c r="H4986" s="21">
        <v>4971</v>
      </c>
      <c r="I4986" s="107">
        <v>0.667719684394673</v>
      </c>
      <c r="J4986" s="108">
        <v>1.2716962344353419E-3</v>
      </c>
      <c r="K4986" s="108"/>
      <c r="L4986" s="108">
        <v>4.2599999999999999E-2</v>
      </c>
      <c r="O4986" s="105"/>
    </row>
    <row r="4987" spans="2:15" x14ac:dyDescent="0.2">
      <c r="B4987" s="1">
        <f t="shared" si="288"/>
        <v>4972</v>
      </c>
      <c r="C4987" s="106">
        <f ca="1"/>
        <v>0.53927728413365927</v>
      </c>
      <c r="D4987" s="106">
        <f t="shared" ca="1" si="285"/>
        <v>0.70080744444235898</v>
      </c>
      <c r="E4987" s="106">
        <f t="shared" ca="1" si="286"/>
        <v>0</v>
      </c>
      <c r="F4987" s="21">
        <f t="shared" ca="1" si="287"/>
        <v>0</v>
      </c>
      <c r="H4987" s="21">
        <v>4972</v>
      </c>
      <c r="I4987" s="107">
        <v>0.66767444328751635</v>
      </c>
      <c r="J4987" s="108">
        <v>1.2636936656950581E-3</v>
      </c>
      <c r="K4987" s="108"/>
      <c r="L4987" s="108">
        <v>3.7999999999999999E-2</v>
      </c>
      <c r="O4987" s="105"/>
    </row>
    <row r="4988" spans="2:15" x14ac:dyDescent="0.2">
      <c r="B4988" s="1">
        <f t="shared" si="288"/>
        <v>4973</v>
      </c>
      <c r="C4988" s="106">
        <f ca="1"/>
        <v>-1.02756157118071</v>
      </c>
      <c r="D4988" s="106">
        <f t="shared" ca="1" si="285"/>
        <v>0.60044923519901727</v>
      </c>
      <c r="E4988" s="106">
        <f t="shared" ca="1" si="286"/>
        <v>0</v>
      </c>
      <c r="F4988" s="21">
        <f t="shared" ca="1" si="287"/>
        <v>0</v>
      </c>
      <c r="H4988" s="21">
        <v>4973</v>
      </c>
      <c r="I4988" s="107">
        <v>0.66777456593976792</v>
      </c>
      <c r="J4988" s="108">
        <v>1.4489005265587438E-3</v>
      </c>
      <c r="K4988" s="108"/>
      <c r="L4988" s="108">
        <v>4.3200000000000002E-2</v>
      </c>
      <c r="O4988" s="105"/>
    </row>
    <row r="4989" spans="2:15" x14ac:dyDescent="0.2">
      <c r="B4989" s="1">
        <f t="shared" si="288"/>
        <v>4974</v>
      </c>
      <c r="C4989" s="106">
        <f ca="1"/>
        <v>-0.84585193254570457</v>
      </c>
      <c r="D4989" s="106">
        <f t="shared" ca="1" si="285"/>
        <v>0.61130876794956235</v>
      </c>
      <c r="E4989" s="106">
        <f t="shared" ca="1" si="286"/>
        <v>0</v>
      </c>
      <c r="F4989" s="21">
        <f t="shared" ca="1" si="287"/>
        <v>0</v>
      </c>
      <c r="H4989" s="21">
        <v>4974</v>
      </c>
      <c r="I4989" s="107">
        <v>0.66778634424382222</v>
      </c>
      <c r="J4989" s="108">
        <v>1.4930645117530149E-3</v>
      </c>
      <c r="K4989" s="108"/>
      <c r="L4989" s="108">
        <v>4.4999999999999998E-2</v>
      </c>
      <c r="O4989" s="105"/>
    </row>
    <row r="4990" spans="2:15" x14ac:dyDescent="0.2">
      <c r="B4990" s="1">
        <f t="shared" si="288"/>
        <v>4975</v>
      </c>
      <c r="C4990" s="106">
        <f ca="1"/>
        <v>0.24070889002082718</v>
      </c>
      <c r="D4990" s="106">
        <f t="shared" ca="1" si="285"/>
        <v>0.68046880525062203</v>
      </c>
      <c r="E4990" s="106">
        <f t="shared" ca="1" si="286"/>
        <v>0</v>
      </c>
      <c r="F4990" s="21">
        <f t="shared" ca="1" si="287"/>
        <v>0</v>
      </c>
      <c r="H4990" s="21">
        <v>4975</v>
      </c>
      <c r="I4990" s="107">
        <v>0.66766623462953145</v>
      </c>
      <c r="J4990" s="108">
        <v>1.2350195042275141E-3</v>
      </c>
      <c r="K4990" s="108"/>
      <c r="L4990" s="108">
        <v>4.2000000000000003E-2</v>
      </c>
      <c r="O4990" s="105"/>
    </row>
    <row r="4991" spans="2:15" x14ac:dyDescent="0.2">
      <c r="B4991" s="1">
        <f t="shared" si="288"/>
        <v>4976</v>
      </c>
      <c r="C4991" s="106">
        <f ca="1"/>
        <v>-0.47605966589468368</v>
      </c>
      <c r="D4991" s="106">
        <f t="shared" ca="1" si="285"/>
        <v>0.63401903617105926</v>
      </c>
      <c r="E4991" s="106">
        <f t="shared" ca="1" si="286"/>
        <v>0</v>
      </c>
      <c r="F4991" s="21">
        <f t="shared" ca="1" si="287"/>
        <v>0</v>
      </c>
      <c r="H4991" s="21">
        <v>4976</v>
      </c>
      <c r="I4991" s="107">
        <v>0.66774799068252266</v>
      </c>
      <c r="J4991" s="108">
        <v>1.3192726290452005E-3</v>
      </c>
      <c r="K4991" s="108"/>
      <c r="L4991" s="108">
        <v>4.2200000000000001E-2</v>
      </c>
      <c r="O4991" s="105"/>
    </row>
    <row r="4992" spans="2:15" x14ac:dyDescent="0.2">
      <c r="B4992" s="1">
        <f t="shared" si="288"/>
        <v>4977</v>
      </c>
      <c r="C4992" s="106">
        <f ca="1"/>
        <v>-0.17690477247251585</v>
      </c>
      <c r="D4992" s="106">
        <f t="shared" ca="1" si="285"/>
        <v>0.65300710827871411</v>
      </c>
      <c r="E4992" s="106">
        <f t="shared" ca="1" si="286"/>
        <v>0</v>
      </c>
      <c r="F4992" s="21">
        <f t="shared" ca="1" si="287"/>
        <v>0</v>
      </c>
      <c r="H4992" s="21">
        <v>4977</v>
      </c>
      <c r="I4992" s="107">
        <v>0.66769875942775148</v>
      </c>
      <c r="J4992" s="108">
        <v>1.3347185716367203E-3</v>
      </c>
      <c r="K4992" s="108"/>
      <c r="L4992" s="108">
        <v>4.0399999999999998E-2</v>
      </c>
      <c r="O4992" s="105"/>
    </row>
    <row r="4993" spans="2:15" x14ac:dyDescent="0.2">
      <c r="B4993" s="1">
        <f t="shared" si="288"/>
        <v>4978</v>
      </c>
      <c r="C4993" s="106">
        <f ca="1"/>
        <v>0.83916592291811398</v>
      </c>
      <c r="D4993" s="106">
        <f t="shared" ca="1" si="285"/>
        <v>0.72184798905805758</v>
      </c>
      <c r="E4993" s="106">
        <f t="shared" ca="1" si="286"/>
        <v>0</v>
      </c>
      <c r="F4993" s="21">
        <f t="shared" ca="1" si="287"/>
        <v>0</v>
      </c>
      <c r="H4993" s="21">
        <v>4978</v>
      </c>
      <c r="I4993" s="107">
        <v>0.66753687484258817</v>
      </c>
      <c r="J4993" s="108">
        <v>1.075093956379807E-3</v>
      </c>
      <c r="K4993" s="108"/>
      <c r="L4993" s="108">
        <v>3.9199999999999999E-2</v>
      </c>
      <c r="O4993" s="105"/>
    </row>
    <row r="4994" spans="2:15" x14ac:dyDescent="0.2">
      <c r="B4994" s="1">
        <f t="shared" si="288"/>
        <v>4979</v>
      </c>
      <c r="C4994" s="106">
        <f ca="1"/>
        <v>-0.20902412700030029</v>
      </c>
      <c r="D4994" s="106">
        <f t="shared" ca="1" si="285"/>
        <v>0.65094146267273911</v>
      </c>
      <c r="E4994" s="106">
        <f t="shared" ca="1" si="286"/>
        <v>0</v>
      </c>
      <c r="F4994" s="21">
        <f t="shared" ca="1" si="287"/>
        <v>0</v>
      </c>
      <c r="H4994" s="21">
        <v>4979</v>
      </c>
      <c r="I4994" s="107">
        <v>0.66760277666747692</v>
      </c>
      <c r="J4994" s="108">
        <v>1.1883190004209432E-3</v>
      </c>
      <c r="K4994" s="108"/>
      <c r="L4994" s="108">
        <v>4.1000000000000002E-2</v>
      </c>
      <c r="O4994" s="105"/>
    </row>
    <row r="4995" spans="2:15" x14ac:dyDescent="0.2">
      <c r="B4995" s="1">
        <f t="shared" si="288"/>
        <v>4980</v>
      </c>
      <c r="C4995" s="106">
        <f ca="1"/>
        <v>0.39203197649984589</v>
      </c>
      <c r="D4995" s="106">
        <f t="shared" ca="1" si="285"/>
        <v>0.69070215076739083</v>
      </c>
      <c r="E4995" s="106">
        <f t="shared" ca="1" si="286"/>
        <v>0</v>
      </c>
      <c r="F4995" s="21">
        <f t="shared" ca="1" si="287"/>
        <v>0</v>
      </c>
      <c r="H4995" s="21">
        <v>4980</v>
      </c>
      <c r="I4995" s="107">
        <v>0.66764461111457429</v>
      </c>
      <c r="J4995" s="108">
        <v>1.1996961190473799E-3</v>
      </c>
      <c r="K4995" s="108"/>
      <c r="L4995" s="108">
        <v>3.56E-2</v>
      </c>
      <c r="O4995" s="105"/>
    </row>
    <row r="4996" spans="2:15" x14ac:dyDescent="0.2">
      <c r="B4996" s="1">
        <f t="shared" si="288"/>
        <v>4981</v>
      </c>
      <c r="C4996" s="106">
        <f ca="1"/>
        <v>-1.9984234569108354</v>
      </c>
      <c r="D4996" s="106">
        <f t="shared" ca="1" si="285"/>
        <v>0.54561358032721652</v>
      </c>
      <c r="E4996" s="106">
        <f t="shared" ca="1" si="286"/>
        <v>0</v>
      </c>
      <c r="F4996" s="21">
        <f t="shared" ca="1" si="287"/>
        <v>0</v>
      </c>
      <c r="H4996" s="21">
        <v>4981</v>
      </c>
      <c r="I4996" s="107">
        <v>0.66797398959228727</v>
      </c>
      <c r="J4996" s="108">
        <v>1.6543183982255987E-3</v>
      </c>
      <c r="K4996" s="108"/>
      <c r="L4996" s="108">
        <v>4.5199999999999997E-2</v>
      </c>
      <c r="O4996" s="105"/>
    </row>
    <row r="4997" spans="2:15" x14ac:dyDescent="0.2">
      <c r="B4997" s="1">
        <f t="shared" si="288"/>
        <v>4982</v>
      </c>
      <c r="C4997" s="106">
        <f ca="1"/>
        <v>-1.3056249734026699</v>
      </c>
      <c r="D4997" s="106">
        <f t="shared" ca="1" si="285"/>
        <v>0.58420360323810816</v>
      </c>
      <c r="E4997" s="106">
        <f t="shared" ca="1" si="286"/>
        <v>0</v>
      </c>
      <c r="F4997" s="21">
        <f t="shared" ca="1" si="287"/>
        <v>0</v>
      </c>
      <c r="H4997" s="21">
        <v>4982</v>
      </c>
      <c r="I4997" s="107">
        <v>0.66794143235720971</v>
      </c>
      <c r="J4997" s="108">
        <v>1.4327315602535413E-3</v>
      </c>
      <c r="K4997" s="108"/>
      <c r="L4997" s="108">
        <v>4.7E-2</v>
      </c>
      <c r="O4997" s="105"/>
    </row>
    <row r="4998" spans="2:15" x14ac:dyDescent="0.2">
      <c r="B4998" s="1">
        <f t="shared" si="288"/>
        <v>4983</v>
      </c>
      <c r="C4998" s="106">
        <f ca="1"/>
        <v>0.57122864685832686</v>
      </c>
      <c r="D4998" s="106">
        <f t="shared" ca="1" si="285"/>
        <v>0.70301968097956413</v>
      </c>
      <c r="E4998" s="106">
        <f t="shared" ca="1" si="286"/>
        <v>0</v>
      </c>
      <c r="F4998" s="21">
        <f t="shared" ca="1" si="287"/>
        <v>0</v>
      </c>
      <c r="H4998" s="21">
        <v>4983</v>
      </c>
      <c r="I4998" s="107">
        <v>0.6676720213937426</v>
      </c>
      <c r="J4998" s="108">
        <v>1.2756392570163586E-3</v>
      </c>
      <c r="K4998" s="108"/>
      <c r="L4998" s="108">
        <v>3.7999999999999999E-2</v>
      </c>
      <c r="O4998" s="105"/>
    </row>
    <row r="4999" spans="2:15" x14ac:dyDescent="0.2">
      <c r="B4999" s="1">
        <f t="shared" si="288"/>
        <v>4984</v>
      </c>
      <c r="C4999" s="106">
        <f ca="1"/>
        <v>-2.0554149101180093</v>
      </c>
      <c r="D4999" s="106">
        <f t="shared" ca="1" si="285"/>
        <v>0.54255490319876298</v>
      </c>
      <c r="E4999" s="106">
        <f t="shared" ca="1" si="286"/>
        <v>0</v>
      </c>
      <c r="F4999" s="21">
        <f t="shared" ca="1" si="287"/>
        <v>0</v>
      </c>
      <c r="H4999" s="21">
        <v>4984</v>
      </c>
      <c r="I4999" s="107">
        <v>0.66759845533215545</v>
      </c>
      <c r="J4999" s="108">
        <v>1.2861062666849419E-3</v>
      </c>
      <c r="K4999" s="108"/>
      <c r="L4999" s="108">
        <v>3.9E-2</v>
      </c>
      <c r="O4999" s="105"/>
    </row>
    <row r="5000" spans="2:15" x14ac:dyDescent="0.2">
      <c r="B5000" s="1">
        <f t="shared" si="288"/>
        <v>4985</v>
      </c>
      <c r="C5000" s="106">
        <f ca="1"/>
        <v>-1.143093707178213</v>
      </c>
      <c r="D5000" s="106">
        <f t="shared" ca="1" si="285"/>
        <v>0.5936452135485617</v>
      </c>
      <c r="E5000" s="106">
        <f t="shared" ca="1" si="286"/>
        <v>0</v>
      </c>
      <c r="F5000" s="21">
        <f t="shared" ca="1" si="287"/>
        <v>0</v>
      </c>
      <c r="H5000" s="21">
        <v>4985</v>
      </c>
      <c r="I5000" s="107">
        <v>0.6678624637509194</v>
      </c>
      <c r="J5000" s="108">
        <v>1.5526584557344686E-3</v>
      </c>
      <c r="K5000" s="108"/>
      <c r="L5000" s="108">
        <v>4.5600000000000002E-2</v>
      </c>
      <c r="O5000" s="105"/>
    </row>
    <row r="5001" spans="2:15" x14ac:dyDescent="0.2">
      <c r="B5001" s="1">
        <f t="shared" si="288"/>
        <v>4986</v>
      </c>
      <c r="C5001" s="106">
        <f ca="1"/>
        <v>-0.61980847719271526</v>
      </c>
      <c r="D5001" s="106">
        <f t="shared" ca="1" si="285"/>
        <v>0.62509235459327095</v>
      </c>
      <c r="E5001" s="106">
        <f t="shared" ca="1" si="286"/>
        <v>0</v>
      </c>
      <c r="F5001" s="21">
        <f t="shared" ca="1" si="287"/>
        <v>0</v>
      </c>
      <c r="H5001" s="21">
        <v>4986</v>
      </c>
      <c r="I5001" s="107">
        <v>0.6677930741916519</v>
      </c>
      <c r="J5001" s="108">
        <v>1.5564054069396669E-3</v>
      </c>
      <c r="K5001" s="108"/>
      <c r="L5001" s="108">
        <v>4.1799999999999997E-2</v>
      </c>
      <c r="O5001" s="105"/>
    </row>
    <row r="5002" spans="2:15" x14ac:dyDescent="0.2">
      <c r="B5002" s="1">
        <f t="shared" si="288"/>
        <v>4987</v>
      </c>
      <c r="C5002" s="106">
        <f ca="1"/>
        <v>-0.89870961264576876</v>
      </c>
      <c r="D5002" s="106">
        <f t="shared" ca="1" si="285"/>
        <v>0.6081297284761088</v>
      </c>
      <c r="E5002" s="106">
        <f t="shared" ca="1" si="286"/>
        <v>0</v>
      </c>
      <c r="F5002" s="21">
        <f t="shared" ca="1" si="287"/>
        <v>0</v>
      </c>
      <c r="H5002" s="21">
        <v>4987</v>
      </c>
      <c r="I5002" s="107">
        <v>0.66768958664568867</v>
      </c>
      <c r="J5002" s="108">
        <v>1.3636811132401205E-3</v>
      </c>
      <c r="K5002" s="108"/>
      <c r="L5002" s="108">
        <v>4.24E-2</v>
      </c>
      <c r="O5002" s="105"/>
    </row>
    <row r="5003" spans="2:15" x14ac:dyDescent="0.2">
      <c r="B5003" s="1">
        <f t="shared" si="288"/>
        <v>4988</v>
      </c>
      <c r="C5003" s="106">
        <f ca="1"/>
        <v>-2.3431888698298349</v>
      </c>
      <c r="D5003" s="106">
        <f t="shared" ca="1" si="285"/>
        <v>0.52737025839025276</v>
      </c>
      <c r="E5003" s="106">
        <f t="shared" ca="1" si="286"/>
        <v>0</v>
      </c>
      <c r="F5003" s="21">
        <f t="shared" ca="1" si="287"/>
        <v>0</v>
      </c>
      <c r="H5003" s="21">
        <v>4988</v>
      </c>
      <c r="I5003" s="107">
        <v>0.66784463179413478</v>
      </c>
      <c r="J5003" s="108">
        <v>1.5006953143736029E-3</v>
      </c>
      <c r="K5003" s="108"/>
      <c r="L5003" s="108">
        <v>4.2599999999999999E-2</v>
      </c>
      <c r="O5003" s="105"/>
    </row>
    <row r="5004" spans="2:15" x14ac:dyDescent="0.2">
      <c r="B5004" s="1">
        <f t="shared" si="288"/>
        <v>4989</v>
      </c>
      <c r="C5004" s="106">
        <f ca="1"/>
        <v>0.39537920897063261</v>
      </c>
      <c r="D5004" s="106">
        <f t="shared" ca="1" si="285"/>
        <v>0.69093024131272296</v>
      </c>
      <c r="E5004" s="106">
        <f t="shared" ca="1" si="286"/>
        <v>0</v>
      </c>
      <c r="F5004" s="21">
        <f t="shared" ca="1" si="287"/>
        <v>0</v>
      </c>
      <c r="H5004" s="21">
        <v>4989</v>
      </c>
      <c r="I5004" s="107">
        <v>0.66762164220767395</v>
      </c>
      <c r="J5004" s="108">
        <v>1.2636834359047312E-3</v>
      </c>
      <c r="K5004" s="108"/>
      <c r="L5004" s="108">
        <v>3.6200000000000003E-2</v>
      </c>
      <c r="O5004" s="105"/>
    </row>
    <row r="5005" spans="2:15" x14ac:dyDescent="0.2">
      <c r="B5005" s="1">
        <f t="shared" si="288"/>
        <v>4990</v>
      </c>
      <c r="C5005" s="106">
        <f ca="1"/>
        <v>-0.55089186788100608</v>
      </c>
      <c r="D5005" s="106">
        <f t="shared" ca="1" si="285"/>
        <v>0.62935622502063981</v>
      </c>
      <c r="E5005" s="106">
        <f t="shared" ca="1" si="286"/>
        <v>0</v>
      </c>
      <c r="F5005" s="21">
        <f t="shared" ca="1" si="287"/>
        <v>0</v>
      </c>
      <c r="H5005" s="21">
        <v>4990</v>
      </c>
      <c r="I5005" s="107">
        <v>0.66778806984179029</v>
      </c>
      <c r="J5005" s="108">
        <v>1.423724140299484E-3</v>
      </c>
      <c r="K5005" s="108"/>
      <c r="L5005" s="108">
        <v>4.1399999999999999E-2</v>
      </c>
      <c r="O5005" s="105"/>
    </row>
    <row r="5006" spans="2:15" x14ac:dyDescent="0.2">
      <c r="B5006" s="1">
        <f t="shared" si="288"/>
        <v>4991</v>
      </c>
      <c r="C5006" s="106">
        <f ca="1"/>
        <v>0.44857908165727511</v>
      </c>
      <c r="D5006" s="106">
        <f t="shared" ca="1" si="285"/>
        <v>0.69456557029277799</v>
      </c>
      <c r="E5006" s="106">
        <f t="shared" ca="1" si="286"/>
        <v>0</v>
      </c>
      <c r="F5006" s="21">
        <f t="shared" ca="1" si="287"/>
        <v>0</v>
      </c>
      <c r="H5006" s="21">
        <v>4991</v>
      </c>
      <c r="I5006" s="107">
        <v>0.66772506281049815</v>
      </c>
      <c r="J5006" s="108">
        <v>1.3440713514057438E-3</v>
      </c>
      <c r="K5006" s="108"/>
      <c r="L5006" s="108">
        <v>4.2200000000000001E-2</v>
      </c>
      <c r="O5006" s="105"/>
    </row>
    <row r="5007" spans="2:15" x14ac:dyDescent="0.2">
      <c r="B5007" s="1">
        <f t="shared" si="288"/>
        <v>4992</v>
      </c>
      <c r="C5007" s="106">
        <f ca="1"/>
        <v>-0.27520109934745046</v>
      </c>
      <c r="D5007" s="106">
        <f t="shared" ca="1" si="285"/>
        <v>0.64670609604025298</v>
      </c>
      <c r="E5007" s="106">
        <f t="shared" ca="1" si="286"/>
        <v>0</v>
      </c>
      <c r="F5007" s="21">
        <f t="shared" ca="1" si="287"/>
        <v>0</v>
      </c>
      <c r="H5007" s="21">
        <v>4992</v>
      </c>
      <c r="I5007" s="107">
        <v>0.66764745865990149</v>
      </c>
      <c r="J5007" s="108">
        <v>1.2507806896454676E-3</v>
      </c>
      <c r="K5007" s="108"/>
      <c r="L5007" s="108">
        <v>4.1000000000000002E-2</v>
      </c>
      <c r="O5007" s="105"/>
    </row>
    <row r="5008" spans="2:15" x14ac:dyDescent="0.2">
      <c r="B5008" s="1">
        <f t="shared" si="288"/>
        <v>4993</v>
      </c>
      <c r="C5008" s="106">
        <f ca="1"/>
        <v>0.64418593299638172</v>
      </c>
      <c r="D5008" s="106">
        <f t="shared" ref="D5008:D5015" ca="1" si="289">S0*EXP((μ-0.5*σ*σ)*T+σ*SQRT(T)*$C5008)</f>
        <v>0.70809728365822056</v>
      </c>
      <c r="E5008" s="106">
        <f t="shared" ref="E5008:E5015" ca="1" si="290">MAX(0,CP*(D5008-K))</f>
        <v>0</v>
      </c>
      <c r="F5008" s="21">
        <f t="shared" ref="F5008:F5015" ca="1" si="291">(CP*(D5008-K)&gt;0)*1</f>
        <v>0</v>
      </c>
      <c r="H5008" s="21">
        <v>4993</v>
      </c>
      <c r="I5008" s="107">
        <v>0.66776073363893651</v>
      </c>
      <c r="J5008" s="108">
        <v>1.3559224523932364E-3</v>
      </c>
      <c r="K5008" s="108"/>
      <c r="L5008" s="108">
        <v>4.24E-2</v>
      </c>
      <c r="O5008" s="105"/>
    </row>
    <row r="5009" spans="2:15" x14ac:dyDescent="0.2">
      <c r="B5009" s="1">
        <f t="shared" si="288"/>
        <v>4994</v>
      </c>
      <c r="C5009" s="106">
        <f ca="1"/>
        <v>0.55905748657744903</v>
      </c>
      <c r="D5009" s="106">
        <f t="shared" ca="1" si="289"/>
        <v>0.70217615650284382</v>
      </c>
      <c r="E5009" s="106">
        <f t="shared" ca="1" si="290"/>
        <v>0</v>
      </c>
      <c r="F5009" s="21">
        <f t="shared" ca="1" si="291"/>
        <v>0</v>
      </c>
      <c r="H5009" s="21">
        <v>4994</v>
      </c>
      <c r="I5009" s="107">
        <v>0.66772568548644273</v>
      </c>
      <c r="J5009" s="108">
        <v>1.2187049103685862E-3</v>
      </c>
      <c r="K5009" s="108"/>
      <c r="L5009" s="108">
        <v>4.1200000000000001E-2</v>
      </c>
      <c r="O5009" s="105"/>
    </row>
    <row r="5010" spans="2:15" x14ac:dyDescent="0.2">
      <c r="B5010" s="1">
        <f t="shared" si="288"/>
        <v>4995</v>
      </c>
      <c r="C5010" s="106">
        <f ca="1"/>
        <v>1.2599677363050052</v>
      </c>
      <c r="D5010" s="106">
        <f t="shared" ca="1" si="289"/>
        <v>0.75244132789789175</v>
      </c>
      <c r="E5010" s="106">
        <f t="shared" ca="1" si="290"/>
        <v>0</v>
      </c>
      <c r="F5010" s="21">
        <f t="shared" ca="1" si="291"/>
        <v>0</v>
      </c>
      <c r="H5010" s="21">
        <v>4995</v>
      </c>
      <c r="I5010" s="107">
        <v>0.66774406722552282</v>
      </c>
      <c r="J5010" s="108">
        <v>1.315453379347666E-3</v>
      </c>
      <c r="K5010" s="108"/>
      <c r="L5010" s="108">
        <v>4.1599999999999998E-2</v>
      </c>
      <c r="O5010" s="105"/>
    </row>
    <row r="5011" spans="2:15" x14ac:dyDescent="0.2">
      <c r="B5011" s="1">
        <f t="shared" si="288"/>
        <v>4996</v>
      </c>
      <c r="C5011" s="106">
        <f ca="1"/>
        <v>-2.2262395963446031</v>
      </c>
      <c r="D5011" s="106">
        <f t="shared" ca="1" si="289"/>
        <v>0.53348924479218673</v>
      </c>
      <c r="E5011" s="106">
        <f t="shared" ca="1" si="290"/>
        <v>0</v>
      </c>
      <c r="F5011" s="21">
        <f t="shared" ca="1" si="291"/>
        <v>0</v>
      </c>
      <c r="H5011" s="21">
        <v>4996</v>
      </c>
      <c r="I5011" s="107">
        <v>0.66763818893669258</v>
      </c>
      <c r="J5011" s="108">
        <v>1.1830533925389995E-3</v>
      </c>
      <c r="K5011" s="108"/>
      <c r="L5011" s="108">
        <v>3.9E-2</v>
      </c>
      <c r="O5011" s="105"/>
    </row>
    <row r="5012" spans="2:15" x14ac:dyDescent="0.2">
      <c r="B5012" s="1">
        <f t="shared" si="288"/>
        <v>4997</v>
      </c>
      <c r="C5012" s="106">
        <f ca="1"/>
        <v>0.64047634043748281</v>
      </c>
      <c r="D5012" s="106">
        <f t="shared" ca="1" si="289"/>
        <v>0.70783822471780244</v>
      </c>
      <c r="E5012" s="106">
        <f t="shared" ca="1" si="290"/>
        <v>0</v>
      </c>
      <c r="F5012" s="21">
        <f t="shared" ca="1" si="291"/>
        <v>0</v>
      </c>
      <c r="H5012" s="21">
        <v>4997</v>
      </c>
      <c r="I5012" s="107">
        <v>0.66779334912086474</v>
      </c>
      <c r="J5012" s="108">
        <v>1.5176305014395312E-3</v>
      </c>
      <c r="K5012" s="108"/>
      <c r="L5012" s="108">
        <v>4.3200000000000002E-2</v>
      </c>
      <c r="O5012" s="105"/>
    </row>
    <row r="5013" spans="2:15" x14ac:dyDescent="0.2">
      <c r="B5013" s="1">
        <f t="shared" si="288"/>
        <v>4998</v>
      </c>
      <c r="C5013" s="106">
        <f ca="1"/>
        <v>-0.59934918668041703</v>
      </c>
      <c r="D5013" s="106">
        <f t="shared" ca="1" si="289"/>
        <v>0.62635514700171613</v>
      </c>
      <c r="E5013" s="106">
        <f t="shared" ca="1" si="290"/>
        <v>0</v>
      </c>
      <c r="F5013" s="21">
        <f t="shared" ca="1" si="291"/>
        <v>0</v>
      </c>
      <c r="H5013" s="21">
        <v>4998</v>
      </c>
      <c r="I5013" s="107">
        <v>0.66782165982518693</v>
      </c>
      <c r="J5013" s="108">
        <v>1.4670619171430592E-3</v>
      </c>
      <c r="K5013" s="108"/>
      <c r="L5013" s="108">
        <v>4.5600000000000002E-2</v>
      </c>
      <c r="O5013" s="105"/>
    </row>
    <row r="5014" spans="2:15" x14ac:dyDescent="0.2">
      <c r="B5014" s="1">
        <f t="shared" si="288"/>
        <v>4999</v>
      </c>
      <c r="C5014" s="106">
        <f ca="1"/>
        <v>-5.9637587761501153E-2</v>
      </c>
      <c r="D5014" s="106">
        <f t="shared" ca="1" si="289"/>
        <v>0.66060455313616462</v>
      </c>
      <c r="E5014" s="106">
        <f t="shared" ca="1" si="290"/>
        <v>0</v>
      </c>
      <c r="F5014" s="21">
        <f t="shared" ca="1" si="291"/>
        <v>0</v>
      </c>
      <c r="H5014" s="21">
        <v>4999</v>
      </c>
      <c r="I5014" s="107">
        <v>0.66776246224710589</v>
      </c>
      <c r="J5014" s="108">
        <v>1.4406098941150552E-3</v>
      </c>
      <c r="K5014" s="108"/>
      <c r="L5014" s="108">
        <v>4.3999999999999997E-2</v>
      </c>
      <c r="O5014" s="105"/>
    </row>
    <row r="5015" spans="2:15" x14ac:dyDescent="0.2">
      <c r="B5015" s="1">
        <f t="shared" si="288"/>
        <v>5000</v>
      </c>
      <c r="C5015" s="106">
        <f ca="1"/>
        <v>-0.87754651086277236</v>
      </c>
      <c r="D5015" s="106">
        <f t="shared" ca="1" si="289"/>
        <v>0.60940055959759876</v>
      </c>
      <c r="E5015" s="106">
        <f t="shared" ca="1" si="290"/>
        <v>0</v>
      </c>
      <c r="F5015" s="21">
        <f t="shared" ca="1" si="291"/>
        <v>0</v>
      </c>
      <c r="H5015" s="21">
        <v>5000</v>
      </c>
      <c r="I5015" s="107">
        <v>0.66777068142683549</v>
      </c>
      <c r="J5015" s="108">
        <v>1.4722178293452902E-3</v>
      </c>
      <c r="K5015" s="108"/>
      <c r="L5015" s="108">
        <v>4.1200000000000001E-2</v>
      </c>
      <c r="O5015" s="105"/>
    </row>
  </sheetData>
  <mergeCells count="1">
    <mergeCell ref="E7:F7"/>
  </mergeCells>
  <pageMargins left="0.7" right="0.7" top="0.75" bottom="0.75" header="0.3" footer="0.3"/>
  <pageSetup paperSize="9" orientation="portrait" r:id="rId1"/>
  <ignoredErrors>
    <ignoredError sqref="L6 K10 L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Monte_Carlo">
                <anchor moveWithCells="1" sizeWithCells="1">
                  <from>
                    <xdr:col>14</xdr:col>
                    <xdr:colOff>85725</xdr:colOff>
                    <xdr:row>6</xdr:row>
                    <xdr:rowOff>85725</xdr:rowOff>
                  </from>
                  <to>
                    <xdr:col>16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BBCFD-C73A-4AF3-855A-1ADBBE1F94A3}">
  <sheetPr codeName="Sheet4"/>
  <dimension ref="B1:AS6"/>
  <sheetViews>
    <sheetView workbookViewId="0">
      <selection activeCell="E39" sqref="D39:E39"/>
    </sheetView>
  </sheetViews>
  <sheetFormatPr defaultRowHeight="12" x14ac:dyDescent="0.2"/>
  <cols>
    <col min="1" max="1" width="9.140625" style="1"/>
    <col min="2" max="2" width="7.28515625" style="1" bestFit="1" customWidth="1"/>
    <col min="3" max="3" width="10.28515625" style="1" bestFit="1" customWidth="1"/>
    <col min="4" max="4" width="8.85546875" style="1" bestFit="1" customWidth="1"/>
    <col min="5" max="5" width="16" style="1" bestFit="1" customWidth="1"/>
    <col min="6" max="6" width="13" style="1" bestFit="1" customWidth="1"/>
    <col min="7" max="7" width="14.5703125" style="1" bestFit="1" customWidth="1"/>
    <col min="8" max="8" width="14.140625" style="1" bestFit="1" customWidth="1"/>
    <col min="9" max="9" width="12.7109375" style="1" bestFit="1" customWidth="1"/>
    <col min="10" max="11" width="8.85546875" style="1" bestFit="1" customWidth="1"/>
    <col min="12" max="12" width="7" style="1" bestFit="1" customWidth="1"/>
    <col min="13" max="14" width="6" style="1" bestFit="1" customWidth="1"/>
    <col min="15" max="15" width="12.7109375" style="1" bestFit="1" customWidth="1"/>
    <col min="16" max="16" width="17.140625" style="1" bestFit="1" customWidth="1"/>
    <col min="17" max="17" width="5.85546875" style="1" bestFit="1" customWidth="1"/>
    <col min="18" max="18" width="6.85546875" style="1" bestFit="1" customWidth="1"/>
    <col min="19" max="19" width="15.7109375" style="1" bestFit="1" customWidth="1"/>
    <col min="20" max="20" width="14.7109375" style="1" bestFit="1" customWidth="1"/>
    <col min="21" max="21" width="10.7109375" style="1" bestFit="1" customWidth="1"/>
    <col min="22" max="22" width="14.28515625" style="1" bestFit="1" customWidth="1"/>
    <col min="23" max="23" width="15" style="1" bestFit="1" customWidth="1"/>
    <col min="24" max="24" width="19.5703125" style="1" bestFit="1" customWidth="1"/>
    <col min="25" max="26" width="6" style="1" bestFit="1" customWidth="1"/>
    <col min="27" max="27" width="6.7109375" style="1" bestFit="1" customWidth="1"/>
    <col min="28" max="29" width="7.5703125" style="1" bestFit="1" customWidth="1"/>
    <col min="30" max="30" width="8" style="1" bestFit="1" customWidth="1"/>
    <col min="31" max="31" width="10.7109375" style="1" bestFit="1" customWidth="1"/>
    <col min="32" max="32" width="12.5703125" style="1" bestFit="1" customWidth="1"/>
    <col min="33" max="33" width="11.7109375" style="1" bestFit="1" customWidth="1"/>
    <col min="34" max="34" width="12.140625" style="1" bestFit="1" customWidth="1"/>
    <col min="35" max="35" width="14" style="1" bestFit="1" customWidth="1"/>
    <col min="36" max="36" width="19.5703125" style="1" bestFit="1" customWidth="1"/>
    <col min="37" max="37" width="20.5703125" style="1" bestFit="1" customWidth="1"/>
    <col min="38" max="38" width="14.5703125" style="1" bestFit="1" customWidth="1"/>
    <col min="39" max="40" width="10.5703125" style="1" bestFit="1" customWidth="1"/>
    <col min="41" max="41" width="8" style="1" bestFit="1" customWidth="1"/>
    <col min="42" max="42" width="8.42578125" style="1" bestFit="1" customWidth="1"/>
    <col min="43" max="43" width="10.140625" style="1" bestFit="1" customWidth="1"/>
    <col min="44" max="44" width="15.28515625" style="1" bestFit="1" customWidth="1"/>
    <col min="45" max="45" width="16.42578125" style="1" bestFit="1" customWidth="1"/>
    <col min="46" max="16384" width="9.140625" style="1"/>
  </cols>
  <sheetData>
    <row r="1" spans="2:45" ht="12.75" thickBot="1" x14ac:dyDescent="0.25"/>
    <row r="2" spans="2:45" s="53" customFormat="1" ht="12.75" thickBot="1" x14ac:dyDescent="0.25">
      <c r="C2" s="54" t="s">
        <v>78</v>
      </c>
      <c r="D2" s="55"/>
      <c r="E2" s="55"/>
      <c r="F2" s="55"/>
      <c r="G2" s="55"/>
      <c r="H2" s="56"/>
      <c r="I2" s="54" t="s">
        <v>77</v>
      </c>
      <c r="J2" s="57"/>
      <c r="K2" s="57"/>
      <c r="L2" s="57"/>
      <c r="M2" s="57"/>
      <c r="N2" s="57"/>
      <c r="O2" s="57"/>
      <c r="P2" s="56"/>
      <c r="Q2" s="54" t="s">
        <v>76</v>
      </c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4" t="s">
        <v>75</v>
      </c>
      <c r="AE2" s="55"/>
      <c r="AF2" s="55"/>
      <c r="AG2" s="55"/>
      <c r="AH2" s="55"/>
      <c r="AI2" s="55"/>
      <c r="AJ2" s="55"/>
      <c r="AK2" s="56"/>
      <c r="AL2" s="54" t="str">
        <f>"Vanilla European Option Results in Result Currency, "&amp;ResultCurrency</f>
        <v>Vanilla European Option Results in Result Currency, FOR</v>
      </c>
      <c r="AM2" s="55"/>
      <c r="AN2" s="55"/>
      <c r="AO2" s="55"/>
      <c r="AP2" s="55"/>
      <c r="AQ2" s="55"/>
      <c r="AR2" s="55"/>
      <c r="AS2" s="56"/>
    </row>
    <row r="3" spans="2:45" s="58" customFormat="1" x14ac:dyDescent="0.2">
      <c r="B3" s="58" t="s">
        <v>74</v>
      </c>
      <c r="C3" s="59" t="s">
        <v>73</v>
      </c>
      <c r="D3" s="58" t="s">
        <v>3</v>
      </c>
      <c r="G3" s="58" t="s">
        <v>72</v>
      </c>
      <c r="H3" s="60" t="s">
        <v>70</v>
      </c>
      <c r="I3" s="59" t="s">
        <v>71</v>
      </c>
      <c r="J3" s="58" t="s">
        <v>3</v>
      </c>
      <c r="K3" s="58" t="s">
        <v>3</v>
      </c>
      <c r="L3" s="58" t="s">
        <v>65</v>
      </c>
      <c r="M3" s="58" t="s">
        <v>65</v>
      </c>
      <c r="N3" s="58" t="s">
        <v>65</v>
      </c>
      <c r="O3" s="58" t="s">
        <v>70</v>
      </c>
      <c r="P3" s="60"/>
      <c r="Q3" s="59" t="s">
        <v>69</v>
      </c>
      <c r="R3" s="58" t="s">
        <v>68</v>
      </c>
      <c r="S3" s="58" t="s">
        <v>65</v>
      </c>
      <c r="T3" s="58" t="s">
        <v>65</v>
      </c>
      <c r="U3" s="58" t="s">
        <v>65</v>
      </c>
      <c r="V3" s="58" t="s">
        <v>67</v>
      </c>
      <c r="W3" s="58" t="s">
        <v>66</v>
      </c>
      <c r="Y3" s="58" t="s">
        <v>65</v>
      </c>
      <c r="Z3" s="58" t="s">
        <v>65</v>
      </c>
      <c r="AA3" s="58" t="s">
        <v>65</v>
      </c>
      <c r="AD3" s="59" t="s">
        <v>63</v>
      </c>
      <c r="AE3" s="58" t="s">
        <v>64</v>
      </c>
      <c r="AF3" s="58" t="s">
        <v>64</v>
      </c>
      <c r="AG3" s="58" t="s">
        <v>63</v>
      </c>
      <c r="AH3" s="58" t="s">
        <v>63</v>
      </c>
      <c r="AI3" s="58" t="s">
        <v>64</v>
      </c>
      <c r="AJ3" s="58" t="s">
        <v>63</v>
      </c>
      <c r="AK3" s="60" t="s">
        <v>63</v>
      </c>
      <c r="AL3" s="59"/>
      <c r="AS3" s="60"/>
    </row>
    <row r="4" spans="2:45" s="53" customFormat="1" ht="13.5" x14ac:dyDescent="0.25">
      <c r="C4" s="61" t="s">
        <v>62</v>
      </c>
      <c r="D4" s="62" t="s">
        <v>61</v>
      </c>
      <c r="E4" s="62" t="s">
        <v>60</v>
      </c>
      <c r="F4" s="62" t="s">
        <v>59</v>
      </c>
      <c r="G4" s="62" t="s">
        <v>58</v>
      </c>
      <c r="H4" s="63" t="s">
        <v>57</v>
      </c>
      <c r="I4" s="64" t="s">
        <v>56</v>
      </c>
      <c r="J4" s="65" t="s">
        <v>131</v>
      </c>
      <c r="K4" s="65" t="s">
        <v>55</v>
      </c>
      <c r="L4" s="65" t="s">
        <v>54</v>
      </c>
      <c r="M4" s="65" t="s">
        <v>132</v>
      </c>
      <c r="N4" s="65" t="s">
        <v>133</v>
      </c>
      <c r="O4" s="62" t="s">
        <v>53</v>
      </c>
      <c r="P4" s="63" t="s">
        <v>52</v>
      </c>
      <c r="Q4" s="61" t="s">
        <v>51</v>
      </c>
      <c r="R4" s="62" t="s">
        <v>50</v>
      </c>
      <c r="S4" s="62" t="s">
        <v>134</v>
      </c>
      <c r="T4" s="62" t="s">
        <v>135</v>
      </c>
      <c r="U4" s="62" t="s">
        <v>136</v>
      </c>
      <c r="V4" s="62" t="s">
        <v>49</v>
      </c>
      <c r="W4" s="62" t="s">
        <v>48</v>
      </c>
      <c r="X4" s="62" t="s">
        <v>47</v>
      </c>
      <c r="Y4" s="62" t="s">
        <v>46</v>
      </c>
      <c r="Z4" s="62" t="s">
        <v>45</v>
      </c>
      <c r="AA4" s="62" t="s">
        <v>44</v>
      </c>
      <c r="AB4" s="62" t="s">
        <v>137</v>
      </c>
      <c r="AC4" s="62" t="s">
        <v>138</v>
      </c>
      <c r="AD4" s="61" t="s">
        <v>43</v>
      </c>
      <c r="AE4" s="66" t="s">
        <v>139</v>
      </c>
      <c r="AF4" s="66" t="s">
        <v>140</v>
      </c>
      <c r="AG4" s="66" t="s">
        <v>42</v>
      </c>
      <c r="AH4" s="66" t="s">
        <v>41</v>
      </c>
      <c r="AI4" s="66" t="s">
        <v>40</v>
      </c>
      <c r="AJ4" s="66" t="s">
        <v>141</v>
      </c>
      <c r="AK4" s="67" t="s">
        <v>142</v>
      </c>
      <c r="AL4" s="61" t="s">
        <v>39</v>
      </c>
      <c r="AM4" s="10" t="s">
        <v>143</v>
      </c>
      <c r="AN4" s="66" t="s">
        <v>144</v>
      </c>
      <c r="AO4" s="66" t="s">
        <v>21</v>
      </c>
      <c r="AP4" s="62" t="s">
        <v>38</v>
      </c>
      <c r="AQ4" s="62" t="s">
        <v>37</v>
      </c>
      <c r="AR4" s="10" t="s">
        <v>127</v>
      </c>
      <c r="AS4" s="68" t="s">
        <v>128</v>
      </c>
    </row>
    <row r="5" spans="2:45" x14ac:dyDescent="0.2">
      <c r="C5" s="69" t="s">
        <v>0</v>
      </c>
      <c r="D5" s="70">
        <v>0.53439999999999999</v>
      </c>
      <c r="E5" s="71" t="s">
        <v>2</v>
      </c>
      <c r="F5" s="72">
        <v>47116</v>
      </c>
      <c r="G5" s="73">
        <v>50000000</v>
      </c>
      <c r="H5" s="74" t="s">
        <v>1</v>
      </c>
      <c r="I5" s="75">
        <v>45289</v>
      </c>
      <c r="J5" s="70">
        <v>0.68120000000000003</v>
      </c>
      <c r="K5" s="70">
        <v>0.67094900000000002</v>
      </c>
      <c r="L5" s="76">
        <v>0.1236131</v>
      </c>
      <c r="M5" s="76">
        <v>3.8730000000000001E-2</v>
      </c>
      <c r="N5" s="76">
        <v>3.5090000000000003E-2</v>
      </c>
      <c r="O5" s="71" t="s">
        <v>1</v>
      </c>
      <c r="P5" s="77" t="s">
        <v>11</v>
      </c>
      <c r="Q5" s="78" cm="1">
        <f t="array" ref="Q5">_xlfn.IFS(Table1[[#This Row],[Call/Put]]="Call FOR, Put DOM",1,Table1[[#This Row],[Call/Put]]="Put FOR, Call DOM",-1)</f>
        <v>1</v>
      </c>
      <c r="R5" s="79">
        <f>YEARFRAC(Table1[[#This Row],[Value Date]],Table1[[#This Row],[Expiry Date]],1)</f>
        <v>5.0009124087591239</v>
      </c>
      <c r="S5" s="24">
        <f>Table1[[#This Row],[rd]]-Table1[[#This Row],[rf]]</f>
        <v>-3.6399999999999974E-3</v>
      </c>
      <c r="T5" s="24">
        <f>LN(Table1[[#This Row],[F]]/Table1[[#This Row],[S0]])/Table1[[#This Row],[T]]</f>
        <v>-3.0320108466896883E-3</v>
      </c>
      <c r="U5" s="24">
        <f>Table1[[#This Row],[rf]]+Table1[[#This Row],[μwith currency basis]]</f>
        <v>3.5697989153310315E-2</v>
      </c>
      <c r="V5" s="51" cm="1">
        <f t="array" ref="V5">_xlfn.IFS(Table1[[#This Row],[Notional Ccy]]="FOR",Table1[[#This Row],[Notional Amt]],Table1[[#This Row],[Notional Ccy]]="DOM",Table1[[#This Row],[Notional Amt]]/Table1[[#This Row],[Strike]])</f>
        <v>50000000</v>
      </c>
      <c r="W5" s="51" cm="1">
        <f t="array" ref="W5">_xlfn.IFS(Table1[[#This Row],[Notional Ccy]]="DOM",Table1[[#This Row],[Notional Amt]],Table1[[#This Row],[Notional Ccy]]="FOR",Table1[[#This Row],[Notional Amt]]*Table1[[#This Row],[Strike]])</f>
        <v>26720000</v>
      </c>
      <c r="X5" s="11">
        <f>IF(Table1[[#This Row],[Result Ccy]]="DOM",1,Table1[[#This Row],[S0]])</f>
        <v>0.68120000000000003</v>
      </c>
      <c r="Y5" s="24" cm="1">
        <f t="array" ref="Y5">_xlfn.IFS(Table1[[#This Row],[Methodology]]="With Currency Basis",Table1[[#This Row],[rd_basis_adj]],Table1[[#This Row],[Methodology]]="By Interest Rate Parity",Table1[[#This Row],[rd]])</f>
        <v>3.5697989153310315E-2</v>
      </c>
      <c r="Z5" s="24">
        <f>Table1[[#This Row],[rf]]</f>
        <v>3.8730000000000001E-2</v>
      </c>
      <c r="AA5" s="24" cm="1">
        <f t="array" ref="AA5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5" s="50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5" s="50">
        <f>Table1[[#This Row],[d1]]-Table1[[#This Row],[σ]]*SQRT(Table1[[#This Row],[T]])</f>
        <v>0.68494489566442285</v>
      </c>
      <c r="AD5" s="80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0.1301089898287508</v>
      </c>
      <c r="AE5" s="24">
        <f>Table1[[#This Row],[CP]]*EXP(-Table1[[#This Row],[q]]*Table1[[#This Row],[T]])*_xlfn.NORM.S.DIST(Table1[[#This Row],[CP]]*Table1[[#This Row],[d1]],TRUE)</f>
        <v>0.6853497333116404</v>
      </c>
      <c r="AF5" s="81">
        <f>Table1[[#This Row],[CP]]*_xlfn.NORM.S.DIST(Table1[[#This Row],[CP]]*Table1[[#This Row],[d1]],TRUE)</f>
        <v>0.83181878045308011</v>
      </c>
      <c r="AG5" s="40">
        <f>1%*Table1[[#This Row],[S0]]*SQRT(Table1[[#This Row],[T]])*_xlfn.NORM.S.DIST(Table1[[#This Row],[d1]],FALSE)*EXP(-Table1[[#This Row],[rf]]*T)</f>
        <v>3.6815478748224092E-3</v>
      </c>
      <c r="AH5" s="44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5.7595807080634053E-6</v>
      </c>
      <c r="AI5" s="40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5" s="40">
        <f>(1%)*(-Table1[[#This Row],[T]]*EXP(-Table1[[#This Row],[q]]*T)*Table1[[#This Row],[S0]]*_xlfn.NORM.S.DIST(Table1[[#This Row],[d1]],TRUE))</f>
        <v>-2.725030165577752E-2</v>
      </c>
      <c r="AK5" s="82">
        <f>1%*-Table1[[#This Row],[T]]*EXP(-Table1[[#This Row],[r]]*Table1[[#This Row],[T]])*Table1[[#This Row],[S0]]*_xlfn.NORM.S.DIST(Table1[[#This Row],[d2]],TRUE)</f>
        <v>-2.1466767484352684E-2</v>
      </c>
      <c r="AL5" s="78">
        <f>Table1[[#This Row],[Px]]*Table1[[#This Row],[FOR Notional]]/Table1[[#This Row],[Result Ccy Divisor]]</f>
        <v>9549984.5734549891</v>
      </c>
      <c r="AM5" s="51">
        <f>Table1[[#This Row],[Unit Δspot]]*Table1[[#This Row],[FOR Notional]]*Table1[[#This Row],[S0]]/Table1[[#This Row],[Result Ccy Divisor]]</f>
        <v>34267486.665582016</v>
      </c>
      <c r="AN5" s="51">
        <f>Table1[[#This Row],[Unit Δforward]]*Table1[[#This Row],[FOR Notional]]*Table1[[#This Row],[S0]]/Table1[[#This Row],[Result Ccy Divisor]]</f>
        <v>41590939.022654004</v>
      </c>
      <c r="AO5" s="51">
        <f>Table1[[#This Row],[Unit Vega]]*Table1[[#This Row],[FOR Notional]]/Table1[[#This Row],[Result Ccy Divisor]]</f>
        <v>270225.18165167421</v>
      </c>
      <c r="AP5" s="51">
        <f>Table1[[#This Row],[Unit Theta]]*Table1[[#This Row],[FOR Notional]]/Table1[[#This Row],[Result Ccy Divisor]]</f>
        <v>422.75254756777781</v>
      </c>
      <c r="AQ5" s="51">
        <f>Table1[[#This Row],[Unit Gamma]]*Table1[[#This Row],[FOR Notional]]*Table1[[#This Row],[S0]]/Table1[[#This Row],[Result Ccy Divisor]]</f>
        <v>374521.61956224928</v>
      </c>
      <c r="AR5" s="51">
        <f>Table1[[#This Row],[Unit Rhoforeign currency]]*Table1[[#This Row],[FOR Notional]]/Table1[[#This Row],[Result Ccy Divisor]]</f>
        <v>-2000168.9412637639</v>
      </c>
      <c r="AS5" s="83">
        <f>Table1[[#This Row],[Unit Rhodomestic currency]]*Table1[[#This Row],[FOR Notional]]/Table1[[#This Row],[Result Ccy Divisor]]</f>
        <v>-1575658.2122983474</v>
      </c>
    </row>
    <row r="6" spans="2:45" x14ac:dyDescent="0.2">
      <c r="C6" s="69" t="s">
        <v>0</v>
      </c>
      <c r="D6" s="70">
        <v>0.53439999999999999</v>
      </c>
      <c r="E6" s="71" t="s">
        <v>8</v>
      </c>
      <c r="F6" s="72">
        <v>47116</v>
      </c>
      <c r="G6" s="73">
        <v>50000000</v>
      </c>
      <c r="H6" s="74" t="s">
        <v>1</v>
      </c>
      <c r="I6" s="75">
        <v>45289</v>
      </c>
      <c r="J6" s="70">
        <v>0.68120000000000003</v>
      </c>
      <c r="K6" s="70">
        <v>0.67094900000000002</v>
      </c>
      <c r="L6" s="76">
        <v>0.1236131</v>
      </c>
      <c r="M6" s="76">
        <v>3.8730000000000001E-2</v>
      </c>
      <c r="N6" s="76">
        <v>3.5090000000000003E-2</v>
      </c>
      <c r="O6" s="71" t="s">
        <v>1</v>
      </c>
      <c r="P6" s="77" t="s">
        <v>11</v>
      </c>
      <c r="Q6" s="78" cm="1">
        <f t="array" ref="Q6">_xlfn.IFS(Table1[[#This Row],[Call/Put]]="Call FOR, Put DOM",1,Table1[[#This Row],[Call/Put]]="Put FOR, Call DOM",-1)</f>
        <v>-1</v>
      </c>
      <c r="R6" s="79">
        <f>YEARFRAC(Table1[[#This Row],[Value Date]],Table1[[#This Row],[Expiry Date]],1)</f>
        <v>5.0009124087591239</v>
      </c>
      <c r="S6" s="24">
        <f>Table1[[#This Row],[rd]]-Table1[[#This Row],[rf]]</f>
        <v>-3.6399999999999974E-3</v>
      </c>
      <c r="T6" s="24">
        <f>LN(Table1[[#This Row],[F]]/Table1[[#This Row],[S0]])/Table1[[#This Row],[T]]</f>
        <v>-3.0320108466896883E-3</v>
      </c>
      <c r="U6" s="24">
        <f>Table1[[#This Row],[rf]]+Table1[[#This Row],[μwith currency basis]]</f>
        <v>3.5697989153310315E-2</v>
      </c>
      <c r="V6" s="51" cm="1">
        <f t="array" ref="V6">_xlfn.IFS(Table1[[#This Row],[Notional Ccy]]="FOR",Table1[[#This Row],[Notional Amt]],Table1[[#This Row],[Notional Ccy]]="DOM",Table1[[#This Row],[Notional Amt]]/Table1[[#This Row],[Strike]])</f>
        <v>50000000</v>
      </c>
      <c r="W6" s="51" cm="1">
        <f t="array" ref="W6">_xlfn.IFS(Table1[[#This Row],[Notional Ccy]]="DOM",Table1[[#This Row],[Notional Amt]],Table1[[#This Row],[Notional Ccy]]="FOR",Table1[[#This Row],[Notional Amt]]*Table1[[#This Row],[Strike]])</f>
        <v>26720000</v>
      </c>
      <c r="X6" s="11">
        <f>IF(Table1[[#This Row],[Result Ccy]]="DOM",1,Table1[[#This Row],[S0]])</f>
        <v>0.68120000000000003</v>
      </c>
      <c r="Y6" s="24" cm="1">
        <f t="array" ref="Y6">_xlfn.IFS(Table1[[#This Row],[Methodology]]="With Currency Basis",Table1[[#This Row],[rd_basis_adj]],Table1[[#This Row],[Methodology]]="By Interest Rate Parity",Table1[[#This Row],[rd]])</f>
        <v>3.5697989153310315E-2</v>
      </c>
      <c r="Z6" s="24">
        <f>Table1[[#This Row],[rf]]</f>
        <v>3.8730000000000001E-2</v>
      </c>
      <c r="AA6" s="24" cm="1">
        <f t="array" ref="AA6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6" s="84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6" s="84">
        <f>Table1[[#This Row],[d1]]-Table1[[#This Row],[σ]]*SQRT(Table1[[#This Row],[T]])</f>
        <v>0.68494489566442285</v>
      </c>
      <c r="AD6" s="80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1.5885038387251513E-2</v>
      </c>
      <c r="AE6" s="24">
        <f>Table1[[#This Row],[CP]]*EXP(-Table1[[#This Row],[q]]*Table1[[#This Row],[T]])*_xlfn.NORM.S.DIST(Table1[[#This Row],[CP]]*Table1[[#This Row],[d1]],TRUE)</f>
        <v>-0.13856738591755027</v>
      </c>
      <c r="AF6" s="81">
        <f>Table1[[#This Row],[CP]]*_xlfn.NORM.S.DIST(Table1[[#This Row],[CP]]*Table1[[#This Row],[d1]],TRUE)</f>
        <v>-0.16818121954691986</v>
      </c>
      <c r="AG6" s="40">
        <f>1%*Table1[[#This Row],[S0]]*SQRT(Table1[[#This Row],[T]])*_xlfn.NORM.S.DIST(Table1[[#This Row],[d1]],FALSE)*EXP(-Table1[[#This Row],[rf]]*T)</f>
        <v>3.6815478748224092E-3</v>
      </c>
      <c r="AH6" s="44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-1.1613078637704279E-5</v>
      </c>
      <c r="AI6" s="40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6" s="40">
        <f>(1%)*(-Table1[[#This Row],[T]]*EXP(-Table1[[#This Row],[q]]*T)*Table1[[#This Row],[S0]]*_xlfn.NORM.S.DIST(Table1[[#This Row],[d1]],TRUE))</f>
        <v>-2.725030165577752E-2</v>
      </c>
      <c r="AK6" s="82">
        <f>1%*-Table1[[#This Row],[T]]*EXP(-Table1[[#This Row],[r]]*Table1[[#This Row],[T]])*Table1[[#This Row],[S0]]*_xlfn.NORM.S.DIST(Table1[[#This Row],[d2]],TRUE)</f>
        <v>-2.1466767484352684E-2</v>
      </c>
      <c r="AL6" s="78">
        <f>Table1[[#This Row],[Px]]*Table1[[#This Row],[FOR Notional]]/Table1[[#This Row],[Result Ccy Divisor]]</f>
        <v>1165959.9520883376</v>
      </c>
      <c r="AM6" s="51">
        <f>Table1[[#This Row],[Unit Δspot]]*Table1[[#This Row],[FOR Notional]]*Table1[[#This Row],[S0]]/Table1[[#This Row],[Result Ccy Divisor]]</f>
        <v>-6928369.2958775135</v>
      </c>
      <c r="AN6" s="51">
        <f>Table1[[#This Row],[Unit Δforward]]*Table1[[#This Row],[FOR Notional]]*Table1[[#This Row],[S0]]/Table1[[#This Row],[Result Ccy Divisor]]</f>
        <v>-8409060.9773459937</v>
      </c>
      <c r="AO6" s="51">
        <f>Table1[[#This Row],[Unit Vega]]*Table1[[#This Row],[FOR Notional]]/Table1[[#This Row],[Result Ccy Divisor]]</f>
        <v>270225.18165167421</v>
      </c>
      <c r="AP6" s="51">
        <f>Table1[[#This Row],[Unit Theta]]*Table1[[#This Row],[FOR Notional]]/Table1[[#This Row],[Result Ccy Divisor]]</f>
        <v>-852.398608169721</v>
      </c>
      <c r="AQ6" s="51">
        <f>Table1[[#This Row],[Unit Gamma]]*Table1[[#This Row],[FOR Notional]]*Table1[[#This Row],[S0]]/Table1[[#This Row],[Result Ccy Divisor]]</f>
        <v>374521.61956224928</v>
      </c>
      <c r="AR6" s="51">
        <f>Table1[[#This Row],[Unit Rhoforeign currency]]*Table1[[#This Row],[FOR Notional]]/Table1[[#This Row],[Result Ccy Divisor]]</f>
        <v>-2000168.9412637639</v>
      </c>
      <c r="AS6" s="51">
        <f>Table1[[#This Row],[Unit Rhodomestic currency]]*Table1[[#This Row],[FOR Notional]]/Table1[[#This Row],[Result Ccy Divisor]]</f>
        <v>-1575658.2122983474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2799D6-6705-43E0-B100-A27005B20E74}">
          <x14:formula1>
            <xm:f>'Data Validation'!$F$1:$F$2</xm:f>
          </x14:formula1>
          <xm:sqref>P5:P6</xm:sqref>
        </x14:dataValidation>
        <x14:dataValidation type="list" allowBlank="1" showInputMessage="1" showErrorMessage="1" xr:uid="{F34DBBA1-E7E1-48AB-841A-B3E75C3F2220}">
          <x14:formula1>
            <xm:f>'Data Validation'!$B$1:$B$2</xm:f>
          </x14:formula1>
          <xm:sqref>O5:O6 H5:H6</xm:sqref>
        </x14:dataValidation>
        <x14:dataValidation type="list" allowBlank="1" showInputMessage="1" showErrorMessage="1" xr:uid="{D3E28F67-2090-4BA3-98B9-07D25453EEE7}">
          <x14:formula1>
            <xm:f>'Data Validation'!$A$1:$A$2</xm:f>
          </x14:formula1>
          <xm:sqref>C5:C6</xm:sqref>
        </x14:dataValidation>
        <x14:dataValidation type="list" allowBlank="1" showInputMessage="1" showErrorMessage="1" xr:uid="{539DA48A-1F62-4FB7-912B-C2DBCCE688C1}">
          <x14:formula1>
            <xm:f>'Data Validation'!$C$1:$C$2</xm:f>
          </x14:formula1>
          <xm:sqref>E5:E6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3F57C-0F79-4DEA-8250-B79DECFAE83B}">
  <sheetPr codeName="Sheet3"/>
  <dimension ref="A1:F2"/>
  <sheetViews>
    <sheetView workbookViewId="0">
      <selection activeCell="G25" sqref="G25"/>
    </sheetView>
  </sheetViews>
  <sheetFormatPr defaultRowHeight="12" x14ac:dyDescent="0.2"/>
  <cols>
    <col min="1" max="1" width="4" style="1" bestFit="1" customWidth="1"/>
    <col min="2" max="2" width="4.85546875" style="1" bestFit="1" customWidth="1"/>
    <col min="3" max="3" width="16" style="1" bestFit="1" customWidth="1"/>
    <col min="4" max="4" width="8.85546875" style="1" bestFit="1" customWidth="1"/>
    <col min="5" max="5" width="4.140625" style="1" bestFit="1" customWidth="1"/>
    <col min="6" max="6" width="18.28515625" style="1" bestFit="1" customWidth="1"/>
    <col min="7" max="16384" width="9.140625" style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 t="s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GK Pricer</vt:lpstr>
      <vt:lpstr>MonteCarlo</vt:lpstr>
      <vt:lpstr>GK Bulk</vt:lpstr>
      <vt:lpstr>Data Validation</vt:lpstr>
      <vt:lpstr>CP</vt:lpstr>
      <vt:lpstr>d1_</vt:lpstr>
      <vt:lpstr>d2_</vt:lpstr>
      <vt:lpstr>Domestic_Ccy_Notional</vt:lpstr>
      <vt:lpstr>F</vt:lpstr>
      <vt:lpstr>Foreign_Ccy_Notional</vt:lpstr>
      <vt:lpstr>H</vt:lpstr>
      <vt:lpstr>K</vt:lpstr>
      <vt:lpstr>Methodology</vt:lpstr>
      <vt:lpstr>Monte_Carlo_Runtime</vt:lpstr>
      <vt:lpstr>Notional_amount</vt:lpstr>
      <vt:lpstr>Notional_Ccy</vt:lpstr>
      <vt:lpstr>Number_Of_Refreshes</vt:lpstr>
      <vt:lpstr>q_</vt:lpstr>
      <vt:lpstr>r_</vt:lpstr>
      <vt:lpstr>r_d</vt:lpstr>
      <vt:lpstr>r_d_basis_adj</vt:lpstr>
      <vt:lpstr>r_f</vt:lpstr>
      <vt:lpstr>ResultCurrency</vt:lpstr>
      <vt:lpstr>ResultDomesticFXSpotRate</vt:lpstr>
      <vt:lpstr>ResultNotionalFXSpotRate</vt:lpstr>
      <vt:lpstr>S0</vt:lpstr>
      <vt:lpstr>T</vt:lpstr>
      <vt:lpstr>μ</vt:lpstr>
      <vt:lpstr>σ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Shasa Foster</cp:lastModifiedBy>
  <dcterms:created xsi:type="dcterms:W3CDTF">2024-09-25T13:34:58Z</dcterms:created>
  <dcterms:modified xsi:type="dcterms:W3CDTF">2024-09-27T10:53:31Z</dcterms:modified>
</cp:coreProperties>
</file>