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sa\Documents\frm_project\excel_models\"/>
    </mc:Choice>
  </mc:AlternateContent>
  <xr:revisionPtr revIDLastSave="0" documentId="13_ncr:1_{E558CD75-A6C0-4CC5-945E-885A0217CEBB}" xr6:coauthVersionLast="47" xr6:coauthVersionMax="47" xr10:uidLastSave="{00000000-0000-0000-0000-000000000000}"/>
  <bookViews>
    <workbookView xWindow="-120" yWindow="-120" windowWidth="29040" windowHeight="15720" xr2:uid="{ECF69F75-2137-4D55-89AF-FF1ED5BD7C36}"/>
  </bookViews>
  <sheets>
    <sheet name="GK Pricer" sheetId="6" r:id="rId1"/>
    <sheet name="MonteCarlo" sheetId="4" r:id="rId2"/>
    <sheet name="GK Bulk" sheetId="5" r:id="rId3"/>
    <sheet name="Data Validation" sheetId="3" state="hidden" r:id="rId4"/>
  </sheets>
  <definedNames>
    <definedName name="CP">'GK Pricer'!$G$4</definedName>
    <definedName name="d1_">'GK Pricer'!$G$22</definedName>
    <definedName name="d2_">'GK Pricer'!$G$23</definedName>
    <definedName name="Domestic_Ccy_Notional">'GK Pricer'!$G$14</definedName>
    <definedName name="F">'GK Pricer'!$G$11</definedName>
    <definedName name="Foreign_Ccy_Notional">'GK Pricer'!$G$13</definedName>
    <definedName name="H">'GK Pricer'!$G$18</definedName>
    <definedName name="K">'GK Pricer'!$G$6</definedName>
    <definedName name="Methodology">'GK Pricer'!$C$17</definedName>
    <definedName name="Monte_Carlo_Runtime">MonteCarlo!$P$5</definedName>
    <definedName name="Notional_amount">'GK Pricer'!$C$14</definedName>
    <definedName name="Notional_Ccy">'GK Pricer'!$C$15</definedName>
    <definedName name="Number_Of_Refreshes">MonteCarlo!$P$3</definedName>
    <definedName name="q_">'GK Pricer'!$G$16</definedName>
    <definedName name="r_">'GK Pricer'!$G$15</definedName>
    <definedName name="r_d">'GK Pricer'!$G$7</definedName>
    <definedName name="r_d_basis_adj">'GK Pricer'!$G$12</definedName>
    <definedName name="r_f">'GK Pricer'!$G$8</definedName>
    <definedName name="ResultCurrency">'GK Pricer'!$K$3</definedName>
    <definedName name="ResultDomesticFXSpotRate">'GK Pricer'!$K$6</definedName>
    <definedName name="ResultNotionalFXSpotRate">'GK Pricer'!$K$7</definedName>
    <definedName name="S0">'GK Pricer'!$G$5</definedName>
    <definedName name="T">'GK Pricer'!$G$10</definedName>
    <definedName name="μ">'GK Pricer'!$G$17</definedName>
    <definedName name="σ">'GK Pricer'!$G$9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9" i="6" l="1"/>
  <c r="G8" i="6"/>
  <c r="G7" i="6"/>
  <c r="G18" i="6"/>
  <c r="L7" i="6"/>
  <c r="L6" i="6"/>
  <c r="K7" i="6"/>
  <c r="G4" i="6" l="1" a="1"/>
  <c r="G4" i="6" s="1"/>
  <c r="K6" i="6" a="1"/>
  <c r="K6" i="6" s="1"/>
  <c r="G5" i="6"/>
  <c r="G6" i="6"/>
  <c r="L11" i="6"/>
  <c r="G10" i="6"/>
  <c r="G12" i="6" s="1"/>
  <c r="L12" i="6"/>
  <c r="G11" i="6"/>
  <c r="L13" i="6"/>
  <c r="L14" i="6"/>
  <c r="G13" i="6"/>
  <c r="L15" i="6"/>
  <c r="G14" i="6"/>
  <c r="L16" i="6"/>
  <c r="L17" i="6"/>
  <c r="L18" i="6"/>
  <c r="L19" i="6"/>
  <c r="L23" i="6"/>
  <c r="L24" i="6"/>
  <c r="H40" i="6"/>
  <c r="AL2" i="5"/>
  <c r="Q5" i="5" a="1"/>
  <c r="Q5" i="5"/>
  <c r="R5" i="5"/>
  <c r="S5" i="5"/>
  <c r="T5" i="5"/>
  <c r="U5" i="5" s="1"/>
  <c r="Y5" i="5" s="1" a="1"/>
  <c r="Y5" i="5" s="1"/>
  <c r="V5" i="5" a="1"/>
  <c r="V5" i="5" s="1"/>
  <c r="W5" i="5" a="1"/>
  <c r="W5" i="5"/>
  <c r="X5" i="5"/>
  <c r="Z5" i="5"/>
  <c r="Q6" i="5" a="1"/>
  <c r="Q6" i="5" s="1"/>
  <c r="R6" i="5"/>
  <c r="S6" i="5"/>
  <c r="T6" i="5"/>
  <c r="U6" i="5" s="1"/>
  <c r="Y6" i="5" s="1" a="1"/>
  <c r="Y6" i="5" s="1"/>
  <c r="V6" i="5" a="1"/>
  <c r="V6" i="5"/>
  <c r="W6" i="5" a="1"/>
  <c r="W6" i="5" s="1"/>
  <c r="X6" i="5"/>
  <c r="Z6" i="5"/>
  <c r="M3" i="4"/>
  <c r="P4" i="4"/>
  <c r="M5" i="4"/>
  <c r="K6" i="4"/>
  <c r="M6" i="4"/>
  <c r="P6" i="4"/>
  <c r="K8" i="4"/>
  <c r="M8" i="4"/>
  <c r="K9" i="4"/>
  <c r="M9" i="4"/>
  <c r="K10" i="4"/>
  <c r="M10" i="4"/>
  <c r="I15" i="4"/>
  <c r="J15" i="4"/>
  <c r="L15" i="4"/>
  <c r="L3" i="4" s="1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1001" i="4"/>
  <c r="C1002" i="4"/>
  <c r="C1003" i="4"/>
  <c r="C1004" i="4"/>
  <c r="C1005" i="4"/>
  <c r="C1006" i="4"/>
  <c r="C1007" i="4"/>
  <c r="C1008" i="4"/>
  <c r="C1009" i="4"/>
  <c r="C1010" i="4"/>
  <c r="C1011" i="4"/>
  <c r="C1012" i="4"/>
  <c r="C1013" i="4"/>
  <c r="C1014" i="4"/>
  <c r="C1015" i="4"/>
  <c r="C1016" i="4"/>
  <c r="C1017" i="4"/>
  <c r="C1018" i="4"/>
  <c r="C1019" i="4"/>
  <c r="C1020" i="4"/>
  <c r="C1021" i="4"/>
  <c r="C1022" i="4"/>
  <c r="C1023" i="4"/>
  <c r="C1024" i="4"/>
  <c r="C1025" i="4"/>
  <c r="C1026" i="4"/>
  <c r="C1027" i="4"/>
  <c r="C1028" i="4"/>
  <c r="C1029" i="4"/>
  <c r="C1030" i="4"/>
  <c r="C1031" i="4"/>
  <c r="C1032" i="4"/>
  <c r="C1033" i="4"/>
  <c r="C1034" i="4"/>
  <c r="C1035" i="4"/>
  <c r="C1036" i="4"/>
  <c r="C1037" i="4"/>
  <c r="C1038" i="4"/>
  <c r="C1039" i="4"/>
  <c r="C1040" i="4"/>
  <c r="C1041" i="4"/>
  <c r="C1042" i="4"/>
  <c r="C1043" i="4"/>
  <c r="C1044" i="4"/>
  <c r="C1045" i="4"/>
  <c r="C1046" i="4"/>
  <c r="C1047" i="4"/>
  <c r="C1048" i="4"/>
  <c r="C1049" i="4"/>
  <c r="C1050" i="4"/>
  <c r="C1051" i="4"/>
  <c r="C1052" i="4"/>
  <c r="C1053" i="4"/>
  <c r="C1054" i="4"/>
  <c r="C1055" i="4"/>
  <c r="C1056" i="4"/>
  <c r="C1057" i="4"/>
  <c r="C1058" i="4"/>
  <c r="C1059" i="4"/>
  <c r="C1060" i="4"/>
  <c r="C1061" i="4"/>
  <c r="C1062" i="4"/>
  <c r="C1063" i="4"/>
  <c r="C1064" i="4"/>
  <c r="C1065" i="4"/>
  <c r="C1066" i="4"/>
  <c r="C1067" i="4"/>
  <c r="C1068" i="4"/>
  <c r="C1069" i="4"/>
  <c r="C1070" i="4"/>
  <c r="C1071" i="4"/>
  <c r="C1072" i="4"/>
  <c r="C1073" i="4"/>
  <c r="C1074" i="4"/>
  <c r="C1075" i="4"/>
  <c r="C1076" i="4"/>
  <c r="C1077" i="4"/>
  <c r="C1078" i="4"/>
  <c r="C1079" i="4"/>
  <c r="C1080" i="4"/>
  <c r="C1081" i="4"/>
  <c r="C1082" i="4"/>
  <c r="C1083" i="4"/>
  <c r="C1084" i="4"/>
  <c r="C1085" i="4"/>
  <c r="C1086" i="4"/>
  <c r="C1087" i="4"/>
  <c r="C1088" i="4"/>
  <c r="C1089" i="4"/>
  <c r="C1090" i="4"/>
  <c r="C1091" i="4"/>
  <c r="C1092" i="4"/>
  <c r="C1093" i="4"/>
  <c r="C1094" i="4"/>
  <c r="C1095" i="4"/>
  <c r="C1096" i="4"/>
  <c r="C1097" i="4"/>
  <c r="C1098" i="4"/>
  <c r="C1099" i="4"/>
  <c r="C1100" i="4"/>
  <c r="C1101" i="4"/>
  <c r="C1102" i="4"/>
  <c r="C1103" i="4"/>
  <c r="C1104" i="4"/>
  <c r="C1105" i="4"/>
  <c r="C1106" i="4"/>
  <c r="C1107" i="4"/>
  <c r="C1108" i="4"/>
  <c r="C1109" i="4"/>
  <c r="C1110" i="4"/>
  <c r="C1111" i="4"/>
  <c r="C1112" i="4"/>
  <c r="C1113" i="4"/>
  <c r="C1114" i="4"/>
  <c r="C1115" i="4"/>
  <c r="C1116" i="4"/>
  <c r="C1117" i="4"/>
  <c r="C1118" i="4"/>
  <c r="C1119" i="4"/>
  <c r="C1120" i="4"/>
  <c r="C1121" i="4"/>
  <c r="C1122" i="4"/>
  <c r="C1123" i="4"/>
  <c r="C1124" i="4"/>
  <c r="C1125" i="4"/>
  <c r="C1126" i="4"/>
  <c r="C1127" i="4"/>
  <c r="C1128" i="4"/>
  <c r="C1129" i="4"/>
  <c r="C1130" i="4"/>
  <c r="C1131" i="4"/>
  <c r="C1132" i="4"/>
  <c r="C1133" i="4"/>
  <c r="C1134" i="4"/>
  <c r="C1135" i="4"/>
  <c r="C1136" i="4"/>
  <c r="C1137" i="4"/>
  <c r="C1138" i="4"/>
  <c r="C1139" i="4"/>
  <c r="C1140" i="4"/>
  <c r="C1141" i="4"/>
  <c r="C1142" i="4"/>
  <c r="C1143" i="4"/>
  <c r="C1144" i="4"/>
  <c r="C1145" i="4"/>
  <c r="C1146" i="4"/>
  <c r="C1147" i="4"/>
  <c r="C1148" i="4"/>
  <c r="C1149" i="4"/>
  <c r="C1150" i="4"/>
  <c r="C1151" i="4"/>
  <c r="C1152" i="4"/>
  <c r="C1153" i="4"/>
  <c r="C1154" i="4"/>
  <c r="C1155" i="4"/>
  <c r="C1156" i="4"/>
  <c r="C1157" i="4"/>
  <c r="C1158" i="4"/>
  <c r="C1159" i="4"/>
  <c r="C1160" i="4"/>
  <c r="C1161" i="4"/>
  <c r="C1162" i="4"/>
  <c r="C1163" i="4"/>
  <c r="C1164" i="4"/>
  <c r="C1165" i="4"/>
  <c r="C1166" i="4"/>
  <c r="C1167" i="4"/>
  <c r="C1168" i="4"/>
  <c r="C1169" i="4"/>
  <c r="C1170" i="4"/>
  <c r="C1171" i="4"/>
  <c r="C1172" i="4"/>
  <c r="C1173" i="4"/>
  <c r="C1174" i="4"/>
  <c r="C1175" i="4"/>
  <c r="C1176" i="4"/>
  <c r="C1177" i="4"/>
  <c r="C1178" i="4"/>
  <c r="C1179" i="4"/>
  <c r="C1180" i="4"/>
  <c r="C1181" i="4"/>
  <c r="C1182" i="4"/>
  <c r="C1183" i="4"/>
  <c r="C1184" i="4"/>
  <c r="C1185" i="4"/>
  <c r="C1186" i="4"/>
  <c r="C1187" i="4"/>
  <c r="C1188" i="4"/>
  <c r="C1189" i="4"/>
  <c r="C1190" i="4"/>
  <c r="C1191" i="4"/>
  <c r="C1192" i="4"/>
  <c r="C1193" i="4"/>
  <c r="C1194" i="4"/>
  <c r="C1195" i="4"/>
  <c r="C1196" i="4"/>
  <c r="C1197" i="4"/>
  <c r="C1198" i="4"/>
  <c r="C1199" i="4"/>
  <c r="C1200" i="4"/>
  <c r="C1201" i="4"/>
  <c r="C1202" i="4"/>
  <c r="C1203" i="4"/>
  <c r="C1204" i="4"/>
  <c r="C1205" i="4"/>
  <c r="C1206" i="4"/>
  <c r="C1207" i="4"/>
  <c r="C1208" i="4"/>
  <c r="C1209" i="4"/>
  <c r="C1210" i="4"/>
  <c r="C1211" i="4"/>
  <c r="C1212" i="4"/>
  <c r="C1213" i="4"/>
  <c r="C1214" i="4"/>
  <c r="C1215" i="4"/>
  <c r="C1216" i="4"/>
  <c r="C1217" i="4"/>
  <c r="C1218" i="4"/>
  <c r="C1219" i="4"/>
  <c r="C1220" i="4"/>
  <c r="C1221" i="4"/>
  <c r="C1222" i="4"/>
  <c r="C1223" i="4"/>
  <c r="C1224" i="4"/>
  <c r="C1225" i="4"/>
  <c r="C1226" i="4"/>
  <c r="C1227" i="4"/>
  <c r="C1228" i="4"/>
  <c r="C1229" i="4"/>
  <c r="C1230" i="4"/>
  <c r="C1231" i="4"/>
  <c r="C1232" i="4"/>
  <c r="C1233" i="4"/>
  <c r="C1234" i="4"/>
  <c r="C1235" i="4"/>
  <c r="C1236" i="4"/>
  <c r="C1237" i="4"/>
  <c r="C1238" i="4"/>
  <c r="C1239" i="4"/>
  <c r="C1240" i="4"/>
  <c r="C1241" i="4"/>
  <c r="C1242" i="4"/>
  <c r="C1243" i="4"/>
  <c r="C1244" i="4"/>
  <c r="C1245" i="4"/>
  <c r="C1246" i="4"/>
  <c r="C1247" i="4"/>
  <c r="C1248" i="4"/>
  <c r="C1249" i="4"/>
  <c r="C1250" i="4"/>
  <c r="C1251" i="4"/>
  <c r="C1252" i="4"/>
  <c r="C1253" i="4"/>
  <c r="C1254" i="4"/>
  <c r="C1255" i="4"/>
  <c r="C1256" i="4"/>
  <c r="C1257" i="4"/>
  <c r="C1258" i="4"/>
  <c r="C1259" i="4"/>
  <c r="C1260" i="4"/>
  <c r="C1261" i="4"/>
  <c r="C1262" i="4"/>
  <c r="C1263" i="4"/>
  <c r="C1264" i="4"/>
  <c r="C1265" i="4"/>
  <c r="C1266" i="4"/>
  <c r="C1267" i="4"/>
  <c r="C1268" i="4"/>
  <c r="C1269" i="4"/>
  <c r="C1270" i="4"/>
  <c r="C1271" i="4"/>
  <c r="C1272" i="4"/>
  <c r="C1273" i="4"/>
  <c r="C1274" i="4"/>
  <c r="C1275" i="4"/>
  <c r="C1276" i="4"/>
  <c r="C1277" i="4"/>
  <c r="C1278" i="4"/>
  <c r="C1279" i="4"/>
  <c r="C1280" i="4"/>
  <c r="C1281" i="4"/>
  <c r="C1282" i="4"/>
  <c r="C1283" i="4"/>
  <c r="C1284" i="4"/>
  <c r="C1285" i="4"/>
  <c r="C1286" i="4"/>
  <c r="C1287" i="4"/>
  <c r="C1288" i="4"/>
  <c r="C1289" i="4"/>
  <c r="C1290" i="4"/>
  <c r="C1291" i="4"/>
  <c r="C1292" i="4"/>
  <c r="C1293" i="4"/>
  <c r="C1294" i="4"/>
  <c r="C1295" i="4"/>
  <c r="C1296" i="4"/>
  <c r="C1297" i="4"/>
  <c r="C1298" i="4"/>
  <c r="C1299" i="4"/>
  <c r="C1300" i="4"/>
  <c r="C1301" i="4"/>
  <c r="C1302" i="4"/>
  <c r="C1303" i="4"/>
  <c r="C1304" i="4"/>
  <c r="C1305" i="4"/>
  <c r="C1306" i="4"/>
  <c r="C1307" i="4"/>
  <c r="C1308" i="4"/>
  <c r="C1309" i="4"/>
  <c r="C1310" i="4"/>
  <c r="C1311" i="4"/>
  <c r="C1312" i="4"/>
  <c r="C1313" i="4"/>
  <c r="C1314" i="4"/>
  <c r="C1315" i="4"/>
  <c r="C1316" i="4"/>
  <c r="C1317" i="4"/>
  <c r="C1318" i="4"/>
  <c r="C1319" i="4"/>
  <c r="C1320" i="4"/>
  <c r="C1321" i="4"/>
  <c r="C1322" i="4"/>
  <c r="C1323" i="4"/>
  <c r="C1324" i="4"/>
  <c r="C1325" i="4"/>
  <c r="C1326" i="4"/>
  <c r="C1327" i="4"/>
  <c r="C1328" i="4"/>
  <c r="C1329" i="4"/>
  <c r="C1330" i="4"/>
  <c r="C1331" i="4"/>
  <c r="C1332" i="4"/>
  <c r="C1333" i="4"/>
  <c r="C1334" i="4"/>
  <c r="C1335" i="4"/>
  <c r="C1336" i="4"/>
  <c r="C1337" i="4"/>
  <c r="C1338" i="4"/>
  <c r="C1339" i="4"/>
  <c r="C1340" i="4"/>
  <c r="C1341" i="4"/>
  <c r="C1342" i="4"/>
  <c r="C1343" i="4"/>
  <c r="C1344" i="4"/>
  <c r="C1345" i="4"/>
  <c r="C1346" i="4"/>
  <c r="C1347" i="4"/>
  <c r="C1348" i="4"/>
  <c r="C1349" i="4"/>
  <c r="C1350" i="4"/>
  <c r="C1351" i="4"/>
  <c r="C1352" i="4"/>
  <c r="C1353" i="4"/>
  <c r="C1354" i="4"/>
  <c r="C1355" i="4"/>
  <c r="C1356" i="4"/>
  <c r="C1357" i="4"/>
  <c r="C1358" i="4"/>
  <c r="C1359" i="4"/>
  <c r="C1360" i="4"/>
  <c r="C1361" i="4"/>
  <c r="C1362" i="4"/>
  <c r="C1363" i="4"/>
  <c r="C1364" i="4"/>
  <c r="C1365" i="4"/>
  <c r="C1366" i="4"/>
  <c r="C1367" i="4"/>
  <c r="C1368" i="4"/>
  <c r="C1369" i="4"/>
  <c r="C1370" i="4"/>
  <c r="C1371" i="4"/>
  <c r="C1372" i="4"/>
  <c r="C1373" i="4"/>
  <c r="C1374" i="4"/>
  <c r="C1375" i="4"/>
  <c r="C1376" i="4"/>
  <c r="C1377" i="4"/>
  <c r="C1378" i="4"/>
  <c r="C1379" i="4"/>
  <c r="C1380" i="4"/>
  <c r="C1381" i="4"/>
  <c r="C1382" i="4"/>
  <c r="C1383" i="4"/>
  <c r="C1384" i="4"/>
  <c r="C1385" i="4"/>
  <c r="C1386" i="4"/>
  <c r="C1387" i="4"/>
  <c r="C1388" i="4"/>
  <c r="C1389" i="4"/>
  <c r="C1390" i="4"/>
  <c r="C1391" i="4"/>
  <c r="C1392" i="4"/>
  <c r="C1393" i="4"/>
  <c r="C1394" i="4"/>
  <c r="C1395" i="4"/>
  <c r="C1396" i="4"/>
  <c r="C1397" i="4"/>
  <c r="C1398" i="4"/>
  <c r="C1399" i="4"/>
  <c r="C1400" i="4"/>
  <c r="C1401" i="4"/>
  <c r="C1402" i="4"/>
  <c r="C1403" i="4"/>
  <c r="C1404" i="4"/>
  <c r="C1405" i="4"/>
  <c r="C1406" i="4"/>
  <c r="C1407" i="4"/>
  <c r="C1408" i="4"/>
  <c r="C1409" i="4"/>
  <c r="C1410" i="4"/>
  <c r="C1411" i="4"/>
  <c r="C1412" i="4"/>
  <c r="C1413" i="4"/>
  <c r="C1414" i="4"/>
  <c r="C1415" i="4"/>
  <c r="C1416" i="4"/>
  <c r="C1417" i="4"/>
  <c r="C1418" i="4"/>
  <c r="C1419" i="4"/>
  <c r="C1420" i="4"/>
  <c r="C1421" i="4"/>
  <c r="C1422" i="4"/>
  <c r="C1423" i="4"/>
  <c r="C1424" i="4"/>
  <c r="C1425" i="4"/>
  <c r="C1426" i="4"/>
  <c r="C1427" i="4"/>
  <c r="C1428" i="4"/>
  <c r="C1429" i="4"/>
  <c r="C1430" i="4"/>
  <c r="C1431" i="4"/>
  <c r="C1432" i="4"/>
  <c r="C1433" i="4"/>
  <c r="C1434" i="4"/>
  <c r="C1435" i="4"/>
  <c r="C1436" i="4"/>
  <c r="C1437" i="4"/>
  <c r="C1438" i="4"/>
  <c r="C1439" i="4"/>
  <c r="C1440" i="4"/>
  <c r="C1441" i="4"/>
  <c r="C1442" i="4"/>
  <c r="C1443" i="4"/>
  <c r="C1444" i="4"/>
  <c r="C1445" i="4"/>
  <c r="C1446" i="4"/>
  <c r="C1447" i="4"/>
  <c r="C1448" i="4"/>
  <c r="C1449" i="4"/>
  <c r="C1450" i="4"/>
  <c r="C1451" i="4"/>
  <c r="C1452" i="4"/>
  <c r="C1453" i="4"/>
  <c r="C1454" i="4"/>
  <c r="C1455" i="4"/>
  <c r="C1456" i="4"/>
  <c r="C1457" i="4"/>
  <c r="C1458" i="4"/>
  <c r="C1459" i="4"/>
  <c r="C1460" i="4"/>
  <c r="C1461" i="4"/>
  <c r="C1462" i="4"/>
  <c r="C1463" i="4"/>
  <c r="C1464" i="4"/>
  <c r="C1465" i="4"/>
  <c r="C1466" i="4"/>
  <c r="C1467" i="4"/>
  <c r="C1468" i="4"/>
  <c r="C1469" i="4"/>
  <c r="C1470" i="4"/>
  <c r="C1471" i="4"/>
  <c r="C1472" i="4"/>
  <c r="C1473" i="4"/>
  <c r="C1474" i="4"/>
  <c r="C1475" i="4"/>
  <c r="C1476" i="4"/>
  <c r="C1477" i="4"/>
  <c r="C1478" i="4"/>
  <c r="C1479" i="4"/>
  <c r="C1480" i="4"/>
  <c r="C1481" i="4"/>
  <c r="C1482" i="4"/>
  <c r="C1483" i="4"/>
  <c r="C1484" i="4"/>
  <c r="C1485" i="4"/>
  <c r="C1486" i="4"/>
  <c r="C1487" i="4"/>
  <c r="C1488" i="4"/>
  <c r="C1489" i="4"/>
  <c r="C1490" i="4"/>
  <c r="C1491" i="4"/>
  <c r="C1492" i="4"/>
  <c r="C1493" i="4"/>
  <c r="C1494" i="4"/>
  <c r="C1495" i="4"/>
  <c r="C1496" i="4"/>
  <c r="C1497" i="4"/>
  <c r="C1498" i="4"/>
  <c r="C1499" i="4"/>
  <c r="C1500" i="4"/>
  <c r="C1501" i="4"/>
  <c r="C1502" i="4"/>
  <c r="C1503" i="4"/>
  <c r="C1504" i="4"/>
  <c r="C1505" i="4"/>
  <c r="C1506" i="4"/>
  <c r="C1507" i="4"/>
  <c r="C1508" i="4"/>
  <c r="C1509" i="4"/>
  <c r="C1510" i="4"/>
  <c r="C1511" i="4"/>
  <c r="C1512" i="4"/>
  <c r="C1513" i="4"/>
  <c r="C1514" i="4"/>
  <c r="C1515" i="4"/>
  <c r="C1516" i="4"/>
  <c r="C1517" i="4"/>
  <c r="C1518" i="4"/>
  <c r="C1519" i="4"/>
  <c r="C1520" i="4"/>
  <c r="C1521" i="4"/>
  <c r="C1522" i="4"/>
  <c r="C1523" i="4"/>
  <c r="C1524" i="4"/>
  <c r="C1525" i="4"/>
  <c r="C1526" i="4"/>
  <c r="C1527" i="4"/>
  <c r="C1528" i="4"/>
  <c r="C1529" i="4"/>
  <c r="C1530" i="4"/>
  <c r="C1531" i="4"/>
  <c r="C1532" i="4"/>
  <c r="C1533" i="4"/>
  <c r="C1534" i="4"/>
  <c r="C1535" i="4"/>
  <c r="C1536" i="4"/>
  <c r="C1537" i="4"/>
  <c r="C1538" i="4"/>
  <c r="C1539" i="4"/>
  <c r="C1540" i="4"/>
  <c r="C1541" i="4"/>
  <c r="C1542" i="4"/>
  <c r="C1543" i="4"/>
  <c r="C1544" i="4"/>
  <c r="C1545" i="4"/>
  <c r="C1546" i="4"/>
  <c r="C1547" i="4"/>
  <c r="C1548" i="4"/>
  <c r="C1549" i="4"/>
  <c r="C1550" i="4"/>
  <c r="C1551" i="4"/>
  <c r="C1552" i="4"/>
  <c r="C1553" i="4"/>
  <c r="C1554" i="4"/>
  <c r="C1555" i="4"/>
  <c r="C1556" i="4"/>
  <c r="C1557" i="4"/>
  <c r="C1558" i="4"/>
  <c r="C1559" i="4"/>
  <c r="C1560" i="4"/>
  <c r="C1561" i="4"/>
  <c r="C1562" i="4"/>
  <c r="C1563" i="4"/>
  <c r="C1564" i="4"/>
  <c r="C1565" i="4"/>
  <c r="C1566" i="4"/>
  <c r="C1567" i="4"/>
  <c r="C1568" i="4"/>
  <c r="C1569" i="4"/>
  <c r="C1570" i="4"/>
  <c r="C1571" i="4"/>
  <c r="C1572" i="4"/>
  <c r="C1573" i="4"/>
  <c r="C1574" i="4"/>
  <c r="C1575" i="4"/>
  <c r="C1576" i="4"/>
  <c r="C1577" i="4"/>
  <c r="C1578" i="4"/>
  <c r="C1579" i="4"/>
  <c r="C1580" i="4"/>
  <c r="C1581" i="4"/>
  <c r="C1582" i="4"/>
  <c r="C1583" i="4"/>
  <c r="C1584" i="4"/>
  <c r="C1585" i="4"/>
  <c r="C1586" i="4"/>
  <c r="C1587" i="4"/>
  <c r="C1588" i="4"/>
  <c r="C1589" i="4"/>
  <c r="C1590" i="4"/>
  <c r="C1591" i="4"/>
  <c r="C1592" i="4"/>
  <c r="C1593" i="4"/>
  <c r="C1594" i="4"/>
  <c r="C1595" i="4"/>
  <c r="C1596" i="4"/>
  <c r="C1597" i="4"/>
  <c r="C1598" i="4"/>
  <c r="C1599" i="4"/>
  <c r="C1600" i="4"/>
  <c r="C1601" i="4"/>
  <c r="C1602" i="4"/>
  <c r="C1603" i="4"/>
  <c r="C1604" i="4"/>
  <c r="C1605" i="4"/>
  <c r="C1606" i="4"/>
  <c r="C1607" i="4"/>
  <c r="C1608" i="4"/>
  <c r="C1609" i="4"/>
  <c r="C1610" i="4"/>
  <c r="C1611" i="4"/>
  <c r="C1612" i="4"/>
  <c r="C1613" i="4"/>
  <c r="C1614" i="4"/>
  <c r="C1615" i="4"/>
  <c r="C1616" i="4"/>
  <c r="C1617" i="4"/>
  <c r="C1618" i="4"/>
  <c r="C1619" i="4"/>
  <c r="C1620" i="4"/>
  <c r="C1621" i="4"/>
  <c r="C1622" i="4"/>
  <c r="C1623" i="4"/>
  <c r="C1624" i="4"/>
  <c r="C1625" i="4"/>
  <c r="C1626" i="4"/>
  <c r="C1627" i="4"/>
  <c r="C1628" i="4"/>
  <c r="C1629" i="4"/>
  <c r="C1630" i="4"/>
  <c r="C1631" i="4"/>
  <c r="C1632" i="4"/>
  <c r="C1633" i="4"/>
  <c r="C1634" i="4"/>
  <c r="C1635" i="4"/>
  <c r="C1636" i="4"/>
  <c r="C1637" i="4"/>
  <c r="C1638" i="4"/>
  <c r="C1639" i="4"/>
  <c r="C1640" i="4"/>
  <c r="C1641" i="4"/>
  <c r="C1642" i="4"/>
  <c r="C1643" i="4"/>
  <c r="C1644" i="4"/>
  <c r="C1645" i="4"/>
  <c r="C1646" i="4"/>
  <c r="C1647" i="4"/>
  <c r="C1648" i="4"/>
  <c r="C1649" i="4"/>
  <c r="C1650" i="4"/>
  <c r="C1651" i="4"/>
  <c r="C1652" i="4"/>
  <c r="C1653" i="4"/>
  <c r="C1654" i="4"/>
  <c r="C1655" i="4"/>
  <c r="C1656" i="4"/>
  <c r="C1657" i="4"/>
  <c r="C1658" i="4"/>
  <c r="C1659" i="4"/>
  <c r="C1660" i="4"/>
  <c r="C1661" i="4"/>
  <c r="C1662" i="4"/>
  <c r="C1663" i="4"/>
  <c r="C1664" i="4"/>
  <c r="C1665" i="4"/>
  <c r="C1666" i="4"/>
  <c r="C1667" i="4"/>
  <c r="C1668" i="4"/>
  <c r="C1669" i="4"/>
  <c r="C1670" i="4"/>
  <c r="C1671" i="4"/>
  <c r="C1672" i="4"/>
  <c r="C1673" i="4"/>
  <c r="C1674" i="4"/>
  <c r="C1675" i="4"/>
  <c r="C1676" i="4"/>
  <c r="C1677" i="4"/>
  <c r="C1678" i="4"/>
  <c r="C1679" i="4"/>
  <c r="C1680" i="4"/>
  <c r="C1681" i="4"/>
  <c r="C1682" i="4"/>
  <c r="C1683" i="4"/>
  <c r="C1684" i="4"/>
  <c r="C1685" i="4"/>
  <c r="C1686" i="4"/>
  <c r="C1687" i="4"/>
  <c r="C1688" i="4"/>
  <c r="C1689" i="4"/>
  <c r="C1690" i="4"/>
  <c r="C1691" i="4"/>
  <c r="C1692" i="4"/>
  <c r="C1693" i="4"/>
  <c r="C1694" i="4"/>
  <c r="C1695" i="4"/>
  <c r="C1696" i="4"/>
  <c r="C1697" i="4"/>
  <c r="C1698" i="4"/>
  <c r="C1699" i="4"/>
  <c r="C1700" i="4"/>
  <c r="C1701" i="4"/>
  <c r="C1702" i="4"/>
  <c r="C1703" i="4"/>
  <c r="C1704" i="4"/>
  <c r="C1705" i="4"/>
  <c r="C1706" i="4"/>
  <c r="C1707" i="4"/>
  <c r="C1708" i="4"/>
  <c r="C1709" i="4"/>
  <c r="C1710" i="4"/>
  <c r="C1711" i="4"/>
  <c r="C1712" i="4"/>
  <c r="C1713" i="4"/>
  <c r="C1714" i="4"/>
  <c r="C1715" i="4"/>
  <c r="C1716" i="4"/>
  <c r="C1717" i="4"/>
  <c r="C1718" i="4"/>
  <c r="C1719" i="4"/>
  <c r="C1720" i="4"/>
  <c r="C1721" i="4"/>
  <c r="C1722" i="4"/>
  <c r="C1723" i="4"/>
  <c r="C1724" i="4"/>
  <c r="C1725" i="4"/>
  <c r="C1726" i="4"/>
  <c r="C1727" i="4"/>
  <c r="C1728" i="4"/>
  <c r="C1729" i="4"/>
  <c r="C1730" i="4"/>
  <c r="C1731" i="4"/>
  <c r="C1732" i="4"/>
  <c r="C1733" i="4"/>
  <c r="C1734" i="4"/>
  <c r="C1735" i="4"/>
  <c r="C1736" i="4"/>
  <c r="C1737" i="4"/>
  <c r="C1738" i="4"/>
  <c r="C1739" i="4"/>
  <c r="C1740" i="4"/>
  <c r="C1741" i="4"/>
  <c r="C1742" i="4"/>
  <c r="C1743" i="4"/>
  <c r="C1744" i="4"/>
  <c r="C1745" i="4"/>
  <c r="C1746" i="4"/>
  <c r="C1747" i="4"/>
  <c r="C1748" i="4"/>
  <c r="C1749" i="4"/>
  <c r="C1750" i="4"/>
  <c r="C1751" i="4"/>
  <c r="C1752" i="4"/>
  <c r="C1753" i="4"/>
  <c r="C1754" i="4"/>
  <c r="C1755" i="4"/>
  <c r="C1756" i="4"/>
  <c r="C1757" i="4"/>
  <c r="C1758" i="4"/>
  <c r="C1759" i="4"/>
  <c r="C1760" i="4"/>
  <c r="C1761" i="4"/>
  <c r="C1762" i="4"/>
  <c r="C1763" i="4"/>
  <c r="C1764" i="4"/>
  <c r="C1765" i="4"/>
  <c r="C1766" i="4"/>
  <c r="C1767" i="4"/>
  <c r="C1768" i="4"/>
  <c r="C1769" i="4"/>
  <c r="C1770" i="4"/>
  <c r="C1771" i="4"/>
  <c r="C1772" i="4"/>
  <c r="C1773" i="4"/>
  <c r="C1774" i="4"/>
  <c r="C1775" i="4"/>
  <c r="C1776" i="4"/>
  <c r="C1777" i="4"/>
  <c r="C1778" i="4"/>
  <c r="C1779" i="4"/>
  <c r="C1780" i="4"/>
  <c r="C1781" i="4"/>
  <c r="C1782" i="4"/>
  <c r="C1783" i="4"/>
  <c r="C1784" i="4"/>
  <c r="C1785" i="4"/>
  <c r="C1786" i="4"/>
  <c r="C1787" i="4"/>
  <c r="C1788" i="4"/>
  <c r="C1789" i="4"/>
  <c r="C1790" i="4"/>
  <c r="C1791" i="4"/>
  <c r="C1792" i="4"/>
  <c r="C1793" i="4"/>
  <c r="C1794" i="4"/>
  <c r="C1795" i="4"/>
  <c r="C1796" i="4"/>
  <c r="C1797" i="4"/>
  <c r="C1798" i="4"/>
  <c r="C1799" i="4"/>
  <c r="C1800" i="4"/>
  <c r="C1801" i="4"/>
  <c r="C1802" i="4"/>
  <c r="C1803" i="4"/>
  <c r="C1804" i="4"/>
  <c r="C1805" i="4"/>
  <c r="C1806" i="4"/>
  <c r="C1807" i="4"/>
  <c r="C1808" i="4"/>
  <c r="C1809" i="4"/>
  <c r="C1810" i="4"/>
  <c r="C1811" i="4"/>
  <c r="C1812" i="4"/>
  <c r="C1813" i="4"/>
  <c r="C1814" i="4"/>
  <c r="C1815" i="4"/>
  <c r="C1816" i="4"/>
  <c r="C1817" i="4"/>
  <c r="C1818" i="4"/>
  <c r="C1819" i="4"/>
  <c r="C1820" i="4"/>
  <c r="C1821" i="4"/>
  <c r="C1822" i="4"/>
  <c r="C1823" i="4"/>
  <c r="C1824" i="4"/>
  <c r="C1825" i="4"/>
  <c r="C1826" i="4"/>
  <c r="C1827" i="4"/>
  <c r="C1828" i="4"/>
  <c r="C1829" i="4"/>
  <c r="C1830" i="4"/>
  <c r="C1831" i="4"/>
  <c r="C1832" i="4"/>
  <c r="C1833" i="4"/>
  <c r="C1834" i="4"/>
  <c r="C1835" i="4"/>
  <c r="C1836" i="4"/>
  <c r="C1837" i="4"/>
  <c r="C1838" i="4"/>
  <c r="C1839" i="4"/>
  <c r="C1840" i="4"/>
  <c r="C1841" i="4"/>
  <c r="C1842" i="4"/>
  <c r="C1843" i="4"/>
  <c r="C1844" i="4"/>
  <c r="C1845" i="4"/>
  <c r="C1846" i="4"/>
  <c r="C1847" i="4"/>
  <c r="C1848" i="4"/>
  <c r="C1849" i="4"/>
  <c r="C1850" i="4"/>
  <c r="C1851" i="4"/>
  <c r="C1852" i="4"/>
  <c r="C1853" i="4"/>
  <c r="C1854" i="4"/>
  <c r="C1855" i="4"/>
  <c r="C1856" i="4"/>
  <c r="C1857" i="4"/>
  <c r="C1858" i="4"/>
  <c r="C1859" i="4"/>
  <c r="C1860" i="4"/>
  <c r="C1861" i="4"/>
  <c r="C1862" i="4"/>
  <c r="C1863" i="4"/>
  <c r="C1864" i="4"/>
  <c r="C1865" i="4"/>
  <c r="C1866" i="4"/>
  <c r="C1867" i="4"/>
  <c r="C1868" i="4"/>
  <c r="C1869" i="4"/>
  <c r="C1870" i="4"/>
  <c r="C1871" i="4"/>
  <c r="C1872" i="4"/>
  <c r="C1873" i="4"/>
  <c r="C1874" i="4"/>
  <c r="C1875" i="4"/>
  <c r="C1876" i="4"/>
  <c r="C1877" i="4"/>
  <c r="C1878" i="4"/>
  <c r="C1879" i="4"/>
  <c r="C1880" i="4"/>
  <c r="C1881" i="4"/>
  <c r="C1882" i="4"/>
  <c r="C1883" i="4"/>
  <c r="C1884" i="4"/>
  <c r="C1885" i="4"/>
  <c r="C1886" i="4"/>
  <c r="C1887" i="4"/>
  <c r="C1888" i="4"/>
  <c r="C1889" i="4"/>
  <c r="C1890" i="4"/>
  <c r="C1891" i="4"/>
  <c r="C1892" i="4"/>
  <c r="C1893" i="4"/>
  <c r="C1894" i="4"/>
  <c r="C1895" i="4"/>
  <c r="C1896" i="4"/>
  <c r="C1897" i="4"/>
  <c r="C1898" i="4"/>
  <c r="C1899" i="4"/>
  <c r="C1900" i="4"/>
  <c r="C1901" i="4"/>
  <c r="C1902" i="4"/>
  <c r="C1903" i="4"/>
  <c r="C1904" i="4"/>
  <c r="C1905" i="4"/>
  <c r="C1906" i="4"/>
  <c r="C1907" i="4"/>
  <c r="C1908" i="4"/>
  <c r="C1909" i="4"/>
  <c r="C1910" i="4"/>
  <c r="C1911" i="4"/>
  <c r="C1912" i="4"/>
  <c r="C1913" i="4"/>
  <c r="C1914" i="4"/>
  <c r="C1915" i="4"/>
  <c r="C1916" i="4"/>
  <c r="C1917" i="4"/>
  <c r="C1918" i="4"/>
  <c r="C1919" i="4"/>
  <c r="C1920" i="4"/>
  <c r="C1921" i="4"/>
  <c r="C1922" i="4"/>
  <c r="C1923" i="4"/>
  <c r="C1924" i="4"/>
  <c r="C1925" i="4"/>
  <c r="C1926" i="4"/>
  <c r="C1927" i="4"/>
  <c r="C1928" i="4"/>
  <c r="C1929" i="4"/>
  <c r="C1930" i="4"/>
  <c r="C1931" i="4"/>
  <c r="C1932" i="4"/>
  <c r="C1933" i="4"/>
  <c r="C1934" i="4"/>
  <c r="C1935" i="4"/>
  <c r="C1936" i="4"/>
  <c r="C1937" i="4"/>
  <c r="C1938" i="4"/>
  <c r="C1939" i="4"/>
  <c r="C1940" i="4"/>
  <c r="C1941" i="4"/>
  <c r="C1942" i="4"/>
  <c r="C1943" i="4"/>
  <c r="C1944" i="4"/>
  <c r="C1945" i="4"/>
  <c r="C1946" i="4"/>
  <c r="C1947" i="4"/>
  <c r="C1948" i="4"/>
  <c r="C1949" i="4"/>
  <c r="C1950" i="4"/>
  <c r="C1951" i="4"/>
  <c r="C1952" i="4"/>
  <c r="C1953" i="4"/>
  <c r="C1954" i="4"/>
  <c r="C1955" i="4"/>
  <c r="C1956" i="4"/>
  <c r="C1957" i="4"/>
  <c r="C1958" i="4"/>
  <c r="C1959" i="4"/>
  <c r="C1960" i="4"/>
  <c r="C1961" i="4"/>
  <c r="C1962" i="4"/>
  <c r="C1963" i="4"/>
  <c r="C1964" i="4"/>
  <c r="C1965" i="4"/>
  <c r="C1966" i="4"/>
  <c r="C1967" i="4"/>
  <c r="C1968" i="4"/>
  <c r="C1969" i="4"/>
  <c r="C1970" i="4"/>
  <c r="C1971" i="4"/>
  <c r="C1972" i="4"/>
  <c r="C1973" i="4"/>
  <c r="C1974" i="4"/>
  <c r="C1975" i="4"/>
  <c r="C1976" i="4"/>
  <c r="C1977" i="4"/>
  <c r="C1978" i="4"/>
  <c r="C1979" i="4"/>
  <c r="C1980" i="4"/>
  <c r="C1981" i="4"/>
  <c r="C1982" i="4"/>
  <c r="C1983" i="4"/>
  <c r="C1984" i="4"/>
  <c r="C1985" i="4"/>
  <c r="C1986" i="4"/>
  <c r="C1987" i="4"/>
  <c r="C1988" i="4"/>
  <c r="C1989" i="4"/>
  <c r="C1990" i="4"/>
  <c r="C1991" i="4"/>
  <c r="C1992" i="4"/>
  <c r="C1993" i="4"/>
  <c r="C1994" i="4"/>
  <c r="C1995" i="4"/>
  <c r="C1996" i="4"/>
  <c r="C1997" i="4"/>
  <c r="C1998" i="4"/>
  <c r="C1999" i="4"/>
  <c r="C2000" i="4"/>
  <c r="C2001" i="4"/>
  <c r="C2002" i="4"/>
  <c r="C2003" i="4"/>
  <c r="C2004" i="4"/>
  <c r="C2005" i="4"/>
  <c r="C2006" i="4"/>
  <c r="C2007" i="4"/>
  <c r="C2008" i="4"/>
  <c r="C2009" i="4"/>
  <c r="C2010" i="4"/>
  <c r="C2011" i="4"/>
  <c r="C2012" i="4"/>
  <c r="C2013" i="4"/>
  <c r="C2014" i="4"/>
  <c r="C2015" i="4"/>
  <c r="C2016" i="4"/>
  <c r="C2017" i="4"/>
  <c r="C2018" i="4"/>
  <c r="C2019" i="4"/>
  <c r="C2020" i="4"/>
  <c r="C2021" i="4"/>
  <c r="C2022" i="4"/>
  <c r="C2023" i="4"/>
  <c r="C2024" i="4"/>
  <c r="C2025" i="4"/>
  <c r="C2026" i="4"/>
  <c r="C2027" i="4"/>
  <c r="C2028" i="4"/>
  <c r="C2029" i="4"/>
  <c r="C2030" i="4"/>
  <c r="C2031" i="4"/>
  <c r="C2032" i="4"/>
  <c r="C2033" i="4"/>
  <c r="C2034" i="4"/>
  <c r="C2035" i="4"/>
  <c r="C2036" i="4"/>
  <c r="C2037" i="4"/>
  <c r="C2038" i="4"/>
  <c r="C2039" i="4"/>
  <c r="C2040" i="4"/>
  <c r="C2041" i="4"/>
  <c r="C2042" i="4"/>
  <c r="C2043" i="4"/>
  <c r="C2044" i="4"/>
  <c r="C2045" i="4"/>
  <c r="C2046" i="4"/>
  <c r="C2047" i="4"/>
  <c r="C2048" i="4"/>
  <c r="C2049" i="4"/>
  <c r="C2050" i="4"/>
  <c r="C2051" i="4"/>
  <c r="C2052" i="4"/>
  <c r="C2053" i="4"/>
  <c r="C2054" i="4"/>
  <c r="C2055" i="4"/>
  <c r="C2056" i="4"/>
  <c r="C2057" i="4"/>
  <c r="C2058" i="4"/>
  <c r="C2059" i="4"/>
  <c r="C2060" i="4"/>
  <c r="C2061" i="4"/>
  <c r="C2062" i="4"/>
  <c r="C2063" i="4"/>
  <c r="C2064" i="4"/>
  <c r="C2065" i="4"/>
  <c r="C2066" i="4"/>
  <c r="C2067" i="4"/>
  <c r="C2068" i="4"/>
  <c r="C2069" i="4"/>
  <c r="C2070" i="4"/>
  <c r="C2071" i="4"/>
  <c r="C2072" i="4"/>
  <c r="C2073" i="4"/>
  <c r="C2074" i="4"/>
  <c r="C2075" i="4"/>
  <c r="C2076" i="4"/>
  <c r="C2077" i="4"/>
  <c r="C2078" i="4"/>
  <c r="C2079" i="4"/>
  <c r="C2080" i="4"/>
  <c r="C2081" i="4"/>
  <c r="C2082" i="4"/>
  <c r="C2083" i="4"/>
  <c r="C2084" i="4"/>
  <c r="C2085" i="4"/>
  <c r="C2086" i="4"/>
  <c r="C2087" i="4"/>
  <c r="C2088" i="4"/>
  <c r="C2089" i="4"/>
  <c r="C2090" i="4"/>
  <c r="C2091" i="4"/>
  <c r="C2092" i="4"/>
  <c r="C2093" i="4"/>
  <c r="C2094" i="4"/>
  <c r="C2095" i="4"/>
  <c r="C2096" i="4"/>
  <c r="C2097" i="4"/>
  <c r="C2098" i="4"/>
  <c r="C2099" i="4"/>
  <c r="C2100" i="4"/>
  <c r="C2101" i="4"/>
  <c r="C2102" i="4"/>
  <c r="C2103" i="4"/>
  <c r="C2104" i="4"/>
  <c r="C2105" i="4"/>
  <c r="C2106" i="4"/>
  <c r="C2107" i="4"/>
  <c r="C2108" i="4"/>
  <c r="C2109" i="4"/>
  <c r="C2110" i="4"/>
  <c r="C2111" i="4"/>
  <c r="C2112" i="4"/>
  <c r="C2113" i="4"/>
  <c r="C2114" i="4"/>
  <c r="C2115" i="4"/>
  <c r="C2116" i="4"/>
  <c r="C2117" i="4"/>
  <c r="C2118" i="4"/>
  <c r="C2119" i="4"/>
  <c r="C2120" i="4"/>
  <c r="C2121" i="4"/>
  <c r="C2122" i="4"/>
  <c r="C2123" i="4"/>
  <c r="C2124" i="4"/>
  <c r="C2125" i="4"/>
  <c r="C2126" i="4"/>
  <c r="C2127" i="4"/>
  <c r="C2128" i="4"/>
  <c r="C2129" i="4"/>
  <c r="C2130" i="4"/>
  <c r="C2131" i="4"/>
  <c r="C2132" i="4"/>
  <c r="C2133" i="4"/>
  <c r="C2134" i="4"/>
  <c r="C2135" i="4"/>
  <c r="C2136" i="4"/>
  <c r="C2137" i="4"/>
  <c r="C2138" i="4"/>
  <c r="C2139" i="4"/>
  <c r="C2140" i="4"/>
  <c r="C2141" i="4"/>
  <c r="C2142" i="4"/>
  <c r="C2143" i="4"/>
  <c r="C2144" i="4"/>
  <c r="C2145" i="4"/>
  <c r="C2146" i="4"/>
  <c r="C2147" i="4"/>
  <c r="C2148" i="4"/>
  <c r="C2149" i="4"/>
  <c r="C2150" i="4"/>
  <c r="C2151" i="4"/>
  <c r="C2152" i="4"/>
  <c r="C2153" i="4"/>
  <c r="C2154" i="4"/>
  <c r="C2155" i="4"/>
  <c r="C2156" i="4"/>
  <c r="C2157" i="4"/>
  <c r="C2158" i="4"/>
  <c r="C2159" i="4"/>
  <c r="C2160" i="4"/>
  <c r="C2161" i="4"/>
  <c r="C2162" i="4"/>
  <c r="C2163" i="4"/>
  <c r="C2164" i="4"/>
  <c r="C2165" i="4"/>
  <c r="C2166" i="4"/>
  <c r="C2167" i="4"/>
  <c r="C2168" i="4"/>
  <c r="C2169" i="4"/>
  <c r="C2170" i="4"/>
  <c r="C2171" i="4"/>
  <c r="C2172" i="4"/>
  <c r="C2173" i="4"/>
  <c r="C2174" i="4"/>
  <c r="C2175" i="4"/>
  <c r="C2176" i="4"/>
  <c r="C2177" i="4"/>
  <c r="C2178" i="4"/>
  <c r="C2179" i="4"/>
  <c r="C2180" i="4"/>
  <c r="C2181" i="4"/>
  <c r="C2182" i="4"/>
  <c r="C2183" i="4"/>
  <c r="C2184" i="4"/>
  <c r="C2185" i="4"/>
  <c r="C2186" i="4"/>
  <c r="C2187" i="4"/>
  <c r="C2188" i="4"/>
  <c r="C2189" i="4"/>
  <c r="C2190" i="4"/>
  <c r="C2191" i="4"/>
  <c r="C2192" i="4"/>
  <c r="C2193" i="4"/>
  <c r="C2194" i="4"/>
  <c r="C2195" i="4"/>
  <c r="C2196" i="4"/>
  <c r="C2197" i="4"/>
  <c r="C2198" i="4"/>
  <c r="C2199" i="4"/>
  <c r="C2200" i="4"/>
  <c r="C2201" i="4"/>
  <c r="C2202" i="4"/>
  <c r="C2203" i="4"/>
  <c r="C2204" i="4"/>
  <c r="C2205" i="4"/>
  <c r="C2206" i="4"/>
  <c r="C2207" i="4"/>
  <c r="C2208" i="4"/>
  <c r="C2209" i="4"/>
  <c r="C2210" i="4"/>
  <c r="C2211" i="4"/>
  <c r="C2212" i="4"/>
  <c r="C2213" i="4"/>
  <c r="C2214" i="4"/>
  <c r="C2215" i="4"/>
  <c r="C2216" i="4"/>
  <c r="C2217" i="4"/>
  <c r="C2218" i="4"/>
  <c r="C2219" i="4"/>
  <c r="C2220" i="4"/>
  <c r="C2221" i="4"/>
  <c r="C2222" i="4"/>
  <c r="C2223" i="4"/>
  <c r="C2224" i="4"/>
  <c r="C2225" i="4"/>
  <c r="C2226" i="4"/>
  <c r="C2227" i="4"/>
  <c r="C2228" i="4"/>
  <c r="C2229" i="4"/>
  <c r="C2230" i="4"/>
  <c r="C2231" i="4"/>
  <c r="C2232" i="4"/>
  <c r="C2233" i="4"/>
  <c r="C2234" i="4"/>
  <c r="C2235" i="4"/>
  <c r="C2236" i="4"/>
  <c r="C2237" i="4"/>
  <c r="C2238" i="4"/>
  <c r="C2239" i="4"/>
  <c r="C2240" i="4"/>
  <c r="C2241" i="4"/>
  <c r="C2242" i="4"/>
  <c r="C2243" i="4"/>
  <c r="C2244" i="4"/>
  <c r="C2245" i="4"/>
  <c r="C2246" i="4"/>
  <c r="C2247" i="4"/>
  <c r="C2248" i="4"/>
  <c r="C2249" i="4"/>
  <c r="C2250" i="4"/>
  <c r="C2251" i="4"/>
  <c r="C2252" i="4"/>
  <c r="C2253" i="4"/>
  <c r="C2254" i="4"/>
  <c r="C2255" i="4"/>
  <c r="C2256" i="4"/>
  <c r="C2257" i="4"/>
  <c r="C2258" i="4"/>
  <c r="C2259" i="4"/>
  <c r="C2260" i="4"/>
  <c r="C2261" i="4"/>
  <c r="C2262" i="4"/>
  <c r="C2263" i="4"/>
  <c r="C2264" i="4"/>
  <c r="C2265" i="4"/>
  <c r="C2266" i="4"/>
  <c r="C2267" i="4"/>
  <c r="C2268" i="4"/>
  <c r="C2269" i="4"/>
  <c r="C2270" i="4"/>
  <c r="C2271" i="4"/>
  <c r="C2272" i="4"/>
  <c r="C2273" i="4"/>
  <c r="C2274" i="4"/>
  <c r="C2275" i="4"/>
  <c r="C2276" i="4"/>
  <c r="C2277" i="4"/>
  <c r="C2278" i="4"/>
  <c r="C2279" i="4"/>
  <c r="C2280" i="4"/>
  <c r="C2281" i="4"/>
  <c r="C2282" i="4"/>
  <c r="C2283" i="4"/>
  <c r="C2284" i="4"/>
  <c r="C2285" i="4"/>
  <c r="C2286" i="4"/>
  <c r="C2287" i="4"/>
  <c r="C2288" i="4"/>
  <c r="C2289" i="4"/>
  <c r="C2290" i="4"/>
  <c r="C2291" i="4"/>
  <c r="C2292" i="4"/>
  <c r="C2293" i="4"/>
  <c r="C2294" i="4"/>
  <c r="C2295" i="4"/>
  <c r="C2296" i="4"/>
  <c r="C2297" i="4"/>
  <c r="C2298" i="4"/>
  <c r="C2299" i="4"/>
  <c r="C2300" i="4"/>
  <c r="C2301" i="4"/>
  <c r="C2302" i="4"/>
  <c r="C2303" i="4"/>
  <c r="C2304" i="4"/>
  <c r="C2305" i="4"/>
  <c r="C2306" i="4"/>
  <c r="C2307" i="4"/>
  <c r="C2308" i="4"/>
  <c r="C2309" i="4"/>
  <c r="C2310" i="4"/>
  <c r="C2311" i="4"/>
  <c r="C2312" i="4"/>
  <c r="C2313" i="4"/>
  <c r="C2314" i="4"/>
  <c r="C2315" i="4"/>
  <c r="C2316" i="4"/>
  <c r="C2317" i="4"/>
  <c r="C2318" i="4"/>
  <c r="C2319" i="4"/>
  <c r="C2320" i="4"/>
  <c r="C2321" i="4"/>
  <c r="C2322" i="4"/>
  <c r="C2323" i="4"/>
  <c r="C2324" i="4"/>
  <c r="C2325" i="4"/>
  <c r="C2326" i="4"/>
  <c r="C2327" i="4"/>
  <c r="C2328" i="4"/>
  <c r="C2329" i="4"/>
  <c r="C2330" i="4"/>
  <c r="C2331" i="4"/>
  <c r="C2332" i="4"/>
  <c r="C2333" i="4"/>
  <c r="C2334" i="4"/>
  <c r="C2335" i="4"/>
  <c r="C2336" i="4"/>
  <c r="C2337" i="4"/>
  <c r="C2338" i="4"/>
  <c r="C2339" i="4"/>
  <c r="C2340" i="4"/>
  <c r="C2341" i="4"/>
  <c r="C2342" i="4"/>
  <c r="C2343" i="4"/>
  <c r="C2344" i="4"/>
  <c r="C2345" i="4"/>
  <c r="C2346" i="4"/>
  <c r="C2347" i="4"/>
  <c r="C2348" i="4"/>
  <c r="C2349" i="4"/>
  <c r="C2350" i="4"/>
  <c r="C2351" i="4"/>
  <c r="C2352" i="4"/>
  <c r="C2353" i="4"/>
  <c r="C2354" i="4"/>
  <c r="C2355" i="4"/>
  <c r="C2356" i="4"/>
  <c r="C2357" i="4"/>
  <c r="C2358" i="4"/>
  <c r="C2359" i="4"/>
  <c r="C2360" i="4"/>
  <c r="C2361" i="4"/>
  <c r="C2362" i="4"/>
  <c r="C2363" i="4"/>
  <c r="C2364" i="4"/>
  <c r="C2365" i="4"/>
  <c r="C2366" i="4"/>
  <c r="C2367" i="4"/>
  <c r="C2368" i="4"/>
  <c r="C2369" i="4"/>
  <c r="C2370" i="4"/>
  <c r="C2371" i="4"/>
  <c r="C2372" i="4"/>
  <c r="C2373" i="4"/>
  <c r="C2374" i="4"/>
  <c r="C2375" i="4"/>
  <c r="C2376" i="4"/>
  <c r="C2377" i="4"/>
  <c r="C2378" i="4"/>
  <c r="C2379" i="4"/>
  <c r="C2380" i="4"/>
  <c r="C2381" i="4"/>
  <c r="C2382" i="4"/>
  <c r="C2383" i="4"/>
  <c r="C2384" i="4"/>
  <c r="C2385" i="4"/>
  <c r="C2386" i="4"/>
  <c r="C2387" i="4"/>
  <c r="C2388" i="4"/>
  <c r="C2389" i="4"/>
  <c r="C2390" i="4"/>
  <c r="C2391" i="4"/>
  <c r="C2392" i="4"/>
  <c r="C2393" i="4"/>
  <c r="C2394" i="4"/>
  <c r="C2395" i="4"/>
  <c r="C2396" i="4"/>
  <c r="C2397" i="4"/>
  <c r="C2398" i="4"/>
  <c r="C2399" i="4"/>
  <c r="C2400" i="4"/>
  <c r="C2401" i="4"/>
  <c r="C2402" i="4"/>
  <c r="C2403" i="4"/>
  <c r="C2404" i="4"/>
  <c r="C2405" i="4"/>
  <c r="C2406" i="4"/>
  <c r="C2407" i="4"/>
  <c r="C2408" i="4"/>
  <c r="C2409" i="4"/>
  <c r="C2410" i="4"/>
  <c r="C2411" i="4"/>
  <c r="C2412" i="4"/>
  <c r="C2413" i="4"/>
  <c r="C2414" i="4"/>
  <c r="C2415" i="4"/>
  <c r="C2416" i="4"/>
  <c r="C2417" i="4"/>
  <c r="C2418" i="4"/>
  <c r="C2419" i="4"/>
  <c r="C2420" i="4"/>
  <c r="C2421" i="4"/>
  <c r="C2422" i="4"/>
  <c r="C2423" i="4"/>
  <c r="C2424" i="4"/>
  <c r="C2425" i="4"/>
  <c r="C2426" i="4"/>
  <c r="C2427" i="4"/>
  <c r="C2428" i="4"/>
  <c r="C2429" i="4"/>
  <c r="C2430" i="4"/>
  <c r="C2431" i="4"/>
  <c r="C2432" i="4"/>
  <c r="C2433" i="4"/>
  <c r="C2434" i="4"/>
  <c r="C2435" i="4"/>
  <c r="C2436" i="4"/>
  <c r="C2437" i="4"/>
  <c r="C2438" i="4"/>
  <c r="C2439" i="4"/>
  <c r="C2440" i="4"/>
  <c r="C2441" i="4"/>
  <c r="C2442" i="4"/>
  <c r="C2443" i="4"/>
  <c r="C2444" i="4"/>
  <c r="C2445" i="4"/>
  <c r="C2446" i="4"/>
  <c r="C2447" i="4"/>
  <c r="C2448" i="4"/>
  <c r="C2449" i="4"/>
  <c r="C2450" i="4"/>
  <c r="C2451" i="4"/>
  <c r="C2452" i="4"/>
  <c r="C2453" i="4"/>
  <c r="C2454" i="4"/>
  <c r="C2455" i="4"/>
  <c r="C2456" i="4"/>
  <c r="C2457" i="4"/>
  <c r="C2458" i="4"/>
  <c r="C2459" i="4"/>
  <c r="C2460" i="4"/>
  <c r="C2461" i="4"/>
  <c r="C2462" i="4"/>
  <c r="C2463" i="4"/>
  <c r="C2464" i="4"/>
  <c r="C2465" i="4"/>
  <c r="C2466" i="4"/>
  <c r="C2467" i="4"/>
  <c r="C2468" i="4"/>
  <c r="C2469" i="4"/>
  <c r="C2470" i="4"/>
  <c r="C2471" i="4"/>
  <c r="C2472" i="4"/>
  <c r="C2473" i="4"/>
  <c r="C2474" i="4"/>
  <c r="C2475" i="4"/>
  <c r="C2476" i="4"/>
  <c r="C2477" i="4"/>
  <c r="C2478" i="4"/>
  <c r="C2479" i="4"/>
  <c r="C2480" i="4"/>
  <c r="C2481" i="4"/>
  <c r="C2482" i="4"/>
  <c r="C2483" i="4"/>
  <c r="C2484" i="4"/>
  <c r="C2485" i="4"/>
  <c r="C2486" i="4"/>
  <c r="C2487" i="4"/>
  <c r="C2488" i="4"/>
  <c r="C2489" i="4"/>
  <c r="C2490" i="4"/>
  <c r="C2491" i="4"/>
  <c r="C2492" i="4"/>
  <c r="C2493" i="4"/>
  <c r="C2494" i="4"/>
  <c r="C2495" i="4"/>
  <c r="C2496" i="4"/>
  <c r="C2497" i="4"/>
  <c r="C2498" i="4"/>
  <c r="C2499" i="4"/>
  <c r="C2500" i="4"/>
  <c r="C2501" i="4"/>
  <c r="C2502" i="4"/>
  <c r="C2503" i="4"/>
  <c r="C2504" i="4"/>
  <c r="C2505" i="4"/>
  <c r="C2506" i="4"/>
  <c r="C2507" i="4"/>
  <c r="C2508" i="4"/>
  <c r="C2509" i="4"/>
  <c r="C2510" i="4"/>
  <c r="C2511" i="4"/>
  <c r="C2512" i="4"/>
  <c r="C2513" i="4"/>
  <c r="C2514" i="4"/>
  <c r="C2515" i="4"/>
  <c r="B4016" i="4"/>
  <c r="B4017" i="4"/>
  <c r="B4018" i="4" s="1"/>
  <c r="B4019" i="4" s="1"/>
  <c r="B4020" i="4" s="1"/>
  <c r="B4021" i="4" s="1"/>
  <c r="B4022" i="4" s="1"/>
  <c r="B4023" i="4" s="1"/>
  <c r="B4024" i="4" s="1"/>
  <c r="B4025" i="4" s="1"/>
  <c r="B4026" i="4" s="1"/>
  <c r="B4027" i="4" s="1"/>
  <c r="B4028" i="4" s="1"/>
  <c r="B4029" i="4"/>
  <c r="B4030" i="4" s="1"/>
  <c r="B4031" i="4" s="1"/>
  <c r="B4032" i="4" s="1"/>
  <c r="B4033" i="4" s="1"/>
  <c r="B4034" i="4" s="1"/>
  <c r="B4035" i="4" s="1"/>
  <c r="B4036" i="4" s="1"/>
  <c r="B4037" i="4" s="1"/>
  <c r="B4038" i="4" s="1"/>
  <c r="B4039" i="4" s="1"/>
  <c r="B4040" i="4" s="1"/>
  <c r="B4041" i="4" s="1"/>
  <c r="B4042" i="4" s="1"/>
  <c r="B4043" i="4" s="1"/>
  <c r="B4044" i="4" s="1"/>
  <c r="B4045" i="4" s="1"/>
  <c r="B4046" i="4" s="1"/>
  <c r="B4047" i="4" s="1"/>
  <c r="B4048" i="4" s="1"/>
  <c r="B4049" i="4" s="1"/>
  <c r="B4050" i="4" s="1"/>
  <c r="B4051" i="4" s="1"/>
  <c r="B4052" i="4" s="1"/>
  <c r="B4053" i="4" s="1"/>
  <c r="B4054" i="4" s="1"/>
  <c r="B4055" i="4" s="1"/>
  <c r="B4056" i="4" s="1"/>
  <c r="B4057" i="4" s="1"/>
  <c r="B4058" i="4" s="1"/>
  <c r="B4059" i="4" s="1"/>
  <c r="B4060" i="4" s="1"/>
  <c r="B4061" i="4" s="1"/>
  <c r="B4062" i="4" s="1"/>
  <c r="B4063" i="4" s="1"/>
  <c r="B4064" i="4" s="1"/>
  <c r="B4065" i="4" s="1"/>
  <c r="B4066" i="4" s="1"/>
  <c r="B4067" i="4" s="1"/>
  <c r="B4068" i="4" s="1"/>
  <c r="B4069" i="4" s="1"/>
  <c r="B4070" i="4" s="1"/>
  <c r="B4071" i="4" s="1"/>
  <c r="B4072" i="4" s="1"/>
  <c r="B4073" i="4" s="1"/>
  <c r="B4074" i="4" s="1"/>
  <c r="B4075" i="4" s="1"/>
  <c r="B4076" i="4" s="1"/>
  <c r="B4077" i="4" s="1"/>
  <c r="B4078" i="4" s="1"/>
  <c r="B4079" i="4" s="1"/>
  <c r="B4080" i="4" s="1"/>
  <c r="B4081" i="4" s="1"/>
  <c r="B4082" i="4" s="1"/>
  <c r="B4083" i="4" s="1"/>
  <c r="B4084" i="4" s="1"/>
  <c r="B4085" i="4" s="1"/>
  <c r="B4086" i="4" s="1"/>
  <c r="B4087" i="4" s="1"/>
  <c r="B4088" i="4" s="1"/>
  <c r="B4089" i="4" s="1"/>
  <c r="B4090" i="4" s="1"/>
  <c r="B4091" i="4" s="1"/>
  <c r="B4092" i="4" s="1"/>
  <c r="B4093" i="4" s="1"/>
  <c r="B4094" i="4" s="1"/>
  <c r="B4095" i="4" s="1"/>
  <c r="B4096" i="4" s="1"/>
  <c r="B4097" i="4" s="1"/>
  <c r="B4098" i="4" s="1"/>
  <c r="B4099" i="4" s="1"/>
  <c r="B4100" i="4" s="1"/>
  <c r="B4101" i="4" s="1"/>
  <c r="B4102" i="4" s="1"/>
  <c r="B4103" i="4" s="1"/>
  <c r="B4104" i="4" s="1"/>
  <c r="B4105" i="4" s="1"/>
  <c r="B4106" i="4" s="1"/>
  <c r="B4107" i="4" s="1"/>
  <c r="B4108" i="4" s="1"/>
  <c r="B4109" i="4" s="1"/>
  <c r="B4110" i="4" s="1"/>
  <c r="B4111" i="4" s="1"/>
  <c r="B4112" i="4" s="1"/>
  <c r="B4113" i="4" s="1"/>
  <c r="B4114" i="4" s="1"/>
  <c r="B4115" i="4" s="1"/>
  <c r="B4116" i="4" s="1"/>
  <c r="B4117" i="4" s="1"/>
  <c r="B4118" i="4" s="1"/>
  <c r="B4119" i="4" s="1"/>
  <c r="B4120" i="4" s="1"/>
  <c r="B4121" i="4" s="1"/>
  <c r="B4122" i="4" s="1"/>
  <c r="B4123" i="4" s="1"/>
  <c r="B4124" i="4" s="1"/>
  <c r="B4125" i="4" s="1"/>
  <c r="B4126" i="4" s="1"/>
  <c r="B4127" i="4" s="1"/>
  <c r="B4128" i="4" s="1"/>
  <c r="B4129" i="4" s="1"/>
  <c r="B4130" i="4" s="1"/>
  <c r="B4131" i="4" s="1"/>
  <c r="B4132" i="4" s="1"/>
  <c r="B4133" i="4" s="1"/>
  <c r="B4134" i="4" s="1"/>
  <c r="B4135" i="4" s="1"/>
  <c r="B4136" i="4" s="1"/>
  <c r="B4137" i="4" s="1"/>
  <c r="B4138" i="4" s="1"/>
  <c r="B4139" i="4" s="1"/>
  <c r="B4140" i="4" s="1"/>
  <c r="B4141" i="4" s="1"/>
  <c r="B4142" i="4" s="1"/>
  <c r="B4143" i="4" s="1"/>
  <c r="B4144" i="4" s="1"/>
  <c r="B4145" i="4" s="1"/>
  <c r="B4146" i="4" s="1"/>
  <c r="B4147" i="4" s="1"/>
  <c r="B4148" i="4" s="1"/>
  <c r="B4149" i="4" s="1"/>
  <c r="B4150" i="4" s="1"/>
  <c r="B4151" i="4" s="1"/>
  <c r="B4152" i="4" s="1"/>
  <c r="B4153" i="4" s="1"/>
  <c r="B4154" i="4" s="1"/>
  <c r="B4155" i="4" s="1"/>
  <c r="B4156" i="4" s="1"/>
  <c r="B4157" i="4" s="1"/>
  <c r="B4158" i="4" s="1"/>
  <c r="B4159" i="4" s="1"/>
  <c r="B4160" i="4" s="1"/>
  <c r="B4161" i="4" s="1"/>
  <c r="B4162" i="4" s="1"/>
  <c r="B4163" i="4" s="1"/>
  <c r="B4164" i="4" s="1"/>
  <c r="B4165" i="4" s="1"/>
  <c r="B4166" i="4" s="1"/>
  <c r="B4167" i="4" s="1"/>
  <c r="B4168" i="4" s="1"/>
  <c r="B4169" i="4" s="1"/>
  <c r="B4170" i="4" s="1"/>
  <c r="B4171" i="4" s="1"/>
  <c r="B4172" i="4" s="1"/>
  <c r="B4173" i="4" s="1"/>
  <c r="B4174" i="4" s="1"/>
  <c r="B4175" i="4" s="1"/>
  <c r="B4176" i="4" s="1"/>
  <c r="B4177" i="4" s="1"/>
  <c r="B4178" i="4" s="1"/>
  <c r="B4179" i="4" s="1"/>
  <c r="B4180" i="4" s="1"/>
  <c r="B4181" i="4" s="1"/>
  <c r="B4182" i="4" s="1"/>
  <c r="B4183" i="4" s="1"/>
  <c r="B4184" i="4" s="1"/>
  <c r="B4185" i="4" s="1"/>
  <c r="B4186" i="4" s="1"/>
  <c r="B4187" i="4" s="1"/>
  <c r="B4188" i="4" s="1"/>
  <c r="B4189" i="4" s="1"/>
  <c r="B4190" i="4" s="1"/>
  <c r="B4191" i="4" s="1"/>
  <c r="B4192" i="4" s="1"/>
  <c r="B4193" i="4" s="1"/>
  <c r="B4194" i="4" s="1"/>
  <c r="B4195" i="4" s="1"/>
  <c r="B4196" i="4" s="1"/>
  <c r="B4197" i="4" s="1"/>
  <c r="B4198" i="4" s="1"/>
  <c r="B4199" i="4" s="1"/>
  <c r="B4200" i="4" s="1"/>
  <c r="B4201" i="4" s="1"/>
  <c r="B4202" i="4" s="1"/>
  <c r="B4203" i="4" s="1"/>
  <c r="B4204" i="4" s="1"/>
  <c r="B4205" i="4" s="1"/>
  <c r="B4206" i="4" s="1"/>
  <c r="B4207" i="4" s="1"/>
  <c r="B4208" i="4" s="1"/>
  <c r="B4209" i="4" s="1"/>
  <c r="B4210" i="4" s="1"/>
  <c r="B4211" i="4" s="1"/>
  <c r="B4212" i="4" s="1"/>
  <c r="B4213" i="4" s="1"/>
  <c r="B4214" i="4" s="1"/>
  <c r="B4215" i="4" s="1"/>
  <c r="B4216" i="4" s="1"/>
  <c r="B4217" i="4" s="1"/>
  <c r="B4218" i="4" s="1"/>
  <c r="B4219" i="4" s="1"/>
  <c r="B4220" i="4" s="1"/>
  <c r="B4221" i="4" s="1"/>
  <c r="B4222" i="4" s="1"/>
  <c r="B4223" i="4" s="1"/>
  <c r="B4224" i="4" s="1"/>
  <c r="B4225" i="4" s="1"/>
  <c r="B4226" i="4" s="1"/>
  <c r="B4227" i="4" s="1"/>
  <c r="B4228" i="4" s="1"/>
  <c r="B4229" i="4" s="1"/>
  <c r="B4230" i="4" s="1"/>
  <c r="B4231" i="4" s="1"/>
  <c r="B4232" i="4" s="1"/>
  <c r="B4233" i="4" s="1"/>
  <c r="B4234" i="4" s="1"/>
  <c r="B4235" i="4" s="1"/>
  <c r="B4236" i="4" s="1"/>
  <c r="B4237" i="4" s="1"/>
  <c r="B4238" i="4" s="1"/>
  <c r="B4239" i="4" s="1"/>
  <c r="B4240" i="4" s="1"/>
  <c r="B4241" i="4" s="1"/>
  <c r="B4242" i="4" s="1"/>
  <c r="B4243" i="4" s="1"/>
  <c r="B4244" i="4" s="1"/>
  <c r="B4245" i="4" s="1"/>
  <c r="B4246" i="4" s="1"/>
  <c r="B4247" i="4" s="1"/>
  <c r="B4248" i="4" s="1"/>
  <c r="B4249" i="4" s="1"/>
  <c r="B4250" i="4" s="1"/>
  <c r="B4251" i="4" s="1"/>
  <c r="B4252" i="4" s="1"/>
  <c r="B4253" i="4" s="1"/>
  <c r="B4254" i="4" s="1"/>
  <c r="B4255" i="4" s="1"/>
  <c r="B4256" i="4" s="1"/>
  <c r="B4257" i="4" s="1"/>
  <c r="B4258" i="4" s="1"/>
  <c r="B4259" i="4" s="1"/>
  <c r="B4260" i="4" s="1"/>
  <c r="B4261" i="4" s="1"/>
  <c r="B4262" i="4" s="1"/>
  <c r="B4263" i="4" s="1"/>
  <c r="B4264" i="4" s="1"/>
  <c r="B4265" i="4" s="1"/>
  <c r="B4266" i="4" s="1"/>
  <c r="B4267" i="4" s="1"/>
  <c r="B4268" i="4" s="1"/>
  <c r="B4269" i="4" s="1"/>
  <c r="B4270" i="4" s="1"/>
  <c r="B4271" i="4" s="1"/>
  <c r="B4272" i="4" s="1"/>
  <c r="B4273" i="4" s="1"/>
  <c r="B4274" i="4" s="1"/>
  <c r="B4275" i="4" s="1"/>
  <c r="B4276" i="4" s="1"/>
  <c r="B4277" i="4" s="1"/>
  <c r="B4278" i="4" s="1"/>
  <c r="B4279" i="4" s="1"/>
  <c r="B4280" i="4" s="1"/>
  <c r="B4281" i="4" s="1"/>
  <c r="B4282" i="4" s="1"/>
  <c r="B4283" i="4" s="1"/>
  <c r="B4284" i="4" s="1"/>
  <c r="B4285" i="4" s="1"/>
  <c r="B4286" i="4" s="1"/>
  <c r="B4287" i="4" s="1"/>
  <c r="B4288" i="4" s="1"/>
  <c r="B4289" i="4" s="1"/>
  <c r="B4290" i="4" s="1"/>
  <c r="B4291" i="4" s="1"/>
  <c r="B4292" i="4" s="1"/>
  <c r="B4293" i="4" s="1"/>
  <c r="B4294" i="4" s="1"/>
  <c r="B4295" i="4" s="1"/>
  <c r="B4296" i="4" s="1"/>
  <c r="B4297" i="4" s="1"/>
  <c r="B4298" i="4" s="1"/>
  <c r="B4299" i="4" s="1"/>
  <c r="B4300" i="4" s="1"/>
  <c r="B4301" i="4" s="1"/>
  <c r="B4302" i="4" s="1"/>
  <c r="B4303" i="4" s="1"/>
  <c r="B4304" i="4" s="1"/>
  <c r="B4305" i="4" s="1"/>
  <c r="B4306" i="4" s="1"/>
  <c r="B4307" i="4" s="1"/>
  <c r="B4308" i="4" s="1"/>
  <c r="B4309" i="4" s="1"/>
  <c r="B4310" i="4" s="1"/>
  <c r="B4311" i="4" s="1"/>
  <c r="B4312" i="4" s="1"/>
  <c r="B4313" i="4" s="1"/>
  <c r="B4314" i="4" s="1"/>
  <c r="B4315" i="4" s="1"/>
  <c r="B4316" i="4" s="1"/>
  <c r="B4317" i="4" s="1"/>
  <c r="B4318" i="4" s="1"/>
  <c r="B4319" i="4" s="1"/>
  <c r="B4320" i="4" s="1"/>
  <c r="B4321" i="4" s="1"/>
  <c r="B4322" i="4" s="1"/>
  <c r="B4323" i="4" s="1"/>
  <c r="B4324" i="4" s="1"/>
  <c r="B4325" i="4" s="1"/>
  <c r="B4326" i="4" s="1"/>
  <c r="B4327" i="4" s="1"/>
  <c r="B4328" i="4" s="1"/>
  <c r="B4329" i="4" s="1"/>
  <c r="B4330" i="4" s="1"/>
  <c r="B4331" i="4" s="1"/>
  <c r="B4332" i="4" s="1"/>
  <c r="B4333" i="4" s="1"/>
  <c r="B4334" i="4" s="1"/>
  <c r="B4335" i="4" s="1"/>
  <c r="B4336" i="4" s="1"/>
  <c r="B4337" i="4" s="1"/>
  <c r="B4338" i="4" s="1"/>
  <c r="B4339" i="4" s="1"/>
  <c r="B4340" i="4" s="1"/>
  <c r="B4341" i="4" s="1"/>
  <c r="B4342" i="4" s="1"/>
  <c r="B4343" i="4" s="1"/>
  <c r="B4344" i="4" s="1"/>
  <c r="B4345" i="4" s="1"/>
  <c r="B4346" i="4" s="1"/>
  <c r="B4347" i="4" s="1"/>
  <c r="B4348" i="4" s="1"/>
  <c r="B4349" i="4" s="1"/>
  <c r="B4350" i="4" s="1"/>
  <c r="B4351" i="4" s="1"/>
  <c r="B4352" i="4" s="1"/>
  <c r="B4353" i="4" s="1"/>
  <c r="B4354" i="4" s="1"/>
  <c r="B4355" i="4" s="1"/>
  <c r="B4356" i="4" s="1"/>
  <c r="B4357" i="4" s="1"/>
  <c r="B4358" i="4" s="1"/>
  <c r="B4359" i="4" s="1"/>
  <c r="B4360" i="4" s="1"/>
  <c r="B4361" i="4" s="1"/>
  <c r="B4362" i="4" s="1"/>
  <c r="B4363" i="4" s="1"/>
  <c r="B4364" i="4" s="1"/>
  <c r="B4365" i="4" s="1"/>
  <c r="B4366" i="4" s="1"/>
  <c r="B4367" i="4" s="1"/>
  <c r="B4368" i="4" s="1"/>
  <c r="B4369" i="4" s="1"/>
  <c r="B4370" i="4" s="1"/>
  <c r="B4371" i="4" s="1"/>
  <c r="B4372" i="4" s="1"/>
  <c r="B4373" i="4" s="1"/>
  <c r="B4374" i="4" s="1"/>
  <c r="B4375" i="4" s="1"/>
  <c r="B4376" i="4" s="1"/>
  <c r="B4377" i="4" s="1"/>
  <c r="B4378" i="4" s="1"/>
  <c r="B4379" i="4" s="1"/>
  <c r="B4380" i="4" s="1"/>
  <c r="B4381" i="4" s="1"/>
  <c r="B4382" i="4" s="1"/>
  <c r="B4383" i="4" s="1"/>
  <c r="B4384" i="4" s="1"/>
  <c r="B4385" i="4" s="1"/>
  <c r="B4386" i="4" s="1"/>
  <c r="B4387" i="4" s="1"/>
  <c r="B4388" i="4" s="1"/>
  <c r="B4389" i="4" s="1"/>
  <c r="B4390" i="4" s="1"/>
  <c r="B4391" i="4" s="1"/>
  <c r="B4392" i="4" s="1"/>
  <c r="B4393" i="4" s="1"/>
  <c r="B4394" i="4" s="1"/>
  <c r="B4395" i="4" s="1"/>
  <c r="B4396" i="4" s="1"/>
  <c r="B4397" i="4" s="1"/>
  <c r="B4398" i="4" s="1"/>
  <c r="B4399" i="4" s="1"/>
  <c r="B4400" i="4" s="1"/>
  <c r="B4401" i="4" s="1"/>
  <c r="B4402" i="4" s="1"/>
  <c r="B4403" i="4" s="1"/>
  <c r="B4404" i="4" s="1"/>
  <c r="B4405" i="4" s="1"/>
  <c r="B4406" i="4" s="1"/>
  <c r="B4407" i="4" s="1"/>
  <c r="B4408" i="4" s="1"/>
  <c r="B4409" i="4" s="1"/>
  <c r="B4410" i="4" s="1"/>
  <c r="B4411" i="4" s="1"/>
  <c r="B4412" i="4" s="1"/>
  <c r="B4413" i="4" s="1"/>
  <c r="B4414" i="4" s="1"/>
  <c r="B4415" i="4" s="1"/>
  <c r="B4416" i="4" s="1"/>
  <c r="B4417" i="4" s="1"/>
  <c r="B4418" i="4" s="1"/>
  <c r="B4419" i="4" s="1"/>
  <c r="B4420" i="4" s="1"/>
  <c r="B4421" i="4" s="1"/>
  <c r="B4422" i="4" s="1"/>
  <c r="B4423" i="4" s="1"/>
  <c r="B4424" i="4" s="1"/>
  <c r="B4425" i="4" s="1"/>
  <c r="B4426" i="4" s="1"/>
  <c r="B4427" i="4" s="1"/>
  <c r="B4428" i="4" s="1"/>
  <c r="B4429" i="4" s="1"/>
  <c r="B4430" i="4" s="1"/>
  <c r="B4431" i="4" s="1"/>
  <c r="B4432" i="4" s="1"/>
  <c r="B4433" i="4" s="1"/>
  <c r="B4434" i="4" s="1"/>
  <c r="B4435" i="4" s="1"/>
  <c r="B4436" i="4" s="1"/>
  <c r="B4437" i="4" s="1"/>
  <c r="B4438" i="4" s="1"/>
  <c r="B4439" i="4" s="1"/>
  <c r="B4440" i="4" s="1"/>
  <c r="B4441" i="4" s="1"/>
  <c r="B4442" i="4" s="1"/>
  <c r="B4443" i="4" s="1"/>
  <c r="B4444" i="4" s="1"/>
  <c r="B4445" i="4" s="1"/>
  <c r="B4446" i="4" s="1"/>
  <c r="B4447" i="4" s="1"/>
  <c r="B4448" i="4" s="1"/>
  <c r="B4449" i="4" s="1"/>
  <c r="B4450" i="4" s="1"/>
  <c r="B4451" i="4" s="1"/>
  <c r="B4452" i="4" s="1"/>
  <c r="B4453" i="4" s="1"/>
  <c r="B4454" i="4" s="1"/>
  <c r="B4455" i="4" s="1"/>
  <c r="B4456" i="4" s="1"/>
  <c r="B4457" i="4" s="1"/>
  <c r="B4458" i="4" s="1"/>
  <c r="B4459" i="4" s="1"/>
  <c r="B4460" i="4" s="1"/>
  <c r="B4461" i="4" s="1"/>
  <c r="B4462" i="4" s="1"/>
  <c r="B4463" i="4" s="1"/>
  <c r="B4464" i="4" s="1"/>
  <c r="B4465" i="4" s="1"/>
  <c r="B4466" i="4" s="1"/>
  <c r="B4467" i="4" s="1"/>
  <c r="B4468" i="4" s="1"/>
  <c r="B4469" i="4" s="1"/>
  <c r="B4470" i="4" s="1"/>
  <c r="B4471" i="4" s="1"/>
  <c r="B4472" i="4" s="1"/>
  <c r="B4473" i="4" s="1"/>
  <c r="B4474" i="4" s="1"/>
  <c r="B4475" i="4" s="1"/>
  <c r="B4476" i="4" s="1"/>
  <c r="B4477" i="4" s="1"/>
  <c r="B4478" i="4" s="1"/>
  <c r="B4479" i="4" s="1"/>
  <c r="B4480" i="4" s="1"/>
  <c r="B4481" i="4" s="1"/>
  <c r="B4482" i="4" s="1"/>
  <c r="B4483" i="4" s="1"/>
  <c r="B4484" i="4" s="1"/>
  <c r="B4485" i="4" s="1"/>
  <c r="B4486" i="4" s="1"/>
  <c r="B4487" i="4" s="1"/>
  <c r="B4488" i="4" s="1"/>
  <c r="B4489" i="4" s="1"/>
  <c r="B4490" i="4" s="1"/>
  <c r="B4491" i="4" s="1"/>
  <c r="B4492" i="4" s="1"/>
  <c r="B4493" i="4" s="1"/>
  <c r="B4494" i="4" s="1"/>
  <c r="B4495" i="4" s="1"/>
  <c r="B4496" i="4" s="1"/>
  <c r="B4497" i="4" s="1"/>
  <c r="B4498" i="4" s="1"/>
  <c r="B4499" i="4" s="1"/>
  <c r="B4500" i="4" s="1"/>
  <c r="B4501" i="4" s="1"/>
  <c r="B4502" i="4" s="1"/>
  <c r="B4503" i="4" s="1"/>
  <c r="B4504" i="4" s="1"/>
  <c r="B4505" i="4" s="1"/>
  <c r="B4506" i="4" s="1"/>
  <c r="B4507" i="4" s="1"/>
  <c r="B4508" i="4" s="1"/>
  <c r="B4509" i="4" s="1"/>
  <c r="B4510" i="4" s="1"/>
  <c r="B4511" i="4" s="1"/>
  <c r="B4512" i="4" s="1"/>
  <c r="B4513" i="4" s="1"/>
  <c r="B4514" i="4" s="1"/>
  <c r="B4515" i="4" s="1"/>
  <c r="B4516" i="4" s="1"/>
  <c r="B4517" i="4" s="1"/>
  <c r="B4518" i="4" s="1"/>
  <c r="B4519" i="4" s="1"/>
  <c r="B4520" i="4" s="1"/>
  <c r="B4521" i="4" s="1"/>
  <c r="B4522" i="4" s="1"/>
  <c r="B4523" i="4" s="1"/>
  <c r="B4524" i="4" s="1"/>
  <c r="B4525" i="4" s="1"/>
  <c r="B4526" i="4" s="1"/>
  <c r="B4527" i="4" s="1"/>
  <c r="B4528" i="4" s="1"/>
  <c r="B4529" i="4" s="1"/>
  <c r="B4530" i="4" s="1"/>
  <c r="B4531" i="4" s="1"/>
  <c r="B4532" i="4" s="1"/>
  <c r="B4533" i="4" s="1"/>
  <c r="B4534" i="4" s="1"/>
  <c r="B4535" i="4" s="1"/>
  <c r="B4536" i="4" s="1"/>
  <c r="B4537" i="4" s="1"/>
  <c r="B4538" i="4" s="1"/>
  <c r="B4539" i="4" s="1"/>
  <c r="B4540" i="4" s="1"/>
  <c r="B4541" i="4" s="1"/>
  <c r="B4542" i="4" s="1"/>
  <c r="B4543" i="4" s="1"/>
  <c r="B4544" i="4" s="1"/>
  <c r="B4545" i="4" s="1"/>
  <c r="B4546" i="4" s="1"/>
  <c r="B4547" i="4" s="1"/>
  <c r="B4548" i="4" s="1"/>
  <c r="B4549" i="4" s="1"/>
  <c r="B4550" i="4" s="1"/>
  <c r="B4551" i="4" s="1"/>
  <c r="B4552" i="4" s="1"/>
  <c r="B4553" i="4" s="1"/>
  <c r="B4554" i="4" s="1"/>
  <c r="B4555" i="4" s="1"/>
  <c r="B4556" i="4" s="1"/>
  <c r="B4557" i="4" s="1"/>
  <c r="B4558" i="4" s="1"/>
  <c r="B4559" i="4" s="1"/>
  <c r="B4560" i="4" s="1"/>
  <c r="B4561" i="4" s="1"/>
  <c r="B4562" i="4" s="1"/>
  <c r="B4563" i="4" s="1"/>
  <c r="B4564" i="4" s="1"/>
  <c r="B4565" i="4" s="1"/>
  <c r="B4566" i="4" s="1"/>
  <c r="B4567" i="4" s="1"/>
  <c r="B4568" i="4" s="1"/>
  <c r="B4569" i="4" s="1"/>
  <c r="B4570" i="4" s="1"/>
  <c r="B4571" i="4" s="1"/>
  <c r="B4572" i="4" s="1"/>
  <c r="B4573" i="4" s="1"/>
  <c r="B4574" i="4" s="1"/>
  <c r="B4575" i="4" s="1"/>
  <c r="B4576" i="4" s="1"/>
  <c r="B4577" i="4" s="1"/>
  <c r="B4578" i="4" s="1"/>
  <c r="B4579" i="4" s="1"/>
  <c r="B4580" i="4" s="1"/>
  <c r="B4581" i="4" s="1"/>
  <c r="B4582" i="4" s="1"/>
  <c r="B4583" i="4" s="1"/>
  <c r="B4584" i="4" s="1"/>
  <c r="B4585" i="4" s="1"/>
  <c r="B4586" i="4" s="1"/>
  <c r="B4587" i="4" s="1"/>
  <c r="B4588" i="4" s="1"/>
  <c r="B4589" i="4" s="1"/>
  <c r="B4590" i="4" s="1"/>
  <c r="B4591" i="4" s="1"/>
  <c r="B4592" i="4" s="1"/>
  <c r="B4593" i="4" s="1"/>
  <c r="B4594" i="4" s="1"/>
  <c r="B4595" i="4" s="1"/>
  <c r="B4596" i="4" s="1"/>
  <c r="B4597" i="4" s="1"/>
  <c r="B4598" i="4" s="1"/>
  <c r="B4599" i="4" s="1"/>
  <c r="B4600" i="4" s="1"/>
  <c r="B4601" i="4" s="1"/>
  <c r="B4602" i="4" s="1"/>
  <c r="B4603" i="4" s="1"/>
  <c r="B4604" i="4" s="1"/>
  <c r="B4605" i="4" s="1"/>
  <c r="B4606" i="4" s="1"/>
  <c r="B4607" i="4" s="1"/>
  <c r="B4608" i="4" s="1"/>
  <c r="B4609" i="4" s="1"/>
  <c r="B4610" i="4" s="1"/>
  <c r="B4611" i="4" s="1"/>
  <c r="B4612" i="4" s="1"/>
  <c r="B4613" i="4" s="1"/>
  <c r="B4614" i="4" s="1"/>
  <c r="B4615" i="4" s="1"/>
  <c r="B4616" i="4" s="1"/>
  <c r="B4617" i="4" s="1"/>
  <c r="B4618" i="4" s="1"/>
  <c r="B4619" i="4" s="1"/>
  <c r="B4620" i="4" s="1"/>
  <c r="B4621" i="4" s="1"/>
  <c r="B4622" i="4" s="1"/>
  <c r="B4623" i="4" s="1"/>
  <c r="B4624" i="4" s="1"/>
  <c r="B4625" i="4" s="1"/>
  <c r="B4626" i="4" s="1"/>
  <c r="B4627" i="4" s="1"/>
  <c r="B4628" i="4" s="1"/>
  <c r="B4629" i="4" s="1"/>
  <c r="B4630" i="4" s="1"/>
  <c r="B4631" i="4" s="1"/>
  <c r="B4632" i="4" s="1"/>
  <c r="B4633" i="4" s="1"/>
  <c r="B4634" i="4" s="1"/>
  <c r="B4635" i="4" s="1"/>
  <c r="B4636" i="4" s="1"/>
  <c r="B4637" i="4" s="1"/>
  <c r="B4638" i="4" s="1"/>
  <c r="B4639" i="4" s="1"/>
  <c r="B4640" i="4" s="1"/>
  <c r="B4641" i="4" s="1"/>
  <c r="B4642" i="4" s="1"/>
  <c r="B4643" i="4" s="1"/>
  <c r="B4644" i="4" s="1"/>
  <c r="B4645" i="4" s="1"/>
  <c r="B4646" i="4" s="1"/>
  <c r="B4647" i="4" s="1"/>
  <c r="B4648" i="4" s="1"/>
  <c r="B4649" i="4" s="1"/>
  <c r="B4650" i="4" s="1"/>
  <c r="B4651" i="4" s="1"/>
  <c r="B4652" i="4" s="1"/>
  <c r="B4653" i="4" s="1"/>
  <c r="B4654" i="4" s="1"/>
  <c r="B4655" i="4" s="1"/>
  <c r="B4656" i="4" s="1"/>
  <c r="B4657" i="4" s="1"/>
  <c r="B4658" i="4" s="1"/>
  <c r="B4659" i="4" s="1"/>
  <c r="B4660" i="4" s="1"/>
  <c r="B4661" i="4" s="1"/>
  <c r="B4662" i="4" s="1"/>
  <c r="B4663" i="4" s="1"/>
  <c r="B4664" i="4" s="1"/>
  <c r="B4665" i="4" s="1"/>
  <c r="B4666" i="4" s="1"/>
  <c r="B4667" i="4" s="1"/>
  <c r="B4668" i="4" s="1"/>
  <c r="B4669" i="4" s="1"/>
  <c r="B4670" i="4" s="1"/>
  <c r="B4671" i="4" s="1"/>
  <c r="B4672" i="4" s="1"/>
  <c r="B4673" i="4" s="1"/>
  <c r="B4674" i="4" s="1"/>
  <c r="B4675" i="4" s="1"/>
  <c r="B4676" i="4" s="1"/>
  <c r="B4677" i="4" s="1"/>
  <c r="B4678" i="4" s="1"/>
  <c r="B4679" i="4" s="1"/>
  <c r="B4680" i="4" s="1"/>
  <c r="B4681" i="4" s="1"/>
  <c r="B4682" i="4" s="1"/>
  <c r="B4683" i="4" s="1"/>
  <c r="B4684" i="4" s="1"/>
  <c r="B4685" i="4" s="1"/>
  <c r="B4686" i="4" s="1"/>
  <c r="B4687" i="4" s="1"/>
  <c r="B4688" i="4" s="1"/>
  <c r="B4689" i="4" s="1"/>
  <c r="B4690" i="4" s="1"/>
  <c r="B4691" i="4" s="1"/>
  <c r="B4692" i="4" s="1"/>
  <c r="B4693" i="4" s="1"/>
  <c r="B4694" i="4" s="1"/>
  <c r="B4695" i="4" s="1"/>
  <c r="B4696" i="4" s="1"/>
  <c r="B4697" i="4" s="1"/>
  <c r="B4698" i="4" s="1"/>
  <c r="B4699" i="4" s="1"/>
  <c r="B4700" i="4" s="1"/>
  <c r="B4701" i="4" s="1"/>
  <c r="B4702" i="4" s="1"/>
  <c r="B4703" i="4" s="1"/>
  <c r="B4704" i="4" s="1"/>
  <c r="B4705" i="4" s="1"/>
  <c r="B4706" i="4" s="1"/>
  <c r="B4707" i="4" s="1"/>
  <c r="B4708" i="4" s="1"/>
  <c r="B4709" i="4" s="1"/>
  <c r="B4710" i="4" s="1"/>
  <c r="B4711" i="4" s="1"/>
  <c r="B4712" i="4" s="1"/>
  <c r="B4713" i="4" s="1"/>
  <c r="B4714" i="4" s="1"/>
  <c r="B4715" i="4" s="1"/>
  <c r="B4716" i="4" s="1"/>
  <c r="B4717" i="4" s="1"/>
  <c r="B4718" i="4" s="1"/>
  <c r="B4719" i="4" s="1"/>
  <c r="B4720" i="4" s="1"/>
  <c r="B4721" i="4" s="1"/>
  <c r="B4722" i="4" s="1"/>
  <c r="B4723" i="4" s="1"/>
  <c r="B4724" i="4" s="1"/>
  <c r="B4725" i="4" s="1"/>
  <c r="B4726" i="4" s="1"/>
  <c r="B4727" i="4" s="1"/>
  <c r="B4728" i="4" s="1"/>
  <c r="B4729" i="4" s="1"/>
  <c r="B4730" i="4" s="1"/>
  <c r="B4731" i="4" s="1"/>
  <c r="B4732" i="4" s="1"/>
  <c r="B4733" i="4" s="1"/>
  <c r="B4734" i="4" s="1"/>
  <c r="B4735" i="4" s="1"/>
  <c r="B4736" i="4" s="1"/>
  <c r="B4737" i="4" s="1"/>
  <c r="B4738" i="4" s="1"/>
  <c r="B4739" i="4" s="1"/>
  <c r="B4740" i="4" s="1"/>
  <c r="B4741" i="4" s="1"/>
  <c r="B4742" i="4" s="1"/>
  <c r="B4743" i="4" s="1"/>
  <c r="B4744" i="4" s="1"/>
  <c r="B4745" i="4" s="1"/>
  <c r="B4746" i="4" s="1"/>
  <c r="B4747" i="4" s="1"/>
  <c r="B4748" i="4" s="1"/>
  <c r="B4749" i="4" s="1"/>
  <c r="B4750" i="4" s="1"/>
  <c r="B4751" i="4" s="1"/>
  <c r="B4752" i="4" s="1"/>
  <c r="B4753" i="4" s="1"/>
  <c r="B4754" i="4" s="1"/>
  <c r="B4755" i="4" s="1"/>
  <c r="B4756" i="4" s="1"/>
  <c r="B4757" i="4" s="1"/>
  <c r="B4758" i="4" s="1"/>
  <c r="B4759" i="4" s="1"/>
  <c r="B4760" i="4" s="1"/>
  <c r="B4761" i="4" s="1"/>
  <c r="B4762" i="4" s="1"/>
  <c r="B4763" i="4" s="1"/>
  <c r="B4764" i="4" s="1"/>
  <c r="B4765" i="4" s="1"/>
  <c r="B4766" i="4" s="1"/>
  <c r="B4767" i="4" s="1"/>
  <c r="B4768" i="4" s="1"/>
  <c r="B4769" i="4" s="1"/>
  <c r="B4770" i="4" s="1"/>
  <c r="B4771" i="4" s="1"/>
  <c r="B4772" i="4" s="1"/>
  <c r="B4773" i="4" s="1"/>
  <c r="B4774" i="4" s="1"/>
  <c r="B4775" i="4" s="1"/>
  <c r="B4776" i="4" s="1"/>
  <c r="B4777" i="4" s="1"/>
  <c r="B4778" i="4" s="1"/>
  <c r="B4779" i="4" s="1"/>
  <c r="B4780" i="4" s="1"/>
  <c r="B4781" i="4" s="1"/>
  <c r="B4782" i="4" s="1"/>
  <c r="B4783" i="4" s="1"/>
  <c r="B4784" i="4" s="1"/>
  <c r="B4785" i="4" s="1"/>
  <c r="B4786" i="4" s="1"/>
  <c r="B4787" i="4" s="1"/>
  <c r="B4788" i="4" s="1"/>
  <c r="B4789" i="4" s="1"/>
  <c r="B4790" i="4" s="1"/>
  <c r="B4791" i="4" s="1"/>
  <c r="B4792" i="4" s="1"/>
  <c r="B4793" i="4" s="1"/>
  <c r="B4794" i="4" s="1"/>
  <c r="B4795" i="4" s="1"/>
  <c r="B4796" i="4" s="1"/>
  <c r="B4797" i="4" s="1"/>
  <c r="B4798" i="4" s="1"/>
  <c r="B4799" i="4" s="1"/>
  <c r="B4800" i="4" s="1"/>
  <c r="B4801" i="4" s="1"/>
  <c r="B4802" i="4" s="1"/>
  <c r="B4803" i="4" s="1"/>
  <c r="B4804" i="4" s="1"/>
  <c r="B4805" i="4" s="1"/>
  <c r="B4806" i="4" s="1"/>
  <c r="B4807" i="4" s="1"/>
  <c r="B4808" i="4" s="1"/>
  <c r="B4809" i="4" s="1"/>
  <c r="B4810" i="4" s="1"/>
  <c r="B4811" i="4" s="1"/>
  <c r="B4812" i="4" s="1"/>
  <c r="B4813" i="4" s="1"/>
  <c r="B4814" i="4" s="1"/>
  <c r="B4815" i="4" s="1"/>
  <c r="B4816" i="4" s="1"/>
  <c r="B4817" i="4" s="1"/>
  <c r="B4818" i="4" s="1"/>
  <c r="B4819" i="4" s="1"/>
  <c r="B4820" i="4" s="1"/>
  <c r="B4821" i="4" s="1"/>
  <c r="B4822" i="4" s="1"/>
  <c r="B4823" i="4" s="1"/>
  <c r="B4824" i="4" s="1"/>
  <c r="B4825" i="4" s="1"/>
  <c r="B4826" i="4" s="1"/>
  <c r="B4827" i="4" s="1"/>
  <c r="B4828" i="4" s="1"/>
  <c r="B4829" i="4" s="1"/>
  <c r="B4830" i="4" s="1"/>
  <c r="B4831" i="4" s="1"/>
  <c r="B4832" i="4" s="1"/>
  <c r="B4833" i="4" s="1"/>
  <c r="B4834" i="4" s="1"/>
  <c r="B4835" i="4" s="1"/>
  <c r="B4836" i="4" s="1"/>
  <c r="B4837" i="4" s="1"/>
  <c r="B4838" i="4" s="1"/>
  <c r="B4839" i="4" s="1"/>
  <c r="B4840" i="4" s="1"/>
  <c r="B4841" i="4" s="1"/>
  <c r="B4842" i="4" s="1"/>
  <c r="B4843" i="4" s="1"/>
  <c r="B4844" i="4" s="1"/>
  <c r="B4845" i="4" s="1"/>
  <c r="B4846" i="4" s="1"/>
  <c r="B4847" i="4" s="1"/>
  <c r="B4848" i="4" s="1"/>
  <c r="B4849" i="4" s="1"/>
  <c r="B4850" i="4" s="1"/>
  <c r="B4851" i="4" s="1"/>
  <c r="B4852" i="4" s="1"/>
  <c r="B4853" i="4" s="1"/>
  <c r="B4854" i="4" s="1"/>
  <c r="B4855" i="4" s="1"/>
  <c r="B4856" i="4" s="1"/>
  <c r="B4857" i="4" s="1"/>
  <c r="B4858" i="4" s="1"/>
  <c r="B4859" i="4" s="1"/>
  <c r="B4860" i="4" s="1"/>
  <c r="B4861" i="4" s="1"/>
  <c r="B4862" i="4" s="1"/>
  <c r="B4863" i="4" s="1"/>
  <c r="B4864" i="4" s="1"/>
  <c r="B4865" i="4" s="1"/>
  <c r="B4866" i="4" s="1"/>
  <c r="B4867" i="4" s="1"/>
  <c r="B4868" i="4" s="1"/>
  <c r="B4869" i="4" s="1"/>
  <c r="B4870" i="4" s="1"/>
  <c r="B4871" i="4" s="1"/>
  <c r="B4872" i="4" s="1"/>
  <c r="B4873" i="4" s="1"/>
  <c r="B4874" i="4" s="1"/>
  <c r="B4875" i="4" s="1"/>
  <c r="B4876" i="4" s="1"/>
  <c r="B4877" i="4" s="1"/>
  <c r="B4878" i="4" s="1"/>
  <c r="B4879" i="4" s="1"/>
  <c r="B4880" i="4" s="1"/>
  <c r="B4881" i="4" s="1"/>
  <c r="B4882" i="4" s="1"/>
  <c r="B4883" i="4" s="1"/>
  <c r="B4884" i="4" s="1"/>
  <c r="B4885" i="4" s="1"/>
  <c r="B4886" i="4" s="1"/>
  <c r="B4887" i="4" s="1"/>
  <c r="B4888" i="4" s="1"/>
  <c r="B4889" i="4" s="1"/>
  <c r="B4890" i="4" s="1"/>
  <c r="B4891" i="4" s="1"/>
  <c r="B4892" i="4" s="1"/>
  <c r="B4893" i="4" s="1"/>
  <c r="B4894" i="4" s="1"/>
  <c r="B4895" i="4" s="1"/>
  <c r="B4896" i="4" s="1"/>
  <c r="B4897" i="4" s="1"/>
  <c r="B4898" i="4" s="1"/>
  <c r="B4899" i="4" s="1"/>
  <c r="B4900" i="4" s="1"/>
  <c r="B4901" i="4" s="1"/>
  <c r="B4902" i="4" s="1"/>
  <c r="B4903" i="4" s="1"/>
  <c r="B4904" i="4" s="1"/>
  <c r="B4905" i="4" s="1"/>
  <c r="B4906" i="4" s="1"/>
  <c r="B4907" i="4" s="1"/>
  <c r="B4908" i="4" s="1"/>
  <c r="B4909" i="4" s="1"/>
  <c r="B4910" i="4" s="1"/>
  <c r="B4911" i="4" s="1"/>
  <c r="B4912" i="4" s="1"/>
  <c r="B4913" i="4" s="1"/>
  <c r="B4914" i="4" s="1"/>
  <c r="B4915" i="4" s="1"/>
  <c r="B4916" i="4" s="1"/>
  <c r="B4917" i="4" s="1"/>
  <c r="B4918" i="4" s="1"/>
  <c r="B4919" i="4" s="1"/>
  <c r="B4920" i="4" s="1"/>
  <c r="B4921" i="4" s="1"/>
  <c r="B4922" i="4" s="1"/>
  <c r="B4923" i="4" s="1"/>
  <c r="B4924" i="4" s="1"/>
  <c r="B4925" i="4" s="1"/>
  <c r="B4926" i="4" s="1"/>
  <c r="B4927" i="4" s="1"/>
  <c r="B4928" i="4" s="1"/>
  <c r="B4929" i="4" s="1"/>
  <c r="B4930" i="4" s="1"/>
  <c r="B4931" i="4" s="1"/>
  <c r="B4932" i="4" s="1"/>
  <c r="B4933" i="4" s="1"/>
  <c r="B4934" i="4" s="1"/>
  <c r="B4935" i="4" s="1"/>
  <c r="B4936" i="4" s="1"/>
  <c r="B4937" i="4" s="1"/>
  <c r="B4938" i="4" s="1"/>
  <c r="B4939" i="4" s="1"/>
  <c r="B4940" i="4" s="1"/>
  <c r="B4941" i="4" s="1"/>
  <c r="B4942" i="4" s="1"/>
  <c r="B4943" i="4" s="1"/>
  <c r="B4944" i="4" s="1"/>
  <c r="B4945" i="4" s="1"/>
  <c r="B4946" i="4" s="1"/>
  <c r="B4947" i="4" s="1"/>
  <c r="B4948" i="4" s="1"/>
  <c r="B4949" i="4" s="1"/>
  <c r="B4950" i="4" s="1"/>
  <c r="B4951" i="4" s="1"/>
  <c r="B4952" i="4" s="1"/>
  <c r="B4953" i="4" s="1"/>
  <c r="B4954" i="4" s="1"/>
  <c r="B4955" i="4" s="1"/>
  <c r="B4956" i="4" s="1"/>
  <c r="B4957" i="4" s="1"/>
  <c r="B4958" i="4" s="1"/>
  <c r="B4959" i="4" s="1"/>
  <c r="B4960" i="4" s="1"/>
  <c r="B4961" i="4" s="1"/>
  <c r="B4962" i="4" s="1"/>
  <c r="B4963" i="4" s="1"/>
  <c r="B4964" i="4" s="1"/>
  <c r="B4965" i="4" s="1"/>
  <c r="B4966" i="4" s="1"/>
  <c r="B4967" i="4" s="1"/>
  <c r="B4968" i="4" s="1"/>
  <c r="B4969" i="4" s="1"/>
  <c r="B4970" i="4" s="1"/>
  <c r="B4971" i="4" s="1"/>
  <c r="B4972" i="4" s="1"/>
  <c r="B4973" i="4" s="1"/>
  <c r="B4974" i="4" s="1"/>
  <c r="B4975" i="4" s="1"/>
  <c r="B4976" i="4" s="1"/>
  <c r="B4977" i="4" s="1"/>
  <c r="B4978" i="4" s="1"/>
  <c r="B4979" i="4" s="1"/>
  <c r="B4980" i="4" s="1"/>
  <c r="B4981" i="4" s="1"/>
  <c r="B4982" i="4" s="1"/>
  <c r="B4983" i="4" s="1"/>
  <c r="B4984" i="4" s="1"/>
  <c r="B4985" i="4" s="1"/>
  <c r="B4986" i="4" s="1"/>
  <c r="B4987" i="4" s="1"/>
  <c r="B4988" i="4" s="1"/>
  <c r="B4989" i="4" s="1"/>
  <c r="B4990" i="4" s="1"/>
  <c r="B4991" i="4" s="1"/>
  <c r="B4992" i="4" s="1"/>
  <c r="B4993" i="4" s="1"/>
  <c r="B4994" i="4" s="1"/>
  <c r="B4995" i="4" s="1"/>
  <c r="B4996" i="4" s="1"/>
  <c r="B4997" i="4" s="1"/>
  <c r="B4998" i="4" s="1"/>
  <c r="B4999" i="4" s="1"/>
  <c r="B5000" i="4" s="1"/>
  <c r="B5001" i="4" s="1"/>
  <c r="B5002" i="4" s="1"/>
  <c r="B5003" i="4" s="1"/>
  <c r="B5004" i="4" s="1"/>
  <c r="B5005" i="4" s="1"/>
  <c r="B5006" i="4" s="1"/>
  <c r="B5007" i="4" s="1"/>
  <c r="B5008" i="4" s="1"/>
  <c r="B5009" i="4" s="1"/>
  <c r="B5010" i="4" s="1"/>
  <c r="B5011" i="4" s="1"/>
  <c r="B5012" i="4" s="1"/>
  <c r="B5013" i="4" s="1"/>
  <c r="B5014" i="4" s="1"/>
  <c r="B5015" i="4" s="1"/>
  <c r="G16" i="6" l="1"/>
  <c r="G15" i="6" a="1"/>
  <c r="G15" i="6" s="1"/>
  <c r="G39" i="6" s="1" a="1"/>
  <c r="G39" i="6" s="1"/>
  <c r="L4" i="4" s="1"/>
  <c r="L5" i="4" s="1"/>
  <c r="J3" i="4"/>
  <c r="AI6" i="5"/>
  <c r="AQ6" i="5" s="1"/>
  <c r="AE6" i="5"/>
  <c r="AM6" i="5" s="1"/>
  <c r="AA5" i="5" a="1"/>
  <c r="AA5" i="5" s="1"/>
  <c r="AB5" i="5" s="1"/>
  <c r="AE5" i="5"/>
  <c r="AM5" i="5" s="1"/>
  <c r="AA6" i="5" a="1"/>
  <c r="AA6" i="5" s="1"/>
  <c r="AB6" i="5" s="1"/>
  <c r="AC6" i="5" s="1"/>
  <c r="AK6" i="5" s="1"/>
  <c r="AS6" i="5" s="1"/>
  <c r="C2516" i="4" a="1"/>
  <c r="J4" i="4" l="1"/>
  <c r="J5" i="4" s="1"/>
  <c r="G17" i="6"/>
  <c r="D267" i="4" s="1"/>
  <c r="E267" i="4" s="1"/>
  <c r="D480" i="4"/>
  <c r="F480" i="4" s="1"/>
  <c r="D806" i="4"/>
  <c r="E806" i="4" s="1"/>
  <c r="D391" i="4"/>
  <c r="E391" i="4" s="1"/>
  <c r="D290" i="4"/>
  <c r="E290" i="4" s="1"/>
  <c r="D1077" i="4"/>
  <c r="F1077" i="4" s="1"/>
  <c r="D34" i="4"/>
  <c r="E34" i="4" s="1"/>
  <c r="D642" i="4"/>
  <c r="F642" i="4" s="1"/>
  <c r="D489" i="4"/>
  <c r="E489" i="4" s="1"/>
  <c r="D767" i="4"/>
  <c r="F767" i="4" s="1"/>
  <c r="D584" i="4"/>
  <c r="E584" i="4" s="1"/>
  <c r="D1650" i="4"/>
  <c r="F1650" i="4" s="1"/>
  <c r="D75" i="4"/>
  <c r="F75" i="4" s="1"/>
  <c r="D382" i="4"/>
  <c r="F382" i="4" s="1"/>
  <c r="D969" i="4"/>
  <c r="E969" i="4" s="1"/>
  <c r="D640" i="4"/>
  <c r="F640" i="4" s="1"/>
  <c r="D1356" i="4"/>
  <c r="F1356" i="4" s="1"/>
  <c r="D213" i="4"/>
  <c r="F213" i="4" s="1"/>
  <c r="D1347" i="4"/>
  <c r="F1347" i="4" s="1"/>
  <c r="D744" i="4"/>
  <c r="F744" i="4" s="1"/>
  <c r="D1628" i="4"/>
  <c r="F1628" i="4" s="1"/>
  <c r="D219" i="4"/>
  <c r="F219" i="4" s="1"/>
  <c r="D1132" i="4"/>
  <c r="F1132" i="4" s="1"/>
  <c r="D1731" i="4"/>
  <c r="F1731" i="4" s="1"/>
  <c r="D550" i="4"/>
  <c r="F550" i="4" s="1"/>
  <c r="D797" i="4"/>
  <c r="D828" i="4"/>
  <c r="F828" i="4" s="1"/>
  <c r="D1789" i="4"/>
  <c r="F1789" i="4" s="1"/>
  <c r="D1166" i="4"/>
  <c r="F1166" i="4" s="1"/>
  <c r="D132" i="4"/>
  <c r="F132" i="4" s="1"/>
  <c r="D416" i="4"/>
  <c r="F416" i="4" s="1"/>
  <c r="D891" i="4"/>
  <c r="F891" i="4" s="1"/>
  <c r="D583" i="4"/>
  <c r="F583" i="4" s="1"/>
  <c r="D601" i="4"/>
  <c r="F601" i="4" s="1"/>
  <c r="D956" i="4"/>
  <c r="F956" i="4" s="1"/>
  <c r="D1508" i="4"/>
  <c r="F1508" i="4" s="1"/>
  <c r="D2020" i="4"/>
  <c r="F2020" i="4" s="1"/>
  <c r="D746" i="4"/>
  <c r="F746" i="4" s="1"/>
  <c r="D1932" i="4"/>
  <c r="F1932" i="4" s="1"/>
  <c r="L6" i="4"/>
  <c r="K24" i="6" s="1"/>
  <c r="D770" i="4"/>
  <c r="F770" i="4" s="1"/>
  <c r="D517" i="4"/>
  <c r="F517" i="4" s="1"/>
  <c r="D606" i="4"/>
  <c r="F606" i="4" s="1"/>
  <c r="D434" i="4"/>
  <c r="F434" i="4" s="1"/>
  <c r="D949" i="4"/>
  <c r="F949" i="4" s="1"/>
  <c r="D189" i="4"/>
  <c r="F189" i="4" s="1"/>
  <c r="D717" i="4"/>
  <c r="F717" i="4" s="1"/>
  <c r="D1200" i="4"/>
  <c r="F1200" i="4" s="1"/>
  <c r="D1531" i="4"/>
  <c r="F1531" i="4" s="1"/>
  <c r="D903" i="4"/>
  <c r="F903" i="4" s="1"/>
  <c r="D1288" i="4"/>
  <c r="F1288" i="4" s="1"/>
  <c r="D1222" i="4"/>
  <c r="F1222" i="4" s="1"/>
  <c r="D1095" i="4"/>
  <c r="F1095" i="4" s="1"/>
  <c r="D1659" i="4"/>
  <c r="F1659" i="4" s="1"/>
  <c r="D1297" i="4"/>
  <c r="F1297" i="4" s="1"/>
  <c r="D1882" i="4"/>
  <c r="F1882" i="4" s="1"/>
  <c r="D1662" i="4"/>
  <c r="F1662" i="4" s="1"/>
  <c r="D1735" i="4"/>
  <c r="F1735" i="4" s="1"/>
  <c r="D2080" i="4"/>
  <c r="F2080" i="4" s="1"/>
  <c r="D457" i="4"/>
  <c r="F457" i="4" s="1"/>
  <c r="D449" i="4"/>
  <c r="F449" i="4" s="1"/>
  <c r="D340" i="4"/>
  <c r="F340" i="4" s="1"/>
  <c r="D1048" i="4"/>
  <c r="F1048" i="4" s="1"/>
  <c r="D459" i="4"/>
  <c r="F459" i="4" s="1"/>
  <c r="D2003" i="4"/>
  <c r="F2003" i="4" s="1"/>
  <c r="D2123" i="4"/>
  <c r="F2123" i="4" s="1"/>
  <c r="D2297" i="4"/>
  <c r="F2297" i="4" s="1"/>
  <c r="D2331" i="4"/>
  <c r="F2331" i="4" s="1"/>
  <c r="D2428" i="4"/>
  <c r="F2428" i="4" s="1"/>
  <c r="D2245" i="4"/>
  <c r="F2245" i="4" s="1"/>
  <c r="D1397" i="4"/>
  <c r="F1397" i="4" s="1"/>
  <c r="D2411" i="4"/>
  <c r="F2411" i="4" s="1"/>
  <c r="D2447" i="4"/>
  <c r="F2447" i="4" s="1"/>
  <c r="D2179" i="4"/>
  <c r="F2179" i="4" s="1"/>
  <c r="D2310" i="4"/>
  <c r="F2310" i="4" s="1"/>
  <c r="D2047" i="4"/>
  <c r="F2047" i="4" s="1"/>
  <c r="D2237" i="4"/>
  <c r="F2237" i="4" s="1"/>
  <c r="D1389" i="4"/>
  <c r="F1389" i="4" s="1"/>
  <c r="D2491" i="4"/>
  <c r="F2491" i="4" s="1"/>
  <c r="D2424" i="4"/>
  <c r="F2424" i="4" s="1"/>
  <c r="D1995" i="4"/>
  <c r="F1995" i="4" s="1"/>
  <c r="D2446" i="4"/>
  <c r="F2446" i="4" s="1"/>
  <c r="D2002" i="4"/>
  <c r="F2002" i="4" s="1"/>
  <c r="D2390" i="4"/>
  <c r="F2390" i="4" s="1"/>
  <c r="D1873" i="4"/>
  <c r="F1873" i="4" s="1"/>
  <c r="D2283" i="4"/>
  <c r="F2283" i="4" s="1"/>
  <c r="D2150" i="4"/>
  <c r="F2150" i="4" s="1"/>
  <c r="D1898" i="4"/>
  <c r="F1898" i="4" s="1"/>
  <c r="D2171" i="4"/>
  <c r="F2171" i="4" s="1"/>
  <c r="D2046" i="4"/>
  <c r="F2046" i="4" s="1"/>
  <c r="D1649" i="4"/>
  <c r="F1649" i="4" s="1"/>
  <c r="D1522" i="4"/>
  <c r="F1522" i="4" s="1"/>
  <c r="D2340" i="4"/>
  <c r="F2340" i="4" s="1"/>
  <c r="D2077" i="4"/>
  <c r="F2077" i="4" s="1"/>
  <c r="D1951" i="4"/>
  <c r="F1951" i="4" s="1"/>
  <c r="D1720" i="4"/>
  <c r="F1720" i="4" s="1"/>
  <c r="D1656" i="4"/>
  <c r="F1656" i="4" s="1"/>
  <c r="D2240" i="4"/>
  <c r="F2240" i="4" s="1"/>
  <c r="D2100" i="4"/>
  <c r="F2100" i="4" s="1"/>
  <c r="D1807" i="4"/>
  <c r="F1807" i="4" s="1"/>
  <c r="D1743" i="4"/>
  <c r="F1743" i="4" s="1"/>
  <c r="D1544" i="4"/>
  <c r="F1544" i="4" s="1"/>
  <c r="D2286" i="4"/>
  <c r="F2286" i="4" s="1"/>
  <c r="D2160" i="4"/>
  <c r="F2160" i="4" s="1"/>
  <c r="D2099" i="4"/>
  <c r="F2099" i="4" s="1"/>
  <c r="D1893" i="4"/>
  <c r="F1893" i="4" s="1"/>
  <c r="D1766" i="4"/>
  <c r="F1766" i="4" s="1"/>
  <c r="D2120" i="4"/>
  <c r="F2120" i="4" s="1"/>
  <c r="D2474" i="4"/>
  <c r="F2474" i="4" s="1"/>
  <c r="D2039" i="4"/>
  <c r="F2039" i="4" s="1"/>
  <c r="D78" i="4"/>
  <c r="F78" i="4" s="1"/>
  <c r="D2229" i="4"/>
  <c r="F2229" i="4" s="1"/>
  <c r="D2141" i="4"/>
  <c r="F2141" i="4" s="1"/>
  <c r="D2347" i="4"/>
  <c r="F2347" i="4" s="1"/>
  <c r="D2456" i="4"/>
  <c r="F2456" i="4" s="1"/>
  <c r="D2444" i="4"/>
  <c r="F2444" i="4" s="1"/>
  <c r="D2166" i="4"/>
  <c r="F2166" i="4" s="1"/>
  <c r="D1987" i="4"/>
  <c r="F1987" i="4" s="1"/>
  <c r="D1859" i="4"/>
  <c r="F1859" i="4" s="1"/>
  <c r="D2392" i="4"/>
  <c r="F2392" i="4" s="1"/>
  <c r="D2508" i="4"/>
  <c r="F2508" i="4" s="1"/>
  <c r="D1834" i="4"/>
  <c r="F1834" i="4" s="1"/>
  <c r="D2514" i="4"/>
  <c r="F2514" i="4" s="1"/>
  <c r="D2382" i="4"/>
  <c r="F2382" i="4" s="1"/>
  <c r="D2389" i="4"/>
  <c r="F2389" i="4" s="1"/>
  <c r="D2404" i="4"/>
  <c r="F2404" i="4" s="1"/>
  <c r="D2031" i="4"/>
  <c r="F2031" i="4" s="1"/>
  <c r="D62" i="4"/>
  <c r="F62" i="4" s="1"/>
  <c r="D2418" i="4"/>
  <c r="F2418" i="4" s="1"/>
  <c r="D1373" i="4"/>
  <c r="F1373" i="4" s="1"/>
  <c r="D2158" i="4"/>
  <c r="F2158" i="4" s="1"/>
  <c r="D2441" i="4"/>
  <c r="F2441" i="4" s="1"/>
  <c r="D2284" i="4"/>
  <c r="F2284" i="4" s="1"/>
  <c r="D2384" i="4"/>
  <c r="F2384" i="4" s="1"/>
  <c r="D1979" i="4"/>
  <c r="F1979" i="4" s="1"/>
  <c r="D2483" i="4"/>
  <c r="F2483" i="4" s="1"/>
  <c r="D2403" i="4"/>
  <c r="F2403" i="4" s="1"/>
  <c r="D2423" i="4"/>
  <c r="F2423" i="4" s="1"/>
  <c r="D1826" i="4"/>
  <c r="F1826" i="4" s="1"/>
  <c r="D2507" i="4"/>
  <c r="F2507" i="4" s="1"/>
  <c r="D2438" i="4"/>
  <c r="F2438" i="4" s="1"/>
  <c r="D2081" i="4"/>
  <c r="F2081" i="4" s="1"/>
  <c r="D1857" i="4"/>
  <c r="F1857" i="4" s="1"/>
  <c r="D2267" i="4"/>
  <c r="F2267" i="4" s="1"/>
  <c r="D2204" i="4"/>
  <c r="F2204" i="4" s="1"/>
  <c r="D2008" i="4"/>
  <c r="F2008" i="4" s="1"/>
  <c r="D1803" i="4"/>
  <c r="F1803" i="4" s="1"/>
  <c r="D2156" i="4"/>
  <c r="F2156" i="4" s="1"/>
  <c r="D2094" i="4"/>
  <c r="F2094" i="4" s="1"/>
  <c r="D1904" i="4"/>
  <c r="F1904" i="4" s="1"/>
  <c r="D1633" i="4"/>
  <c r="F1633" i="4" s="1"/>
  <c r="D1506" i="4"/>
  <c r="F1506" i="4" s="1"/>
  <c r="D1428" i="4"/>
  <c r="F1428" i="4" s="1"/>
  <c r="D2201" i="4"/>
  <c r="F2201" i="4" s="1"/>
  <c r="D2061" i="4"/>
  <c r="F2061" i="4" s="1"/>
  <c r="D1935" i="4"/>
  <c r="F1935" i="4" s="1"/>
  <c r="D1768" i="4"/>
  <c r="F1768" i="4" s="1"/>
  <c r="D1243" i="4"/>
  <c r="F1243" i="4" s="1"/>
  <c r="D2224" i="4"/>
  <c r="F2224" i="4" s="1"/>
  <c r="D2084" i="4"/>
  <c r="F2084" i="4" s="1"/>
  <c r="D1854" i="4"/>
  <c r="F1854" i="4" s="1"/>
  <c r="D2365" i="4"/>
  <c r="F2365" i="4" s="1"/>
  <c r="D2458" i="4"/>
  <c r="F2458" i="4" s="1"/>
  <c r="D2087" i="4"/>
  <c r="F2087" i="4" s="1"/>
  <c r="D2023" i="4"/>
  <c r="F2023" i="4" s="1"/>
  <c r="D2410" i="4"/>
  <c r="F2410" i="4" s="1"/>
  <c r="D2125" i="4"/>
  <c r="F2125" i="4" s="1"/>
  <c r="D2349" i="4"/>
  <c r="F2349" i="4" s="1"/>
  <c r="D1126" i="4"/>
  <c r="F1126" i="4" s="1"/>
  <c r="D2276" i="4"/>
  <c r="F2276" i="4" s="1"/>
  <c r="D254" i="4"/>
  <c r="F254" i="4" s="1"/>
  <c r="D2211" i="4"/>
  <c r="F2211" i="4" s="1"/>
  <c r="D1971" i="4"/>
  <c r="F1971" i="4" s="1"/>
  <c r="D2363" i="4"/>
  <c r="F2363" i="4" s="1"/>
  <c r="D2493" i="4"/>
  <c r="F2493" i="4" s="1"/>
  <c r="D2274" i="4"/>
  <c r="F2274" i="4" s="1"/>
  <c r="D1818" i="4"/>
  <c r="F1818" i="4" s="1"/>
  <c r="D2430" i="4"/>
  <c r="F2430" i="4" s="1"/>
  <c r="D2289" i="4"/>
  <c r="F2289" i="4" s="1"/>
  <c r="D2009" i="4"/>
  <c r="F2009" i="4" s="1"/>
  <c r="D1849" i="4"/>
  <c r="F1849" i="4" s="1"/>
  <c r="D2196" i="4"/>
  <c r="F2196" i="4" s="1"/>
  <c r="D2064" i="4"/>
  <c r="F2064" i="4" s="1"/>
  <c r="D1938" i="4"/>
  <c r="F1938" i="4" s="1"/>
  <c r="D1795" i="4"/>
  <c r="F1795" i="4" s="1"/>
  <c r="D2086" i="4"/>
  <c r="F2086" i="4" s="1"/>
  <c r="D1960" i="4"/>
  <c r="F1960" i="4" s="1"/>
  <c r="D1689" i="4"/>
  <c r="F1689" i="4" s="1"/>
  <c r="D1625" i="4"/>
  <c r="F1625" i="4" s="1"/>
  <c r="D2380" i="4"/>
  <c r="F2380" i="4" s="1"/>
  <c r="D2256" i="4"/>
  <c r="F2256" i="4" s="1"/>
  <c r="D2116" i="4"/>
  <c r="F2116" i="4" s="1"/>
  <c r="D2053" i="4"/>
  <c r="F2053" i="4" s="1"/>
  <c r="D1760" i="4"/>
  <c r="F1760" i="4" s="1"/>
  <c r="D1632" i="4"/>
  <c r="F1632" i="4" s="1"/>
  <c r="D2279" i="4"/>
  <c r="F2279" i="4" s="1"/>
  <c r="D2216" i="4"/>
  <c r="F2216" i="4" s="1"/>
  <c r="D1846" i="4"/>
  <c r="F1846" i="4" s="1"/>
  <c r="D1719" i="4"/>
  <c r="F1719" i="4" s="1"/>
  <c r="D1584" i="4"/>
  <c r="F1584" i="4" s="1"/>
  <c r="D1520" i="4"/>
  <c r="F1520" i="4" s="1"/>
  <c r="D2199" i="4"/>
  <c r="F2199" i="4" s="1"/>
  <c r="D2075" i="4"/>
  <c r="F2075" i="4" s="1"/>
  <c r="D1933" i="4"/>
  <c r="F1933" i="4" s="1"/>
  <c r="D1869" i="4"/>
  <c r="F1869" i="4" s="1"/>
  <c r="D2451" i="4"/>
  <c r="F2451" i="4" s="1"/>
  <c r="D2079" i="4"/>
  <c r="F2079" i="4" s="1"/>
  <c r="D1038" i="4"/>
  <c r="F1038" i="4" s="1"/>
  <c r="D2503" i="4"/>
  <c r="F2503" i="4" s="1"/>
  <c r="D1421" i="4"/>
  <c r="F1421" i="4" s="1"/>
  <c r="D2496" i="4"/>
  <c r="F2496" i="4" s="1"/>
  <c r="D30" i="4"/>
  <c r="F30" i="4" s="1"/>
  <c r="D2502" i="4"/>
  <c r="F2502" i="4" s="1"/>
  <c r="D22" i="4"/>
  <c r="F22" i="4" s="1"/>
  <c r="D2203" i="4"/>
  <c r="F2203" i="4" s="1"/>
  <c r="D1899" i="4"/>
  <c r="F1899" i="4" s="1"/>
  <c r="D2429" i="4"/>
  <c r="F2429" i="4" s="1"/>
  <c r="D2485" i="4"/>
  <c r="F2485" i="4" s="1"/>
  <c r="D2266" i="4"/>
  <c r="F2266" i="4" s="1"/>
  <c r="D446" i="4"/>
  <c r="F446" i="4" s="1"/>
  <c r="D2492" i="4"/>
  <c r="F2492" i="4" s="1"/>
  <c r="D2281" i="4"/>
  <c r="F2281" i="4" s="1"/>
  <c r="D1993" i="4"/>
  <c r="F1993" i="4" s="1"/>
  <c r="D2312" i="4"/>
  <c r="F2312" i="4" s="1"/>
  <c r="D2252" i="4"/>
  <c r="F2252" i="4" s="1"/>
  <c r="D2056" i="4"/>
  <c r="F2056" i="4" s="1"/>
  <c r="D1930" i="4"/>
  <c r="F1930" i="4" s="1"/>
  <c r="D2202" i="4"/>
  <c r="F2202" i="4" s="1"/>
  <c r="D2140" i="4"/>
  <c r="F2140" i="4" s="1"/>
  <c r="D1952" i="4"/>
  <c r="F1952" i="4" s="1"/>
  <c r="D1681" i="4"/>
  <c r="F1681" i="4" s="1"/>
  <c r="D1554" i="4"/>
  <c r="F1554" i="4" s="1"/>
  <c r="D1490" i="4"/>
  <c r="F1490" i="4" s="1"/>
  <c r="D2249" i="4"/>
  <c r="F2249" i="4" s="1"/>
  <c r="D2108" i="4"/>
  <c r="F2108" i="4" s="1"/>
  <c r="D1983" i="4"/>
  <c r="F1983" i="4" s="1"/>
  <c r="D1919" i="4"/>
  <c r="F1919" i="4" s="1"/>
  <c r="D1624" i="4"/>
  <c r="F1624" i="4" s="1"/>
  <c r="D2271" i="4"/>
  <c r="F2271" i="4" s="1"/>
  <c r="D2138" i="4"/>
  <c r="F2138" i="4" s="1"/>
  <c r="D2068" i="4"/>
  <c r="F2068" i="4" s="1"/>
  <c r="D1711" i="4"/>
  <c r="F1711" i="4" s="1"/>
  <c r="D1576" i="4"/>
  <c r="F1576" i="4" s="1"/>
  <c r="D2315" i="4"/>
  <c r="F2315" i="4" s="1"/>
  <c r="D2254" i="4"/>
  <c r="F2254" i="4" s="1"/>
  <c r="D2067" i="4"/>
  <c r="F2067" i="4" s="1"/>
  <c r="D1925" i="4"/>
  <c r="F1925" i="4" s="1"/>
  <c r="D2071" i="4"/>
  <c r="F2071" i="4" s="1"/>
  <c r="D2394" i="4"/>
  <c r="F2394" i="4" s="1"/>
  <c r="D2195" i="4"/>
  <c r="F2195" i="4" s="1"/>
  <c r="D2469" i="4"/>
  <c r="F2469" i="4" s="1"/>
  <c r="D2468" i="4"/>
  <c r="F2468" i="4" s="1"/>
  <c r="D2273" i="4"/>
  <c r="F2273" i="4" s="1"/>
  <c r="D2180" i="4"/>
  <c r="F2180" i="4" s="1"/>
  <c r="D1922" i="4"/>
  <c r="F1922" i="4" s="1"/>
  <c r="D2070" i="4"/>
  <c r="F2070" i="4" s="1"/>
  <c r="D1944" i="4"/>
  <c r="F1944" i="4" s="1"/>
  <c r="D2364" i="4"/>
  <c r="F2364" i="4" s="1"/>
  <c r="D2101" i="4"/>
  <c r="F2101" i="4" s="1"/>
  <c r="D1744" i="4"/>
  <c r="F1744" i="4" s="1"/>
  <c r="D1617" i="4"/>
  <c r="F1617" i="4" s="1"/>
  <c r="D1831" i="4"/>
  <c r="F1831" i="4" s="1"/>
  <c r="D1600" i="4"/>
  <c r="F1600" i="4" s="1"/>
  <c r="D2270" i="4"/>
  <c r="F2270" i="4" s="1"/>
  <c r="D2168" i="4"/>
  <c r="F2168" i="4" s="1"/>
  <c r="D1853" i="4"/>
  <c r="F1853" i="4" s="1"/>
  <c r="D2440" i="4"/>
  <c r="F2440" i="4" s="1"/>
  <c r="D2314" i="4"/>
  <c r="F2314" i="4" s="1"/>
  <c r="D2246" i="4"/>
  <c r="F2246" i="4" s="1"/>
  <c r="D2050" i="4"/>
  <c r="F2050" i="4" s="1"/>
  <c r="D1916" i="4"/>
  <c r="F1916" i="4" s="1"/>
  <c r="D1553" i="4"/>
  <c r="F1553" i="4" s="1"/>
  <c r="D1489" i="4"/>
  <c r="F1489" i="4" s="1"/>
  <c r="D1284" i="4"/>
  <c r="F1284" i="4" s="1"/>
  <c r="D1029" i="4"/>
  <c r="F1029" i="4" s="1"/>
  <c r="D1718" i="4"/>
  <c r="F1718" i="4" s="1"/>
  <c r="D1654" i="4"/>
  <c r="F1654" i="4" s="1"/>
  <c r="D1457" i="4"/>
  <c r="F1457" i="4" s="1"/>
  <c r="D1330" i="4"/>
  <c r="F1330" i="4" s="1"/>
  <c r="D1937" i="4"/>
  <c r="F1937" i="4" s="1"/>
  <c r="D1874" i="4"/>
  <c r="F1874" i="4" s="1"/>
  <c r="D1677" i="4"/>
  <c r="F1677" i="4" s="1"/>
  <c r="D2063" i="4"/>
  <c r="F2063" i="4" s="1"/>
  <c r="D2450" i="4"/>
  <c r="F2450" i="4" s="1"/>
  <c r="D2172" i="4"/>
  <c r="F2172" i="4" s="1"/>
  <c r="D2461" i="4"/>
  <c r="F2461" i="4" s="1"/>
  <c r="D2414" i="4"/>
  <c r="F2414" i="4" s="1"/>
  <c r="D1889" i="4"/>
  <c r="F1889" i="4" s="1"/>
  <c r="D2298" i="4"/>
  <c r="F2298" i="4" s="1"/>
  <c r="D1914" i="4"/>
  <c r="F1914" i="4" s="1"/>
  <c r="D2062" i="4"/>
  <c r="F2062" i="4" s="1"/>
  <c r="D1665" i="4"/>
  <c r="F1665" i="4" s="1"/>
  <c r="D1538" i="4"/>
  <c r="F1538" i="4" s="1"/>
  <c r="D2093" i="4"/>
  <c r="F2093" i="4" s="1"/>
  <c r="D1736" i="4"/>
  <c r="F1736" i="4" s="1"/>
  <c r="D2255" i="4"/>
  <c r="F2255" i="4" s="1"/>
  <c r="D2115" i="4"/>
  <c r="F2115" i="4" s="1"/>
  <c r="D1592" i="4"/>
  <c r="F1592" i="4" s="1"/>
  <c r="D2247" i="4"/>
  <c r="F2247" i="4" s="1"/>
  <c r="D2051" i="4"/>
  <c r="F2051" i="4" s="1"/>
  <c r="D1941" i="4"/>
  <c r="F1941" i="4" s="1"/>
  <c r="D2433" i="4"/>
  <c r="F2433" i="4" s="1"/>
  <c r="D2306" i="4"/>
  <c r="F2306" i="4" s="1"/>
  <c r="D2175" i="4"/>
  <c r="F2175" i="4" s="1"/>
  <c r="D2113" i="4"/>
  <c r="F2113" i="4" s="1"/>
  <c r="D2042" i="4"/>
  <c r="F2042" i="4" s="1"/>
  <c r="D1972" i="4"/>
  <c r="F1972" i="4" s="1"/>
  <c r="D1908" i="4"/>
  <c r="F1908" i="4" s="1"/>
  <c r="D1844" i="4"/>
  <c r="F1844" i="4" s="1"/>
  <c r="D1545" i="4"/>
  <c r="F1545" i="4" s="1"/>
  <c r="D1474" i="4"/>
  <c r="F1474" i="4" s="1"/>
  <c r="D1404" i="4"/>
  <c r="F1404" i="4" s="1"/>
  <c r="D1340" i="4"/>
  <c r="F1340" i="4" s="1"/>
  <c r="D1276" i="4"/>
  <c r="F1276" i="4" s="1"/>
  <c r="D1189" i="4"/>
  <c r="F1189" i="4" s="1"/>
  <c r="D1851" i="4"/>
  <c r="F1851" i="4" s="1"/>
  <c r="D1773" i="4"/>
  <c r="F1773" i="4" s="1"/>
  <c r="D1710" i="4"/>
  <c r="F1710" i="4" s="1"/>
  <c r="D1646" i="4"/>
  <c r="F1646" i="4" s="1"/>
  <c r="D1575" i="4"/>
  <c r="F1575" i="4" s="1"/>
  <c r="D1511" i="4"/>
  <c r="F1511" i="4" s="1"/>
  <c r="D1449" i="4"/>
  <c r="F1449" i="4" s="1"/>
  <c r="D1386" i="4"/>
  <c r="F1386" i="4" s="1"/>
  <c r="D1322" i="4"/>
  <c r="F1322" i="4" s="1"/>
  <c r="D1258" i="4"/>
  <c r="F1258" i="4" s="1"/>
  <c r="D1929" i="4"/>
  <c r="F1929" i="4" s="1"/>
  <c r="D1866" i="4"/>
  <c r="F1866" i="4" s="1"/>
  <c r="D1796" i="4"/>
  <c r="F1796" i="4" s="1"/>
  <c r="D1733" i="4"/>
  <c r="F1733" i="4" s="1"/>
  <c r="D1669" i="4"/>
  <c r="F1669" i="4" s="1"/>
  <c r="D1606" i="4"/>
  <c r="F1606" i="4" s="1"/>
  <c r="D1542" i="4"/>
  <c r="F1542" i="4" s="1"/>
  <c r="D1479" i="4"/>
  <c r="F1479" i="4" s="1"/>
  <c r="D1417" i="4"/>
  <c r="F1417" i="4" s="1"/>
  <c r="D1353" i="4"/>
  <c r="F1353" i="4" s="1"/>
  <c r="D1289" i="4"/>
  <c r="F1289" i="4" s="1"/>
  <c r="D994" i="4"/>
  <c r="F994" i="4" s="1"/>
  <c r="D1732" i="4"/>
  <c r="F1732" i="4" s="1"/>
  <c r="D1668" i="4"/>
  <c r="F1668" i="4" s="1"/>
  <c r="D1605" i="4"/>
  <c r="F1605" i="4" s="1"/>
  <c r="D1541" i="4"/>
  <c r="F1541" i="4" s="1"/>
  <c r="D1478" i="4"/>
  <c r="F1478" i="4" s="1"/>
  <c r="D1408" i="4"/>
  <c r="F1408" i="4" s="1"/>
  <c r="D1025" i="4"/>
  <c r="F1025" i="4" s="1"/>
  <c r="D722" i="4"/>
  <c r="F722" i="4" s="1"/>
  <c r="D658" i="4"/>
  <c r="F658" i="4" s="1"/>
  <c r="D554" i="4"/>
  <c r="F554" i="4" s="1"/>
  <c r="D482" i="4"/>
  <c r="F482" i="4" s="1"/>
  <c r="D1848" i="4"/>
  <c r="F1848" i="4" s="1"/>
  <c r="D1786" i="4"/>
  <c r="F1786" i="4" s="1"/>
  <c r="D1715" i="4"/>
  <c r="F1715" i="4" s="1"/>
  <c r="D1651" i="4"/>
  <c r="F1651" i="4" s="1"/>
  <c r="D1080" i="4"/>
  <c r="F1080" i="4" s="1"/>
  <c r="D968" i="4"/>
  <c r="F968" i="4" s="1"/>
  <c r="D897" i="4"/>
  <c r="F897" i="4" s="1"/>
  <c r="D833" i="4"/>
  <c r="F833" i="4" s="1"/>
  <c r="D769" i="4"/>
  <c r="F769" i="4" s="1"/>
  <c r="D2004" i="4"/>
  <c r="F2004" i="4" s="1"/>
  <c r="D1942" i="4"/>
  <c r="F1942" i="4" s="1"/>
  <c r="D1879" i="4"/>
  <c r="F1879" i="4" s="1"/>
  <c r="D1816" i="4"/>
  <c r="F1816" i="4" s="1"/>
  <c r="D1753" i="4"/>
  <c r="F1753" i="4" s="1"/>
  <c r="D1690" i="4"/>
  <c r="F1690" i="4" s="1"/>
  <c r="D1223" i="4"/>
  <c r="F1223" i="4" s="1"/>
  <c r="D1159" i="4"/>
  <c r="F1159" i="4" s="1"/>
  <c r="D1015" i="4"/>
  <c r="F1015" i="4" s="1"/>
  <c r="D1458" i="4"/>
  <c r="F1458" i="4" s="1"/>
  <c r="D1395" i="4"/>
  <c r="F1395" i="4" s="1"/>
  <c r="D1331" i="4"/>
  <c r="F1331" i="4" s="1"/>
  <c r="D1267" i="4"/>
  <c r="F1267" i="4" s="1"/>
  <c r="D1206" i="4"/>
  <c r="F1206" i="4" s="1"/>
  <c r="D1142" i="4"/>
  <c r="F1142" i="4" s="1"/>
  <c r="D1073" i="4"/>
  <c r="F1073" i="4" s="1"/>
  <c r="D1016" i="4"/>
  <c r="F1016" i="4" s="1"/>
  <c r="D938" i="4"/>
  <c r="F938" i="4" s="1"/>
  <c r="D874" i="4"/>
  <c r="F874" i="4" s="1"/>
  <c r="D507" i="4"/>
  <c r="F507" i="4" s="1"/>
  <c r="D1273" i="4"/>
  <c r="F1273" i="4" s="1"/>
  <c r="D1212" i="4"/>
  <c r="F1212" i="4" s="1"/>
  <c r="D1148" i="4"/>
  <c r="F1148" i="4" s="1"/>
  <c r="D1087" i="4"/>
  <c r="F1087" i="4" s="1"/>
  <c r="D1014" i="4"/>
  <c r="F1014" i="4" s="1"/>
  <c r="D952" i="4"/>
  <c r="F952" i="4" s="1"/>
  <c r="D888" i="4"/>
  <c r="F888" i="4" s="1"/>
  <c r="D824" i="4"/>
  <c r="F824" i="4" s="1"/>
  <c r="D753" i="4"/>
  <c r="F753" i="4" s="1"/>
  <c r="D689" i="4"/>
  <c r="F689" i="4" s="1"/>
  <c r="D1336" i="4"/>
  <c r="F1336" i="4" s="1"/>
  <c r="D1272" i="4"/>
  <c r="F1272" i="4" s="1"/>
  <c r="D1203" i="4"/>
  <c r="F1203" i="4" s="1"/>
  <c r="D1139" i="4"/>
  <c r="F1139" i="4" s="1"/>
  <c r="D1078" i="4"/>
  <c r="F1078" i="4" s="1"/>
  <c r="D1013" i="4"/>
  <c r="F1013" i="4" s="1"/>
  <c r="D951" i="4"/>
  <c r="F951" i="4" s="1"/>
  <c r="D887" i="4"/>
  <c r="F887" i="4" s="1"/>
  <c r="D823" i="4"/>
  <c r="F823" i="4" s="1"/>
  <c r="D752" i="4"/>
  <c r="F752" i="4" s="1"/>
  <c r="D1564" i="4"/>
  <c r="F1564" i="4" s="1"/>
  <c r="D1500" i="4"/>
  <c r="F1500" i="4" s="1"/>
  <c r="D1438" i="4"/>
  <c r="F1438" i="4" s="1"/>
  <c r="D1375" i="4"/>
  <c r="F1375" i="4" s="1"/>
  <c r="D1311" i="4"/>
  <c r="F1311" i="4" s="1"/>
  <c r="D1247" i="4"/>
  <c r="F1247" i="4" s="1"/>
  <c r="D1186" i="4"/>
  <c r="F1186" i="4" s="1"/>
  <c r="D1123" i="4"/>
  <c r="F1123" i="4" s="1"/>
  <c r="D1061" i="4"/>
  <c r="F1061" i="4" s="1"/>
  <c r="D973" i="4"/>
  <c r="F973" i="4" s="1"/>
  <c r="D1579" i="4"/>
  <c r="F1579" i="4" s="1"/>
  <c r="D1515" i="4"/>
  <c r="F1515" i="4" s="1"/>
  <c r="D1453" i="4"/>
  <c r="F1453" i="4" s="1"/>
  <c r="D1390" i="4"/>
  <c r="F1390" i="4" s="1"/>
  <c r="D1326" i="4"/>
  <c r="F1326" i="4" s="1"/>
  <c r="D1262" i="4"/>
  <c r="F1262" i="4" s="1"/>
  <c r="D1201" i="4"/>
  <c r="F1201" i="4" s="1"/>
  <c r="D1137" i="4"/>
  <c r="F1137" i="4" s="1"/>
  <c r="D1068" i="4"/>
  <c r="F1068" i="4" s="1"/>
  <c r="D988" i="4"/>
  <c r="F988" i="4" s="1"/>
  <c r="D1325" i="4"/>
  <c r="F1325" i="4" s="1"/>
  <c r="D1261" i="4"/>
  <c r="F1261" i="4" s="1"/>
  <c r="D1192" i="4"/>
  <c r="F1192" i="4" s="1"/>
  <c r="D1121" i="4"/>
  <c r="F1121" i="4" s="1"/>
  <c r="D1059" i="4"/>
  <c r="F1059" i="4" s="1"/>
  <c r="D995" i="4"/>
  <c r="F995" i="4" s="1"/>
  <c r="D2505" i="4"/>
  <c r="F2505" i="4" s="1"/>
  <c r="D2007" i="4"/>
  <c r="F2007" i="4" s="1"/>
  <c r="D2197" i="4"/>
  <c r="F2197" i="4" s="1"/>
  <c r="D238" i="4"/>
  <c r="F238" i="4" s="1"/>
  <c r="D2481" i="4"/>
  <c r="F2481" i="4" s="1"/>
  <c r="D1955" i="4"/>
  <c r="F1955" i="4" s="1"/>
  <c r="D2432" i="4"/>
  <c r="F2432" i="4" s="1"/>
  <c r="D2399" i="4"/>
  <c r="F2399" i="4" s="1"/>
  <c r="D2387" i="4"/>
  <c r="F2387" i="4" s="1"/>
  <c r="D2406" i="4"/>
  <c r="F2406" i="4" s="1"/>
  <c r="D2257" i="4"/>
  <c r="F2257" i="4" s="1"/>
  <c r="D1881" i="4"/>
  <c r="F1881" i="4" s="1"/>
  <c r="D2291" i="4"/>
  <c r="F2291" i="4" s="1"/>
  <c r="D2165" i="4"/>
  <c r="F2165" i="4" s="1"/>
  <c r="D2032" i="4"/>
  <c r="F2032" i="4" s="1"/>
  <c r="D1906" i="4"/>
  <c r="F1906" i="4" s="1"/>
  <c r="D2178" i="4"/>
  <c r="F2178" i="4" s="1"/>
  <c r="D2054" i="4"/>
  <c r="F2054" i="4" s="1"/>
  <c r="D1928" i="4"/>
  <c r="F1928" i="4" s="1"/>
  <c r="D1657" i="4"/>
  <c r="F1657" i="4" s="1"/>
  <c r="D1530" i="4"/>
  <c r="F1530" i="4" s="1"/>
  <c r="D2348" i="4"/>
  <c r="F2348" i="4" s="1"/>
  <c r="D2225" i="4"/>
  <c r="F2225" i="4" s="1"/>
  <c r="D2085" i="4"/>
  <c r="F2085" i="4" s="1"/>
  <c r="D1959" i="4"/>
  <c r="F1959" i="4" s="1"/>
  <c r="D1728" i="4"/>
  <c r="F1728" i="4" s="1"/>
  <c r="D1601" i="4"/>
  <c r="F1601" i="4" s="1"/>
  <c r="D2248" i="4"/>
  <c r="F2248" i="4" s="1"/>
  <c r="D2107" i="4"/>
  <c r="F2107" i="4" s="1"/>
  <c r="D1815" i="4"/>
  <c r="F1815" i="4" s="1"/>
  <c r="D1687" i="4"/>
  <c r="F1687" i="4" s="1"/>
  <c r="D1568" i="4"/>
  <c r="F1568" i="4" s="1"/>
  <c r="D2346" i="4"/>
  <c r="F2346" i="4" s="1"/>
  <c r="D2239" i="4"/>
  <c r="F2239" i="4" s="1"/>
  <c r="D2145" i="4"/>
  <c r="F2145" i="4" s="1"/>
  <c r="D2043" i="4"/>
  <c r="F2043" i="4" s="1"/>
  <c r="D1917" i="4"/>
  <c r="F1917" i="4" s="1"/>
  <c r="D1837" i="4"/>
  <c r="F1837" i="4" s="1"/>
  <c r="D1758" i="4"/>
  <c r="F1758" i="4" s="1"/>
  <c r="D2425" i="4"/>
  <c r="F2425" i="4" s="1"/>
  <c r="D2361" i="4"/>
  <c r="F2361" i="4" s="1"/>
  <c r="D2300" i="4"/>
  <c r="F2300" i="4" s="1"/>
  <c r="D2230" i="4"/>
  <c r="F2230" i="4" s="1"/>
  <c r="D2167" i="4"/>
  <c r="F2167" i="4" s="1"/>
  <c r="D2098" i="4"/>
  <c r="F2098" i="4" s="1"/>
  <c r="D2034" i="4"/>
  <c r="F2034" i="4" s="1"/>
  <c r="D1964" i="4"/>
  <c r="F1964" i="4" s="1"/>
  <c r="D1900" i="4"/>
  <c r="F1900" i="4" s="1"/>
  <c r="D1829" i="4"/>
  <c r="F1829" i="4" s="1"/>
  <c r="D1537" i="4"/>
  <c r="F1537" i="4" s="1"/>
  <c r="D1459" i="4"/>
  <c r="F1459" i="4" s="1"/>
  <c r="D1396" i="4"/>
  <c r="F1396" i="4" s="1"/>
  <c r="D1332" i="4"/>
  <c r="F1332" i="4" s="1"/>
  <c r="D1268" i="4"/>
  <c r="F1268" i="4" s="1"/>
  <c r="D1181" i="4"/>
  <c r="F1181" i="4" s="1"/>
  <c r="D1843" i="4"/>
  <c r="F1843" i="4" s="1"/>
  <c r="D1765" i="4"/>
  <c r="F1765" i="4" s="1"/>
  <c r="D1702" i="4"/>
  <c r="F1702" i="4" s="1"/>
  <c r="D1638" i="4"/>
  <c r="F1638" i="4" s="1"/>
  <c r="D1567" i="4"/>
  <c r="F1567" i="4" s="1"/>
  <c r="D1503" i="4"/>
  <c r="F1503" i="4" s="1"/>
  <c r="D1441" i="4"/>
  <c r="F1441" i="4" s="1"/>
  <c r="D1378" i="4"/>
  <c r="F1378" i="4" s="1"/>
  <c r="D1314" i="4"/>
  <c r="F1314" i="4" s="1"/>
  <c r="D1250" i="4"/>
  <c r="F1250" i="4" s="1"/>
  <c r="D1921" i="4"/>
  <c r="F1921" i="4" s="1"/>
  <c r="D1858" i="4"/>
  <c r="F1858" i="4" s="1"/>
  <c r="D1788" i="4"/>
  <c r="F1788" i="4" s="1"/>
  <c r="D1725" i="4"/>
  <c r="F1725" i="4" s="1"/>
  <c r="D1661" i="4"/>
  <c r="F1661" i="4" s="1"/>
  <c r="D1598" i="4"/>
  <c r="F1598" i="4" s="1"/>
  <c r="D1534" i="4"/>
  <c r="F1534" i="4" s="1"/>
  <c r="D1471" i="4"/>
  <c r="F1471" i="4" s="1"/>
  <c r="D1409" i="4"/>
  <c r="F1409" i="4" s="1"/>
  <c r="D1345" i="4"/>
  <c r="F1345" i="4" s="1"/>
  <c r="D1090" i="4"/>
  <c r="F1090" i="4" s="1"/>
  <c r="D986" i="4"/>
  <c r="F986" i="4" s="1"/>
  <c r="D1724" i="4"/>
  <c r="F1724" i="4" s="1"/>
  <c r="D1660" i="4"/>
  <c r="F1660" i="4" s="1"/>
  <c r="D1597" i="4"/>
  <c r="F1597" i="4" s="1"/>
  <c r="D1533" i="4"/>
  <c r="F1533" i="4" s="1"/>
  <c r="D1470" i="4"/>
  <c r="F1470" i="4" s="1"/>
  <c r="D1400" i="4"/>
  <c r="F1400" i="4" s="1"/>
  <c r="D1017" i="4"/>
  <c r="F1017" i="4" s="1"/>
  <c r="D714" i="4"/>
  <c r="F714" i="4" s="1"/>
  <c r="D610" i="4"/>
  <c r="F610" i="4" s="1"/>
  <c r="D546" i="4"/>
  <c r="F546" i="4" s="1"/>
  <c r="D1911" i="4"/>
  <c r="F1911" i="4" s="1"/>
  <c r="D1840" i="4"/>
  <c r="F1840" i="4" s="1"/>
  <c r="D1778" i="4"/>
  <c r="F1778" i="4" s="1"/>
  <c r="D1707" i="4"/>
  <c r="F1707" i="4" s="1"/>
  <c r="D1643" i="4"/>
  <c r="F1643" i="4" s="1"/>
  <c r="D1072" i="4"/>
  <c r="F1072" i="4" s="1"/>
  <c r="D953" i="4"/>
  <c r="F953" i="4" s="1"/>
  <c r="D889" i="4"/>
  <c r="F889" i="4" s="1"/>
  <c r="D825" i="4"/>
  <c r="F825" i="4" s="1"/>
  <c r="D2060" i="4"/>
  <c r="F2060" i="4" s="1"/>
  <c r="D1997" i="4"/>
  <c r="F1997" i="4" s="1"/>
  <c r="D1934" i="4"/>
  <c r="F1934" i="4" s="1"/>
  <c r="D1871" i="4"/>
  <c r="F1871" i="4" s="1"/>
  <c r="D1809" i="4"/>
  <c r="F1809" i="4" s="1"/>
  <c r="D1746" i="4"/>
  <c r="F1746" i="4" s="1"/>
  <c r="D1682" i="4"/>
  <c r="F1682" i="4" s="1"/>
  <c r="D1215" i="4"/>
  <c r="F1215" i="4" s="1"/>
  <c r="D1151" i="4"/>
  <c r="F1151" i="4" s="1"/>
  <c r="D1007" i="4"/>
  <c r="F1007" i="4" s="1"/>
  <c r="D1450" i="4"/>
  <c r="F1450" i="4" s="1"/>
  <c r="D1387" i="4"/>
  <c r="F1387" i="4" s="1"/>
  <c r="D1323" i="4"/>
  <c r="F1323" i="4" s="1"/>
  <c r="D1259" i="4"/>
  <c r="F1259" i="4" s="1"/>
  <c r="D1198" i="4"/>
  <c r="F1198" i="4" s="1"/>
  <c r="D1135" i="4"/>
  <c r="F1135" i="4" s="1"/>
  <c r="D1065" i="4"/>
  <c r="F1065" i="4" s="1"/>
  <c r="D1008" i="4"/>
  <c r="F1008" i="4" s="1"/>
  <c r="D930" i="4"/>
  <c r="F930" i="4" s="1"/>
  <c r="D866" i="4"/>
  <c r="F866" i="4" s="1"/>
  <c r="D499" i="4"/>
  <c r="F499" i="4" s="1"/>
  <c r="D1265" i="4"/>
  <c r="F1265" i="4" s="1"/>
  <c r="D2497" i="4"/>
  <c r="F2497" i="4" s="1"/>
  <c r="D2489" i="4"/>
  <c r="F2489" i="4" s="1"/>
  <c r="D2189" i="4"/>
  <c r="F2189" i="4" s="1"/>
  <c r="D214" i="4"/>
  <c r="F214" i="4" s="1"/>
  <c r="D2442" i="4"/>
  <c r="F2442" i="4" s="1"/>
  <c r="D1947" i="4"/>
  <c r="F1947" i="4" s="1"/>
  <c r="D2416" i="4"/>
  <c r="F2416" i="4" s="1"/>
  <c r="D2391" i="4"/>
  <c r="F2391" i="4" s="1"/>
  <c r="D246" i="4"/>
  <c r="F246" i="4" s="1"/>
  <c r="D2398" i="4"/>
  <c r="F2398" i="4" s="1"/>
  <c r="D2089" i="4"/>
  <c r="F2089" i="4" s="1"/>
  <c r="D1865" i="4"/>
  <c r="F1865" i="4" s="1"/>
  <c r="D2275" i="4"/>
  <c r="F2275" i="4" s="1"/>
  <c r="D2142" i="4"/>
  <c r="F2142" i="4" s="1"/>
  <c r="D2016" i="4"/>
  <c r="F2016" i="4" s="1"/>
  <c r="D1811" i="4"/>
  <c r="F1811" i="4" s="1"/>
  <c r="D2163" i="4"/>
  <c r="F2163" i="4" s="1"/>
  <c r="D2038" i="4"/>
  <c r="F2038" i="4" s="1"/>
  <c r="D1912" i="4"/>
  <c r="F1912" i="4" s="1"/>
  <c r="D1641" i="4"/>
  <c r="F1641" i="4" s="1"/>
  <c r="D1514" i="4"/>
  <c r="F1514" i="4" s="1"/>
  <c r="D2332" i="4"/>
  <c r="F2332" i="4" s="1"/>
  <c r="D2209" i="4"/>
  <c r="F2209" i="4" s="1"/>
  <c r="D2069" i="4"/>
  <c r="F2069" i="4" s="1"/>
  <c r="D1943" i="4"/>
  <c r="F1943" i="4" s="1"/>
  <c r="D1712" i="4"/>
  <c r="F1712" i="4" s="1"/>
  <c r="D1585" i="4"/>
  <c r="F1585" i="4" s="1"/>
  <c r="D2232" i="4"/>
  <c r="F2232" i="4" s="1"/>
  <c r="D2092" i="4"/>
  <c r="F2092" i="4" s="1"/>
  <c r="D1799" i="4"/>
  <c r="F1799" i="4" s="1"/>
  <c r="D1671" i="4"/>
  <c r="F1671" i="4" s="1"/>
  <c r="D1560" i="4"/>
  <c r="F1560" i="4" s="1"/>
  <c r="D2338" i="4"/>
  <c r="F2338" i="4" s="1"/>
  <c r="D2231" i="4"/>
  <c r="F2231" i="4" s="1"/>
  <c r="D2122" i="4"/>
  <c r="F2122" i="4" s="1"/>
  <c r="D2027" i="4"/>
  <c r="F2027" i="4" s="1"/>
  <c r="D1909" i="4"/>
  <c r="F1909" i="4" s="1"/>
  <c r="D1822" i="4"/>
  <c r="F1822" i="4" s="1"/>
  <c r="D1750" i="4"/>
  <c r="F1750" i="4" s="1"/>
  <c r="D2417" i="4"/>
  <c r="F2417" i="4" s="1"/>
  <c r="D2353" i="4"/>
  <c r="F2353" i="4" s="1"/>
  <c r="D2293" i="4"/>
  <c r="F2293" i="4" s="1"/>
  <c r="D2222" i="4"/>
  <c r="F2222" i="4" s="1"/>
  <c r="D2159" i="4"/>
  <c r="F2159" i="4" s="1"/>
  <c r="D2090" i="4"/>
  <c r="F2090" i="4" s="1"/>
  <c r="D2026" i="4"/>
  <c r="F2026" i="4" s="1"/>
  <c r="D1956" i="4"/>
  <c r="F1956" i="4" s="1"/>
  <c r="D1892" i="4"/>
  <c r="F1892" i="4" s="1"/>
  <c r="D1821" i="4"/>
  <c r="F1821" i="4" s="1"/>
  <c r="D1529" i="4"/>
  <c r="F1529" i="4" s="1"/>
  <c r="D1451" i="4"/>
  <c r="F1451" i="4" s="1"/>
  <c r="D1388" i="4"/>
  <c r="F1388" i="4" s="1"/>
  <c r="D1324" i="4"/>
  <c r="F1324" i="4" s="1"/>
  <c r="D1260" i="4"/>
  <c r="F1260" i="4" s="1"/>
  <c r="D1173" i="4"/>
  <c r="F1173" i="4" s="1"/>
  <c r="D1828" i="4"/>
  <c r="F1828" i="4" s="1"/>
  <c r="D1757" i="4"/>
  <c r="F1757" i="4" s="1"/>
  <c r="D1694" i="4"/>
  <c r="F1694" i="4" s="1"/>
  <c r="D1630" i="4"/>
  <c r="F1630" i="4" s="1"/>
  <c r="D1559" i="4"/>
  <c r="F1559" i="4" s="1"/>
  <c r="D1495" i="4"/>
  <c r="F1495" i="4" s="1"/>
  <c r="D1433" i="4"/>
  <c r="F1433" i="4" s="1"/>
  <c r="D1370" i="4"/>
  <c r="F1370" i="4" s="1"/>
  <c r="D1306" i="4"/>
  <c r="F1306" i="4" s="1"/>
  <c r="D1977" i="4"/>
  <c r="F1977" i="4" s="1"/>
  <c r="D1913" i="4"/>
  <c r="F1913" i="4" s="1"/>
  <c r="D1850" i="4"/>
  <c r="F1850" i="4" s="1"/>
  <c r="D1780" i="4"/>
  <c r="F1780" i="4" s="1"/>
  <c r="D1717" i="4"/>
  <c r="F1717" i="4" s="1"/>
  <c r="D1653" i="4"/>
  <c r="F1653" i="4" s="1"/>
  <c r="D1590" i="4"/>
  <c r="F1590" i="4" s="1"/>
  <c r="D1526" i="4"/>
  <c r="F1526" i="4" s="1"/>
  <c r="D1464" i="4"/>
  <c r="F1464" i="4" s="1"/>
  <c r="D1401" i="4"/>
  <c r="F1401" i="4" s="1"/>
  <c r="D1337" i="4"/>
  <c r="F1337" i="4" s="1"/>
  <c r="D1082" i="4"/>
  <c r="F1082" i="4" s="1"/>
  <c r="D978" i="4"/>
  <c r="F978" i="4" s="1"/>
  <c r="D1716" i="4"/>
  <c r="F1716" i="4" s="1"/>
  <c r="D1652" i="4"/>
  <c r="F1652" i="4" s="1"/>
  <c r="D1589" i="4"/>
  <c r="F1589" i="4" s="1"/>
  <c r="D1525" i="4"/>
  <c r="F1525" i="4" s="1"/>
  <c r="D1463" i="4"/>
  <c r="F1463" i="4" s="1"/>
  <c r="D1392" i="4"/>
  <c r="F1392" i="4" s="1"/>
  <c r="D1009" i="4"/>
  <c r="F1009" i="4" s="1"/>
  <c r="D706" i="4"/>
  <c r="F706" i="4" s="1"/>
  <c r="D602" i="4"/>
  <c r="F602" i="4" s="1"/>
  <c r="D530" i="4"/>
  <c r="F530" i="4" s="1"/>
  <c r="D1903" i="4"/>
  <c r="F1903" i="4" s="1"/>
  <c r="D1833" i="4"/>
  <c r="F1833" i="4" s="1"/>
  <c r="D1770" i="4"/>
  <c r="F1770" i="4" s="1"/>
  <c r="D1699" i="4"/>
  <c r="F1699" i="4" s="1"/>
  <c r="D1635" i="4"/>
  <c r="F1635" i="4" s="1"/>
  <c r="D1064" i="4"/>
  <c r="F1064" i="4" s="1"/>
  <c r="D945" i="4"/>
  <c r="F945" i="4" s="1"/>
  <c r="D881" i="4"/>
  <c r="F881" i="4" s="1"/>
  <c r="D817" i="4"/>
  <c r="F817" i="4" s="1"/>
  <c r="D2052" i="4"/>
  <c r="F2052" i="4" s="1"/>
  <c r="D1990" i="4"/>
  <c r="F1990" i="4" s="1"/>
  <c r="D1926" i="4"/>
  <c r="F1926" i="4" s="1"/>
  <c r="D1863" i="4"/>
  <c r="F1863" i="4" s="1"/>
  <c r="D1801" i="4"/>
  <c r="F1801" i="4" s="1"/>
  <c r="D1738" i="4"/>
  <c r="F1738" i="4" s="1"/>
  <c r="D1674" i="4"/>
  <c r="F1674" i="4" s="1"/>
  <c r="D1207" i="4"/>
  <c r="F1207" i="4" s="1"/>
  <c r="D1143" i="4"/>
  <c r="F1143" i="4" s="1"/>
  <c r="D1504" i="4"/>
  <c r="F1504" i="4" s="1"/>
  <c r="D1442" i="4"/>
  <c r="F1442" i="4" s="1"/>
  <c r="D1379" i="4"/>
  <c r="F1379" i="4" s="1"/>
  <c r="D1315" i="4"/>
  <c r="F1315" i="4" s="1"/>
  <c r="D1251" i="4"/>
  <c r="F1251" i="4" s="1"/>
  <c r="D1190" i="4"/>
  <c r="F1190" i="4" s="1"/>
  <c r="D1127" i="4"/>
  <c r="F1127" i="4" s="1"/>
  <c r="D1057" i="4"/>
  <c r="F1057" i="4" s="1"/>
  <c r="D1001" i="4"/>
  <c r="F1001" i="4" s="1"/>
  <c r="D922" i="4"/>
  <c r="F922" i="4" s="1"/>
  <c r="D858" i="4"/>
  <c r="F858" i="4" s="1"/>
  <c r="D491" i="4"/>
  <c r="F491" i="4" s="1"/>
  <c r="D1257" i="4"/>
  <c r="F1257" i="4" s="1"/>
  <c r="D1196" i="4"/>
  <c r="F1196" i="4" s="1"/>
  <c r="D1133" i="4"/>
  <c r="F1133" i="4" s="1"/>
  <c r="D1071" i="4"/>
  <c r="F1071" i="4" s="1"/>
  <c r="D999" i="4"/>
  <c r="F999" i="4" s="1"/>
  <c r="D936" i="4"/>
  <c r="F936" i="4" s="1"/>
  <c r="D872" i="4"/>
  <c r="F872" i="4" s="1"/>
  <c r="D808" i="4"/>
  <c r="F808" i="4" s="1"/>
  <c r="D737" i="4"/>
  <c r="F737" i="4" s="1"/>
  <c r="D673" i="4"/>
  <c r="F673" i="4" s="1"/>
  <c r="D1320" i="4"/>
  <c r="F1320" i="4" s="1"/>
  <c r="D1256" i="4"/>
  <c r="F1256" i="4" s="1"/>
  <c r="D1187" i="4"/>
  <c r="F1187" i="4" s="1"/>
  <c r="D1124" i="4"/>
  <c r="F1124" i="4" s="1"/>
  <c r="D1062" i="4"/>
  <c r="F1062" i="4" s="1"/>
  <c r="D998" i="4"/>
  <c r="F998" i="4" s="1"/>
  <c r="D935" i="4"/>
  <c r="F935" i="4" s="1"/>
  <c r="D871" i="4"/>
  <c r="F871" i="4" s="1"/>
  <c r="D807" i="4"/>
  <c r="F807" i="4" s="1"/>
  <c r="D1612" i="4"/>
  <c r="F1612" i="4" s="1"/>
  <c r="D1548" i="4"/>
  <c r="F1548" i="4" s="1"/>
  <c r="D1484" i="4"/>
  <c r="F1484" i="4" s="1"/>
  <c r="D1423" i="4"/>
  <c r="F1423" i="4" s="1"/>
  <c r="D1359" i="4"/>
  <c r="F1359" i="4" s="1"/>
  <c r="D1295" i="4"/>
  <c r="F1295" i="4" s="1"/>
  <c r="D1232" i="4"/>
  <c r="F1232" i="4" s="1"/>
  <c r="D1170" i="4"/>
  <c r="F1170" i="4" s="1"/>
  <c r="D1108" i="4"/>
  <c r="F1108" i="4" s="1"/>
  <c r="D1020" i="4"/>
  <c r="F1020" i="4" s="1"/>
  <c r="D1626" i="4"/>
  <c r="F1626" i="4" s="1"/>
  <c r="D1563" i="4"/>
  <c r="F1563" i="4" s="1"/>
  <c r="D1499" i="4"/>
  <c r="F1499" i="4" s="1"/>
  <c r="D1437" i="4"/>
  <c r="F1437" i="4" s="1"/>
  <c r="D1374" i="4"/>
  <c r="F1374" i="4" s="1"/>
  <c r="D1310" i="4"/>
  <c r="F1310" i="4" s="1"/>
  <c r="D1246" i="4"/>
  <c r="F1246" i="4" s="1"/>
  <c r="D1185" i="4"/>
  <c r="F1185" i="4" s="1"/>
  <c r="D1122" i="4"/>
  <c r="F1122" i="4" s="1"/>
  <c r="D1054" i="4"/>
  <c r="F1054" i="4" s="1"/>
  <c r="D972" i="4"/>
  <c r="F972" i="4" s="1"/>
  <c r="D1309" i="4"/>
  <c r="F1309" i="4" s="1"/>
  <c r="D1238" i="4"/>
  <c r="F1238" i="4" s="1"/>
  <c r="D1176" i="4"/>
  <c r="F1176" i="4" s="1"/>
  <c r="D1106" i="4"/>
  <c r="F1106" i="4" s="1"/>
  <c r="D1047" i="4"/>
  <c r="F1047" i="4" s="1"/>
  <c r="D963" i="4"/>
  <c r="F963" i="4" s="1"/>
  <c r="D900" i="4"/>
  <c r="F900" i="4" s="1"/>
  <c r="D836" i="4"/>
  <c r="F836" i="4" s="1"/>
  <c r="D772" i="4"/>
  <c r="F772" i="4" s="1"/>
  <c r="D709" i="4"/>
  <c r="F709" i="4" s="1"/>
  <c r="D696" i="4"/>
  <c r="F696" i="4" s="1"/>
  <c r="D633" i="4"/>
  <c r="F633" i="4" s="1"/>
  <c r="D569" i="4"/>
  <c r="F569" i="4" s="1"/>
  <c r="D2443" i="4"/>
  <c r="F2443" i="4" s="1"/>
  <c r="D438" i="4"/>
  <c r="F438" i="4" s="1"/>
  <c r="D1413" i="4"/>
  <c r="F1413" i="4" s="1"/>
  <c r="D2510" i="4"/>
  <c r="F2510" i="4" s="1"/>
  <c r="D2486" i="4"/>
  <c r="F2486" i="4" s="1"/>
  <c r="D1891" i="4"/>
  <c r="F1891" i="4" s="1"/>
  <c r="D2336" i="4"/>
  <c r="F2336" i="4" s="1"/>
  <c r="D2383" i="4"/>
  <c r="F2383" i="4" s="1"/>
  <c r="D222" i="4"/>
  <c r="F222" i="4" s="1"/>
  <c r="D2350" i="4"/>
  <c r="F2350" i="4" s="1"/>
  <c r="D2057" i="4"/>
  <c r="F2057" i="4" s="1"/>
  <c r="D2367" i="4"/>
  <c r="F2367" i="4" s="1"/>
  <c r="D2244" i="4"/>
  <c r="F2244" i="4" s="1"/>
  <c r="D2111" i="4"/>
  <c r="F2111" i="4" s="1"/>
  <c r="D1986" i="4"/>
  <c r="F1986" i="4" s="1"/>
  <c r="D1779" i="4"/>
  <c r="F1779" i="4" s="1"/>
  <c r="D2132" i="4"/>
  <c r="F2132" i="4" s="1"/>
  <c r="D2006" i="4"/>
  <c r="F2006" i="4" s="1"/>
  <c r="D1737" i="4"/>
  <c r="F1737" i="4" s="1"/>
  <c r="D1610" i="4"/>
  <c r="F1610" i="4" s="1"/>
  <c r="D1475" i="4"/>
  <c r="F1475" i="4" s="1"/>
  <c r="D2302" i="4"/>
  <c r="F2302" i="4" s="1"/>
  <c r="D2170" i="4"/>
  <c r="F2170" i="4" s="1"/>
  <c r="D2037" i="4"/>
  <c r="F2037" i="4" s="1"/>
  <c r="D1808" i="4"/>
  <c r="F1808" i="4" s="1"/>
  <c r="D1680" i="4"/>
  <c r="F1680" i="4" s="1"/>
  <c r="D1044" i="4"/>
  <c r="F1044" i="4" s="1"/>
  <c r="D2200" i="4"/>
  <c r="F2200" i="4" s="1"/>
  <c r="D1894" i="4"/>
  <c r="F1894" i="4" s="1"/>
  <c r="D1767" i="4"/>
  <c r="F1767" i="4" s="1"/>
  <c r="D1663" i="4"/>
  <c r="F1663" i="4" s="1"/>
  <c r="D1552" i="4"/>
  <c r="F1552" i="4" s="1"/>
  <c r="D2307" i="4"/>
  <c r="F2307" i="4" s="1"/>
  <c r="D2215" i="4"/>
  <c r="F2215" i="4" s="1"/>
  <c r="D2114" i="4"/>
  <c r="F2114" i="4" s="1"/>
  <c r="D2019" i="4"/>
  <c r="F2019" i="4" s="1"/>
  <c r="D1901" i="4"/>
  <c r="F1901" i="4" s="1"/>
  <c r="D1814" i="4"/>
  <c r="F1814" i="4" s="1"/>
  <c r="D2471" i="4"/>
  <c r="F2471" i="4" s="1"/>
  <c r="D2409" i="4"/>
  <c r="F2409" i="4" s="1"/>
  <c r="D2345" i="4"/>
  <c r="F2345" i="4" s="1"/>
  <c r="D2285" i="4"/>
  <c r="F2285" i="4" s="1"/>
  <c r="D2214" i="4"/>
  <c r="F2214" i="4" s="1"/>
  <c r="D2152" i="4"/>
  <c r="F2152" i="4" s="1"/>
  <c r="D2082" i="4"/>
  <c r="F2082" i="4" s="1"/>
  <c r="D2018" i="4"/>
  <c r="F2018" i="4" s="1"/>
  <c r="D1948" i="4"/>
  <c r="F1948" i="4" s="1"/>
  <c r="D1884" i="4"/>
  <c r="F1884" i="4" s="1"/>
  <c r="D1813" i="4"/>
  <c r="F1813" i="4" s="1"/>
  <c r="D1521" i="4"/>
  <c r="F1521" i="4" s="1"/>
  <c r="D1443" i="4"/>
  <c r="F1443" i="4" s="1"/>
  <c r="D1380" i="4"/>
  <c r="F1380" i="4" s="1"/>
  <c r="D1316" i="4"/>
  <c r="F1316" i="4" s="1"/>
  <c r="D1252" i="4"/>
  <c r="F1252" i="4" s="1"/>
  <c r="D1165" i="4"/>
  <c r="F1165" i="4" s="1"/>
  <c r="D1820" i="4"/>
  <c r="F1820" i="4" s="1"/>
  <c r="D1749" i="4"/>
  <c r="F1749" i="4" s="1"/>
  <c r="D1686" i="4"/>
  <c r="F1686" i="4" s="1"/>
  <c r="D1615" i="4"/>
  <c r="F1615" i="4" s="1"/>
  <c r="D1551" i="4"/>
  <c r="F1551" i="4" s="1"/>
  <c r="D1487" i="4"/>
  <c r="F1487" i="4" s="1"/>
  <c r="D1425" i="4"/>
  <c r="F1425" i="4" s="1"/>
  <c r="D1362" i="4"/>
  <c r="F1362" i="4" s="1"/>
  <c r="D1298" i="4"/>
  <c r="F1298" i="4" s="1"/>
  <c r="D1969" i="4"/>
  <c r="F1969" i="4" s="1"/>
  <c r="D1905" i="4"/>
  <c r="F1905" i="4" s="1"/>
  <c r="D1842" i="4"/>
  <c r="F1842" i="4" s="1"/>
  <c r="D1772" i="4"/>
  <c r="F1772" i="4" s="1"/>
  <c r="D1709" i="4"/>
  <c r="F1709" i="4" s="1"/>
  <c r="D1645" i="4"/>
  <c r="F1645" i="4" s="1"/>
  <c r="D1582" i="4"/>
  <c r="F1582" i="4" s="1"/>
  <c r="D1518" i="4"/>
  <c r="F1518" i="4" s="1"/>
  <c r="D1456" i="4"/>
  <c r="F1456" i="4" s="1"/>
  <c r="D1393" i="4"/>
  <c r="F1393" i="4" s="1"/>
  <c r="D1329" i="4"/>
  <c r="F1329" i="4" s="1"/>
  <c r="D1074" i="4"/>
  <c r="F1074" i="4" s="1"/>
  <c r="D970" i="4"/>
  <c r="F970" i="4" s="1"/>
  <c r="D1708" i="4"/>
  <c r="F1708" i="4" s="1"/>
  <c r="D1644" i="4"/>
  <c r="F1644" i="4" s="1"/>
  <c r="D1581" i="4"/>
  <c r="F1581" i="4" s="1"/>
  <c r="D1517" i="4"/>
  <c r="F1517" i="4" s="1"/>
  <c r="D1455" i="4"/>
  <c r="F1455" i="4" s="1"/>
  <c r="D1384" i="4"/>
  <c r="F1384" i="4" s="1"/>
  <c r="D762" i="4"/>
  <c r="F762" i="4" s="1"/>
  <c r="D698" i="4"/>
  <c r="F698" i="4" s="1"/>
  <c r="D594" i="4"/>
  <c r="F594" i="4" s="1"/>
  <c r="D522" i="4"/>
  <c r="F522" i="4" s="1"/>
  <c r="D1888" i="4"/>
  <c r="F1888" i="4" s="1"/>
  <c r="D1825" i="4"/>
  <c r="F1825" i="4" s="1"/>
  <c r="D1762" i="4"/>
  <c r="F1762" i="4" s="1"/>
  <c r="D1691" i="4"/>
  <c r="F1691" i="4" s="1"/>
  <c r="D1627" i="4"/>
  <c r="F1627" i="4" s="1"/>
  <c r="D1056" i="4"/>
  <c r="F1056" i="4" s="1"/>
  <c r="D937" i="4"/>
  <c r="F937" i="4" s="1"/>
  <c r="D873" i="4"/>
  <c r="F873" i="4" s="1"/>
  <c r="D809" i="4"/>
  <c r="F809" i="4" s="1"/>
  <c r="D2044" i="4"/>
  <c r="F2044" i="4" s="1"/>
  <c r="D1982" i="4"/>
  <c r="F1982" i="4" s="1"/>
  <c r="D1918" i="4"/>
  <c r="F1918" i="4" s="1"/>
  <c r="D1855" i="4"/>
  <c r="F1855" i="4" s="1"/>
  <c r="D1793" i="4"/>
  <c r="F1793" i="4" s="1"/>
  <c r="D1730" i="4"/>
  <c r="F1730" i="4" s="1"/>
  <c r="D1666" i="4"/>
  <c r="F1666" i="4" s="1"/>
  <c r="D1199" i="4"/>
  <c r="F1199" i="4" s="1"/>
  <c r="D1111" i="4"/>
  <c r="F1111" i="4" s="1"/>
  <c r="D1496" i="4"/>
  <c r="F1496" i="4" s="1"/>
  <c r="D1434" i="4"/>
  <c r="F1434" i="4" s="1"/>
  <c r="D1371" i="4"/>
  <c r="F1371" i="4" s="1"/>
  <c r="D1307" i="4"/>
  <c r="F1307" i="4" s="1"/>
  <c r="D1244" i="4"/>
  <c r="F1244" i="4" s="1"/>
  <c r="D1182" i="4"/>
  <c r="F1182" i="4" s="1"/>
  <c r="D1112" i="4"/>
  <c r="F1112" i="4" s="1"/>
  <c r="D1051" i="4"/>
  <c r="F1051" i="4" s="1"/>
  <c r="D993" i="4"/>
  <c r="F993" i="4" s="1"/>
  <c r="D914" i="4"/>
  <c r="F914" i="4" s="1"/>
  <c r="D850" i="4"/>
  <c r="F850" i="4" s="1"/>
  <c r="D483" i="4"/>
  <c r="F483" i="4" s="1"/>
  <c r="D1249" i="4"/>
  <c r="F1249" i="4" s="1"/>
  <c r="D1188" i="4"/>
  <c r="F1188" i="4" s="1"/>
  <c r="D1125" i="4"/>
  <c r="F1125" i="4" s="1"/>
  <c r="D1063" i="4"/>
  <c r="F1063" i="4" s="1"/>
  <c r="D991" i="4"/>
  <c r="F991" i="4" s="1"/>
  <c r="D928" i="4"/>
  <c r="F928" i="4" s="1"/>
  <c r="D864" i="4"/>
  <c r="F864" i="4" s="1"/>
  <c r="D800" i="4"/>
  <c r="F800" i="4" s="1"/>
  <c r="D729" i="4"/>
  <c r="F729" i="4" s="1"/>
  <c r="D665" i="4"/>
  <c r="F665" i="4" s="1"/>
  <c r="D1312" i="4"/>
  <c r="F1312" i="4" s="1"/>
  <c r="D1248" i="4"/>
  <c r="F1248" i="4" s="1"/>
  <c r="D1179" i="4"/>
  <c r="F1179" i="4" s="1"/>
  <c r="D1117" i="4"/>
  <c r="F1117" i="4" s="1"/>
  <c r="D1055" i="4"/>
  <c r="F1055" i="4" s="1"/>
  <c r="D990" i="4"/>
  <c r="F990" i="4" s="1"/>
  <c r="D927" i="4"/>
  <c r="F927" i="4" s="1"/>
  <c r="D863" i="4"/>
  <c r="F863" i="4" s="1"/>
  <c r="D799" i="4"/>
  <c r="F799" i="4" s="1"/>
  <c r="D1604" i="4"/>
  <c r="F1604" i="4" s="1"/>
  <c r="D1540" i="4"/>
  <c r="F1540" i="4" s="1"/>
  <c r="D1477" i="4"/>
  <c r="F1477" i="4" s="1"/>
  <c r="D1415" i="4"/>
  <c r="F1415" i="4" s="1"/>
  <c r="D1351" i="4"/>
  <c r="F1351" i="4" s="1"/>
  <c r="D1287" i="4"/>
  <c r="F1287" i="4" s="1"/>
  <c r="D1226" i="4"/>
  <c r="F1226" i="4" s="1"/>
  <c r="D1162" i="4"/>
  <c r="F1162" i="4" s="1"/>
  <c r="D1100" i="4"/>
  <c r="F1100" i="4" s="1"/>
  <c r="D1012" i="4"/>
  <c r="F1012" i="4" s="1"/>
  <c r="D1619" i="4"/>
  <c r="F1619" i="4" s="1"/>
  <c r="D1555" i="4"/>
  <c r="F1555" i="4" s="1"/>
  <c r="D1491" i="4"/>
  <c r="F1491" i="4" s="1"/>
  <c r="D1429" i="4"/>
  <c r="F1429" i="4" s="1"/>
  <c r="D1366" i="4"/>
  <c r="F1366" i="4" s="1"/>
  <c r="D1302" i="4"/>
  <c r="F1302" i="4" s="1"/>
  <c r="D1239" i="4"/>
  <c r="F1239" i="4" s="1"/>
  <c r="D1177" i="4"/>
  <c r="F1177" i="4" s="1"/>
  <c r="D1115" i="4"/>
  <c r="F1115" i="4" s="1"/>
  <c r="D1040" i="4"/>
  <c r="F1040" i="4" s="1"/>
  <c r="D2436" i="4"/>
  <c r="F2436" i="4" s="1"/>
  <c r="D230" i="4"/>
  <c r="F230" i="4" s="1"/>
  <c r="D1405" i="4"/>
  <c r="F1405" i="4" s="1"/>
  <c r="D2495" i="4"/>
  <c r="F2495" i="4" s="1"/>
  <c r="D2462" i="4"/>
  <c r="F2462" i="4" s="1"/>
  <c r="D1883" i="4"/>
  <c r="F1883" i="4" s="1"/>
  <c r="D2321" i="4"/>
  <c r="F2321" i="4" s="1"/>
  <c r="D2258" i="4"/>
  <c r="F2258" i="4" s="1"/>
  <c r="D2501" i="4"/>
  <c r="F2501" i="4" s="1"/>
  <c r="D2342" i="4"/>
  <c r="F2342" i="4" s="1"/>
  <c r="D2049" i="4"/>
  <c r="F2049" i="4" s="1"/>
  <c r="D2359" i="4"/>
  <c r="F2359" i="4" s="1"/>
  <c r="D2236" i="4"/>
  <c r="F2236" i="4" s="1"/>
  <c r="D2104" i="4"/>
  <c r="F2104" i="4" s="1"/>
  <c r="D1978" i="4"/>
  <c r="F1978" i="4" s="1"/>
  <c r="D1771" i="4"/>
  <c r="F1771" i="4" s="1"/>
  <c r="D2124" i="4"/>
  <c r="F2124" i="4" s="1"/>
  <c r="D1999" i="4"/>
  <c r="F1999" i="4" s="1"/>
  <c r="D1729" i="4"/>
  <c r="F1729" i="4" s="1"/>
  <c r="D1602" i="4"/>
  <c r="F1602" i="4" s="1"/>
  <c r="D1460" i="4"/>
  <c r="F1460" i="4" s="1"/>
  <c r="D2296" i="4"/>
  <c r="F2296" i="4" s="1"/>
  <c r="D2162" i="4"/>
  <c r="F2162" i="4" s="1"/>
  <c r="D2029" i="4"/>
  <c r="F2029" i="4" s="1"/>
  <c r="D1800" i="4"/>
  <c r="F1800" i="4" s="1"/>
  <c r="D1672" i="4"/>
  <c r="F1672" i="4" s="1"/>
  <c r="D1036" i="4"/>
  <c r="F1036" i="4" s="1"/>
  <c r="D2192" i="4"/>
  <c r="F2192" i="4" s="1"/>
  <c r="D1886" i="4"/>
  <c r="F1886" i="4" s="1"/>
  <c r="D1759" i="4"/>
  <c r="F1759" i="4" s="1"/>
  <c r="D1639" i="4"/>
  <c r="F1639" i="4" s="1"/>
  <c r="D1536" i="4"/>
  <c r="F1536" i="4" s="1"/>
  <c r="D2301" i="4"/>
  <c r="F2301" i="4" s="1"/>
  <c r="D2207" i="4"/>
  <c r="F2207" i="4" s="1"/>
  <c r="D2106" i="4"/>
  <c r="F2106" i="4" s="1"/>
  <c r="D1981" i="4"/>
  <c r="F1981" i="4" s="1"/>
  <c r="D1885" i="4"/>
  <c r="F1885" i="4" s="1"/>
  <c r="D1806" i="4"/>
  <c r="F1806" i="4" s="1"/>
  <c r="D2463" i="4"/>
  <c r="F2463" i="4" s="1"/>
  <c r="D2401" i="4"/>
  <c r="F2401" i="4" s="1"/>
  <c r="D2337" i="4"/>
  <c r="F2337" i="4" s="1"/>
  <c r="D2277" i="4"/>
  <c r="F2277" i="4" s="1"/>
  <c r="D2206" i="4"/>
  <c r="F2206" i="4" s="1"/>
  <c r="D2144" i="4"/>
  <c r="F2144" i="4" s="1"/>
  <c r="D2074" i="4"/>
  <c r="F2074" i="4" s="1"/>
  <c r="D2010" i="4"/>
  <c r="F2010" i="4" s="1"/>
  <c r="D1940" i="4"/>
  <c r="F1940" i="4" s="1"/>
  <c r="D1876" i="4"/>
  <c r="F1876" i="4" s="1"/>
  <c r="D1577" i="4"/>
  <c r="F1577" i="4" s="1"/>
  <c r="D1513" i="4"/>
  <c r="F1513" i="4" s="1"/>
  <c r="D1435" i="4"/>
  <c r="F1435" i="4" s="1"/>
  <c r="D1372" i="4"/>
  <c r="F1372" i="4" s="1"/>
  <c r="D1308" i="4"/>
  <c r="F1308" i="4" s="1"/>
  <c r="D1221" i="4"/>
  <c r="F1221" i="4" s="1"/>
  <c r="D1157" i="4"/>
  <c r="F1157" i="4" s="1"/>
  <c r="D1805" i="4"/>
  <c r="F1805" i="4" s="1"/>
  <c r="D1742" i="4"/>
  <c r="F1742" i="4" s="1"/>
  <c r="D1678" i="4"/>
  <c r="F1678" i="4" s="1"/>
  <c r="D1607" i="4"/>
  <c r="F1607" i="4" s="1"/>
  <c r="D1543" i="4"/>
  <c r="F1543" i="4" s="1"/>
  <c r="D1480" i="4"/>
  <c r="F1480" i="4" s="1"/>
  <c r="D1418" i="4"/>
  <c r="F1418" i="4" s="1"/>
  <c r="D1354" i="4"/>
  <c r="F1354" i="4" s="1"/>
  <c r="D1290" i="4"/>
  <c r="F1290" i="4" s="1"/>
  <c r="D1961" i="4"/>
  <c r="F1961" i="4" s="1"/>
  <c r="D1897" i="4"/>
  <c r="F1897" i="4" s="1"/>
  <c r="D1835" i="4"/>
  <c r="F1835" i="4" s="1"/>
  <c r="D1764" i="4"/>
  <c r="F1764" i="4" s="1"/>
  <c r="D1701" i="4"/>
  <c r="F1701" i="4" s="1"/>
  <c r="D1637" i="4"/>
  <c r="F1637" i="4" s="1"/>
  <c r="D1574" i="4"/>
  <c r="F1574" i="4" s="1"/>
  <c r="D1510" i="4"/>
  <c r="F1510" i="4" s="1"/>
  <c r="D1448" i="4"/>
  <c r="F1448" i="4" s="1"/>
  <c r="D1385" i="4"/>
  <c r="F1385" i="4" s="1"/>
  <c r="D1321" i="4"/>
  <c r="F1321" i="4" s="1"/>
  <c r="D1066" i="4"/>
  <c r="F1066" i="4" s="1"/>
  <c r="D467" i="4"/>
  <c r="F467" i="4" s="1"/>
  <c r="D1700" i="4"/>
  <c r="F1700" i="4" s="1"/>
  <c r="D1636" i="4"/>
  <c r="F1636" i="4" s="1"/>
  <c r="D1573" i="4"/>
  <c r="F1573" i="4" s="1"/>
  <c r="D1509" i="4"/>
  <c r="F1509" i="4" s="1"/>
  <c r="D1447" i="4"/>
  <c r="F1447" i="4" s="1"/>
  <c r="D1376" i="4"/>
  <c r="F1376" i="4" s="1"/>
  <c r="D754" i="4"/>
  <c r="F754" i="4" s="1"/>
  <c r="D690" i="4"/>
  <c r="F690" i="4" s="1"/>
  <c r="D586" i="4"/>
  <c r="F586" i="4" s="1"/>
  <c r="D514" i="4"/>
  <c r="F514" i="4" s="1"/>
  <c r="D1880" i="4"/>
  <c r="F1880" i="4" s="1"/>
  <c r="D1817" i="4"/>
  <c r="F1817" i="4" s="1"/>
  <c r="D1754" i="4"/>
  <c r="F1754" i="4" s="1"/>
  <c r="D1683" i="4"/>
  <c r="F1683" i="4" s="1"/>
  <c r="D1620" i="4"/>
  <c r="F1620" i="4" s="1"/>
  <c r="D1000" i="4"/>
  <c r="F1000" i="4" s="1"/>
  <c r="D929" i="4"/>
  <c r="F929" i="4" s="1"/>
  <c r="D865" i="4"/>
  <c r="F865" i="4" s="1"/>
  <c r="D801" i="4"/>
  <c r="F801" i="4" s="1"/>
  <c r="D2036" i="4"/>
  <c r="F2036" i="4" s="1"/>
  <c r="D1974" i="4"/>
  <c r="F1974" i="4" s="1"/>
  <c r="D1910" i="4"/>
  <c r="F1910" i="4" s="1"/>
  <c r="D1847" i="4"/>
  <c r="F1847" i="4" s="1"/>
  <c r="D1785" i="4"/>
  <c r="F1785" i="4" s="1"/>
  <c r="D1722" i="4"/>
  <c r="F1722" i="4" s="1"/>
  <c r="D1658" i="4"/>
  <c r="F1658" i="4" s="1"/>
  <c r="D1191" i="4"/>
  <c r="F1191" i="4" s="1"/>
  <c r="D1103" i="4"/>
  <c r="F1103" i="4" s="1"/>
  <c r="D1488" i="4"/>
  <c r="F1488" i="4" s="1"/>
  <c r="D1426" i="4"/>
  <c r="F1426" i="4" s="1"/>
  <c r="D1363" i="4"/>
  <c r="F1363" i="4" s="1"/>
  <c r="D1299" i="4"/>
  <c r="F1299" i="4" s="1"/>
  <c r="D1236" i="4"/>
  <c r="F1236" i="4" s="1"/>
  <c r="D1174" i="4"/>
  <c r="F1174" i="4" s="1"/>
  <c r="D1104" i="4"/>
  <c r="F1104" i="4" s="1"/>
  <c r="D1045" i="4"/>
  <c r="F1045" i="4" s="1"/>
  <c r="D985" i="4"/>
  <c r="F985" i="4" s="1"/>
  <c r="D906" i="4"/>
  <c r="F906" i="4" s="1"/>
  <c r="D651" i="4"/>
  <c r="F651" i="4" s="1"/>
  <c r="D468" i="4"/>
  <c r="F468" i="4" s="1"/>
  <c r="D1242" i="4"/>
  <c r="F1242" i="4" s="1"/>
  <c r="D1180" i="4"/>
  <c r="F1180" i="4" s="1"/>
  <c r="D1118" i="4"/>
  <c r="F1118" i="4" s="1"/>
  <c r="D1043" i="4"/>
  <c r="F1043" i="4" s="1"/>
  <c r="D983" i="4"/>
  <c r="F983" i="4" s="1"/>
  <c r="D920" i="4"/>
  <c r="F920" i="4" s="1"/>
  <c r="D856" i="4"/>
  <c r="F856" i="4" s="1"/>
  <c r="D792" i="4"/>
  <c r="F792" i="4" s="1"/>
  <c r="D721" i="4"/>
  <c r="F721" i="4" s="1"/>
  <c r="D1368" i="4"/>
  <c r="F1368" i="4" s="1"/>
  <c r="D1304" i="4"/>
  <c r="F1304" i="4" s="1"/>
  <c r="D1241" i="4"/>
  <c r="F1241" i="4" s="1"/>
  <c r="D1171" i="4"/>
  <c r="F1171" i="4" s="1"/>
  <c r="D1109" i="4"/>
  <c r="F1109" i="4" s="1"/>
  <c r="D1042" i="4"/>
  <c r="F1042" i="4" s="1"/>
  <c r="D982" i="4"/>
  <c r="F982" i="4" s="1"/>
  <c r="D919" i="4"/>
  <c r="F919" i="4" s="1"/>
  <c r="D855" i="4"/>
  <c r="F855" i="4" s="1"/>
  <c r="D791" i="4"/>
  <c r="F791" i="4" s="1"/>
  <c r="D1596" i="4"/>
  <c r="F1596" i="4" s="1"/>
  <c r="D1532" i="4"/>
  <c r="F1532" i="4" s="1"/>
  <c r="D1469" i="4"/>
  <c r="F1469" i="4" s="1"/>
  <c r="D1407" i="4"/>
  <c r="F1407" i="4" s="1"/>
  <c r="D1343" i="4"/>
  <c r="F1343" i="4" s="1"/>
  <c r="D1279" i="4"/>
  <c r="F1279" i="4" s="1"/>
  <c r="D1218" i="4"/>
  <c r="F1218" i="4" s="1"/>
  <c r="D1154" i="4"/>
  <c r="F1154" i="4" s="1"/>
  <c r="D1092" i="4"/>
  <c r="F1092" i="4" s="1"/>
  <c r="D1004" i="4"/>
  <c r="F1004" i="4" s="1"/>
  <c r="D1611" i="4"/>
  <c r="F1611" i="4" s="1"/>
  <c r="D1547" i="4"/>
  <c r="F1547" i="4" s="1"/>
  <c r="D1483" i="4"/>
  <c r="F1483" i="4" s="1"/>
  <c r="D1422" i="4"/>
  <c r="F1422" i="4" s="1"/>
  <c r="D1358" i="4"/>
  <c r="F1358" i="4" s="1"/>
  <c r="D1294" i="4"/>
  <c r="F1294" i="4" s="1"/>
  <c r="D1231" i="4"/>
  <c r="F1231" i="4" s="1"/>
  <c r="D1169" i="4"/>
  <c r="F1169" i="4" s="1"/>
  <c r="D1107" i="4"/>
  <c r="F1107" i="4" s="1"/>
  <c r="D1019" i="4"/>
  <c r="F1019" i="4" s="1"/>
  <c r="D1357" i="4"/>
  <c r="F1357" i="4" s="1"/>
  <c r="D1293" i="4"/>
  <c r="F1293" i="4" s="1"/>
  <c r="D1224" i="4"/>
  <c r="F1224" i="4" s="1"/>
  <c r="D1160" i="4"/>
  <c r="F1160" i="4" s="1"/>
  <c r="D1091" i="4"/>
  <c r="F1091" i="4" s="1"/>
  <c r="D1032" i="4"/>
  <c r="F1032" i="4" s="1"/>
  <c r="D948" i="4"/>
  <c r="F948" i="4" s="1"/>
  <c r="D884" i="4"/>
  <c r="F884" i="4" s="1"/>
  <c r="D820" i="4"/>
  <c r="F820" i="4" s="1"/>
  <c r="D757" i="4"/>
  <c r="F757" i="4" s="1"/>
  <c r="D133" i="4"/>
  <c r="F133" i="4" s="1"/>
  <c r="D197" i="4"/>
  <c r="F197" i="4" s="1"/>
  <c r="D261" i="4"/>
  <c r="F261" i="4" s="1"/>
  <c r="D325" i="4"/>
  <c r="F325" i="4" s="1"/>
  <c r="D537" i="4"/>
  <c r="F537" i="4" s="1"/>
  <c r="D617" i="4"/>
  <c r="F617" i="4" s="1"/>
  <c r="D688" i="4"/>
  <c r="F688" i="4" s="1"/>
  <c r="D725" i="4"/>
  <c r="F725" i="4" s="1"/>
  <c r="D804" i="4"/>
  <c r="F804" i="4" s="1"/>
  <c r="D892" i="4"/>
  <c r="F892" i="4" s="1"/>
  <c r="D1010" i="4"/>
  <c r="F1010" i="4" s="1"/>
  <c r="D1098" i="4"/>
  <c r="F1098" i="4" s="1"/>
  <c r="D1208" i="4"/>
  <c r="F1208" i="4" s="1"/>
  <c r="D1317" i="4"/>
  <c r="F1317" i="4" s="1"/>
  <c r="D1011" i="4"/>
  <c r="F1011" i="4" s="1"/>
  <c r="D1161" i="4"/>
  <c r="F1161" i="4" s="1"/>
  <c r="D1286" i="4"/>
  <c r="F1286" i="4" s="1"/>
  <c r="D1414" i="4"/>
  <c r="F1414" i="4" s="1"/>
  <c r="D1539" i="4"/>
  <c r="F1539" i="4" s="1"/>
  <c r="D997" i="4"/>
  <c r="F997" i="4" s="1"/>
  <c r="D1146" i="4"/>
  <c r="F1146" i="4" s="1"/>
  <c r="D1271" i="4"/>
  <c r="F1271" i="4" s="1"/>
  <c r="D1399" i="4"/>
  <c r="F1399" i="4" s="1"/>
  <c r="D1524" i="4"/>
  <c r="F1524" i="4" s="1"/>
  <c r="D783" i="4"/>
  <c r="F783" i="4" s="1"/>
  <c r="D911" i="4"/>
  <c r="F911" i="4" s="1"/>
  <c r="D1034" i="4"/>
  <c r="F1034" i="4" s="1"/>
  <c r="D1163" i="4"/>
  <c r="F1163" i="4" s="1"/>
  <c r="D1296" i="4"/>
  <c r="F1296" i="4" s="1"/>
  <c r="D713" i="4"/>
  <c r="F713" i="4" s="1"/>
  <c r="D848" i="4"/>
  <c r="F848" i="4" s="1"/>
  <c r="D975" i="4"/>
  <c r="F975" i="4" s="1"/>
  <c r="D1110" i="4"/>
  <c r="F1110" i="4" s="1"/>
  <c r="D1234" i="4"/>
  <c r="F1234" i="4" s="1"/>
  <c r="D890" i="4"/>
  <c r="F890" i="4" s="1"/>
  <c r="D1081" i="4"/>
  <c r="F1081" i="4" s="1"/>
  <c r="D1228" i="4"/>
  <c r="F1228" i="4" s="1"/>
  <c r="D1411" i="4"/>
  <c r="F1411" i="4" s="1"/>
  <c r="D1167" i="4"/>
  <c r="F1167" i="4" s="1"/>
  <c r="D1714" i="4"/>
  <c r="F1714" i="4" s="1"/>
  <c r="D1895" i="4"/>
  <c r="F1895" i="4" s="1"/>
  <c r="D777" i="4"/>
  <c r="F777" i="4" s="1"/>
  <c r="D921" i="4"/>
  <c r="F921" i="4" s="1"/>
  <c r="D1667" i="4"/>
  <c r="F1667" i="4" s="1"/>
  <c r="D1856" i="4"/>
  <c r="F1856" i="4" s="1"/>
  <c r="D578" i="4"/>
  <c r="F578" i="4" s="1"/>
  <c r="D1105" i="4"/>
  <c r="F1105" i="4" s="1"/>
  <c r="D1549" i="4"/>
  <c r="F1549" i="4" s="1"/>
  <c r="D1692" i="4"/>
  <c r="F1692" i="4" s="1"/>
  <c r="D1305" i="4"/>
  <c r="F1305" i="4" s="1"/>
  <c r="D1486" i="4"/>
  <c r="F1486" i="4" s="1"/>
  <c r="D1629" i="4"/>
  <c r="F1629" i="4" s="1"/>
  <c r="D1890" i="4"/>
  <c r="F1890" i="4" s="1"/>
  <c r="D1410" i="4"/>
  <c r="F1410" i="4" s="1"/>
  <c r="D1670" i="4"/>
  <c r="F1670" i="4" s="1"/>
  <c r="D1213" i="4"/>
  <c r="F1213" i="4" s="1"/>
  <c r="D1505" i="4"/>
  <c r="F1505" i="4" s="1"/>
  <c r="D1996" i="4"/>
  <c r="F1996" i="4" s="1"/>
  <c r="D2269" i="4"/>
  <c r="F2269" i="4" s="1"/>
  <c r="D1798" i="4"/>
  <c r="F1798" i="4" s="1"/>
  <c r="D2183" i="4"/>
  <c r="F2183" i="4" s="1"/>
  <c r="D1751" i="4"/>
  <c r="F1751" i="4" s="1"/>
  <c r="D1664" i="4"/>
  <c r="F1664" i="4" s="1"/>
  <c r="D2288" i="4"/>
  <c r="F2288" i="4" s="1"/>
  <c r="D1992" i="4"/>
  <c r="F1992" i="4" s="1"/>
  <c r="D2096" i="4"/>
  <c r="F2096" i="4" s="1"/>
  <c r="D2334" i="4"/>
  <c r="F2334" i="4" s="1"/>
  <c r="D2397" i="4"/>
  <c r="F2397" i="4" s="1"/>
  <c r="D2488" i="4"/>
  <c r="F2488" i="4" s="1"/>
  <c r="D31" i="4"/>
  <c r="F31" i="4" s="1"/>
  <c r="D92" i="4"/>
  <c r="F92" i="4" s="1"/>
  <c r="D156" i="4"/>
  <c r="F156" i="4" s="1"/>
  <c r="D220" i="4"/>
  <c r="F220" i="4" s="1"/>
  <c r="D283" i="4"/>
  <c r="F283" i="4" s="1"/>
  <c r="D346" i="4"/>
  <c r="F346" i="4" s="1"/>
  <c r="D409" i="4"/>
  <c r="F409" i="4" s="1"/>
  <c r="D469" i="4"/>
  <c r="F469" i="4" s="1"/>
  <c r="D531" i="4"/>
  <c r="F531" i="4" s="1"/>
  <c r="D592" i="4"/>
  <c r="F592" i="4" s="1"/>
  <c r="D48" i="4"/>
  <c r="F48" i="4" s="1"/>
  <c r="D399" i="4"/>
  <c r="F399" i="4" s="1"/>
  <c r="D524" i="4"/>
  <c r="F524" i="4" s="1"/>
  <c r="D659" i="4"/>
  <c r="F659" i="4" s="1"/>
  <c r="D723" i="4"/>
  <c r="F723" i="4" s="1"/>
  <c r="D786" i="4"/>
  <c r="F786" i="4" s="1"/>
  <c r="D313" i="4"/>
  <c r="F313" i="4" s="1"/>
  <c r="D376" i="4"/>
  <c r="F376" i="4" s="1"/>
  <c r="D470" i="4"/>
  <c r="F470" i="4" s="1"/>
  <c r="D533" i="4"/>
  <c r="F533" i="4" s="1"/>
  <c r="D660" i="4"/>
  <c r="F660" i="4" s="1"/>
  <c r="D724" i="4"/>
  <c r="F724" i="4" s="1"/>
  <c r="D787" i="4"/>
  <c r="F787" i="4" s="1"/>
  <c r="D851" i="4"/>
  <c r="F851" i="4" s="1"/>
  <c r="D915" i="4"/>
  <c r="F915" i="4" s="1"/>
  <c r="D977" i="4"/>
  <c r="F977" i="4" s="1"/>
  <c r="D282" i="4"/>
  <c r="F282" i="4" s="1"/>
  <c r="D345" i="4"/>
  <c r="F345" i="4" s="1"/>
  <c r="D471" i="4"/>
  <c r="F471" i="4" s="1"/>
  <c r="D558" i="4"/>
  <c r="F558" i="4" s="1"/>
  <c r="D622" i="4"/>
  <c r="F622" i="4" s="1"/>
  <c r="D693" i="4"/>
  <c r="F693" i="4" s="1"/>
  <c r="D139" i="4"/>
  <c r="F139" i="4" s="1"/>
  <c r="D203" i="4"/>
  <c r="F203" i="4" s="1"/>
  <c r="D386" i="4"/>
  <c r="F386" i="4" s="1"/>
  <c r="D543" i="4"/>
  <c r="F543" i="4" s="1"/>
  <c r="D607" i="4"/>
  <c r="F607" i="4" s="1"/>
  <c r="D710" i="4"/>
  <c r="F710" i="4" s="1"/>
  <c r="D773" i="4"/>
  <c r="F773" i="4" s="1"/>
  <c r="D837" i="4"/>
  <c r="F837" i="4" s="1"/>
  <c r="D901" i="4"/>
  <c r="F901" i="4" s="1"/>
  <c r="D971" i="4"/>
  <c r="F971" i="4" s="1"/>
  <c r="D308" i="4"/>
  <c r="F308" i="4" s="1"/>
  <c r="D379" i="4"/>
  <c r="F379" i="4" s="1"/>
  <c r="D544" i="4"/>
  <c r="F544" i="4" s="1"/>
  <c r="D671" i="4"/>
  <c r="F671" i="4" s="1"/>
  <c r="D735" i="4"/>
  <c r="F735" i="4" s="1"/>
  <c r="D798" i="4"/>
  <c r="F798" i="4" s="1"/>
  <c r="D862" i="4"/>
  <c r="F862" i="4" s="1"/>
  <c r="D926" i="4"/>
  <c r="F926" i="4" s="1"/>
  <c r="D141" i="4"/>
  <c r="F141" i="4" s="1"/>
  <c r="D205" i="4"/>
  <c r="F205" i="4" s="1"/>
  <c r="D269" i="4"/>
  <c r="F269" i="4" s="1"/>
  <c r="D333" i="4"/>
  <c r="F333" i="4" s="1"/>
  <c r="D553" i="4"/>
  <c r="F553" i="4" s="1"/>
  <c r="D625" i="4"/>
  <c r="F625" i="4" s="1"/>
  <c r="D704" i="4"/>
  <c r="F704" i="4" s="1"/>
  <c r="D733" i="4"/>
  <c r="F733" i="4" s="1"/>
  <c r="D812" i="4"/>
  <c r="F812" i="4" s="1"/>
  <c r="D908" i="4"/>
  <c r="F908" i="4" s="1"/>
  <c r="D1018" i="4"/>
  <c r="F1018" i="4" s="1"/>
  <c r="D1114" i="4"/>
  <c r="F1114" i="4" s="1"/>
  <c r="D1216" i="4"/>
  <c r="F1216" i="4" s="1"/>
  <c r="D1333" i="4"/>
  <c r="F1333" i="4" s="1"/>
  <c r="D1060" i="4"/>
  <c r="F1060" i="4" s="1"/>
  <c r="D1193" i="4"/>
  <c r="F1193" i="4" s="1"/>
  <c r="D1318" i="4"/>
  <c r="F1318" i="4" s="1"/>
  <c r="D1445" i="4"/>
  <c r="F1445" i="4" s="1"/>
  <c r="D1571" i="4"/>
  <c r="F1571" i="4" s="1"/>
  <c r="D1041" i="4"/>
  <c r="F1041" i="4" s="1"/>
  <c r="D1178" i="4"/>
  <c r="F1178" i="4" s="1"/>
  <c r="D1303" i="4"/>
  <c r="F1303" i="4" s="1"/>
  <c r="D1430" i="4"/>
  <c r="F1430" i="4" s="1"/>
  <c r="D1556" i="4"/>
  <c r="F1556" i="4" s="1"/>
  <c r="D815" i="4"/>
  <c r="F815" i="4" s="1"/>
  <c r="D943" i="4"/>
  <c r="F943" i="4" s="1"/>
  <c r="D1070" i="4"/>
  <c r="F1070" i="4" s="1"/>
  <c r="D1195" i="4"/>
  <c r="F1195" i="4" s="1"/>
  <c r="D1328" i="4"/>
  <c r="F1328" i="4" s="1"/>
  <c r="D745" i="4"/>
  <c r="F745" i="4" s="1"/>
  <c r="D880" i="4"/>
  <c r="F880" i="4" s="1"/>
  <c r="D1006" i="4"/>
  <c r="F1006" i="4" s="1"/>
  <c r="D1140" i="4"/>
  <c r="F1140" i="4" s="1"/>
  <c r="D1281" i="4"/>
  <c r="F1281" i="4" s="1"/>
  <c r="D898" i="4"/>
  <c r="F898" i="4" s="1"/>
  <c r="D1089" i="4"/>
  <c r="F1089" i="4" s="1"/>
  <c r="D1275" i="4"/>
  <c r="F1275" i="4" s="1"/>
  <c r="D1419" i="4"/>
  <c r="F1419" i="4" s="1"/>
  <c r="D1175" i="4"/>
  <c r="F1175" i="4" s="1"/>
  <c r="D1761" i="4"/>
  <c r="F1761" i="4" s="1"/>
  <c r="D1902" i="4"/>
  <c r="F1902" i="4" s="1"/>
  <c r="D785" i="4"/>
  <c r="F785" i="4" s="1"/>
  <c r="D976" i="4"/>
  <c r="F976" i="4" s="1"/>
  <c r="D1675" i="4"/>
  <c r="F1675" i="4" s="1"/>
  <c r="D1864" i="4"/>
  <c r="F1864" i="4" s="1"/>
  <c r="D666" i="4"/>
  <c r="F666" i="4" s="1"/>
  <c r="D1113" i="4"/>
  <c r="F1113" i="4" s="1"/>
  <c r="D1557" i="4"/>
  <c r="F1557" i="4" s="1"/>
  <c r="D1740" i="4"/>
  <c r="F1740" i="4" s="1"/>
  <c r="D1313" i="4"/>
  <c r="F1313" i="4" s="1"/>
  <c r="D1494" i="4"/>
  <c r="F1494" i="4" s="1"/>
  <c r="D1685" i="4"/>
  <c r="F1685" i="4" s="1"/>
  <c r="D1945" i="4"/>
  <c r="F1945" i="4" s="1"/>
  <c r="D1465" i="4"/>
  <c r="F1465" i="4" s="1"/>
  <c r="D1726" i="4"/>
  <c r="F1726" i="4" s="1"/>
  <c r="D1292" i="4"/>
  <c r="F1292" i="4" s="1"/>
  <c r="D1561" i="4"/>
  <c r="F1561" i="4" s="1"/>
  <c r="D2058" i="4"/>
  <c r="F2058" i="4" s="1"/>
  <c r="D2322" i="4"/>
  <c r="F2322" i="4" s="1"/>
  <c r="D1861" i="4"/>
  <c r="F1861" i="4" s="1"/>
  <c r="D2278" i="4"/>
  <c r="F2278" i="4" s="1"/>
  <c r="D1862" i="4"/>
  <c r="F1862" i="4" s="1"/>
  <c r="D1776" i="4"/>
  <c r="F1776" i="4" s="1"/>
  <c r="D1436" i="4"/>
  <c r="F1436" i="4" s="1"/>
  <c r="D2102" i="4"/>
  <c r="F2102" i="4" s="1"/>
  <c r="D2212" i="4"/>
  <c r="F2212" i="4" s="1"/>
  <c r="D2476" i="4"/>
  <c r="F2476" i="4" s="1"/>
  <c r="D2313" i="4"/>
  <c r="F2313" i="4" s="1"/>
  <c r="D2143" i="4"/>
  <c r="F2143" i="4" s="1"/>
  <c r="D1076" i="4"/>
  <c r="F1076" i="4" s="1"/>
  <c r="D1209" i="4"/>
  <c r="F1209" i="4" s="1"/>
  <c r="D1334" i="4"/>
  <c r="F1334" i="4" s="1"/>
  <c r="D1461" i="4"/>
  <c r="F1461" i="4" s="1"/>
  <c r="D1587" i="4"/>
  <c r="F1587" i="4" s="1"/>
  <c r="D1069" i="4"/>
  <c r="F1069" i="4" s="1"/>
  <c r="D1194" i="4"/>
  <c r="F1194" i="4" s="1"/>
  <c r="D1319" i="4"/>
  <c r="F1319" i="4" s="1"/>
  <c r="D1446" i="4"/>
  <c r="F1446" i="4" s="1"/>
  <c r="D1572" i="4"/>
  <c r="F1572" i="4" s="1"/>
  <c r="D831" i="4"/>
  <c r="F831" i="4" s="1"/>
  <c r="D959" i="4"/>
  <c r="F959" i="4" s="1"/>
  <c r="D1086" i="4"/>
  <c r="F1086" i="4" s="1"/>
  <c r="D1211" i="4"/>
  <c r="F1211" i="4" s="1"/>
  <c r="D1344" i="4"/>
  <c r="F1344" i="4" s="1"/>
  <c r="D761" i="4"/>
  <c r="F761" i="4" s="1"/>
  <c r="D896" i="4"/>
  <c r="F896" i="4" s="1"/>
  <c r="D1022" i="4"/>
  <c r="F1022" i="4" s="1"/>
  <c r="D1156" i="4"/>
  <c r="F1156" i="4" s="1"/>
  <c r="D453" i="4"/>
  <c r="F453" i="4" s="1"/>
  <c r="D946" i="4"/>
  <c r="F946" i="4" s="1"/>
  <c r="D1096" i="4"/>
  <c r="F1096" i="4" s="1"/>
  <c r="D1283" i="4"/>
  <c r="F1283" i="4" s="1"/>
  <c r="D1466" i="4"/>
  <c r="F1466" i="4" s="1"/>
  <c r="D1183" i="4"/>
  <c r="F1183" i="4" s="1"/>
  <c r="D1769" i="4"/>
  <c r="F1769" i="4" s="1"/>
  <c r="D1950" i="4"/>
  <c r="F1950" i="4" s="1"/>
  <c r="D793" i="4"/>
  <c r="F793" i="4" s="1"/>
  <c r="D984" i="4"/>
  <c r="F984" i="4" s="1"/>
  <c r="D1723" i="4"/>
  <c r="F1723" i="4" s="1"/>
  <c r="D1872" i="4"/>
  <c r="F1872" i="4" s="1"/>
  <c r="D674" i="4"/>
  <c r="F674" i="4" s="1"/>
  <c r="D1416" i="4"/>
  <c r="F1416" i="4" s="1"/>
  <c r="D1565" i="4"/>
  <c r="F1565" i="4" s="1"/>
  <c r="D1747" i="4"/>
  <c r="F1747" i="4" s="1"/>
  <c r="D1361" i="4"/>
  <c r="F1361" i="4" s="1"/>
  <c r="D1502" i="4"/>
  <c r="F1502" i="4" s="1"/>
  <c r="D1693" i="4"/>
  <c r="F1693" i="4" s="1"/>
  <c r="D1953" i="4"/>
  <c r="F1953" i="4" s="1"/>
  <c r="D1472" i="4"/>
  <c r="F1472" i="4" s="1"/>
  <c r="D1734" i="4"/>
  <c r="F1734" i="4" s="1"/>
  <c r="D1300" i="4"/>
  <c r="F1300" i="4" s="1"/>
  <c r="D1569" i="4"/>
  <c r="F1569" i="4" s="1"/>
  <c r="D2066" i="4"/>
  <c r="F2066" i="4" s="1"/>
  <c r="D2330" i="4"/>
  <c r="F2330" i="4" s="1"/>
  <c r="D1877" i="4"/>
  <c r="F1877" i="4" s="1"/>
  <c r="D2294" i="4"/>
  <c r="F2294" i="4" s="1"/>
  <c r="D1878" i="4"/>
  <c r="F1878" i="4" s="1"/>
  <c r="D1792" i="4"/>
  <c r="F1792" i="4" s="1"/>
  <c r="D1452" i="4"/>
  <c r="F1452" i="4" s="1"/>
  <c r="D2117" i="4"/>
  <c r="F2117" i="4" s="1"/>
  <c r="D2228" i="4"/>
  <c r="F2228" i="4" s="1"/>
  <c r="D2484" i="4"/>
  <c r="F2484" i="4" s="1"/>
  <c r="D2329" i="4"/>
  <c r="F2329" i="4" s="1"/>
  <c r="D2151" i="4"/>
  <c r="F2151" i="4" s="1"/>
  <c r="AG6" i="5"/>
  <c r="AO6" i="5" s="1"/>
  <c r="AD6" i="5"/>
  <c r="AL6" i="5" s="1"/>
  <c r="AJ6" i="5"/>
  <c r="AR6" i="5" s="1"/>
  <c r="AI5" i="5"/>
  <c r="AQ5" i="5" s="1"/>
  <c r="AJ5" i="5"/>
  <c r="AR5" i="5" s="1"/>
  <c r="AC5" i="5"/>
  <c r="AF5" i="5"/>
  <c r="AN5" i="5" s="1"/>
  <c r="AH6" i="5"/>
  <c r="AP6" i="5" s="1"/>
  <c r="AG5" i="5"/>
  <c r="AO5" i="5" s="1"/>
  <c r="AF6" i="5"/>
  <c r="AN6" i="5" s="1"/>
  <c r="D2523" i="4"/>
  <c r="F2523" i="4" s="1"/>
  <c r="D2531" i="4"/>
  <c r="F2531" i="4" s="1"/>
  <c r="D2539" i="4"/>
  <c r="F2539" i="4" s="1"/>
  <c r="D2547" i="4"/>
  <c r="F2547" i="4" s="1"/>
  <c r="D2555" i="4"/>
  <c r="F2555" i="4" s="1"/>
  <c r="D2563" i="4"/>
  <c r="F2563" i="4" s="1"/>
  <c r="D2571" i="4"/>
  <c r="F2571" i="4" s="1"/>
  <c r="D2579" i="4"/>
  <c r="F2579" i="4" s="1"/>
  <c r="D2587" i="4"/>
  <c r="F2587" i="4" s="1"/>
  <c r="D2595" i="4"/>
  <c r="F2595" i="4" s="1"/>
  <c r="D2603" i="4"/>
  <c r="F2603" i="4" s="1"/>
  <c r="D2611" i="4"/>
  <c r="F2611" i="4" s="1"/>
  <c r="D2619" i="4"/>
  <c r="F2619" i="4" s="1"/>
  <c r="D2627" i="4"/>
  <c r="F2627" i="4" s="1"/>
  <c r="D2635" i="4"/>
  <c r="F2635" i="4" s="1"/>
  <c r="D2643" i="4"/>
  <c r="F2643" i="4" s="1"/>
  <c r="D2651" i="4"/>
  <c r="F2651" i="4" s="1"/>
  <c r="D2659" i="4"/>
  <c r="F2659" i="4" s="1"/>
  <c r="D2667" i="4"/>
  <c r="F2667" i="4" s="1"/>
  <c r="D2675" i="4"/>
  <c r="F2675" i="4" s="1"/>
  <c r="C2516" i="4"/>
  <c r="D2521" i="4"/>
  <c r="F2521" i="4" s="1"/>
  <c r="D2529" i="4"/>
  <c r="F2529" i="4" s="1"/>
  <c r="D2537" i="4"/>
  <c r="F2537" i="4" s="1"/>
  <c r="D2519" i="4"/>
  <c r="F2519" i="4" s="1"/>
  <c r="D2527" i="4"/>
  <c r="F2527" i="4" s="1"/>
  <c r="D2535" i="4"/>
  <c r="F2535" i="4" s="1"/>
  <c r="D2543" i="4"/>
  <c r="F2543" i="4" s="1"/>
  <c r="D2551" i="4"/>
  <c r="F2551" i="4" s="1"/>
  <c r="D2559" i="4"/>
  <c r="F2559" i="4" s="1"/>
  <c r="D2567" i="4"/>
  <c r="F2567" i="4" s="1"/>
  <c r="D2575" i="4"/>
  <c r="F2575" i="4" s="1"/>
  <c r="D2583" i="4"/>
  <c r="F2583" i="4" s="1"/>
  <c r="D2591" i="4"/>
  <c r="F2591" i="4" s="1"/>
  <c r="D2525" i="4"/>
  <c r="F2525" i="4" s="1"/>
  <c r="D2538" i="4"/>
  <c r="F2538" i="4" s="1"/>
  <c r="D2545" i="4"/>
  <c r="F2545" i="4" s="1"/>
  <c r="D2552" i="4"/>
  <c r="F2552" i="4" s="1"/>
  <c r="D2570" i="4"/>
  <c r="F2570" i="4" s="1"/>
  <c r="D2577" i="4"/>
  <c r="F2577" i="4" s="1"/>
  <c r="D2584" i="4"/>
  <c r="F2584" i="4" s="1"/>
  <c r="D2638" i="4"/>
  <c r="F2638" i="4" s="1"/>
  <c r="D2641" i="4"/>
  <c r="F2641" i="4" s="1"/>
  <c r="D2644" i="4"/>
  <c r="F2644" i="4" s="1"/>
  <c r="D2647" i="4"/>
  <c r="F2647" i="4" s="1"/>
  <c r="D2650" i="4"/>
  <c r="F2650" i="4" s="1"/>
  <c r="D2653" i="4"/>
  <c r="F2653" i="4" s="1"/>
  <c r="D2656" i="4"/>
  <c r="F2656" i="4" s="1"/>
  <c r="D2686" i="4"/>
  <c r="F2686" i="4" s="1"/>
  <c r="D2694" i="4"/>
  <c r="F2694" i="4" s="1"/>
  <c r="D2702" i="4"/>
  <c r="F2702" i="4" s="1"/>
  <c r="D2710" i="4"/>
  <c r="F2710" i="4" s="1"/>
  <c r="D2718" i="4"/>
  <c r="F2718" i="4" s="1"/>
  <c r="D2726" i="4"/>
  <c r="F2726" i="4" s="1"/>
  <c r="D2522" i="4"/>
  <c r="F2522" i="4" s="1"/>
  <c r="D2526" i="4"/>
  <c r="F2526" i="4" s="1"/>
  <c r="D2546" i="4"/>
  <c r="F2546" i="4" s="1"/>
  <c r="D2553" i="4"/>
  <c r="F2553" i="4" s="1"/>
  <c r="D2560" i="4"/>
  <c r="F2560" i="4" s="1"/>
  <c r="D2578" i="4"/>
  <c r="F2578" i="4" s="1"/>
  <c r="D2585" i="4"/>
  <c r="F2585" i="4" s="1"/>
  <c r="D2592" i="4"/>
  <c r="F2592" i="4" s="1"/>
  <c r="D2599" i="4"/>
  <c r="F2599" i="4" s="1"/>
  <c r="D2602" i="4"/>
  <c r="F2602" i="4" s="1"/>
  <c r="D2605" i="4"/>
  <c r="F2605" i="4" s="1"/>
  <c r="D2608" i="4"/>
  <c r="F2608" i="4" s="1"/>
  <c r="D2654" i="4"/>
  <c r="F2654" i="4" s="1"/>
  <c r="D2657" i="4"/>
  <c r="F2657" i="4" s="1"/>
  <c r="D2660" i="4"/>
  <c r="F2660" i="4" s="1"/>
  <c r="D2663" i="4"/>
  <c r="F2663" i="4" s="1"/>
  <c r="D2666" i="4"/>
  <c r="F2666" i="4" s="1"/>
  <c r="D2669" i="4"/>
  <c r="F2669" i="4" s="1"/>
  <c r="D2672" i="4"/>
  <c r="F2672" i="4" s="1"/>
  <c r="D2684" i="4"/>
  <c r="F2684" i="4" s="1"/>
  <c r="D2692" i="4"/>
  <c r="F2692" i="4" s="1"/>
  <c r="D2700" i="4"/>
  <c r="F2700" i="4" s="1"/>
  <c r="D2708" i="4"/>
  <c r="F2708" i="4" s="1"/>
  <c r="D2716" i="4"/>
  <c r="F2716" i="4" s="1"/>
  <c r="D2724" i="4"/>
  <c r="F2724" i="4" s="1"/>
  <c r="D2732" i="4"/>
  <c r="F2732" i="4" s="1"/>
  <c r="D2740" i="4"/>
  <c r="F2740" i="4" s="1"/>
  <c r="D2748" i="4"/>
  <c r="F2748" i="4" s="1"/>
  <c r="D2756" i="4"/>
  <c r="F2756" i="4" s="1"/>
  <c r="D2764" i="4"/>
  <c r="F2764" i="4" s="1"/>
  <c r="D2772" i="4"/>
  <c r="F2772" i="4" s="1"/>
  <c r="D2780" i="4"/>
  <c r="F2780" i="4" s="1"/>
  <c r="D2788" i="4"/>
  <c r="F2788" i="4" s="1"/>
  <c r="D2796" i="4"/>
  <c r="F2796" i="4" s="1"/>
  <c r="D2804" i="4"/>
  <c r="F2804" i="4" s="1"/>
  <c r="D2812" i="4"/>
  <c r="F2812" i="4" s="1"/>
  <c r="D2820" i="4"/>
  <c r="F2820" i="4" s="1"/>
  <c r="D2828" i="4"/>
  <c r="F2828" i="4" s="1"/>
  <c r="D2836" i="4"/>
  <c r="F2836" i="4" s="1"/>
  <c r="D2844" i="4"/>
  <c r="F2844" i="4" s="1"/>
  <c r="D2852" i="4"/>
  <c r="F2852" i="4" s="1"/>
  <c r="D2860" i="4"/>
  <c r="F2860" i="4" s="1"/>
  <c r="D2868" i="4"/>
  <c r="F2868" i="4" s="1"/>
  <c r="D2876" i="4"/>
  <c r="F2876" i="4" s="1"/>
  <c r="D2884" i="4"/>
  <c r="F2884" i="4" s="1"/>
  <c r="D2892" i="4"/>
  <c r="F2892" i="4" s="1"/>
  <c r="D2900" i="4"/>
  <c r="F2900" i="4" s="1"/>
  <c r="D2908" i="4"/>
  <c r="F2908" i="4" s="1"/>
  <c r="D2916" i="4"/>
  <c r="F2916" i="4" s="1"/>
  <c r="D2924" i="4"/>
  <c r="F2924" i="4" s="1"/>
  <c r="D2932" i="4"/>
  <c r="F2932" i="4" s="1"/>
  <c r="D2940" i="4"/>
  <c r="F2940" i="4" s="1"/>
  <c r="D2948" i="4"/>
  <c r="F2948" i="4" s="1"/>
  <c r="D2956" i="4"/>
  <c r="F2956" i="4" s="1"/>
  <c r="D2964" i="4"/>
  <c r="F2964" i="4" s="1"/>
  <c r="D2972" i="4"/>
  <c r="F2972" i="4" s="1"/>
  <c r="D2980" i="4"/>
  <c r="F2980" i="4" s="1"/>
  <c r="D2988" i="4"/>
  <c r="F2988" i="4" s="1"/>
  <c r="D2996" i="4"/>
  <c r="F2996" i="4" s="1"/>
  <c r="D3004" i="4"/>
  <c r="F3004" i="4" s="1"/>
  <c r="D3012" i="4"/>
  <c r="F3012" i="4" s="1"/>
  <c r="D3020" i="4"/>
  <c r="F3020" i="4" s="1"/>
  <c r="D3028" i="4"/>
  <c r="F3028" i="4" s="1"/>
  <c r="D3036" i="4"/>
  <c r="F3036" i="4" s="1"/>
  <c r="D3044" i="4"/>
  <c r="F3044" i="4" s="1"/>
  <c r="D3052" i="4"/>
  <c r="F3052" i="4" s="1"/>
  <c r="D3060" i="4"/>
  <c r="F3060" i="4" s="1"/>
  <c r="D3068" i="4"/>
  <c r="F3068" i="4" s="1"/>
  <c r="D3076" i="4"/>
  <c r="F3076" i="4" s="1"/>
  <c r="D3084" i="4"/>
  <c r="F3084" i="4" s="1"/>
  <c r="D3092" i="4"/>
  <c r="F3092" i="4" s="1"/>
  <c r="D3100" i="4"/>
  <c r="F3100" i="4" s="1"/>
  <c r="D3108" i="4"/>
  <c r="F3108" i="4" s="1"/>
  <c r="D2518" i="4"/>
  <c r="F2518" i="4" s="1"/>
  <c r="D2540" i="4"/>
  <c r="F2540" i="4" s="1"/>
  <c r="D2550" i="4"/>
  <c r="F2550" i="4" s="1"/>
  <c r="D2564" i="4"/>
  <c r="F2564" i="4" s="1"/>
  <c r="D2573" i="4"/>
  <c r="F2573" i="4" s="1"/>
  <c r="D2597" i="4"/>
  <c r="F2597" i="4" s="1"/>
  <c r="D2601" i="4"/>
  <c r="F2601" i="4" s="1"/>
  <c r="D2613" i="4"/>
  <c r="F2613" i="4" s="1"/>
  <c r="D2630" i="4"/>
  <c r="F2630" i="4" s="1"/>
  <c r="D2642" i="4"/>
  <c r="F2642" i="4" s="1"/>
  <c r="D2646" i="4"/>
  <c r="F2646" i="4" s="1"/>
  <c r="D2658" i="4"/>
  <c r="F2658" i="4" s="1"/>
  <c r="D2662" i="4"/>
  <c r="F2662" i="4" s="1"/>
  <c r="D2674" i="4"/>
  <c r="F2674" i="4" s="1"/>
  <c r="D2693" i="4"/>
  <c r="F2693" i="4" s="1"/>
  <c r="D2707" i="4"/>
  <c r="F2707" i="4" s="1"/>
  <c r="D2711" i="4"/>
  <c r="F2711" i="4" s="1"/>
  <c r="D2725" i="4"/>
  <c r="F2725" i="4" s="1"/>
  <c r="D2735" i="4"/>
  <c r="F2735" i="4" s="1"/>
  <c r="D2738" i="4"/>
  <c r="F2738" i="4" s="1"/>
  <c r="D2741" i="4"/>
  <c r="F2741" i="4" s="1"/>
  <c r="D2744" i="4"/>
  <c r="F2744" i="4" s="1"/>
  <c r="D2747" i="4"/>
  <c r="F2747" i="4" s="1"/>
  <c r="D2750" i="4"/>
  <c r="F2750" i="4" s="1"/>
  <c r="D2753" i="4"/>
  <c r="F2753" i="4" s="1"/>
  <c r="D2799" i="4"/>
  <c r="F2799" i="4" s="1"/>
  <c r="D2802" i="4"/>
  <c r="F2802" i="4" s="1"/>
  <c r="D2805" i="4"/>
  <c r="F2805" i="4" s="1"/>
  <c r="D2808" i="4"/>
  <c r="F2808" i="4" s="1"/>
  <c r="D2811" i="4"/>
  <c r="F2811" i="4" s="1"/>
  <c r="D2814" i="4"/>
  <c r="F2814" i="4" s="1"/>
  <c r="D2817" i="4"/>
  <c r="F2817" i="4" s="1"/>
  <c r="D2863" i="4"/>
  <c r="F2863" i="4" s="1"/>
  <c r="D2866" i="4"/>
  <c r="F2866" i="4" s="1"/>
  <c r="D2869" i="4"/>
  <c r="F2869" i="4" s="1"/>
  <c r="D2872" i="4"/>
  <c r="F2872" i="4" s="1"/>
  <c r="D2875" i="4"/>
  <c r="F2875" i="4" s="1"/>
  <c r="D2878" i="4"/>
  <c r="F2878" i="4" s="1"/>
  <c r="D2881" i="4"/>
  <c r="F2881" i="4" s="1"/>
  <c r="D2517" i="4"/>
  <c r="F2517" i="4" s="1"/>
  <c r="D2524" i="4"/>
  <c r="F2524" i="4" s="1"/>
  <c r="D2580" i="4"/>
  <c r="F2580" i="4" s="1"/>
  <c r="D2586" i="4"/>
  <c r="F2586" i="4" s="1"/>
  <c r="D2620" i="4"/>
  <c r="F2620" i="4" s="1"/>
  <c r="D2629" i="4"/>
  <c r="F2629" i="4" s="1"/>
  <c r="D2634" i="4"/>
  <c r="F2634" i="4" s="1"/>
  <c r="D2639" i="4"/>
  <c r="F2639" i="4" s="1"/>
  <c r="D2648" i="4"/>
  <c r="F2648" i="4" s="1"/>
  <c r="D2671" i="4"/>
  <c r="F2671" i="4" s="1"/>
  <c r="D2676" i="4"/>
  <c r="F2676" i="4" s="1"/>
  <c r="D2680" i="4"/>
  <c r="F2680" i="4" s="1"/>
  <c r="D2697" i="4"/>
  <c r="F2697" i="4" s="1"/>
  <c r="D2701" i="4"/>
  <c r="F2701" i="4" s="1"/>
  <c r="D2705" i="4"/>
  <c r="F2705" i="4" s="1"/>
  <c r="D2709" i="4"/>
  <c r="F2709" i="4" s="1"/>
  <c r="D2713" i="4"/>
  <c r="F2713" i="4" s="1"/>
  <c r="D2717" i="4"/>
  <c r="F2717" i="4" s="1"/>
  <c r="D2721" i="4"/>
  <c r="F2721" i="4" s="1"/>
  <c r="D2733" i="4"/>
  <c r="F2733" i="4" s="1"/>
  <c r="D2754" i="4"/>
  <c r="F2754" i="4" s="1"/>
  <c r="D2771" i="4"/>
  <c r="F2771" i="4" s="1"/>
  <c r="D2775" i="4"/>
  <c r="F2775" i="4" s="1"/>
  <c r="D2785" i="4"/>
  <c r="F2785" i="4" s="1"/>
  <c r="D2792" i="4"/>
  <c r="F2792" i="4" s="1"/>
  <c r="D2806" i="4"/>
  <c r="F2806" i="4" s="1"/>
  <c r="D2813" i="4"/>
  <c r="F2813" i="4" s="1"/>
  <c r="D2827" i="4"/>
  <c r="F2827" i="4" s="1"/>
  <c r="D2834" i="4"/>
  <c r="F2834" i="4" s="1"/>
  <c r="D2848" i="4"/>
  <c r="F2848" i="4" s="1"/>
  <c r="D2855" i="4"/>
  <c r="F2855" i="4" s="1"/>
  <c r="D2865" i="4"/>
  <c r="F2865" i="4" s="1"/>
  <c r="D2886" i="4"/>
  <c r="F2886" i="4" s="1"/>
  <c r="D2893" i="4"/>
  <c r="F2893" i="4" s="1"/>
  <c r="D2907" i="4"/>
  <c r="F2907" i="4" s="1"/>
  <c r="D2910" i="4"/>
  <c r="F2910" i="4" s="1"/>
  <c r="D2913" i="4"/>
  <c r="F2913" i="4" s="1"/>
  <c r="D2959" i="4"/>
  <c r="F2959" i="4" s="1"/>
  <c r="D2962" i="4"/>
  <c r="F2962" i="4" s="1"/>
  <c r="D2965" i="4"/>
  <c r="F2965" i="4" s="1"/>
  <c r="D2968" i="4"/>
  <c r="F2968" i="4" s="1"/>
  <c r="D2971" i="4"/>
  <c r="F2971" i="4" s="1"/>
  <c r="D2974" i="4"/>
  <c r="F2974" i="4" s="1"/>
  <c r="D2977" i="4"/>
  <c r="F2977" i="4" s="1"/>
  <c r="D3023" i="4"/>
  <c r="F3023" i="4" s="1"/>
  <c r="D3026" i="4"/>
  <c r="F3026" i="4" s="1"/>
  <c r="D3029" i="4"/>
  <c r="F3029" i="4" s="1"/>
  <c r="D3032" i="4"/>
  <c r="F3032" i="4" s="1"/>
  <c r="D3035" i="4"/>
  <c r="F3035" i="4" s="1"/>
  <c r="D3038" i="4"/>
  <c r="F3038" i="4" s="1"/>
  <c r="D3041" i="4"/>
  <c r="F3041" i="4" s="1"/>
  <c r="D3087" i="4"/>
  <c r="F3087" i="4" s="1"/>
  <c r="D3090" i="4"/>
  <c r="F3090" i="4" s="1"/>
  <c r="D3093" i="4"/>
  <c r="F3093" i="4" s="1"/>
  <c r="D3096" i="4"/>
  <c r="F3096" i="4" s="1"/>
  <c r="D3099" i="4"/>
  <c r="F3099" i="4" s="1"/>
  <c r="D3102" i="4"/>
  <c r="F3102" i="4" s="1"/>
  <c r="D3105" i="4"/>
  <c r="F3105" i="4" s="1"/>
  <c r="D3114" i="4"/>
  <c r="F3114" i="4" s="1"/>
  <c r="D3122" i="4"/>
  <c r="F3122" i="4" s="1"/>
  <c r="D3130" i="4"/>
  <c r="F3130" i="4" s="1"/>
  <c r="D3138" i="4"/>
  <c r="F3138" i="4" s="1"/>
  <c r="D3146" i="4"/>
  <c r="F3146" i="4" s="1"/>
  <c r="D3154" i="4"/>
  <c r="F3154" i="4" s="1"/>
  <c r="D3162" i="4"/>
  <c r="F3162" i="4" s="1"/>
  <c r="D3170" i="4"/>
  <c r="F3170" i="4" s="1"/>
  <c r="D3178" i="4"/>
  <c r="F3178" i="4" s="1"/>
  <c r="D3186" i="4"/>
  <c r="F3186" i="4" s="1"/>
  <c r="D3194" i="4"/>
  <c r="F3194" i="4" s="1"/>
  <c r="D3202" i="4"/>
  <c r="F3202" i="4" s="1"/>
  <c r="D3210" i="4"/>
  <c r="F3210" i="4" s="1"/>
  <c r="D3218" i="4"/>
  <c r="F3218" i="4" s="1"/>
  <c r="D3226" i="4"/>
  <c r="F3226" i="4" s="1"/>
  <c r="D3234" i="4"/>
  <c r="F3234" i="4" s="1"/>
  <c r="D3242" i="4"/>
  <c r="F3242" i="4" s="1"/>
  <c r="D3250" i="4"/>
  <c r="F3250" i="4" s="1"/>
  <c r="D3258" i="4"/>
  <c r="F3258" i="4" s="1"/>
  <c r="D3266" i="4"/>
  <c r="F3266" i="4" s="1"/>
  <c r="D3274" i="4"/>
  <c r="F3274" i="4" s="1"/>
  <c r="D3282" i="4"/>
  <c r="F3282" i="4" s="1"/>
  <c r="D3290" i="4"/>
  <c r="F3290" i="4" s="1"/>
  <c r="D3298" i="4"/>
  <c r="F3298" i="4" s="1"/>
  <c r="D3306" i="4"/>
  <c r="F3306" i="4" s="1"/>
  <c r="D3314" i="4"/>
  <c r="F3314" i="4" s="1"/>
  <c r="D3322" i="4"/>
  <c r="F3322" i="4" s="1"/>
  <c r="D3330" i="4"/>
  <c r="F3330" i="4" s="1"/>
  <c r="D3338" i="4"/>
  <c r="F3338" i="4" s="1"/>
  <c r="D3346" i="4"/>
  <c r="F3346" i="4" s="1"/>
  <c r="D3354" i="4"/>
  <c r="F3354" i="4" s="1"/>
  <c r="D3362" i="4"/>
  <c r="F3362" i="4" s="1"/>
  <c r="D3370" i="4"/>
  <c r="F3370" i="4" s="1"/>
  <c r="D3378" i="4"/>
  <c r="F3378" i="4" s="1"/>
  <c r="D3386" i="4"/>
  <c r="F3386" i="4" s="1"/>
  <c r="D3394" i="4"/>
  <c r="F3394" i="4" s="1"/>
  <c r="D3402" i="4"/>
  <c r="F3402" i="4" s="1"/>
  <c r="D3410" i="4"/>
  <c r="F3410" i="4" s="1"/>
  <c r="D3418" i="4"/>
  <c r="F3418" i="4" s="1"/>
  <c r="D3426" i="4"/>
  <c r="F3426" i="4" s="1"/>
  <c r="D3434" i="4"/>
  <c r="F3434" i="4" s="1"/>
  <c r="D3442" i="4"/>
  <c r="F3442" i="4" s="1"/>
  <c r="D3450" i="4"/>
  <c r="F3450" i="4" s="1"/>
  <c r="D3458" i="4"/>
  <c r="F3458" i="4" s="1"/>
  <c r="D3466" i="4"/>
  <c r="F3466" i="4" s="1"/>
  <c r="D3474" i="4"/>
  <c r="F3474" i="4" s="1"/>
  <c r="D3482" i="4"/>
  <c r="F3482" i="4" s="1"/>
  <c r="D3490" i="4"/>
  <c r="F3490" i="4" s="1"/>
  <c r="D3498" i="4"/>
  <c r="F3498" i="4" s="1"/>
  <c r="D3506" i="4"/>
  <c r="F3506" i="4" s="1"/>
  <c r="D2548" i="4"/>
  <c r="F2548" i="4" s="1"/>
  <c r="D2554" i="4"/>
  <c r="F2554" i="4" s="1"/>
  <c r="D2565" i="4"/>
  <c r="F2565" i="4" s="1"/>
  <c r="D2581" i="4"/>
  <c r="F2581" i="4" s="1"/>
  <c r="D2625" i="4"/>
  <c r="F2625" i="4" s="1"/>
  <c r="D2681" i="4"/>
  <c r="F2681" i="4" s="1"/>
  <c r="D2685" i="4"/>
  <c r="F2685" i="4" s="1"/>
  <c r="D2689" i="4"/>
  <c r="F2689" i="4" s="1"/>
  <c r="D2722" i="4"/>
  <c r="F2722" i="4" s="1"/>
  <c r="D2730" i="4"/>
  <c r="F2730" i="4" s="1"/>
  <c r="D2751" i="4"/>
  <c r="F2751" i="4" s="1"/>
  <c r="D2761" i="4"/>
  <c r="F2761" i="4" s="1"/>
  <c r="D2768" i="4"/>
  <c r="F2768" i="4" s="1"/>
  <c r="D2782" i="4"/>
  <c r="F2782" i="4" s="1"/>
  <c r="D2789" i="4"/>
  <c r="F2789" i="4" s="1"/>
  <c r="D2803" i="4"/>
  <c r="F2803" i="4" s="1"/>
  <c r="D2810" i="4"/>
  <c r="F2810" i="4" s="1"/>
  <c r="D2824" i="4"/>
  <c r="F2824" i="4" s="1"/>
  <c r="D2831" i="4"/>
  <c r="F2831" i="4" s="1"/>
  <c r="D2841" i="4"/>
  <c r="F2841" i="4" s="1"/>
  <c r="D2845" i="4"/>
  <c r="F2845" i="4" s="1"/>
  <c r="D2862" i="4"/>
  <c r="F2862" i="4" s="1"/>
  <c r="D2883" i="4"/>
  <c r="F2883" i="4" s="1"/>
  <c r="D2890" i="4"/>
  <c r="F2890" i="4" s="1"/>
  <c r="D2897" i="4"/>
  <c r="F2897" i="4" s="1"/>
  <c r="D2904" i="4"/>
  <c r="F2904" i="4" s="1"/>
  <c r="D2935" i="4"/>
  <c r="F2935" i="4" s="1"/>
  <c r="D2938" i="4"/>
  <c r="F2938" i="4" s="1"/>
  <c r="D2941" i="4"/>
  <c r="F2941" i="4" s="1"/>
  <c r="D2944" i="4"/>
  <c r="F2944" i="4" s="1"/>
  <c r="D2947" i="4"/>
  <c r="F2947" i="4" s="1"/>
  <c r="D2950" i="4"/>
  <c r="F2950" i="4" s="1"/>
  <c r="D2953" i="4"/>
  <c r="F2953" i="4" s="1"/>
  <c r="D2999" i="4"/>
  <c r="F2999" i="4" s="1"/>
  <c r="D3002" i="4"/>
  <c r="F3002" i="4" s="1"/>
  <c r="D3005" i="4"/>
  <c r="F3005" i="4" s="1"/>
  <c r="D3008" i="4"/>
  <c r="F3008" i="4" s="1"/>
  <c r="D3011" i="4"/>
  <c r="F3011" i="4" s="1"/>
  <c r="D3014" i="4"/>
  <c r="F3014" i="4" s="1"/>
  <c r="D3017" i="4"/>
  <c r="F3017" i="4" s="1"/>
  <c r="D3063" i="4"/>
  <c r="F3063" i="4" s="1"/>
  <c r="D3066" i="4"/>
  <c r="F3066" i="4" s="1"/>
  <c r="D3069" i="4"/>
  <c r="F3069" i="4" s="1"/>
  <c r="D3072" i="4"/>
  <c r="F3072" i="4" s="1"/>
  <c r="D3075" i="4"/>
  <c r="F3075" i="4" s="1"/>
  <c r="D3078" i="4"/>
  <c r="F3078" i="4" s="1"/>
  <c r="D3081" i="4"/>
  <c r="F3081" i="4" s="1"/>
  <c r="D3117" i="4"/>
  <c r="F3117" i="4" s="1"/>
  <c r="D3125" i="4"/>
  <c r="F3125" i="4" s="1"/>
  <c r="D3133" i="4"/>
  <c r="F3133" i="4" s="1"/>
  <c r="D3141" i="4"/>
  <c r="F3141" i="4" s="1"/>
  <c r="D3149" i="4"/>
  <c r="F3149" i="4" s="1"/>
  <c r="D3157" i="4"/>
  <c r="F3157" i="4" s="1"/>
  <c r="D3165" i="4"/>
  <c r="F3165" i="4" s="1"/>
  <c r="D3173" i="4"/>
  <c r="F3173" i="4" s="1"/>
  <c r="D3181" i="4"/>
  <c r="F3181" i="4" s="1"/>
  <c r="D3189" i="4"/>
  <c r="F3189" i="4" s="1"/>
  <c r="D3197" i="4"/>
  <c r="F3197" i="4" s="1"/>
  <c r="D3205" i="4"/>
  <c r="F3205" i="4" s="1"/>
  <c r="D3213" i="4"/>
  <c r="F3213" i="4" s="1"/>
  <c r="D3221" i="4"/>
  <c r="F3221" i="4" s="1"/>
  <c r="D3229" i="4"/>
  <c r="F3229" i="4" s="1"/>
  <c r="D3237" i="4"/>
  <c r="F3237" i="4" s="1"/>
  <c r="D3245" i="4"/>
  <c r="F3245" i="4" s="1"/>
  <c r="D3253" i="4"/>
  <c r="F3253" i="4" s="1"/>
  <c r="D2532" i="4"/>
  <c r="F2532" i="4" s="1"/>
  <c r="D2549" i="4"/>
  <c r="F2549" i="4" s="1"/>
  <c r="D2576" i="4"/>
  <c r="F2576" i="4" s="1"/>
  <c r="D2582" i="4"/>
  <c r="F2582" i="4" s="1"/>
  <c r="D2593" i="4"/>
  <c r="F2593" i="4" s="1"/>
  <c r="D2598" i="4"/>
  <c r="F2598" i="4" s="1"/>
  <c r="D2607" i="4"/>
  <c r="F2607" i="4" s="1"/>
  <c r="D2612" i="4"/>
  <c r="F2612" i="4" s="1"/>
  <c r="D2616" i="4"/>
  <c r="F2616" i="4" s="1"/>
  <c r="D2621" i="4"/>
  <c r="F2621" i="4" s="1"/>
  <c r="D2626" i="4"/>
  <c r="F2626" i="4" s="1"/>
  <c r="D2649" i="4"/>
  <c r="F2649" i="4" s="1"/>
  <c r="D2690" i="4"/>
  <c r="F2690" i="4" s="1"/>
  <c r="D2698" i="4"/>
  <c r="F2698" i="4" s="1"/>
  <c r="D2706" i="4"/>
  <c r="F2706" i="4" s="1"/>
  <c r="D2714" i="4"/>
  <c r="F2714" i="4" s="1"/>
  <c r="D2737" i="4"/>
  <c r="F2737" i="4" s="1"/>
  <c r="D2758" i="4"/>
  <c r="F2758" i="4" s="1"/>
  <c r="D2765" i="4"/>
  <c r="F2765" i="4" s="1"/>
  <c r="D2779" i="4"/>
  <c r="F2779" i="4" s="1"/>
  <c r="D2786" i="4"/>
  <c r="F2786" i="4" s="1"/>
  <c r="D2793" i="4"/>
  <c r="F2793" i="4" s="1"/>
  <c r="D2800" i="4"/>
  <c r="F2800" i="4" s="1"/>
  <c r="D2807" i="4"/>
  <c r="F2807" i="4" s="1"/>
  <c r="D2821" i="4"/>
  <c r="F2821" i="4" s="1"/>
  <c r="D2838" i="4"/>
  <c r="F2838" i="4" s="1"/>
  <c r="D2842" i="4"/>
  <c r="F2842" i="4" s="1"/>
  <c r="D2859" i="4"/>
  <c r="F2859" i="4" s="1"/>
  <c r="D2873" i="4"/>
  <c r="F2873" i="4" s="1"/>
  <c r="D2880" i="4"/>
  <c r="F2880" i="4" s="1"/>
  <c r="D2887" i="4"/>
  <c r="F2887" i="4" s="1"/>
  <c r="D2894" i="4"/>
  <c r="F2894" i="4" s="1"/>
  <c r="D2901" i="4"/>
  <c r="F2901" i="4" s="1"/>
  <c r="D2911" i="4"/>
  <c r="F2911" i="4" s="1"/>
  <c r="D2914" i="4"/>
  <c r="F2914" i="4" s="1"/>
  <c r="D2917" i="4"/>
  <c r="F2917" i="4" s="1"/>
  <c r="D2920" i="4"/>
  <c r="F2920" i="4" s="1"/>
  <c r="D2923" i="4"/>
  <c r="F2923" i="4" s="1"/>
  <c r="D2926" i="4"/>
  <c r="F2926" i="4" s="1"/>
  <c r="D2929" i="4"/>
  <c r="F2929" i="4" s="1"/>
  <c r="D2975" i="4"/>
  <c r="F2975" i="4" s="1"/>
  <c r="D2978" i="4"/>
  <c r="F2978" i="4" s="1"/>
  <c r="D2981" i="4"/>
  <c r="F2981" i="4" s="1"/>
  <c r="D2984" i="4"/>
  <c r="F2984" i="4" s="1"/>
  <c r="D2987" i="4"/>
  <c r="F2987" i="4" s="1"/>
  <c r="D2990" i="4"/>
  <c r="F2990" i="4" s="1"/>
  <c r="D2993" i="4"/>
  <c r="F2993" i="4" s="1"/>
  <c r="D3039" i="4"/>
  <c r="F3039" i="4" s="1"/>
  <c r="D3042" i="4"/>
  <c r="F3042" i="4" s="1"/>
  <c r="D3045" i="4"/>
  <c r="F3045" i="4" s="1"/>
  <c r="D3048" i="4"/>
  <c r="F3048" i="4" s="1"/>
  <c r="D3051" i="4"/>
  <c r="F3051" i="4" s="1"/>
  <c r="D3054" i="4"/>
  <c r="F3054" i="4" s="1"/>
  <c r="D3057" i="4"/>
  <c r="F3057" i="4" s="1"/>
  <c r="D3103" i="4"/>
  <c r="F3103" i="4" s="1"/>
  <c r="D3106" i="4"/>
  <c r="F3106" i="4" s="1"/>
  <c r="D3109" i="4"/>
  <c r="F3109" i="4" s="1"/>
  <c r="D3112" i="4"/>
  <c r="F3112" i="4" s="1"/>
  <c r="D3120" i="4"/>
  <c r="F3120" i="4" s="1"/>
  <c r="D3128" i="4"/>
  <c r="F3128" i="4" s="1"/>
  <c r="D3136" i="4"/>
  <c r="F3136" i="4" s="1"/>
  <c r="D3144" i="4"/>
  <c r="F3144" i="4" s="1"/>
  <c r="D3152" i="4"/>
  <c r="F3152" i="4" s="1"/>
  <c r="D3160" i="4"/>
  <c r="F3160" i="4" s="1"/>
  <c r="D3168" i="4"/>
  <c r="F3168" i="4" s="1"/>
  <c r="D3176" i="4"/>
  <c r="F3176" i="4" s="1"/>
  <c r="D3184" i="4"/>
  <c r="F3184" i="4" s="1"/>
  <c r="D3192" i="4"/>
  <c r="F3192" i="4" s="1"/>
  <c r="D3200" i="4"/>
  <c r="F3200" i="4" s="1"/>
  <c r="D3208" i="4"/>
  <c r="F3208" i="4" s="1"/>
  <c r="D3216" i="4"/>
  <c r="F3216" i="4" s="1"/>
  <c r="D3224" i="4"/>
  <c r="F3224" i="4" s="1"/>
  <c r="D3232" i="4"/>
  <c r="F3232" i="4" s="1"/>
  <c r="D3240" i="4"/>
  <c r="F3240" i="4" s="1"/>
  <c r="D3248" i="4"/>
  <c r="F3248" i="4" s="1"/>
  <c r="D3256" i="4"/>
  <c r="F3256" i="4" s="1"/>
  <c r="D3264" i="4"/>
  <c r="F3264" i="4" s="1"/>
  <c r="D3272" i="4"/>
  <c r="F3272" i="4" s="1"/>
  <c r="D3280" i="4"/>
  <c r="F3280" i="4" s="1"/>
  <c r="D3288" i="4"/>
  <c r="F3288" i="4" s="1"/>
  <c r="D3296" i="4"/>
  <c r="F3296" i="4" s="1"/>
  <c r="D3304" i="4"/>
  <c r="F3304" i="4" s="1"/>
  <c r="D3312" i="4"/>
  <c r="F3312" i="4" s="1"/>
  <c r="D3320" i="4"/>
  <c r="F3320" i="4" s="1"/>
  <c r="D3328" i="4"/>
  <c r="F3328" i="4" s="1"/>
  <c r="D3336" i="4"/>
  <c r="F3336" i="4" s="1"/>
  <c r="D3344" i="4"/>
  <c r="F3344" i="4" s="1"/>
  <c r="D3352" i="4"/>
  <c r="F3352" i="4" s="1"/>
  <c r="D3360" i="4"/>
  <c r="F3360" i="4" s="1"/>
  <c r="D3368" i="4"/>
  <c r="F3368" i="4" s="1"/>
  <c r="D3376" i="4"/>
  <c r="F3376" i="4" s="1"/>
  <c r="D3384" i="4"/>
  <c r="F3384" i="4" s="1"/>
  <c r="D3392" i="4"/>
  <c r="F3392" i="4" s="1"/>
  <c r="D3400" i="4"/>
  <c r="F3400" i="4" s="1"/>
  <c r="D3408" i="4"/>
  <c r="F3408" i="4" s="1"/>
  <c r="D3416" i="4"/>
  <c r="F3416" i="4" s="1"/>
  <c r="D3424" i="4"/>
  <c r="F3424" i="4" s="1"/>
  <c r="D3432" i="4"/>
  <c r="F3432" i="4" s="1"/>
  <c r="D3440" i="4"/>
  <c r="F3440" i="4" s="1"/>
  <c r="D3448" i="4"/>
  <c r="F3448" i="4" s="1"/>
  <c r="D3456" i="4"/>
  <c r="F3456" i="4" s="1"/>
  <c r="D3464" i="4"/>
  <c r="F3464" i="4" s="1"/>
  <c r="D3472" i="4"/>
  <c r="F3472" i="4" s="1"/>
  <c r="D3480" i="4"/>
  <c r="F3480" i="4" s="1"/>
  <c r="D3488" i="4"/>
  <c r="F3488" i="4" s="1"/>
  <c r="D3496" i="4"/>
  <c r="F3496" i="4" s="1"/>
  <c r="D3504" i="4"/>
  <c r="F3504" i="4" s="1"/>
  <c r="D3512" i="4"/>
  <c r="F3512" i="4" s="1"/>
  <c r="D3520" i="4"/>
  <c r="F3520" i="4" s="1"/>
  <c r="D3528" i="4"/>
  <c r="F3528" i="4" s="1"/>
  <c r="D2544" i="4"/>
  <c r="F2544" i="4" s="1"/>
  <c r="D2561" i="4"/>
  <c r="F2561" i="4" s="1"/>
  <c r="D2566" i="4"/>
  <c r="F2566" i="4" s="1"/>
  <c r="D2588" i="4"/>
  <c r="F2588" i="4" s="1"/>
  <c r="D2617" i="4"/>
  <c r="F2617" i="4" s="1"/>
  <c r="D2622" i="4"/>
  <c r="F2622" i="4" s="1"/>
  <c r="D2631" i="4"/>
  <c r="F2631" i="4" s="1"/>
  <c r="D2636" i="4"/>
  <c r="F2636" i="4" s="1"/>
  <c r="D2640" i="4"/>
  <c r="F2640" i="4" s="1"/>
  <c r="D2645" i="4"/>
  <c r="F2645" i="4" s="1"/>
  <c r="D2668" i="4"/>
  <c r="F2668" i="4" s="1"/>
  <c r="D2673" i="4"/>
  <c r="F2673" i="4" s="1"/>
  <c r="D2677" i="4"/>
  <c r="F2677" i="4" s="1"/>
  <c r="D2682" i="4"/>
  <c r="F2682" i="4" s="1"/>
  <c r="D2719" i="4"/>
  <c r="F2719" i="4" s="1"/>
  <c r="D2727" i="4"/>
  <c r="F2727" i="4" s="1"/>
  <c r="D2734" i="4"/>
  <c r="F2734" i="4" s="1"/>
  <c r="D2755" i="4"/>
  <c r="F2755" i="4" s="1"/>
  <c r="D2762" i="4"/>
  <c r="F2762" i="4" s="1"/>
  <c r="D2769" i="4"/>
  <c r="F2769" i="4" s="1"/>
  <c r="D2776" i="4"/>
  <c r="F2776" i="4" s="1"/>
  <c r="D2783" i="4"/>
  <c r="F2783" i="4" s="1"/>
  <c r="D2790" i="4"/>
  <c r="F2790" i="4" s="1"/>
  <c r="D2797" i="4"/>
  <c r="F2797" i="4" s="1"/>
  <c r="D2818" i="4"/>
  <c r="F2818" i="4" s="1"/>
  <c r="D2835" i="4"/>
  <c r="F2835" i="4" s="1"/>
  <c r="D2839" i="4"/>
  <c r="F2839" i="4" s="1"/>
  <c r="D2849" i="4"/>
  <c r="F2849" i="4" s="1"/>
  <c r="D2856" i="4"/>
  <c r="F2856" i="4" s="1"/>
  <c r="D2870" i="4"/>
  <c r="F2870" i="4" s="1"/>
  <c r="D2877" i="4"/>
  <c r="F2877" i="4" s="1"/>
  <c r="D2891" i="4"/>
  <c r="F2891" i="4" s="1"/>
  <c r="D2898" i="4"/>
  <c r="F2898" i="4" s="1"/>
  <c r="D2951" i="4"/>
  <c r="F2951" i="4" s="1"/>
  <c r="D2954" i="4"/>
  <c r="F2954" i="4" s="1"/>
  <c r="D2957" i="4"/>
  <c r="F2957" i="4" s="1"/>
  <c r="D2960" i="4"/>
  <c r="F2960" i="4" s="1"/>
  <c r="D2963" i="4"/>
  <c r="F2963" i="4" s="1"/>
  <c r="D2966" i="4"/>
  <c r="F2966" i="4" s="1"/>
  <c r="D2969" i="4"/>
  <c r="F2969" i="4" s="1"/>
  <c r="D3015" i="4"/>
  <c r="F3015" i="4" s="1"/>
  <c r="D3018" i="4"/>
  <c r="F3018" i="4" s="1"/>
  <c r="D3021" i="4"/>
  <c r="F3021" i="4" s="1"/>
  <c r="D3024" i="4"/>
  <c r="F3024" i="4" s="1"/>
  <c r="D3027" i="4"/>
  <c r="F3027" i="4" s="1"/>
  <c r="D3030" i="4"/>
  <c r="F3030" i="4" s="1"/>
  <c r="D3033" i="4"/>
  <c r="F3033" i="4" s="1"/>
  <c r="D3079" i="4"/>
  <c r="F3079" i="4" s="1"/>
  <c r="D3082" i="4"/>
  <c r="F3082" i="4" s="1"/>
  <c r="D3085" i="4"/>
  <c r="F3085" i="4" s="1"/>
  <c r="D3088" i="4"/>
  <c r="F3088" i="4" s="1"/>
  <c r="D3091" i="4"/>
  <c r="F3091" i="4" s="1"/>
  <c r="D3094" i="4"/>
  <c r="F3094" i="4" s="1"/>
  <c r="D3097" i="4"/>
  <c r="F3097" i="4" s="1"/>
  <c r="D3115" i="4"/>
  <c r="F3115" i="4" s="1"/>
  <c r="D3123" i="4"/>
  <c r="F3123" i="4" s="1"/>
  <c r="D3131" i="4"/>
  <c r="F3131" i="4" s="1"/>
  <c r="D3139" i="4"/>
  <c r="F3139" i="4" s="1"/>
  <c r="D3147" i="4"/>
  <c r="F3147" i="4" s="1"/>
  <c r="D3155" i="4"/>
  <c r="F3155" i="4" s="1"/>
  <c r="D3163" i="4"/>
  <c r="F3163" i="4" s="1"/>
  <c r="D3171" i="4"/>
  <c r="F3171" i="4" s="1"/>
  <c r="D3179" i="4"/>
  <c r="F3179" i="4" s="1"/>
  <c r="D3187" i="4"/>
  <c r="F3187" i="4" s="1"/>
  <c r="D3195" i="4"/>
  <c r="F3195" i="4" s="1"/>
  <c r="D3203" i="4"/>
  <c r="F3203" i="4" s="1"/>
  <c r="D3211" i="4"/>
  <c r="F3211" i="4" s="1"/>
  <c r="D3219" i="4"/>
  <c r="F3219" i="4" s="1"/>
  <c r="D3227" i="4"/>
  <c r="F3227" i="4" s="1"/>
  <c r="D3235" i="4"/>
  <c r="F3235" i="4" s="1"/>
  <c r="D3243" i="4"/>
  <c r="F3243" i="4" s="1"/>
  <c r="D3251" i="4"/>
  <c r="F3251" i="4" s="1"/>
  <c r="D3259" i="4"/>
  <c r="F3259" i="4" s="1"/>
  <c r="D3267" i="4"/>
  <c r="F3267" i="4" s="1"/>
  <c r="D3275" i="4"/>
  <c r="F3275" i="4" s="1"/>
  <c r="D3283" i="4"/>
  <c r="F3283" i="4" s="1"/>
  <c r="D3291" i="4"/>
  <c r="F3291" i="4" s="1"/>
  <c r="D3299" i="4"/>
  <c r="F3299" i="4" s="1"/>
  <c r="D3307" i="4"/>
  <c r="F3307" i="4" s="1"/>
  <c r="D3315" i="4"/>
  <c r="F3315" i="4" s="1"/>
  <c r="D3323" i="4"/>
  <c r="F3323" i="4" s="1"/>
  <c r="D3331" i="4"/>
  <c r="F3331" i="4" s="1"/>
  <c r="D3339" i="4"/>
  <c r="F3339" i="4" s="1"/>
  <c r="D3347" i="4"/>
  <c r="F3347" i="4" s="1"/>
  <c r="D3355" i="4"/>
  <c r="F3355" i="4" s="1"/>
  <c r="D3363" i="4"/>
  <c r="F3363" i="4" s="1"/>
  <c r="D3371" i="4"/>
  <c r="F3371" i="4" s="1"/>
  <c r="D3379" i="4"/>
  <c r="F3379" i="4" s="1"/>
  <c r="D3387" i="4"/>
  <c r="F3387" i="4" s="1"/>
  <c r="D3395" i="4"/>
  <c r="F3395" i="4" s="1"/>
  <c r="D3403" i="4"/>
  <c r="F3403" i="4" s="1"/>
  <c r="D3411" i="4"/>
  <c r="F3411" i="4" s="1"/>
  <c r="D3419" i="4"/>
  <c r="F3419" i="4" s="1"/>
  <c r="D3427" i="4"/>
  <c r="F3427" i="4" s="1"/>
  <c r="D3435" i="4"/>
  <c r="F3435" i="4" s="1"/>
  <c r="D3443" i="4"/>
  <c r="F3443" i="4" s="1"/>
  <c r="D3451" i="4"/>
  <c r="F3451" i="4" s="1"/>
  <c r="D3459" i="4"/>
  <c r="F3459" i="4" s="1"/>
  <c r="D3467" i="4"/>
  <c r="F3467" i="4" s="1"/>
  <c r="D3475" i="4"/>
  <c r="F3475" i="4" s="1"/>
  <c r="D3483" i="4"/>
  <c r="F3483" i="4" s="1"/>
  <c r="D3491" i="4"/>
  <c r="F3491" i="4" s="1"/>
  <c r="D3499" i="4"/>
  <c r="F3499" i="4" s="1"/>
  <c r="D3507" i="4"/>
  <c r="F3507" i="4" s="1"/>
  <c r="D2568" i="4"/>
  <c r="F2568" i="4" s="1"/>
  <c r="D2590" i="4"/>
  <c r="F2590" i="4" s="1"/>
  <c r="D2600" i="4"/>
  <c r="F2600" i="4" s="1"/>
  <c r="D2628" i="4"/>
  <c r="F2628" i="4" s="1"/>
  <c r="D2637" i="4"/>
  <c r="F2637" i="4" s="1"/>
  <c r="D2665" i="4"/>
  <c r="F2665" i="4" s="1"/>
  <c r="D2739" i="4"/>
  <c r="F2739" i="4" s="1"/>
  <c r="D2746" i="4"/>
  <c r="F2746" i="4" s="1"/>
  <c r="D2760" i="4"/>
  <c r="F2760" i="4" s="1"/>
  <c r="D2767" i="4"/>
  <c r="F2767" i="4" s="1"/>
  <c r="D2781" i="4"/>
  <c r="F2781" i="4" s="1"/>
  <c r="D2899" i="4"/>
  <c r="F2899" i="4" s="1"/>
  <c r="D2943" i="4"/>
  <c r="F2943" i="4" s="1"/>
  <c r="D2949" i="4"/>
  <c r="F2949" i="4" s="1"/>
  <c r="D2955" i="4"/>
  <c r="F2955" i="4" s="1"/>
  <c r="D2961" i="4"/>
  <c r="F2961" i="4" s="1"/>
  <c r="D3010" i="4"/>
  <c r="F3010" i="4" s="1"/>
  <c r="D3016" i="4"/>
  <c r="F3016" i="4" s="1"/>
  <c r="D3022" i="4"/>
  <c r="F3022" i="4" s="1"/>
  <c r="D3071" i="4"/>
  <c r="F3071" i="4" s="1"/>
  <c r="D3077" i="4"/>
  <c r="F3077" i="4" s="1"/>
  <c r="D3083" i="4"/>
  <c r="F3083" i="4" s="1"/>
  <c r="D3089" i="4"/>
  <c r="F3089" i="4" s="1"/>
  <c r="D3124" i="4"/>
  <c r="F3124" i="4" s="1"/>
  <c r="D3140" i="4"/>
  <c r="F3140" i="4" s="1"/>
  <c r="D3156" i="4"/>
  <c r="F3156" i="4" s="1"/>
  <c r="D3172" i="4"/>
  <c r="F3172" i="4" s="1"/>
  <c r="D3188" i="4"/>
  <c r="F3188" i="4" s="1"/>
  <c r="D3204" i="4"/>
  <c r="F3204" i="4" s="1"/>
  <c r="D3220" i="4"/>
  <c r="F3220" i="4" s="1"/>
  <c r="D3236" i="4"/>
  <c r="F3236" i="4" s="1"/>
  <c r="D3252" i="4"/>
  <c r="F3252" i="4" s="1"/>
  <c r="D3262" i="4"/>
  <c r="F3262" i="4" s="1"/>
  <c r="D3287" i="4"/>
  <c r="F3287" i="4" s="1"/>
  <c r="D3300" i="4"/>
  <c r="F3300" i="4" s="1"/>
  <c r="D3313" i="4"/>
  <c r="F3313" i="4" s="1"/>
  <c r="D3317" i="4"/>
  <c r="F3317" i="4" s="1"/>
  <c r="D3326" i="4"/>
  <c r="F3326" i="4" s="1"/>
  <c r="D3351" i="4"/>
  <c r="F3351" i="4" s="1"/>
  <c r="D3364" i="4"/>
  <c r="F3364" i="4" s="1"/>
  <c r="D3377" i="4"/>
  <c r="F3377" i="4" s="1"/>
  <c r="D3381" i="4"/>
  <c r="F3381" i="4" s="1"/>
  <c r="D3390" i="4"/>
  <c r="F3390" i="4" s="1"/>
  <c r="D3415" i="4"/>
  <c r="F3415" i="4" s="1"/>
  <c r="D3428" i="4"/>
  <c r="F3428" i="4" s="1"/>
  <c r="D3441" i="4"/>
  <c r="F3441" i="4" s="1"/>
  <c r="D3445" i="4"/>
  <c r="F3445" i="4" s="1"/>
  <c r="D3454" i="4"/>
  <c r="F3454" i="4" s="1"/>
  <c r="D3479" i="4"/>
  <c r="F3479" i="4" s="1"/>
  <c r="D3492" i="4"/>
  <c r="F3492" i="4" s="1"/>
  <c r="D3505" i="4"/>
  <c r="F3505" i="4" s="1"/>
  <c r="D3539" i="4"/>
  <c r="F3539" i="4" s="1"/>
  <c r="D3547" i="4"/>
  <c r="F3547" i="4" s="1"/>
  <c r="D3555" i="4"/>
  <c r="F3555" i="4" s="1"/>
  <c r="D3563" i="4"/>
  <c r="F3563" i="4" s="1"/>
  <c r="D3571" i="4"/>
  <c r="F3571" i="4" s="1"/>
  <c r="D3579" i="4"/>
  <c r="F3579" i="4" s="1"/>
  <c r="D3587" i="4"/>
  <c r="F3587" i="4" s="1"/>
  <c r="D3595" i="4"/>
  <c r="F3595" i="4" s="1"/>
  <c r="D3603" i="4"/>
  <c r="F3603" i="4" s="1"/>
  <c r="D3611" i="4"/>
  <c r="F3611" i="4" s="1"/>
  <c r="D3619" i="4"/>
  <c r="F3619" i="4" s="1"/>
  <c r="D3627" i="4"/>
  <c r="F3627" i="4" s="1"/>
  <c r="D3635" i="4"/>
  <c r="F3635" i="4" s="1"/>
  <c r="D3643" i="4"/>
  <c r="F3643" i="4" s="1"/>
  <c r="D3651" i="4"/>
  <c r="F3651" i="4" s="1"/>
  <c r="D3659" i="4"/>
  <c r="F3659" i="4" s="1"/>
  <c r="D3667" i="4"/>
  <c r="F3667" i="4" s="1"/>
  <c r="D3675" i="4"/>
  <c r="F3675" i="4" s="1"/>
  <c r="D3683" i="4"/>
  <c r="F3683" i="4" s="1"/>
  <c r="D3691" i="4"/>
  <c r="F3691" i="4" s="1"/>
  <c r="D3699" i="4"/>
  <c r="F3699" i="4" s="1"/>
  <c r="D3707" i="4"/>
  <c r="F3707" i="4" s="1"/>
  <c r="D3715" i="4"/>
  <c r="F3715" i="4" s="1"/>
  <c r="D3723" i="4"/>
  <c r="F3723" i="4" s="1"/>
  <c r="D3731" i="4"/>
  <c r="F3731" i="4" s="1"/>
  <c r="D3739" i="4"/>
  <c r="F3739" i="4" s="1"/>
  <c r="D3747" i="4"/>
  <c r="F3747" i="4" s="1"/>
  <c r="D3755" i="4"/>
  <c r="F3755" i="4" s="1"/>
  <c r="D3763" i="4"/>
  <c r="F3763" i="4" s="1"/>
  <c r="D3771" i="4"/>
  <c r="F3771" i="4" s="1"/>
  <c r="D3779" i="4"/>
  <c r="F3779" i="4" s="1"/>
  <c r="D3787" i="4"/>
  <c r="F3787" i="4" s="1"/>
  <c r="D3795" i="4"/>
  <c r="F3795" i="4" s="1"/>
  <c r="D3803" i="4"/>
  <c r="F3803" i="4" s="1"/>
  <c r="D3811" i="4"/>
  <c r="F3811" i="4" s="1"/>
  <c r="D3819" i="4"/>
  <c r="F3819" i="4" s="1"/>
  <c r="D2536" i="4"/>
  <c r="F2536" i="4" s="1"/>
  <c r="D2558" i="4"/>
  <c r="F2558" i="4" s="1"/>
  <c r="D2569" i="4"/>
  <c r="F2569" i="4" s="1"/>
  <c r="D2610" i="4"/>
  <c r="F2610" i="4" s="1"/>
  <c r="D2774" i="4"/>
  <c r="F2774" i="4" s="1"/>
  <c r="D2795" i="4"/>
  <c r="F2795" i="4" s="1"/>
  <c r="D2809" i="4"/>
  <c r="F2809" i="4" s="1"/>
  <c r="D2816" i="4"/>
  <c r="F2816" i="4" s="1"/>
  <c r="D2823" i="4"/>
  <c r="F2823" i="4" s="1"/>
  <c r="D2830" i="4"/>
  <c r="F2830" i="4" s="1"/>
  <c r="D2837" i="4"/>
  <c r="F2837" i="4" s="1"/>
  <c r="D2851" i="4"/>
  <c r="F2851" i="4" s="1"/>
  <c r="D2858" i="4"/>
  <c r="F2858" i="4" s="1"/>
  <c r="D2879" i="4"/>
  <c r="F2879" i="4" s="1"/>
  <c r="D2919" i="4"/>
  <c r="F2919" i="4" s="1"/>
  <c r="D2925" i="4"/>
  <c r="F2925" i="4" s="1"/>
  <c r="D2931" i="4"/>
  <c r="F2931" i="4" s="1"/>
  <c r="D2937" i="4"/>
  <c r="F2937" i="4" s="1"/>
  <c r="D2986" i="4"/>
  <c r="F2986" i="4" s="1"/>
  <c r="D2992" i="4"/>
  <c r="F2992" i="4" s="1"/>
  <c r="D2998" i="4"/>
  <c r="F2998" i="4" s="1"/>
  <c r="D3047" i="4"/>
  <c r="F3047" i="4" s="1"/>
  <c r="D3053" i="4"/>
  <c r="F3053" i="4" s="1"/>
  <c r="D3059" i="4"/>
  <c r="F3059" i="4" s="1"/>
  <c r="D3065" i="4"/>
  <c r="F3065" i="4" s="1"/>
  <c r="D3119" i="4"/>
  <c r="F3119" i="4" s="1"/>
  <c r="D3135" i="4"/>
  <c r="F3135" i="4" s="1"/>
  <c r="D3151" i="4"/>
  <c r="F3151" i="4" s="1"/>
  <c r="D3167" i="4"/>
  <c r="F3167" i="4" s="1"/>
  <c r="D3183" i="4"/>
  <c r="F3183" i="4" s="1"/>
  <c r="D3199" i="4"/>
  <c r="F3199" i="4" s="1"/>
  <c r="D3215" i="4"/>
  <c r="F3215" i="4" s="1"/>
  <c r="D3231" i="4"/>
  <c r="F3231" i="4" s="1"/>
  <c r="D3247" i="4"/>
  <c r="F3247" i="4" s="1"/>
  <c r="D3279" i="4"/>
  <c r="F3279" i="4" s="1"/>
  <c r="D3292" i="4"/>
  <c r="F3292" i="4" s="1"/>
  <c r="D3305" i="4"/>
  <c r="F3305" i="4" s="1"/>
  <c r="D3309" i="4"/>
  <c r="F3309" i="4" s="1"/>
  <c r="D3318" i="4"/>
  <c r="F3318" i="4" s="1"/>
  <c r="D3343" i="4"/>
  <c r="F3343" i="4" s="1"/>
  <c r="D3356" i="4"/>
  <c r="F3356" i="4" s="1"/>
  <c r="D3369" i="4"/>
  <c r="F3369" i="4" s="1"/>
  <c r="D3373" i="4"/>
  <c r="F3373" i="4" s="1"/>
  <c r="D3382" i="4"/>
  <c r="F3382" i="4" s="1"/>
  <c r="D3407" i="4"/>
  <c r="F3407" i="4" s="1"/>
  <c r="D3420" i="4"/>
  <c r="F3420" i="4" s="1"/>
  <c r="D3433" i="4"/>
  <c r="F3433" i="4" s="1"/>
  <c r="D3437" i="4"/>
  <c r="F3437" i="4" s="1"/>
  <c r="D3446" i="4"/>
  <c r="F3446" i="4" s="1"/>
  <c r="D3471" i="4"/>
  <c r="F3471" i="4" s="1"/>
  <c r="D3484" i="4"/>
  <c r="F3484" i="4" s="1"/>
  <c r="D3497" i="4"/>
  <c r="F3497" i="4" s="1"/>
  <c r="D3501" i="4"/>
  <c r="F3501" i="4" s="1"/>
  <c r="D3509" i="4"/>
  <c r="F3509" i="4" s="1"/>
  <c r="D3531" i="4"/>
  <c r="F3531" i="4" s="1"/>
  <c r="D3534" i="4"/>
  <c r="F3534" i="4" s="1"/>
  <c r="D3542" i="4"/>
  <c r="F3542" i="4" s="1"/>
  <c r="D3550" i="4"/>
  <c r="F3550" i="4" s="1"/>
  <c r="D3558" i="4"/>
  <c r="F3558" i="4" s="1"/>
  <c r="D3566" i="4"/>
  <c r="F3566" i="4" s="1"/>
  <c r="D3574" i="4"/>
  <c r="F3574" i="4" s="1"/>
  <c r="D3582" i="4"/>
  <c r="F3582" i="4" s="1"/>
  <c r="D3590" i="4"/>
  <c r="F3590" i="4" s="1"/>
  <c r="D3598" i="4"/>
  <c r="F3598" i="4" s="1"/>
  <c r="D3606" i="4"/>
  <c r="F3606" i="4" s="1"/>
  <c r="D3614" i="4"/>
  <c r="F3614" i="4" s="1"/>
  <c r="D3622" i="4"/>
  <c r="F3622" i="4" s="1"/>
  <c r="D3630" i="4"/>
  <c r="F3630" i="4" s="1"/>
  <c r="D3638" i="4"/>
  <c r="F3638" i="4" s="1"/>
  <c r="D3646" i="4"/>
  <c r="F3646" i="4" s="1"/>
  <c r="D3654" i="4"/>
  <c r="F3654" i="4" s="1"/>
  <c r="D3662" i="4"/>
  <c r="F3662" i="4" s="1"/>
  <c r="D2572" i="4"/>
  <c r="F2572" i="4" s="1"/>
  <c r="D2594" i="4"/>
  <c r="F2594" i="4" s="1"/>
  <c r="D2678" i="4"/>
  <c r="F2678" i="4" s="1"/>
  <c r="D2687" i="4"/>
  <c r="F2687" i="4" s="1"/>
  <c r="D2695" i="4"/>
  <c r="F2695" i="4" s="1"/>
  <c r="D2703" i="4"/>
  <c r="F2703" i="4" s="1"/>
  <c r="D2825" i="4"/>
  <c r="F2825" i="4" s="1"/>
  <c r="D2832" i="4"/>
  <c r="F2832" i="4" s="1"/>
  <c r="D2846" i="4"/>
  <c r="F2846" i="4" s="1"/>
  <c r="D2853" i="4"/>
  <c r="F2853" i="4" s="1"/>
  <c r="D2867" i="4"/>
  <c r="F2867" i="4" s="1"/>
  <c r="D2874" i="4"/>
  <c r="F2874" i="4" s="1"/>
  <c r="D2888" i="4"/>
  <c r="F2888" i="4" s="1"/>
  <c r="D2895" i="4"/>
  <c r="F2895" i="4" s="1"/>
  <c r="D2927" i="4"/>
  <c r="F2927" i="4" s="1"/>
  <c r="D2933" i="4"/>
  <c r="F2933" i="4" s="1"/>
  <c r="D2939" i="4"/>
  <c r="F2939" i="4" s="1"/>
  <c r="D2945" i="4"/>
  <c r="F2945" i="4" s="1"/>
  <c r="D2994" i="4"/>
  <c r="F2994" i="4" s="1"/>
  <c r="D3000" i="4"/>
  <c r="F3000" i="4" s="1"/>
  <c r="D3006" i="4"/>
  <c r="F3006" i="4" s="1"/>
  <c r="D3055" i="4"/>
  <c r="F3055" i="4" s="1"/>
  <c r="D3061" i="4"/>
  <c r="F3061" i="4" s="1"/>
  <c r="D3067" i="4"/>
  <c r="F3067" i="4" s="1"/>
  <c r="D3073" i="4"/>
  <c r="F3073" i="4" s="1"/>
  <c r="D3126" i="4"/>
  <c r="F3126" i="4" s="1"/>
  <c r="D3142" i="4"/>
  <c r="F3142" i="4" s="1"/>
  <c r="D3158" i="4"/>
  <c r="F3158" i="4" s="1"/>
  <c r="D3174" i="4"/>
  <c r="F3174" i="4" s="1"/>
  <c r="D3190" i="4"/>
  <c r="F3190" i="4" s="1"/>
  <c r="D3206" i="4"/>
  <c r="F3206" i="4" s="1"/>
  <c r="D3222" i="4"/>
  <c r="F3222" i="4" s="1"/>
  <c r="D3238" i="4"/>
  <c r="F3238" i="4" s="1"/>
  <c r="D3254" i="4"/>
  <c r="F3254" i="4" s="1"/>
  <c r="D3271" i="4"/>
  <c r="F3271" i="4" s="1"/>
  <c r="D3284" i="4"/>
  <c r="F3284" i="4" s="1"/>
  <c r="D3297" i="4"/>
  <c r="F3297" i="4" s="1"/>
  <c r="D3301" i="4"/>
  <c r="F3301" i="4" s="1"/>
  <c r="D3310" i="4"/>
  <c r="F3310" i="4" s="1"/>
  <c r="D3335" i="4"/>
  <c r="F3335" i="4" s="1"/>
  <c r="D3348" i="4"/>
  <c r="F3348" i="4" s="1"/>
  <c r="D3361" i="4"/>
  <c r="F3361" i="4" s="1"/>
  <c r="D3365" i="4"/>
  <c r="F3365" i="4" s="1"/>
  <c r="D3374" i="4"/>
  <c r="F3374" i="4" s="1"/>
  <c r="D3399" i="4"/>
  <c r="F3399" i="4" s="1"/>
  <c r="D3412" i="4"/>
  <c r="F3412" i="4" s="1"/>
  <c r="D3425" i="4"/>
  <c r="F3425" i="4" s="1"/>
  <c r="D3429" i="4"/>
  <c r="F3429" i="4" s="1"/>
  <c r="D3438" i="4"/>
  <c r="F3438" i="4" s="1"/>
  <c r="D3463" i="4"/>
  <c r="F3463" i="4" s="1"/>
  <c r="D3476" i="4"/>
  <c r="F3476" i="4" s="1"/>
  <c r="D3489" i="4"/>
  <c r="F3489" i="4" s="1"/>
  <c r="D3493" i="4"/>
  <c r="F3493" i="4" s="1"/>
  <c r="D3502" i="4"/>
  <c r="F3502" i="4" s="1"/>
  <c r="D3510" i="4"/>
  <c r="F3510" i="4" s="1"/>
  <c r="D3513" i="4"/>
  <c r="F3513" i="4" s="1"/>
  <c r="D3516" i="4"/>
  <c r="F3516" i="4" s="1"/>
  <c r="D3519" i="4"/>
  <c r="F3519" i="4" s="1"/>
  <c r="D3522" i="4"/>
  <c r="F3522" i="4" s="1"/>
  <c r="D3525" i="4"/>
  <c r="F3525" i="4" s="1"/>
  <c r="D3537" i="4"/>
  <c r="F3537" i="4" s="1"/>
  <c r="D3545" i="4"/>
  <c r="F3545" i="4" s="1"/>
  <c r="D3553" i="4"/>
  <c r="F3553" i="4" s="1"/>
  <c r="D3561" i="4"/>
  <c r="F3561" i="4" s="1"/>
  <c r="D3569" i="4"/>
  <c r="F3569" i="4" s="1"/>
  <c r="D3577" i="4"/>
  <c r="F3577" i="4" s="1"/>
  <c r="D3585" i="4"/>
  <c r="F3585" i="4" s="1"/>
  <c r="D3593" i="4"/>
  <c r="F3593" i="4" s="1"/>
  <c r="D3601" i="4"/>
  <c r="F3601" i="4" s="1"/>
  <c r="D3609" i="4"/>
  <c r="F3609" i="4" s="1"/>
  <c r="D3617" i="4"/>
  <c r="F3617" i="4" s="1"/>
  <c r="D3625" i="4"/>
  <c r="F3625" i="4" s="1"/>
  <c r="D3633" i="4"/>
  <c r="F3633" i="4" s="1"/>
  <c r="D3641" i="4"/>
  <c r="F3641" i="4" s="1"/>
  <c r="D3649" i="4"/>
  <c r="F3649" i="4" s="1"/>
  <c r="D3657" i="4"/>
  <c r="F3657" i="4" s="1"/>
  <c r="D3665" i="4"/>
  <c r="F3665" i="4" s="1"/>
  <c r="D3673" i="4"/>
  <c r="F3673" i="4" s="1"/>
  <c r="D3681" i="4"/>
  <c r="F3681" i="4" s="1"/>
  <c r="D3689" i="4"/>
  <c r="F3689" i="4" s="1"/>
  <c r="D3697" i="4"/>
  <c r="F3697" i="4" s="1"/>
  <c r="D3705" i="4"/>
  <c r="F3705" i="4" s="1"/>
  <c r="D3713" i="4"/>
  <c r="F3713" i="4" s="1"/>
  <c r="D3721" i="4"/>
  <c r="F3721" i="4" s="1"/>
  <c r="D3729" i="4"/>
  <c r="F3729" i="4" s="1"/>
  <c r="D3737" i="4"/>
  <c r="F3737" i="4" s="1"/>
  <c r="D3745" i="4"/>
  <c r="F3745" i="4" s="1"/>
  <c r="D3753" i="4"/>
  <c r="F3753" i="4" s="1"/>
  <c r="D3761" i="4"/>
  <c r="F3761" i="4" s="1"/>
  <c r="D3769" i="4"/>
  <c r="F3769" i="4" s="1"/>
  <c r="D3777" i="4"/>
  <c r="F3777" i="4" s="1"/>
  <c r="D3785" i="4"/>
  <c r="F3785" i="4" s="1"/>
  <c r="D3793" i="4"/>
  <c r="F3793" i="4" s="1"/>
  <c r="D3801" i="4"/>
  <c r="F3801" i="4" s="1"/>
  <c r="D3809" i="4"/>
  <c r="F3809" i="4" s="1"/>
  <c r="D3817" i="4"/>
  <c r="F3817" i="4" s="1"/>
  <c r="D2562" i="4"/>
  <c r="F2562" i="4" s="1"/>
  <c r="D2604" i="4"/>
  <c r="F2604" i="4" s="1"/>
  <c r="D2614" i="4"/>
  <c r="F2614" i="4" s="1"/>
  <c r="D2623" i="4"/>
  <c r="F2623" i="4" s="1"/>
  <c r="D2632" i="4"/>
  <c r="F2632" i="4" s="1"/>
  <c r="D2679" i="4"/>
  <c r="F2679" i="4" s="1"/>
  <c r="D2742" i="4"/>
  <c r="F2742" i="4" s="1"/>
  <c r="D2749" i="4"/>
  <c r="F2749" i="4" s="1"/>
  <c r="D2763" i="4"/>
  <c r="F2763" i="4" s="1"/>
  <c r="D2770" i="4"/>
  <c r="F2770" i="4" s="1"/>
  <c r="D2784" i="4"/>
  <c r="F2784" i="4" s="1"/>
  <c r="D2791" i="4"/>
  <c r="F2791" i="4" s="1"/>
  <c r="D2902" i="4"/>
  <c r="F2902" i="4" s="1"/>
  <c r="D2909" i="4"/>
  <c r="F2909" i="4" s="1"/>
  <c r="D2915" i="4"/>
  <c r="F2915" i="4" s="1"/>
  <c r="D2921" i="4"/>
  <c r="F2921" i="4" s="1"/>
  <c r="D2970" i="4"/>
  <c r="F2970" i="4" s="1"/>
  <c r="D2976" i="4"/>
  <c r="F2976" i="4" s="1"/>
  <c r="D2982" i="4"/>
  <c r="F2982" i="4" s="1"/>
  <c r="D3031" i="4"/>
  <c r="F3031" i="4" s="1"/>
  <c r="D3037" i="4"/>
  <c r="F3037" i="4" s="1"/>
  <c r="D3043" i="4"/>
  <c r="F3043" i="4" s="1"/>
  <c r="D3049" i="4"/>
  <c r="F3049" i="4" s="1"/>
  <c r="D3098" i="4"/>
  <c r="F3098" i="4" s="1"/>
  <c r="D3104" i="4"/>
  <c r="F3104" i="4" s="1"/>
  <c r="D3110" i="4"/>
  <c r="F3110" i="4" s="1"/>
  <c r="D3121" i="4"/>
  <c r="F3121" i="4" s="1"/>
  <c r="D3137" i="4"/>
  <c r="F3137" i="4" s="1"/>
  <c r="D3153" i="4"/>
  <c r="F3153" i="4" s="1"/>
  <c r="D3169" i="4"/>
  <c r="F3169" i="4" s="1"/>
  <c r="D3185" i="4"/>
  <c r="F3185" i="4" s="1"/>
  <c r="D3201" i="4"/>
  <c r="F3201" i="4" s="1"/>
  <c r="D3217" i="4"/>
  <c r="F3217" i="4" s="1"/>
  <c r="D3233" i="4"/>
  <c r="F3233" i="4" s="1"/>
  <c r="D3249" i="4"/>
  <c r="F3249" i="4" s="1"/>
  <c r="D3263" i="4"/>
  <c r="F3263" i="4" s="1"/>
  <c r="D3276" i="4"/>
  <c r="F3276" i="4" s="1"/>
  <c r="D3289" i="4"/>
  <c r="F3289" i="4" s="1"/>
  <c r="D3293" i="4"/>
  <c r="F3293" i="4" s="1"/>
  <c r="D3302" i="4"/>
  <c r="F3302" i="4" s="1"/>
  <c r="D3327" i="4"/>
  <c r="F3327" i="4" s="1"/>
  <c r="D3340" i="4"/>
  <c r="F3340" i="4" s="1"/>
  <c r="D3353" i="4"/>
  <c r="F3353" i="4" s="1"/>
  <c r="D3357" i="4"/>
  <c r="F3357" i="4" s="1"/>
  <c r="D3366" i="4"/>
  <c r="F3366" i="4" s="1"/>
  <c r="D3391" i="4"/>
  <c r="F3391" i="4" s="1"/>
  <c r="D3404" i="4"/>
  <c r="F3404" i="4" s="1"/>
  <c r="D3417" i="4"/>
  <c r="F3417" i="4" s="1"/>
  <c r="D3421" i="4"/>
  <c r="F3421" i="4" s="1"/>
  <c r="D3430" i="4"/>
  <c r="F3430" i="4" s="1"/>
  <c r="D3455" i="4"/>
  <c r="F3455" i="4" s="1"/>
  <c r="D3468" i="4"/>
  <c r="F3468" i="4" s="1"/>
  <c r="D3481" i="4"/>
  <c r="F3481" i="4" s="1"/>
  <c r="D3485" i="4"/>
  <c r="F3485" i="4" s="1"/>
  <c r="D3494" i="4"/>
  <c r="F3494" i="4" s="1"/>
  <c r="D3540" i="4"/>
  <c r="F3540" i="4" s="1"/>
  <c r="D3548" i="4"/>
  <c r="F3548" i="4" s="1"/>
  <c r="D3556" i="4"/>
  <c r="F3556" i="4" s="1"/>
  <c r="D3564" i="4"/>
  <c r="F3564" i="4" s="1"/>
  <c r="D3572" i="4"/>
  <c r="F3572" i="4" s="1"/>
  <c r="D3580" i="4"/>
  <c r="F3580" i="4" s="1"/>
  <c r="D3588" i="4"/>
  <c r="F3588" i="4" s="1"/>
  <c r="D3596" i="4"/>
  <c r="F3596" i="4" s="1"/>
  <c r="D3604" i="4"/>
  <c r="F3604" i="4" s="1"/>
  <c r="D3612" i="4"/>
  <c r="F3612" i="4" s="1"/>
  <c r="D3620" i="4"/>
  <c r="F3620" i="4" s="1"/>
  <c r="D3628" i="4"/>
  <c r="F3628" i="4" s="1"/>
  <c r="D3636" i="4"/>
  <c r="F3636" i="4" s="1"/>
  <c r="D3644" i="4"/>
  <c r="F3644" i="4" s="1"/>
  <c r="D3652" i="4"/>
  <c r="F3652" i="4" s="1"/>
  <c r="D3660" i="4"/>
  <c r="F3660" i="4" s="1"/>
  <c r="D3668" i="4"/>
  <c r="F3668" i="4" s="1"/>
  <c r="D3676" i="4"/>
  <c r="F3676" i="4" s="1"/>
  <c r="D3684" i="4"/>
  <c r="F3684" i="4" s="1"/>
  <c r="D3692" i="4"/>
  <c r="F3692" i="4" s="1"/>
  <c r="D3700" i="4"/>
  <c r="F3700" i="4" s="1"/>
  <c r="D3708" i="4"/>
  <c r="F3708" i="4" s="1"/>
  <c r="D3716" i="4"/>
  <c r="F3716" i="4" s="1"/>
  <c r="D3724" i="4"/>
  <c r="F3724" i="4" s="1"/>
  <c r="D3732" i="4"/>
  <c r="F3732" i="4" s="1"/>
  <c r="D3740" i="4"/>
  <c r="F3740" i="4" s="1"/>
  <c r="D3748" i="4"/>
  <c r="F3748" i="4" s="1"/>
  <c r="D3756" i="4"/>
  <c r="F3756" i="4" s="1"/>
  <c r="D3764" i="4"/>
  <c r="F3764" i="4" s="1"/>
  <c r="D3772" i="4"/>
  <c r="F3772" i="4" s="1"/>
  <c r="D3780" i="4"/>
  <c r="F3780" i="4" s="1"/>
  <c r="D3788" i="4"/>
  <c r="F3788" i="4" s="1"/>
  <c r="D3796" i="4"/>
  <c r="F3796" i="4" s="1"/>
  <c r="D3804" i="4"/>
  <c r="F3804" i="4" s="1"/>
  <c r="D3812" i="4"/>
  <c r="F3812" i="4" s="1"/>
  <c r="D3820" i="4"/>
  <c r="F3820" i="4" s="1"/>
  <c r="D2520" i="4"/>
  <c r="F2520" i="4" s="1"/>
  <c r="D2533" i="4"/>
  <c r="F2533" i="4" s="1"/>
  <c r="D2556" i="4"/>
  <c r="F2556" i="4" s="1"/>
  <c r="D2589" i="4"/>
  <c r="F2589" i="4" s="1"/>
  <c r="D2618" i="4"/>
  <c r="F2618" i="4" s="1"/>
  <c r="D2655" i="4"/>
  <c r="F2655" i="4" s="1"/>
  <c r="D2664" i="4"/>
  <c r="F2664" i="4" s="1"/>
  <c r="D2715" i="4"/>
  <c r="F2715" i="4" s="1"/>
  <c r="D2723" i="4"/>
  <c r="F2723" i="4" s="1"/>
  <c r="D2731" i="4"/>
  <c r="F2731" i="4" s="1"/>
  <c r="D2745" i="4"/>
  <c r="F2745" i="4" s="1"/>
  <c r="D2752" i="4"/>
  <c r="F2752" i="4" s="1"/>
  <c r="D2759" i="4"/>
  <c r="F2759" i="4" s="1"/>
  <c r="D2766" i="4"/>
  <c r="F2766" i="4" s="1"/>
  <c r="D2773" i="4"/>
  <c r="F2773" i="4" s="1"/>
  <c r="D2787" i="4"/>
  <c r="F2787" i="4" s="1"/>
  <c r="D2794" i="4"/>
  <c r="F2794" i="4" s="1"/>
  <c r="D2815" i="4"/>
  <c r="F2815" i="4" s="1"/>
  <c r="D2905" i="4"/>
  <c r="F2905" i="4" s="1"/>
  <c r="D2930" i="4"/>
  <c r="F2930" i="4" s="1"/>
  <c r="D2936" i="4"/>
  <c r="F2936" i="4" s="1"/>
  <c r="D2942" i="4"/>
  <c r="F2942" i="4" s="1"/>
  <c r="D2991" i="4"/>
  <c r="F2991" i="4" s="1"/>
  <c r="D2997" i="4"/>
  <c r="F2997" i="4" s="1"/>
  <c r="D3003" i="4"/>
  <c r="F3003" i="4" s="1"/>
  <c r="D3009" i="4"/>
  <c r="F3009" i="4" s="1"/>
  <c r="D3058" i="4"/>
  <c r="F3058" i="4" s="1"/>
  <c r="D3064" i="4"/>
  <c r="F3064" i="4" s="1"/>
  <c r="D3070" i="4"/>
  <c r="F3070" i="4" s="1"/>
  <c r="D3118" i="4"/>
  <c r="F3118" i="4" s="1"/>
  <c r="D3134" i="4"/>
  <c r="F3134" i="4" s="1"/>
  <c r="D3150" i="4"/>
  <c r="F3150" i="4" s="1"/>
  <c r="D3166" i="4"/>
  <c r="F3166" i="4" s="1"/>
  <c r="D3182" i="4"/>
  <c r="F3182" i="4" s="1"/>
  <c r="D3198" i="4"/>
  <c r="F3198" i="4" s="1"/>
  <c r="D3214" i="4"/>
  <c r="F3214" i="4" s="1"/>
  <c r="D3230" i="4"/>
  <c r="F3230" i="4" s="1"/>
  <c r="D3246" i="4"/>
  <c r="F3246" i="4" s="1"/>
  <c r="D3265" i="4"/>
  <c r="F3265" i="4" s="1"/>
  <c r="D3269" i="4"/>
  <c r="F3269" i="4" s="1"/>
  <c r="D3278" i="4"/>
  <c r="F3278" i="4" s="1"/>
  <c r="D3303" i="4"/>
  <c r="F3303" i="4" s="1"/>
  <c r="D3316" i="4"/>
  <c r="F3316" i="4" s="1"/>
  <c r="D3329" i="4"/>
  <c r="F3329" i="4" s="1"/>
  <c r="D3333" i="4"/>
  <c r="F3333" i="4" s="1"/>
  <c r="D3342" i="4"/>
  <c r="F3342" i="4" s="1"/>
  <c r="D3367" i="4"/>
  <c r="F3367" i="4" s="1"/>
  <c r="D3380" i="4"/>
  <c r="F3380" i="4" s="1"/>
  <c r="D3393" i="4"/>
  <c r="F3393" i="4" s="1"/>
  <c r="D3397" i="4"/>
  <c r="F3397" i="4" s="1"/>
  <c r="D3406" i="4"/>
  <c r="F3406" i="4" s="1"/>
  <c r="D3431" i="4"/>
  <c r="F3431" i="4" s="1"/>
  <c r="D3444" i="4"/>
  <c r="F3444" i="4" s="1"/>
  <c r="D3457" i="4"/>
  <c r="F3457" i="4" s="1"/>
  <c r="D3461" i="4"/>
  <c r="F3461" i="4" s="1"/>
  <c r="D3470" i="4"/>
  <c r="F3470" i="4" s="1"/>
  <c r="D3495" i="4"/>
  <c r="F3495" i="4" s="1"/>
  <c r="D3508" i="4"/>
  <c r="F3508" i="4" s="1"/>
  <c r="D3541" i="4"/>
  <c r="F3541" i="4" s="1"/>
  <c r="D3549" i="4"/>
  <c r="F3549" i="4" s="1"/>
  <c r="D3557" i="4"/>
  <c r="F3557" i="4" s="1"/>
  <c r="D3565" i="4"/>
  <c r="F3565" i="4" s="1"/>
  <c r="D3573" i="4"/>
  <c r="F3573" i="4" s="1"/>
  <c r="D3581" i="4"/>
  <c r="F3581" i="4" s="1"/>
  <c r="D3589" i="4"/>
  <c r="F3589" i="4" s="1"/>
  <c r="D3597" i="4"/>
  <c r="F3597" i="4" s="1"/>
  <c r="D3605" i="4"/>
  <c r="F3605" i="4" s="1"/>
  <c r="D3613" i="4"/>
  <c r="F3613" i="4" s="1"/>
  <c r="D3621" i="4"/>
  <c r="F3621" i="4" s="1"/>
  <c r="D3629" i="4"/>
  <c r="F3629" i="4" s="1"/>
  <c r="D3637" i="4"/>
  <c r="F3637" i="4" s="1"/>
  <c r="D3645" i="4"/>
  <c r="F3645" i="4" s="1"/>
  <c r="D3653" i="4"/>
  <c r="F3653" i="4" s="1"/>
  <c r="D3661" i="4"/>
  <c r="F3661" i="4" s="1"/>
  <c r="D3669" i="4"/>
  <c r="F3669" i="4" s="1"/>
  <c r="D3677" i="4"/>
  <c r="F3677" i="4" s="1"/>
  <c r="D3685" i="4"/>
  <c r="F3685" i="4" s="1"/>
  <c r="D3693" i="4"/>
  <c r="F3693" i="4" s="1"/>
  <c r="D3701" i="4"/>
  <c r="F3701" i="4" s="1"/>
  <c r="D3709" i="4"/>
  <c r="F3709" i="4" s="1"/>
  <c r="D3717" i="4"/>
  <c r="F3717" i="4" s="1"/>
  <c r="D3725" i="4"/>
  <c r="F3725" i="4" s="1"/>
  <c r="D3733" i="4"/>
  <c r="F3733" i="4" s="1"/>
  <c r="D3741" i="4"/>
  <c r="F3741" i="4" s="1"/>
  <c r="D3749" i="4"/>
  <c r="F3749" i="4" s="1"/>
  <c r="D3757" i="4"/>
  <c r="F3757" i="4" s="1"/>
  <c r="D3765" i="4"/>
  <c r="F3765" i="4" s="1"/>
  <c r="D3773" i="4"/>
  <c r="F3773" i="4" s="1"/>
  <c r="D3781" i="4"/>
  <c r="F3781" i="4" s="1"/>
  <c r="D3789" i="4"/>
  <c r="F3789" i="4" s="1"/>
  <c r="D3797" i="4"/>
  <c r="F3797" i="4" s="1"/>
  <c r="D3805" i="4"/>
  <c r="F3805" i="4" s="1"/>
  <c r="D3813" i="4"/>
  <c r="F3813" i="4" s="1"/>
  <c r="D3821" i="4"/>
  <c r="F3821" i="4" s="1"/>
  <c r="D3829" i="4"/>
  <c r="F3829" i="4" s="1"/>
  <c r="D3837" i="4"/>
  <c r="F3837" i="4" s="1"/>
  <c r="D3845" i="4"/>
  <c r="F3845" i="4" s="1"/>
  <c r="D3853" i="4"/>
  <c r="F3853" i="4" s="1"/>
  <c r="D3861" i="4"/>
  <c r="F3861" i="4" s="1"/>
  <c r="D3869" i="4"/>
  <c r="F3869" i="4" s="1"/>
  <c r="D3877" i="4"/>
  <c r="F3877" i="4" s="1"/>
  <c r="D3885" i="4"/>
  <c r="F3885" i="4" s="1"/>
  <c r="D3893" i="4"/>
  <c r="F3893" i="4" s="1"/>
  <c r="D3901" i="4"/>
  <c r="F3901" i="4" s="1"/>
  <c r="D3909" i="4"/>
  <c r="F3909" i="4" s="1"/>
  <c r="D3917" i="4"/>
  <c r="F3917" i="4" s="1"/>
  <c r="D3925" i="4"/>
  <c r="F3925" i="4" s="1"/>
  <c r="D3933" i="4"/>
  <c r="F3933" i="4" s="1"/>
  <c r="D3941" i="4"/>
  <c r="F3941" i="4" s="1"/>
  <c r="D3949" i="4"/>
  <c r="F3949" i="4" s="1"/>
  <c r="D3957" i="4"/>
  <c r="F3957" i="4" s="1"/>
  <c r="D3965" i="4"/>
  <c r="F3965" i="4" s="1"/>
  <c r="D2606" i="4"/>
  <c r="F2606" i="4" s="1"/>
  <c r="D2633" i="4"/>
  <c r="F2633" i="4" s="1"/>
  <c r="D2704" i="4"/>
  <c r="F2704" i="4" s="1"/>
  <c r="D2743" i="4"/>
  <c r="F2743" i="4" s="1"/>
  <c r="D2819" i="4"/>
  <c r="F2819" i="4" s="1"/>
  <c r="D3025" i="4"/>
  <c r="F3025" i="4" s="1"/>
  <c r="D3040" i="4"/>
  <c r="F3040" i="4" s="1"/>
  <c r="D3056" i="4"/>
  <c r="F3056" i="4" s="1"/>
  <c r="D3074" i="4"/>
  <c r="F3074" i="4" s="1"/>
  <c r="D3164" i="4"/>
  <c r="F3164" i="4" s="1"/>
  <c r="D3177" i="4"/>
  <c r="F3177" i="4" s="1"/>
  <c r="D3191" i="4"/>
  <c r="F3191" i="4" s="1"/>
  <c r="D3261" i="4"/>
  <c r="F3261" i="4" s="1"/>
  <c r="D3273" i="4"/>
  <c r="F3273" i="4" s="1"/>
  <c r="D3285" i="4"/>
  <c r="F3285" i="4" s="1"/>
  <c r="D3295" i="4"/>
  <c r="F3295" i="4" s="1"/>
  <c r="D3319" i="4"/>
  <c r="F3319" i="4" s="1"/>
  <c r="D3341" i="4"/>
  <c r="F3341" i="4" s="1"/>
  <c r="D3375" i="4"/>
  <c r="F3375" i="4" s="1"/>
  <c r="D3398" i="4"/>
  <c r="F3398" i="4" s="1"/>
  <c r="D3422" i="4"/>
  <c r="F3422" i="4" s="1"/>
  <c r="D3478" i="4"/>
  <c r="F3478" i="4" s="1"/>
  <c r="D3500" i="4"/>
  <c r="F3500" i="4" s="1"/>
  <c r="D3511" i="4"/>
  <c r="F3511" i="4" s="1"/>
  <c r="D3527" i="4"/>
  <c r="F3527" i="4" s="1"/>
  <c r="D3543" i="4"/>
  <c r="F3543" i="4" s="1"/>
  <c r="D3578" i="4"/>
  <c r="F3578" i="4" s="1"/>
  <c r="D3592" i="4"/>
  <c r="F3592" i="4" s="1"/>
  <c r="D3607" i="4"/>
  <c r="F3607" i="4" s="1"/>
  <c r="D3642" i="4"/>
  <c r="F3642" i="4" s="1"/>
  <c r="D3656" i="4"/>
  <c r="F3656" i="4" s="1"/>
  <c r="D3674" i="4"/>
  <c r="F3674" i="4" s="1"/>
  <c r="D3690" i="4"/>
  <c r="F3690" i="4" s="1"/>
  <c r="D3706" i="4"/>
  <c r="F3706" i="4" s="1"/>
  <c r="D3722" i="4"/>
  <c r="F3722" i="4" s="1"/>
  <c r="D3738" i="4"/>
  <c r="F3738" i="4" s="1"/>
  <c r="D3754" i="4"/>
  <c r="F3754" i="4" s="1"/>
  <c r="D3770" i="4"/>
  <c r="F3770" i="4" s="1"/>
  <c r="D3786" i="4"/>
  <c r="F3786" i="4" s="1"/>
  <c r="D3802" i="4"/>
  <c r="F3802" i="4" s="1"/>
  <c r="D3818" i="4"/>
  <c r="F3818" i="4" s="1"/>
  <c r="D3822" i="4"/>
  <c r="F3822" i="4" s="1"/>
  <c r="D3825" i="4"/>
  <c r="F3825" i="4" s="1"/>
  <c r="D3828" i="4"/>
  <c r="F3828" i="4" s="1"/>
  <c r="D3831" i="4"/>
  <c r="F3831" i="4" s="1"/>
  <c r="D3834" i="4"/>
  <c r="F3834" i="4" s="1"/>
  <c r="D3880" i="4"/>
  <c r="F3880" i="4" s="1"/>
  <c r="D3883" i="4"/>
  <c r="F3883" i="4" s="1"/>
  <c r="D3886" i="4"/>
  <c r="F3886" i="4" s="1"/>
  <c r="D3889" i="4"/>
  <c r="F3889" i="4" s="1"/>
  <c r="D3892" i="4"/>
  <c r="F3892" i="4" s="1"/>
  <c r="D3895" i="4"/>
  <c r="F3895" i="4" s="1"/>
  <c r="D3898" i="4"/>
  <c r="F3898" i="4" s="1"/>
  <c r="D3944" i="4"/>
  <c r="F3944" i="4" s="1"/>
  <c r="D3947" i="4"/>
  <c r="F3947" i="4" s="1"/>
  <c r="D3950" i="4"/>
  <c r="F3950" i="4" s="1"/>
  <c r="D3953" i="4"/>
  <c r="F3953" i="4" s="1"/>
  <c r="D3956" i="4"/>
  <c r="F3956" i="4" s="1"/>
  <c r="D3959" i="4"/>
  <c r="F3959" i="4" s="1"/>
  <c r="D3962" i="4"/>
  <c r="F3962" i="4" s="1"/>
  <c r="D3968" i="4"/>
  <c r="F3968" i="4" s="1"/>
  <c r="D3976" i="4"/>
  <c r="F3976" i="4" s="1"/>
  <c r="D3984" i="4"/>
  <c r="F3984" i="4" s="1"/>
  <c r="D3992" i="4"/>
  <c r="F3992" i="4" s="1"/>
  <c r="D4000" i="4"/>
  <c r="F4000" i="4" s="1"/>
  <c r="D4008" i="4"/>
  <c r="F4008" i="4" s="1"/>
  <c r="D2609" i="4"/>
  <c r="F2609" i="4" s="1"/>
  <c r="D2683" i="4"/>
  <c r="F2683" i="4" s="1"/>
  <c r="D2728" i="4"/>
  <c r="F2728" i="4" s="1"/>
  <c r="D2801" i="4"/>
  <c r="F2801" i="4" s="1"/>
  <c r="D2840" i="4"/>
  <c r="F2840" i="4" s="1"/>
  <c r="D2857" i="4"/>
  <c r="F2857" i="4" s="1"/>
  <c r="D2912" i="4"/>
  <c r="F2912" i="4" s="1"/>
  <c r="D2928" i="4"/>
  <c r="F2928" i="4" s="1"/>
  <c r="D2946" i="4"/>
  <c r="F2946" i="4" s="1"/>
  <c r="D3107" i="4"/>
  <c r="F3107" i="4" s="1"/>
  <c r="D3180" i="4"/>
  <c r="F3180" i="4" s="1"/>
  <c r="D3193" i="4"/>
  <c r="F3193" i="4" s="1"/>
  <c r="D3207" i="4"/>
  <c r="F3207" i="4" s="1"/>
  <c r="D3286" i="4"/>
  <c r="F3286" i="4" s="1"/>
  <c r="D3308" i="4"/>
  <c r="F3308" i="4" s="1"/>
  <c r="D3332" i="4"/>
  <c r="F3332" i="4" s="1"/>
  <c r="D3388" i="4"/>
  <c r="F3388" i="4" s="1"/>
  <c r="D3529" i="4"/>
  <c r="F3529" i="4" s="1"/>
  <c r="D3536" i="4"/>
  <c r="F3536" i="4" s="1"/>
  <c r="D3551" i="4"/>
  <c r="F3551" i="4" s="1"/>
  <c r="D3586" i="4"/>
  <c r="F3586" i="4" s="1"/>
  <c r="D3600" i="4"/>
  <c r="F3600" i="4" s="1"/>
  <c r="D3615" i="4"/>
  <c r="F3615" i="4" s="1"/>
  <c r="D3650" i="4"/>
  <c r="F3650" i="4" s="1"/>
  <c r="D3664" i="4"/>
  <c r="F3664" i="4" s="1"/>
  <c r="D3680" i="4"/>
  <c r="F3680" i="4" s="1"/>
  <c r="D3696" i="4"/>
  <c r="F3696" i="4" s="1"/>
  <c r="D3712" i="4"/>
  <c r="F3712" i="4" s="1"/>
  <c r="D3728" i="4"/>
  <c r="F3728" i="4" s="1"/>
  <c r="D3744" i="4"/>
  <c r="F3744" i="4" s="1"/>
  <c r="D3760" i="4"/>
  <c r="F3760" i="4" s="1"/>
  <c r="D3776" i="4"/>
  <c r="F3776" i="4" s="1"/>
  <c r="D3792" i="4"/>
  <c r="F3792" i="4" s="1"/>
  <c r="D3808" i="4"/>
  <c r="F3808" i="4" s="1"/>
  <c r="D3856" i="4"/>
  <c r="F3856" i="4" s="1"/>
  <c r="D3859" i="4"/>
  <c r="F3859" i="4" s="1"/>
  <c r="D3862" i="4"/>
  <c r="F3862" i="4" s="1"/>
  <c r="D3865" i="4"/>
  <c r="F3865" i="4" s="1"/>
  <c r="D3868" i="4"/>
  <c r="F3868" i="4" s="1"/>
  <c r="D3871" i="4"/>
  <c r="F3871" i="4" s="1"/>
  <c r="D3874" i="4"/>
  <c r="F3874" i="4" s="1"/>
  <c r="D3920" i="4"/>
  <c r="F3920" i="4" s="1"/>
  <c r="D3923" i="4"/>
  <c r="F3923" i="4" s="1"/>
  <c r="D3926" i="4"/>
  <c r="F3926" i="4" s="1"/>
  <c r="D3929" i="4"/>
  <c r="F3929" i="4" s="1"/>
  <c r="D3932" i="4"/>
  <c r="F3932" i="4" s="1"/>
  <c r="D3935" i="4"/>
  <c r="F3935" i="4" s="1"/>
  <c r="D3938" i="4"/>
  <c r="F3938" i="4" s="1"/>
  <c r="D3971" i="4"/>
  <c r="F3971" i="4" s="1"/>
  <c r="D3979" i="4"/>
  <c r="F3979" i="4" s="1"/>
  <c r="D3987" i="4"/>
  <c r="F3987" i="4" s="1"/>
  <c r="D3995" i="4"/>
  <c r="F3995" i="4" s="1"/>
  <c r="D4003" i="4"/>
  <c r="F4003" i="4" s="1"/>
  <c r="D4011" i="4"/>
  <c r="F4011" i="4" s="1"/>
  <c r="D4016" i="4"/>
  <c r="F4016" i="4" s="1"/>
  <c r="D4018" i="4"/>
  <c r="F4018" i="4" s="1"/>
  <c r="D4020" i="4"/>
  <c r="F4020" i="4" s="1"/>
  <c r="D4022" i="4"/>
  <c r="F4022" i="4" s="1"/>
  <c r="D4024" i="4"/>
  <c r="F4024" i="4" s="1"/>
  <c r="D4026" i="4"/>
  <c r="F4026" i="4" s="1"/>
  <c r="D4028" i="4"/>
  <c r="F4028" i="4" s="1"/>
  <c r="D4030" i="4"/>
  <c r="F4030" i="4" s="1"/>
  <c r="D4032" i="4"/>
  <c r="F4032" i="4" s="1"/>
  <c r="D4034" i="4"/>
  <c r="F4034" i="4" s="1"/>
  <c r="D4036" i="4"/>
  <c r="F4036" i="4" s="1"/>
  <c r="D4038" i="4"/>
  <c r="F4038" i="4" s="1"/>
  <c r="D4040" i="4"/>
  <c r="F4040" i="4" s="1"/>
  <c r="D4042" i="4"/>
  <c r="F4042" i="4" s="1"/>
  <c r="D4044" i="4"/>
  <c r="F4044" i="4" s="1"/>
  <c r="D4046" i="4"/>
  <c r="F4046" i="4" s="1"/>
  <c r="D4048" i="4"/>
  <c r="F4048" i="4" s="1"/>
  <c r="D4050" i="4"/>
  <c r="F4050" i="4" s="1"/>
  <c r="D4052" i="4"/>
  <c r="F4052" i="4" s="1"/>
  <c r="D4054" i="4"/>
  <c r="F4054" i="4" s="1"/>
  <c r="D4056" i="4"/>
  <c r="F4056" i="4" s="1"/>
  <c r="D4058" i="4"/>
  <c r="F4058" i="4" s="1"/>
  <c r="D4060" i="4"/>
  <c r="F4060" i="4" s="1"/>
  <c r="D4062" i="4"/>
  <c r="F4062" i="4" s="1"/>
  <c r="D4064" i="4"/>
  <c r="F4064" i="4" s="1"/>
  <c r="D4066" i="4"/>
  <c r="F4066" i="4" s="1"/>
  <c r="D4068" i="4"/>
  <c r="F4068" i="4" s="1"/>
  <c r="D4070" i="4"/>
  <c r="F4070" i="4" s="1"/>
  <c r="D4072" i="4"/>
  <c r="F4072" i="4" s="1"/>
  <c r="D4074" i="4"/>
  <c r="F4074" i="4" s="1"/>
  <c r="D4076" i="4"/>
  <c r="F4076" i="4" s="1"/>
  <c r="D4078" i="4"/>
  <c r="F4078" i="4" s="1"/>
  <c r="D4080" i="4"/>
  <c r="F4080" i="4" s="1"/>
  <c r="D4082" i="4"/>
  <c r="F4082" i="4" s="1"/>
  <c r="D4084" i="4"/>
  <c r="F4084" i="4" s="1"/>
  <c r="D4086" i="4"/>
  <c r="F4086" i="4" s="1"/>
  <c r="D4088" i="4"/>
  <c r="F4088" i="4" s="1"/>
  <c r="D4090" i="4"/>
  <c r="F4090" i="4" s="1"/>
  <c r="D4092" i="4"/>
  <c r="F4092" i="4" s="1"/>
  <c r="D4094" i="4"/>
  <c r="F4094" i="4" s="1"/>
  <c r="D4096" i="4"/>
  <c r="F4096" i="4" s="1"/>
  <c r="D4098" i="4"/>
  <c r="F4098" i="4" s="1"/>
  <c r="D4100" i="4"/>
  <c r="F4100" i="4" s="1"/>
  <c r="D4102" i="4"/>
  <c r="F4102" i="4" s="1"/>
  <c r="D4104" i="4"/>
  <c r="F4104" i="4" s="1"/>
  <c r="D4106" i="4"/>
  <c r="F4106" i="4" s="1"/>
  <c r="D4108" i="4"/>
  <c r="F4108" i="4" s="1"/>
  <c r="D4110" i="4"/>
  <c r="F4110" i="4" s="1"/>
  <c r="D4112" i="4"/>
  <c r="F4112" i="4" s="1"/>
  <c r="D4114" i="4"/>
  <c r="F4114" i="4" s="1"/>
  <c r="D4116" i="4"/>
  <c r="F4116" i="4" s="1"/>
  <c r="D4118" i="4"/>
  <c r="F4118" i="4" s="1"/>
  <c r="D4120" i="4"/>
  <c r="F4120" i="4" s="1"/>
  <c r="D4122" i="4"/>
  <c r="F4122" i="4" s="1"/>
  <c r="D4124" i="4"/>
  <c r="F4124" i="4" s="1"/>
  <c r="D4126" i="4"/>
  <c r="F4126" i="4" s="1"/>
  <c r="D4128" i="4"/>
  <c r="F4128" i="4" s="1"/>
  <c r="D4130" i="4"/>
  <c r="F4130" i="4" s="1"/>
  <c r="D4132" i="4"/>
  <c r="F4132" i="4" s="1"/>
  <c r="D4134" i="4"/>
  <c r="F4134" i="4" s="1"/>
  <c r="D4136" i="4"/>
  <c r="F4136" i="4" s="1"/>
  <c r="D4138" i="4"/>
  <c r="F4138" i="4" s="1"/>
  <c r="D4140" i="4"/>
  <c r="F4140" i="4" s="1"/>
  <c r="D4142" i="4"/>
  <c r="F4142" i="4" s="1"/>
  <c r="D4144" i="4"/>
  <c r="F4144" i="4" s="1"/>
  <c r="D4146" i="4"/>
  <c r="F4146" i="4" s="1"/>
  <c r="D4148" i="4"/>
  <c r="F4148" i="4" s="1"/>
  <c r="D4150" i="4"/>
  <c r="F4150" i="4" s="1"/>
  <c r="D4152" i="4"/>
  <c r="F4152" i="4" s="1"/>
  <c r="D4154" i="4"/>
  <c r="F4154" i="4" s="1"/>
  <c r="D4156" i="4"/>
  <c r="F4156" i="4" s="1"/>
  <c r="D4158" i="4"/>
  <c r="F4158" i="4" s="1"/>
  <c r="D4160" i="4"/>
  <c r="F4160" i="4" s="1"/>
  <c r="D4162" i="4"/>
  <c r="F4162" i="4" s="1"/>
  <c r="D4164" i="4"/>
  <c r="F4164" i="4" s="1"/>
  <c r="D4166" i="4"/>
  <c r="F4166" i="4" s="1"/>
  <c r="D4168" i="4"/>
  <c r="F4168" i="4" s="1"/>
  <c r="D4170" i="4"/>
  <c r="F4170" i="4" s="1"/>
  <c r="D4172" i="4"/>
  <c r="F4172" i="4" s="1"/>
  <c r="D4174" i="4"/>
  <c r="F4174" i="4" s="1"/>
  <c r="D4176" i="4"/>
  <c r="F4176" i="4" s="1"/>
  <c r="D4178" i="4"/>
  <c r="F4178" i="4" s="1"/>
  <c r="D4180" i="4"/>
  <c r="F4180" i="4" s="1"/>
  <c r="D4182" i="4"/>
  <c r="F4182" i="4" s="1"/>
  <c r="D4184" i="4"/>
  <c r="F4184" i="4" s="1"/>
  <c r="D4186" i="4"/>
  <c r="F4186" i="4" s="1"/>
  <c r="D4188" i="4"/>
  <c r="F4188" i="4" s="1"/>
  <c r="D4190" i="4"/>
  <c r="F4190" i="4" s="1"/>
  <c r="D4192" i="4"/>
  <c r="F4192" i="4" s="1"/>
  <c r="D4194" i="4"/>
  <c r="F4194" i="4" s="1"/>
  <c r="D4196" i="4"/>
  <c r="F4196" i="4" s="1"/>
  <c r="D4198" i="4"/>
  <c r="F4198" i="4" s="1"/>
  <c r="D4200" i="4"/>
  <c r="F4200" i="4" s="1"/>
  <c r="D4202" i="4"/>
  <c r="F4202" i="4" s="1"/>
  <c r="D4204" i="4"/>
  <c r="F4204" i="4" s="1"/>
  <c r="D4206" i="4"/>
  <c r="F4206" i="4" s="1"/>
  <c r="D4208" i="4"/>
  <c r="F4208" i="4" s="1"/>
  <c r="D4210" i="4"/>
  <c r="F4210" i="4" s="1"/>
  <c r="D4212" i="4"/>
  <c r="F4212" i="4" s="1"/>
  <c r="D4214" i="4"/>
  <c r="F4214" i="4" s="1"/>
  <c r="D4216" i="4"/>
  <c r="F4216" i="4" s="1"/>
  <c r="D4218" i="4"/>
  <c r="F4218" i="4" s="1"/>
  <c r="D4220" i="4"/>
  <c r="F4220" i="4" s="1"/>
  <c r="D4222" i="4"/>
  <c r="F4222" i="4" s="1"/>
  <c r="D4224" i="4"/>
  <c r="F4224" i="4" s="1"/>
  <c r="D4226" i="4"/>
  <c r="F4226" i="4" s="1"/>
  <c r="D4228" i="4"/>
  <c r="F4228" i="4" s="1"/>
  <c r="D4230" i="4"/>
  <c r="F4230" i="4" s="1"/>
  <c r="D4232" i="4"/>
  <c r="F4232" i="4" s="1"/>
  <c r="D4234" i="4"/>
  <c r="F4234" i="4" s="1"/>
  <c r="D4236" i="4"/>
  <c r="F4236" i="4" s="1"/>
  <c r="D4238" i="4"/>
  <c r="F4238" i="4" s="1"/>
  <c r="D4240" i="4"/>
  <c r="F4240" i="4" s="1"/>
  <c r="D4242" i="4"/>
  <c r="F4242" i="4" s="1"/>
  <c r="D4244" i="4"/>
  <c r="F4244" i="4" s="1"/>
  <c r="D4246" i="4"/>
  <c r="F4246" i="4" s="1"/>
  <c r="D4248" i="4"/>
  <c r="F4248" i="4" s="1"/>
  <c r="D4250" i="4"/>
  <c r="F4250" i="4" s="1"/>
  <c r="D4252" i="4"/>
  <c r="F4252" i="4" s="1"/>
  <c r="D4254" i="4"/>
  <c r="F4254" i="4" s="1"/>
  <c r="D4256" i="4"/>
  <c r="F4256" i="4" s="1"/>
  <c r="D4258" i="4"/>
  <c r="F4258" i="4" s="1"/>
  <c r="D4260" i="4"/>
  <c r="F4260" i="4" s="1"/>
  <c r="D4262" i="4"/>
  <c r="F4262" i="4" s="1"/>
  <c r="D4264" i="4"/>
  <c r="F4264" i="4" s="1"/>
  <c r="D4266" i="4"/>
  <c r="F4266" i="4" s="1"/>
  <c r="D4268" i="4"/>
  <c r="F4268" i="4" s="1"/>
  <c r="D4270" i="4"/>
  <c r="F4270" i="4" s="1"/>
  <c r="D4272" i="4"/>
  <c r="F4272" i="4" s="1"/>
  <c r="D4274" i="4"/>
  <c r="F4274" i="4" s="1"/>
  <c r="D4276" i="4"/>
  <c r="F4276" i="4" s="1"/>
  <c r="D4278" i="4"/>
  <c r="F4278" i="4" s="1"/>
  <c r="D4280" i="4"/>
  <c r="F4280" i="4" s="1"/>
  <c r="D4282" i="4"/>
  <c r="F4282" i="4" s="1"/>
  <c r="D4284" i="4"/>
  <c r="F4284" i="4" s="1"/>
  <c r="D4286" i="4"/>
  <c r="F4286" i="4" s="1"/>
  <c r="D4288" i="4"/>
  <c r="F4288" i="4" s="1"/>
  <c r="D4290" i="4"/>
  <c r="F4290" i="4" s="1"/>
  <c r="D4292" i="4"/>
  <c r="F4292" i="4" s="1"/>
  <c r="D4294" i="4"/>
  <c r="F4294" i="4" s="1"/>
  <c r="D4296" i="4"/>
  <c r="F4296" i="4" s="1"/>
  <c r="D4298" i="4"/>
  <c r="F4298" i="4" s="1"/>
  <c r="D4300" i="4"/>
  <c r="F4300" i="4" s="1"/>
  <c r="D4302" i="4"/>
  <c r="F4302" i="4" s="1"/>
  <c r="D4304" i="4"/>
  <c r="F4304" i="4" s="1"/>
  <c r="D4306" i="4"/>
  <c r="F4306" i="4" s="1"/>
  <c r="D4308" i="4"/>
  <c r="F4308" i="4" s="1"/>
  <c r="D4310" i="4"/>
  <c r="F4310" i="4" s="1"/>
  <c r="D4312" i="4"/>
  <c r="F4312" i="4" s="1"/>
  <c r="D4314" i="4"/>
  <c r="F4314" i="4" s="1"/>
  <c r="D4316" i="4"/>
  <c r="F4316" i="4" s="1"/>
  <c r="D4318" i="4"/>
  <c r="F4318" i="4" s="1"/>
  <c r="D4320" i="4"/>
  <c r="F4320" i="4" s="1"/>
  <c r="D4322" i="4"/>
  <c r="F4322" i="4" s="1"/>
  <c r="D4324" i="4"/>
  <c r="F4324" i="4" s="1"/>
  <c r="D4326" i="4"/>
  <c r="F4326" i="4" s="1"/>
  <c r="D4328" i="4"/>
  <c r="F4328" i="4" s="1"/>
  <c r="D4330" i="4"/>
  <c r="F4330" i="4" s="1"/>
  <c r="D4332" i="4"/>
  <c r="F4332" i="4" s="1"/>
  <c r="D4334" i="4"/>
  <c r="F4334" i="4" s="1"/>
  <c r="D4336" i="4"/>
  <c r="F4336" i="4" s="1"/>
  <c r="D2528" i="4"/>
  <c r="F2528" i="4" s="1"/>
  <c r="D2557" i="4"/>
  <c r="F2557" i="4" s="1"/>
  <c r="D2661" i="4"/>
  <c r="F2661" i="4" s="1"/>
  <c r="D2729" i="4"/>
  <c r="F2729" i="4" s="1"/>
  <c r="D2822" i="4"/>
  <c r="F2822" i="4" s="1"/>
  <c r="D2861" i="4"/>
  <c r="F2861" i="4" s="1"/>
  <c r="D2896" i="4"/>
  <c r="F2896" i="4" s="1"/>
  <c r="D2979" i="4"/>
  <c r="F2979" i="4" s="1"/>
  <c r="D2995" i="4"/>
  <c r="F2995" i="4" s="1"/>
  <c r="D3013" i="4"/>
  <c r="F3013" i="4" s="1"/>
  <c r="D3196" i="4"/>
  <c r="F3196" i="4" s="1"/>
  <c r="D3209" i="4"/>
  <c r="F3209" i="4" s="1"/>
  <c r="D3223" i="4"/>
  <c r="F3223" i="4" s="1"/>
  <c r="D3321" i="4"/>
  <c r="F3321" i="4" s="1"/>
  <c r="D3345" i="4"/>
  <c r="F3345" i="4" s="1"/>
  <c r="D3389" i="4"/>
  <c r="F3389" i="4" s="1"/>
  <c r="D3401" i="4"/>
  <c r="F3401" i="4" s="1"/>
  <c r="D3413" i="4"/>
  <c r="F3413" i="4" s="1"/>
  <c r="D3423" i="4"/>
  <c r="F3423" i="4" s="1"/>
  <c r="D3447" i="4"/>
  <c r="F3447" i="4" s="1"/>
  <c r="D3469" i="4"/>
  <c r="F3469" i="4" s="1"/>
  <c r="D3503" i="4"/>
  <c r="F3503" i="4" s="1"/>
  <c r="D3521" i="4"/>
  <c r="F3521" i="4" s="1"/>
  <c r="D3544" i="4"/>
  <c r="F3544" i="4" s="1"/>
  <c r="D3559" i="4"/>
  <c r="F3559" i="4" s="1"/>
  <c r="D3594" i="4"/>
  <c r="F3594" i="4" s="1"/>
  <c r="D3608" i="4"/>
  <c r="F3608" i="4" s="1"/>
  <c r="D3623" i="4"/>
  <c r="F3623" i="4" s="1"/>
  <c r="D3658" i="4"/>
  <c r="F3658" i="4" s="1"/>
  <c r="D3670" i="4"/>
  <c r="F3670" i="4" s="1"/>
  <c r="D3686" i="4"/>
  <c r="F3686" i="4" s="1"/>
  <c r="D3702" i="4"/>
  <c r="F3702" i="4" s="1"/>
  <c r="D3718" i="4"/>
  <c r="F3718" i="4" s="1"/>
  <c r="D3734" i="4"/>
  <c r="F3734" i="4" s="1"/>
  <c r="D3750" i="4"/>
  <c r="F3750" i="4" s="1"/>
  <c r="D3766" i="4"/>
  <c r="F3766" i="4" s="1"/>
  <c r="D3782" i="4"/>
  <c r="F3782" i="4" s="1"/>
  <c r="D3798" i="4"/>
  <c r="F3798" i="4" s="1"/>
  <c r="D3814" i="4"/>
  <c r="F3814" i="4" s="1"/>
  <c r="D3832" i="4"/>
  <c r="F3832" i="4" s="1"/>
  <c r="D3835" i="4"/>
  <c r="F3835" i="4" s="1"/>
  <c r="D3838" i="4"/>
  <c r="F3838" i="4" s="1"/>
  <c r="D3841" i="4"/>
  <c r="F3841" i="4" s="1"/>
  <c r="D3844" i="4"/>
  <c r="F3844" i="4" s="1"/>
  <c r="D3847" i="4"/>
  <c r="F3847" i="4" s="1"/>
  <c r="D3850" i="4"/>
  <c r="F3850" i="4" s="1"/>
  <c r="D3896" i="4"/>
  <c r="F3896" i="4" s="1"/>
  <c r="D3899" i="4"/>
  <c r="F3899" i="4" s="1"/>
  <c r="D3902" i="4"/>
  <c r="F3902" i="4" s="1"/>
  <c r="D3905" i="4"/>
  <c r="F3905" i="4" s="1"/>
  <c r="D3908" i="4"/>
  <c r="F3908" i="4" s="1"/>
  <c r="D3911" i="4"/>
  <c r="F3911" i="4" s="1"/>
  <c r="D3914" i="4"/>
  <c r="F3914" i="4" s="1"/>
  <c r="D3960" i="4"/>
  <c r="F3960" i="4" s="1"/>
  <c r="D3963" i="4"/>
  <c r="F3963" i="4" s="1"/>
  <c r="D3966" i="4"/>
  <c r="F3966" i="4" s="1"/>
  <c r="D3974" i="4"/>
  <c r="F3974" i="4" s="1"/>
  <c r="D3982" i="4"/>
  <c r="F3982" i="4" s="1"/>
  <c r="D3990" i="4"/>
  <c r="F3990" i="4" s="1"/>
  <c r="D3998" i="4"/>
  <c r="F3998" i="4" s="1"/>
  <c r="D4006" i="4"/>
  <c r="F4006" i="4" s="1"/>
  <c r="D4014" i="4"/>
  <c r="F4014" i="4" s="1"/>
  <c r="D2530" i="4"/>
  <c r="F2530" i="4" s="1"/>
  <c r="D2615" i="4"/>
  <c r="F2615" i="4" s="1"/>
  <c r="D2688" i="4"/>
  <c r="F2688" i="4" s="1"/>
  <c r="D2712" i="4"/>
  <c r="F2712" i="4" s="1"/>
  <c r="D2826" i="4"/>
  <c r="F2826" i="4" s="1"/>
  <c r="D2843" i="4"/>
  <c r="F2843" i="4" s="1"/>
  <c r="D2882" i="4"/>
  <c r="F2882" i="4" s="1"/>
  <c r="D3046" i="4"/>
  <c r="F3046" i="4" s="1"/>
  <c r="D3062" i="4"/>
  <c r="F3062" i="4" s="1"/>
  <c r="D3080" i="4"/>
  <c r="F3080" i="4" s="1"/>
  <c r="D3095" i="4"/>
  <c r="F3095" i="4" s="1"/>
  <c r="D3111" i="4"/>
  <c r="F3111" i="4" s="1"/>
  <c r="D3212" i="4"/>
  <c r="F3212" i="4" s="1"/>
  <c r="D3225" i="4"/>
  <c r="F3225" i="4" s="1"/>
  <c r="D3239" i="4"/>
  <c r="F3239" i="4" s="1"/>
  <c r="D3277" i="4"/>
  <c r="F3277" i="4" s="1"/>
  <c r="D3311" i="4"/>
  <c r="F3311" i="4" s="1"/>
  <c r="D3334" i="4"/>
  <c r="F3334" i="4" s="1"/>
  <c r="D3358" i="4"/>
  <c r="F3358" i="4" s="1"/>
  <c r="D3414" i="4"/>
  <c r="F3414" i="4" s="1"/>
  <c r="D3436" i="4"/>
  <c r="F3436" i="4" s="1"/>
  <c r="D3460" i="4"/>
  <c r="F3460" i="4" s="1"/>
  <c r="D3514" i="4"/>
  <c r="F3514" i="4" s="1"/>
  <c r="D3523" i="4"/>
  <c r="F3523" i="4" s="1"/>
  <c r="D3530" i="4"/>
  <c r="F3530" i="4" s="1"/>
  <c r="D3538" i="4"/>
  <c r="F3538" i="4" s="1"/>
  <c r="D3552" i="4"/>
  <c r="F3552" i="4" s="1"/>
  <c r="D3567" i="4"/>
  <c r="F3567" i="4" s="1"/>
  <c r="D3602" i="4"/>
  <c r="F3602" i="4" s="1"/>
  <c r="D3616" i="4"/>
  <c r="F3616" i="4" s="1"/>
  <c r="D3631" i="4"/>
  <c r="F3631" i="4" s="1"/>
  <c r="D3671" i="4"/>
  <c r="F3671" i="4" s="1"/>
  <c r="D3687" i="4"/>
  <c r="F3687" i="4" s="1"/>
  <c r="D3703" i="4"/>
  <c r="F3703" i="4" s="1"/>
  <c r="D3719" i="4"/>
  <c r="F3719" i="4" s="1"/>
  <c r="D3735" i="4"/>
  <c r="F3735" i="4" s="1"/>
  <c r="D3751" i="4"/>
  <c r="F3751" i="4" s="1"/>
  <c r="D3767" i="4"/>
  <c r="F3767" i="4" s="1"/>
  <c r="D3783" i="4"/>
  <c r="F3783" i="4" s="1"/>
  <c r="D3799" i="4"/>
  <c r="F3799" i="4" s="1"/>
  <c r="D3815" i="4"/>
  <c r="F3815" i="4" s="1"/>
  <c r="D3823" i="4"/>
  <c r="F3823" i="4" s="1"/>
  <c r="D3826" i="4"/>
  <c r="F3826" i="4" s="1"/>
  <c r="D3872" i="4"/>
  <c r="F3872" i="4" s="1"/>
  <c r="D3875" i="4"/>
  <c r="F3875" i="4" s="1"/>
  <c r="D3878" i="4"/>
  <c r="F3878" i="4" s="1"/>
  <c r="D3881" i="4"/>
  <c r="F3881" i="4" s="1"/>
  <c r="D3884" i="4"/>
  <c r="F3884" i="4" s="1"/>
  <c r="D3887" i="4"/>
  <c r="F3887" i="4" s="1"/>
  <c r="D3890" i="4"/>
  <c r="F3890" i="4" s="1"/>
  <c r="D3936" i="4"/>
  <c r="F3936" i="4" s="1"/>
  <c r="D3939" i="4"/>
  <c r="F3939" i="4" s="1"/>
  <c r="D3942" i="4"/>
  <c r="F3942" i="4" s="1"/>
  <c r="D3945" i="4"/>
  <c r="F3945" i="4" s="1"/>
  <c r="D3948" i="4"/>
  <c r="F3948" i="4" s="1"/>
  <c r="D3951" i="4"/>
  <c r="F3951" i="4" s="1"/>
  <c r="D3954" i="4"/>
  <c r="F3954" i="4" s="1"/>
  <c r="D3969" i="4"/>
  <c r="F3969" i="4" s="1"/>
  <c r="D3977" i="4"/>
  <c r="F3977" i="4" s="1"/>
  <c r="D3985" i="4"/>
  <c r="F3985" i="4" s="1"/>
  <c r="D3993" i="4"/>
  <c r="F3993" i="4" s="1"/>
  <c r="D4001" i="4"/>
  <c r="F4001" i="4" s="1"/>
  <c r="D4009" i="4"/>
  <c r="F4009" i="4" s="1"/>
  <c r="D2542" i="4"/>
  <c r="F2542" i="4" s="1"/>
  <c r="D2574" i="4"/>
  <c r="F2574" i="4" s="1"/>
  <c r="D2624" i="4"/>
  <c r="F2624" i="4" s="1"/>
  <c r="D2696" i="4"/>
  <c r="F2696" i="4" s="1"/>
  <c r="D2720" i="4"/>
  <c r="F2720" i="4" s="1"/>
  <c r="D2757" i="4"/>
  <c r="F2757" i="4" s="1"/>
  <c r="D2777" i="4"/>
  <c r="F2777" i="4" s="1"/>
  <c r="D2833" i="4"/>
  <c r="F2833" i="4" s="1"/>
  <c r="D2850" i="4"/>
  <c r="F2850" i="4" s="1"/>
  <c r="D2906" i="4"/>
  <c r="F2906" i="4" s="1"/>
  <c r="D2922" i="4"/>
  <c r="F2922" i="4" s="1"/>
  <c r="D3086" i="4"/>
  <c r="F3086" i="4" s="1"/>
  <c r="D3101" i="4"/>
  <c r="F3101" i="4" s="1"/>
  <c r="D3132" i="4"/>
  <c r="F3132" i="4" s="1"/>
  <c r="D3145" i="4"/>
  <c r="F3145" i="4" s="1"/>
  <c r="D3159" i="4"/>
  <c r="F3159" i="4" s="1"/>
  <c r="D3270" i="4"/>
  <c r="F3270" i="4" s="1"/>
  <c r="D3294" i="4"/>
  <c r="F3294" i="4" s="1"/>
  <c r="D3350" i="4"/>
  <c r="F3350" i="4" s="1"/>
  <c r="D3372" i="4"/>
  <c r="F3372" i="4" s="1"/>
  <c r="D3396" i="4"/>
  <c r="F3396" i="4" s="1"/>
  <c r="D3452" i="4"/>
  <c r="F3452" i="4" s="1"/>
  <c r="D3517" i="4"/>
  <c r="F3517" i="4" s="1"/>
  <c r="D3526" i="4"/>
  <c r="F3526" i="4" s="1"/>
  <c r="D3533" i="4"/>
  <c r="F3533" i="4" s="1"/>
  <c r="D3562" i="4"/>
  <c r="F3562" i="4" s="1"/>
  <c r="D3576" i="4"/>
  <c r="F3576" i="4" s="1"/>
  <c r="D3591" i="4"/>
  <c r="F3591" i="4" s="1"/>
  <c r="D3626" i="4"/>
  <c r="F3626" i="4" s="1"/>
  <c r="D3640" i="4"/>
  <c r="F3640" i="4" s="1"/>
  <c r="D3655" i="4"/>
  <c r="F3655" i="4" s="1"/>
  <c r="D3678" i="4"/>
  <c r="F3678" i="4" s="1"/>
  <c r="D3694" i="4"/>
  <c r="F3694" i="4" s="1"/>
  <c r="D3710" i="4"/>
  <c r="F3710" i="4" s="1"/>
  <c r="D3726" i="4"/>
  <c r="F3726" i="4" s="1"/>
  <c r="D3742" i="4"/>
  <c r="F3742" i="4" s="1"/>
  <c r="D3758" i="4"/>
  <c r="F3758" i="4" s="1"/>
  <c r="D3774" i="4"/>
  <c r="F3774" i="4" s="1"/>
  <c r="D3790" i="4"/>
  <c r="F3790" i="4" s="1"/>
  <c r="D3806" i="4"/>
  <c r="F3806" i="4" s="1"/>
  <c r="D3864" i="4"/>
  <c r="F3864" i="4" s="1"/>
  <c r="D3867" i="4"/>
  <c r="F3867" i="4" s="1"/>
  <c r="D3870" i="4"/>
  <c r="F3870" i="4" s="1"/>
  <c r="D3873" i="4"/>
  <c r="F3873" i="4" s="1"/>
  <c r="D3876" i="4"/>
  <c r="F3876" i="4" s="1"/>
  <c r="D3879" i="4"/>
  <c r="F3879" i="4" s="1"/>
  <c r="D3882" i="4"/>
  <c r="F3882" i="4" s="1"/>
  <c r="D3928" i="4"/>
  <c r="F3928" i="4" s="1"/>
  <c r="D3931" i="4"/>
  <c r="F3931" i="4" s="1"/>
  <c r="D3934" i="4"/>
  <c r="F3934" i="4" s="1"/>
  <c r="D3937" i="4"/>
  <c r="F3937" i="4" s="1"/>
  <c r="D3940" i="4"/>
  <c r="F3940" i="4" s="1"/>
  <c r="D3943" i="4"/>
  <c r="F3943" i="4" s="1"/>
  <c r="D3946" i="4"/>
  <c r="F3946" i="4" s="1"/>
  <c r="D3970" i="4"/>
  <c r="F3970" i="4" s="1"/>
  <c r="D3978" i="4"/>
  <c r="F3978" i="4" s="1"/>
  <c r="D3986" i="4"/>
  <c r="F3986" i="4" s="1"/>
  <c r="D3994" i="4"/>
  <c r="F3994" i="4" s="1"/>
  <c r="D4002" i="4"/>
  <c r="F4002" i="4" s="1"/>
  <c r="D4010" i="4"/>
  <c r="F4010" i="4" s="1"/>
  <c r="D2534" i="4"/>
  <c r="F2534" i="4" s="1"/>
  <c r="D2778" i="4"/>
  <c r="F2778" i="4" s="1"/>
  <c r="D2829" i="4"/>
  <c r="F2829" i="4" s="1"/>
  <c r="D3175" i="4"/>
  <c r="F3175" i="4" s="1"/>
  <c r="D3255" i="4"/>
  <c r="F3255" i="4" s="1"/>
  <c r="D3405" i="4"/>
  <c r="F3405" i="4" s="1"/>
  <c r="D3465" i="4"/>
  <c r="F3465" i="4" s="1"/>
  <c r="D3599" i="4"/>
  <c r="F3599" i="4" s="1"/>
  <c r="D3618" i="4"/>
  <c r="F3618" i="4" s="1"/>
  <c r="D3639" i="4"/>
  <c r="F3639" i="4" s="1"/>
  <c r="D3672" i="4"/>
  <c r="F3672" i="4" s="1"/>
  <c r="D3730" i="4"/>
  <c r="F3730" i="4" s="1"/>
  <c r="D3743" i="4"/>
  <c r="F3743" i="4" s="1"/>
  <c r="D3800" i="4"/>
  <c r="F3800" i="4" s="1"/>
  <c r="D3833" i="4"/>
  <c r="F3833" i="4" s="1"/>
  <c r="D3849" i="4"/>
  <c r="F3849" i="4" s="1"/>
  <c r="D3866" i="4"/>
  <c r="F3866" i="4" s="1"/>
  <c r="D3906" i="4"/>
  <c r="F3906" i="4" s="1"/>
  <c r="D3915" i="4"/>
  <c r="F3915" i="4" s="1"/>
  <c r="D3922" i="4"/>
  <c r="F3922" i="4" s="1"/>
  <c r="D3955" i="4"/>
  <c r="F3955" i="4" s="1"/>
  <c r="D3999" i="4"/>
  <c r="F3999" i="4" s="1"/>
  <c r="D4013" i="4"/>
  <c r="F4013" i="4" s="1"/>
  <c r="D4029" i="4"/>
  <c r="F4029" i="4" s="1"/>
  <c r="D4045" i="4"/>
  <c r="F4045" i="4" s="1"/>
  <c r="D4061" i="4"/>
  <c r="F4061" i="4" s="1"/>
  <c r="D4077" i="4"/>
  <c r="F4077" i="4" s="1"/>
  <c r="D4093" i="4"/>
  <c r="F4093" i="4" s="1"/>
  <c r="D4109" i="4"/>
  <c r="F4109" i="4" s="1"/>
  <c r="D4125" i="4"/>
  <c r="F4125" i="4" s="1"/>
  <c r="D4141" i="4"/>
  <c r="F4141" i="4" s="1"/>
  <c r="D4157" i="4"/>
  <c r="F4157" i="4" s="1"/>
  <c r="D4173" i="4"/>
  <c r="F4173" i="4" s="1"/>
  <c r="D4189" i="4"/>
  <c r="F4189" i="4" s="1"/>
  <c r="D4205" i="4"/>
  <c r="F4205" i="4" s="1"/>
  <c r="D4221" i="4"/>
  <c r="F4221" i="4" s="1"/>
  <c r="D4237" i="4"/>
  <c r="F4237" i="4" s="1"/>
  <c r="D4253" i="4"/>
  <c r="F4253" i="4" s="1"/>
  <c r="D4269" i="4"/>
  <c r="F4269" i="4" s="1"/>
  <c r="D4285" i="4"/>
  <c r="F4285" i="4" s="1"/>
  <c r="D4301" i="4"/>
  <c r="F4301" i="4" s="1"/>
  <c r="D4317" i="4"/>
  <c r="F4317" i="4" s="1"/>
  <c r="D4333" i="4"/>
  <c r="F4333" i="4" s="1"/>
  <c r="D4338" i="4"/>
  <c r="F4338" i="4" s="1"/>
  <c r="D4342" i="4"/>
  <c r="F4342" i="4" s="1"/>
  <c r="D4346" i="4"/>
  <c r="F4346" i="4" s="1"/>
  <c r="D4350" i="4"/>
  <c r="F4350" i="4" s="1"/>
  <c r="D4354" i="4"/>
  <c r="F4354" i="4" s="1"/>
  <c r="D4358" i="4"/>
  <c r="F4358" i="4" s="1"/>
  <c r="D4362" i="4"/>
  <c r="F4362" i="4" s="1"/>
  <c r="D4366" i="4"/>
  <c r="F4366" i="4" s="1"/>
  <c r="D4370" i="4"/>
  <c r="F4370" i="4" s="1"/>
  <c r="D4374" i="4"/>
  <c r="F4374" i="4" s="1"/>
  <c r="D4378" i="4"/>
  <c r="F4378" i="4" s="1"/>
  <c r="D4382" i="4"/>
  <c r="F4382" i="4" s="1"/>
  <c r="D4385" i="4"/>
  <c r="F4385" i="4" s="1"/>
  <c r="D4398" i="4"/>
  <c r="F4398" i="4" s="1"/>
  <c r="D4401" i="4"/>
  <c r="F4401" i="4" s="1"/>
  <c r="D4414" i="4"/>
  <c r="F4414" i="4" s="1"/>
  <c r="D4417" i="4"/>
  <c r="F4417" i="4" s="1"/>
  <c r="D4430" i="4"/>
  <c r="F4430" i="4" s="1"/>
  <c r="D4433" i="4"/>
  <c r="F4433" i="4" s="1"/>
  <c r="D4446" i="4"/>
  <c r="F4446" i="4" s="1"/>
  <c r="D4449" i="4"/>
  <c r="F4449" i="4" s="1"/>
  <c r="D4462" i="4"/>
  <c r="F4462" i="4" s="1"/>
  <c r="D4465" i="4"/>
  <c r="F4465" i="4" s="1"/>
  <c r="D4478" i="4"/>
  <c r="F4478" i="4" s="1"/>
  <c r="D4481" i="4"/>
  <c r="F4481" i="4" s="1"/>
  <c r="D4494" i="4"/>
  <c r="F4494" i="4" s="1"/>
  <c r="D4497" i="4"/>
  <c r="F4497" i="4" s="1"/>
  <c r="D4509" i="4"/>
  <c r="F4509" i="4" s="1"/>
  <c r="D4512" i="4"/>
  <c r="F4512" i="4" s="1"/>
  <c r="D4517" i="4"/>
  <c r="F4517" i="4" s="1"/>
  <c r="D4520" i="4"/>
  <c r="F4520" i="4" s="1"/>
  <c r="D4525" i="4"/>
  <c r="F4525" i="4" s="1"/>
  <c r="D4528" i="4"/>
  <c r="F4528" i="4" s="1"/>
  <c r="D4533" i="4"/>
  <c r="F4533" i="4" s="1"/>
  <c r="D4536" i="4"/>
  <c r="F4536" i="4" s="1"/>
  <c r="D4541" i="4"/>
  <c r="F4541" i="4" s="1"/>
  <c r="D4548" i="4"/>
  <c r="F4548" i="4" s="1"/>
  <c r="D4557" i="4"/>
  <c r="F4557" i="4" s="1"/>
  <c r="D4564" i="4"/>
  <c r="F4564" i="4" s="1"/>
  <c r="D4573" i="4"/>
  <c r="F4573" i="4" s="1"/>
  <c r="D4580" i="4"/>
  <c r="F4580" i="4" s="1"/>
  <c r="D4589" i="4"/>
  <c r="F4589" i="4" s="1"/>
  <c r="D4596" i="4"/>
  <c r="F4596" i="4" s="1"/>
  <c r="D4605" i="4"/>
  <c r="F4605" i="4" s="1"/>
  <c r="D4612" i="4"/>
  <c r="F4612" i="4" s="1"/>
  <c r="D4621" i="4"/>
  <c r="F4621" i="4" s="1"/>
  <c r="D4628" i="4"/>
  <c r="F4628" i="4" s="1"/>
  <c r="D4637" i="4"/>
  <c r="F4637" i="4" s="1"/>
  <c r="D4644" i="4"/>
  <c r="F4644" i="4" s="1"/>
  <c r="D4787" i="4"/>
  <c r="F4787" i="4" s="1"/>
  <c r="D4805" i="4"/>
  <c r="F4805" i="4" s="1"/>
  <c r="D4809" i="4"/>
  <c r="F4809" i="4" s="1"/>
  <c r="D4813" i="4"/>
  <c r="F4813" i="4" s="1"/>
  <c r="D4817" i="4"/>
  <c r="F4817" i="4" s="1"/>
  <c r="D4821" i="4"/>
  <c r="F4821" i="4" s="1"/>
  <c r="D4825" i="4"/>
  <c r="F4825" i="4" s="1"/>
  <c r="D4829" i="4"/>
  <c r="F4829" i="4" s="1"/>
  <c r="D4833" i="4"/>
  <c r="F4833" i="4" s="1"/>
  <c r="D4837" i="4"/>
  <c r="F4837" i="4" s="1"/>
  <c r="D4841" i="4"/>
  <c r="F4841" i="4" s="1"/>
  <c r="D4843" i="4"/>
  <c r="F4843" i="4" s="1"/>
  <c r="D4847" i="4"/>
  <c r="F4847" i="4" s="1"/>
  <c r="D4851" i="4"/>
  <c r="F4851" i="4" s="1"/>
  <c r="D4855" i="4"/>
  <c r="F4855" i="4" s="1"/>
  <c r="D4859" i="4"/>
  <c r="F4859" i="4" s="1"/>
  <c r="D4863" i="4"/>
  <c r="F4863" i="4" s="1"/>
  <c r="D4867" i="4"/>
  <c r="F4867" i="4" s="1"/>
  <c r="D4871" i="4"/>
  <c r="F4871" i="4" s="1"/>
  <c r="D4873" i="4"/>
  <c r="F4873" i="4" s="1"/>
  <c r="D4877" i="4"/>
  <c r="F4877" i="4" s="1"/>
  <c r="D4881" i="4"/>
  <c r="F4881" i="4" s="1"/>
  <c r="D4885" i="4"/>
  <c r="F4885" i="4" s="1"/>
  <c r="D4889" i="4"/>
  <c r="F4889" i="4" s="1"/>
  <c r="D4891" i="4"/>
  <c r="F4891" i="4" s="1"/>
  <c r="D4895" i="4"/>
  <c r="F4895" i="4" s="1"/>
  <c r="D4899" i="4"/>
  <c r="F4899" i="4" s="1"/>
  <c r="D4903" i="4"/>
  <c r="F4903" i="4" s="1"/>
  <c r="D4907" i="4"/>
  <c r="F4907" i="4" s="1"/>
  <c r="D4911" i="4"/>
  <c r="F4911" i="4" s="1"/>
  <c r="D4915" i="4"/>
  <c r="F4915" i="4" s="1"/>
  <c r="D4919" i="4"/>
  <c r="F4919" i="4" s="1"/>
  <c r="D4923" i="4"/>
  <c r="F4923" i="4" s="1"/>
  <c r="D4927" i="4"/>
  <c r="F4927" i="4" s="1"/>
  <c r="D4931" i="4"/>
  <c r="F4931" i="4" s="1"/>
  <c r="D4933" i="4"/>
  <c r="F4933" i="4" s="1"/>
  <c r="D4937" i="4"/>
  <c r="F4937" i="4" s="1"/>
  <c r="D4941" i="4"/>
  <c r="F4941" i="4" s="1"/>
  <c r="D4945" i="4"/>
  <c r="F4945" i="4" s="1"/>
  <c r="D4949" i="4"/>
  <c r="F4949" i="4" s="1"/>
  <c r="D4953" i="4"/>
  <c r="F4953" i="4" s="1"/>
  <c r="D4959" i="4"/>
  <c r="F4959" i="4" s="1"/>
  <c r="D4963" i="4"/>
  <c r="F4963" i="4" s="1"/>
  <c r="D4967" i="4"/>
  <c r="F4967" i="4" s="1"/>
  <c r="D4971" i="4"/>
  <c r="F4971" i="4" s="1"/>
  <c r="D4975" i="4"/>
  <c r="F4975" i="4" s="1"/>
  <c r="D4979" i="4"/>
  <c r="F4979" i="4" s="1"/>
  <c r="D4983" i="4"/>
  <c r="F4983" i="4" s="1"/>
  <c r="D4987" i="4"/>
  <c r="F4987" i="4" s="1"/>
  <c r="D4991" i="4"/>
  <c r="F4991" i="4" s="1"/>
  <c r="D4995" i="4"/>
  <c r="F4995" i="4" s="1"/>
  <c r="D4997" i="4"/>
  <c r="F4997" i="4" s="1"/>
  <c r="D5001" i="4"/>
  <c r="F5001" i="4" s="1"/>
  <c r="D5005" i="4"/>
  <c r="F5005" i="4" s="1"/>
  <c r="D5009" i="4"/>
  <c r="F5009" i="4" s="1"/>
  <c r="D5013" i="4"/>
  <c r="F5013" i="4" s="1"/>
  <c r="D3161" i="4"/>
  <c r="F3161" i="4" s="1"/>
  <c r="D3453" i="4"/>
  <c r="F3453" i="4" s="1"/>
  <c r="D3535" i="4"/>
  <c r="F3535" i="4" s="1"/>
  <c r="D3682" i="4"/>
  <c r="F3682" i="4" s="1"/>
  <c r="D3912" i="4"/>
  <c r="F3912" i="4" s="1"/>
  <c r="D4004" i="4"/>
  <c r="F4004" i="4" s="1"/>
  <c r="D4107" i="4"/>
  <c r="F4107" i="4" s="1"/>
  <c r="D4171" i="4"/>
  <c r="F4171" i="4" s="1"/>
  <c r="D4187" i="4"/>
  <c r="F4187" i="4" s="1"/>
  <c r="D4267" i="4"/>
  <c r="F4267" i="4" s="1"/>
  <c r="D4299" i="4"/>
  <c r="F4299" i="4" s="1"/>
  <c r="D4387" i="4"/>
  <c r="F4387" i="4" s="1"/>
  <c r="D4400" i="4"/>
  <c r="F4400" i="4" s="1"/>
  <c r="D4419" i="4"/>
  <c r="F4419" i="4" s="1"/>
  <c r="D4451" i="4"/>
  <c r="F4451" i="4" s="1"/>
  <c r="D4467" i="4"/>
  <c r="F4467" i="4" s="1"/>
  <c r="D4499" i="4"/>
  <c r="F4499" i="4" s="1"/>
  <c r="D4554" i="4"/>
  <c r="F4554" i="4" s="1"/>
  <c r="D4570" i="4"/>
  <c r="F4570" i="4" s="1"/>
  <c r="D4586" i="4"/>
  <c r="F4586" i="4" s="1"/>
  <c r="D4634" i="4"/>
  <c r="F4634" i="4" s="1"/>
  <c r="D4652" i="4"/>
  <c r="F4652" i="4" s="1"/>
  <c r="D4660" i="4"/>
  <c r="F4660" i="4" s="1"/>
  <c r="D4670" i="4"/>
  <c r="F4670" i="4" s="1"/>
  <c r="D4682" i="4"/>
  <c r="F4682" i="4" s="1"/>
  <c r="D4692" i="4"/>
  <c r="F4692" i="4" s="1"/>
  <c r="D4706" i="4"/>
  <c r="F4706" i="4" s="1"/>
  <c r="D4716" i="4"/>
  <c r="F4716" i="4" s="1"/>
  <c r="D4724" i="4"/>
  <c r="F4724" i="4" s="1"/>
  <c r="D4736" i="4"/>
  <c r="F4736" i="4" s="1"/>
  <c r="D4746" i="4"/>
  <c r="F4746" i="4" s="1"/>
  <c r="D4758" i="4"/>
  <c r="F4758" i="4" s="1"/>
  <c r="D4768" i="4"/>
  <c r="F4768" i="4" s="1"/>
  <c r="D4778" i="4"/>
  <c r="F4778" i="4" s="1"/>
  <c r="D4792" i="4"/>
  <c r="F4792" i="4" s="1"/>
  <c r="D4802" i="4"/>
  <c r="F4802" i="4" s="1"/>
  <c r="D4812" i="4"/>
  <c r="F4812" i="4" s="1"/>
  <c r="D4822" i="4"/>
  <c r="F4822" i="4" s="1"/>
  <c r="D4830" i="4"/>
  <c r="F4830" i="4" s="1"/>
  <c r="D4840" i="4"/>
  <c r="F4840" i="4" s="1"/>
  <c r="D4852" i="4"/>
  <c r="F4852" i="4" s="1"/>
  <c r="D4864" i="4"/>
  <c r="F4864" i="4" s="1"/>
  <c r="D4872" i="4"/>
  <c r="F4872" i="4" s="1"/>
  <c r="D4882" i="4"/>
  <c r="F4882" i="4" s="1"/>
  <c r="D4892" i="4"/>
  <c r="F4892" i="4" s="1"/>
  <c r="D4904" i="4"/>
  <c r="F4904" i="4" s="1"/>
  <c r="D4914" i="4"/>
  <c r="F4914" i="4" s="1"/>
  <c r="D4922" i="4"/>
  <c r="F4922" i="4" s="1"/>
  <c r="D4932" i="4"/>
  <c r="F4932" i="4" s="1"/>
  <c r="D4942" i="4"/>
  <c r="F4942" i="4" s="1"/>
  <c r="D4952" i="4"/>
  <c r="F4952" i="4" s="1"/>
  <c r="D4962" i="4"/>
  <c r="F4962" i="4" s="1"/>
  <c r="D4974" i="4"/>
  <c r="F4974" i="4" s="1"/>
  <c r="D4982" i="4"/>
  <c r="F4982" i="4" s="1"/>
  <c r="D4994" i="4"/>
  <c r="F4994" i="4" s="1"/>
  <c r="D5004" i="4"/>
  <c r="F5004" i="4" s="1"/>
  <c r="D5014" i="4"/>
  <c r="F5014" i="4" s="1"/>
  <c r="D2918" i="4"/>
  <c r="F2918" i="4" s="1"/>
  <c r="D3698" i="4"/>
  <c r="F3698" i="4" s="1"/>
  <c r="D3855" i="4"/>
  <c r="F3855" i="4" s="1"/>
  <c r="D3921" i="4"/>
  <c r="F3921" i="4" s="1"/>
  <c r="D4012" i="4"/>
  <c r="F4012" i="4" s="1"/>
  <c r="D4033" i="4"/>
  <c r="F4033" i="4" s="1"/>
  <c r="D4177" i="4"/>
  <c r="F4177" i="4" s="1"/>
  <c r="D4209" i="4"/>
  <c r="F4209" i="4" s="1"/>
  <c r="D4289" i="4"/>
  <c r="F4289" i="4" s="1"/>
  <c r="D4341" i="4"/>
  <c r="F4341" i="4" s="1"/>
  <c r="D4361" i="4"/>
  <c r="F4361" i="4" s="1"/>
  <c r="D4381" i="4"/>
  <c r="F4381" i="4" s="1"/>
  <c r="D4397" i="4"/>
  <c r="F4397" i="4" s="1"/>
  <c r="D4413" i="4"/>
  <c r="F4413" i="4" s="1"/>
  <c r="D4445" i="4"/>
  <c r="F4445" i="4" s="1"/>
  <c r="D4461" i="4"/>
  <c r="F4461" i="4" s="1"/>
  <c r="D4511" i="4"/>
  <c r="F4511" i="4" s="1"/>
  <c r="D4535" i="4"/>
  <c r="F4535" i="4" s="1"/>
  <c r="D4584" i="4"/>
  <c r="F4584" i="4" s="1"/>
  <c r="D2541" i="4"/>
  <c r="F2541" i="4" s="1"/>
  <c r="D2736" i="4"/>
  <c r="F2736" i="4" s="1"/>
  <c r="D2885" i="4"/>
  <c r="F2885" i="4" s="1"/>
  <c r="D2934" i="4"/>
  <c r="F2934" i="4" s="1"/>
  <c r="D2973" i="4"/>
  <c r="F2973" i="4" s="1"/>
  <c r="D3019" i="4"/>
  <c r="F3019" i="4" s="1"/>
  <c r="D3143" i="4"/>
  <c r="F3143" i="4" s="1"/>
  <c r="D3257" i="4"/>
  <c r="F3257" i="4" s="1"/>
  <c r="D3349" i="4"/>
  <c r="F3349" i="4" s="1"/>
  <c r="D3409" i="4"/>
  <c r="F3409" i="4" s="1"/>
  <c r="D3439" i="4"/>
  <c r="F3439" i="4" s="1"/>
  <c r="D3473" i="4"/>
  <c r="F3473" i="4" s="1"/>
  <c r="D3524" i="4"/>
  <c r="F3524" i="4" s="1"/>
  <c r="D3546" i="4"/>
  <c r="F3546" i="4" s="1"/>
  <c r="D3583" i="4"/>
  <c r="F3583" i="4" s="1"/>
  <c r="D3688" i="4"/>
  <c r="F3688" i="4" s="1"/>
  <c r="D3746" i="4"/>
  <c r="F3746" i="4" s="1"/>
  <c r="D3759" i="4"/>
  <c r="F3759" i="4" s="1"/>
  <c r="D3816" i="4"/>
  <c r="F3816" i="4" s="1"/>
  <c r="D3842" i="4"/>
  <c r="F3842" i="4" s="1"/>
  <c r="D3851" i="4"/>
  <c r="F3851" i="4" s="1"/>
  <c r="D3858" i="4"/>
  <c r="F3858" i="4" s="1"/>
  <c r="D3891" i="4"/>
  <c r="F3891" i="4" s="1"/>
  <c r="D3907" i="4"/>
  <c r="F3907" i="4" s="1"/>
  <c r="D3924" i="4"/>
  <c r="F3924" i="4" s="1"/>
  <c r="D3964" i="4"/>
  <c r="F3964" i="4" s="1"/>
  <c r="D3972" i="4"/>
  <c r="F3972" i="4" s="1"/>
  <c r="D4007" i="4"/>
  <c r="F4007" i="4" s="1"/>
  <c r="D4019" i="4"/>
  <c r="F4019" i="4" s="1"/>
  <c r="D4035" i="4"/>
  <c r="F4035" i="4" s="1"/>
  <c r="D4051" i="4"/>
  <c r="F4051" i="4" s="1"/>
  <c r="D4067" i="4"/>
  <c r="F4067" i="4" s="1"/>
  <c r="D4083" i="4"/>
  <c r="F4083" i="4" s="1"/>
  <c r="D4099" i="4"/>
  <c r="F4099" i="4" s="1"/>
  <c r="D4115" i="4"/>
  <c r="F4115" i="4" s="1"/>
  <c r="D4131" i="4"/>
  <c r="F4131" i="4" s="1"/>
  <c r="D4147" i="4"/>
  <c r="F4147" i="4" s="1"/>
  <c r="D4163" i="4"/>
  <c r="F4163" i="4" s="1"/>
  <c r="D4179" i="4"/>
  <c r="F4179" i="4" s="1"/>
  <c r="D4195" i="4"/>
  <c r="F4195" i="4" s="1"/>
  <c r="D4211" i="4"/>
  <c r="F4211" i="4" s="1"/>
  <c r="D4227" i="4"/>
  <c r="F4227" i="4" s="1"/>
  <c r="D4243" i="4"/>
  <c r="F4243" i="4" s="1"/>
  <c r="D4259" i="4"/>
  <c r="F4259" i="4" s="1"/>
  <c r="D4275" i="4"/>
  <c r="F4275" i="4" s="1"/>
  <c r="D4291" i="4"/>
  <c r="F4291" i="4" s="1"/>
  <c r="D4307" i="4"/>
  <c r="F4307" i="4" s="1"/>
  <c r="D4323" i="4"/>
  <c r="F4323" i="4" s="1"/>
  <c r="D4392" i="4"/>
  <c r="F4392" i="4" s="1"/>
  <c r="D4395" i="4"/>
  <c r="F4395" i="4" s="1"/>
  <c r="D4408" i="4"/>
  <c r="F4408" i="4" s="1"/>
  <c r="D4411" i="4"/>
  <c r="F4411" i="4" s="1"/>
  <c r="D4424" i="4"/>
  <c r="F4424" i="4" s="1"/>
  <c r="D4427" i="4"/>
  <c r="F4427" i="4" s="1"/>
  <c r="D4440" i="4"/>
  <c r="F4440" i="4" s="1"/>
  <c r="D4443" i="4"/>
  <c r="F4443" i="4" s="1"/>
  <c r="D4456" i="4"/>
  <c r="F4456" i="4" s="1"/>
  <c r="D4459" i="4"/>
  <c r="F4459" i="4" s="1"/>
  <c r="D4472" i="4"/>
  <c r="F4472" i="4" s="1"/>
  <c r="D4475" i="4"/>
  <c r="F4475" i="4" s="1"/>
  <c r="D4488" i="4"/>
  <c r="F4488" i="4" s="1"/>
  <c r="D4491" i="4"/>
  <c r="F4491" i="4" s="1"/>
  <c r="D4504" i="4"/>
  <c r="F4504" i="4" s="1"/>
  <c r="D4546" i="4"/>
  <c r="F4546" i="4" s="1"/>
  <c r="D4555" i="4"/>
  <c r="F4555" i="4" s="1"/>
  <c r="D4562" i="4"/>
  <c r="F4562" i="4" s="1"/>
  <c r="D4571" i="4"/>
  <c r="F4571" i="4" s="1"/>
  <c r="D4578" i="4"/>
  <c r="F4578" i="4" s="1"/>
  <c r="D4587" i="4"/>
  <c r="F4587" i="4" s="1"/>
  <c r="D4594" i="4"/>
  <c r="F4594" i="4" s="1"/>
  <c r="D4603" i="4"/>
  <c r="F4603" i="4" s="1"/>
  <c r="D4610" i="4"/>
  <c r="F4610" i="4" s="1"/>
  <c r="D4619" i="4"/>
  <c r="F4619" i="4" s="1"/>
  <c r="D4626" i="4"/>
  <c r="F4626" i="4" s="1"/>
  <c r="D4635" i="4"/>
  <c r="F4635" i="4" s="1"/>
  <c r="D4642" i="4"/>
  <c r="F4642" i="4" s="1"/>
  <c r="D4651" i="4"/>
  <c r="F4651" i="4" s="1"/>
  <c r="D4653" i="4"/>
  <c r="F4653" i="4" s="1"/>
  <c r="D4655" i="4"/>
  <c r="F4655" i="4" s="1"/>
  <c r="D4657" i="4"/>
  <c r="F4657" i="4" s="1"/>
  <c r="D4659" i="4"/>
  <c r="F4659" i="4" s="1"/>
  <c r="D4661" i="4"/>
  <c r="F4661" i="4" s="1"/>
  <c r="D4663" i="4"/>
  <c r="F4663" i="4" s="1"/>
  <c r="D4665" i="4"/>
  <c r="F4665" i="4" s="1"/>
  <c r="D4667" i="4"/>
  <c r="F4667" i="4" s="1"/>
  <c r="D4669" i="4"/>
  <c r="F4669" i="4" s="1"/>
  <c r="D4671" i="4"/>
  <c r="F4671" i="4" s="1"/>
  <c r="D4673" i="4"/>
  <c r="F4673" i="4" s="1"/>
  <c r="D4675" i="4"/>
  <c r="F4675" i="4" s="1"/>
  <c r="D4677" i="4"/>
  <c r="F4677" i="4" s="1"/>
  <c r="D4679" i="4"/>
  <c r="F4679" i="4" s="1"/>
  <c r="D4681" i="4"/>
  <c r="F4681" i="4" s="1"/>
  <c r="D4683" i="4"/>
  <c r="F4683" i="4" s="1"/>
  <c r="D4685" i="4"/>
  <c r="F4685" i="4" s="1"/>
  <c r="D4687" i="4"/>
  <c r="F4687" i="4" s="1"/>
  <c r="D4689" i="4"/>
  <c r="F4689" i="4" s="1"/>
  <c r="D4691" i="4"/>
  <c r="F4691" i="4" s="1"/>
  <c r="D4693" i="4"/>
  <c r="F4693" i="4" s="1"/>
  <c r="D4695" i="4"/>
  <c r="F4695" i="4" s="1"/>
  <c r="D4697" i="4"/>
  <c r="F4697" i="4" s="1"/>
  <c r="D4699" i="4"/>
  <c r="F4699" i="4" s="1"/>
  <c r="D4701" i="4"/>
  <c r="F4701" i="4" s="1"/>
  <c r="D4703" i="4"/>
  <c r="F4703" i="4" s="1"/>
  <c r="D4705" i="4"/>
  <c r="F4705" i="4" s="1"/>
  <c r="D4707" i="4"/>
  <c r="F4707" i="4" s="1"/>
  <c r="D4709" i="4"/>
  <c r="F4709" i="4" s="1"/>
  <c r="D4711" i="4"/>
  <c r="F4711" i="4" s="1"/>
  <c r="D4713" i="4"/>
  <c r="F4713" i="4" s="1"/>
  <c r="D4715" i="4"/>
  <c r="F4715" i="4" s="1"/>
  <c r="D4717" i="4"/>
  <c r="F4717" i="4" s="1"/>
  <c r="D4719" i="4"/>
  <c r="F4719" i="4" s="1"/>
  <c r="D4721" i="4"/>
  <c r="F4721" i="4" s="1"/>
  <c r="D4723" i="4"/>
  <c r="F4723" i="4" s="1"/>
  <c r="D4725" i="4"/>
  <c r="F4725" i="4" s="1"/>
  <c r="D4727" i="4"/>
  <c r="F4727" i="4" s="1"/>
  <c r="D4729" i="4"/>
  <c r="F4729" i="4" s="1"/>
  <c r="D4731" i="4"/>
  <c r="F4731" i="4" s="1"/>
  <c r="D4733" i="4"/>
  <c r="F4733" i="4" s="1"/>
  <c r="D4735" i="4"/>
  <c r="F4735" i="4" s="1"/>
  <c r="D4737" i="4"/>
  <c r="F4737" i="4" s="1"/>
  <c r="D4739" i="4"/>
  <c r="F4739" i="4" s="1"/>
  <c r="D4741" i="4"/>
  <c r="F4741" i="4" s="1"/>
  <c r="D4743" i="4"/>
  <c r="F4743" i="4" s="1"/>
  <c r="D4745" i="4"/>
  <c r="F4745" i="4" s="1"/>
  <c r="D4747" i="4"/>
  <c r="F4747" i="4" s="1"/>
  <c r="D4749" i="4"/>
  <c r="F4749" i="4" s="1"/>
  <c r="D4751" i="4"/>
  <c r="F4751" i="4" s="1"/>
  <c r="D4753" i="4"/>
  <c r="F4753" i="4" s="1"/>
  <c r="D4755" i="4"/>
  <c r="F4755" i="4" s="1"/>
  <c r="D4757" i="4"/>
  <c r="F4757" i="4" s="1"/>
  <c r="D4759" i="4"/>
  <c r="F4759" i="4" s="1"/>
  <c r="D4761" i="4"/>
  <c r="F4761" i="4" s="1"/>
  <c r="D4763" i="4"/>
  <c r="F4763" i="4" s="1"/>
  <c r="D4765" i="4"/>
  <c r="F4765" i="4" s="1"/>
  <c r="D4767" i="4"/>
  <c r="F4767" i="4" s="1"/>
  <c r="D4769" i="4"/>
  <c r="F4769" i="4" s="1"/>
  <c r="D4771" i="4"/>
  <c r="F4771" i="4" s="1"/>
  <c r="D4773" i="4"/>
  <c r="F4773" i="4" s="1"/>
  <c r="D4775" i="4"/>
  <c r="F4775" i="4" s="1"/>
  <c r="D4777" i="4"/>
  <c r="F4777" i="4" s="1"/>
  <c r="D4779" i="4"/>
  <c r="F4779" i="4" s="1"/>
  <c r="D4781" i="4"/>
  <c r="F4781" i="4" s="1"/>
  <c r="D4783" i="4"/>
  <c r="F4783" i="4" s="1"/>
  <c r="D4785" i="4"/>
  <c r="F4785" i="4" s="1"/>
  <c r="D4789" i="4"/>
  <c r="F4789" i="4" s="1"/>
  <c r="D4791" i="4"/>
  <c r="F4791" i="4" s="1"/>
  <c r="D4793" i="4"/>
  <c r="F4793" i="4" s="1"/>
  <c r="D4795" i="4"/>
  <c r="F4795" i="4" s="1"/>
  <c r="D4797" i="4"/>
  <c r="F4797" i="4" s="1"/>
  <c r="D4799" i="4"/>
  <c r="F4799" i="4" s="1"/>
  <c r="D4801" i="4"/>
  <c r="F4801" i="4" s="1"/>
  <c r="D4803" i="4"/>
  <c r="F4803" i="4" s="1"/>
  <c r="D4807" i="4"/>
  <c r="F4807" i="4" s="1"/>
  <c r="D4811" i="4"/>
  <c r="F4811" i="4" s="1"/>
  <c r="D4815" i="4"/>
  <c r="F4815" i="4" s="1"/>
  <c r="D4819" i="4"/>
  <c r="F4819" i="4" s="1"/>
  <c r="D4823" i="4"/>
  <c r="F4823" i="4" s="1"/>
  <c r="D4827" i="4"/>
  <c r="F4827" i="4" s="1"/>
  <c r="D4831" i="4"/>
  <c r="F4831" i="4" s="1"/>
  <c r="D4835" i="4"/>
  <c r="F4835" i="4" s="1"/>
  <c r="D4839" i="4"/>
  <c r="F4839" i="4" s="1"/>
  <c r="D4845" i="4"/>
  <c r="F4845" i="4" s="1"/>
  <c r="D4849" i="4"/>
  <c r="F4849" i="4" s="1"/>
  <c r="D4853" i="4"/>
  <c r="F4853" i="4" s="1"/>
  <c r="D4857" i="4"/>
  <c r="F4857" i="4" s="1"/>
  <c r="D4861" i="4"/>
  <c r="F4861" i="4" s="1"/>
  <c r="D4865" i="4"/>
  <c r="F4865" i="4" s="1"/>
  <c r="D4869" i="4"/>
  <c r="F4869" i="4" s="1"/>
  <c r="D4875" i="4"/>
  <c r="F4875" i="4" s="1"/>
  <c r="D4879" i="4"/>
  <c r="F4879" i="4" s="1"/>
  <c r="D4883" i="4"/>
  <c r="F4883" i="4" s="1"/>
  <c r="D4887" i="4"/>
  <c r="F4887" i="4" s="1"/>
  <c r="D4893" i="4"/>
  <c r="F4893" i="4" s="1"/>
  <c r="D4897" i="4"/>
  <c r="F4897" i="4" s="1"/>
  <c r="D4901" i="4"/>
  <c r="F4901" i="4" s="1"/>
  <c r="D4905" i="4"/>
  <c r="F4905" i="4" s="1"/>
  <c r="D4909" i="4"/>
  <c r="F4909" i="4" s="1"/>
  <c r="D4913" i="4"/>
  <c r="F4913" i="4" s="1"/>
  <c r="D4917" i="4"/>
  <c r="F4917" i="4" s="1"/>
  <c r="D4921" i="4"/>
  <c r="F4921" i="4" s="1"/>
  <c r="D4925" i="4"/>
  <c r="F4925" i="4" s="1"/>
  <c r="D4929" i="4"/>
  <c r="F4929" i="4" s="1"/>
  <c r="D4935" i="4"/>
  <c r="F4935" i="4" s="1"/>
  <c r="D4939" i="4"/>
  <c r="F4939" i="4" s="1"/>
  <c r="D4943" i="4"/>
  <c r="F4943" i="4" s="1"/>
  <c r="D4947" i="4"/>
  <c r="F4947" i="4" s="1"/>
  <c r="D4951" i="4"/>
  <c r="F4951" i="4" s="1"/>
  <c r="D4955" i="4"/>
  <c r="F4955" i="4" s="1"/>
  <c r="D4957" i="4"/>
  <c r="F4957" i="4" s="1"/>
  <c r="D4961" i="4"/>
  <c r="F4961" i="4" s="1"/>
  <c r="D4965" i="4"/>
  <c r="F4965" i="4" s="1"/>
  <c r="D4969" i="4"/>
  <c r="F4969" i="4" s="1"/>
  <c r="D4973" i="4"/>
  <c r="F4973" i="4" s="1"/>
  <c r="D4977" i="4"/>
  <c r="F4977" i="4" s="1"/>
  <c r="D4981" i="4"/>
  <c r="F4981" i="4" s="1"/>
  <c r="D4985" i="4"/>
  <c r="F4985" i="4" s="1"/>
  <c r="D4989" i="4"/>
  <c r="F4989" i="4" s="1"/>
  <c r="D4993" i="4"/>
  <c r="F4993" i="4" s="1"/>
  <c r="D4999" i="4"/>
  <c r="F4999" i="4" s="1"/>
  <c r="D5003" i="4"/>
  <c r="F5003" i="4" s="1"/>
  <c r="D5007" i="4"/>
  <c r="F5007" i="4" s="1"/>
  <c r="D5011" i="4"/>
  <c r="F5011" i="4" s="1"/>
  <c r="D5015" i="4"/>
  <c r="F5015" i="4" s="1"/>
  <c r="D3554" i="4"/>
  <c r="F3554" i="4" s="1"/>
  <c r="D3975" i="4"/>
  <c r="F3975" i="4" s="1"/>
  <c r="D4059" i="4"/>
  <c r="F4059" i="4" s="1"/>
  <c r="D4219" i="4"/>
  <c r="F4219" i="4" s="1"/>
  <c r="D4283" i="4"/>
  <c r="F4283" i="4" s="1"/>
  <c r="D4315" i="4"/>
  <c r="F4315" i="4" s="1"/>
  <c r="D4435" i="4"/>
  <c r="F4435" i="4" s="1"/>
  <c r="D4602" i="4"/>
  <c r="F4602" i="4" s="1"/>
  <c r="D4618" i="4"/>
  <c r="F4618" i="4" s="1"/>
  <c r="D4658" i="4"/>
  <c r="F4658" i="4" s="1"/>
  <c r="D4668" i="4"/>
  <c r="F4668" i="4" s="1"/>
  <c r="D4678" i="4"/>
  <c r="F4678" i="4" s="1"/>
  <c r="D4688" i="4"/>
  <c r="F4688" i="4" s="1"/>
  <c r="D4698" i="4"/>
  <c r="F4698" i="4" s="1"/>
  <c r="D4708" i="4"/>
  <c r="F4708" i="4" s="1"/>
  <c r="D4718" i="4"/>
  <c r="F4718" i="4" s="1"/>
  <c r="D4728" i="4"/>
  <c r="F4728" i="4" s="1"/>
  <c r="D4738" i="4"/>
  <c r="F4738" i="4" s="1"/>
  <c r="D4748" i="4"/>
  <c r="F4748" i="4" s="1"/>
  <c r="D4756" i="4"/>
  <c r="F4756" i="4" s="1"/>
  <c r="D4764" i="4"/>
  <c r="F4764" i="4" s="1"/>
  <c r="D4774" i="4"/>
  <c r="F4774" i="4" s="1"/>
  <c r="D4784" i="4"/>
  <c r="F4784" i="4" s="1"/>
  <c r="D4794" i="4"/>
  <c r="F4794" i="4" s="1"/>
  <c r="D4804" i="4"/>
  <c r="F4804" i="4" s="1"/>
  <c r="D4814" i="4"/>
  <c r="F4814" i="4" s="1"/>
  <c r="D4824" i="4"/>
  <c r="F4824" i="4" s="1"/>
  <c r="D4836" i="4"/>
  <c r="F4836" i="4" s="1"/>
  <c r="D4846" i="4"/>
  <c r="F4846" i="4" s="1"/>
  <c r="D4856" i="4"/>
  <c r="F4856" i="4" s="1"/>
  <c r="D4868" i="4"/>
  <c r="F4868" i="4" s="1"/>
  <c r="D4878" i="4"/>
  <c r="F4878" i="4" s="1"/>
  <c r="D4888" i="4"/>
  <c r="F4888" i="4" s="1"/>
  <c r="D4898" i="4"/>
  <c r="F4898" i="4" s="1"/>
  <c r="D4910" i="4"/>
  <c r="F4910" i="4" s="1"/>
  <c r="D4920" i="4"/>
  <c r="F4920" i="4" s="1"/>
  <c r="D4930" i="4"/>
  <c r="F4930" i="4" s="1"/>
  <c r="D4940" i="4"/>
  <c r="F4940" i="4" s="1"/>
  <c r="D4950" i="4"/>
  <c r="F4950" i="4" s="1"/>
  <c r="D4960" i="4"/>
  <c r="F4960" i="4" s="1"/>
  <c r="D4970" i="4"/>
  <c r="F4970" i="4" s="1"/>
  <c r="D4980" i="4"/>
  <c r="F4980" i="4" s="1"/>
  <c r="D4990" i="4"/>
  <c r="F4990" i="4" s="1"/>
  <c r="D5002" i="4"/>
  <c r="F5002" i="4" s="1"/>
  <c r="D5012" i="4"/>
  <c r="F5012" i="4" s="1"/>
  <c r="D3983" i="4"/>
  <c r="F3983" i="4" s="1"/>
  <c r="D4257" i="4"/>
  <c r="F4257" i="4" s="1"/>
  <c r="D4353" i="4"/>
  <c r="F4353" i="4" s="1"/>
  <c r="D4373" i="4"/>
  <c r="F4373" i="4" s="1"/>
  <c r="D4429" i="4"/>
  <c r="F4429" i="4" s="1"/>
  <c r="D4477" i="4"/>
  <c r="F4477" i="4" s="1"/>
  <c r="D4493" i="4"/>
  <c r="F4493" i="4" s="1"/>
  <c r="D4527" i="4"/>
  <c r="F4527" i="4" s="1"/>
  <c r="D4625" i="4"/>
  <c r="F4625" i="4" s="1"/>
  <c r="D4641" i="4"/>
  <c r="F4641" i="4" s="1"/>
  <c r="D2691" i="4"/>
  <c r="F2691" i="4" s="1"/>
  <c r="D2847" i="4"/>
  <c r="F2847" i="4" s="1"/>
  <c r="D2889" i="4"/>
  <c r="F2889" i="4" s="1"/>
  <c r="D2983" i="4"/>
  <c r="F2983" i="4" s="1"/>
  <c r="D3113" i="4"/>
  <c r="F3113" i="4" s="1"/>
  <c r="D3148" i="4"/>
  <c r="F3148" i="4" s="1"/>
  <c r="D3228" i="4"/>
  <c r="F3228" i="4" s="1"/>
  <c r="D3260" i="4"/>
  <c r="F3260" i="4" s="1"/>
  <c r="D3324" i="4"/>
  <c r="F3324" i="4" s="1"/>
  <c r="D3383" i="4"/>
  <c r="F3383" i="4" s="1"/>
  <c r="D3584" i="4"/>
  <c r="F3584" i="4" s="1"/>
  <c r="D3624" i="4"/>
  <c r="F3624" i="4" s="1"/>
  <c r="D3704" i="4"/>
  <c r="F3704" i="4" s="1"/>
  <c r="D3762" i="4"/>
  <c r="F3762" i="4" s="1"/>
  <c r="D3775" i="4"/>
  <c r="F3775" i="4" s="1"/>
  <c r="D3827" i="4"/>
  <c r="F3827" i="4" s="1"/>
  <c r="D3843" i="4"/>
  <c r="F3843" i="4" s="1"/>
  <c r="D3860" i="4"/>
  <c r="F3860" i="4" s="1"/>
  <c r="D3900" i="4"/>
  <c r="F3900" i="4" s="1"/>
  <c r="D3916" i="4"/>
  <c r="F3916" i="4" s="1"/>
  <c r="D3980" i="4"/>
  <c r="F3980" i="4" s="1"/>
  <c r="D4015" i="4"/>
  <c r="F4015" i="4" s="1"/>
  <c r="D4025" i="4"/>
  <c r="F4025" i="4" s="1"/>
  <c r="D4041" i="4"/>
  <c r="F4041" i="4" s="1"/>
  <c r="D4057" i="4"/>
  <c r="F4057" i="4" s="1"/>
  <c r="D4073" i="4"/>
  <c r="F4073" i="4" s="1"/>
  <c r="D4089" i="4"/>
  <c r="F4089" i="4" s="1"/>
  <c r="D4105" i="4"/>
  <c r="F4105" i="4" s="1"/>
  <c r="D4121" i="4"/>
  <c r="F4121" i="4" s="1"/>
  <c r="D4137" i="4"/>
  <c r="F4137" i="4" s="1"/>
  <c r="D4153" i="4"/>
  <c r="F4153" i="4" s="1"/>
  <c r="D4169" i="4"/>
  <c r="F4169" i="4" s="1"/>
  <c r="D4185" i="4"/>
  <c r="F4185" i="4" s="1"/>
  <c r="D4201" i="4"/>
  <c r="F4201" i="4" s="1"/>
  <c r="D4217" i="4"/>
  <c r="F4217" i="4" s="1"/>
  <c r="D4233" i="4"/>
  <c r="F4233" i="4" s="1"/>
  <c r="D4249" i="4"/>
  <c r="F4249" i="4" s="1"/>
  <c r="D4265" i="4"/>
  <c r="F4265" i="4" s="1"/>
  <c r="D4281" i="4"/>
  <c r="F4281" i="4" s="1"/>
  <c r="D4297" i="4"/>
  <c r="F4297" i="4" s="1"/>
  <c r="D4313" i="4"/>
  <c r="F4313" i="4" s="1"/>
  <c r="D4329" i="4"/>
  <c r="F4329" i="4" s="1"/>
  <c r="D4339" i="4"/>
  <c r="F4339" i="4" s="1"/>
  <c r="D4343" i="4"/>
  <c r="F4343" i="4" s="1"/>
  <c r="D4347" i="4"/>
  <c r="F4347" i="4" s="1"/>
  <c r="D4351" i="4"/>
  <c r="F4351" i="4" s="1"/>
  <c r="D4355" i="4"/>
  <c r="F4355" i="4" s="1"/>
  <c r="D4359" i="4"/>
  <c r="F4359" i="4" s="1"/>
  <c r="D4363" i="4"/>
  <c r="F4363" i="4" s="1"/>
  <c r="D4367" i="4"/>
  <c r="F4367" i="4" s="1"/>
  <c r="D4371" i="4"/>
  <c r="F4371" i="4" s="1"/>
  <c r="D4375" i="4"/>
  <c r="F4375" i="4" s="1"/>
  <c r="D4379" i="4"/>
  <c r="F4379" i="4" s="1"/>
  <c r="D4386" i="4"/>
  <c r="F4386" i="4" s="1"/>
  <c r="D4389" i="4"/>
  <c r="F4389" i="4" s="1"/>
  <c r="D4402" i="4"/>
  <c r="F4402" i="4" s="1"/>
  <c r="D4405" i="4"/>
  <c r="F4405" i="4" s="1"/>
  <c r="D4418" i="4"/>
  <c r="F4418" i="4" s="1"/>
  <c r="D4421" i="4"/>
  <c r="F4421" i="4" s="1"/>
  <c r="D4434" i="4"/>
  <c r="F4434" i="4" s="1"/>
  <c r="D4437" i="4"/>
  <c r="F4437" i="4" s="1"/>
  <c r="D4450" i="4"/>
  <c r="F4450" i="4" s="1"/>
  <c r="D4453" i="4"/>
  <c r="F4453" i="4" s="1"/>
  <c r="D4466" i="4"/>
  <c r="F4466" i="4" s="1"/>
  <c r="D4469" i="4"/>
  <c r="F4469" i="4" s="1"/>
  <c r="D4482" i="4"/>
  <c r="F4482" i="4" s="1"/>
  <c r="D4485" i="4"/>
  <c r="F4485" i="4" s="1"/>
  <c r="D4498" i="4"/>
  <c r="F4498" i="4" s="1"/>
  <c r="D4501" i="4"/>
  <c r="F4501" i="4" s="1"/>
  <c r="D4507" i="4"/>
  <c r="F4507" i="4" s="1"/>
  <c r="D4510" i="4"/>
  <c r="F4510" i="4" s="1"/>
  <c r="D4515" i="4"/>
  <c r="F4515" i="4" s="1"/>
  <c r="D4518" i="4"/>
  <c r="F4518" i="4" s="1"/>
  <c r="D4523" i="4"/>
  <c r="F4523" i="4" s="1"/>
  <c r="D4526" i="4"/>
  <c r="F4526" i="4" s="1"/>
  <c r="D4531" i="4"/>
  <c r="F4531" i="4" s="1"/>
  <c r="D4534" i="4"/>
  <c r="F4534" i="4" s="1"/>
  <c r="D4539" i="4"/>
  <c r="F4539" i="4" s="1"/>
  <c r="D4544" i="4"/>
  <c r="F4544" i="4" s="1"/>
  <c r="D4553" i="4"/>
  <c r="F4553" i="4" s="1"/>
  <c r="D4560" i="4"/>
  <c r="F4560" i="4" s="1"/>
  <c r="D4569" i="4"/>
  <c r="F4569" i="4" s="1"/>
  <c r="D4576" i="4"/>
  <c r="F4576" i="4" s="1"/>
  <c r="D4585" i="4"/>
  <c r="F4585" i="4" s="1"/>
  <c r="D4592" i="4"/>
  <c r="F4592" i="4" s="1"/>
  <c r="D4601" i="4"/>
  <c r="F4601" i="4" s="1"/>
  <c r="D4608" i="4"/>
  <c r="F4608" i="4" s="1"/>
  <c r="D4617" i="4"/>
  <c r="F4617" i="4" s="1"/>
  <c r="D4624" i="4"/>
  <c r="F4624" i="4" s="1"/>
  <c r="D4633" i="4"/>
  <c r="F4633" i="4" s="1"/>
  <c r="D4640" i="4"/>
  <c r="F4640" i="4" s="1"/>
  <c r="D4649" i="4"/>
  <c r="F4649" i="4" s="1"/>
  <c r="D3810" i="4"/>
  <c r="F3810" i="4" s="1"/>
  <c r="D4075" i="4"/>
  <c r="F4075" i="4" s="1"/>
  <c r="D4123" i="4"/>
  <c r="F4123" i="4" s="1"/>
  <c r="D4235" i="4"/>
  <c r="F4235" i="4" s="1"/>
  <c r="D4432" i="4"/>
  <c r="F4432" i="4" s="1"/>
  <c r="D4483" i="4"/>
  <c r="F4483" i="4" s="1"/>
  <c r="D4650" i="4"/>
  <c r="F4650" i="4" s="1"/>
  <c r="D4662" i="4"/>
  <c r="F4662" i="4" s="1"/>
  <c r="D4672" i="4"/>
  <c r="F4672" i="4" s="1"/>
  <c r="D4680" i="4"/>
  <c r="F4680" i="4" s="1"/>
  <c r="D4690" i="4"/>
  <c r="F4690" i="4" s="1"/>
  <c r="D4700" i="4"/>
  <c r="F4700" i="4" s="1"/>
  <c r="D4710" i="4"/>
  <c r="F4710" i="4" s="1"/>
  <c r="D4720" i="4"/>
  <c r="F4720" i="4" s="1"/>
  <c r="D4730" i="4"/>
  <c r="F4730" i="4" s="1"/>
  <c r="D4744" i="4"/>
  <c r="F4744" i="4" s="1"/>
  <c r="D4754" i="4"/>
  <c r="F4754" i="4" s="1"/>
  <c r="D4766" i="4"/>
  <c r="F4766" i="4" s="1"/>
  <c r="D4776" i="4"/>
  <c r="F4776" i="4" s="1"/>
  <c r="D4786" i="4"/>
  <c r="F4786" i="4" s="1"/>
  <c r="D4798" i="4"/>
  <c r="F4798" i="4" s="1"/>
  <c r="D4808" i="4"/>
  <c r="F4808" i="4" s="1"/>
  <c r="D4818" i="4"/>
  <c r="F4818" i="4" s="1"/>
  <c r="D4828" i="4"/>
  <c r="F4828" i="4" s="1"/>
  <c r="D4838" i="4"/>
  <c r="F4838" i="4" s="1"/>
  <c r="D4848" i="4"/>
  <c r="F4848" i="4" s="1"/>
  <c r="D4858" i="4"/>
  <c r="F4858" i="4" s="1"/>
  <c r="D4866" i="4"/>
  <c r="F4866" i="4" s="1"/>
  <c r="D4876" i="4"/>
  <c r="F4876" i="4" s="1"/>
  <c r="D4886" i="4"/>
  <c r="F4886" i="4" s="1"/>
  <c r="D4896" i="4"/>
  <c r="F4896" i="4" s="1"/>
  <c r="D4906" i="4"/>
  <c r="F4906" i="4" s="1"/>
  <c r="D4916" i="4"/>
  <c r="F4916" i="4" s="1"/>
  <c r="D4928" i="4"/>
  <c r="F4928" i="4" s="1"/>
  <c r="D4938" i="4"/>
  <c r="F4938" i="4" s="1"/>
  <c r="D4946" i="4"/>
  <c r="F4946" i="4" s="1"/>
  <c r="D4956" i="4"/>
  <c r="F4956" i="4" s="1"/>
  <c r="D4966" i="4"/>
  <c r="F4966" i="4" s="1"/>
  <c r="D4976" i="4"/>
  <c r="F4976" i="4" s="1"/>
  <c r="D4986" i="4"/>
  <c r="F4986" i="4" s="1"/>
  <c r="D4996" i="4"/>
  <c r="F4996" i="4" s="1"/>
  <c r="D5006" i="4"/>
  <c r="F5006" i="4" s="1"/>
  <c r="D4241" i="4"/>
  <c r="F4241" i="4" s="1"/>
  <c r="D4337" i="4"/>
  <c r="F4337" i="4" s="1"/>
  <c r="D4369" i="4"/>
  <c r="F4369" i="4" s="1"/>
  <c r="D4394" i="4"/>
  <c r="F4394" i="4" s="1"/>
  <c r="D4514" i="4"/>
  <c r="F4514" i="4" s="1"/>
  <c r="D4530" i="4"/>
  <c r="F4530" i="4" s="1"/>
  <c r="D4545" i="4"/>
  <c r="F4545" i="4" s="1"/>
  <c r="D4561" i="4"/>
  <c r="F4561" i="4" s="1"/>
  <c r="D4577" i="4"/>
  <c r="F4577" i="4" s="1"/>
  <c r="D4616" i="4"/>
  <c r="F4616" i="4" s="1"/>
  <c r="D4632" i="4"/>
  <c r="F4632" i="4" s="1"/>
  <c r="D4648" i="4"/>
  <c r="F4648" i="4" s="1"/>
  <c r="D2798" i="4"/>
  <c r="F2798" i="4" s="1"/>
  <c r="D2903" i="4"/>
  <c r="F2903" i="4" s="1"/>
  <c r="D2985" i="4"/>
  <c r="F2985" i="4" s="1"/>
  <c r="D3116" i="4"/>
  <c r="F3116" i="4" s="1"/>
  <c r="D3268" i="4"/>
  <c r="F3268" i="4" s="1"/>
  <c r="D3325" i="4"/>
  <c r="F3325" i="4" s="1"/>
  <c r="D3385" i="4"/>
  <c r="F3385" i="4" s="1"/>
  <c r="D3449" i="4"/>
  <c r="F3449" i="4" s="1"/>
  <c r="D3477" i="4"/>
  <c r="F3477" i="4" s="1"/>
  <c r="D3532" i="4"/>
  <c r="F3532" i="4" s="1"/>
  <c r="D3568" i="4"/>
  <c r="F3568" i="4" s="1"/>
  <c r="D3663" i="4"/>
  <c r="F3663" i="4" s="1"/>
  <c r="D3720" i="4"/>
  <c r="F3720" i="4" s="1"/>
  <c r="D3778" i="4"/>
  <c r="F3778" i="4" s="1"/>
  <c r="D3791" i="4"/>
  <c r="F3791" i="4" s="1"/>
  <c r="D3836" i="4"/>
  <c r="F3836" i="4" s="1"/>
  <c r="D3852" i="4"/>
  <c r="F3852" i="4" s="1"/>
  <c r="D3918" i="4"/>
  <c r="F3918" i="4" s="1"/>
  <c r="D3958" i="4"/>
  <c r="F3958" i="4" s="1"/>
  <c r="D3973" i="4"/>
  <c r="F3973" i="4" s="1"/>
  <c r="D3988" i="4"/>
  <c r="F3988" i="4" s="1"/>
  <c r="D4031" i="4"/>
  <c r="F4031" i="4" s="1"/>
  <c r="D4047" i="4"/>
  <c r="F4047" i="4" s="1"/>
  <c r="D4063" i="4"/>
  <c r="F4063" i="4" s="1"/>
  <c r="D4079" i="4"/>
  <c r="F4079" i="4" s="1"/>
  <c r="D4095" i="4"/>
  <c r="F4095" i="4" s="1"/>
  <c r="D4111" i="4"/>
  <c r="F4111" i="4" s="1"/>
  <c r="D4127" i="4"/>
  <c r="F4127" i="4" s="1"/>
  <c r="D4143" i="4"/>
  <c r="F4143" i="4" s="1"/>
  <c r="D4159" i="4"/>
  <c r="F4159" i="4" s="1"/>
  <c r="D4175" i="4"/>
  <c r="F4175" i="4" s="1"/>
  <c r="D4191" i="4"/>
  <c r="F4191" i="4" s="1"/>
  <c r="D4207" i="4"/>
  <c r="F4207" i="4" s="1"/>
  <c r="D4223" i="4"/>
  <c r="F4223" i="4" s="1"/>
  <c r="D4239" i="4"/>
  <c r="F4239" i="4" s="1"/>
  <c r="D4255" i="4"/>
  <c r="F4255" i="4" s="1"/>
  <c r="D4271" i="4"/>
  <c r="F4271" i="4" s="1"/>
  <c r="D4287" i="4"/>
  <c r="F4287" i="4" s="1"/>
  <c r="D4303" i="4"/>
  <c r="F4303" i="4" s="1"/>
  <c r="D4319" i="4"/>
  <c r="F4319" i="4" s="1"/>
  <c r="D4335" i="4"/>
  <c r="F4335" i="4" s="1"/>
  <c r="D4383" i="4"/>
  <c r="F4383" i="4" s="1"/>
  <c r="D4396" i="4"/>
  <c r="F4396" i="4" s="1"/>
  <c r="D4399" i="4"/>
  <c r="F4399" i="4" s="1"/>
  <c r="D4412" i="4"/>
  <c r="F4412" i="4" s="1"/>
  <c r="D4415" i="4"/>
  <c r="F4415" i="4" s="1"/>
  <c r="D4428" i="4"/>
  <c r="F4428" i="4" s="1"/>
  <c r="D4431" i="4"/>
  <c r="F4431" i="4" s="1"/>
  <c r="D4444" i="4"/>
  <c r="F4444" i="4" s="1"/>
  <c r="D4447" i="4"/>
  <c r="F4447" i="4" s="1"/>
  <c r="D4460" i="4"/>
  <c r="F4460" i="4" s="1"/>
  <c r="D4463" i="4"/>
  <c r="F4463" i="4" s="1"/>
  <c r="D4476" i="4"/>
  <c r="F4476" i="4" s="1"/>
  <c r="D4479" i="4"/>
  <c r="F4479" i="4" s="1"/>
  <c r="D4492" i="4"/>
  <c r="F4492" i="4" s="1"/>
  <c r="D4495" i="4"/>
  <c r="F4495" i="4" s="1"/>
  <c r="D4542" i="4"/>
  <c r="F4542" i="4" s="1"/>
  <c r="D4551" i="4"/>
  <c r="F4551" i="4" s="1"/>
  <c r="D4558" i="4"/>
  <c r="F4558" i="4" s="1"/>
  <c r="D4567" i="4"/>
  <c r="F4567" i="4" s="1"/>
  <c r="D4574" i="4"/>
  <c r="F4574" i="4" s="1"/>
  <c r="D4583" i="4"/>
  <c r="F4583" i="4" s="1"/>
  <c r="D4590" i="4"/>
  <c r="F4590" i="4" s="1"/>
  <c r="D4599" i="4"/>
  <c r="F4599" i="4" s="1"/>
  <c r="D4606" i="4"/>
  <c r="F4606" i="4" s="1"/>
  <c r="D4615" i="4"/>
  <c r="F4615" i="4" s="1"/>
  <c r="D4622" i="4"/>
  <c r="F4622" i="4" s="1"/>
  <c r="D4631" i="4"/>
  <c r="F4631" i="4" s="1"/>
  <c r="D4638" i="4"/>
  <c r="F4638" i="4" s="1"/>
  <c r="D4647" i="4"/>
  <c r="F4647" i="4" s="1"/>
  <c r="D2864" i="4"/>
  <c r="F2864" i="4" s="1"/>
  <c r="D3515" i="4"/>
  <c r="F3515" i="4" s="1"/>
  <c r="D3830" i="4"/>
  <c r="F3830" i="4" s="1"/>
  <c r="D3863" i="4"/>
  <c r="F3863" i="4" s="1"/>
  <c r="D3903" i="4"/>
  <c r="F3903" i="4" s="1"/>
  <c r="D4251" i="4"/>
  <c r="F4251" i="4" s="1"/>
  <c r="D4403" i="4"/>
  <c r="F4403" i="4" s="1"/>
  <c r="D4547" i="4"/>
  <c r="F4547" i="4" s="1"/>
  <c r="D4627" i="4"/>
  <c r="F4627" i="4" s="1"/>
  <c r="D4643" i="4"/>
  <c r="F4643" i="4" s="1"/>
  <c r="D4654" i="4"/>
  <c r="F4654" i="4" s="1"/>
  <c r="D4664" i="4"/>
  <c r="F4664" i="4" s="1"/>
  <c r="D4674" i="4"/>
  <c r="F4674" i="4" s="1"/>
  <c r="D4684" i="4"/>
  <c r="F4684" i="4" s="1"/>
  <c r="D4694" i="4"/>
  <c r="F4694" i="4" s="1"/>
  <c r="D4702" i="4"/>
  <c r="F4702" i="4" s="1"/>
  <c r="D4712" i="4"/>
  <c r="F4712" i="4" s="1"/>
  <c r="D4722" i="4"/>
  <c r="F4722" i="4" s="1"/>
  <c r="D4732" i="4"/>
  <c r="F4732" i="4" s="1"/>
  <c r="D4740" i="4"/>
  <c r="F4740" i="4" s="1"/>
  <c r="D4750" i="4"/>
  <c r="F4750" i="4" s="1"/>
  <c r="D4760" i="4"/>
  <c r="F4760" i="4" s="1"/>
  <c r="D4770" i="4"/>
  <c r="F4770" i="4" s="1"/>
  <c r="D4780" i="4"/>
  <c r="F4780" i="4" s="1"/>
  <c r="D4788" i="4"/>
  <c r="F4788" i="4" s="1"/>
  <c r="D4796" i="4"/>
  <c r="F4796" i="4" s="1"/>
  <c r="D4806" i="4"/>
  <c r="F4806" i="4" s="1"/>
  <c r="D4816" i="4"/>
  <c r="F4816" i="4" s="1"/>
  <c r="D4826" i="4"/>
  <c r="F4826" i="4" s="1"/>
  <c r="D4834" i="4"/>
  <c r="F4834" i="4" s="1"/>
  <c r="D4842" i="4"/>
  <c r="F4842" i="4" s="1"/>
  <c r="D4850" i="4"/>
  <c r="F4850" i="4" s="1"/>
  <c r="D4860" i="4"/>
  <c r="F4860" i="4" s="1"/>
  <c r="D4870" i="4"/>
  <c r="F4870" i="4" s="1"/>
  <c r="D4880" i="4"/>
  <c r="F4880" i="4" s="1"/>
  <c r="D4890" i="4"/>
  <c r="F4890" i="4" s="1"/>
  <c r="D4900" i="4"/>
  <c r="F4900" i="4" s="1"/>
  <c r="D4908" i="4"/>
  <c r="F4908" i="4" s="1"/>
  <c r="D4918" i="4"/>
  <c r="F4918" i="4" s="1"/>
  <c r="D4926" i="4"/>
  <c r="F4926" i="4" s="1"/>
  <c r="D4936" i="4"/>
  <c r="F4936" i="4" s="1"/>
  <c r="D4948" i="4"/>
  <c r="F4948" i="4" s="1"/>
  <c r="D4958" i="4"/>
  <c r="F4958" i="4" s="1"/>
  <c r="D4968" i="4"/>
  <c r="F4968" i="4" s="1"/>
  <c r="D4978" i="4"/>
  <c r="F4978" i="4" s="1"/>
  <c r="D4988" i="4"/>
  <c r="F4988" i="4" s="1"/>
  <c r="D4998" i="4"/>
  <c r="F4998" i="4" s="1"/>
  <c r="D5008" i="4"/>
  <c r="F5008" i="4" s="1"/>
  <c r="D2958" i="4"/>
  <c r="F2958" i="4" s="1"/>
  <c r="D3129" i="4"/>
  <c r="F3129" i="4" s="1"/>
  <c r="D3487" i="4"/>
  <c r="F3487" i="4" s="1"/>
  <c r="D3711" i="4"/>
  <c r="F3711" i="4" s="1"/>
  <c r="D3768" i="4"/>
  <c r="F3768" i="4" s="1"/>
  <c r="D3839" i="4"/>
  <c r="F3839" i="4" s="1"/>
  <c r="D3888" i="4"/>
  <c r="F3888" i="4" s="1"/>
  <c r="D3961" i="4"/>
  <c r="F3961" i="4" s="1"/>
  <c r="D4049" i="4"/>
  <c r="F4049" i="4" s="1"/>
  <c r="D4081" i="4"/>
  <c r="F4081" i="4" s="1"/>
  <c r="D4113" i="4"/>
  <c r="F4113" i="4" s="1"/>
  <c r="D4145" i="4"/>
  <c r="F4145" i="4" s="1"/>
  <c r="D4193" i="4"/>
  <c r="F4193" i="4" s="1"/>
  <c r="D4273" i="4"/>
  <c r="F4273" i="4" s="1"/>
  <c r="D4305" i="4"/>
  <c r="F4305" i="4" s="1"/>
  <c r="D4349" i="4"/>
  <c r="F4349" i="4" s="1"/>
  <c r="D4365" i="4"/>
  <c r="F4365" i="4" s="1"/>
  <c r="D4410" i="4"/>
  <c r="F4410" i="4" s="1"/>
  <c r="D4426" i="4"/>
  <c r="F4426" i="4" s="1"/>
  <c r="D4442" i="4"/>
  <c r="F4442" i="4" s="1"/>
  <c r="D4458" i="4"/>
  <c r="F4458" i="4" s="1"/>
  <c r="D4474" i="4"/>
  <c r="F4474" i="4" s="1"/>
  <c r="D4490" i="4"/>
  <c r="F4490" i="4" s="1"/>
  <c r="D4506" i="4"/>
  <c r="F4506" i="4" s="1"/>
  <c r="D4522" i="4"/>
  <c r="F4522" i="4" s="1"/>
  <c r="D4538" i="4"/>
  <c r="F4538" i="4" s="1"/>
  <c r="D4568" i="4"/>
  <c r="F4568" i="4" s="1"/>
  <c r="D4593" i="4"/>
  <c r="F4593" i="4" s="1"/>
  <c r="D4609" i="4"/>
  <c r="F4609" i="4" s="1"/>
  <c r="D2699" i="4"/>
  <c r="F2699" i="4" s="1"/>
  <c r="D2854" i="4"/>
  <c r="F2854" i="4" s="1"/>
  <c r="D2952" i="4"/>
  <c r="F2952" i="4" s="1"/>
  <c r="D2989" i="4"/>
  <c r="F2989" i="4" s="1"/>
  <c r="D3034" i="4"/>
  <c r="F3034" i="4" s="1"/>
  <c r="D3359" i="4"/>
  <c r="F3359" i="4" s="1"/>
  <c r="D3570" i="4"/>
  <c r="F3570" i="4" s="1"/>
  <c r="D3610" i="4"/>
  <c r="F3610" i="4" s="1"/>
  <c r="D3647" i="4"/>
  <c r="F3647" i="4" s="1"/>
  <c r="D3666" i="4"/>
  <c r="F3666" i="4" s="1"/>
  <c r="D3679" i="4"/>
  <c r="F3679" i="4" s="1"/>
  <c r="D3736" i="4"/>
  <c r="F3736" i="4" s="1"/>
  <c r="D3794" i="4"/>
  <c r="F3794" i="4" s="1"/>
  <c r="D3807" i="4"/>
  <c r="F3807" i="4" s="1"/>
  <c r="D3854" i="4"/>
  <c r="F3854" i="4" s="1"/>
  <c r="D3894" i="4"/>
  <c r="F3894" i="4" s="1"/>
  <c r="D3910" i="4"/>
  <c r="F3910" i="4" s="1"/>
  <c r="D3927" i="4"/>
  <c r="F3927" i="4" s="1"/>
  <c r="D3967" i="4"/>
  <c r="F3967" i="4" s="1"/>
  <c r="D3981" i="4"/>
  <c r="F3981" i="4" s="1"/>
  <c r="D3996" i="4"/>
  <c r="F3996" i="4" s="1"/>
  <c r="D4021" i="4"/>
  <c r="F4021" i="4" s="1"/>
  <c r="D4037" i="4"/>
  <c r="F4037" i="4" s="1"/>
  <c r="D4053" i="4"/>
  <c r="F4053" i="4" s="1"/>
  <c r="D4069" i="4"/>
  <c r="F4069" i="4" s="1"/>
  <c r="D4085" i="4"/>
  <c r="F4085" i="4" s="1"/>
  <c r="D4101" i="4"/>
  <c r="F4101" i="4" s="1"/>
  <c r="D4117" i="4"/>
  <c r="F4117" i="4" s="1"/>
  <c r="D4133" i="4"/>
  <c r="F4133" i="4" s="1"/>
  <c r="D4149" i="4"/>
  <c r="F4149" i="4" s="1"/>
  <c r="D4165" i="4"/>
  <c r="F4165" i="4" s="1"/>
  <c r="D4181" i="4"/>
  <c r="F4181" i="4" s="1"/>
  <c r="D4197" i="4"/>
  <c r="F4197" i="4" s="1"/>
  <c r="D4213" i="4"/>
  <c r="F4213" i="4" s="1"/>
  <c r="D4229" i="4"/>
  <c r="F4229" i="4" s="1"/>
  <c r="D4245" i="4"/>
  <c r="F4245" i="4" s="1"/>
  <c r="D4261" i="4"/>
  <c r="F4261" i="4" s="1"/>
  <c r="D4277" i="4"/>
  <c r="F4277" i="4" s="1"/>
  <c r="D4293" i="4"/>
  <c r="F4293" i="4" s="1"/>
  <c r="D4309" i="4"/>
  <c r="F4309" i="4" s="1"/>
  <c r="D4325" i="4"/>
  <c r="F4325" i="4" s="1"/>
  <c r="D4340" i="4"/>
  <c r="F4340" i="4" s="1"/>
  <c r="D4344" i="4"/>
  <c r="F4344" i="4" s="1"/>
  <c r="D4348" i="4"/>
  <c r="F4348" i="4" s="1"/>
  <c r="D4352" i="4"/>
  <c r="F4352" i="4" s="1"/>
  <c r="D4356" i="4"/>
  <c r="F4356" i="4" s="1"/>
  <c r="D4360" i="4"/>
  <c r="F4360" i="4" s="1"/>
  <c r="D4364" i="4"/>
  <c r="F4364" i="4" s="1"/>
  <c r="D4368" i="4"/>
  <c r="F4368" i="4" s="1"/>
  <c r="D4372" i="4"/>
  <c r="F4372" i="4" s="1"/>
  <c r="D4376" i="4"/>
  <c r="F4376" i="4" s="1"/>
  <c r="D4380" i="4"/>
  <c r="F4380" i="4" s="1"/>
  <c r="D4390" i="4"/>
  <c r="F4390" i="4" s="1"/>
  <c r="D4393" i="4"/>
  <c r="F4393" i="4" s="1"/>
  <c r="D4406" i="4"/>
  <c r="F4406" i="4" s="1"/>
  <c r="D4409" i="4"/>
  <c r="F4409" i="4" s="1"/>
  <c r="D4422" i="4"/>
  <c r="F4422" i="4" s="1"/>
  <c r="D4425" i="4"/>
  <c r="F4425" i="4" s="1"/>
  <c r="D4438" i="4"/>
  <c r="F4438" i="4" s="1"/>
  <c r="D4441" i="4"/>
  <c r="F4441" i="4" s="1"/>
  <c r="D4454" i="4"/>
  <c r="F4454" i="4" s="1"/>
  <c r="D4457" i="4"/>
  <c r="F4457" i="4" s="1"/>
  <c r="D4470" i="4"/>
  <c r="F4470" i="4" s="1"/>
  <c r="D4473" i="4"/>
  <c r="F4473" i="4" s="1"/>
  <c r="D4486" i="4"/>
  <c r="F4486" i="4" s="1"/>
  <c r="D4489" i="4"/>
  <c r="F4489" i="4" s="1"/>
  <c r="D4502" i="4"/>
  <c r="F4502" i="4" s="1"/>
  <c r="D4505" i="4"/>
  <c r="F4505" i="4" s="1"/>
  <c r="D4508" i="4"/>
  <c r="F4508" i="4" s="1"/>
  <c r="D4513" i="4"/>
  <c r="F4513" i="4" s="1"/>
  <c r="D4516" i="4"/>
  <c r="F4516" i="4" s="1"/>
  <c r="D4521" i="4"/>
  <c r="F4521" i="4" s="1"/>
  <c r="D4524" i="4"/>
  <c r="F4524" i="4" s="1"/>
  <c r="D4529" i="4"/>
  <c r="F4529" i="4" s="1"/>
  <c r="D4532" i="4"/>
  <c r="F4532" i="4" s="1"/>
  <c r="D4537" i="4"/>
  <c r="F4537" i="4" s="1"/>
  <c r="D4540" i="4"/>
  <c r="F4540" i="4" s="1"/>
  <c r="D4549" i="4"/>
  <c r="F4549" i="4" s="1"/>
  <c r="D4556" i="4"/>
  <c r="F4556" i="4" s="1"/>
  <c r="D4565" i="4"/>
  <c r="F4565" i="4" s="1"/>
  <c r="D4572" i="4"/>
  <c r="F4572" i="4" s="1"/>
  <c r="D4581" i="4"/>
  <c r="F4581" i="4" s="1"/>
  <c r="D4588" i="4"/>
  <c r="F4588" i="4" s="1"/>
  <c r="D4597" i="4"/>
  <c r="F4597" i="4" s="1"/>
  <c r="D4604" i="4"/>
  <c r="F4604" i="4" s="1"/>
  <c r="D4613" i="4"/>
  <c r="F4613" i="4" s="1"/>
  <c r="D4620" i="4"/>
  <c r="F4620" i="4" s="1"/>
  <c r="D4629" i="4"/>
  <c r="F4629" i="4" s="1"/>
  <c r="D4636" i="4"/>
  <c r="F4636" i="4" s="1"/>
  <c r="D4645" i="4"/>
  <c r="F4645" i="4" s="1"/>
  <c r="D3127" i="4"/>
  <c r="F3127" i="4" s="1"/>
  <c r="D3241" i="4"/>
  <c r="F3241" i="4" s="1"/>
  <c r="D3486" i="4"/>
  <c r="F3486" i="4" s="1"/>
  <c r="D3575" i="4"/>
  <c r="F3575" i="4" s="1"/>
  <c r="D3648" i="4"/>
  <c r="F3648" i="4" s="1"/>
  <c r="D3695" i="4"/>
  <c r="F3695" i="4" s="1"/>
  <c r="D3752" i="4"/>
  <c r="F3752" i="4" s="1"/>
  <c r="D3846" i="4"/>
  <c r="F3846" i="4" s="1"/>
  <c r="D3919" i="4"/>
  <c r="F3919" i="4" s="1"/>
  <c r="D3952" i="4"/>
  <c r="F3952" i="4" s="1"/>
  <c r="D3989" i="4"/>
  <c r="F3989" i="4" s="1"/>
  <c r="D4027" i="4"/>
  <c r="F4027" i="4" s="1"/>
  <c r="D4043" i="4"/>
  <c r="F4043" i="4" s="1"/>
  <c r="D4091" i="4"/>
  <c r="F4091" i="4" s="1"/>
  <c r="D4139" i="4"/>
  <c r="F4139" i="4" s="1"/>
  <c r="D4155" i="4"/>
  <c r="F4155" i="4" s="1"/>
  <c r="D4203" i="4"/>
  <c r="F4203" i="4" s="1"/>
  <c r="D4331" i="4"/>
  <c r="F4331" i="4" s="1"/>
  <c r="D4384" i="4"/>
  <c r="F4384" i="4" s="1"/>
  <c r="D4416" i="4"/>
  <c r="F4416" i="4" s="1"/>
  <c r="D4448" i="4"/>
  <c r="F4448" i="4" s="1"/>
  <c r="D4464" i="4"/>
  <c r="F4464" i="4" s="1"/>
  <c r="D4480" i="4"/>
  <c r="F4480" i="4" s="1"/>
  <c r="D4496" i="4"/>
  <c r="F4496" i="4" s="1"/>
  <c r="D4563" i="4"/>
  <c r="F4563" i="4" s="1"/>
  <c r="D4579" i="4"/>
  <c r="F4579" i="4" s="1"/>
  <c r="D4595" i="4"/>
  <c r="F4595" i="4" s="1"/>
  <c r="D4611" i="4"/>
  <c r="F4611" i="4" s="1"/>
  <c r="D4656" i="4"/>
  <c r="F4656" i="4" s="1"/>
  <c r="D4666" i="4"/>
  <c r="F4666" i="4" s="1"/>
  <c r="D4676" i="4"/>
  <c r="F4676" i="4" s="1"/>
  <c r="D4686" i="4"/>
  <c r="F4686" i="4" s="1"/>
  <c r="D4696" i="4"/>
  <c r="F4696" i="4" s="1"/>
  <c r="D4704" i="4"/>
  <c r="F4704" i="4" s="1"/>
  <c r="D4714" i="4"/>
  <c r="F4714" i="4" s="1"/>
  <c r="D4726" i="4"/>
  <c r="F4726" i="4" s="1"/>
  <c r="D4734" i="4"/>
  <c r="F4734" i="4" s="1"/>
  <c r="D4742" i="4"/>
  <c r="F4742" i="4" s="1"/>
  <c r="D4752" i="4"/>
  <c r="F4752" i="4" s="1"/>
  <c r="D4762" i="4"/>
  <c r="F4762" i="4" s="1"/>
  <c r="D4772" i="4"/>
  <c r="F4772" i="4" s="1"/>
  <c r="D4782" i="4"/>
  <c r="F4782" i="4" s="1"/>
  <c r="D4790" i="4"/>
  <c r="F4790" i="4" s="1"/>
  <c r="D4800" i="4"/>
  <c r="F4800" i="4" s="1"/>
  <c r="D4810" i="4"/>
  <c r="F4810" i="4" s="1"/>
  <c r="D4820" i="4"/>
  <c r="F4820" i="4" s="1"/>
  <c r="D4832" i="4"/>
  <c r="F4832" i="4" s="1"/>
  <c r="D4844" i="4"/>
  <c r="F4844" i="4" s="1"/>
  <c r="D4854" i="4"/>
  <c r="F4854" i="4" s="1"/>
  <c r="D4862" i="4"/>
  <c r="F4862" i="4" s="1"/>
  <c r="D4874" i="4"/>
  <c r="F4874" i="4" s="1"/>
  <c r="D4884" i="4"/>
  <c r="F4884" i="4" s="1"/>
  <c r="D4894" i="4"/>
  <c r="F4894" i="4" s="1"/>
  <c r="D4902" i="4"/>
  <c r="F4902" i="4" s="1"/>
  <c r="D4912" i="4"/>
  <c r="F4912" i="4" s="1"/>
  <c r="D4924" i="4"/>
  <c r="F4924" i="4" s="1"/>
  <c r="D4934" i="4"/>
  <c r="F4934" i="4" s="1"/>
  <c r="D4944" i="4"/>
  <c r="F4944" i="4" s="1"/>
  <c r="D4954" i="4"/>
  <c r="F4954" i="4" s="1"/>
  <c r="D4964" i="4"/>
  <c r="F4964" i="4" s="1"/>
  <c r="D4972" i="4"/>
  <c r="F4972" i="4" s="1"/>
  <c r="D4984" i="4"/>
  <c r="F4984" i="4" s="1"/>
  <c r="D4992" i="4"/>
  <c r="F4992" i="4" s="1"/>
  <c r="D5000" i="4"/>
  <c r="F5000" i="4" s="1"/>
  <c r="D5010" i="4"/>
  <c r="F5010" i="4" s="1"/>
  <c r="D2652" i="4"/>
  <c r="F2652" i="4" s="1"/>
  <c r="D3001" i="4"/>
  <c r="F3001" i="4" s="1"/>
  <c r="D3244" i="4"/>
  <c r="F3244" i="4" s="1"/>
  <c r="D3337" i="4"/>
  <c r="F3337" i="4" s="1"/>
  <c r="D3632" i="4"/>
  <c r="F3632" i="4" s="1"/>
  <c r="D3848" i="4"/>
  <c r="F3848" i="4" s="1"/>
  <c r="D3904" i="4"/>
  <c r="F3904" i="4" s="1"/>
  <c r="D3997" i="4"/>
  <c r="F3997" i="4" s="1"/>
  <c r="D4017" i="4"/>
  <c r="F4017" i="4" s="1"/>
  <c r="D4065" i="4"/>
  <c r="F4065" i="4" s="1"/>
  <c r="D4097" i="4"/>
  <c r="F4097" i="4" s="1"/>
  <c r="D4129" i="4"/>
  <c r="F4129" i="4" s="1"/>
  <c r="D4161" i="4"/>
  <c r="F4161" i="4" s="1"/>
  <c r="D4225" i="4"/>
  <c r="F4225" i="4" s="1"/>
  <c r="D4321" i="4"/>
  <c r="F4321" i="4" s="1"/>
  <c r="D4345" i="4"/>
  <c r="F4345" i="4" s="1"/>
  <c r="D4357" i="4"/>
  <c r="F4357" i="4" s="1"/>
  <c r="D4377" i="4"/>
  <c r="F4377" i="4" s="1"/>
  <c r="D4519" i="4"/>
  <c r="F4519" i="4" s="1"/>
  <c r="D4552" i="4"/>
  <c r="F4552" i="4" s="1"/>
  <c r="D4600" i="4"/>
  <c r="F4600" i="4" s="1"/>
  <c r="D2596" i="4"/>
  <c r="F2596" i="4" s="1"/>
  <c r="D3007" i="4"/>
  <c r="F3007" i="4" s="1"/>
  <c r="D4119" i="4"/>
  <c r="F4119" i="4" s="1"/>
  <c r="D4247" i="4"/>
  <c r="F4247" i="4" s="1"/>
  <c r="D4420" i="4"/>
  <c r="F4420" i="4" s="1"/>
  <c r="D4471" i="4"/>
  <c r="F4471" i="4" s="1"/>
  <c r="D4559" i="4"/>
  <c r="F4559" i="4" s="1"/>
  <c r="D4614" i="4"/>
  <c r="F4614" i="4" s="1"/>
  <c r="D3840" i="4"/>
  <c r="F3840" i="4" s="1"/>
  <c r="D4484" i="4"/>
  <c r="F4484" i="4" s="1"/>
  <c r="D4550" i="4"/>
  <c r="F4550" i="4" s="1"/>
  <c r="D4103" i="4"/>
  <c r="F4103" i="4" s="1"/>
  <c r="D4487" i="4"/>
  <c r="F4487" i="4" s="1"/>
  <c r="D3281" i="4"/>
  <c r="F3281" i="4" s="1"/>
  <c r="D4391" i="4"/>
  <c r="F4391" i="4" s="1"/>
  <c r="D4630" i="4"/>
  <c r="F4630" i="4" s="1"/>
  <c r="D2670" i="4"/>
  <c r="F2670" i="4" s="1"/>
  <c r="D3050" i="4"/>
  <c r="F3050" i="4" s="1"/>
  <c r="D3560" i="4"/>
  <c r="F3560" i="4" s="1"/>
  <c r="D4005" i="4"/>
  <c r="F4005" i="4" s="1"/>
  <c r="D4039" i="4"/>
  <c r="F4039" i="4" s="1"/>
  <c r="D4167" i="4"/>
  <c r="F4167" i="4" s="1"/>
  <c r="D4295" i="4"/>
  <c r="F4295" i="4" s="1"/>
  <c r="D4423" i="4"/>
  <c r="F4423" i="4" s="1"/>
  <c r="D4500" i="4"/>
  <c r="F4500" i="4" s="1"/>
  <c r="D4543" i="4"/>
  <c r="F4543" i="4" s="1"/>
  <c r="D4598" i="4"/>
  <c r="F4598" i="4" s="1"/>
  <c r="D2967" i="4"/>
  <c r="F2967" i="4" s="1"/>
  <c r="D3930" i="4"/>
  <c r="F3930" i="4" s="1"/>
  <c r="D4199" i="4"/>
  <c r="F4199" i="4" s="1"/>
  <c r="D3714" i="4"/>
  <c r="F3714" i="4" s="1"/>
  <c r="D3824" i="4"/>
  <c r="F3824" i="4" s="1"/>
  <c r="D4087" i="4"/>
  <c r="F4087" i="4" s="1"/>
  <c r="D4215" i="4"/>
  <c r="F4215" i="4" s="1"/>
  <c r="D4452" i="4"/>
  <c r="F4452" i="4" s="1"/>
  <c r="D4503" i="4"/>
  <c r="F4503" i="4" s="1"/>
  <c r="D4582" i="4"/>
  <c r="F4582" i="4" s="1"/>
  <c r="D2871" i="4"/>
  <c r="F2871" i="4" s="1"/>
  <c r="D3634" i="4"/>
  <c r="F3634" i="4" s="1"/>
  <c r="D3913" i="4"/>
  <c r="F3913" i="4" s="1"/>
  <c r="D4607" i="4"/>
  <c r="F4607" i="4" s="1"/>
  <c r="D3518" i="4"/>
  <c r="F3518" i="4" s="1"/>
  <c r="D3784" i="4"/>
  <c r="F3784" i="4" s="1"/>
  <c r="D3991" i="4"/>
  <c r="F3991" i="4" s="1"/>
  <c r="D4575" i="4"/>
  <c r="F4575" i="4" s="1"/>
  <c r="D3727" i="4"/>
  <c r="F3727" i="4" s="1"/>
  <c r="D3897" i="4"/>
  <c r="F3897" i="4" s="1"/>
  <c r="D4135" i="4"/>
  <c r="F4135" i="4" s="1"/>
  <c r="D4263" i="4"/>
  <c r="F4263" i="4" s="1"/>
  <c r="D4404" i="4"/>
  <c r="F4404" i="4" s="1"/>
  <c r="D4455" i="4"/>
  <c r="F4455" i="4" s="1"/>
  <c r="D4566" i="4"/>
  <c r="F4566" i="4" s="1"/>
  <c r="D4639" i="4"/>
  <c r="F4639" i="4" s="1"/>
  <c r="D4055" i="4"/>
  <c r="F4055" i="4" s="1"/>
  <c r="D4183" i="4"/>
  <c r="F4183" i="4" s="1"/>
  <c r="D4311" i="4"/>
  <c r="F4311" i="4" s="1"/>
  <c r="D4407" i="4"/>
  <c r="F4407" i="4" s="1"/>
  <c r="D4623" i="4"/>
  <c r="F4623" i="4" s="1"/>
  <c r="D3462" i="4"/>
  <c r="F3462" i="4" s="1"/>
  <c r="D4231" i="4"/>
  <c r="F4231" i="4" s="1"/>
  <c r="D4436" i="4"/>
  <c r="F4436" i="4" s="1"/>
  <c r="D3857" i="4"/>
  <c r="F3857" i="4" s="1"/>
  <c r="D4023" i="4"/>
  <c r="F4023" i="4" s="1"/>
  <c r="D4151" i="4"/>
  <c r="F4151" i="4" s="1"/>
  <c r="D4279" i="4"/>
  <c r="F4279" i="4" s="1"/>
  <c r="D4388" i="4"/>
  <c r="F4388" i="4" s="1"/>
  <c r="D4439" i="4"/>
  <c r="F4439" i="4" s="1"/>
  <c r="D4591" i="4"/>
  <c r="F4591" i="4" s="1"/>
  <c r="D4646" i="4"/>
  <c r="F4646" i="4" s="1"/>
  <c r="D4071" i="4"/>
  <c r="F4071" i="4" s="1"/>
  <c r="D4327" i="4"/>
  <c r="F4327" i="4" s="1"/>
  <c r="D4468" i="4"/>
  <c r="F4468" i="4" s="1"/>
  <c r="D1120" i="4" l="1"/>
  <c r="F1120" i="4" s="1"/>
  <c r="D1485" i="4"/>
  <c r="E1485" i="4" s="1"/>
  <c r="D306" i="4"/>
  <c r="E306" i="4" s="1"/>
  <c r="D104" i="4"/>
  <c r="F104" i="4" s="1"/>
  <c r="D691" i="4"/>
  <c r="E691" i="4" s="1"/>
  <c r="D695" i="4"/>
  <c r="F695" i="4" s="1"/>
  <c r="D596" i="4"/>
  <c r="F596" i="4" s="1"/>
  <c r="D86" i="4"/>
  <c r="F86" i="4" s="1"/>
  <c r="D121" i="4"/>
  <c r="F121" i="4" s="1"/>
  <c r="D2351" i="4"/>
  <c r="F2351" i="4" s="1"/>
  <c r="D1588" i="4"/>
  <c r="F1588" i="4" s="1"/>
  <c r="D338" i="4"/>
  <c r="F338" i="4" s="1"/>
  <c r="D2226" i="4"/>
  <c r="F2226" i="4" s="1"/>
  <c r="D149" i="4"/>
  <c r="F149" i="4" s="1"/>
  <c r="D2128" i="4"/>
  <c r="F2128" i="4" s="1"/>
  <c r="D115" i="4"/>
  <c r="F115" i="4" s="1"/>
  <c r="D1523" i="4"/>
  <c r="F1523" i="4" s="1"/>
  <c r="D1346" i="4"/>
  <c r="F1346" i="4" s="1"/>
  <c r="D834" i="4"/>
  <c r="F834" i="4" s="1"/>
  <c r="D591" i="4"/>
  <c r="F591" i="4" s="1"/>
  <c r="D796" i="4"/>
  <c r="F796" i="4" s="1"/>
  <c r="D1027" i="4"/>
  <c r="F1027" i="4" s="1"/>
  <c r="D2028" i="4"/>
  <c r="F2028" i="4" s="1"/>
  <c r="D1402" i="4"/>
  <c r="F1402" i="4" s="1"/>
  <c r="D2357" i="4"/>
  <c r="F2357" i="4" s="1"/>
  <c r="D1136" i="4"/>
  <c r="F1136" i="4" s="1"/>
  <c r="D1623" i="4"/>
  <c r="F1623" i="4" s="1"/>
  <c r="D2318" i="4"/>
  <c r="F2318" i="4" s="1"/>
  <c r="D2467" i="4"/>
  <c r="F2467" i="4" s="1"/>
  <c r="D1939" i="4"/>
  <c r="F1939" i="4" s="1"/>
  <c r="D2149" i="4"/>
  <c r="F2149" i="4" s="1"/>
  <c r="D2243" i="4"/>
  <c r="F2243" i="4" s="1"/>
  <c r="D2355" i="4"/>
  <c r="F2355" i="4" s="1"/>
  <c r="D2220" i="4"/>
  <c r="F2220" i="4" s="1"/>
  <c r="D2109" i="4"/>
  <c r="F2109" i="4" s="1"/>
  <c r="D1444" i="4"/>
  <c r="F1444" i="4" s="1"/>
  <c r="D1784" i="4"/>
  <c r="F1784" i="4" s="1"/>
  <c r="D1870" i="4"/>
  <c r="F1870" i="4" s="1"/>
  <c r="D2223" i="4"/>
  <c r="F2223" i="4" s="1"/>
  <c r="D2421" i="4"/>
  <c r="F2421" i="4" s="1"/>
  <c r="D2426" i="4"/>
  <c r="F2426" i="4" s="1"/>
  <c r="D2292" i="4"/>
  <c r="F2292" i="4" s="1"/>
  <c r="D2435" i="4"/>
  <c r="F2435" i="4" s="1"/>
  <c r="D2445" i="4"/>
  <c r="F2445" i="4" s="1"/>
  <c r="D2174" i="4"/>
  <c r="F2174" i="4" s="1"/>
  <c r="D54" i="4"/>
  <c r="F54" i="4" s="1"/>
  <c r="D1915" i="4"/>
  <c r="F1915" i="4" s="1"/>
  <c r="D2118" i="4"/>
  <c r="F2118" i="4" s="1"/>
  <c r="D2328" i="4"/>
  <c r="F2328" i="4" s="1"/>
  <c r="D2218" i="4"/>
  <c r="F2218" i="4" s="1"/>
  <c r="D1570" i="4"/>
  <c r="F1570" i="4" s="1"/>
  <c r="D1998" i="4"/>
  <c r="F1998" i="4" s="1"/>
  <c r="D2154" i="4"/>
  <c r="F2154" i="4" s="1"/>
  <c r="D2396" i="4"/>
  <c r="F2396" i="4" s="1"/>
  <c r="D1365" i="4"/>
  <c r="F1365" i="4" s="1"/>
  <c r="D2368" i="4"/>
  <c r="F2368" i="4" s="1"/>
  <c r="D2415" i="4"/>
  <c r="F2415" i="4" s="1"/>
  <c r="D2073" i="4"/>
  <c r="F2073" i="4" s="1"/>
  <c r="D2001" i="4"/>
  <c r="F2001" i="4" s="1"/>
  <c r="D1896" i="4"/>
  <c r="F1896" i="4" s="1"/>
  <c r="D2193" i="4"/>
  <c r="F2193" i="4" s="1"/>
  <c r="D1235" i="4"/>
  <c r="F1235" i="4" s="1"/>
  <c r="D1655" i="4"/>
  <c r="F1655" i="4" s="1"/>
  <c r="D2011" i="4"/>
  <c r="F2011" i="4" s="1"/>
  <c r="D2015" i="4"/>
  <c r="F2015" i="4" s="1"/>
  <c r="D430" i="4"/>
  <c r="F430" i="4" s="1"/>
  <c r="D1963" i="4"/>
  <c r="F1963" i="4" s="1"/>
  <c r="D2513" i="4"/>
  <c r="F2513" i="4" s="1"/>
  <c r="D1841" i="4"/>
  <c r="F1841" i="4" s="1"/>
  <c r="D1787" i="4"/>
  <c r="F1787" i="4" s="1"/>
  <c r="D1618" i="4"/>
  <c r="F1618" i="4" s="1"/>
  <c r="D2045" i="4"/>
  <c r="F2045" i="4" s="1"/>
  <c r="D2208" i="4"/>
  <c r="F2208" i="4" s="1"/>
  <c r="D1512" i="4"/>
  <c r="F1512" i="4" s="1"/>
  <c r="D2333" i="4"/>
  <c r="F2333" i="4" s="1"/>
  <c r="D2475" i="4"/>
  <c r="F2475" i="4" s="1"/>
  <c r="D2194" i="4"/>
  <c r="F2194" i="4" s="1"/>
  <c r="D1975" i="4"/>
  <c r="F1975" i="4" s="1"/>
  <c r="D2370" i="4"/>
  <c r="F2370" i="4" s="1"/>
  <c r="D2377" i="4"/>
  <c r="F2377" i="4" s="1"/>
  <c r="D1852" i="4"/>
  <c r="F1852" i="4" s="1"/>
  <c r="D1781" i="4"/>
  <c r="F1781" i="4" s="1"/>
  <c r="D1266" i="4"/>
  <c r="F1266" i="4" s="1"/>
  <c r="D2386" i="4"/>
  <c r="F2386" i="4" s="1"/>
  <c r="D2265" i="4"/>
  <c r="F2265" i="4" s="1"/>
  <c r="D1936" i="4"/>
  <c r="F1936" i="4" s="1"/>
  <c r="D1609" i="4"/>
  <c r="F1609" i="4" s="1"/>
  <c r="D2153" i="4"/>
  <c r="F2153" i="4" s="1"/>
  <c r="D2238" i="4"/>
  <c r="F2238" i="4" s="1"/>
  <c r="D662" i="4"/>
  <c r="E662" i="4" s="1"/>
  <c r="D496" i="4"/>
  <c r="F496" i="4" s="1"/>
  <c r="D298" i="4"/>
  <c r="F298" i="4" s="1"/>
  <c r="D226" i="4"/>
  <c r="F226" i="4" s="1"/>
  <c r="D716" i="4"/>
  <c r="F716" i="4" s="1"/>
  <c r="D186" i="4"/>
  <c r="F186" i="4" s="1"/>
  <c r="D860" i="4"/>
  <c r="F860" i="4" s="1"/>
  <c r="D2385" i="4"/>
  <c r="F2385" i="4" s="1"/>
  <c r="D371" i="4"/>
  <c r="F371" i="4" s="1"/>
  <c r="D1591" i="4"/>
  <c r="F1591" i="4" s="1"/>
  <c r="D1085" i="4"/>
  <c r="F1085" i="4" s="1"/>
  <c r="D385" i="4"/>
  <c r="F385" i="4" s="1"/>
  <c r="D941" i="4"/>
  <c r="F941" i="4" s="1"/>
  <c r="D1147" i="4"/>
  <c r="F1147" i="4" s="1"/>
  <c r="D1631" i="4"/>
  <c r="F1631" i="4" s="1"/>
  <c r="D771" i="4"/>
  <c r="F771" i="4" s="1"/>
  <c r="D363" i="4"/>
  <c r="F363" i="4" s="1"/>
  <c r="D1153" i="4"/>
  <c r="F1153" i="4" s="1"/>
  <c r="D705" i="4"/>
  <c r="F705" i="4" s="1"/>
  <c r="D1810" i="4"/>
  <c r="F1810" i="4" s="1"/>
  <c r="D1988" i="4"/>
  <c r="F1988" i="4" s="1"/>
  <c r="D428" i="4"/>
  <c r="F428" i="4" s="1"/>
  <c r="D1049" i="4"/>
  <c r="F1049" i="4" s="1"/>
  <c r="D2177" i="4"/>
  <c r="F2177" i="4" s="1"/>
  <c r="D2135" i="4"/>
  <c r="F2135" i="4" s="1"/>
  <c r="D198" i="4"/>
  <c r="F198" i="4" s="1"/>
  <c r="D2482" i="4"/>
  <c r="F2482" i="4" s="1"/>
  <c r="D2437" i="4"/>
  <c r="F2437" i="4" s="1"/>
  <c r="D1931" i="4"/>
  <c r="F1931" i="4" s="1"/>
  <c r="D2327" i="4"/>
  <c r="F2327" i="4" s="1"/>
  <c r="D2088" i="4"/>
  <c r="F2088" i="4" s="1"/>
  <c r="D1984" i="4"/>
  <c r="F1984" i="4" s="1"/>
  <c r="D2280" i="4"/>
  <c r="F2280" i="4" s="1"/>
  <c r="D295" i="4"/>
  <c r="E295" i="4" s="1"/>
  <c r="D272" i="4"/>
  <c r="E272" i="4" s="1"/>
  <c r="D171" i="4"/>
  <c r="E171" i="4" s="1"/>
  <c r="D331" i="4"/>
  <c r="F331" i="4" s="1"/>
  <c r="D819" i="4"/>
  <c r="E819" i="4" s="1"/>
  <c r="D188" i="4"/>
  <c r="E188" i="4" s="1"/>
  <c r="D1210" i="4"/>
  <c r="F1210" i="4" s="1"/>
  <c r="D1616" i="4"/>
  <c r="F1616" i="4" s="1"/>
  <c r="D942" i="4"/>
  <c r="F942" i="4" s="1"/>
  <c r="D1868" i="4"/>
  <c r="F1868" i="4" s="1"/>
  <c r="D1454" i="4"/>
  <c r="F1454" i="4" s="1"/>
  <c r="D448" i="4"/>
  <c r="F448" i="4" s="1"/>
  <c r="D284" i="4"/>
  <c r="F284" i="4" s="1"/>
  <c r="D697" i="4"/>
  <c r="F697" i="4" s="1"/>
  <c r="D2316" i="4"/>
  <c r="F2316" i="4" s="1"/>
  <c r="D962" i="4"/>
  <c r="F962" i="4" s="1"/>
  <c r="D719" i="4"/>
  <c r="F719" i="4" s="1"/>
  <c r="D1278" i="4"/>
  <c r="F1278" i="4" s="1"/>
  <c r="D1227" i="4"/>
  <c r="F1227" i="4" s="1"/>
  <c r="D570" i="4"/>
  <c r="F570" i="4" s="1"/>
  <c r="D1790" i="4"/>
  <c r="F1790" i="4" s="1"/>
  <c r="D534" i="4"/>
  <c r="F534" i="4" s="1"/>
  <c r="D475" i="4"/>
  <c r="F475" i="4" s="1"/>
  <c r="D2157" i="4"/>
  <c r="F2157" i="4" s="1"/>
  <c r="D2055" i="4"/>
  <c r="F2055" i="4" s="1"/>
  <c r="D2164" i="4"/>
  <c r="F2164" i="4" s="1"/>
  <c r="D2420" i="4"/>
  <c r="F2420" i="4" s="1"/>
  <c r="D2379" i="4"/>
  <c r="F2379" i="4" s="1"/>
  <c r="D2408" i="4"/>
  <c r="F2408" i="4" s="1"/>
  <c r="D2097" i="4"/>
  <c r="F2097" i="4" s="1"/>
  <c r="D2024" i="4"/>
  <c r="F2024" i="4" s="1"/>
  <c r="D1920" i="4"/>
  <c r="F1920" i="4" s="1"/>
  <c r="D2217" i="4"/>
  <c r="F2217" i="4" s="1"/>
  <c r="D1593" i="4"/>
  <c r="F1593" i="4" s="1"/>
  <c r="D1679" i="4"/>
  <c r="F1679" i="4" s="1"/>
  <c r="D2035" i="4"/>
  <c r="F2035" i="4" s="1"/>
  <c r="D2412" i="4"/>
  <c r="F2412" i="4" s="1"/>
  <c r="D1381" i="4"/>
  <c r="F1381" i="4" s="1"/>
  <c r="D2400" i="4"/>
  <c r="F2400" i="4" s="1"/>
  <c r="D2431" i="4"/>
  <c r="F2431" i="4" s="1"/>
  <c r="D2112" i="4"/>
  <c r="F2112" i="4" s="1"/>
  <c r="D2221" i="4"/>
  <c r="F2221" i="4" s="1"/>
  <c r="D2413" i="4"/>
  <c r="F2413" i="4" s="1"/>
  <c r="D2376" i="4"/>
  <c r="F2376" i="4" s="1"/>
  <c r="D2374" i="4"/>
  <c r="F2374" i="4" s="1"/>
  <c r="D2134" i="4"/>
  <c r="F2134" i="4" s="1"/>
  <c r="D2030" i="4"/>
  <c r="F2030" i="4" s="1"/>
  <c r="D2325" i="4"/>
  <c r="F2325" i="4" s="1"/>
  <c r="D1704" i="4"/>
  <c r="F1704" i="4" s="1"/>
  <c r="D1791" i="4"/>
  <c r="F1791" i="4" s="1"/>
  <c r="D2110" i="4"/>
  <c r="F2110" i="4" s="1"/>
  <c r="D38" i="4"/>
  <c r="F38" i="4" s="1"/>
  <c r="D1907" i="4"/>
  <c r="F1907" i="4" s="1"/>
  <c r="D1046" i="4"/>
  <c r="F1046" i="4" s="1"/>
  <c r="D2320" i="4"/>
  <c r="F2320" i="4" s="1"/>
  <c r="D2210" i="4"/>
  <c r="F2210" i="4" s="1"/>
  <c r="D1562" i="4"/>
  <c r="F1562" i="4" s="1"/>
  <c r="D1991" i="4"/>
  <c r="F1991" i="4" s="1"/>
  <c r="D2146" i="4"/>
  <c r="F2146" i="4" s="1"/>
  <c r="D2323" i="4"/>
  <c r="F2323" i="4" s="1"/>
  <c r="D2341" i="4"/>
  <c r="F2341" i="4" s="1"/>
  <c r="D2402" i="4"/>
  <c r="F2402" i="4" s="1"/>
  <c r="D2268" i="4"/>
  <c r="F2268" i="4" s="1"/>
  <c r="D2478" i="4"/>
  <c r="F2478" i="4" s="1"/>
  <c r="D2422" i="4"/>
  <c r="F2422" i="4" s="1"/>
  <c r="D2188" i="4"/>
  <c r="F2188" i="4" s="1"/>
  <c r="D2078" i="4"/>
  <c r="F2078" i="4" s="1"/>
  <c r="D2372" i="4"/>
  <c r="F2372" i="4" s="1"/>
  <c r="D1752" i="4"/>
  <c r="F1752" i="4" s="1"/>
  <c r="D1838" i="4"/>
  <c r="F1838" i="4" s="1"/>
  <c r="D2191" i="4"/>
  <c r="F2191" i="4" s="1"/>
  <c r="D2473" i="4"/>
  <c r="F2473" i="4" s="1"/>
  <c r="D1985" i="4"/>
  <c r="F1985" i="4" s="1"/>
  <c r="D1673" i="4"/>
  <c r="F1673" i="4" s="1"/>
  <c r="D2263" i="4"/>
  <c r="F2263" i="4" s="1"/>
  <c r="D2059" i="4"/>
  <c r="F2059" i="4" s="1"/>
  <c r="D2182" i="4"/>
  <c r="F2182" i="4" s="1"/>
  <c r="D1412" i="4"/>
  <c r="F1412" i="4" s="1"/>
  <c r="D1583" i="4"/>
  <c r="F1583" i="4" s="1"/>
  <c r="D1804" i="4"/>
  <c r="F1804" i="4" s="1"/>
  <c r="D2187" i="4"/>
  <c r="F2187" i="4" s="1"/>
  <c r="D2173" i="4"/>
  <c r="F2173" i="4" s="1"/>
  <c r="D2356" i="4"/>
  <c r="F2356" i="4" s="1"/>
  <c r="D1823" i="4"/>
  <c r="F1823" i="4" s="1"/>
  <c r="D1845" i="4"/>
  <c r="F1845" i="4" s="1"/>
  <c r="D374" i="4"/>
  <c r="E374" i="4" s="1"/>
  <c r="D63" i="4"/>
  <c r="F63" i="4" s="1"/>
  <c r="D780" i="4"/>
  <c r="F780" i="4" s="1"/>
  <c r="D368" i="4"/>
  <c r="F368" i="4" s="1"/>
  <c r="D300" i="4"/>
  <c r="F300" i="4" s="1"/>
  <c r="D794" i="4"/>
  <c r="E794" i="4" s="1"/>
  <c r="D498" i="4"/>
  <c r="F498" i="4" s="1"/>
  <c r="D649" i="4"/>
  <c r="F649" i="4" s="1"/>
  <c r="D1342" i="4"/>
  <c r="D692" i="4"/>
  <c r="D1739" i="4"/>
  <c r="F1739" i="4" s="1"/>
  <c r="D699" i="4"/>
  <c r="F699" i="4" s="1"/>
  <c r="D117" i="4"/>
  <c r="F117" i="4" s="1"/>
  <c r="D1355" i="4"/>
  <c r="F1355" i="4" s="1"/>
  <c r="D1229" i="4"/>
  <c r="F1229" i="4" s="1"/>
  <c r="D266" i="4"/>
  <c r="F266" i="4" s="1"/>
  <c r="D782" i="4"/>
  <c r="F782" i="4" s="1"/>
  <c r="D1406" i="4"/>
  <c r="F1406" i="4" s="1"/>
  <c r="D1037" i="4"/>
  <c r="F1037" i="4" s="1"/>
  <c r="D1097" i="4"/>
  <c r="F1097" i="4" s="1"/>
  <c r="D2176" i="4"/>
  <c r="F2176" i="4" s="1"/>
  <c r="D615" i="4"/>
  <c r="F615" i="4" s="1"/>
  <c r="D1119" i="4"/>
  <c r="F1119" i="4" s="1"/>
  <c r="D2515" i="4"/>
  <c r="F2515" i="4" s="1"/>
  <c r="D2457" i="4"/>
  <c r="F2457" i="4" s="1"/>
  <c r="D2395" i="4"/>
  <c r="F2395" i="4" s="1"/>
  <c r="D2127" i="4"/>
  <c r="F2127" i="4" s="1"/>
  <c r="D182" i="4"/>
  <c r="F182" i="4" s="1"/>
  <c r="D2227" i="4"/>
  <c r="F2227" i="4" s="1"/>
  <c r="D2033" i="4"/>
  <c r="F2033" i="4" s="1"/>
  <c r="D1962" i="4"/>
  <c r="F1962" i="4" s="1"/>
  <c r="D1713" i="4"/>
  <c r="F1713" i="4" s="1"/>
  <c r="D2147" i="4"/>
  <c r="F2147" i="4" s="1"/>
  <c r="D2308" i="4"/>
  <c r="F2308" i="4" s="1"/>
  <c r="D1608" i="4"/>
  <c r="F1608" i="4" s="1"/>
  <c r="D1957" i="4"/>
  <c r="F1957" i="4" s="1"/>
  <c r="D2103" i="4"/>
  <c r="F2103" i="4" s="1"/>
  <c r="D2405" i="4"/>
  <c r="F2405" i="4" s="1"/>
  <c r="D2235" i="4"/>
  <c r="F2235" i="4" s="1"/>
  <c r="D2290" i="4"/>
  <c r="F2290" i="4" s="1"/>
  <c r="D2466" i="4"/>
  <c r="F2466" i="4" s="1"/>
  <c r="D2133" i="4"/>
  <c r="F2133" i="4" s="1"/>
  <c r="D1134" i="4"/>
  <c r="F1134" i="4" s="1"/>
  <c r="D2500" i="4"/>
  <c r="F2500" i="4" s="1"/>
  <c r="D2311" i="4"/>
  <c r="F2311" i="4" s="1"/>
  <c r="D2072" i="4"/>
  <c r="F2072" i="4" s="1"/>
  <c r="D1968" i="4"/>
  <c r="F1968" i="4" s="1"/>
  <c r="D2264" i="4"/>
  <c r="F2264" i="4" s="1"/>
  <c r="D1640" i="4"/>
  <c r="F1640" i="4" s="1"/>
  <c r="D1727" i="4"/>
  <c r="F1727" i="4" s="1"/>
  <c r="D46" i="4"/>
  <c r="F46" i="4" s="1"/>
  <c r="D2509" i="4"/>
  <c r="F2509" i="4" s="1"/>
  <c r="D2452" i="4"/>
  <c r="F2452" i="4" s="1"/>
  <c r="D2499" i="4"/>
  <c r="F2499" i="4" s="1"/>
  <c r="D2259" i="4"/>
  <c r="F2259" i="4" s="1"/>
  <c r="D2148" i="4"/>
  <c r="F2148" i="4" s="1"/>
  <c r="D1498" i="4"/>
  <c r="F1498" i="4" s="1"/>
  <c r="D1927" i="4"/>
  <c r="F1927" i="4" s="1"/>
  <c r="D2076" i="4"/>
  <c r="F2076" i="4" s="1"/>
  <c r="D2262" i="4"/>
  <c r="F2262" i="4" s="1"/>
  <c r="D2512" i="4"/>
  <c r="F2512" i="4" s="1"/>
  <c r="D2205" i="4"/>
  <c r="F2205" i="4" s="1"/>
  <c r="D2511" i="4"/>
  <c r="F2511" i="4" s="1"/>
  <c r="D2344" i="4"/>
  <c r="F2344" i="4" s="1"/>
  <c r="D2358" i="4"/>
  <c r="F2358" i="4" s="1"/>
  <c r="D2119" i="4"/>
  <c r="F2119" i="4" s="1"/>
  <c r="D2014" i="4"/>
  <c r="F2014" i="4" s="1"/>
  <c r="D2309" i="4"/>
  <c r="F2309" i="4" s="1"/>
  <c r="D1688" i="4"/>
  <c r="F1688" i="4" s="1"/>
  <c r="D1775" i="4"/>
  <c r="F1775" i="4" s="1"/>
  <c r="D2129" i="4"/>
  <c r="F2129" i="4" s="1"/>
  <c r="D2260" i="4"/>
  <c r="F2260" i="4" s="1"/>
  <c r="D2304" i="4"/>
  <c r="F2304" i="4" s="1"/>
  <c r="D1546" i="4"/>
  <c r="F1546" i="4" s="1"/>
  <c r="D2130" i="4"/>
  <c r="F2130" i="4" s="1"/>
  <c r="D1949" i="4"/>
  <c r="F1949" i="4" s="1"/>
  <c r="D2121" i="4"/>
  <c r="F2121" i="4" s="1"/>
  <c r="D1348" i="4"/>
  <c r="F1348" i="4" s="1"/>
  <c r="D1519" i="4"/>
  <c r="F1519" i="4" s="1"/>
  <c r="D1741" i="4"/>
  <c r="F1741" i="4" s="1"/>
  <c r="D2454" i="4"/>
  <c r="F2454" i="4" s="1"/>
  <c r="D2040" i="4"/>
  <c r="F2040" i="4" s="1"/>
  <c r="D2233" i="4"/>
  <c r="F2233" i="4" s="1"/>
  <c r="D1695" i="4"/>
  <c r="F1695" i="4" s="1"/>
  <c r="D1774" i="4"/>
  <c r="F1774" i="4" s="1"/>
  <c r="D273" i="4"/>
  <c r="E273" i="4" s="1"/>
  <c r="D485" i="4"/>
  <c r="F485" i="4" s="1"/>
  <c r="D579" i="4"/>
  <c r="F579" i="4" s="1"/>
  <c r="D853" i="4"/>
  <c r="F853" i="4" s="1"/>
  <c r="D1462" i="4"/>
  <c r="F1462" i="4" s="1"/>
  <c r="D324" i="4"/>
  <c r="F324" i="4" s="1"/>
  <c r="D814" i="4"/>
  <c r="F814" i="4" s="1"/>
  <c r="D961" i="4"/>
  <c r="F961" i="4" s="1"/>
  <c r="D1958" i="4"/>
  <c r="F1958" i="4" s="1"/>
  <c r="D559" i="4"/>
  <c r="F559" i="4" s="1"/>
  <c r="D2494" i="4"/>
  <c r="F2494" i="4" s="1"/>
  <c r="D827" i="4"/>
  <c r="F827" i="4" s="1"/>
  <c r="D868" i="4"/>
  <c r="F868" i="4" s="1"/>
  <c r="D562" i="4"/>
  <c r="F562" i="4" s="1"/>
  <c r="D447" i="4"/>
  <c r="F447" i="4" s="1"/>
  <c r="D187" i="4"/>
  <c r="F187" i="4" s="1"/>
  <c r="D529" i="4"/>
  <c r="F529" i="4" s="1"/>
  <c r="D1516" i="4"/>
  <c r="F1516" i="4" s="1"/>
  <c r="D1403" i="4"/>
  <c r="F1403" i="4" s="1"/>
  <c r="D1622" i="4"/>
  <c r="F1622" i="4" s="1"/>
  <c r="D1648" i="4"/>
  <c r="F1648" i="4" s="1"/>
  <c r="D654" i="4"/>
  <c r="F654" i="4" s="1"/>
  <c r="D2105" i="4"/>
  <c r="F2105" i="4" s="1"/>
  <c r="D2453" i="4"/>
  <c r="F2453" i="4" s="1"/>
  <c r="D2181" i="4"/>
  <c r="F2181" i="4" s="1"/>
  <c r="D2251" i="4"/>
  <c r="F2251" i="4" s="1"/>
  <c r="D2419" i="4"/>
  <c r="F2419" i="4" s="1"/>
  <c r="D2339" i="4"/>
  <c r="F2339" i="4" s="1"/>
  <c r="D2375" i="4"/>
  <c r="F2375" i="4" s="1"/>
  <c r="D2343" i="4"/>
  <c r="F2343" i="4" s="1"/>
  <c r="D2234" i="4"/>
  <c r="F2234" i="4" s="1"/>
  <c r="D1586" i="4"/>
  <c r="F1586" i="4" s="1"/>
  <c r="D2013" i="4"/>
  <c r="F2013" i="4" s="1"/>
  <c r="D2169" i="4"/>
  <c r="F2169" i="4" s="1"/>
  <c r="D2354" i="4"/>
  <c r="F2354" i="4" s="1"/>
  <c r="D1830" i="4"/>
  <c r="F1830" i="4" s="1"/>
  <c r="D2371" i="4"/>
  <c r="F2371" i="4" s="1"/>
  <c r="D70" i="4"/>
  <c r="F70" i="4" s="1"/>
  <c r="D1923" i="4"/>
  <c r="F1923" i="4" s="1"/>
  <c r="D2324" i="4"/>
  <c r="F2324" i="4" s="1"/>
  <c r="D2095" i="4"/>
  <c r="F2095" i="4" s="1"/>
  <c r="D2381" i="4"/>
  <c r="F2381" i="4" s="1"/>
  <c r="D2219" i="4"/>
  <c r="F2219" i="4" s="1"/>
  <c r="D2282" i="4"/>
  <c r="F2282" i="4" s="1"/>
  <c r="D2017" i="4"/>
  <c r="F2017" i="4" s="1"/>
  <c r="D1946" i="4"/>
  <c r="F1946" i="4" s="1"/>
  <c r="D1697" i="4"/>
  <c r="F1697" i="4" s="1"/>
  <c r="D2131" i="4"/>
  <c r="F2131" i="4" s="1"/>
  <c r="D2287" i="4"/>
  <c r="F2287" i="4" s="1"/>
  <c r="D2000" i="4"/>
  <c r="F2000" i="4" s="1"/>
  <c r="D2213" i="4"/>
  <c r="F2213" i="4" s="1"/>
  <c r="D2373" i="4"/>
  <c r="F2373" i="4" s="1"/>
  <c r="D2360" i="4"/>
  <c r="F2360" i="4" s="1"/>
  <c r="D2366" i="4"/>
  <c r="F2366" i="4" s="1"/>
  <c r="D2126" i="4"/>
  <c r="F2126" i="4" s="1"/>
  <c r="D2022" i="4"/>
  <c r="F2022" i="4" s="1"/>
  <c r="D2317" i="4"/>
  <c r="F2317" i="4" s="1"/>
  <c r="D1696" i="4"/>
  <c r="F1696" i="4" s="1"/>
  <c r="D1783" i="4"/>
  <c r="F1783" i="4" s="1"/>
  <c r="D2137" i="4"/>
  <c r="F2137" i="4" s="1"/>
  <c r="D2388" i="4"/>
  <c r="F2388" i="4" s="1"/>
  <c r="D1237" i="4"/>
  <c r="F1237" i="4" s="1"/>
  <c r="D2352" i="4"/>
  <c r="F2352" i="4" s="1"/>
  <c r="D2407" i="4"/>
  <c r="F2407" i="4" s="1"/>
  <c r="D2065" i="4"/>
  <c r="F2065" i="4" s="1"/>
  <c r="D1994" i="4"/>
  <c r="F1994" i="4" s="1"/>
  <c r="D1745" i="4"/>
  <c r="F1745" i="4" s="1"/>
  <c r="D2185" i="4"/>
  <c r="F2185" i="4" s="1"/>
  <c r="D1052" i="4"/>
  <c r="F1052" i="4" s="1"/>
  <c r="D1647" i="4"/>
  <c r="F1647" i="4" s="1"/>
  <c r="D1989" i="4"/>
  <c r="F1989" i="4" s="1"/>
  <c r="D2504" i="4"/>
  <c r="F2504" i="4" s="1"/>
  <c r="D2048" i="4"/>
  <c r="F2048" i="4" s="1"/>
  <c r="D2241" i="4"/>
  <c r="F2241" i="4" s="1"/>
  <c r="D1703" i="4"/>
  <c r="F1703" i="4" s="1"/>
  <c r="D1782" i="4"/>
  <c r="F1782" i="4" s="1"/>
  <c r="D1980" i="4"/>
  <c r="F1980" i="4" s="1"/>
  <c r="D1197" i="4"/>
  <c r="F1197" i="4" s="1"/>
  <c r="D1394" i="4"/>
  <c r="F1394" i="4" s="1"/>
  <c r="D2326" i="4"/>
  <c r="F2326" i="4" s="1"/>
  <c r="D2427" i="4"/>
  <c r="F2427" i="4" s="1"/>
  <c r="D2186" i="4"/>
  <c r="F2186" i="4" s="1"/>
  <c r="D1967" i="4"/>
  <c r="F1967" i="4" s="1"/>
  <c r="D2362" i="4"/>
  <c r="F2362" i="4" s="1"/>
  <c r="D2369" i="4"/>
  <c r="F2369" i="4" s="1"/>
  <c r="D2460" i="4"/>
  <c r="F2460" i="4" s="1"/>
  <c r="D2465" i="4"/>
  <c r="F2465" i="4" s="1"/>
  <c r="D2299" i="4"/>
  <c r="F2299" i="4" s="1"/>
  <c r="D2434" i="4"/>
  <c r="F2434" i="4" s="1"/>
  <c r="D2459" i="4"/>
  <c r="F2459" i="4" s="1"/>
  <c r="D2479" i="4"/>
  <c r="F2479" i="4" s="1"/>
  <c r="D2449" i="4"/>
  <c r="F2449" i="4" s="1"/>
  <c r="D2498" i="4"/>
  <c r="F2498" i="4" s="1"/>
  <c r="D1482" i="4"/>
  <c r="F1482" i="4" s="1"/>
  <c r="D1836" i="4"/>
  <c r="F1836" i="4" s="1"/>
  <c r="D1033" i="4"/>
  <c r="F1033" i="4" s="1"/>
  <c r="D548" i="4"/>
  <c r="F548" i="4" s="1"/>
  <c r="D1976" i="4"/>
  <c r="F1976" i="4" s="1"/>
  <c r="D1497" i="4"/>
  <c r="F1497" i="4" s="1"/>
  <c r="D1684" i="4"/>
  <c r="F1684" i="4" s="1"/>
  <c r="D1887" i="4"/>
  <c r="F1887" i="4" s="1"/>
  <c r="D1102" i="4"/>
  <c r="F1102" i="4" s="1"/>
  <c r="D1263" i="4"/>
  <c r="F1263" i="4" s="1"/>
  <c r="D987" i="4"/>
  <c r="F987" i="4" s="1"/>
  <c r="D125" i="4"/>
  <c r="F125" i="4" s="1"/>
  <c r="D821" i="4"/>
  <c r="F821" i="4" s="1"/>
  <c r="D456" i="4"/>
  <c r="F456" i="4" s="1"/>
  <c r="D424" i="4"/>
  <c r="F424" i="4" s="1"/>
  <c r="D2041" i="4"/>
  <c r="F2041" i="4" s="1"/>
  <c r="D1432" i="4"/>
  <c r="F1432" i="4" s="1"/>
  <c r="D1220" i="4"/>
  <c r="F1220" i="4" s="1"/>
  <c r="D1145" i="4"/>
  <c r="F1145" i="4" s="1"/>
  <c r="D774" i="4"/>
  <c r="F774" i="4" s="1"/>
  <c r="D441" i="4"/>
  <c r="F441" i="4" s="1"/>
  <c r="D375" i="4"/>
  <c r="F375" i="4" s="1"/>
  <c r="D1369" i="4"/>
  <c r="F1369" i="4" s="1"/>
  <c r="D1204" i="4"/>
  <c r="F1204" i="4" s="1"/>
  <c r="D663" i="4"/>
  <c r="F663" i="4" s="1"/>
  <c r="D305" i="4"/>
  <c r="F305" i="4" s="1"/>
  <c r="D1860" i="4"/>
  <c r="F1860" i="4" s="1"/>
  <c r="D765" i="4"/>
  <c r="F765" i="4" s="1"/>
  <c r="D2393" i="4"/>
  <c r="F2393" i="4" s="1"/>
  <c r="D221" i="4"/>
  <c r="F221" i="4" s="1"/>
  <c r="D1341" i="4"/>
  <c r="F1341" i="4" s="1"/>
  <c r="D1028" i="4"/>
  <c r="F1028" i="4" s="1"/>
  <c r="D490" i="4"/>
  <c r="E490" i="4" s="1"/>
  <c r="D72" i="4"/>
  <c r="E72" i="4" s="1"/>
  <c r="D405" i="4"/>
  <c r="F405" i="4" s="1"/>
  <c r="D861" i="4"/>
  <c r="F861" i="4" s="1"/>
  <c r="D1291" i="4"/>
  <c r="F1291" i="4" s="1"/>
  <c r="D415" i="4"/>
  <c r="F415" i="4" s="1"/>
  <c r="D512" i="4"/>
  <c r="E512" i="4" s="1"/>
  <c r="D751" i="4"/>
  <c r="F751" i="4" s="1"/>
  <c r="D678" i="4"/>
  <c r="E678" i="4" s="1"/>
  <c r="D210" i="4"/>
  <c r="F210" i="4" s="1"/>
  <c r="D332" i="4"/>
  <c r="F332" i="4" s="1"/>
  <c r="D627" i="4"/>
  <c r="F627" i="4" s="1"/>
  <c r="D2470" i="4"/>
  <c r="F2470" i="4" s="1"/>
  <c r="D1867" i="4"/>
  <c r="F1867" i="4" s="1"/>
  <c r="D2472" i="4"/>
  <c r="F2472" i="4" s="1"/>
  <c r="D190" i="4"/>
  <c r="F190" i="4" s="1"/>
  <c r="D1875" i="4"/>
  <c r="F1875" i="4" s="1"/>
  <c r="D2480" i="4"/>
  <c r="F2480" i="4" s="1"/>
  <c r="D206" i="4"/>
  <c r="F206" i="4" s="1"/>
  <c r="D2439" i="4"/>
  <c r="F2439" i="4" s="1"/>
  <c r="D1467" i="4"/>
  <c r="F1467" i="4" s="1"/>
  <c r="D1812" i="4"/>
  <c r="F1812" i="4" s="1"/>
  <c r="D1245" i="4"/>
  <c r="F1245" i="4" s="1"/>
  <c r="D541" i="4"/>
  <c r="F541" i="4" s="1"/>
  <c r="D2272" i="4"/>
  <c r="F2272" i="4" s="1"/>
  <c r="D1205" i="4"/>
  <c r="F1205" i="4" s="1"/>
  <c r="D1501" i="4"/>
  <c r="F1501" i="4" s="1"/>
  <c r="D1706" i="4"/>
  <c r="F1706" i="4" s="1"/>
  <c r="D967" i="4"/>
  <c r="F967" i="4" s="1"/>
  <c r="D1138" i="4"/>
  <c r="F1138" i="4" s="1"/>
  <c r="D876" i="4"/>
  <c r="F876" i="4" s="1"/>
  <c r="D910" i="4"/>
  <c r="F910" i="4" s="1"/>
  <c r="D758" i="4"/>
  <c r="F758" i="4" s="1"/>
  <c r="D330" i="4"/>
  <c r="F330" i="4" s="1"/>
  <c r="D360" i="4"/>
  <c r="F360" i="4" s="1"/>
  <c r="D1970" i="4"/>
  <c r="F1970" i="4" s="1"/>
  <c r="D1058" i="4"/>
  <c r="F1058" i="4" s="1"/>
  <c r="D1094" i="4"/>
  <c r="F1094" i="4" s="1"/>
  <c r="D996" i="4"/>
  <c r="F996" i="4" s="1"/>
  <c r="D648" i="4"/>
  <c r="F648" i="4" s="1"/>
  <c r="D322" i="4"/>
  <c r="F322" i="4" s="1"/>
  <c r="D24" i="4"/>
  <c r="F24" i="4" s="1"/>
  <c r="D1439" i="4"/>
  <c r="F1439" i="4" s="1"/>
  <c r="D904" i="4"/>
  <c r="F904" i="4" s="1"/>
  <c r="D395" i="4"/>
  <c r="F395" i="4" s="1"/>
  <c r="D2487" i="4"/>
  <c r="F2487" i="4" s="1"/>
  <c r="D1566" i="4"/>
  <c r="F1566" i="4" s="1"/>
  <c r="D656" i="4"/>
  <c r="F656" i="4" s="1"/>
  <c r="D1558" i="4"/>
  <c r="F1558" i="4" s="1"/>
  <c r="D727" i="4"/>
  <c r="F727" i="4" s="1"/>
  <c r="D1129" i="4"/>
  <c r="F1129" i="4" s="1"/>
  <c r="D1580" i="4"/>
  <c r="F1580" i="4" s="1"/>
  <c r="D1039" i="4"/>
  <c r="E1039" i="4" s="1"/>
  <c r="D608" i="4"/>
  <c r="F608" i="4" s="1"/>
  <c r="D208" i="4"/>
  <c r="F208" i="4" s="1"/>
  <c r="D701" i="4"/>
  <c r="F701" i="4" s="1"/>
  <c r="D1264" i="4"/>
  <c r="F1264" i="4" s="1"/>
  <c r="D417" i="4"/>
  <c r="F417" i="4" s="1"/>
  <c r="D184" i="4"/>
  <c r="E184" i="4" s="1"/>
  <c r="D403" i="4"/>
  <c r="F403" i="4" s="1"/>
  <c r="D478" i="4"/>
  <c r="F478" i="4" s="1"/>
  <c r="D474" i="4"/>
  <c r="F474" i="4" s="1"/>
  <c r="D148" i="4"/>
  <c r="F148" i="4" s="1"/>
  <c r="D676" i="4"/>
  <c r="F676" i="4" s="1"/>
  <c r="D609" i="4"/>
  <c r="F609" i="4" s="1"/>
  <c r="D427" i="4"/>
  <c r="F427" i="4" s="1"/>
  <c r="D251" i="4"/>
  <c r="F251" i="4" s="1"/>
  <c r="D835" i="4"/>
  <c r="F835" i="4" s="1"/>
  <c r="D644" i="4"/>
  <c r="F644" i="4" s="1"/>
  <c r="D2198" i="4"/>
  <c r="F2198" i="4" s="1"/>
  <c r="D905" i="4"/>
  <c r="F905" i="4" s="1"/>
  <c r="D760" i="4"/>
  <c r="F760" i="4" s="1"/>
  <c r="D672" i="4"/>
  <c r="F672" i="4" s="1"/>
  <c r="D686" i="4"/>
  <c r="F686" i="4" s="1"/>
  <c r="D509" i="4"/>
  <c r="F509" i="4" s="1"/>
  <c r="D196" i="4"/>
  <c r="F196" i="4" s="1"/>
  <c r="D1973" i="4"/>
  <c r="F1973" i="4" s="1"/>
  <c r="D1026" i="4"/>
  <c r="E1026" i="4" s="1"/>
  <c r="D646" i="4"/>
  <c r="F646" i="4" s="1"/>
  <c r="D738" i="4"/>
  <c r="F738" i="4" s="1"/>
  <c r="D784" i="4"/>
  <c r="F784" i="4" s="1"/>
  <c r="D260" i="4"/>
  <c r="F260" i="4" s="1"/>
  <c r="D1101" i="4"/>
  <c r="F1101" i="4" s="1"/>
  <c r="D1621" i="4"/>
  <c r="F1621" i="4" s="1"/>
  <c r="D703" i="4"/>
  <c r="F703" i="4" s="1"/>
  <c r="D301" i="4"/>
  <c r="F301" i="4" s="1"/>
  <c r="D378" i="4"/>
  <c r="F378" i="4" s="1"/>
  <c r="D122" i="4"/>
  <c r="F122" i="4" s="1"/>
  <c r="D2378" i="4"/>
  <c r="F2378" i="4" s="1"/>
  <c r="D667" i="4"/>
  <c r="F667" i="4" s="1"/>
  <c r="D726" i="4"/>
  <c r="E726" i="4" s="1"/>
  <c r="D557" i="4"/>
  <c r="F557" i="4" s="1"/>
  <c r="D231" i="4"/>
  <c r="E231" i="4" s="1"/>
  <c r="D795" i="4"/>
  <c r="E795" i="4" s="1"/>
  <c r="D620" i="4"/>
  <c r="F620" i="4" s="1"/>
  <c r="D316" i="4"/>
  <c r="E316" i="4" s="1"/>
  <c r="D47" i="4"/>
  <c r="F47" i="4" s="1"/>
  <c r="D44" i="4"/>
  <c r="F44" i="4" s="1"/>
  <c r="D2490" i="4"/>
  <c r="F2490" i="4" s="1"/>
  <c r="D2303" i="4"/>
  <c r="F2303" i="4" s="1"/>
  <c r="D2253" i="4"/>
  <c r="F2253" i="4" s="1"/>
  <c r="D768" i="4"/>
  <c r="F768" i="4" s="1"/>
  <c r="G22" i="6"/>
  <c r="G23" i="6" s="1"/>
  <c r="G38" i="6" s="1"/>
  <c r="G40" i="6" s="1"/>
  <c r="G41" i="6" s="1"/>
  <c r="K23" i="6" s="1"/>
  <c r="D2319" i="4"/>
  <c r="F2319" i="4" s="1"/>
  <c r="D2261" i="4"/>
  <c r="F2261" i="4" s="1"/>
  <c r="D1440" i="4"/>
  <c r="F1440" i="4" s="1"/>
  <c r="D913" i="4"/>
  <c r="F913" i="4" s="1"/>
  <c r="D882" i="4"/>
  <c r="F882" i="4" s="1"/>
  <c r="D775" i="4"/>
  <c r="F775" i="4" s="1"/>
  <c r="D1301" i="4"/>
  <c r="F1301" i="4" s="1"/>
  <c r="D253" i="4"/>
  <c r="F253" i="4" s="1"/>
  <c r="D292" i="4"/>
  <c r="F292" i="4" s="1"/>
  <c r="D677" i="4"/>
  <c r="F677" i="4" s="1"/>
  <c r="D645" i="4"/>
  <c r="F645" i="4" s="1"/>
  <c r="D1599" i="4"/>
  <c r="F1599" i="4" s="1"/>
  <c r="D1031" i="4"/>
  <c r="F1031" i="4" s="1"/>
  <c r="D981" i="4"/>
  <c r="F981" i="4" s="1"/>
  <c r="D181" i="4"/>
  <c r="F181" i="4" s="1"/>
  <c r="D179" i="4"/>
  <c r="F179" i="4" s="1"/>
  <c r="D826" i="4"/>
  <c r="F826" i="4" s="1"/>
  <c r="D2083" i="4"/>
  <c r="F2083" i="4" s="1"/>
  <c r="D1431" i="4"/>
  <c r="F1431" i="4" s="1"/>
  <c r="D277" i="4"/>
  <c r="F277" i="4" s="1"/>
  <c r="D803" i="4"/>
  <c r="F803" i="4" s="1"/>
  <c r="D2477" i="4"/>
  <c r="F2477" i="4" s="1"/>
  <c r="D965" i="4"/>
  <c r="F965" i="4" s="1"/>
  <c r="D494" i="4"/>
  <c r="F494" i="4" s="1"/>
  <c r="D1144" i="4"/>
  <c r="F1144" i="4" s="1"/>
  <c r="D954" i="4"/>
  <c r="F954" i="4" s="1"/>
  <c r="D1613" i="4"/>
  <c r="F1613" i="4" s="1"/>
  <c r="D1053" i="4"/>
  <c r="F1053" i="4" s="1"/>
  <c r="D859" i="4"/>
  <c r="E859" i="4" s="1"/>
  <c r="D185" i="4"/>
  <c r="F185" i="4" s="1"/>
  <c r="D852" i="4"/>
  <c r="E852" i="4" s="1"/>
  <c r="D500" i="4"/>
  <c r="F500" i="4" s="1"/>
  <c r="D684" i="4"/>
  <c r="F684" i="4" s="1"/>
  <c r="D225" i="4"/>
  <c r="F225" i="4" s="1"/>
  <c r="D1141" i="4"/>
  <c r="F1141" i="4" s="1"/>
  <c r="D894" i="4"/>
  <c r="F894" i="4" s="1"/>
  <c r="D307" i="4"/>
  <c r="E307" i="4" s="1"/>
  <c r="D616" i="4"/>
  <c r="E616" i="4" s="1"/>
  <c r="D128" i="4"/>
  <c r="F128" i="4" s="1"/>
  <c r="D842" i="4"/>
  <c r="F842" i="4" s="1"/>
  <c r="D74" i="4"/>
  <c r="E74" i="4" s="1"/>
  <c r="D218" i="4"/>
  <c r="F218" i="4" s="1"/>
  <c r="D392" i="4"/>
  <c r="F392" i="4" s="1"/>
  <c r="D143" i="4"/>
  <c r="F143" i="4" s="1"/>
  <c r="D69" i="4"/>
  <c r="E69" i="4" s="1"/>
  <c r="D28" i="4"/>
  <c r="E28" i="4" s="1"/>
  <c r="D455" i="4"/>
  <c r="E455" i="4" s="1"/>
  <c r="D840" i="4"/>
  <c r="F840" i="4" s="1"/>
  <c r="D1391" i="4"/>
  <c r="F1391" i="4" s="1"/>
  <c r="D1003" i="4"/>
  <c r="F1003" i="4" s="1"/>
  <c r="D680" i="4"/>
  <c r="F680" i="4" s="1"/>
  <c r="D846" i="4"/>
  <c r="F846" i="4" s="1"/>
  <c r="D885" i="4"/>
  <c r="F885" i="4" s="1"/>
  <c r="D123" i="4"/>
  <c r="F123" i="4" s="1"/>
  <c r="D899" i="4"/>
  <c r="F899" i="4" s="1"/>
  <c r="D297" i="4"/>
  <c r="F297" i="4" s="1"/>
  <c r="D2305" i="4"/>
  <c r="F2305" i="4" s="1"/>
  <c r="D2455" i="4"/>
  <c r="F2455" i="4" s="1"/>
  <c r="D1614" i="4"/>
  <c r="F1614" i="4" s="1"/>
  <c r="D1128" i="4"/>
  <c r="F1128" i="4" s="1"/>
  <c r="D547" i="4"/>
  <c r="F547" i="4" s="1"/>
  <c r="D895" i="4"/>
  <c r="F895" i="4" s="1"/>
  <c r="D1270" i="4"/>
  <c r="F1270" i="4" s="1"/>
  <c r="D87" i="4"/>
  <c r="F87" i="4" s="1"/>
  <c r="D838" i="4"/>
  <c r="F838" i="4" s="1"/>
  <c r="D813" i="4"/>
  <c r="F813" i="4" s="1"/>
  <c r="D510" i="4"/>
  <c r="F510" i="4" s="1"/>
  <c r="D637" i="4"/>
  <c r="F637" i="4" s="1"/>
  <c r="D439" i="4"/>
  <c r="F439" i="4" s="1"/>
  <c r="D259" i="4"/>
  <c r="F259" i="4" s="1"/>
  <c r="D1819" i="4"/>
  <c r="F1819" i="4" s="1"/>
  <c r="D2005" i="4"/>
  <c r="F2005" i="4" s="1"/>
  <c r="D1634" i="4"/>
  <c r="F1634" i="4" s="1"/>
  <c r="D1230" i="4"/>
  <c r="F1230" i="4" s="1"/>
  <c r="D759" i="4"/>
  <c r="F759" i="4" s="1"/>
  <c r="D147" i="4"/>
  <c r="F147" i="4" s="1"/>
  <c r="D400" i="4"/>
  <c r="F400" i="4" s="1"/>
  <c r="D1002" i="4"/>
  <c r="F1002" i="4" s="1"/>
  <c r="D2448" i="4"/>
  <c r="F2448" i="4" s="1"/>
  <c r="D1024" i="4"/>
  <c r="F1024" i="4" s="1"/>
  <c r="D932" i="4"/>
  <c r="F932" i="4" s="1"/>
  <c r="D632" i="4"/>
  <c r="F632" i="4" s="1"/>
  <c r="D630" i="4"/>
  <c r="F630" i="4" s="1"/>
  <c r="D1527" i="4"/>
  <c r="F1527" i="4" s="1"/>
  <c r="D776" i="4"/>
  <c r="F776" i="4" s="1"/>
  <c r="D749" i="4"/>
  <c r="F749" i="4" s="1"/>
  <c r="D2242" i="4"/>
  <c r="F2242" i="4" s="1"/>
  <c r="D1824" i="4"/>
  <c r="F1824" i="4" s="1"/>
  <c r="D1225" i="4"/>
  <c r="F1225" i="4" s="1"/>
  <c r="D918" i="4"/>
  <c r="F918" i="4" s="1"/>
  <c r="D1424" i="4"/>
  <c r="F1424" i="4" s="1"/>
  <c r="D1005" i="4"/>
  <c r="F1005" i="4" s="1"/>
  <c r="D593" i="4"/>
  <c r="F593" i="4" s="1"/>
  <c r="D157" i="4"/>
  <c r="F157" i="4" s="1"/>
  <c r="D854" i="4"/>
  <c r="F854" i="4" s="1"/>
  <c r="D369" i="4"/>
  <c r="E369" i="4" s="1"/>
  <c r="D454" i="4"/>
  <c r="F454" i="4" s="1"/>
  <c r="D39" i="4"/>
  <c r="F39" i="4" s="1"/>
  <c r="D249" i="4"/>
  <c r="E249" i="4" s="1"/>
  <c r="D279" i="4"/>
  <c r="E279" i="4" s="1"/>
  <c r="D940" i="4"/>
  <c r="F940" i="4" s="1"/>
  <c r="D536" i="4"/>
  <c r="E536" i="4" s="1"/>
  <c r="D939" i="4"/>
  <c r="F939" i="4" s="1"/>
  <c r="D56" i="4"/>
  <c r="F56" i="4" s="1"/>
  <c r="D2136" i="4"/>
  <c r="F2136" i="4" s="1"/>
  <c r="D268" i="4"/>
  <c r="E268" i="4" s="1"/>
  <c r="D811" i="4"/>
  <c r="E811" i="4" s="1"/>
  <c r="D576" i="4"/>
  <c r="F576" i="4" s="1"/>
  <c r="D37" i="4"/>
  <c r="F37" i="4" s="1"/>
  <c r="D36" i="4"/>
  <c r="F36" i="4" s="1"/>
  <c r="D51" i="4"/>
  <c r="E51" i="4" s="1"/>
  <c r="D103" i="4"/>
  <c r="F103" i="4" s="1"/>
  <c r="D950" i="4"/>
  <c r="F950" i="4" s="1"/>
  <c r="D486" i="4"/>
  <c r="F486" i="4" s="1"/>
  <c r="D728" i="4"/>
  <c r="F728" i="4" s="1"/>
  <c r="D638" i="4"/>
  <c r="F638" i="4" s="1"/>
  <c r="D731" i="4"/>
  <c r="E731" i="4" s="1"/>
  <c r="D140" i="4"/>
  <c r="E140" i="4" s="1"/>
  <c r="D336" i="4"/>
  <c r="F336" i="4" s="1"/>
  <c r="D966" i="4"/>
  <c r="F966" i="4" s="1"/>
  <c r="D1168" i="4"/>
  <c r="E1168" i="4" s="1"/>
  <c r="D538" i="4"/>
  <c r="E538" i="4" s="1"/>
  <c r="D484" i="4"/>
  <c r="E484" i="4" s="1"/>
  <c r="D432" i="4"/>
  <c r="F432" i="4" s="1"/>
  <c r="D461" i="4"/>
  <c r="F461" i="4" s="1"/>
  <c r="D216" i="4"/>
  <c r="E216" i="4" s="1"/>
  <c r="D33" i="4"/>
  <c r="E33" i="4" s="1"/>
  <c r="D25" i="4"/>
  <c r="F25" i="4" s="1"/>
  <c r="D383" i="4"/>
  <c r="F383" i="4" s="1"/>
  <c r="D433" i="4"/>
  <c r="E433" i="4" s="1"/>
  <c r="D137" i="4"/>
  <c r="E137" i="4" s="1"/>
  <c r="D328" i="4"/>
  <c r="F328" i="4" s="1"/>
  <c r="D209" i="4"/>
  <c r="E209" i="4" s="1"/>
  <c r="D1172" i="4"/>
  <c r="E1172" i="4" s="1"/>
  <c r="D590" i="4"/>
  <c r="F590" i="4" s="1"/>
  <c r="D394" i="4"/>
  <c r="F394" i="4" s="1"/>
  <c r="D789" i="4"/>
  <c r="E789" i="4" s="1"/>
  <c r="D100" i="4"/>
  <c r="E100" i="4" s="1"/>
  <c r="D130" i="4"/>
  <c r="F130" i="4" s="1"/>
  <c r="D35" i="4"/>
  <c r="F35" i="4" s="1"/>
  <c r="D200" i="4"/>
  <c r="E200" i="4" s="1"/>
  <c r="D653" i="4"/>
  <c r="E653" i="4" s="1"/>
  <c r="D114" i="4"/>
  <c r="E114" i="4" s="1"/>
  <c r="D613" i="4"/>
  <c r="E613" i="4" s="1"/>
  <c r="D564" i="4"/>
  <c r="E564" i="4" s="1"/>
  <c r="D657" i="4"/>
  <c r="E657" i="4" s="1"/>
  <c r="D1155" i="4"/>
  <c r="F1155" i="4" s="1"/>
  <c r="D989" i="4"/>
  <c r="F989" i="4" s="1"/>
  <c r="D1083" i="4"/>
  <c r="F1083" i="4" s="1"/>
  <c r="D317" i="4"/>
  <c r="F317" i="4" s="1"/>
  <c r="D655" i="4"/>
  <c r="F655" i="4" s="1"/>
  <c r="D694" i="4"/>
  <c r="F694" i="4" s="1"/>
  <c r="D518" i="4"/>
  <c r="F518" i="4" s="1"/>
  <c r="D708" i="4"/>
  <c r="F708" i="4" s="1"/>
  <c r="D707" i="4"/>
  <c r="F707" i="4" s="1"/>
  <c r="D1721" i="4"/>
  <c r="F1721" i="4" s="1"/>
  <c r="D1427" i="4"/>
  <c r="F1427" i="4" s="1"/>
  <c r="D1676" i="4"/>
  <c r="F1676" i="4" s="1"/>
  <c r="D1839" i="4"/>
  <c r="F1839" i="4" s="1"/>
  <c r="D960" i="4"/>
  <c r="F960" i="4" s="1"/>
  <c r="D1383" i="4"/>
  <c r="F1383" i="4" s="1"/>
  <c r="D1285" i="4"/>
  <c r="F1285" i="4" s="1"/>
  <c r="D309" i="4"/>
  <c r="F309" i="4" s="1"/>
  <c r="D419" i="4"/>
  <c r="F419" i="4" s="1"/>
  <c r="D426" i="4"/>
  <c r="F426" i="4" s="1"/>
  <c r="D258" i="4"/>
  <c r="F258" i="4" s="1"/>
  <c r="D352" i="4"/>
  <c r="F352" i="4" s="1"/>
  <c r="D639" i="4"/>
  <c r="F639" i="4" s="1"/>
  <c r="D2506" i="4"/>
  <c r="F2506" i="4" s="1"/>
  <c r="D841" i="4"/>
  <c r="F841" i="4" s="1"/>
  <c r="D1756" i="4"/>
  <c r="F1756" i="4" s="1"/>
  <c r="D1233" i="4"/>
  <c r="F1233" i="4" s="1"/>
  <c r="D712" i="4"/>
  <c r="F712" i="4" s="1"/>
  <c r="D276" i="4"/>
  <c r="F276" i="4" s="1"/>
  <c r="D361" i="4"/>
  <c r="F361" i="4" s="1"/>
  <c r="D1763" i="4"/>
  <c r="F1763" i="4" s="1"/>
  <c r="D1023" i="4"/>
  <c r="F1023" i="4" s="1"/>
  <c r="D1755" i="4"/>
  <c r="F1755" i="4" s="1"/>
  <c r="D839" i="4"/>
  <c r="F839" i="4" s="1"/>
  <c r="D364" i="4"/>
  <c r="F364" i="4" s="1"/>
  <c r="D869" i="4"/>
  <c r="F869" i="4" s="1"/>
  <c r="D234" i="4"/>
  <c r="F234" i="4" s="1"/>
  <c r="D682" i="4"/>
  <c r="F682" i="4" s="1"/>
  <c r="D1603" i="4"/>
  <c r="F1603" i="4" s="1"/>
  <c r="D93" i="4"/>
  <c r="F93" i="4" s="1"/>
  <c r="D1364" i="4"/>
  <c r="E1364" i="4" s="1"/>
  <c r="D1035" i="4"/>
  <c r="F1035" i="4" s="1"/>
  <c r="D916" i="4"/>
  <c r="F916" i="4" s="1"/>
  <c r="D2025" i="4"/>
  <c r="F2025" i="4" s="1"/>
  <c r="D857" i="4"/>
  <c r="F857" i="4" s="1"/>
  <c r="D1217" i="4"/>
  <c r="F1217" i="4" s="1"/>
  <c r="D944" i="4"/>
  <c r="E944" i="4" s="1"/>
  <c r="D912" i="4"/>
  <c r="F912" i="4" s="1"/>
  <c r="D917" i="4"/>
  <c r="F917" i="4" s="1"/>
  <c r="D740" i="4"/>
  <c r="F740" i="4" s="1"/>
  <c r="D523" i="4"/>
  <c r="F523" i="4" s="1"/>
  <c r="D61" i="4"/>
  <c r="F61" i="4" s="1"/>
  <c r="D619" i="4"/>
  <c r="E619" i="4" s="1"/>
  <c r="D2139" i="4"/>
  <c r="F2139" i="4" s="1"/>
  <c r="D1352" i="4"/>
  <c r="F1352" i="4" s="1"/>
  <c r="D734" i="4"/>
  <c r="E734" i="4" s="1"/>
  <c r="D525" i="4"/>
  <c r="E525" i="4" s="1"/>
  <c r="D425" i="4"/>
  <c r="E425" i="4" s="1"/>
  <c r="D1202" i="4"/>
  <c r="F1202" i="4" s="1"/>
  <c r="D195" i="4"/>
  <c r="E195" i="4" s="1"/>
  <c r="D257" i="4"/>
  <c r="F257" i="4" s="1"/>
  <c r="D244" i="4"/>
  <c r="E244" i="4" s="1"/>
  <c r="D422" i="4"/>
  <c r="F422" i="4" s="1"/>
  <c r="D451" i="4"/>
  <c r="F451" i="4" s="1"/>
  <c r="D495" i="4"/>
  <c r="E495" i="4" s="1"/>
  <c r="D515" i="4"/>
  <c r="E515" i="4" s="1"/>
  <c r="D845" i="4"/>
  <c r="E845" i="4" s="1"/>
  <c r="D1274" i="4"/>
  <c r="F1274" i="4" s="1"/>
  <c r="D387" i="4"/>
  <c r="F387" i="4" s="1"/>
  <c r="D883" i="4"/>
  <c r="E883" i="4" s="1"/>
  <c r="D16" i="4"/>
  <c r="E16" i="4" s="1"/>
  <c r="D146" i="4"/>
  <c r="F146" i="4" s="1"/>
  <c r="D145" i="4"/>
  <c r="E145" i="4" s="1"/>
  <c r="D933" i="4"/>
  <c r="E933" i="4" s="1"/>
  <c r="D875" i="4"/>
  <c r="E875" i="4" s="1"/>
  <c r="D463" i="4"/>
  <c r="E463" i="4" s="1"/>
  <c r="D131" i="4"/>
  <c r="F131" i="4" s="1"/>
  <c r="D194" i="4"/>
  <c r="F194" i="4" s="1"/>
  <c r="D497" i="4"/>
  <c r="E497" i="4" s="1"/>
  <c r="D450" i="4"/>
  <c r="F450" i="4" s="1"/>
  <c r="D112" i="4"/>
  <c r="F112" i="4" s="1"/>
  <c r="D401" i="4"/>
  <c r="F401" i="4" s="1"/>
  <c r="D367" i="4"/>
  <c r="F367" i="4" s="1"/>
  <c r="D739" i="4"/>
  <c r="E739" i="4" s="1"/>
  <c r="D444" i="4"/>
  <c r="F444" i="4" s="1"/>
  <c r="D155" i="4"/>
  <c r="E155" i="4" s="1"/>
  <c r="D2155" i="4"/>
  <c r="F2155" i="4" s="1"/>
  <c r="D1149" i="4"/>
  <c r="F1149" i="4" s="1"/>
  <c r="D1493" i="4"/>
  <c r="F1493" i="4" s="1"/>
  <c r="D1698" i="4"/>
  <c r="F1698" i="4" s="1"/>
  <c r="D832" i="4"/>
  <c r="F832" i="4" s="1"/>
  <c r="D1255" i="4"/>
  <c r="F1255" i="4" s="1"/>
  <c r="D1075" i="4"/>
  <c r="F1075" i="4" s="1"/>
  <c r="D245" i="4"/>
  <c r="F245" i="4" s="1"/>
  <c r="D355" i="4"/>
  <c r="F355" i="4" s="1"/>
  <c r="D243" i="4"/>
  <c r="F243" i="4" s="1"/>
  <c r="D955" i="4"/>
  <c r="F955" i="4" s="1"/>
  <c r="D289" i="4"/>
  <c r="F289" i="4" s="1"/>
  <c r="D568" i="4"/>
  <c r="F568" i="4" s="1"/>
  <c r="D2021" i="4"/>
  <c r="F2021" i="4" s="1"/>
  <c r="D1642" i="4"/>
  <c r="F1642" i="4" s="1"/>
  <c r="D1050" i="4"/>
  <c r="F1050" i="4" s="1"/>
  <c r="D879" i="4"/>
  <c r="F879" i="4" s="1"/>
  <c r="D561" i="4"/>
  <c r="F561" i="4" s="1"/>
  <c r="D909" i="4"/>
  <c r="F909" i="4" s="1"/>
  <c r="D250" i="4"/>
  <c r="F250" i="4" s="1"/>
  <c r="D1965" i="4"/>
  <c r="F1965" i="4" s="1"/>
  <c r="D1150" i="4"/>
  <c r="F1150" i="4" s="1"/>
  <c r="D730" i="4"/>
  <c r="F730" i="4" s="1"/>
  <c r="D1335" i="4"/>
  <c r="F1335" i="4" s="1"/>
  <c r="D229" i="4"/>
  <c r="F229" i="4" s="1"/>
  <c r="D781" i="4"/>
  <c r="F781" i="4" s="1"/>
  <c r="D2250" i="4"/>
  <c r="F2250" i="4" s="1"/>
  <c r="D1832" i="4"/>
  <c r="F1832" i="4" s="1"/>
  <c r="D1254" i="4"/>
  <c r="E1254" i="4" s="1"/>
  <c r="D934" i="4"/>
  <c r="F934" i="4" s="1"/>
  <c r="D1338" i="4"/>
  <c r="F1338" i="4" s="1"/>
  <c r="D681" i="4"/>
  <c r="F681" i="4" s="1"/>
  <c r="D741" i="4"/>
  <c r="F741" i="4" s="1"/>
  <c r="D1578" i="4"/>
  <c r="F1578" i="4" s="1"/>
  <c r="D1339" i="4"/>
  <c r="F1339" i="4" s="1"/>
  <c r="D1277" i="4"/>
  <c r="F1277" i="4" s="1"/>
  <c r="D847" i="4"/>
  <c r="F847" i="4" s="1"/>
  <c r="D1492" i="4"/>
  <c r="F1492" i="4" s="1"/>
  <c r="D766" i="4"/>
  <c r="E766" i="4" s="1"/>
  <c r="D621" i="4"/>
  <c r="E621" i="4" s="1"/>
  <c r="D440" i="4"/>
  <c r="F440" i="4" s="1"/>
  <c r="D513" i="4"/>
  <c r="E513" i="4" s="1"/>
  <c r="D556" i="4"/>
  <c r="F556" i="4" s="1"/>
  <c r="D849" i="4"/>
  <c r="F849" i="4" s="1"/>
  <c r="D1367" i="4"/>
  <c r="F1367" i="4" s="1"/>
  <c r="D567" i="4"/>
  <c r="F567" i="4" s="1"/>
  <c r="D384" i="4"/>
  <c r="F384" i="4" s="1"/>
  <c r="D339" i="4"/>
  <c r="F339" i="4" s="1"/>
  <c r="D844" i="4"/>
  <c r="F844" i="4" s="1"/>
  <c r="D685" i="4"/>
  <c r="E685" i="4" s="1"/>
  <c r="D747" i="4"/>
  <c r="E747" i="4" s="1"/>
  <c r="D164" i="4"/>
  <c r="E164" i="4" s="1"/>
  <c r="D351" i="4"/>
  <c r="F351" i="4" s="1"/>
  <c r="D381" i="4"/>
  <c r="F381" i="4" s="1"/>
  <c r="D420" i="4"/>
  <c r="F420" i="4" s="1"/>
  <c r="D1116" i="4"/>
  <c r="F1116" i="4" s="1"/>
  <c r="D718" i="4"/>
  <c r="E718" i="4" s="1"/>
  <c r="D460" i="4"/>
  <c r="E460" i="4" s="1"/>
  <c r="D957" i="4"/>
  <c r="E957" i="4" s="1"/>
  <c r="D779" i="4"/>
  <c r="F779" i="4" s="1"/>
  <c r="D552" i="4"/>
  <c r="F552" i="4" s="1"/>
  <c r="D84" i="4"/>
  <c r="F84" i="4" s="1"/>
  <c r="D20" i="4"/>
  <c r="F20" i="4" s="1"/>
  <c r="D575" i="4"/>
  <c r="E575" i="4" s="1"/>
  <c r="D629" i="4"/>
  <c r="E629" i="4" s="1"/>
  <c r="D843" i="4"/>
  <c r="F843" i="4" s="1"/>
  <c r="D274" i="4"/>
  <c r="F274" i="4" s="1"/>
  <c r="D77" i="4"/>
  <c r="E77" i="4" s="1"/>
  <c r="D390" i="4"/>
  <c r="E390" i="4" s="1"/>
  <c r="D302" i="4"/>
  <c r="F302" i="4" s="1"/>
  <c r="D443" i="4"/>
  <c r="E443" i="4" s="1"/>
  <c r="D204" i="4"/>
  <c r="E204" i="4" s="1"/>
  <c r="D264" i="4"/>
  <c r="E264" i="4" s="1"/>
  <c r="D377" i="4"/>
  <c r="E377" i="4" s="1"/>
  <c r="D242" i="4"/>
  <c r="F242" i="4" s="1"/>
  <c r="D178" i="4"/>
  <c r="F178" i="4" s="1"/>
  <c r="D101" i="4"/>
  <c r="F101" i="4" s="1"/>
  <c r="D670" i="4"/>
  <c r="F670" i="4" s="1"/>
  <c r="D2161" i="4"/>
  <c r="F2161" i="4" s="1"/>
  <c r="D1473" i="4"/>
  <c r="F1473" i="4" s="1"/>
  <c r="D1349" i="4"/>
  <c r="F1349" i="4" s="1"/>
  <c r="D822" i="4"/>
  <c r="F822" i="4" s="1"/>
  <c r="D1550" i="4"/>
  <c r="F1550" i="4" s="1"/>
  <c r="D1093" i="4"/>
  <c r="F1093" i="4" s="1"/>
  <c r="D641" i="4"/>
  <c r="F641" i="4" s="1"/>
  <c r="D2190" i="4"/>
  <c r="F2190" i="4" s="1"/>
  <c r="D539" i="4"/>
  <c r="F539" i="4" s="1"/>
  <c r="D1067" i="4"/>
  <c r="F1067" i="4" s="1"/>
  <c r="D1468" i="4"/>
  <c r="F1468" i="4" s="1"/>
  <c r="D1350" i="4"/>
  <c r="F1350" i="4" s="1"/>
  <c r="D599" i="4"/>
  <c r="F599" i="4" s="1"/>
  <c r="D408" i="4"/>
  <c r="F408" i="4" s="1"/>
  <c r="D275" i="4"/>
  <c r="F275" i="4" s="1"/>
  <c r="D445" i="4"/>
  <c r="F445" i="4" s="1"/>
  <c r="D473" i="4"/>
  <c r="F473" i="4" s="1"/>
  <c r="D816" i="4"/>
  <c r="E816" i="4" s="1"/>
  <c r="D1099" i="4"/>
  <c r="F1099" i="4" s="1"/>
  <c r="D211" i="4"/>
  <c r="F211" i="4" s="1"/>
  <c r="D265" i="4"/>
  <c r="E265" i="4" s="1"/>
  <c r="D172" i="4"/>
  <c r="F172" i="4" s="1"/>
  <c r="D293" i="4"/>
  <c r="E293" i="4" s="1"/>
  <c r="D502" i="4"/>
  <c r="F502" i="4" s="1"/>
  <c r="D652" i="4"/>
  <c r="F652" i="4" s="1"/>
  <c r="D79" i="4"/>
  <c r="F79" i="4" s="1"/>
  <c r="D288" i="4"/>
  <c r="F288" i="4" s="1"/>
  <c r="D319" i="4"/>
  <c r="F319" i="4" s="1"/>
  <c r="D294" i="4"/>
  <c r="E294" i="4" s="1"/>
  <c r="D1269" i="4"/>
  <c r="F1269" i="4" s="1"/>
  <c r="D418" i="4"/>
  <c r="F418" i="4" s="1"/>
  <c r="D974" i="4"/>
  <c r="F974" i="4" s="1"/>
  <c r="D829" i="4"/>
  <c r="F829" i="4" s="1"/>
  <c r="D668" i="4"/>
  <c r="F668" i="4" s="1"/>
  <c r="D476" i="4"/>
  <c r="F476" i="4" s="1"/>
  <c r="D542" i="4"/>
  <c r="F542" i="4" s="1"/>
  <c r="D580" i="4"/>
  <c r="E580" i="4" s="1"/>
  <c r="D1476" i="4"/>
  <c r="F1476" i="4" s="1"/>
  <c r="D321" i="4"/>
  <c r="F321" i="4" s="1"/>
  <c r="D493" i="4"/>
  <c r="E493" i="4" s="1"/>
  <c r="D732" i="4"/>
  <c r="F732" i="4" s="1"/>
  <c r="D893" i="4"/>
  <c r="F893" i="4" s="1"/>
  <c r="D177" i="4"/>
  <c r="F177" i="4" s="1"/>
  <c r="D151" i="4"/>
  <c r="E151" i="4" s="1"/>
  <c r="D286" i="4"/>
  <c r="F286" i="4" s="1"/>
  <c r="D805" i="4"/>
  <c r="F805" i="4" s="1"/>
  <c r="D169" i="4"/>
  <c r="F169" i="4" s="1"/>
  <c r="D180" i="4"/>
  <c r="F180" i="4" s="1"/>
  <c r="D370" i="4"/>
  <c r="E370" i="4" s="1"/>
  <c r="D42" i="4"/>
  <c r="E42" i="4" s="1"/>
  <c r="D2091" i="4"/>
  <c r="F2091" i="4" s="1"/>
  <c r="D1827" i="4"/>
  <c r="F1827" i="4" s="1"/>
  <c r="D1802" i="4"/>
  <c r="F1802" i="4" s="1"/>
  <c r="D1030" i="4"/>
  <c r="F1030" i="4" s="1"/>
  <c r="D1021" i="4"/>
  <c r="F1021" i="4" s="1"/>
  <c r="D1398" i="4"/>
  <c r="F1398" i="4" s="1"/>
  <c r="D788" i="4"/>
  <c r="F788" i="4" s="1"/>
  <c r="D902" i="4"/>
  <c r="F902" i="4" s="1"/>
  <c r="D877" i="4"/>
  <c r="F877" i="4" s="1"/>
  <c r="D669" i="4"/>
  <c r="F669" i="4" s="1"/>
  <c r="D700" i="4"/>
  <c r="F700" i="4" s="1"/>
  <c r="D636" i="4"/>
  <c r="F636" i="4" s="1"/>
  <c r="D323" i="4"/>
  <c r="F323" i="4" s="1"/>
  <c r="D1797" i="4"/>
  <c r="F1797" i="4" s="1"/>
  <c r="D1954" i="4"/>
  <c r="F1954" i="4" s="1"/>
  <c r="D2012" i="4"/>
  <c r="F2012" i="4" s="1"/>
  <c r="D1382" i="4"/>
  <c r="F1382" i="4" s="1"/>
  <c r="D870" i="4"/>
  <c r="F870" i="4" s="1"/>
  <c r="D235" i="4"/>
  <c r="F235" i="4" s="1"/>
  <c r="D605" i="4"/>
  <c r="F605" i="4" s="1"/>
  <c r="D1748" i="4"/>
  <c r="F1748" i="4" s="1"/>
  <c r="D2184" i="4"/>
  <c r="F2184" i="4" s="1"/>
  <c r="D1481" i="4"/>
  <c r="F1481" i="4" s="1"/>
  <c r="D964" i="4"/>
  <c r="F964" i="4" s="1"/>
  <c r="D743" i="4"/>
  <c r="F743" i="4" s="1"/>
  <c r="D107" i="4"/>
  <c r="F107" i="4" s="1"/>
  <c r="D1420" i="4"/>
  <c r="F1420" i="4" s="1"/>
  <c r="D1079" i="4"/>
  <c r="F1079" i="4" s="1"/>
  <c r="D924" i="4"/>
  <c r="F924" i="4" s="1"/>
  <c r="D624" i="4"/>
  <c r="F624" i="4" s="1"/>
  <c r="D506" i="4"/>
  <c r="F506" i="4" s="1"/>
  <c r="D1595" i="4"/>
  <c r="F1595" i="4" s="1"/>
  <c r="D85" i="4"/>
  <c r="F85" i="4" s="1"/>
  <c r="D1282" i="4"/>
  <c r="F1282" i="4" s="1"/>
  <c r="D1360" i="4"/>
  <c r="F1360" i="4" s="1"/>
  <c r="D736" i="4"/>
  <c r="F736" i="4" s="1"/>
  <c r="D664" i="4"/>
  <c r="F664" i="4" s="1"/>
  <c r="D585" i="4"/>
  <c r="F585" i="4" s="1"/>
  <c r="D582" i="4"/>
  <c r="F582" i="4" s="1"/>
  <c r="D683" i="4"/>
  <c r="E683" i="4" s="1"/>
  <c r="D108" i="4"/>
  <c r="E108" i="4" s="1"/>
  <c r="D312" i="4"/>
  <c r="F312" i="4" s="1"/>
  <c r="D342" i="4"/>
  <c r="F342" i="4" s="1"/>
  <c r="D1130" i="4"/>
  <c r="F1130" i="4" s="1"/>
  <c r="D372" i="4"/>
  <c r="F372" i="4" s="1"/>
  <c r="D314" i="4"/>
  <c r="E314" i="4" s="1"/>
  <c r="D423" i="4"/>
  <c r="E423" i="4" s="1"/>
  <c r="D170" i="4"/>
  <c r="F170" i="4" s="1"/>
  <c r="D411" i="4"/>
  <c r="E411" i="4" s="1"/>
  <c r="D931" i="4"/>
  <c r="F931" i="4" s="1"/>
  <c r="D40" i="4"/>
  <c r="F40" i="4" s="1"/>
  <c r="D162" i="4"/>
  <c r="F162" i="4" s="1"/>
  <c r="D97" i="4"/>
  <c r="F97" i="4" s="1"/>
  <c r="D120" i="4"/>
  <c r="E120" i="4" s="1"/>
  <c r="D167" i="4"/>
  <c r="F167" i="4" s="1"/>
  <c r="D285" i="4"/>
  <c r="E285" i="4" s="1"/>
  <c r="D661" i="4"/>
  <c r="F661" i="4" s="1"/>
  <c r="D1253" i="4"/>
  <c r="E1253" i="4" s="1"/>
  <c r="D410" i="4"/>
  <c r="F410" i="4" s="1"/>
  <c r="D818" i="4"/>
  <c r="F818" i="4" s="1"/>
  <c r="D228" i="4"/>
  <c r="F228" i="4" s="1"/>
  <c r="D406" i="4"/>
  <c r="E406" i="4" s="1"/>
  <c r="D1377" i="4"/>
  <c r="F1377" i="4" s="1"/>
  <c r="D925" i="4"/>
  <c r="F925" i="4" s="1"/>
  <c r="D80" i="4"/>
  <c r="F80" i="4" s="1"/>
  <c r="D628" i="4"/>
  <c r="F628" i="4" s="1"/>
  <c r="D600" i="4"/>
  <c r="F600" i="4" s="1"/>
  <c r="D407" i="4"/>
  <c r="E407" i="4" s="1"/>
  <c r="D303" i="4"/>
  <c r="F303" i="4" s="1"/>
  <c r="D102" i="4"/>
  <c r="F102" i="4" s="1"/>
  <c r="D158" i="4"/>
  <c r="F158" i="4" s="1"/>
  <c r="D810" i="4"/>
  <c r="E810" i="4" s="1"/>
  <c r="D611" i="4"/>
  <c r="F611" i="4" s="1"/>
  <c r="D90" i="4"/>
  <c r="F90" i="4" s="1"/>
  <c r="D437" i="4"/>
  <c r="F437" i="4" s="1"/>
  <c r="D545" i="4"/>
  <c r="F545" i="4" s="1"/>
  <c r="D129" i="4"/>
  <c r="E129" i="4" s="1"/>
  <c r="D398" i="4"/>
  <c r="E398" i="4" s="1"/>
  <c r="D477" i="4"/>
  <c r="F477" i="4" s="1"/>
  <c r="D404" i="4"/>
  <c r="F404" i="4" s="1"/>
  <c r="D135" i="4"/>
  <c r="E135" i="4" s="1"/>
  <c r="D635" i="4"/>
  <c r="F635" i="4" s="1"/>
  <c r="D350" i="4"/>
  <c r="F350" i="4" s="1"/>
  <c r="D105" i="4"/>
  <c r="E105" i="4" s="1"/>
  <c r="D436" i="4"/>
  <c r="F436" i="4" s="1"/>
  <c r="D623" i="4"/>
  <c r="E623" i="4" s="1"/>
  <c r="D452" i="4"/>
  <c r="F452" i="4" s="1"/>
  <c r="D106" i="4"/>
  <c r="E106" i="4" s="1"/>
  <c r="D481" i="4"/>
  <c r="E481" i="4" s="1"/>
  <c r="D720" i="4"/>
  <c r="F720" i="4" s="1"/>
  <c r="D66" i="4"/>
  <c r="E66" i="4" s="1"/>
  <c r="D465" i="4"/>
  <c r="F465" i="4" s="1"/>
  <c r="D526" i="4"/>
  <c r="E526" i="4" s="1"/>
  <c r="D280" i="4"/>
  <c r="F280" i="4" s="1"/>
  <c r="D748" i="4"/>
  <c r="E748" i="4" s="1"/>
  <c r="D778" i="4"/>
  <c r="F778" i="4" s="1"/>
  <c r="D32" i="4"/>
  <c r="F32" i="4" s="1"/>
  <c r="D165" i="4"/>
  <c r="F165" i="4" s="1"/>
  <c r="D647" i="4"/>
  <c r="E647" i="4" s="1"/>
  <c r="D886" i="4"/>
  <c r="F886" i="4" s="1"/>
  <c r="D83" i="4"/>
  <c r="F83" i="4" s="1"/>
  <c r="D21" i="4"/>
  <c r="F21" i="4" s="1"/>
  <c r="D393" i="4"/>
  <c r="F393" i="4" s="1"/>
  <c r="D337" i="4"/>
  <c r="F337" i="4" s="1"/>
  <c r="D163" i="4"/>
  <c r="F163" i="4" s="1"/>
  <c r="D237" i="4"/>
  <c r="E237" i="4" s="1"/>
  <c r="D923" i="4"/>
  <c r="F923" i="4" s="1"/>
  <c r="D979" i="4"/>
  <c r="E979" i="4" s="1"/>
  <c r="D1219" i="4"/>
  <c r="E1219" i="4" s="1"/>
  <c r="D357" i="4"/>
  <c r="E357" i="4" s="1"/>
  <c r="D248" i="4"/>
  <c r="F248" i="4" s="1"/>
  <c r="D161" i="4"/>
  <c r="F161" i="4" s="1"/>
  <c r="D98" i="4"/>
  <c r="E98" i="4" s="1"/>
  <c r="D492" i="4"/>
  <c r="F492" i="4" s="1"/>
  <c r="D501" i="4"/>
  <c r="F501" i="4" s="1"/>
  <c r="D551" i="4"/>
  <c r="E551" i="4" s="1"/>
  <c r="D980" i="4"/>
  <c r="E980" i="4" s="1"/>
  <c r="D252" i="4"/>
  <c r="F252" i="4" s="1"/>
  <c r="D755" i="4"/>
  <c r="F755" i="4" s="1"/>
  <c r="D566" i="4"/>
  <c r="F566" i="4" s="1"/>
  <c r="D790" i="4"/>
  <c r="E790" i="4" s="1"/>
  <c r="D577" i="4"/>
  <c r="F577" i="4" s="1"/>
  <c r="D144" i="4"/>
  <c r="F144" i="4" s="1"/>
  <c r="D60" i="4"/>
  <c r="E60" i="4" s="1"/>
  <c r="D581" i="4"/>
  <c r="F581" i="4" s="1"/>
  <c r="D362" i="4"/>
  <c r="E362" i="4" s="1"/>
  <c r="D281" i="4"/>
  <c r="E281" i="4" s="1"/>
  <c r="D99" i="4"/>
  <c r="E99" i="4" s="1"/>
  <c r="D109" i="4"/>
  <c r="E109" i="4" s="1"/>
  <c r="D878" i="4"/>
  <c r="F878" i="4" s="1"/>
  <c r="D173" i="4"/>
  <c r="F173" i="4" s="1"/>
  <c r="D1507" i="4"/>
  <c r="E1507" i="4" s="1"/>
  <c r="D1777" i="4"/>
  <c r="F1777" i="4" s="1"/>
  <c r="D1528" i="4"/>
  <c r="F1528" i="4" s="1"/>
  <c r="D348" i="4"/>
  <c r="F348" i="4" s="1"/>
  <c r="D1240" i="4"/>
  <c r="F1240" i="4" s="1"/>
  <c r="D992" i="4"/>
  <c r="F992" i="4" s="1"/>
  <c r="D1594" i="4"/>
  <c r="F1594" i="4" s="1"/>
  <c r="D356" i="4"/>
  <c r="F356" i="4" s="1"/>
  <c r="D1327" i="4"/>
  <c r="F1327" i="4" s="1"/>
  <c r="D1088" i="4"/>
  <c r="F1088" i="4" s="1"/>
  <c r="D1705" i="4"/>
  <c r="F1705" i="4" s="1"/>
  <c r="D442" i="4"/>
  <c r="F442" i="4" s="1"/>
  <c r="D830" i="4"/>
  <c r="F830" i="4" s="1"/>
  <c r="D1152" i="4"/>
  <c r="F1152" i="4" s="1"/>
  <c r="D1164" i="4"/>
  <c r="F1164" i="4" s="1"/>
  <c r="D1535" i="4"/>
  <c r="F1535" i="4" s="1"/>
  <c r="D1966" i="4"/>
  <c r="F1966" i="4" s="1"/>
  <c r="D2295" i="4"/>
  <c r="F2295" i="4" s="1"/>
  <c r="D907" i="4"/>
  <c r="F907" i="4" s="1"/>
  <c r="D702" i="4"/>
  <c r="F702" i="4" s="1"/>
  <c r="D958" i="4"/>
  <c r="F958" i="4" s="1"/>
  <c r="D1084" i="4"/>
  <c r="F1084" i="4" s="1"/>
  <c r="D1158" i="4"/>
  <c r="F1158" i="4" s="1"/>
  <c r="D1924" i="4"/>
  <c r="F1924" i="4" s="1"/>
  <c r="D1794" i="4"/>
  <c r="F1794" i="4" s="1"/>
  <c r="D2335" i="4"/>
  <c r="F2335" i="4" s="1"/>
  <c r="D508" i="4"/>
  <c r="F508" i="4" s="1"/>
  <c r="D763" i="4"/>
  <c r="F763" i="4" s="1"/>
  <c r="D764" i="4"/>
  <c r="F764" i="4" s="1"/>
  <c r="D598" i="4"/>
  <c r="F598" i="4" s="1"/>
  <c r="D750" i="4"/>
  <c r="F750" i="4" s="1"/>
  <c r="D711" i="4"/>
  <c r="F711" i="4" s="1"/>
  <c r="D521" i="4"/>
  <c r="F521" i="4" s="1"/>
  <c r="D1184" i="4"/>
  <c r="F1184" i="4" s="1"/>
  <c r="D1131" i="4"/>
  <c r="F1131" i="4" s="1"/>
  <c r="D1280" i="4"/>
  <c r="F1280" i="4" s="1"/>
  <c r="D1214" i="4"/>
  <c r="F1214" i="4" s="1"/>
  <c r="D299" i="4"/>
  <c r="E299" i="4" s="1"/>
  <c r="D604" i="4"/>
  <c r="F604" i="4" s="1"/>
  <c r="D223" i="4"/>
  <c r="F223" i="4" s="1"/>
  <c r="D519" i="4"/>
  <c r="E519" i="4" s="1"/>
  <c r="D802" i="4"/>
  <c r="E802" i="4" s="1"/>
  <c r="D23" i="4"/>
  <c r="E23" i="4" s="1"/>
  <c r="D64" i="4"/>
  <c r="E64" i="4" s="1"/>
  <c r="D343" i="4"/>
  <c r="E343" i="4" s="1"/>
  <c r="D124" i="4"/>
  <c r="E124" i="4" s="1"/>
  <c r="D262" i="4"/>
  <c r="F262" i="4" s="1"/>
  <c r="D236" i="4"/>
  <c r="E236" i="4" s="1"/>
  <c r="D76" i="4"/>
  <c r="F76" i="4" s="1"/>
  <c r="D618" i="4"/>
  <c r="E618" i="4" s="1"/>
  <c r="D166" i="4"/>
  <c r="F166" i="4" s="1"/>
  <c r="D27" i="4"/>
  <c r="F27" i="4" s="1"/>
  <c r="D94" i="4"/>
  <c r="F94" i="4" s="1"/>
  <c r="D573" i="4"/>
  <c r="E573" i="4" s="1"/>
  <c r="D212" i="4"/>
  <c r="E212" i="4" s="1"/>
  <c r="D588" i="4"/>
  <c r="F588" i="4" s="1"/>
  <c r="D353" i="4"/>
  <c r="F353" i="4" s="1"/>
  <c r="D565" i="4"/>
  <c r="E565" i="4" s="1"/>
  <c r="D402" i="4"/>
  <c r="F402" i="4" s="1"/>
  <c r="D549" i="4"/>
  <c r="E549" i="4" s="1"/>
  <c r="D263" i="4"/>
  <c r="F263" i="4" s="1"/>
  <c r="D528" i="4"/>
  <c r="F528" i="4" s="1"/>
  <c r="D118" i="4"/>
  <c r="F118" i="4" s="1"/>
  <c r="D315" i="4"/>
  <c r="E315" i="4" s="1"/>
  <c r="D431" i="4"/>
  <c r="F431" i="4" s="1"/>
  <c r="D614" i="4"/>
  <c r="E614" i="4" s="1"/>
  <c r="D597" i="4"/>
  <c r="E597" i="4" s="1"/>
  <c r="D389" i="4"/>
  <c r="F389" i="4" s="1"/>
  <c r="D373" i="4"/>
  <c r="E373" i="4" s="1"/>
  <c r="D68" i="4"/>
  <c r="F68" i="4" s="1"/>
  <c r="D365" i="4"/>
  <c r="F365" i="4" s="1"/>
  <c r="D742" i="4"/>
  <c r="E742" i="4" s="1"/>
  <c r="D574" i="4"/>
  <c r="F574" i="4" s="1"/>
  <c r="D589" i="4"/>
  <c r="E589" i="4" s="1"/>
  <c r="D215" i="4"/>
  <c r="E215" i="4" s="1"/>
  <c r="D631" i="4"/>
  <c r="E631" i="4" s="1"/>
  <c r="D241" i="4"/>
  <c r="F241" i="4" s="1"/>
  <c r="D715" i="4"/>
  <c r="F715" i="4" s="1"/>
  <c r="D233" i="4"/>
  <c r="E233" i="4" s="1"/>
  <c r="D334" i="4"/>
  <c r="F334" i="4" s="1"/>
  <c r="D687" i="4"/>
  <c r="E687" i="4" s="1"/>
  <c r="D168" i="4"/>
  <c r="F168" i="4" s="1"/>
  <c r="D191" i="4"/>
  <c r="E191" i="4" s="1"/>
  <c r="D71" i="4"/>
  <c r="E71" i="4" s="1"/>
  <c r="D504" i="4"/>
  <c r="E504" i="4" s="1"/>
  <c r="D458" i="4"/>
  <c r="F458" i="4" s="1"/>
  <c r="D227" i="4"/>
  <c r="F227" i="4" s="1"/>
  <c r="D82" i="4"/>
  <c r="F82" i="4" s="1"/>
  <c r="D679" i="4"/>
  <c r="F679" i="4" s="1"/>
  <c r="D154" i="4"/>
  <c r="F154" i="4" s="1"/>
  <c r="D327" i="4"/>
  <c r="E327" i="4" s="1"/>
  <c r="D240" i="4"/>
  <c r="E240" i="4" s="1"/>
  <c r="D560" i="4"/>
  <c r="F560" i="4" s="1"/>
  <c r="D587" i="4"/>
  <c r="F587" i="4" s="1"/>
  <c r="D867" i="4"/>
  <c r="F867" i="4" s="1"/>
  <c r="D414" i="4"/>
  <c r="F414" i="4" s="1"/>
  <c r="D675" i="4"/>
  <c r="F675" i="4" s="1"/>
  <c r="D634" i="4"/>
  <c r="F634" i="4" s="1"/>
  <c r="D358" i="4"/>
  <c r="F358" i="4" s="1"/>
  <c r="D202" i="4"/>
  <c r="F202" i="4" s="1"/>
  <c r="D527" i="4"/>
  <c r="E527" i="4" s="1"/>
  <c r="D487" i="4"/>
  <c r="E487" i="4" s="1"/>
  <c r="D344" i="4"/>
  <c r="E344" i="4" s="1"/>
  <c r="D304" i="4"/>
  <c r="F304" i="4" s="1"/>
  <c r="D347" i="4"/>
  <c r="E347" i="4" s="1"/>
  <c r="D503" i="4"/>
  <c r="F503" i="4" s="1"/>
  <c r="D540" i="4"/>
  <c r="E540" i="4" s="1"/>
  <c r="D201" i="4"/>
  <c r="F201" i="4" s="1"/>
  <c r="D532" i="4"/>
  <c r="F532" i="4" s="1"/>
  <c r="D380" i="4"/>
  <c r="F380" i="4" s="1"/>
  <c r="D255" i="4"/>
  <c r="F255" i="4" s="1"/>
  <c r="D45" i="4"/>
  <c r="E45" i="4" s="1"/>
  <c r="D413" i="4"/>
  <c r="E413" i="4" s="1"/>
  <c r="D113" i="4"/>
  <c r="E113" i="4" s="1"/>
  <c r="J6" i="4"/>
  <c r="K12" i="6"/>
  <c r="D2464" i="4"/>
  <c r="D320" i="4"/>
  <c r="D329" i="4"/>
  <c r="D53" i="4"/>
  <c r="D296" i="4"/>
  <c r="D612" i="4"/>
  <c r="D311" i="4"/>
  <c r="D152" i="4"/>
  <c r="D650" i="4"/>
  <c r="D479" i="4"/>
  <c r="D341" i="4"/>
  <c r="D207" i="4"/>
  <c r="D95" i="4"/>
  <c r="D142" i="4"/>
  <c r="D49" i="4"/>
  <c r="D516" i="4"/>
  <c r="D29" i="4"/>
  <c r="D256" i="4"/>
  <c r="D572" i="4"/>
  <c r="D287" i="4"/>
  <c r="D136" i="4"/>
  <c r="D626" i="4"/>
  <c r="D472" i="4"/>
  <c r="D326" i="4"/>
  <c r="D199" i="4"/>
  <c r="D88" i="4"/>
  <c r="D134" i="4"/>
  <c r="D41" i="4"/>
  <c r="D354" i="4"/>
  <c r="D535" i="4"/>
  <c r="D217" i="4"/>
  <c r="D520" i="4"/>
  <c r="D271" i="4"/>
  <c r="D96" i="4"/>
  <c r="D603" i="4"/>
  <c r="D464" i="4"/>
  <c r="D318" i="4"/>
  <c r="D183" i="4"/>
  <c r="D58" i="4"/>
  <c r="D126" i="4"/>
  <c r="D17" i="4"/>
  <c r="D366" i="4"/>
  <c r="D19" i="4"/>
  <c r="D388" i="4"/>
  <c r="D119" i="4"/>
  <c r="D174" i="4"/>
  <c r="D239" i="4"/>
  <c r="D291" i="4"/>
  <c r="D505" i="4"/>
  <c r="D193" i="4"/>
  <c r="D488" i="4"/>
  <c r="D232" i="4"/>
  <c r="D67" i="4"/>
  <c r="D595" i="4"/>
  <c r="D435" i="4"/>
  <c r="D310" i="4"/>
  <c r="D175" i="4"/>
  <c r="D50" i="4"/>
  <c r="D110" i="4"/>
  <c r="D335" i="4"/>
  <c r="D511" i="4"/>
  <c r="D349" i="4"/>
  <c r="D111" i="4"/>
  <c r="D150" i="4"/>
  <c r="D57" i="4"/>
  <c r="D91" i="4"/>
  <c r="D116" i="4"/>
  <c r="D466" i="4"/>
  <c r="D153" i="4"/>
  <c r="D421" i="4"/>
  <c r="D224" i="4"/>
  <c r="D59" i="4"/>
  <c r="D571" i="4"/>
  <c r="D412" i="4"/>
  <c r="D278" i="4"/>
  <c r="D159" i="4"/>
  <c r="D26" i="4"/>
  <c r="D81" i="4"/>
  <c r="D947" i="4"/>
  <c r="D55" i="4"/>
  <c r="D429" i="4"/>
  <c r="D89" i="4"/>
  <c r="D397" i="4"/>
  <c r="D192" i="4"/>
  <c r="D43" i="4"/>
  <c r="D563" i="4"/>
  <c r="D396" i="4"/>
  <c r="D270" i="4"/>
  <c r="D127" i="4"/>
  <c r="D18" i="4"/>
  <c r="D73" i="4"/>
  <c r="D756" i="4"/>
  <c r="D359" i="4"/>
  <c r="D52" i="4"/>
  <c r="D176" i="4"/>
  <c r="D555" i="4"/>
  <c r="D247" i="4"/>
  <c r="D65" i="4"/>
  <c r="D462" i="4"/>
  <c r="D138" i="4"/>
  <c r="D643" i="4"/>
  <c r="D160" i="4"/>
  <c r="F662" i="4"/>
  <c r="E480" i="4"/>
  <c r="F295" i="4"/>
  <c r="E104" i="4"/>
  <c r="F806" i="4"/>
  <c r="F374" i="4"/>
  <c r="E1077" i="4"/>
  <c r="E579" i="4"/>
  <c r="E1462" i="4"/>
  <c r="F34" i="4"/>
  <c r="F272" i="4"/>
  <c r="F267" i="4"/>
  <c r="E86" i="4"/>
  <c r="E640" i="4"/>
  <c r="E695" i="4"/>
  <c r="F188" i="4"/>
  <c r="F489" i="4"/>
  <c r="E780" i="4"/>
  <c r="E496" i="4"/>
  <c r="E2351" i="4"/>
  <c r="F584" i="4"/>
  <c r="E642" i="4"/>
  <c r="E75" i="4"/>
  <c r="E324" i="4"/>
  <c r="E186" i="4"/>
  <c r="E767" i="4"/>
  <c r="F819" i="4"/>
  <c r="E596" i="4"/>
  <c r="E382" i="4"/>
  <c r="F969" i="4"/>
  <c r="F290" i="4"/>
  <c r="E368" i="4"/>
  <c r="F1485" i="4"/>
  <c r="E300" i="4"/>
  <c r="F391" i="4"/>
  <c r="E1650" i="4"/>
  <c r="F171" i="4"/>
  <c r="F306" i="4"/>
  <c r="E63" i="4"/>
  <c r="E853" i="4"/>
  <c r="E121" i="4"/>
  <c r="E298" i="4"/>
  <c r="E226" i="4"/>
  <c r="E692" i="4"/>
  <c r="F692" i="4"/>
  <c r="E1342" i="4"/>
  <c r="F1342" i="4"/>
  <c r="E797" i="4"/>
  <c r="F797" i="4"/>
  <c r="E219" i="4"/>
  <c r="E1731" i="4"/>
  <c r="E942" i="4"/>
  <c r="E1628" i="4"/>
  <c r="E1789" i="4"/>
  <c r="E744" i="4"/>
  <c r="E649" i="4"/>
  <c r="E1588" i="4"/>
  <c r="E1210" i="4"/>
  <c r="E2128" i="4"/>
  <c r="E1166" i="4"/>
  <c r="E828" i="4"/>
  <c r="E1868" i="4"/>
  <c r="E1132" i="4"/>
  <c r="E1616" i="4"/>
  <c r="E213" i="4"/>
  <c r="E2494" i="4"/>
  <c r="E1591" i="4"/>
  <c r="E371" i="4"/>
  <c r="E2385" i="4"/>
  <c r="E1347" i="4"/>
  <c r="E1356" i="4"/>
  <c r="E1739" i="4"/>
  <c r="E1454" i="4"/>
  <c r="E550" i="4"/>
  <c r="E1120" i="4"/>
  <c r="E961" i="4"/>
  <c r="E1085" i="4"/>
  <c r="E338" i="4"/>
  <c r="E814" i="4"/>
  <c r="E860" i="4"/>
  <c r="E2228" i="4"/>
  <c r="E2066" i="4"/>
  <c r="E1361" i="4"/>
  <c r="E793" i="4"/>
  <c r="E453" i="4"/>
  <c r="E959" i="4"/>
  <c r="E1461" i="4"/>
  <c r="E2476" i="4"/>
  <c r="E2322" i="4"/>
  <c r="E1494" i="4"/>
  <c r="E976" i="4"/>
  <c r="E898" i="4"/>
  <c r="E1070" i="4"/>
  <c r="E1571" i="4"/>
  <c r="E1018" i="4"/>
  <c r="E269" i="4"/>
  <c r="E544" i="4"/>
  <c r="E607" i="4"/>
  <c r="E471" i="4"/>
  <c r="E660" i="4"/>
  <c r="E524" i="4"/>
  <c r="E346" i="4"/>
  <c r="E2397" i="4"/>
  <c r="E1798" i="4"/>
  <c r="E1629" i="4"/>
  <c r="E1667" i="4"/>
  <c r="E1081" i="4"/>
  <c r="E1163" i="4"/>
  <c r="E997" i="4"/>
  <c r="E1098" i="4"/>
  <c r="E325" i="4"/>
  <c r="E1032" i="4"/>
  <c r="E1169" i="4"/>
  <c r="E1004" i="4"/>
  <c r="E1532" i="4"/>
  <c r="E1171" i="4"/>
  <c r="E983" i="4"/>
  <c r="E985" i="4"/>
  <c r="E1488" i="4"/>
  <c r="E1974" i="4"/>
  <c r="E1754" i="4"/>
  <c r="E1447" i="4"/>
  <c r="E1385" i="4"/>
  <c r="E1897" i="4"/>
  <c r="E1678" i="4"/>
  <c r="E1513" i="4"/>
  <c r="E2277" i="4"/>
  <c r="E2207" i="4"/>
  <c r="E1672" i="4"/>
  <c r="E1999" i="4"/>
  <c r="E2342" i="4"/>
  <c r="E230" i="4"/>
  <c r="E1429" i="4"/>
  <c r="E1287" i="4"/>
  <c r="E927" i="4"/>
  <c r="E729" i="4"/>
  <c r="E1249" i="4"/>
  <c r="E1244" i="4"/>
  <c r="E1730" i="4"/>
  <c r="E937" i="4"/>
  <c r="E594" i="4"/>
  <c r="E1708" i="4"/>
  <c r="E1645" i="4"/>
  <c r="E1425" i="4"/>
  <c r="E1252" i="4"/>
  <c r="E2018" i="4"/>
  <c r="E1814" i="4"/>
  <c r="E1767" i="4"/>
  <c r="E2302" i="4"/>
  <c r="E2111" i="4"/>
  <c r="E1891" i="4"/>
  <c r="E696" i="4"/>
  <c r="E1176" i="4"/>
  <c r="E1310" i="4"/>
  <c r="E1170" i="4"/>
  <c r="E807" i="4"/>
  <c r="E1320" i="4"/>
  <c r="E1133" i="4"/>
  <c r="E1127" i="4"/>
  <c r="E1207" i="4"/>
  <c r="E817" i="4"/>
  <c r="E1903" i="4"/>
  <c r="E1589" i="4"/>
  <c r="E1526" i="4"/>
  <c r="E1306" i="4"/>
  <c r="E1828" i="4"/>
  <c r="E1892" i="4"/>
  <c r="E2417" i="4"/>
  <c r="E1560" i="4"/>
  <c r="E2069" i="4"/>
  <c r="E1811" i="4"/>
  <c r="E2391" i="4"/>
  <c r="E1265" i="4"/>
  <c r="E1259" i="4"/>
  <c r="E1746" i="4"/>
  <c r="E953" i="4"/>
  <c r="E610" i="4"/>
  <c r="E1724" i="4"/>
  <c r="E1661" i="4"/>
  <c r="E1441" i="4"/>
  <c r="E1268" i="4"/>
  <c r="E2034" i="4"/>
  <c r="E1837" i="4"/>
  <c r="E1815" i="4"/>
  <c r="E2348" i="4"/>
  <c r="E2165" i="4"/>
  <c r="E1955" i="4"/>
  <c r="E1121" i="4"/>
  <c r="E1262" i="4"/>
  <c r="E1123" i="4"/>
  <c r="E752" i="4"/>
  <c r="E1272" i="4"/>
  <c r="E1087" i="4"/>
  <c r="E1073" i="4"/>
  <c r="E1159" i="4"/>
  <c r="E769" i="4"/>
  <c r="E1848" i="4"/>
  <c r="E1541" i="4"/>
  <c r="E1479" i="4"/>
  <c r="E1258" i="4"/>
  <c r="E1773" i="4"/>
  <c r="E1844" i="4"/>
  <c r="E2369" i="4"/>
  <c r="E2362" i="4"/>
  <c r="E1967" i="4"/>
  <c r="E2427" i="4"/>
  <c r="E2326" i="4"/>
  <c r="E1394" i="4"/>
  <c r="E1197" i="4"/>
  <c r="E1980" i="4"/>
  <c r="E1782" i="4"/>
  <c r="E1703" i="4"/>
  <c r="E2048" i="4"/>
  <c r="E2504" i="4"/>
  <c r="E1989" i="4"/>
  <c r="E1647" i="4"/>
  <c r="E1052" i="4"/>
  <c r="E2185" i="4"/>
  <c r="E1745" i="4"/>
  <c r="E2065" i="4"/>
  <c r="E2407" i="4"/>
  <c r="E2352" i="4"/>
  <c r="E1237" i="4"/>
  <c r="E2388" i="4"/>
  <c r="E2137" i="4"/>
  <c r="E1783" i="4"/>
  <c r="E2317" i="4"/>
  <c r="E2022" i="4"/>
  <c r="E2126" i="4"/>
  <c r="E2366" i="4"/>
  <c r="E2360" i="4"/>
  <c r="E2373" i="4"/>
  <c r="E2213" i="4"/>
  <c r="E2287" i="4"/>
  <c r="E2131" i="4"/>
  <c r="E1697" i="4"/>
  <c r="E1946" i="4"/>
  <c r="E2017" i="4"/>
  <c r="E2282" i="4"/>
  <c r="E2219" i="4"/>
  <c r="E2095" i="4"/>
  <c r="E2324" i="4"/>
  <c r="E1923" i="4"/>
  <c r="E70" i="4"/>
  <c r="E2371" i="4"/>
  <c r="E1830" i="4"/>
  <c r="E2354" i="4"/>
  <c r="E2013" i="4"/>
  <c r="E1586" i="4"/>
  <c r="E2234" i="4"/>
  <c r="E2343" i="4"/>
  <c r="E2355" i="4"/>
  <c r="E182" i="4"/>
  <c r="E2419" i="4"/>
  <c r="E1939" i="4"/>
  <c r="E198" i="4"/>
  <c r="E2457" i="4"/>
  <c r="E2331" i="4"/>
  <c r="E2177" i="4"/>
  <c r="E459" i="4"/>
  <c r="E1136" i="4"/>
  <c r="E534" i="4"/>
  <c r="E1648" i="4"/>
  <c r="E1662" i="4"/>
  <c r="E1097" i="4"/>
  <c r="E1095" i="4"/>
  <c r="E1631" i="4"/>
  <c r="E1346" i="4"/>
  <c r="E562" i="4"/>
  <c r="E1355" i="4"/>
  <c r="E697" i="4"/>
  <c r="E601" i="4"/>
  <c r="E827" i="4"/>
  <c r="E2117" i="4"/>
  <c r="E1569" i="4"/>
  <c r="E1747" i="4"/>
  <c r="E1950" i="4"/>
  <c r="E1156" i="4"/>
  <c r="E831" i="4"/>
  <c r="E1334" i="4"/>
  <c r="E2212" i="4"/>
  <c r="E2058" i="4"/>
  <c r="E1313" i="4"/>
  <c r="E785" i="4"/>
  <c r="E1281" i="4"/>
  <c r="E943" i="4"/>
  <c r="E1445" i="4"/>
  <c r="E908" i="4"/>
  <c r="E205" i="4"/>
  <c r="E379" i="4"/>
  <c r="E543" i="4"/>
  <c r="E345" i="4"/>
  <c r="E533" i="4"/>
  <c r="E399" i="4"/>
  <c r="E283" i="4"/>
  <c r="E2334" i="4"/>
  <c r="E2269" i="4"/>
  <c r="E1486" i="4"/>
  <c r="E921" i="4"/>
  <c r="E890" i="4"/>
  <c r="E1034" i="4"/>
  <c r="E1539" i="4"/>
  <c r="E1010" i="4"/>
  <c r="E261" i="4"/>
  <c r="E1091" i="4"/>
  <c r="E1231" i="4"/>
  <c r="E1092" i="4"/>
  <c r="E1596" i="4"/>
  <c r="E1241" i="4"/>
  <c r="E1043" i="4"/>
  <c r="E1045" i="4"/>
  <c r="E1103" i="4"/>
  <c r="E2036" i="4"/>
  <c r="E1817" i="4"/>
  <c r="E1509" i="4"/>
  <c r="E1448" i="4"/>
  <c r="E1961" i="4"/>
  <c r="E1742" i="4"/>
  <c r="E1577" i="4"/>
  <c r="E2337" i="4"/>
  <c r="E2301" i="4"/>
  <c r="E1800" i="4"/>
  <c r="E2124" i="4"/>
  <c r="E2501" i="4"/>
  <c r="E2436" i="4"/>
  <c r="E1491" i="4"/>
  <c r="E1351" i="4"/>
  <c r="E990" i="4"/>
  <c r="E800" i="4"/>
  <c r="E483" i="4"/>
  <c r="E1307" i="4"/>
  <c r="E1793" i="4"/>
  <c r="E1056" i="4"/>
  <c r="E698" i="4"/>
  <c r="E970" i="4"/>
  <c r="E1709" i="4"/>
  <c r="E1487" i="4"/>
  <c r="E1316" i="4"/>
  <c r="E2082" i="4"/>
  <c r="E1901" i="4"/>
  <c r="E1894" i="4"/>
  <c r="E1475" i="4"/>
  <c r="E2244" i="4"/>
  <c r="E2486" i="4"/>
  <c r="E709" i="4"/>
  <c r="E1238" i="4"/>
  <c r="E1374" i="4"/>
  <c r="E1232" i="4"/>
  <c r="E871" i="4"/>
  <c r="E673" i="4"/>
  <c r="E1196" i="4"/>
  <c r="E1190" i="4"/>
  <c r="E1674" i="4"/>
  <c r="E881" i="4"/>
  <c r="E530" i="4"/>
  <c r="E1652" i="4"/>
  <c r="E1590" i="4"/>
  <c r="E1370" i="4"/>
  <c r="E1173" i="4"/>
  <c r="E1956" i="4"/>
  <c r="E1750" i="4"/>
  <c r="E1671" i="4"/>
  <c r="E2209" i="4"/>
  <c r="E2016" i="4"/>
  <c r="E2416" i="4"/>
  <c r="E499" i="4"/>
  <c r="E1323" i="4"/>
  <c r="E1809" i="4"/>
  <c r="E1072" i="4"/>
  <c r="E714" i="4"/>
  <c r="E986" i="4"/>
  <c r="E1725" i="4"/>
  <c r="E1503" i="4"/>
  <c r="E1332" i="4"/>
  <c r="E2098" i="4"/>
  <c r="E1917" i="4"/>
  <c r="E2107" i="4"/>
  <c r="E1530" i="4"/>
  <c r="E2291" i="4"/>
  <c r="E2481" i="4"/>
  <c r="E1192" i="4"/>
  <c r="E1326" i="4"/>
  <c r="E1186" i="4"/>
  <c r="E823" i="4"/>
  <c r="E1336" i="4"/>
  <c r="E1148" i="4"/>
  <c r="E1142" i="4"/>
  <c r="E1223" i="4"/>
  <c r="E833" i="4"/>
  <c r="E482" i="4"/>
  <c r="E1605" i="4"/>
  <c r="E1542" i="4"/>
  <c r="E1322" i="4"/>
  <c r="E1851" i="4"/>
  <c r="E1908" i="4"/>
  <c r="E2433" i="4"/>
  <c r="E1592" i="4"/>
  <c r="E2093" i="4"/>
  <c r="E1914" i="4"/>
  <c r="E2461" i="4"/>
  <c r="E1677" i="4"/>
  <c r="E1457" i="4"/>
  <c r="E1284" i="4"/>
  <c r="E2050" i="4"/>
  <c r="E1853" i="4"/>
  <c r="E1831" i="4"/>
  <c r="E2364" i="4"/>
  <c r="E2180" i="4"/>
  <c r="E2195" i="4"/>
  <c r="E2067" i="4"/>
  <c r="E1711" i="4"/>
  <c r="E1624" i="4"/>
  <c r="E2249" i="4"/>
  <c r="E1952" i="4"/>
  <c r="E2056" i="4"/>
  <c r="E2281" i="4"/>
  <c r="E2485" i="4"/>
  <c r="E22" i="4"/>
  <c r="E1421" i="4"/>
  <c r="E2451" i="4"/>
  <c r="E2199" i="4"/>
  <c r="E1846" i="4"/>
  <c r="E1760" i="4"/>
  <c r="E2380" i="4"/>
  <c r="E2086" i="4"/>
  <c r="E2196" i="4"/>
  <c r="E2430" i="4"/>
  <c r="E2363" i="4"/>
  <c r="E2276" i="4"/>
  <c r="E2410" i="4"/>
  <c r="E2365" i="4"/>
  <c r="E1243" i="4"/>
  <c r="E2201" i="4"/>
  <c r="E1904" i="4"/>
  <c r="E2008" i="4"/>
  <c r="E2081" i="4"/>
  <c r="E2423" i="4"/>
  <c r="E2384" i="4"/>
  <c r="E1373" i="4"/>
  <c r="E2404" i="4"/>
  <c r="E1834" i="4"/>
  <c r="E1987" i="4"/>
  <c r="E2347" i="4"/>
  <c r="E2039" i="4"/>
  <c r="E1893" i="4"/>
  <c r="E1544" i="4"/>
  <c r="E2240" i="4"/>
  <c r="E2077" i="4"/>
  <c r="E1649" i="4"/>
  <c r="E1898" i="4"/>
  <c r="E1873" i="4"/>
  <c r="E2002" i="4"/>
  <c r="E1995" i="4"/>
  <c r="E2047" i="4"/>
  <c r="E2179" i="4"/>
  <c r="E2411" i="4"/>
  <c r="E2055" i="4"/>
  <c r="E2453" i="4"/>
  <c r="E2123" i="4"/>
  <c r="E340" i="4"/>
  <c r="E428" i="4"/>
  <c r="E1735" i="4"/>
  <c r="E1402" i="4"/>
  <c r="E1403" i="4"/>
  <c r="E705" i="4"/>
  <c r="E782" i="4"/>
  <c r="E834" i="4"/>
  <c r="E1229" i="4"/>
  <c r="E1452" i="4"/>
  <c r="E1300" i="4"/>
  <c r="E1565" i="4"/>
  <c r="E1769" i="4"/>
  <c r="E1022" i="4"/>
  <c r="E1572" i="4"/>
  <c r="E1209" i="4"/>
  <c r="E2102" i="4"/>
  <c r="E1561" i="4"/>
  <c r="E1740" i="4"/>
  <c r="E1902" i="4"/>
  <c r="E1140" i="4"/>
  <c r="E815" i="4"/>
  <c r="E1318" i="4"/>
  <c r="E812" i="4"/>
  <c r="E141" i="4"/>
  <c r="E308" i="4"/>
  <c r="E386" i="4"/>
  <c r="E282" i="4"/>
  <c r="E470" i="4"/>
  <c r="E48" i="4"/>
  <c r="E220" i="4"/>
  <c r="E2096" i="4"/>
  <c r="E1996" i="4"/>
  <c r="E1305" i="4"/>
  <c r="E777" i="4"/>
  <c r="E1234" i="4"/>
  <c r="E911" i="4"/>
  <c r="E1414" i="4"/>
  <c r="E892" i="4"/>
  <c r="E197" i="4"/>
  <c r="E1160" i="4"/>
  <c r="E1294" i="4"/>
  <c r="E1154" i="4"/>
  <c r="E791" i="4"/>
  <c r="E1304" i="4"/>
  <c r="E1118" i="4"/>
  <c r="E1104" i="4"/>
  <c r="E1191" i="4"/>
  <c r="E801" i="4"/>
  <c r="E1880" i="4"/>
  <c r="E1573" i="4"/>
  <c r="E1510" i="4"/>
  <c r="E1290" i="4"/>
  <c r="E1805" i="4"/>
  <c r="E1876" i="4"/>
  <c r="E2401" i="4"/>
  <c r="E1536" i="4"/>
  <c r="E2029" i="4"/>
  <c r="E1771" i="4"/>
  <c r="E2258" i="4"/>
  <c r="E1040" i="4"/>
  <c r="E1555" i="4"/>
  <c r="E1415" i="4"/>
  <c r="E1055" i="4"/>
  <c r="E864" i="4"/>
  <c r="E850" i="4"/>
  <c r="E1371" i="4"/>
  <c r="E1855" i="4"/>
  <c r="E1627" i="4"/>
  <c r="E762" i="4"/>
  <c r="E1074" i="4"/>
  <c r="E1772" i="4"/>
  <c r="E1551" i="4"/>
  <c r="E1380" i="4"/>
  <c r="E2152" i="4"/>
  <c r="E2019" i="4"/>
  <c r="E2200" i="4"/>
  <c r="E1610" i="4"/>
  <c r="E2367" i="4"/>
  <c r="E2510" i="4"/>
  <c r="E772" i="4"/>
  <c r="E1309" i="4"/>
  <c r="E1437" i="4"/>
  <c r="E1295" i="4"/>
  <c r="E935" i="4"/>
  <c r="E737" i="4"/>
  <c r="E1257" i="4"/>
  <c r="E1251" i="4"/>
  <c r="E1738" i="4"/>
  <c r="E945" i="4"/>
  <c r="E602" i="4"/>
  <c r="E1716" i="4"/>
  <c r="E1653" i="4"/>
  <c r="E1433" i="4"/>
  <c r="E1260" i="4"/>
  <c r="E2026" i="4"/>
  <c r="E1822" i="4"/>
  <c r="E1799" i="4"/>
  <c r="E2332" i="4"/>
  <c r="E2142" i="4"/>
  <c r="E1947" i="4"/>
  <c r="E866" i="4"/>
  <c r="E1387" i="4"/>
  <c r="E1871" i="4"/>
  <c r="E1643" i="4"/>
  <c r="E1017" i="4"/>
  <c r="E1090" i="4"/>
  <c r="E1788" i="4"/>
  <c r="E1567" i="4"/>
  <c r="E1396" i="4"/>
  <c r="E2167" i="4"/>
  <c r="E2043" i="4"/>
  <c r="E2248" i="4"/>
  <c r="E1657" i="4"/>
  <c r="E1881" i="4"/>
  <c r="E238" i="4"/>
  <c r="E1261" i="4"/>
  <c r="E1390" i="4"/>
  <c r="E1247" i="4"/>
  <c r="E887" i="4"/>
  <c r="E689" i="4"/>
  <c r="E1212" i="4"/>
  <c r="E1206" i="4"/>
  <c r="E1690" i="4"/>
  <c r="E897" i="4"/>
  <c r="E554" i="4"/>
  <c r="E1668" i="4"/>
  <c r="E1606" i="4"/>
  <c r="E1386" i="4"/>
  <c r="E1189" i="4"/>
  <c r="E1972" i="4"/>
  <c r="E1774" i="4"/>
  <c r="E1695" i="4"/>
  <c r="E2233" i="4"/>
  <c r="E2040" i="4"/>
  <c r="E2454" i="4"/>
  <c r="E1741" i="4"/>
  <c r="E2121" i="4"/>
  <c r="E1949" i="4"/>
  <c r="E2130" i="4"/>
  <c r="E1546" i="4"/>
  <c r="E2304" i="4"/>
  <c r="E2260" i="4"/>
  <c r="E1688" i="4"/>
  <c r="E2309" i="4"/>
  <c r="E2014" i="4"/>
  <c r="E2119" i="4"/>
  <c r="E2358" i="4"/>
  <c r="E2344" i="4"/>
  <c r="E2512" i="4"/>
  <c r="E2262" i="4"/>
  <c r="E2076" i="4"/>
  <c r="E1927" i="4"/>
  <c r="E1498" i="4"/>
  <c r="E2148" i="4"/>
  <c r="E2452" i="4"/>
  <c r="E2509" i="4"/>
  <c r="E46" i="4"/>
  <c r="E1727" i="4"/>
  <c r="E1640" i="4"/>
  <c r="E2264" i="4"/>
  <c r="E2311" i="4"/>
  <c r="E2500" i="4"/>
  <c r="E1134" i="4"/>
  <c r="E2133" i="4"/>
  <c r="E2466" i="4"/>
  <c r="E2290" i="4"/>
  <c r="E2103" i="4"/>
  <c r="E1957" i="4"/>
  <c r="E1608" i="4"/>
  <c r="E2308" i="4"/>
  <c r="E2147" i="4"/>
  <c r="E1713" i="4"/>
  <c r="E2375" i="4"/>
  <c r="E2243" i="4"/>
  <c r="E2127" i="4"/>
  <c r="E2467" i="4"/>
  <c r="E2135" i="4"/>
  <c r="E2297" i="4"/>
  <c r="E1623" i="4"/>
  <c r="E475" i="4"/>
  <c r="E654" i="4"/>
  <c r="E457" i="4"/>
  <c r="E2176" i="4"/>
  <c r="E1882" i="4"/>
  <c r="E1222" i="4"/>
  <c r="E1288" i="4"/>
  <c r="E1200" i="4"/>
  <c r="E719" i="4"/>
  <c r="E606" i="4"/>
  <c r="E771" i="4"/>
  <c r="E770" i="4"/>
  <c r="E1147" i="4"/>
  <c r="E699" i="4"/>
  <c r="E1792" i="4"/>
  <c r="E1734" i="4"/>
  <c r="E1416" i="4"/>
  <c r="E1183" i="4"/>
  <c r="E896" i="4"/>
  <c r="E1446" i="4"/>
  <c r="E1076" i="4"/>
  <c r="E1436" i="4"/>
  <c r="E1292" i="4"/>
  <c r="E1557" i="4"/>
  <c r="E1761" i="4"/>
  <c r="E1006" i="4"/>
  <c r="E1556" i="4"/>
  <c r="E1193" i="4"/>
  <c r="E733" i="4"/>
  <c r="E926" i="4"/>
  <c r="E971" i="4"/>
  <c r="E203" i="4"/>
  <c r="E977" i="4"/>
  <c r="E376" i="4"/>
  <c r="E156" i="4"/>
  <c r="E1992" i="4"/>
  <c r="E1505" i="4"/>
  <c r="E1692" i="4"/>
  <c r="E1895" i="4"/>
  <c r="E1110" i="4"/>
  <c r="E783" i="4"/>
  <c r="E1286" i="4"/>
  <c r="E804" i="4"/>
  <c r="E133" i="4"/>
  <c r="E1224" i="4"/>
  <c r="E1358" i="4"/>
  <c r="E1218" i="4"/>
  <c r="E855" i="4"/>
  <c r="E1368" i="4"/>
  <c r="E1180" i="4"/>
  <c r="E1174" i="4"/>
  <c r="E1658" i="4"/>
  <c r="E865" i="4"/>
  <c r="E514" i="4"/>
  <c r="E1636" i="4"/>
  <c r="E1574" i="4"/>
  <c r="E1354" i="4"/>
  <c r="E1157" i="4"/>
  <c r="E1940" i="4"/>
  <c r="E2463" i="4"/>
  <c r="E1639" i="4"/>
  <c r="E2162" i="4"/>
  <c r="E1978" i="4"/>
  <c r="E2321" i="4"/>
  <c r="E1115" i="4"/>
  <c r="E1619" i="4"/>
  <c r="E1477" i="4"/>
  <c r="E1117" i="4"/>
  <c r="E928" i="4"/>
  <c r="E914" i="4"/>
  <c r="E1434" i="4"/>
  <c r="E1918" i="4"/>
  <c r="E1691" i="4"/>
  <c r="E1384" i="4"/>
  <c r="E1329" i="4"/>
  <c r="E1842" i="4"/>
  <c r="E1615" i="4"/>
  <c r="E1443" i="4"/>
  <c r="E2214" i="4"/>
  <c r="E2114" i="4"/>
  <c r="E1044" i="4"/>
  <c r="E1737" i="4"/>
  <c r="E2057" i="4"/>
  <c r="E1413" i="4"/>
  <c r="E836" i="4"/>
  <c r="E972" i="4"/>
  <c r="E1499" i="4"/>
  <c r="E1359" i="4"/>
  <c r="E998" i="4"/>
  <c r="E808" i="4"/>
  <c r="E491" i="4"/>
  <c r="E1315" i="4"/>
  <c r="E1801" i="4"/>
  <c r="E1064" i="4"/>
  <c r="E706" i="4"/>
  <c r="E978" i="4"/>
  <c r="E1717" i="4"/>
  <c r="E1495" i="4"/>
  <c r="E1324" i="4"/>
  <c r="E2090" i="4"/>
  <c r="E1909" i="4"/>
  <c r="E2092" i="4"/>
  <c r="E1514" i="4"/>
  <c r="E2275" i="4"/>
  <c r="E2442" i="4"/>
  <c r="E930" i="4"/>
  <c r="E1450" i="4"/>
  <c r="E1934" i="4"/>
  <c r="E1707" i="4"/>
  <c r="E1400" i="4"/>
  <c r="E1345" i="4"/>
  <c r="E1858" i="4"/>
  <c r="E1638" i="4"/>
  <c r="E1459" i="4"/>
  <c r="E2230" i="4"/>
  <c r="E2145" i="4"/>
  <c r="E1601" i="4"/>
  <c r="E1928" i="4"/>
  <c r="E2257" i="4"/>
  <c r="E2197" i="4"/>
  <c r="E1325" i="4"/>
  <c r="E1453" i="4"/>
  <c r="E1311" i="4"/>
  <c r="E951" i="4"/>
  <c r="E753" i="4"/>
  <c r="E1273" i="4"/>
  <c r="E1267" i="4"/>
  <c r="E1753" i="4"/>
  <c r="E968" i="4"/>
  <c r="E658" i="4"/>
  <c r="E1732" i="4"/>
  <c r="E1669" i="4"/>
  <c r="E1449" i="4"/>
  <c r="E1276" i="4"/>
  <c r="E2042" i="4"/>
  <c r="E1845" i="4"/>
  <c r="E2356" i="4"/>
  <c r="E2173" i="4"/>
  <c r="E2187" i="4"/>
  <c r="E1804" i="4"/>
  <c r="E1583" i="4"/>
  <c r="E1412" i="4"/>
  <c r="E2182" i="4"/>
  <c r="E2263" i="4"/>
  <c r="E1673" i="4"/>
  <c r="E1985" i="4"/>
  <c r="E2473" i="4"/>
  <c r="E2191" i="4"/>
  <c r="E1838" i="4"/>
  <c r="E1752" i="4"/>
  <c r="E2078" i="4"/>
  <c r="E2188" i="4"/>
  <c r="E2422" i="4"/>
  <c r="E2478" i="4"/>
  <c r="E2268" i="4"/>
  <c r="E2402" i="4"/>
  <c r="E2341" i="4"/>
  <c r="E2146" i="4"/>
  <c r="E1991" i="4"/>
  <c r="E1562" i="4"/>
  <c r="E2210" i="4"/>
  <c r="E2320" i="4"/>
  <c r="E1046" i="4"/>
  <c r="E1907" i="4"/>
  <c r="E2110" i="4"/>
  <c r="E1791" i="4"/>
  <c r="E1704" i="4"/>
  <c r="E2325" i="4"/>
  <c r="E2030" i="4"/>
  <c r="E2134" i="4"/>
  <c r="E2374" i="4"/>
  <c r="E2413" i="4"/>
  <c r="E2221" i="4"/>
  <c r="E2112" i="4"/>
  <c r="E2431" i="4"/>
  <c r="E2400" i="4"/>
  <c r="E1381" i="4"/>
  <c r="E2412" i="4"/>
  <c r="E1679" i="4"/>
  <c r="E1593" i="4"/>
  <c r="E2217" i="4"/>
  <c r="E1920" i="4"/>
  <c r="E2024" i="4"/>
  <c r="E2097" i="4"/>
  <c r="E2446" i="4"/>
  <c r="E2424" i="4"/>
  <c r="E1389" i="4"/>
  <c r="E2447" i="4"/>
  <c r="E1397" i="4"/>
  <c r="E2428" i="4"/>
  <c r="E2515" i="4"/>
  <c r="E2003" i="4"/>
  <c r="E1049" i="4"/>
  <c r="E449" i="4"/>
  <c r="E2357" i="4"/>
  <c r="E1790" i="4"/>
  <c r="E1622" i="4"/>
  <c r="E1659" i="4"/>
  <c r="E1037" i="4"/>
  <c r="E1523" i="4"/>
  <c r="E956" i="4"/>
  <c r="E583" i="4"/>
  <c r="E1878" i="4"/>
  <c r="E1472" i="4"/>
  <c r="E674" i="4"/>
  <c r="E1466" i="4"/>
  <c r="E761" i="4"/>
  <c r="E1319" i="4"/>
  <c r="E1776" i="4"/>
  <c r="E1726" i="4"/>
  <c r="E1113" i="4"/>
  <c r="E1175" i="4"/>
  <c r="E880" i="4"/>
  <c r="E1430" i="4"/>
  <c r="E1060" i="4"/>
  <c r="E704" i="4"/>
  <c r="E862" i="4"/>
  <c r="E901" i="4"/>
  <c r="E139" i="4"/>
  <c r="E915" i="4"/>
  <c r="E313" i="4"/>
  <c r="E592" i="4"/>
  <c r="E92" i="4"/>
  <c r="E2288" i="4"/>
  <c r="E1213" i="4"/>
  <c r="E1549" i="4"/>
  <c r="E1714" i="4"/>
  <c r="E975" i="4"/>
  <c r="E1524" i="4"/>
  <c r="E1161" i="4"/>
  <c r="E725" i="4"/>
  <c r="E757" i="4"/>
  <c r="E1293" i="4"/>
  <c r="E1422" i="4"/>
  <c r="E1279" i="4"/>
  <c r="E919" i="4"/>
  <c r="E721" i="4"/>
  <c r="E1242" i="4"/>
  <c r="E1236" i="4"/>
  <c r="E1722" i="4"/>
  <c r="E929" i="4"/>
  <c r="E586" i="4"/>
  <c r="E1700" i="4"/>
  <c r="E1637" i="4"/>
  <c r="E1418" i="4"/>
  <c r="E1221" i="4"/>
  <c r="E2010" i="4"/>
  <c r="E1806" i="4"/>
  <c r="E1759" i="4"/>
  <c r="E2296" i="4"/>
  <c r="E2104" i="4"/>
  <c r="E1883" i="4"/>
  <c r="E1177" i="4"/>
  <c r="E1012" i="4"/>
  <c r="E1540" i="4"/>
  <c r="E1179" i="4"/>
  <c r="E991" i="4"/>
  <c r="E993" i="4"/>
  <c r="E1496" i="4"/>
  <c r="E1982" i="4"/>
  <c r="E1762" i="4"/>
  <c r="E1455" i="4"/>
  <c r="E1393" i="4"/>
  <c r="E1905" i="4"/>
  <c r="E1686" i="4"/>
  <c r="E1521" i="4"/>
  <c r="E2285" i="4"/>
  <c r="E2215" i="4"/>
  <c r="E1680" i="4"/>
  <c r="E2006" i="4"/>
  <c r="E2350" i="4"/>
  <c r="E438" i="4"/>
  <c r="E900" i="4"/>
  <c r="E1054" i="4"/>
  <c r="E1563" i="4"/>
  <c r="E1423" i="4"/>
  <c r="E1062" i="4"/>
  <c r="E872" i="4"/>
  <c r="E858" i="4"/>
  <c r="E1379" i="4"/>
  <c r="E1863" i="4"/>
  <c r="E1635" i="4"/>
  <c r="E1009" i="4"/>
  <c r="E1082" i="4"/>
  <c r="E1780" i="4"/>
  <c r="E1559" i="4"/>
  <c r="E1388" i="4"/>
  <c r="E2159" i="4"/>
  <c r="E2027" i="4"/>
  <c r="E2232" i="4"/>
  <c r="E1641" i="4"/>
  <c r="E1865" i="4"/>
  <c r="E214" i="4"/>
  <c r="E1008" i="4"/>
  <c r="E1007" i="4"/>
  <c r="E1997" i="4"/>
  <c r="E1778" i="4"/>
  <c r="E1470" i="4"/>
  <c r="E1409" i="4"/>
  <c r="E1921" i="4"/>
  <c r="E1702" i="4"/>
  <c r="E1537" i="4"/>
  <c r="E2300" i="4"/>
  <c r="E2239" i="4"/>
  <c r="E1728" i="4"/>
  <c r="E2054" i="4"/>
  <c r="E2406" i="4"/>
  <c r="E2007" i="4"/>
  <c r="E988" i="4"/>
  <c r="E1515" i="4"/>
  <c r="E1375" i="4"/>
  <c r="E1013" i="4"/>
  <c r="E824" i="4"/>
  <c r="E507" i="4"/>
  <c r="E1331" i="4"/>
  <c r="E1816" i="4"/>
  <c r="E1080" i="4"/>
  <c r="E722" i="4"/>
  <c r="E994" i="4"/>
  <c r="E1733" i="4"/>
  <c r="E1511" i="4"/>
  <c r="E1340" i="4"/>
  <c r="E2113" i="4"/>
  <c r="E1941" i="4"/>
  <c r="E2115" i="4"/>
  <c r="E1538" i="4"/>
  <c r="E2298" i="4"/>
  <c r="E2172" i="4"/>
  <c r="E1874" i="4"/>
  <c r="E1654" i="4"/>
  <c r="E1489" i="4"/>
  <c r="E2246" i="4"/>
  <c r="E2168" i="4"/>
  <c r="E1617" i="4"/>
  <c r="E1944" i="4"/>
  <c r="E2273" i="4"/>
  <c r="E2394" i="4"/>
  <c r="E2254" i="4"/>
  <c r="E2068" i="4"/>
  <c r="E1919" i="4"/>
  <c r="E1490" i="4"/>
  <c r="E2140" i="4"/>
  <c r="E2252" i="4"/>
  <c r="E2492" i="4"/>
  <c r="E2429" i="4"/>
  <c r="E2502" i="4"/>
  <c r="E2503" i="4"/>
  <c r="E1869" i="4"/>
  <c r="E1520" i="4"/>
  <c r="E2216" i="4"/>
  <c r="E2053" i="4"/>
  <c r="E1625" i="4"/>
  <c r="E1795" i="4"/>
  <c r="E1849" i="4"/>
  <c r="E1818" i="4"/>
  <c r="E1971" i="4"/>
  <c r="E1126" i="4"/>
  <c r="E2023" i="4"/>
  <c r="E1854" i="4"/>
  <c r="E1768" i="4"/>
  <c r="E1428" i="4"/>
  <c r="E2094" i="4"/>
  <c r="E2204" i="4"/>
  <c r="E2438" i="4"/>
  <c r="E2403" i="4"/>
  <c r="E2284" i="4"/>
  <c r="E2418" i="4"/>
  <c r="E2389" i="4"/>
  <c r="E2508" i="4"/>
  <c r="E2166" i="4"/>
  <c r="E2141" i="4"/>
  <c r="E2474" i="4"/>
  <c r="E2099" i="4"/>
  <c r="E1743" i="4"/>
  <c r="E1656" i="4"/>
  <c r="E2280" i="4"/>
  <c r="E1984" i="4"/>
  <c r="E2088" i="4"/>
  <c r="E2327" i="4"/>
  <c r="E2227" i="4"/>
  <c r="E2339" i="4"/>
  <c r="E2149" i="4"/>
  <c r="E2482" i="4"/>
  <c r="E2395" i="4"/>
  <c r="E2181" i="4"/>
  <c r="G32" i="6"/>
  <c r="K17" i="6" s="1"/>
  <c r="E1531" i="4"/>
  <c r="E591" i="4"/>
  <c r="E1932" i="4"/>
  <c r="E2020" i="4"/>
  <c r="E868" i="4"/>
  <c r="E2151" i="4"/>
  <c r="E2294" i="4"/>
  <c r="E1953" i="4"/>
  <c r="E1872" i="4"/>
  <c r="E1283" i="4"/>
  <c r="E1344" i="4"/>
  <c r="E1194" i="4"/>
  <c r="E1862" i="4"/>
  <c r="E1465" i="4"/>
  <c r="E666" i="4"/>
  <c r="E1419" i="4"/>
  <c r="E745" i="4"/>
  <c r="E1303" i="4"/>
  <c r="E1333" i="4"/>
  <c r="E625" i="4"/>
  <c r="E798" i="4"/>
  <c r="E837" i="4"/>
  <c r="E693" i="4"/>
  <c r="E851" i="4"/>
  <c r="E786" i="4"/>
  <c r="E531" i="4"/>
  <c r="E31" i="4"/>
  <c r="E1664" i="4"/>
  <c r="E1670" i="4"/>
  <c r="E1105" i="4"/>
  <c r="E1167" i="4"/>
  <c r="E848" i="4"/>
  <c r="E1399" i="4"/>
  <c r="E1011" i="4"/>
  <c r="E688" i="4"/>
  <c r="E820" i="4"/>
  <c r="E1357" i="4"/>
  <c r="E1483" i="4"/>
  <c r="E1343" i="4"/>
  <c r="E982" i="4"/>
  <c r="E792" i="4"/>
  <c r="E468" i="4"/>
  <c r="E1299" i="4"/>
  <c r="E1785" i="4"/>
  <c r="E1000" i="4"/>
  <c r="E690" i="4"/>
  <c r="E467" i="4"/>
  <c r="E1701" i="4"/>
  <c r="E1480" i="4"/>
  <c r="E1308" i="4"/>
  <c r="E2074" i="4"/>
  <c r="E1885" i="4"/>
  <c r="E1886" i="4"/>
  <c r="E1460" i="4"/>
  <c r="E2236" i="4"/>
  <c r="E2462" i="4"/>
  <c r="E1239" i="4"/>
  <c r="E1100" i="4"/>
  <c r="E1604" i="4"/>
  <c r="E1248" i="4"/>
  <c r="E1063" i="4"/>
  <c r="E1051" i="4"/>
  <c r="E1111" i="4"/>
  <c r="E2044" i="4"/>
  <c r="E1825" i="4"/>
  <c r="E1517" i="4"/>
  <c r="E1456" i="4"/>
  <c r="E1969" i="4"/>
  <c r="E1749" i="4"/>
  <c r="E1813" i="4"/>
  <c r="E2345" i="4"/>
  <c r="E2307" i="4"/>
  <c r="E1808" i="4"/>
  <c r="E2132" i="4"/>
  <c r="E222" i="4"/>
  <c r="E2443" i="4"/>
  <c r="E963" i="4"/>
  <c r="E1122" i="4"/>
  <c r="E1626" i="4"/>
  <c r="E1484" i="4"/>
  <c r="E1124" i="4"/>
  <c r="E936" i="4"/>
  <c r="E922" i="4"/>
  <c r="E1442" i="4"/>
  <c r="E1926" i="4"/>
  <c r="E1699" i="4"/>
  <c r="E1392" i="4"/>
  <c r="E1337" i="4"/>
  <c r="E1850" i="4"/>
  <c r="E1630" i="4"/>
  <c r="E1451" i="4"/>
  <c r="E2222" i="4"/>
  <c r="E2122" i="4"/>
  <c r="E1585" i="4"/>
  <c r="E1912" i="4"/>
  <c r="E2089" i="4"/>
  <c r="E2189" i="4"/>
  <c r="E1065" i="4"/>
  <c r="E1151" i="4"/>
  <c r="E2060" i="4"/>
  <c r="E1840" i="4"/>
  <c r="E1533" i="4"/>
  <c r="E1471" i="4"/>
  <c r="E1250" i="4"/>
  <c r="E1765" i="4"/>
  <c r="E1829" i="4"/>
  <c r="E2361" i="4"/>
  <c r="E2346" i="4"/>
  <c r="E1959" i="4"/>
  <c r="E2178" i="4"/>
  <c r="E2387" i="4"/>
  <c r="E2505" i="4"/>
  <c r="E1068" i="4"/>
  <c r="E1579" i="4"/>
  <c r="E1438" i="4"/>
  <c r="E1078" i="4"/>
  <c r="E888" i="4"/>
  <c r="E874" i="4"/>
  <c r="E1395" i="4"/>
  <c r="E1879" i="4"/>
  <c r="E1651" i="4"/>
  <c r="E1025" i="4"/>
  <c r="E1289" i="4"/>
  <c r="E1796" i="4"/>
  <c r="E1575" i="4"/>
  <c r="E1404" i="4"/>
  <c r="E2175" i="4"/>
  <c r="E2051" i="4"/>
  <c r="E2255" i="4"/>
  <c r="E1665" i="4"/>
  <c r="E1889" i="4"/>
  <c r="E2450" i="4"/>
  <c r="E1937" i="4"/>
  <c r="E1718" i="4"/>
  <c r="E1553" i="4"/>
  <c r="E2314" i="4"/>
  <c r="E2270" i="4"/>
  <c r="E1744" i="4"/>
  <c r="E2070" i="4"/>
  <c r="E2468" i="4"/>
  <c r="E2071" i="4"/>
  <c r="E2315" i="4"/>
  <c r="E2138" i="4"/>
  <c r="E1983" i="4"/>
  <c r="E1554" i="4"/>
  <c r="E2202" i="4"/>
  <c r="E2312" i="4"/>
  <c r="E446" i="4"/>
  <c r="E1899" i="4"/>
  <c r="E30" i="4"/>
  <c r="E1038" i="4"/>
  <c r="E1933" i="4"/>
  <c r="E1584" i="4"/>
  <c r="E2279" i="4"/>
  <c r="E2116" i="4"/>
  <c r="E1689" i="4"/>
  <c r="E1938" i="4"/>
  <c r="E2009" i="4"/>
  <c r="E2274" i="4"/>
  <c r="E2211" i="4"/>
  <c r="E2349" i="4"/>
  <c r="E2087" i="4"/>
  <c r="E2084" i="4"/>
  <c r="E1935" i="4"/>
  <c r="E1506" i="4"/>
  <c r="E2156" i="4"/>
  <c r="E2267" i="4"/>
  <c r="E2507" i="4"/>
  <c r="E2483" i="4"/>
  <c r="E2441" i="4"/>
  <c r="E62" i="4"/>
  <c r="E2382" i="4"/>
  <c r="E2392" i="4"/>
  <c r="E2444" i="4"/>
  <c r="E2229" i="4"/>
  <c r="E2120" i="4"/>
  <c r="E2160" i="4"/>
  <c r="E1807" i="4"/>
  <c r="E1720" i="4"/>
  <c r="E2340" i="4"/>
  <c r="E2046" i="4"/>
  <c r="E2150" i="4"/>
  <c r="E2390" i="4"/>
  <c r="E2408" i="4"/>
  <c r="E2491" i="4"/>
  <c r="E2237" i="4"/>
  <c r="E2310" i="4"/>
  <c r="E2164" i="4"/>
  <c r="E2245" i="4"/>
  <c r="E2318" i="4"/>
  <c r="E2157" i="4"/>
  <c r="E2105" i="4"/>
  <c r="E1048" i="4"/>
  <c r="E2080" i="4"/>
  <c r="E1297" i="4"/>
  <c r="E2028" i="4"/>
  <c r="E903" i="4"/>
  <c r="E1406" i="4"/>
  <c r="E189" i="4"/>
  <c r="E363" i="4"/>
  <c r="E434" i="4"/>
  <c r="E517" i="4"/>
  <c r="E447" i="4"/>
  <c r="E117" i="4"/>
  <c r="E284" i="4"/>
  <c r="E416" i="4"/>
  <c r="E2329" i="4"/>
  <c r="E1877" i="4"/>
  <c r="E1693" i="4"/>
  <c r="E1723" i="4"/>
  <c r="E1096" i="4"/>
  <c r="E1211" i="4"/>
  <c r="E1069" i="4"/>
  <c r="E2143" i="4"/>
  <c r="E2278" i="4"/>
  <c r="E1945" i="4"/>
  <c r="E1864" i="4"/>
  <c r="E1275" i="4"/>
  <c r="E1328" i="4"/>
  <c r="E1178" i="4"/>
  <c r="E1216" i="4"/>
  <c r="E553" i="4"/>
  <c r="E735" i="4"/>
  <c r="E773" i="4"/>
  <c r="E622" i="4"/>
  <c r="E787" i="4"/>
  <c r="E723" i="4"/>
  <c r="E469" i="4"/>
  <c r="E1751" i="4"/>
  <c r="E1410" i="4"/>
  <c r="E578" i="4"/>
  <c r="E1411" i="4"/>
  <c r="E713" i="4"/>
  <c r="E1271" i="4"/>
  <c r="E1317" i="4"/>
  <c r="E617" i="4"/>
  <c r="E884" i="4"/>
  <c r="E1019" i="4"/>
  <c r="E1547" i="4"/>
  <c r="E1407" i="4"/>
  <c r="E1042" i="4"/>
  <c r="E856" i="4"/>
  <c r="E651" i="4"/>
  <c r="E1363" i="4"/>
  <c r="E1847" i="4"/>
  <c r="E1620" i="4"/>
  <c r="E754" i="4"/>
  <c r="E1066" i="4"/>
  <c r="E1764" i="4"/>
  <c r="E1543" i="4"/>
  <c r="E1372" i="4"/>
  <c r="E2144" i="4"/>
  <c r="E1981" i="4"/>
  <c r="E2192" i="4"/>
  <c r="E1602" i="4"/>
  <c r="E2359" i="4"/>
  <c r="E2495" i="4"/>
  <c r="E1302" i="4"/>
  <c r="E1162" i="4"/>
  <c r="E799" i="4"/>
  <c r="E1312" i="4"/>
  <c r="E1125" i="4"/>
  <c r="E1112" i="4"/>
  <c r="E1199" i="4"/>
  <c r="E809" i="4"/>
  <c r="E1888" i="4"/>
  <c r="E1581" i="4"/>
  <c r="E1518" i="4"/>
  <c r="E1298" i="4"/>
  <c r="E1820" i="4"/>
  <c r="E1884" i="4"/>
  <c r="E2409" i="4"/>
  <c r="E1552" i="4"/>
  <c r="E2037" i="4"/>
  <c r="E1779" i="4"/>
  <c r="E2383" i="4"/>
  <c r="E569" i="4"/>
  <c r="E1047" i="4"/>
  <c r="E1185" i="4"/>
  <c r="E1020" i="4"/>
  <c r="E1548" i="4"/>
  <c r="E1187" i="4"/>
  <c r="E999" i="4"/>
  <c r="E1001" i="4"/>
  <c r="E1504" i="4"/>
  <c r="E1990" i="4"/>
  <c r="E1770" i="4"/>
  <c r="E1463" i="4"/>
  <c r="E1401" i="4"/>
  <c r="E1913" i="4"/>
  <c r="E1694" i="4"/>
  <c r="E1529" i="4"/>
  <c r="E2293" i="4"/>
  <c r="E2231" i="4"/>
  <c r="E1712" i="4"/>
  <c r="E2038" i="4"/>
  <c r="E2398" i="4"/>
  <c r="E2489" i="4"/>
  <c r="E1135" i="4"/>
  <c r="E1215" i="4"/>
  <c r="E825" i="4"/>
  <c r="E1911" i="4"/>
  <c r="E1597" i="4"/>
  <c r="E1534" i="4"/>
  <c r="E1314" i="4"/>
  <c r="E1843" i="4"/>
  <c r="E1900" i="4"/>
  <c r="E2425" i="4"/>
  <c r="E1568" i="4"/>
  <c r="E2085" i="4"/>
  <c r="E1906" i="4"/>
  <c r="E2399" i="4"/>
  <c r="E995" i="4"/>
  <c r="E1137" i="4"/>
  <c r="E973" i="4"/>
  <c r="E1500" i="4"/>
  <c r="E1139" i="4"/>
  <c r="E952" i="4"/>
  <c r="E938" i="4"/>
  <c r="E1458" i="4"/>
  <c r="E1942" i="4"/>
  <c r="E1715" i="4"/>
  <c r="E1408" i="4"/>
  <c r="E1353" i="4"/>
  <c r="E1866" i="4"/>
  <c r="E1646" i="4"/>
  <c r="E1474" i="4"/>
  <c r="E2238" i="4"/>
  <c r="E2153" i="4"/>
  <c r="E1609" i="4"/>
  <c r="E1936" i="4"/>
  <c r="E2386" i="4"/>
  <c r="E1266" i="4"/>
  <c r="E1781" i="4"/>
  <c r="E1852" i="4"/>
  <c r="E2377" i="4"/>
  <c r="E2370" i="4"/>
  <c r="E1975" i="4"/>
  <c r="E2475" i="4"/>
  <c r="E2333" i="4"/>
  <c r="E1512" i="4"/>
  <c r="E2208" i="4"/>
  <c r="E2045" i="4"/>
  <c r="E1618" i="4"/>
  <c r="E1787" i="4"/>
  <c r="E2513" i="4"/>
  <c r="E1963" i="4"/>
  <c r="E430" i="4"/>
  <c r="E2015" i="4"/>
  <c r="E2011" i="4"/>
  <c r="E1655" i="4"/>
  <c r="E1235" i="4"/>
  <c r="E1896" i="4"/>
  <c r="E2001" i="4"/>
  <c r="E2073" i="4"/>
  <c r="E2415" i="4"/>
  <c r="E2368" i="4"/>
  <c r="E1365" i="4"/>
  <c r="E2396" i="4"/>
  <c r="E1998" i="4"/>
  <c r="E1570" i="4"/>
  <c r="E2218" i="4"/>
  <c r="E2328" i="4"/>
  <c r="E2118" i="4"/>
  <c r="E1915" i="4"/>
  <c r="E54" i="4"/>
  <c r="E2445" i="4"/>
  <c r="E2435" i="4"/>
  <c r="E2292" i="4"/>
  <c r="E2426" i="4"/>
  <c r="E2421" i="4"/>
  <c r="E2223" i="4"/>
  <c r="E1870" i="4"/>
  <c r="E1444" i="4"/>
  <c r="E2109" i="4"/>
  <c r="E2220" i="4"/>
  <c r="E1278" i="4"/>
  <c r="E266" i="4"/>
  <c r="E1508" i="4"/>
  <c r="E2484" i="4"/>
  <c r="E2330" i="4"/>
  <c r="E1502" i="4"/>
  <c r="E984" i="4"/>
  <c r="E946" i="4"/>
  <c r="E1086" i="4"/>
  <c r="E1587" i="4"/>
  <c r="E2313" i="4"/>
  <c r="E1861" i="4"/>
  <c r="E1685" i="4"/>
  <c r="E1675" i="4"/>
  <c r="E1089" i="4"/>
  <c r="E1195" i="4"/>
  <c r="E1041" i="4"/>
  <c r="E1114" i="4"/>
  <c r="E333" i="4"/>
  <c r="E671" i="4"/>
  <c r="E710" i="4"/>
  <c r="E558" i="4"/>
  <c r="E724" i="4"/>
  <c r="E659" i="4"/>
  <c r="E409" i="4"/>
  <c r="E2488" i="4"/>
  <c r="E2183" i="4"/>
  <c r="E1890" i="4"/>
  <c r="E1856" i="4"/>
  <c r="E1228" i="4"/>
  <c r="E1296" i="4"/>
  <c r="E1146" i="4"/>
  <c r="E1208" i="4"/>
  <c r="E537" i="4"/>
  <c r="E948" i="4"/>
  <c r="E1107" i="4"/>
  <c r="E1611" i="4"/>
  <c r="E1469" i="4"/>
  <c r="E1109" i="4"/>
  <c r="E920" i="4"/>
  <c r="E906" i="4"/>
  <c r="E1426" i="4"/>
  <c r="E1910" i="4"/>
  <c r="E1683" i="4"/>
  <c r="E1376" i="4"/>
  <c r="E1321" i="4"/>
  <c r="E1835" i="4"/>
  <c r="E1607" i="4"/>
  <c r="E1435" i="4"/>
  <c r="E2206" i="4"/>
  <c r="E2106" i="4"/>
  <c r="E1036" i="4"/>
  <c r="E1729" i="4"/>
  <c r="E2049" i="4"/>
  <c r="E1405" i="4"/>
  <c r="E1366" i="4"/>
  <c r="E1226" i="4"/>
  <c r="E863" i="4"/>
  <c r="E665" i="4"/>
  <c r="E1188" i="4"/>
  <c r="E1182" i="4"/>
  <c r="E1666" i="4"/>
  <c r="E873" i="4"/>
  <c r="E522" i="4"/>
  <c r="E1644" i="4"/>
  <c r="E1582" i="4"/>
  <c r="E1362" i="4"/>
  <c r="E1165" i="4"/>
  <c r="E1948" i="4"/>
  <c r="E2471" i="4"/>
  <c r="E1663" i="4"/>
  <c r="E2170" i="4"/>
  <c r="E1986" i="4"/>
  <c r="E2336" i="4"/>
  <c r="E633" i="4"/>
  <c r="E1106" i="4"/>
  <c r="E1246" i="4"/>
  <c r="E1108" i="4"/>
  <c r="E1612" i="4"/>
  <c r="E1256" i="4"/>
  <c r="E1071" i="4"/>
  <c r="E1057" i="4"/>
  <c r="E1143" i="4"/>
  <c r="E2052" i="4"/>
  <c r="E1833" i="4"/>
  <c r="E1525" i="4"/>
  <c r="E1464" i="4"/>
  <c r="E1977" i="4"/>
  <c r="E1757" i="4"/>
  <c r="E1821" i="4"/>
  <c r="E2353" i="4"/>
  <c r="E2338" i="4"/>
  <c r="E1943" i="4"/>
  <c r="E2163" i="4"/>
  <c r="E246" i="4"/>
  <c r="E2497" i="4"/>
  <c r="E1198" i="4"/>
  <c r="E1682" i="4"/>
  <c r="E889" i="4"/>
  <c r="E546" i="4"/>
  <c r="E1660" i="4"/>
  <c r="E1598" i="4"/>
  <c r="E1378" i="4"/>
  <c r="E1181" i="4"/>
  <c r="E1964" i="4"/>
  <c r="E1758" i="4"/>
  <c r="E1687" i="4"/>
  <c r="E2225" i="4"/>
  <c r="E2032" i="4"/>
  <c r="E2432" i="4"/>
  <c r="E1059" i="4"/>
  <c r="E1201" i="4"/>
  <c r="E1061" i="4"/>
  <c r="E1564" i="4"/>
  <c r="E1203" i="4"/>
  <c r="E1014" i="4"/>
  <c r="E1016" i="4"/>
  <c r="E1015" i="4"/>
  <c r="E2004" i="4"/>
  <c r="E1786" i="4"/>
  <c r="E1478" i="4"/>
  <c r="E1417" i="4"/>
  <c r="E1929" i="4"/>
  <c r="E1710" i="4"/>
  <c r="E1545" i="4"/>
  <c r="E2306" i="4"/>
  <c r="E2247" i="4"/>
  <c r="E1736" i="4"/>
  <c r="E2062" i="4"/>
  <c r="E2414" i="4"/>
  <c r="E2063" i="4"/>
  <c r="E1330" i="4"/>
  <c r="E1029" i="4"/>
  <c r="E1916" i="4"/>
  <c r="E2440" i="4"/>
  <c r="E1600" i="4"/>
  <c r="E2101" i="4"/>
  <c r="E1922" i="4"/>
  <c r="E2469" i="4"/>
  <c r="E1925" i="4"/>
  <c r="E1576" i="4"/>
  <c r="E2271" i="4"/>
  <c r="E2108" i="4"/>
  <c r="E1681" i="4"/>
  <c r="E1930" i="4"/>
  <c r="E1993" i="4"/>
  <c r="E2266" i="4"/>
  <c r="E2203" i="4"/>
  <c r="E2496" i="4"/>
  <c r="E2079" i="4"/>
  <c r="E2075" i="4"/>
  <c r="E1719" i="4"/>
  <c r="E1632" i="4"/>
  <c r="E2256" i="4"/>
  <c r="E1960" i="4"/>
  <c r="E2064" i="4"/>
  <c r="E2289" i="4"/>
  <c r="E2493" i="4"/>
  <c r="E254" i="4"/>
  <c r="E2125" i="4"/>
  <c r="E2458" i="4"/>
  <c r="E2224" i="4"/>
  <c r="E2061" i="4"/>
  <c r="E1633" i="4"/>
  <c r="E1803" i="4"/>
  <c r="E1857" i="4"/>
  <c r="E1826" i="4"/>
  <c r="E1979" i="4"/>
  <c r="E2158" i="4"/>
  <c r="E2031" i="4"/>
  <c r="E2514" i="4"/>
  <c r="E1859" i="4"/>
  <c r="E2456" i="4"/>
  <c r="E78" i="4"/>
  <c r="E1766" i="4"/>
  <c r="E2286" i="4"/>
  <c r="E2100" i="4"/>
  <c r="E1951" i="4"/>
  <c r="E1522" i="4"/>
  <c r="E2171" i="4"/>
  <c r="E2283" i="4"/>
  <c r="E1153" i="4"/>
  <c r="E717" i="4"/>
  <c r="E949" i="4"/>
  <c r="E187" i="4"/>
  <c r="E962" i="4"/>
  <c r="E2316" i="4"/>
  <c r="E746" i="4"/>
  <c r="E115" i="4"/>
  <c r="E891" i="4"/>
  <c r="E132" i="4"/>
  <c r="AK5" i="5"/>
  <c r="AS5" i="5" s="1"/>
  <c r="AD5" i="5"/>
  <c r="AL5" i="5" s="1"/>
  <c r="AH5" i="5"/>
  <c r="AP5" i="5" s="1"/>
  <c r="E4452" i="4"/>
  <c r="E3997" i="4"/>
  <c r="E4563" i="4"/>
  <c r="E4438" i="4"/>
  <c r="E3967" i="4"/>
  <c r="E5008" i="4"/>
  <c r="E4647" i="4"/>
  <c r="E3778" i="4"/>
  <c r="E4235" i="4"/>
  <c r="E4297" i="4"/>
  <c r="E4257" i="4"/>
  <c r="E4435" i="4"/>
  <c r="E4845" i="4"/>
  <c r="E4709" i="4"/>
  <c r="E4459" i="4"/>
  <c r="E4397" i="4"/>
  <c r="E4736" i="4"/>
  <c r="E4941" i="4"/>
  <c r="E4465" i="4"/>
  <c r="E3906" i="4"/>
  <c r="E3774" i="4"/>
  <c r="E3875" i="4"/>
  <c r="E3841" i="4"/>
  <c r="E4326" i="4"/>
  <c r="E4214" i="4"/>
  <c r="E4118" i="4"/>
  <c r="E4022" i="4"/>
  <c r="E2683" i="4"/>
  <c r="E3398" i="4"/>
  <c r="E3677" i="4"/>
  <c r="E3064" i="4"/>
  <c r="E3596" i="4"/>
  <c r="E2915" i="4"/>
  <c r="E3553" i="4"/>
  <c r="E2927" i="4"/>
  <c r="E3433" i="4"/>
  <c r="E3747" i="4"/>
  <c r="E3083" i="4"/>
  <c r="E2779" i="4"/>
  <c r="E4598" i="4"/>
  <c r="E5010" i="4"/>
  <c r="E4203" i="4"/>
  <c r="E4376" i="4"/>
  <c r="E2952" i="4"/>
  <c r="E4850" i="4"/>
  <c r="E4479" i="4"/>
  <c r="E3325" i="4"/>
  <c r="E4700" i="4"/>
  <c r="E4402" i="4"/>
  <c r="E4641" i="4"/>
  <c r="E5011" i="4"/>
  <c r="E4811" i="4"/>
  <c r="E4693" i="4"/>
  <c r="E4395" i="4"/>
  <c r="E2736" i="4"/>
  <c r="E4652" i="4"/>
  <c r="E4911" i="4"/>
  <c r="E4520" i="4"/>
  <c r="E4061" i="4"/>
  <c r="E3640" i="4"/>
  <c r="E3602" i="4"/>
  <c r="E3908" i="4"/>
  <c r="E2661" i="4"/>
  <c r="E4246" i="4"/>
  <c r="E4134" i="4"/>
  <c r="E4038" i="4"/>
  <c r="E3529" i="4"/>
  <c r="E3738" i="4"/>
  <c r="E3869" i="4"/>
  <c r="E3431" i="4"/>
  <c r="E2589" i="4"/>
  <c r="E3404" i="4"/>
  <c r="E3745" i="4"/>
  <c r="E3425" i="4"/>
  <c r="E3654" i="4"/>
  <c r="E3318" i="4"/>
  <c r="E3811" i="4"/>
  <c r="E3555" i="4"/>
  <c r="E2949" i="4"/>
  <c r="E3299" i="4"/>
  <c r="E2963" i="4"/>
  <c r="E3448" i="4"/>
  <c r="E3128" i="4"/>
  <c r="E2649" i="4"/>
  <c r="E2941" i="4"/>
  <c r="E3354" i="4"/>
  <c r="E3035" i="4"/>
  <c r="E2517" i="4"/>
  <c r="E3044" i="4"/>
  <c r="E2724" i="4"/>
  <c r="E2567" i="4"/>
  <c r="E4388" i="4"/>
  <c r="E4543" i="4"/>
  <c r="E3904" i="4"/>
  <c r="E4686" i="4"/>
  <c r="E4581" i="4"/>
  <c r="E4340" i="4"/>
  <c r="E2854" i="4"/>
  <c r="E4918" i="4"/>
  <c r="E4638" i="4"/>
  <c r="E3988" i="4"/>
  <c r="E4938" i="4"/>
  <c r="E4608" i="4"/>
  <c r="E4389" i="4"/>
  <c r="E3775" i="4"/>
  <c r="E4940" i="4"/>
  <c r="E4315" i="4"/>
  <c r="E4909" i="4"/>
  <c r="E4771" i="4"/>
  <c r="E4707" i="4"/>
  <c r="E4619" i="4"/>
  <c r="E4083" i="4"/>
  <c r="E4381" i="4"/>
  <c r="E4724" i="4"/>
  <c r="E5001" i="4"/>
  <c r="E4817" i="4"/>
  <c r="E4462" i="4"/>
  <c r="E4045" i="4"/>
  <c r="E2534" i="4"/>
  <c r="E3626" i="4"/>
  <c r="E3939" i="4"/>
  <c r="E3414" i="4"/>
  <c r="E3838" i="4"/>
  <c r="E3013" i="4"/>
  <c r="E4292" i="4"/>
  <c r="E4228" i="4"/>
  <c r="E4164" i="4"/>
  <c r="E4100" i="4"/>
  <c r="E4052" i="4"/>
  <c r="E3874" i="4"/>
  <c r="E3388" i="4"/>
  <c r="E3892" i="4"/>
  <c r="E3043" i="4"/>
  <c r="E3673" i="4"/>
  <c r="E3301" i="4"/>
  <c r="E3646" i="4"/>
  <c r="E3183" i="4"/>
  <c r="E3675" i="4"/>
  <c r="E2943" i="4"/>
  <c r="E3227" i="4"/>
  <c r="E2856" i="4"/>
  <c r="E2617" i="4"/>
  <c r="E3248" i="4"/>
  <c r="E2981" i="4"/>
  <c r="E2626" i="4"/>
  <c r="E3213" i="4"/>
  <c r="E2938" i="4"/>
  <c r="E3410" i="4"/>
  <c r="E3099" i="4"/>
  <c r="E2785" i="4"/>
  <c r="E2639" i="4"/>
  <c r="E2693" i="4"/>
  <c r="E2972" i="4"/>
  <c r="E2716" i="4"/>
  <c r="E2726" i="4"/>
  <c r="E2650" i="4"/>
  <c r="E2627" i="4"/>
  <c r="E4263" i="4"/>
  <c r="E4480" i="4"/>
  <c r="E4524" i="4"/>
  <c r="E4197" i="4"/>
  <c r="E3647" i="4"/>
  <c r="E3839" i="4"/>
  <c r="E4684" i="4"/>
  <c r="E4399" i="4"/>
  <c r="E3973" i="4"/>
  <c r="E4928" i="4"/>
  <c r="E4601" i="4"/>
  <c r="E4386" i="4"/>
  <c r="E3762" i="4"/>
  <c r="E4846" i="4"/>
  <c r="E4969" i="4"/>
  <c r="E4835" i="4"/>
  <c r="E4737" i="4"/>
  <c r="E4673" i="4"/>
  <c r="E4443" i="4"/>
  <c r="E3907" i="4"/>
  <c r="E3855" i="4"/>
  <c r="E4716" i="4"/>
  <c r="E4997" i="4"/>
  <c r="E4873" i="4"/>
  <c r="E4548" i="4"/>
  <c r="E4385" i="4"/>
  <c r="E4157" i="4"/>
  <c r="E4010" i="4"/>
  <c r="E3591" i="4"/>
  <c r="E3977" i="4"/>
  <c r="E3719" i="4"/>
  <c r="E2688" i="4"/>
  <c r="E3835" i="4"/>
  <c r="E2995" i="4"/>
  <c r="E4274" i="4"/>
  <c r="E4210" i="4"/>
  <c r="E4146" i="4"/>
  <c r="E4098" i="4"/>
  <c r="E4050" i="4"/>
  <c r="E3871" i="4"/>
  <c r="E2928" i="4"/>
  <c r="E3822" i="4"/>
  <c r="E3543" i="4"/>
  <c r="E2633" i="4"/>
  <c r="E3789" i="4"/>
  <c r="E3597" i="4"/>
  <c r="E3303" i="4"/>
  <c r="E2815" i="4"/>
  <c r="E3708" i="4"/>
  <c r="E3366" i="4"/>
  <c r="E2902" i="4"/>
  <c r="E3601" i="4"/>
  <c r="E3537" i="4"/>
  <c r="E3006" i="4"/>
  <c r="E3501" i="4"/>
  <c r="E2998" i="4"/>
  <c r="E3795" i="4"/>
  <c r="E3415" i="4"/>
  <c r="E3071" i="4"/>
  <c r="E2628" i="4"/>
  <c r="E3347" i="4"/>
  <c r="E3219" i="4"/>
  <c r="E3091" i="4"/>
  <c r="E2849" i="4"/>
  <c r="E2673" i="4"/>
  <c r="E3496" i="4"/>
  <c r="E3368" i="4"/>
  <c r="E3240" i="4"/>
  <c r="E3112" i="4"/>
  <c r="E2911" i="4"/>
  <c r="E2758" i="4"/>
  <c r="E2549" i="4"/>
  <c r="E3002" i="4"/>
  <c r="E2831" i="4"/>
  <c r="E3466" i="4"/>
  <c r="E3338" i="4"/>
  <c r="E3210" i="4"/>
  <c r="E3029" i="4"/>
  <c r="E2855" i="4"/>
  <c r="E2705" i="4"/>
  <c r="E2878" i="4"/>
  <c r="E2674" i="4"/>
  <c r="E3092" i="4"/>
  <c r="E2964" i="4"/>
  <c r="E2772" i="4"/>
  <c r="E2660" i="4"/>
  <c r="E2718" i="4"/>
  <c r="E2619" i="4"/>
  <c r="E4468" i="4"/>
  <c r="E4311" i="4"/>
  <c r="E3824" i="4"/>
  <c r="E4630" i="4"/>
  <c r="E4161" i="4"/>
  <c r="E4984" i="4"/>
  <c r="E4742" i="4"/>
  <c r="E4464" i="4"/>
  <c r="E4629" i="4"/>
  <c r="E4521" i="4"/>
  <c r="E4364" i="4"/>
  <c r="E4181" i="4"/>
  <c r="E3610" i="4"/>
  <c r="E4193" i="4"/>
  <c r="E4978" i="4"/>
  <c r="E4750" i="4"/>
  <c r="E3903" i="4"/>
  <c r="E4558" i="4"/>
  <c r="E4396" i="4"/>
  <c r="E4239" i="4"/>
  <c r="E4111" i="4"/>
  <c r="E3958" i="4"/>
  <c r="E3568" i="4"/>
  <c r="E2985" i="4"/>
  <c r="E4545" i="4"/>
  <c r="E4996" i="4"/>
  <c r="E4916" i="4"/>
  <c r="E4838" i="4"/>
  <c r="E4754" i="4"/>
  <c r="E4672" i="4"/>
  <c r="E3810" i="4"/>
  <c r="E4592" i="4"/>
  <c r="E4534" i="4"/>
  <c r="E4501" i="4"/>
  <c r="E4437" i="4"/>
  <c r="E4379" i="4"/>
  <c r="E4347" i="4"/>
  <c r="E4249" i="4"/>
  <c r="E4121" i="4"/>
  <c r="E3980" i="4"/>
  <c r="E3704" i="4"/>
  <c r="E3113" i="4"/>
  <c r="E4493" i="4"/>
  <c r="E5002" i="4"/>
  <c r="E4920" i="4"/>
  <c r="E4836" i="4"/>
  <c r="E4756" i="4"/>
  <c r="E4678" i="4"/>
  <c r="E4219" i="4"/>
  <c r="E4999" i="4"/>
  <c r="E4965" i="4"/>
  <c r="E4935" i="4"/>
  <c r="E4901" i="4"/>
  <c r="E4865" i="4"/>
  <c r="E4831" i="4"/>
  <c r="E4801" i="4"/>
  <c r="E4783" i="4"/>
  <c r="E4767" i="4"/>
  <c r="E4751" i="4"/>
  <c r="E4735" i="4"/>
  <c r="E4719" i="4"/>
  <c r="E4703" i="4"/>
  <c r="E4687" i="4"/>
  <c r="E4671" i="4"/>
  <c r="E4655" i="4"/>
  <c r="E4603" i="4"/>
  <c r="E4504" i="4"/>
  <c r="E4440" i="4"/>
  <c r="E4307" i="4"/>
  <c r="E4179" i="4"/>
  <c r="E4051" i="4"/>
  <c r="E3891" i="4"/>
  <c r="E3583" i="4"/>
  <c r="E3143" i="4"/>
  <c r="E4535" i="4"/>
  <c r="E4341" i="4"/>
  <c r="E3698" i="4"/>
  <c r="E4952" i="4"/>
  <c r="E4872" i="4"/>
  <c r="E4792" i="4"/>
  <c r="E4706" i="4"/>
  <c r="E4570" i="4"/>
  <c r="E4299" i="4"/>
  <c r="E3535" i="4"/>
  <c r="E4995" i="4"/>
  <c r="E4963" i="4"/>
  <c r="E4931" i="4"/>
  <c r="E4899" i="4"/>
  <c r="E4871" i="4"/>
  <c r="E4841" i="4"/>
  <c r="E4809" i="4"/>
  <c r="E4605" i="4"/>
  <c r="E4541" i="4"/>
  <c r="E4509" i="4"/>
  <c r="E4446" i="4"/>
  <c r="E4382" i="4"/>
  <c r="E4350" i="4"/>
  <c r="E4269" i="4"/>
  <c r="E4141" i="4"/>
  <c r="E4013" i="4"/>
  <c r="E3833" i="4"/>
  <c r="E3465" i="4"/>
  <c r="E4002" i="4"/>
  <c r="E3937" i="4"/>
  <c r="E3870" i="4"/>
  <c r="E3726" i="4"/>
  <c r="E3576" i="4"/>
  <c r="E3350" i="4"/>
  <c r="E2922" i="4"/>
  <c r="E2624" i="4"/>
  <c r="E3969" i="4"/>
  <c r="E3890" i="4"/>
  <c r="E3823" i="4"/>
  <c r="E3703" i="4"/>
  <c r="E3538" i="4"/>
  <c r="E3334" i="4"/>
  <c r="E3080" i="4"/>
  <c r="E2615" i="4"/>
  <c r="E3966" i="4"/>
  <c r="E3899" i="4"/>
  <c r="E3832" i="4"/>
  <c r="E3702" i="4"/>
  <c r="E3544" i="4"/>
  <c r="E3389" i="4"/>
  <c r="E2979" i="4"/>
  <c r="E4336" i="4"/>
  <c r="E4320" i="4"/>
  <c r="E4304" i="4"/>
  <c r="E4288" i="4"/>
  <c r="E4272" i="4"/>
  <c r="E4256" i="4"/>
  <c r="E4240" i="4"/>
  <c r="E4224" i="4"/>
  <c r="E4208" i="4"/>
  <c r="E4192" i="4"/>
  <c r="E4176" i="4"/>
  <c r="E4160" i="4"/>
  <c r="E4144" i="4"/>
  <c r="E4128" i="4"/>
  <c r="E4112" i="4"/>
  <c r="E4096" i="4"/>
  <c r="E4080" i="4"/>
  <c r="E4064" i="4"/>
  <c r="E4048" i="4"/>
  <c r="E4032" i="4"/>
  <c r="E4016" i="4"/>
  <c r="E3935" i="4"/>
  <c r="E3868" i="4"/>
  <c r="E3760" i="4"/>
  <c r="E3615" i="4"/>
  <c r="E3308" i="4"/>
  <c r="E2912" i="4"/>
  <c r="E4000" i="4"/>
  <c r="E3953" i="4"/>
  <c r="E3886" i="4"/>
  <c r="E3818" i="4"/>
  <c r="E3690" i="4"/>
  <c r="E3527" i="4"/>
  <c r="E3319" i="4"/>
  <c r="E3074" i="4"/>
  <c r="E2606" i="4"/>
  <c r="E3909" i="4"/>
  <c r="E3845" i="4"/>
  <c r="E3781" i="4"/>
  <c r="E3717" i="4"/>
  <c r="E3653" i="4"/>
  <c r="E3589" i="4"/>
  <c r="E3495" i="4"/>
  <c r="E3393" i="4"/>
  <c r="E3278" i="4"/>
  <c r="E3166" i="4"/>
  <c r="E3003" i="4"/>
  <c r="E2794" i="4"/>
  <c r="E2723" i="4"/>
  <c r="E2520" i="4"/>
  <c r="E3764" i="4"/>
  <c r="E3700" i="4"/>
  <c r="E3636" i="4"/>
  <c r="E3572" i="4"/>
  <c r="E3468" i="4"/>
  <c r="E3357" i="4"/>
  <c r="E3263" i="4"/>
  <c r="E3137" i="4"/>
  <c r="E3031" i="4"/>
  <c r="E2791" i="4"/>
  <c r="E2623" i="4"/>
  <c r="E3785" i="4"/>
  <c r="E3721" i="4"/>
  <c r="E3657" i="4"/>
  <c r="E3593" i="4"/>
  <c r="E3525" i="4"/>
  <c r="E3489" i="4"/>
  <c r="E3374" i="4"/>
  <c r="E3284" i="4"/>
  <c r="E3158" i="4"/>
  <c r="E3000" i="4"/>
  <c r="E2874" i="4"/>
  <c r="E2687" i="4"/>
  <c r="E3630" i="4"/>
  <c r="E3566" i="4"/>
  <c r="E3497" i="4"/>
  <c r="E3382" i="4"/>
  <c r="E3292" i="4"/>
  <c r="E3151" i="4"/>
  <c r="E2992" i="4"/>
  <c r="E2851" i="4"/>
  <c r="E2610" i="4"/>
  <c r="E3787" i="4"/>
  <c r="E3723" i="4"/>
  <c r="E3659" i="4"/>
  <c r="E3595" i="4"/>
  <c r="E3505" i="4"/>
  <c r="E3390" i="4"/>
  <c r="E3300" i="4"/>
  <c r="E3172" i="4"/>
  <c r="E3022" i="4"/>
  <c r="E2781" i="4"/>
  <c r="E2600" i="4"/>
  <c r="E3467" i="4"/>
  <c r="E3403" i="4"/>
  <c r="E3339" i="4"/>
  <c r="E3275" i="4"/>
  <c r="E3211" i="4"/>
  <c r="E3147" i="4"/>
  <c r="E3088" i="4"/>
  <c r="E3021" i="4"/>
  <c r="E2954" i="4"/>
  <c r="E2839" i="4"/>
  <c r="E2762" i="4"/>
  <c r="E2668" i="4"/>
  <c r="E2566" i="4"/>
  <c r="E3488" i="4"/>
  <c r="E3424" i="4"/>
  <c r="E3360" i="4"/>
  <c r="E3296" i="4"/>
  <c r="E3232" i="4"/>
  <c r="E3168" i="4"/>
  <c r="E3109" i="4"/>
  <c r="E3042" i="4"/>
  <c r="E2975" i="4"/>
  <c r="E2901" i="4"/>
  <c r="E2821" i="4"/>
  <c r="E2737" i="4"/>
  <c r="E2616" i="4"/>
  <c r="E2532" i="4"/>
  <c r="E3197" i="4"/>
  <c r="E3133" i="4"/>
  <c r="E3066" i="4"/>
  <c r="E2999" i="4"/>
  <c r="E2904" i="4"/>
  <c r="E2824" i="4"/>
  <c r="E2730" i="4"/>
  <c r="E2554" i="4"/>
  <c r="E3458" i="4"/>
  <c r="E3394" i="4"/>
  <c r="E3330" i="4"/>
  <c r="E3266" i="4"/>
  <c r="E3202" i="4"/>
  <c r="E3138" i="4"/>
  <c r="E3093" i="4"/>
  <c r="E3026" i="4"/>
  <c r="E2959" i="4"/>
  <c r="E2848" i="4"/>
  <c r="E2771" i="4"/>
  <c r="E2701" i="4"/>
  <c r="E2629" i="4"/>
  <c r="E2875" i="4"/>
  <c r="E2808" i="4"/>
  <c r="E2741" i="4"/>
  <c r="E2662" i="4"/>
  <c r="E2573" i="4"/>
  <c r="E3084" i="4"/>
  <c r="E3020" i="4"/>
  <c r="E2956" i="4"/>
  <c r="E2892" i="4"/>
  <c r="E2828" i="4"/>
  <c r="E2764" i="4"/>
  <c r="E2700" i="4"/>
  <c r="E2657" i="4"/>
  <c r="E2578" i="4"/>
  <c r="E2710" i="4"/>
  <c r="E2644" i="4"/>
  <c r="E2538" i="4"/>
  <c r="E2543" i="4"/>
  <c r="E2675" i="4"/>
  <c r="E2611" i="4"/>
  <c r="E2547" i="4"/>
  <c r="E3784" i="4"/>
  <c r="E3560" i="4"/>
  <c r="E4934" i="4"/>
  <c r="E3919" i="4"/>
  <c r="E4502" i="4"/>
  <c r="E4101" i="4"/>
  <c r="E4506" i="4"/>
  <c r="E4780" i="4"/>
  <c r="E4583" i="4"/>
  <c r="E4031" i="4"/>
  <c r="E4337" i="4"/>
  <c r="E4617" i="4"/>
  <c r="E4359" i="4"/>
  <c r="E3827" i="4"/>
  <c r="E4950" i="4"/>
  <c r="E4977" i="4"/>
  <c r="E4791" i="4"/>
  <c r="E4725" i="4"/>
  <c r="E4562" i="4"/>
  <c r="E4227" i="4"/>
  <c r="E3409" i="4"/>
  <c r="E4822" i="4"/>
  <c r="E5005" i="4"/>
  <c r="E4881" i="4"/>
  <c r="E4564" i="4"/>
  <c r="E4189" i="4"/>
  <c r="E3879" i="4"/>
  <c r="E3132" i="4"/>
  <c r="E3942" i="4"/>
  <c r="E2826" i="4"/>
  <c r="E3423" i="4"/>
  <c r="E4310" i="4"/>
  <c r="E4230" i="4"/>
  <c r="E4150" i="4"/>
  <c r="E4070" i="4"/>
  <c r="E3979" i="4"/>
  <c r="E3107" i="4"/>
  <c r="E3592" i="4"/>
  <c r="E3805" i="4"/>
  <c r="E3613" i="4"/>
  <c r="E2930" i="4"/>
  <c r="E3724" i="4"/>
  <c r="E3185" i="4"/>
  <c r="E2742" i="4"/>
  <c r="E3617" i="4"/>
  <c r="E3061" i="4"/>
  <c r="E3531" i="4"/>
  <c r="E3199" i="4"/>
  <c r="E2809" i="4"/>
  <c r="E3619" i="4"/>
  <c r="E3220" i="4"/>
  <c r="E3491" i="4"/>
  <c r="E3171" i="4"/>
  <c r="E2870" i="4"/>
  <c r="E3512" i="4"/>
  <c r="E3384" i="4"/>
  <c r="E3192" i="4"/>
  <c r="E2917" i="4"/>
  <c r="E3157" i="4"/>
  <c r="E2845" i="4"/>
  <c r="E3482" i="4"/>
  <c r="E3162" i="4"/>
  <c r="E2886" i="4"/>
  <c r="E2648" i="4"/>
  <c r="E2707" i="4"/>
  <c r="E2916" i="4"/>
  <c r="E2599" i="4"/>
  <c r="E2571" i="4"/>
  <c r="E3518" i="4"/>
  <c r="E4484" i="4"/>
  <c r="E5000" i="4"/>
  <c r="E4496" i="4"/>
  <c r="E4645" i="4"/>
  <c r="E4372" i="4"/>
  <c r="E4085" i="4"/>
  <c r="E4305" i="4"/>
  <c r="E4770" i="4"/>
  <c r="E4574" i="4"/>
  <c r="E4143" i="4"/>
  <c r="E4577" i="4"/>
  <c r="E4776" i="4"/>
  <c r="E4510" i="4"/>
  <c r="E4281" i="4"/>
  <c r="E3228" i="4"/>
  <c r="E4774" i="4"/>
  <c r="E4973" i="4"/>
  <c r="E4875" i="4"/>
  <c r="E4789" i="4"/>
  <c r="E4723" i="4"/>
  <c r="E4659" i="4"/>
  <c r="E4211" i="4"/>
  <c r="E3746" i="4"/>
  <c r="E4974" i="4"/>
  <c r="E4634" i="4"/>
  <c r="E4937" i="4"/>
  <c r="E4877" i="4"/>
  <c r="E4517" i="4"/>
  <c r="E4301" i="4"/>
  <c r="E3618" i="4"/>
  <c r="E3758" i="4"/>
  <c r="E3985" i="4"/>
  <c r="E3735" i="4"/>
  <c r="E3111" i="4"/>
  <c r="E3905" i="4"/>
  <c r="E3413" i="4"/>
  <c r="E4308" i="4"/>
  <c r="E4244" i="4"/>
  <c r="E4180" i="4"/>
  <c r="E4116" i="4"/>
  <c r="E4084" i="4"/>
  <c r="E4020" i="4"/>
  <c r="E3792" i="4"/>
  <c r="E2946" i="4"/>
  <c r="E3959" i="4"/>
  <c r="E3722" i="4"/>
  <c r="E3375" i="4"/>
  <c r="E2704" i="4"/>
  <c r="E3861" i="4"/>
  <c r="E3733" i="4"/>
  <c r="E3541" i="4"/>
  <c r="E3198" i="4"/>
  <c r="E2745" i="4"/>
  <c r="E3716" i="4"/>
  <c r="E3588" i="4"/>
  <c r="E3289" i="4"/>
  <c r="E2679" i="4"/>
  <c r="E3609" i="4"/>
  <c r="E3412" i="4"/>
  <c r="E3055" i="4"/>
  <c r="E3582" i="4"/>
  <c r="E3309" i="4"/>
  <c r="E2879" i="4"/>
  <c r="E3739" i="4"/>
  <c r="E3317" i="4"/>
  <c r="E2637" i="4"/>
  <c r="E3291" i="4"/>
  <c r="E3094" i="4"/>
  <c r="E2677" i="4"/>
  <c r="E3312" i="4"/>
  <c r="E2914" i="4"/>
  <c r="E3474" i="4"/>
  <c r="E3218" i="4"/>
  <c r="E2865" i="4"/>
  <c r="E2552" i="4"/>
  <c r="E4087" i="4"/>
  <c r="E3840" i="4"/>
  <c r="E4992" i="4"/>
  <c r="E4676" i="4"/>
  <c r="E4636" i="4"/>
  <c r="E4422" i="4"/>
  <c r="E4069" i="4"/>
  <c r="E4273" i="4"/>
  <c r="E4760" i="4"/>
  <c r="E4631" i="4"/>
  <c r="E4255" i="4"/>
  <c r="E4561" i="4"/>
  <c r="E4680" i="4"/>
  <c r="E4450" i="4"/>
  <c r="E4265" i="4"/>
  <c r="E4527" i="4"/>
  <c r="E4688" i="4"/>
  <c r="E4939" i="4"/>
  <c r="E4785" i="4"/>
  <c r="E4721" i="4"/>
  <c r="E4657" i="4"/>
  <c r="E4323" i="4"/>
  <c r="E3688" i="4"/>
  <c r="E4361" i="4"/>
  <c r="E4802" i="4"/>
  <c r="E3682" i="4"/>
  <c r="E4903" i="4"/>
  <c r="E4813" i="4"/>
  <c r="E4512" i="4"/>
  <c r="E4285" i="4"/>
  <c r="E3599" i="4"/>
  <c r="E3873" i="4"/>
  <c r="E3086" i="4"/>
  <c r="E3936" i="4"/>
  <c r="E3358" i="4"/>
  <c r="E3974" i="4"/>
  <c r="E3718" i="4"/>
  <c r="E2528" i="4"/>
  <c r="E4290" i="4"/>
  <c r="E4226" i="4"/>
  <c r="E4178" i="4"/>
  <c r="E4130" i="4"/>
  <c r="E4066" i="4"/>
  <c r="E3938" i="4"/>
  <c r="E3332" i="4"/>
  <c r="E4008" i="4"/>
  <c r="E3706" i="4"/>
  <c r="E3164" i="4"/>
  <c r="E3853" i="4"/>
  <c r="E3725" i="4"/>
  <c r="E3508" i="4"/>
  <c r="E3009" i="4"/>
  <c r="E2533" i="4"/>
  <c r="E3644" i="4"/>
  <c r="E3276" i="4"/>
  <c r="E2632" i="4"/>
  <c r="E3665" i="4"/>
  <c r="E3493" i="4"/>
  <c r="E3174" i="4"/>
  <c r="E3638" i="4"/>
  <c r="E3305" i="4"/>
  <c r="E2858" i="4"/>
  <c r="E3731" i="4"/>
  <c r="E3539" i="4"/>
  <c r="E3188" i="4"/>
  <c r="E2899" i="4"/>
  <c r="E3411" i="4"/>
  <c r="E3283" i="4"/>
  <c r="E3155" i="4"/>
  <c r="E3024" i="4"/>
  <c r="E2957" i="4"/>
  <c r="E2769" i="4"/>
  <c r="E2588" i="4"/>
  <c r="E3432" i="4"/>
  <c r="E3304" i="4"/>
  <c r="E3176" i="4"/>
  <c r="E3045" i="4"/>
  <c r="E2978" i="4"/>
  <c r="E2838" i="4"/>
  <c r="E2621" i="4"/>
  <c r="E3141" i="4"/>
  <c r="E2935" i="4"/>
  <c r="E2751" i="4"/>
  <c r="E2565" i="4"/>
  <c r="E3402" i="4"/>
  <c r="E3274" i="4"/>
  <c r="E3146" i="4"/>
  <c r="E3096" i="4"/>
  <c r="E2962" i="4"/>
  <c r="E2775" i="4"/>
  <c r="E2634" i="4"/>
  <c r="E2811" i="4"/>
  <c r="E2744" i="4"/>
  <c r="E2597" i="4"/>
  <c r="E3028" i="4"/>
  <c r="E2900" i="4"/>
  <c r="E2836" i="4"/>
  <c r="E2708" i="4"/>
  <c r="E2585" i="4"/>
  <c r="E2647" i="4"/>
  <c r="E2545" i="4"/>
  <c r="E2551" i="4"/>
  <c r="D2516" i="4"/>
  <c r="F2516" i="4" s="1"/>
  <c r="C15" i="4"/>
  <c r="E2555" i="4"/>
  <c r="E4151" i="4"/>
  <c r="E4135" i="4"/>
  <c r="E3913" i="4"/>
  <c r="E4423" i="4"/>
  <c r="E4614" i="4"/>
  <c r="E4600" i="4"/>
  <c r="E3632" i="4"/>
  <c r="E4902" i="4"/>
  <c r="E4820" i="4"/>
  <c r="E4666" i="4"/>
  <c r="E4091" i="4"/>
  <c r="E3695" i="4"/>
  <c r="E4565" i="4"/>
  <c r="E4473" i="4"/>
  <c r="E4409" i="4"/>
  <c r="E4309" i="4"/>
  <c r="E4053" i="4"/>
  <c r="E3894" i="4"/>
  <c r="E4609" i="4"/>
  <c r="E4458" i="4"/>
  <c r="E3768" i="4"/>
  <c r="E4900" i="4"/>
  <c r="E4826" i="4"/>
  <c r="E4674" i="4"/>
  <c r="E4622" i="4"/>
  <c r="E4460" i="4"/>
  <c r="E4327" i="4"/>
  <c r="E4023" i="4"/>
  <c r="E4183" i="4"/>
  <c r="E3897" i="4"/>
  <c r="E3634" i="4"/>
  <c r="E3714" i="4"/>
  <c r="E4295" i="4"/>
  <c r="E4391" i="4"/>
  <c r="E4559" i="4"/>
  <c r="E4552" i="4"/>
  <c r="E4129" i="4"/>
  <c r="E3337" i="4"/>
  <c r="E4972" i="4"/>
  <c r="E4894" i="4"/>
  <c r="E4810" i="4"/>
  <c r="E4734" i="4"/>
  <c r="E4656" i="4"/>
  <c r="E4448" i="4"/>
  <c r="E4043" i="4"/>
  <c r="E3648" i="4"/>
  <c r="E4620" i="4"/>
  <c r="E4556" i="4"/>
  <c r="E4516" i="4"/>
  <c r="E4470" i="4"/>
  <c r="E4406" i="4"/>
  <c r="E4360" i="4"/>
  <c r="E4293" i="4"/>
  <c r="E4165" i="4"/>
  <c r="E4037" i="4"/>
  <c r="E3854" i="4"/>
  <c r="E3570" i="4"/>
  <c r="E4593" i="4"/>
  <c r="E4442" i="4"/>
  <c r="E4145" i="4"/>
  <c r="E3711" i="4"/>
  <c r="E4968" i="4"/>
  <c r="E4890" i="4"/>
  <c r="E4816" i="4"/>
  <c r="E4740" i="4"/>
  <c r="E4664" i="4"/>
  <c r="E3863" i="4"/>
  <c r="E4615" i="4"/>
  <c r="E4551" i="4"/>
  <c r="E4447" i="4"/>
  <c r="E4383" i="4"/>
  <c r="E4223" i="4"/>
  <c r="E4095" i="4"/>
  <c r="E3918" i="4"/>
  <c r="E3532" i="4"/>
  <c r="E2903" i="4"/>
  <c r="E4530" i="4"/>
  <c r="E4986" i="4"/>
  <c r="E4906" i="4"/>
  <c r="E4828" i="4"/>
  <c r="E4744" i="4"/>
  <c r="E4662" i="4"/>
  <c r="E4649" i="4"/>
  <c r="E4585" i="4"/>
  <c r="E4531" i="4"/>
  <c r="E4498" i="4"/>
  <c r="E4434" i="4"/>
  <c r="E4375" i="4"/>
  <c r="E4343" i="4"/>
  <c r="E4233" i="4"/>
  <c r="E4105" i="4"/>
  <c r="E3916" i="4"/>
  <c r="E3624" i="4"/>
  <c r="E2983" i="4"/>
  <c r="E4477" i="4"/>
  <c r="E4990" i="4"/>
  <c r="E4910" i="4"/>
  <c r="E4824" i="4"/>
  <c r="E4748" i="4"/>
  <c r="E4668" i="4"/>
  <c r="E4059" i="4"/>
  <c r="E4993" i="4"/>
  <c r="E4961" i="4"/>
  <c r="E4929" i="4"/>
  <c r="E4897" i="4"/>
  <c r="E4861" i="4"/>
  <c r="E4827" i="4"/>
  <c r="E4799" i="4"/>
  <c r="E4781" i="4"/>
  <c r="E4765" i="4"/>
  <c r="E4749" i="4"/>
  <c r="E4733" i="4"/>
  <c r="E4717" i="4"/>
  <c r="E4701" i="4"/>
  <c r="E4685" i="4"/>
  <c r="E4669" i="4"/>
  <c r="E4653" i="4"/>
  <c r="E4594" i="4"/>
  <c r="E4491" i="4"/>
  <c r="E4427" i="4"/>
  <c r="E4291" i="4"/>
  <c r="E4163" i="4"/>
  <c r="E4035" i="4"/>
  <c r="E3858" i="4"/>
  <c r="E3546" i="4"/>
  <c r="E3019" i="4"/>
  <c r="E4511" i="4"/>
  <c r="E4289" i="4"/>
  <c r="E2918" i="4"/>
  <c r="E4942" i="4"/>
  <c r="E4864" i="4"/>
  <c r="E4778" i="4"/>
  <c r="E4692" i="4"/>
  <c r="E4554" i="4"/>
  <c r="E4267" i="4"/>
  <c r="E3453" i="4"/>
  <c r="E4991" i="4"/>
  <c r="E4959" i="4"/>
  <c r="E4927" i="4"/>
  <c r="E4895" i="4"/>
  <c r="E4867" i="4"/>
  <c r="E4837" i="4"/>
  <c r="E4805" i="4"/>
  <c r="E4596" i="4"/>
  <c r="E4536" i="4"/>
  <c r="E4497" i="4"/>
  <c r="E4433" i="4"/>
  <c r="E4378" i="4"/>
  <c r="E4346" i="4"/>
  <c r="E4253" i="4"/>
  <c r="E4125" i="4"/>
  <c r="E3999" i="4"/>
  <c r="E3800" i="4"/>
  <c r="E3405" i="4"/>
  <c r="E3994" i="4"/>
  <c r="E3934" i="4"/>
  <c r="E3867" i="4"/>
  <c r="E3710" i="4"/>
  <c r="E3562" i="4"/>
  <c r="E3294" i="4"/>
  <c r="E2906" i="4"/>
  <c r="E2574" i="4"/>
  <c r="E3954" i="4"/>
  <c r="E3887" i="4"/>
  <c r="E3815" i="4"/>
  <c r="E3687" i="4"/>
  <c r="E3530" i="4"/>
  <c r="E3311" i="4"/>
  <c r="E3062" i="4"/>
  <c r="E2530" i="4"/>
  <c r="E3963" i="4"/>
  <c r="E3896" i="4"/>
  <c r="E3814" i="4"/>
  <c r="E3686" i="4"/>
  <c r="E3521" i="4"/>
  <c r="E3345" i="4"/>
  <c r="E2896" i="4"/>
  <c r="E4334" i="4"/>
  <c r="E4318" i="4"/>
  <c r="E4302" i="4"/>
  <c r="E4286" i="4"/>
  <c r="E4270" i="4"/>
  <c r="E4254" i="4"/>
  <c r="E4238" i="4"/>
  <c r="E4222" i="4"/>
  <c r="E4206" i="4"/>
  <c r="E4190" i="4"/>
  <c r="E4174" i="4"/>
  <c r="E4158" i="4"/>
  <c r="E4142" i="4"/>
  <c r="E4126" i="4"/>
  <c r="E4110" i="4"/>
  <c r="E4094" i="4"/>
  <c r="E4078" i="4"/>
  <c r="E4062" i="4"/>
  <c r="E4046" i="4"/>
  <c r="E4030" i="4"/>
  <c r="E4011" i="4"/>
  <c r="E3932" i="4"/>
  <c r="E3865" i="4"/>
  <c r="E3744" i="4"/>
  <c r="E3600" i="4"/>
  <c r="E3286" i="4"/>
  <c r="E2857" i="4"/>
  <c r="E3992" i="4"/>
  <c r="E3950" i="4"/>
  <c r="E3883" i="4"/>
  <c r="E3802" i="4"/>
  <c r="E3674" i="4"/>
  <c r="E3511" i="4"/>
  <c r="E3295" i="4"/>
  <c r="E3056" i="4"/>
  <c r="E3965" i="4"/>
  <c r="E3901" i="4"/>
  <c r="E3837" i="4"/>
  <c r="E3773" i="4"/>
  <c r="E3709" i="4"/>
  <c r="E3645" i="4"/>
  <c r="E3581" i="4"/>
  <c r="E3470" i="4"/>
  <c r="E3380" i="4"/>
  <c r="E3269" i="4"/>
  <c r="E3150" i="4"/>
  <c r="E2997" i="4"/>
  <c r="E2787" i="4"/>
  <c r="E2715" i="4"/>
  <c r="E3820" i="4"/>
  <c r="E3756" i="4"/>
  <c r="E3692" i="4"/>
  <c r="E3628" i="4"/>
  <c r="E3564" i="4"/>
  <c r="E3455" i="4"/>
  <c r="E3353" i="4"/>
  <c r="E3249" i="4"/>
  <c r="E3121" i="4"/>
  <c r="E2982" i="4"/>
  <c r="E2784" i="4"/>
  <c r="E2614" i="4"/>
  <c r="E3777" i="4"/>
  <c r="E3713" i="4"/>
  <c r="E3649" i="4"/>
  <c r="E3585" i="4"/>
  <c r="E3522" i="4"/>
  <c r="E3476" i="4"/>
  <c r="E3365" i="4"/>
  <c r="E3271" i="4"/>
  <c r="E3142" i="4"/>
  <c r="E2994" i="4"/>
  <c r="E2867" i="4"/>
  <c r="E2678" i="4"/>
  <c r="E3622" i="4"/>
  <c r="E3558" i="4"/>
  <c r="E3484" i="4"/>
  <c r="E3373" i="4"/>
  <c r="E3279" i="4"/>
  <c r="E3135" i="4"/>
  <c r="E2986" i="4"/>
  <c r="E2837" i="4"/>
  <c r="E2569" i="4"/>
  <c r="E3779" i="4"/>
  <c r="E3715" i="4"/>
  <c r="E3651" i="4"/>
  <c r="E3587" i="4"/>
  <c r="E3492" i="4"/>
  <c r="E3381" i="4"/>
  <c r="E3287" i="4"/>
  <c r="E3156" i="4"/>
  <c r="E3016" i="4"/>
  <c r="E2767" i="4"/>
  <c r="E2590" i="4"/>
  <c r="E3459" i="4"/>
  <c r="E3395" i="4"/>
  <c r="E3331" i="4"/>
  <c r="E3267" i="4"/>
  <c r="E3203" i="4"/>
  <c r="E3139" i="4"/>
  <c r="E3085" i="4"/>
  <c r="E3018" i="4"/>
  <c r="E2951" i="4"/>
  <c r="E2835" i="4"/>
  <c r="E2755" i="4"/>
  <c r="E2645" i="4"/>
  <c r="E2561" i="4"/>
  <c r="E3480" i="4"/>
  <c r="E3416" i="4"/>
  <c r="E3352" i="4"/>
  <c r="E3288" i="4"/>
  <c r="E3224" i="4"/>
  <c r="E3160" i="4"/>
  <c r="E3106" i="4"/>
  <c r="E3039" i="4"/>
  <c r="E2929" i="4"/>
  <c r="E2894" i="4"/>
  <c r="E2807" i="4"/>
  <c r="E2714" i="4"/>
  <c r="E2612" i="4"/>
  <c r="E3253" i="4"/>
  <c r="E3189" i="4"/>
  <c r="E3125" i="4"/>
  <c r="E3063" i="4"/>
  <c r="E2953" i="4"/>
  <c r="E2897" i="4"/>
  <c r="E2810" i="4"/>
  <c r="E2722" i="4"/>
  <c r="E2548" i="4"/>
  <c r="E3450" i="4"/>
  <c r="E3386" i="4"/>
  <c r="E3322" i="4"/>
  <c r="E3258" i="4"/>
  <c r="E3194" i="4"/>
  <c r="E3130" i="4"/>
  <c r="E3090" i="4"/>
  <c r="E3023" i="4"/>
  <c r="E2913" i="4"/>
  <c r="E2834" i="4"/>
  <c r="E2754" i="4"/>
  <c r="E2697" i="4"/>
  <c r="E2620" i="4"/>
  <c r="E2872" i="4"/>
  <c r="E2805" i="4"/>
  <c r="E2738" i="4"/>
  <c r="E2658" i="4"/>
  <c r="E2564" i="4"/>
  <c r="E3076" i="4"/>
  <c r="E3012" i="4"/>
  <c r="E2948" i="4"/>
  <c r="E2884" i="4"/>
  <c r="E2820" i="4"/>
  <c r="E2756" i="4"/>
  <c r="E2692" i="4"/>
  <c r="E2654" i="4"/>
  <c r="E2560" i="4"/>
  <c r="E2702" i="4"/>
  <c r="E2641" i="4"/>
  <c r="E2525" i="4"/>
  <c r="E2535" i="4"/>
  <c r="E2667" i="4"/>
  <c r="E2603" i="4"/>
  <c r="E2539" i="4"/>
  <c r="E4455" i="4"/>
  <c r="E4119" i="4"/>
  <c r="E4854" i="4"/>
  <c r="E3127" i="4"/>
  <c r="E4229" i="4"/>
  <c r="E4349" i="4"/>
  <c r="E4702" i="4"/>
  <c r="E4287" i="4"/>
  <c r="E4946" i="4"/>
  <c r="E4515" i="4"/>
  <c r="E4041" i="4"/>
  <c r="E4784" i="4"/>
  <c r="E4913" i="4"/>
  <c r="E4773" i="4"/>
  <c r="E4661" i="4"/>
  <c r="E3759" i="4"/>
  <c r="E4904" i="4"/>
  <c r="E4975" i="4"/>
  <c r="E4628" i="4"/>
  <c r="E4317" i="4"/>
  <c r="E2778" i="4"/>
  <c r="E2757" i="4"/>
  <c r="E3436" i="4"/>
  <c r="E3608" i="4"/>
  <c r="E4278" i="4"/>
  <c r="E4182" i="4"/>
  <c r="E4086" i="4"/>
  <c r="E3680" i="4"/>
  <c r="E3828" i="4"/>
  <c r="E3933" i="4"/>
  <c r="E3329" i="4"/>
  <c r="E3788" i="4"/>
  <c r="E3293" i="4"/>
  <c r="E3681" i="4"/>
  <c r="E3206" i="4"/>
  <c r="E3590" i="4"/>
  <c r="E3053" i="4"/>
  <c r="E3683" i="4"/>
  <c r="E3441" i="4"/>
  <c r="E2665" i="4"/>
  <c r="E3235" i="4"/>
  <c r="E2783" i="4"/>
  <c r="E3221" i="4"/>
  <c r="E2768" i="4"/>
  <c r="E3290" i="4"/>
  <c r="E2968" i="4"/>
  <c r="E2817" i="4"/>
  <c r="E2980" i="4"/>
  <c r="E2666" i="4"/>
  <c r="E2653" i="4"/>
  <c r="E2570" i="4"/>
  <c r="E4215" i="4"/>
  <c r="E4321" i="4"/>
  <c r="E4762" i="4"/>
  <c r="E4529" i="4"/>
  <c r="E4213" i="4"/>
  <c r="E4490" i="4"/>
  <c r="E4842" i="4"/>
  <c r="E4476" i="4"/>
  <c r="E3720" i="4"/>
  <c r="E4858" i="4"/>
  <c r="E4544" i="4"/>
  <c r="E4153" i="4"/>
  <c r="E3983" i="4"/>
  <c r="E4698" i="4"/>
  <c r="E4839" i="4"/>
  <c r="E4755" i="4"/>
  <c r="E4691" i="4"/>
  <c r="E4456" i="4"/>
  <c r="E3349" i="4"/>
  <c r="E4812" i="4"/>
  <c r="E4971" i="4"/>
  <c r="E4621" i="4"/>
  <c r="E4358" i="4"/>
  <c r="E3396" i="4"/>
  <c r="E3605" i="4"/>
  <c r="E3316" i="4"/>
  <c r="E2905" i="4"/>
  <c r="E2556" i="4"/>
  <c r="E3652" i="4"/>
  <c r="E3391" i="4"/>
  <c r="E2909" i="4"/>
  <c r="E3737" i="4"/>
  <c r="E3545" i="4"/>
  <c r="E3190" i="4"/>
  <c r="E2703" i="4"/>
  <c r="E3420" i="4"/>
  <c r="E2795" i="4"/>
  <c r="E3611" i="4"/>
  <c r="E3204" i="4"/>
  <c r="E3419" i="4"/>
  <c r="E2960" i="4"/>
  <c r="E3504" i="4"/>
  <c r="E3184" i="4"/>
  <c r="E2842" i="4"/>
  <c r="E3149" i="4"/>
  <c r="E2841" i="4"/>
  <c r="E3346" i="4"/>
  <c r="E2965" i="4"/>
  <c r="E2814" i="4"/>
  <c r="E2601" i="4"/>
  <c r="E2908" i="4"/>
  <c r="E2663" i="4"/>
  <c r="E2521" i="4"/>
  <c r="E4407" i="4"/>
  <c r="E2670" i="4"/>
  <c r="E3848" i="4"/>
  <c r="E4752" i="4"/>
  <c r="E4572" i="4"/>
  <c r="E4325" i="4"/>
  <c r="E2699" i="4"/>
  <c r="E4834" i="4"/>
  <c r="E4463" i="4"/>
  <c r="E3116" i="4"/>
  <c r="E4766" i="4"/>
  <c r="E4539" i="4"/>
  <c r="E4137" i="4"/>
  <c r="E5012" i="4"/>
  <c r="E4283" i="4"/>
  <c r="E4869" i="4"/>
  <c r="E4753" i="4"/>
  <c r="E4610" i="4"/>
  <c r="E4067" i="4"/>
  <c r="E4584" i="4"/>
  <c r="E4586" i="4"/>
  <c r="E4967" i="4"/>
  <c r="E4843" i="4"/>
  <c r="E4449" i="4"/>
  <c r="E4029" i="4"/>
  <c r="E3940" i="4"/>
  <c r="E3372" i="4"/>
  <c r="E3826" i="4"/>
  <c r="E3095" i="4"/>
  <c r="E3559" i="4"/>
  <c r="E4306" i="4"/>
  <c r="E4242" i="4"/>
  <c r="E4162" i="4"/>
  <c r="E4082" i="4"/>
  <c r="E4018" i="4"/>
  <c r="E3650" i="4"/>
  <c r="E3956" i="4"/>
  <c r="E3341" i="4"/>
  <c r="E3917" i="4"/>
  <c r="E3661" i="4"/>
  <c r="E3397" i="4"/>
  <c r="E2731" i="4"/>
  <c r="E3580" i="4"/>
  <c r="E3153" i="4"/>
  <c r="E3793" i="4"/>
  <c r="E3297" i="4"/>
  <c r="E2695" i="4"/>
  <c r="E3407" i="4"/>
  <c r="E2774" i="4"/>
  <c r="E3667" i="4"/>
  <c r="E3313" i="4"/>
  <c r="E3475" i="4"/>
  <c r="E3205" i="4"/>
  <c r="E4071" i="4"/>
  <c r="E4055" i="4"/>
  <c r="E2871" i="4"/>
  <c r="E4167" i="4"/>
  <c r="E3281" i="4"/>
  <c r="E4471" i="4"/>
  <c r="E4519" i="4"/>
  <c r="E4097" i="4"/>
  <c r="E3244" i="4"/>
  <c r="E4964" i="4"/>
  <c r="E4884" i="4"/>
  <c r="E4800" i="4"/>
  <c r="E4726" i="4"/>
  <c r="E4611" i="4"/>
  <c r="E4416" i="4"/>
  <c r="E4027" i="4"/>
  <c r="E3575" i="4"/>
  <c r="E4613" i="4"/>
  <c r="E4549" i="4"/>
  <c r="E4513" i="4"/>
  <c r="E4457" i="4"/>
  <c r="E4393" i="4"/>
  <c r="E4356" i="4"/>
  <c r="E4277" i="4"/>
  <c r="E4149" i="4"/>
  <c r="E4021" i="4"/>
  <c r="E3807" i="4"/>
  <c r="E3359" i="4"/>
  <c r="E4568" i="4"/>
  <c r="E4426" i="4"/>
  <c r="E4113" i="4"/>
  <c r="E3487" i="4"/>
  <c r="E4958" i="4"/>
  <c r="E4880" i="4"/>
  <c r="E4806" i="4"/>
  <c r="E4732" i="4"/>
  <c r="E4654" i="4"/>
  <c r="E3830" i="4"/>
  <c r="E4606" i="4"/>
  <c r="E4542" i="4"/>
  <c r="E4444" i="4"/>
  <c r="E4335" i="4"/>
  <c r="E4207" i="4"/>
  <c r="E4079" i="4"/>
  <c r="E3852" i="4"/>
  <c r="E3477" i="4"/>
  <c r="E2798" i="4"/>
  <c r="E4514" i="4"/>
  <c r="E4976" i="4"/>
  <c r="E4896" i="4"/>
  <c r="E4818" i="4"/>
  <c r="E4730" i="4"/>
  <c r="E4650" i="4"/>
  <c r="E4640" i="4"/>
  <c r="E4576" i="4"/>
  <c r="E4526" i="4"/>
  <c r="E4485" i="4"/>
  <c r="E4421" i="4"/>
  <c r="E4371" i="4"/>
  <c r="E4339" i="4"/>
  <c r="E4217" i="4"/>
  <c r="E4089" i="4"/>
  <c r="E3900" i="4"/>
  <c r="E3584" i="4"/>
  <c r="E2889" i="4"/>
  <c r="E4429" i="4"/>
  <c r="E4980" i="4"/>
  <c r="E4898" i="4"/>
  <c r="E4814" i="4"/>
  <c r="E4738" i="4"/>
  <c r="E4658" i="4"/>
  <c r="E3975" i="4"/>
  <c r="E4989" i="4"/>
  <c r="E4957" i="4"/>
  <c r="E4925" i="4"/>
  <c r="E4893" i="4"/>
  <c r="E4857" i="4"/>
  <c r="E4823" i="4"/>
  <c r="E4797" i="4"/>
  <c r="E4779" i="4"/>
  <c r="E4763" i="4"/>
  <c r="E4747" i="4"/>
  <c r="E4731" i="4"/>
  <c r="E4715" i="4"/>
  <c r="E4699" i="4"/>
  <c r="E4683" i="4"/>
  <c r="E4667" i="4"/>
  <c r="E4651" i="4"/>
  <c r="E4587" i="4"/>
  <c r="E4488" i="4"/>
  <c r="E4424" i="4"/>
  <c r="E4275" i="4"/>
  <c r="E4147" i="4"/>
  <c r="E4019" i="4"/>
  <c r="E3851" i="4"/>
  <c r="E3524" i="4"/>
  <c r="E2973" i="4"/>
  <c r="E4461" i="4"/>
  <c r="E4209" i="4"/>
  <c r="E5014" i="4"/>
  <c r="E4932" i="4"/>
  <c r="E4852" i="4"/>
  <c r="E4768" i="4"/>
  <c r="E4682" i="4"/>
  <c r="E4499" i="4"/>
  <c r="E4187" i="4"/>
  <c r="E3161" i="4"/>
  <c r="E4987" i="4"/>
  <c r="E4953" i="4"/>
  <c r="E4923" i="4"/>
  <c r="E4891" i="4"/>
  <c r="E4863" i="4"/>
  <c r="E4833" i="4"/>
  <c r="E4787" i="4"/>
  <c r="E4589" i="4"/>
  <c r="E4533" i="4"/>
  <c r="E4494" i="4"/>
  <c r="E4430" i="4"/>
  <c r="E4374" i="4"/>
  <c r="E4342" i="4"/>
  <c r="E4237" i="4"/>
  <c r="E4109" i="4"/>
  <c r="E3955" i="4"/>
  <c r="E3743" i="4"/>
  <c r="E3255" i="4"/>
  <c r="E3986" i="4"/>
  <c r="E3931" i="4"/>
  <c r="E3864" i="4"/>
  <c r="E3694" i="4"/>
  <c r="E3533" i="4"/>
  <c r="E3270" i="4"/>
  <c r="E2850" i="4"/>
  <c r="E2542" i="4"/>
  <c r="E3951" i="4"/>
  <c r="E3884" i="4"/>
  <c r="E3799" i="4"/>
  <c r="E3671" i="4"/>
  <c r="E3523" i="4"/>
  <c r="E3277" i="4"/>
  <c r="E3046" i="4"/>
  <c r="E4014" i="4"/>
  <c r="E3960" i="4"/>
  <c r="E3850" i="4"/>
  <c r="E3798" i="4"/>
  <c r="E3670" i="4"/>
  <c r="E3503" i="4"/>
  <c r="E3321" i="4"/>
  <c r="E2861" i="4"/>
  <c r="E4332" i="4"/>
  <c r="E4316" i="4"/>
  <c r="E4300" i="4"/>
  <c r="E4284" i="4"/>
  <c r="E4268" i="4"/>
  <c r="E4252" i="4"/>
  <c r="E4236" i="4"/>
  <c r="E4220" i="4"/>
  <c r="E4204" i="4"/>
  <c r="E4188" i="4"/>
  <c r="E4172" i="4"/>
  <c r="E4156" i="4"/>
  <c r="E4140" i="4"/>
  <c r="E4124" i="4"/>
  <c r="E4108" i="4"/>
  <c r="E4092" i="4"/>
  <c r="E4076" i="4"/>
  <c r="E4060" i="4"/>
  <c r="E4044" i="4"/>
  <c r="E4028" i="4"/>
  <c r="E4003" i="4"/>
  <c r="E3929" i="4"/>
  <c r="E3862" i="4"/>
  <c r="E3728" i="4"/>
  <c r="E3586" i="4"/>
  <c r="E3207" i="4"/>
  <c r="E2840" i="4"/>
  <c r="E3984" i="4"/>
  <c r="E3947" i="4"/>
  <c r="E3880" i="4"/>
  <c r="E3786" i="4"/>
  <c r="E3656" i="4"/>
  <c r="E3500" i="4"/>
  <c r="E3285" i="4"/>
  <c r="E3040" i="4"/>
  <c r="E3957" i="4"/>
  <c r="E3893" i="4"/>
  <c r="E3829" i="4"/>
  <c r="E3765" i="4"/>
  <c r="E3701" i="4"/>
  <c r="E3637" i="4"/>
  <c r="E3573" i="4"/>
  <c r="E3461" i="4"/>
  <c r="E3367" i="4"/>
  <c r="E3265" i="4"/>
  <c r="E3134" i="4"/>
  <c r="E2991" i="4"/>
  <c r="E2773" i="4"/>
  <c r="E2664" i="4"/>
  <c r="E3812" i="4"/>
  <c r="E3748" i="4"/>
  <c r="E3684" i="4"/>
  <c r="E3620" i="4"/>
  <c r="E3556" i="4"/>
  <c r="E3430" i="4"/>
  <c r="E3340" i="4"/>
  <c r="E3233" i="4"/>
  <c r="E3110" i="4"/>
  <c r="E2976" i="4"/>
  <c r="E2770" i="4"/>
  <c r="E2604" i="4"/>
  <c r="E3769" i="4"/>
  <c r="E3705" i="4"/>
  <c r="E3641" i="4"/>
  <c r="E3577" i="4"/>
  <c r="E3519" i="4"/>
  <c r="E3463" i="4"/>
  <c r="E3361" i="4"/>
  <c r="E3254" i="4"/>
  <c r="E3126" i="4"/>
  <c r="E2945" i="4"/>
  <c r="E2853" i="4"/>
  <c r="E2594" i="4"/>
  <c r="E3614" i="4"/>
  <c r="E3550" i="4"/>
  <c r="E3471" i="4"/>
  <c r="E3369" i="4"/>
  <c r="E3247" i="4"/>
  <c r="E3119" i="4"/>
  <c r="E2937" i="4"/>
  <c r="E2830" i="4"/>
  <c r="E2558" i="4"/>
  <c r="E3771" i="4"/>
  <c r="E3707" i="4"/>
  <c r="E3643" i="4"/>
  <c r="E3579" i="4"/>
  <c r="E3479" i="4"/>
  <c r="E3377" i="4"/>
  <c r="E3262" i="4"/>
  <c r="E3140" i="4"/>
  <c r="E3010" i="4"/>
  <c r="E2760" i="4"/>
  <c r="E2568" i="4"/>
  <c r="E3451" i="4"/>
  <c r="E3387" i="4"/>
  <c r="E3323" i="4"/>
  <c r="E3259" i="4"/>
  <c r="E3195" i="4"/>
  <c r="E3131" i="4"/>
  <c r="E3082" i="4"/>
  <c r="E3015" i="4"/>
  <c r="E2898" i="4"/>
  <c r="E2818" i="4"/>
  <c r="E2734" i="4"/>
  <c r="E2640" i="4"/>
  <c r="E2544" i="4"/>
  <c r="E3472" i="4"/>
  <c r="E3408" i="4"/>
  <c r="E3344" i="4"/>
  <c r="E3280" i="4"/>
  <c r="E3216" i="4"/>
  <c r="E3152" i="4"/>
  <c r="E3103" i="4"/>
  <c r="E2993" i="4"/>
  <c r="E2926" i="4"/>
  <c r="E2887" i="4"/>
  <c r="E2800" i="4"/>
  <c r="E2706" i="4"/>
  <c r="E2607" i="4"/>
  <c r="E3245" i="4"/>
  <c r="E3181" i="4"/>
  <c r="E3117" i="4"/>
  <c r="E3017" i="4"/>
  <c r="E2950" i="4"/>
  <c r="E2890" i="4"/>
  <c r="E2803" i="4"/>
  <c r="E2689" i="4"/>
  <c r="E3506" i="4"/>
  <c r="E3442" i="4"/>
  <c r="E3378" i="4"/>
  <c r="E3314" i="4"/>
  <c r="E3250" i="4"/>
  <c r="E3186" i="4"/>
  <c r="E3122" i="4"/>
  <c r="E3087" i="4"/>
  <c r="E2977" i="4"/>
  <c r="E2910" i="4"/>
  <c r="E2827" i="4"/>
  <c r="E2733" i="4"/>
  <c r="E2680" i="4"/>
  <c r="E2586" i="4"/>
  <c r="E2869" i="4"/>
  <c r="E2802" i="4"/>
  <c r="E2735" i="4"/>
  <c r="E2646" i="4"/>
  <c r="E2550" i="4"/>
  <c r="E3068" i="4"/>
  <c r="E3004" i="4"/>
  <c r="E2940" i="4"/>
  <c r="E2876" i="4"/>
  <c r="E2812" i="4"/>
  <c r="E2748" i="4"/>
  <c r="E2684" i="4"/>
  <c r="E2608" i="4"/>
  <c r="E2553" i="4"/>
  <c r="E2694" i="4"/>
  <c r="E2638" i="4"/>
  <c r="E2591" i="4"/>
  <c r="E2527" i="4"/>
  <c r="E2659" i="4"/>
  <c r="E2595" i="4"/>
  <c r="E2531" i="4"/>
  <c r="E3462" i="4"/>
  <c r="E4345" i="4"/>
  <c r="E4696" i="4"/>
  <c r="E4532" i="4"/>
  <c r="E3679" i="4"/>
  <c r="E4926" i="4"/>
  <c r="E4415" i="4"/>
  <c r="E4616" i="4"/>
  <c r="E4786" i="4"/>
  <c r="E4466" i="4"/>
  <c r="E3260" i="4"/>
  <c r="E4708" i="4"/>
  <c r="E4879" i="4"/>
  <c r="E4757" i="4"/>
  <c r="E4677" i="4"/>
  <c r="E4099" i="4"/>
  <c r="E4012" i="4"/>
  <c r="E4419" i="4"/>
  <c r="E4851" i="4"/>
  <c r="E4401" i="4"/>
  <c r="E3639" i="4"/>
  <c r="E3452" i="4"/>
  <c r="E3751" i="4"/>
  <c r="E3990" i="4"/>
  <c r="E3196" i="4"/>
  <c r="E4262" i="4"/>
  <c r="E4166" i="4"/>
  <c r="E4054" i="4"/>
  <c r="E3920" i="4"/>
  <c r="E3962" i="4"/>
  <c r="E3191" i="4"/>
  <c r="E3741" i="4"/>
  <c r="E3214" i="4"/>
  <c r="E3660" i="4"/>
  <c r="E3049" i="4"/>
  <c r="E3310" i="4"/>
  <c r="E3326" i="4"/>
  <c r="E3427" i="4"/>
  <c r="E3097" i="4"/>
  <c r="E2682" i="4"/>
  <c r="E3256" i="4"/>
  <c r="E3051" i="4"/>
  <c r="E2859" i="4"/>
  <c r="E3075" i="4"/>
  <c r="E2625" i="4"/>
  <c r="E3226" i="4"/>
  <c r="E2792" i="4"/>
  <c r="E2750" i="4"/>
  <c r="E3108" i="4"/>
  <c r="E2788" i="4"/>
  <c r="E2529" i="4"/>
  <c r="E4404" i="4"/>
  <c r="E3007" i="4"/>
  <c r="E4844" i="4"/>
  <c r="E3846" i="4"/>
  <c r="E4425" i="4"/>
  <c r="E3927" i="4"/>
  <c r="E3888" i="4"/>
  <c r="E4694" i="4"/>
  <c r="E4412" i="4"/>
  <c r="E3268" i="4"/>
  <c r="E4690" i="4"/>
  <c r="E4453" i="4"/>
  <c r="E4025" i="4"/>
  <c r="E4856" i="4"/>
  <c r="E4943" i="4"/>
  <c r="E4807" i="4"/>
  <c r="E4739" i="4"/>
  <c r="E4675" i="4"/>
  <c r="E4392" i="4"/>
  <c r="E2541" i="4"/>
  <c r="E4892" i="4"/>
  <c r="E3912" i="4"/>
  <c r="E4847" i="4"/>
  <c r="E4398" i="4"/>
  <c r="E3866" i="4"/>
  <c r="E3943" i="4"/>
  <c r="E3101" i="4"/>
  <c r="E3872" i="4"/>
  <c r="E2712" i="4"/>
  <c r="E3734" i="4"/>
  <c r="E4324" i="4"/>
  <c r="E4260" i="4"/>
  <c r="E4196" i="4"/>
  <c r="E4132" i="4"/>
  <c r="E4068" i="4"/>
  <c r="E3971" i="4"/>
  <c r="E3664" i="4"/>
  <c r="E2609" i="4"/>
  <c r="E3825" i="4"/>
  <c r="E3578" i="4"/>
  <c r="E3177" i="4"/>
  <c r="E3797" i="4"/>
  <c r="E3669" i="4"/>
  <c r="E3406" i="4"/>
  <c r="E3058" i="4"/>
  <c r="E3780" i="4"/>
  <c r="E3485" i="4"/>
  <c r="E3169" i="4"/>
  <c r="E3801" i="4"/>
  <c r="E3502" i="4"/>
  <c r="E2895" i="4"/>
  <c r="E3509" i="4"/>
  <c r="E3047" i="4"/>
  <c r="E3803" i="4"/>
  <c r="E3428" i="4"/>
  <c r="E3483" i="4"/>
  <c r="E3163" i="4"/>
  <c r="E2776" i="4"/>
  <c r="E3376" i="4"/>
  <c r="E3048" i="4"/>
  <c r="E2576" i="4"/>
  <c r="E3005" i="4"/>
  <c r="E2581" i="4"/>
  <c r="E3154" i="4"/>
  <c r="E2709" i="4"/>
  <c r="E2747" i="4"/>
  <c r="E3036" i="4"/>
  <c r="E2780" i="4"/>
  <c r="E2563" i="4"/>
  <c r="E4607" i="4"/>
  <c r="E2596" i="4"/>
  <c r="E4912" i="4"/>
  <c r="E4139" i="4"/>
  <c r="E4486" i="4"/>
  <c r="E3910" i="4"/>
  <c r="E4988" i="4"/>
  <c r="E4251" i="4"/>
  <c r="E4127" i="4"/>
  <c r="E5006" i="4"/>
  <c r="E4075" i="4"/>
  <c r="E4351" i="4"/>
  <c r="E3148" i="4"/>
  <c r="E4764" i="4"/>
  <c r="E4905" i="4"/>
  <c r="E4769" i="4"/>
  <c r="E4689" i="4"/>
  <c r="E4195" i="4"/>
  <c r="E3257" i="4"/>
  <c r="E4962" i="4"/>
  <c r="E4387" i="4"/>
  <c r="E4933" i="4"/>
  <c r="E4612" i="4"/>
  <c r="E4354" i="4"/>
  <c r="E3849" i="4"/>
  <c r="E3742" i="4"/>
  <c r="E2696" i="4"/>
  <c r="E3552" i="4"/>
  <c r="E3902" i="4"/>
  <c r="E3401" i="4"/>
  <c r="E4322" i="4"/>
  <c r="E4258" i="4"/>
  <c r="E4194" i="4"/>
  <c r="E4114" i="4"/>
  <c r="E4034" i="4"/>
  <c r="E3776" i="4"/>
  <c r="E3889" i="4"/>
  <c r="E3182" i="4"/>
  <c r="E3772" i="4"/>
  <c r="E3481" i="4"/>
  <c r="E3037" i="4"/>
  <c r="E3729" i="4"/>
  <c r="E3399" i="4"/>
  <c r="E2888" i="4"/>
  <c r="E3574" i="4"/>
  <c r="E3167" i="4"/>
  <c r="E3603" i="4"/>
  <c r="E3069" i="4"/>
  <c r="E3857" i="4"/>
  <c r="E3727" i="4"/>
  <c r="E4199" i="4"/>
  <c r="E4646" i="4"/>
  <c r="E4436" i="4"/>
  <c r="E4639" i="4"/>
  <c r="E4575" i="4"/>
  <c r="E4582" i="4"/>
  <c r="E3930" i="4"/>
  <c r="E4039" i="4"/>
  <c r="E4487" i="4"/>
  <c r="E4420" i="4"/>
  <c r="E4377" i="4"/>
  <c r="E4065" i="4"/>
  <c r="E3001" i="4"/>
  <c r="E4954" i="4"/>
  <c r="E4874" i="4"/>
  <c r="E4790" i="4"/>
  <c r="E4714" i="4"/>
  <c r="E4595" i="4"/>
  <c r="E4384" i="4"/>
  <c r="E3989" i="4"/>
  <c r="E3486" i="4"/>
  <c r="E4604" i="4"/>
  <c r="E4540" i="4"/>
  <c r="E4508" i="4"/>
  <c r="E4454" i="4"/>
  <c r="E4390" i="4"/>
  <c r="E4352" i="4"/>
  <c r="E4261" i="4"/>
  <c r="E4133" i="4"/>
  <c r="E3996" i="4"/>
  <c r="E3794" i="4"/>
  <c r="E3034" i="4"/>
  <c r="E4538" i="4"/>
  <c r="E4410" i="4"/>
  <c r="E4081" i="4"/>
  <c r="E3129" i="4"/>
  <c r="E4948" i="4"/>
  <c r="E4870" i="4"/>
  <c r="E4796" i="4"/>
  <c r="E4722" i="4"/>
  <c r="E4643" i="4"/>
  <c r="E3515" i="4"/>
  <c r="E4599" i="4"/>
  <c r="E4495" i="4"/>
  <c r="E4431" i="4"/>
  <c r="E4319" i="4"/>
  <c r="E4191" i="4"/>
  <c r="E4063" i="4"/>
  <c r="E3836" i="4"/>
  <c r="E3449" i="4"/>
  <c r="E4648" i="4"/>
  <c r="E4394" i="4"/>
  <c r="E4966" i="4"/>
  <c r="E4886" i="4"/>
  <c r="E4808" i="4"/>
  <c r="E4720" i="4"/>
  <c r="E4483" i="4"/>
  <c r="E4633" i="4"/>
  <c r="E4569" i="4"/>
  <c r="E4523" i="4"/>
  <c r="E4482" i="4"/>
  <c r="E4418" i="4"/>
  <c r="E4367" i="4"/>
  <c r="E4329" i="4"/>
  <c r="E4201" i="4"/>
  <c r="E4073" i="4"/>
  <c r="E3860" i="4"/>
  <c r="E3383" i="4"/>
  <c r="E2847" i="4"/>
  <c r="E4373" i="4"/>
  <c r="E4970" i="4"/>
  <c r="E4888" i="4"/>
  <c r="E4804" i="4"/>
  <c r="E4728" i="4"/>
  <c r="E4618" i="4"/>
  <c r="E3554" i="4"/>
  <c r="E4985" i="4"/>
  <c r="E4955" i="4"/>
  <c r="E4921" i="4"/>
  <c r="E4887" i="4"/>
  <c r="E4853" i="4"/>
  <c r="E4819" i="4"/>
  <c r="E4795" i="4"/>
  <c r="E4777" i="4"/>
  <c r="E4761" i="4"/>
  <c r="E4745" i="4"/>
  <c r="E4729" i="4"/>
  <c r="E4713" i="4"/>
  <c r="E4697" i="4"/>
  <c r="E4681" i="4"/>
  <c r="E4665" i="4"/>
  <c r="E4642" i="4"/>
  <c r="E4578" i="4"/>
  <c r="E4475" i="4"/>
  <c r="E4411" i="4"/>
  <c r="E4259" i="4"/>
  <c r="E4131" i="4"/>
  <c r="E4007" i="4"/>
  <c r="E3842" i="4"/>
  <c r="E3473" i="4"/>
  <c r="E2934" i="4"/>
  <c r="E4445" i="4"/>
  <c r="E4177" i="4"/>
  <c r="E5004" i="4"/>
  <c r="E4922" i="4"/>
  <c r="E4840" i="4"/>
  <c r="E4758" i="4"/>
  <c r="E4670" i="4"/>
  <c r="E4467" i="4"/>
  <c r="E4171" i="4"/>
  <c r="E5013" i="4"/>
  <c r="E4983" i="4"/>
  <c r="E4949" i="4"/>
  <c r="E4919" i="4"/>
  <c r="E4889" i="4"/>
  <c r="E4859" i="4"/>
  <c r="E4829" i="4"/>
  <c r="E4644" i="4"/>
  <c r="E4580" i="4"/>
  <c r="E4528" i="4"/>
  <c r="E4481" i="4"/>
  <c r="E4417" i="4"/>
  <c r="E4370" i="4"/>
  <c r="E4338" i="4"/>
  <c r="E4221" i="4"/>
  <c r="E4093" i="4"/>
  <c r="E3922" i="4"/>
  <c r="E3730" i="4"/>
  <c r="E3175" i="4"/>
  <c r="E3978" i="4"/>
  <c r="E3928" i="4"/>
  <c r="E3806" i="4"/>
  <c r="E3678" i="4"/>
  <c r="E3526" i="4"/>
  <c r="E3159" i="4"/>
  <c r="E2833" i="4"/>
  <c r="E4009" i="4"/>
  <c r="E3948" i="4"/>
  <c r="E3881" i="4"/>
  <c r="E3783" i="4"/>
  <c r="E3631" i="4"/>
  <c r="E3514" i="4"/>
  <c r="E3239" i="4"/>
  <c r="E2882" i="4"/>
  <c r="E4006" i="4"/>
  <c r="E3914" i="4"/>
  <c r="E3847" i="4"/>
  <c r="E3782" i="4"/>
  <c r="E3658" i="4"/>
  <c r="E3469" i="4"/>
  <c r="E3223" i="4"/>
  <c r="E2822" i="4"/>
  <c r="E4330" i="4"/>
  <c r="E4314" i="4"/>
  <c r="E4298" i="4"/>
  <c r="E4282" i="4"/>
  <c r="E4266" i="4"/>
  <c r="E4250" i="4"/>
  <c r="E4234" i="4"/>
  <c r="E4218" i="4"/>
  <c r="E4202" i="4"/>
  <c r="E4186" i="4"/>
  <c r="E4170" i="4"/>
  <c r="E4154" i="4"/>
  <c r="E4138" i="4"/>
  <c r="E4122" i="4"/>
  <c r="E4106" i="4"/>
  <c r="E4090" i="4"/>
  <c r="E4074" i="4"/>
  <c r="E4058" i="4"/>
  <c r="E4042" i="4"/>
  <c r="E4026" i="4"/>
  <c r="E3995" i="4"/>
  <c r="E3926" i="4"/>
  <c r="E3859" i="4"/>
  <c r="E3712" i="4"/>
  <c r="E3551" i="4"/>
  <c r="E3193" i="4"/>
  <c r="E2801" i="4"/>
  <c r="E3976" i="4"/>
  <c r="E3944" i="4"/>
  <c r="E3834" i="4"/>
  <c r="E3770" i="4"/>
  <c r="E3642" i="4"/>
  <c r="E3478" i="4"/>
  <c r="E3273" i="4"/>
  <c r="E3025" i="4"/>
  <c r="E3949" i="4"/>
  <c r="E3885" i="4"/>
  <c r="E3821" i="4"/>
  <c r="E3757" i="4"/>
  <c r="E3693" i="4"/>
  <c r="E3629" i="4"/>
  <c r="E3565" i="4"/>
  <c r="E3457" i="4"/>
  <c r="E3342" i="4"/>
  <c r="E3246" i="4"/>
  <c r="E3118" i="4"/>
  <c r="E2942" i="4"/>
  <c r="E2766" i="4"/>
  <c r="E2655" i="4"/>
  <c r="E3804" i="4"/>
  <c r="E3740" i="4"/>
  <c r="E3676" i="4"/>
  <c r="E3612" i="4"/>
  <c r="E3548" i="4"/>
  <c r="E3421" i="4"/>
  <c r="E3327" i="4"/>
  <c r="E3217" i="4"/>
  <c r="E3104" i="4"/>
  <c r="E2970" i="4"/>
  <c r="E2763" i="4"/>
  <c r="E2562" i="4"/>
  <c r="E3761" i="4"/>
  <c r="E3697" i="4"/>
  <c r="E3633" i="4"/>
  <c r="E3569" i="4"/>
  <c r="E3516" i="4"/>
  <c r="E3438" i="4"/>
  <c r="E3348" i="4"/>
  <c r="E3238" i="4"/>
  <c r="E3073" i="4"/>
  <c r="E2939" i="4"/>
  <c r="E2846" i="4"/>
  <c r="E2572" i="4"/>
  <c r="E3606" i="4"/>
  <c r="E3542" i="4"/>
  <c r="E3446" i="4"/>
  <c r="E3356" i="4"/>
  <c r="E3231" i="4"/>
  <c r="E3065" i="4"/>
  <c r="E2931" i="4"/>
  <c r="E2823" i="4"/>
  <c r="E2536" i="4"/>
  <c r="E3763" i="4"/>
  <c r="E3699" i="4"/>
  <c r="E3635" i="4"/>
  <c r="E3571" i="4"/>
  <c r="E3454" i="4"/>
  <c r="E3364" i="4"/>
  <c r="E3252" i="4"/>
  <c r="E3124" i="4"/>
  <c r="E2961" i="4"/>
  <c r="E2746" i="4"/>
  <c r="E3507" i="4"/>
  <c r="E3443" i="4"/>
  <c r="E3379" i="4"/>
  <c r="E3315" i="4"/>
  <c r="E3251" i="4"/>
  <c r="E3187" i="4"/>
  <c r="E3123" i="4"/>
  <c r="E3079" i="4"/>
  <c r="E2969" i="4"/>
  <c r="E2891" i="4"/>
  <c r="E2797" i="4"/>
  <c r="E2727" i="4"/>
  <c r="E2636" i="4"/>
  <c r="E3528" i="4"/>
  <c r="E3464" i="4"/>
  <c r="E3400" i="4"/>
  <c r="E3336" i="4"/>
  <c r="E3272" i="4"/>
  <c r="E3208" i="4"/>
  <c r="E3144" i="4"/>
  <c r="E3057" i="4"/>
  <c r="E2990" i="4"/>
  <c r="E2923" i="4"/>
  <c r="E2880" i="4"/>
  <c r="E2793" i="4"/>
  <c r="E2698" i="4"/>
  <c r="E2598" i="4"/>
  <c r="E3237" i="4"/>
  <c r="E3173" i="4"/>
  <c r="E3081" i="4"/>
  <c r="E3014" i="4"/>
  <c r="E2947" i="4"/>
  <c r="E2883" i="4"/>
  <c r="E2789" i="4"/>
  <c r="E2685" i="4"/>
  <c r="E3498" i="4"/>
  <c r="E3434" i="4"/>
  <c r="E3370" i="4"/>
  <c r="E3306" i="4"/>
  <c r="E3242" i="4"/>
  <c r="E3178" i="4"/>
  <c r="E3114" i="4"/>
  <c r="E3041" i="4"/>
  <c r="E2974" i="4"/>
  <c r="E2907" i="4"/>
  <c r="E2813" i="4"/>
  <c r="E2721" i="4"/>
  <c r="E2676" i="4"/>
  <c r="E2580" i="4"/>
  <c r="E2866" i="4"/>
  <c r="E2799" i="4"/>
  <c r="E2725" i="4"/>
  <c r="E2642" i="4"/>
  <c r="E2540" i="4"/>
  <c r="E3060" i="4"/>
  <c r="E2996" i="4"/>
  <c r="E2932" i="4"/>
  <c r="E2868" i="4"/>
  <c r="E2804" i="4"/>
  <c r="E2740" i="4"/>
  <c r="E2672" i="4"/>
  <c r="E2605" i="4"/>
  <c r="E2546" i="4"/>
  <c r="E2686" i="4"/>
  <c r="E2584" i="4"/>
  <c r="E2583" i="4"/>
  <c r="E2519" i="4"/>
  <c r="E2651" i="4"/>
  <c r="E2587" i="4"/>
  <c r="E2523" i="4"/>
  <c r="E4439" i="4"/>
  <c r="E4550" i="4"/>
  <c r="E4772" i="4"/>
  <c r="E4588" i="4"/>
  <c r="E4344" i="4"/>
  <c r="E3961" i="4"/>
  <c r="E4547" i="4"/>
  <c r="E4159" i="4"/>
  <c r="E4866" i="4"/>
  <c r="E4553" i="4"/>
  <c r="E4169" i="4"/>
  <c r="E4868" i="4"/>
  <c r="E4947" i="4"/>
  <c r="E4741" i="4"/>
  <c r="E4626" i="4"/>
  <c r="E3964" i="4"/>
  <c r="E4982" i="4"/>
  <c r="E4004" i="4"/>
  <c r="E4821" i="4"/>
  <c r="E4362" i="4"/>
  <c r="E3946" i="4"/>
  <c r="E3993" i="4"/>
  <c r="E3212" i="4"/>
  <c r="E3750" i="4"/>
  <c r="E4294" i="4"/>
  <c r="E4198" i="4"/>
  <c r="E4102" i="4"/>
  <c r="E3808" i="4"/>
  <c r="E3895" i="4"/>
  <c r="E2743" i="4"/>
  <c r="E3549" i="4"/>
  <c r="E2752" i="4"/>
  <c r="E3494" i="4"/>
  <c r="E3809" i="4"/>
  <c r="E3510" i="4"/>
  <c r="E2825" i="4"/>
  <c r="E2919" i="4"/>
  <c r="E3363" i="4"/>
  <c r="E3030" i="4"/>
  <c r="E2622" i="4"/>
  <c r="E3320" i="4"/>
  <c r="E2984" i="4"/>
  <c r="E2582" i="4"/>
  <c r="E3008" i="4"/>
  <c r="E3418" i="4"/>
  <c r="E3102" i="4"/>
  <c r="E2713" i="4"/>
  <c r="E2613" i="4"/>
  <c r="E2852" i="4"/>
  <c r="E2522" i="4"/>
  <c r="E2635" i="4"/>
  <c r="E4623" i="4"/>
  <c r="E3050" i="4"/>
  <c r="E4924" i="4"/>
  <c r="E4155" i="4"/>
  <c r="E4489" i="4"/>
  <c r="E3666" i="4"/>
  <c r="E4998" i="4"/>
  <c r="E4403" i="4"/>
  <c r="E4271" i="4"/>
  <c r="E4241" i="4"/>
  <c r="E4123" i="4"/>
  <c r="E4355" i="4"/>
  <c r="E4625" i="4"/>
  <c r="E5007" i="4"/>
  <c r="E4555" i="4"/>
  <c r="E3924" i="4"/>
  <c r="E3921" i="4"/>
  <c r="E4400" i="4"/>
  <c r="E4907" i="4"/>
  <c r="E4557" i="4"/>
  <c r="E4173" i="4"/>
  <c r="E3876" i="4"/>
  <c r="E2720" i="4"/>
  <c r="E3567" i="4"/>
  <c r="E3982" i="4"/>
  <c r="E3594" i="4"/>
  <c r="E2557" i="4"/>
  <c r="E4276" i="4"/>
  <c r="E4212" i="4"/>
  <c r="E4148" i="4"/>
  <c r="E4036" i="4"/>
  <c r="E3925" i="4"/>
  <c r="E3547" i="4"/>
  <c r="E3077" i="4"/>
  <c r="E3355" i="4"/>
  <c r="E3027" i="4"/>
  <c r="E3440" i="4"/>
  <c r="E3120" i="4"/>
  <c r="E2765" i="4"/>
  <c r="E3072" i="4"/>
  <c r="E2761" i="4"/>
  <c r="E3282" i="4"/>
  <c r="E3032" i="4"/>
  <c r="E2881" i="4"/>
  <c r="E3100" i="4"/>
  <c r="E2844" i="4"/>
  <c r="E2592" i="4"/>
  <c r="E2559" i="4"/>
  <c r="E4279" i="4"/>
  <c r="E4500" i="4"/>
  <c r="E4225" i="4"/>
  <c r="E4832" i="4"/>
  <c r="E3752" i="4"/>
  <c r="E4368" i="4"/>
  <c r="E4474" i="4"/>
  <c r="E4908" i="4"/>
  <c r="E4567" i="4"/>
  <c r="E3663" i="4"/>
  <c r="E4848" i="4"/>
  <c r="E4507" i="4"/>
  <c r="E4015" i="4"/>
  <c r="E4930" i="4"/>
  <c r="E5003" i="4"/>
  <c r="E4803" i="4"/>
  <c r="E4705" i="4"/>
  <c r="E4546" i="4"/>
  <c r="E4882" i="4"/>
  <c r="E4591" i="4"/>
  <c r="E4231" i="4"/>
  <c r="E4566" i="4"/>
  <c r="E3991" i="4"/>
  <c r="E4503" i="4"/>
  <c r="E2967" i="4"/>
  <c r="E4005" i="4"/>
  <c r="E4103" i="4"/>
  <c r="E4247" i="4"/>
  <c r="E4357" i="4"/>
  <c r="E4017" i="4"/>
  <c r="E2652" i="4"/>
  <c r="E4944" i="4"/>
  <c r="E4862" i="4"/>
  <c r="E4782" i="4"/>
  <c r="E4704" i="4"/>
  <c r="E4579" i="4"/>
  <c r="E4331" i="4"/>
  <c r="E3952" i="4"/>
  <c r="E3241" i="4"/>
  <c r="E4597" i="4"/>
  <c r="E4537" i="4"/>
  <c r="E4505" i="4"/>
  <c r="E4441" i="4"/>
  <c r="E4380" i="4"/>
  <c r="E4348" i="4"/>
  <c r="E4245" i="4"/>
  <c r="E4117" i="4"/>
  <c r="E3981" i="4"/>
  <c r="E3736" i="4"/>
  <c r="E2989" i="4"/>
  <c r="E4522" i="4"/>
  <c r="E4365" i="4"/>
  <c r="E4049" i="4"/>
  <c r="E2958" i="4"/>
  <c r="E4936" i="4"/>
  <c r="E4860" i="4"/>
  <c r="E4788" i="4"/>
  <c r="E4712" i="4"/>
  <c r="E4627" i="4"/>
  <c r="E2864" i="4"/>
  <c r="E4590" i="4"/>
  <c r="E4492" i="4"/>
  <c r="E4428" i="4"/>
  <c r="E4303" i="4"/>
  <c r="E4175" i="4"/>
  <c r="E4047" i="4"/>
  <c r="E3791" i="4"/>
  <c r="E3385" i="4"/>
  <c r="E4632" i="4"/>
  <c r="E4369" i="4"/>
  <c r="E4956" i="4"/>
  <c r="E4876" i="4"/>
  <c r="E4798" i="4"/>
  <c r="E4710" i="4"/>
  <c r="E4432" i="4"/>
  <c r="E4624" i="4"/>
  <c r="E4560" i="4"/>
  <c r="E4518" i="4"/>
  <c r="E4469" i="4"/>
  <c r="E4405" i="4"/>
  <c r="E4363" i="4"/>
  <c r="E4313" i="4"/>
  <c r="E4185" i="4"/>
  <c r="E4057" i="4"/>
  <c r="E3843" i="4"/>
  <c r="E3324" i="4"/>
  <c r="E2691" i="4"/>
  <c r="E4353" i="4"/>
  <c r="E4960" i="4"/>
  <c r="E4878" i="4"/>
  <c r="E4794" i="4"/>
  <c r="E4718" i="4"/>
  <c r="E4602" i="4"/>
  <c r="E5015" i="4"/>
  <c r="E4981" i="4"/>
  <c r="E4951" i="4"/>
  <c r="E4917" i="4"/>
  <c r="E4883" i="4"/>
  <c r="E4849" i="4"/>
  <c r="E4815" i="4"/>
  <c r="E4793" i="4"/>
  <c r="E4775" i="4"/>
  <c r="E4759" i="4"/>
  <c r="E4743" i="4"/>
  <c r="E4727" i="4"/>
  <c r="E4711" i="4"/>
  <c r="E4695" i="4"/>
  <c r="E4679" i="4"/>
  <c r="E4663" i="4"/>
  <c r="E4635" i="4"/>
  <c r="E4571" i="4"/>
  <c r="E4472" i="4"/>
  <c r="E4408" i="4"/>
  <c r="E4243" i="4"/>
  <c r="E4115" i="4"/>
  <c r="E3972" i="4"/>
  <c r="E3816" i="4"/>
  <c r="E3439" i="4"/>
  <c r="E2885" i="4"/>
  <c r="E4413" i="4"/>
  <c r="E4033" i="4"/>
  <c r="E4994" i="4"/>
  <c r="E4914" i="4"/>
  <c r="E4830" i="4"/>
  <c r="E4746" i="4"/>
  <c r="E4660" i="4"/>
  <c r="E4451" i="4"/>
  <c r="E4107" i="4"/>
  <c r="E5009" i="4"/>
  <c r="E4979" i="4"/>
  <c r="E4945" i="4"/>
  <c r="E4915" i="4"/>
  <c r="E4885" i="4"/>
  <c r="E4855" i="4"/>
  <c r="E4825" i="4"/>
  <c r="E4637" i="4"/>
  <c r="E4573" i="4"/>
  <c r="E4525" i="4"/>
  <c r="E4478" i="4"/>
  <c r="E4414" i="4"/>
  <c r="E4366" i="4"/>
  <c r="E4333" i="4"/>
  <c r="E4205" i="4"/>
  <c r="E4077" i="4"/>
  <c r="E3915" i="4"/>
  <c r="E3672" i="4"/>
  <c r="E2829" i="4"/>
  <c r="E3970" i="4"/>
  <c r="E3882" i="4"/>
  <c r="E3790" i="4"/>
  <c r="E3655" i="4"/>
  <c r="E3517" i="4"/>
  <c r="E3145" i="4"/>
  <c r="E2777" i="4"/>
  <c r="E4001" i="4"/>
  <c r="E3945" i="4"/>
  <c r="E3878" i="4"/>
  <c r="E3767" i="4"/>
  <c r="E3616" i="4"/>
  <c r="E3460" i="4"/>
  <c r="E3225" i="4"/>
  <c r="E2843" i="4"/>
  <c r="E3998" i="4"/>
  <c r="E3911" i="4"/>
  <c r="E3844" i="4"/>
  <c r="E3766" i="4"/>
  <c r="E3623" i="4"/>
  <c r="E3447" i="4"/>
  <c r="E3209" i="4"/>
  <c r="E2729" i="4"/>
  <c r="E4328" i="4"/>
  <c r="E4312" i="4"/>
  <c r="E4296" i="4"/>
  <c r="E4280" i="4"/>
  <c r="E4264" i="4"/>
  <c r="E4248" i="4"/>
  <c r="E4232" i="4"/>
  <c r="E4216" i="4"/>
  <c r="E4200" i="4"/>
  <c r="E4184" i="4"/>
  <c r="E4168" i="4"/>
  <c r="E4152" i="4"/>
  <c r="E4136" i="4"/>
  <c r="E4120" i="4"/>
  <c r="E4104" i="4"/>
  <c r="E4088" i="4"/>
  <c r="E4072" i="4"/>
  <c r="E4056" i="4"/>
  <c r="E4040" i="4"/>
  <c r="E4024" i="4"/>
  <c r="E3987" i="4"/>
  <c r="E3923" i="4"/>
  <c r="E3856" i="4"/>
  <c r="E3696" i="4"/>
  <c r="E3536" i="4"/>
  <c r="E3180" i="4"/>
  <c r="E2728" i="4"/>
  <c r="E3968" i="4"/>
  <c r="E3898" i="4"/>
  <c r="E3831" i="4"/>
  <c r="E3754" i="4"/>
  <c r="E3607" i="4"/>
  <c r="E3422" i="4"/>
  <c r="E3261" i="4"/>
  <c r="E2819" i="4"/>
  <c r="E3941" i="4"/>
  <c r="E3877" i="4"/>
  <c r="E3813" i="4"/>
  <c r="E3749" i="4"/>
  <c r="E3685" i="4"/>
  <c r="E3621" i="4"/>
  <c r="E3557" i="4"/>
  <c r="E3444" i="4"/>
  <c r="E3333" i="4"/>
  <c r="E3230" i="4"/>
  <c r="E3070" i="4"/>
  <c r="E2936" i="4"/>
  <c r="E2759" i="4"/>
  <c r="E2618" i="4"/>
  <c r="E3796" i="4"/>
  <c r="E3732" i="4"/>
  <c r="E3668" i="4"/>
  <c r="E3604" i="4"/>
  <c r="E3540" i="4"/>
  <c r="E3417" i="4"/>
  <c r="E3302" i="4"/>
  <c r="E3201" i="4"/>
  <c r="E3098" i="4"/>
  <c r="E2921" i="4"/>
  <c r="E2749" i="4"/>
  <c r="E3817" i="4"/>
  <c r="E3753" i="4"/>
  <c r="E3689" i="4"/>
  <c r="E3625" i="4"/>
  <c r="E3561" i="4"/>
  <c r="E3513" i="4"/>
  <c r="E3429" i="4"/>
  <c r="E3335" i="4"/>
  <c r="E3222" i="4"/>
  <c r="E3067" i="4"/>
  <c r="E2933" i="4"/>
  <c r="E2832" i="4"/>
  <c r="E3662" i="4"/>
  <c r="E3598" i="4"/>
  <c r="E3534" i="4"/>
  <c r="E3437" i="4"/>
  <c r="E3343" i="4"/>
  <c r="E3215" i="4"/>
  <c r="E3059" i="4"/>
  <c r="E2925" i="4"/>
  <c r="E2816" i="4"/>
  <c r="E3819" i="4"/>
  <c r="E3755" i="4"/>
  <c r="E3691" i="4"/>
  <c r="E3627" i="4"/>
  <c r="E3563" i="4"/>
  <c r="E3445" i="4"/>
  <c r="E3351" i="4"/>
  <c r="E3236" i="4"/>
  <c r="E3089" i="4"/>
  <c r="E2955" i="4"/>
  <c r="E2739" i="4"/>
  <c r="E3499" i="4"/>
  <c r="E3435" i="4"/>
  <c r="E3371" i="4"/>
  <c r="E3307" i="4"/>
  <c r="E3243" i="4"/>
  <c r="E3179" i="4"/>
  <c r="E3115" i="4"/>
  <c r="E3033" i="4"/>
  <c r="E2966" i="4"/>
  <c r="E2877" i="4"/>
  <c r="E2790" i="4"/>
  <c r="E2719" i="4"/>
  <c r="E2631" i="4"/>
  <c r="E3520" i="4"/>
  <c r="E3456" i="4"/>
  <c r="E3392" i="4"/>
  <c r="E3328" i="4"/>
  <c r="E3264" i="4"/>
  <c r="E3200" i="4"/>
  <c r="E3136" i="4"/>
  <c r="E3054" i="4"/>
  <c r="E2987" i="4"/>
  <c r="E2920" i="4"/>
  <c r="E2873" i="4"/>
  <c r="E2786" i="4"/>
  <c r="E2690" i="4"/>
  <c r="E2593" i="4"/>
  <c r="E3229" i="4"/>
  <c r="E3165" i="4"/>
  <c r="E3078" i="4"/>
  <c r="E3011" i="4"/>
  <c r="E2944" i="4"/>
  <c r="E2862" i="4"/>
  <c r="E2782" i="4"/>
  <c r="E2681" i="4"/>
  <c r="E3490" i="4"/>
  <c r="E3426" i="4"/>
  <c r="E3362" i="4"/>
  <c r="E3298" i="4"/>
  <c r="E3234" i="4"/>
  <c r="E3170" i="4"/>
  <c r="E3105" i="4"/>
  <c r="E3038" i="4"/>
  <c r="E2971" i="4"/>
  <c r="E2893" i="4"/>
  <c r="E2806" i="4"/>
  <c r="E2717" i="4"/>
  <c r="E2671" i="4"/>
  <c r="E2524" i="4"/>
  <c r="E2863" i="4"/>
  <c r="E2753" i="4"/>
  <c r="E2711" i="4"/>
  <c r="E2630" i="4"/>
  <c r="E2518" i="4"/>
  <c r="E3052" i="4"/>
  <c r="E2988" i="4"/>
  <c r="E2924" i="4"/>
  <c r="E2860" i="4"/>
  <c r="E2796" i="4"/>
  <c r="E2732" i="4"/>
  <c r="E2669" i="4"/>
  <c r="E2602" i="4"/>
  <c r="E2526" i="4"/>
  <c r="E2656" i="4"/>
  <c r="E2577" i="4"/>
  <c r="E2575" i="4"/>
  <c r="E2537" i="4"/>
  <c r="E2643" i="4"/>
  <c r="E2579" i="4"/>
  <c r="E2376" i="4" l="1"/>
  <c r="E1994" i="4"/>
  <c r="E1027" i="4"/>
  <c r="E2033" i="4"/>
  <c r="E2405" i="4"/>
  <c r="E2072" i="4"/>
  <c r="E2499" i="4"/>
  <c r="E2205" i="4"/>
  <c r="E1775" i="4"/>
  <c r="E1348" i="4"/>
  <c r="E2226" i="4"/>
  <c r="E498" i="4"/>
  <c r="F691" i="4"/>
  <c r="E38" i="4"/>
  <c r="E2379" i="4"/>
  <c r="E2241" i="4"/>
  <c r="E941" i="4"/>
  <c r="E1784" i="4"/>
  <c r="E2174" i="4"/>
  <c r="E2154" i="4"/>
  <c r="E2193" i="4"/>
  <c r="E1841" i="4"/>
  <c r="E2194" i="4"/>
  <c r="E2265" i="4"/>
  <c r="E1227" i="4"/>
  <c r="E385" i="4"/>
  <c r="E2420" i="4"/>
  <c r="E1810" i="4"/>
  <c r="E1962" i="4"/>
  <c r="E2235" i="4"/>
  <c r="E1968" i="4"/>
  <c r="E2259" i="4"/>
  <c r="E2511" i="4"/>
  <c r="E2129" i="4"/>
  <c r="E1519" i="4"/>
  <c r="E2323" i="4"/>
  <c r="E2169" i="4"/>
  <c r="E2372" i="4"/>
  <c r="E2251" i="4"/>
  <c r="E1696" i="4"/>
  <c r="E796" i="4"/>
  <c r="E1988" i="4"/>
  <c r="E1119" i="4"/>
  <c r="E1958" i="4"/>
  <c r="E716" i="4"/>
  <c r="E2059" i="4"/>
  <c r="E2381" i="4"/>
  <c r="E529" i="4"/>
  <c r="E2437" i="4"/>
  <c r="E1931" i="4"/>
  <c r="E559" i="4"/>
  <c r="E331" i="4"/>
  <c r="E2186" i="4"/>
  <c r="E1516" i="4"/>
  <c r="E615" i="4"/>
  <c r="E448" i="4"/>
  <c r="F273" i="4"/>
  <c r="E2035" i="4"/>
  <c r="E1823" i="4"/>
  <c r="E2000" i="4"/>
  <c r="E570" i="4"/>
  <c r="E149" i="4"/>
  <c r="E485" i="4"/>
  <c r="F794" i="4"/>
  <c r="E2299" i="4"/>
  <c r="E1976" i="4"/>
  <c r="E839" i="4"/>
  <c r="E330" i="4"/>
  <c r="E637" i="4"/>
  <c r="F1254" i="4"/>
  <c r="E251" i="4"/>
  <c r="E987" i="4"/>
  <c r="E509" i="4"/>
  <c r="E1205" i="4"/>
  <c r="E1220" i="4"/>
  <c r="E759" i="4"/>
  <c r="E2480" i="4"/>
  <c r="E1440" i="4"/>
  <c r="E779" i="4"/>
  <c r="E1263" i="4"/>
  <c r="F484" i="4"/>
  <c r="E645" i="4"/>
  <c r="E686" i="4"/>
  <c r="E1141" i="4"/>
  <c r="E740" i="4"/>
  <c r="E44" i="4"/>
  <c r="E24" i="4"/>
  <c r="E309" i="4"/>
  <c r="E727" i="4"/>
  <c r="E289" i="4"/>
  <c r="E1836" i="4"/>
  <c r="E427" i="4"/>
  <c r="E408" i="4"/>
  <c r="E210" i="4"/>
  <c r="E1698" i="4"/>
  <c r="E2465" i="4"/>
  <c r="E707" i="4"/>
  <c r="E636" i="4"/>
  <c r="E260" i="4"/>
  <c r="F425" i="4"/>
  <c r="E417" i="4"/>
  <c r="F933" i="4"/>
  <c r="E510" i="4"/>
  <c r="E1424" i="4"/>
  <c r="E630" i="4"/>
  <c r="E305" i="4"/>
  <c r="E728" i="4"/>
  <c r="E1155" i="4"/>
  <c r="E1614" i="4"/>
  <c r="E680" i="4"/>
  <c r="E1431" i="4"/>
  <c r="E1613" i="4"/>
  <c r="F72" i="4"/>
  <c r="E667" i="4"/>
  <c r="E392" i="4"/>
  <c r="E172" i="4"/>
  <c r="E805" i="4"/>
  <c r="F77" i="4"/>
  <c r="E101" i="4"/>
  <c r="E1035" i="4"/>
  <c r="E736" i="4"/>
  <c r="E162" i="4"/>
  <c r="E1030" i="4"/>
  <c r="E1079" i="4"/>
  <c r="E1832" i="4"/>
  <c r="E1756" i="4"/>
  <c r="F811" i="4"/>
  <c r="F164" i="4"/>
  <c r="F137" i="4"/>
  <c r="E250" i="4"/>
  <c r="F249" i="4"/>
  <c r="E178" i="4"/>
  <c r="E605" i="4"/>
  <c r="E1130" i="4"/>
  <c r="E849" i="4"/>
  <c r="E545" i="4"/>
  <c r="E1277" i="4"/>
  <c r="E1093" i="4"/>
  <c r="E818" i="4"/>
  <c r="E1476" i="4"/>
  <c r="E1269" i="4"/>
  <c r="F515" i="4"/>
  <c r="E401" i="4"/>
  <c r="F407" i="4"/>
  <c r="E130" i="4"/>
  <c r="E821" i="4"/>
  <c r="E1599" i="4"/>
  <c r="E913" i="4"/>
  <c r="E1129" i="4"/>
  <c r="E924" i="4"/>
  <c r="F279" i="4"/>
  <c r="F845" i="4"/>
  <c r="E328" i="4"/>
  <c r="E1501" i="4"/>
  <c r="E1145" i="4"/>
  <c r="E1033" i="4"/>
  <c r="E1721" i="4"/>
  <c r="E568" i="4"/>
  <c r="E846" i="4"/>
  <c r="E147" i="4"/>
  <c r="E1860" i="4"/>
  <c r="E405" i="4"/>
  <c r="E847" i="4"/>
  <c r="E1202" i="4"/>
  <c r="E360" i="4"/>
  <c r="E1021" i="4"/>
  <c r="E364" i="4"/>
  <c r="F726" i="4"/>
  <c r="E576" i="4"/>
  <c r="E1053" i="4"/>
  <c r="F184" i="4"/>
  <c r="E206" i="4"/>
  <c r="E2490" i="4"/>
  <c r="E1527" i="4"/>
  <c r="E1233" i="4"/>
  <c r="E1439" i="4"/>
  <c r="E1005" i="4"/>
  <c r="E1367" i="4"/>
  <c r="E894" i="4"/>
  <c r="E432" i="4"/>
  <c r="F875" i="4"/>
  <c r="E332" i="4"/>
  <c r="E323" i="4"/>
  <c r="E989" i="4"/>
  <c r="E832" i="4"/>
  <c r="E1128" i="4"/>
  <c r="E277" i="4"/>
  <c r="E1101" i="4"/>
  <c r="E523" i="4"/>
  <c r="E143" i="4"/>
  <c r="E419" i="4"/>
  <c r="E638" i="4"/>
  <c r="E351" i="4"/>
  <c r="E367" i="4"/>
  <c r="E1420" i="4"/>
  <c r="E2460" i="4"/>
  <c r="E955" i="4"/>
  <c r="E774" i="4"/>
  <c r="E502" i="4"/>
  <c r="E2434" i="4"/>
  <c r="E765" i="4"/>
  <c r="E125" i="4"/>
  <c r="E2303" i="4"/>
  <c r="E461" i="4"/>
  <c r="F69" i="4"/>
  <c r="E548" i="4"/>
  <c r="F200" i="4"/>
  <c r="E1706" i="4"/>
  <c r="E196" i="4"/>
  <c r="E882" i="4"/>
  <c r="F463" i="4"/>
  <c r="E1970" i="4"/>
  <c r="E1621" i="4"/>
  <c r="E776" i="4"/>
  <c r="E557" i="4"/>
  <c r="E2439" i="4"/>
  <c r="E627" i="4"/>
  <c r="E1031" i="4"/>
  <c r="E547" i="4"/>
  <c r="E803" i="4"/>
  <c r="F307" i="4"/>
  <c r="E403" i="4"/>
  <c r="E1580" i="4"/>
  <c r="E1083" i="4"/>
  <c r="E835" i="4"/>
  <c r="E904" i="4"/>
  <c r="F859" i="4"/>
  <c r="E861" i="4"/>
  <c r="E169" i="4"/>
  <c r="E641" i="4"/>
  <c r="E552" i="4"/>
  <c r="E303" i="4"/>
  <c r="E1432" i="4"/>
  <c r="E677" i="4"/>
  <c r="E784" i="4"/>
  <c r="E700" i="4"/>
  <c r="E2455" i="4"/>
  <c r="E909" i="4"/>
  <c r="E1550" i="4"/>
  <c r="E486" i="4"/>
  <c r="E1482" i="4"/>
  <c r="E1875" i="4"/>
  <c r="E1102" i="4"/>
  <c r="E708" i="4"/>
  <c r="E813" i="4"/>
  <c r="F678" i="4"/>
  <c r="F268" i="4"/>
  <c r="E609" i="4"/>
  <c r="E663" i="4"/>
  <c r="E1558" i="4"/>
  <c r="F1364" i="4"/>
  <c r="F580" i="4"/>
  <c r="F657" i="4"/>
  <c r="E1493" i="4"/>
  <c r="E2261" i="4"/>
  <c r="E1802" i="4"/>
  <c r="E918" i="4"/>
  <c r="E2083" i="4"/>
  <c r="E1230" i="4"/>
  <c r="E47" i="4"/>
  <c r="E322" i="4"/>
  <c r="E758" i="4"/>
  <c r="E1285" i="4"/>
  <c r="E1003" i="4"/>
  <c r="E954" i="4"/>
  <c r="E632" i="4"/>
  <c r="E2378" i="4"/>
  <c r="E672" i="4"/>
  <c r="E2272" i="4"/>
  <c r="E841" i="4"/>
  <c r="E1264" i="4"/>
  <c r="F490" i="4"/>
  <c r="E342" i="4"/>
  <c r="E218" i="4"/>
  <c r="E185" i="4"/>
  <c r="F294" i="4"/>
  <c r="E600" i="4"/>
  <c r="E1150" i="4"/>
  <c r="E2021" i="4"/>
  <c r="E1492" i="4"/>
  <c r="E439" i="4"/>
  <c r="E2190" i="4"/>
  <c r="E593" i="4"/>
  <c r="E670" i="4"/>
  <c r="F731" i="4"/>
  <c r="E869" i="4"/>
  <c r="E934" i="4"/>
  <c r="E1274" i="4"/>
  <c r="E567" i="4"/>
  <c r="F739" i="4"/>
  <c r="E1427" i="4"/>
  <c r="E426" i="4"/>
  <c r="E885" i="4"/>
  <c r="E2184" i="4"/>
  <c r="E2025" i="4"/>
  <c r="E974" i="4"/>
  <c r="E61" i="4"/>
  <c r="E84" i="4"/>
  <c r="E400" i="4"/>
  <c r="E381" i="4"/>
  <c r="E445" i="4"/>
  <c r="F195" i="4"/>
  <c r="E940" i="4"/>
  <c r="E1398" i="4"/>
  <c r="E1255" i="4"/>
  <c r="E712" i="4"/>
  <c r="F209" i="4"/>
  <c r="E37" i="4"/>
  <c r="F493" i="4"/>
  <c r="E235" i="4"/>
  <c r="E410" i="4"/>
  <c r="E437" i="4"/>
  <c r="E556" i="4"/>
  <c r="F265" i="4"/>
  <c r="F145" i="4"/>
  <c r="F495" i="4"/>
  <c r="E917" i="4"/>
  <c r="E286" i="4"/>
  <c r="F100" i="4"/>
  <c r="E2250" i="4"/>
  <c r="E40" i="4"/>
  <c r="E225" i="4"/>
  <c r="E112" i="4"/>
  <c r="F433" i="4"/>
  <c r="E1797" i="4"/>
  <c r="E599" i="4"/>
  <c r="F747" i="4"/>
  <c r="F398" i="4"/>
  <c r="F538" i="4"/>
  <c r="E274" i="4"/>
  <c r="E1360" i="4"/>
  <c r="E1339" i="4"/>
  <c r="E1755" i="4"/>
  <c r="F957" i="4"/>
  <c r="E39" i="4"/>
  <c r="F525" i="4"/>
  <c r="F406" i="4"/>
  <c r="E242" i="4"/>
  <c r="E2459" i="4"/>
  <c r="E703" i="4"/>
  <c r="E1291" i="4"/>
  <c r="E2470" i="4"/>
  <c r="E775" i="4"/>
  <c r="E644" i="4"/>
  <c r="F1039" i="4"/>
  <c r="E478" i="4"/>
  <c r="E441" i="4"/>
  <c r="E395" i="4"/>
  <c r="E1467" i="4"/>
  <c r="E2393" i="4"/>
  <c r="E1973" i="4"/>
  <c r="E2253" i="4"/>
  <c r="F616" i="4"/>
  <c r="E1058" i="4"/>
  <c r="E981" i="4"/>
  <c r="F231" i="4"/>
  <c r="E967" i="4"/>
  <c r="E624" i="4"/>
  <c r="E585" i="4"/>
  <c r="F314" i="4"/>
  <c r="E302" i="4"/>
  <c r="E876" i="4"/>
  <c r="E1603" i="4"/>
  <c r="E180" i="4"/>
  <c r="E2477" i="4"/>
  <c r="E102" i="4"/>
  <c r="E1075" i="4"/>
  <c r="F621" i="4"/>
  <c r="E456" i="4"/>
  <c r="E2319" i="4"/>
  <c r="E822" i="4"/>
  <c r="E2479" i="4"/>
  <c r="E964" i="4"/>
  <c r="E781" i="4"/>
  <c r="E1887" i="4"/>
  <c r="E221" i="4"/>
  <c r="F1026" i="4"/>
  <c r="E608" i="4"/>
  <c r="E1497" i="4"/>
  <c r="E1819" i="4"/>
  <c r="E2487" i="4"/>
  <c r="E336" i="4"/>
  <c r="E415" i="4"/>
  <c r="E1350" i="4"/>
  <c r="E1094" i="4"/>
  <c r="E2198" i="4"/>
  <c r="E1301" i="4"/>
  <c r="E1282" i="4"/>
  <c r="E1217" i="4"/>
  <c r="F795" i="4"/>
  <c r="F455" i="4"/>
  <c r="E768" i="4"/>
  <c r="E146" i="4"/>
  <c r="E454" i="4"/>
  <c r="E474" i="4"/>
  <c r="E1867" i="4"/>
  <c r="E245" i="4"/>
  <c r="E965" i="4"/>
  <c r="E128" i="4"/>
  <c r="E181" i="4"/>
  <c r="E1473" i="4"/>
  <c r="E301" i="4"/>
  <c r="E854" i="4"/>
  <c r="E1812" i="4"/>
  <c r="E2498" i="4"/>
  <c r="E375" i="4"/>
  <c r="E2305" i="4"/>
  <c r="E1138" i="4"/>
  <c r="F852" i="4"/>
  <c r="E996" i="4"/>
  <c r="E253" i="4"/>
  <c r="E494" i="4"/>
  <c r="E743" i="4"/>
  <c r="E177" i="4"/>
  <c r="E297" i="4"/>
  <c r="F629" i="4"/>
  <c r="E639" i="4"/>
  <c r="F264" i="4"/>
  <c r="F613" i="4"/>
  <c r="E611" i="4"/>
  <c r="E1684" i="4"/>
  <c r="E2449" i="4"/>
  <c r="F944" i="4"/>
  <c r="E440" i="4"/>
  <c r="E2041" i="4"/>
  <c r="E960" i="4"/>
  <c r="E292" i="4"/>
  <c r="E355" i="4"/>
  <c r="G29" i="6"/>
  <c r="K14" i="6" s="1"/>
  <c r="E1341" i="4"/>
  <c r="E932" i="4"/>
  <c r="E741" i="4"/>
  <c r="E103" i="4"/>
  <c r="F685" i="4"/>
  <c r="E122" i="4"/>
  <c r="E312" i="4"/>
  <c r="E620" i="4"/>
  <c r="E1099" i="4"/>
  <c r="E950" i="4"/>
  <c r="E1352" i="4"/>
  <c r="E628" i="4"/>
  <c r="E676" i="4"/>
  <c r="E910" i="4"/>
  <c r="E243" i="4"/>
  <c r="E646" i="4"/>
  <c r="E107" i="4"/>
  <c r="E1024" i="4"/>
  <c r="F512" i="4"/>
  <c r="F411" i="4"/>
  <c r="E56" i="4"/>
  <c r="E542" i="4"/>
  <c r="F789" i="4"/>
  <c r="F564" i="4"/>
  <c r="F16" i="4"/>
  <c r="F151" i="4"/>
  <c r="E25" i="4"/>
  <c r="E80" i="4"/>
  <c r="E541" i="4"/>
  <c r="E190" i="4"/>
  <c r="G33" i="6"/>
  <c r="K18" i="6" s="1"/>
  <c r="E518" i="4"/>
  <c r="E826" i="4"/>
  <c r="E1566" i="4"/>
  <c r="E1634" i="4"/>
  <c r="E738" i="4"/>
  <c r="F1253" i="4"/>
  <c r="E288" i="4"/>
  <c r="E1468" i="4"/>
  <c r="E211" i="4"/>
  <c r="E912" i="4"/>
  <c r="E394" i="4"/>
  <c r="E500" i="4"/>
  <c r="F1168" i="4"/>
  <c r="E93" i="4"/>
  <c r="E701" i="4"/>
  <c r="E2136" i="4"/>
  <c r="E877" i="4"/>
  <c r="E1245" i="4"/>
  <c r="E2472" i="4"/>
  <c r="E179" i="4"/>
  <c r="E1149" i="4"/>
  <c r="G28" i="6"/>
  <c r="K13" i="6" s="1"/>
  <c r="E694" i="4"/>
  <c r="E1827" i="4"/>
  <c r="E2005" i="4"/>
  <c r="E1349" i="4"/>
  <c r="E85" i="4"/>
  <c r="E1023" i="4"/>
  <c r="E1578" i="4"/>
  <c r="E870" i="4"/>
  <c r="E1382" i="4"/>
  <c r="E684" i="4"/>
  <c r="F734" i="4"/>
  <c r="F108" i="4"/>
  <c r="F316" i="4"/>
  <c r="E148" i="4"/>
  <c r="F369" i="4"/>
  <c r="E383" i="4"/>
  <c r="E966" i="4"/>
  <c r="E931" i="4"/>
  <c r="E319" i="4"/>
  <c r="E208" i="4"/>
  <c r="E450" i="4"/>
  <c r="F74" i="4"/>
  <c r="E1383" i="4"/>
  <c r="E1144" i="4"/>
  <c r="E838" i="4"/>
  <c r="E2155" i="4"/>
  <c r="E760" i="4"/>
  <c r="G30" i="6"/>
  <c r="K15" i="6" s="1"/>
  <c r="J9" i="4" s="1"/>
  <c r="E905" i="4"/>
  <c r="E2091" i="4"/>
  <c r="E669" i="4"/>
  <c r="E1391" i="4"/>
  <c r="E229" i="4"/>
  <c r="E1369" i="4"/>
  <c r="E1225" i="4"/>
  <c r="E656" i="4"/>
  <c r="E879" i="4"/>
  <c r="E1824" i="4"/>
  <c r="E1763" i="4"/>
  <c r="E476" i="4"/>
  <c r="F718" i="4"/>
  <c r="E422" i="4"/>
  <c r="F513" i="4"/>
  <c r="E451" i="4"/>
  <c r="F377" i="4"/>
  <c r="E842" i="4"/>
  <c r="E87" i="4"/>
  <c r="E424" i="4"/>
  <c r="G34" i="6"/>
  <c r="K19" i="6" s="1"/>
  <c r="E648" i="4"/>
  <c r="E840" i="4"/>
  <c r="E1028" i="4"/>
  <c r="E561" i="4"/>
  <c r="E1204" i="4"/>
  <c r="E2506" i="4"/>
  <c r="E751" i="4"/>
  <c r="E844" i="4"/>
  <c r="F460" i="4"/>
  <c r="E843" i="4"/>
  <c r="E661" i="4"/>
  <c r="E378" i="4"/>
  <c r="F497" i="4"/>
  <c r="E90" i="4"/>
  <c r="E681" i="4"/>
  <c r="F244" i="4"/>
  <c r="E899" i="4"/>
  <c r="E1067" i="4"/>
  <c r="E1748" i="4"/>
  <c r="E2161" i="4"/>
  <c r="E2242" i="4"/>
  <c r="F883" i="4"/>
  <c r="E275" i="4"/>
  <c r="F575" i="4"/>
  <c r="F129" i="4"/>
  <c r="E321" i="4"/>
  <c r="F155" i="4"/>
  <c r="E902" i="4"/>
  <c r="E1270" i="4"/>
  <c r="E361" i="4"/>
  <c r="E420" i="4"/>
  <c r="E339" i="4"/>
  <c r="E939" i="4"/>
  <c r="E1595" i="4"/>
  <c r="E170" i="4"/>
  <c r="E668" i="4"/>
  <c r="F683" i="4"/>
  <c r="E2139" i="4"/>
  <c r="E97" i="4"/>
  <c r="E590" i="4"/>
  <c r="E194" i="4"/>
  <c r="F42" i="4"/>
  <c r="E655" i="4"/>
  <c r="E682" i="4"/>
  <c r="E925" i="4"/>
  <c r="F51" i="4"/>
  <c r="E404" i="4"/>
  <c r="F33" i="4"/>
  <c r="F28" i="4"/>
  <c r="F114" i="4"/>
  <c r="E1839" i="4"/>
  <c r="E2448" i="4"/>
  <c r="E372" i="4"/>
  <c r="E664" i="4"/>
  <c r="F816" i="4"/>
  <c r="E418" i="4"/>
  <c r="E228" i="4"/>
  <c r="E79" i="4"/>
  <c r="F390" i="4"/>
  <c r="E893" i="4"/>
  <c r="F204" i="4"/>
  <c r="E352" i="4"/>
  <c r="E2012" i="4"/>
  <c r="E1335" i="4"/>
  <c r="E1050" i="4"/>
  <c r="E1965" i="4"/>
  <c r="E916" i="4"/>
  <c r="F285" i="4"/>
  <c r="F293" i="4"/>
  <c r="F810" i="4"/>
  <c r="E1116" i="4"/>
  <c r="E35" i="4"/>
  <c r="E259" i="4"/>
  <c r="F536" i="4"/>
  <c r="F140" i="4"/>
  <c r="E1338" i="4"/>
  <c r="E157" i="4"/>
  <c r="E582" i="4"/>
  <c r="E167" i="4"/>
  <c r="E1377" i="4"/>
  <c r="E257" i="4"/>
  <c r="F443" i="4"/>
  <c r="E158" i="4"/>
  <c r="E258" i="4"/>
  <c r="E895" i="4"/>
  <c r="E123" i="4"/>
  <c r="E1954" i="4"/>
  <c r="E730" i="4"/>
  <c r="E1642" i="4"/>
  <c r="E506" i="4"/>
  <c r="E384" i="4"/>
  <c r="E652" i="4"/>
  <c r="E473" i="4"/>
  <c r="F423" i="4"/>
  <c r="E36" i="4"/>
  <c r="F370" i="4"/>
  <c r="E131" i="4"/>
  <c r="E732" i="4"/>
  <c r="E1676" i="4"/>
  <c r="F766" i="4"/>
  <c r="E317" i="4"/>
  <c r="E234" i="4"/>
  <c r="F619" i="4"/>
  <c r="E387" i="4"/>
  <c r="E829" i="4"/>
  <c r="F216" i="4"/>
  <c r="F1172" i="4"/>
  <c r="E20" i="4"/>
  <c r="F653" i="4"/>
  <c r="E444" i="4"/>
  <c r="E539" i="4"/>
  <c r="E1002" i="4"/>
  <c r="E749" i="4"/>
  <c r="E788" i="4"/>
  <c r="E276" i="4"/>
  <c r="E857" i="4"/>
  <c r="E1481" i="4"/>
  <c r="F120" i="4"/>
  <c r="E477" i="4"/>
  <c r="F135" i="4"/>
  <c r="F481" i="4"/>
  <c r="E32" i="4"/>
  <c r="E992" i="4"/>
  <c r="E2295" i="4"/>
  <c r="F105" i="4"/>
  <c r="E702" i="4"/>
  <c r="E1777" i="4"/>
  <c r="E501" i="4"/>
  <c r="E492" i="4"/>
  <c r="E720" i="4"/>
  <c r="E750" i="4"/>
  <c r="E1794" i="4"/>
  <c r="E886" i="4"/>
  <c r="F979" i="4"/>
  <c r="F551" i="4"/>
  <c r="E521" i="4"/>
  <c r="E1327" i="4"/>
  <c r="F60" i="4"/>
  <c r="E465" i="4"/>
  <c r="E1966" i="4"/>
  <c r="F1507" i="4"/>
  <c r="F98" i="4"/>
  <c r="E1152" i="4"/>
  <c r="E163" i="4"/>
  <c r="F109" i="4"/>
  <c r="F790" i="4"/>
  <c r="E598" i="4"/>
  <c r="E1084" i="4"/>
  <c r="F299" i="4"/>
  <c r="E173" i="4"/>
  <c r="E711" i="4"/>
  <c r="F519" i="4"/>
  <c r="E350" i="4"/>
  <c r="E1924" i="4"/>
  <c r="E144" i="4"/>
  <c r="E923" i="4"/>
  <c r="F66" i="4"/>
  <c r="E356" i="4"/>
  <c r="E1535" i="4"/>
  <c r="F742" i="4"/>
  <c r="F647" i="4"/>
  <c r="F315" i="4"/>
  <c r="E223" i="4"/>
  <c r="E581" i="4"/>
  <c r="F980" i="4"/>
  <c r="E21" i="4"/>
  <c r="E1131" i="4"/>
  <c r="E503" i="4"/>
  <c r="E1088" i="4"/>
  <c r="E604" i="4"/>
  <c r="E907" i="4"/>
  <c r="E508" i="4"/>
  <c r="F236" i="4"/>
  <c r="F124" i="4"/>
  <c r="E588" i="4"/>
  <c r="E958" i="4"/>
  <c r="F106" i="4"/>
  <c r="E566" i="4"/>
  <c r="E161" i="4"/>
  <c r="E442" i="4"/>
  <c r="F281" i="4"/>
  <c r="E755" i="4"/>
  <c r="E1280" i="4"/>
  <c r="E830" i="4"/>
  <c r="F99" i="4"/>
  <c r="F343" i="4"/>
  <c r="F748" i="4"/>
  <c r="E763" i="4"/>
  <c r="E1214" i="4"/>
  <c r="E348" i="4"/>
  <c r="E393" i="4"/>
  <c r="F64" i="4"/>
  <c r="E764" i="4"/>
  <c r="E1240" i="4"/>
  <c r="E248" i="4"/>
  <c r="E452" i="4"/>
  <c r="E337" i="4"/>
  <c r="E778" i="4"/>
  <c r="E2335" i="4"/>
  <c r="F1219" i="4"/>
  <c r="E280" i="4"/>
  <c r="E1184" i="4"/>
  <c r="F237" i="4"/>
  <c r="F357" i="4"/>
  <c r="F623" i="4"/>
  <c r="F802" i="4"/>
  <c r="E436" i="4"/>
  <c r="F191" i="4"/>
  <c r="E252" i="4"/>
  <c r="F23" i="4"/>
  <c r="F526" i="4"/>
  <c r="E1705" i="4"/>
  <c r="E1158" i="4"/>
  <c r="E1528" i="4"/>
  <c r="E577" i="4"/>
  <c r="F362" i="4"/>
  <c r="E262" i="4"/>
  <c r="E165" i="4"/>
  <c r="E83" i="4"/>
  <c r="E1594" i="4"/>
  <c r="E1164" i="4"/>
  <c r="E878" i="4"/>
  <c r="E635" i="4"/>
  <c r="F71" i="4"/>
  <c r="F540" i="4"/>
  <c r="F215" i="4"/>
  <c r="E389" i="4"/>
  <c r="F549" i="4"/>
  <c r="F589" i="4"/>
  <c r="E154" i="4"/>
  <c r="F614" i="4"/>
  <c r="F565" i="4"/>
  <c r="F618" i="4"/>
  <c r="E574" i="4"/>
  <c r="E353" i="4"/>
  <c r="E431" i="4"/>
  <c r="E76" i="4"/>
  <c r="E27" i="4"/>
  <c r="E334" i="4"/>
  <c r="F240" i="4"/>
  <c r="E201" i="4"/>
  <c r="E94" i="4"/>
  <c r="F631" i="4"/>
  <c r="E263" i="4"/>
  <c r="E634" i="4"/>
  <c r="F327" i="4"/>
  <c r="F687" i="4"/>
  <c r="F113" i="4"/>
  <c r="E168" i="4"/>
  <c r="F373" i="4"/>
  <c r="E241" i="4"/>
  <c r="E532" i="4"/>
  <c r="F504" i="4"/>
  <c r="E202" i="4"/>
  <c r="E68" i="4"/>
  <c r="F527" i="4"/>
  <c r="F597" i="4"/>
  <c r="E402" i="4"/>
  <c r="E166" i="4"/>
  <c r="E458" i="4"/>
  <c r="E358" i="4"/>
  <c r="E118" i="4"/>
  <c r="F233" i="4"/>
  <c r="E587" i="4"/>
  <c r="F487" i="4"/>
  <c r="E365" i="4"/>
  <c r="E380" i="4"/>
  <c r="F573" i="4"/>
  <c r="F212" i="4"/>
  <c r="E715" i="4"/>
  <c r="E528" i="4"/>
  <c r="E675" i="4"/>
  <c r="E414" i="4"/>
  <c r="F413" i="4"/>
  <c r="F347" i="4"/>
  <c r="E82" i="4"/>
  <c r="E560" i="4"/>
  <c r="E679" i="4"/>
  <c r="E304" i="4"/>
  <c r="F344" i="4"/>
  <c r="E867" i="4"/>
  <c r="E255" i="4"/>
  <c r="E227" i="4"/>
  <c r="F45" i="4"/>
  <c r="E160" i="4"/>
  <c r="F160" i="4"/>
  <c r="F421" i="4"/>
  <c r="E421" i="4"/>
  <c r="F183" i="4"/>
  <c r="E183" i="4"/>
  <c r="F359" i="4"/>
  <c r="E359" i="4"/>
  <c r="F26" i="4"/>
  <c r="E26" i="4"/>
  <c r="E153" i="4"/>
  <c r="F153" i="4"/>
  <c r="E511" i="4"/>
  <c r="F511" i="4"/>
  <c r="F67" i="4"/>
  <c r="E67" i="4"/>
  <c r="E296" i="4"/>
  <c r="F296" i="4"/>
  <c r="F138" i="4"/>
  <c r="E138" i="4"/>
  <c r="E756" i="4"/>
  <c r="F756" i="4"/>
  <c r="F192" i="4"/>
  <c r="E192" i="4"/>
  <c r="F159" i="4"/>
  <c r="E159" i="4"/>
  <c r="F466" i="4"/>
  <c r="E466" i="4"/>
  <c r="E335" i="4"/>
  <c r="F335" i="4"/>
  <c r="F232" i="4"/>
  <c r="E232" i="4"/>
  <c r="E388" i="4"/>
  <c r="F388" i="4"/>
  <c r="F464" i="4"/>
  <c r="E464" i="4"/>
  <c r="F41" i="4"/>
  <c r="E41" i="4"/>
  <c r="E287" i="4"/>
  <c r="F287" i="4"/>
  <c r="E207" i="4"/>
  <c r="F207" i="4"/>
  <c r="E53" i="4"/>
  <c r="F53" i="4"/>
  <c r="F563" i="4"/>
  <c r="E563" i="4"/>
  <c r="F612" i="4"/>
  <c r="E612" i="4"/>
  <c r="F119" i="4"/>
  <c r="E119" i="4"/>
  <c r="F462" i="4"/>
  <c r="E462" i="4"/>
  <c r="E73" i="4"/>
  <c r="F73" i="4"/>
  <c r="F397" i="4"/>
  <c r="E397" i="4"/>
  <c r="F278" i="4"/>
  <c r="E278" i="4"/>
  <c r="E116" i="4"/>
  <c r="F116" i="4"/>
  <c r="E110" i="4"/>
  <c r="F110" i="4"/>
  <c r="F488" i="4"/>
  <c r="E488" i="4"/>
  <c r="F19" i="4"/>
  <c r="E19" i="4"/>
  <c r="E603" i="4"/>
  <c r="F603" i="4"/>
  <c r="E134" i="4"/>
  <c r="F134" i="4"/>
  <c r="E572" i="4"/>
  <c r="F572" i="4"/>
  <c r="E341" i="4"/>
  <c r="F341" i="4"/>
  <c r="F329" i="4"/>
  <c r="E329" i="4"/>
  <c r="E81" i="4"/>
  <c r="F81" i="4"/>
  <c r="F174" i="4"/>
  <c r="E174" i="4"/>
  <c r="E136" i="4"/>
  <c r="F136" i="4"/>
  <c r="F65" i="4"/>
  <c r="E65" i="4"/>
  <c r="F18" i="4"/>
  <c r="E18" i="4"/>
  <c r="E89" i="4"/>
  <c r="F89" i="4"/>
  <c r="F412" i="4"/>
  <c r="E412" i="4"/>
  <c r="E91" i="4"/>
  <c r="F91" i="4"/>
  <c r="E50" i="4"/>
  <c r="F50" i="4"/>
  <c r="E193" i="4"/>
  <c r="F193" i="4"/>
  <c r="F366" i="4"/>
  <c r="E366" i="4"/>
  <c r="F96" i="4"/>
  <c r="E96" i="4"/>
  <c r="F88" i="4"/>
  <c r="E88" i="4"/>
  <c r="F256" i="4"/>
  <c r="E256" i="4"/>
  <c r="E479" i="4"/>
  <c r="F479" i="4"/>
  <c r="E320" i="4"/>
  <c r="F320" i="4"/>
  <c r="F626" i="4"/>
  <c r="E626" i="4"/>
  <c r="F318" i="4"/>
  <c r="E318" i="4"/>
  <c r="E247" i="4"/>
  <c r="F247" i="4"/>
  <c r="E127" i="4"/>
  <c r="F127" i="4"/>
  <c r="F429" i="4"/>
  <c r="E429" i="4"/>
  <c r="E571" i="4"/>
  <c r="F571" i="4"/>
  <c r="F57" i="4"/>
  <c r="E57" i="4"/>
  <c r="F175" i="4"/>
  <c r="E175" i="4"/>
  <c r="E505" i="4"/>
  <c r="F505" i="4"/>
  <c r="E17" i="4"/>
  <c r="F17" i="4"/>
  <c r="E271" i="4"/>
  <c r="F271" i="4"/>
  <c r="E199" i="4"/>
  <c r="F199" i="4"/>
  <c r="F29" i="4"/>
  <c r="E29" i="4"/>
  <c r="F650" i="4"/>
  <c r="E650" i="4"/>
  <c r="E2464" i="4"/>
  <c r="F2464" i="4"/>
  <c r="E349" i="4"/>
  <c r="F349" i="4"/>
  <c r="E535" i="4"/>
  <c r="F535" i="4"/>
  <c r="F643" i="4"/>
  <c r="E643" i="4"/>
  <c r="F43" i="4"/>
  <c r="E43" i="4"/>
  <c r="F354" i="4"/>
  <c r="E354" i="4"/>
  <c r="E555" i="4"/>
  <c r="F555" i="4"/>
  <c r="F270" i="4"/>
  <c r="E270" i="4"/>
  <c r="F55" i="4"/>
  <c r="E55" i="4"/>
  <c r="E59" i="4"/>
  <c r="F59" i="4"/>
  <c r="E150" i="4"/>
  <c r="F150" i="4"/>
  <c r="E310" i="4"/>
  <c r="F310" i="4"/>
  <c r="E291" i="4"/>
  <c r="F291" i="4"/>
  <c r="E126" i="4"/>
  <c r="F126" i="4"/>
  <c r="E520" i="4"/>
  <c r="F520" i="4"/>
  <c r="F326" i="4"/>
  <c r="E326" i="4"/>
  <c r="F516" i="4"/>
  <c r="E516" i="4"/>
  <c r="F152" i="4"/>
  <c r="E152" i="4"/>
  <c r="E52" i="4"/>
  <c r="F52" i="4"/>
  <c r="F595" i="4"/>
  <c r="E595" i="4"/>
  <c r="E142" i="4"/>
  <c r="F142" i="4"/>
  <c r="F95" i="4"/>
  <c r="E95" i="4"/>
  <c r="F176" i="4"/>
  <c r="E176" i="4"/>
  <c r="E396" i="4"/>
  <c r="F396" i="4"/>
  <c r="E947" i="4"/>
  <c r="F947" i="4"/>
  <c r="F224" i="4"/>
  <c r="E224" i="4"/>
  <c r="F111" i="4"/>
  <c r="E111" i="4"/>
  <c r="E435" i="4"/>
  <c r="F435" i="4"/>
  <c r="E239" i="4"/>
  <c r="F239" i="4"/>
  <c r="F58" i="4"/>
  <c r="E58" i="4"/>
  <c r="E217" i="4"/>
  <c r="F217" i="4"/>
  <c r="F472" i="4"/>
  <c r="E472" i="4"/>
  <c r="F49" i="4"/>
  <c r="E49" i="4"/>
  <c r="F311" i="4"/>
  <c r="E311" i="4"/>
  <c r="L8" i="4"/>
  <c r="L10" i="4" s="1"/>
  <c r="G31" i="6"/>
  <c r="K16" i="6" s="1"/>
  <c r="G27" i="6" a="1"/>
  <c r="G27" i="6" s="1"/>
  <c r="K11" i="6" s="1"/>
  <c r="J8" i="4" s="1"/>
  <c r="J10" i="4" s="1"/>
  <c r="J11" i="4" s="1"/>
  <c r="E2516" i="4"/>
  <c r="D15" i="4"/>
  <c r="E15" i="4" l="1"/>
  <c r="F15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<sst xmlns="http://schemas.openxmlformats.org/spreadsheetml/2006/main" count="265" uniqueCount="154">
  <si>
    <t>Buy</t>
  </si>
  <si>
    <t>FOR</t>
  </si>
  <si>
    <t>Call FOR, Put DOM</t>
  </si>
  <si>
    <t>FOR/DOM</t>
  </si>
  <si>
    <t>Call</t>
  </si>
  <si>
    <t>By Interest Rate Parity</t>
  </si>
  <si>
    <t>Sell</t>
  </si>
  <si>
    <t>DOM</t>
  </si>
  <si>
    <t>Put FOR, Call DOM</t>
  </si>
  <si>
    <t>DOM/FOR</t>
  </si>
  <si>
    <t>Put</t>
  </si>
  <si>
    <t>With Currency Basis</t>
  </si>
  <si>
    <t>antithetic variates →</t>
  </si>
  <si>
    <t>Averages →</t>
  </si>
  <si>
    <t xml:space="preserve">Averages → </t>
  </si>
  <si>
    <t>Digital EU Payoff</t>
  </si>
  <si>
    <t>Vanilla EU Payoff</t>
  </si>
  <si>
    <t>S(T)</t>
  </si>
  <si>
    <t>Rand ~N(0,1)</t>
  </si>
  <si>
    <t># of Vega</t>
  </si>
  <si>
    <t>Variance b/t methods</t>
  </si>
  <si>
    <t>Vega</t>
  </si>
  <si>
    <t>Option Discounted Value</t>
  </si>
  <si>
    <t>Analytical Formulae</t>
  </si>
  <si>
    <t xml:space="preserve">Run time (minutes): </t>
  </si>
  <si>
    <t xml:space="preserve">Run time (seconds): </t>
  </si>
  <si>
    <t>Total simulations</t>
  </si>
  <si>
    <t>Discount Factor</t>
  </si>
  <si>
    <t># of refreshes</t>
  </si>
  <si>
    <t>Option Forward Value</t>
  </si>
  <si>
    <t>Sims per 1 refresh</t>
  </si>
  <si>
    <t>Units</t>
  </si>
  <si>
    <t xml:space="preserve">Digital Option </t>
  </si>
  <si>
    <t xml:space="preserve">Vanilla Option </t>
  </si>
  <si>
    <t>Monte Carlo</t>
  </si>
  <si>
    <r>
      <t>Rho</t>
    </r>
    <r>
      <rPr>
        <vertAlign val="subscript"/>
        <sz val="10"/>
        <color theme="1"/>
        <rFont val="Arial"/>
        <family val="2"/>
      </rPr>
      <t>domestic currency</t>
    </r>
  </si>
  <si>
    <r>
      <t>Rho</t>
    </r>
    <r>
      <rPr>
        <vertAlign val="subscript"/>
        <sz val="10"/>
        <color theme="1"/>
        <rFont val="Arial"/>
        <family val="2"/>
      </rPr>
      <t>foreign currency</t>
    </r>
  </si>
  <si>
    <t>Gamma</t>
  </si>
  <si>
    <t>Theta</t>
  </si>
  <si>
    <t>Option Value</t>
  </si>
  <si>
    <t>Unit Gamma</t>
  </si>
  <si>
    <t>Unit Theta</t>
  </si>
  <si>
    <t>Unit Vega</t>
  </si>
  <si>
    <t>Px</t>
  </si>
  <si>
    <t>μ</t>
  </si>
  <si>
    <t>q</t>
  </si>
  <si>
    <t>r</t>
  </si>
  <si>
    <t>Result Ccy Divisor</t>
  </si>
  <si>
    <t>DOM Notional</t>
  </si>
  <si>
    <t>FOR Notional</t>
  </si>
  <si>
    <t>T</t>
  </si>
  <si>
    <t>CP</t>
  </si>
  <si>
    <t>Methodology</t>
  </si>
  <si>
    <t>Result Ccy</t>
  </si>
  <si>
    <t>σ</t>
  </si>
  <si>
    <t>F</t>
  </si>
  <si>
    <t>Value Date</t>
  </si>
  <si>
    <t>Notional Ccy</t>
  </si>
  <si>
    <t>Notional Amt</t>
  </si>
  <si>
    <t>Expiry Date</t>
  </si>
  <si>
    <t>Call/Put</t>
  </si>
  <si>
    <t>Strike</t>
  </si>
  <si>
    <t>Buy/Sell</t>
  </si>
  <si>
    <t>[DOM]</t>
  </si>
  <si>
    <t>[FOR]</t>
  </si>
  <si>
    <t>[%]</t>
  </si>
  <si>
    <t>[$, DOM]</t>
  </si>
  <si>
    <t>[$, FOR]</t>
  </si>
  <si>
    <t>[Years]</t>
  </si>
  <si>
    <t>{-1,1}</t>
  </si>
  <si>
    <t>{FOR, DOM}</t>
  </si>
  <si>
    <t>[Date]</t>
  </si>
  <si>
    <t>[$]</t>
  </si>
  <si>
    <t>{Buy,Sell}</t>
  </si>
  <si>
    <t>Units →</t>
  </si>
  <si>
    <t>Unit Results</t>
  </si>
  <si>
    <t>Valuation Helpers</t>
  </si>
  <si>
    <t>Valuation &amp; Market Data Inputs</t>
  </si>
  <si>
    <t>Contractual Inputs</t>
  </si>
  <si>
    <t>by IR Parity</t>
  </si>
  <si>
    <t>Price in domestic currency</t>
  </si>
  <si>
    <t>Price in notional currency</t>
  </si>
  <si>
    <t>% in-the-money</t>
  </si>
  <si>
    <t>Field</t>
  </si>
  <si>
    <t>European digital option pricing</t>
  </si>
  <si>
    <t>Gamma (normalised to 1% change in spot price)</t>
  </si>
  <si>
    <t>Theta (normalised to 1 day)</t>
  </si>
  <si>
    <t>Domestic currency interest rate</t>
  </si>
  <si>
    <t>Vega (normalised to 1% change in volatility)</t>
  </si>
  <si>
    <t>Foreign currency interest rate</t>
  </si>
  <si>
    <t>Volatility</t>
  </si>
  <si>
    <t>FX forward rate</t>
  </si>
  <si>
    <t>Price (in the domestic currency, per 1 unit of foreign currency notional)</t>
  </si>
  <si>
    <t>FX spot price</t>
  </si>
  <si>
    <t>Valuation Date</t>
  </si>
  <si>
    <t>Vanilla European option pricing and analytical greeks</t>
  </si>
  <si>
    <t>Value</t>
  </si>
  <si>
    <t>Valuation inputs</t>
  </si>
  <si>
    <t xml:space="preserve">Option Value Monte Carlo </t>
  </si>
  <si>
    <t>Barrier</t>
  </si>
  <si>
    <t>Results in Notional Currency</t>
  </si>
  <si>
    <t>European digital option results</t>
  </si>
  <si>
    <t>Vanilla option helpers</t>
  </si>
  <si>
    <t>Exotic contractual inputs</t>
  </si>
  <si>
    <t>Notional currency</t>
  </si>
  <si>
    <t>Domestic Currency Notional</t>
  </si>
  <si>
    <t>Notional amount</t>
  </si>
  <si>
    <t>Foreign Currency Notional</t>
  </si>
  <si>
    <r>
      <t>r</t>
    </r>
    <r>
      <rPr>
        <vertAlign val="subscript"/>
        <sz val="10"/>
        <color theme="1"/>
        <rFont val="Arial"/>
        <family val="2"/>
      </rPr>
      <t>domestic currency basis adjusted</t>
    </r>
  </si>
  <si>
    <t>Call/Put perspective</t>
  </si>
  <si>
    <t xml:space="preserve">F </t>
  </si>
  <si>
    <t>T (years to expiry)</t>
  </si>
  <si>
    <t>Buy/Sell perspective</t>
  </si>
  <si>
    <t>Results</t>
  </si>
  <si>
    <r>
      <t>r</t>
    </r>
    <r>
      <rPr>
        <vertAlign val="subscript"/>
        <sz val="10"/>
        <color theme="1"/>
        <rFont val="Arial"/>
        <family val="2"/>
      </rPr>
      <t>foreign currency</t>
    </r>
  </si>
  <si>
    <t>Vanilla European option results</t>
  </si>
  <si>
    <t>Core / vanilla contractual inputs</t>
  </si>
  <si>
    <t xml:space="preserve">K </t>
  </si>
  <si>
    <t>Result/Notional FX spot rate</t>
  </si>
  <si>
    <t>Result/Domestic FX spot rate</t>
  </si>
  <si>
    <t>{1,-1}</t>
  </si>
  <si>
    <t>CP (call/put flag)</t>
  </si>
  <si>
    <t>Result Currency</t>
  </si>
  <si>
    <t>Valuation model inputs</t>
  </si>
  <si>
    <t>User input</t>
  </si>
  <si>
    <t>Legend</t>
  </si>
  <si>
    <r>
      <t>S</t>
    </r>
    <r>
      <rPr>
        <vertAlign val="subscript"/>
        <sz val="9"/>
        <color theme="1"/>
        <rFont val="Arial"/>
        <family val="2"/>
      </rPr>
      <t>0</t>
    </r>
    <r>
      <rPr>
        <sz val="9"/>
        <color theme="1"/>
        <rFont val="Arial"/>
        <family val="2"/>
      </rPr>
      <t xml:space="preserve"> </t>
    </r>
  </si>
  <si>
    <r>
      <t>Rho</t>
    </r>
    <r>
      <rPr>
        <vertAlign val="subscript"/>
        <sz val="9"/>
        <color theme="1"/>
        <rFont val="Arial"/>
        <family val="2"/>
      </rPr>
      <t>foreign currency</t>
    </r>
  </si>
  <si>
    <r>
      <t>Rho</t>
    </r>
    <r>
      <rPr>
        <vertAlign val="subscript"/>
        <sz val="9"/>
        <color theme="1"/>
        <rFont val="Arial"/>
        <family val="2"/>
      </rPr>
      <t>domestic currency</t>
    </r>
  </si>
  <si>
    <r>
      <t>d</t>
    </r>
    <r>
      <rPr>
        <vertAlign val="subscript"/>
        <sz val="9"/>
        <color theme="1"/>
        <rFont val="Arial"/>
        <family val="2"/>
      </rPr>
      <t>1</t>
    </r>
  </si>
  <si>
    <r>
      <t>d</t>
    </r>
    <r>
      <rPr>
        <vertAlign val="subscript"/>
        <sz val="9"/>
        <color theme="1"/>
        <rFont val="Arial"/>
        <family val="2"/>
      </rPr>
      <t>2</t>
    </r>
  </si>
  <si>
    <r>
      <t>S</t>
    </r>
    <r>
      <rPr>
        <b/>
        <vertAlign val="subscript"/>
        <sz val="9"/>
        <color theme="0"/>
        <rFont val="Arial"/>
        <family val="2"/>
      </rPr>
      <t>0</t>
    </r>
  </si>
  <si>
    <r>
      <t>r</t>
    </r>
    <r>
      <rPr>
        <b/>
        <vertAlign val="subscript"/>
        <sz val="9"/>
        <color theme="0"/>
        <rFont val="Arial"/>
        <family val="2"/>
      </rPr>
      <t>f</t>
    </r>
  </si>
  <si>
    <r>
      <t>r</t>
    </r>
    <r>
      <rPr>
        <b/>
        <vertAlign val="subscript"/>
        <sz val="9"/>
        <color theme="0"/>
        <rFont val="Arial"/>
        <family val="2"/>
      </rPr>
      <t>d</t>
    </r>
  </si>
  <si>
    <r>
      <t>μ</t>
    </r>
    <r>
      <rPr>
        <b/>
        <vertAlign val="subscript"/>
        <sz val="9"/>
        <color theme="0"/>
        <rFont val="Arial"/>
        <family val="2"/>
      </rPr>
      <t>by interest rate parity</t>
    </r>
  </si>
  <si>
    <r>
      <t>μ</t>
    </r>
    <r>
      <rPr>
        <b/>
        <vertAlign val="subscript"/>
        <sz val="9"/>
        <color theme="0"/>
        <rFont val="Arial"/>
        <family val="2"/>
      </rPr>
      <t>with currency basis</t>
    </r>
  </si>
  <si>
    <r>
      <t>r</t>
    </r>
    <r>
      <rPr>
        <b/>
        <vertAlign val="subscript"/>
        <sz val="9"/>
        <color theme="0"/>
        <rFont val="Arial"/>
        <family val="2"/>
      </rPr>
      <t>d_basis_adj</t>
    </r>
  </si>
  <si>
    <r>
      <t>d</t>
    </r>
    <r>
      <rPr>
        <b/>
        <vertAlign val="subscript"/>
        <sz val="9"/>
        <color theme="0"/>
        <rFont val="Arial"/>
        <family val="2"/>
      </rPr>
      <t>1</t>
    </r>
  </si>
  <si>
    <r>
      <t>d</t>
    </r>
    <r>
      <rPr>
        <b/>
        <vertAlign val="subscript"/>
        <sz val="9"/>
        <color theme="0"/>
        <rFont val="Arial"/>
        <family val="2"/>
      </rPr>
      <t>2</t>
    </r>
  </si>
  <si>
    <r>
      <t>Unit Δ</t>
    </r>
    <r>
      <rPr>
        <b/>
        <vertAlign val="subscript"/>
        <sz val="9"/>
        <color theme="0"/>
        <rFont val="Arial"/>
        <family val="2"/>
      </rPr>
      <t>spot</t>
    </r>
  </si>
  <si>
    <r>
      <t>Unit Δ</t>
    </r>
    <r>
      <rPr>
        <b/>
        <vertAlign val="subscript"/>
        <sz val="9"/>
        <color theme="0"/>
        <rFont val="Arial"/>
        <family val="2"/>
      </rPr>
      <t>forward</t>
    </r>
  </si>
  <si>
    <r>
      <t>Unit Rho</t>
    </r>
    <r>
      <rPr>
        <b/>
        <vertAlign val="subscript"/>
        <sz val="9"/>
        <color theme="0"/>
        <rFont val="Arial"/>
        <family val="2"/>
      </rPr>
      <t>foreign currency</t>
    </r>
  </si>
  <si>
    <r>
      <t>Unit Rho</t>
    </r>
    <r>
      <rPr>
        <b/>
        <vertAlign val="subscript"/>
        <sz val="9"/>
        <color theme="0"/>
        <rFont val="Arial"/>
        <family val="2"/>
      </rPr>
      <t>domestic currency</t>
    </r>
  </si>
  <si>
    <r>
      <t>Δ</t>
    </r>
    <r>
      <rPr>
        <vertAlign val="subscript"/>
        <sz val="9"/>
        <color theme="1"/>
        <rFont val="Arial"/>
        <family val="2"/>
      </rPr>
      <t>spot</t>
    </r>
  </si>
  <si>
    <r>
      <t>Δ</t>
    </r>
    <r>
      <rPr>
        <vertAlign val="subscript"/>
        <sz val="9"/>
        <color theme="0"/>
        <rFont val="Arial"/>
        <family val="2"/>
      </rPr>
      <t>forward</t>
    </r>
  </si>
  <si>
    <t>FX Rates for conversions</t>
  </si>
  <si>
    <r>
      <t>Δ</t>
    </r>
    <r>
      <rPr>
        <vertAlign val="subscript"/>
        <sz val="11"/>
        <color theme="1"/>
        <rFont val="Arial"/>
        <family val="2"/>
      </rPr>
      <t>forward</t>
    </r>
    <r>
      <rPr>
        <sz val="9"/>
        <color theme="1"/>
        <rFont val="Arial"/>
        <family val="2"/>
      </rPr>
      <t xml:space="preserve"> (forward delta)</t>
    </r>
  </si>
  <si>
    <r>
      <t>Δ</t>
    </r>
    <r>
      <rPr>
        <vertAlign val="subscript"/>
        <sz val="12"/>
        <color theme="1"/>
        <rFont val="Arial"/>
        <family val="2"/>
      </rPr>
      <t>spot</t>
    </r>
    <r>
      <rPr>
        <sz val="9"/>
        <color theme="1"/>
        <rFont val="Arial"/>
        <family val="2"/>
      </rPr>
      <t xml:space="preserve"> (spot delta)</t>
    </r>
  </si>
  <si>
    <r>
      <t>Δ</t>
    </r>
    <r>
      <rPr>
        <vertAlign val="subscript"/>
        <sz val="11"/>
        <color theme="1"/>
        <rFont val="Arial"/>
        <family val="2"/>
      </rPr>
      <t>spot</t>
    </r>
    <r>
      <rPr>
        <sz val="9"/>
        <color theme="1"/>
        <rFont val="Arial"/>
        <family val="2"/>
      </rPr>
      <t xml:space="preserve"> (spot delta)</t>
    </r>
  </si>
  <si>
    <r>
      <t>Δ</t>
    </r>
    <r>
      <rPr>
        <vertAlign val="subscript"/>
        <sz val="10"/>
        <color theme="1"/>
        <rFont val="Arial"/>
        <family val="2"/>
      </rPr>
      <t>forward</t>
    </r>
    <r>
      <rPr>
        <sz val="9"/>
        <color theme="1"/>
        <rFont val="Arial"/>
        <family val="2"/>
      </rPr>
      <t xml:space="preserve"> (forward delta)</t>
    </r>
  </si>
  <si>
    <r>
      <t>r</t>
    </r>
    <r>
      <rPr>
        <vertAlign val="subscript"/>
        <sz val="11"/>
        <color theme="1"/>
        <rFont val="Arial"/>
        <family val="2"/>
      </rPr>
      <t>domestic currency</t>
    </r>
  </si>
  <si>
    <r>
      <t>Rho</t>
    </r>
    <r>
      <rPr>
        <vertAlign val="subscript"/>
        <sz val="10"/>
        <color theme="1"/>
        <rFont val="Arial"/>
        <family val="2"/>
      </rPr>
      <t>foreign currency</t>
    </r>
    <r>
      <rPr>
        <sz val="9"/>
        <color theme="1"/>
        <rFont val="Arial"/>
        <family val="2"/>
      </rPr>
      <t xml:space="preserve"> (normalised to 1% change in the foreign currency interest rate)</t>
    </r>
  </si>
  <si>
    <r>
      <t>Rho</t>
    </r>
    <r>
      <rPr>
        <vertAlign val="subscript"/>
        <sz val="10"/>
        <color theme="1"/>
        <rFont val="Arial"/>
        <family val="2"/>
      </rPr>
      <t>domestic currency</t>
    </r>
    <r>
      <rPr>
        <sz val="9"/>
        <color theme="1"/>
        <rFont val="Arial"/>
        <family val="2"/>
      </rPr>
      <t xml:space="preserve"> (normalised to 1% change in the foreign currency interest rate)</t>
    </r>
  </si>
  <si>
    <t>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</si>
</sst>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3" formatCode="_-* #,##0.00_-;\-* #,##0.00_-;_-* &quot;-&quot;??_-;_-@_-"/>
    <numFmt numFmtId="164" formatCode="_-* #,##0.000000_-;\-* #,##0.000000_-;_-* &quot;-&quot;??_-;_-@_-"/>
    <numFmt numFmtId="165" formatCode="_-* #,##0.00000_-;\-* #,##0.00000_-;_-* &quot;-&quot;??_-;_-@_-"/>
    <numFmt numFmtId="166" formatCode="#,##0_-;\(#,##0\)_-;\-_-"/>
    <numFmt numFmtId="167" formatCode="0.00000%"/>
    <numFmt numFmtId="168" formatCode="0.000%"/>
    <numFmt numFmtId="169" formatCode="_-* #,##0.000_-;\-* #,##0.000_-;_-* &quot;-&quot;??_-;_-@_-"/>
    <numFmt numFmtId="170" formatCode="_-* #,##0.0000_-;\-* #,##0.0000_-;_-* &quot;-&quot;??_-;_-@_-"/>
    <numFmt numFmtId="171" formatCode="0.0000%"/>
    <numFmt numFmtId="172" formatCode="0.000000%"/>
    <numFmt numFmtId="173" formatCode="d\-mmm\-yy_-;;"/>
    <numFmt numFmtId="174" formatCode="_-* #,##0.00000000_-;\-* #,##0.00000000_-;_-* &quot;-&quot;??_-;_-@_-"/>
    <numFmt numFmtId="175" formatCode="0.0000"/>
    <numFmt numFmtId="177" formatCode="d\-mmm\-yyyy_-;;"/>
  </numFmts>
  <fonts count="16" x14ac:knownFonts="1">
    <font>
      <sz val="9"/>
      <color theme="1"/>
      <name val="Arial"/>
      <family val="2"/>
    </font>
    <font>
      <sz val="9"/>
      <color theme="1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  <font>
      <vertAlign val="subscript"/>
      <sz val="10"/>
      <color theme="1"/>
      <name val="Arial"/>
      <family val="2"/>
    </font>
    <font>
      <b/>
      <sz val="9"/>
      <color theme="0"/>
      <name val="Arial"/>
      <family val="2"/>
    </font>
    <font>
      <sz val="9"/>
      <color rgb="FF0070C0"/>
      <name val="Arial"/>
      <family val="2"/>
    </font>
    <font>
      <vertAlign val="subscript"/>
      <sz val="9"/>
      <color theme="1"/>
      <name val="Arial"/>
      <family val="2"/>
    </font>
    <font>
      <sz val="9"/>
      <color theme="4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vertAlign val="subscript"/>
      <sz val="9"/>
      <color theme="0"/>
      <name val="Arial"/>
      <family val="2"/>
    </font>
    <font>
      <vertAlign val="subscript"/>
      <sz val="9"/>
      <color theme="0"/>
      <name val="Arial"/>
      <family val="2"/>
    </font>
    <font>
      <u/>
      <sz val="9"/>
      <color theme="1"/>
      <name val="Arial"/>
      <family val="2"/>
    </font>
    <font>
      <vertAlign val="subscript"/>
      <sz val="11"/>
      <color theme="1"/>
      <name val="Arial"/>
      <family val="2"/>
    </font>
    <font>
      <vertAlign val="subscript"/>
      <sz val="12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16">
    <xf numFmtId="0" fontId="0" fillId="0" borderId="0" xfId="0"/>
    <xf numFmtId="0" fontId="1" fillId="0" borderId="0" xfId="3" applyFont="1"/>
    <xf numFmtId="0" fontId="6" fillId="2" borderId="0" xfId="3" applyFont="1" applyFill="1"/>
    <xf numFmtId="0" fontId="1" fillId="0" borderId="18" xfId="3" applyFont="1" applyBorder="1"/>
    <xf numFmtId="0" fontId="1" fillId="0" borderId="2" xfId="3" applyFont="1" applyBorder="1"/>
    <xf numFmtId="0" fontId="1" fillId="0" borderId="17" xfId="3" applyFont="1" applyBorder="1"/>
    <xf numFmtId="0" fontId="6" fillId="2" borderId="17" xfId="3" applyFont="1" applyFill="1" applyBorder="1"/>
    <xf numFmtId="0" fontId="1" fillId="0" borderId="7" xfId="3" applyFont="1" applyBorder="1"/>
    <xf numFmtId="0" fontId="1" fillId="0" borderId="6" xfId="3" applyFont="1" applyBorder="1"/>
    <xf numFmtId="0" fontId="1" fillId="0" borderId="5" xfId="3" applyFont="1" applyBorder="1"/>
    <xf numFmtId="0" fontId="1" fillId="0" borderId="9" xfId="3" applyFont="1" applyBorder="1"/>
    <xf numFmtId="165" fontId="1" fillId="0" borderId="0" xfId="4" applyNumberFormat="1" applyFont="1" applyBorder="1"/>
    <xf numFmtId="0" fontId="1" fillId="0" borderId="8" xfId="3" applyFont="1" applyBorder="1"/>
    <xf numFmtId="175" fontId="1" fillId="0" borderId="0" xfId="3" applyNumberFormat="1" applyFont="1"/>
    <xf numFmtId="168" fontId="1" fillId="0" borderId="0" xfId="3" applyNumberFormat="1" applyFont="1"/>
    <xf numFmtId="0" fontId="6" fillId="2" borderId="6" xfId="3" applyFont="1" applyFill="1" applyBorder="1"/>
    <xf numFmtId="167" fontId="1" fillId="0" borderId="0" xfId="5" applyNumberFormat="1" applyFont="1" applyBorder="1"/>
    <xf numFmtId="166" fontId="1" fillId="0" borderId="6" xfId="3" applyNumberFormat="1" applyFont="1" applyBorder="1"/>
    <xf numFmtId="166" fontId="1" fillId="0" borderId="5" xfId="3" applyNumberFormat="1" applyFont="1" applyBorder="1"/>
    <xf numFmtId="175" fontId="6" fillId="2" borderId="0" xfId="3" applyNumberFormat="1" applyFont="1" applyFill="1"/>
    <xf numFmtId="174" fontId="1" fillId="0" borderId="0" xfId="4" applyNumberFormat="1" applyFont="1" applyBorder="1"/>
    <xf numFmtId="166" fontId="1" fillId="0" borderId="0" xfId="3" applyNumberFormat="1" applyFont="1"/>
    <xf numFmtId="166" fontId="1" fillId="0" borderId="8" xfId="3" applyNumberFormat="1" applyFont="1" applyBorder="1"/>
    <xf numFmtId="165" fontId="1" fillId="0" borderId="0" xfId="3" applyNumberFormat="1" applyFont="1"/>
    <xf numFmtId="10" fontId="1" fillId="0" borderId="0" xfId="5" applyNumberFormat="1" applyFont="1" applyBorder="1"/>
    <xf numFmtId="177" fontId="6" fillId="2" borderId="0" xfId="3" applyNumberFormat="1" applyFont="1" applyFill="1"/>
    <xf numFmtId="166" fontId="6" fillId="2" borderId="0" xfId="3" applyNumberFormat="1" applyFont="1" applyFill="1"/>
    <xf numFmtId="0" fontId="1" fillId="0" borderId="4" xfId="3" applyFont="1" applyBorder="1"/>
    <xf numFmtId="0" fontId="6" fillId="2" borderId="1" xfId="3" applyFont="1" applyFill="1" applyBorder="1"/>
    <xf numFmtId="0" fontId="1" fillId="0" borderId="3" xfId="3" applyFont="1" applyBorder="1"/>
    <xf numFmtId="0" fontId="8" fillId="2" borderId="17" xfId="3" applyFont="1" applyFill="1" applyBorder="1"/>
    <xf numFmtId="166" fontId="1" fillId="0" borderId="1" xfId="3" applyNumberFormat="1" applyFont="1" applyBorder="1"/>
    <xf numFmtId="166" fontId="1" fillId="0" borderId="3" xfId="3" applyNumberFormat="1" applyFont="1" applyBorder="1"/>
    <xf numFmtId="167" fontId="1" fillId="0" borderId="0" xfId="5" applyNumberFormat="1" applyFont="1"/>
    <xf numFmtId="175" fontId="6" fillId="2" borderId="1" xfId="3" applyNumberFormat="1" applyFont="1" applyFill="1" applyBorder="1"/>
    <xf numFmtId="170" fontId="1" fillId="0" borderId="5" xfId="4" applyNumberFormat="1" applyFont="1" applyBorder="1"/>
    <xf numFmtId="166" fontId="1" fillId="0" borderId="7" xfId="3" applyNumberFormat="1" applyFont="1" applyBorder="1"/>
    <xf numFmtId="170" fontId="1" fillId="0" borderId="3" xfId="4" applyNumberFormat="1" applyFont="1" applyBorder="1"/>
    <xf numFmtId="166" fontId="1" fillId="0" borderId="4" xfId="3" applyNumberFormat="1" applyFont="1" applyBorder="1"/>
    <xf numFmtId="165" fontId="6" fillId="2" borderId="0" xfId="4" applyNumberFormat="1" applyFont="1" applyFill="1" applyBorder="1"/>
    <xf numFmtId="171" fontId="1" fillId="0" borderId="0" xfId="5" applyNumberFormat="1" applyFont="1" applyBorder="1"/>
    <xf numFmtId="172" fontId="1" fillId="0" borderId="0" xfId="5" applyNumberFormat="1" applyFont="1" applyBorder="1"/>
    <xf numFmtId="171" fontId="1" fillId="0" borderId="0" xfId="5" applyNumberFormat="1" applyFont="1"/>
    <xf numFmtId="171" fontId="1" fillId="0" borderId="1" xfId="5" applyNumberFormat="1" applyFont="1" applyBorder="1"/>
    <xf numFmtId="10" fontId="1" fillId="0" borderId="6" xfId="5" applyNumberFormat="1" applyFont="1" applyBorder="1"/>
    <xf numFmtId="170" fontId="1" fillId="0" borderId="0" xfId="4" applyNumberFormat="1" applyFont="1" applyBorder="1"/>
    <xf numFmtId="166" fontId="1" fillId="0" borderId="0" xfId="5" applyNumberFormat="1" applyFont="1" applyBorder="1"/>
    <xf numFmtId="166" fontId="1" fillId="0" borderId="1" xfId="5" applyNumberFormat="1" applyFont="1" applyBorder="1"/>
    <xf numFmtId="0" fontId="9" fillId="0" borderId="0" xfId="3" applyFont="1"/>
    <xf numFmtId="0" fontId="10" fillId="0" borderId="16" xfId="3" applyFont="1" applyBorder="1" applyAlignment="1">
      <alignment horizontal="centerContinuous"/>
    </xf>
    <xf numFmtId="0" fontId="10" fillId="0" borderId="15" xfId="3" applyFont="1" applyBorder="1" applyAlignment="1">
      <alignment horizontal="centerContinuous"/>
    </xf>
    <xf numFmtId="0" fontId="10" fillId="0" borderId="14" xfId="3" applyFont="1" applyBorder="1" applyAlignment="1">
      <alignment horizontal="centerContinuous"/>
    </xf>
    <xf numFmtId="0" fontId="9" fillId="0" borderId="15" xfId="3" applyFont="1" applyBorder="1" applyAlignment="1">
      <alignment horizontal="centerContinuous"/>
    </xf>
    <xf numFmtId="0" fontId="9" fillId="0" borderId="0" xfId="3" applyFont="1" applyAlignment="1">
      <alignment horizontal="center"/>
    </xf>
    <xf numFmtId="0" fontId="9" fillId="0" borderId="10" xfId="3" applyFont="1" applyBorder="1" applyAlignment="1">
      <alignment horizontal="center"/>
    </xf>
    <xf numFmtId="0" fontId="9" fillId="0" borderId="11" xfId="3" applyFont="1" applyBorder="1" applyAlignment="1">
      <alignment horizontal="center"/>
    </xf>
    <xf numFmtId="0" fontId="5" fillId="0" borderId="10" xfId="3" applyFont="1" applyBorder="1"/>
    <xf numFmtId="0" fontId="5" fillId="0" borderId="0" xfId="3" applyFont="1"/>
    <xf numFmtId="0" fontId="5" fillId="0" borderId="11" xfId="3" applyFont="1" applyBorder="1"/>
    <xf numFmtId="0" fontId="5" fillId="0" borderId="13" xfId="3" applyFont="1" applyBorder="1"/>
    <xf numFmtId="0" fontId="5" fillId="0" borderId="1" xfId="3" applyFont="1" applyBorder="1"/>
    <xf numFmtId="0" fontId="5" fillId="0" borderId="9" xfId="3" applyFont="1" applyBorder="1"/>
    <xf numFmtId="0" fontId="5" fillId="0" borderId="12" xfId="3" applyFont="1" applyBorder="1"/>
    <xf numFmtId="0" fontId="1" fillId="0" borderId="12" xfId="3" applyFont="1" applyBorder="1"/>
    <xf numFmtId="0" fontId="8" fillId="2" borderId="10" xfId="3" applyFont="1" applyFill="1" applyBorder="1"/>
    <xf numFmtId="170" fontId="8" fillId="2" borderId="0" xfId="4" applyNumberFormat="1" applyFont="1" applyFill="1" applyBorder="1"/>
    <xf numFmtId="0" fontId="8" fillId="2" borderId="0" xfId="3" applyFont="1" applyFill="1"/>
    <xf numFmtId="173" fontId="8" fillId="2" borderId="0" xfId="3" applyNumberFormat="1" applyFont="1" applyFill="1"/>
    <xf numFmtId="166" fontId="8" fillId="2" borderId="0" xfId="3" applyNumberFormat="1" applyFont="1" applyFill="1"/>
    <xf numFmtId="0" fontId="8" fillId="2" borderId="11" xfId="3" applyFont="1" applyFill="1" applyBorder="1"/>
    <xf numFmtId="173" fontId="8" fillId="2" borderId="10" xfId="3" applyNumberFormat="1" applyFont="1" applyFill="1" applyBorder="1"/>
    <xf numFmtId="10" fontId="8" fillId="2" borderId="0" xfId="5" applyNumberFormat="1" applyFont="1" applyFill="1" applyBorder="1"/>
    <xf numFmtId="10" fontId="8" fillId="2" borderId="11" xfId="5" applyNumberFormat="1" applyFont="1" applyFill="1" applyBorder="1"/>
    <xf numFmtId="166" fontId="1" fillId="0" borderId="10" xfId="5" applyNumberFormat="1" applyFont="1" applyBorder="1"/>
    <xf numFmtId="169" fontId="1" fillId="0" borderId="0" xfId="4" applyNumberFormat="1" applyFont="1" applyBorder="1"/>
    <xf numFmtId="168" fontId="1" fillId="0" borderId="10" xfId="5" applyNumberFormat="1" applyFont="1" applyBorder="1"/>
    <xf numFmtId="170" fontId="1" fillId="0" borderId="0" xfId="5" applyNumberFormat="1" applyFont="1" applyBorder="1"/>
    <xf numFmtId="171" fontId="1" fillId="0" borderId="11" xfId="5" applyNumberFormat="1" applyFont="1" applyBorder="1"/>
    <xf numFmtId="166" fontId="1" fillId="0" borderId="11" xfId="5" applyNumberFormat="1" applyFont="1" applyBorder="1"/>
    <xf numFmtId="170" fontId="1" fillId="0" borderId="0" xfId="4" applyNumberFormat="1" applyFont="1"/>
    <xf numFmtId="169" fontId="1" fillId="0" borderId="6" xfId="1" applyNumberFormat="1" applyFont="1" applyBorder="1"/>
    <xf numFmtId="169" fontId="1" fillId="0" borderId="1" xfId="4" applyNumberFormat="1" applyFont="1" applyBorder="1"/>
    <xf numFmtId="0" fontId="13" fillId="0" borderId="7" xfId="3" applyFont="1" applyBorder="1"/>
    <xf numFmtId="165" fontId="1" fillId="0" borderId="7" xfId="3" applyNumberFormat="1" applyFont="1" applyBorder="1" applyAlignment="1">
      <alignment horizontal="center"/>
    </xf>
    <xf numFmtId="0" fontId="1" fillId="0" borderId="6" xfId="3" applyFont="1" applyBorder="1" applyAlignment="1">
      <alignment horizontal="center"/>
    </xf>
    <xf numFmtId="166" fontId="1" fillId="0" borderId="9" xfId="3" applyNumberFormat="1" applyFont="1" applyBorder="1"/>
    <xf numFmtId="166" fontId="6" fillId="2" borderId="8" xfId="3" applyNumberFormat="1" applyFont="1" applyFill="1" applyBorder="1"/>
    <xf numFmtId="170" fontId="1" fillId="0" borderId="9" xfId="4" applyNumberFormat="1" applyFont="1" applyBorder="1"/>
    <xf numFmtId="170" fontId="1" fillId="0" borderId="8" xfId="4" applyNumberFormat="1" applyFont="1" applyBorder="1"/>
    <xf numFmtId="43" fontId="1" fillId="0" borderId="8" xfId="4" applyFont="1" applyBorder="1"/>
    <xf numFmtId="0" fontId="1" fillId="0" borderId="0" xfId="3" applyFont="1" applyAlignment="1">
      <alignment horizontal="center"/>
    </xf>
    <xf numFmtId="0" fontId="1" fillId="0" borderId="1" xfId="3" applyFont="1" applyBorder="1"/>
    <xf numFmtId="166" fontId="1" fillId="0" borderId="3" xfId="5" applyNumberFormat="1" applyFont="1" applyBorder="1"/>
    <xf numFmtId="166" fontId="1" fillId="0" borderId="1" xfId="4" applyNumberFormat="1" applyFont="1" applyBorder="1"/>
    <xf numFmtId="43" fontId="1" fillId="0" borderId="3" xfId="4" applyFont="1" applyBorder="1"/>
    <xf numFmtId="165" fontId="1" fillId="0" borderId="0" xfId="3" applyNumberFormat="1" applyFont="1" applyAlignment="1">
      <alignment horizontal="center"/>
    </xf>
    <xf numFmtId="169" fontId="1" fillId="0" borderId="4" xfId="4" applyNumberFormat="1" applyFont="1" applyBorder="1"/>
    <xf numFmtId="164" fontId="1" fillId="0" borderId="2" xfId="4" applyNumberFormat="1" applyFont="1" applyBorder="1"/>
    <xf numFmtId="168" fontId="1" fillId="0" borderId="2" xfId="5" applyNumberFormat="1" applyFont="1" applyBorder="1"/>
    <xf numFmtId="167" fontId="1" fillId="0" borderId="2" xfId="5" applyNumberFormat="1" applyFont="1" applyBorder="1"/>
    <xf numFmtId="164" fontId="1" fillId="0" borderId="0" xfId="3" quotePrefix="1" applyNumberFormat="1" applyFont="1"/>
    <xf numFmtId="164" fontId="1" fillId="0" borderId="0" xfId="4" applyNumberFormat="1" applyFont="1"/>
    <xf numFmtId="165" fontId="1" fillId="0" borderId="0" xfId="4" applyNumberFormat="1" applyFont="1"/>
    <xf numFmtId="168" fontId="1" fillId="0" borderId="0" xfId="2" applyNumberFormat="1" applyFont="1"/>
    <xf numFmtId="164" fontId="1" fillId="0" borderId="0" xfId="3" applyNumberFormat="1" applyFont="1"/>
    <xf numFmtId="164" fontId="1" fillId="0" borderId="1" xfId="4" applyNumberFormat="1" applyFont="1" applyBorder="1"/>
    <xf numFmtId="0" fontId="2" fillId="0" borderId="9" xfId="3" applyBorder="1"/>
    <xf numFmtId="0" fontId="0" fillId="0" borderId="9" xfId="3" applyFont="1" applyBorder="1"/>
    <xf numFmtId="0" fontId="0" fillId="0" borderId="4" xfId="3" applyFont="1" applyBorder="1"/>
    <xf numFmtId="0" fontId="0" fillId="0" borderId="0" xfId="3" applyFont="1"/>
    <xf numFmtId="43" fontId="1" fillId="0" borderId="0" xfId="1" applyFont="1"/>
    <xf numFmtId="175" fontId="1" fillId="0" borderId="1" xfId="3" applyNumberFormat="1" applyFont="1" applyBorder="1"/>
    <xf numFmtId="169" fontId="6" fillId="2" borderId="0" xfId="1" applyNumberFormat="1" applyFont="1" applyFill="1" applyBorder="1"/>
    <xf numFmtId="169" fontId="6" fillId="2" borderId="1" xfId="1" applyNumberFormat="1" applyFont="1" applyFill="1" applyBorder="1"/>
    <xf numFmtId="165" fontId="6" fillId="2" borderId="0" xfId="1" applyNumberFormat="1" applyFont="1" applyFill="1" applyBorder="1"/>
    <xf numFmtId="165" fontId="1" fillId="0" borderId="0" xfId="3" applyNumberFormat="1" applyFont="1" applyAlignment="1">
      <alignment horizontal="center"/>
    </xf>
  </cellXfs>
  <cellStyles count="6">
    <cellStyle name="Comma" xfId="1" builtinId="3"/>
    <cellStyle name="Comma 2" xfId="4" xr:uid="{BB7B1E49-F0AE-47BD-A919-6A6FDADED13D}"/>
    <cellStyle name="Normal" xfId="0" builtinId="0"/>
    <cellStyle name="Normal 2" xfId="3" xr:uid="{E6C20CA4-B4AB-4156-AEE7-30A96A3BE8E1}"/>
    <cellStyle name="Percent" xfId="2" builtinId="5"/>
    <cellStyle name="Percent 2" xfId="5" xr:uid="{7931F042-007D-46CF-BB74-71D37E337A97}"/>
  </cellStyles>
  <dxfs count="45">
    <dxf>
      <font>
        <strike val="0"/>
        <outline val="0"/>
        <shadow val="0"/>
        <u val="none"/>
        <sz val="9"/>
        <name val="Arial"/>
        <family val="2"/>
        <scheme val="none"/>
      </font>
      <numFmt numFmtId="166" formatCode="#,##0_-;\(#,##0\)_-;\-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6" formatCode="#,##0_-;\(#,##0\)_-;\-_-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66" formatCode="#,##0_-;\(#,##0\)_-;\-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6" formatCode="#,##0_-;\(#,##0\)_-;\-_-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66" formatCode="#,##0_-;\(#,##0\)_-;\-_-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66" formatCode="#,##0_-;\(#,##0\)_-;\-_-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66" formatCode="#,##0_-;\(#,##0\)_-;\-_-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66" formatCode="#,##0_-;\(#,##0\)_-;\-_-"/>
      <border diagonalUp="0" diagonalDown="0" outline="0">
        <left style="medium">
          <color indexed="64"/>
        </left>
      </border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71" formatCode="0.0000%"/>
      <border diagonalUp="0" diagonalDown="0" outline="0">
        <right style="medium">
          <color indexed="64"/>
        </right>
      </border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71" formatCode="0.0000%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71" formatCode="0.0000%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72" formatCode="0.000000%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71" formatCode="0.0000%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70" formatCode="_-* #,##0.0000_-;\-* #,##0.0000_-;_-* &quot;-&quot;??_-;_-@_-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4" formatCode="0.00%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68" formatCode="0.000%"/>
      <border diagonalUp="0" diagonalDown="0" outline="0">
        <left style="medium">
          <color indexed="64"/>
        </left>
      </border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70" formatCode="_-* #,##0.0000_-;\-* #,##0.0000_-;_-* &quot;-&quot;??_-;_-@_-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70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5" formatCode="_-* #,##0.00000_-;\-* #,##0.00000_-;_-* &quot;-&quot;??_-;_-@_-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66" formatCode="#,##0_-;\(#,##0\)_-;\-_-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66" formatCode="#,##0_-;\(#,##0\)_-;\-_-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4" formatCode="0.00%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4" formatCode="0.00%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4" formatCode="0.00%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69" formatCode="_-* #,##0.000_-;\-* #,##0.000_-;_-* &quot;-&quot;??_-;_-@_-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66" formatCode="#,##0_-;\(#,##0\)_-;\-_-"/>
      <border diagonalUp="0" diagonalDown="0" outline="0">
        <left style="medium">
          <color indexed="64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4"/>
        <name val="Arial"/>
        <family val="2"/>
        <scheme val="none"/>
      </font>
      <numFmt numFmtId="14" formatCode="0.00%"/>
      <fill>
        <patternFill patternType="solid">
          <fgColor indexed="64"/>
          <bgColor theme="7" tint="0.79998168889431442"/>
        </patternFill>
      </fill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4"/>
        <name val="Arial"/>
        <family val="2"/>
        <scheme val="none"/>
      </font>
      <numFmt numFmtId="14" formatCode="0.00%"/>
      <fill>
        <patternFill patternType="solid">
          <fgColor indexed="64"/>
          <bgColor theme="7" tint="0.79998168889431442"/>
        </patternFill>
      </fill>
      <border diagonalUp="0" diagonalDown="0" outline="0">
        <left/>
        <right style="medium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theme="4"/>
        <name val="Arial"/>
        <family val="2"/>
        <scheme val="none"/>
      </font>
      <numFmt numFmtId="14" formatCode="0.00%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9"/>
        <color theme="4"/>
        <name val="Arial"/>
        <family val="2"/>
        <scheme val="none"/>
      </font>
      <numFmt numFmtId="14" formatCode="0.00%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9"/>
        <color theme="4"/>
        <name val="Arial"/>
        <family val="2"/>
        <scheme val="none"/>
      </font>
      <numFmt numFmtId="14" formatCode="0.00%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9"/>
        <color theme="4"/>
        <name val="Arial"/>
        <family val="2"/>
        <scheme val="none"/>
      </font>
      <numFmt numFmtId="170" formatCode="_-* #,##0.0000_-;\-* #,##0.0000_-;_-* &quot;-&quot;??_-;_-@_-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9"/>
        <color theme="4"/>
        <name val="Arial"/>
        <family val="2"/>
        <scheme val="none"/>
      </font>
      <numFmt numFmtId="170" formatCode="_-* #,##0.0000_-;\-* #,##0.0000_-;_-* &quot;-&quot;??_-;_-@_-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9"/>
        <color theme="4"/>
        <name val="Arial"/>
        <family val="2"/>
        <scheme val="none"/>
      </font>
      <numFmt numFmtId="173" formatCode="d\-mmm\-yy_-;;"/>
      <fill>
        <patternFill patternType="solid">
          <fgColor indexed="64"/>
          <bgColor theme="7" tint="0.79998168889431442"/>
        </patternFill>
      </fill>
      <border diagonalUp="0" diagonalDown="0" outline="0">
        <left style="medium">
          <color indexed="64"/>
        </left>
        <right/>
      </border>
    </dxf>
    <dxf>
      <font>
        <strike val="0"/>
        <outline val="0"/>
        <shadow val="0"/>
        <u val="none"/>
        <vertAlign val="baseline"/>
        <sz val="9"/>
        <color theme="4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border diagonalUp="0" diagonalDown="0" outline="0">
        <left/>
        <right style="medium">
          <color indexed="64"/>
        </right>
      </border>
    </dxf>
    <dxf>
      <font>
        <strike val="0"/>
        <outline val="0"/>
        <shadow val="0"/>
        <u val="none"/>
        <vertAlign val="baseline"/>
        <sz val="9"/>
        <color theme="4"/>
        <name val="Arial"/>
        <family val="2"/>
        <scheme val="none"/>
      </font>
      <numFmt numFmtId="166" formatCode="#,##0_-;\(#,##0\)_-;\-_-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9"/>
        <color theme="4"/>
        <name val="Arial"/>
        <family val="2"/>
        <scheme val="none"/>
      </font>
      <numFmt numFmtId="173" formatCode="d\-mmm\-yy_-;;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9"/>
        <color theme="4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9"/>
        <color theme="4"/>
        <name val="Arial"/>
        <family val="2"/>
        <scheme val="none"/>
      </font>
      <numFmt numFmtId="170" formatCode="_-* #,##0.0000_-;\-* #,##0.0000_-;_-* &quot;-&quot;??_-;_-@_-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9"/>
        <color theme="4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border diagonalUp="0" diagonalDown="0" outline="0">
        <left style="medium">
          <color indexed="64"/>
        </left>
        <right/>
      </border>
    </dxf>
    <dxf>
      <font>
        <strike val="0"/>
        <outline val="0"/>
        <shadow val="0"/>
        <u val="none"/>
        <sz val="9"/>
        <name val="Arial"/>
        <family val="2"/>
        <scheme val="none"/>
      </font>
    </dxf>
    <dxf>
      <font>
        <b/>
        <strike val="0"/>
        <outline val="0"/>
        <shadow val="0"/>
        <u val="none"/>
        <sz val="9"/>
        <color theme="0"/>
        <name val="Arial"/>
        <family val="2"/>
        <scheme val="none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628650</xdr:colOff>
          <xdr:row>2</xdr:row>
          <xdr:rowOff>152400</xdr:rowOff>
        </xdr:from>
        <xdr:to>
          <xdr:col>2</xdr:col>
          <xdr:colOff>504825</xdr:colOff>
          <xdr:row>4</xdr:row>
          <xdr:rowOff>95250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NZ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Monte Carlo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85725</xdr:colOff>
          <xdr:row>6</xdr:row>
          <xdr:rowOff>85725</xdr:rowOff>
        </xdr:from>
        <xdr:to>
          <xdr:col>16</xdr:col>
          <xdr:colOff>0</xdr:colOff>
          <xdr:row>8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NZ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Monte Carlo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1316BE4-9372-4DB0-9440-AA772564D86A}" name="Table1" displayName="Table1" ref="C4:AS6" totalsRowShown="0" headerRowDxfId="44" dataDxfId="43">
  <autoFilter ref="C4:AS6" xr:uid="{47B5CFB6-794F-40A8-81B2-C81B04684AF7}"/>
  <tableColumns count="43">
    <tableColumn id="1" xr3:uid="{571B07B7-5FA7-46C7-91CD-71D518ED6360}" name="Buy/Sell" dataDxfId="42"/>
    <tableColumn id="2" xr3:uid="{635821F6-618C-4891-BE59-A8BA17288B47}" name="Strike" dataDxfId="41" dataCellStyle="Comma"/>
    <tableColumn id="3" xr3:uid="{FEF4A68D-F736-49BA-B708-353CEB73DF53}" name="Call/Put" dataDxfId="40"/>
    <tableColumn id="4" xr3:uid="{FFB3EB20-B673-44FF-BAE5-F8C4D4C75443}" name="Expiry Date" dataDxfId="39"/>
    <tableColumn id="5" xr3:uid="{2C1E8A78-D7D7-4E1E-B315-A911234C47C0}" name="Notional Amt" dataDxfId="38"/>
    <tableColumn id="6" xr3:uid="{3E93A286-2B9F-408C-9E30-93ED2E5A173B}" name="Notional Ccy" dataDxfId="37"/>
    <tableColumn id="7" xr3:uid="{73F2A6EA-B250-4E65-9DF7-FD0E0079EE9F}" name="Value Date" dataDxfId="36"/>
    <tableColumn id="8" xr3:uid="{848C487C-AA0B-4A3D-AF6A-09632A72DDB1}" name="S0" dataDxfId="35" dataCellStyle="Comma"/>
    <tableColumn id="9" xr3:uid="{4617F9B4-B7F4-466A-A443-0F05E495EFFA}" name="F" dataDxfId="34" dataCellStyle="Comma"/>
    <tableColumn id="10" xr3:uid="{35D56047-84C1-485E-90A5-FF01969A5106}" name="σ" dataDxfId="33" dataCellStyle="Percent"/>
    <tableColumn id="11" xr3:uid="{84B1875B-9209-4EA4-AA9B-31718BB3062A}" name="rf" dataDxfId="32" dataCellStyle="Percent"/>
    <tableColumn id="12" xr3:uid="{123822BC-56F7-4031-8370-F1CBE27E3CD7}" name="rd" dataDxfId="31" dataCellStyle="Percent"/>
    <tableColumn id="50" xr3:uid="{FE9E7960-DCF1-40CF-B419-259A9A59F61B}" name="Result Ccy" dataDxfId="30" dataCellStyle="Percent"/>
    <tableColumn id="23" xr3:uid="{A4CD72E7-5D42-4849-A460-5857D3269FD0}" name="Methodology" dataDxfId="29" dataCellStyle="Percent"/>
    <tableColumn id="13" xr3:uid="{E8491073-3612-46BC-92E4-AA82DCCCE45A}" name="CP" dataDxfId="28" dataCellStyle="Percent">
      <calculatedColumnFormula array="1">_xlfn.IFS(Table1[[#This Row],[Call/Put]]="Call FOR, Put DOM",1,Table1[[#This Row],[Call/Put]]="Put FOR, Call DOM",-1)</calculatedColumnFormula>
    </tableColumn>
    <tableColumn id="14" xr3:uid="{6F58B066-6DEC-434A-A42C-CFD789A3C490}" name="T" dataDxfId="27" dataCellStyle="Comma">
      <calculatedColumnFormula>YEARFRAC(Table1[[#This Row],[Value Date]],Table1[[#This Row],[Expiry Date]],1)</calculatedColumnFormula>
    </tableColumn>
    <tableColumn id="15" xr3:uid="{C0645EE0-F772-424F-98C9-3308E4FF4AC1}" name="μby interest rate parity" dataDxfId="26" dataCellStyle="Percent">
      <calculatedColumnFormula>Table1[[#This Row],[rd]]-Table1[[#This Row],[rf]]</calculatedColumnFormula>
    </tableColumn>
    <tableColumn id="16" xr3:uid="{D43FB700-CB4B-4A6E-8E17-12D4AD0DC408}" name="μwith currency basis" dataDxfId="25" dataCellStyle="Percent">
      <calculatedColumnFormula>LN(Table1[[#This Row],[F]]/Table1[[#This Row],[S0]])/Table1[[#This Row],[T]]</calculatedColumnFormula>
    </tableColumn>
    <tableColumn id="17" xr3:uid="{3FB9E3EF-AA38-4F63-B2CD-F0F1C72CD89C}" name="rd_basis_adj" dataDxfId="24" dataCellStyle="Percent">
      <calculatedColumnFormula>Table1[[#This Row],[rf]]+Table1[[#This Row],[μwith currency basis]]</calculatedColumnFormula>
    </tableColumn>
    <tableColumn id="18" xr3:uid="{6748F8DB-3181-4875-A92A-6D612D52D075}" name="FOR Notional" dataDxfId="23" dataCellStyle="Percent">
      <calculatedColumnFormula array="1">_xlfn.IFS(Table1[[#This Row],[Notional Ccy]]="FOR",Table1[[#This Row],[Notional Amt]],Table1[[#This Row],[Notional Ccy]]="DOM",Table1[[#This Row],[Notional Amt]]/Table1[[#This Row],[Strike]])</calculatedColumnFormula>
    </tableColumn>
    <tableColumn id="19" xr3:uid="{A0C949E0-32B3-4D7C-B7D5-97ECE55FF806}" name="DOM Notional" dataDxfId="22" dataCellStyle="Percent">
      <calculatedColumnFormula array="1">_xlfn.IFS(Table1[[#This Row],[Notional Ccy]]="DOM",Table1[[#This Row],[Notional Amt]],Table1[[#This Row],[Notional Ccy]]="FOR",Table1[[#This Row],[Notional Amt]]*Table1[[#This Row],[Strike]])</calculatedColumnFormula>
    </tableColumn>
    <tableColumn id="51" xr3:uid="{4B0E0639-A542-4430-8612-EF4919F79DC7}" name="Result Ccy Divisor" dataDxfId="21" dataCellStyle="Comma">
      <calculatedColumnFormula>IF(Table1[[#This Row],[Result Ccy]]="DOM",1,Table1[[#This Row],[S0]])</calculatedColumnFormula>
    </tableColumn>
    <tableColumn id="38" xr3:uid="{895B7114-4222-4CFA-8CE1-364D8C46560A}" name="r" dataDxfId="20" dataCellStyle="Percent">
      <calculatedColumnFormula array="1">_xlfn.IFS(Table1[[#This Row],[Methodology]]="With Currency Basis",Table1[[#This Row],[rd_basis_adj]],Table1[[#This Row],[Methodology]]="By Interest Rate Parity",Table1[[#This Row],[rd]])</calculatedColumnFormula>
    </tableColumn>
    <tableColumn id="41" xr3:uid="{4CF3F43D-1F4D-4A79-9F79-D2D405BFEBAD}" name="q" dataDxfId="19" dataCellStyle="Percent">
      <calculatedColumnFormula>Table1[[#This Row],[rf]]</calculatedColumnFormula>
    </tableColumn>
    <tableColumn id="40" xr3:uid="{7B3D4593-1125-4B01-9AE1-67AE2A710565}" name="μ" dataDxfId="18" dataCellStyle="Percent">
      <calculatedColumnFormula array="1">_xlfn.IFS(Table1[[#This Row],[Methodology]]="With Currency Basis",Table1[[#This Row],[μwith currency basis]],Table1[[#This Row],[Methodology]]="By Interest Rate Parity",Table1[[#This Row],[μby interest rate parity]])</calculatedColumnFormula>
    </tableColumn>
    <tableColumn id="20" xr3:uid="{38320DE9-8F1E-4111-9B40-7E316E333D1E}" name="d1" dataDxfId="17" dataCellStyle="Comma">
      <calculatedColumnFormula>(LN(Table1[[#This Row],[S0]]/Table1[[#This Row],[Strike]])+(Table1[[#This Row],[μ]]+0.5*Table1[[#This Row],[σ]]*Table1[[#This Row],[σ]])*Table1[[#This Row],[T]])/(Table1[[#This Row],[σ]]*SQRT(Table1[[#This Row],[T]]))</calculatedColumnFormula>
    </tableColumn>
    <tableColumn id="21" xr3:uid="{3EF1B53C-7BC9-4EB4-9D58-E2377691F515}" name="d2" dataDxfId="16" dataCellStyle="Comma">
      <calculatedColumnFormula>Table1[[#This Row],[d1]]-Table1[[#This Row],[σ]]*SQRT(Table1[[#This Row],[T]])</calculatedColumnFormula>
    </tableColumn>
    <tableColumn id="25" xr3:uid="{ADE479F3-4808-43BC-9D24-B39FF8B3B44E}" name="Px" dataDxfId="15" dataCellStyle="Percent">
      <calculatedColumnFormula>Table1[[#This Row],[CP]]*(Table1[[#This Row],[S0]]*EXP(-Table1[[#This Row],[q]]*Table1[[#This Row],[T]])*_xlfn.NORM.S.DIST(Table1[[#This Row],[CP]]*Table1[[#This Row],[d1]],TRUE)-Table1[[#This Row],[Strike]]*EXP(-Table1[[#This Row],[r]]*Table1[[#This Row],[T]])*_xlfn.NORM.S.DIST(Table1[[#This Row],[CP]]*Table1[[#This Row],[d2]],TRUE))</calculatedColumnFormula>
    </tableColumn>
    <tableColumn id="26" xr3:uid="{3236F4B8-4BC6-4ADB-AD75-EB9D1B102105}" name="Unit Δspot" dataDxfId="14" dataCellStyle="Percent">
      <calculatedColumnFormula>Table1[[#This Row],[CP]]*EXP(-Table1[[#This Row],[q]]*Table1[[#This Row],[T]])*_xlfn.NORM.S.DIST(Table1[[#This Row],[CP]]*Table1[[#This Row],[d1]],TRUE)</calculatedColumnFormula>
    </tableColumn>
    <tableColumn id="27" xr3:uid="{A672D7CF-E08C-4AD1-B6C3-FBFFD4F407B1}" name="Unit Δforward" dataDxfId="13" dataCellStyle="Percent">
      <calculatedColumnFormula>Table1[[#This Row],[CP]]*_xlfn.NORM.S.DIST(Table1[[#This Row],[CP]]*Table1[[#This Row],[d1]],TRUE)</calculatedColumnFormula>
    </tableColumn>
    <tableColumn id="28" xr3:uid="{1E68B352-5DE6-49CE-AFA8-CDE42DF385D3}" name="Unit Vega" dataDxfId="12" dataCellStyle="Percent">
      <calculatedColumnFormula>1%*Table1[[#This Row],[S0]]*SQRT(Table1[[#This Row],[T]])*_xlfn.NORM.S.DIST(Table1[[#This Row],[d1]],FALSE)*EXP(-Table1[[#This Row],[rf]]*T)</calculatedColumnFormula>
    </tableColumn>
    <tableColumn id="29" xr3:uid="{1310A08B-94F6-4E92-86FF-739775C8B248}" name="Unit Theta" dataDxfId="11" dataCellStyle="Percent">
      <calculatedColumnFormula>(1/365)*
(
-(Table1[[#This Row],[S0]]*EXP(-Table1[[#This Row],[r]]*Table1[[#This Row],[T]])*_xlfn.NORM.S.DIST(Table1[[#This Row],[d1]]*Table1[[#This Row],[CP]],FALSE)*Table1[[#This Row],[σ]])/(2*SQRT(Table1[[#This Row],[T]]))
+Table1[[#This Row],[q]]*EXP(-Table1[[#This Row],[q]]*Table1[[#This Row],[T]])*Table1[[#This Row],[S0]]*_xlfn.NORM.S.DIST(Table1[[#This Row],[d1]]*Table1[[#This Row],[CP]],TRUE)
-Table1[[#This Row],[r]]*EXP(-Table1[[#This Row],[r]]*Table1[[#This Row],[T]])*Table1[[#This Row],[Strike]]*_xlfn.NORM.S.DIST(Table1[[#This Row],[d2]]*Table1[[#This Row],[CP]],TRUE)
)</calculatedColumnFormula>
    </tableColumn>
    <tableColumn id="30" xr3:uid="{D34948E3-268A-4448-B3B2-4F5B8B7F846F}" name="Unit Gamma" dataDxfId="10" dataCellStyle="Percent">
      <calculatedColumnFormula>(1%*Table1[[#This Row],[S0]])*(EXP(-Table1[[#This Row],[q]]*Table1[[#This Row],[T]])*_xlfn.NORM.S.DIST(Table1[[#This Row],[d1]],FALSE)/(Table1[[#This Row],[S0]]*Table1[[#This Row],[σ]]*SQRT(Table1[[#This Row],[T]])))</calculatedColumnFormula>
    </tableColumn>
    <tableColumn id="31" xr3:uid="{32FE6705-AE4E-43BB-869F-A3FCA168A486}" name="Unit Rhoforeign currency" dataDxfId="9" dataCellStyle="Percent">
      <calculatedColumnFormula>(1%)*(-Table1[[#This Row],[T]]*EXP(-Table1[[#This Row],[q]]*T)*Table1[[#This Row],[S0]]*_xlfn.NORM.S.DIST(Table1[[#This Row],[d1]],TRUE))</calculatedColumnFormula>
    </tableColumn>
    <tableColumn id="32" xr3:uid="{29BB26AD-76F4-48C8-87D6-7E665F896FD0}" name="Unit Rhodomestic currency" dataDxfId="8" dataCellStyle="Percent">
      <calculatedColumnFormula>1%*-Table1[[#This Row],[T]]*EXP(-Table1[[#This Row],[r]]*Table1[[#This Row],[T]])*Table1[[#This Row],[S0]]*_xlfn.NORM.S.DIST(Table1[[#This Row],[d2]],TRUE)</calculatedColumnFormula>
    </tableColumn>
    <tableColumn id="43" xr3:uid="{6786A13E-DC01-43C9-9D48-EB2AF4575DF0}" name="Option Value" dataDxfId="7" dataCellStyle="Percent">
      <calculatedColumnFormula>Table1[[#This Row],[Px]]*Table1[[#This Row],[FOR Notional]]/Table1[[#This Row],[Result Ccy Divisor]]</calculatedColumnFormula>
    </tableColumn>
    <tableColumn id="44" xr3:uid="{C78C326C-AC06-4C44-B9FB-57526C49F925}" name="Δspot" dataDxfId="6" dataCellStyle="Percent">
      <calculatedColumnFormula>Table1[[#This Row],[Unit Δspot]]*Table1[[#This Row],[FOR Notional]]*Table1[[#This Row],[S0]]/Table1[[#This Row],[Result Ccy Divisor]]</calculatedColumnFormula>
    </tableColumn>
    <tableColumn id="45" xr3:uid="{A81101D7-DF34-49B5-8370-F440A0FA0E0B}" name="Δforward" dataDxfId="5" dataCellStyle="Percent">
      <calculatedColumnFormula>Table1[[#This Row],[Unit Δforward]]*Table1[[#This Row],[FOR Notional]]*Table1[[#This Row],[S0]]/Table1[[#This Row],[Result Ccy Divisor]]</calculatedColumnFormula>
    </tableColumn>
    <tableColumn id="46" xr3:uid="{3C0AEB48-5A0B-4EFE-BC86-758394E1368D}" name="Vega" dataDxfId="4" dataCellStyle="Percent">
      <calculatedColumnFormula>Table1[[#This Row],[Unit Vega]]*Table1[[#This Row],[FOR Notional]]/Table1[[#This Row],[Result Ccy Divisor]]</calculatedColumnFormula>
    </tableColumn>
    <tableColumn id="52" xr3:uid="{29FB1332-EB4C-49B6-9408-3F15C658D49D}" name="Theta" dataDxfId="3" dataCellStyle="Percent">
      <calculatedColumnFormula>Table1[[#This Row],[Unit Theta]]*Table1[[#This Row],[FOR Notional]]/Table1[[#This Row],[Result Ccy Divisor]]</calculatedColumnFormula>
    </tableColumn>
    <tableColumn id="47" xr3:uid="{89EB60B5-D2AA-4C2A-AF4B-0E4C1F1AF2EA}" name="Gamma" dataDxfId="2" dataCellStyle="Percent">
      <calculatedColumnFormula>Table1[[#This Row],[Unit Gamma]]*Table1[[#This Row],[FOR Notional]]*Table1[[#This Row],[S0]]/Table1[[#This Row],[Result Ccy Divisor]]</calculatedColumnFormula>
    </tableColumn>
    <tableColumn id="49" xr3:uid="{9B8C2548-125F-48D9-B185-0EE62D45410A}" name="Rhoforeign currency" dataDxfId="1" dataCellStyle="Percent">
      <calculatedColumnFormula>Table1[[#This Row],[Unit Rhoforeign currency]]*Table1[[#This Row],[FOR Notional]]/Table1[[#This Row],[Result Ccy Divisor]]</calculatedColumnFormula>
    </tableColumn>
    <tableColumn id="48" xr3:uid="{35456D66-DD22-4A5F-A620-6B32F957AD66}" name="Rhodomestic currency" dataDxfId="0" dataCellStyle="Percent">
      <calculatedColumnFormula>Table1[[#This Row],[Unit Rhodomestic currency]]*Table1[[#This Row],[FOR Notional]]/Table1[[#This Row],[Result Ccy Divisor]]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711C2-FD34-432F-B6F9-4BA4047D8E27}">
  <sheetPr codeName="Sheet1"/>
  <dimension ref="B2:L49"/>
  <sheetViews>
    <sheetView tabSelected="1" workbookViewId="0"/>
  </sheetViews>
  <sheetFormatPr defaultRowHeight="12" x14ac:dyDescent="0.2"/>
  <cols>
    <col min="1" max="1" width="9.140625" style="1"/>
    <col min="2" max="2" width="26" style="1" bestFit="1" customWidth="1"/>
    <col min="3" max="3" width="18.28515625" style="1" bestFit="1" customWidth="1"/>
    <col min="4" max="4" width="8.85546875" style="1" bestFit="1" customWidth="1"/>
    <col min="5" max="5" width="9.140625" style="1"/>
    <col min="6" max="6" width="66.28515625" style="1" bestFit="1" customWidth="1"/>
    <col min="7" max="7" width="11.5703125" style="1" bestFit="1" customWidth="1"/>
    <col min="8" max="8" width="8.85546875" style="1" bestFit="1" customWidth="1"/>
    <col min="9" max="9" width="7.7109375" style="1" customWidth="1"/>
    <col min="10" max="10" width="26.140625" style="1" bestFit="1" customWidth="1"/>
    <col min="11" max="11" width="7" style="1" bestFit="1" customWidth="1"/>
    <col min="12" max="12" width="8.85546875" style="1" bestFit="1" customWidth="1"/>
    <col min="13" max="14" width="9.140625" style="1"/>
    <col min="15" max="16" width="12" style="1" bestFit="1" customWidth="1"/>
    <col min="17" max="16384" width="9.140625" style="1"/>
  </cols>
  <sheetData>
    <row r="2" spans="2:12" x14ac:dyDescent="0.2">
      <c r="B2" s="1" t="s">
        <v>125</v>
      </c>
      <c r="C2" s="2" t="s">
        <v>124</v>
      </c>
      <c r="F2" s="1" t="s">
        <v>123</v>
      </c>
    </row>
    <row r="3" spans="2:12" x14ac:dyDescent="0.2">
      <c r="F3" s="3" t="s">
        <v>83</v>
      </c>
      <c r="G3" s="4" t="s">
        <v>96</v>
      </c>
      <c r="H3" s="5" t="s">
        <v>31</v>
      </c>
      <c r="J3" s="3" t="s">
        <v>122</v>
      </c>
      <c r="K3" s="6" t="s">
        <v>1</v>
      </c>
    </row>
    <row r="4" spans="2:12" x14ac:dyDescent="0.2">
      <c r="F4" s="7" t="s">
        <v>121</v>
      </c>
      <c r="G4" s="8" cm="1">
        <f t="array" ref="G4">_xlfn.IFS(C12="Call FOR, Put DOM",1,C12="Put FOR, Call DOM",-1)</f>
        <v>1</v>
      </c>
      <c r="H4" s="9" t="s">
        <v>120</v>
      </c>
    </row>
    <row r="5" spans="2:12" ht="13.5" x14ac:dyDescent="0.25">
      <c r="F5" s="10" t="s">
        <v>126</v>
      </c>
      <c r="G5" s="11">
        <f>C26</f>
        <v>0.66290000000000004</v>
      </c>
      <c r="H5" s="12" t="s">
        <v>3</v>
      </c>
      <c r="J5" s="3" t="s">
        <v>145</v>
      </c>
      <c r="K5" s="4" t="s">
        <v>96</v>
      </c>
      <c r="L5" s="5" t="s">
        <v>31</v>
      </c>
    </row>
    <row r="6" spans="2:12" x14ac:dyDescent="0.2">
      <c r="F6" s="10" t="s">
        <v>117</v>
      </c>
      <c r="G6" s="13">
        <f>C10</f>
        <v>0.78820000000000001</v>
      </c>
      <c r="H6" s="12" t="s">
        <v>3</v>
      </c>
      <c r="J6" s="7" t="s">
        <v>119</v>
      </c>
      <c r="K6" s="80" cm="1">
        <f t="array" ref="K6">_xlfn.IFS(K3="DOM",1,K3="FOR",S0)</f>
        <v>0.66290000000000004</v>
      </c>
      <c r="L6" s="9" t="str">
        <f>ResultCurrency&amp;"/"&amp;"DOM"</f>
        <v>FOR/DOM</v>
      </c>
    </row>
    <row r="7" spans="2:12" ht="18.75" x14ac:dyDescent="0.35">
      <c r="B7" s="1" t="s">
        <v>116</v>
      </c>
      <c r="F7" s="106" t="s">
        <v>150</v>
      </c>
      <c r="G7" s="14">
        <f>C30%</f>
        <v>5.3810000000000004E-2</v>
      </c>
      <c r="H7" s="12" t="s">
        <v>65</v>
      </c>
      <c r="J7" s="27" t="s">
        <v>118</v>
      </c>
      <c r="K7" s="81">
        <f>IF(Notional_Ccy=ResultCurrency,1,1/S0)</f>
        <v>1</v>
      </c>
      <c r="L7" s="29" t="str">
        <f>ResultCurrency&amp;"/"&amp;Notional_Ccy</f>
        <v>FOR/FOR</v>
      </c>
    </row>
    <row r="8" spans="2:12" ht="15.75" x14ac:dyDescent="0.3">
      <c r="B8" s="3" t="s">
        <v>83</v>
      </c>
      <c r="C8" s="4" t="s">
        <v>96</v>
      </c>
      <c r="D8" s="5" t="s">
        <v>31</v>
      </c>
      <c r="F8" s="107" t="s">
        <v>114</v>
      </c>
      <c r="G8" s="14">
        <f>C29%</f>
        <v>4.6600000000000003E-2</v>
      </c>
      <c r="H8" s="12" t="s">
        <v>65</v>
      </c>
    </row>
    <row r="9" spans="2:12" x14ac:dyDescent="0.2">
      <c r="B9" s="7" t="s">
        <v>112</v>
      </c>
      <c r="C9" s="15" t="s">
        <v>0</v>
      </c>
      <c r="D9" s="9"/>
      <c r="F9" s="10" t="s">
        <v>54</v>
      </c>
      <c r="G9" s="16">
        <f>C28%</f>
        <v>9.8172399999999993E-2</v>
      </c>
      <c r="H9" s="12" t="s">
        <v>65</v>
      </c>
      <c r="J9" s="1" t="s">
        <v>115</v>
      </c>
    </row>
    <row r="10" spans="2:12" x14ac:dyDescent="0.2">
      <c r="B10" s="10" t="s">
        <v>61</v>
      </c>
      <c r="C10" s="19">
        <v>0.78820000000000001</v>
      </c>
      <c r="D10" s="12" t="s">
        <v>3</v>
      </c>
      <c r="F10" s="10" t="s">
        <v>111</v>
      </c>
      <c r="G10" s="20">
        <f>YEARFRAC(C25,C13,1)</f>
        <v>1.0095759233926129</v>
      </c>
      <c r="H10" s="12" t="s">
        <v>68</v>
      </c>
      <c r="J10" s="3" t="s">
        <v>113</v>
      </c>
      <c r="K10" s="4" t="s">
        <v>96</v>
      </c>
      <c r="L10" s="5" t="s">
        <v>31</v>
      </c>
    </row>
    <row r="11" spans="2:12" x14ac:dyDescent="0.2">
      <c r="B11" s="10"/>
      <c r="D11" s="12"/>
      <c r="F11" s="10" t="s">
        <v>110</v>
      </c>
      <c r="G11" s="23">
        <f>C27</f>
        <v>0.66796199999999994</v>
      </c>
      <c r="H11" s="12" t="s">
        <v>3</v>
      </c>
      <c r="J11" s="7" t="s">
        <v>39</v>
      </c>
      <c r="K11" s="17">
        <f>G27*Foreign_Ccy_Notional/ResultDomesticFXSpotRate</f>
        <v>1954.810873537243</v>
      </c>
      <c r="L11" s="18" t="str">
        <f t="shared" ref="L11:L19" si="0">$K$3</f>
        <v>FOR</v>
      </c>
    </row>
    <row r="12" spans="2:12" ht="15.75" x14ac:dyDescent="0.3">
      <c r="B12" s="10" t="s">
        <v>109</v>
      </c>
      <c r="C12" s="2" t="s">
        <v>2</v>
      </c>
      <c r="D12" s="12"/>
      <c r="F12" s="107" t="s">
        <v>108</v>
      </c>
      <c r="G12" s="24">
        <f>r_f+LN(F/S0)/T</f>
        <v>5.4134982032959737E-2</v>
      </c>
      <c r="H12" s="12" t="s">
        <v>65</v>
      </c>
      <c r="J12" s="10" t="s">
        <v>98</v>
      </c>
      <c r="K12" s="21">
        <f>MonteCarlo!J5/ResultDomesticFXSpotRate</f>
        <v>1957.8686058320245</v>
      </c>
      <c r="L12" s="22" t="str">
        <f t="shared" si="0"/>
        <v>FOR</v>
      </c>
    </row>
    <row r="13" spans="2:12" ht="18.75" x14ac:dyDescent="0.35">
      <c r="B13" s="10" t="s">
        <v>59</v>
      </c>
      <c r="C13" s="25">
        <v>45476</v>
      </c>
      <c r="D13" s="12" t="s">
        <v>71</v>
      </c>
      <c r="F13" s="10" t="s">
        <v>107</v>
      </c>
      <c r="G13" s="21">
        <f>IF(Notional_Ccy="FOR",C14,C14/C10)</f>
        <v>1000000</v>
      </c>
      <c r="H13" s="12" t="s">
        <v>1</v>
      </c>
      <c r="J13" s="107" t="s">
        <v>148</v>
      </c>
      <c r="K13" s="21">
        <f>G28*Foreign_Ccy_Notional*S0/ResultDomesticFXSpotRate</f>
        <v>48979.344950531406</v>
      </c>
      <c r="L13" s="22" t="str">
        <f t="shared" si="0"/>
        <v>FOR</v>
      </c>
    </row>
    <row r="14" spans="2:12" ht="15.75" x14ac:dyDescent="0.3">
      <c r="B14" s="10" t="s">
        <v>106</v>
      </c>
      <c r="C14" s="26">
        <v>1000000</v>
      </c>
      <c r="D14" s="12" t="s">
        <v>72</v>
      </c>
      <c r="F14" s="10" t="s">
        <v>105</v>
      </c>
      <c r="G14" s="21">
        <f>IF(Notional_Ccy="DOM",C14,C14*C10)</f>
        <v>788200</v>
      </c>
      <c r="H14" s="12" t="s">
        <v>7</v>
      </c>
      <c r="J14" s="107" t="s">
        <v>149</v>
      </c>
      <c r="K14" s="21">
        <f>G29*Foreign_Ccy_Notional*S0/ResultDomesticFXSpotRate</f>
        <v>51338.703178580028</v>
      </c>
      <c r="L14" s="22" t="str">
        <f t="shared" si="0"/>
        <v>FOR</v>
      </c>
    </row>
    <row r="15" spans="2:12" x14ac:dyDescent="0.2">
      <c r="B15" s="27" t="s">
        <v>104</v>
      </c>
      <c r="C15" s="28" t="s">
        <v>1</v>
      </c>
      <c r="D15" s="29"/>
      <c r="F15" s="10" t="s">
        <v>46</v>
      </c>
      <c r="G15" s="24" cm="1">
        <f t="array" ref="G15">_xlfn.IFS(Methodology="With Currency Basis",r_d_basis_adj,Methodology="By Interest Rate Parity",r_d)</f>
        <v>5.3810000000000004E-2</v>
      </c>
      <c r="H15" s="12" t="s">
        <v>65</v>
      </c>
      <c r="J15" s="10" t="s">
        <v>21</v>
      </c>
      <c r="K15" s="21">
        <f>G30*Foreign_Ccy_Notional/ResultDomesticFXSpotRate</f>
        <v>1009.683980683159</v>
      </c>
      <c r="L15" s="22" t="str">
        <f t="shared" si="0"/>
        <v>FOR</v>
      </c>
    </row>
    <row r="16" spans="2:12" x14ac:dyDescent="0.2">
      <c r="F16" s="10" t="s">
        <v>45</v>
      </c>
      <c r="G16" s="24">
        <f>r_f</f>
        <v>4.6600000000000003E-2</v>
      </c>
      <c r="H16" s="12" t="s">
        <v>65</v>
      </c>
      <c r="J16" s="10" t="s">
        <v>38</v>
      </c>
      <c r="K16" s="21">
        <f>G31*Foreign_Ccy_Notional/ResultDomesticFXSpotRate</f>
        <v>-14.031490265650316</v>
      </c>
      <c r="L16" s="22" t="str">
        <f t="shared" si="0"/>
        <v>FOR</v>
      </c>
    </row>
    <row r="17" spans="2:12" x14ac:dyDescent="0.2">
      <c r="B17" s="3" t="s">
        <v>52</v>
      </c>
      <c r="C17" s="30" t="s">
        <v>5</v>
      </c>
      <c r="F17" s="10" t="s">
        <v>44</v>
      </c>
      <c r="G17" s="24">
        <f>r_-q_</f>
        <v>7.2100000000000011E-3</v>
      </c>
      <c r="H17" s="12" t="s">
        <v>65</v>
      </c>
      <c r="J17" s="10" t="s">
        <v>37</v>
      </c>
      <c r="K17" s="21">
        <f>G32*Foreign_Ccy_Notional*S0/ResultDomesticFXSpotRate</f>
        <v>10187.25255119459</v>
      </c>
      <c r="L17" s="22" t="str">
        <f t="shared" si="0"/>
        <v>FOR</v>
      </c>
    </row>
    <row r="18" spans="2:12" ht="15.75" x14ac:dyDescent="0.3">
      <c r="F18" s="27" t="s">
        <v>153</v>
      </c>
      <c r="G18" s="111">
        <f>C21</f>
        <v>0.65627100000000005</v>
      </c>
      <c r="H18" s="29" t="s">
        <v>3</v>
      </c>
      <c r="J18" s="107" t="s">
        <v>36</v>
      </c>
      <c r="K18" s="21">
        <f>G33*Foreign_Ccy_Notional/ResultDomesticFXSpotRate</f>
        <v>-494.48367405598066</v>
      </c>
      <c r="L18" s="22" t="str">
        <f t="shared" si="0"/>
        <v>FOR</v>
      </c>
    </row>
    <row r="19" spans="2:12" ht="15.75" x14ac:dyDescent="0.3">
      <c r="B19" s="1" t="s">
        <v>103</v>
      </c>
      <c r="J19" s="108" t="s">
        <v>35</v>
      </c>
      <c r="K19" s="31">
        <f>G34*Foreign_Ccy_Notional/ResultDomesticFXSpotRate</f>
        <v>-399.27771785084946</v>
      </c>
      <c r="L19" s="32" t="str">
        <f t="shared" si="0"/>
        <v>FOR</v>
      </c>
    </row>
    <row r="20" spans="2:12" x14ac:dyDescent="0.2">
      <c r="B20" s="3" t="s">
        <v>83</v>
      </c>
      <c r="C20" s="4" t="s">
        <v>96</v>
      </c>
      <c r="D20" s="5" t="s">
        <v>31</v>
      </c>
      <c r="F20" s="1" t="s">
        <v>102</v>
      </c>
      <c r="G20" s="33"/>
    </row>
    <row r="21" spans="2:12" x14ac:dyDescent="0.2">
      <c r="B21" s="27" t="s">
        <v>99</v>
      </c>
      <c r="C21" s="34">
        <v>0.65627100000000005</v>
      </c>
      <c r="D21" s="29" t="s">
        <v>3</v>
      </c>
      <c r="F21" s="3" t="s">
        <v>83</v>
      </c>
      <c r="G21" s="9" t="s">
        <v>96</v>
      </c>
      <c r="J21" s="1" t="s">
        <v>101</v>
      </c>
    </row>
    <row r="22" spans="2:12" ht="13.5" x14ac:dyDescent="0.25">
      <c r="F22" s="7" t="s">
        <v>129</v>
      </c>
      <c r="G22" s="35">
        <f>(LN(S0/K)+(μ+0.5*σ*σ)*T)/(σ*SQRT(T))</f>
        <v>-1.632009872950889</v>
      </c>
      <c r="J22" s="3" t="s">
        <v>100</v>
      </c>
      <c r="K22" s="4" t="s">
        <v>96</v>
      </c>
      <c r="L22" s="5" t="s">
        <v>31</v>
      </c>
    </row>
    <row r="23" spans="2:12" ht="13.5" x14ac:dyDescent="0.25">
      <c r="B23" s="1" t="s">
        <v>97</v>
      </c>
      <c r="F23" s="27" t="s">
        <v>130</v>
      </c>
      <c r="G23" s="37">
        <f>d1_-σ*SQRT(T)</f>
        <v>-1.73065119871711</v>
      </c>
      <c r="J23" s="36" t="s">
        <v>39</v>
      </c>
      <c r="K23" s="17">
        <f>G41/ResultDomesticFXSpotRate</f>
        <v>39837.98260648569</v>
      </c>
      <c r="L23" s="18" t="str">
        <f>$K$3</f>
        <v>FOR</v>
      </c>
    </row>
    <row r="24" spans="2:12" x14ac:dyDescent="0.2">
      <c r="B24" s="3" t="s">
        <v>83</v>
      </c>
      <c r="C24" s="4" t="s">
        <v>96</v>
      </c>
      <c r="D24" s="5" t="s">
        <v>31</v>
      </c>
      <c r="J24" s="38" t="s">
        <v>98</v>
      </c>
      <c r="K24" s="31">
        <f>MonteCarlo!L6</f>
        <v>39859.890222416201</v>
      </c>
      <c r="L24" s="32" t="str">
        <f>$K$3</f>
        <v>FOR</v>
      </c>
    </row>
    <row r="25" spans="2:12" x14ac:dyDescent="0.2">
      <c r="B25" s="10" t="s">
        <v>94</v>
      </c>
      <c r="C25" s="25">
        <v>45107</v>
      </c>
      <c r="D25" s="12"/>
      <c r="F25" s="1" t="s">
        <v>95</v>
      </c>
    </row>
    <row r="26" spans="2:12" x14ac:dyDescent="0.2">
      <c r="B26" s="10" t="s">
        <v>93</v>
      </c>
      <c r="C26" s="39">
        <v>0.66290000000000004</v>
      </c>
      <c r="D26" s="12" t="s">
        <v>3</v>
      </c>
      <c r="F26" s="3" t="s">
        <v>83</v>
      </c>
      <c r="G26" s="4" t="s">
        <v>79</v>
      </c>
      <c r="H26" s="5" t="s">
        <v>31</v>
      </c>
    </row>
    <row r="27" spans="2:12" x14ac:dyDescent="0.2">
      <c r="B27" s="10" t="s">
        <v>91</v>
      </c>
      <c r="C27" s="39">
        <v>0.66796199999999994</v>
      </c>
      <c r="D27" s="12" t="s">
        <v>3</v>
      </c>
      <c r="F27" s="10" t="s">
        <v>92</v>
      </c>
      <c r="G27" s="16" cm="1">
        <f t="array" ref="G27">CP*(S0*EXP(-q_*T)*_xlfn.NORM.S.DIST(CP*d1_,TRUE)-K*EXP(-r_*T)*_xlfn.NORM.S.DIST(CP*d2_,TRUE))</f>
        <v>1.2958441280678384E-3</v>
      </c>
      <c r="H27" s="12" t="s">
        <v>7</v>
      </c>
    </row>
    <row r="28" spans="2:12" ht="19.5" x14ac:dyDescent="0.35">
      <c r="B28" s="10" t="s">
        <v>90</v>
      </c>
      <c r="C28" s="114">
        <v>9.81724</v>
      </c>
      <c r="D28" s="12" t="s">
        <v>65</v>
      </c>
      <c r="F28" s="107" t="s">
        <v>147</v>
      </c>
      <c r="G28" s="40">
        <f>CP*EXP(-q_*T)*_xlfn.NORM.S.DIST(CP*d1_,TRUE)</f>
        <v>4.8979344950531405E-2</v>
      </c>
      <c r="H28" s="12" t="s">
        <v>1</v>
      </c>
    </row>
    <row r="29" spans="2:12" ht="18.75" x14ac:dyDescent="0.35">
      <c r="B29" s="10" t="s">
        <v>89</v>
      </c>
      <c r="C29" s="112">
        <v>4.66</v>
      </c>
      <c r="D29" s="12" t="s">
        <v>65</v>
      </c>
      <c r="F29" s="107" t="s">
        <v>146</v>
      </c>
      <c r="G29" s="40">
        <f>CP*_xlfn.NORM.S.DIST(CP*d1_,TRUE)</f>
        <v>5.1338703178580025E-2</v>
      </c>
      <c r="H29" s="12" t="s">
        <v>1</v>
      </c>
    </row>
    <row r="30" spans="2:12" x14ac:dyDescent="0.2">
      <c r="B30" s="27" t="s">
        <v>87</v>
      </c>
      <c r="C30" s="113">
        <v>5.3810000000000002</v>
      </c>
      <c r="D30" s="29" t="s">
        <v>65</v>
      </c>
      <c r="F30" s="10" t="s">
        <v>88</v>
      </c>
      <c r="G30" s="40">
        <f>1%*S0*SQRT(T)*_xlfn.NORM.S.DIST(d1_,FALSE)*EXP(-q_*T)</f>
        <v>6.6931951079486607E-4</v>
      </c>
      <c r="H30" s="12" t="s">
        <v>7</v>
      </c>
    </row>
    <row r="31" spans="2:12" x14ac:dyDescent="0.2">
      <c r="F31" s="10" t="s">
        <v>86</v>
      </c>
      <c r="G31" s="41">
        <f>(1/365)*
(
-(S0*EXP(-r_*T)*_xlfn.NORM.S.DIST(d1_*CP,FALSE)*σ)/(2*SQRT(T))
+q_*EXP(-q_*T)*S0*_xlfn.NORM.S.DIST(d1_*CP,TRUE)
-r_*EXP(-r_*T)*K*_xlfn.NORM.S.DIST(d2_*CP,TRUE)
)</f>
        <v>-9.3014748970995955E-6</v>
      </c>
      <c r="H31" s="12" t="s">
        <v>7</v>
      </c>
    </row>
    <row r="32" spans="2:12" x14ac:dyDescent="0.2">
      <c r="F32" s="10" t="s">
        <v>85</v>
      </c>
      <c r="G32" s="42">
        <f>(1%*S0)*(EXP(-q_*T)*_xlfn.NORM.S.DIST(d1_,FALSE)/(S0*σ*SQRT(T)))</f>
        <v>1.0187252551194589E-2</v>
      </c>
      <c r="H32" s="12" t="s">
        <v>1</v>
      </c>
    </row>
    <row r="33" spans="6:8" ht="15.75" x14ac:dyDescent="0.3">
      <c r="F33" s="107" t="s">
        <v>151</v>
      </c>
      <c r="G33" s="42">
        <f>(1%)*(-T*EXP(-q_*T)*S0*_xlfn.NORM.S.DIST(d1_,TRUE))</f>
        <v>-3.2779322753170956E-4</v>
      </c>
      <c r="H33" s="12" t="s">
        <v>7</v>
      </c>
    </row>
    <row r="34" spans="6:8" ht="15.75" x14ac:dyDescent="0.3">
      <c r="F34" s="108" t="s">
        <v>152</v>
      </c>
      <c r="G34" s="43">
        <f>1%*-T*EXP(-r_*T)*S0*_xlfn.NORM.S.DIST(d2_,TRUE)</f>
        <v>-2.6468119916332815E-4</v>
      </c>
      <c r="H34" s="29" t="s">
        <v>7</v>
      </c>
    </row>
    <row r="36" spans="6:8" x14ac:dyDescent="0.2">
      <c r="F36" s="1" t="s">
        <v>84</v>
      </c>
    </row>
    <row r="37" spans="6:8" x14ac:dyDescent="0.2">
      <c r="F37" s="3" t="s">
        <v>83</v>
      </c>
      <c r="G37" s="4" t="s">
        <v>83</v>
      </c>
      <c r="H37" s="5" t="s">
        <v>31</v>
      </c>
    </row>
    <row r="38" spans="6:8" x14ac:dyDescent="0.2">
      <c r="F38" s="7" t="s">
        <v>82</v>
      </c>
      <c r="G38" s="44">
        <f>_xlfn.NORM.S.DIST(CP*d2_,TRUE)</f>
        <v>4.1756997083841417E-2</v>
      </c>
      <c r="H38" s="9" t="s">
        <v>65</v>
      </c>
    </row>
    <row r="39" spans="6:8" x14ac:dyDescent="0.2">
      <c r="F39" s="10" t="s">
        <v>27</v>
      </c>
      <c r="G39" s="45" cm="1">
        <f t="array" ref="G39">_xlfn.IFS(Notional_Ccy="FOR",EXP(-q_*T),Notional_Ccy="DOM",EXP(-r_*T))</f>
        <v>0.9540432834884498</v>
      </c>
      <c r="H39" s="12"/>
    </row>
    <row r="40" spans="6:8" x14ac:dyDescent="0.2">
      <c r="F40" s="10" t="s">
        <v>81</v>
      </c>
      <c r="G40" s="46">
        <f>Notional_amount*G38*G39</f>
        <v>39837.98260648569</v>
      </c>
      <c r="H40" s="12" t="str">
        <f>Notional_Ccy</f>
        <v>FOR</v>
      </c>
    </row>
    <row r="41" spans="6:8" x14ac:dyDescent="0.2">
      <c r="F41" s="27" t="s">
        <v>80</v>
      </c>
      <c r="G41" s="47">
        <f>IF(Notional_Ccy="DOM",G40,G40*S0)</f>
        <v>26408.598669839364</v>
      </c>
      <c r="H41" s="29" t="s">
        <v>7</v>
      </c>
    </row>
    <row r="45" spans="6:8" x14ac:dyDescent="0.2">
      <c r="F45" s="109"/>
      <c r="G45" s="110"/>
    </row>
    <row r="46" spans="6:8" x14ac:dyDescent="0.2">
      <c r="F46" s="109"/>
      <c r="G46" s="110"/>
    </row>
    <row r="47" spans="6:8" x14ac:dyDescent="0.2">
      <c r="F47" s="109"/>
    </row>
    <row r="48" spans="6:8" x14ac:dyDescent="0.2">
      <c r="F48" s="109"/>
    </row>
    <row r="49" spans="6:6" x14ac:dyDescent="0.2">
      <c r="F49" s="109"/>
    </row>
  </sheetData>
  <pageMargins left="0.7" right="0.7" top="0.75" bottom="0.75" header="0.3" footer="0.3"/>
  <pageSetup paperSize="9" orientation="portrait" r:id="rId1"/>
  <ignoredErrors>
    <ignoredError sqref="K1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Run_Monte_Carlo">
                <anchor moveWithCells="1" sizeWithCells="1">
                  <from>
                    <xdr:col>1</xdr:col>
                    <xdr:colOff>628650</xdr:colOff>
                    <xdr:row>2</xdr:row>
                    <xdr:rowOff>152400</xdr:rowOff>
                  </from>
                  <to>
                    <xdr:col>2</xdr:col>
                    <xdr:colOff>504825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DF9C843D-DCCF-4AAD-B6D1-10B4EC88E42E}">
          <x14:formula1>
            <xm:f>'Data Validation'!$A$1:$A$2</xm:f>
          </x14:formula1>
          <xm:sqref>C9</xm:sqref>
        </x14:dataValidation>
        <x14:dataValidation type="list" allowBlank="1" showInputMessage="1" showErrorMessage="1" xr:uid="{F5BD900C-F250-4238-B035-AFD75B0623DC}">
          <x14:formula1>
            <xm:f>'Data Validation'!$C$1:$C$2</xm:f>
          </x14:formula1>
          <xm:sqref>C12</xm:sqref>
        </x14:dataValidation>
        <x14:dataValidation type="list" allowBlank="1" showInputMessage="1" showErrorMessage="1" xr:uid="{3841EB14-2F97-4F0F-8058-79184E216DA3}">
          <x14:formula1>
            <xm:f>'Data Validation'!$B$1:$B$2</xm:f>
          </x14:formula1>
          <xm:sqref>C15 K3</xm:sqref>
        </x14:dataValidation>
        <x14:dataValidation type="list" allowBlank="1" showInputMessage="1" showErrorMessage="1" xr:uid="{AD8C4DC1-7A1B-4469-8B4C-9254FD51F025}">
          <x14:formula1>
            <xm:f>'Data Validation'!$F$1:$F$2</xm:f>
          </x14:formula1>
          <xm:sqref>C17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CE069-070A-41FF-AD1B-C6D256659B40}">
  <sheetPr codeName="Sheet2"/>
  <dimension ref="A1:P5015"/>
  <sheetViews>
    <sheetView workbookViewId="0"/>
  </sheetViews>
  <sheetFormatPr defaultRowHeight="12" x14ac:dyDescent="0.2"/>
  <cols>
    <col min="1" max="1" width="16.85546875" style="1" bestFit="1" customWidth="1"/>
    <col min="2" max="2" width="10.85546875" style="1" bestFit="1" customWidth="1"/>
    <col min="3" max="3" width="11.5703125" style="1" bestFit="1" customWidth="1"/>
    <col min="4" max="4" width="9.5703125" style="1" bestFit="1" customWidth="1"/>
    <col min="5" max="5" width="14.42578125" style="1" bestFit="1" customWidth="1"/>
    <col min="6" max="6" width="14.140625" style="1" bestFit="1" customWidth="1"/>
    <col min="7" max="7" width="9.140625" style="1"/>
    <col min="8" max="8" width="20.7109375" style="1" bestFit="1" customWidth="1"/>
    <col min="9" max="9" width="9.5703125" style="1" bestFit="1" customWidth="1"/>
    <col min="10" max="10" width="14.42578125" style="1" bestFit="1" customWidth="1"/>
    <col min="11" max="11" width="5.140625" style="1" bestFit="1" customWidth="1"/>
    <col min="12" max="12" width="14.140625" style="1" bestFit="1" customWidth="1"/>
    <col min="13" max="13" width="5.140625" style="1" bestFit="1" customWidth="1"/>
    <col min="14" max="14" width="9.7109375" style="1" customWidth="1"/>
    <col min="15" max="15" width="17.7109375" style="1" bestFit="1" customWidth="1"/>
    <col min="16" max="16" width="10.42578125" style="1" bestFit="1" customWidth="1"/>
    <col min="17" max="16384" width="9.140625" style="1"/>
  </cols>
  <sheetData>
    <row r="1" spans="2:16" x14ac:dyDescent="0.2">
      <c r="J1" s="21"/>
      <c r="K1" s="21"/>
    </row>
    <row r="2" spans="2:16" x14ac:dyDescent="0.2">
      <c r="H2" s="82" t="s">
        <v>34</v>
      </c>
      <c r="I2" s="8"/>
      <c r="J2" s="83" t="s">
        <v>33</v>
      </c>
      <c r="K2" s="9" t="s">
        <v>31</v>
      </c>
      <c r="L2" s="84" t="s">
        <v>32</v>
      </c>
      <c r="M2" s="9" t="s">
        <v>31</v>
      </c>
      <c r="O2" s="7" t="s">
        <v>30</v>
      </c>
      <c r="P2" s="18">
        <v>5000</v>
      </c>
    </row>
    <row r="3" spans="2:16" x14ac:dyDescent="0.2">
      <c r="H3" s="10" t="s">
        <v>29</v>
      </c>
      <c r="J3" s="85">
        <f>J15*Foreign_Ccy_Notional</f>
        <v>1370.3286289806147</v>
      </c>
      <c r="K3" s="22" t="s">
        <v>7</v>
      </c>
      <c r="L3" s="46">
        <f>Notional_amount*L15</f>
        <v>41779.960000000116</v>
      </c>
      <c r="M3" s="12" t="str">
        <f>Notional_Ccy</f>
        <v>FOR</v>
      </c>
      <c r="O3" s="10" t="s">
        <v>28</v>
      </c>
      <c r="P3" s="86">
        <v>5000</v>
      </c>
    </row>
    <row r="4" spans="2:16" x14ac:dyDescent="0.2">
      <c r="H4" s="10" t="s">
        <v>27</v>
      </c>
      <c r="J4" s="87">
        <f>EXP(-r_*T)</f>
        <v>0.94712397548866312</v>
      </c>
      <c r="K4" s="88"/>
      <c r="L4" s="45">
        <f>'GK Pricer'!G39</f>
        <v>0.9540432834884498</v>
      </c>
      <c r="M4" s="12"/>
      <c r="O4" s="10" t="s">
        <v>26</v>
      </c>
      <c r="P4" s="22">
        <f>P2*P3</f>
        <v>25000000</v>
      </c>
    </row>
    <row r="5" spans="2:16" x14ac:dyDescent="0.2">
      <c r="H5" s="10" t="s">
        <v>22</v>
      </c>
      <c r="J5" s="85">
        <f>J3*J4</f>
        <v>1297.8710988060491</v>
      </c>
      <c r="K5" s="22" t="s">
        <v>7</v>
      </c>
      <c r="L5" s="21">
        <f>L3*L4</f>
        <v>39859.890222416201</v>
      </c>
      <c r="M5" s="12" t="str">
        <f>Notional_Ccy</f>
        <v>FOR</v>
      </c>
      <c r="O5" s="10" t="s">
        <v>25</v>
      </c>
      <c r="P5" s="89">
        <v>39.3125</v>
      </c>
    </row>
    <row r="6" spans="2:16" x14ac:dyDescent="0.2">
      <c r="D6" s="90"/>
      <c r="E6" s="23"/>
      <c r="H6" s="27"/>
      <c r="I6" s="91"/>
      <c r="J6" s="38">
        <f>J5/ResultDomesticFXSpotRate</f>
        <v>1957.8686058320245</v>
      </c>
      <c r="K6" s="92" t="str">
        <f>ResultCurrency</f>
        <v>FOR</v>
      </c>
      <c r="L6" s="93">
        <f>L5/ResultNotionalFXSpotRate</f>
        <v>39859.890222416201</v>
      </c>
      <c r="M6" s="29" t="str">
        <f>ResultCurrency</f>
        <v>FOR</v>
      </c>
      <c r="O6" s="27" t="s">
        <v>24</v>
      </c>
      <c r="P6" s="94">
        <f>Monte_Carlo_Runtime/60</f>
        <v>0.65520833333333328</v>
      </c>
    </row>
    <row r="7" spans="2:16" x14ac:dyDescent="0.2">
      <c r="D7" s="23"/>
      <c r="E7" s="115"/>
      <c r="F7" s="115"/>
      <c r="H7" s="82" t="s">
        <v>23</v>
      </c>
      <c r="I7" s="8"/>
      <c r="J7" s="7"/>
      <c r="K7" s="9"/>
      <c r="L7" s="17"/>
      <c r="M7" s="9"/>
    </row>
    <row r="8" spans="2:16" x14ac:dyDescent="0.2">
      <c r="D8" s="23"/>
      <c r="E8" s="95"/>
      <c r="F8" s="95"/>
      <c r="H8" s="10" t="s">
        <v>22</v>
      </c>
      <c r="J8" s="85">
        <f>'GK Pricer'!K11</f>
        <v>1954.810873537243</v>
      </c>
      <c r="K8" s="12" t="str">
        <f>ResultCurrency</f>
        <v>FOR</v>
      </c>
      <c r="L8" s="21">
        <f>'GK Pricer'!$K$23</f>
        <v>39837.98260648569</v>
      </c>
      <c r="M8" s="12" t="str">
        <f>ResultCurrency</f>
        <v>FOR</v>
      </c>
    </row>
    <row r="9" spans="2:16" x14ac:dyDescent="0.2">
      <c r="D9" s="23"/>
      <c r="E9" s="95"/>
      <c r="F9" s="95"/>
      <c r="H9" s="27" t="s">
        <v>21</v>
      </c>
      <c r="I9" s="91"/>
      <c r="J9" s="38">
        <f>'GK Pricer'!K15</f>
        <v>1009.683980683159</v>
      </c>
      <c r="K9" s="29" t="str">
        <f>ResultCurrency</f>
        <v>FOR</v>
      </c>
      <c r="L9" s="91"/>
      <c r="M9" s="29" t="str">
        <f>ResultCurrency</f>
        <v>FOR</v>
      </c>
    </row>
    <row r="10" spans="2:16" x14ac:dyDescent="0.2">
      <c r="D10" s="23"/>
      <c r="E10" s="95"/>
      <c r="F10" s="95"/>
      <c r="H10" s="7" t="s">
        <v>20</v>
      </c>
      <c r="I10" s="8"/>
      <c r="J10" s="36">
        <f>J8-J6</f>
        <v>-3.0577322947815446</v>
      </c>
      <c r="K10" s="9" t="str">
        <f>ResultCurrency</f>
        <v>FOR</v>
      </c>
      <c r="L10" s="17">
        <f>L8-L6</f>
        <v>-21.907615930511383</v>
      </c>
      <c r="M10" s="9" t="str">
        <f>ResultCurrency</f>
        <v>FOR</v>
      </c>
    </row>
    <row r="11" spans="2:16" x14ac:dyDescent="0.2">
      <c r="D11" s="23"/>
      <c r="E11" s="95"/>
      <c r="F11" s="95"/>
      <c r="H11" s="27" t="s">
        <v>19</v>
      </c>
      <c r="I11" s="91"/>
      <c r="J11" s="96">
        <f>J10/J9</f>
        <v>-3.0284052765823443E-3</v>
      </c>
      <c r="K11" s="29"/>
      <c r="L11" s="31"/>
      <c r="M11" s="29"/>
    </row>
    <row r="12" spans="2:16" x14ac:dyDescent="0.2">
      <c r="D12" s="23"/>
      <c r="E12" s="95"/>
      <c r="F12" s="95"/>
      <c r="L12" s="21"/>
    </row>
    <row r="13" spans="2:16" x14ac:dyDescent="0.2">
      <c r="D13" s="23"/>
      <c r="E13" s="95"/>
      <c r="F13" s="95"/>
      <c r="L13" s="21"/>
    </row>
    <row r="14" spans="2:16" x14ac:dyDescent="0.2">
      <c r="B14" s="91"/>
      <c r="C14" s="91" t="s">
        <v>18</v>
      </c>
      <c r="D14" s="91" t="s">
        <v>17</v>
      </c>
      <c r="E14" s="91" t="s">
        <v>16</v>
      </c>
      <c r="F14" s="91" t="s">
        <v>15</v>
      </c>
      <c r="I14" s="1" t="s">
        <v>17</v>
      </c>
      <c r="J14" s="1" t="s">
        <v>16</v>
      </c>
      <c r="L14" s="21" t="s">
        <v>15</v>
      </c>
    </row>
    <row r="15" spans="2:16" x14ac:dyDescent="0.2">
      <c r="B15" s="4" t="s">
        <v>14</v>
      </c>
      <c r="C15" s="97">
        <f ca="1">AVERAGE(C16:C5015)</f>
        <v>-2.3159252293680766E-17</v>
      </c>
      <c r="D15" s="97">
        <f ca="1">AVERAGE(D16:D5015)</f>
        <v>0.66779422838402369</v>
      </c>
      <c r="E15" s="98">
        <f ca="1">AVERAGE(E16:E5015)</f>
        <v>1.6139044174146508E-3</v>
      </c>
      <c r="F15" s="99">
        <f ca="1">AVERAGE(F16:F5015)</f>
        <v>4.48E-2</v>
      </c>
      <c r="H15" s="1" t="s">
        <v>13</v>
      </c>
      <c r="I15" s="97">
        <f>AVERAGE(I16:I5015)</f>
        <v>0.66774372396574144</v>
      </c>
      <c r="J15" s="98">
        <f>AVERAGE(J16:J5015)</f>
        <v>1.3703286289806146E-3</v>
      </c>
      <c r="K15" s="98"/>
      <c r="L15" s="98">
        <f>AVERAGE(L16:L5015)</f>
        <v>4.1779960000000116E-2</v>
      </c>
      <c r="O15" s="100"/>
      <c r="P15" s="21"/>
    </row>
    <row r="16" spans="2:16" x14ac:dyDescent="0.2">
      <c r="B16" s="1">
        <v>1</v>
      </c>
      <c r="C16" s="101">
        <f t="shared" ref="C16:C79" ca="1" si="0">_xlfn.NORM.S.INV(RAND())</f>
        <v>0.15936539874184319</v>
      </c>
      <c r="D16" s="101">
        <f t="shared" ref="D16:D79" ca="1" si="1">S0*EXP((μ-0.5*σ*σ)*T+σ*SQRT(T)*$C16)</f>
        <v>0.67503068580676795</v>
      </c>
      <c r="E16" s="101">
        <f t="shared" ref="E16:E79" ca="1" si="2">MAX(0,CP*(D16-K))</f>
        <v>0</v>
      </c>
      <c r="F16" s="21">
        <f t="shared" ref="F16:F79" ca="1" si="3">(CP*(D16-K)&gt;0)*1</f>
        <v>0</v>
      </c>
      <c r="H16" s="21">
        <v>1</v>
      </c>
      <c r="I16" s="102">
        <v>0.6677765204731626</v>
      </c>
      <c r="J16" s="103">
        <v>1.2753596265741532E-3</v>
      </c>
      <c r="K16" s="103"/>
      <c r="L16" s="103">
        <v>4.1000000000000002E-2</v>
      </c>
      <c r="O16" s="100"/>
    </row>
    <row r="17" spans="2:15" x14ac:dyDescent="0.2">
      <c r="B17" s="1">
        <v>2</v>
      </c>
      <c r="C17" s="101">
        <f t="shared" ca="1" si="0"/>
        <v>-2.6243599518840535</v>
      </c>
      <c r="D17" s="101">
        <f t="shared" ca="1" si="1"/>
        <v>0.51294457127636806</v>
      </c>
      <c r="E17" s="101">
        <f t="shared" ca="1" si="2"/>
        <v>0</v>
      </c>
      <c r="F17" s="21">
        <f t="shared" ca="1" si="3"/>
        <v>0</v>
      </c>
      <c r="H17" s="21">
        <v>2</v>
      </c>
      <c r="I17" s="102">
        <v>0.66794096841371842</v>
      </c>
      <c r="J17" s="103">
        <v>1.6842110823530017E-3</v>
      </c>
      <c r="K17" s="103"/>
      <c r="L17" s="103">
        <v>4.7E-2</v>
      </c>
      <c r="O17" s="100"/>
    </row>
    <row r="18" spans="2:15" x14ac:dyDescent="0.2">
      <c r="B18" s="1">
        <v>3</v>
      </c>
      <c r="C18" s="101">
        <f t="shared" ca="1" si="0"/>
        <v>-0.85526705841221329</v>
      </c>
      <c r="D18" s="101">
        <f t="shared" ca="1" si="1"/>
        <v>0.61074129651828968</v>
      </c>
      <c r="E18" s="101">
        <f t="shared" ca="1" si="2"/>
        <v>0</v>
      </c>
      <c r="F18" s="21">
        <f t="shared" ca="1" si="3"/>
        <v>0</v>
      </c>
      <c r="H18" s="21">
        <v>3</v>
      </c>
      <c r="I18" s="102">
        <v>0.66764759173038024</v>
      </c>
      <c r="J18" s="103">
        <v>1.0855657989755666E-3</v>
      </c>
      <c r="K18" s="103"/>
      <c r="L18" s="103">
        <v>3.9800000000000002E-2</v>
      </c>
      <c r="O18" s="16"/>
    </row>
    <row r="19" spans="2:15" x14ac:dyDescent="0.2">
      <c r="B19" s="1">
        <v>4</v>
      </c>
      <c r="C19" s="101">
        <f t="shared" ca="1" si="0"/>
        <v>1.6126673633815416</v>
      </c>
      <c r="D19" s="101">
        <f t="shared" ca="1" si="1"/>
        <v>0.77908003619817701</v>
      </c>
      <c r="E19" s="101">
        <f t="shared" ca="1" si="2"/>
        <v>0</v>
      </c>
      <c r="F19" s="21">
        <f t="shared" ca="1" si="3"/>
        <v>0</v>
      </c>
      <c r="H19" s="21">
        <v>4</v>
      </c>
      <c r="I19" s="102">
        <v>0.66783534059067973</v>
      </c>
      <c r="J19" s="103">
        <v>1.5084025477430511E-3</v>
      </c>
      <c r="K19" s="103"/>
      <c r="L19" s="103">
        <v>4.58E-2</v>
      </c>
      <c r="O19" s="100"/>
    </row>
    <row r="20" spans="2:15" x14ac:dyDescent="0.2">
      <c r="B20" s="1">
        <v>5</v>
      </c>
      <c r="C20" s="101">
        <f t="shared" ca="1" si="0"/>
        <v>-0.75633634961733487</v>
      </c>
      <c r="D20" s="101">
        <f t="shared" ca="1" si="1"/>
        <v>0.61673048659751473</v>
      </c>
      <c r="E20" s="101">
        <f t="shared" ca="1" si="2"/>
        <v>0</v>
      </c>
      <c r="F20" s="21">
        <f t="shared" ca="1" si="3"/>
        <v>0</v>
      </c>
      <c r="H20" s="21">
        <v>5</v>
      </c>
      <c r="I20" s="102">
        <v>0.66767531112674294</v>
      </c>
      <c r="J20" s="103">
        <v>1.329393740459391E-3</v>
      </c>
      <c r="K20" s="103"/>
      <c r="L20" s="103">
        <v>4.2999999999999997E-2</v>
      </c>
      <c r="O20" s="100"/>
    </row>
    <row r="21" spans="2:15" x14ac:dyDescent="0.2">
      <c r="B21" s="1">
        <v>6</v>
      </c>
      <c r="C21" s="101">
        <f t="shared" ca="1" si="0"/>
        <v>-0.36269616245200348</v>
      </c>
      <c r="D21" s="101">
        <f t="shared" ca="1" si="1"/>
        <v>0.64114863233928421</v>
      </c>
      <c r="E21" s="101">
        <f t="shared" ca="1" si="2"/>
        <v>0</v>
      </c>
      <c r="F21" s="21">
        <f t="shared" ca="1" si="3"/>
        <v>0</v>
      </c>
      <c r="H21" s="21">
        <v>6</v>
      </c>
      <c r="I21" s="102">
        <v>0.66768125352703322</v>
      </c>
      <c r="J21" s="103">
        <v>1.2743335609243748E-3</v>
      </c>
      <c r="K21" s="103"/>
      <c r="L21" s="103">
        <v>4.1799999999999997E-2</v>
      </c>
      <c r="O21" s="100"/>
    </row>
    <row r="22" spans="2:15" x14ac:dyDescent="0.2">
      <c r="B22" s="1">
        <v>7</v>
      </c>
      <c r="C22" s="101">
        <f t="shared" ca="1" si="0"/>
        <v>-1.707903158235919</v>
      </c>
      <c r="D22" s="101">
        <f t="shared" ca="1" si="1"/>
        <v>0.56147559217791876</v>
      </c>
      <c r="E22" s="101">
        <f t="shared" ca="1" si="2"/>
        <v>0</v>
      </c>
      <c r="F22" s="21">
        <f t="shared" ca="1" si="3"/>
        <v>0</v>
      </c>
      <c r="H22" s="21">
        <v>7</v>
      </c>
      <c r="I22" s="102">
        <v>0.66756522417050568</v>
      </c>
      <c r="J22" s="103">
        <v>1.1814410742327067E-3</v>
      </c>
      <c r="K22" s="103"/>
      <c r="L22" s="103">
        <v>3.7400000000000003E-2</v>
      </c>
      <c r="O22" s="100"/>
    </row>
    <row r="23" spans="2:15" x14ac:dyDescent="0.2">
      <c r="B23" s="1">
        <v>8</v>
      </c>
      <c r="C23" s="101">
        <f t="shared" ca="1" si="0"/>
        <v>-0.72618992918937419</v>
      </c>
      <c r="D23" s="101">
        <f t="shared" ca="1" si="1"/>
        <v>0.61856717699986996</v>
      </c>
      <c r="E23" s="101">
        <f t="shared" ca="1" si="2"/>
        <v>0</v>
      </c>
      <c r="F23" s="21">
        <f t="shared" ca="1" si="3"/>
        <v>0</v>
      </c>
      <c r="H23" s="21">
        <v>8</v>
      </c>
      <c r="I23" s="102">
        <v>0.66764734255870495</v>
      </c>
      <c r="J23" s="103">
        <v>1.2707510538539938E-3</v>
      </c>
      <c r="K23" s="103"/>
      <c r="L23" s="103">
        <v>4.1200000000000001E-2</v>
      </c>
      <c r="O23" s="100"/>
    </row>
    <row r="24" spans="2:15" x14ac:dyDescent="0.2">
      <c r="B24" s="1">
        <v>9</v>
      </c>
      <c r="C24" s="101">
        <f t="shared" ca="1" si="0"/>
        <v>0.55264422039357153</v>
      </c>
      <c r="D24" s="101">
        <f t="shared" ca="1" si="1"/>
        <v>0.70173209115815194</v>
      </c>
      <c r="E24" s="101">
        <f t="shared" ca="1" si="2"/>
        <v>0</v>
      </c>
      <c r="F24" s="21">
        <f t="shared" ca="1" si="3"/>
        <v>0</v>
      </c>
      <c r="H24" s="21">
        <v>9</v>
      </c>
      <c r="I24" s="102">
        <v>0.66757500004791592</v>
      </c>
      <c r="J24" s="103">
        <v>1.0942744493788856E-3</v>
      </c>
      <c r="K24" s="103"/>
      <c r="L24" s="103">
        <v>3.8399999999999997E-2</v>
      </c>
      <c r="O24" s="100"/>
    </row>
    <row r="25" spans="2:15" x14ac:dyDescent="0.2">
      <c r="B25" s="1">
        <v>10</v>
      </c>
      <c r="C25" s="101">
        <f t="shared" ca="1" si="0"/>
        <v>1.4143773157153738</v>
      </c>
      <c r="D25" s="101">
        <f t="shared" ca="1" si="1"/>
        <v>0.76398961002962329</v>
      </c>
      <c r="E25" s="101">
        <f t="shared" ca="1" si="2"/>
        <v>0</v>
      </c>
      <c r="F25" s="21">
        <f t="shared" ca="1" si="3"/>
        <v>0</v>
      </c>
      <c r="H25" s="21">
        <v>10</v>
      </c>
      <c r="I25" s="102">
        <v>0.66775332534338228</v>
      </c>
      <c r="J25" s="103">
        <v>1.5063369519180895E-3</v>
      </c>
      <c r="K25" s="103"/>
      <c r="L25" s="103">
        <v>4.36E-2</v>
      </c>
      <c r="O25" s="100"/>
    </row>
    <row r="26" spans="2:15" x14ac:dyDescent="0.2">
      <c r="B26" s="1">
        <v>11</v>
      </c>
      <c r="C26" s="101">
        <f t="shared" ca="1" si="0"/>
        <v>-0.38799404671146315</v>
      </c>
      <c r="D26" s="101">
        <f t="shared" ca="1" si="1"/>
        <v>0.63955069383418173</v>
      </c>
      <c r="E26" s="101">
        <f t="shared" ca="1" si="2"/>
        <v>0</v>
      </c>
      <c r="F26" s="21">
        <f t="shared" ca="1" si="3"/>
        <v>0</v>
      </c>
      <c r="H26" s="21">
        <v>11</v>
      </c>
      <c r="I26" s="102">
        <v>0.66772908896911309</v>
      </c>
      <c r="J26" s="103">
        <v>1.3758151593395106E-3</v>
      </c>
      <c r="K26" s="103"/>
      <c r="L26" s="103">
        <v>3.9399999999999998E-2</v>
      </c>
      <c r="O26" s="100"/>
    </row>
    <row r="27" spans="2:15" x14ac:dyDescent="0.2">
      <c r="B27" s="1">
        <v>12</v>
      </c>
      <c r="C27" s="101">
        <f t="shared" ca="1" si="0"/>
        <v>-3.1222083153567774E-2</v>
      </c>
      <c r="D27" s="101">
        <f t="shared" ca="1" si="1"/>
        <v>0.66245878751779297</v>
      </c>
      <c r="E27" s="101">
        <f t="shared" ca="1" si="2"/>
        <v>0</v>
      </c>
      <c r="F27" s="21">
        <f t="shared" ca="1" si="3"/>
        <v>0</v>
      </c>
      <c r="H27" s="21">
        <v>12</v>
      </c>
      <c r="I27" s="102">
        <v>0.66777743820054081</v>
      </c>
      <c r="J27" s="103">
        <v>1.3999758256633208E-3</v>
      </c>
      <c r="K27" s="103"/>
      <c r="L27" s="103">
        <v>4.2200000000000001E-2</v>
      </c>
      <c r="O27" s="100"/>
    </row>
    <row r="28" spans="2:15" x14ac:dyDescent="0.2">
      <c r="B28" s="1">
        <v>13</v>
      </c>
      <c r="C28" s="101">
        <f t="shared" ca="1" si="0"/>
        <v>-1.3323895591465635</v>
      </c>
      <c r="D28" s="101">
        <f t="shared" ca="1" si="1"/>
        <v>0.58266328486859464</v>
      </c>
      <c r="E28" s="101">
        <f t="shared" ca="1" si="2"/>
        <v>0</v>
      </c>
      <c r="F28" s="21">
        <f t="shared" ca="1" si="3"/>
        <v>0</v>
      </c>
      <c r="H28" s="21">
        <v>13</v>
      </c>
      <c r="I28" s="102">
        <v>0.6679616255612465</v>
      </c>
      <c r="J28" s="103">
        <v>1.5507785313282206E-3</v>
      </c>
      <c r="K28" s="103"/>
      <c r="L28" s="103">
        <v>4.5600000000000002E-2</v>
      </c>
      <c r="O28" s="100"/>
    </row>
    <row r="29" spans="2:15" x14ac:dyDescent="0.2">
      <c r="B29" s="1">
        <v>14</v>
      </c>
      <c r="C29" s="101">
        <f t="shared" ca="1" si="0"/>
        <v>1.0511352752225445</v>
      </c>
      <c r="D29" s="101">
        <f t="shared" ca="1" si="1"/>
        <v>0.73709995945426643</v>
      </c>
      <c r="E29" s="101">
        <f t="shared" ca="1" si="2"/>
        <v>0</v>
      </c>
      <c r="F29" s="21">
        <f t="shared" ca="1" si="3"/>
        <v>0</v>
      </c>
      <c r="H29" s="21">
        <v>14</v>
      </c>
      <c r="I29" s="102">
        <v>0.66776902965346363</v>
      </c>
      <c r="J29" s="103">
        <v>1.2629486715229118E-3</v>
      </c>
      <c r="K29" s="103"/>
      <c r="L29" s="103">
        <v>4.1599999999999998E-2</v>
      </c>
      <c r="O29" s="100"/>
    </row>
    <row r="30" spans="2:15" x14ac:dyDescent="0.2">
      <c r="B30" s="1">
        <v>15</v>
      </c>
      <c r="C30" s="101">
        <f t="shared" ca="1" si="0"/>
        <v>3.3875324946743186</v>
      </c>
      <c r="D30" s="101">
        <f t="shared" ca="1" si="1"/>
        <v>0.92814579992298185</v>
      </c>
      <c r="E30" s="101">
        <f t="shared" ca="1" si="2"/>
        <v>0.13994579992298184</v>
      </c>
      <c r="F30" s="21">
        <f t="shared" ca="1" si="3"/>
        <v>1</v>
      </c>
      <c r="H30" s="21">
        <v>15</v>
      </c>
      <c r="I30" s="102">
        <v>0.66778844892817113</v>
      </c>
      <c r="J30" s="103">
        <v>1.5015512067497723E-3</v>
      </c>
      <c r="K30" s="103"/>
      <c r="L30" s="103">
        <v>4.5999999999999999E-2</v>
      </c>
      <c r="O30" s="100"/>
    </row>
    <row r="31" spans="2:15" x14ac:dyDescent="0.2">
      <c r="B31" s="1">
        <v>16</v>
      </c>
      <c r="C31" s="101">
        <f t="shared" ca="1" si="0"/>
        <v>1.7822387919558214</v>
      </c>
      <c r="D31" s="101">
        <f t="shared" ca="1" si="1"/>
        <v>0.79222111095620329</v>
      </c>
      <c r="E31" s="101">
        <f t="shared" ca="1" si="2"/>
        <v>4.0211109562032776E-3</v>
      </c>
      <c r="F31" s="21">
        <f t="shared" ca="1" si="3"/>
        <v>1</v>
      </c>
      <c r="H31" s="21">
        <v>16</v>
      </c>
      <c r="I31" s="102">
        <v>0.66767712537162283</v>
      </c>
      <c r="J31" s="103">
        <v>1.2913127541804336E-3</v>
      </c>
      <c r="K31" s="103"/>
      <c r="L31" s="103">
        <v>0.04</v>
      </c>
      <c r="O31" s="100"/>
    </row>
    <row r="32" spans="2:15" x14ac:dyDescent="0.2">
      <c r="B32" s="1">
        <v>17</v>
      </c>
      <c r="C32" s="101">
        <f t="shared" ca="1" si="0"/>
        <v>1.7066080425976344</v>
      </c>
      <c r="D32" s="101">
        <f t="shared" ca="1" si="1"/>
        <v>0.78633288136959334</v>
      </c>
      <c r="E32" s="101">
        <f t="shared" ca="1" si="2"/>
        <v>0</v>
      </c>
      <c r="F32" s="21">
        <f t="shared" ca="1" si="3"/>
        <v>0</v>
      </c>
      <c r="H32" s="21">
        <v>17</v>
      </c>
      <c r="I32" s="102">
        <v>0.66772648548031532</v>
      </c>
      <c r="J32" s="103">
        <v>1.4103100937902389E-3</v>
      </c>
      <c r="K32" s="103"/>
      <c r="L32" s="103">
        <v>4.2200000000000001E-2</v>
      </c>
      <c r="O32" s="100"/>
    </row>
    <row r="33" spans="2:15" x14ac:dyDescent="0.2">
      <c r="B33" s="1">
        <v>18</v>
      </c>
      <c r="C33" s="101">
        <f t="shared" ca="1" si="0"/>
        <v>-0.51413886019914878</v>
      </c>
      <c r="D33" s="101">
        <f t="shared" ca="1" si="1"/>
        <v>0.6316420122087274</v>
      </c>
      <c r="E33" s="101">
        <f t="shared" ca="1" si="2"/>
        <v>0</v>
      </c>
      <c r="F33" s="21">
        <f t="shared" ca="1" si="3"/>
        <v>0</v>
      </c>
      <c r="H33" s="21">
        <v>18</v>
      </c>
      <c r="I33" s="102">
        <v>0.66782871104480368</v>
      </c>
      <c r="J33" s="103">
        <v>1.4656419335104341E-3</v>
      </c>
      <c r="K33" s="103"/>
      <c r="L33" s="103">
        <v>4.4600000000000001E-2</v>
      </c>
      <c r="O33" s="100"/>
    </row>
    <row r="34" spans="2:15" x14ac:dyDescent="0.2">
      <c r="B34" s="1">
        <v>19</v>
      </c>
      <c r="C34" s="101">
        <f t="shared" ca="1" si="0"/>
        <v>0.8494635794874571</v>
      </c>
      <c r="D34" s="101">
        <f t="shared" ca="1" si="1"/>
        <v>0.72258159636225461</v>
      </c>
      <c r="E34" s="101">
        <f t="shared" ca="1" si="2"/>
        <v>0</v>
      </c>
      <c r="F34" s="21">
        <f t="shared" ca="1" si="3"/>
        <v>0</v>
      </c>
      <c r="H34" s="21">
        <v>19</v>
      </c>
      <c r="I34" s="102">
        <v>0.66776482928583059</v>
      </c>
      <c r="J34" s="103">
        <v>1.2956340660477072E-3</v>
      </c>
      <c r="K34" s="103"/>
      <c r="L34" s="103">
        <v>3.9E-2</v>
      </c>
      <c r="O34" s="100"/>
    </row>
    <row r="35" spans="2:15" x14ac:dyDescent="0.2">
      <c r="B35" s="1">
        <v>20</v>
      </c>
      <c r="C35" s="101">
        <f t="shared" ca="1" si="0"/>
        <v>0.21685174459406262</v>
      </c>
      <c r="D35" s="101">
        <f t="shared" ca="1" si="1"/>
        <v>0.67886934045114067</v>
      </c>
      <c r="E35" s="101">
        <f t="shared" ca="1" si="2"/>
        <v>0</v>
      </c>
      <c r="F35" s="21">
        <f t="shared" ca="1" si="3"/>
        <v>0</v>
      </c>
      <c r="H35" s="21">
        <v>20</v>
      </c>
      <c r="I35" s="102">
        <v>0.66793299250596083</v>
      </c>
      <c r="J35" s="103">
        <v>1.567296021165646E-3</v>
      </c>
      <c r="K35" s="103"/>
      <c r="L35" s="103">
        <v>4.48E-2</v>
      </c>
      <c r="O35" s="100"/>
    </row>
    <row r="36" spans="2:15" x14ac:dyDescent="0.2">
      <c r="B36" s="1">
        <v>21</v>
      </c>
      <c r="C36" s="101">
        <f t="shared" ca="1" si="0"/>
        <v>2.4275208040567842</v>
      </c>
      <c r="D36" s="101">
        <f t="shared" ca="1" si="1"/>
        <v>0.84428659671077577</v>
      </c>
      <c r="E36" s="101">
        <f t="shared" ca="1" si="2"/>
        <v>5.608659671077576E-2</v>
      </c>
      <c r="F36" s="21">
        <f t="shared" ca="1" si="3"/>
        <v>1</v>
      </c>
      <c r="H36" s="21">
        <v>21</v>
      </c>
      <c r="I36" s="102">
        <v>0.66769048160989064</v>
      </c>
      <c r="J36" s="103">
        <v>1.3085320396230547E-3</v>
      </c>
      <c r="K36" s="103"/>
      <c r="L36" s="103">
        <v>3.6999999999999998E-2</v>
      </c>
      <c r="O36" s="100"/>
    </row>
    <row r="37" spans="2:15" x14ac:dyDescent="0.2">
      <c r="B37" s="1">
        <v>22</v>
      </c>
      <c r="C37" s="101">
        <f t="shared" ca="1" si="0"/>
        <v>-0.68963017483341316</v>
      </c>
      <c r="D37" s="101">
        <f t="shared" ca="1" si="1"/>
        <v>0.6208019446451275</v>
      </c>
      <c r="E37" s="101">
        <f t="shared" ca="1" si="2"/>
        <v>0</v>
      </c>
      <c r="F37" s="21">
        <f t="shared" ca="1" si="3"/>
        <v>0</v>
      </c>
      <c r="H37" s="21">
        <v>22</v>
      </c>
      <c r="I37" s="102">
        <v>0.66783474383080643</v>
      </c>
      <c r="J37" s="103">
        <v>1.5124912336579822E-3</v>
      </c>
      <c r="K37" s="103"/>
      <c r="L37" s="103">
        <v>4.5400000000000003E-2</v>
      </c>
      <c r="O37" s="100"/>
    </row>
    <row r="38" spans="2:15" x14ac:dyDescent="0.2">
      <c r="B38" s="1">
        <v>23</v>
      </c>
      <c r="C38" s="101">
        <f t="shared" ca="1" si="0"/>
        <v>-0.5701450048213943</v>
      </c>
      <c r="D38" s="101">
        <f t="shared" ca="1" si="1"/>
        <v>0.62816211428828128</v>
      </c>
      <c r="E38" s="101">
        <f t="shared" ca="1" si="2"/>
        <v>0</v>
      </c>
      <c r="F38" s="21">
        <f t="shared" ca="1" si="3"/>
        <v>0</v>
      </c>
      <c r="H38" s="21">
        <v>23</v>
      </c>
      <c r="I38" s="102">
        <v>0.66773997251130057</v>
      </c>
      <c r="J38" s="103">
        <v>1.367019047834088E-3</v>
      </c>
      <c r="K38" s="103"/>
      <c r="L38" s="103">
        <v>4.2799999999999998E-2</v>
      </c>
      <c r="O38" s="100"/>
    </row>
    <row r="39" spans="2:15" x14ac:dyDescent="0.2">
      <c r="B39" s="1">
        <v>24</v>
      </c>
      <c r="C39" s="101">
        <f t="shared" ca="1" si="0"/>
        <v>0.47122483926335035</v>
      </c>
      <c r="D39" s="101">
        <f t="shared" ca="1" si="1"/>
        <v>0.69611883030601207</v>
      </c>
      <c r="E39" s="101">
        <f t="shared" ca="1" si="2"/>
        <v>0</v>
      </c>
      <c r="F39" s="21">
        <f t="shared" ca="1" si="3"/>
        <v>0</v>
      </c>
      <c r="H39" s="21">
        <v>24</v>
      </c>
      <c r="I39" s="102">
        <v>0.66775535586906454</v>
      </c>
      <c r="J39" s="103">
        <v>1.4278244064342529E-3</v>
      </c>
      <c r="K39" s="103"/>
      <c r="L39" s="103">
        <v>0.04</v>
      </c>
      <c r="O39" s="100"/>
    </row>
    <row r="40" spans="2:15" x14ac:dyDescent="0.2">
      <c r="B40" s="1">
        <v>25</v>
      </c>
      <c r="C40" s="101">
        <f t="shared" ca="1" si="0"/>
        <v>0.13786862879367739</v>
      </c>
      <c r="D40" s="101">
        <f t="shared" ca="1" si="1"/>
        <v>0.67360082009382161</v>
      </c>
      <c r="E40" s="101">
        <f t="shared" ca="1" si="2"/>
        <v>0</v>
      </c>
      <c r="F40" s="21">
        <f t="shared" ca="1" si="3"/>
        <v>0</v>
      </c>
      <c r="H40" s="21">
        <v>25</v>
      </c>
      <c r="I40" s="102">
        <v>0.66772340780329442</v>
      </c>
      <c r="J40" s="103">
        <v>1.4159889471651262E-3</v>
      </c>
      <c r="K40" s="103"/>
      <c r="L40" s="103">
        <v>4.2999999999999997E-2</v>
      </c>
      <c r="O40" s="100"/>
    </row>
    <row r="41" spans="2:15" x14ac:dyDescent="0.2">
      <c r="B41" s="1">
        <v>26</v>
      </c>
      <c r="C41" s="101">
        <f t="shared" ca="1" si="0"/>
        <v>0.79729220809686785</v>
      </c>
      <c r="D41" s="101">
        <f t="shared" ca="1" si="1"/>
        <v>0.71887256048484871</v>
      </c>
      <c r="E41" s="101">
        <f t="shared" ca="1" si="2"/>
        <v>0</v>
      </c>
      <c r="F41" s="21">
        <f t="shared" ca="1" si="3"/>
        <v>0</v>
      </c>
      <c r="H41" s="21">
        <v>26</v>
      </c>
      <c r="I41" s="102">
        <v>0.66783514011789835</v>
      </c>
      <c r="J41" s="103">
        <v>1.6271909526512549E-3</v>
      </c>
      <c r="K41" s="103"/>
      <c r="L41" s="103">
        <v>4.3400000000000001E-2</v>
      </c>
      <c r="O41" s="100"/>
    </row>
    <row r="42" spans="2:15" x14ac:dyDescent="0.2">
      <c r="B42" s="1">
        <v>27</v>
      </c>
      <c r="C42" s="101">
        <f t="shared" ca="1" si="0"/>
        <v>1.5589569752989008</v>
      </c>
      <c r="D42" s="101">
        <f t="shared" ca="1" si="1"/>
        <v>0.77496333529428441</v>
      </c>
      <c r="E42" s="101">
        <f t="shared" ca="1" si="2"/>
        <v>0</v>
      </c>
      <c r="F42" s="21">
        <f t="shared" ca="1" si="3"/>
        <v>0</v>
      </c>
      <c r="H42" s="21">
        <v>27</v>
      </c>
      <c r="I42" s="102">
        <v>0.66777152475640678</v>
      </c>
      <c r="J42" s="103">
        <v>1.2279955151715224E-3</v>
      </c>
      <c r="K42" s="103"/>
      <c r="L42" s="103">
        <v>3.9E-2</v>
      </c>
      <c r="O42" s="100"/>
    </row>
    <row r="43" spans="2:15" x14ac:dyDescent="0.2">
      <c r="B43" s="1">
        <v>28</v>
      </c>
      <c r="C43" s="101">
        <f t="shared" ca="1" si="0"/>
        <v>-2.2477937639293599</v>
      </c>
      <c r="D43" s="101">
        <f t="shared" ca="1" si="1"/>
        <v>0.53235618136302487</v>
      </c>
      <c r="E43" s="101">
        <f t="shared" ca="1" si="2"/>
        <v>0</v>
      </c>
      <c r="F43" s="21">
        <f t="shared" ca="1" si="3"/>
        <v>0</v>
      </c>
      <c r="H43" s="21">
        <v>28</v>
      </c>
      <c r="I43" s="102">
        <v>0.66780235637162444</v>
      </c>
      <c r="J43" s="103">
        <v>1.2973591929083211E-3</v>
      </c>
      <c r="K43" s="103"/>
      <c r="L43" s="103">
        <v>4.1399999999999999E-2</v>
      </c>
      <c r="O43" s="100"/>
    </row>
    <row r="44" spans="2:15" x14ac:dyDescent="0.2">
      <c r="B44" s="1">
        <v>29</v>
      </c>
      <c r="C44" s="101">
        <f t="shared" ca="1" si="0"/>
        <v>0.63279480478834649</v>
      </c>
      <c r="D44" s="101">
        <f t="shared" ca="1" si="1"/>
        <v>0.70730208690651342</v>
      </c>
      <c r="E44" s="101">
        <f t="shared" ca="1" si="2"/>
        <v>0</v>
      </c>
      <c r="F44" s="21">
        <f t="shared" ca="1" si="3"/>
        <v>0</v>
      </c>
      <c r="H44" s="21">
        <v>29</v>
      </c>
      <c r="I44" s="102">
        <v>0.66759557013720716</v>
      </c>
      <c r="J44" s="103">
        <v>1.3238646640951032E-3</v>
      </c>
      <c r="K44" s="103"/>
      <c r="L44" s="103">
        <v>3.9199999999999999E-2</v>
      </c>
      <c r="O44" s="100"/>
    </row>
    <row r="45" spans="2:15" x14ac:dyDescent="0.2">
      <c r="B45" s="1">
        <v>30</v>
      </c>
      <c r="C45" s="101">
        <f t="shared" ca="1" si="0"/>
        <v>1.640904466838623</v>
      </c>
      <c r="D45" s="101">
        <f t="shared" ca="1" si="1"/>
        <v>0.78125306804869021</v>
      </c>
      <c r="E45" s="101">
        <f t="shared" ca="1" si="2"/>
        <v>0</v>
      </c>
      <c r="F45" s="21">
        <f t="shared" ca="1" si="3"/>
        <v>0</v>
      </c>
      <c r="H45" s="21">
        <v>30</v>
      </c>
      <c r="I45" s="102">
        <v>0.66773801033337621</v>
      </c>
      <c r="J45" s="103">
        <v>1.3335844764140212E-3</v>
      </c>
      <c r="K45" s="103"/>
      <c r="L45" s="103">
        <v>3.9800000000000002E-2</v>
      </c>
      <c r="O45" s="100"/>
    </row>
    <row r="46" spans="2:15" x14ac:dyDescent="0.2">
      <c r="B46" s="1">
        <v>31</v>
      </c>
      <c r="C46" s="101">
        <f t="shared" ca="1" si="0"/>
        <v>-2.4248366375105954</v>
      </c>
      <c r="D46" s="101">
        <f t="shared" ca="1" si="1"/>
        <v>0.52313995852662298</v>
      </c>
      <c r="E46" s="101">
        <f t="shared" ca="1" si="2"/>
        <v>0</v>
      </c>
      <c r="F46" s="21">
        <f t="shared" ca="1" si="3"/>
        <v>0</v>
      </c>
      <c r="H46" s="21">
        <v>31</v>
      </c>
      <c r="I46" s="102">
        <v>0.66766356552963624</v>
      </c>
      <c r="J46" s="103">
        <v>1.2306480557741938E-3</v>
      </c>
      <c r="K46" s="103"/>
      <c r="L46" s="103">
        <v>3.7400000000000003E-2</v>
      </c>
      <c r="O46" s="100"/>
    </row>
    <row r="47" spans="2:15" x14ac:dyDescent="0.2">
      <c r="B47" s="1">
        <v>32</v>
      </c>
      <c r="C47" s="101">
        <f t="shared" ca="1" si="0"/>
        <v>1.3647543216237941</v>
      </c>
      <c r="D47" s="101">
        <f t="shared" ca="1" si="1"/>
        <v>0.76025911176734184</v>
      </c>
      <c r="E47" s="101">
        <f t="shared" ca="1" si="2"/>
        <v>0</v>
      </c>
      <c r="F47" s="21">
        <f t="shared" ca="1" si="3"/>
        <v>0</v>
      </c>
      <c r="H47" s="21">
        <v>32</v>
      </c>
      <c r="I47" s="102">
        <v>0.6678293084695196</v>
      </c>
      <c r="J47" s="103">
        <v>1.5251297623356849E-3</v>
      </c>
      <c r="K47" s="103"/>
      <c r="L47" s="103">
        <v>4.48E-2</v>
      </c>
      <c r="O47" s="100"/>
    </row>
    <row r="48" spans="2:15" x14ac:dyDescent="0.2">
      <c r="B48" s="1">
        <v>33</v>
      </c>
      <c r="C48" s="101">
        <f t="shared" ca="1" si="0"/>
        <v>0.2977141099296497</v>
      </c>
      <c r="D48" s="101">
        <f t="shared" ca="1" si="1"/>
        <v>0.6843059073306943</v>
      </c>
      <c r="E48" s="101">
        <f t="shared" ca="1" si="2"/>
        <v>0</v>
      </c>
      <c r="F48" s="21">
        <f t="shared" ca="1" si="3"/>
        <v>0</v>
      </c>
      <c r="H48" s="21">
        <v>33</v>
      </c>
      <c r="I48" s="102">
        <v>0.66772957563804658</v>
      </c>
      <c r="J48" s="103">
        <v>1.3140847316562272E-3</v>
      </c>
      <c r="K48" s="103"/>
      <c r="L48" s="103">
        <v>3.8800000000000001E-2</v>
      </c>
      <c r="O48" s="100"/>
    </row>
    <row r="49" spans="2:15" x14ac:dyDescent="0.2">
      <c r="B49" s="1">
        <v>34</v>
      </c>
      <c r="C49" s="101">
        <f t="shared" ca="1" si="0"/>
        <v>-0.87889574094781941</v>
      </c>
      <c r="D49" s="101">
        <f t="shared" ca="1" si="1"/>
        <v>0.60931945996886172</v>
      </c>
      <c r="E49" s="101">
        <f t="shared" ca="1" si="2"/>
        <v>0</v>
      </c>
      <c r="F49" s="21">
        <f t="shared" ca="1" si="3"/>
        <v>0</v>
      </c>
      <c r="H49" s="21">
        <v>34</v>
      </c>
      <c r="I49" s="102">
        <v>0.66752435356611406</v>
      </c>
      <c r="J49" s="103">
        <v>1.1982511403030986E-3</v>
      </c>
      <c r="K49" s="103"/>
      <c r="L49" s="103">
        <v>3.6600000000000001E-2</v>
      </c>
      <c r="O49" s="100"/>
    </row>
    <row r="50" spans="2:15" x14ac:dyDescent="0.2">
      <c r="B50" s="1">
        <v>35</v>
      </c>
      <c r="C50" s="101">
        <f t="shared" ca="1" si="0"/>
        <v>-0.69483395056724551</v>
      </c>
      <c r="D50" s="101">
        <f t="shared" ca="1" si="1"/>
        <v>0.62048336422371331</v>
      </c>
      <c r="E50" s="101">
        <f t="shared" ca="1" si="2"/>
        <v>0</v>
      </c>
      <c r="F50" s="21">
        <f t="shared" ca="1" si="3"/>
        <v>0</v>
      </c>
      <c r="H50" s="21">
        <v>35</v>
      </c>
      <c r="I50" s="102">
        <v>0.66777572195641721</v>
      </c>
      <c r="J50" s="103">
        <v>1.5188216141500174E-3</v>
      </c>
      <c r="K50" s="103"/>
      <c r="L50" s="103">
        <v>4.6600000000000003E-2</v>
      </c>
      <c r="O50" s="100"/>
    </row>
    <row r="51" spans="2:15" x14ac:dyDescent="0.2">
      <c r="B51" s="1">
        <v>36</v>
      </c>
      <c r="C51" s="101">
        <f t="shared" ca="1" si="0"/>
        <v>0.76316195334516024</v>
      </c>
      <c r="D51" s="101">
        <f t="shared" ca="1" si="1"/>
        <v>0.71645643501818834</v>
      </c>
      <c r="E51" s="101">
        <f t="shared" ca="1" si="2"/>
        <v>0</v>
      </c>
      <c r="F51" s="21">
        <f t="shared" ca="1" si="3"/>
        <v>0</v>
      </c>
      <c r="H51" s="21">
        <v>36</v>
      </c>
      <c r="I51" s="102">
        <v>0.66762832454338772</v>
      </c>
      <c r="J51" s="103">
        <v>1.315775737493582E-3</v>
      </c>
      <c r="K51" s="103"/>
      <c r="L51" s="103">
        <v>3.8199999999999998E-2</v>
      </c>
      <c r="O51" s="100"/>
    </row>
    <row r="52" spans="2:15" x14ac:dyDescent="0.2">
      <c r="B52" s="1">
        <v>37</v>
      </c>
      <c r="C52" s="101">
        <f t="shared" ca="1" si="0"/>
        <v>0.8809712797007645</v>
      </c>
      <c r="D52" s="101">
        <f t="shared" ca="1" si="1"/>
        <v>0.72483084549404619</v>
      </c>
      <c r="E52" s="101">
        <f t="shared" ca="1" si="2"/>
        <v>0</v>
      </c>
      <c r="F52" s="21">
        <f t="shared" ca="1" si="3"/>
        <v>0</v>
      </c>
      <c r="H52" s="21">
        <v>37</v>
      </c>
      <c r="I52" s="102">
        <v>0.66759782770254228</v>
      </c>
      <c r="J52" s="103">
        <v>1.1380974035945387E-3</v>
      </c>
      <c r="K52" s="103"/>
      <c r="L52" s="103">
        <v>3.9199999999999999E-2</v>
      </c>
      <c r="O52" s="100"/>
    </row>
    <row r="53" spans="2:15" x14ac:dyDescent="0.2">
      <c r="B53" s="1">
        <v>38</v>
      </c>
      <c r="C53" s="101">
        <f t="shared" ca="1" si="0"/>
        <v>1.6559885405523818</v>
      </c>
      <c r="D53" s="101">
        <f t="shared" ca="1" si="1"/>
        <v>0.78241636989902097</v>
      </c>
      <c r="E53" s="101">
        <f t="shared" ca="1" si="2"/>
        <v>0</v>
      </c>
      <c r="F53" s="21">
        <f t="shared" ca="1" si="3"/>
        <v>0</v>
      </c>
      <c r="H53" s="21">
        <v>38</v>
      </c>
      <c r="I53" s="102">
        <v>0.66763623861823118</v>
      </c>
      <c r="J53" s="103">
        <v>1.3597791708211534E-3</v>
      </c>
      <c r="K53" s="103"/>
      <c r="L53" s="103">
        <v>4.1000000000000002E-2</v>
      </c>
      <c r="O53" s="100"/>
    </row>
    <row r="54" spans="2:15" x14ac:dyDescent="0.2">
      <c r="B54" s="1">
        <v>39</v>
      </c>
      <c r="C54" s="101">
        <f t="shared" ca="1" si="0"/>
        <v>-0.51848364501424138</v>
      </c>
      <c r="D54" s="101">
        <f t="shared" ca="1" si="1"/>
        <v>0.63137136402287941</v>
      </c>
      <c r="E54" s="101">
        <f t="shared" ca="1" si="2"/>
        <v>0</v>
      </c>
      <c r="F54" s="21">
        <f t="shared" ca="1" si="3"/>
        <v>0</v>
      </c>
      <c r="H54" s="21">
        <v>39</v>
      </c>
      <c r="I54" s="102">
        <v>0.66762330959454541</v>
      </c>
      <c r="J54" s="103">
        <v>1.1792852388074031E-3</v>
      </c>
      <c r="K54" s="103"/>
      <c r="L54" s="103">
        <v>3.7199999999999997E-2</v>
      </c>
      <c r="O54" s="100"/>
    </row>
    <row r="55" spans="2:15" x14ac:dyDescent="0.2">
      <c r="B55" s="1">
        <v>40</v>
      </c>
      <c r="C55" s="101">
        <f t="shared" ca="1" si="0"/>
        <v>-0.8432842129953223</v>
      </c>
      <c r="D55" s="101">
        <f t="shared" ca="1" si="1"/>
        <v>0.61146362183769076</v>
      </c>
      <c r="E55" s="101">
        <f t="shared" ca="1" si="2"/>
        <v>0</v>
      </c>
      <c r="F55" s="21">
        <f t="shared" ca="1" si="3"/>
        <v>0</v>
      </c>
      <c r="H55" s="21">
        <v>40</v>
      </c>
      <c r="I55" s="102">
        <v>0.66778303665174576</v>
      </c>
      <c r="J55" s="103">
        <v>1.3774590933025451E-3</v>
      </c>
      <c r="K55" s="103"/>
      <c r="L55" s="103">
        <v>4.4400000000000002E-2</v>
      </c>
      <c r="O55" s="100"/>
    </row>
    <row r="56" spans="2:15" x14ac:dyDescent="0.2">
      <c r="B56" s="1">
        <v>41</v>
      </c>
      <c r="C56" s="101">
        <f t="shared" ca="1" si="0"/>
        <v>-1.3037186317791953</v>
      </c>
      <c r="D56" s="101">
        <f t="shared" ca="1" si="1"/>
        <v>0.58431346958804253</v>
      </c>
      <c r="E56" s="101">
        <f t="shared" ca="1" si="2"/>
        <v>0</v>
      </c>
      <c r="F56" s="21">
        <f t="shared" ca="1" si="3"/>
        <v>0</v>
      </c>
      <c r="H56" s="21">
        <v>41</v>
      </c>
      <c r="I56" s="102">
        <v>0.66782674565974121</v>
      </c>
      <c r="J56" s="103">
        <v>1.3900975108238609E-3</v>
      </c>
      <c r="K56" s="103"/>
      <c r="L56" s="103">
        <v>4.4400000000000002E-2</v>
      </c>
      <c r="O56" s="100"/>
    </row>
    <row r="57" spans="2:15" x14ac:dyDescent="0.2">
      <c r="B57" s="1">
        <v>42</v>
      </c>
      <c r="C57" s="101">
        <f t="shared" ca="1" si="0"/>
        <v>-0.63784558867757324</v>
      </c>
      <c r="D57" s="101">
        <f t="shared" ca="1" si="1"/>
        <v>0.62398117620686122</v>
      </c>
      <c r="E57" s="101">
        <f t="shared" ca="1" si="2"/>
        <v>0</v>
      </c>
      <c r="F57" s="21">
        <f t="shared" ca="1" si="3"/>
        <v>0</v>
      </c>
      <c r="H57" s="21">
        <v>42</v>
      </c>
      <c r="I57" s="102">
        <v>0.66784411913150254</v>
      </c>
      <c r="J57" s="103">
        <v>1.5108084813399644E-3</v>
      </c>
      <c r="K57" s="103"/>
      <c r="L57" s="103">
        <v>4.4999999999999998E-2</v>
      </c>
      <c r="O57" s="100"/>
    </row>
    <row r="58" spans="2:15" x14ac:dyDescent="0.2">
      <c r="B58" s="1">
        <v>43</v>
      </c>
      <c r="C58" s="101">
        <f t="shared" ca="1" si="0"/>
        <v>-0.2279482077615787</v>
      </c>
      <c r="D58" s="101">
        <f t="shared" ca="1" si="1"/>
        <v>0.64972748599333507</v>
      </c>
      <c r="E58" s="101">
        <f t="shared" ca="1" si="2"/>
        <v>0</v>
      </c>
      <c r="F58" s="21">
        <f t="shared" ca="1" si="3"/>
        <v>0</v>
      </c>
      <c r="H58" s="21">
        <v>43</v>
      </c>
      <c r="I58" s="102">
        <v>0.66789198162893559</v>
      </c>
      <c r="J58" s="103">
        <v>1.5149000955967371E-3</v>
      </c>
      <c r="K58" s="103"/>
      <c r="L58" s="103">
        <v>4.6800000000000001E-2</v>
      </c>
      <c r="O58" s="100"/>
    </row>
    <row r="59" spans="2:15" x14ac:dyDescent="0.2">
      <c r="B59" s="1">
        <v>44</v>
      </c>
      <c r="C59" s="101">
        <f t="shared" ca="1" si="0"/>
        <v>-0.67914714481395955</v>
      </c>
      <c r="D59" s="101">
        <f t="shared" ca="1" si="1"/>
        <v>0.62144422311107073</v>
      </c>
      <c r="E59" s="101">
        <f t="shared" ca="1" si="2"/>
        <v>0</v>
      </c>
      <c r="F59" s="21">
        <f t="shared" ca="1" si="3"/>
        <v>0</v>
      </c>
      <c r="H59" s="21">
        <v>44</v>
      </c>
      <c r="I59" s="102">
        <v>0.6677575414187783</v>
      </c>
      <c r="J59" s="103">
        <v>1.2393224363147848E-3</v>
      </c>
      <c r="K59" s="103"/>
      <c r="L59" s="103">
        <v>4.1399999999999999E-2</v>
      </c>
      <c r="O59" s="100"/>
    </row>
    <row r="60" spans="2:15" x14ac:dyDescent="0.2">
      <c r="B60" s="1">
        <v>45</v>
      </c>
      <c r="C60" s="101">
        <f t="shared" ca="1" si="0"/>
        <v>0.19121214551758872</v>
      </c>
      <c r="D60" s="101">
        <f t="shared" ca="1" si="1"/>
        <v>0.67715456503269378</v>
      </c>
      <c r="E60" s="101">
        <f t="shared" ca="1" si="2"/>
        <v>0</v>
      </c>
      <c r="F60" s="21">
        <f t="shared" ca="1" si="3"/>
        <v>0</v>
      </c>
      <c r="H60" s="21">
        <v>45</v>
      </c>
      <c r="I60" s="102">
        <v>0.66776937715113072</v>
      </c>
      <c r="J60" s="103">
        <v>1.3707194825807931E-3</v>
      </c>
      <c r="K60" s="103"/>
      <c r="L60" s="103">
        <v>4.1599999999999998E-2</v>
      </c>
      <c r="O60" s="100"/>
    </row>
    <row r="61" spans="2:15" x14ac:dyDescent="0.2">
      <c r="B61" s="1">
        <v>46</v>
      </c>
      <c r="C61" s="101">
        <f t="shared" ca="1" si="0"/>
        <v>0.76890430527026643</v>
      </c>
      <c r="D61" s="101">
        <f t="shared" ca="1" si="1"/>
        <v>0.7168623746922882</v>
      </c>
      <c r="E61" s="101">
        <f t="shared" ca="1" si="2"/>
        <v>0</v>
      </c>
      <c r="F61" s="21">
        <f t="shared" ca="1" si="3"/>
        <v>0</v>
      </c>
      <c r="H61" s="21">
        <v>46</v>
      </c>
      <c r="I61" s="102">
        <v>0.66778681679606533</v>
      </c>
      <c r="J61" s="103">
        <v>1.470672591516372E-3</v>
      </c>
      <c r="K61" s="103"/>
      <c r="L61" s="103">
        <v>4.5400000000000003E-2</v>
      </c>
      <c r="O61" s="100"/>
    </row>
    <row r="62" spans="2:15" x14ac:dyDescent="0.2">
      <c r="B62" s="1">
        <v>47</v>
      </c>
      <c r="C62" s="101">
        <f t="shared" ca="1" si="0"/>
        <v>-0.61361959716643044</v>
      </c>
      <c r="D62" s="101">
        <f t="shared" ca="1" si="1"/>
        <v>0.6254740770605749</v>
      </c>
      <c r="E62" s="101">
        <f t="shared" ca="1" si="2"/>
        <v>0</v>
      </c>
      <c r="F62" s="21">
        <f t="shared" ca="1" si="3"/>
        <v>0</v>
      </c>
      <c r="H62" s="21">
        <v>47</v>
      </c>
      <c r="I62" s="102">
        <v>0.66773385528554563</v>
      </c>
      <c r="J62" s="103">
        <v>1.3784040948127145E-3</v>
      </c>
      <c r="K62" s="103"/>
      <c r="L62" s="103">
        <v>4.3400000000000001E-2</v>
      </c>
      <c r="O62" s="100"/>
    </row>
    <row r="63" spans="2:15" x14ac:dyDescent="0.2">
      <c r="B63" s="1">
        <v>48</v>
      </c>
      <c r="C63" s="101">
        <f t="shared" ca="1" si="0"/>
        <v>-0.55995287977485675</v>
      </c>
      <c r="D63" s="101">
        <f t="shared" ca="1" si="1"/>
        <v>0.62879396388723208</v>
      </c>
      <c r="E63" s="101">
        <f t="shared" ca="1" si="2"/>
        <v>0</v>
      </c>
      <c r="F63" s="21">
        <f t="shared" ca="1" si="3"/>
        <v>0</v>
      </c>
      <c r="H63" s="21">
        <v>48</v>
      </c>
      <c r="I63" s="102">
        <v>0.6677199150799682</v>
      </c>
      <c r="J63" s="103">
        <v>1.4922516620019324E-3</v>
      </c>
      <c r="K63" s="103"/>
      <c r="L63" s="103">
        <v>3.9199999999999999E-2</v>
      </c>
      <c r="O63" s="100"/>
    </row>
    <row r="64" spans="2:15" x14ac:dyDescent="0.2">
      <c r="B64" s="1">
        <v>49</v>
      </c>
      <c r="C64" s="101">
        <f t="shared" ca="1" si="0"/>
        <v>0.62750002975303665</v>
      </c>
      <c r="D64" s="101">
        <f t="shared" ca="1" si="1"/>
        <v>0.70693277105788799</v>
      </c>
      <c r="E64" s="101">
        <f t="shared" ca="1" si="2"/>
        <v>0</v>
      </c>
      <c r="F64" s="21">
        <f t="shared" ca="1" si="3"/>
        <v>0</v>
      </c>
      <c r="H64" s="21">
        <v>49</v>
      </c>
      <c r="I64" s="102">
        <v>0.6677943989637608</v>
      </c>
      <c r="J64" s="103">
        <v>1.4534491668872424E-3</v>
      </c>
      <c r="K64" s="103"/>
      <c r="L64" s="103">
        <v>4.3799999999999999E-2</v>
      </c>
      <c r="O64" s="100"/>
    </row>
    <row r="65" spans="2:15" x14ac:dyDescent="0.2">
      <c r="B65" s="1">
        <v>50</v>
      </c>
      <c r="C65" s="101">
        <f t="shared" ca="1" si="0"/>
        <v>1.6835017746153307</v>
      </c>
      <c r="D65" s="101">
        <f t="shared" ca="1" si="1"/>
        <v>0.7845426865008146</v>
      </c>
      <c r="E65" s="101">
        <f t="shared" ca="1" si="2"/>
        <v>0</v>
      </c>
      <c r="F65" s="21">
        <f t="shared" ca="1" si="3"/>
        <v>0</v>
      </c>
      <c r="H65" s="21">
        <v>50</v>
      </c>
      <c r="I65" s="102">
        <v>0.6675582125577374</v>
      </c>
      <c r="J65" s="103">
        <v>1.1856422471464799E-3</v>
      </c>
      <c r="K65" s="103"/>
      <c r="L65" s="103">
        <v>3.78E-2</v>
      </c>
      <c r="O65" s="100"/>
    </row>
    <row r="66" spans="2:15" x14ac:dyDescent="0.2">
      <c r="B66" s="1">
        <v>51</v>
      </c>
      <c r="C66" s="101">
        <f t="shared" ca="1" si="0"/>
        <v>-1.0490111606942469</v>
      </c>
      <c r="D66" s="101">
        <f t="shared" ca="1" si="1"/>
        <v>0.59918013819325155</v>
      </c>
      <c r="E66" s="101">
        <f t="shared" ca="1" si="2"/>
        <v>0</v>
      </c>
      <c r="F66" s="21">
        <f t="shared" ca="1" si="3"/>
        <v>0</v>
      </c>
      <c r="H66" s="21">
        <v>51</v>
      </c>
      <c r="I66" s="102">
        <v>0.66783045897092119</v>
      </c>
      <c r="J66" s="103">
        <v>1.4875482191926753E-3</v>
      </c>
      <c r="K66" s="103"/>
      <c r="L66" s="103">
        <v>4.5400000000000003E-2</v>
      </c>
      <c r="O66" s="100"/>
    </row>
    <row r="67" spans="2:15" x14ac:dyDescent="0.2">
      <c r="B67" s="1">
        <v>52</v>
      </c>
      <c r="C67" s="101">
        <f t="shared" ca="1" si="0"/>
        <v>1.1817937938038645</v>
      </c>
      <c r="D67" s="101">
        <f t="shared" ca="1" si="1"/>
        <v>0.74666142994036289</v>
      </c>
      <c r="E67" s="101">
        <f t="shared" ca="1" si="2"/>
        <v>0</v>
      </c>
      <c r="F67" s="21">
        <f t="shared" ca="1" si="3"/>
        <v>0</v>
      </c>
      <c r="H67" s="21">
        <v>52</v>
      </c>
      <c r="I67" s="102">
        <v>0.66769257026788198</v>
      </c>
      <c r="J67" s="103">
        <v>1.3641077684381493E-3</v>
      </c>
      <c r="K67" s="103"/>
      <c r="L67" s="103">
        <v>4.1799999999999997E-2</v>
      </c>
      <c r="O67" s="100"/>
    </row>
    <row r="68" spans="2:15" x14ac:dyDescent="0.2">
      <c r="B68" s="1">
        <v>53</v>
      </c>
      <c r="C68" s="101">
        <f t="shared" ca="1" si="0"/>
        <v>-0.36859054680516035</v>
      </c>
      <c r="D68" s="101">
        <f t="shared" ca="1" si="1"/>
        <v>0.64077595771490459</v>
      </c>
      <c r="E68" s="101">
        <f t="shared" ca="1" si="2"/>
        <v>0</v>
      </c>
      <c r="F68" s="21">
        <f t="shared" ca="1" si="3"/>
        <v>0</v>
      </c>
      <c r="H68" s="21">
        <v>53</v>
      </c>
      <c r="I68" s="102">
        <v>0.66763931151956879</v>
      </c>
      <c r="J68" s="103">
        <v>1.1785194814698766E-3</v>
      </c>
      <c r="K68" s="103"/>
      <c r="L68" s="103">
        <v>3.9399999999999998E-2</v>
      </c>
      <c r="O68" s="100"/>
    </row>
    <row r="69" spans="2:15" x14ac:dyDescent="0.2">
      <c r="B69" s="1">
        <v>54</v>
      </c>
      <c r="C69" s="101">
        <f t="shared" ca="1" si="0"/>
        <v>-0.84648530848172743</v>
      </c>
      <c r="D69" s="101">
        <f t="shared" ca="1" si="1"/>
        <v>0.61127057637902971</v>
      </c>
      <c r="E69" s="101">
        <f t="shared" ca="1" si="2"/>
        <v>0</v>
      </c>
      <c r="F69" s="21">
        <f t="shared" ca="1" si="3"/>
        <v>0</v>
      </c>
      <c r="H69" s="21">
        <v>54</v>
      </c>
      <c r="I69" s="102">
        <v>0.66765849410266076</v>
      </c>
      <c r="J69" s="103">
        <v>1.2218375134166394E-3</v>
      </c>
      <c r="K69" s="103"/>
      <c r="L69" s="103">
        <v>4.1000000000000002E-2</v>
      </c>
      <c r="O69" s="100"/>
    </row>
    <row r="70" spans="2:15" x14ac:dyDescent="0.2">
      <c r="B70" s="1">
        <v>55</v>
      </c>
      <c r="C70" s="101">
        <f t="shared" ca="1" si="0"/>
        <v>-1.0931583373047842</v>
      </c>
      <c r="D70" s="101">
        <f t="shared" ca="1" si="1"/>
        <v>0.59657653996318349</v>
      </c>
      <c r="E70" s="101">
        <f t="shared" ca="1" si="2"/>
        <v>0</v>
      </c>
      <c r="F70" s="21">
        <f t="shared" ca="1" si="3"/>
        <v>0</v>
      </c>
      <c r="H70" s="21">
        <v>55</v>
      </c>
      <c r="I70" s="102">
        <v>0.66766866116142287</v>
      </c>
      <c r="J70" s="103">
        <v>1.3838722231847051E-3</v>
      </c>
      <c r="K70" s="103"/>
      <c r="L70" s="103">
        <v>4.24E-2</v>
      </c>
      <c r="O70" s="100"/>
    </row>
    <row r="71" spans="2:15" x14ac:dyDescent="0.2">
      <c r="B71" s="1">
        <v>56</v>
      </c>
      <c r="C71" s="101">
        <f t="shared" ca="1" si="0"/>
        <v>-1.0817031170450666</v>
      </c>
      <c r="D71" s="101">
        <f t="shared" ca="1" si="1"/>
        <v>0.59725102746430303</v>
      </c>
      <c r="E71" s="101">
        <f t="shared" ca="1" si="2"/>
        <v>0</v>
      </c>
      <c r="F71" s="21">
        <f t="shared" ca="1" si="3"/>
        <v>0</v>
      </c>
      <c r="H71" s="21">
        <v>56</v>
      </c>
      <c r="I71" s="102">
        <v>0.66778673855705151</v>
      </c>
      <c r="J71" s="103">
        <v>1.413146058103387E-3</v>
      </c>
      <c r="K71" s="103"/>
      <c r="L71" s="103">
        <v>4.6399999999999997E-2</v>
      </c>
      <c r="O71" s="100"/>
    </row>
    <row r="72" spans="2:15" x14ac:dyDescent="0.2">
      <c r="B72" s="1">
        <v>57</v>
      </c>
      <c r="C72" s="101">
        <f t="shared" ca="1" si="0"/>
        <v>2.0859253389993526</v>
      </c>
      <c r="D72" s="101">
        <f t="shared" ca="1" si="1"/>
        <v>0.81631195276963664</v>
      </c>
      <c r="E72" s="101">
        <f t="shared" ca="1" si="2"/>
        <v>2.8111952769636628E-2</v>
      </c>
      <c r="F72" s="21">
        <f t="shared" ca="1" si="3"/>
        <v>1</v>
      </c>
      <c r="H72" s="21">
        <v>57</v>
      </c>
      <c r="I72" s="102">
        <v>0.66767124867476346</v>
      </c>
      <c r="J72" s="103">
        <v>1.2090554287263835E-3</v>
      </c>
      <c r="K72" s="103"/>
      <c r="L72" s="103">
        <v>3.8399999999999997E-2</v>
      </c>
      <c r="O72" s="100"/>
    </row>
    <row r="73" spans="2:15" x14ac:dyDescent="0.2">
      <c r="B73" s="1">
        <v>58</v>
      </c>
      <c r="C73" s="101">
        <f t="shared" ca="1" si="0"/>
        <v>-0.63548838621279791</v>
      </c>
      <c r="D73" s="101">
        <f t="shared" ca="1" si="1"/>
        <v>0.62412627966646128</v>
      </c>
      <c r="E73" s="101">
        <f t="shared" ca="1" si="2"/>
        <v>0</v>
      </c>
      <c r="F73" s="21">
        <f t="shared" ca="1" si="3"/>
        <v>0</v>
      </c>
      <c r="H73" s="21">
        <v>58</v>
      </c>
      <c r="I73" s="102">
        <v>0.66764761325751254</v>
      </c>
      <c r="J73" s="103">
        <v>1.252969767630623E-3</v>
      </c>
      <c r="K73" s="103"/>
      <c r="L73" s="103">
        <v>4.1000000000000002E-2</v>
      </c>
      <c r="O73" s="100"/>
    </row>
    <row r="74" spans="2:15" x14ac:dyDescent="0.2">
      <c r="B74" s="1">
        <v>59</v>
      </c>
      <c r="C74" s="101">
        <f t="shared" ca="1" si="0"/>
        <v>-0.29882410738033988</v>
      </c>
      <c r="D74" s="101">
        <f t="shared" ca="1" si="1"/>
        <v>0.64520089276810932</v>
      </c>
      <c r="E74" s="101">
        <f t="shared" ca="1" si="2"/>
        <v>0</v>
      </c>
      <c r="F74" s="21">
        <f t="shared" ca="1" si="3"/>
        <v>0</v>
      </c>
      <c r="H74" s="21">
        <v>59</v>
      </c>
      <c r="I74" s="102">
        <v>0.66776778200080689</v>
      </c>
      <c r="J74" s="103">
        <v>1.3377731427328173E-3</v>
      </c>
      <c r="K74" s="103"/>
      <c r="L74" s="103">
        <v>4.0599999999999997E-2</v>
      </c>
      <c r="O74" s="100"/>
    </row>
    <row r="75" spans="2:15" x14ac:dyDescent="0.2">
      <c r="B75" s="1">
        <v>60</v>
      </c>
      <c r="C75" s="101">
        <f t="shared" ca="1" si="0"/>
        <v>-0.94199132705342525</v>
      </c>
      <c r="D75" s="101">
        <f t="shared" ca="1" si="1"/>
        <v>0.6055389347361706</v>
      </c>
      <c r="E75" s="101">
        <f t="shared" ca="1" si="2"/>
        <v>0</v>
      </c>
      <c r="F75" s="21">
        <f t="shared" ca="1" si="3"/>
        <v>0</v>
      </c>
      <c r="H75" s="21">
        <v>60</v>
      </c>
      <c r="I75" s="102">
        <v>0.66779488152893951</v>
      </c>
      <c r="J75" s="103">
        <v>1.3984971839936045E-3</v>
      </c>
      <c r="K75" s="103"/>
      <c r="L75" s="103">
        <v>3.8600000000000002E-2</v>
      </c>
      <c r="O75" s="100"/>
    </row>
    <row r="76" spans="2:15" x14ac:dyDescent="0.2">
      <c r="B76" s="1">
        <v>61</v>
      </c>
      <c r="C76" s="101">
        <f t="shared" ca="1" si="0"/>
        <v>0.84817664658746672</v>
      </c>
      <c r="D76" s="101">
        <f t="shared" ca="1" si="1"/>
        <v>0.72248987423150279</v>
      </c>
      <c r="E76" s="101">
        <f t="shared" ca="1" si="2"/>
        <v>0</v>
      </c>
      <c r="F76" s="21">
        <f t="shared" ca="1" si="3"/>
        <v>0</v>
      </c>
      <c r="H76" s="21">
        <v>61</v>
      </c>
      <c r="I76" s="102">
        <v>0.66770524536549924</v>
      </c>
      <c r="J76" s="103">
        <v>1.29731287453882E-3</v>
      </c>
      <c r="K76" s="103"/>
      <c r="L76" s="103">
        <v>4.4600000000000001E-2</v>
      </c>
      <c r="O76" s="100"/>
    </row>
    <row r="77" spans="2:15" x14ac:dyDescent="0.2">
      <c r="B77" s="1">
        <v>62</v>
      </c>
      <c r="C77" s="101">
        <f t="shared" ca="1" si="0"/>
        <v>0.50546102135214011</v>
      </c>
      <c r="D77" s="101">
        <f t="shared" ca="1" si="1"/>
        <v>0.69847366889932838</v>
      </c>
      <c r="E77" s="101">
        <f t="shared" ca="1" si="2"/>
        <v>0</v>
      </c>
      <c r="F77" s="21">
        <f t="shared" ca="1" si="3"/>
        <v>0</v>
      </c>
      <c r="H77" s="21">
        <v>62</v>
      </c>
      <c r="I77" s="102">
        <v>0.66765313429533302</v>
      </c>
      <c r="J77" s="103">
        <v>1.374630797040516E-3</v>
      </c>
      <c r="K77" s="103"/>
      <c r="L77" s="103">
        <v>3.6200000000000003E-2</v>
      </c>
      <c r="O77" s="100"/>
    </row>
    <row r="78" spans="2:15" x14ac:dyDescent="0.2">
      <c r="B78" s="1">
        <v>63</v>
      </c>
      <c r="C78" s="101">
        <f t="shared" ca="1" si="0"/>
        <v>-0.51473081993740977</v>
      </c>
      <c r="D78" s="101">
        <f t="shared" ca="1" si="1"/>
        <v>0.63160513063882229</v>
      </c>
      <c r="E78" s="101">
        <f t="shared" ca="1" si="2"/>
        <v>0</v>
      </c>
      <c r="F78" s="21">
        <f t="shared" ca="1" si="3"/>
        <v>0</v>
      </c>
      <c r="H78" s="21">
        <v>63</v>
      </c>
      <c r="I78" s="102">
        <v>0.66778557431475416</v>
      </c>
      <c r="J78" s="103">
        <v>1.2967808352857093E-3</v>
      </c>
      <c r="K78" s="103"/>
      <c r="L78" s="103">
        <v>4.1399999999999999E-2</v>
      </c>
      <c r="O78" s="100"/>
    </row>
    <row r="79" spans="2:15" x14ac:dyDescent="0.2">
      <c r="B79" s="1">
        <v>64</v>
      </c>
      <c r="C79" s="101">
        <f t="shared" ca="1" si="0"/>
        <v>1.3071828462661903</v>
      </c>
      <c r="D79" s="101">
        <f t="shared" ca="1" si="1"/>
        <v>0.75595389211603414</v>
      </c>
      <c r="E79" s="101">
        <f t="shared" ca="1" si="2"/>
        <v>0</v>
      </c>
      <c r="F79" s="21">
        <f t="shared" ca="1" si="3"/>
        <v>0</v>
      </c>
      <c r="H79" s="21">
        <v>64</v>
      </c>
      <c r="I79" s="102">
        <v>0.66786010089371362</v>
      </c>
      <c r="J79" s="103">
        <v>1.5537551782942249E-3</v>
      </c>
      <c r="K79" s="103"/>
      <c r="L79" s="103">
        <v>4.7E-2</v>
      </c>
      <c r="O79" s="100"/>
    </row>
    <row r="80" spans="2:15" x14ac:dyDescent="0.2">
      <c r="B80" s="1">
        <v>65</v>
      </c>
      <c r="C80" s="101">
        <f t="shared" ref="C80:C143" ca="1" si="4">_xlfn.NORM.S.INV(RAND())</f>
        <v>-0.40516533786841524</v>
      </c>
      <c r="D80" s="101">
        <f t="shared" ref="D80:D143" ca="1" si="5">S0*EXP((μ-0.5*σ*σ)*T+σ*SQRT(T)*$C80)</f>
        <v>0.63846834045984446</v>
      </c>
      <c r="E80" s="101">
        <f t="shared" ref="E80:E143" ca="1" si="6">MAX(0,CP*(D80-K))</f>
        <v>0</v>
      </c>
      <c r="F80" s="21">
        <f t="shared" ref="F80:F143" ca="1" si="7">(CP*(D80-K)&gt;0)*1</f>
        <v>0</v>
      </c>
      <c r="H80" s="21">
        <v>65</v>
      </c>
      <c r="I80" s="102">
        <v>0.66760067132540479</v>
      </c>
      <c r="J80" s="103">
        <v>1.2079532814844882E-3</v>
      </c>
      <c r="K80" s="103"/>
      <c r="L80" s="103">
        <v>3.8800000000000001E-2</v>
      </c>
      <c r="O80" s="100"/>
    </row>
    <row r="81" spans="2:15" x14ac:dyDescent="0.2">
      <c r="B81" s="1">
        <v>66</v>
      </c>
      <c r="C81" s="101">
        <f t="shared" ca="1" si="4"/>
        <v>0.27071764953879363</v>
      </c>
      <c r="D81" s="101">
        <f t="shared" ca="1" si="5"/>
        <v>0.68248604771338861</v>
      </c>
      <c r="E81" s="101">
        <f t="shared" ca="1" si="6"/>
        <v>0</v>
      </c>
      <c r="F81" s="21">
        <f t="shared" ca="1" si="7"/>
        <v>0</v>
      </c>
      <c r="H81" s="21">
        <v>66</v>
      </c>
      <c r="I81" s="102">
        <v>0.66787191193397544</v>
      </c>
      <c r="J81" s="103">
        <v>1.5538659705069838E-3</v>
      </c>
      <c r="K81" s="103"/>
      <c r="L81" s="103">
        <v>4.2799999999999998E-2</v>
      </c>
      <c r="O81" s="100"/>
    </row>
    <row r="82" spans="2:15" x14ac:dyDescent="0.2">
      <c r="B82" s="1">
        <v>67</v>
      </c>
      <c r="C82" s="101">
        <f t="shared" ca="1" si="4"/>
        <v>-0.63252775369505965</v>
      </c>
      <c r="D82" s="101">
        <f t="shared" ca="1" si="5"/>
        <v>0.62430857657022276</v>
      </c>
      <c r="E82" s="101">
        <f t="shared" ca="1" si="6"/>
        <v>0</v>
      </c>
      <c r="F82" s="21">
        <f t="shared" ca="1" si="7"/>
        <v>0</v>
      </c>
      <c r="H82" s="21">
        <v>67</v>
      </c>
      <c r="I82" s="102">
        <v>0.66790851542200358</v>
      </c>
      <c r="J82" s="103">
        <v>1.5181326316567041E-3</v>
      </c>
      <c r="K82" s="103"/>
      <c r="L82" s="103">
        <v>4.2599999999999999E-2</v>
      </c>
      <c r="O82" s="100"/>
    </row>
    <row r="83" spans="2:15" x14ac:dyDescent="0.2">
      <c r="B83" s="1">
        <v>68</v>
      </c>
      <c r="C83" s="101">
        <f t="shared" ca="1" si="4"/>
        <v>0.77499968120570861</v>
      </c>
      <c r="D83" s="101">
        <f t="shared" ca="1" si="5"/>
        <v>0.71729352207192631</v>
      </c>
      <c r="E83" s="101">
        <f t="shared" ca="1" si="6"/>
        <v>0</v>
      </c>
      <c r="F83" s="21">
        <f t="shared" ca="1" si="7"/>
        <v>0</v>
      </c>
      <c r="H83" s="21">
        <v>68</v>
      </c>
      <c r="I83" s="102">
        <v>0.66774830703205379</v>
      </c>
      <c r="J83" s="103">
        <v>1.3749636359977845E-3</v>
      </c>
      <c r="K83" s="103"/>
      <c r="L83" s="103">
        <v>4.1599999999999998E-2</v>
      </c>
      <c r="O83" s="100"/>
    </row>
    <row r="84" spans="2:15" x14ac:dyDescent="0.2">
      <c r="B84" s="1">
        <v>69</v>
      </c>
      <c r="C84" s="101">
        <f t="shared" ca="1" si="4"/>
        <v>-8.2434268526505511E-2</v>
      </c>
      <c r="D84" s="101">
        <f t="shared" ca="1" si="5"/>
        <v>0.65912072406823041</v>
      </c>
      <c r="E84" s="101">
        <f t="shared" ca="1" si="6"/>
        <v>0</v>
      </c>
      <c r="F84" s="21">
        <f t="shared" ca="1" si="7"/>
        <v>0</v>
      </c>
      <c r="H84" s="21">
        <v>69</v>
      </c>
      <c r="I84" s="102">
        <v>0.66778436364940508</v>
      </c>
      <c r="J84" s="103">
        <v>1.3346006357126991E-3</v>
      </c>
      <c r="K84" s="103"/>
      <c r="L84" s="103">
        <v>4.3200000000000002E-2</v>
      </c>
      <c r="O84" s="100"/>
    </row>
    <row r="85" spans="2:15" x14ac:dyDescent="0.2">
      <c r="B85" s="1">
        <v>70</v>
      </c>
      <c r="C85" s="101">
        <f t="shared" ca="1" si="4"/>
        <v>2.3207742678113608</v>
      </c>
      <c r="D85" s="101">
        <f t="shared" ca="1" si="5"/>
        <v>0.83544322020158091</v>
      </c>
      <c r="E85" s="101">
        <f t="shared" ca="1" si="6"/>
        <v>4.7243220201580893E-2</v>
      </c>
      <c r="F85" s="21">
        <f t="shared" ca="1" si="7"/>
        <v>1</v>
      </c>
      <c r="H85" s="21">
        <v>70</v>
      </c>
      <c r="I85" s="102">
        <v>0.66768513453946032</v>
      </c>
      <c r="J85" s="103">
        <v>1.1796764674474561E-3</v>
      </c>
      <c r="K85" s="103"/>
      <c r="L85" s="103">
        <v>3.6799999999999999E-2</v>
      </c>
      <c r="O85" s="100"/>
    </row>
    <row r="86" spans="2:15" x14ac:dyDescent="0.2">
      <c r="B86" s="1">
        <v>71</v>
      </c>
      <c r="C86" s="101">
        <f t="shared" ca="1" si="4"/>
        <v>1.0397544253022788</v>
      </c>
      <c r="D86" s="101">
        <f t="shared" ca="1" si="5"/>
        <v>0.7362729390343955</v>
      </c>
      <c r="E86" s="101">
        <f t="shared" ca="1" si="6"/>
        <v>0</v>
      </c>
      <c r="F86" s="21">
        <f t="shared" ca="1" si="7"/>
        <v>0</v>
      </c>
      <c r="H86" s="21">
        <v>71</v>
      </c>
      <c r="I86" s="102">
        <v>0.66771391165484806</v>
      </c>
      <c r="J86" s="103">
        <v>1.3060471739517929E-3</v>
      </c>
      <c r="K86" s="103"/>
      <c r="L86" s="103">
        <v>4.1200000000000001E-2</v>
      </c>
      <c r="O86" s="100"/>
    </row>
    <row r="87" spans="2:15" x14ac:dyDescent="0.2">
      <c r="B87" s="1">
        <v>72</v>
      </c>
      <c r="C87" s="101">
        <f t="shared" ca="1" si="4"/>
        <v>-2.1047556428142071</v>
      </c>
      <c r="D87" s="101">
        <f t="shared" ca="1" si="5"/>
        <v>0.5399206849560495</v>
      </c>
      <c r="E87" s="101">
        <f t="shared" ca="1" si="6"/>
        <v>0</v>
      </c>
      <c r="F87" s="21">
        <f t="shared" ca="1" si="7"/>
        <v>0</v>
      </c>
      <c r="H87" s="21">
        <v>72</v>
      </c>
      <c r="I87" s="102">
        <v>0.66775639864607883</v>
      </c>
      <c r="J87" s="103">
        <v>1.2776974767144192E-3</v>
      </c>
      <c r="K87" s="103"/>
      <c r="L87" s="103">
        <v>4.24E-2</v>
      </c>
      <c r="O87" s="100"/>
    </row>
    <row r="88" spans="2:15" x14ac:dyDescent="0.2">
      <c r="B88" s="1">
        <v>73</v>
      </c>
      <c r="C88" s="101">
        <f t="shared" ca="1" si="4"/>
        <v>0.97537653666449831</v>
      </c>
      <c r="D88" s="101">
        <f t="shared" ca="1" si="5"/>
        <v>0.73161218435931175</v>
      </c>
      <c r="E88" s="101">
        <f t="shared" ca="1" si="6"/>
        <v>0</v>
      </c>
      <c r="F88" s="21">
        <f t="shared" ca="1" si="7"/>
        <v>0</v>
      </c>
      <c r="H88" s="21">
        <v>73</v>
      </c>
      <c r="I88" s="102">
        <v>0.66784164992357231</v>
      </c>
      <c r="J88" s="103">
        <v>1.4994646374591007E-3</v>
      </c>
      <c r="K88" s="103"/>
      <c r="L88" s="103">
        <v>4.48E-2</v>
      </c>
      <c r="O88" s="100"/>
    </row>
    <row r="89" spans="2:15" x14ac:dyDescent="0.2">
      <c r="B89" s="1">
        <v>74</v>
      </c>
      <c r="C89" s="101">
        <f t="shared" ca="1" si="4"/>
        <v>0.17979248875164502</v>
      </c>
      <c r="D89" s="101">
        <f t="shared" ca="1" si="5"/>
        <v>0.67639221367256974</v>
      </c>
      <c r="E89" s="101">
        <f t="shared" ca="1" si="6"/>
        <v>0</v>
      </c>
      <c r="F89" s="21">
        <f t="shared" ca="1" si="7"/>
        <v>0</v>
      </c>
      <c r="H89" s="21">
        <v>74</v>
      </c>
      <c r="I89" s="102">
        <v>0.66783096514219698</v>
      </c>
      <c r="J89" s="103">
        <v>1.4564047384943368E-3</v>
      </c>
      <c r="K89" s="103"/>
      <c r="L89" s="103">
        <v>4.5999999999999999E-2</v>
      </c>
      <c r="O89" s="100"/>
    </row>
    <row r="90" spans="2:15" x14ac:dyDescent="0.2">
      <c r="B90" s="1">
        <v>75</v>
      </c>
      <c r="C90" s="101">
        <f t="shared" ca="1" si="4"/>
        <v>-1.4303395727181218</v>
      </c>
      <c r="D90" s="101">
        <f t="shared" ca="1" si="5"/>
        <v>0.57706074850192068</v>
      </c>
      <c r="E90" s="101">
        <f t="shared" ca="1" si="6"/>
        <v>0</v>
      </c>
      <c r="F90" s="21">
        <f t="shared" ca="1" si="7"/>
        <v>0</v>
      </c>
      <c r="H90" s="21">
        <v>75</v>
      </c>
      <c r="I90" s="102">
        <v>0.66766327242664214</v>
      </c>
      <c r="J90" s="103">
        <v>1.3843515467946484E-3</v>
      </c>
      <c r="K90" s="103"/>
      <c r="L90" s="103">
        <v>3.9399999999999998E-2</v>
      </c>
      <c r="O90" s="100"/>
    </row>
    <row r="91" spans="2:15" x14ac:dyDescent="0.2">
      <c r="B91" s="1">
        <v>76</v>
      </c>
      <c r="C91" s="101">
        <f t="shared" ca="1" si="4"/>
        <v>-0.86546859572621027</v>
      </c>
      <c r="D91" s="101">
        <f t="shared" ca="1" si="5"/>
        <v>0.6101270208482511</v>
      </c>
      <c r="E91" s="101">
        <f t="shared" ca="1" si="6"/>
        <v>0</v>
      </c>
      <c r="F91" s="21">
        <f t="shared" ca="1" si="7"/>
        <v>0</v>
      </c>
      <c r="H91" s="21">
        <v>76</v>
      </c>
      <c r="I91" s="102">
        <v>0.66786650272890591</v>
      </c>
      <c r="J91" s="103">
        <v>1.5884453380062488E-3</v>
      </c>
      <c r="K91" s="103"/>
      <c r="L91" s="103">
        <v>4.7800000000000002E-2</v>
      </c>
      <c r="O91" s="100"/>
    </row>
    <row r="92" spans="2:15" x14ac:dyDescent="0.2">
      <c r="B92" s="1">
        <v>77</v>
      </c>
      <c r="C92" s="101">
        <f t="shared" ca="1" si="4"/>
        <v>0.66762174303514832</v>
      </c>
      <c r="D92" s="101">
        <f t="shared" ca="1" si="5"/>
        <v>0.70973611357247945</v>
      </c>
      <c r="E92" s="101">
        <f t="shared" ca="1" si="6"/>
        <v>0</v>
      </c>
      <c r="F92" s="21">
        <f t="shared" ca="1" si="7"/>
        <v>0</v>
      </c>
      <c r="H92" s="21">
        <v>77</v>
      </c>
      <c r="I92" s="102">
        <v>0.66790043413999967</v>
      </c>
      <c r="J92" s="103">
        <v>1.4585736819284533E-3</v>
      </c>
      <c r="K92" s="103"/>
      <c r="L92" s="103">
        <v>4.2599999999999999E-2</v>
      </c>
      <c r="O92" s="100"/>
    </row>
    <row r="93" spans="2:15" x14ac:dyDescent="0.2">
      <c r="B93" s="1">
        <v>78</v>
      </c>
      <c r="C93" s="101">
        <f t="shared" ca="1" si="4"/>
        <v>0.79005055082889042</v>
      </c>
      <c r="D93" s="101">
        <f t="shared" ca="1" si="5"/>
        <v>0.71835923400316037</v>
      </c>
      <c r="E93" s="101">
        <f t="shared" ca="1" si="6"/>
        <v>0</v>
      </c>
      <c r="F93" s="21">
        <f t="shared" ca="1" si="7"/>
        <v>0</v>
      </c>
      <c r="H93" s="21">
        <v>78</v>
      </c>
      <c r="I93" s="102">
        <v>0.66773925843133852</v>
      </c>
      <c r="J93" s="103">
        <v>1.4486371963358881E-3</v>
      </c>
      <c r="K93" s="103"/>
      <c r="L93" s="103">
        <v>4.2599999999999999E-2</v>
      </c>
      <c r="O93" s="100"/>
    </row>
    <row r="94" spans="2:15" x14ac:dyDescent="0.2">
      <c r="B94" s="1">
        <v>79</v>
      </c>
      <c r="C94" s="101">
        <f t="shared" ca="1" si="4"/>
        <v>-0.33429390929386665</v>
      </c>
      <c r="D94" s="101">
        <f t="shared" ca="1" si="5"/>
        <v>0.64294741596071148</v>
      </c>
      <c r="E94" s="101">
        <f t="shared" ca="1" si="6"/>
        <v>0</v>
      </c>
      <c r="F94" s="21">
        <f t="shared" ca="1" si="7"/>
        <v>0</v>
      </c>
      <c r="H94" s="21">
        <v>79</v>
      </c>
      <c r="I94" s="102">
        <v>0.66772398843607095</v>
      </c>
      <c r="J94" s="103">
        <v>1.2532848424988065E-3</v>
      </c>
      <c r="K94" s="103"/>
      <c r="L94" s="103">
        <v>3.9399999999999998E-2</v>
      </c>
      <c r="O94" s="100"/>
    </row>
    <row r="95" spans="2:15" x14ac:dyDescent="0.2">
      <c r="B95" s="1">
        <v>80</v>
      </c>
      <c r="C95" s="101">
        <f t="shared" ca="1" si="4"/>
        <v>1.3904206408086863</v>
      </c>
      <c r="D95" s="101">
        <f t="shared" ca="1" si="5"/>
        <v>0.76218634380237493</v>
      </c>
      <c r="E95" s="101">
        <f t="shared" ca="1" si="6"/>
        <v>0</v>
      </c>
      <c r="F95" s="21">
        <f t="shared" ca="1" si="7"/>
        <v>0</v>
      </c>
      <c r="H95" s="21">
        <v>80</v>
      </c>
      <c r="I95" s="102">
        <v>0.66777326637255385</v>
      </c>
      <c r="J95" s="103">
        <v>1.3760688075898555E-3</v>
      </c>
      <c r="K95" s="103"/>
      <c r="L95" s="103">
        <v>4.0800000000000003E-2</v>
      </c>
      <c r="O95" s="100"/>
    </row>
    <row r="96" spans="2:15" x14ac:dyDescent="0.2">
      <c r="B96" s="1">
        <v>81</v>
      </c>
      <c r="C96" s="101">
        <f t="shared" ca="1" si="4"/>
        <v>-0.2403963198400004</v>
      </c>
      <c r="D96" s="101">
        <f t="shared" ca="1" si="5"/>
        <v>0.64893017633941186</v>
      </c>
      <c r="E96" s="101">
        <f t="shared" ca="1" si="6"/>
        <v>0</v>
      </c>
      <c r="F96" s="21">
        <f t="shared" ca="1" si="7"/>
        <v>0</v>
      </c>
      <c r="H96" s="21">
        <v>81</v>
      </c>
      <c r="I96" s="102">
        <v>0.66778952323710139</v>
      </c>
      <c r="J96" s="103">
        <v>1.3390188287618057E-3</v>
      </c>
      <c r="K96" s="103"/>
      <c r="L96" s="103">
        <v>4.2200000000000001E-2</v>
      </c>
      <c r="O96" s="100"/>
    </row>
    <row r="97" spans="2:15" x14ac:dyDescent="0.2">
      <c r="B97" s="1">
        <v>82</v>
      </c>
      <c r="C97" s="101">
        <f t="shared" ca="1" si="4"/>
        <v>-1.499784991000688</v>
      </c>
      <c r="D97" s="101">
        <f t="shared" ca="1" si="5"/>
        <v>0.5731212822609284</v>
      </c>
      <c r="E97" s="101">
        <f t="shared" ca="1" si="6"/>
        <v>0</v>
      </c>
      <c r="F97" s="21">
        <f t="shared" ca="1" si="7"/>
        <v>0</v>
      </c>
      <c r="H97" s="21">
        <v>82</v>
      </c>
      <c r="I97" s="102">
        <v>0.66775736148075482</v>
      </c>
      <c r="J97" s="103">
        <v>1.3992275333126634E-3</v>
      </c>
      <c r="K97" s="103"/>
      <c r="L97" s="103">
        <v>4.1399999999999999E-2</v>
      </c>
      <c r="O97" s="100"/>
    </row>
    <row r="98" spans="2:15" x14ac:dyDescent="0.2">
      <c r="B98" s="1">
        <v>83</v>
      </c>
      <c r="C98" s="101">
        <f t="shared" ca="1" si="4"/>
        <v>-1.1261735612144232</v>
      </c>
      <c r="D98" s="101">
        <f t="shared" ca="1" si="5"/>
        <v>0.59463684992818766</v>
      </c>
      <c r="E98" s="101">
        <f t="shared" ca="1" si="6"/>
        <v>0</v>
      </c>
      <c r="F98" s="21">
        <f t="shared" ca="1" si="7"/>
        <v>0</v>
      </c>
      <c r="H98" s="21">
        <v>83</v>
      </c>
      <c r="I98" s="102">
        <v>0.66775026733890563</v>
      </c>
      <c r="J98" s="103">
        <v>1.2768545518538708E-3</v>
      </c>
      <c r="K98" s="103"/>
      <c r="L98" s="103">
        <v>3.9600000000000003E-2</v>
      </c>
      <c r="O98" s="100"/>
    </row>
    <row r="99" spans="2:15" x14ac:dyDescent="0.2">
      <c r="B99" s="1">
        <v>84</v>
      </c>
      <c r="C99" s="101">
        <f t="shared" ca="1" si="4"/>
        <v>0.59330743625620497</v>
      </c>
      <c r="D99" s="101">
        <f t="shared" ca="1" si="5"/>
        <v>0.70455244270635331</v>
      </c>
      <c r="E99" s="101">
        <f t="shared" ca="1" si="6"/>
        <v>0</v>
      </c>
      <c r="F99" s="21">
        <f t="shared" ca="1" si="7"/>
        <v>0</v>
      </c>
      <c r="H99" s="21">
        <v>84</v>
      </c>
      <c r="I99" s="102">
        <v>0.66767017907694481</v>
      </c>
      <c r="J99" s="103">
        <v>1.1647017834804886E-3</v>
      </c>
      <c r="K99" s="103"/>
      <c r="L99" s="103">
        <v>3.8600000000000002E-2</v>
      </c>
      <c r="O99" s="100"/>
    </row>
    <row r="100" spans="2:15" x14ac:dyDescent="0.2">
      <c r="B100" s="1">
        <v>85</v>
      </c>
      <c r="C100" s="101">
        <f t="shared" ca="1" si="4"/>
        <v>-0.10657078678450339</v>
      </c>
      <c r="D100" s="101">
        <f t="shared" ca="1" si="5"/>
        <v>0.65755331774015202</v>
      </c>
      <c r="E100" s="101">
        <f t="shared" ca="1" si="6"/>
        <v>0</v>
      </c>
      <c r="F100" s="21">
        <f t="shared" ca="1" si="7"/>
        <v>0</v>
      </c>
      <c r="H100" s="21">
        <v>85</v>
      </c>
      <c r="I100" s="102">
        <v>0.66776571431575027</v>
      </c>
      <c r="J100" s="103">
        <v>1.3406778693848959E-3</v>
      </c>
      <c r="K100" s="103"/>
      <c r="L100" s="103">
        <v>4.2200000000000001E-2</v>
      </c>
      <c r="O100" s="100"/>
    </row>
    <row r="101" spans="2:15" x14ac:dyDescent="0.2">
      <c r="B101" s="1">
        <v>86</v>
      </c>
      <c r="C101" s="101">
        <f t="shared" ca="1" si="4"/>
        <v>0.91738358089771377</v>
      </c>
      <c r="D101" s="101">
        <f t="shared" ca="1" si="5"/>
        <v>0.72743894326235847</v>
      </c>
      <c r="E101" s="101">
        <f t="shared" ca="1" si="6"/>
        <v>0</v>
      </c>
      <c r="F101" s="21">
        <f t="shared" ca="1" si="7"/>
        <v>0</v>
      </c>
      <c r="H101" s="21">
        <v>86</v>
      </c>
      <c r="I101" s="102">
        <v>0.66756512497425724</v>
      </c>
      <c r="J101" s="103">
        <v>1.1912670217778555E-3</v>
      </c>
      <c r="K101" s="103"/>
      <c r="L101" s="103">
        <v>3.8399999999999997E-2</v>
      </c>
      <c r="O101" s="100"/>
    </row>
    <row r="102" spans="2:15" x14ac:dyDescent="0.2">
      <c r="B102" s="1">
        <v>87</v>
      </c>
      <c r="C102" s="101">
        <f t="shared" ca="1" si="4"/>
        <v>0.83059136420051161</v>
      </c>
      <c r="D102" s="101">
        <f t="shared" ca="1" si="5"/>
        <v>0.72123770394123043</v>
      </c>
      <c r="E102" s="101">
        <f t="shared" ca="1" si="6"/>
        <v>0</v>
      </c>
      <c r="F102" s="21">
        <f t="shared" ca="1" si="7"/>
        <v>0</v>
      </c>
      <c r="H102" s="21">
        <v>87</v>
      </c>
      <c r="I102" s="102">
        <v>0.66776406708765312</v>
      </c>
      <c r="J102" s="103">
        <v>1.3719771743484544E-3</v>
      </c>
      <c r="K102" s="103"/>
      <c r="L102" s="103">
        <v>4.2599999999999999E-2</v>
      </c>
      <c r="O102" s="100"/>
    </row>
    <row r="103" spans="2:15" x14ac:dyDescent="0.2">
      <c r="B103" s="1">
        <v>88</v>
      </c>
      <c r="C103" s="101">
        <f t="shared" ca="1" si="4"/>
        <v>-0.13377058821542404</v>
      </c>
      <c r="D103" s="101">
        <f t="shared" ca="1" si="5"/>
        <v>0.65579145071896305</v>
      </c>
      <c r="E103" s="101">
        <f t="shared" ca="1" si="6"/>
        <v>0</v>
      </c>
      <c r="F103" s="21">
        <f t="shared" ca="1" si="7"/>
        <v>0</v>
      </c>
      <c r="H103" s="21">
        <v>88</v>
      </c>
      <c r="I103" s="102">
        <v>0.6676630841155835</v>
      </c>
      <c r="J103" s="103">
        <v>1.2532712724141269E-3</v>
      </c>
      <c r="K103" s="103"/>
      <c r="L103" s="103">
        <v>4.2799999999999998E-2</v>
      </c>
      <c r="O103" s="100"/>
    </row>
    <row r="104" spans="2:15" x14ac:dyDescent="0.2">
      <c r="B104" s="1">
        <v>89</v>
      </c>
      <c r="C104" s="101">
        <f t="shared" ca="1" si="4"/>
        <v>-0.16050036068026655</v>
      </c>
      <c r="D104" s="101">
        <f t="shared" ca="1" si="5"/>
        <v>0.65406462902711537</v>
      </c>
      <c r="E104" s="101">
        <f t="shared" ca="1" si="6"/>
        <v>0</v>
      </c>
      <c r="F104" s="21">
        <f t="shared" ca="1" si="7"/>
        <v>0</v>
      </c>
      <c r="H104" s="21">
        <v>89</v>
      </c>
      <c r="I104" s="102">
        <v>0.66786697764935599</v>
      </c>
      <c r="J104" s="103">
        <v>1.6073703079316471E-3</v>
      </c>
      <c r="K104" s="103"/>
      <c r="L104" s="103">
        <v>4.82E-2</v>
      </c>
      <c r="O104" s="100"/>
    </row>
    <row r="105" spans="2:15" x14ac:dyDescent="0.2">
      <c r="B105" s="1">
        <v>90</v>
      </c>
      <c r="C105" s="101">
        <f t="shared" ca="1" si="4"/>
        <v>-0.88185378609819476</v>
      </c>
      <c r="D105" s="101">
        <f t="shared" ca="1" si="5"/>
        <v>0.60914169532426665</v>
      </c>
      <c r="E105" s="101">
        <f t="shared" ca="1" si="6"/>
        <v>0</v>
      </c>
      <c r="F105" s="21">
        <f t="shared" ca="1" si="7"/>
        <v>0</v>
      </c>
      <c r="H105" s="21">
        <v>90</v>
      </c>
      <c r="I105" s="102">
        <v>0.66775292355177363</v>
      </c>
      <c r="J105" s="103">
        <v>1.3555016027768285E-3</v>
      </c>
      <c r="K105" s="103"/>
      <c r="L105" s="103">
        <v>4.1399999999999999E-2</v>
      </c>
      <c r="O105" s="100"/>
    </row>
    <row r="106" spans="2:15" x14ac:dyDescent="0.2">
      <c r="B106" s="1">
        <v>91</v>
      </c>
      <c r="C106" s="101">
        <f t="shared" ca="1" si="4"/>
        <v>-0.74127433329866577</v>
      </c>
      <c r="D106" s="101">
        <f t="shared" ca="1" si="5"/>
        <v>0.61764746708719487</v>
      </c>
      <c r="E106" s="101">
        <f t="shared" ca="1" si="6"/>
        <v>0</v>
      </c>
      <c r="F106" s="21">
        <f t="shared" ca="1" si="7"/>
        <v>0</v>
      </c>
      <c r="H106" s="21">
        <v>91</v>
      </c>
      <c r="I106" s="102">
        <v>0.6676612953664347</v>
      </c>
      <c r="J106" s="103">
        <v>1.1550065994667576E-3</v>
      </c>
      <c r="K106" s="103"/>
      <c r="L106" s="103">
        <v>3.9E-2</v>
      </c>
      <c r="O106" s="100"/>
    </row>
    <row r="107" spans="2:15" x14ac:dyDescent="0.2">
      <c r="B107" s="1">
        <v>92</v>
      </c>
      <c r="C107" s="101">
        <f t="shared" ca="1" si="4"/>
        <v>0.2219442306370534</v>
      </c>
      <c r="D107" s="101">
        <f t="shared" ca="1" si="5"/>
        <v>0.67921044226381599</v>
      </c>
      <c r="E107" s="101">
        <f t="shared" ca="1" si="6"/>
        <v>0</v>
      </c>
      <c r="F107" s="21">
        <f t="shared" ca="1" si="7"/>
        <v>0</v>
      </c>
      <c r="H107" s="21">
        <v>92</v>
      </c>
      <c r="I107" s="102">
        <v>0.66770067644320863</v>
      </c>
      <c r="J107" s="103">
        <v>1.3292054685551155E-3</v>
      </c>
      <c r="K107" s="103"/>
      <c r="L107" s="103">
        <v>4.0399999999999998E-2</v>
      </c>
      <c r="O107" s="100"/>
    </row>
    <row r="108" spans="2:15" x14ac:dyDescent="0.2">
      <c r="B108" s="1">
        <v>93</v>
      </c>
      <c r="C108" s="101">
        <f t="shared" ca="1" si="4"/>
        <v>-0.54004107899601494</v>
      </c>
      <c r="D108" s="101">
        <f t="shared" ca="1" si="5"/>
        <v>0.63003020840180757</v>
      </c>
      <c r="E108" s="101">
        <f t="shared" ca="1" si="6"/>
        <v>0</v>
      </c>
      <c r="F108" s="21">
        <f t="shared" ca="1" si="7"/>
        <v>0</v>
      </c>
      <c r="H108" s="21">
        <v>93</v>
      </c>
      <c r="I108" s="102">
        <v>0.66769290691823979</v>
      </c>
      <c r="J108" s="103">
        <v>1.3974892034968973E-3</v>
      </c>
      <c r="K108" s="103"/>
      <c r="L108" s="103">
        <v>4.0399999999999998E-2</v>
      </c>
      <c r="O108" s="100"/>
    </row>
    <row r="109" spans="2:15" x14ac:dyDescent="0.2">
      <c r="B109" s="1">
        <v>94</v>
      </c>
      <c r="C109" s="101">
        <f t="shared" ca="1" si="4"/>
        <v>-1.0923306271101949</v>
      </c>
      <c r="D109" s="101">
        <f t="shared" ca="1" si="5"/>
        <v>0.59662525029694202</v>
      </c>
      <c r="E109" s="101">
        <f t="shared" ca="1" si="6"/>
        <v>0</v>
      </c>
      <c r="F109" s="21">
        <f t="shared" ca="1" si="7"/>
        <v>0</v>
      </c>
      <c r="H109" s="21">
        <v>94</v>
      </c>
      <c r="I109" s="102">
        <v>0.66770837115789905</v>
      </c>
      <c r="J109" s="103">
        <v>1.2629042547084011E-3</v>
      </c>
      <c r="K109" s="103"/>
      <c r="L109" s="103">
        <v>4.0800000000000003E-2</v>
      </c>
      <c r="O109" s="100"/>
    </row>
    <row r="110" spans="2:15" x14ac:dyDescent="0.2">
      <c r="B110" s="1">
        <v>95</v>
      </c>
      <c r="C110" s="101">
        <f t="shared" ca="1" si="4"/>
        <v>0.83804126931667122</v>
      </c>
      <c r="D110" s="101">
        <f t="shared" ca="1" si="5"/>
        <v>0.72176791361682224</v>
      </c>
      <c r="E110" s="101">
        <f t="shared" ca="1" si="6"/>
        <v>0</v>
      </c>
      <c r="F110" s="21">
        <f t="shared" ca="1" si="7"/>
        <v>0</v>
      </c>
      <c r="H110" s="21">
        <v>95</v>
      </c>
      <c r="I110" s="102">
        <v>0.66781599711011863</v>
      </c>
      <c r="J110" s="103">
        <v>1.4944521635210869E-3</v>
      </c>
      <c r="K110" s="103"/>
      <c r="L110" s="103">
        <v>4.3999999999999997E-2</v>
      </c>
      <c r="O110" s="100"/>
    </row>
    <row r="111" spans="2:15" x14ac:dyDescent="0.2">
      <c r="B111" s="1">
        <v>96</v>
      </c>
      <c r="C111" s="101">
        <f t="shared" ca="1" si="4"/>
        <v>-0.24260091699711969</v>
      </c>
      <c r="D111" s="101">
        <f t="shared" ca="1" si="5"/>
        <v>0.6487890724799128</v>
      </c>
      <c r="E111" s="101">
        <f t="shared" ca="1" si="6"/>
        <v>0</v>
      </c>
      <c r="F111" s="21">
        <f t="shared" ca="1" si="7"/>
        <v>0</v>
      </c>
      <c r="H111" s="21">
        <v>96</v>
      </c>
      <c r="I111" s="102">
        <v>0.66765799578734653</v>
      </c>
      <c r="J111" s="103">
        <v>1.3068875268025853E-3</v>
      </c>
      <c r="K111" s="103"/>
      <c r="L111" s="103">
        <v>4.2599999999999999E-2</v>
      </c>
      <c r="O111" s="100"/>
    </row>
    <row r="112" spans="2:15" x14ac:dyDescent="0.2">
      <c r="B112" s="1">
        <v>97</v>
      </c>
      <c r="C112" s="101">
        <f t="shared" ca="1" si="4"/>
        <v>-2.0631953217823238</v>
      </c>
      <c r="D112" s="101">
        <f t="shared" ca="1" si="5"/>
        <v>0.54213866826561186</v>
      </c>
      <c r="E112" s="101">
        <f t="shared" ca="1" si="6"/>
        <v>0</v>
      </c>
      <c r="F112" s="21">
        <f t="shared" ca="1" si="7"/>
        <v>0</v>
      </c>
      <c r="H112" s="21">
        <v>97</v>
      </c>
      <c r="I112" s="102">
        <v>0.66780231788734412</v>
      </c>
      <c r="J112" s="103">
        <v>1.536592076375828E-3</v>
      </c>
      <c r="K112" s="103"/>
      <c r="L112" s="103">
        <v>4.2000000000000003E-2</v>
      </c>
      <c r="O112" s="100"/>
    </row>
    <row r="113" spans="2:15" x14ac:dyDescent="0.2">
      <c r="B113" s="1">
        <v>98</v>
      </c>
      <c r="C113" s="101">
        <f t="shared" ca="1" si="4"/>
        <v>1.866148552912426</v>
      </c>
      <c r="D113" s="101">
        <f t="shared" ca="1" si="5"/>
        <v>0.79880551323668347</v>
      </c>
      <c r="E113" s="101">
        <f t="shared" ca="1" si="6"/>
        <v>1.0605513236683461E-2</v>
      </c>
      <c r="F113" s="21">
        <f t="shared" ca="1" si="7"/>
        <v>1</v>
      </c>
      <c r="H113" s="21">
        <v>98</v>
      </c>
      <c r="I113" s="102">
        <v>0.66770910949903628</v>
      </c>
      <c r="J113" s="103">
        <v>1.3735778136035554E-3</v>
      </c>
      <c r="K113" s="103"/>
      <c r="L113" s="103">
        <v>4.2200000000000001E-2</v>
      </c>
      <c r="O113" s="100"/>
    </row>
    <row r="114" spans="2:15" x14ac:dyDescent="0.2">
      <c r="B114" s="1">
        <v>99</v>
      </c>
      <c r="C114" s="101">
        <f t="shared" ca="1" si="4"/>
        <v>-0.70979917070891385</v>
      </c>
      <c r="D114" s="101">
        <f t="shared" ca="1" si="5"/>
        <v>0.61956808913627859</v>
      </c>
      <c r="E114" s="101">
        <f t="shared" ca="1" si="6"/>
        <v>0</v>
      </c>
      <c r="F114" s="21">
        <f t="shared" ca="1" si="7"/>
        <v>0</v>
      </c>
      <c r="H114" s="21">
        <v>99</v>
      </c>
      <c r="I114" s="102">
        <v>0.66783934176444171</v>
      </c>
      <c r="J114" s="103">
        <v>1.6252681828508599E-3</v>
      </c>
      <c r="K114" s="103"/>
      <c r="L114" s="103">
        <v>4.7800000000000002E-2</v>
      </c>
      <c r="O114" s="100"/>
    </row>
    <row r="115" spans="2:15" x14ac:dyDescent="0.2">
      <c r="B115" s="1">
        <v>100</v>
      </c>
      <c r="C115" s="101">
        <f t="shared" ca="1" si="4"/>
        <v>-1.7700201650911758</v>
      </c>
      <c r="D115" s="101">
        <f t="shared" ca="1" si="5"/>
        <v>0.55804577907157293</v>
      </c>
      <c r="E115" s="101">
        <f t="shared" ca="1" si="6"/>
        <v>0</v>
      </c>
      <c r="F115" s="21">
        <f t="shared" ca="1" si="7"/>
        <v>0</v>
      </c>
      <c r="H115" s="21">
        <v>100</v>
      </c>
      <c r="I115" s="102">
        <v>0.66754567773414164</v>
      </c>
      <c r="J115" s="103">
        <v>1.1902482955926453E-3</v>
      </c>
      <c r="K115" s="103"/>
      <c r="L115" s="103">
        <v>3.6400000000000002E-2</v>
      </c>
      <c r="O115" s="100"/>
    </row>
    <row r="116" spans="2:15" x14ac:dyDescent="0.2">
      <c r="B116" s="1">
        <v>101</v>
      </c>
      <c r="C116" s="101">
        <f t="shared" ca="1" si="4"/>
        <v>0.67306196942609031</v>
      </c>
      <c r="D116" s="101">
        <f t="shared" ca="1" si="5"/>
        <v>0.71011708228550618</v>
      </c>
      <c r="E116" s="101">
        <f t="shared" ca="1" si="6"/>
        <v>0</v>
      </c>
      <c r="F116" s="21">
        <f t="shared" ca="1" si="7"/>
        <v>0</v>
      </c>
      <c r="H116" s="21">
        <v>101</v>
      </c>
      <c r="I116" s="102">
        <v>0.66776267937950851</v>
      </c>
      <c r="J116" s="103">
        <v>1.3702601864223932E-3</v>
      </c>
      <c r="K116" s="103"/>
      <c r="L116" s="103">
        <v>4.3400000000000001E-2</v>
      </c>
      <c r="M116" s="104"/>
      <c r="N116" s="104"/>
      <c r="O116" s="100"/>
    </row>
    <row r="117" spans="2:15" x14ac:dyDescent="0.2">
      <c r="B117" s="1">
        <v>102</v>
      </c>
      <c r="C117" s="101">
        <f t="shared" ca="1" si="4"/>
        <v>-0.40656899435005867</v>
      </c>
      <c r="D117" s="101">
        <f t="shared" ca="1" si="5"/>
        <v>0.63837994518765107</v>
      </c>
      <c r="E117" s="101">
        <f t="shared" ca="1" si="6"/>
        <v>0</v>
      </c>
      <c r="F117" s="21">
        <f t="shared" ca="1" si="7"/>
        <v>0</v>
      </c>
      <c r="H117" s="21">
        <v>102</v>
      </c>
      <c r="I117" s="102">
        <v>0.66769621804789825</v>
      </c>
      <c r="J117" s="103">
        <v>1.2448893731453181E-3</v>
      </c>
      <c r="K117" s="103"/>
      <c r="L117" s="103">
        <v>3.9E-2</v>
      </c>
      <c r="O117" s="100"/>
    </row>
    <row r="118" spans="2:15" x14ac:dyDescent="0.2">
      <c r="B118" s="1">
        <v>103</v>
      </c>
      <c r="C118" s="101">
        <f t="shared" ca="1" si="4"/>
        <v>0.65497834990405035</v>
      </c>
      <c r="D118" s="101">
        <f t="shared" ca="1" si="5"/>
        <v>0.70885151006449032</v>
      </c>
      <c r="E118" s="101">
        <f t="shared" ca="1" si="6"/>
        <v>0</v>
      </c>
      <c r="F118" s="21">
        <f t="shared" ca="1" si="7"/>
        <v>0</v>
      </c>
      <c r="H118" s="21">
        <v>103</v>
      </c>
      <c r="I118" s="102">
        <v>0.66770578205094011</v>
      </c>
      <c r="J118" s="103">
        <v>1.2898710253451599E-3</v>
      </c>
      <c r="K118" s="103"/>
      <c r="L118" s="103">
        <v>4.02E-2</v>
      </c>
      <c r="O118" s="100"/>
    </row>
    <row r="119" spans="2:15" x14ac:dyDescent="0.2">
      <c r="B119" s="1">
        <v>104</v>
      </c>
      <c r="C119" s="101">
        <f t="shared" ca="1" si="4"/>
        <v>0.14560432074872343</v>
      </c>
      <c r="D119" s="101">
        <f t="shared" ca="1" si="5"/>
        <v>0.67411501335641433</v>
      </c>
      <c r="E119" s="101">
        <f t="shared" ca="1" si="6"/>
        <v>0</v>
      </c>
      <c r="F119" s="21">
        <f t="shared" ca="1" si="7"/>
        <v>0</v>
      </c>
      <c r="H119" s="21">
        <v>104</v>
      </c>
      <c r="I119" s="102">
        <v>0.66783377072287453</v>
      </c>
      <c r="J119" s="103">
        <v>1.4644676900604531E-3</v>
      </c>
      <c r="K119" s="103"/>
      <c r="L119" s="103">
        <v>4.58E-2</v>
      </c>
      <c r="O119" s="100"/>
    </row>
    <row r="120" spans="2:15" x14ac:dyDescent="0.2">
      <c r="B120" s="1">
        <v>105</v>
      </c>
      <c r="C120" s="101">
        <f t="shared" ca="1" si="4"/>
        <v>-1.9086558311239166</v>
      </c>
      <c r="D120" s="101">
        <f t="shared" ca="1" si="5"/>
        <v>0.55046633151615021</v>
      </c>
      <c r="E120" s="101">
        <f t="shared" ca="1" si="6"/>
        <v>0</v>
      </c>
      <c r="F120" s="21">
        <f t="shared" ca="1" si="7"/>
        <v>0</v>
      </c>
      <c r="H120" s="21">
        <v>105</v>
      </c>
      <c r="I120" s="102">
        <v>0.66774326037076892</v>
      </c>
      <c r="J120" s="103">
        <v>1.374108886579689E-3</v>
      </c>
      <c r="K120" s="103"/>
      <c r="L120" s="103">
        <v>4.5600000000000002E-2</v>
      </c>
      <c r="O120" s="100"/>
    </row>
    <row r="121" spans="2:15" x14ac:dyDescent="0.2">
      <c r="B121" s="1">
        <v>106</v>
      </c>
      <c r="C121" s="101">
        <f t="shared" ca="1" si="4"/>
        <v>1.3814599311500602</v>
      </c>
      <c r="D121" s="101">
        <f t="shared" ca="1" si="5"/>
        <v>0.76151294777797773</v>
      </c>
      <c r="E121" s="101">
        <f t="shared" ca="1" si="6"/>
        <v>0</v>
      </c>
      <c r="F121" s="21">
        <f t="shared" ca="1" si="7"/>
        <v>0</v>
      </c>
      <c r="H121" s="21">
        <v>106</v>
      </c>
      <c r="I121" s="102">
        <v>0.66775057217815148</v>
      </c>
      <c r="J121" s="103">
        <v>1.3920480100911114E-3</v>
      </c>
      <c r="K121" s="103"/>
      <c r="L121" s="103">
        <v>4.2799999999999998E-2</v>
      </c>
      <c r="O121" s="100"/>
    </row>
    <row r="122" spans="2:15" x14ac:dyDescent="0.2">
      <c r="B122" s="1">
        <v>107</v>
      </c>
      <c r="C122" s="101">
        <f t="shared" ca="1" si="4"/>
        <v>0.52173560211173553</v>
      </c>
      <c r="D122" s="101">
        <f t="shared" ca="1" si="5"/>
        <v>0.69959586147795771</v>
      </c>
      <c r="E122" s="101">
        <f t="shared" ca="1" si="6"/>
        <v>0</v>
      </c>
      <c r="F122" s="21">
        <f t="shared" ca="1" si="7"/>
        <v>0</v>
      </c>
      <c r="H122" s="21">
        <v>107</v>
      </c>
      <c r="I122" s="102">
        <v>0.66778630149254137</v>
      </c>
      <c r="J122" s="103">
        <v>1.4254980754894173E-3</v>
      </c>
      <c r="K122" s="103"/>
      <c r="L122" s="103">
        <v>4.5999999999999999E-2</v>
      </c>
      <c r="O122" s="100"/>
    </row>
    <row r="123" spans="2:15" x14ac:dyDescent="0.2">
      <c r="B123" s="1">
        <v>108</v>
      </c>
      <c r="C123" s="101">
        <f t="shared" ca="1" si="4"/>
        <v>0.45837474207736828</v>
      </c>
      <c r="D123" s="101">
        <f t="shared" ca="1" si="5"/>
        <v>0.69523702343470917</v>
      </c>
      <c r="E123" s="101">
        <f t="shared" ca="1" si="6"/>
        <v>0</v>
      </c>
      <c r="F123" s="21">
        <f t="shared" ca="1" si="7"/>
        <v>0</v>
      </c>
      <c r="H123" s="21">
        <v>108</v>
      </c>
      <c r="I123" s="102">
        <v>0.66774462252156419</v>
      </c>
      <c r="J123" s="103">
        <v>1.3029886563345604E-3</v>
      </c>
      <c r="K123" s="103"/>
      <c r="L123" s="103">
        <v>3.8199999999999998E-2</v>
      </c>
      <c r="O123" s="100"/>
    </row>
    <row r="124" spans="2:15" x14ac:dyDescent="0.2">
      <c r="B124" s="1">
        <v>109</v>
      </c>
      <c r="C124" s="101">
        <f t="shared" ca="1" si="4"/>
        <v>-0.73231060332875875</v>
      </c>
      <c r="D124" s="101">
        <f t="shared" ca="1" si="5"/>
        <v>0.61819382890958918</v>
      </c>
      <c r="E124" s="101">
        <f t="shared" ca="1" si="6"/>
        <v>0</v>
      </c>
      <c r="F124" s="21">
        <f t="shared" ca="1" si="7"/>
        <v>0</v>
      </c>
      <c r="H124" s="21">
        <v>109</v>
      </c>
      <c r="I124" s="102">
        <v>0.66757389073201978</v>
      </c>
      <c r="J124" s="103">
        <v>1.1394120090326475E-3</v>
      </c>
      <c r="K124" s="103"/>
      <c r="L124" s="103">
        <v>3.6799999999999999E-2</v>
      </c>
      <c r="O124" s="100"/>
    </row>
    <row r="125" spans="2:15" x14ac:dyDescent="0.2">
      <c r="B125" s="1">
        <v>110</v>
      </c>
      <c r="C125" s="101">
        <f t="shared" ca="1" si="4"/>
        <v>-0.44162585052333886</v>
      </c>
      <c r="D125" s="101">
        <f t="shared" ca="1" si="5"/>
        <v>0.63617620489640692</v>
      </c>
      <c r="E125" s="101">
        <f t="shared" ca="1" si="6"/>
        <v>0</v>
      </c>
      <c r="F125" s="21">
        <f t="shared" ca="1" si="7"/>
        <v>0</v>
      </c>
      <c r="H125" s="21">
        <v>110</v>
      </c>
      <c r="I125" s="102">
        <v>0.66762912023166199</v>
      </c>
      <c r="J125" s="103">
        <v>1.2382979940349505E-3</v>
      </c>
      <c r="K125" s="103"/>
      <c r="L125" s="103">
        <v>3.5999999999999997E-2</v>
      </c>
      <c r="O125" s="100"/>
    </row>
    <row r="126" spans="2:15" x14ac:dyDescent="0.2">
      <c r="B126" s="1">
        <v>111</v>
      </c>
      <c r="C126" s="101">
        <f t="shared" ca="1" si="4"/>
        <v>1.0740902884599235</v>
      </c>
      <c r="D126" s="101">
        <f t="shared" ca="1" si="5"/>
        <v>0.73877087545403008</v>
      </c>
      <c r="E126" s="101">
        <f t="shared" ca="1" si="6"/>
        <v>0</v>
      </c>
      <c r="F126" s="21">
        <f t="shared" ca="1" si="7"/>
        <v>0</v>
      </c>
      <c r="H126" s="21">
        <v>111</v>
      </c>
      <c r="I126" s="102">
        <v>0.66770491838406498</v>
      </c>
      <c r="J126" s="103">
        <v>1.3880122926775487E-3</v>
      </c>
      <c r="K126" s="103"/>
      <c r="L126" s="103">
        <v>4.1000000000000002E-2</v>
      </c>
      <c r="O126" s="100"/>
    </row>
    <row r="127" spans="2:15" x14ac:dyDescent="0.2">
      <c r="B127" s="1">
        <v>112</v>
      </c>
      <c r="C127" s="101">
        <f t="shared" ca="1" si="4"/>
        <v>-0.62729908832443315</v>
      </c>
      <c r="D127" s="101">
        <f t="shared" ca="1" si="5"/>
        <v>0.62463065456328171</v>
      </c>
      <c r="E127" s="101">
        <f t="shared" ca="1" si="6"/>
        <v>0</v>
      </c>
      <c r="F127" s="21">
        <f t="shared" ca="1" si="7"/>
        <v>0</v>
      </c>
      <c r="H127" s="21">
        <v>112</v>
      </c>
      <c r="I127" s="102">
        <v>0.66776855084735254</v>
      </c>
      <c r="J127" s="103">
        <v>1.2142954656389727E-3</v>
      </c>
      <c r="K127" s="103"/>
      <c r="L127" s="103">
        <v>3.9199999999999999E-2</v>
      </c>
      <c r="O127" s="100"/>
    </row>
    <row r="128" spans="2:15" x14ac:dyDescent="0.2">
      <c r="B128" s="1">
        <v>113</v>
      </c>
      <c r="C128" s="101">
        <f t="shared" ca="1" si="4"/>
        <v>-0.41521291556838341</v>
      </c>
      <c r="D128" s="101">
        <f t="shared" ca="1" si="5"/>
        <v>0.63783586388851066</v>
      </c>
      <c r="E128" s="101">
        <f t="shared" ca="1" si="6"/>
        <v>0</v>
      </c>
      <c r="F128" s="21">
        <f t="shared" ca="1" si="7"/>
        <v>0</v>
      </c>
      <c r="H128" s="21">
        <v>113</v>
      </c>
      <c r="I128" s="102">
        <v>0.66775077084855761</v>
      </c>
      <c r="J128" s="103">
        <v>1.5334298179522253E-3</v>
      </c>
      <c r="K128" s="103"/>
      <c r="L128" s="103">
        <v>4.2799999999999998E-2</v>
      </c>
      <c r="O128" s="100"/>
    </row>
    <row r="129" spans="2:15" x14ac:dyDescent="0.2">
      <c r="B129" s="1">
        <v>114</v>
      </c>
      <c r="C129" s="101">
        <f t="shared" ca="1" si="4"/>
        <v>0.80263565803506587</v>
      </c>
      <c r="D129" s="101">
        <f t="shared" ca="1" si="5"/>
        <v>0.71925156729400219</v>
      </c>
      <c r="E129" s="101">
        <f t="shared" ca="1" si="6"/>
        <v>0</v>
      </c>
      <c r="F129" s="21">
        <f t="shared" ca="1" si="7"/>
        <v>0</v>
      </c>
      <c r="H129" s="21">
        <v>114</v>
      </c>
      <c r="I129" s="102">
        <v>0.66761822772893442</v>
      </c>
      <c r="J129" s="103">
        <v>1.1760554552994844E-3</v>
      </c>
      <c r="K129" s="103"/>
      <c r="L129" s="103">
        <v>4.0399999999999998E-2</v>
      </c>
      <c r="O129" s="100"/>
    </row>
    <row r="130" spans="2:15" x14ac:dyDescent="0.2">
      <c r="B130" s="1">
        <v>115</v>
      </c>
      <c r="C130" s="101">
        <f t="shared" ca="1" si="4"/>
        <v>-1.1576884301016579</v>
      </c>
      <c r="D130" s="101">
        <f t="shared" ca="1" si="5"/>
        <v>0.59279119137117231</v>
      </c>
      <c r="E130" s="101">
        <f t="shared" ca="1" si="6"/>
        <v>0</v>
      </c>
      <c r="F130" s="21">
        <f t="shared" ca="1" si="7"/>
        <v>0</v>
      </c>
      <c r="H130" s="21">
        <v>115</v>
      </c>
      <c r="I130" s="102">
        <v>0.66772997373115894</v>
      </c>
      <c r="J130" s="103">
        <v>1.2449861262471397E-3</v>
      </c>
      <c r="K130" s="103"/>
      <c r="L130" s="103">
        <v>4.2599999999999999E-2</v>
      </c>
      <c r="O130" s="100"/>
    </row>
    <row r="131" spans="2:15" x14ac:dyDescent="0.2">
      <c r="B131" s="1">
        <v>116</v>
      </c>
      <c r="C131" s="101">
        <f t="shared" ca="1" si="4"/>
        <v>1.1211604491024325</v>
      </c>
      <c r="D131" s="101">
        <f t="shared" ca="1" si="5"/>
        <v>0.74220901077103119</v>
      </c>
      <c r="E131" s="101">
        <f t="shared" ca="1" si="6"/>
        <v>0</v>
      </c>
      <c r="F131" s="21">
        <f t="shared" ca="1" si="7"/>
        <v>0</v>
      </c>
      <c r="H131" s="21">
        <v>116</v>
      </c>
      <c r="I131" s="102">
        <v>0.66775193507491415</v>
      </c>
      <c r="J131" s="103">
        <v>1.3500501264299659E-3</v>
      </c>
      <c r="K131" s="103"/>
      <c r="L131" s="103">
        <v>0.04</v>
      </c>
      <c r="O131" s="100"/>
    </row>
    <row r="132" spans="2:15" x14ac:dyDescent="0.2">
      <c r="B132" s="1">
        <v>117</v>
      </c>
      <c r="C132" s="101">
        <f t="shared" ca="1" si="4"/>
        <v>1.2680970786237531</v>
      </c>
      <c r="D132" s="101">
        <f t="shared" ca="1" si="5"/>
        <v>0.75304494438447556</v>
      </c>
      <c r="E132" s="101">
        <f t="shared" ca="1" si="6"/>
        <v>0</v>
      </c>
      <c r="F132" s="21">
        <f t="shared" ca="1" si="7"/>
        <v>0</v>
      </c>
      <c r="H132" s="21">
        <v>117</v>
      </c>
      <c r="I132" s="102">
        <v>0.6679649945131666</v>
      </c>
      <c r="J132" s="103">
        <v>1.5939529532298484E-3</v>
      </c>
      <c r="K132" s="103"/>
      <c r="L132" s="103">
        <v>4.6399999999999997E-2</v>
      </c>
      <c r="O132" s="100"/>
    </row>
    <row r="133" spans="2:15" x14ac:dyDescent="0.2">
      <c r="B133" s="1">
        <v>118</v>
      </c>
      <c r="C133" s="101">
        <f t="shared" ca="1" si="4"/>
        <v>-0.43060954968553095</v>
      </c>
      <c r="D133" s="101">
        <f t="shared" ca="1" si="5"/>
        <v>0.63686788947997308</v>
      </c>
      <c r="E133" s="101">
        <f t="shared" ca="1" si="6"/>
        <v>0</v>
      </c>
      <c r="F133" s="21">
        <f t="shared" ca="1" si="7"/>
        <v>0</v>
      </c>
      <c r="H133" s="21">
        <v>118</v>
      </c>
      <c r="I133" s="102">
        <v>0.66775357488645359</v>
      </c>
      <c r="J133" s="103">
        <v>1.4655806291779226E-3</v>
      </c>
      <c r="K133" s="103"/>
      <c r="L133" s="103">
        <v>4.1200000000000001E-2</v>
      </c>
      <c r="O133" s="100"/>
    </row>
    <row r="134" spans="2:15" x14ac:dyDescent="0.2">
      <c r="B134" s="1">
        <v>119</v>
      </c>
      <c r="C134" s="101">
        <f t="shared" ca="1" si="4"/>
        <v>0.46546705626201001</v>
      </c>
      <c r="D134" s="101">
        <f t="shared" ca="1" si="5"/>
        <v>0.69572357814640451</v>
      </c>
      <c r="E134" s="101">
        <f t="shared" ca="1" si="6"/>
        <v>0</v>
      </c>
      <c r="F134" s="21">
        <f t="shared" ca="1" si="7"/>
        <v>0</v>
      </c>
      <c r="H134" s="21">
        <v>119</v>
      </c>
      <c r="I134" s="102">
        <v>0.66773921269219505</v>
      </c>
      <c r="J134" s="103">
        <v>1.4345374853909851E-3</v>
      </c>
      <c r="K134" s="103"/>
      <c r="L134" s="103">
        <v>4.1200000000000001E-2</v>
      </c>
      <c r="O134" s="100"/>
    </row>
    <row r="135" spans="2:15" x14ac:dyDescent="0.2">
      <c r="B135" s="1">
        <v>120</v>
      </c>
      <c r="C135" s="101">
        <f t="shared" ca="1" si="4"/>
        <v>1.7355840539005549</v>
      </c>
      <c r="D135" s="101">
        <f t="shared" ca="1" si="5"/>
        <v>0.78858361833984425</v>
      </c>
      <c r="E135" s="101">
        <f t="shared" ca="1" si="6"/>
        <v>3.8361833984423832E-4</v>
      </c>
      <c r="F135" s="21">
        <f t="shared" ca="1" si="7"/>
        <v>1</v>
      </c>
      <c r="H135" s="21">
        <v>120</v>
      </c>
      <c r="I135" s="102">
        <v>0.66773369497129731</v>
      </c>
      <c r="J135" s="103">
        <v>1.3373187182911383E-3</v>
      </c>
      <c r="K135" s="103"/>
      <c r="L135" s="103">
        <v>4.1599999999999998E-2</v>
      </c>
      <c r="O135" s="100"/>
    </row>
    <row r="136" spans="2:15" x14ac:dyDescent="0.2">
      <c r="B136" s="1">
        <v>121</v>
      </c>
      <c r="C136" s="101">
        <f t="shared" ca="1" si="4"/>
        <v>-0.2364227100668938</v>
      </c>
      <c r="D136" s="101">
        <f t="shared" ca="1" si="5"/>
        <v>0.64918458225299314</v>
      </c>
      <c r="E136" s="101">
        <f t="shared" ca="1" si="6"/>
        <v>0</v>
      </c>
      <c r="F136" s="21">
        <f t="shared" ca="1" si="7"/>
        <v>0</v>
      </c>
      <c r="H136" s="21">
        <v>121</v>
      </c>
      <c r="I136" s="102">
        <v>0.66766541189448214</v>
      </c>
      <c r="J136" s="103">
        <v>1.3718314244161557E-3</v>
      </c>
      <c r="K136" s="103"/>
      <c r="L136" s="103">
        <v>3.9600000000000003E-2</v>
      </c>
      <c r="O136" s="100"/>
    </row>
    <row r="137" spans="2:15" x14ac:dyDescent="0.2">
      <c r="B137" s="1">
        <v>122</v>
      </c>
      <c r="C137" s="101">
        <f t="shared" ca="1" si="4"/>
        <v>2.1486425815029211</v>
      </c>
      <c r="D137" s="101">
        <f t="shared" ca="1" si="5"/>
        <v>0.8213777300083942</v>
      </c>
      <c r="E137" s="101">
        <f t="shared" ca="1" si="6"/>
        <v>3.3177730008394191E-2</v>
      </c>
      <c r="F137" s="21">
        <f t="shared" ca="1" si="7"/>
        <v>1</v>
      </c>
      <c r="H137" s="21">
        <v>122</v>
      </c>
      <c r="I137" s="102">
        <v>0.66783758368660251</v>
      </c>
      <c r="J137" s="103">
        <v>1.4559880393333782E-3</v>
      </c>
      <c r="K137" s="103"/>
      <c r="L137" s="103">
        <v>4.6600000000000003E-2</v>
      </c>
      <c r="O137" s="100"/>
    </row>
    <row r="138" spans="2:15" x14ac:dyDescent="0.2">
      <c r="B138" s="1">
        <v>123</v>
      </c>
      <c r="C138" s="101">
        <f t="shared" ca="1" si="4"/>
        <v>-0.34848042735105306</v>
      </c>
      <c r="D138" s="101">
        <f t="shared" ca="1" si="5"/>
        <v>0.64204831940151108</v>
      </c>
      <c r="E138" s="101">
        <f t="shared" ca="1" si="6"/>
        <v>0</v>
      </c>
      <c r="F138" s="21">
        <f t="shared" ca="1" si="7"/>
        <v>0</v>
      </c>
      <c r="H138" s="21">
        <v>123</v>
      </c>
      <c r="I138" s="102">
        <v>0.66786371529987487</v>
      </c>
      <c r="J138" s="103">
        <v>1.5999398637504001E-3</v>
      </c>
      <c r="K138" s="103"/>
      <c r="L138" s="103">
        <v>4.2200000000000001E-2</v>
      </c>
      <c r="O138" s="100"/>
    </row>
    <row r="139" spans="2:15" x14ac:dyDescent="0.2">
      <c r="B139" s="1">
        <v>124</v>
      </c>
      <c r="C139" s="101">
        <f t="shared" ca="1" si="4"/>
        <v>1.225528465745791</v>
      </c>
      <c r="D139" s="101">
        <f t="shared" ca="1" si="5"/>
        <v>0.74988951976975293</v>
      </c>
      <c r="E139" s="101">
        <f t="shared" ca="1" si="6"/>
        <v>0</v>
      </c>
      <c r="F139" s="21">
        <f t="shared" ca="1" si="7"/>
        <v>0</v>
      </c>
      <c r="H139" s="21">
        <v>124</v>
      </c>
      <c r="I139" s="102">
        <v>0.66775963343370659</v>
      </c>
      <c r="J139" s="103">
        <v>1.4620452729010665E-3</v>
      </c>
      <c r="K139" s="103"/>
      <c r="L139" s="103">
        <v>4.24E-2</v>
      </c>
      <c r="O139" s="100"/>
    </row>
    <row r="140" spans="2:15" x14ac:dyDescent="0.2">
      <c r="B140" s="1">
        <v>125</v>
      </c>
      <c r="C140" s="101">
        <f t="shared" ca="1" si="4"/>
        <v>0.98130300568551443</v>
      </c>
      <c r="D140" s="101">
        <f t="shared" ca="1" si="5"/>
        <v>0.73204000604859987</v>
      </c>
      <c r="E140" s="101">
        <f t="shared" ca="1" si="6"/>
        <v>0</v>
      </c>
      <c r="F140" s="21">
        <f t="shared" ca="1" si="7"/>
        <v>0</v>
      </c>
      <c r="H140" s="21">
        <v>125</v>
      </c>
      <c r="I140" s="102">
        <v>0.66772925928018834</v>
      </c>
      <c r="J140" s="103">
        <v>1.3800980068542556E-3</v>
      </c>
      <c r="K140" s="103"/>
      <c r="L140" s="103">
        <v>4.4600000000000001E-2</v>
      </c>
      <c r="O140" s="100"/>
    </row>
    <row r="141" spans="2:15" x14ac:dyDescent="0.2">
      <c r="B141" s="1">
        <v>126</v>
      </c>
      <c r="C141" s="101">
        <f t="shared" ca="1" si="4"/>
        <v>-0.32272726613829239</v>
      </c>
      <c r="D141" s="101">
        <f t="shared" ca="1" si="5"/>
        <v>0.64368140482430203</v>
      </c>
      <c r="E141" s="101">
        <f t="shared" ca="1" si="6"/>
        <v>0</v>
      </c>
      <c r="F141" s="21">
        <f t="shared" ca="1" si="7"/>
        <v>0</v>
      </c>
      <c r="H141" s="21">
        <v>126</v>
      </c>
      <c r="I141" s="102">
        <v>0.66781727437158755</v>
      </c>
      <c r="J141" s="103">
        <v>1.4862986519213748E-3</v>
      </c>
      <c r="K141" s="103"/>
      <c r="L141" s="103">
        <v>4.2200000000000001E-2</v>
      </c>
      <c r="O141" s="100"/>
    </row>
    <row r="142" spans="2:15" x14ac:dyDescent="0.2">
      <c r="B142" s="1">
        <v>127</v>
      </c>
      <c r="C142" s="101">
        <f t="shared" ca="1" si="4"/>
        <v>0.19503577499497396</v>
      </c>
      <c r="D142" s="101">
        <f t="shared" ca="1" si="5"/>
        <v>0.67741001415559465</v>
      </c>
      <c r="E142" s="101">
        <f t="shared" ca="1" si="6"/>
        <v>0</v>
      </c>
      <c r="F142" s="21">
        <f t="shared" ca="1" si="7"/>
        <v>0</v>
      </c>
      <c r="H142" s="21">
        <v>127</v>
      </c>
      <c r="I142" s="102">
        <v>0.66779239770153398</v>
      </c>
      <c r="J142" s="103">
        <v>1.4514795456233459E-3</v>
      </c>
      <c r="K142" s="103"/>
      <c r="L142" s="103">
        <v>4.2200000000000001E-2</v>
      </c>
      <c r="O142" s="100"/>
    </row>
    <row r="143" spans="2:15" x14ac:dyDescent="0.2">
      <c r="B143" s="1">
        <v>128</v>
      </c>
      <c r="C143" s="101">
        <f t="shared" ca="1" si="4"/>
        <v>0.61304441792349884</v>
      </c>
      <c r="D143" s="101">
        <f t="shared" ca="1" si="5"/>
        <v>0.70592545931909478</v>
      </c>
      <c r="E143" s="101">
        <f t="shared" ca="1" si="6"/>
        <v>0</v>
      </c>
      <c r="F143" s="21">
        <f t="shared" ca="1" si="7"/>
        <v>0</v>
      </c>
      <c r="H143" s="21">
        <v>128</v>
      </c>
      <c r="I143" s="102">
        <v>0.66767937672365363</v>
      </c>
      <c r="J143" s="103">
        <v>1.2901500259086135E-3</v>
      </c>
      <c r="K143" s="103"/>
      <c r="L143" s="103">
        <v>4.2599999999999999E-2</v>
      </c>
      <c r="O143" s="100"/>
    </row>
    <row r="144" spans="2:15" x14ac:dyDescent="0.2">
      <c r="B144" s="1">
        <v>129</v>
      </c>
      <c r="C144" s="101">
        <f t="shared" ref="C144:C207" ca="1" si="8">_xlfn.NORM.S.INV(RAND())</f>
        <v>0.47336050892173703</v>
      </c>
      <c r="D144" s="101">
        <f t="shared" ref="D144:D207" ca="1" si="9">S0*EXP((μ-0.5*σ*σ)*T+σ*SQRT(T)*$C144)</f>
        <v>0.69626549382675185</v>
      </c>
      <c r="E144" s="101">
        <f t="shared" ref="E144:E207" ca="1" si="10">MAX(0,CP*(D144-K))</f>
        <v>0</v>
      </c>
      <c r="F144" s="21">
        <f t="shared" ref="F144:F207" ca="1" si="11">(CP*(D144-K)&gt;0)*1</f>
        <v>0</v>
      </c>
      <c r="H144" s="21">
        <v>129</v>
      </c>
      <c r="I144" s="102">
        <v>0.66777427756955376</v>
      </c>
      <c r="J144" s="103">
        <v>1.3322178246698258E-3</v>
      </c>
      <c r="K144" s="103"/>
      <c r="L144" s="103">
        <v>4.5199999999999997E-2</v>
      </c>
      <c r="O144" s="100"/>
    </row>
    <row r="145" spans="2:15" x14ac:dyDescent="0.2">
      <c r="B145" s="1">
        <v>130</v>
      </c>
      <c r="C145" s="101">
        <f t="shared" ca="1" si="8"/>
        <v>-0.40889258207028845</v>
      </c>
      <c r="D145" s="101">
        <f t="shared" ca="1" si="9"/>
        <v>0.63823364413907235</v>
      </c>
      <c r="E145" s="101">
        <f t="shared" ca="1" si="10"/>
        <v>0</v>
      </c>
      <c r="F145" s="21">
        <f t="shared" ca="1" si="11"/>
        <v>0</v>
      </c>
      <c r="H145" s="21">
        <v>130</v>
      </c>
      <c r="I145" s="102">
        <v>0.66772603307983058</v>
      </c>
      <c r="J145" s="103">
        <v>1.399279065857242E-3</v>
      </c>
      <c r="K145" s="103"/>
      <c r="L145" s="103">
        <v>4.2599999999999999E-2</v>
      </c>
      <c r="O145" s="100"/>
    </row>
    <row r="146" spans="2:15" x14ac:dyDescent="0.2">
      <c r="B146" s="1">
        <v>131</v>
      </c>
      <c r="C146" s="101">
        <f t="shared" ca="1" si="8"/>
        <v>0.2010096501332759</v>
      </c>
      <c r="D146" s="101">
        <f t="shared" ca="1" si="9"/>
        <v>0.67780930984251397</v>
      </c>
      <c r="E146" s="101">
        <f t="shared" ca="1" si="10"/>
        <v>0</v>
      </c>
      <c r="F146" s="21">
        <f t="shared" ca="1" si="11"/>
        <v>0</v>
      </c>
      <c r="H146" s="21">
        <v>131</v>
      </c>
      <c r="I146" s="102">
        <v>0.66766470341494555</v>
      </c>
      <c r="J146" s="103">
        <v>1.3455348410886718E-3</v>
      </c>
      <c r="K146" s="103"/>
      <c r="L146" s="103">
        <v>0.04</v>
      </c>
      <c r="O146" s="100"/>
    </row>
    <row r="147" spans="2:15" x14ac:dyDescent="0.2">
      <c r="B147" s="1">
        <v>132</v>
      </c>
      <c r="C147" s="101">
        <f t="shared" ca="1" si="8"/>
        <v>-1.3694031380984441E-2</v>
      </c>
      <c r="D147" s="101">
        <f t="shared" ca="1" si="9"/>
        <v>0.66360516306283623</v>
      </c>
      <c r="E147" s="101">
        <f t="shared" ca="1" si="10"/>
        <v>0</v>
      </c>
      <c r="F147" s="21">
        <f t="shared" ca="1" si="11"/>
        <v>0</v>
      </c>
      <c r="H147" s="21">
        <v>132</v>
      </c>
      <c r="I147" s="102">
        <v>0.66771588027997142</v>
      </c>
      <c r="J147" s="103">
        <v>1.2385651362269358E-3</v>
      </c>
      <c r="K147" s="103"/>
      <c r="L147" s="103">
        <v>3.9199999999999999E-2</v>
      </c>
      <c r="O147" s="100"/>
    </row>
    <row r="148" spans="2:15" x14ac:dyDescent="0.2">
      <c r="B148" s="1">
        <v>133</v>
      </c>
      <c r="C148" s="101">
        <f t="shared" ca="1" si="8"/>
        <v>-0.99824448966541746</v>
      </c>
      <c r="D148" s="101">
        <f t="shared" ca="1" si="9"/>
        <v>0.60218817298853022</v>
      </c>
      <c r="E148" s="101">
        <f t="shared" ca="1" si="10"/>
        <v>0</v>
      </c>
      <c r="F148" s="21">
        <f t="shared" ca="1" si="11"/>
        <v>0</v>
      </c>
      <c r="H148" s="21">
        <v>133</v>
      </c>
      <c r="I148" s="102">
        <v>0.66783428612258899</v>
      </c>
      <c r="J148" s="103">
        <v>1.5455244120160616E-3</v>
      </c>
      <c r="K148" s="103"/>
      <c r="L148" s="103">
        <v>4.7800000000000002E-2</v>
      </c>
      <c r="O148" s="100"/>
    </row>
    <row r="149" spans="2:15" x14ac:dyDescent="0.2">
      <c r="B149" s="1">
        <v>134</v>
      </c>
      <c r="C149" s="101">
        <f t="shared" ca="1" si="8"/>
        <v>-0.61758798067074661</v>
      </c>
      <c r="D149" s="101">
        <f t="shared" ca="1" si="9"/>
        <v>0.625229285268042</v>
      </c>
      <c r="E149" s="101">
        <f t="shared" ca="1" si="10"/>
        <v>0</v>
      </c>
      <c r="F149" s="21">
        <f t="shared" ca="1" si="11"/>
        <v>0</v>
      </c>
      <c r="H149" s="21">
        <v>134</v>
      </c>
      <c r="I149" s="102">
        <v>0.66781112160343048</v>
      </c>
      <c r="J149" s="103">
        <v>1.4976131529156975E-3</v>
      </c>
      <c r="K149" s="103"/>
      <c r="L149" s="103">
        <v>4.2200000000000001E-2</v>
      </c>
      <c r="O149" s="100"/>
    </row>
    <row r="150" spans="2:15" x14ac:dyDescent="0.2">
      <c r="B150" s="1">
        <v>135</v>
      </c>
      <c r="C150" s="101">
        <f t="shared" ca="1" si="8"/>
        <v>-1.325675084629991</v>
      </c>
      <c r="D150" s="101">
        <f t="shared" ca="1" si="9"/>
        <v>0.58304932496320805</v>
      </c>
      <c r="E150" s="101">
        <f t="shared" ca="1" si="10"/>
        <v>0</v>
      </c>
      <c r="F150" s="21">
        <f t="shared" ca="1" si="11"/>
        <v>0</v>
      </c>
      <c r="H150" s="21">
        <v>135</v>
      </c>
      <c r="I150" s="102">
        <v>0.66767751173388645</v>
      </c>
      <c r="J150" s="103">
        <v>1.3175717622128694E-3</v>
      </c>
      <c r="K150" s="103"/>
      <c r="L150" s="103">
        <v>0.04</v>
      </c>
      <c r="O150" s="100"/>
    </row>
    <row r="151" spans="2:15" x14ac:dyDescent="0.2">
      <c r="B151" s="1">
        <v>136</v>
      </c>
      <c r="C151" s="101">
        <f t="shared" ca="1" si="8"/>
        <v>-2.0104460652626792</v>
      </c>
      <c r="D151" s="101">
        <f t="shared" ca="1" si="9"/>
        <v>0.54496690651107127</v>
      </c>
      <c r="E151" s="101">
        <f t="shared" ca="1" si="10"/>
        <v>0</v>
      </c>
      <c r="F151" s="21">
        <f t="shared" ca="1" si="11"/>
        <v>0</v>
      </c>
      <c r="H151" s="21">
        <v>136</v>
      </c>
      <c r="I151" s="102">
        <v>0.66786495872769569</v>
      </c>
      <c r="J151" s="103">
        <v>1.4963535420122898E-3</v>
      </c>
      <c r="K151" s="103"/>
      <c r="L151" s="103">
        <v>4.1599999999999998E-2</v>
      </c>
      <c r="O151" s="100"/>
    </row>
    <row r="152" spans="2:15" x14ac:dyDescent="0.2">
      <c r="B152" s="1">
        <v>137</v>
      </c>
      <c r="C152" s="101">
        <f t="shared" ca="1" si="8"/>
        <v>1.0475050032326112</v>
      </c>
      <c r="D152" s="101">
        <f t="shared" ca="1" si="9"/>
        <v>0.73683605501499216</v>
      </c>
      <c r="E152" s="101">
        <f t="shared" ca="1" si="10"/>
        <v>0</v>
      </c>
      <c r="F152" s="21">
        <f t="shared" ca="1" si="11"/>
        <v>0</v>
      </c>
      <c r="H152" s="21">
        <v>137</v>
      </c>
      <c r="I152" s="102">
        <v>0.66775550188788613</v>
      </c>
      <c r="J152" s="103">
        <v>1.3357884796997691E-3</v>
      </c>
      <c r="K152" s="103"/>
      <c r="L152" s="103">
        <v>0.04</v>
      </c>
      <c r="O152" s="100"/>
    </row>
    <row r="153" spans="2:15" x14ac:dyDescent="0.2">
      <c r="B153" s="1">
        <v>138</v>
      </c>
      <c r="C153" s="101">
        <f t="shared" ca="1" si="8"/>
        <v>0.31354569028831347</v>
      </c>
      <c r="D153" s="101">
        <f t="shared" ca="1" si="9"/>
        <v>0.68537538719220159</v>
      </c>
      <c r="E153" s="101">
        <f t="shared" ca="1" si="10"/>
        <v>0</v>
      </c>
      <c r="F153" s="21">
        <f t="shared" ca="1" si="11"/>
        <v>0</v>
      </c>
      <c r="H153" s="21">
        <v>138</v>
      </c>
      <c r="I153" s="102">
        <v>0.66779289215800519</v>
      </c>
      <c r="J153" s="103">
        <v>1.3648334599253523E-3</v>
      </c>
      <c r="K153" s="103"/>
      <c r="L153" s="103">
        <v>4.3799999999999999E-2</v>
      </c>
      <c r="O153" s="100"/>
    </row>
    <row r="154" spans="2:15" x14ac:dyDescent="0.2">
      <c r="B154" s="1">
        <v>139</v>
      </c>
      <c r="C154" s="101">
        <f t="shared" ca="1" si="8"/>
        <v>0.88558573976800414</v>
      </c>
      <c r="D154" s="101">
        <f t="shared" ca="1" si="9"/>
        <v>0.72516084653012869</v>
      </c>
      <c r="E154" s="101">
        <f t="shared" ca="1" si="10"/>
        <v>0</v>
      </c>
      <c r="F154" s="21">
        <f t="shared" ca="1" si="11"/>
        <v>0</v>
      </c>
      <c r="H154" s="21">
        <v>139</v>
      </c>
      <c r="I154" s="102">
        <v>0.66769832645012139</v>
      </c>
      <c r="J154" s="103">
        <v>1.2573201292066913E-3</v>
      </c>
      <c r="K154" s="103"/>
      <c r="L154" s="103">
        <v>3.8399999999999997E-2</v>
      </c>
      <c r="O154" s="100"/>
    </row>
    <row r="155" spans="2:15" x14ac:dyDescent="0.2">
      <c r="B155" s="1">
        <v>140</v>
      </c>
      <c r="C155" s="101">
        <f t="shared" ca="1" si="8"/>
        <v>2.0435488656529786</v>
      </c>
      <c r="D155" s="101">
        <f t="shared" ca="1" si="9"/>
        <v>0.81290683221266469</v>
      </c>
      <c r="E155" s="101">
        <f t="shared" ca="1" si="10"/>
        <v>2.4706832212664676E-2</v>
      </c>
      <c r="F155" s="21">
        <f t="shared" ca="1" si="11"/>
        <v>1</v>
      </c>
      <c r="H155" s="21">
        <v>140</v>
      </c>
      <c r="I155" s="102">
        <v>0.66790366893035458</v>
      </c>
      <c r="J155" s="103">
        <v>1.4995981062302039E-3</v>
      </c>
      <c r="K155" s="103"/>
      <c r="L155" s="103">
        <v>4.6199999999999998E-2</v>
      </c>
      <c r="O155" s="100"/>
    </row>
    <row r="156" spans="2:15" x14ac:dyDescent="0.2">
      <c r="B156" s="1">
        <v>141</v>
      </c>
      <c r="C156" s="101">
        <f t="shared" ca="1" si="8"/>
        <v>-0.19804403948187849</v>
      </c>
      <c r="D156" s="101">
        <f t="shared" ca="1" si="9"/>
        <v>0.65164687305795821</v>
      </c>
      <c r="E156" s="101">
        <f t="shared" ca="1" si="10"/>
        <v>0</v>
      </c>
      <c r="F156" s="21">
        <f t="shared" ca="1" si="11"/>
        <v>0</v>
      </c>
      <c r="H156" s="21">
        <v>141</v>
      </c>
      <c r="I156" s="102">
        <v>0.66783977396648841</v>
      </c>
      <c r="J156" s="103">
        <v>1.5211966833881038E-3</v>
      </c>
      <c r="K156" s="103"/>
      <c r="L156" s="103">
        <v>4.4999999999999998E-2</v>
      </c>
      <c r="O156" s="100"/>
    </row>
    <row r="157" spans="2:15" x14ac:dyDescent="0.2">
      <c r="B157" s="1">
        <v>142</v>
      </c>
      <c r="C157" s="101">
        <f t="shared" ca="1" si="8"/>
        <v>0.18117321112635329</v>
      </c>
      <c r="D157" s="101">
        <f t="shared" ca="1" si="9"/>
        <v>0.67648434205328034</v>
      </c>
      <c r="E157" s="101">
        <f t="shared" ca="1" si="10"/>
        <v>0</v>
      </c>
      <c r="F157" s="21">
        <f t="shared" ca="1" si="11"/>
        <v>0</v>
      </c>
      <c r="H157" s="21">
        <v>142</v>
      </c>
      <c r="I157" s="102">
        <v>0.66772461672361638</v>
      </c>
      <c r="J157" s="103">
        <v>1.337557078316837E-3</v>
      </c>
      <c r="K157" s="103"/>
      <c r="L157" s="103">
        <v>4.0800000000000003E-2</v>
      </c>
      <c r="O157" s="100"/>
    </row>
    <row r="158" spans="2:15" x14ac:dyDescent="0.2">
      <c r="B158" s="1">
        <v>143</v>
      </c>
      <c r="C158" s="101">
        <f t="shared" ca="1" si="8"/>
        <v>-0.81391365263924742</v>
      </c>
      <c r="D158" s="101">
        <f t="shared" ca="1" si="9"/>
        <v>0.61323769292354591</v>
      </c>
      <c r="E158" s="101">
        <f t="shared" ca="1" si="10"/>
        <v>0</v>
      </c>
      <c r="F158" s="21">
        <f t="shared" ca="1" si="11"/>
        <v>0</v>
      </c>
      <c r="H158" s="21">
        <v>143</v>
      </c>
      <c r="I158" s="102">
        <v>0.66774406866301939</v>
      </c>
      <c r="J158" s="103">
        <v>1.3020332800051152E-3</v>
      </c>
      <c r="K158" s="103"/>
      <c r="L158" s="103">
        <v>0.04</v>
      </c>
      <c r="O158" s="100"/>
    </row>
    <row r="159" spans="2:15" x14ac:dyDescent="0.2">
      <c r="B159" s="1">
        <v>144</v>
      </c>
      <c r="C159" s="101">
        <f t="shared" ca="1" si="8"/>
        <v>0.61999750015520283</v>
      </c>
      <c r="D159" s="101">
        <f t="shared" ca="1" si="9"/>
        <v>0.70640979231030421</v>
      </c>
      <c r="E159" s="101">
        <f t="shared" ca="1" si="10"/>
        <v>0</v>
      </c>
      <c r="F159" s="21">
        <f t="shared" ca="1" si="11"/>
        <v>0</v>
      </c>
      <c r="H159" s="21">
        <v>144</v>
      </c>
      <c r="I159" s="102">
        <v>0.66764946287874161</v>
      </c>
      <c r="J159" s="103">
        <v>1.3076531286138025E-3</v>
      </c>
      <c r="K159" s="103"/>
      <c r="L159" s="103">
        <v>3.8199999999999998E-2</v>
      </c>
      <c r="O159" s="100"/>
    </row>
    <row r="160" spans="2:15" x14ac:dyDescent="0.2">
      <c r="B160" s="1">
        <v>145</v>
      </c>
      <c r="C160" s="101">
        <f t="shared" ca="1" si="8"/>
        <v>9.7245144913087792E-2</v>
      </c>
      <c r="D160" s="101">
        <f t="shared" ca="1" si="9"/>
        <v>0.67090699855015457</v>
      </c>
      <c r="E160" s="101">
        <f t="shared" ca="1" si="10"/>
        <v>0</v>
      </c>
      <c r="F160" s="21">
        <f t="shared" ca="1" si="11"/>
        <v>0</v>
      </c>
      <c r="H160" s="21">
        <v>145</v>
      </c>
      <c r="I160" s="102">
        <v>0.66767308470392095</v>
      </c>
      <c r="J160" s="103">
        <v>1.2839898428170153E-3</v>
      </c>
      <c r="K160" s="103"/>
      <c r="L160" s="103">
        <v>0.04</v>
      </c>
      <c r="O160" s="100"/>
    </row>
    <row r="161" spans="2:15" x14ac:dyDescent="0.2">
      <c r="B161" s="1">
        <v>146</v>
      </c>
      <c r="C161" s="101">
        <f t="shared" ca="1" si="8"/>
        <v>-0.47117959921573738</v>
      </c>
      <c r="D161" s="101">
        <f t="shared" ca="1" si="9"/>
        <v>0.6343243113454563</v>
      </c>
      <c r="E161" s="101">
        <f t="shared" ca="1" si="10"/>
        <v>0</v>
      </c>
      <c r="F161" s="21">
        <f t="shared" ca="1" si="11"/>
        <v>0</v>
      </c>
      <c r="H161" s="21">
        <v>146</v>
      </c>
      <c r="I161" s="102">
        <v>0.6679343139324917</v>
      </c>
      <c r="J161" s="103">
        <v>1.4715257884233399E-3</v>
      </c>
      <c r="K161" s="103"/>
      <c r="L161" s="103">
        <v>4.7800000000000002E-2</v>
      </c>
      <c r="O161" s="100"/>
    </row>
    <row r="162" spans="2:15" x14ac:dyDescent="0.2">
      <c r="B162" s="1">
        <v>147</v>
      </c>
      <c r="C162" s="101">
        <f t="shared" ca="1" si="8"/>
        <v>0.42388356855302151</v>
      </c>
      <c r="D162" s="101">
        <f t="shared" ca="1" si="9"/>
        <v>0.69287566898025787</v>
      </c>
      <c r="E162" s="101">
        <f t="shared" ca="1" si="10"/>
        <v>0</v>
      </c>
      <c r="F162" s="21">
        <f t="shared" ca="1" si="11"/>
        <v>0</v>
      </c>
      <c r="H162" s="21">
        <v>147</v>
      </c>
      <c r="I162" s="102">
        <v>0.66766310602216195</v>
      </c>
      <c r="J162" s="103">
        <v>1.314444890992341E-3</v>
      </c>
      <c r="K162" s="103"/>
      <c r="L162" s="103">
        <v>4.2000000000000003E-2</v>
      </c>
      <c r="O162" s="100"/>
    </row>
    <row r="163" spans="2:15" x14ac:dyDescent="0.2">
      <c r="B163" s="1">
        <v>148</v>
      </c>
      <c r="C163" s="101">
        <f t="shared" ca="1" si="8"/>
        <v>-0.90222738365765465</v>
      </c>
      <c r="D163" s="101">
        <f t="shared" ca="1" si="9"/>
        <v>0.60791874552946068</v>
      </c>
      <c r="E163" s="101">
        <f t="shared" ca="1" si="10"/>
        <v>0</v>
      </c>
      <c r="F163" s="21">
        <f t="shared" ca="1" si="11"/>
        <v>0</v>
      </c>
      <c r="H163" s="21">
        <v>148</v>
      </c>
      <c r="I163" s="102">
        <v>0.66782051581040258</v>
      </c>
      <c r="J163" s="103">
        <v>1.4449679778236171E-3</v>
      </c>
      <c r="K163" s="103"/>
      <c r="L163" s="103">
        <v>4.48E-2</v>
      </c>
      <c r="O163" s="100"/>
    </row>
    <row r="164" spans="2:15" x14ac:dyDescent="0.2">
      <c r="B164" s="1">
        <v>149</v>
      </c>
      <c r="C164" s="101">
        <f t="shared" ca="1" si="8"/>
        <v>1.0932522241933211</v>
      </c>
      <c r="D164" s="101">
        <f t="shared" ca="1" si="9"/>
        <v>0.74016859022007264</v>
      </c>
      <c r="E164" s="101">
        <f t="shared" ca="1" si="10"/>
        <v>0</v>
      </c>
      <c r="F164" s="21">
        <f t="shared" ca="1" si="11"/>
        <v>0</v>
      </c>
      <c r="H164" s="21">
        <v>149</v>
      </c>
      <c r="I164" s="102">
        <v>0.66769276879132256</v>
      </c>
      <c r="J164" s="103">
        <v>1.2929696624545458E-3</v>
      </c>
      <c r="K164" s="103"/>
      <c r="L164" s="103">
        <v>4.2200000000000001E-2</v>
      </c>
      <c r="O164" s="100"/>
    </row>
    <row r="165" spans="2:15" x14ac:dyDescent="0.2">
      <c r="B165" s="1">
        <v>150</v>
      </c>
      <c r="C165" s="101">
        <f t="shared" ca="1" si="8"/>
        <v>0.53485064346130007</v>
      </c>
      <c r="D165" s="101">
        <f t="shared" ca="1" si="9"/>
        <v>0.70050150387804266</v>
      </c>
      <c r="E165" s="101">
        <f t="shared" ca="1" si="10"/>
        <v>0</v>
      </c>
      <c r="F165" s="21">
        <f t="shared" ca="1" si="11"/>
        <v>0</v>
      </c>
      <c r="H165" s="21">
        <v>150</v>
      </c>
      <c r="I165" s="102">
        <v>0.66783861088636154</v>
      </c>
      <c r="J165" s="103">
        <v>1.5265779584178259E-3</v>
      </c>
      <c r="K165" s="103"/>
      <c r="L165" s="103">
        <v>4.4200000000000003E-2</v>
      </c>
      <c r="O165" s="100"/>
    </row>
    <row r="166" spans="2:15" x14ac:dyDescent="0.2">
      <c r="B166" s="1">
        <v>151</v>
      </c>
      <c r="C166" s="101">
        <f t="shared" ca="1" si="8"/>
        <v>-2.4117690798985616</v>
      </c>
      <c r="D166" s="101">
        <f t="shared" ca="1" si="9"/>
        <v>0.52381472135641438</v>
      </c>
      <c r="E166" s="101">
        <f t="shared" ca="1" si="10"/>
        <v>0</v>
      </c>
      <c r="F166" s="21">
        <f t="shared" ca="1" si="11"/>
        <v>0</v>
      </c>
      <c r="H166" s="21">
        <v>151</v>
      </c>
      <c r="I166" s="102">
        <v>0.66791861114250073</v>
      </c>
      <c r="J166" s="103">
        <v>1.6748262597751076E-3</v>
      </c>
      <c r="K166" s="103"/>
      <c r="L166" s="103">
        <v>4.7E-2</v>
      </c>
      <c r="O166" s="100"/>
    </row>
    <row r="167" spans="2:15" x14ac:dyDescent="0.2">
      <c r="B167" s="1">
        <v>152</v>
      </c>
      <c r="C167" s="101">
        <f t="shared" ca="1" si="8"/>
        <v>1.282279953469651</v>
      </c>
      <c r="D167" s="101">
        <f t="shared" ca="1" si="9"/>
        <v>0.75409920479114123</v>
      </c>
      <c r="E167" s="101">
        <f t="shared" ca="1" si="10"/>
        <v>0</v>
      </c>
      <c r="F167" s="21">
        <f t="shared" ca="1" si="11"/>
        <v>0</v>
      </c>
      <c r="H167" s="21">
        <v>152</v>
      </c>
      <c r="I167" s="102">
        <v>0.6677665973019592</v>
      </c>
      <c r="J167" s="103">
        <v>1.5175853003932286E-3</v>
      </c>
      <c r="K167" s="103"/>
      <c r="L167" s="103">
        <v>4.2799999999999998E-2</v>
      </c>
      <c r="O167" s="100"/>
    </row>
    <row r="168" spans="2:15" x14ac:dyDescent="0.2">
      <c r="B168" s="1">
        <v>153</v>
      </c>
      <c r="C168" s="101">
        <f t="shared" ca="1" si="8"/>
        <v>-1.5389307726598589</v>
      </c>
      <c r="D168" s="101">
        <f t="shared" ca="1" si="9"/>
        <v>0.57091250366486956</v>
      </c>
      <c r="E168" s="101">
        <f t="shared" ca="1" si="10"/>
        <v>0</v>
      </c>
      <c r="F168" s="21">
        <f t="shared" ca="1" si="11"/>
        <v>0</v>
      </c>
      <c r="H168" s="21">
        <v>153</v>
      </c>
      <c r="I168" s="102">
        <v>0.66792640875996756</v>
      </c>
      <c r="J168" s="103">
        <v>1.6046043430595007E-3</v>
      </c>
      <c r="K168" s="103"/>
      <c r="L168" s="103">
        <v>4.5600000000000002E-2</v>
      </c>
      <c r="O168" s="100"/>
    </row>
    <row r="169" spans="2:15" x14ac:dyDescent="0.2">
      <c r="B169" s="1">
        <v>154</v>
      </c>
      <c r="C169" s="101">
        <f t="shared" ca="1" si="8"/>
        <v>-0.84052610183488963</v>
      </c>
      <c r="D169" s="101">
        <f t="shared" ca="1" si="9"/>
        <v>0.61163000155034153</v>
      </c>
      <c r="E169" s="101">
        <f t="shared" ca="1" si="10"/>
        <v>0</v>
      </c>
      <c r="F169" s="21">
        <f t="shared" ca="1" si="11"/>
        <v>0</v>
      </c>
      <c r="H169" s="21">
        <v>154</v>
      </c>
      <c r="I169" s="102">
        <v>0.66771761602852253</v>
      </c>
      <c r="J169" s="103">
        <v>1.4556431907450245E-3</v>
      </c>
      <c r="K169" s="103"/>
      <c r="L169" s="103">
        <v>4.1399999999999999E-2</v>
      </c>
      <c r="O169" s="100"/>
    </row>
    <row r="170" spans="2:15" x14ac:dyDescent="0.2">
      <c r="B170" s="1">
        <v>155</v>
      </c>
      <c r="C170" s="101">
        <f t="shared" ca="1" si="8"/>
        <v>7.4031073278206988E-2</v>
      </c>
      <c r="D170" s="101">
        <f t="shared" ca="1" si="9"/>
        <v>0.66937246849185528</v>
      </c>
      <c r="E170" s="101">
        <f t="shared" ca="1" si="10"/>
        <v>0</v>
      </c>
      <c r="F170" s="21">
        <f t="shared" ca="1" si="11"/>
        <v>0</v>
      </c>
      <c r="H170" s="21">
        <v>155</v>
      </c>
      <c r="I170" s="102">
        <v>0.66773033821140426</v>
      </c>
      <c r="J170" s="103">
        <v>1.2762247455205076E-3</v>
      </c>
      <c r="K170" s="103"/>
      <c r="L170" s="103">
        <v>4.0800000000000003E-2</v>
      </c>
      <c r="O170" s="100"/>
    </row>
    <row r="171" spans="2:15" x14ac:dyDescent="0.2">
      <c r="B171" s="1">
        <v>156</v>
      </c>
      <c r="C171" s="101">
        <f t="shared" ca="1" si="8"/>
        <v>0.39528363764298013</v>
      </c>
      <c r="D171" s="101">
        <f t="shared" ca="1" si="9"/>
        <v>0.69092372774887734</v>
      </c>
      <c r="E171" s="101">
        <f t="shared" ca="1" si="10"/>
        <v>0</v>
      </c>
      <c r="F171" s="21">
        <f t="shared" ca="1" si="11"/>
        <v>0</v>
      </c>
      <c r="H171" s="21">
        <v>156</v>
      </c>
      <c r="I171" s="102">
        <v>0.66776937250955304</v>
      </c>
      <c r="J171" s="103">
        <v>1.4342433728734673E-3</v>
      </c>
      <c r="K171" s="103"/>
      <c r="L171" s="103">
        <v>4.1000000000000002E-2</v>
      </c>
      <c r="O171" s="100"/>
    </row>
    <row r="172" spans="2:15" x14ac:dyDescent="0.2">
      <c r="B172" s="1">
        <v>157</v>
      </c>
      <c r="C172" s="101">
        <f t="shared" ca="1" si="8"/>
        <v>-0.48743241659206282</v>
      </c>
      <c r="D172" s="101">
        <f t="shared" ca="1" si="9"/>
        <v>0.63330817770629588</v>
      </c>
      <c r="E172" s="101">
        <f t="shared" ca="1" si="10"/>
        <v>0</v>
      </c>
      <c r="F172" s="21">
        <f t="shared" ca="1" si="11"/>
        <v>0</v>
      </c>
      <c r="H172" s="21">
        <v>157</v>
      </c>
      <c r="I172" s="102">
        <v>0.66787721296635449</v>
      </c>
      <c r="J172" s="103">
        <v>1.4461987312288929E-3</v>
      </c>
      <c r="K172" s="103"/>
      <c r="L172" s="103">
        <v>4.4999999999999998E-2</v>
      </c>
      <c r="O172" s="100"/>
    </row>
    <row r="173" spans="2:15" x14ac:dyDescent="0.2">
      <c r="B173" s="1">
        <v>158</v>
      </c>
      <c r="C173" s="101">
        <f t="shared" ca="1" si="8"/>
        <v>-0.90473806618491226</v>
      </c>
      <c r="D173" s="101">
        <f t="shared" ca="1" si="9"/>
        <v>0.60776820880594873</v>
      </c>
      <c r="E173" s="101">
        <f t="shared" ca="1" si="10"/>
        <v>0</v>
      </c>
      <c r="F173" s="21">
        <f t="shared" ca="1" si="11"/>
        <v>0</v>
      </c>
      <c r="H173" s="21">
        <v>158</v>
      </c>
      <c r="I173" s="102">
        <v>0.66777276395983576</v>
      </c>
      <c r="J173" s="103">
        <v>1.4685598172211221E-3</v>
      </c>
      <c r="K173" s="103"/>
      <c r="L173" s="103">
        <v>4.24E-2</v>
      </c>
      <c r="O173" s="100"/>
    </row>
    <row r="174" spans="2:15" x14ac:dyDescent="0.2">
      <c r="B174" s="1">
        <v>159</v>
      </c>
      <c r="C174" s="101">
        <f t="shared" ca="1" si="8"/>
        <v>-9.3914830922753989E-2</v>
      </c>
      <c r="D174" s="101">
        <f t="shared" ca="1" si="9"/>
        <v>0.65837472008907316</v>
      </c>
      <c r="E174" s="101">
        <f t="shared" ca="1" si="10"/>
        <v>0</v>
      </c>
      <c r="F174" s="21">
        <f t="shared" ca="1" si="11"/>
        <v>0</v>
      </c>
      <c r="H174" s="21">
        <v>159</v>
      </c>
      <c r="I174" s="102">
        <v>0.66764897959505709</v>
      </c>
      <c r="J174" s="103">
        <v>1.320101817193007E-3</v>
      </c>
      <c r="K174" s="103"/>
      <c r="L174" s="103">
        <v>3.9800000000000002E-2</v>
      </c>
      <c r="O174" s="100"/>
    </row>
    <row r="175" spans="2:15" x14ac:dyDescent="0.2">
      <c r="B175" s="1">
        <v>160</v>
      </c>
      <c r="C175" s="101">
        <f t="shared" ca="1" si="8"/>
        <v>0.53391906335240435</v>
      </c>
      <c r="D175" s="101">
        <f t="shared" ca="1" si="9"/>
        <v>0.70043713614329484</v>
      </c>
      <c r="E175" s="101">
        <f t="shared" ca="1" si="10"/>
        <v>0</v>
      </c>
      <c r="F175" s="21">
        <f t="shared" ca="1" si="11"/>
        <v>0</v>
      </c>
      <c r="H175" s="21">
        <v>160</v>
      </c>
      <c r="I175" s="102">
        <v>0.66795782976643925</v>
      </c>
      <c r="J175" s="103">
        <v>1.5975467631082012E-3</v>
      </c>
      <c r="K175" s="103"/>
      <c r="L175" s="103">
        <v>4.4999999999999998E-2</v>
      </c>
      <c r="O175" s="100"/>
    </row>
    <row r="176" spans="2:15" x14ac:dyDescent="0.2">
      <c r="B176" s="1">
        <v>161</v>
      </c>
      <c r="C176" s="101">
        <f t="shared" ca="1" si="8"/>
        <v>1.1865214939715527</v>
      </c>
      <c r="D176" s="101">
        <f t="shared" ca="1" si="9"/>
        <v>0.74700971417307382</v>
      </c>
      <c r="E176" s="101">
        <f t="shared" ca="1" si="10"/>
        <v>0</v>
      </c>
      <c r="F176" s="21">
        <f t="shared" ca="1" si="11"/>
        <v>0</v>
      </c>
      <c r="H176" s="21">
        <v>161</v>
      </c>
      <c r="I176" s="102">
        <v>0.66762614985133284</v>
      </c>
      <c r="J176" s="103">
        <v>1.2078688314459401E-3</v>
      </c>
      <c r="K176" s="103"/>
      <c r="L176" s="103">
        <v>3.7400000000000003E-2</v>
      </c>
      <c r="O176" s="100"/>
    </row>
    <row r="177" spans="2:15" x14ac:dyDescent="0.2">
      <c r="B177" s="1">
        <v>162</v>
      </c>
      <c r="C177" s="101">
        <f t="shared" ca="1" si="8"/>
        <v>2.0227809582943905</v>
      </c>
      <c r="D177" s="101">
        <f t="shared" ca="1" si="9"/>
        <v>0.81124323706128343</v>
      </c>
      <c r="E177" s="101">
        <f t="shared" ca="1" si="10"/>
        <v>2.3043237061283417E-2</v>
      </c>
      <c r="F177" s="21">
        <f t="shared" ca="1" si="11"/>
        <v>1</v>
      </c>
      <c r="H177" s="21">
        <v>162</v>
      </c>
      <c r="I177" s="102">
        <v>0.66781124450041263</v>
      </c>
      <c r="J177" s="103">
        <v>1.3631940958307477E-3</v>
      </c>
      <c r="K177" s="103"/>
      <c r="L177" s="103">
        <v>4.5600000000000002E-2</v>
      </c>
      <c r="O177" s="100"/>
    </row>
    <row r="178" spans="2:15" x14ac:dyDescent="0.2">
      <c r="B178" s="1">
        <v>163</v>
      </c>
      <c r="C178" s="101">
        <f t="shared" ca="1" si="8"/>
        <v>-1.2596753315735962</v>
      </c>
      <c r="D178" s="101">
        <f t="shared" ca="1" si="9"/>
        <v>0.58685753566774868</v>
      </c>
      <c r="E178" s="101">
        <f t="shared" ca="1" si="10"/>
        <v>0</v>
      </c>
      <c r="F178" s="21">
        <f t="shared" ca="1" si="11"/>
        <v>0</v>
      </c>
      <c r="H178" s="21">
        <v>163</v>
      </c>
      <c r="I178" s="102">
        <v>0.66768028945579694</v>
      </c>
      <c r="J178" s="103">
        <v>1.3766563291906398E-3</v>
      </c>
      <c r="K178" s="103"/>
      <c r="L178" s="103">
        <v>4.1200000000000001E-2</v>
      </c>
      <c r="O178" s="100"/>
    </row>
    <row r="179" spans="2:15" x14ac:dyDescent="0.2">
      <c r="B179" s="1">
        <v>164</v>
      </c>
      <c r="C179" s="101">
        <f t="shared" ca="1" si="8"/>
        <v>-1.1390678540116599</v>
      </c>
      <c r="D179" s="101">
        <f t="shared" ca="1" si="9"/>
        <v>0.5938810060759504</v>
      </c>
      <c r="E179" s="101">
        <f t="shared" ca="1" si="10"/>
        <v>0</v>
      </c>
      <c r="F179" s="21">
        <f t="shared" ca="1" si="11"/>
        <v>0</v>
      </c>
      <c r="H179" s="21">
        <v>164</v>
      </c>
      <c r="I179" s="102">
        <v>0.66782645452422573</v>
      </c>
      <c r="J179" s="103">
        <v>1.4422889597522346E-3</v>
      </c>
      <c r="K179" s="103"/>
      <c r="L179" s="103">
        <v>4.3200000000000002E-2</v>
      </c>
      <c r="O179" s="100"/>
    </row>
    <row r="180" spans="2:15" x14ac:dyDescent="0.2">
      <c r="B180" s="1">
        <v>165</v>
      </c>
      <c r="C180" s="101">
        <f t="shared" ca="1" si="8"/>
        <v>-0.55472178765117819</v>
      </c>
      <c r="D180" s="101">
        <f t="shared" ca="1" si="9"/>
        <v>0.62911850646867851</v>
      </c>
      <c r="E180" s="101">
        <f t="shared" ca="1" si="10"/>
        <v>0</v>
      </c>
      <c r="F180" s="21">
        <f t="shared" ca="1" si="11"/>
        <v>0</v>
      </c>
      <c r="H180" s="21">
        <v>165</v>
      </c>
      <c r="I180" s="102">
        <v>0.66763471540259067</v>
      </c>
      <c r="J180" s="103">
        <v>1.1927110179455584E-3</v>
      </c>
      <c r="K180" s="103"/>
      <c r="L180" s="103">
        <v>3.8600000000000002E-2</v>
      </c>
      <c r="O180" s="100"/>
    </row>
    <row r="181" spans="2:15" x14ac:dyDescent="0.2">
      <c r="B181" s="1">
        <v>166</v>
      </c>
      <c r="C181" s="101">
        <f t="shared" ca="1" si="8"/>
        <v>-2.6133250373954491</v>
      </c>
      <c r="D181" s="101">
        <f t="shared" ca="1" si="9"/>
        <v>0.51350321470758686</v>
      </c>
      <c r="E181" s="101">
        <f t="shared" ca="1" si="10"/>
        <v>0</v>
      </c>
      <c r="F181" s="21">
        <f t="shared" ca="1" si="11"/>
        <v>0</v>
      </c>
      <c r="H181" s="21">
        <v>166</v>
      </c>
      <c r="I181" s="102">
        <v>0.66771306572444911</v>
      </c>
      <c r="J181" s="103">
        <v>1.2396288704666963E-3</v>
      </c>
      <c r="K181" s="103"/>
      <c r="L181" s="103">
        <v>3.9800000000000002E-2</v>
      </c>
      <c r="O181" s="100"/>
    </row>
    <row r="182" spans="2:15" x14ac:dyDescent="0.2">
      <c r="B182" s="1">
        <v>167</v>
      </c>
      <c r="C182" s="101">
        <f t="shared" ca="1" si="8"/>
        <v>0.84104986237265533</v>
      </c>
      <c r="D182" s="101">
        <f t="shared" ca="1" si="9"/>
        <v>0.72198214562837359</v>
      </c>
      <c r="E182" s="101">
        <f t="shared" ca="1" si="10"/>
        <v>0</v>
      </c>
      <c r="F182" s="21">
        <f t="shared" ca="1" si="11"/>
        <v>0</v>
      </c>
      <c r="H182" s="21">
        <v>167</v>
      </c>
      <c r="I182" s="102">
        <v>0.66778776459073153</v>
      </c>
      <c r="J182" s="103">
        <v>1.2727790922774894E-3</v>
      </c>
      <c r="K182" s="103"/>
      <c r="L182" s="103">
        <v>4.1799999999999997E-2</v>
      </c>
      <c r="O182" s="100"/>
    </row>
    <row r="183" spans="2:15" x14ac:dyDescent="0.2">
      <c r="B183" s="1">
        <v>168</v>
      </c>
      <c r="C183" s="101">
        <f t="shared" ca="1" si="8"/>
        <v>0.42025084544771291</v>
      </c>
      <c r="D183" s="101">
        <f t="shared" ca="1" si="9"/>
        <v>0.69262743073178801</v>
      </c>
      <c r="E183" s="101">
        <f t="shared" ca="1" si="10"/>
        <v>0</v>
      </c>
      <c r="F183" s="21">
        <f t="shared" ca="1" si="11"/>
        <v>0</v>
      </c>
      <c r="H183" s="21">
        <v>168</v>
      </c>
      <c r="I183" s="102">
        <v>0.66778175749495172</v>
      </c>
      <c r="J183" s="103">
        <v>1.4917026948877274E-3</v>
      </c>
      <c r="K183" s="103"/>
      <c r="L183" s="103">
        <v>4.3999999999999997E-2</v>
      </c>
      <c r="O183" s="100"/>
    </row>
    <row r="184" spans="2:15" x14ac:dyDescent="0.2">
      <c r="B184" s="1">
        <v>169</v>
      </c>
      <c r="C184" s="101">
        <f t="shared" ca="1" si="8"/>
        <v>8.8466840740711858E-2</v>
      </c>
      <c r="D184" s="101">
        <f t="shared" ca="1" si="9"/>
        <v>0.67032630923740122</v>
      </c>
      <c r="E184" s="101">
        <f t="shared" ca="1" si="10"/>
        <v>0</v>
      </c>
      <c r="F184" s="21">
        <f t="shared" ca="1" si="11"/>
        <v>0</v>
      </c>
      <c r="H184" s="21">
        <v>169</v>
      </c>
      <c r="I184" s="102">
        <v>0.6677777171482121</v>
      </c>
      <c r="J184" s="103">
        <v>1.3773089362312948E-3</v>
      </c>
      <c r="K184" s="103"/>
      <c r="L184" s="103">
        <v>4.2200000000000001E-2</v>
      </c>
      <c r="O184" s="100"/>
    </row>
    <row r="185" spans="2:15" x14ac:dyDescent="0.2">
      <c r="B185" s="1">
        <v>170</v>
      </c>
      <c r="C185" s="101">
        <f t="shared" ca="1" si="8"/>
        <v>0.37036381090537729</v>
      </c>
      <c r="D185" s="101">
        <f t="shared" ca="1" si="9"/>
        <v>0.68922743673682085</v>
      </c>
      <c r="E185" s="101">
        <f t="shared" ca="1" si="10"/>
        <v>0</v>
      </c>
      <c r="F185" s="21">
        <f t="shared" ca="1" si="11"/>
        <v>0</v>
      </c>
      <c r="H185" s="21">
        <v>170</v>
      </c>
      <c r="I185" s="102">
        <v>0.66766324867083626</v>
      </c>
      <c r="J185" s="103">
        <v>1.1772640934928681E-3</v>
      </c>
      <c r="K185" s="103"/>
      <c r="L185" s="103">
        <v>3.8800000000000001E-2</v>
      </c>
      <c r="O185" s="100"/>
    </row>
    <row r="186" spans="2:15" x14ac:dyDescent="0.2">
      <c r="B186" s="1">
        <v>171</v>
      </c>
      <c r="C186" s="101">
        <f t="shared" ca="1" si="8"/>
        <v>1.8554159983877005</v>
      </c>
      <c r="D186" s="101">
        <f t="shared" ca="1" si="9"/>
        <v>0.7979602865707538</v>
      </c>
      <c r="E186" s="101">
        <f t="shared" ca="1" si="10"/>
        <v>9.7602865707537845E-3</v>
      </c>
      <c r="F186" s="21">
        <f t="shared" ca="1" si="11"/>
        <v>1</v>
      </c>
      <c r="H186" s="21">
        <v>171</v>
      </c>
      <c r="I186" s="102">
        <v>0.66772156751395206</v>
      </c>
      <c r="J186" s="103">
        <v>1.4315449805644973E-3</v>
      </c>
      <c r="K186" s="103"/>
      <c r="L186" s="103">
        <v>4.0399999999999998E-2</v>
      </c>
      <c r="O186" s="100"/>
    </row>
    <row r="187" spans="2:15" x14ac:dyDescent="0.2">
      <c r="B187" s="1">
        <v>172</v>
      </c>
      <c r="C187" s="101">
        <f t="shared" ca="1" si="8"/>
        <v>-0.12311712847525905</v>
      </c>
      <c r="D187" s="101">
        <f t="shared" ca="1" si="9"/>
        <v>0.65648096542633072</v>
      </c>
      <c r="E187" s="101">
        <f t="shared" ca="1" si="10"/>
        <v>0</v>
      </c>
      <c r="F187" s="21">
        <f t="shared" ca="1" si="11"/>
        <v>0</v>
      </c>
      <c r="H187" s="21">
        <v>172</v>
      </c>
      <c r="I187" s="102">
        <v>0.66782318720067035</v>
      </c>
      <c r="J187" s="103">
        <v>1.5289512648015075E-3</v>
      </c>
      <c r="K187" s="103"/>
      <c r="L187" s="103">
        <v>4.5199999999999997E-2</v>
      </c>
      <c r="O187" s="100"/>
    </row>
    <row r="188" spans="2:15" x14ac:dyDescent="0.2">
      <c r="B188" s="1">
        <v>173</v>
      </c>
      <c r="C188" s="101">
        <f t="shared" ca="1" si="8"/>
        <v>2.281026796852377E-2</v>
      </c>
      <c r="D188" s="101">
        <f t="shared" ca="1" si="9"/>
        <v>0.6659990014094439</v>
      </c>
      <c r="E188" s="101">
        <f t="shared" ca="1" si="10"/>
        <v>0</v>
      </c>
      <c r="F188" s="21">
        <f t="shared" ca="1" si="11"/>
        <v>0</v>
      </c>
      <c r="H188" s="21">
        <v>173</v>
      </c>
      <c r="I188" s="102">
        <v>0.66756012679078969</v>
      </c>
      <c r="J188" s="103">
        <v>1.2148485599487858E-3</v>
      </c>
      <c r="K188" s="103"/>
      <c r="L188" s="103">
        <v>3.8600000000000002E-2</v>
      </c>
      <c r="O188" s="100"/>
    </row>
    <row r="189" spans="2:15" x14ac:dyDescent="0.2">
      <c r="B189" s="1">
        <v>174</v>
      </c>
      <c r="C189" s="101">
        <f t="shared" ca="1" si="8"/>
        <v>-1.40427757124438</v>
      </c>
      <c r="D189" s="101">
        <f t="shared" ca="1" si="9"/>
        <v>0.57854615924313191</v>
      </c>
      <c r="E189" s="101">
        <f t="shared" ca="1" si="10"/>
        <v>0</v>
      </c>
      <c r="F189" s="21">
        <f t="shared" ca="1" si="11"/>
        <v>0</v>
      </c>
      <c r="H189" s="21">
        <v>174</v>
      </c>
      <c r="I189" s="102">
        <v>0.66785369188487265</v>
      </c>
      <c r="J189" s="103">
        <v>1.5231101858185461E-3</v>
      </c>
      <c r="K189" s="103"/>
      <c r="L189" s="103">
        <v>4.58E-2</v>
      </c>
      <c r="O189" s="100"/>
    </row>
    <row r="190" spans="2:15" x14ac:dyDescent="0.2">
      <c r="B190" s="1">
        <v>175</v>
      </c>
      <c r="C190" s="101">
        <f t="shared" ca="1" si="8"/>
        <v>0.28349908680396646</v>
      </c>
      <c r="D190" s="101">
        <f t="shared" ca="1" si="9"/>
        <v>0.68334705370564863</v>
      </c>
      <c r="E190" s="101">
        <f t="shared" ca="1" si="10"/>
        <v>0</v>
      </c>
      <c r="F190" s="21">
        <f t="shared" ca="1" si="11"/>
        <v>0</v>
      </c>
      <c r="H190" s="21">
        <v>175</v>
      </c>
      <c r="I190" s="102">
        <v>0.66757255486947753</v>
      </c>
      <c r="J190" s="103">
        <v>1.1844243403731855E-3</v>
      </c>
      <c r="K190" s="103"/>
      <c r="L190" s="103">
        <v>3.7999999999999999E-2</v>
      </c>
      <c r="O190" s="100"/>
    </row>
    <row r="191" spans="2:15" x14ac:dyDescent="0.2">
      <c r="B191" s="1">
        <v>176</v>
      </c>
      <c r="C191" s="101">
        <f t="shared" ca="1" si="8"/>
        <v>6.9149519347019045E-2</v>
      </c>
      <c r="D191" s="101">
        <f t="shared" ca="1" si="9"/>
        <v>0.66905022787447921</v>
      </c>
      <c r="E191" s="101">
        <f t="shared" ca="1" si="10"/>
        <v>0</v>
      </c>
      <c r="F191" s="21">
        <f t="shared" ca="1" si="11"/>
        <v>0</v>
      </c>
      <c r="H191" s="21">
        <v>176</v>
      </c>
      <c r="I191" s="102">
        <v>0.66764918836528508</v>
      </c>
      <c r="J191" s="103">
        <v>1.2819209199476467E-3</v>
      </c>
      <c r="K191" s="103"/>
      <c r="L191" s="103">
        <v>3.7999999999999999E-2</v>
      </c>
      <c r="O191" s="100"/>
    </row>
    <row r="192" spans="2:15" x14ac:dyDescent="0.2">
      <c r="B192" s="1">
        <v>177</v>
      </c>
      <c r="C192" s="101">
        <f t="shared" ca="1" si="8"/>
        <v>-0.27200966756510259</v>
      </c>
      <c r="D192" s="101">
        <f t="shared" ca="1" si="9"/>
        <v>0.64690971573516898</v>
      </c>
      <c r="E192" s="101">
        <f t="shared" ca="1" si="10"/>
        <v>0</v>
      </c>
      <c r="F192" s="21">
        <f t="shared" ca="1" si="11"/>
        <v>0</v>
      </c>
      <c r="H192" s="21">
        <v>177</v>
      </c>
      <c r="I192" s="102">
        <v>0.66754086590006101</v>
      </c>
      <c r="J192" s="103">
        <v>1.122220317203189E-3</v>
      </c>
      <c r="K192" s="103"/>
      <c r="L192" s="103">
        <v>3.5799999999999998E-2</v>
      </c>
      <c r="O192" s="100"/>
    </row>
    <row r="193" spans="2:15" x14ac:dyDescent="0.2">
      <c r="B193" s="1">
        <v>178</v>
      </c>
      <c r="C193" s="101">
        <f t="shared" ca="1" si="8"/>
        <v>0.54501692625431608</v>
      </c>
      <c r="D193" s="101">
        <f t="shared" ca="1" si="9"/>
        <v>0.7012043300665719</v>
      </c>
      <c r="E193" s="101">
        <f t="shared" ca="1" si="10"/>
        <v>0</v>
      </c>
      <c r="F193" s="21">
        <f t="shared" ca="1" si="11"/>
        <v>0</v>
      </c>
      <c r="H193" s="21">
        <v>178</v>
      </c>
      <c r="I193" s="102">
        <v>0.66790561219731304</v>
      </c>
      <c r="J193" s="103">
        <v>1.5782763185122816E-3</v>
      </c>
      <c r="K193" s="103"/>
      <c r="L193" s="103">
        <v>4.3200000000000002E-2</v>
      </c>
      <c r="O193" s="100"/>
    </row>
    <row r="194" spans="2:15" x14ac:dyDescent="0.2">
      <c r="B194" s="1">
        <v>179</v>
      </c>
      <c r="C194" s="101">
        <f t="shared" ca="1" si="8"/>
        <v>-0.14652181265011377</v>
      </c>
      <c r="D194" s="101">
        <f t="shared" ca="1" si="9"/>
        <v>0.65496711628311843</v>
      </c>
      <c r="E194" s="101">
        <f t="shared" ca="1" si="10"/>
        <v>0</v>
      </c>
      <c r="F194" s="21">
        <f t="shared" ca="1" si="11"/>
        <v>0</v>
      </c>
      <c r="H194" s="21">
        <v>179</v>
      </c>
      <c r="I194" s="102">
        <v>0.66773405545836884</v>
      </c>
      <c r="J194" s="103">
        <v>1.3884057645666041E-3</v>
      </c>
      <c r="K194" s="103"/>
      <c r="L194" s="103">
        <v>4.3799999999999999E-2</v>
      </c>
      <c r="O194" s="100"/>
    </row>
    <row r="195" spans="2:15" x14ac:dyDescent="0.2">
      <c r="B195" s="1">
        <v>180</v>
      </c>
      <c r="C195" s="101">
        <f t="shared" ca="1" si="8"/>
        <v>1.2340212531435701</v>
      </c>
      <c r="D195" s="101">
        <f t="shared" ca="1" si="9"/>
        <v>0.7505179952850648</v>
      </c>
      <c r="E195" s="101">
        <f t="shared" ca="1" si="10"/>
        <v>0</v>
      </c>
      <c r="F195" s="21">
        <f t="shared" ca="1" si="11"/>
        <v>0</v>
      </c>
      <c r="H195" s="21">
        <v>180</v>
      </c>
      <c r="I195" s="102">
        <v>0.66773844294098184</v>
      </c>
      <c r="J195" s="103">
        <v>1.4259448348996452E-3</v>
      </c>
      <c r="K195" s="103"/>
      <c r="L195" s="103">
        <v>4.3200000000000002E-2</v>
      </c>
      <c r="O195" s="100"/>
    </row>
    <row r="196" spans="2:15" x14ac:dyDescent="0.2">
      <c r="B196" s="1">
        <v>181</v>
      </c>
      <c r="C196" s="101">
        <f t="shared" ca="1" si="8"/>
        <v>-2.0437437550935091</v>
      </c>
      <c r="D196" s="101">
        <f t="shared" ca="1" si="9"/>
        <v>0.54317988367056569</v>
      </c>
      <c r="E196" s="101">
        <f t="shared" ca="1" si="10"/>
        <v>0</v>
      </c>
      <c r="F196" s="21">
        <f t="shared" ca="1" si="11"/>
        <v>0</v>
      </c>
      <c r="H196" s="21">
        <v>181</v>
      </c>
      <c r="I196" s="102">
        <v>0.66770488979263043</v>
      </c>
      <c r="J196" s="103">
        <v>1.2956423235348387E-3</v>
      </c>
      <c r="K196" s="103"/>
      <c r="L196" s="103">
        <v>4.2000000000000003E-2</v>
      </c>
      <c r="O196" s="100"/>
    </row>
    <row r="197" spans="2:15" x14ac:dyDescent="0.2">
      <c r="B197" s="1">
        <v>182</v>
      </c>
      <c r="C197" s="101">
        <f t="shared" ca="1" si="8"/>
        <v>1.0807726872114198</v>
      </c>
      <c r="D197" s="101">
        <f t="shared" ca="1" si="9"/>
        <v>0.73925800469143632</v>
      </c>
      <c r="E197" s="101">
        <f t="shared" ca="1" si="10"/>
        <v>0</v>
      </c>
      <c r="F197" s="21">
        <f t="shared" ca="1" si="11"/>
        <v>0</v>
      </c>
      <c r="H197" s="21">
        <v>182</v>
      </c>
      <c r="I197" s="102">
        <v>0.66763220989194449</v>
      </c>
      <c r="J197" s="103">
        <v>1.2243726188167633E-3</v>
      </c>
      <c r="K197" s="103"/>
      <c r="L197" s="103">
        <v>3.7199999999999997E-2</v>
      </c>
      <c r="O197" s="100"/>
    </row>
    <row r="198" spans="2:15" x14ac:dyDescent="0.2">
      <c r="B198" s="1">
        <v>183</v>
      </c>
      <c r="C198" s="101">
        <f t="shared" ca="1" si="8"/>
        <v>-1.6613381645675951</v>
      </c>
      <c r="D198" s="101">
        <f t="shared" ca="1" si="9"/>
        <v>0.56406051225869125</v>
      </c>
      <c r="E198" s="101">
        <f t="shared" ca="1" si="10"/>
        <v>0</v>
      </c>
      <c r="F198" s="21">
        <f t="shared" ca="1" si="11"/>
        <v>0</v>
      </c>
      <c r="H198" s="21">
        <v>183</v>
      </c>
      <c r="I198" s="102">
        <v>0.66770538536095636</v>
      </c>
      <c r="J198" s="103">
        <v>1.4333573564287167E-3</v>
      </c>
      <c r="K198" s="103"/>
      <c r="L198" s="103">
        <v>4.2999999999999997E-2</v>
      </c>
      <c r="O198" s="100"/>
    </row>
    <row r="199" spans="2:15" x14ac:dyDescent="0.2">
      <c r="B199" s="1">
        <v>184</v>
      </c>
      <c r="C199" s="101">
        <f t="shared" ca="1" si="8"/>
        <v>-1.3875576993983898</v>
      </c>
      <c r="D199" s="101">
        <f t="shared" ca="1" si="9"/>
        <v>0.57950112553784039</v>
      </c>
      <c r="E199" s="101">
        <f t="shared" ca="1" si="10"/>
        <v>0</v>
      </c>
      <c r="F199" s="21">
        <f t="shared" ca="1" si="11"/>
        <v>0</v>
      </c>
      <c r="H199" s="21">
        <v>184</v>
      </c>
      <c r="I199" s="102">
        <v>0.66769961604233496</v>
      </c>
      <c r="J199" s="103">
        <v>1.4214417539148792E-3</v>
      </c>
      <c r="K199" s="103"/>
      <c r="L199" s="103">
        <v>0.04</v>
      </c>
      <c r="O199" s="100"/>
    </row>
    <row r="200" spans="2:15" x14ac:dyDescent="0.2">
      <c r="B200" s="1">
        <v>185</v>
      </c>
      <c r="C200" s="101">
        <f t="shared" ca="1" si="8"/>
        <v>-0.2127299811694992</v>
      </c>
      <c r="D200" s="101">
        <f t="shared" ca="1" si="9"/>
        <v>0.65070355426768922</v>
      </c>
      <c r="E200" s="101">
        <f t="shared" ca="1" si="10"/>
        <v>0</v>
      </c>
      <c r="F200" s="21">
        <f t="shared" ca="1" si="11"/>
        <v>0</v>
      </c>
      <c r="H200" s="21">
        <v>185</v>
      </c>
      <c r="I200" s="102">
        <v>0.66777025020400937</v>
      </c>
      <c r="J200" s="103">
        <v>1.3209172689779539E-3</v>
      </c>
      <c r="K200" s="103"/>
      <c r="L200" s="103">
        <v>4.02E-2</v>
      </c>
      <c r="O200" s="100"/>
    </row>
    <row r="201" spans="2:15" x14ac:dyDescent="0.2">
      <c r="B201" s="1">
        <v>186</v>
      </c>
      <c r="C201" s="101">
        <f t="shared" ca="1" si="8"/>
        <v>0.46982051490328297</v>
      </c>
      <c r="D201" s="101">
        <f t="shared" ca="1" si="9"/>
        <v>0.69602240752971056</v>
      </c>
      <c r="E201" s="101">
        <f t="shared" ca="1" si="10"/>
        <v>0</v>
      </c>
      <c r="F201" s="21">
        <f t="shared" ca="1" si="11"/>
        <v>0</v>
      </c>
      <c r="H201" s="21">
        <v>186</v>
      </c>
      <c r="I201" s="102">
        <v>0.66777906679503107</v>
      </c>
      <c r="J201" s="103">
        <v>1.2675369845743972E-3</v>
      </c>
      <c r="K201" s="103"/>
      <c r="L201" s="103">
        <v>4.0399999999999998E-2</v>
      </c>
      <c r="O201" s="100"/>
    </row>
    <row r="202" spans="2:15" x14ac:dyDescent="0.2">
      <c r="B202" s="1">
        <v>187</v>
      </c>
      <c r="C202" s="101">
        <f t="shared" ca="1" si="8"/>
        <v>0.56551654212055691</v>
      </c>
      <c r="D202" s="101">
        <f t="shared" ca="1" si="9"/>
        <v>0.70262367640737988</v>
      </c>
      <c r="E202" s="101">
        <f t="shared" ca="1" si="10"/>
        <v>0</v>
      </c>
      <c r="F202" s="21">
        <f t="shared" ca="1" si="11"/>
        <v>0</v>
      </c>
      <c r="H202" s="21">
        <v>187</v>
      </c>
      <c r="I202" s="102">
        <v>0.66761385609471968</v>
      </c>
      <c r="J202" s="103">
        <v>1.1212394875934988E-3</v>
      </c>
      <c r="K202" s="103"/>
      <c r="L202" s="103">
        <v>4.02E-2</v>
      </c>
      <c r="O202" s="100"/>
    </row>
    <row r="203" spans="2:15" x14ac:dyDescent="0.2">
      <c r="B203" s="1">
        <v>188</v>
      </c>
      <c r="C203" s="101">
        <f t="shared" ca="1" si="8"/>
        <v>0.54950385142833136</v>
      </c>
      <c r="D203" s="101">
        <f t="shared" ca="1" si="9"/>
        <v>0.70151474916208167</v>
      </c>
      <c r="E203" s="101">
        <f t="shared" ca="1" si="10"/>
        <v>0</v>
      </c>
      <c r="F203" s="21">
        <f t="shared" ca="1" si="11"/>
        <v>0</v>
      </c>
      <c r="H203" s="21">
        <v>188</v>
      </c>
      <c r="I203" s="102">
        <v>0.66765772823617797</v>
      </c>
      <c r="J203" s="103">
        <v>1.2824557894780665E-3</v>
      </c>
      <c r="K203" s="103"/>
      <c r="L203" s="103">
        <v>3.9E-2</v>
      </c>
      <c r="O203" s="100"/>
    </row>
    <row r="204" spans="2:15" x14ac:dyDescent="0.2">
      <c r="B204" s="1">
        <v>189</v>
      </c>
      <c r="C204" s="101">
        <f t="shared" ca="1" si="8"/>
        <v>0.51576032452522869</v>
      </c>
      <c r="D204" s="101">
        <f t="shared" ca="1" si="9"/>
        <v>0.69918363466598743</v>
      </c>
      <c r="E204" s="101">
        <f t="shared" ca="1" si="10"/>
        <v>0</v>
      </c>
      <c r="F204" s="21">
        <f t="shared" ca="1" si="11"/>
        <v>0</v>
      </c>
      <c r="H204" s="21">
        <v>189</v>
      </c>
      <c r="I204" s="102">
        <v>0.66778166149724283</v>
      </c>
      <c r="J204" s="103">
        <v>1.3336050146956643E-3</v>
      </c>
      <c r="K204" s="103"/>
      <c r="L204" s="103">
        <v>4.1399999999999999E-2</v>
      </c>
      <c r="O204" s="100"/>
    </row>
    <row r="205" spans="2:15" x14ac:dyDescent="0.2">
      <c r="B205" s="1">
        <v>190</v>
      </c>
      <c r="C205" s="101">
        <f t="shared" ca="1" si="8"/>
        <v>2.1167658260961622</v>
      </c>
      <c r="D205" s="101">
        <f t="shared" ca="1" si="9"/>
        <v>0.81879907452412215</v>
      </c>
      <c r="E205" s="101">
        <f t="shared" ca="1" si="10"/>
        <v>3.0599074524122138E-2</v>
      </c>
      <c r="F205" s="21">
        <f t="shared" ca="1" si="11"/>
        <v>1</v>
      </c>
      <c r="H205" s="21">
        <v>190</v>
      </c>
      <c r="I205" s="102">
        <v>0.66760633175870854</v>
      </c>
      <c r="J205" s="103">
        <v>1.1967400039682285E-3</v>
      </c>
      <c r="K205" s="103"/>
      <c r="L205" s="103">
        <v>3.9800000000000002E-2</v>
      </c>
      <c r="O205" s="100"/>
    </row>
    <row r="206" spans="2:15" x14ac:dyDescent="0.2">
      <c r="B206" s="1">
        <v>191</v>
      </c>
      <c r="C206" s="101">
        <f t="shared" ca="1" si="8"/>
        <v>-0.18968950347031155</v>
      </c>
      <c r="D206" s="101">
        <f t="shared" ca="1" si="9"/>
        <v>0.65218411822273725</v>
      </c>
      <c r="E206" s="101">
        <f t="shared" ca="1" si="10"/>
        <v>0</v>
      </c>
      <c r="F206" s="21">
        <f t="shared" ca="1" si="11"/>
        <v>0</v>
      </c>
      <c r="H206" s="21">
        <v>191</v>
      </c>
      <c r="I206" s="102">
        <v>0.6676721910679515</v>
      </c>
      <c r="J206" s="103">
        <v>1.2395462211722435E-3</v>
      </c>
      <c r="K206" s="103"/>
      <c r="L206" s="103">
        <v>3.8199999999999998E-2</v>
      </c>
      <c r="O206" s="100"/>
    </row>
    <row r="207" spans="2:15" x14ac:dyDescent="0.2">
      <c r="B207" s="1">
        <v>192</v>
      </c>
      <c r="C207" s="101">
        <f t="shared" ca="1" si="8"/>
        <v>-0.55911260765531257</v>
      </c>
      <c r="D207" s="101">
        <f t="shared" ca="1" si="9"/>
        <v>0.6288460839844322</v>
      </c>
      <c r="E207" s="101">
        <f t="shared" ca="1" si="10"/>
        <v>0</v>
      </c>
      <c r="F207" s="21">
        <f t="shared" ca="1" si="11"/>
        <v>0</v>
      </c>
      <c r="H207" s="21">
        <v>192</v>
      </c>
      <c r="I207" s="102">
        <v>0.6677655332911806</v>
      </c>
      <c r="J207" s="103">
        <v>1.4579840762712624E-3</v>
      </c>
      <c r="K207" s="103"/>
      <c r="L207" s="103">
        <v>4.1000000000000002E-2</v>
      </c>
      <c r="O207" s="100"/>
    </row>
    <row r="208" spans="2:15" x14ac:dyDescent="0.2">
      <c r="B208" s="1">
        <v>193</v>
      </c>
      <c r="C208" s="101">
        <f t="shared" ref="C208:C271" ca="1" si="12">_xlfn.NORM.S.INV(RAND())</f>
        <v>-1.5558888257254821</v>
      </c>
      <c r="D208" s="101">
        <f t="shared" ref="D208:D271" ca="1" si="13">S0*EXP((μ-0.5*σ*σ)*T+σ*SQRT(T)*$C208)</f>
        <v>0.56995829960584399</v>
      </c>
      <c r="E208" s="101">
        <f t="shared" ref="E208:E271" ca="1" si="14">MAX(0,CP*(D208-K))</f>
        <v>0</v>
      </c>
      <c r="F208" s="21">
        <f t="shared" ref="F208:F271" ca="1" si="15">(CP*(D208-K)&gt;0)*1</f>
        <v>0</v>
      </c>
      <c r="H208" s="21">
        <v>193</v>
      </c>
      <c r="I208" s="102">
        <v>0.66758108453986464</v>
      </c>
      <c r="J208" s="103">
        <v>1.3442573017563833E-3</v>
      </c>
      <c r="K208" s="103"/>
      <c r="L208" s="103">
        <v>3.8600000000000002E-2</v>
      </c>
      <c r="O208" s="100"/>
    </row>
    <row r="209" spans="2:15" x14ac:dyDescent="0.2">
      <c r="B209" s="1">
        <v>194</v>
      </c>
      <c r="C209" s="101">
        <f t="shared" ca="1" si="12"/>
        <v>1.2416461209826111</v>
      </c>
      <c r="D209" s="101">
        <f t="shared" ca="1" si="13"/>
        <v>0.75108269252308824</v>
      </c>
      <c r="E209" s="101">
        <f t="shared" ca="1" si="14"/>
        <v>0</v>
      </c>
      <c r="F209" s="21">
        <f t="shared" ca="1" si="15"/>
        <v>0</v>
      </c>
      <c r="H209" s="21">
        <v>194</v>
      </c>
      <c r="I209" s="102">
        <v>0.66781972764808151</v>
      </c>
      <c r="J209" s="103">
        <v>1.4239580811463656E-3</v>
      </c>
      <c r="K209" s="103"/>
      <c r="L209" s="103">
        <v>4.4200000000000003E-2</v>
      </c>
      <c r="O209" s="100"/>
    </row>
    <row r="210" spans="2:15" x14ac:dyDescent="0.2">
      <c r="B210" s="1">
        <v>195</v>
      </c>
      <c r="C210" s="101">
        <f t="shared" ca="1" si="12"/>
        <v>-0.69866807844781031</v>
      </c>
      <c r="D210" s="101">
        <f t="shared" ca="1" si="13"/>
        <v>0.62024873964088001</v>
      </c>
      <c r="E210" s="101">
        <f t="shared" ca="1" si="14"/>
        <v>0</v>
      </c>
      <c r="F210" s="21">
        <f t="shared" ca="1" si="15"/>
        <v>0</v>
      </c>
      <c r="H210" s="21">
        <v>195</v>
      </c>
      <c r="I210" s="102">
        <v>0.66778938190821679</v>
      </c>
      <c r="J210" s="103">
        <v>1.387406926455525E-3</v>
      </c>
      <c r="K210" s="103"/>
      <c r="L210" s="103">
        <v>4.3200000000000002E-2</v>
      </c>
      <c r="O210" s="100"/>
    </row>
    <row r="211" spans="2:15" x14ac:dyDescent="0.2">
      <c r="B211" s="1">
        <v>196</v>
      </c>
      <c r="C211" s="101">
        <f t="shared" ca="1" si="12"/>
        <v>0.16155320426212877</v>
      </c>
      <c r="D211" s="101">
        <f t="shared" ca="1" si="13"/>
        <v>0.67517637857428292</v>
      </c>
      <c r="E211" s="101">
        <f t="shared" ca="1" si="14"/>
        <v>0</v>
      </c>
      <c r="F211" s="21">
        <f t="shared" ca="1" si="15"/>
        <v>0</v>
      </c>
      <c r="H211" s="21">
        <v>196</v>
      </c>
      <c r="I211" s="102">
        <v>0.66757369331258443</v>
      </c>
      <c r="J211" s="103">
        <v>1.1528500373569305E-3</v>
      </c>
      <c r="K211" s="103"/>
      <c r="L211" s="103">
        <v>3.8800000000000001E-2</v>
      </c>
      <c r="O211" s="100"/>
    </row>
    <row r="212" spans="2:15" x14ac:dyDescent="0.2">
      <c r="B212" s="1">
        <v>197</v>
      </c>
      <c r="C212" s="101">
        <f t="shared" ca="1" si="12"/>
        <v>-1.3584794547432182</v>
      </c>
      <c r="D212" s="101">
        <f t="shared" ca="1" si="13"/>
        <v>0.58116570436641235</v>
      </c>
      <c r="E212" s="101">
        <f t="shared" ca="1" si="14"/>
        <v>0</v>
      </c>
      <c r="F212" s="21">
        <f t="shared" ca="1" si="15"/>
        <v>0</v>
      </c>
      <c r="H212" s="21">
        <v>197</v>
      </c>
      <c r="I212" s="102">
        <v>0.66778006423547709</v>
      </c>
      <c r="J212" s="103">
        <v>1.2965310118475783E-3</v>
      </c>
      <c r="K212" s="103"/>
      <c r="L212" s="103">
        <v>4.24E-2</v>
      </c>
      <c r="O212" s="100"/>
    </row>
    <row r="213" spans="2:15" x14ac:dyDescent="0.2">
      <c r="B213" s="1">
        <v>198</v>
      </c>
      <c r="C213" s="101">
        <f t="shared" ca="1" si="12"/>
        <v>0.17664585719817877</v>
      </c>
      <c r="D213" s="101">
        <f t="shared" ca="1" si="13"/>
        <v>0.67618230228695453</v>
      </c>
      <c r="E213" s="101">
        <f t="shared" ca="1" si="14"/>
        <v>0</v>
      </c>
      <c r="F213" s="21">
        <f t="shared" ca="1" si="15"/>
        <v>0</v>
      </c>
      <c r="H213" s="21">
        <v>198</v>
      </c>
      <c r="I213" s="102">
        <v>0.66779466624621864</v>
      </c>
      <c r="J213" s="103">
        <v>1.364103441781878E-3</v>
      </c>
      <c r="K213" s="103"/>
      <c r="L213" s="103">
        <v>4.4600000000000001E-2</v>
      </c>
      <c r="O213" s="100"/>
    </row>
    <row r="214" spans="2:15" x14ac:dyDescent="0.2">
      <c r="B214" s="1">
        <v>199</v>
      </c>
      <c r="C214" s="101">
        <f t="shared" ca="1" si="12"/>
        <v>1.0575868629433267</v>
      </c>
      <c r="D214" s="101">
        <f t="shared" ca="1" si="13"/>
        <v>0.73756919412420929</v>
      </c>
      <c r="E214" s="101">
        <f t="shared" ca="1" si="14"/>
        <v>0</v>
      </c>
      <c r="F214" s="21">
        <f t="shared" ca="1" si="15"/>
        <v>0</v>
      </c>
      <c r="H214" s="21">
        <v>199</v>
      </c>
      <c r="I214" s="102">
        <v>0.66787908179043209</v>
      </c>
      <c r="J214" s="103">
        <v>1.4258780031463935E-3</v>
      </c>
      <c r="K214" s="103"/>
      <c r="L214" s="103">
        <v>4.5199999999999997E-2</v>
      </c>
      <c r="O214" s="100"/>
    </row>
    <row r="215" spans="2:15" x14ac:dyDescent="0.2">
      <c r="B215" s="1">
        <v>200</v>
      </c>
      <c r="C215" s="101">
        <f t="shared" ca="1" si="12"/>
        <v>-0.88190688344362345</v>
      </c>
      <c r="D215" s="101">
        <f t="shared" ca="1" si="13"/>
        <v>0.60913850489661781</v>
      </c>
      <c r="E215" s="101">
        <f t="shared" ca="1" si="14"/>
        <v>0</v>
      </c>
      <c r="F215" s="21">
        <f t="shared" ca="1" si="15"/>
        <v>0</v>
      </c>
      <c r="H215" s="21">
        <v>200</v>
      </c>
      <c r="I215" s="102">
        <v>0.66785011119156612</v>
      </c>
      <c r="J215" s="103">
        <v>1.6011226835206044E-3</v>
      </c>
      <c r="K215" s="103"/>
      <c r="L215" s="103">
        <v>4.3200000000000002E-2</v>
      </c>
      <c r="O215" s="100"/>
    </row>
    <row r="216" spans="2:15" x14ac:dyDescent="0.2">
      <c r="B216" s="1">
        <v>201</v>
      </c>
      <c r="C216" s="101">
        <f t="shared" ca="1" si="12"/>
        <v>1.2407015166975044</v>
      </c>
      <c r="D216" s="101">
        <f t="shared" ca="1" si="13"/>
        <v>0.75101271213710341</v>
      </c>
      <c r="E216" s="101">
        <f t="shared" ca="1" si="14"/>
        <v>0</v>
      </c>
      <c r="F216" s="21">
        <f t="shared" ca="1" si="15"/>
        <v>0</v>
      </c>
      <c r="H216" s="21">
        <v>201</v>
      </c>
      <c r="I216" s="102">
        <v>0.66800238936335177</v>
      </c>
      <c r="J216" s="103">
        <v>1.7120460979781651E-3</v>
      </c>
      <c r="K216" s="103"/>
      <c r="L216" s="103">
        <v>4.6399999999999997E-2</v>
      </c>
      <c r="O216" s="100"/>
    </row>
    <row r="217" spans="2:15" x14ac:dyDescent="0.2">
      <c r="B217" s="1">
        <v>202</v>
      </c>
      <c r="C217" s="101">
        <f t="shared" ca="1" si="12"/>
        <v>0.41204503201749337</v>
      </c>
      <c r="D217" s="101">
        <f t="shared" ca="1" si="13"/>
        <v>0.692067022543427</v>
      </c>
      <c r="E217" s="101">
        <f t="shared" ca="1" si="14"/>
        <v>0</v>
      </c>
      <c r="F217" s="21">
        <f t="shared" ca="1" si="15"/>
        <v>0</v>
      </c>
      <c r="H217" s="21">
        <v>202</v>
      </c>
      <c r="I217" s="102">
        <v>0.66759610077575748</v>
      </c>
      <c r="J217" s="103">
        <v>1.1332930146951091E-3</v>
      </c>
      <c r="K217" s="103"/>
      <c r="L217" s="103">
        <v>3.9199999999999999E-2</v>
      </c>
      <c r="O217" s="100"/>
    </row>
    <row r="218" spans="2:15" x14ac:dyDescent="0.2">
      <c r="B218" s="1">
        <v>203</v>
      </c>
      <c r="C218" s="101">
        <f t="shared" ca="1" si="12"/>
        <v>-0.27732681636525658</v>
      </c>
      <c r="D218" s="101">
        <f t="shared" ca="1" si="13"/>
        <v>0.64657050662949644</v>
      </c>
      <c r="E218" s="101">
        <f t="shared" ca="1" si="14"/>
        <v>0</v>
      </c>
      <c r="F218" s="21">
        <f t="shared" ca="1" si="15"/>
        <v>0</v>
      </c>
      <c r="H218" s="21">
        <v>203</v>
      </c>
      <c r="I218" s="102">
        <v>0.6675740339957118</v>
      </c>
      <c r="J218" s="103">
        <v>1.1990709140934355E-3</v>
      </c>
      <c r="K218" s="103"/>
      <c r="L218" s="103">
        <v>3.5400000000000001E-2</v>
      </c>
      <c r="O218" s="100"/>
    </row>
    <row r="219" spans="2:15" x14ac:dyDescent="0.2">
      <c r="B219" s="1">
        <v>204</v>
      </c>
      <c r="C219" s="101">
        <f t="shared" ca="1" si="12"/>
        <v>-3.1984753142049236</v>
      </c>
      <c r="D219" s="101">
        <f t="shared" ca="1" si="13"/>
        <v>0.48470297985049204</v>
      </c>
      <c r="E219" s="101">
        <f t="shared" ca="1" si="14"/>
        <v>0</v>
      </c>
      <c r="F219" s="21">
        <f t="shared" ca="1" si="15"/>
        <v>0</v>
      </c>
      <c r="H219" s="21">
        <v>204</v>
      </c>
      <c r="I219" s="102">
        <v>0.66758920046909553</v>
      </c>
      <c r="J219" s="103">
        <v>1.1847665577781163E-3</v>
      </c>
      <c r="K219" s="103"/>
      <c r="L219" s="103">
        <v>3.8399999999999997E-2</v>
      </c>
      <c r="O219" s="100"/>
    </row>
    <row r="220" spans="2:15" x14ac:dyDescent="0.2">
      <c r="B220" s="1">
        <v>205</v>
      </c>
      <c r="C220" s="101">
        <f t="shared" ca="1" si="12"/>
        <v>0.29205180686778531</v>
      </c>
      <c r="D220" s="101">
        <f t="shared" ca="1" si="13"/>
        <v>0.68392380382618412</v>
      </c>
      <c r="E220" s="101">
        <f t="shared" ca="1" si="14"/>
        <v>0</v>
      </c>
      <c r="F220" s="21">
        <f t="shared" ca="1" si="15"/>
        <v>0</v>
      </c>
      <c r="H220" s="21">
        <v>205</v>
      </c>
      <c r="I220" s="102">
        <v>0.66779865269231586</v>
      </c>
      <c r="J220" s="103">
        <v>1.3538318472963216E-3</v>
      </c>
      <c r="K220" s="103"/>
      <c r="L220" s="103">
        <v>4.2999999999999997E-2</v>
      </c>
      <c r="O220" s="100"/>
    </row>
    <row r="221" spans="2:15" x14ac:dyDescent="0.2">
      <c r="B221" s="1">
        <v>206</v>
      </c>
      <c r="C221" s="101">
        <f t="shared" ca="1" si="12"/>
        <v>1.8555475515664885</v>
      </c>
      <c r="D221" s="101">
        <f t="shared" ca="1" si="13"/>
        <v>0.79797064143340612</v>
      </c>
      <c r="E221" s="101">
        <f t="shared" ca="1" si="14"/>
        <v>9.7706414334061131E-3</v>
      </c>
      <c r="F221" s="21">
        <f t="shared" ca="1" si="15"/>
        <v>1</v>
      </c>
      <c r="H221" s="21">
        <v>206</v>
      </c>
      <c r="I221" s="102">
        <v>0.66772108573514066</v>
      </c>
      <c r="J221" s="103">
        <v>1.3066046519164352E-3</v>
      </c>
      <c r="K221" s="103"/>
      <c r="L221" s="103">
        <v>3.8800000000000001E-2</v>
      </c>
      <c r="O221" s="100"/>
    </row>
    <row r="222" spans="2:15" x14ac:dyDescent="0.2">
      <c r="B222" s="1">
        <v>207</v>
      </c>
      <c r="C222" s="101">
        <f t="shared" ca="1" si="12"/>
        <v>1.9885666413885392</v>
      </c>
      <c r="D222" s="101">
        <f t="shared" ca="1" si="13"/>
        <v>0.80850995022580263</v>
      </c>
      <c r="E222" s="101">
        <f t="shared" ca="1" si="14"/>
        <v>2.030995022580262E-2</v>
      </c>
      <c r="F222" s="21">
        <f t="shared" ca="1" si="15"/>
        <v>1</v>
      </c>
      <c r="H222" s="21">
        <v>207</v>
      </c>
      <c r="I222" s="102">
        <v>0.66768531611110515</v>
      </c>
      <c r="J222" s="103">
        <v>1.2815149991585954E-3</v>
      </c>
      <c r="K222" s="103"/>
      <c r="L222" s="103">
        <v>4.1799999999999997E-2</v>
      </c>
      <c r="O222" s="100"/>
    </row>
    <row r="223" spans="2:15" x14ac:dyDescent="0.2">
      <c r="B223" s="1">
        <v>208</v>
      </c>
      <c r="C223" s="101">
        <f t="shared" ca="1" si="12"/>
        <v>-1.3484010050862392</v>
      </c>
      <c r="D223" s="101">
        <f t="shared" ca="1" si="13"/>
        <v>0.58174375849121551</v>
      </c>
      <c r="E223" s="101">
        <f t="shared" ca="1" si="14"/>
        <v>0</v>
      </c>
      <c r="F223" s="21">
        <f t="shared" ca="1" si="15"/>
        <v>0</v>
      </c>
      <c r="H223" s="21">
        <v>208</v>
      </c>
      <c r="I223" s="102">
        <v>0.6678992772620953</v>
      </c>
      <c r="J223" s="103">
        <v>1.4367149873044675E-3</v>
      </c>
      <c r="K223" s="103"/>
      <c r="L223" s="103">
        <v>4.6800000000000001E-2</v>
      </c>
      <c r="O223" s="100"/>
    </row>
    <row r="224" spans="2:15" x14ac:dyDescent="0.2">
      <c r="B224" s="1">
        <v>209</v>
      </c>
      <c r="C224" s="101">
        <f t="shared" ca="1" si="12"/>
        <v>-0.64088205272791399</v>
      </c>
      <c r="D224" s="101">
        <f t="shared" ca="1" si="13"/>
        <v>0.62379430882782372</v>
      </c>
      <c r="E224" s="101">
        <f t="shared" ca="1" si="14"/>
        <v>0</v>
      </c>
      <c r="F224" s="21">
        <f t="shared" ca="1" si="15"/>
        <v>0</v>
      </c>
      <c r="H224" s="21">
        <v>209</v>
      </c>
      <c r="I224" s="102">
        <v>0.66770969309900396</v>
      </c>
      <c r="J224" s="103">
        <v>1.3013289786948832E-3</v>
      </c>
      <c r="K224" s="103"/>
      <c r="L224" s="103">
        <v>3.9E-2</v>
      </c>
      <c r="O224" s="100"/>
    </row>
    <row r="225" spans="2:15" x14ac:dyDescent="0.2">
      <c r="B225" s="1">
        <v>210</v>
      </c>
      <c r="C225" s="101">
        <f t="shared" ca="1" si="12"/>
        <v>-1.6223780350712327</v>
      </c>
      <c r="D225" s="101">
        <f t="shared" ca="1" si="13"/>
        <v>0.56623241198749696</v>
      </c>
      <c r="E225" s="101">
        <f t="shared" ca="1" si="14"/>
        <v>0</v>
      </c>
      <c r="F225" s="21">
        <f t="shared" ca="1" si="15"/>
        <v>0</v>
      </c>
      <c r="H225" s="21">
        <v>210</v>
      </c>
      <c r="I225" s="102">
        <v>0.66788541736486584</v>
      </c>
      <c r="J225" s="103">
        <v>1.5858141165370294E-3</v>
      </c>
      <c r="K225" s="103"/>
      <c r="L225" s="103">
        <v>4.5600000000000002E-2</v>
      </c>
      <c r="O225" s="100"/>
    </row>
    <row r="226" spans="2:15" x14ac:dyDescent="0.2">
      <c r="B226" s="1">
        <v>211</v>
      </c>
      <c r="C226" s="101">
        <f t="shared" ca="1" si="12"/>
        <v>0.6809986387992859</v>
      </c>
      <c r="D226" s="101">
        <f t="shared" ca="1" si="13"/>
        <v>0.71067323897016021</v>
      </c>
      <c r="E226" s="101">
        <f t="shared" ca="1" si="14"/>
        <v>0</v>
      </c>
      <c r="F226" s="21">
        <f t="shared" ca="1" si="15"/>
        <v>0</v>
      </c>
      <c r="H226" s="21">
        <v>211</v>
      </c>
      <c r="I226" s="102">
        <v>0.66802202754621398</v>
      </c>
      <c r="J226" s="103">
        <v>1.5992345868726923E-3</v>
      </c>
      <c r="K226" s="103"/>
      <c r="L226" s="103">
        <v>4.4600000000000001E-2</v>
      </c>
      <c r="O226" s="100"/>
    </row>
    <row r="227" spans="2:15" x14ac:dyDescent="0.2">
      <c r="B227" s="1">
        <v>212</v>
      </c>
      <c r="C227" s="101">
        <f t="shared" ca="1" si="12"/>
        <v>-0.51660187513408484</v>
      </c>
      <c r="D227" s="101">
        <f t="shared" ca="1" si="13"/>
        <v>0.63148857022716731</v>
      </c>
      <c r="E227" s="101">
        <f t="shared" ca="1" si="14"/>
        <v>0</v>
      </c>
      <c r="F227" s="21">
        <f t="shared" ca="1" si="15"/>
        <v>0</v>
      </c>
      <c r="H227" s="21">
        <v>212</v>
      </c>
      <c r="I227" s="102">
        <v>0.66779478891324984</v>
      </c>
      <c r="J227" s="103">
        <v>1.3545739368538499E-3</v>
      </c>
      <c r="K227" s="103"/>
      <c r="L227" s="103">
        <v>4.5400000000000003E-2</v>
      </c>
      <c r="O227" s="100"/>
    </row>
    <row r="228" spans="2:15" x14ac:dyDescent="0.2">
      <c r="B228" s="1">
        <v>213</v>
      </c>
      <c r="C228" s="101">
        <f t="shared" ca="1" si="12"/>
        <v>1.659025294711842</v>
      </c>
      <c r="D228" s="101">
        <f t="shared" ca="1" si="13"/>
        <v>0.78265077740380395</v>
      </c>
      <c r="E228" s="101">
        <f t="shared" ca="1" si="14"/>
        <v>0</v>
      </c>
      <c r="F228" s="21">
        <f t="shared" ca="1" si="15"/>
        <v>0</v>
      </c>
      <c r="H228" s="21">
        <v>213</v>
      </c>
      <c r="I228" s="102">
        <v>0.66771476052588297</v>
      </c>
      <c r="J228" s="103">
        <v>1.3848652342812512E-3</v>
      </c>
      <c r="K228" s="103"/>
      <c r="L228" s="103">
        <v>4.1399999999999999E-2</v>
      </c>
      <c r="O228" s="100"/>
    </row>
    <row r="229" spans="2:15" x14ac:dyDescent="0.2">
      <c r="B229" s="1">
        <v>214</v>
      </c>
      <c r="C229" s="101">
        <f t="shared" ca="1" si="12"/>
        <v>0.6771703798609704</v>
      </c>
      <c r="D229" s="101">
        <f t="shared" ca="1" si="13"/>
        <v>0.71040492198202687</v>
      </c>
      <c r="E229" s="101">
        <f t="shared" ca="1" si="14"/>
        <v>0</v>
      </c>
      <c r="F229" s="21">
        <f t="shared" ca="1" si="15"/>
        <v>0</v>
      </c>
      <c r="H229" s="21">
        <v>214</v>
      </c>
      <c r="I229" s="102">
        <v>0.66782590670448028</v>
      </c>
      <c r="J229" s="103">
        <v>1.3499667988692726E-3</v>
      </c>
      <c r="K229" s="103"/>
      <c r="L229" s="103">
        <v>4.2000000000000003E-2</v>
      </c>
      <c r="O229" s="100"/>
    </row>
    <row r="230" spans="2:15" x14ac:dyDescent="0.2">
      <c r="B230" s="1">
        <v>215</v>
      </c>
      <c r="C230" s="101">
        <f t="shared" ca="1" si="12"/>
        <v>-1.7698247211329119</v>
      </c>
      <c r="D230" s="101">
        <f t="shared" ca="1" si="13"/>
        <v>0.55805653765679231</v>
      </c>
      <c r="E230" s="101">
        <f t="shared" ca="1" si="14"/>
        <v>0</v>
      </c>
      <c r="F230" s="21">
        <f t="shared" ca="1" si="15"/>
        <v>0</v>
      </c>
      <c r="H230" s="21">
        <v>215</v>
      </c>
      <c r="I230" s="102">
        <v>0.66777600925085223</v>
      </c>
      <c r="J230" s="103">
        <v>1.426947214904433E-3</v>
      </c>
      <c r="K230" s="103"/>
      <c r="L230" s="103">
        <v>4.0399999999999998E-2</v>
      </c>
      <c r="O230" s="100"/>
    </row>
    <row r="231" spans="2:15" x14ac:dyDescent="0.2">
      <c r="B231" s="1">
        <v>216</v>
      </c>
      <c r="C231" s="101">
        <f t="shared" ca="1" si="12"/>
        <v>1.2384402067744396</v>
      </c>
      <c r="D231" s="101">
        <f t="shared" ca="1" si="13"/>
        <v>0.75084521096834178</v>
      </c>
      <c r="E231" s="101">
        <f t="shared" ca="1" si="14"/>
        <v>0</v>
      </c>
      <c r="F231" s="21">
        <f t="shared" ca="1" si="15"/>
        <v>0</v>
      </c>
      <c r="H231" s="21">
        <v>216</v>
      </c>
      <c r="I231" s="102">
        <v>0.66759439117329145</v>
      </c>
      <c r="J231" s="103">
        <v>1.1849192887573863E-3</v>
      </c>
      <c r="K231" s="103"/>
      <c r="L231" s="103">
        <v>3.78E-2</v>
      </c>
      <c r="O231" s="100"/>
    </row>
    <row r="232" spans="2:15" x14ac:dyDescent="0.2">
      <c r="B232" s="1">
        <v>217</v>
      </c>
      <c r="C232" s="101">
        <f t="shared" ca="1" si="12"/>
        <v>-2.6971384512045087</v>
      </c>
      <c r="D232" s="101">
        <f t="shared" ca="1" si="13"/>
        <v>0.50927534517401141</v>
      </c>
      <c r="E232" s="101">
        <f t="shared" ca="1" si="14"/>
        <v>0</v>
      </c>
      <c r="F232" s="21">
        <f t="shared" ca="1" si="15"/>
        <v>0</v>
      </c>
      <c r="H232" s="21">
        <v>217</v>
      </c>
      <c r="I232" s="102">
        <v>0.66764857517716736</v>
      </c>
      <c r="J232" s="103">
        <v>1.2133255438000778E-3</v>
      </c>
      <c r="K232" s="103"/>
      <c r="L232" s="103">
        <v>4.2999999999999997E-2</v>
      </c>
      <c r="O232" s="100"/>
    </row>
    <row r="233" spans="2:15" x14ac:dyDescent="0.2">
      <c r="B233" s="1">
        <v>218</v>
      </c>
      <c r="C233" s="101">
        <f t="shared" ca="1" si="12"/>
        <v>-0.44228832274835039</v>
      </c>
      <c r="D233" s="101">
        <f t="shared" ca="1" si="13"/>
        <v>0.63613463396008363</v>
      </c>
      <c r="E233" s="101">
        <f t="shared" ca="1" si="14"/>
        <v>0</v>
      </c>
      <c r="F233" s="21">
        <f t="shared" ca="1" si="15"/>
        <v>0</v>
      </c>
      <c r="H233" s="21">
        <v>218</v>
      </c>
      <c r="I233" s="102">
        <v>0.66774963538099408</v>
      </c>
      <c r="J233" s="103">
        <v>1.4195969481068972E-3</v>
      </c>
      <c r="K233" s="103"/>
      <c r="L233" s="103">
        <v>4.0599999999999997E-2</v>
      </c>
      <c r="O233" s="100"/>
    </row>
    <row r="234" spans="2:15" x14ac:dyDescent="0.2">
      <c r="B234" s="1">
        <v>219</v>
      </c>
      <c r="C234" s="101">
        <f t="shared" ca="1" si="12"/>
        <v>-0.31685521781856835</v>
      </c>
      <c r="D234" s="101">
        <f t="shared" ca="1" si="13"/>
        <v>0.64405435023552804</v>
      </c>
      <c r="E234" s="101">
        <f t="shared" ca="1" si="14"/>
        <v>0</v>
      </c>
      <c r="F234" s="21">
        <f t="shared" ca="1" si="15"/>
        <v>0</v>
      </c>
      <c r="H234" s="21">
        <v>219</v>
      </c>
      <c r="I234" s="102">
        <v>0.667754591798154</v>
      </c>
      <c r="J234" s="103">
        <v>1.5148991937218043E-3</v>
      </c>
      <c r="K234" s="103"/>
      <c r="L234" s="103">
        <v>4.1799999999999997E-2</v>
      </c>
      <c r="O234" s="100"/>
    </row>
    <row r="235" spans="2:15" x14ac:dyDescent="0.2">
      <c r="B235" s="1">
        <v>220</v>
      </c>
      <c r="C235" s="101">
        <f t="shared" ca="1" si="12"/>
        <v>-0.14543781899585007</v>
      </c>
      <c r="D235" s="101">
        <f t="shared" ca="1" si="13"/>
        <v>0.65503715341544588</v>
      </c>
      <c r="E235" s="101">
        <f t="shared" ca="1" si="14"/>
        <v>0</v>
      </c>
      <c r="F235" s="21">
        <f t="shared" ca="1" si="15"/>
        <v>0</v>
      </c>
      <c r="H235" s="21">
        <v>220</v>
      </c>
      <c r="I235" s="102">
        <v>0.66777603452636036</v>
      </c>
      <c r="J235" s="103">
        <v>1.341951522996063E-3</v>
      </c>
      <c r="K235" s="103"/>
      <c r="L235" s="103">
        <v>4.1000000000000002E-2</v>
      </c>
      <c r="O235" s="100"/>
    </row>
    <row r="236" spans="2:15" x14ac:dyDescent="0.2">
      <c r="B236" s="1">
        <v>221</v>
      </c>
      <c r="C236" s="101">
        <f t="shared" ca="1" si="12"/>
        <v>-0.8366202741948231</v>
      </c>
      <c r="D236" s="101">
        <f t="shared" ca="1" si="13"/>
        <v>0.61186569332126839</v>
      </c>
      <c r="E236" s="101">
        <f t="shared" ca="1" si="14"/>
        <v>0</v>
      </c>
      <c r="F236" s="21">
        <f t="shared" ca="1" si="15"/>
        <v>0</v>
      </c>
      <c r="H236" s="21">
        <v>221</v>
      </c>
      <c r="I236" s="102">
        <v>0.6678161070621822</v>
      </c>
      <c r="J236" s="103">
        <v>1.4166991903038846E-3</v>
      </c>
      <c r="K236" s="103"/>
      <c r="L236" s="103">
        <v>4.2999999999999997E-2</v>
      </c>
      <c r="O236" s="100"/>
    </row>
    <row r="237" spans="2:15" x14ac:dyDescent="0.2">
      <c r="B237" s="1">
        <v>222</v>
      </c>
      <c r="C237" s="101">
        <f t="shared" ca="1" si="12"/>
        <v>-0.65334985123143763</v>
      </c>
      <c r="D237" s="101">
        <f t="shared" ca="1" si="13"/>
        <v>0.62302761307990795</v>
      </c>
      <c r="E237" s="101">
        <f t="shared" ca="1" si="14"/>
        <v>0</v>
      </c>
      <c r="F237" s="21">
        <f t="shared" ca="1" si="15"/>
        <v>0</v>
      </c>
      <c r="H237" s="21">
        <v>222</v>
      </c>
      <c r="I237" s="102">
        <v>0.66774296002738187</v>
      </c>
      <c r="J237" s="103">
        <v>1.2991811321974255E-3</v>
      </c>
      <c r="K237" s="103"/>
      <c r="L237" s="103">
        <v>4.0399999999999998E-2</v>
      </c>
      <c r="O237" s="100"/>
    </row>
    <row r="238" spans="2:15" x14ac:dyDescent="0.2">
      <c r="B238" s="1">
        <v>223</v>
      </c>
      <c r="C238" s="101">
        <f t="shared" ca="1" si="12"/>
        <v>0.88058357848686686</v>
      </c>
      <c r="D238" s="101">
        <f t="shared" ca="1" si="13"/>
        <v>0.72480312605586728</v>
      </c>
      <c r="E238" s="101">
        <f t="shared" ca="1" si="14"/>
        <v>0</v>
      </c>
      <c r="F238" s="21">
        <f t="shared" ca="1" si="15"/>
        <v>0</v>
      </c>
      <c r="H238" s="21">
        <v>223</v>
      </c>
      <c r="I238" s="102">
        <v>0.66774648592041541</v>
      </c>
      <c r="J238" s="103">
        <v>1.4240866157979321E-3</v>
      </c>
      <c r="K238" s="103"/>
      <c r="L238" s="103">
        <v>4.1799999999999997E-2</v>
      </c>
      <c r="O238" s="100"/>
    </row>
    <row r="239" spans="2:15" x14ac:dyDescent="0.2">
      <c r="B239" s="1">
        <v>224</v>
      </c>
      <c r="C239" s="101">
        <f t="shared" ca="1" si="12"/>
        <v>-0.35480422008451079</v>
      </c>
      <c r="D239" s="101">
        <f t="shared" ca="1" si="13"/>
        <v>0.641647942702393</v>
      </c>
      <c r="E239" s="101">
        <f t="shared" ca="1" si="14"/>
        <v>0</v>
      </c>
      <c r="F239" s="21">
        <f t="shared" ca="1" si="15"/>
        <v>0</v>
      </c>
      <c r="H239" s="21">
        <v>224</v>
      </c>
      <c r="I239" s="102">
        <v>0.66764966610276399</v>
      </c>
      <c r="J239" s="103">
        <v>1.3390771785066107E-3</v>
      </c>
      <c r="K239" s="103"/>
      <c r="L239" s="103">
        <v>3.8800000000000001E-2</v>
      </c>
      <c r="O239" s="100"/>
    </row>
    <row r="240" spans="2:15" x14ac:dyDescent="0.2">
      <c r="B240" s="1">
        <v>225</v>
      </c>
      <c r="C240" s="101">
        <f t="shared" ca="1" si="12"/>
        <v>0.32957136754842642</v>
      </c>
      <c r="D240" s="101">
        <f t="shared" ca="1" si="13"/>
        <v>0.68645968132420143</v>
      </c>
      <c r="E240" s="101">
        <f t="shared" ca="1" si="14"/>
        <v>0</v>
      </c>
      <c r="F240" s="21">
        <f t="shared" ca="1" si="15"/>
        <v>0</v>
      </c>
      <c r="H240" s="21">
        <v>225</v>
      </c>
      <c r="I240" s="102">
        <v>0.66754099638098119</v>
      </c>
      <c r="J240" s="103">
        <v>1.0458036040824428E-3</v>
      </c>
      <c r="K240" s="103"/>
      <c r="L240" s="103">
        <v>3.5200000000000002E-2</v>
      </c>
      <c r="O240" s="100"/>
    </row>
    <row r="241" spans="2:15" x14ac:dyDescent="0.2">
      <c r="B241" s="1">
        <v>226</v>
      </c>
      <c r="C241" s="101">
        <f t="shared" ca="1" si="12"/>
        <v>-0.71708516249661247</v>
      </c>
      <c r="D241" s="101">
        <f t="shared" ca="1" si="13"/>
        <v>0.61912296559338365</v>
      </c>
      <c r="E241" s="101">
        <f t="shared" ca="1" si="14"/>
        <v>0</v>
      </c>
      <c r="F241" s="21">
        <f t="shared" ca="1" si="15"/>
        <v>0</v>
      </c>
      <c r="H241" s="21">
        <v>226</v>
      </c>
      <c r="I241" s="102">
        <v>0.66783282591452031</v>
      </c>
      <c r="J241" s="103">
        <v>1.6231089566860258E-3</v>
      </c>
      <c r="K241" s="103"/>
      <c r="L241" s="103">
        <v>4.5199999999999997E-2</v>
      </c>
      <c r="O241" s="100"/>
    </row>
    <row r="242" spans="2:15" x14ac:dyDescent="0.2">
      <c r="B242" s="1">
        <v>227</v>
      </c>
      <c r="C242" s="101">
        <f t="shared" ca="1" si="12"/>
        <v>-1.3598762074963129</v>
      </c>
      <c r="D242" s="101">
        <f t="shared" ca="1" si="13"/>
        <v>0.58108563829917514</v>
      </c>
      <c r="E242" s="101">
        <f t="shared" ca="1" si="14"/>
        <v>0</v>
      </c>
      <c r="F242" s="21">
        <f t="shared" ca="1" si="15"/>
        <v>0</v>
      </c>
      <c r="H242" s="21">
        <v>227</v>
      </c>
      <c r="I242" s="102">
        <v>0.66761850725462901</v>
      </c>
      <c r="J242" s="103">
        <v>1.2611870240256619E-3</v>
      </c>
      <c r="K242" s="103"/>
      <c r="L242" s="103">
        <v>4.1200000000000001E-2</v>
      </c>
      <c r="O242" s="100"/>
    </row>
    <row r="243" spans="2:15" x14ac:dyDescent="0.2">
      <c r="B243" s="1">
        <v>228</v>
      </c>
      <c r="C243" s="101">
        <f t="shared" ca="1" si="12"/>
        <v>-0.67898306482819426</v>
      </c>
      <c r="D243" s="101">
        <f t="shared" ca="1" si="13"/>
        <v>0.62145428130905822</v>
      </c>
      <c r="E243" s="101">
        <f t="shared" ca="1" si="14"/>
        <v>0</v>
      </c>
      <c r="F243" s="21">
        <f t="shared" ca="1" si="15"/>
        <v>0</v>
      </c>
      <c r="H243" s="21">
        <v>228</v>
      </c>
      <c r="I243" s="102">
        <v>0.66797844130964035</v>
      </c>
      <c r="J243" s="103">
        <v>1.537094782959525E-3</v>
      </c>
      <c r="K243" s="103"/>
      <c r="L243" s="103">
        <v>4.5600000000000002E-2</v>
      </c>
      <c r="O243" s="100"/>
    </row>
    <row r="244" spans="2:15" x14ac:dyDescent="0.2">
      <c r="B244" s="1">
        <v>229</v>
      </c>
      <c r="C244" s="101">
        <f t="shared" ca="1" si="12"/>
        <v>2.2230786512144425</v>
      </c>
      <c r="D244" s="101">
        <f t="shared" ca="1" si="13"/>
        <v>0.82743086879437466</v>
      </c>
      <c r="E244" s="101">
        <f t="shared" ca="1" si="14"/>
        <v>3.9230868794374651E-2</v>
      </c>
      <c r="F244" s="21">
        <f t="shared" ca="1" si="15"/>
        <v>1</v>
      </c>
      <c r="H244" s="21">
        <v>229</v>
      </c>
      <c r="I244" s="102">
        <v>0.66774483828116105</v>
      </c>
      <c r="J244" s="103">
        <v>1.2800509153390374E-3</v>
      </c>
      <c r="K244" s="103"/>
      <c r="L244" s="103">
        <v>4.3200000000000002E-2</v>
      </c>
      <c r="O244" s="100"/>
    </row>
    <row r="245" spans="2:15" x14ac:dyDescent="0.2">
      <c r="B245" s="1">
        <v>230</v>
      </c>
      <c r="C245" s="101">
        <f t="shared" ca="1" si="12"/>
        <v>-0.22627156578586841</v>
      </c>
      <c r="D245" s="101">
        <f t="shared" ca="1" si="13"/>
        <v>0.64983495083139509</v>
      </c>
      <c r="E245" s="101">
        <f t="shared" ca="1" si="14"/>
        <v>0</v>
      </c>
      <c r="F245" s="21">
        <f t="shared" ca="1" si="15"/>
        <v>0</v>
      </c>
      <c r="H245" s="21">
        <v>230</v>
      </c>
      <c r="I245" s="102">
        <v>0.66762072267100725</v>
      </c>
      <c r="J245" s="103">
        <v>1.2385563857459884E-3</v>
      </c>
      <c r="K245" s="103"/>
      <c r="L245" s="103">
        <v>4.0599999999999997E-2</v>
      </c>
      <c r="O245" s="100"/>
    </row>
    <row r="246" spans="2:15" x14ac:dyDescent="0.2">
      <c r="B246" s="1">
        <v>231</v>
      </c>
      <c r="C246" s="101">
        <f t="shared" ca="1" si="12"/>
        <v>-1.0682751753363426</v>
      </c>
      <c r="D246" s="101">
        <f t="shared" ca="1" si="13"/>
        <v>0.59804264044602318</v>
      </c>
      <c r="E246" s="101">
        <f t="shared" ca="1" si="14"/>
        <v>0</v>
      </c>
      <c r="F246" s="21">
        <f t="shared" ca="1" si="15"/>
        <v>0</v>
      </c>
      <c r="H246" s="21">
        <v>231</v>
      </c>
      <c r="I246" s="102">
        <v>0.66771983426430648</v>
      </c>
      <c r="J246" s="103">
        <v>1.2689812897293414E-3</v>
      </c>
      <c r="K246" s="103"/>
      <c r="L246" s="103">
        <v>4.02E-2</v>
      </c>
      <c r="O246" s="100"/>
    </row>
    <row r="247" spans="2:15" x14ac:dyDescent="0.2">
      <c r="B247" s="1">
        <v>232</v>
      </c>
      <c r="C247" s="101">
        <f t="shared" ca="1" si="12"/>
        <v>0.54087562728510019</v>
      </c>
      <c r="D247" s="101">
        <f t="shared" ca="1" si="13"/>
        <v>0.7009179443380873</v>
      </c>
      <c r="E247" s="101">
        <f t="shared" ca="1" si="14"/>
        <v>0</v>
      </c>
      <c r="F247" s="21">
        <f t="shared" ca="1" si="15"/>
        <v>0</v>
      </c>
      <c r="H247" s="21">
        <v>232</v>
      </c>
      <c r="I247" s="102">
        <v>0.6675135133393848</v>
      </c>
      <c r="J247" s="103">
        <v>1.0419169836554385E-3</v>
      </c>
      <c r="K247" s="103"/>
      <c r="L247" s="103">
        <v>3.5999999999999997E-2</v>
      </c>
      <c r="O247" s="100"/>
    </row>
    <row r="248" spans="2:15" x14ac:dyDescent="0.2">
      <c r="B248" s="1">
        <v>233</v>
      </c>
      <c r="C248" s="101">
        <f t="shared" ca="1" si="12"/>
        <v>-0.86603872392756986</v>
      </c>
      <c r="D248" s="101">
        <f t="shared" ca="1" si="13"/>
        <v>0.61009270936664439</v>
      </c>
      <c r="E248" s="101">
        <f t="shared" ca="1" si="14"/>
        <v>0</v>
      </c>
      <c r="F248" s="21">
        <f t="shared" ca="1" si="15"/>
        <v>0</v>
      </c>
      <c r="H248" s="21">
        <v>233</v>
      </c>
      <c r="I248" s="102">
        <v>0.66778833800653881</v>
      </c>
      <c r="J248" s="103">
        <v>1.3016599648047985E-3</v>
      </c>
      <c r="K248" s="103"/>
      <c r="L248" s="103">
        <v>4.1200000000000001E-2</v>
      </c>
      <c r="O248" s="100"/>
    </row>
    <row r="249" spans="2:15" x14ac:dyDescent="0.2">
      <c r="B249" s="1">
        <v>234</v>
      </c>
      <c r="C249" s="101">
        <f t="shared" ca="1" si="12"/>
        <v>-1.7036532916904876</v>
      </c>
      <c r="D249" s="101">
        <f t="shared" ca="1" si="13"/>
        <v>0.5617110190914697</v>
      </c>
      <c r="E249" s="101">
        <f t="shared" ca="1" si="14"/>
        <v>0</v>
      </c>
      <c r="F249" s="21">
        <f t="shared" ca="1" si="15"/>
        <v>0</v>
      </c>
      <c r="H249" s="21">
        <v>234</v>
      </c>
      <c r="I249" s="102">
        <v>0.66768065991171965</v>
      </c>
      <c r="J249" s="103">
        <v>1.3592967696142218E-3</v>
      </c>
      <c r="K249" s="103"/>
      <c r="L249" s="103">
        <v>4.0399999999999998E-2</v>
      </c>
      <c r="O249" s="100"/>
    </row>
    <row r="250" spans="2:15" x14ac:dyDescent="0.2">
      <c r="B250" s="1">
        <v>235</v>
      </c>
      <c r="C250" s="101">
        <f t="shared" ca="1" si="12"/>
        <v>9.2207160896614473E-2</v>
      </c>
      <c r="D250" s="101">
        <f t="shared" ca="1" si="13"/>
        <v>0.67057367185177807</v>
      </c>
      <c r="E250" s="101">
        <f t="shared" ca="1" si="14"/>
        <v>0</v>
      </c>
      <c r="F250" s="21">
        <f t="shared" ca="1" si="15"/>
        <v>0</v>
      </c>
      <c r="H250" s="21">
        <v>235</v>
      </c>
      <c r="I250" s="102">
        <v>0.66776992355617892</v>
      </c>
      <c r="J250" s="103">
        <v>1.4034259241125161E-3</v>
      </c>
      <c r="K250" s="103"/>
      <c r="L250" s="103">
        <v>4.3400000000000001E-2</v>
      </c>
      <c r="O250" s="100"/>
    </row>
    <row r="251" spans="2:15" x14ac:dyDescent="0.2">
      <c r="B251" s="1">
        <v>236</v>
      </c>
      <c r="C251" s="101">
        <f t="shared" ca="1" si="12"/>
        <v>1.1605354821632565</v>
      </c>
      <c r="D251" s="101">
        <f t="shared" ca="1" si="13"/>
        <v>0.74509736017512618</v>
      </c>
      <c r="E251" s="101">
        <f t="shared" ca="1" si="14"/>
        <v>0</v>
      </c>
      <c r="F251" s="21">
        <f t="shared" ca="1" si="15"/>
        <v>0</v>
      </c>
      <c r="H251" s="21">
        <v>236</v>
      </c>
      <c r="I251" s="102">
        <v>0.66768345118535477</v>
      </c>
      <c r="J251" s="103">
        <v>1.2513414866446688E-3</v>
      </c>
      <c r="K251" s="103"/>
      <c r="L251" s="103">
        <v>3.78E-2</v>
      </c>
      <c r="O251" s="100"/>
    </row>
    <row r="252" spans="2:15" x14ac:dyDescent="0.2">
      <c r="B252" s="1">
        <v>237</v>
      </c>
      <c r="C252" s="101">
        <f t="shared" ca="1" si="12"/>
        <v>-0.13046470850998518</v>
      </c>
      <c r="D252" s="101">
        <f t="shared" ca="1" si="13"/>
        <v>0.6560053367938129</v>
      </c>
      <c r="E252" s="101">
        <f t="shared" ca="1" si="14"/>
        <v>0</v>
      </c>
      <c r="F252" s="21">
        <f t="shared" ca="1" si="15"/>
        <v>0</v>
      </c>
      <c r="H252" s="21">
        <v>237</v>
      </c>
      <c r="I252" s="102">
        <v>0.66781247729061899</v>
      </c>
      <c r="J252" s="103">
        <v>1.4237975256989278E-3</v>
      </c>
      <c r="K252" s="103"/>
      <c r="L252" s="103">
        <v>4.4400000000000002E-2</v>
      </c>
      <c r="O252" s="100"/>
    </row>
    <row r="253" spans="2:15" x14ac:dyDescent="0.2">
      <c r="B253" s="1">
        <v>238</v>
      </c>
      <c r="C253" s="101">
        <f t="shared" ca="1" si="12"/>
        <v>-1.082126770145764</v>
      </c>
      <c r="D253" s="101">
        <f t="shared" ca="1" si="13"/>
        <v>0.5972260690424458</v>
      </c>
      <c r="E253" s="101">
        <f t="shared" ca="1" si="14"/>
        <v>0</v>
      </c>
      <c r="F253" s="21">
        <f t="shared" ca="1" si="15"/>
        <v>0</v>
      </c>
      <c r="H253" s="21">
        <v>238</v>
      </c>
      <c r="I253" s="102">
        <v>0.66769503017504761</v>
      </c>
      <c r="J253" s="103">
        <v>1.3729918648067616E-3</v>
      </c>
      <c r="K253" s="103"/>
      <c r="L253" s="103">
        <v>3.9E-2</v>
      </c>
      <c r="O253" s="100"/>
    </row>
    <row r="254" spans="2:15" x14ac:dyDescent="0.2">
      <c r="B254" s="1">
        <v>239</v>
      </c>
      <c r="C254" s="101">
        <f t="shared" ca="1" si="12"/>
        <v>-5.0108786348424614E-3</v>
      </c>
      <c r="D254" s="101">
        <f t="shared" ca="1" si="13"/>
        <v>0.66417379611732907</v>
      </c>
      <c r="E254" s="101">
        <f t="shared" ca="1" si="14"/>
        <v>0</v>
      </c>
      <c r="F254" s="21">
        <f t="shared" ca="1" si="15"/>
        <v>0</v>
      </c>
      <c r="H254" s="21">
        <v>239</v>
      </c>
      <c r="I254" s="102">
        <v>0.66789083662842663</v>
      </c>
      <c r="J254" s="103">
        <v>1.5002155482718388E-3</v>
      </c>
      <c r="K254" s="103"/>
      <c r="L254" s="103">
        <v>4.6399999999999997E-2</v>
      </c>
      <c r="O254" s="100"/>
    </row>
    <row r="255" spans="2:15" x14ac:dyDescent="0.2">
      <c r="B255" s="1">
        <v>240</v>
      </c>
      <c r="C255" s="101">
        <f t="shared" ca="1" si="12"/>
        <v>-0.98991066895151214</v>
      </c>
      <c r="D255" s="101">
        <f t="shared" ca="1" si="13"/>
        <v>0.60268341079994203</v>
      </c>
      <c r="E255" s="101">
        <f t="shared" ca="1" si="14"/>
        <v>0</v>
      </c>
      <c r="F255" s="21">
        <f t="shared" ca="1" si="15"/>
        <v>0</v>
      </c>
      <c r="H255" s="21">
        <v>240</v>
      </c>
      <c r="I255" s="102">
        <v>0.66770451833290045</v>
      </c>
      <c r="J255" s="103">
        <v>1.3630726400538683E-3</v>
      </c>
      <c r="K255" s="103"/>
      <c r="L255" s="103">
        <v>4.1399999999999999E-2</v>
      </c>
      <c r="O255" s="100"/>
    </row>
    <row r="256" spans="2:15" x14ac:dyDescent="0.2">
      <c r="B256" s="1">
        <v>241</v>
      </c>
      <c r="C256" s="101">
        <f t="shared" ca="1" si="12"/>
        <v>-0.54352886226415509</v>
      </c>
      <c r="D256" s="101">
        <f t="shared" ca="1" si="13"/>
        <v>0.62981349036455003</v>
      </c>
      <c r="E256" s="101">
        <f t="shared" ca="1" si="14"/>
        <v>0</v>
      </c>
      <c r="F256" s="21">
        <f t="shared" ca="1" si="15"/>
        <v>0</v>
      </c>
      <c r="H256" s="21">
        <v>241</v>
      </c>
      <c r="I256" s="102">
        <v>0.66781303079333343</v>
      </c>
      <c r="J256" s="103">
        <v>1.397846242599896E-3</v>
      </c>
      <c r="K256" s="103"/>
      <c r="L256" s="103">
        <v>4.2000000000000003E-2</v>
      </c>
      <c r="O256" s="100"/>
    </row>
    <row r="257" spans="2:15" x14ac:dyDescent="0.2">
      <c r="B257" s="1">
        <v>242</v>
      </c>
      <c r="C257" s="101">
        <f t="shared" ca="1" si="12"/>
        <v>-0.6208037920871472</v>
      </c>
      <c r="D257" s="101">
        <f t="shared" ca="1" si="13"/>
        <v>0.62503098655059053</v>
      </c>
      <c r="E257" s="101">
        <f t="shared" ca="1" si="14"/>
        <v>0</v>
      </c>
      <c r="F257" s="21">
        <f t="shared" ca="1" si="15"/>
        <v>0</v>
      </c>
      <c r="H257" s="21">
        <v>242</v>
      </c>
      <c r="I257" s="102">
        <v>0.66769473084703868</v>
      </c>
      <c r="J257" s="103">
        <v>1.2982881650347481E-3</v>
      </c>
      <c r="K257" s="103"/>
      <c r="L257" s="103">
        <v>4.02E-2</v>
      </c>
      <c r="O257" s="100"/>
    </row>
    <row r="258" spans="2:15" x14ac:dyDescent="0.2">
      <c r="B258" s="1">
        <v>243</v>
      </c>
      <c r="C258" s="101">
        <f t="shared" ca="1" si="12"/>
        <v>-0.2696748518509719</v>
      </c>
      <c r="D258" s="101">
        <f t="shared" ca="1" si="13"/>
        <v>0.64705872222839256</v>
      </c>
      <c r="E258" s="101">
        <f t="shared" ca="1" si="14"/>
        <v>0</v>
      </c>
      <c r="F258" s="21">
        <f t="shared" ca="1" si="15"/>
        <v>0</v>
      </c>
      <c r="H258" s="21">
        <v>243</v>
      </c>
      <c r="I258" s="102">
        <v>0.66768940191749349</v>
      </c>
      <c r="J258" s="103">
        <v>1.2871176591536259E-3</v>
      </c>
      <c r="K258" s="103"/>
      <c r="L258" s="103">
        <v>4.0800000000000003E-2</v>
      </c>
      <c r="O258" s="100"/>
    </row>
    <row r="259" spans="2:15" x14ac:dyDescent="0.2">
      <c r="B259" s="1">
        <v>244</v>
      </c>
      <c r="C259" s="101">
        <f t="shared" ca="1" si="12"/>
        <v>1.7402618930548799E-2</v>
      </c>
      <c r="D259" s="101">
        <f t="shared" ca="1" si="13"/>
        <v>0.66564384050660586</v>
      </c>
      <c r="E259" s="101">
        <f t="shared" ca="1" si="14"/>
        <v>0</v>
      </c>
      <c r="F259" s="21">
        <f t="shared" ca="1" si="15"/>
        <v>0</v>
      </c>
      <c r="H259" s="21">
        <v>244</v>
      </c>
      <c r="I259" s="102">
        <v>0.66784976027869369</v>
      </c>
      <c r="J259" s="103">
        <v>1.5869091429580959E-3</v>
      </c>
      <c r="K259" s="103"/>
      <c r="L259" s="103">
        <v>4.4999999999999998E-2</v>
      </c>
      <c r="O259" s="100"/>
    </row>
    <row r="260" spans="2:15" x14ac:dyDescent="0.2">
      <c r="B260" s="1">
        <v>245</v>
      </c>
      <c r="C260" s="101">
        <f t="shared" ca="1" si="12"/>
        <v>0.63305108709776436</v>
      </c>
      <c r="D260" s="101">
        <f t="shared" ca="1" si="13"/>
        <v>0.70731996774821915</v>
      </c>
      <c r="E260" s="101">
        <f t="shared" ca="1" si="14"/>
        <v>0</v>
      </c>
      <c r="F260" s="21">
        <f t="shared" ca="1" si="15"/>
        <v>0</v>
      </c>
      <c r="H260" s="21">
        <v>245</v>
      </c>
      <c r="I260" s="102">
        <v>0.66769004747143201</v>
      </c>
      <c r="J260" s="103">
        <v>1.3333127158116395E-3</v>
      </c>
      <c r="K260" s="103"/>
      <c r="L260" s="103">
        <v>4.0399999999999998E-2</v>
      </c>
      <c r="O260" s="100"/>
    </row>
    <row r="261" spans="2:15" x14ac:dyDescent="0.2">
      <c r="B261" s="1">
        <v>246</v>
      </c>
      <c r="C261" s="101">
        <f t="shared" ca="1" si="12"/>
        <v>-0.24835908626211292</v>
      </c>
      <c r="D261" s="101">
        <f t="shared" ca="1" si="13"/>
        <v>0.64842066917136509</v>
      </c>
      <c r="E261" s="101">
        <f t="shared" ca="1" si="14"/>
        <v>0</v>
      </c>
      <c r="F261" s="21">
        <f t="shared" ca="1" si="15"/>
        <v>0</v>
      </c>
      <c r="H261" s="21">
        <v>246</v>
      </c>
      <c r="I261" s="102">
        <v>0.66795591476694804</v>
      </c>
      <c r="J261" s="103">
        <v>1.5305608478978923E-3</v>
      </c>
      <c r="K261" s="103"/>
      <c r="L261" s="103">
        <v>4.82E-2</v>
      </c>
      <c r="O261" s="100"/>
    </row>
    <row r="262" spans="2:15" x14ac:dyDescent="0.2">
      <c r="B262" s="1">
        <v>247</v>
      </c>
      <c r="C262" s="101">
        <f t="shared" ca="1" si="12"/>
        <v>0.64507435717216044</v>
      </c>
      <c r="D262" s="101">
        <f t="shared" ca="1" si="13"/>
        <v>0.70815934072255049</v>
      </c>
      <c r="E262" s="101">
        <f t="shared" ca="1" si="14"/>
        <v>0</v>
      </c>
      <c r="F262" s="21">
        <f t="shared" ca="1" si="15"/>
        <v>0</v>
      </c>
      <c r="H262" s="21">
        <v>247</v>
      </c>
      <c r="I262" s="102">
        <v>0.66767731136810915</v>
      </c>
      <c r="J262" s="103">
        <v>1.2729916191806989E-3</v>
      </c>
      <c r="K262" s="103"/>
      <c r="L262" s="103">
        <v>3.9600000000000003E-2</v>
      </c>
      <c r="O262" s="100"/>
    </row>
    <row r="263" spans="2:15" x14ac:dyDescent="0.2">
      <c r="B263" s="1">
        <v>248</v>
      </c>
      <c r="C263" s="101">
        <f t="shared" ca="1" si="12"/>
        <v>-0.67958996150354789</v>
      </c>
      <c r="D263" s="101">
        <f t="shared" ca="1" si="13"/>
        <v>0.6214170790044945</v>
      </c>
      <c r="E263" s="101">
        <f t="shared" ca="1" si="14"/>
        <v>0</v>
      </c>
      <c r="F263" s="21">
        <f t="shared" ca="1" si="15"/>
        <v>0</v>
      </c>
      <c r="H263" s="21">
        <v>248</v>
      </c>
      <c r="I263" s="102">
        <v>0.66770845836704962</v>
      </c>
      <c r="J263" s="103">
        <v>1.2463403330215937E-3</v>
      </c>
      <c r="K263" s="103"/>
      <c r="L263" s="103">
        <v>3.8800000000000001E-2</v>
      </c>
      <c r="O263" s="100"/>
    </row>
    <row r="264" spans="2:15" x14ac:dyDescent="0.2">
      <c r="B264" s="1">
        <v>249</v>
      </c>
      <c r="C264" s="101">
        <f t="shared" ca="1" si="12"/>
        <v>-0.32813373213891284</v>
      </c>
      <c r="D264" s="101">
        <f t="shared" ca="1" si="13"/>
        <v>0.64333822042257793</v>
      </c>
      <c r="E264" s="101">
        <f t="shared" ca="1" si="14"/>
        <v>0</v>
      </c>
      <c r="F264" s="21">
        <f t="shared" ca="1" si="15"/>
        <v>0</v>
      </c>
      <c r="H264" s="21">
        <v>249</v>
      </c>
      <c r="I264" s="102">
        <v>0.66782666242146038</v>
      </c>
      <c r="J264" s="103">
        <v>1.4706177975202124E-3</v>
      </c>
      <c r="K264" s="103"/>
      <c r="L264" s="103">
        <v>4.3999999999999997E-2</v>
      </c>
      <c r="O264" s="100"/>
    </row>
    <row r="265" spans="2:15" x14ac:dyDescent="0.2">
      <c r="B265" s="1">
        <v>250</v>
      </c>
      <c r="C265" s="101">
        <f t="shared" ca="1" si="12"/>
        <v>-0.13284722738696927</v>
      </c>
      <c r="D265" s="101">
        <f t="shared" ca="1" si="13"/>
        <v>0.65585118393202846</v>
      </c>
      <c r="E265" s="101">
        <f t="shared" ca="1" si="14"/>
        <v>0</v>
      </c>
      <c r="F265" s="21">
        <f t="shared" ca="1" si="15"/>
        <v>0</v>
      </c>
      <c r="H265" s="21">
        <v>250</v>
      </c>
      <c r="I265" s="102">
        <v>0.66760958639086954</v>
      </c>
      <c r="J265" s="103">
        <v>1.2162780975658784E-3</v>
      </c>
      <c r="K265" s="103"/>
      <c r="L265" s="103">
        <v>4.0800000000000003E-2</v>
      </c>
      <c r="O265" s="100"/>
    </row>
    <row r="266" spans="2:15" x14ac:dyDescent="0.2">
      <c r="B266" s="1">
        <v>251</v>
      </c>
      <c r="C266" s="101">
        <f t="shared" ca="1" si="12"/>
        <v>1.4272946674910357E-2</v>
      </c>
      <c r="D266" s="101">
        <f t="shared" ca="1" si="13"/>
        <v>0.66543837797104877</v>
      </c>
      <c r="E266" s="101">
        <f t="shared" ca="1" si="14"/>
        <v>0</v>
      </c>
      <c r="F266" s="21">
        <f t="shared" ca="1" si="15"/>
        <v>0</v>
      </c>
      <c r="H266" s="21">
        <v>251</v>
      </c>
      <c r="I266" s="102">
        <v>0.66769099505389473</v>
      </c>
      <c r="J266" s="103">
        <v>1.3578955631761219E-3</v>
      </c>
      <c r="K266" s="103"/>
      <c r="L266" s="103">
        <v>4.1599999999999998E-2</v>
      </c>
      <c r="O266" s="100"/>
    </row>
    <row r="267" spans="2:15" x14ac:dyDescent="0.2">
      <c r="B267" s="1">
        <v>252</v>
      </c>
      <c r="C267" s="101">
        <f t="shared" ca="1" si="12"/>
        <v>0.94402560954948833</v>
      </c>
      <c r="D267" s="101">
        <f t="shared" ca="1" si="13"/>
        <v>0.7293531706602242</v>
      </c>
      <c r="E267" s="101">
        <f t="shared" ca="1" si="14"/>
        <v>0</v>
      </c>
      <c r="F267" s="21">
        <f t="shared" ca="1" si="15"/>
        <v>0</v>
      </c>
      <c r="H267" s="21">
        <v>252</v>
      </c>
      <c r="I267" s="102">
        <v>0.66764853726008144</v>
      </c>
      <c r="J267" s="103">
        <v>1.2637051709887531E-3</v>
      </c>
      <c r="K267" s="103"/>
      <c r="L267" s="103">
        <v>3.8800000000000001E-2</v>
      </c>
      <c r="O267" s="100"/>
    </row>
    <row r="268" spans="2:15" x14ac:dyDescent="0.2">
      <c r="B268" s="1">
        <v>253</v>
      </c>
      <c r="C268" s="101">
        <f t="shared" ca="1" si="12"/>
        <v>1.2331848363775741</v>
      </c>
      <c r="D268" s="101">
        <f t="shared" ca="1" si="13"/>
        <v>0.75045607615807353</v>
      </c>
      <c r="E268" s="101">
        <f t="shared" ca="1" si="14"/>
        <v>0</v>
      </c>
      <c r="F268" s="21">
        <f t="shared" ca="1" si="15"/>
        <v>0</v>
      </c>
      <c r="H268" s="21">
        <v>253</v>
      </c>
      <c r="I268" s="102">
        <v>0.66786634985244631</v>
      </c>
      <c r="J268" s="103">
        <v>1.3887260901279724E-3</v>
      </c>
      <c r="K268" s="103"/>
      <c r="L268" s="103">
        <v>4.3799999999999999E-2</v>
      </c>
      <c r="O268" s="100"/>
    </row>
    <row r="269" spans="2:15" x14ac:dyDescent="0.2">
      <c r="B269" s="1">
        <v>254</v>
      </c>
      <c r="C269" s="101">
        <f t="shared" ca="1" si="12"/>
        <v>0.77219741690465393</v>
      </c>
      <c r="D269" s="101">
        <f t="shared" ca="1" si="13"/>
        <v>0.71709527586742605</v>
      </c>
      <c r="E269" s="101">
        <f t="shared" ca="1" si="14"/>
        <v>0</v>
      </c>
      <c r="F269" s="21">
        <f t="shared" ca="1" si="15"/>
        <v>0</v>
      </c>
      <c r="H269" s="21">
        <v>254</v>
      </c>
      <c r="I269" s="102">
        <v>0.66781187364368011</v>
      </c>
      <c r="J269" s="103">
        <v>1.5299406111967235E-3</v>
      </c>
      <c r="K269" s="103"/>
      <c r="L269" s="103">
        <v>4.24E-2</v>
      </c>
      <c r="O269" s="100"/>
    </row>
    <row r="270" spans="2:15" x14ac:dyDescent="0.2">
      <c r="B270" s="1">
        <v>255</v>
      </c>
      <c r="C270" s="101">
        <f t="shared" ca="1" si="12"/>
        <v>0.76361903664332564</v>
      </c>
      <c r="D270" s="101">
        <f t="shared" ca="1" si="13"/>
        <v>0.71648873883445452</v>
      </c>
      <c r="E270" s="101">
        <f t="shared" ca="1" si="14"/>
        <v>0</v>
      </c>
      <c r="F270" s="21">
        <f t="shared" ca="1" si="15"/>
        <v>0</v>
      </c>
      <c r="H270" s="21">
        <v>255</v>
      </c>
      <c r="I270" s="102">
        <v>0.66765642400002989</v>
      </c>
      <c r="J270" s="103">
        <v>1.3006056495620854E-3</v>
      </c>
      <c r="K270" s="103"/>
      <c r="L270" s="103">
        <v>4.0399999999999998E-2</v>
      </c>
      <c r="O270" s="100"/>
    </row>
    <row r="271" spans="2:15" x14ac:dyDescent="0.2">
      <c r="B271" s="1">
        <v>256</v>
      </c>
      <c r="C271" s="101">
        <f t="shared" ca="1" si="12"/>
        <v>0.53908970069895279</v>
      </c>
      <c r="D271" s="101">
        <f t="shared" ca="1" si="13"/>
        <v>0.70079447718671406</v>
      </c>
      <c r="E271" s="101">
        <f t="shared" ca="1" si="14"/>
        <v>0</v>
      </c>
      <c r="F271" s="21">
        <f t="shared" ca="1" si="15"/>
        <v>0</v>
      </c>
      <c r="H271" s="21">
        <v>256</v>
      </c>
      <c r="I271" s="102">
        <v>0.66764281645258894</v>
      </c>
      <c r="J271" s="103">
        <v>1.3178303458304167E-3</v>
      </c>
      <c r="K271" s="103"/>
      <c r="L271" s="103">
        <v>4.0800000000000003E-2</v>
      </c>
      <c r="O271" s="100"/>
    </row>
    <row r="272" spans="2:15" x14ac:dyDescent="0.2">
      <c r="B272" s="1">
        <v>257</v>
      </c>
      <c r="C272" s="101">
        <f t="shared" ref="C272:C335" ca="1" si="16">_xlfn.NORM.S.INV(RAND())</f>
        <v>-1.3691709923634696</v>
      </c>
      <c r="D272" s="101">
        <f t="shared" ref="D272:D335" ca="1" si="17">S0*EXP((μ-0.5*σ*σ)*T+σ*SQRT(T)*$C272)</f>
        <v>0.58055311414830391</v>
      </c>
      <c r="E272" s="101">
        <f t="shared" ref="E272:E335" ca="1" si="18">MAX(0,CP*(D272-K))</f>
        <v>0</v>
      </c>
      <c r="F272" s="21">
        <f t="shared" ref="F272:F335" ca="1" si="19">(CP*(D272-K)&gt;0)*1</f>
        <v>0</v>
      </c>
      <c r="H272" s="21">
        <v>257</v>
      </c>
      <c r="I272" s="102">
        <v>0.66774891087395993</v>
      </c>
      <c r="J272" s="103">
        <v>1.4463327326662036E-3</v>
      </c>
      <c r="K272" s="103"/>
      <c r="L272" s="103">
        <v>4.24E-2</v>
      </c>
      <c r="O272" s="100"/>
    </row>
    <row r="273" spans="2:15" x14ac:dyDescent="0.2">
      <c r="B273" s="1">
        <v>258</v>
      </c>
      <c r="C273" s="101">
        <f t="shared" ca="1" si="16"/>
        <v>-1.4210587794567355</v>
      </c>
      <c r="D273" s="101">
        <f t="shared" ca="1" si="17"/>
        <v>0.57758927204867982</v>
      </c>
      <c r="E273" s="101">
        <f t="shared" ca="1" si="18"/>
        <v>0</v>
      </c>
      <c r="F273" s="21">
        <f t="shared" ca="1" si="19"/>
        <v>0</v>
      </c>
      <c r="H273" s="21">
        <v>258</v>
      </c>
      <c r="I273" s="102">
        <v>0.66768337353669394</v>
      </c>
      <c r="J273" s="103">
        <v>1.2856463288368064E-3</v>
      </c>
      <c r="K273" s="103"/>
      <c r="L273" s="103">
        <v>3.9199999999999999E-2</v>
      </c>
      <c r="O273" s="100"/>
    </row>
    <row r="274" spans="2:15" x14ac:dyDescent="0.2">
      <c r="B274" s="1">
        <v>259</v>
      </c>
      <c r="C274" s="101">
        <f t="shared" ca="1" si="16"/>
        <v>-0.95400594870826572</v>
      </c>
      <c r="D274" s="101">
        <f t="shared" ca="1" si="17"/>
        <v>0.60482171249550065</v>
      </c>
      <c r="E274" s="101">
        <f t="shared" ca="1" si="18"/>
        <v>0</v>
      </c>
      <c r="F274" s="21">
        <f t="shared" ca="1" si="19"/>
        <v>0</v>
      </c>
      <c r="H274" s="21">
        <v>259</v>
      </c>
      <c r="I274" s="102">
        <v>0.66772373949962616</v>
      </c>
      <c r="J274" s="103">
        <v>1.3384481283525613E-3</v>
      </c>
      <c r="K274" s="103"/>
      <c r="L274" s="103">
        <v>3.9600000000000003E-2</v>
      </c>
      <c r="O274" s="100"/>
    </row>
    <row r="275" spans="2:15" x14ac:dyDescent="0.2">
      <c r="B275" s="1">
        <v>260</v>
      </c>
      <c r="C275" s="101">
        <f t="shared" ca="1" si="16"/>
        <v>0.63454362492526617</v>
      </c>
      <c r="D275" s="101">
        <f t="shared" ca="1" si="17"/>
        <v>0.70742411124029725</v>
      </c>
      <c r="E275" s="101">
        <f t="shared" ca="1" si="18"/>
        <v>0</v>
      </c>
      <c r="F275" s="21">
        <f t="shared" ca="1" si="19"/>
        <v>0</v>
      </c>
      <c r="H275" s="21">
        <v>260</v>
      </c>
      <c r="I275" s="102">
        <v>0.66770372168383874</v>
      </c>
      <c r="J275" s="103">
        <v>1.3368005169093018E-3</v>
      </c>
      <c r="K275" s="103"/>
      <c r="L275" s="103">
        <v>0.04</v>
      </c>
      <c r="O275" s="100"/>
    </row>
    <row r="276" spans="2:15" x14ac:dyDescent="0.2">
      <c r="B276" s="1">
        <v>261</v>
      </c>
      <c r="C276" s="101">
        <f t="shared" ca="1" si="16"/>
        <v>-0.22258970761274935</v>
      </c>
      <c r="D276" s="101">
        <f t="shared" ca="1" si="17"/>
        <v>0.65007100294224951</v>
      </c>
      <c r="E276" s="101">
        <f t="shared" ca="1" si="18"/>
        <v>0</v>
      </c>
      <c r="F276" s="21">
        <f t="shared" ca="1" si="19"/>
        <v>0</v>
      </c>
      <c r="H276" s="21">
        <v>261</v>
      </c>
      <c r="I276" s="102">
        <v>0.6678844629698879</v>
      </c>
      <c r="J276" s="103">
        <v>1.3643049249127022E-3</v>
      </c>
      <c r="K276" s="103"/>
      <c r="L276" s="103">
        <v>4.4999999999999998E-2</v>
      </c>
      <c r="O276" s="100"/>
    </row>
    <row r="277" spans="2:15" x14ac:dyDescent="0.2">
      <c r="B277" s="1">
        <v>262</v>
      </c>
      <c r="C277" s="101">
        <f t="shared" ca="1" si="16"/>
        <v>0.31355987938032454</v>
      </c>
      <c r="D277" s="101">
        <f t="shared" ca="1" si="17"/>
        <v>0.6853763464654069</v>
      </c>
      <c r="E277" s="101">
        <f t="shared" ca="1" si="18"/>
        <v>0</v>
      </c>
      <c r="F277" s="21">
        <f t="shared" ca="1" si="19"/>
        <v>0</v>
      </c>
      <c r="H277" s="21">
        <v>262</v>
      </c>
      <c r="I277" s="102">
        <v>0.66771439319535153</v>
      </c>
      <c r="J277" s="103">
        <v>1.2607661075073984E-3</v>
      </c>
      <c r="K277" s="103"/>
      <c r="L277" s="103">
        <v>4.0800000000000003E-2</v>
      </c>
      <c r="O277" s="100"/>
    </row>
    <row r="278" spans="2:15" x14ac:dyDescent="0.2">
      <c r="B278" s="1">
        <v>263</v>
      </c>
      <c r="C278" s="101">
        <f t="shared" ca="1" si="16"/>
        <v>-0.71707551593973029</v>
      </c>
      <c r="D278" s="101">
        <f t="shared" ca="1" si="17"/>
        <v>0.61912355471960168</v>
      </c>
      <c r="E278" s="101">
        <f t="shared" ca="1" si="18"/>
        <v>0</v>
      </c>
      <c r="F278" s="21">
        <f t="shared" ca="1" si="19"/>
        <v>0</v>
      </c>
      <c r="H278" s="21">
        <v>263</v>
      </c>
      <c r="I278" s="102">
        <v>0.66768509783425023</v>
      </c>
      <c r="J278" s="103">
        <v>1.3160590949869498E-3</v>
      </c>
      <c r="K278" s="103"/>
      <c r="L278" s="103">
        <v>3.9800000000000002E-2</v>
      </c>
      <c r="O278" s="100"/>
    </row>
    <row r="279" spans="2:15" x14ac:dyDescent="0.2">
      <c r="B279" s="1">
        <v>264</v>
      </c>
      <c r="C279" s="101">
        <f t="shared" ca="1" si="16"/>
        <v>9.7895870813322211E-3</v>
      </c>
      <c r="D279" s="101">
        <f t="shared" ca="1" si="17"/>
        <v>0.66514415654924908</v>
      </c>
      <c r="E279" s="101">
        <f t="shared" ca="1" si="18"/>
        <v>0</v>
      </c>
      <c r="F279" s="21">
        <f t="shared" ca="1" si="19"/>
        <v>0</v>
      </c>
      <c r="H279" s="21">
        <v>264</v>
      </c>
      <c r="I279" s="102">
        <v>0.66785625323952902</v>
      </c>
      <c r="J279" s="103">
        <v>1.3868953130822259E-3</v>
      </c>
      <c r="K279" s="103"/>
      <c r="L279" s="103">
        <v>4.2599999999999999E-2</v>
      </c>
      <c r="O279" s="100"/>
    </row>
    <row r="280" spans="2:15" x14ac:dyDescent="0.2">
      <c r="B280" s="1">
        <v>265</v>
      </c>
      <c r="C280" s="101">
        <f t="shared" ca="1" si="16"/>
        <v>-0.58517581249913986</v>
      </c>
      <c r="D280" s="101">
        <f t="shared" ca="1" si="17"/>
        <v>0.62723145429989358</v>
      </c>
      <c r="E280" s="101">
        <f t="shared" ca="1" si="18"/>
        <v>0</v>
      </c>
      <c r="F280" s="21">
        <f t="shared" ca="1" si="19"/>
        <v>0</v>
      </c>
      <c r="H280" s="21">
        <v>265</v>
      </c>
      <c r="I280" s="102">
        <v>0.66793188415901839</v>
      </c>
      <c r="J280" s="103">
        <v>1.6332454692668784E-3</v>
      </c>
      <c r="K280" s="103"/>
      <c r="L280" s="103">
        <v>4.6800000000000001E-2</v>
      </c>
      <c r="O280" s="100"/>
    </row>
    <row r="281" spans="2:15" x14ac:dyDescent="0.2">
      <c r="B281" s="1">
        <v>266</v>
      </c>
      <c r="C281" s="101">
        <f t="shared" ca="1" si="16"/>
        <v>-0.6067136901412844</v>
      </c>
      <c r="D281" s="101">
        <f t="shared" ca="1" si="17"/>
        <v>0.62590030005267605</v>
      </c>
      <c r="E281" s="101">
        <f t="shared" ca="1" si="18"/>
        <v>0</v>
      </c>
      <c r="F281" s="21">
        <f t="shared" ca="1" si="19"/>
        <v>0</v>
      </c>
      <c r="H281" s="21">
        <v>266</v>
      </c>
      <c r="I281" s="102">
        <v>0.66766443330061909</v>
      </c>
      <c r="J281" s="103">
        <v>1.3315165138311803E-3</v>
      </c>
      <c r="K281" s="103"/>
      <c r="L281" s="103">
        <v>3.9600000000000003E-2</v>
      </c>
      <c r="O281" s="100"/>
    </row>
    <row r="282" spans="2:15" x14ac:dyDescent="0.2">
      <c r="B282" s="1">
        <v>267</v>
      </c>
      <c r="C282" s="101">
        <f t="shared" ca="1" si="16"/>
        <v>0.41989398766390928</v>
      </c>
      <c r="D282" s="101">
        <f t="shared" ca="1" si="17"/>
        <v>0.69260305003472611</v>
      </c>
      <c r="E282" s="101">
        <f t="shared" ca="1" si="18"/>
        <v>0</v>
      </c>
      <c r="F282" s="21">
        <f t="shared" ca="1" si="19"/>
        <v>0</v>
      </c>
      <c r="H282" s="21">
        <v>267</v>
      </c>
      <c r="I282" s="102">
        <v>0.66780027275714049</v>
      </c>
      <c r="J282" s="103">
        <v>1.4084609615471176E-3</v>
      </c>
      <c r="K282" s="103"/>
      <c r="L282" s="103">
        <v>0.04</v>
      </c>
      <c r="O282" s="100"/>
    </row>
    <row r="283" spans="2:15" x14ac:dyDescent="0.2">
      <c r="B283" s="1">
        <v>268</v>
      </c>
      <c r="C283" s="101">
        <f t="shared" ca="1" si="16"/>
        <v>0.60670412964786347</v>
      </c>
      <c r="D283" s="101">
        <f t="shared" ca="1" si="17"/>
        <v>0.70548410137259443</v>
      </c>
      <c r="E283" s="101">
        <f t="shared" ca="1" si="18"/>
        <v>0</v>
      </c>
      <c r="F283" s="21">
        <f t="shared" ca="1" si="19"/>
        <v>0</v>
      </c>
      <c r="H283" s="21">
        <v>268</v>
      </c>
      <c r="I283" s="102">
        <v>0.66775489768519825</v>
      </c>
      <c r="J283" s="103">
        <v>1.3375060119573158E-3</v>
      </c>
      <c r="K283" s="103"/>
      <c r="L283" s="103">
        <v>4.2000000000000003E-2</v>
      </c>
      <c r="O283" s="100"/>
    </row>
    <row r="284" spans="2:15" x14ac:dyDescent="0.2">
      <c r="B284" s="1">
        <v>269</v>
      </c>
      <c r="C284" s="101">
        <f t="shared" ca="1" si="16"/>
        <v>2.4306424925768009</v>
      </c>
      <c r="D284" s="101">
        <f t="shared" ca="1" si="17"/>
        <v>0.84454661579838286</v>
      </c>
      <c r="E284" s="101">
        <f t="shared" ca="1" si="18"/>
        <v>5.6346615798382849E-2</v>
      </c>
      <c r="F284" s="21">
        <f t="shared" ca="1" si="19"/>
        <v>1</v>
      </c>
      <c r="H284" s="21">
        <v>269</v>
      </c>
      <c r="I284" s="102">
        <v>0.66776205789998344</v>
      </c>
      <c r="J284" s="103">
        <v>1.4905885795755483E-3</v>
      </c>
      <c r="K284" s="103"/>
      <c r="L284" s="103">
        <v>3.8800000000000001E-2</v>
      </c>
      <c r="O284" s="100"/>
    </row>
    <row r="285" spans="2:15" x14ac:dyDescent="0.2">
      <c r="B285" s="1">
        <v>270</v>
      </c>
      <c r="C285" s="101">
        <f t="shared" ca="1" si="16"/>
        <v>-2.1265255844429314</v>
      </c>
      <c r="D285" s="101">
        <f t="shared" ca="1" si="17"/>
        <v>0.53876249469338433</v>
      </c>
      <c r="E285" s="101">
        <f t="shared" ca="1" si="18"/>
        <v>0</v>
      </c>
      <c r="F285" s="21">
        <f t="shared" ca="1" si="19"/>
        <v>0</v>
      </c>
      <c r="H285" s="21">
        <v>270</v>
      </c>
      <c r="I285" s="102">
        <v>0.66769337853194477</v>
      </c>
      <c r="J285" s="103">
        <v>1.3951873348089147E-3</v>
      </c>
      <c r="K285" s="103"/>
      <c r="L285" s="103">
        <v>4.3400000000000001E-2</v>
      </c>
      <c r="O285" s="100"/>
    </row>
    <row r="286" spans="2:15" x14ac:dyDescent="0.2">
      <c r="B286" s="1">
        <v>271</v>
      </c>
      <c r="C286" s="101">
        <f t="shared" ca="1" si="16"/>
        <v>0.30152004461616477</v>
      </c>
      <c r="D286" s="101">
        <f t="shared" ca="1" si="17"/>
        <v>0.6845628593561206</v>
      </c>
      <c r="E286" s="101">
        <f t="shared" ca="1" si="18"/>
        <v>0</v>
      </c>
      <c r="F286" s="21">
        <f t="shared" ca="1" si="19"/>
        <v>0</v>
      </c>
      <c r="H286" s="21">
        <v>271</v>
      </c>
      <c r="I286" s="102">
        <v>0.66771853115754343</v>
      </c>
      <c r="J286" s="103">
        <v>1.2710823024780383E-3</v>
      </c>
      <c r="K286" s="103"/>
      <c r="L286" s="103">
        <v>4.2200000000000001E-2</v>
      </c>
      <c r="O286" s="100"/>
    </row>
    <row r="287" spans="2:15" x14ac:dyDescent="0.2">
      <c r="B287" s="1">
        <v>272</v>
      </c>
      <c r="C287" s="101">
        <f t="shared" ca="1" si="16"/>
        <v>-2.4344529664934558</v>
      </c>
      <c r="D287" s="101">
        <f t="shared" ca="1" si="17"/>
        <v>0.5226439602765538</v>
      </c>
      <c r="E287" s="101">
        <f t="shared" ca="1" si="18"/>
        <v>0</v>
      </c>
      <c r="F287" s="21">
        <f t="shared" ca="1" si="19"/>
        <v>0</v>
      </c>
      <c r="H287" s="21">
        <v>272</v>
      </c>
      <c r="I287" s="102">
        <v>0.6676704448453108</v>
      </c>
      <c r="J287" s="103">
        <v>1.3174757937251152E-3</v>
      </c>
      <c r="K287" s="103"/>
      <c r="L287" s="103">
        <v>3.9600000000000003E-2</v>
      </c>
      <c r="O287" s="100"/>
    </row>
    <row r="288" spans="2:15" x14ac:dyDescent="0.2">
      <c r="B288" s="1">
        <v>273</v>
      </c>
      <c r="C288" s="101">
        <f t="shared" ca="1" si="16"/>
        <v>3.6858554225152958E-3</v>
      </c>
      <c r="D288" s="101">
        <f t="shared" ca="1" si="17"/>
        <v>0.66474380696715651</v>
      </c>
      <c r="E288" s="101">
        <f t="shared" ca="1" si="18"/>
        <v>0</v>
      </c>
      <c r="F288" s="21">
        <f t="shared" ca="1" si="19"/>
        <v>0</v>
      </c>
      <c r="H288" s="21">
        <v>273</v>
      </c>
      <c r="I288" s="102">
        <v>0.66762229435133158</v>
      </c>
      <c r="J288" s="103">
        <v>1.2176619189105166E-3</v>
      </c>
      <c r="K288" s="103"/>
      <c r="L288" s="103">
        <v>4.02E-2</v>
      </c>
      <c r="O288" s="100"/>
    </row>
    <row r="289" spans="2:15" x14ac:dyDescent="0.2">
      <c r="B289" s="1">
        <v>274</v>
      </c>
      <c r="C289" s="101">
        <f t="shared" ca="1" si="16"/>
        <v>0.22540097475219054</v>
      </c>
      <c r="D289" s="101">
        <f t="shared" ca="1" si="17"/>
        <v>0.67944207745032403</v>
      </c>
      <c r="E289" s="101">
        <f t="shared" ca="1" si="18"/>
        <v>0</v>
      </c>
      <c r="F289" s="21">
        <f t="shared" ca="1" si="19"/>
        <v>0</v>
      </c>
      <c r="H289" s="21">
        <v>274</v>
      </c>
      <c r="I289" s="102">
        <v>0.66792831733210423</v>
      </c>
      <c r="J289" s="103">
        <v>1.5380273887578551E-3</v>
      </c>
      <c r="K289" s="103"/>
      <c r="L289" s="103">
        <v>4.5600000000000002E-2</v>
      </c>
      <c r="O289" s="100"/>
    </row>
    <row r="290" spans="2:15" x14ac:dyDescent="0.2">
      <c r="B290" s="1">
        <v>275</v>
      </c>
      <c r="C290" s="101">
        <f t="shared" ca="1" si="16"/>
        <v>0.53089516468669051</v>
      </c>
      <c r="D290" s="101">
        <f t="shared" ca="1" si="17"/>
        <v>0.70022823994883832</v>
      </c>
      <c r="E290" s="101">
        <f t="shared" ca="1" si="18"/>
        <v>0</v>
      </c>
      <c r="F290" s="21">
        <f t="shared" ca="1" si="19"/>
        <v>0</v>
      </c>
      <c r="H290" s="21">
        <v>275</v>
      </c>
      <c r="I290" s="102">
        <v>0.66775137525829309</v>
      </c>
      <c r="J290" s="103">
        <v>1.4847509766984773E-3</v>
      </c>
      <c r="K290" s="103"/>
      <c r="L290" s="103">
        <v>4.1799999999999997E-2</v>
      </c>
      <c r="O290" s="100"/>
    </row>
    <row r="291" spans="2:15" x14ac:dyDescent="0.2">
      <c r="B291" s="1">
        <v>276</v>
      </c>
      <c r="C291" s="101">
        <f t="shared" ca="1" si="16"/>
        <v>0.37066847926417934</v>
      </c>
      <c r="D291" s="101">
        <f t="shared" ca="1" si="17"/>
        <v>0.6892481503249851</v>
      </c>
      <c r="E291" s="101">
        <f t="shared" ca="1" si="18"/>
        <v>0</v>
      </c>
      <c r="F291" s="21">
        <f t="shared" ca="1" si="19"/>
        <v>0</v>
      </c>
      <c r="H291" s="21">
        <v>276</v>
      </c>
      <c r="I291" s="102">
        <v>0.66760819216054756</v>
      </c>
      <c r="J291" s="103">
        <v>1.1442504126363677E-3</v>
      </c>
      <c r="K291" s="103"/>
      <c r="L291" s="103">
        <v>3.7199999999999997E-2</v>
      </c>
      <c r="O291" s="100"/>
    </row>
    <row r="292" spans="2:15" x14ac:dyDescent="0.2">
      <c r="B292" s="1">
        <v>277</v>
      </c>
      <c r="C292" s="101">
        <f t="shared" ca="1" si="16"/>
        <v>-0.34121553110463665</v>
      </c>
      <c r="D292" s="101">
        <f t="shared" ca="1" si="17"/>
        <v>0.64250858832340851</v>
      </c>
      <c r="E292" s="101">
        <f t="shared" ca="1" si="18"/>
        <v>0</v>
      </c>
      <c r="F292" s="21">
        <f t="shared" ca="1" si="19"/>
        <v>0</v>
      </c>
      <c r="H292" s="21">
        <v>277</v>
      </c>
      <c r="I292" s="102">
        <v>0.66760447980476334</v>
      </c>
      <c r="J292" s="103">
        <v>1.1918357953430885E-3</v>
      </c>
      <c r="K292" s="103"/>
      <c r="L292" s="103">
        <v>3.9600000000000003E-2</v>
      </c>
      <c r="O292" s="100"/>
    </row>
    <row r="293" spans="2:15" x14ac:dyDescent="0.2">
      <c r="B293" s="1">
        <v>278</v>
      </c>
      <c r="C293" s="101">
        <f t="shared" ca="1" si="16"/>
        <v>-0.86925284352715881</v>
      </c>
      <c r="D293" s="101">
        <f t="shared" ca="1" si="17"/>
        <v>0.60989931317160206</v>
      </c>
      <c r="E293" s="101">
        <f t="shared" ca="1" si="18"/>
        <v>0</v>
      </c>
      <c r="F293" s="21">
        <f t="shared" ca="1" si="19"/>
        <v>0</v>
      </c>
      <c r="H293" s="21">
        <v>278</v>
      </c>
      <c r="I293" s="102">
        <v>0.66772460419440982</v>
      </c>
      <c r="J293" s="103">
        <v>1.3299494555138436E-3</v>
      </c>
      <c r="K293" s="103"/>
      <c r="L293" s="103">
        <v>3.9199999999999999E-2</v>
      </c>
      <c r="O293" s="100"/>
    </row>
    <row r="294" spans="2:15" x14ac:dyDescent="0.2">
      <c r="B294" s="1">
        <v>279</v>
      </c>
      <c r="C294" s="101">
        <f t="shared" ca="1" si="16"/>
        <v>0.38167057147090094</v>
      </c>
      <c r="D294" s="101">
        <f t="shared" ca="1" si="17"/>
        <v>0.68999657047743057</v>
      </c>
      <c r="E294" s="101">
        <f t="shared" ca="1" si="18"/>
        <v>0</v>
      </c>
      <c r="F294" s="21">
        <f t="shared" ca="1" si="19"/>
        <v>0</v>
      </c>
      <c r="H294" s="21">
        <v>279</v>
      </c>
      <c r="I294" s="102">
        <v>0.66776625681408708</v>
      </c>
      <c r="J294" s="103">
        <v>1.3710701361426081E-3</v>
      </c>
      <c r="K294" s="103"/>
      <c r="L294" s="103">
        <v>4.5199999999999997E-2</v>
      </c>
      <c r="O294" s="100"/>
    </row>
    <row r="295" spans="2:15" x14ac:dyDescent="0.2">
      <c r="B295" s="1">
        <v>280</v>
      </c>
      <c r="C295" s="101">
        <f t="shared" ca="1" si="16"/>
        <v>-0.90506157049073377</v>
      </c>
      <c r="D295" s="101">
        <f t="shared" ca="1" si="17"/>
        <v>0.60774881468873709</v>
      </c>
      <c r="E295" s="101">
        <f t="shared" ca="1" si="18"/>
        <v>0</v>
      </c>
      <c r="F295" s="21">
        <f t="shared" ca="1" si="19"/>
        <v>0</v>
      </c>
      <c r="H295" s="21">
        <v>280</v>
      </c>
      <c r="I295" s="102">
        <v>0.66770295106840982</v>
      </c>
      <c r="J295" s="103">
        <v>1.3354905511990518E-3</v>
      </c>
      <c r="K295" s="103"/>
      <c r="L295" s="103">
        <v>4.1000000000000002E-2</v>
      </c>
      <c r="O295" s="100"/>
    </row>
    <row r="296" spans="2:15" x14ac:dyDescent="0.2">
      <c r="B296" s="1">
        <v>281</v>
      </c>
      <c r="C296" s="101">
        <f t="shared" ca="1" si="16"/>
        <v>1.2381899289626328</v>
      </c>
      <c r="D296" s="101">
        <f t="shared" ca="1" si="17"/>
        <v>0.75082667452943463</v>
      </c>
      <c r="E296" s="101">
        <f t="shared" ca="1" si="18"/>
        <v>0</v>
      </c>
      <c r="F296" s="21">
        <f t="shared" ca="1" si="19"/>
        <v>0</v>
      </c>
      <c r="H296" s="21">
        <v>281</v>
      </c>
      <c r="I296" s="102">
        <v>0.66777538601815012</v>
      </c>
      <c r="J296" s="103">
        <v>1.5341739332569726E-3</v>
      </c>
      <c r="K296" s="103"/>
      <c r="L296" s="103">
        <v>4.36E-2</v>
      </c>
      <c r="O296" s="100"/>
    </row>
    <row r="297" spans="2:15" x14ac:dyDescent="0.2">
      <c r="B297" s="1">
        <v>282</v>
      </c>
      <c r="C297" s="101">
        <f t="shared" ca="1" si="16"/>
        <v>1.7753535024514184</v>
      </c>
      <c r="D297" s="101">
        <f t="shared" ca="1" si="17"/>
        <v>0.79168323758355663</v>
      </c>
      <c r="E297" s="101">
        <f t="shared" ca="1" si="18"/>
        <v>3.4832375835566198E-3</v>
      </c>
      <c r="F297" s="21">
        <f t="shared" ca="1" si="19"/>
        <v>1</v>
      </c>
      <c r="H297" s="21">
        <v>282</v>
      </c>
      <c r="I297" s="102">
        <v>0.66767975456259232</v>
      </c>
      <c r="J297" s="103">
        <v>1.4388361606007538E-3</v>
      </c>
      <c r="K297" s="103"/>
      <c r="L297" s="103">
        <v>4.02E-2</v>
      </c>
      <c r="O297" s="100"/>
    </row>
    <row r="298" spans="2:15" x14ac:dyDescent="0.2">
      <c r="B298" s="1">
        <v>283</v>
      </c>
      <c r="C298" s="101">
        <f t="shared" ca="1" si="16"/>
        <v>-0.39045193065964623</v>
      </c>
      <c r="D298" s="101">
        <f t="shared" ca="1" si="17"/>
        <v>0.63939565424734579</v>
      </c>
      <c r="E298" s="101">
        <f t="shared" ca="1" si="18"/>
        <v>0</v>
      </c>
      <c r="F298" s="21">
        <f t="shared" ca="1" si="19"/>
        <v>0</v>
      </c>
      <c r="H298" s="21">
        <v>283</v>
      </c>
      <c r="I298" s="102">
        <v>0.66765524181946279</v>
      </c>
      <c r="J298" s="103">
        <v>1.3109033124160611E-3</v>
      </c>
      <c r="K298" s="103"/>
      <c r="L298" s="103">
        <v>3.8600000000000002E-2</v>
      </c>
      <c r="O298" s="100"/>
    </row>
    <row r="299" spans="2:15" x14ac:dyDescent="0.2">
      <c r="B299" s="1">
        <v>284</v>
      </c>
      <c r="C299" s="101">
        <f t="shared" ca="1" si="16"/>
        <v>1.3485682901649665</v>
      </c>
      <c r="D299" s="101">
        <f t="shared" ca="1" si="17"/>
        <v>0.75904624174779689</v>
      </c>
      <c r="E299" s="101">
        <f t="shared" ca="1" si="18"/>
        <v>0</v>
      </c>
      <c r="F299" s="21">
        <f t="shared" ca="1" si="19"/>
        <v>0</v>
      </c>
      <c r="H299" s="21">
        <v>284</v>
      </c>
      <c r="I299" s="102">
        <v>0.66774596228665828</v>
      </c>
      <c r="J299" s="103">
        <v>1.3601232129732137E-3</v>
      </c>
      <c r="K299" s="103"/>
      <c r="L299" s="103">
        <v>4.2000000000000003E-2</v>
      </c>
      <c r="O299" s="100"/>
    </row>
    <row r="300" spans="2:15" x14ac:dyDescent="0.2">
      <c r="B300" s="1">
        <v>285</v>
      </c>
      <c r="C300" s="101">
        <f t="shared" ca="1" si="16"/>
        <v>0.4337132552116551</v>
      </c>
      <c r="D300" s="101">
        <f t="shared" ca="1" si="17"/>
        <v>0.6935478162695129</v>
      </c>
      <c r="E300" s="101">
        <f t="shared" ca="1" si="18"/>
        <v>0</v>
      </c>
      <c r="F300" s="21">
        <f t="shared" ca="1" si="19"/>
        <v>0</v>
      </c>
      <c r="H300" s="21">
        <v>285</v>
      </c>
      <c r="I300" s="102">
        <v>0.66759310980433806</v>
      </c>
      <c r="J300" s="103">
        <v>1.2266067574346643E-3</v>
      </c>
      <c r="K300" s="103"/>
      <c r="L300" s="103">
        <v>3.6400000000000002E-2</v>
      </c>
      <c r="O300" s="100"/>
    </row>
    <row r="301" spans="2:15" x14ac:dyDescent="0.2">
      <c r="B301" s="1">
        <v>286</v>
      </c>
      <c r="C301" s="101">
        <f t="shared" ca="1" si="16"/>
        <v>1.8780059107871176</v>
      </c>
      <c r="D301" s="101">
        <f t="shared" ca="1" si="17"/>
        <v>0.79974036314074881</v>
      </c>
      <c r="E301" s="101">
        <f t="shared" ca="1" si="18"/>
        <v>1.1540363140748799E-2</v>
      </c>
      <c r="F301" s="21">
        <f t="shared" ca="1" si="19"/>
        <v>1</v>
      </c>
      <c r="H301" s="21">
        <v>286</v>
      </c>
      <c r="I301" s="102">
        <v>0.66760198809912052</v>
      </c>
      <c r="J301" s="103">
        <v>1.1670130296652711E-3</v>
      </c>
      <c r="K301" s="103"/>
      <c r="L301" s="103">
        <v>4.1599999999999998E-2</v>
      </c>
      <c r="O301" s="100"/>
    </row>
    <row r="302" spans="2:15" x14ac:dyDescent="0.2">
      <c r="B302" s="1">
        <v>287</v>
      </c>
      <c r="C302" s="101">
        <f t="shared" ca="1" si="16"/>
        <v>-0.43108328673724894</v>
      </c>
      <c r="D302" s="101">
        <f t="shared" ca="1" si="17"/>
        <v>0.6368381293064681</v>
      </c>
      <c r="E302" s="101">
        <f t="shared" ca="1" si="18"/>
        <v>0</v>
      </c>
      <c r="F302" s="21">
        <f t="shared" ca="1" si="19"/>
        <v>0</v>
      </c>
      <c r="H302" s="21">
        <v>287</v>
      </c>
      <c r="I302" s="102">
        <v>0.66773209396011091</v>
      </c>
      <c r="J302" s="103">
        <v>1.2994270293596184E-3</v>
      </c>
      <c r="K302" s="103"/>
      <c r="L302" s="103">
        <v>4.1200000000000001E-2</v>
      </c>
      <c r="O302" s="100"/>
    </row>
    <row r="303" spans="2:15" x14ac:dyDescent="0.2">
      <c r="B303" s="1">
        <v>288</v>
      </c>
      <c r="C303" s="101">
        <f t="shared" ca="1" si="16"/>
        <v>0.46845646910291044</v>
      </c>
      <c r="D303" s="101">
        <f t="shared" ca="1" si="17"/>
        <v>0.69592876311971419</v>
      </c>
      <c r="E303" s="101">
        <f t="shared" ca="1" si="18"/>
        <v>0</v>
      </c>
      <c r="F303" s="21">
        <f t="shared" ca="1" si="19"/>
        <v>0</v>
      </c>
      <c r="H303" s="21">
        <v>288</v>
      </c>
      <c r="I303" s="102">
        <v>0.66768235896529771</v>
      </c>
      <c r="J303" s="103">
        <v>1.3893331652610687E-3</v>
      </c>
      <c r="K303" s="103"/>
      <c r="L303" s="103">
        <v>4.1599999999999998E-2</v>
      </c>
      <c r="O303" s="100"/>
    </row>
    <row r="304" spans="2:15" x14ac:dyDescent="0.2">
      <c r="B304" s="1">
        <v>289</v>
      </c>
      <c r="C304" s="101">
        <f t="shared" ca="1" si="16"/>
        <v>-0.4372505445743749</v>
      </c>
      <c r="D304" s="101">
        <f t="shared" ca="1" si="17"/>
        <v>0.63645082888456139</v>
      </c>
      <c r="E304" s="101">
        <f t="shared" ca="1" si="18"/>
        <v>0</v>
      </c>
      <c r="F304" s="21">
        <f t="shared" ca="1" si="19"/>
        <v>0</v>
      </c>
      <c r="H304" s="21">
        <v>289</v>
      </c>
      <c r="I304" s="102">
        <v>0.6677357525739096</v>
      </c>
      <c r="J304" s="103">
        <v>1.362455244191639E-3</v>
      </c>
      <c r="K304" s="103"/>
      <c r="L304" s="103">
        <v>4.2799999999999998E-2</v>
      </c>
      <c r="O304" s="100"/>
    </row>
    <row r="305" spans="2:15" x14ac:dyDescent="0.2">
      <c r="B305" s="1">
        <v>290</v>
      </c>
      <c r="C305" s="101">
        <f t="shared" ca="1" si="16"/>
        <v>-0.75716379320451965</v>
      </c>
      <c r="D305" s="101">
        <f t="shared" ca="1" si="17"/>
        <v>0.61668015102774687</v>
      </c>
      <c r="E305" s="101">
        <f t="shared" ca="1" si="18"/>
        <v>0</v>
      </c>
      <c r="F305" s="21">
        <f t="shared" ca="1" si="19"/>
        <v>0</v>
      </c>
      <c r="H305" s="21">
        <v>290</v>
      </c>
      <c r="I305" s="102">
        <v>0.66766652226460932</v>
      </c>
      <c r="J305" s="103">
        <v>1.3372906358123584E-3</v>
      </c>
      <c r="K305" s="103"/>
      <c r="L305" s="103">
        <v>4.0399999999999998E-2</v>
      </c>
      <c r="O305" s="100"/>
    </row>
    <row r="306" spans="2:15" x14ac:dyDescent="0.2">
      <c r="B306" s="1">
        <v>291</v>
      </c>
      <c r="C306" s="101">
        <f t="shared" ca="1" si="16"/>
        <v>-0.25944809643491357</v>
      </c>
      <c r="D306" s="101">
        <f t="shared" ca="1" si="17"/>
        <v>0.64771179193392792</v>
      </c>
      <c r="E306" s="101">
        <f t="shared" ca="1" si="18"/>
        <v>0</v>
      </c>
      <c r="F306" s="21">
        <f t="shared" ca="1" si="19"/>
        <v>0</v>
      </c>
      <c r="H306" s="21">
        <v>291</v>
      </c>
      <c r="I306" s="102">
        <v>0.66769074507884141</v>
      </c>
      <c r="J306" s="103">
        <v>1.3839140137169477E-3</v>
      </c>
      <c r="K306" s="103"/>
      <c r="L306" s="103">
        <v>0.04</v>
      </c>
      <c r="O306" s="100"/>
    </row>
    <row r="307" spans="2:15" x14ac:dyDescent="0.2">
      <c r="B307" s="1">
        <v>292</v>
      </c>
      <c r="C307" s="101">
        <f t="shared" ca="1" si="16"/>
        <v>-0.3377819186017279</v>
      </c>
      <c r="D307" s="101">
        <f t="shared" ca="1" si="17"/>
        <v>0.64272624032657499</v>
      </c>
      <c r="E307" s="101">
        <f t="shared" ca="1" si="18"/>
        <v>0</v>
      </c>
      <c r="F307" s="21">
        <f t="shared" ca="1" si="19"/>
        <v>0</v>
      </c>
      <c r="H307" s="21">
        <v>292</v>
      </c>
      <c r="I307" s="102">
        <v>0.66768944559034471</v>
      </c>
      <c r="J307" s="103">
        <v>1.3349898833163985E-3</v>
      </c>
      <c r="K307" s="103"/>
      <c r="L307" s="103">
        <v>4.1399999999999999E-2</v>
      </c>
      <c r="O307" s="100"/>
    </row>
    <row r="308" spans="2:15" x14ac:dyDescent="0.2">
      <c r="B308" s="1">
        <v>293</v>
      </c>
      <c r="C308" s="101">
        <f t="shared" ca="1" si="16"/>
        <v>-0.2040482433281727</v>
      </c>
      <c r="D308" s="101">
        <f t="shared" ca="1" si="17"/>
        <v>0.65126104123683615</v>
      </c>
      <c r="E308" s="101">
        <f t="shared" ca="1" si="18"/>
        <v>0</v>
      </c>
      <c r="F308" s="21">
        <f t="shared" ca="1" si="19"/>
        <v>0</v>
      </c>
      <c r="H308" s="21">
        <v>293</v>
      </c>
      <c r="I308" s="102">
        <v>0.66772171034172556</v>
      </c>
      <c r="J308" s="103">
        <v>1.4127513434317701E-3</v>
      </c>
      <c r="K308" s="103"/>
      <c r="L308" s="103">
        <v>4.3200000000000002E-2</v>
      </c>
      <c r="O308" s="100"/>
    </row>
    <row r="309" spans="2:15" x14ac:dyDescent="0.2">
      <c r="B309" s="1">
        <v>294</v>
      </c>
      <c r="C309" s="101">
        <f t="shared" ca="1" si="16"/>
        <v>-0.70810444847963594</v>
      </c>
      <c r="D309" s="101">
        <f t="shared" ca="1" si="17"/>
        <v>0.61967167077295426</v>
      </c>
      <c r="E309" s="101">
        <f t="shared" ca="1" si="18"/>
        <v>0</v>
      </c>
      <c r="F309" s="21">
        <f t="shared" ca="1" si="19"/>
        <v>0</v>
      </c>
      <c r="H309" s="21">
        <v>294</v>
      </c>
      <c r="I309" s="102">
        <v>0.66773089287682486</v>
      </c>
      <c r="J309" s="103">
        <v>1.2665951847639621E-3</v>
      </c>
      <c r="K309" s="103"/>
      <c r="L309" s="103">
        <v>3.9399999999999998E-2</v>
      </c>
      <c r="O309" s="100"/>
    </row>
    <row r="310" spans="2:15" x14ac:dyDescent="0.2">
      <c r="B310" s="1">
        <v>295</v>
      </c>
      <c r="C310" s="101">
        <f t="shared" ca="1" si="16"/>
        <v>0.9102860697477031</v>
      </c>
      <c r="D310" s="101">
        <f t="shared" ca="1" si="17"/>
        <v>0.72692983574041492</v>
      </c>
      <c r="E310" s="101">
        <f t="shared" ca="1" si="18"/>
        <v>0</v>
      </c>
      <c r="F310" s="21">
        <f t="shared" ca="1" si="19"/>
        <v>0</v>
      </c>
      <c r="H310" s="21">
        <v>295</v>
      </c>
      <c r="I310" s="102">
        <v>0.66767042009583688</v>
      </c>
      <c r="J310" s="103">
        <v>1.2774003065289868E-3</v>
      </c>
      <c r="K310" s="103"/>
      <c r="L310" s="103">
        <v>4.1799999999999997E-2</v>
      </c>
      <c r="O310" s="100"/>
    </row>
    <row r="311" spans="2:15" x14ac:dyDescent="0.2">
      <c r="B311" s="1">
        <v>296</v>
      </c>
      <c r="C311" s="101">
        <f t="shared" ca="1" si="16"/>
        <v>1.1208677775636369</v>
      </c>
      <c r="D311" s="101">
        <f t="shared" ca="1" si="17"/>
        <v>0.74218758387090467</v>
      </c>
      <c r="E311" s="101">
        <f t="shared" ca="1" si="18"/>
        <v>0</v>
      </c>
      <c r="F311" s="21">
        <f t="shared" ca="1" si="19"/>
        <v>0</v>
      </c>
      <c r="H311" s="21">
        <v>296</v>
      </c>
      <c r="I311" s="102">
        <v>0.66771784744603402</v>
      </c>
      <c r="J311" s="103">
        <v>1.2507226341918931E-3</v>
      </c>
      <c r="K311" s="103"/>
      <c r="L311" s="103">
        <v>3.9E-2</v>
      </c>
      <c r="O311" s="100"/>
    </row>
    <row r="312" spans="2:15" x14ac:dyDescent="0.2">
      <c r="B312" s="1">
        <v>297</v>
      </c>
      <c r="C312" s="101">
        <f t="shared" ca="1" si="16"/>
        <v>-0.67395045093209405</v>
      </c>
      <c r="D312" s="101">
        <f t="shared" ca="1" si="17"/>
        <v>0.62176286253416113</v>
      </c>
      <c r="E312" s="101">
        <f t="shared" ca="1" si="18"/>
        <v>0</v>
      </c>
      <c r="F312" s="21">
        <f t="shared" ca="1" si="19"/>
        <v>0</v>
      </c>
      <c r="H312" s="21">
        <v>297</v>
      </c>
      <c r="I312" s="102">
        <v>0.6677403029086505</v>
      </c>
      <c r="J312" s="103">
        <v>1.3102660135305667E-3</v>
      </c>
      <c r="K312" s="103"/>
      <c r="L312" s="103">
        <v>4.2000000000000003E-2</v>
      </c>
      <c r="O312" s="100"/>
    </row>
    <row r="313" spans="2:15" x14ac:dyDescent="0.2">
      <c r="B313" s="1">
        <v>298</v>
      </c>
      <c r="C313" s="101">
        <f t="shared" ca="1" si="16"/>
        <v>0.6379139084291966</v>
      </c>
      <c r="D313" s="101">
        <f t="shared" ca="1" si="17"/>
        <v>0.7076593329409806</v>
      </c>
      <c r="E313" s="101">
        <f t="shared" ca="1" si="18"/>
        <v>0</v>
      </c>
      <c r="F313" s="21">
        <f t="shared" ca="1" si="19"/>
        <v>0</v>
      </c>
      <c r="H313" s="21">
        <v>298</v>
      </c>
      <c r="I313" s="102">
        <v>0.66772297030535732</v>
      </c>
      <c r="J313" s="103">
        <v>1.2486073254293834E-3</v>
      </c>
      <c r="K313" s="103"/>
      <c r="L313" s="103">
        <v>0.04</v>
      </c>
      <c r="O313" s="100"/>
    </row>
    <row r="314" spans="2:15" x14ac:dyDescent="0.2">
      <c r="B314" s="1">
        <v>299</v>
      </c>
      <c r="C314" s="101">
        <f t="shared" ca="1" si="16"/>
        <v>1.9931713678510197</v>
      </c>
      <c r="D314" s="101">
        <f t="shared" ca="1" si="17"/>
        <v>0.80887727205801419</v>
      </c>
      <c r="E314" s="101">
        <f t="shared" ca="1" si="18"/>
        <v>2.0677272058014173E-2</v>
      </c>
      <c r="F314" s="21">
        <f t="shared" ca="1" si="19"/>
        <v>1</v>
      </c>
      <c r="H314" s="21">
        <v>299</v>
      </c>
      <c r="I314" s="102">
        <v>0.66788885600168246</v>
      </c>
      <c r="J314" s="103">
        <v>1.5644466853387568E-3</v>
      </c>
      <c r="K314" s="103"/>
      <c r="L314" s="103">
        <v>4.7399999999999998E-2</v>
      </c>
      <c r="O314" s="100"/>
    </row>
    <row r="315" spans="2:15" x14ac:dyDescent="0.2">
      <c r="B315" s="1">
        <v>300</v>
      </c>
      <c r="C315" s="101">
        <f t="shared" ca="1" si="16"/>
        <v>1.4294343207682509</v>
      </c>
      <c r="D315" s="101">
        <f t="shared" ca="1" si="17"/>
        <v>0.76512516328200153</v>
      </c>
      <c r="E315" s="101">
        <f t="shared" ca="1" si="18"/>
        <v>0</v>
      </c>
      <c r="F315" s="21">
        <f t="shared" ca="1" si="19"/>
        <v>0</v>
      </c>
      <c r="H315" s="21">
        <v>300</v>
      </c>
      <c r="I315" s="102">
        <v>0.66777312917263765</v>
      </c>
      <c r="J315" s="103">
        <v>1.4978194575933871E-3</v>
      </c>
      <c r="K315" s="103"/>
      <c r="L315" s="103">
        <v>4.24E-2</v>
      </c>
      <c r="O315" s="100"/>
    </row>
    <row r="316" spans="2:15" x14ac:dyDescent="0.2">
      <c r="B316" s="1">
        <v>301</v>
      </c>
      <c r="C316" s="101">
        <f t="shared" ca="1" si="16"/>
        <v>0.34286308279399402</v>
      </c>
      <c r="D316" s="101">
        <f t="shared" ca="1" si="17"/>
        <v>0.68736029740922344</v>
      </c>
      <c r="E316" s="101">
        <f t="shared" ca="1" si="18"/>
        <v>0</v>
      </c>
      <c r="F316" s="21">
        <f t="shared" ca="1" si="19"/>
        <v>0</v>
      </c>
      <c r="H316" s="21">
        <v>301</v>
      </c>
      <c r="I316" s="102">
        <v>0.66777203627137294</v>
      </c>
      <c r="J316" s="103">
        <v>1.440124564002465E-3</v>
      </c>
      <c r="K316" s="103"/>
      <c r="L316" s="103">
        <v>4.2000000000000003E-2</v>
      </c>
      <c r="O316" s="100"/>
    </row>
    <row r="317" spans="2:15" x14ac:dyDescent="0.2">
      <c r="B317" s="1">
        <v>302</v>
      </c>
      <c r="C317" s="101">
        <f t="shared" ca="1" si="16"/>
        <v>0.50398030219186984</v>
      </c>
      <c r="D317" s="101">
        <f t="shared" ca="1" si="17"/>
        <v>0.69837165721476346</v>
      </c>
      <c r="E317" s="101">
        <f t="shared" ca="1" si="18"/>
        <v>0</v>
      </c>
      <c r="F317" s="21">
        <f t="shared" ca="1" si="19"/>
        <v>0</v>
      </c>
      <c r="H317" s="21">
        <v>302</v>
      </c>
      <c r="I317" s="102">
        <v>0.66777201295786792</v>
      </c>
      <c r="J317" s="103">
        <v>1.483477630201728E-3</v>
      </c>
      <c r="K317" s="103"/>
      <c r="L317" s="103">
        <v>4.4400000000000002E-2</v>
      </c>
      <c r="O317" s="100"/>
    </row>
    <row r="318" spans="2:15" x14ac:dyDescent="0.2">
      <c r="B318" s="1">
        <v>303</v>
      </c>
      <c r="C318" s="101">
        <f t="shared" ca="1" si="16"/>
        <v>-0.29421742391517303</v>
      </c>
      <c r="D318" s="101">
        <f t="shared" ca="1" si="17"/>
        <v>0.64549414471886568</v>
      </c>
      <c r="E318" s="101">
        <f t="shared" ca="1" si="18"/>
        <v>0</v>
      </c>
      <c r="F318" s="21">
        <f t="shared" ca="1" si="19"/>
        <v>0</v>
      </c>
      <c r="H318" s="21">
        <v>303</v>
      </c>
      <c r="I318" s="102">
        <v>0.6676854810426528</v>
      </c>
      <c r="J318" s="103">
        <v>1.2735176999748654E-3</v>
      </c>
      <c r="K318" s="103"/>
      <c r="L318" s="103">
        <v>4.1000000000000002E-2</v>
      </c>
      <c r="O318" s="100"/>
    </row>
    <row r="319" spans="2:15" x14ac:dyDescent="0.2">
      <c r="B319" s="1">
        <v>304</v>
      </c>
      <c r="C319" s="101">
        <f t="shared" ca="1" si="16"/>
        <v>2.6045255369551705E-2</v>
      </c>
      <c r="D319" s="101">
        <f t="shared" ca="1" si="17"/>
        <v>0.66621155789782605</v>
      </c>
      <c r="E319" s="101">
        <f t="shared" ca="1" si="18"/>
        <v>0</v>
      </c>
      <c r="F319" s="21">
        <f t="shared" ca="1" si="19"/>
        <v>0</v>
      </c>
      <c r="H319" s="21">
        <v>304</v>
      </c>
      <c r="I319" s="102">
        <v>0.66769612689416469</v>
      </c>
      <c r="J319" s="103">
        <v>1.2522803270167402E-3</v>
      </c>
      <c r="K319" s="103"/>
      <c r="L319" s="103">
        <v>3.8399999999999997E-2</v>
      </c>
      <c r="O319" s="100"/>
    </row>
    <row r="320" spans="2:15" x14ac:dyDescent="0.2">
      <c r="B320" s="1">
        <v>305</v>
      </c>
      <c r="C320" s="101">
        <f t="shared" ca="1" si="16"/>
        <v>0.33517667586292893</v>
      </c>
      <c r="D320" s="101">
        <f t="shared" ca="1" si="17"/>
        <v>0.68683934015861015</v>
      </c>
      <c r="E320" s="101">
        <f t="shared" ca="1" si="18"/>
        <v>0</v>
      </c>
      <c r="F320" s="21">
        <f t="shared" ca="1" si="19"/>
        <v>0</v>
      </c>
      <c r="H320" s="21">
        <v>305</v>
      </c>
      <c r="I320" s="102">
        <v>0.66762986568763882</v>
      </c>
      <c r="J320" s="103">
        <v>1.2202706267805796E-3</v>
      </c>
      <c r="K320" s="103"/>
      <c r="L320" s="103">
        <v>4.0599999999999997E-2</v>
      </c>
      <c r="O320" s="100"/>
    </row>
    <row r="321" spans="2:15" x14ac:dyDescent="0.2">
      <c r="B321" s="1">
        <v>306</v>
      </c>
      <c r="C321" s="101">
        <f t="shared" ca="1" si="16"/>
        <v>-0.16716337160501923</v>
      </c>
      <c r="D321" s="101">
        <f t="shared" ca="1" si="17"/>
        <v>0.6536348874455058</v>
      </c>
      <c r="E321" s="101">
        <f t="shared" ca="1" si="18"/>
        <v>0</v>
      </c>
      <c r="F321" s="21">
        <f t="shared" ca="1" si="19"/>
        <v>0</v>
      </c>
      <c r="H321" s="21">
        <v>306</v>
      </c>
      <c r="I321" s="102">
        <v>0.66767284005667937</v>
      </c>
      <c r="J321" s="103">
        <v>1.3051160259774611E-3</v>
      </c>
      <c r="K321" s="103"/>
      <c r="L321" s="103">
        <v>4.0800000000000003E-2</v>
      </c>
      <c r="O321" s="100"/>
    </row>
    <row r="322" spans="2:15" x14ac:dyDescent="0.2">
      <c r="B322" s="1">
        <v>307</v>
      </c>
      <c r="C322" s="101">
        <f t="shared" ca="1" si="16"/>
        <v>-0.85404195379435455</v>
      </c>
      <c r="D322" s="101">
        <f t="shared" ca="1" si="17"/>
        <v>0.61081510658636262</v>
      </c>
      <c r="E322" s="101">
        <f t="shared" ca="1" si="18"/>
        <v>0</v>
      </c>
      <c r="F322" s="21">
        <f t="shared" ca="1" si="19"/>
        <v>0</v>
      </c>
      <c r="H322" s="21">
        <v>307</v>
      </c>
      <c r="I322" s="102">
        <v>0.6677715615396026</v>
      </c>
      <c r="J322" s="103">
        <v>1.4210155882103451E-3</v>
      </c>
      <c r="K322" s="103"/>
      <c r="L322" s="103">
        <v>4.3400000000000001E-2</v>
      </c>
      <c r="O322" s="100"/>
    </row>
    <row r="323" spans="2:15" x14ac:dyDescent="0.2">
      <c r="B323" s="1">
        <v>308</v>
      </c>
      <c r="C323" s="101">
        <f t="shared" ca="1" si="16"/>
        <v>-0.14037266990583999</v>
      </c>
      <c r="D323" s="101">
        <f t="shared" ca="1" si="17"/>
        <v>0.65536451338067803</v>
      </c>
      <c r="E323" s="101">
        <f t="shared" ca="1" si="18"/>
        <v>0</v>
      </c>
      <c r="F323" s="21">
        <f t="shared" ca="1" si="19"/>
        <v>0</v>
      </c>
      <c r="H323" s="21">
        <v>308</v>
      </c>
      <c r="I323" s="102">
        <v>0.66775801795912604</v>
      </c>
      <c r="J323" s="103">
        <v>1.379462696292251E-3</v>
      </c>
      <c r="K323" s="103"/>
      <c r="L323" s="103">
        <v>4.3400000000000001E-2</v>
      </c>
      <c r="O323" s="100"/>
    </row>
    <row r="324" spans="2:15" x14ac:dyDescent="0.2">
      <c r="B324" s="1">
        <v>309</v>
      </c>
      <c r="C324" s="101">
        <f t="shared" ca="1" si="16"/>
        <v>2.6173186129614594</v>
      </c>
      <c r="D324" s="101">
        <f t="shared" ca="1" si="17"/>
        <v>0.86024214538394517</v>
      </c>
      <c r="E324" s="101">
        <f t="shared" ca="1" si="18"/>
        <v>7.2042145383945155E-2</v>
      </c>
      <c r="F324" s="21">
        <f t="shared" ca="1" si="19"/>
        <v>1</v>
      </c>
      <c r="H324" s="21">
        <v>309</v>
      </c>
      <c r="I324" s="102">
        <v>0.66770592900800874</v>
      </c>
      <c r="J324" s="103">
        <v>1.3791885507457649E-3</v>
      </c>
      <c r="K324" s="103"/>
      <c r="L324" s="103">
        <v>4.36E-2</v>
      </c>
      <c r="O324" s="100"/>
    </row>
    <row r="325" spans="2:15" x14ac:dyDescent="0.2">
      <c r="B325" s="1">
        <v>310</v>
      </c>
      <c r="C325" s="101">
        <f t="shared" ca="1" si="16"/>
        <v>-1.35478130154013</v>
      </c>
      <c r="D325" s="101">
        <f t="shared" ca="1" si="17"/>
        <v>0.58137774690399668</v>
      </c>
      <c r="E325" s="101">
        <f t="shared" ca="1" si="18"/>
        <v>0</v>
      </c>
      <c r="F325" s="21">
        <f t="shared" ca="1" si="19"/>
        <v>0</v>
      </c>
      <c r="H325" s="21">
        <v>310</v>
      </c>
      <c r="I325" s="102">
        <v>0.66757081528414031</v>
      </c>
      <c r="J325" s="103">
        <v>1.0900102018530226E-3</v>
      </c>
      <c r="K325" s="103"/>
      <c r="L325" s="103">
        <v>3.6999999999999998E-2</v>
      </c>
      <c r="O325" s="100"/>
    </row>
    <row r="326" spans="2:15" x14ac:dyDescent="0.2">
      <c r="B326" s="1">
        <v>311</v>
      </c>
      <c r="C326" s="101">
        <f t="shared" ca="1" si="16"/>
        <v>-0.56313455227292908</v>
      </c>
      <c r="D326" s="101">
        <f t="shared" ca="1" si="17"/>
        <v>0.62859665139141485</v>
      </c>
      <c r="E326" s="101">
        <f t="shared" ca="1" si="18"/>
        <v>0</v>
      </c>
      <c r="F326" s="21">
        <f t="shared" ca="1" si="19"/>
        <v>0</v>
      </c>
      <c r="H326" s="21">
        <v>311</v>
      </c>
      <c r="I326" s="102">
        <v>0.66777951414884762</v>
      </c>
      <c r="J326" s="103">
        <v>1.4603984381674393E-3</v>
      </c>
      <c r="K326" s="103"/>
      <c r="L326" s="103">
        <v>4.3999999999999997E-2</v>
      </c>
      <c r="O326" s="100"/>
    </row>
    <row r="327" spans="2:15" x14ac:dyDescent="0.2">
      <c r="B327" s="1">
        <v>312</v>
      </c>
      <c r="C327" s="101">
        <f t="shared" ca="1" si="16"/>
        <v>-0.49483433108692665</v>
      </c>
      <c r="D327" s="101">
        <f t="shared" ca="1" si="17"/>
        <v>0.63284594622208412</v>
      </c>
      <c r="E327" s="101">
        <f t="shared" ca="1" si="18"/>
        <v>0</v>
      </c>
      <c r="F327" s="21">
        <f t="shared" ca="1" si="19"/>
        <v>0</v>
      </c>
      <c r="H327" s="21">
        <v>312</v>
      </c>
      <c r="I327" s="102">
        <v>0.66779653900544433</v>
      </c>
      <c r="J327" s="103">
        <v>1.428354955983052E-3</v>
      </c>
      <c r="K327" s="103"/>
      <c r="L327" s="103">
        <v>4.0800000000000003E-2</v>
      </c>
      <c r="O327" s="100"/>
    </row>
    <row r="328" spans="2:15" x14ac:dyDescent="0.2">
      <c r="B328" s="1">
        <v>313</v>
      </c>
      <c r="C328" s="101">
        <f t="shared" ca="1" si="16"/>
        <v>0.77150460449310032</v>
      </c>
      <c r="D328" s="101">
        <f t="shared" ca="1" si="17"/>
        <v>0.71704627129754372</v>
      </c>
      <c r="E328" s="101">
        <f t="shared" ca="1" si="18"/>
        <v>0</v>
      </c>
      <c r="F328" s="21">
        <f t="shared" ca="1" si="19"/>
        <v>0</v>
      </c>
      <c r="H328" s="21">
        <v>313</v>
      </c>
      <c r="I328" s="102">
        <v>0.66778804596553942</v>
      </c>
      <c r="J328" s="103">
        <v>1.3853808874192944E-3</v>
      </c>
      <c r="K328" s="103"/>
      <c r="L328" s="103">
        <v>4.48E-2</v>
      </c>
      <c r="O328" s="100"/>
    </row>
    <row r="329" spans="2:15" x14ac:dyDescent="0.2">
      <c r="B329" s="1">
        <v>314</v>
      </c>
      <c r="C329" s="101">
        <f t="shared" ca="1" si="16"/>
        <v>0.32555788641041411</v>
      </c>
      <c r="D329" s="101">
        <f t="shared" ca="1" si="17"/>
        <v>0.68618796908806945</v>
      </c>
      <c r="E329" s="101">
        <f t="shared" ca="1" si="18"/>
        <v>0</v>
      </c>
      <c r="F329" s="21">
        <f t="shared" ca="1" si="19"/>
        <v>0</v>
      </c>
      <c r="H329" s="21">
        <v>314</v>
      </c>
      <c r="I329" s="102">
        <v>0.66772506982414292</v>
      </c>
      <c r="J329" s="103">
        <v>1.3497747913166587E-3</v>
      </c>
      <c r="K329" s="103"/>
      <c r="L329" s="103">
        <v>4.0399999999999998E-2</v>
      </c>
      <c r="O329" s="100"/>
    </row>
    <row r="330" spans="2:15" x14ac:dyDescent="0.2">
      <c r="B330" s="1">
        <v>315</v>
      </c>
      <c r="C330" s="101">
        <f t="shared" ca="1" si="16"/>
        <v>-4.1013156813628777E-2</v>
      </c>
      <c r="D330" s="101">
        <f t="shared" ca="1" si="17"/>
        <v>0.66181929071283552</v>
      </c>
      <c r="E330" s="101">
        <f t="shared" ca="1" si="18"/>
        <v>0</v>
      </c>
      <c r="F330" s="21">
        <f t="shared" ca="1" si="19"/>
        <v>0</v>
      </c>
      <c r="H330" s="21">
        <v>315</v>
      </c>
      <c r="I330" s="102">
        <v>0.66766064147775483</v>
      </c>
      <c r="J330" s="103">
        <v>1.2915349994910769E-3</v>
      </c>
      <c r="K330" s="103"/>
      <c r="L330" s="103">
        <v>4.1799999999999997E-2</v>
      </c>
      <c r="O330" s="100"/>
    </row>
    <row r="331" spans="2:15" x14ac:dyDescent="0.2">
      <c r="B331" s="1">
        <v>316</v>
      </c>
      <c r="C331" s="101">
        <f t="shared" ca="1" si="16"/>
        <v>2.1244200446238355</v>
      </c>
      <c r="D331" s="101">
        <f t="shared" ca="1" si="17"/>
        <v>0.81941751949501773</v>
      </c>
      <c r="E331" s="101">
        <f t="shared" ca="1" si="18"/>
        <v>3.121751949501772E-2</v>
      </c>
      <c r="F331" s="21">
        <f t="shared" ca="1" si="19"/>
        <v>1</v>
      </c>
      <c r="H331" s="21">
        <v>316</v>
      </c>
      <c r="I331" s="102">
        <v>0.66777113825579826</v>
      </c>
      <c r="J331" s="103">
        <v>1.5521707493889362E-3</v>
      </c>
      <c r="K331" s="103"/>
      <c r="L331" s="103">
        <v>4.36E-2</v>
      </c>
      <c r="O331" s="100"/>
    </row>
    <row r="332" spans="2:15" x14ac:dyDescent="0.2">
      <c r="B332" s="1">
        <v>317</v>
      </c>
      <c r="C332" s="101">
        <f t="shared" ca="1" si="16"/>
        <v>-0.42523581144806283</v>
      </c>
      <c r="D332" s="101">
        <f t="shared" ca="1" si="17"/>
        <v>0.6372055652272417</v>
      </c>
      <c r="E332" s="101">
        <f t="shared" ca="1" si="18"/>
        <v>0</v>
      </c>
      <c r="F332" s="21">
        <f t="shared" ca="1" si="19"/>
        <v>0</v>
      </c>
      <c r="H332" s="21">
        <v>317</v>
      </c>
      <c r="I332" s="102">
        <v>0.66780527760406461</v>
      </c>
      <c r="J332" s="103">
        <v>1.394440472223029E-3</v>
      </c>
      <c r="K332" s="103"/>
      <c r="L332" s="103">
        <v>4.4400000000000002E-2</v>
      </c>
      <c r="O332" s="100"/>
    </row>
    <row r="333" spans="2:15" x14ac:dyDescent="0.2">
      <c r="B333" s="1">
        <v>318</v>
      </c>
      <c r="C333" s="101">
        <f t="shared" ca="1" si="16"/>
        <v>0.27554162418031097</v>
      </c>
      <c r="D333" s="101">
        <f t="shared" ca="1" si="17"/>
        <v>0.68281088137403545</v>
      </c>
      <c r="E333" s="101">
        <f t="shared" ca="1" si="18"/>
        <v>0</v>
      </c>
      <c r="F333" s="21">
        <f t="shared" ca="1" si="19"/>
        <v>0</v>
      </c>
      <c r="H333" s="21">
        <v>318</v>
      </c>
      <c r="I333" s="102">
        <v>0.66760722730209376</v>
      </c>
      <c r="J333" s="103">
        <v>1.1944613046498786E-3</v>
      </c>
      <c r="K333" s="103"/>
      <c r="L333" s="103">
        <v>3.78E-2</v>
      </c>
      <c r="O333" s="100"/>
    </row>
    <row r="334" spans="2:15" x14ac:dyDescent="0.2">
      <c r="B334" s="1">
        <v>319</v>
      </c>
      <c r="C334" s="101">
        <f t="shared" ca="1" si="16"/>
        <v>-0.95050124156668525</v>
      </c>
      <c r="D334" s="101">
        <f t="shared" ca="1" si="17"/>
        <v>0.60503084092673143</v>
      </c>
      <c r="E334" s="101">
        <f t="shared" ca="1" si="18"/>
        <v>0</v>
      </c>
      <c r="F334" s="21">
        <f t="shared" ca="1" si="19"/>
        <v>0</v>
      </c>
      <c r="H334" s="21">
        <v>319</v>
      </c>
      <c r="I334" s="102">
        <v>0.66759469555289797</v>
      </c>
      <c r="J334" s="103">
        <v>1.2357598744851118E-3</v>
      </c>
      <c r="K334" s="103"/>
      <c r="L334" s="103">
        <v>3.8399999999999997E-2</v>
      </c>
      <c r="O334" s="100"/>
    </row>
    <row r="335" spans="2:15" x14ac:dyDescent="0.2">
      <c r="B335" s="1">
        <v>320</v>
      </c>
      <c r="C335" s="101">
        <f t="shared" ca="1" si="16"/>
        <v>-1.7753916806656669</v>
      </c>
      <c r="D335" s="101">
        <f t="shared" ca="1" si="17"/>
        <v>0.55775017492867984</v>
      </c>
      <c r="E335" s="101">
        <f t="shared" ca="1" si="18"/>
        <v>0</v>
      </c>
      <c r="F335" s="21">
        <f t="shared" ca="1" si="19"/>
        <v>0</v>
      </c>
      <c r="H335" s="21">
        <v>320</v>
      </c>
      <c r="I335" s="102">
        <v>0.66770143620365274</v>
      </c>
      <c r="J335" s="103">
        <v>1.3732300762008122E-3</v>
      </c>
      <c r="K335" s="103"/>
      <c r="L335" s="103">
        <v>3.9399999999999998E-2</v>
      </c>
      <c r="O335" s="100"/>
    </row>
    <row r="336" spans="2:15" x14ac:dyDescent="0.2">
      <c r="B336" s="1">
        <v>321</v>
      </c>
      <c r="C336" s="101">
        <f t="shared" ref="C336:C399" ca="1" si="20">_xlfn.NORM.S.INV(RAND())</f>
        <v>-0.97781427496084716</v>
      </c>
      <c r="D336" s="101">
        <f t="shared" ref="D336:D399" ca="1" si="21">S0*EXP((μ-0.5*σ*σ)*T+σ*SQRT(T)*$C336)</f>
        <v>0.60340296446339881</v>
      </c>
      <c r="E336" s="101">
        <f t="shared" ref="E336:E399" ca="1" si="22">MAX(0,CP*(D336-K))</f>
        <v>0</v>
      </c>
      <c r="F336" s="21">
        <f t="shared" ref="F336:F399" ca="1" si="23">(CP*(D336-K)&gt;0)*1</f>
        <v>0</v>
      </c>
      <c r="H336" s="21">
        <v>321</v>
      </c>
      <c r="I336" s="102">
        <v>0.66774861195614577</v>
      </c>
      <c r="J336" s="103">
        <v>1.3977117688639493E-3</v>
      </c>
      <c r="K336" s="103"/>
      <c r="L336" s="103">
        <v>4.1399999999999999E-2</v>
      </c>
      <c r="O336" s="100"/>
    </row>
    <row r="337" spans="2:15" x14ac:dyDescent="0.2">
      <c r="B337" s="1">
        <v>322</v>
      </c>
      <c r="C337" s="101">
        <f t="shared" ca="1" si="20"/>
        <v>1.1613331178640702</v>
      </c>
      <c r="D337" s="101">
        <f t="shared" ca="1" si="21"/>
        <v>0.74515598662477911</v>
      </c>
      <c r="E337" s="101">
        <f t="shared" ca="1" si="22"/>
        <v>0</v>
      </c>
      <c r="F337" s="21">
        <f t="shared" ca="1" si="23"/>
        <v>0</v>
      </c>
      <c r="H337" s="21">
        <v>322</v>
      </c>
      <c r="I337" s="102">
        <v>0.66760908726267465</v>
      </c>
      <c r="J337" s="103">
        <v>1.1717485860670597E-3</v>
      </c>
      <c r="K337" s="103"/>
      <c r="L337" s="103">
        <v>4.0399999999999998E-2</v>
      </c>
      <c r="O337" s="100"/>
    </row>
    <row r="338" spans="2:15" x14ac:dyDescent="0.2">
      <c r="B338" s="1">
        <v>323</v>
      </c>
      <c r="C338" s="101">
        <f t="shared" ca="1" si="20"/>
        <v>0.94078380244878834</v>
      </c>
      <c r="D338" s="101">
        <f t="shared" ca="1" si="21"/>
        <v>0.72911997819778873</v>
      </c>
      <c r="E338" s="101">
        <f t="shared" ca="1" si="22"/>
        <v>0</v>
      </c>
      <c r="F338" s="21">
        <f t="shared" ca="1" si="23"/>
        <v>0</v>
      </c>
      <c r="H338" s="21">
        <v>323</v>
      </c>
      <c r="I338" s="102">
        <v>0.66764306403167883</v>
      </c>
      <c r="J338" s="103">
        <v>1.0756945991829906E-3</v>
      </c>
      <c r="K338" s="103"/>
      <c r="L338" s="103">
        <v>3.7400000000000003E-2</v>
      </c>
      <c r="O338" s="100"/>
    </row>
    <row r="339" spans="2:15" x14ac:dyDescent="0.2">
      <c r="B339" s="1">
        <v>324</v>
      </c>
      <c r="C339" s="101">
        <f t="shared" ca="1" si="20"/>
        <v>-2.2568884033625545</v>
      </c>
      <c r="D339" s="101">
        <f t="shared" ca="1" si="21"/>
        <v>0.53187881490776445</v>
      </c>
      <c r="E339" s="101">
        <f t="shared" ca="1" si="22"/>
        <v>0</v>
      </c>
      <c r="F339" s="21">
        <f t="shared" ca="1" si="23"/>
        <v>0</v>
      </c>
      <c r="H339" s="21">
        <v>324</v>
      </c>
      <c r="I339" s="102">
        <v>0.6675864439871706</v>
      </c>
      <c r="J339" s="103">
        <v>1.0997291194851358E-3</v>
      </c>
      <c r="K339" s="103"/>
      <c r="L339" s="103">
        <v>3.6799999999999999E-2</v>
      </c>
      <c r="O339" s="100"/>
    </row>
    <row r="340" spans="2:15" x14ac:dyDescent="0.2">
      <c r="B340" s="1">
        <v>325</v>
      </c>
      <c r="C340" s="101">
        <f t="shared" ca="1" si="20"/>
        <v>1.4647936971081961</v>
      </c>
      <c r="D340" s="101">
        <f t="shared" ca="1" si="21"/>
        <v>0.76779849954413859</v>
      </c>
      <c r="E340" s="101">
        <f t="shared" ca="1" si="22"/>
        <v>0</v>
      </c>
      <c r="F340" s="21">
        <f t="shared" ca="1" si="23"/>
        <v>0</v>
      </c>
      <c r="H340" s="21">
        <v>325</v>
      </c>
      <c r="I340" s="102">
        <v>0.66758807270299358</v>
      </c>
      <c r="J340" s="103">
        <v>1.3026587471822119E-3</v>
      </c>
      <c r="K340" s="103"/>
      <c r="L340" s="103">
        <v>3.8800000000000001E-2</v>
      </c>
      <c r="O340" s="100"/>
    </row>
    <row r="341" spans="2:15" x14ac:dyDescent="0.2">
      <c r="B341" s="1">
        <v>326</v>
      </c>
      <c r="C341" s="101">
        <f t="shared" ca="1" si="20"/>
        <v>-1.3977299010540567</v>
      </c>
      <c r="D341" s="101">
        <f t="shared" ca="1" si="21"/>
        <v>0.57891994604933783</v>
      </c>
      <c r="E341" s="101">
        <f t="shared" ca="1" si="22"/>
        <v>0</v>
      </c>
      <c r="F341" s="21">
        <f t="shared" ca="1" si="23"/>
        <v>0</v>
      </c>
      <c r="H341" s="21">
        <v>326</v>
      </c>
      <c r="I341" s="102">
        <v>0.66772005670755308</v>
      </c>
      <c r="J341" s="103">
        <v>1.3731618787322431E-3</v>
      </c>
      <c r="K341" s="103"/>
      <c r="L341" s="103">
        <v>4.1000000000000002E-2</v>
      </c>
      <c r="O341" s="100"/>
    </row>
    <row r="342" spans="2:15" x14ac:dyDescent="0.2">
      <c r="B342" s="1">
        <v>327</v>
      </c>
      <c r="C342" s="101">
        <f t="shared" ca="1" si="20"/>
        <v>-0.26756017769566753</v>
      </c>
      <c r="D342" s="101">
        <f t="shared" ca="1" si="21"/>
        <v>0.64719370904343165</v>
      </c>
      <c r="E342" s="101">
        <f t="shared" ca="1" si="22"/>
        <v>0</v>
      </c>
      <c r="F342" s="21">
        <f t="shared" ca="1" si="23"/>
        <v>0</v>
      </c>
      <c r="H342" s="21">
        <v>327</v>
      </c>
      <c r="I342" s="102">
        <v>0.66773600468684635</v>
      </c>
      <c r="J342" s="103">
        <v>1.3592241837368777E-3</v>
      </c>
      <c r="K342" s="103"/>
      <c r="L342" s="103">
        <v>4.2799999999999998E-2</v>
      </c>
      <c r="O342" s="100"/>
    </row>
    <row r="343" spans="2:15" x14ac:dyDescent="0.2">
      <c r="B343" s="1">
        <v>328</v>
      </c>
      <c r="C343" s="101">
        <f t="shared" ca="1" si="20"/>
        <v>-0.72723238277770175</v>
      </c>
      <c r="D343" s="101">
        <f t="shared" ca="1" si="21"/>
        <v>0.61850357362334252</v>
      </c>
      <c r="E343" s="101">
        <f t="shared" ca="1" si="22"/>
        <v>0</v>
      </c>
      <c r="F343" s="21">
        <f t="shared" ca="1" si="23"/>
        <v>0</v>
      </c>
      <c r="H343" s="21">
        <v>328</v>
      </c>
      <c r="I343" s="102">
        <v>0.66765358952311693</v>
      </c>
      <c r="J343" s="103">
        <v>1.1923893210539823E-3</v>
      </c>
      <c r="K343" s="103"/>
      <c r="L343" s="103">
        <v>3.8199999999999998E-2</v>
      </c>
      <c r="O343" s="100"/>
    </row>
    <row r="344" spans="2:15" x14ac:dyDescent="0.2">
      <c r="B344" s="1">
        <v>329</v>
      </c>
      <c r="C344" s="101">
        <f t="shared" ca="1" si="20"/>
        <v>-0.83686037410553127</v>
      </c>
      <c r="D344" s="101">
        <f t="shared" ca="1" si="21"/>
        <v>0.61185120220437295</v>
      </c>
      <c r="E344" s="101">
        <f t="shared" ca="1" si="22"/>
        <v>0</v>
      </c>
      <c r="F344" s="21">
        <f t="shared" ca="1" si="23"/>
        <v>0</v>
      </c>
      <c r="H344" s="21">
        <v>329</v>
      </c>
      <c r="I344" s="102">
        <v>0.66778559572246221</v>
      </c>
      <c r="J344" s="103">
        <v>1.3241652414720424E-3</v>
      </c>
      <c r="K344" s="103"/>
      <c r="L344" s="103">
        <v>4.2799999999999998E-2</v>
      </c>
      <c r="O344" s="100"/>
    </row>
    <row r="345" spans="2:15" x14ac:dyDescent="0.2">
      <c r="B345" s="1">
        <v>330</v>
      </c>
      <c r="C345" s="101">
        <f t="shared" ca="1" si="20"/>
        <v>0.73626768503764639</v>
      </c>
      <c r="D345" s="101">
        <f t="shared" ca="1" si="21"/>
        <v>0.71455827648314041</v>
      </c>
      <c r="E345" s="101">
        <f t="shared" ca="1" si="22"/>
        <v>0</v>
      </c>
      <c r="F345" s="21">
        <f t="shared" ca="1" si="23"/>
        <v>0</v>
      </c>
      <c r="H345" s="21">
        <v>330</v>
      </c>
      <c r="I345" s="102">
        <v>0.66761429442277354</v>
      </c>
      <c r="J345" s="103">
        <v>1.2387219129827826E-3</v>
      </c>
      <c r="K345" s="103"/>
      <c r="L345" s="103">
        <v>3.6999999999999998E-2</v>
      </c>
      <c r="O345" s="100"/>
    </row>
    <row r="346" spans="2:15" x14ac:dyDescent="0.2">
      <c r="B346" s="1">
        <v>331</v>
      </c>
      <c r="C346" s="101">
        <f t="shared" ca="1" si="20"/>
        <v>1.2412781278873233</v>
      </c>
      <c r="D346" s="101">
        <f t="shared" ca="1" si="21"/>
        <v>0.75105542922180724</v>
      </c>
      <c r="E346" s="101">
        <f t="shared" ca="1" si="22"/>
        <v>0</v>
      </c>
      <c r="F346" s="21">
        <f t="shared" ca="1" si="23"/>
        <v>0</v>
      </c>
      <c r="H346" s="21">
        <v>331</v>
      </c>
      <c r="I346" s="102">
        <v>0.66788542323803812</v>
      </c>
      <c r="J346" s="103">
        <v>1.4991638110179834E-3</v>
      </c>
      <c r="K346" s="103"/>
      <c r="L346" s="103">
        <v>4.6600000000000003E-2</v>
      </c>
      <c r="O346" s="100"/>
    </row>
    <row r="347" spans="2:15" x14ac:dyDescent="0.2">
      <c r="B347" s="1">
        <v>332</v>
      </c>
      <c r="C347" s="101">
        <f t="shared" ca="1" si="20"/>
        <v>0.68159531923899086</v>
      </c>
      <c r="D347" s="101">
        <f t="shared" ca="1" si="21"/>
        <v>0.71071506854443678</v>
      </c>
      <c r="E347" s="101">
        <f t="shared" ca="1" si="22"/>
        <v>0</v>
      </c>
      <c r="F347" s="21">
        <f t="shared" ca="1" si="23"/>
        <v>0</v>
      </c>
      <c r="H347" s="21">
        <v>332</v>
      </c>
      <c r="I347" s="102">
        <v>0.66781461866228764</v>
      </c>
      <c r="J347" s="103">
        <v>1.4290849753944488E-3</v>
      </c>
      <c r="K347" s="103"/>
      <c r="L347" s="103">
        <v>4.24E-2</v>
      </c>
      <c r="O347" s="100"/>
    </row>
    <row r="348" spans="2:15" x14ac:dyDescent="0.2">
      <c r="B348" s="1">
        <v>333</v>
      </c>
      <c r="C348" s="101">
        <f t="shared" ca="1" si="20"/>
        <v>0.17574731080586525</v>
      </c>
      <c r="D348" s="101">
        <f t="shared" ca="1" si="21"/>
        <v>0.67612237233095551</v>
      </c>
      <c r="E348" s="101">
        <f t="shared" ca="1" si="22"/>
        <v>0</v>
      </c>
      <c r="F348" s="21">
        <f t="shared" ca="1" si="23"/>
        <v>0</v>
      </c>
      <c r="H348" s="21">
        <v>333</v>
      </c>
      <c r="I348" s="102">
        <v>0.66778671547740531</v>
      </c>
      <c r="J348" s="103">
        <v>1.500599618908904E-3</v>
      </c>
      <c r="K348" s="103"/>
      <c r="L348" s="103">
        <v>4.36E-2</v>
      </c>
      <c r="O348" s="100"/>
    </row>
    <row r="349" spans="2:15" x14ac:dyDescent="0.2">
      <c r="B349" s="1">
        <v>334</v>
      </c>
      <c r="C349" s="101">
        <f t="shared" ca="1" si="20"/>
        <v>7.3841364066123003E-2</v>
      </c>
      <c r="D349" s="101">
        <f t="shared" ca="1" si="21"/>
        <v>0.66935994252947117</v>
      </c>
      <c r="E349" s="101">
        <f t="shared" ca="1" si="22"/>
        <v>0</v>
      </c>
      <c r="F349" s="21">
        <f t="shared" ca="1" si="23"/>
        <v>0</v>
      </c>
      <c r="H349" s="21">
        <v>334</v>
      </c>
      <c r="I349" s="102">
        <v>0.66769449746848097</v>
      </c>
      <c r="J349" s="103">
        <v>1.4172275321094497E-3</v>
      </c>
      <c r="K349" s="103"/>
      <c r="L349" s="103">
        <v>4.2599999999999999E-2</v>
      </c>
      <c r="O349" s="100"/>
    </row>
    <row r="350" spans="2:15" x14ac:dyDescent="0.2">
      <c r="B350" s="1">
        <v>335</v>
      </c>
      <c r="C350" s="101">
        <f t="shared" ca="1" si="20"/>
        <v>-9.9742432520268223E-2</v>
      </c>
      <c r="D350" s="101">
        <f t="shared" ca="1" si="21"/>
        <v>0.65799636717642296</v>
      </c>
      <c r="E350" s="101">
        <f t="shared" ca="1" si="22"/>
        <v>0</v>
      </c>
      <c r="F350" s="21">
        <f t="shared" ca="1" si="23"/>
        <v>0</v>
      </c>
      <c r="H350" s="21">
        <v>335</v>
      </c>
      <c r="I350" s="102">
        <v>0.66778424661249869</v>
      </c>
      <c r="J350" s="103">
        <v>1.4110169810267967E-3</v>
      </c>
      <c r="K350" s="103"/>
      <c r="L350" s="103">
        <v>3.8800000000000001E-2</v>
      </c>
      <c r="O350" s="100"/>
    </row>
    <row r="351" spans="2:15" x14ac:dyDescent="0.2">
      <c r="B351" s="1">
        <v>336</v>
      </c>
      <c r="C351" s="101">
        <f t="shared" ca="1" si="20"/>
        <v>-0.93649379382096443</v>
      </c>
      <c r="D351" s="101">
        <f t="shared" ca="1" si="21"/>
        <v>0.60586739784365484</v>
      </c>
      <c r="E351" s="101">
        <f t="shared" ca="1" si="22"/>
        <v>0</v>
      </c>
      <c r="F351" s="21">
        <f t="shared" ca="1" si="23"/>
        <v>0</v>
      </c>
      <c r="H351" s="21">
        <v>336</v>
      </c>
      <c r="I351" s="102">
        <v>0.66779707732755789</v>
      </c>
      <c r="J351" s="103">
        <v>1.2208164241102575E-3</v>
      </c>
      <c r="K351" s="103"/>
      <c r="L351" s="103">
        <v>3.9800000000000002E-2</v>
      </c>
      <c r="O351" s="100"/>
    </row>
    <row r="352" spans="2:15" x14ac:dyDescent="0.2">
      <c r="B352" s="1">
        <v>337</v>
      </c>
      <c r="C352" s="101">
        <f t="shared" ca="1" si="20"/>
        <v>-0.71918577304466247</v>
      </c>
      <c r="D352" s="101">
        <f t="shared" ca="1" si="21"/>
        <v>0.61899469226527104</v>
      </c>
      <c r="E352" s="101">
        <f t="shared" ca="1" si="22"/>
        <v>0</v>
      </c>
      <c r="F352" s="21">
        <f t="shared" ca="1" si="23"/>
        <v>0</v>
      </c>
      <c r="H352" s="21">
        <v>337</v>
      </c>
      <c r="I352" s="102">
        <v>0.66775142136553023</v>
      </c>
      <c r="J352" s="103">
        <v>1.3928853623616998E-3</v>
      </c>
      <c r="K352" s="103"/>
      <c r="L352" s="103">
        <v>4.1799999999999997E-2</v>
      </c>
      <c r="O352" s="100"/>
    </row>
    <row r="353" spans="2:15" x14ac:dyDescent="0.2">
      <c r="B353" s="1">
        <v>338</v>
      </c>
      <c r="C353" s="101">
        <f t="shared" ca="1" si="20"/>
        <v>-1.6234861994277094</v>
      </c>
      <c r="D353" s="101">
        <f t="shared" ca="1" si="21"/>
        <v>0.56617052005161661</v>
      </c>
      <c r="E353" s="101">
        <f t="shared" ca="1" si="22"/>
        <v>0</v>
      </c>
      <c r="F353" s="21">
        <f t="shared" ca="1" si="23"/>
        <v>0</v>
      </c>
      <c r="H353" s="21">
        <v>338</v>
      </c>
      <c r="I353" s="102">
        <v>0.66774509619902156</v>
      </c>
      <c r="J353" s="103">
        <v>1.4313219585907618E-3</v>
      </c>
      <c r="K353" s="103"/>
      <c r="L353" s="103">
        <v>4.5999999999999999E-2</v>
      </c>
      <c r="O353" s="100"/>
    </row>
    <row r="354" spans="2:15" x14ac:dyDescent="0.2">
      <c r="B354" s="1">
        <v>339</v>
      </c>
      <c r="C354" s="101">
        <f t="shared" ca="1" si="20"/>
        <v>-1.794773754770284</v>
      </c>
      <c r="D354" s="101">
        <f t="shared" ca="1" si="21"/>
        <v>0.55668484586924105</v>
      </c>
      <c r="E354" s="101">
        <f t="shared" ca="1" si="22"/>
        <v>0</v>
      </c>
      <c r="F354" s="21">
        <f t="shared" ca="1" si="23"/>
        <v>0</v>
      </c>
      <c r="H354" s="21">
        <v>339</v>
      </c>
      <c r="I354" s="102">
        <v>0.66781584272619965</v>
      </c>
      <c r="J354" s="103">
        <v>1.4342188190583308E-3</v>
      </c>
      <c r="K354" s="103"/>
      <c r="L354" s="103">
        <v>4.0599999999999997E-2</v>
      </c>
      <c r="O354" s="100"/>
    </row>
    <row r="355" spans="2:15" x14ac:dyDescent="0.2">
      <c r="B355" s="1">
        <v>340</v>
      </c>
      <c r="C355" s="101">
        <f t="shared" ca="1" si="20"/>
        <v>0.91943072324737063</v>
      </c>
      <c r="D355" s="101">
        <f t="shared" ca="1" si="21"/>
        <v>0.72758585190309355</v>
      </c>
      <c r="E355" s="101">
        <f t="shared" ca="1" si="22"/>
        <v>0</v>
      </c>
      <c r="F355" s="21">
        <f t="shared" ca="1" si="23"/>
        <v>0</v>
      </c>
      <c r="H355" s="21">
        <v>340</v>
      </c>
      <c r="I355" s="102">
        <v>0.66771003447795385</v>
      </c>
      <c r="J355" s="103">
        <v>1.2496573006530866E-3</v>
      </c>
      <c r="K355" s="103"/>
      <c r="L355" s="103">
        <v>4.1200000000000001E-2</v>
      </c>
      <c r="O355" s="100"/>
    </row>
    <row r="356" spans="2:15" x14ac:dyDescent="0.2">
      <c r="B356" s="1">
        <v>341</v>
      </c>
      <c r="C356" s="101">
        <f t="shared" ca="1" si="20"/>
        <v>-0.10833609056289888</v>
      </c>
      <c r="D356" s="101">
        <f t="shared" ca="1" si="21"/>
        <v>0.65743882669680265</v>
      </c>
      <c r="E356" s="101">
        <f t="shared" ca="1" si="22"/>
        <v>0</v>
      </c>
      <c r="F356" s="21">
        <f t="shared" ca="1" si="23"/>
        <v>0</v>
      </c>
      <c r="H356" s="21">
        <v>341</v>
      </c>
      <c r="I356" s="102">
        <v>0.66774534373145933</v>
      </c>
      <c r="J356" s="103">
        <v>1.4268855691620395E-3</v>
      </c>
      <c r="K356" s="103"/>
      <c r="L356" s="103">
        <v>4.1599999999999998E-2</v>
      </c>
      <c r="O356" s="100"/>
    </row>
    <row r="357" spans="2:15" x14ac:dyDescent="0.2">
      <c r="B357" s="1">
        <v>342</v>
      </c>
      <c r="C357" s="101">
        <f t="shared" ca="1" si="20"/>
        <v>-1.0529231152895799</v>
      </c>
      <c r="D357" s="101">
        <f t="shared" ca="1" si="21"/>
        <v>0.59894897093359523</v>
      </c>
      <c r="E357" s="101">
        <f t="shared" ca="1" si="22"/>
        <v>0</v>
      </c>
      <c r="F357" s="21">
        <f t="shared" ca="1" si="23"/>
        <v>0</v>
      </c>
      <c r="H357" s="21">
        <v>342</v>
      </c>
      <c r="I357" s="102">
        <v>0.66758728187583183</v>
      </c>
      <c r="J357" s="103">
        <v>1.2024854075531333E-3</v>
      </c>
      <c r="K357" s="103"/>
      <c r="L357" s="103">
        <v>3.8800000000000001E-2</v>
      </c>
      <c r="O357" s="100"/>
    </row>
    <row r="358" spans="2:15" x14ac:dyDescent="0.2">
      <c r="B358" s="1">
        <v>343</v>
      </c>
      <c r="C358" s="101">
        <f t="shared" ca="1" si="20"/>
        <v>0.62848110562289927</v>
      </c>
      <c r="D358" s="101">
        <f t="shared" ca="1" si="21"/>
        <v>0.70700118752177565</v>
      </c>
      <c r="E358" s="101">
        <f t="shared" ca="1" si="22"/>
        <v>0</v>
      </c>
      <c r="F358" s="21">
        <f t="shared" ca="1" si="23"/>
        <v>0</v>
      </c>
      <c r="H358" s="21">
        <v>343</v>
      </c>
      <c r="I358" s="102">
        <v>0.66770378552164489</v>
      </c>
      <c r="J358" s="103">
        <v>1.2509458115715548E-3</v>
      </c>
      <c r="K358" s="103"/>
      <c r="L358" s="103">
        <v>4.0599999999999997E-2</v>
      </c>
      <c r="O358" s="100"/>
    </row>
    <row r="359" spans="2:15" x14ac:dyDescent="0.2">
      <c r="B359" s="1">
        <v>344</v>
      </c>
      <c r="C359" s="101">
        <f t="shared" ca="1" si="20"/>
        <v>0.24543552914389224</v>
      </c>
      <c r="D359" s="101">
        <f t="shared" ca="1" si="21"/>
        <v>0.68078614232514756</v>
      </c>
      <c r="E359" s="101">
        <f t="shared" ca="1" si="22"/>
        <v>0</v>
      </c>
      <c r="F359" s="21">
        <f t="shared" ca="1" si="23"/>
        <v>0</v>
      </c>
      <c r="H359" s="21">
        <v>344</v>
      </c>
      <c r="I359" s="102">
        <v>0.66789012090902267</v>
      </c>
      <c r="J359" s="103">
        <v>1.4316988876884116E-3</v>
      </c>
      <c r="K359" s="103"/>
      <c r="L359" s="103">
        <v>4.3200000000000002E-2</v>
      </c>
      <c r="O359" s="100"/>
    </row>
    <row r="360" spans="2:15" x14ac:dyDescent="0.2">
      <c r="B360" s="1">
        <v>345</v>
      </c>
      <c r="C360" s="101">
        <f t="shared" ca="1" si="20"/>
        <v>2.1974639026720197</v>
      </c>
      <c r="D360" s="101">
        <f t="shared" ca="1" si="21"/>
        <v>0.82534286072860064</v>
      </c>
      <c r="E360" s="101">
        <f t="shared" ca="1" si="22"/>
        <v>3.7142860728600624E-2</v>
      </c>
      <c r="F360" s="21">
        <f t="shared" ca="1" si="23"/>
        <v>1</v>
      </c>
      <c r="H360" s="21">
        <v>345</v>
      </c>
      <c r="I360" s="102">
        <v>0.66777905115507807</v>
      </c>
      <c r="J360" s="103">
        <v>1.4010364461919055E-3</v>
      </c>
      <c r="K360" s="103"/>
      <c r="L360" s="103">
        <v>4.0399999999999998E-2</v>
      </c>
      <c r="O360" s="100"/>
    </row>
    <row r="361" spans="2:15" x14ac:dyDescent="0.2">
      <c r="B361" s="1">
        <v>346</v>
      </c>
      <c r="C361" s="101">
        <f t="shared" ca="1" si="20"/>
        <v>0.90285227994408901</v>
      </c>
      <c r="D361" s="101">
        <f t="shared" ca="1" si="21"/>
        <v>0.72639698882996095</v>
      </c>
      <c r="E361" s="101">
        <f t="shared" ca="1" si="22"/>
        <v>0</v>
      </c>
      <c r="F361" s="21">
        <f t="shared" ca="1" si="23"/>
        <v>0</v>
      </c>
      <c r="H361" s="21">
        <v>346</v>
      </c>
      <c r="I361" s="102">
        <v>0.66759662582918766</v>
      </c>
      <c r="J361" s="103">
        <v>1.3593493285046728E-3</v>
      </c>
      <c r="K361" s="103"/>
      <c r="L361" s="103">
        <v>3.8199999999999998E-2</v>
      </c>
      <c r="O361" s="100"/>
    </row>
    <row r="362" spans="2:15" x14ac:dyDescent="0.2">
      <c r="B362" s="1">
        <v>347</v>
      </c>
      <c r="C362" s="101">
        <f t="shared" ca="1" si="20"/>
        <v>-0.22479632903790678</v>
      </c>
      <c r="D362" s="101">
        <f t="shared" ca="1" si="21"/>
        <v>0.64992952124491254</v>
      </c>
      <c r="E362" s="101">
        <f t="shared" ca="1" si="22"/>
        <v>0</v>
      </c>
      <c r="F362" s="21">
        <f t="shared" ca="1" si="23"/>
        <v>0</v>
      </c>
      <c r="H362" s="21">
        <v>347</v>
      </c>
      <c r="I362" s="102">
        <v>0.66771811319326069</v>
      </c>
      <c r="J362" s="103">
        <v>1.2799157851776115E-3</v>
      </c>
      <c r="K362" s="103"/>
      <c r="L362" s="103">
        <v>4.2000000000000003E-2</v>
      </c>
      <c r="O362" s="100"/>
    </row>
    <row r="363" spans="2:15" x14ac:dyDescent="0.2">
      <c r="B363" s="1">
        <v>348</v>
      </c>
      <c r="C363" s="101">
        <f t="shared" ca="1" si="20"/>
        <v>-0.24456805012002941</v>
      </c>
      <c r="D363" s="101">
        <f t="shared" ca="1" si="21"/>
        <v>0.64866319325979283</v>
      </c>
      <c r="E363" s="101">
        <f t="shared" ca="1" si="22"/>
        <v>0</v>
      </c>
      <c r="F363" s="21">
        <f t="shared" ca="1" si="23"/>
        <v>0</v>
      </c>
      <c r="H363" s="21">
        <v>348</v>
      </c>
      <c r="I363" s="102">
        <v>0.66781702078785865</v>
      </c>
      <c r="J363" s="103">
        <v>1.4849024545148823E-3</v>
      </c>
      <c r="K363" s="103"/>
      <c r="L363" s="103">
        <v>4.4999999999999998E-2</v>
      </c>
      <c r="O363" s="100"/>
    </row>
    <row r="364" spans="2:15" x14ac:dyDescent="0.2">
      <c r="B364" s="1">
        <v>349</v>
      </c>
      <c r="C364" s="101">
        <f t="shared" ca="1" si="20"/>
        <v>-0.12363882890992088</v>
      </c>
      <c r="D364" s="101">
        <f t="shared" ca="1" si="21"/>
        <v>0.65644718298253402</v>
      </c>
      <c r="E364" s="101">
        <f t="shared" ca="1" si="22"/>
        <v>0</v>
      </c>
      <c r="F364" s="21">
        <f t="shared" ca="1" si="23"/>
        <v>0</v>
      </c>
      <c r="H364" s="21">
        <v>349</v>
      </c>
      <c r="I364" s="102">
        <v>0.66780071160090893</v>
      </c>
      <c r="J364" s="103">
        <v>1.4730922394047914E-3</v>
      </c>
      <c r="K364" s="103"/>
      <c r="L364" s="103">
        <v>4.4400000000000002E-2</v>
      </c>
      <c r="O364" s="100"/>
    </row>
    <row r="365" spans="2:15" x14ac:dyDescent="0.2">
      <c r="B365" s="1">
        <v>350</v>
      </c>
      <c r="C365" s="101">
        <f t="shared" ca="1" si="20"/>
        <v>-0.89353433535068472</v>
      </c>
      <c r="D365" s="101">
        <f t="shared" ca="1" si="21"/>
        <v>0.60844025565460103</v>
      </c>
      <c r="E365" s="101">
        <f t="shared" ca="1" si="22"/>
        <v>0</v>
      </c>
      <c r="F365" s="21">
        <f t="shared" ca="1" si="23"/>
        <v>0</v>
      </c>
      <c r="H365" s="21">
        <v>350</v>
      </c>
      <c r="I365" s="102">
        <v>0.66771691703850589</v>
      </c>
      <c r="J365" s="103">
        <v>1.2935439545312777E-3</v>
      </c>
      <c r="K365" s="103"/>
      <c r="L365" s="103">
        <v>3.5200000000000002E-2</v>
      </c>
      <c r="O365" s="100"/>
    </row>
    <row r="366" spans="2:15" x14ac:dyDescent="0.2">
      <c r="B366" s="1">
        <v>351</v>
      </c>
      <c r="C366" s="101">
        <f t="shared" ca="1" si="20"/>
        <v>-0.40637345095601757</v>
      </c>
      <c r="D366" s="101">
        <f t="shared" ca="1" si="21"/>
        <v>0.63839225879988648</v>
      </c>
      <c r="E366" s="101">
        <f t="shared" ca="1" si="22"/>
        <v>0</v>
      </c>
      <c r="F366" s="21">
        <f t="shared" ca="1" si="23"/>
        <v>0</v>
      </c>
      <c r="H366" s="21">
        <v>351</v>
      </c>
      <c r="I366" s="102">
        <v>0.66796846117237041</v>
      </c>
      <c r="J366" s="103">
        <v>1.6442633397110462E-3</v>
      </c>
      <c r="K366" s="103"/>
      <c r="L366" s="103">
        <v>4.7E-2</v>
      </c>
      <c r="O366" s="100"/>
    </row>
    <row r="367" spans="2:15" x14ac:dyDescent="0.2">
      <c r="B367" s="1">
        <v>352</v>
      </c>
      <c r="C367" s="101">
        <f t="shared" ca="1" si="20"/>
        <v>-2.1090961332040772</v>
      </c>
      <c r="D367" s="101">
        <f t="shared" ca="1" si="21"/>
        <v>0.53968956646301658</v>
      </c>
      <c r="E367" s="101">
        <f t="shared" ca="1" si="22"/>
        <v>0</v>
      </c>
      <c r="F367" s="21">
        <f t="shared" ca="1" si="23"/>
        <v>0</v>
      </c>
      <c r="H367" s="21">
        <v>352</v>
      </c>
      <c r="I367" s="102">
        <v>0.66774299712271301</v>
      </c>
      <c r="J367" s="103">
        <v>1.5349187963068656E-3</v>
      </c>
      <c r="K367" s="103"/>
      <c r="L367" s="103">
        <v>4.1799999999999997E-2</v>
      </c>
      <c r="O367" s="100"/>
    </row>
    <row r="368" spans="2:15" x14ac:dyDescent="0.2">
      <c r="B368" s="1">
        <v>353</v>
      </c>
      <c r="C368" s="101">
        <f t="shared" ca="1" si="20"/>
        <v>0.84367996677276413</v>
      </c>
      <c r="D368" s="101">
        <f t="shared" ca="1" si="21"/>
        <v>0.72216947879893467</v>
      </c>
      <c r="E368" s="101">
        <f t="shared" ca="1" si="22"/>
        <v>0</v>
      </c>
      <c r="F368" s="21">
        <f t="shared" ca="1" si="23"/>
        <v>0</v>
      </c>
      <c r="H368" s="21">
        <v>353</v>
      </c>
      <c r="I368" s="102">
        <v>0.66770811512030481</v>
      </c>
      <c r="J368" s="103">
        <v>1.371472893550212E-3</v>
      </c>
      <c r="K368" s="103"/>
      <c r="L368" s="103">
        <v>4.0399999999999998E-2</v>
      </c>
      <c r="O368" s="100"/>
    </row>
    <row r="369" spans="2:15" x14ac:dyDescent="0.2">
      <c r="B369" s="1">
        <v>354</v>
      </c>
      <c r="C369" s="101">
        <f t="shared" ca="1" si="20"/>
        <v>-0.53373795691338921</v>
      </c>
      <c r="D369" s="101">
        <f t="shared" ca="1" si="21"/>
        <v>0.63042205042554622</v>
      </c>
      <c r="E369" s="101">
        <f t="shared" ca="1" si="22"/>
        <v>0</v>
      </c>
      <c r="F369" s="21">
        <f t="shared" ca="1" si="23"/>
        <v>0</v>
      </c>
      <c r="H369" s="21">
        <v>354</v>
      </c>
      <c r="I369" s="102">
        <v>0.66788206748629686</v>
      </c>
      <c r="J369" s="103">
        <v>1.4387127525168602E-3</v>
      </c>
      <c r="K369" s="103"/>
      <c r="L369" s="103">
        <v>4.3200000000000002E-2</v>
      </c>
      <c r="O369" s="100"/>
    </row>
    <row r="370" spans="2:15" x14ac:dyDescent="0.2">
      <c r="B370" s="1">
        <v>355</v>
      </c>
      <c r="C370" s="101">
        <f t="shared" ca="1" si="20"/>
        <v>-1.3254288283716611</v>
      </c>
      <c r="D370" s="101">
        <f t="shared" ca="1" si="21"/>
        <v>0.58306348801191521</v>
      </c>
      <c r="E370" s="101">
        <f t="shared" ca="1" si="22"/>
        <v>0</v>
      </c>
      <c r="F370" s="21">
        <f t="shared" ca="1" si="23"/>
        <v>0</v>
      </c>
      <c r="H370" s="21">
        <v>355</v>
      </c>
      <c r="I370" s="102">
        <v>0.66771788197597615</v>
      </c>
      <c r="J370" s="103">
        <v>1.2825657037122691E-3</v>
      </c>
      <c r="K370" s="103"/>
      <c r="L370" s="103">
        <v>4.1799999999999997E-2</v>
      </c>
      <c r="O370" s="100"/>
    </row>
    <row r="371" spans="2:15" x14ac:dyDescent="0.2">
      <c r="B371" s="1">
        <v>356</v>
      </c>
      <c r="C371" s="101">
        <f t="shared" ca="1" si="20"/>
        <v>-0.96988930241203442</v>
      </c>
      <c r="D371" s="101">
        <f t="shared" ca="1" si="21"/>
        <v>0.60387484695972371</v>
      </c>
      <c r="E371" s="101">
        <f t="shared" ca="1" si="22"/>
        <v>0</v>
      </c>
      <c r="F371" s="21">
        <f t="shared" ca="1" si="23"/>
        <v>0</v>
      </c>
      <c r="H371" s="21">
        <v>356</v>
      </c>
      <c r="I371" s="102">
        <v>0.66778271571364833</v>
      </c>
      <c r="J371" s="103">
        <v>1.3711996401779153E-3</v>
      </c>
      <c r="K371" s="103"/>
      <c r="L371" s="103">
        <v>4.5999999999999999E-2</v>
      </c>
      <c r="O371" s="100"/>
    </row>
    <row r="372" spans="2:15" x14ac:dyDescent="0.2">
      <c r="B372" s="1">
        <v>357</v>
      </c>
      <c r="C372" s="101">
        <f t="shared" ca="1" si="20"/>
        <v>-0.4097009465448182</v>
      </c>
      <c r="D372" s="101">
        <f t="shared" ca="1" si="21"/>
        <v>0.63818275460213425</v>
      </c>
      <c r="E372" s="101">
        <f t="shared" ca="1" si="22"/>
        <v>0</v>
      </c>
      <c r="F372" s="21">
        <f t="shared" ca="1" si="23"/>
        <v>0</v>
      </c>
      <c r="H372" s="21">
        <v>357</v>
      </c>
      <c r="I372" s="102">
        <v>0.66772097435241207</v>
      </c>
      <c r="J372" s="103">
        <v>1.413494994659045E-3</v>
      </c>
      <c r="K372" s="103"/>
      <c r="L372" s="103">
        <v>4.1000000000000002E-2</v>
      </c>
      <c r="O372" s="100"/>
    </row>
    <row r="373" spans="2:15" x14ac:dyDescent="0.2">
      <c r="B373" s="1">
        <v>358</v>
      </c>
      <c r="C373" s="101">
        <f t="shared" ca="1" si="20"/>
        <v>0.11045878927465339</v>
      </c>
      <c r="D373" s="101">
        <f t="shared" ca="1" si="21"/>
        <v>0.67178203652243307</v>
      </c>
      <c r="E373" s="101">
        <f t="shared" ca="1" si="22"/>
        <v>0</v>
      </c>
      <c r="F373" s="21">
        <f t="shared" ca="1" si="23"/>
        <v>0</v>
      </c>
      <c r="H373" s="21">
        <v>358</v>
      </c>
      <c r="I373" s="102">
        <v>0.66770831846568324</v>
      </c>
      <c r="J373" s="103">
        <v>1.4196378371016389E-3</v>
      </c>
      <c r="K373" s="103"/>
      <c r="L373" s="103">
        <v>4.24E-2</v>
      </c>
      <c r="O373" s="100"/>
    </row>
    <row r="374" spans="2:15" x14ac:dyDescent="0.2">
      <c r="B374" s="1">
        <v>359</v>
      </c>
      <c r="C374" s="101">
        <f t="shared" ca="1" si="20"/>
        <v>-3.0716479599419741E-2</v>
      </c>
      <c r="D374" s="101">
        <f t="shared" ca="1" si="21"/>
        <v>0.66249182741702717</v>
      </c>
      <c r="E374" s="101">
        <f t="shared" ca="1" si="22"/>
        <v>0</v>
      </c>
      <c r="F374" s="21">
        <f t="shared" ca="1" si="23"/>
        <v>0</v>
      </c>
      <c r="H374" s="21">
        <v>359</v>
      </c>
      <c r="I374" s="102">
        <v>0.66785445602456417</v>
      </c>
      <c r="J374" s="103">
        <v>1.496545644767518E-3</v>
      </c>
      <c r="K374" s="103"/>
      <c r="L374" s="103">
        <v>4.3400000000000001E-2</v>
      </c>
      <c r="O374" s="100"/>
    </row>
    <row r="375" spans="2:15" x14ac:dyDescent="0.2">
      <c r="B375" s="1">
        <v>360</v>
      </c>
      <c r="C375" s="101">
        <f t="shared" ca="1" si="20"/>
        <v>-0.23314657010893713</v>
      </c>
      <c r="D375" s="101">
        <f t="shared" ca="1" si="21"/>
        <v>0.64939440845525576</v>
      </c>
      <c r="E375" s="101">
        <f t="shared" ca="1" si="22"/>
        <v>0</v>
      </c>
      <c r="F375" s="21">
        <f t="shared" ca="1" si="23"/>
        <v>0</v>
      </c>
      <c r="H375" s="21">
        <v>360</v>
      </c>
      <c r="I375" s="102">
        <v>0.66784133842508098</v>
      </c>
      <c r="J375" s="103">
        <v>1.4736691443576833E-3</v>
      </c>
      <c r="K375" s="103"/>
      <c r="L375" s="103">
        <v>4.48E-2</v>
      </c>
      <c r="O375" s="100"/>
    </row>
    <row r="376" spans="2:15" x14ac:dyDescent="0.2">
      <c r="B376" s="1">
        <v>361</v>
      </c>
      <c r="C376" s="101">
        <f t="shared" ca="1" si="20"/>
        <v>-0.447726624538827</v>
      </c>
      <c r="D376" s="101">
        <f t="shared" ca="1" si="21"/>
        <v>0.63579347658463647</v>
      </c>
      <c r="E376" s="101">
        <f t="shared" ca="1" si="22"/>
        <v>0</v>
      </c>
      <c r="F376" s="21">
        <f t="shared" ca="1" si="23"/>
        <v>0</v>
      </c>
      <c r="H376" s="21">
        <v>361</v>
      </c>
      <c r="I376" s="102">
        <v>0.66783522408645224</v>
      </c>
      <c r="J376" s="103">
        <v>1.446669880895469E-3</v>
      </c>
      <c r="K376" s="103"/>
      <c r="L376" s="103">
        <v>4.5600000000000002E-2</v>
      </c>
      <c r="O376" s="100"/>
    </row>
    <row r="377" spans="2:15" x14ac:dyDescent="0.2">
      <c r="B377" s="1">
        <v>362</v>
      </c>
      <c r="C377" s="101">
        <f t="shared" ca="1" si="20"/>
        <v>-1.3652011065423595</v>
      </c>
      <c r="D377" s="101">
        <f t="shared" ca="1" si="21"/>
        <v>0.58078050024794015</v>
      </c>
      <c r="E377" s="101">
        <f t="shared" ca="1" si="22"/>
        <v>0</v>
      </c>
      <c r="F377" s="21">
        <f t="shared" ca="1" si="23"/>
        <v>0</v>
      </c>
      <c r="H377" s="21">
        <v>362</v>
      </c>
      <c r="I377" s="102">
        <v>0.66770340040185105</v>
      </c>
      <c r="J377" s="103">
        <v>1.3354403406049065E-3</v>
      </c>
      <c r="K377" s="103"/>
      <c r="L377" s="103">
        <v>4.1200000000000001E-2</v>
      </c>
      <c r="O377" s="100"/>
    </row>
    <row r="378" spans="2:15" x14ac:dyDescent="0.2">
      <c r="B378" s="1">
        <v>363</v>
      </c>
      <c r="C378" s="101">
        <f t="shared" ca="1" si="20"/>
        <v>0.71951398016005197</v>
      </c>
      <c r="D378" s="101">
        <f t="shared" ca="1" si="21"/>
        <v>0.71337836723353454</v>
      </c>
      <c r="E378" s="101">
        <f t="shared" ca="1" si="22"/>
        <v>0</v>
      </c>
      <c r="F378" s="21">
        <f t="shared" ca="1" si="23"/>
        <v>0</v>
      </c>
      <c r="H378" s="21">
        <v>363</v>
      </c>
      <c r="I378" s="102">
        <v>0.6677277982837001</v>
      </c>
      <c r="J378" s="103">
        <v>1.4986014155163874E-3</v>
      </c>
      <c r="K378" s="103"/>
      <c r="L378" s="103">
        <v>4.3999999999999997E-2</v>
      </c>
      <c r="O378" s="100"/>
    </row>
    <row r="379" spans="2:15" x14ac:dyDescent="0.2">
      <c r="B379" s="1">
        <v>364</v>
      </c>
      <c r="C379" s="101">
        <f t="shared" ca="1" si="20"/>
        <v>1.805044773177825</v>
      </c>
      <c r="D379" s="101">
        <f t="shared" ca="1" si="21"/>
        <v>0.79400530737342423</v>
      </c>
      <c r="E379" s="101">
        <f t="shared" ca="1" si="22"/>
        <v>5.8053073734242178E-3</v>
      </c>
      <c r="F379" s="21">
        <f t="shared" ca="1" si="23"/>
        <v>1</v>
      </c>
      <c r="H379" s="21">
        <v>364</v>
      </c>
      <c r="I379" s="102">
        <v>0.66788083647338947</v>
      </c>
      <c r="J379" s="103">
        <v>1.5197027968254099E-3</v>
      </c>
      <c r="K379" s="103"/>
      <c r="L379" s="103">
        <v>4.3999999999999997E-2</v>
      </c>
      <c r="O379" s="100"/>
    </row>
    <row r="380" spans="2:15" x14ac:dyDescent="0.2">
      <c r="B380" s="1">
        <v>365</v>
      </c>
      <c r="C380" s="101">
        <f t="shared" ca="1" si="20"/>
        <v>1.1288486062030598</v>
      </c>
      <c r="D380" s="101">
        <f t="shared" ca="1" si="21"/>
        <v>0.74277209331075578</v>
      </c>
      <c r="E380" s="101">
        <f t="shared" ca="1" si="22"/>
        <v>0</v>
      </c>
      <c r="F380" s="21">
        <f t="shared" ca="1" si="23"/>
        <v>0</v>
      </c>
      <c r="H380" s="21">
        <v>365</v>
      </c>
      <c r="I380" s="102">
        <v>0.66776535440576412</v>
      </c>
      <c r="J380" s="103">
        <v>1.4102478046740567E-3</v>
      </c>
      <c r="K380" s="103"/>
      <c r="L380" s="103">
        <v>4.2799999999999998E-2</v>
      </c>
      <c r="O380" s="100"/>
    </row>
    <row r="381" spans="2:15" x14ac:dyDescent="0.2">
      <c r="B381" s="1">
        <v>366</v>
      </c>
      <c r="C381" s="101">
        <f t="shared" ca="1" si="20"/>
        <v>1.2677582124378737</v>
      </c>
      <c r="D381" s="101">
        <f t="shared" ca="1" si="21"/>
        <v>0.75301977336683945</v>
      </c>
      <c r="E381" s="101">
        <f t="shared" ca="1" si="22"/>
        <v>0</v>
      </c>
      <c r="F381" s="21">
        <f t="shared" ca="1" si="23"/>
        <v>0</v>
      </c>
      <c r="H381" s="21">
        <v>366</v>
      </c>
      <c r="I381" s="102">
        <v>0.66786327384470534</v>
      </c>
      <c r="J381" s="103">
        <v>1.6128564550531273E-3</v>
      </c>
      <c r="K381" s="103"/>
      <c r="L381" s="103">
        <v>4.6600000000000003E-2</v>
      </c>
      <c r="O381" s="100"/>
    </row>
    <row r="382" spans="2:15" x14ac:dyDescent="0.2">
      <c r="B382" s="1">
        <v>367</v>
      </c>
      <c r="C382" s="101">
        <f t="shared" ca="1" si="20"/>
        <v>-0.57734484072789127</v>
      </c>
      <c r="D382" s="101">
        <f t="shared" ca="1" si="21"/>
        <v>0.6277161510815511</v>
      </c>
      <c r="E382" s="101">
        <f t="shared" ca="1" si="22"/>
        <v>0</v>
      </c>
      <c r="F382" s="21">
        <f t="shared" ca="1" si="23"/>
        <v>0</v>
      </c>
      <c r="H382" s="21">
        <v>367</v>
      </c>
      <c r="I382" s="102">
        <v>0.66773062660462468</v>
      </c>
      <c r="J382" s="103">
        <v>1.4659322830263464E-3</v>
      </c>
      <c r="K382" s="103"/>
      <c r="L382" s="103">
        <v>4.2200000000000001E-2</v>
      </c>
      <c r="O382" s="100"/>
    </row>
    <row r="383" spans="2:15" x14ac:dyDescent="0.2">
      <c r="B383" s="1">
        <v>368</v>
      </c>
      <c r="C383" s="101">
        <f t="shared" ca="1" si="20"/>
        <v>-9.7607480614254283E-2</v>
      </c>
      <c r="D383" s="101">
        <f t="shared" ca="1" si="21"/>
        <v>0.65813495217556484</v>
      </c>
      <c r="E383" s="101">
        <f t="shared" ca="1" si="22"/>
        <v>0</v>
      </c>
      <c r="F383" s="21">
        <f t="shared" ca="1" si="23"/>
        <v>0</v>
      </c>
      <c r="H383" s="21">
        <v>368</v>
      </c>
      <c r="I383" s="102">
        <v>0.66777707976354639</v>
      </c>
      <c r="J383" s="103">
        <v>1.4597819608589073E-3</v>
      </c>
      <c r="K383" s="103"/>
      <c r="L383" s="103">
        <v>4.24E-2</v>
      </c>
      <c r="O383" s="100"/>
    </row>
    <row r="384" spans="2:15" x14ac:dyDescent="0.2">
      <c r="B384" s="1">
        <v>369</v>
      </c>
      <c r="C384" s="101">
        <f t="shared" ca="1" si="20"/>
        <v>1.1742390101167224</v>
      </c>
      <c r="D384" s="101">
        <f t="shared" ca="1" si="21"/>
        <v>0.7461052147554027</v>
      </c>
      <c r="E384" s="101">
        <f t="shared" ca="1" si="22"/>
        <v>0</v>
      </c>
      <c r="F384" s="21">
        <f t="shared" ca="1" si="23"/>
        <v>0</v>
      </c>
      <c r="H384" s="21">
        <v>369</v>
      </c>
      <c r="I384" s="102">
        <v>0.66791367453298822</v>
      </c>
      <c r="J384" s="103">
        <v>1.4617784830169395E-3</v>
      </c>
      <c r="K384" s="103"/>
      <c r="L384" s="103">
        <v>4.58E-2</v>
      </c>
      <c r="O384" s="100"/>
    </row>
    <row r="385" spans="2:15" x14ac:dyDescent="0.2">
      <c r="B385" s="1">
        <v>370</v>
      </c>
      <c r="C385" s="101">
        <f t="shared" ca="1" si="20"/>
        <v>-0.54967955604432506</v>
      </c>
      <c r="D385" s="101">
        <f t="shared" ca="1" si="21"/>
        <v>0.62943149048509905</v>
      </c>
      <c r="E385" s="101">
        <f t="shared" ca="1" si="22"/>
        <v>0</v>
      </c>
      <c r="F385" s="21">
        <f t="shared" ca="1" si="23"/>
        <v>0</v>
      </c>
      <c r="H385" s="21">
        <v>370</v>
      </c>
      <c r="I385" s="102">
        <v>0.66789718329812864</v>
      </c>
      <c r="J385" s="103">
        <v>1.5663944745324221E-3</v>
      </c>
      <c r="K385" s="103"/>
      <c r="L385" s="103">
        <v>4.1799999999999997E-2</v>
      </c>
      <c r="O385" s="100"/>
    </row>
    <row r="386" spans="2:15" x14ac:dyDescent="0.2">
      <c r="B386" s="1">
        <v>371</v>
      </c>
      <c r="C386" s="101">
        <f t="shared" ca="1" si="20"/>
        <v>1.9898609158362253</v>
      </c>
      <c r="D386" s="101">
        <f t="shared" ca="1" si="21"/>
        <v>0.80861317842950853</v>
      </c>
      <c r="E386" s="101">
        <f t="shared" ca="1" si="22"/>
        <v>2.0413178429508516E-2</v>
      </c>
      <c r="F386" s="21">
        <f t="shared" ca="1" si="23"/>
        <v>1</v>
      </c>
      <c r="H386" s="21">
        <v>371</v>
      </c>
      <c r="I386" s="102">
        <v>0.66774155743458874</v>
      </c>
      <c r="J386" s="103">
        <v>1.3226573305453152E-3</v>
      </c>
      <c r="K386" s="103"/>
      <c r="L386" s="103">
        <v>4.0399999999999998E-2</v>
      </c>
      <c r="O386" s="100"/>
    </row>
    <row r="387" spans="2:15" x14ac:dyDescent="0.2">
      <c r="B387" s="1">
        <v>372</v>
      </c>
      <c r="C387" s="101">
        <f t="shared" ca="1" si="20"/>
        <v>1.5176922856165975</v>
      </c>
      <c r="D387" s="101">
        <f t="shared" ca="1" si="21"/>
        <v>0.77181533283561632</v>
      </c>
      <c r="E387" s="101">
        <f t="shared" ca="1" si="22"/>
        <v>0</v>
      </c>
      <c r="F387" s="21">
        <f t="shared" ca="1" si="23"/>
        <v>0</v>
      </c>
      <c r="H387" s="21">
        <v>372</v>
      </c>
      <c r="I387" s="102">
        <v>0.66779045070129561</v>
      </c>
      <c r="J387" s="103">
        <v>1.4277402051943592E-3</v>
      </c>
      <c r="K387" s="103"/>
      <c r="L387" s="103">
        <v>4.4400000000000002E-2</v>
      </c>
      <c r="O387" s="100"/>
    </row>
    <row r="388" spans="2:15" x14ac:dyDescent="0.2">
      <c r="B388" s="1">
        <v>373</v>
      </c>
      <c r="C388" s="101">
        <f t="shared" ca="1" si="20"/>
        <v>-0.61263326555909747</v>
      </c>
      <c r="D388" s="101">
        <f t="shared" ca="1" si="21"/>
        <v>0.62553493430629759</v>
      </c>
      <c r="E388" s="101">
        <f t="shared" ca="1" si="22"/>
        <v>0</v>
      </c>
      <c r="F388" s="21">
        <f t="shared" ca="1" si="23"/>
        <v>0</v>
      </c>
      <c r="H388" s="21">
        <v>373</v>
      </c>
      <c r="I388" s="102">
        <v>0.66803325368945066</v>
      </c>
      <c r="J388" s="103">
        <v>1.6637716169698303E-3</v>
      </c>
      <c r="K388" s="103"/>
      <c r="L388" s="103">
        <v>4.5400000000000003E-2</v>
      </c>
      <c r="O388" s="100"/>
    </row>
    <row r="389" spans="2:15" x14ac:dyDescent="0.2">
      <c r="B389" s="1">
        <v>374</v>
      </c>
      <c r="C389" s="101">
        <f t="shared" ca="1" si="20"/>
        <v>-0.59892357527686391</v>
      </c>
      <c r="D389" s="101">
        <f t="shared" ca="1" si="21"/>
        <v>0.62638144374237559</v>
      </c>
      <c r="E389" s="101">
        <f t="shared" ca="1" si="22"/>
        <v>0</v>
      </c>
      <c r="F389" s="21">
        <f t="shared" ca="1" si="23"/>
        <v>0</v>
      </c>
      <c r="H389" s="21">
        <v>374</v>
      </c>
      <c r="I389" s="102">
        <v>0.66771964366080327</v>
      </c>
      <c r="J389" s="103">
        <v>1.3333134885917042E-3</v>
      </c>
      <c r="K389" s="103"/>
      <c r="L389" s="103">
        <v>4.2799999999999998E-2</v>
      </c>
      <c r="O389" s="100"/>
    </row>
    <row r="390" spans="2:15" x14ac:dyDescent="0.2">
      <c r="B390" s="1">
        <v>375</v>
      </c>
      <c r="C390" s="101">
        <f t="shared" ca="1" si="20"/>
        <v>1.1259501411874264</v>
      </c>
      <c r="D390" s="101">
        <f t="shared" ca="1" si="21"/>
        <v>0.74255975886190206</v>
      </c>
      <c r="E390" s="101">
        <f t="shared" ca="1" si="22"/>
        <v>0</v>
      </c>
      <c r="F390" s="21">
        <f t="shared" ca="1" si="23"/>
        <v>0</v>
      </c>
      <c r="H390" s="21">
        <v>375</v>
      </c>
      <c r="I390" s="102">
        <v>0.66779338422666934</v>
      </c>
      <c r="J390" s="103">
        <v>1.4559947518820472E-3</v>
      </c>
      <c r="K390" s="103"/>
      <c r="L390" s="103">
        <v>4.2599999999999999E-2</v>
      </c>
      <c r="O390" s="100"/>
    </row>
    <row r="391" spans="2:15" x14ac:dyDescent="0.2">
      <c r="B391" s="1">
        <v>376</v>
      </c>
      <c r="C391" s="101">
        <f t="shared" ca="1" si="20"/>
        <v>0.36745018867494345</v>
      </c>
      <c r="D391" s="101">
        <f t="shared" ca="1" si="21"/>
        <v>0.68902937878077841</v>
      </c>
      <c r="E391" s="101">
        <f t="shared" ca="1" si="22"/>
        <v>0</v>
      </c>
      <c r="F391" s="21">
        <f t="shared" ca="1" si="23"/>
        <v>0</v>
      </c>
      <c r="H391" s="21">
        <v>376</v>
      </c>
      <c r="I391" s="102">
        <v>0.66766624284041587</v>
      </c>
      <c r="J391" s="103">
        <v>1.3096613237947047E-3</v>
      </c>
      <c r="K391" s="103"/>
      <c r="L391" s="103">
        <v>4.1200000000000001E-2</v>
      </c>
      <c r="O391" s="100"/>
    </row>
    <row r="392" spans="2:15" x14ac:dyDescent="0.2">
      <c r="B392" s="1">
        <v>377</v>
      </c>
      <c r="C392" s="101">
        <f t="shared" ca="1" si="20"/>
        <v>0.35080333668749064</v>
      </c>
      <c r="D392" s="101">
        <f t="shared" ca="1" si="21"/>
        <v>0.68789887443324604</v>
      </c>
      <c r="E392" s="101">
        <f t="shared" ca="1" si="22"/>
        <v>0</v>
      </c>
      <c r="F392" s="21">
        <f t="shared" ca="1" si="23"/>
        <v>0</v>
      </c>
      <c r="H392" s="21">
        <v>377</v>
      </c>
      <c r="I392" s="102">
        <v>0.66770933122559206</v>
      </c>
      <c r="J392" s="103">
        <v>1.3305980093705381E-3</v>
      </c>
      <c r="K392" s="103"/>
      <c r="L392" s="103">
        <v>4.0800000000000003E-2</v>
      </c>
      <c r="O392" s="100"/>
    </row>
    <row r="393" spans="2:15" x14ac:dyDescent="0.2">
      <c r="B393" s="1">
        <v>378</v>
      </c>
      <c r="C393" s="101">
        <f t="shared" ca="1" si="20"/>
        <v>0.2744909296112451</v>
      </c>
      <c r="D393" s="101">
        <f t="shared" ca="1" si="21"/>
        <v>0.68274011722048122</v>
      </c>
      <c r="E393" s="101">
        <f t="shared" ca="1" si="22"/>
        <v>0</v>
      </c>
      <c r="F393" s="21">
        <f t="shared" ca="1" si="23"/>
        <v>0</v>
      </c>
      <c r="H393" s="21">
        <v>378</v>
      </c>
      <c r="I393" s="102">
        <v>0.66765334611910654</v>
      </c>
      <c r="J393" s="103">
        <v>1.4050093537932562E-3</v>
      </c>
      <c r="K393" s="103"/>
      <c r="L393" s="103">
        <v>3.9199999999999999E-2</v>
      </c>
      <c r="O393" s="100"/>
    </row>
    <row r="394" spans="2:15" x14ac:dyDescent="0.2">
      <c r="B394" s="1">
        <v>379</v>
      </c>
      <c r="C394" s="101">
        <f t="shared" ca="1" si="20"/>
        <v>-0.33549991801619589</v>
      </c>
      <c r="D394" s="101">
        <f t="shared" ca="1" si="21"/>
        <v>0.64287093400713258</v>
      </c>
      <c r="E394" s="101">
        <f t="shared" ca="1" si="22"/>
        <v>0</v>
      </c>
      <c r="F394" s="21">
        <f t="shared" ca="1" si="23"/>
        <v>0</v>
      </c>
      <c r="H394" s="21">
        <v>379</v>
      </c>
      <c r="I394" s="102">
        <v>0.66778737264453181</v>
      </c>
      <c r="J394" s="103">
        <v>1.4743536081349552E-3</v>
      </c>
      <c r="K394" s="103"/>
      <c r="L394" s="103">
        <v>4.4400000000000002E-2</v>
      </c>
      <c r="O394" s="100"/>
    </row>
    <row r="395" spans="2:15" x14ac:dyDescent="0.2">
      <c r="B395" s="1">
        <v>380</v>
      </c>
      <c r="C395" s="101">
        <f t="shared" ca="1" si="20"/>
        <v>1.7771629026418836</v>
      </c>
      <c r="D395" s="101">
        <f t="shared" ca="1" si="21"/>
        <v>0.79182455111167682</v>
      </c>
      <c r="E395" s="101">
        <f t="shared" ca="1" si="22"/>
        <v>3.6245511116768103E-3</v>
      </c>
      <c r="F395" s="21">
        <f t="shared" ca="1" si="23"/>
        <v>1</v>
      </c>
      <c r="H395" s="21">
        <v>380</v>
      </c>
      <c r="I395" s="102">
        <v>0.66783411679422811</v>
      </c>
      <c r="J395" s="103">
        <v>1.4791129917249648E-3</v>
      </c>
      <c r="K395" s="103"/>
      <c r="L395" s="103">
        <v>4.58E-2</v>
      </c>
      <c r="O395" s="100"/>
    </row>
    <row r="396" spans="2:15" x14ac:dyDescent="0.2">
      <c r="B396" s="1">
        <v>381</v>
      </c>
      <c r="C396" s="101">
        <f t="shared" ca="1" si="20"/>
        <v>-2.1076726047278935</v>
      </c>
      <c r="D396" s="101">
        <f t="shared" ca="1" si="21"/>
        <v>0.53976535431074857</v>
      </c>
      <c r="E396" s="101">
        <f t="shared" ca="1" si="22"/>
        <v>0</v>
      </c>
      <c r="F396" s="21">
        <f t="shared" ca="1" si="23"/>
        <v>0</v>
      </c>
      <c r="H396" s="21">
        <v>381</v>
      </c>
      <c r="I396" s="102">
        <v>0.66773736487476143</v>
      </c>
      <c r="J396" s="103">
        <v>1.3473059909019426E-3</v>
      </c>
      <c r="K396" s="103"/>
      <c r="L396" s="103">
        <v>4.3799999999999999E-2</v>
      </c>
      <c r="O396" s="100"/>
    </row>
    <row r="397" spans="2:15" x14ac:dyDescent="0.2">
      <c r="B397" s="1">
        <v>382</v>
      </c>
      <c r="C397" s="101">
        <f t="shared" ca="1" si="20"/>
        <v>-1.0659575135061645</v>
      </c>
      <c r="D397" s="101">
        <f t="shared" ca="1" si="21"/>
        <v>0.59817937893104844</v>
      </c>
      <c r="E397" s="101">
        <f t="shared" ca="1" si="22"/>
        <v>0</v>
      </c>
      <c r="F397" s="21">
        <f t="shared" ca="1" si="23"/>
        <v>0</v>
      </c>
      <c r="H397" s="21">
        <v>382</v>
      </c>
      <c r="I397" s="102">
        <v>0.66785585475671105</v>
      </c>
      <c r="J397" s="103">
        <v>1.5490015864357315E-3</v>
      </c>
      <c r="K397" s="103"/>
      <c r="L397" s="103">
        <v>4.7199999999999999E-2</v>
      </c>
      <c r="O397" s="100"/>
    </row>
    <row r="398" spans="2:15" x14ac:dyDescent="0.2">
      <c r="B398" s="1">
        <v>383</v>
      </c>
      <c r="C398" s="101">
        <f t="shared" ca="1" si="20"/>
        <v>-1.8048897764666949</v>
      </c>
      <c r="D398" s="101">
        <f t="shared" ca="1" si="21"/>
        <v>0.55612963061731957</v>
      </c>
      <c r="E398" s="101">
        <f t="shared" ca="1" si="22"/>
        <v>0</v>
      </c>
      <c r="F398" s="21">
        <f t="shared" ca="1" si="23"/>
        <v>0</v>
      </c>
      <c r="H398" s="21">
        <v>383</v>
      </c>
      <c r="I398" s="102">
        <v>0.6677770586346593</v>
      </c>
      <c r="J398" s="103">
        <v>1.3058207486535542E-3</v>
      </c>
      <c r="K398" s="103"/>
      <c r="L398" s="103">
        <v>4.0399999999999998E-2</v>
      </c>
      <c r="O398" s="100"/>
    </row>
    <row r="399" spans="2:15" x14ac:dyDescent="0.2">
      <c r="B399" s="1">
        <v>384</v>
      </c>
      <c r="C399" s="101">
        <f t="shared" ca="1" si="20"/>
        <v>1.9329923040364971</v>
      </c>
      <c r="D399" s="101">
        <f t="shared" ca="1" si="21"/>
        <v>0.80408988456001063</v>
      </c>
      <c r="E399" s="101">
        <f t="shared" ca="1" si="22"/>
        <v>1.5889884560010614E-2</v>
      </c>
      <c r="F399" s="21">
        <f t="shared" ca="1" si="23"/>
        <v>1</v>
      </c>
      <c r="H399" s="21">
        <v>384</v>
      </c>
      <c r="I399" s="102">
        <v>0.66781288476734846</v>
      </c>
      <c r="J399" s="103">
        <v>1.5019861879427933E-3</v>
      </c>
      <c r="K399" s="103"/>
      <c r="L399" s="103">
        <v>4.36E-2</v>
      </c>
      <c r="O399" s="100"/>
    </row>
    <row r="400" spans="2:15" x14ac:dyDescent="0.2">
      <c r="B400" s="1">
        <v>385</v>
      </c>
      <c r="C400" s="101">
        <f t="shared" ref="C400:C463" ca="1" si="24">_xlfn.NORM.S.INV(RAND())</f>
        <v>0.96317033576366873</v>
      </c>
      <c r="D400" s="101">
        <f t="shared" ref="D400:D463" ca="1" si="25">S0*EXP((μ-0.5*σ*σ)*T+σ*SQRT(T)*$C400)</f>
        <v>0.73073182716594265</v>
      </c>
      <c r="E400" s="101">
        <f t="shared" ref="E400:E463" ca="1" si="26">MAX(0,CP*(D400-K))</f>
        <v>0</v>
      </c>
      <c r="F400" s="21">
        <f t="shared" ref="F400:F463" ca="1" si="27">(CP*(D400-K)&gt;0)*1</f>
        <v>0</v>
      </c>
      <c r="H400" s="21">
        <v>385</v>
      </c>
      <c r="I400" s="102">
        <v>0.66777181768008342</v>
      </c>
      <c r="J400" s="103">
        <v>1.3044053848340008E-3</v>
      </c>
      <c r="K400" s="103"/>
      <c r="L400" s="103">
        <v>4.36E-2</v>
      </c>
      <c r="O400" s="100"/>
    </row>
    <row r="401" spans="2:15" x14ac:dyDescent="0.2">
      <c r="B401" s="1">
        <v>386</v>
      </c>
      <c r="C401" s="101">
        <f t="shared" ca="1" si="24"/>
        <v>-2.4388500844313508E-2</v>
      </c>
      <c r="D401" s="101">
        <f t="shared" ca="1" si="25"/>
        <v>0.66290548404620486</v>
      </c>
      <c r="E401" s="101">
        <f t="shared" ca="1" si="26"/>
        <v>0</v>
      </c>
      <c r="F401" s="21">
        <f t="shared" ca="1" si="27"/>
        <v>0</v>
      </c>
      <c r="H401" s="21">
        <v>386</v>
      </c>
      <c r="I401" s="102">
        <v>0.66766953985331179</v>
      </c>
      <c r="J401" s="103">
        <v>1.2987948974049429E-3</v>
      </c>
      <c r="K401" s="103"/>
      <c r="L401" s="103">
        <v>4.1000000000000002E-2</v>
      </c>
      <c r="O401" s="100"/>
    </row>
    <row r="402" spans="2:15" x14ac:dyDescent="0.2">
      <c r="B402" s="1">
        <v>387</v>
      </c>
      <c r="C402" s="101">
        <f t="shared" ca="1" si="24"/>
        <v>-0.29764100972877461</v>
      </c>
      <c r="D402" s="101">
        <f t="shared" ca="1" si="25"/>
        <v>0.64527619360352284</v>
      </c>
      <c r="E402" s="101">
        <f t="shared" ca="1" si="26"/>
        <v>0</v>
      </c>
      <c r="F402" s="21">
        <f t="shared" ca="1" si="27"/>
        <v>0</v>
      </c>
      <c r="H402" s="21">
        <v>387</v>
      </c>
      <c r="I402" s="102">
        <v>0.66769646136801586</v>
      </c>
      <c r="J402" s="103">
        <v>1.2592418433498404E-3</v>
      </c>
      <c r="K402" s="103"/>
      <c r="L402" s="103">
        <v>4.2200000000000001E-2</v>
      </c>
      <c r="O402" s="100"/>
    </row>
    <row r="403" spans="2:15" x14ac:dyDescent="0.2">
      <c r="B403" s="1">
        <v>388</v>
      </c>
      <c r="C403" s="101">
        <f t="shared" ca="1" si="24"/>
        <v>-0.62175704452350944</v>
      </c>
      <c r="D403" s="101">
        <f t="shared" ca="1" si="25"/>
        <v>0.62497221759742028</v>
      </c>
      <c r="E403" s="101">
        <f t="shared" ca="1" si="26"/>
        <v>0</v>
      </c>
      <c r="F403" s="21">
        <f t="shared" ca="1" si="27"/>
        <v>0</v>
      </c>
      <c r="H403" s="21">
        <v>388</v>
      </c>
      <c r="I403" s="102">
        <v>0.66772435357276116</v>
      </c>
      <c r="J403" s="103">
        <v>1.431616094703601E-3</v>
      </c>
      <c r="K403" s="103"/>
      <c r="L403" s="103">
        <v>3.9E-2</v>
      </c>
      <c r="O403" s="100"/>
    </row>
    <row r="404" spans="2:15" x14ac:dyDescent="0.2">
      <c r="B404" s="1">
        <v>389</v>
      </c>
      <c r="C404" s="101">
        <f t="shared" ca="1" si="24"/>
        <v>-0.34838815071661206</v>
      </c>
      <c r="D404" s="101">
        <f t="shared" ca="1" si="25"/>
        <v>0.6420541635378223</v>
      </c>
      <c r="E404" s="101">
        <f t="shared" ca="1" si="26"/>
        <v>0</v>
      </c>
      <c r="F404" s="21">
        <f t="shared" ca="1" si="27"/>
        <v>0</v>
      </c>
      <c r="H404" s="21">
        <v>389</v>
      </c>
      <c r="I404" s="102">
        <v>0.66783757874548511</v>
      </c>
      <c r="J404" s="103">
        <v>1.5166290000527558E-3</v>
      </c>
      <c r="K404" s="103"/>
      <c r="L404" s="103">
        <v>4.7399999999999998E-2</v>
      </c>
      <c r="O404" s="100"/>
    </row>
    <row r="405" spans="2:15" x14ac:dyDescent="0.2">
      <c r="B405" s="1">
        <v>390</v>
      </c>
      <c r="C405" s="101">
        <f t="shared" ca="1" si="24"/>
        <v>-0.14822397869215756</v>
      </c>
      <c r="D405" s="101">
        <f t="shared" ca="1" si="25"/>
        <v>0.65485715397186761</v>
      </c>
      <c r="E405" s="101">
        <f t="shared" ca="1" si="26"/>
        <v>0</v>
      </c>
      <c r="F405" s="21">
        <f t="shared" ca="1" si="27"/>
        <v>0</v>
      </c>
      <c r="H405" s="21">
        <v>390</v>
      </c>
      <c r="I405" s="102">
        <v>0.66778701144747421</v>
      </c>
      <c r="J405" s="103">
        <v>1.5063909298552777E-3</v>
      </c>
      <c r="K405" s="103"/>
      <c r="L405" s="103">
        <v>4.2000000000000003E-2</v>
      </c>
      <c r="O405" s="100"/>
    </row>
    <row r="406" spans="2:15" x14ac:dyDescent="0.2">
      <c r="B406" s="1">
        <v>391</v>
      </c>
      <c r="C406" s="101">
        <f t="shared" ca="1" si="24"/>
        <v>-0.11648235035441923</v>
      </c>
      <c r="D406" s="101">
        <f t="shared" ca="1" si="25"/>
        <v>0.6569107487552881</v>
      </c>
      <c r="E406" s="101">
        <f t="shared" ca="1" si="26"/>
        <v>0</v>
      </c>
      <c r="F406" s="21">
        <f t="shared" ca="1" si="27"/>
        <v>0</v>
      </c>
      <c r="H406" s="21">
        <v>391</v>
      </c>
      <c r="I406" s="102">
        <v>0.66781825126160321</v>
      </c>
      <c r="J406" s="103">
        <v>1.5825561743824472E-3</v>
      </c>
      <c r="K406" s="103"/>
      <c r="L406" s="103">
        <v>4.58E-2</v>
      </c>
      <c r="O406" s="100"/>
    </row>
    <row r="407" spans="2:15" x14ac:dyDescent="0.2">
      <c r="B407" s="1">
        <v>392</v>
      </c>
      <c r="C407" s="101">
        <f t="shared" ca="1" si="24"/>
        <v>-1.8650838034249022</v>
      </c>
      <c r="D407" s="101">
        <f t="shared" ca="1" si="25"/>
        <v>0.55283732885483383</v>
      </c>
      <c r="E407" s="101">
        <f t="shared" ca="1" si="26"/>
        <v>0</v>
      </c>
      <c r="F407" s="21">
        <f t="shared" ca="1" si="27"/>
        <v>0</v>
      </c>
      <c r="H407" s="21">
        <v>392</v>
      </c>
      <c r="I407" s="102">
        <v>0.66789759892180134</v>
      </c>
      <c r="J407" s="103">
        <v>1.6306053083412319E-3</v>
      </c>
      <c r="K407" s="103"/>
      <c r="L407" s="103">
        <v>4.7800000000000002E-2</v>
      </c>
      <c r="O407" s="100"/>
    </row>
    <row r="408" spans="2:15" x14ac:dyDescent="0.2">
      <c r="B408" s="1">
        <v>393</v>
      </c>
      <c r="C408" s="101">
        <f t="shared" ca="1" si="24"/>
        <v>-0.7658379892505971</v>
      </c>
      <c r="D408" s="101">
        <f t="shared" ca="1" si="25"/>
        <v>0.61615272407578237</v>
      </c>
      <c r="E408" s="101">
        <f t="shared" ca="1" si="26"/>
        <v>0</v>
      </c>
      <c r="F408" s="21">
        <f t="shared" ca="1" si="27"/>
        <v>0</v>
      </c>
      <c r="H408" s="21">
        <v>393</v>
      </c>
      <c r="I408" s="102">
        <v>0.66772694892540152</v>
      </c>
      <c r="J408" s="103">
        <v>1.3448871915973503E-3</v>
      </c>
      <c r="K408" s="103"/>
      <c r="L408" s="103">
        <v>3.9800000000000002E-2</v>
      </c>
      <c r="O408" s="100"/>
    </row>
    <row r="409" spans="2:15" x14ac:dyDescent="0.2">
      <c r="B409" s="1">
        <v>394</v>
      </c>
      <c r="C409" s="101">
        <f t="shared" ca="1" si="24"/>
        <v>-0.70413150200807706</v>
      </c>
      <c r="D409" s="101">
        <f t="shared" ca="1" si="25"/>
        <v>0.61991456565198899</v>
      </c>
      <c r="E409" s="101">
        <f t="shared" ca="1" si="26"/>
        <v>0</v>
      </c>
      <c r="F409" s="21">
        <f t="shared" ca="1" si="27"/>
        <v>0</v>
      </c>
      <c r="H409" s="21">
        <v>394</v>
      </c>
      <c r="I409" s="102">
        <v>0.66780729577963649</v>
      </c>
      <c r="J409" s="103">
        <v>1.5323087305411226E-3</v>
      </c>
      <c r="K409" s="103"/>
      <c r="L409" s="103">
        <v>0.04</v>
      </c>
      <c r="O409" s="100"/>
    </row>
    <row r="410" spans="2:15" x14ac:dyDescent="0.2">
      <c r="B410" s="1">
        <v>395</v>
      </c>
      <c r="C410" s="101">
        <f t="shared" ca="1" si="24"/>
        <v>-0.51516566827915744</v>
      </c>
      <c r="D410" s="101">
        <f t="shared" ca="1" si="25"/>
        <v>0.63157803913868682</v>
      </c>
      <c r="E410" s="101">
        <f t="shared" ca="1" si="26"/>
        <v>0</v>
      </c>
      <c r="F410" s="21">
        <f t="shared" ca="1" si="27"/>
        <v>0</v>
      </c>
      <c r="H410" s="21">
        <v>395</v>
      </c>
      <c r="I410" s="102">
        <v>0.66767693947042661</v>
      </c>
      <c r="J410" s="103">
        <v>1.2331867582300018E-3</v>
      </c>
      <c r="K410" s="103"/>
      <c r="L410" s="103">
        <v>3.9E-2</v>
      </c>
      <c r="O410" s="100"/>
    </row>
    <row r="411" spans="2:15" x14ac:dyDescent="0.2">
      <c r="B411" s="1">
        <v>396</v>
      </c>
      <c r="C411" s="101">
        <f t="shared" ca="1" si="24"/>
        <v>-6.0564978400200392E-2</v>
      </c>
      <c r="D411" s="101">
        <f t="shared" ca="1" si="25"/>
        <v>0.66054412442845623</v>
      </c>
      <c r="E411" s="101">
        <f t="shared" ca="1" si="26"/>
        <v>0</v>
      </c>
      <c r="F411" s="21">
        <f t="shared" ca="1" si="27"/>
        <v>0</v>
      </c>
      <c r="H411" s="21">
        <v>396</v>
      </c>
      <c r="I411" s="102">
        <v>0.66782330619453456</v>
      </c>
      <c r="J411" s="103">
        <v>1.4217172948150798E-3</v>
      </c>
      <c r="K411" s="103"/>
      <c r="L411" s="103">
        <v>4.5199999999999997E-2</v>
      </c>
      <c r="O411" s="100"/>
    </row>
    <row r="412" spans="2:15" x14ac:dyDescent="0.2">
      <c r="B412" s="1">
        <v>397</v>
      </c>
      <c r="C412" s="101">
        <f t="shared" ca="1" si="24"/>
        <v>-0.12975641819541564</v>
      </c>
      <c r="D412" s="101">
        <f t="shared" ca="1" si="25"/>
        <v>0.65605117132016255</v>
      </c>
      <c r="E412" s="101">
        <f t="shared" ca="1" si="26"/>
        <v>0</v>
      </c>
      <c r="F412" s="21">
        <f t="shared" ca="1" si="27"/>
        <v>0</v>
      </c>
      <c r="H412" s="21">
        <v>397</v>
      </c>
      <c r="I412" s="102">
        <v>0.66780937772191484</v>
      </c>
      <c r="J412" s="103">
        <v>1.3968059860927492E-3</v>
      </c>
      <c r="K412" s="103"/>
      <c r="L412" s="103">
        <v>4.2999999999999997E-2</v>
      </c>
      <c r="O412" s="100"/>
    </row>
    <row r="413" spans="2:15" x14ac:dyDescent="0.2">
      <c r="B413" s="1">
        <v>398</v>
      </c>
      <c r="C413" s="101">
        <f t="shared" ca="1" si="24"/>
        <v>-0.90413032449408826</v>
      </c>
      <c r="D413" s="101">
        <f t="shared" ca="1" si="25"/>
        <v>0.60780464465778494</v>
      </c>
      <c r="E413" s="101">
        <f t="shared" ca="1" si="26"/>
        <v>0</v>
      </c>
      <c r="F413" s="21">
        <f t="shared" ca="1" si="27"/>
        <v>0</v>
      </c>
      <c r="H413" s="21">
        <v>398</v>
      </c>
      <c r="I413" s="102">
        <v>0.66784979009901879</v>
      </c>
      <c r="J413" s="103">
        <v>1.5322686489592121E-3</v>
      </c>
      <c r="K413" s="103"/>
      <c r="L413" s="103">
        <v>4.4400000000000002E-2</v>
      </c>
      <c r="O413" s="100"/>
    </row>
    <row r="414" spans="2:15" x14ac:dyDescent="0.2">
      <c r="B414" s="1">
        <v>399</v>
      </c>
      <c r="C414" s="101">
        <f t="shared" ca="1" si="24"/>
        <v>-2.0597809635910038E-2</v>
      </c>
      <c r="D414" s="101">
        <f t="shared" ca="1" si="25"/>
        <v>0.66315340322146632</v>
      </c>
      <c r="E414" s="101">
        <f t="shared" ca="1" si="26"/>
        <v>0</v>
      </c>
      <c r="F414" s="21">
        <f t="shared" ca="1" si="27"/>
        <v>0</v>
      </c>
      <c r="H414" s="21">
        <v>399</v>
      </c>
      <c r="I414" s="102">
        <v>0.6678952599661685</v>
      </c>
      <c r="J414" s="103">
        <v>1.5600580378050404E-3</v>
      </c>
      <c r="K414" s="103"/>
      <c r="L414" s="103">
        <v>4.3999999999999997E-2</v>
      </c>
      <c r="O414" s="100"/>
    </row>
    <row r="415" spans="2:15" x14ac:dyDescent="0.2">
      <c r="B415" s="1">
        <v>400</v>
      </c>
      <c r="C415" s="101">
        <f t="shared" ca="1" si="24"/>
        <v>0.8474727457009098</v>
      </c>
      <c r="D415" s="101">
        <f t="shared" ca="1" si="25"/>
        <v>0.72243971081582348</v>
      </c>
      <c r="E415" s="101">
        <f t="shared" ca="1" si="26"/>
        <v>0</v>
      </c>
      <c r="F415" s="21">
        <f t="shared" ca="1" si="27"/>
        <v>0</v>
      </c>
      <c r="H415" s="21">
        <v>400</v>
      </c>
      <c r="I415" s="102">
        <v>0.66779102024520831</v>
      </c>
      <c r="J415" s="103">
        <v>1.4605683986453832E-3</v>
      </c>
      <c r="K415" s="103"/>
      <c r="L415" s="103">
        <v>4.4999999999999998E-2</v>
      </c>
      <c r="O415" s="100"/>
    </row>
    <row r="416" spans="2:15" x14ac:dyDescent="0.2">
      <c r="B416" s="1">
        <v>401</v>
      </c>
      <c r="C416" s="101">
        <f t="shared" ca="1" si="24"/>
        <v>-7.5881219285776874E-2</v>
      </c>
      <c r="D416" s="101">
        <f t="shared" ca="1" si="25"/>
        <v>0.65954691840130586</v>
      </c>
      <c r="E416" s="101">
        <f t="shared" ca="1" si="26"/>
        <v>0</v>
      </c>
      <c r="F416" s="21">
        <f t="shared" ca="1" si="27"/>
        <v>0</v>
      </c>
      <c r="H416" s="21">
        <v>401</v>
      </c>
      <c r="I416" s="102">
        <v>0.66767330222409538</v>
      </c>
      <c r="J416" s="103">
        <v>1.2300806457630055E-3</v>
      </c>
      <c r="K416" s="103"/>
      <c r="L416" s="103">
        <v>3.8399999999999997E-2</v>
      </c>
      <c r="O416" s="100"/>
    </row>
    <row r="417" spans="2:15" x14ac:dyDescent="0.2">
      <c r="B417" s="1">
        <v>402</v>
      </c>
      <c r="C417" s="101">
        <f t="shared" ca="1" si="24"/>
        <v>0.89196452770364143</v>
      </c>
      <c r="D417" s="101">
        <f t="shared" ca="1" si="25"/>
        <v>0.72561727008686094</v>
      </c>
      <c r="E417" s="101">
        <f t="shared" ca="1" si="26"/>
        <v>0</v>
      </c>
      <c r="F417" s="21">
        <f t="shared" ca="1" si="27"/>
        <v>0</v>
      </c>
      <c r="H417" s="21">
        <v>402</v>
      </c>
      <c r="I417" s="102">
        <v>0.66782523594801491</v>
      </c>
      <c r="J417" s="103">
        <v>1.4138496665411877E-3</v>
      </c>
      <c r="K417" s="103"/>
      <c r="L417" s="103">
        <v>4.3999999999999997E-2</v>
      </c>
      <c r="O417" s="100"/>
    </row>
    <row r="418" spans="2:15" x14ac:dyDescent="0.2">
      <c r="B418" s="1">
        <v>403</v>
      </c>
      <c r="C418" s="101">
        <f t="shared" ca="1" si="24"/>
        <v>0.4613346827366378</v>
      </c>
      <c r="D418" s="101">
        <f t="shared" ca="1" si="25"/>
        <v>0.69544004314288732</v>
      </c>
      <c r="E418" s="101">
        <f t="shared" ca="1" si="26"/>
        <v>0</v>
      </c>
      <c r="F418" s="21">
        <f t="shared" ca="1" si="27"/>
        <v>0</v>
      </c>
      <c r="H418" s="21">
        <v>403</v>
      </c>
      <c r="I418" s="102">
        <v>0.66780097336060185</v>
      </c>
      <c r="J418" s="103">
        <v>1.4082517808026017E-3</v>
      </c>
      <c r="K418" s="103"/>
      <c r="L418" s="103">
        <v>4.5199999999999997E-2</v>
      </c>
      <c r="O418" s="100"/>
    </row>
    <row r="419" spans="2:15" x14ac:dyDescent="0.2">
      <c r="B419" s="1">
        <v>404</v>
      </c>
      <c r="C419" s="101">
        <f t="shared" ca="1" si="24"/>
        <v>-0.79821213388995838</v>
      </c>
      <c r="D419" s="101">
        <f t="shared" ca="1" si="25"/>
        <v>0.61418822279366436</v>
      </c>
      <c r="E419" s="101">
        <f t="shared" ca="1" si="26"/>
        <v>0</v>
      </c>
      <c r="F419" s="21">
        <f t="shared" ca="1" si="27"/>
        <v>0</v>
      </c>
      <c r="H419" s="21">
        <v>404</v>
      </c>
      <c r="I419" s="102">
        <v>0.66772975007361601</v>
      </c>
      <c r="J419" s="103">
        <v>1.3204506154151829E-3</v>
      </c>
      <c r="K419" s="103"/>
      <c r="L419" s="103">
        <v>4.4600000000000001E-2</v>
      </c>
      <c r="O419" s="100"/>
    </row>
    <row r="420" spans="2:15" x14ac:dyDescent="0.2">
      <c r="B420" s="1">
        <v>405</v>
      </c>
      <c r="C420" s="101">
        <f t="shared" ca="1" si="24"/>
        <v>-0.42449022891050364</v>
      </c>
      <c r="D420" s="101">
        <f t="shared" ca="1" si="25"/>
        <v>0.6372524303931546</v>
      </c>
      <c r="E420" s="101">
        <f t="shared" ca="1" si="26"/>
        <v>0</v>
      </c>
      <c r="F420" s="21">
        <f t="shared" ca="1" si="27"/>
        <v>0</v>
      </c>
      <c r="H420" s="21">
        <v>405</v>
      </c>
      <c r="I420" s="102">
        <v>0.6678030851116985</v>
      </c>
      <c r="J420" s="103">
        <v>1.4062831686629733E-3</v>
      </c>
      <c r="K420" s="103"/>
      <c r="L420" s="103">
        <v>4.2200000000000001E-2</v>
      </c>
      <c r="O420" s="100"/>
    </row>
    <row r="421" spans="2:15" x14ac:dyDescent="0.2">
      <c r="B421" s="1">
        <v>406</v>
      </c>
      <c r="C421" s="101">
        <f t="shared" ca="1" si="24"/>
        <v>-1.0033887900433884</v>
      </c>
      <c r="D421" s="101">
        <f t="shared" ca="1" si="25"/>
        <v>0.60188267577244392</v>
      </c>
      <c r="E421" s="101">
        <f t="shared" ca="1" si="26"/>
        <v>0</v>
      </c>
      <c r="F421" s="21">
        <f t="shared" ca="1" si="27"/>
        <v>0</v>
      </c>
      <c r="H421" s="21">
        <v>406</v>
      </c>
      <c r="I421" s="102">
        <v>0.66781560898727088</v>
      </c>
      <c r="J421" s="103">
        <v>1.4407456671136274E-3</v>
      </c>
      <c r="K421" s="103"/>
      <c r="L421" s="103">
        <v>4.3400000000000001E-2</v>
      </c>
      <c r="O421" s="100"/>
    </row>
    <row r="422" spans="2:15" x14ac:dyDescent="0.2">
      <c r="B422" s="1">
        <v>407</v>
      </c>
      <c r="C422" s="101">
        <f t="shared" ca="1" si="24"/>
        <v>0.65036564901518001</v>
      </c>
      <c r="D422" s="101">
        <f t="shared" ca="1" si="25"/>
        <v>0.70852905391454779</v>
      </c>
      <c r="E422" s="101">
        <f t="shared" ca="1" si="26"/>
        <v>0</v>
      </c>
      <c r="F422" s="21">
        <f t="shared" ca="1" si="27"/>
        <v>0</v>
      </c>
      <c r="H422" s="21">
        <v>407</v>
      </c>
      <c r="I422" s="102">
        <v>0.66760912121338256</v>
      </c>
      <c r="J422" s="103">
        <v>1.2478455236044344E-3</v>
      </c>
      <c r="K422" s="103"/>
      <c r="L422" s="103">
        <v>3.9399999999999998E-2</v>
      </c>
      <c r="O422" s="100"/>
    </row>
    <row r="423" spans="2:15" x14ac:dyDescent="0.2">
      <c r="B423" s="1">
        <v>408</v>
      </c>
      <c r="C423" s="101">
        <f t="shared" ca="1" si="24"/>
        <v>1.1887296444697366</v>
      </c>
      <c r="D423" s="101">
        <f t="shared" ca="1" si="25"/>
        <v>0.74717244173536168</v>
      </c>
      <c r="E423" s="101">
        <f t="shared" ca="1" si="26"/>
        <v>0</v>
      </c>
      <c r="F423" s="21">
        <f t="shared" ca="1" si="27"/>
        <v>0</v>
      </c>
      <c r="H423" s="21">
        <v>408</v>
      </c>
      <c r="I423" s="102">
        <v>0.6677561540291479</v>
      </c>
      <c r="J423" s="103">
        <v>1.3052204740130558E-3</v>
      </c>
      <c r="K423" s="103"/>
      <c r="L423" s="103">
        <v>4.02E-2</v>
      </c>
      <c r="O423" s="100"/>
    </row>
    <row r="424" spans="2:15" x14ac:dyDescent="0.2">
      <c r="B424" s="1">
        <v>409</v>
      </c>
      <c r="C424" s="101">
        <f t="shared" ca="1" si="24"/>
        <v>0.60019103271232799</v>
      </c>
      <c r="D424" s="101">
        <f t="shared" ca="1" si="25"/>
        <v>0.70503100125745011</v>
      </c>
      <c r="E424" s="101">
        <f t="shared" ca="1" si="26"/>
        <v>0</v>
      </c>
      <c r="F424" s="21">
        <f t="shared" ca="1" si="27"/>
        <v>0</v>
      </c>
      <c r="H424" s="21">
        <v>409</v>
      </c>
      <c r="I424" s="102">
        <v>0.66775229548638226</v>
      </c>
      <c r="J424" s="103">
        <v>1.4612927055078692E-3</v>
      </c>
      <c r="K424" s="103"/>
      <c r="L424" s="103">
        <v>4.36E-2</v>
      </c>
      <c r="O424" s="100"/>
    </row>
    <row r="425" spans="2:15" x14ac:dyDescent="0.2">
      <c r="B425" s="1">
        <v>410</v>
      </c>
      <c r="C425" s="101">
        <f t="shared" ca="1" si="24"/>
        <v>-0.23837271624971246</v>
      </c>
      <c r="D425" s="101">
        <f t="shared" ca="1" si="25"/>
        <v>0.64905972283155411</v>
      </c>
      <c r="E425" s="101">
        <f t="shared" ca="1" si="26"/>
        <v>0</v>
      </c>
      <c r="F425" s="21">
        <f t="shared" ca="1" si="27"/>
        <v>0</v>
      </c>
      <c r="H425" s="21">
        <v>410</v>
      </c>
      <c r="I425" s="102">
        <v>0.66774311938858666</v>
      </c>
      <c r="J425" s="103">
        <v>1.3024065841171137E-3</v>
      </c>
      <c r="K425" s="103"/>
      <c r="L425" s="103">
        <v>4.2599999999999999E-2</v>
      </c>
      <c r="O425" s="100"/>
    </row>
    <row r="426" spans="2:15" x14ac:dyDescent="0.2">
      <c r="B426" s="1">
        <v>411</v>
      </c>
      <c r="C426" s="101">
        <f t="shared" ca="1" si="24"/>
        <v>-0.86338922689961572</v>
      </c>
      <c r="D426" s="101">
        <f t="shared" ca="1" si="25"/>
        <v>0.6102521778725245</v>
      </c>
      <c r="E426" s="101">
        <f t="shared" ca="1" si="26"/>
        <v>0</v>
      </c>
      <c r="F426" s="21">
        <f t="shared" ca="1" si="27"/>
        <v>0</v>
      </c>
      <c r="H426" s="21">
        <v>411</v>
      </c>
      <c r="I426" s="102">
        <v>0.66788600608878723</v>
      </c>
      <c r="J426" s="103">
        <v>1.4521548292146778E-3</v>
      </c>
      <c r="K426" s="103"/>
      <c r="L426" s="103">
        <v>4.58E-2</v>
      </c>
      <c r="O426" s="100"/>
    </row>
    <row r="427" spans="2:15" x14ac:dyDescent="0.2">
      <c r="B427" s="1">
        <v>412</v>
      </c>
      <c r="C427" s="101">
        <f t="shared" ca="1" si="24"/>
        <v>1.741498285366472</v>
      </c>
      <c r="D427" s="101">
        <f t="shared" ca="1" si="25"/>
        <v>0.78904380248994221</v>
      </c>
      <c r="E427" s="101">
        <f t="shared" ca="1" si="26"/>
        <v>8.4380248994220253E-4</v>
      </c>
      <c r="F427" s="21">
        <f t="shared" ca="1" si="27"/>
        <v>1</v>
      </c>
      <c r="H427" s="21">
        <v>412</v>
      </c>
      <c r="I427" s="102">
        <v>0.66773817130336643</v>
      </c>
      <c r="J427" s="103">
        <v>1.2874464852613591E-3</v>
      </c>
      <c r="K427" s="103"/>
      <c r="L427" s="103">
        <v>4.2999999999999997E-2</v>
      </c>
      <c r="O427" s="100"/>
    </row>
    <row r="428" spans="2:15" x14ac:dyDescent="0.2">
      <c r="B428" s="1">
        <v>413</v>
      </c>
      <c r="C428" s="101">
        <f t="shared" ca="1" si="24"/>
        <v>0.68824090335019517</v>
      </c>
      <c r="D428" s="101">
        <f t="shared" ca="1" si="25"/>
        <v>0.7111811157811968</v>
      </c>
      <c r="E428" s="101">
        <f t="shared" ca="1" si="26"/>
        <v>0</v>
      </c>
      <c r="F428" s="21">
        <f t="shared" ca="1" si="27"/>
        <v>0</v>
      </c>
      <c r="H428" s="21">
        <v>413</v>
      </c>
      <c r="I428" s="102">
        <v>0.66771739860384294</v>
      </c>
      <c r="J428" s="103">
        <v>1.3889907121005596E-3</v>
      </c>
      <c r="K428" s="103"/>
      <c r="L428" s="103">
        <v>4.24E-2</v>
      </c>
      <c r="O428" s="100"/>
    </row>
    <row r="429" spans="2:15" x14ac:dyDescent="0.2">
      <c r="B429" s="1">
        <v>414</v>
      </c>
      <c r="C429" s="101">
        <f t="shared" ca="1" si="24"/>
        <v>-1.7442668957739564</v>
      </c>
      <c r="D429" s="101">
        <f t="shared" ca="1" si="25"/>
        <v>0.55946520535134892</v>
      </c>
      <c r="E429" s="101">
        <f t="shared" ca="1" si="26"/>
        <v>0</v>
      </c>
      <c r="F429" s="21">
        <f t="shared" ca="1" si="27"/>
        <v>0</v>
      </c>
      <c r="H429" s="21">
        <v>414</v>
      </c>
      <c r="I429" s="102">
        <v>0.66768135872608958</v>
      </c>
      <c r="J429" s="103">
        <v>1.3163416071872681E-3</v>
      </c>
      <c r="K429" s="103"/>
      <c r="L429" s="103">
        <v>4.2599999999999999E-2</v>
      </c>
      <c r="O429" s="100"/>
    </row>
    <row r="430" spans="2:15" x14ac:dyDescent="0.2">
      <c r="B430" s="1">
        <v>415</v>
      </c>
      <c r="C430" s="101">
        <f t="shared" ca="1" si="24"/>
        <v>0.65998206367099277</v>
      </c>
      <c r="D430" s="101">
        <f t="shared" ca="1" si="25"/>
        <v>0.70920146635969661</v>
      </c>
      <c r="E430" s="101">
        <f t="shared" ca="1" si="26"/>
        <v>0</v>
      </c>
      <c r="F430" s="21">
        <f t="shared" ca="1" si="27"/>
        <v>0</v>
      </c>
      <c r="H430" s="21">
        <v>415</v>
      </c>
      <c r="I430" s="102">
        <v>0.66775170795920524</v>
      </c>
      <c r="J430" s="103">
        <v>1.314038076343233E-3</v>
      </c>
      <c r="K430" s="103"/>
      <c r="L430" s="103">
        <v>4.02E-2</v>
      </c>
      <c r="O430" s="100"/>
    </row>
    <row r="431" spans="2:15" x14ac:dyDescent="0.2">
      <c r="B431" s="1">
        <v>416</v>
      </c>
      <c r="C431" s="101">
        <f t="shared" ca="1" si="24"/>
        <v>-1.2426012531145625</v>
      </c>
      <c r="D431" s="101">
        <f t="shared" ca="1" si="25"/>
        <v>0.5878467596391227</v>
      </c>
      <c r="E431" s="101">
        <f t="shared" ca="1" si="26"/>
        <v>0</v>
      </c>
      <c r="F431" s="21">
        <f t="shared" ca="1" si="27"/>
        <v>0</v>
      </c>
      <c r="H431" s="21">
        <v>416</v>
      </c>
      <c r="I431" s="102">
        <v>0.66774727270189127</v>
      </c>
      <c r="J431" s="103">
        <v>1.2712839908419137E-3</v>
      </c>
      <c r="K431" s="103"/>
      <c r="L431" s="103">
        <v>3.9800000000000002E-2</v>
      </c>
      <c r="O431" s="100"/>
    </row>
    <row r="432" spans="2:15" x14ac:dyDescent="0.2">
      <c r="B432" s="1">
        <v>417</v>
      </c>
      <c r="C432" s="101">
        <f t="shared" ca="1" si="24"/>
        <v>1.739516742457127</v>
      </c>
      <c r="D432" s="101">
        <f t="shared" ca="1" si="25"/>
        <v>0.78888958946660814</v>
      </c>
      <c r="E432" s="101">
        <f t="shared" ca="1" si="26"/>
        <v>6.8958946660813147E-4</v>
      </c>
      <c r="F432" s="21">
        <f t="shared" ca="1" si="27"/>
        <v>1</v>
      </c>
      <c r="H432" s="21">
        <v>417</v>
      </c>
      <c r="I432" s="102">
        <v>0.6677234278019899</v>
      </c>
      <c r="J432" s="103">
        <v>1.2997284240569868E-3</v>
      </c>
      <c r="K432" s="103"/>
      <c r="L432" s="103">
        <v>4.1799999999999997E-2</v>
      </c>
      <c r="O432" s="100"/>
    </row>
    <row r="433" spans="2:15" x14ac:dyDescent="0.2">
      <c r="B433" s="1">
        <v>418</v>
      </c>
      <c r="C433" s="101">
        <f t="shared" ca="1" si="24"/>
        <v>-0.16363028753899564</v>
      </c>
      <c r="D433" s="101">
        <f t="shared" ca="1" si="25"/>
        <v>0.65386272419498515</v>
      </c>
      <c r="E433" s="101">
        <f t="shared" ca="1" si="26"/>
        <v>0</v>
      </c>
      <c r="F433" s="21">
        <f t="shared" ca="1" si="27"/>
        <v>0</v>
      </c>
      <c r="H433" s="21">
        <v>418</v>
      </c>
      <c r="I433" s="102">
        <v>0.66776749897665055</v>
      </c>
      <c r="J433" s="103">
        <v>1.3456762678275133E-3</v>
      </c>
      <c r="K433" s="103"/>
      <c r="L433" s="103">
        <v>3.9199999999999999E-2</v>
      </c>
      <c r="O433" s="100"/>
    </row>
    <row r="434" spans="2:15" x14ac:dyDescent="0.2">
      <c r="B434" s="1">
        <v>419</v>
      </c>
      <c r="C434" s="101">
        <f t="shared" ca="1" si="24"/>
        <v>-9.4973285184562536E-2</v>
      </c>
      <c r="D434" s="101">
        <f t="shared" ca="1" si="25"/>
        <v>0.65830598452963496</v>
      </c>
      <c r="E434" s="101">
        <f t="shared" ca="1" si="26"/>
        <v>0</v>
      </c>
      <c r="F434" s="21">
        <f t="shared" ca="1" si="27"/>
        <v>0</v>
      </c>
      <c r="H434" s="21">
        <v>419</v>
      </c>
      <c r="I434" s="102">
        <v>0.66777380026979449</v>
      </c>
      <c r="J434" s="103">
        <v>1.6233159759515396E-3</v>
      </c>
      <c r="K434" s="103"/>
      <c r="L434" s="103">
        <v>4.2599999999999999E-2</v>
      </c>
      <c r="O434" s="100"/>
    </row>
    <row r="435" spans="2:15" x14ac:dyDescent="0.2">
      <c r="B435" s="1">
        <v>420</v>
      </c>
      <c r="C435" s="101">
        <f t="shared" ca="1" si="24"/>
        <v>-0.47307759548290734</v>
      </c>
      <c r="D435" s="101">
        <f t="shared" ca="1" si="25"/>
        <v>0.63420556371359793</v>
      </c>
      <c r="E435" s="101">
        <f t="shared" ca="1" si="26"/>
        <v>0</v>
      </c>
      <c r="F435" s="21">
        <f t="shared" ca="1" si="27"/>
        <v>0</v>
      </c>
      <c r="H435" s="21">
        <v>420</v>
      </c>
      <c r="I435" s="102">
        <v>0.6678072379856943</v>
      </c>
      <c r="J435" s="103">
        <v>1.4171318888680413E-3</v>
      </c>
      <c r="K435" s="103"/>
      <c r="L435" s="103">
        <v>4.1799999999999997E-2</v>
      </c>
      <c r="O435" s="100"/>
    </row>
    <row r="436" spans="2:15" x14ac:dyDescent="0.2">
      <c r="B436" s="1">
        <v>421</v>
      </c>
      <c r="C436" s="101">
        <f t="shared" ca="1" si="24"/>
        <v>0.17695207871470964</v>
      </c>
      <c r="D436" s="101">
        <f t="shared" ca="1" si="25"/>
        <v>0.67620272742322052</v>
      </c>
      <c r="E436" s="101">
        <f t="shared" ca="1" si="26"/>
        <v>0</v>
      </c>
      <c r="F436" s="21">
        <f t="shared" ca="1" si="27"/>
        <v>0</v>
      </c>
      <c r="H436" s="21">
        <v>421</v>
      </c>
      <c r="I436" s="102">
        <v>0.66764432890015102</v>
      </c>
      <c r="J436" s="103">
        <v>1.1846675554913382E-3</v>
      </c>
      <c r="K436" s="103"/>
      <c r="L436" s="103">
        <v>3.9800000000000002E-2</v>
      </c>
      <c r="O436" s="100"/>
    </row>
    <row r="437" spans="2:15" x14ac:dyDescent="0.2">
      <c r="B437" s="1">
        <v>422</v>
      </c>
      <c r="C437" s="101">
        <f t="shared" ca="1" si="24"/>
        <v>-1.2693631571001813</v>
      </c>
      <c r="D437" s="101">
        <f t="shared" ca="1" si="25"/>
        <v>0.58629699077326636</v>
      </c>
      <c r="E437" s="101">
        <f t="shared" ca="1" si="26"/>
        <v>0</v>
      </c>
      <c r="F437" s="21">
        <f t="shared" ca="1" si="27"/>
        <v>0</v>
      </c>
      <c r="H437" s="21">
        <v>422</v>
      </c>
      <c r="I437" s="102">
        <v>0.66779734034662952</v>
      </c>
      <c r="J437" s="103">
        <v>1.5855920386429803E-3</v>
      </c>
      <c r="K437" s="103"/>
      <c r="L437" s="103">
        <v>4.5400000000000003E-2</v>
      </c>
      <c r="O437" s="100"/>
    </row>
    <row r="438" spans="2:15" x14ac:dyDescent="0.2">
      <c r="B438" s="1">
        <v>423</v>
      </c>
      <c r="C438" s="101">
        <f t="shared" ca="1" si="24"/>
        <v>-0.27725443414927253</v>
      </c>
      <c r="D438" s="101">
        <f t="shared" ca="1" si="25"/>
        <v>0.6465751230803487</v>
      </c>
      <c r="E438" s="101">
        <f t="shared" ca="1" si="26"/>
        <v>0</v>
      </c>
      <c r="F438" s="21">
        <f t="shared" ca="1" si="27"/>
        <v>0</v>
      </c>
      <c r="H438" s="21">
        <v>423</v>
      </c>
      <c r="I438" s="102">
        <v>0.66773310876074476</v>
      </c>
      <c r="J438" s="103">
        <v>1.2374159828545783E-3</v>
      </c>
      <c r="K438" s="103"/>
      <c r="L438" s="103">
        <v>3.8399999999999997E-2</v>
      </c>
      <c r="O438" s="100"/>
    </row>
    <row r="439" spans="2:15" x14ac:dyDescent="0.2">
      <c r="B439" s="1">
        <v>424</v>
      </c>
      <c r="C439" s="101">
        <f t="shared" ca="1" si="24"/>
        <v>0.59788957408056431</v>
      </c>
      <c r="D439" s="101">
        <f t="shared" ca="1" si="25"/>
        <v>0.70487096403990757</v>
      </c>
      <c r="E439" s="101">
        <f t="shared" ca="1" si="26"/>
        <v>0</v>
      </c>
      <c r="F439" s="21">
        <f t="shared" ca="1" si="27"/>
        <v>0</v>
      </c>
      <c r="H439" s="21">
        <v>424</v>
      </c>
      <c r="I439" s="102">
        <v>0.66774983282559552</v>
      </c>
      <c r="J439" s="103">
        <v>1.3049219393313043E-3</v>
      </c>
      <c r="K439" s="103"/>
      <c r="L439" s="103">
        <v>4.0599999999999997E-2</v>
      </c>
      <c r="O439" s="100"/>
    </row>
    <row r="440" spans="2:15" x14ac:dyDescent="0.2">
      <c r="B440" s="1">
        <v>425</v>
      </c>
      <c r="C440" s="101">
        <f t="shared" ca="1" si="24"/>
        <v>3.8684475410129884E-2</v>
      </c>
      <c r="D440" s="101">
        <f t="shared" ca="1" si="25"/>
        <v>0.66704267476177925</v>
      </c>
      <c r="E440" s="101">
        <f t="shared" ca="1" si="26"/>
        <v>0</v>
      </c>
      <c r="F440" s="21">
        <f t="shared" ca="1" si="27"/>
        <v>0</v>
      </c>
      <c r="H440" s="21">
        <v>425</v>
      </c>
      <c r="I440" s="102">
        <v>0.6677965167679526</v>
      </c>
      <c r="J440" s="103">
        <v>1.4308862483858342E-3</v>
      </c>
      <c r="K440" s="103"/>
      <c r="L440" s="103">
        <v>4.1799999999999997E-2</v>
      </c>
      <c r="O440" s="100"/>
    </row>
    <row r="441" spans="2:15" x14ac:dyDescent="0.2">
      <c r="B441" s="1">
        <v>426</v>
      </c>
      <c r="C441" s="101">
        <f t="shared" ca="1" si="24"/>
        <v>0.75920209677008643</v>
      </c>
      <c r="D441" s="101">
        <f t="shared" ca="1" si="25"/>
        <v>0.71617663784114971</v>
      </c>
      <c r="E441" s="101">
        <f t="shared" ca="1" si="26"/>
        <v>0</v>
      </c>
      <c r="F441" s="21">
        <f t="shared" ca="1" si="27"/>
        <v>0</v>
      </c>
      <c r="H441" s="21">
        <v>426</v>
      </c>
      <c r="I441" s="102">
        <v>0.66774023887179923</v>
      </c>
      <c r="J441" s="103">
        <v>1.3199277627110697E-3</v>
      </c>
      <c r="K441" s="103"/>
      <c r="L441" s="103">
        <v>4.0800000000000003E-2</v>
      </c>
      <c r="O441" s="100"/>
    </row>
    <row r="442" spans="2:15" x14ac:dyDescent="0.2">
      <c r="B442" s="1">
        <v>427</v>
      </c>
      <c r="C442" s="101">
        <f t="shared" ca="1" si="24"/>
        <v>-0.21231012356363491</v>
      </c>
      <c r="D442" s="101">
        <f t="shared" ca="1" si="25"/>
        <v>0.65073050391573717</v>
      </c>
      <c r="E442" s="101">
        <f t="shared" ca="1" si="26"/>
        <v>0</v>
      </c>
      <c r="F442" s="21">
        <f t="shared" ca="1" si="27"/>
        <v>0</v>
      </c>
      <c r="H442" s="21">
        <v>427</v>
      </c>
      <c r="I442" s="102">
        <v>0.66776813254965683</v>
      </c>
      <c r="J442" s="103">
        <v>1.4211687571399555E-3</v>
      </c>
      <c r="K442" s="103"/>
      <c r="L442" s="103">
        <v>4.1399999999999999E-2</v>
      </c>
      <c r="O442" s="100"/>
    </row>
    <row r="443" spans="2:15" x14ac:dyDescent="0.2">
      <c r="B443" s="1">
        <v>428</v>
      </c>
      <c r="C443" s="101">
        <f t="shared" ca="1" si="24"/>
        <v>2.1206824065481968</v>
      </c>
      <c r="D443" s="101">
        <f t="shared" ca="1" si="25"/>
        <v>0.81911546776014543</v>
      </c>
      <c r="E443" s="101">
        <f t="shared" ca="1" si="26"/>
        <v>3.0915467760145421E-2</v>
      </c>
      <c r="F443" s="21">
        <f t="shared" ca="1" si="27"/>
        <v>1</v>
      </c>
      <c r="H443" s="21">
        <v>428</v>
      </c>
      <c r="I443" s="102">
        <v>0.66770893357676209</v>
      </c>
      <c r="J443" s="103">
        <v>1.3826372317090499E-3</v>
      </c>
      <c r="K443" s="103"/>
      <c r="L443" s="103">
        <v>3.9399999999999998E-2</v>
      </c>
      <c r="O443" s="100"/>
    </row>
    <row r="444" spans="2:15" x14ac:dyDescent="0.2">
      <c r="B444" s="1">
        <v>429</v>
      </c>
      <c r="C444" s="101">
        <f t="shared" ca="1" si="24"/>
        <v>-1.6055539796535663</v>
      </c>
      <c r="D444" s="101">
        <f t="shared" ca="1" si="25"/>
        <v>0.56717288152329703</v>
      </c>
      <c r="E444" s="101">
        <f t="shared" ca="1" si="26"/>
        <v>0</v>
      </c>
      <c r="F444" s="21">
        <f t="shared" ca="1" si="27"/>
        <v>0</v>
      </c>
      <c r="H444" s="21">
        <v>429</v>
      </c>
      <c r="I444" s="102">
        <v>0.66776454429853205</v>
      </c>
      <c r="J444" s="103">
        <v>1.3791979464057888E-3</v>
      </c>
      <c r="K444" s="103"/>
      <c r="L444" s="103">
        <v>4.1399999999999999E-2</v>
      </c>
      <c r="O444" s="100"/>
    </row>
    <row r="445" spans="2:15" x14ac:dyDescent="0.2">
      <c r="B445" s="1">
        <v>430</v>
      </c>
      <c r="C445" s="101">
        <f t="shared" ca="1" si="24"/>
        <v>1.0288960904559432</v>
      </c>
      <c r="D445" s="101">
        <f t="shared" ca="1" si="25"/>
        <v>0.7354847535940886</v>
      </c>
      <c r="E445" s="101">
        <f t="shared" ca="1" si="26"/>
        <v>0</v>
      </c>
      <c r="F445" s="21">
        <f t="shared" ca="1" si="27"/>
        <v>0</v>
      </c>
      <c r="H445" s="21">
        <v>430</v>
      </c>
      <c r="I445" s="102">
        <v>0.66782389141500864</v>
      </c>
      <c r="J445" s="103">
        <v>1.5168822354889363E-3</v>
      </c>
      <c r="K445" s="103"/>
      <c r="L445" s="103">
        <v>4.24E-2</v>
      </c>
      <c r="O445" s="100"/>
    </row>
    <row r="446" spans="2:15" x14ac:dyDescent="0.2">
      <c r="B446" s="1">
        <v>431</v>
      </c>
      <c r="C446" s="101">
        <f t="shared" ca="1" si="24"/>
        <v>-0.8663842578977422</v>
      </c>
      <c r="D446" s="101">
        <f t="shared" ca="1" si="25"/>
        <v>0.61007191536447936</v>
      </c>
      <c r="E446" s="101">
        <f t="shared" ca="1" si="26"/>
        <v>0</v>
      </c>
      <c r="F446" s="21">
        <f t="shared" ca="1" si="27"/>
        <v>0</v>
      </c>
      <c r="H446" s="21">
        <v>431</v>
      </c>
      <c r="I446" s="102">
        <v>0.66775227043627805</v>
      </c>
      <c r="J446" s="103">
        <v>1.4223720632312645E-3</v>
      </c>
      <c r="K446" s="103"/>
      <c r="L446" s="103">
        <v>3.9600000000000003E-2</v>
      </c>
      <c r="O446" s="100"/>
    </row>
    <row r="447" spans="2:15" x14ac:dyDescent="0.2">
      <c r="B447" s="1">
        <v>432</v>
      </c>
      <c r="C447" s="101">
        <f t="shared" ca="1" si="24"/>
        <v>-0.5016688504120097</v>
      </c>
      <c r="D447" s="101">
        <f t="shared" ca="1" si="25"/>
        <v>0.63241944675391637</v>
      </c>
      <c r="E447" s="101">
        <f t="shared" ca="1" si="26"/>
        <v>0</v>
      </c>
      <c r="F447" s="21">
        <f t="shared" ca="1" si="27"/>
        <v>0</v>
      </c>
      <c r="H447" s="21">
        <v>432</v>
      </c>
      <c r="I447" s="102">
        <v>0.66785868187750941</v>
      </c>
      <c r="J447" s="103">
        <v>1.4601576720893021E-3</v>
      </c>
      <c r="K447" s="103"/>
      <c r="L447" s="103">
        <v>4.4200000000000003E-2</v>
      </c>
      <c r="O447" s="100"/>
    </row>
    <row r="448" spans="2:15" x14ac:dyDescent="0.2">
      <c r="B448" s="1">
        <v>433</v>
      </c>
      <c r="C448" s="101">
        <f t="shared" ca="1" si="24"/>
        <v>-0.165003503286242</v>
      </c>
      <c r="D448" s="101">
        <f t="shared" ca="1" si="25"/>
        <v>0.65377416068064531</v>
      </c>
      <c r="E448" s="101">
        <f t="shared" ca="1" si="26"/>
        <v>0</v>
      </c>
      <c r="F448" s="21">
        <f t="shared" ca="1" si="27"/>
        <v>0</v>
      </c>
      <c r="H448" s="21">
        <v>433</v>
      </c>
      <c r="I448" s="102">
        <v>0.66785823182438508</v>
      </c>
      <c r="J448" s="103">
        <v>1.5035485422200904E-3</v>
      </c>
      <c r="K448" s="103"/>
      <c r="L448" s="103">
        <v>4.24E-2</v>
      </c>
      <c r="O448" s="100"/>
    </row>
    <row r="449" spans="2:15" x14ac:dyDescent="0.2">
      <c r="B449" s="1">
        <v>434</v>
      </c>
      <c r="C449" s="101">
        <f t="shared" ca="1" si="24"/>
        <v>-1.8665008650135295</v>
      </c>
      <c r="D449" s="101">
        <f t="shared" ca="1" si="25"/>
        <v>0.55276005819265828</v>
      </c>
      <c r="E449" s="101">
        <f t="shared" ca="1" si="26"/>
        <v>0</v>
      </c>
      <c r="F449" s="21">
        <f t="shared" ca="1" si="27"/>
        <v>0</v>
      </c>
      <c r="H449" s="21">
        <v>434</v>
      </c>
      <c r="I449" s="102">
        <v>0.66784553598513208</v>
      </c>
      <c r="J449" s="103">
        <v>1.5830397817479713E-3</v>
      </c>
      <c r="K449" s="103"/>
      <c r="L449" s="103">
        <v>4.36E-2</v>
      </c>
      <c r="O449" s="100"/>
    </row>
    <row r="450" spans="2:15" x14ac:dyDescent="0.2">
      <c r="B450" s="1">
        <v>435</v>
      </c>
      <c r="C450" s="101">
        <f t="shared" ca="1" si="24"/>
        <v>-1.2692834903080457</v>
      </c>
      <c r="D450" s="101">
        <f t="shared" ca="1" si="25"/>
        <v>0.58630159816991889</v>
      </c>
      <c r="E450" s="101">
        <f t="shared" ca="1" si="26"/>
        <v>0</v>
      </c>
      <c r="F450" s="21">
        <f t="shared" ca="1" si="27"/>
        <v>0</v>
      </c>
      <c r="H450" s="21">
        <v>435</v>
      </c>
      <c r="I450" s="102">
        <v>0.66765916247518364</v>
      </c>
      <c r="J450" s="103">
        <v>1.2661974038382835E-3</v>
      </c>
      <c r="K450" s="103"/>
      <c r="L450" s="103">
        <v>3.8800000000000001E-2</v>
      </c>
      <c r="O450" s="100"/>
    </row>
    <row r="451" spans="2:15" x14ac:dyDescent="0.2">
      <c r="B451" s="1">
        <v>436</v>
      </c>
      <c r="C451" s="101">
        <f t="shared" ca="1" si="24"/>
        <v>-0.65058080274944652</v>
      </c>
      <c r="D451" s="101">
        <f t="shared" ca="1" si="25"/>
        <v>0.62319781171354072</v>
      </c>
      <c r="E451" s="101">
        <f t="shared" ca="1" si="26"/>
        <v>0</v>
      </c>
      <c r="F451" s="21">
        <f t="shared" ca="1" si="27"/>
        <v>0</v>
      </c>
      <c r="H451" s="21">
        <v>436</v>
      </c>
      <c r="I451" s="102">
        <v>0.66774210782513288</v>
      </c>
      <c r="J451" s="103">
        <v>1.4344010939935921E-3</v>
      </c>
      <c r="K451" s="103"/>
      <c r="L451" s="103">
        <v>4.2799999999999998E-2</v>
      </c>
      <c r="O451" s="100"/>
    </row>
    <row r="452" spans="2:15" x14ac:dyDescent="0.2">
      <c r="B452" s="1">
        <v>437</v>
      </c>
      <c r="C452" s="101">
        <f t="shared" ca="1" si="24"/>
        <v>-1.7003666021604369</v>
      </c>
      <c r="D452" s="101">
        <f t="shared" ca="1" si="25"/>
        <v>0.56189315724407896</v>
      </c>
      <c r="E452" s="101">
        <f t="shared" ca="1" si="26"/>
        <v>0</v>
      </c>
      <c r="F452" s="21">
        <f t="shared" ca="1" si="27"/>
        <v>0</v>
      </c>
      <c r="H452" s="21">
        <v>437</v>
      </c>
      <c r="I452" s="102">
        <v>0.66781238978736479</v>
      </c>
      <c r="J452" s="103">
        <v>1.5281079186637843E-3</v>
      </c>
      <c r="K452" s="103"/>
      <c r="L452" s="103">
        <v>4.5199999999999997E-2</v>
      </c>
      <c r="O452" s="100"/>
    </row>
    <row r="453" spans="2:15" x14ac:dyDescent="0.2">
      <c r="B453" s="1">
        <v>438</v>
      </c>
      <c r="C453" s="101">
        <f t="shared" ca="1" si="24"/>
        <v>-0.52042134270357421</v>
      </c>
      <c r="D453" s="101">
        <f t="shared" ca="1" si="25"/>
        <v>0.63125069708323323</v>
      </c>
      <c r="E453" s="101">
        <f t="shared" ca="1" si="26"/>
        <v>0</v>
      </c>
      <c r="F453" s="21">
        <f t="shared" ca="1" si="27"/>
        <v>0</v>
      </c>
      <c r="H453" s="21">
        <v>438</v>
      </c>
      <c r="I453" s="102">
        <v>0.66780159154646956</v>
      </c>
      <c r="J453" s="103">
        <v>1.532671008560485E-3</v>
      </c>
      <c r="K453" s="103"/>
      <c r="L453" s="103">
        <v>4.3799999999999999E-2</v>
      </c>
      <c r="O453" s="100"/>
    </row>
    <row r="454" spans="2:15" x14ac:dyDescent="0.2">
      <c r="B454" s="1">
        <v>439</v>
      </c>
      <c r="C454" s="101">
        <f t="shared" ca="1" si="24"/>
        <v>-0.85165519942458889</v>
      </c>
      <c r="D454" s="101">
        <f t="shared" ca="1" si="25"/>
        <v>0.61095892931399443</v>
      </c>
      <c r="E454" s="101">
        <f t="shared" ca="1" si="26"/>
        <v>0</v>
      </c>
      <c r="F454" s="21">
        <f t="shared" ca="1" si="27"/>
        <v>0</v>
      </c>
      <c r="H454" s="21">
        <v>439</v>
      </c>
      <c r="I454" s="102">
        <v>0.66768807143926967</v>
      </c>
      <c r="J454" s="103">
        <v>1.3556770421723405E-3</v>
      </c>
      <c r="K454" s="103"/>
      <c r="L454" s="103">
        <v>3.8199999999999998E-2</v>
      </c>
      <c r="O454" s="100"/>
    </row>
    <row r="455" spans="2:15" x14ac:dyDescent="0.2">
      <c r="B455" s="1">
        <v>440</v>
      </c>
      <c r="C455" s="101">
        <f t="shared" ca="1" si="24"/>
        <v>1.3044397790282674</v>
      </c>
      <c r="D455" s="101">
        <f t="shared" ca="1" si="25"/>
        <v>0.75574937394189068</v>
      </c>
      <c r="E455" s="101">
        <f t="shared" ca="1" si="26"/>
        <v>0</v>
      </c>
      <c r="F455" s="21">
        <f t="shared" ca="1" si="27"/>
        <v>0</v>
      </c>
      <c r="H455" s="21">
        <v>440</v>
      </c>
      <c r="I455" s="102">
        <v>0.66777595880211726</v>
      </c>
      <c r="J455" s="103">
        <v>1.432054357580561E-3</v>
      </c>
      <c r="K455" s="103"/>
      <c r="L455" s="103">
        <v>4.2599999999999999E-2</v>
      </c>
      <c r="O455" s="100"/>
    </row>
    <row r="456" spans="2:15" x14ac:dyDescent="0.2">
      <c r="B456" s="1">
        <v>441</v>
      </c>
      <c r="C456" s="101">
        <f t="shared" ca="1" si="24"/>
        <v>-0.27477321622417172</v>
      </c>
      <c r="D456" s="101">
        <f t="shared" ca="1" si="25"/>
        <v>0.64673339211368275</v>
      </c>
      <c r="E456" s="101">
        <f t="shared" ca="1" si="26"/>
        <v>0</v>
      </c>
      <c r="F456" s="21">
        <f t="shared" ca="1" si="27"/>
        <v>0</v>
      </c>
      <c r="H456" s="21">
        <v>441</v>
      </c>
      <c r="I456" s="102">
        <v>0.66772481183496324</v>
      </c>
      <c r="J456" s="103">
        <v>1.2959406524204989E-3</v>
      </c>
      <c r="K456" s="103"/>
      <c r="L456" s="103">
        <v>4.2599999999999999E-2</v>
      </c>
      <c r="O456" s="100"/>
    </row>
    <row r="457" spans="2:15" x14ac:dyDescent="0.2">
      <c r="B457" s="1">
        <v>442</v>
      </c>
      <c r="C457" s="101">
        <f t="shared" ca="1" si="24"/>
        <v>-0.11208456560566323</v>
      </c>
      <c r="D457" s="101">
        <f t="shared" ca="1" si="25"/>
        <v>0.6571957806371802</v>
      </c>
      <c r="E457" s="101">
        <f t="shared" ca="1" si="26"/>
        <v>0</v>
      </c>
      <c r="F457" s="21">
        <f t="shared" ca="1" si="27"/>
        <v>0</v>
      </c>
      <c r="H457" s="21">
        <v>442</v>
      </c>
      <c r="I457" s="102">
        <v>0.66766349127838431</v>
      </c>
      <c r="J457" s="103">
        <v>1.3467059358468426E-3</v>
      </c>
      <c r="K457" s="103"/>
      <c r="L457" s="103">
        <v>3.7999999999999999E-2</v>
      </c>
      <c r="O457" s="100"/>
    </row>
    <row r="458" spans="2:15" x14ac:dyDescent="0.2">
      <c r="B458" s="1">
        <v>443</v>
      </c>
      <c r="C458" s="101">
        <f t="shared" ca="1" si="24"/>
        <v>-1.2829934528293954</v>
      </c>
      <c r="D458" s="101">
        <f t="shared" ca="1" si="25"/>
        <v>0.58550923803701838</v>
      </c>
      <c r="E458" s="101">
        <f t="shared" ca="1" si="26"/>
        <v>0</v>
      </c>
      <c r="F458" s="21">
        <f t="shared" ca="1" si="27"/>
        <v>0</v>
      </c>
      <c r="H458" s="21">
        <v>443</v>
      </c>
      <c r="I458" s="102">
        <v>0.66774208983250627</v>
      </c>
      <c r="J458" s="103">
        <v>1.3256452353559694E-3</v>
      </c>
      <c r="K458" s="103"/>
      <c r="L458" s="103">
        <v>4.3200000000000002E-2</v>
      </c>
      <c r="O458" s="100"/>
    </row>
    <row r="459" spans="2:15" x14ac:dyDescent="0.2">
      <c r="B459" s="1">
        <v>444</v>
      </c>
      <c r="C459" s="101">
        <f t="shared" ca="1" si="24"/>
        <v>-0.32212084305112931</v>
      </c>
      <c r="D459" s="101">
        <f t="shared" ca="1" si="25"/>
        <v>0.64371990995307793</v>
      </c>
      <c r="E459" s="101">
        <f t="shared" ca="1" si="26"/>
        <v>0</v>
      </c>
      <c r="F459" s="21">
        <f t="shared" ca="1" si="27"/>
        <v>0</v>
      </c>
      <c r="H459" s="21">
        <v>444</v>
      </c>
      <c r="I459" s="102">
        <v>0.66776700777548881</v>
      </c>
      <c r="J459" s="103">
        <v>1.5238636946475648E-3</v>
      </c>
      <c r="K459" s="103"/>
      <c r="L459" s="103">
        <v>4.24E-2</v>
      </c>
      <c r="O459" s="100"/>
    </row>
    <row r="460" spans="2:15" x14ac:dyDescent="0.2">
      <c r="B460" s="1">
        <v>445</v>
      </c>
      <c r="C460" s="101">
        <f t="shared" ca="1" si="24"/>
        <v>0.54527904651148762</v>
      </c>
      <c r="D460" s="101">
        <f t="shared" ca="1" si="25"/>
        <v>0.70122246056276072</v>
      </c>
      <c r="E460" s="101">
        <f t="shared" ca="1" si="26"/>
        <v>0</v>
      </c>
      <c r="F460" s="21">
        <f t="shared" ca="1" si="27"/>
        <v>0</v>
      </c>
      <c r="H460" s="21">
        <v>445</v>
      </c>
      <c r="I460" s="102">
        <v>0.66780355216977794</v>
      </c>
      <c r="J460" s="103">
        <v>1.5206567294488572E-3</v>
      </c>
      <c r="K460" s="103"/>
      <c r="L460" s="103">
        <v>4.3200000000000002E-2</v>
      </c>
      <c r="O460" s="100"/>
    </row>
    <row r="461" spans="2:15" x14ac:dyDescent="0.2">
      <c r="B461" s="1">
        <v>446</v>
      </c>
      <c r="C461" s="101">
        <f t="shared" ca="1" si="24"/>
        <v>-0.46525599246961236</v>
      </c>
      <c r="D461" s="101">
        <f t="shared" ca="1" si="25"/>
        <v>0.63469506322754798</v>
      </c>
      <c r="E461" s="101">
        <f t="shared" ca="1" si="26"/>
        <v>0</v>
      </c>
      <c r="F461" s="21">
        <f t="shared" ca="1" si="27"/>
        <v>0</v>
      </c>
      <c r="H461" s="21">
        <v>446</v>
      </c>
      <c r="I461" s="102">
        <v>0.66769186778256051</v>
      </c>
      <c r="J461" s="103">
        <v>1.4100724292811023E-3</v>
      </c>
      <c r="K461" s="103"/>
      <c r="L461" s="103">
        <v>4.1399999999999999E-2</v>
      </c>
      <c r="O461" s="100"/>
    </row>
    <row r="462" spans="2:15" x14ac:dyDescent="0.2">
      <c r="B462" s="1">
        <v>447</v>
      </c>
      <c r="C462" s="101">
        <f t="shared" ca="1" si="24"/>
        <v>-0.95577224030817232</v>
      </c>
      <c r="D462" s="101">
        <f t="shared" ca="1" si="25"/>
        <v>0.60471634398403751</v>
      </c>
      <c r="E462" s="101">
        <f t="shared" ca="1" si="26"/>
        <v>0</v>
      </c>
      <c r="F462" s="21">
        <f t="shared" ca="1" si="27"/>
        <v>0</v>
      </c>
      <c r="H462" s="21">
        <v>447</v>
      </c>
      <c r="I462" s="102">
        <v>0.6677079745679767</v>
      </c>
      <c r="J462" s="103">
        <v>1.235626607672043E-3</v>
      </c>
      <c r="K462" s="103"/>
      <c r="L462" s="103">
        <v>4.1799999999999997E-2</v>
      </c>
      <c r="O462" s="100"/>
    </row>
    <row r="463" spans="2:15" x14ac:dyDescent="0.2">
      <c r="B463" s="1">
        <v>448</v>
      </c>
      <c r="C463" s="101">
        <f t="shared" ca="1" si="24"/>
        <v>-2.5157601253362323</v>
      </c>
      <c r="D463" s="101">
        <f t="shared" ca="1" si="25"/>
        <v>0.51846899169150118</v>
      </c>
      <c r="E463" s="101">
        <f t="shared" ca="1" si="26"/>
        <v>0</v>
      </c>
      <c r="F463" s="21">
        <f t="shared" ca="1" si="27"/>
        <v>0</v>
      </c>
      <c r="H463" s="21">
        <v>448</v>
      </c>
      <c r="I463" s="102">
        <v>0.66782030953217997</v>
      </c>
      <c r="J463" s="103">
        <v>1.5221505235506348E-3</v>
      </c>
      <c r="K463" s="103"/>
      <c r="L463" s="103">
        <v>4.2200000000000001E-2</v>
      </c>
      <c r="O463" s="100"/>
    </row>
    <row r="464" spans="2:15" x14ac:dyDescent="0.2">
      <c r="B464" s="1">
        <v>449</v>
      </c>
      <c r="C464" s="101">
        <f t="shared" ref="C464:C527" ca="1" si="28">_xlfn.NORM.S.INV(RAND())</f>
        <v>0.50319057432045311</v>
      </c>
      <c r="D464" s="101">
        <f t="shared" ref="D464:D527" ca="1" si="29">S0*EXP((μ-0.5*σ*σ)*T+σ*SQRT(T)*$C464)</f>
        <v>0.69831725631832298</v>
      </c>
      <c r="E464" s="101">
        <f t="shared" ref="E464:E527" ca="1" si="30">MAX(0,CP*(D464-K))</f>
        <v>0</v>
      </c>
      <c r="F464" s="21">
        <f t="shared" ref="F464:F527" ca="1" si="31">(CP*(D464-K)&gt;0)*1</f>
        <v>0</v>
      </c>
      <c r="H464" s="21">
        <v>449</v>
      </c>
      <c r="I464" s="102">
        <v>0.66777146219553452</v>
      </c>
      <c r="J464" s="103">
        <v>1.2889067862706565E-3</v>
      </c>
      <c r="K464" s="103"/>
      <c r="L464" s="103">
        <v>0.04</v>
      </c>
      <c r="O464" s="100"/>
    </row>
    <row r="465" spans="2:15" x14ac:dyDescent="0.2">
      <c r="B465" s="1">
        <v>450</v>
      </c>
      <c r="C465" s="101">
        <f t="shared" ca="1" si="28"/>
        <v>0.49699691793431394</v>
      </c>
      <c r="D465" s="101">
        <f t="shared" ca="1" si="29"/>
        <v>0.6978907493578721</v>
      </c>
      <c r="E465" s="101">
        <f t="shared" ca="1" si="30"/>
        <v>0</v>
      </c>
      <c r="F465" s="21">
        <f t="shared" ca="1" si="31"/>
        <v>0</v>
      </c>
      <c r="H465" s="21">
        <v>450</v>
      </c>
      <c r="I465" s="102">
        <v>0.66781967045266977</v>
      </c>
      <c r="J465" s="103">
        <v>1.5302971495547439E-3</v>
      </c>
      <c r="K465" s="103"/>
      <c r="L465" s="103">
        <v>4.3400000000000001E-2</v>
      </c>
      <c r="O465" s="100"/>
    </row>
    <row r="466" spans="2:15" x14ac:dyDescent="0.2">
      <c r="B466" s="1">
        <v>451</v>
      </c>
      <c r="C466" s="101">
        <f t="shared" ca="1" si="28"/>
        <v>-0.86166770458659359</v>
      </c>
      <c r="D466" s="101">
        <f t="shared" ca="1" si="29"/>
        <v>0.61035581557335339</v>
      </c>
      <c r="E466" s="101">
        <f t="shared" ca="1" si="30"/>
        <v>0</v>
      </c>
      <c r="F466" s="21">
        <f t="shared" ca="1" si="31"/>
        <v>0</v>
      </c>
      <c r="H466" s="21">
        <v>451</v>
      </c>
      <c r="I466" s="102">
        <v>0.66770325265210018</v>
      </c>
      <c r="J466" s="103">
        <v>1.3246669465109865E-3</v>
      </c>
      <c r="K466" s="103"/>
      <c r="L466" s="103">
        <v>3.9800000000000002E-2</v>
      </c>
      <c r="O466" s="100"/>
    </row>
    <row r="467" spans="2:15" x14ac:dyDescent="0.2">
      <c r="B467" s="1">
        <v>452</v>
      </c>
      <c r="C467" s="101">
        <f t="shared" ca="1" si="28"/>
        <v>1.0011951422292955</v>
      </c>
      <c r="D467" s="101">
        <f t="shared" ca="1" si="29"/>
        <v>0.73347781539159185</v>
      </c>
      <c r="E467" s="101">
        <f t="shared" ca="1" si="30"/>
        <v>0</v>
      </c>
      <c r="F467" s="21">
        <f t="shared" ca="1" si="31"/>
        <v>0</v>
      </c>
      <c r="H467" s="21">
        <v>452</v>
      </c>
      <c r="I467" s="102">
        <v>0.6676548750398138</v>
      </c>
      <c r="J467" s="103">
        <v>1.124110349173132E-3</v>
      </c>
      <c r="K467" s="103"/>
      <c r="L467" s="103">
        <v>3.9600000000000003E-2</v>
      </c>
      <c r="O467" s="100"/>
    </row>
    <row r="468" spans="2:15" x14ac:dyDescent="0.2">
      <c r="B468" s="1">
        <v>453</v>
      </c>
      <c r="C468" s="101">
        <f t="shared" ca="1" si="28"/>
        <v>-0.49329540374310282</v>
      </c>
      <c r="D468" s="101">
        <f t="shared" ca="1" si="29"/>
        <v>0.63294202068896932</v>
      </c>
      <c r="E468" s="101">
        <f t="shared" ca="1" si="30"/>
        <v>0</v>
      </c>
      <c r="F468" s="21">
        <f t="shared" ca="1" si="31"/>
        <v>0</v>
      </c>
      <c r="H468" s="21">
        <v>453</v>
      </c>
      <c r="I468" s="102">
        <v>0.66768185765895116</v>
      </c>
      <c r="J468" s="103">
        <v>1.2099564303228111E-3</v>
      </c>
      <c r="K468" s="103"/>
      <c r="L468" s="103">
        <v>4.1399999999999999E-2</v>
      </c>
      <c r="O468" s="100"/>
    </row>
    <row r="469" spans="2:15" x14ac:dyDescent="0.2">
      <c r="B469" s="1">
        <v>454</v>
      </c>
      <c r="C469" s="101">
        <f t="shared" ca="1" si="28"/>
        <v>0.63107581323065542</v>
      </c>
      <c r="D469" s="101">
        <f t="shared" ca="1" si="29"/>
        <v>0.70718216438149772</v>
      </c>
      <c r="E469" s="101">
        <f t="shared" ca="1" si="30"/>
        <v>0</v>
      </c>
      <c r="F469" s="21">
        <f t="shared" ca="1" si="31"/>
        <v>0</v>
      </c>
      <c r="H469" s="21">
        <v>454</v>
      </c>
      <c r="I469" s="102">
        <v>0.66770892995646969</v>
      </c>
      <c r="J469" s="103">
        <v>1.3200788577203896E-3</v>
      </c>
      <c r="K469" s="103"/>
      <c r="L469" s="103">
        <v>4.2200000000000001E-2</v>
      </c>
      <c r="O469" s="100"/>
    </row>
    <row r="470" spans="2:15" x14ac:dyDescent="0.2">
      <c r="B470" s="1">
        <v>455</v>
      </c>
      <c r="C470" s="101">
        <f t="shared" ca="1" si="28"/>
        <v>-1.5127456794201106</v>
      </c>
      <c r="D470" s="101">
        <f t="shared" ca="1" si="29"/>
        <v>0.57238903809152919</v>
      </c>
      <c r="E470" s="101">
        <f t="shared" ca="1" si="30"/>
        <v>0</v>
      </c>
      <c r="F470" s="21">
        <f t="shared" ca="1" si="31"/>
        <v>0</v>
      </c>
      <c r="H470" s="21">
        <v>455</v>
      </c>
      <c r="I470" s="102">
        <v>0.66779714433359727</v>
      </c>
      <c r="J470" s="103">
        <v>1.3603708049230541E-3</v>
      </c>
      <c r="K470" s="103"/>
      <c r="L470" s="103">
        <v>4.0800000000000003E-2</v>
      </c>
      <c r="O470" s="100"/>
    </row>
    <row r="471" spans="2:15" x14ac:dyDescent="0.2">
      <c r="B471" s="1">
        <v>456</v>
      </c>
      <c r="C471" s="101">
        <f t="shared" ca="1" si="28"/>
        <v>0.38655009148129144</v>
      </c>
      <c r="D471" s="101">
        <f t="shared" ca="1" si="29"/>
        <v>0.69032876116852926</v>
      </c>
      <c r="E471" s="101">
        <f t="shared" ca="1" si="30"/>
        <v>0</v>
      </c>
      <c r="F471" s="21">
        <f t="shared" ca="1" si="31"/>
        <v>0</v>
      </c>
      <c r="H471" s="21">
        <v>456</v>
      </c>
      <c r="I471" s="102">
        <v>0.66765266503199494</v>
      </c>
      <c r="J471" s="103">
        <v>1.2903798606549775E-3</v>
      </c>
      <c r="K471" s="103"/>
      <c r="L471" s="103">
        <v>4.0399999999999998E-2</v>
      </c>
      <c r="O471" s="100"/>
    </row>
    <row r="472" spans="2:15" x14ac:dyDescent="0.2">
      <c r="B472" s="1">
        <v>457</v>
      </c>
      <c r="C472" s="101">
        <f t="shared" ca="1" si="28"/>
        <v>0.23434574540597694</v>
      </c>
      <c r="D472" s="101">
        <f t="shared" ca="1" si="29"/>
        <v>0.6800418300754737</v>
      </c>
      <c r="E472" s="101">
        <f t="shared" ca="1" si="30"/>
        <v>0</v>
      </c>
      <c r="F472" s="21">
        <f t="shared" ca="1" si="31"/>
        <v>0</v>
      </c>
      <c r="H472" s="21">
        <v>457</v>
      </c>
      <c r="I472" s="102">
        <v>0.66765205190211507</v>
      </c>
      <c r="J472" s="103">
        <v>1.2424020830142627E-3</v>
      </c>
      <c r="K472" s="103"/>
      <c r="L472" s="103">
        <v>3.9399999999999998E-2</v>
      </c>
      <c r="O472" s="100"/>
    </row>
    <row r="473" spans="2:15" x14ac:dyDescent="0.2">
      <c r="B473" s="1">
        <v>458</v>
      </c>
      <c r="C473" s="101">
        <f t="shared" ca="1" si="28"/>
        <v>-1.1534071994928572</v>
      </c>
      <c r="D473" s="101">
        <f t="shared" ca="1" si="29"/>
        <v>0.59304158367143323</v>
      </c>
      <c r="E473" s="101">
        <f t="shared" ca="1" si="30"/>
        <v>0</v>
      </c>
      <c r="F473" s="21">
        <f t="shared" ca="1" si="31"/>
        <v>0</v>
      </c>
      <c r="H473" s="21">
        <v>458</v>
      </c>
      <c r="I473" s="102">
        <v>0.66773221996675025</v>
      </c>
      <c r="J473" s="103">
        <v>1.2977745442188193E-3</v>
      </c>
      <c r="K473" s="103"/>
      <c r="L473" s="103">
        <v>4.1799999999999997E-2</v>
      </c>
      <c r="O473" s="100"/>
    </row>
    <row r="474" spans="2:15" x14ac:dyDescent="0.2">
      <c r="B474" s="1">
        <v>459</v>
      </c>
      <c r="C474" s="101">
        <f t="shared" ca="1" si="28"/>
        <v>-1.9887727863612938</v>
      </c>
      <c r="D474" s="101">
        <f t="shared" ca="1" si="29"/>
        <v>0.54613322716994395</v>
      </c>
      <c r="E474" s="101">
        <f t="shared" ca="1" si="30"/>
        <v>0</v>
      </c>
      <c r="F474" s="21">
        <f t="shared" ca="1" si="31"/>
        <v>0</v>
      </c>
      <c r="H474" s="21">
        <v>459</v>
      </c>
      <c r="I474" s="102">
        <v>0.66771780300303707</v>
      </c>
      <c r="J474" s="103">
        <v>1.2816553471259888E-3</v>
      </c>
      <c r="K474" s="103"/>
      <c r="L474" s="103">
        <v>4.1000000000000002E-2</v>
      </c>
      <c r="O474" s="100"/>
    </row>
    <row r="475" spans="2:15" x14ac:dyDescent="0.2">
      <c r="B475" s="1">
        <v>460</v>
      </c>
      <c r="C475" s="101">
        <f t="shared" ca="1" si="28"/>
        <v>-0.36273464147762008</v>
      </c>
      <c r="D475" s="101">
        <f t="shared" ca="1" si="29"/>
        <v>0.64114619878598367</v>
      </c>
      <c r="E475" s="101">
        <f t="shared" ca="1" si="30"/>
        <v>0</v>
      </c>
      <c r="F475" s="21">
        <f t="shared" ca="1" si="31"/>
        <v>0</v>
      </c>
      <c r="H475" s="21">
        <v>460</v>
      </c>
      <c r="I475" s="102">
        <v>0.66760516947154935</v>
      </c>
      <c r="J475" s="103">
        <v>1.2841340694427681E-3</v>
      </c>
      <c r="K475" s="103"/>
      <c r="L475" s="103">
        <v>3.6600000000000001E-2</v>
      </c>
      <c r="O475" s="100"/>
    </row>
    <row r="476" spans="2:15" x14ac:dyDescent="0.2">
      <c r="B476" s="1">
        <v>461</v>
      </c>
      <c r="C476" s="101">
        <f t="shared" ca="1" si="28"/>
        <v>0.27047427036349209</v>
      </c>
      <c r="D476" s="101">
        <f t="shared" ca="1" si="29"/>
        <v>0.68246966330063563</v>
      </c>
      <c r="E476" s="101">
        <f t="shared" ca="1" si="30"/>
        <v>0</v>
      </c>
      <c r="F476" s="21">
        <f t="shared" ca="1" si="31"/>
        <v>0</v>
      </c>
      <c r="H476" s="21">
        <v>461</v>
      </c>
      <c r="I476" s="102">
        <v>0.66764362262976118</v>
      </c>
      <c r="J476" s="103">
        <v>1.2965688085308006E-3</v>
      </c>
      <c r="K476" s="103"/>
      <c r="L476" s="103">
        <v>3.78E-2</v>
      </c>
      <c r="O476" s="100"/>
    </row>
    <row r="477" spans="2:15" x14ac:dyDescent="0.2">
      <c r="B477" s="1">
        <v>462</v>
      </c>
      <c r="C477" s="101">
        <f t="shared" ca="1" si="28"/>
        <v>-1.450105524351039</v>
      </c>
      <c r="D477" s="101">
        <f t="shared" ca="1" si="29"/>
        <v>0.57593672639752458</v>
      </c>
      <c r="E477" s="101">
        <f t="shared" ca="1" si="30"/>
        <v>0</v>
      </c>
      <c r="F477" s="21">
        <f t="shared" ca="1" si="31"/>
        <v>0</v>
      </c>
      <c r="H477" s="21">
        <v>462</v>
      </c>
      <c r="I477" s="102">
        <v>0.66775708024321467</v>
      </c>
      <c r="J477" s="103">
        <v>1.3068573999014729E-3</v>
      </c>
      <c r="K477" s="103"/>
      <c r="L477" s="103">
        <v>4.1200000000000001E-2</v>
      </c>
      <c r="O477" s="100"/>
    </row>
    <row r="478" spans="2:15" x14ac:dyDescent="0.2">
      <c r="B478" s="1">
        <v>463</v>
      </c>
      <c r="C478" s="101">
        <f t="shared" ca="1" si="28"/>
        <v>0.23243904884506028</v>
      </c>
      <c r="D478" s="101">
        <f t="shared" ca="1" si="29"/>
        <v>0.67991394046307896</v>
      </c>
      <c r="E478" s="101">
        <f t="shared" ca="1" si="30"/>
        <v>0</v>
      </c>
      <c r="F478" s="21">
        <f t="shared" ca="1" si="31"/>
        <v>0</v>
      </c>
      <c r="H478" s="21">
        <v>463</v>
      </c>
      <c r="I478" s="102">
        <v>0.66784534197505196</v>
      </c>
      <c r="J478" s="103">
        <v>1.4987738028563768E-3</v>
      </c>
      <c r="K478" s="103"/>
      <c r="L478" s="103">
        <v>4.36E-2</v>
      </c>
      <c r="O478" s="100"/>
    </row>
    <row r="479" spans="2:15" x14ac:dyDescent="0.2">
      <c r="B479" s="1">
        <v>464</v>
      </c>
      <c r="C479" s="101">
        <f t="shared" ca="1" si="28"/>
        <v>-1.1097108158014075</v>
      </c>
      <c r="D479" s="101">
        <f t="shared" ca="1" si="29"/>
        <v>0.59560326936632513</v>
      </c>
      <c r="E479" s="101">
        <f t="shared" ca="1" si="30"/>
        <v>0</v>
      </c>
      <c r="F479" s="21">
        <f t="shared" ca="1" si="31"/>
        <v>0</v>
      </c>
      <c r="H479" s="21">
        <v>464</v>
      </c>
      <c r="I479" s="102">
        <v>0.66761421946612309</v>
      </c>
      <c r="J479" s="103">
        <v>1.2665999261206216E-3</v>
      </c>
      <c r="K479" s="103"/>
      <c r="L479" s="103">
        <v>4.0599999999999997E-2</v>
      </c>
      <c r="O479" s="100"/>
    </row>
    <row r="480" spans="2:15" x14ac:dyDescent="0.2">
      <c r="B480" s="1">
        <v>465</v>
      </c>
      <c r="C480" s="101">
        <f t="shared" ca="1" si="28"/>
        <v>0.49733831413735635</v>
      </c>
      <c r="D480" s="101">
        <f t="shared" ca="1" si="29"/>
        <v>0.69791425176480826</v>
      </c>
      <c r="E480" s="101">
        <f t="shared" ca="1" si="30"/>
        <v>0</v>
      </c>
      <c r="F480" s="21">
        <f t="shared" ca="1" si="31"/>
        <v>0</v>
      </c>
      <c r="H480" s="21">
        <v>465</v>
      </c>
      <c r="I480" s="102">
        <v>0.66777918491859922</v>
      </c>
      <c r="J480" s="103">
        <v>1.3590475713546688E-3</v>
      </c>
      <c r="K480" s="103"/>
      <c r="L480" s="103">
        <v>4.4600000000000001E-2</v>
      </c>
      <c r="O480" s="100"/>
    </row>
    <row r="481" spans="2:15" x14ac:dyDescent="0.2">
      <c r="B481" s="1">
        <v>466</v>
      </c>
      <c r="C481" s="101">
        <f t="shared" ca="1" si="28"/>
        <v>1.2541751189383805</v>
      </c>
      <c r="D481" s="101">
        <f t="shared" ca="1" si="29"/>
        <v>0.75201151215967732</v>
      </c>
      <c r="E481" s="101">
        <f t="shared" ca="1" si="30"/>
        <v>0</v>
      </c>
      <c r="F481" s="21">
        <f t="shared" ca="1" si="31"/>
        <v>0</v>
      </c>
      <c r="H481" s="21">
        <v>466</v>
      </c>
      <c r="I481" s="102">
        <v>0.66769346318067802</v>
      </c>
      <c r="J481" s="103">
        <v>1.3562269198299569E-3</v>
      </c>
      <c r="K481" s="103"/>
      <c r="L481" s="103">
        <v>4.02E-2</v>
      </c>
      <c r="O481" s="100"/>
    </row>
    <row r="482" spans="2:15" x14ac:dyDescent="0.2">
      <c r="B482" s="1">
        <v>467</v>
      </c>
      <c r="C482" s="101">
        <f t="shared" ca="1" si="28"/>
        <v>1.3511029882720915</v>
      </c>
      <c r="D482" s="101">
        <f t="shared" ca="1" si="29"/>
        <v>0.75923604675665157</v>
      </c>
      <c r="E482" s="101">
        <f t="shared" ca="1" si="30"/>
        <v>0</v>
      </c>
      <c r="F482" s="21">
        <f t="shared" ca="1" si="31"/>
        <v>0</v>
      </c>
      <c r="H482" s="21">
        <v>467</v>
      </c>
      <c r="I482" s="102">
        <v>0.66778522604599533</v>
      </c>
      <c r="J482" s="103">
        <v>1.4179903994602551E-3</v>
      </c>
      <c r="K482" s="103"/>
      <c r="L482" s="103">
        <v>4.48E-2</v>
      </c>
      <c r="O482" s="100"/>
    </row>
    <row r="483" spans="2:15" x14ac:dyDescent="0.2">
      <c r="B483" s="1">
        <v>468</v>
      </c>
      <c r="C483" s="101">
        <f t="shared" ca="1" si="28"/>
        <v>0.43778788150499304</v>
      </c>
      <c r="D483" s="101">
        <f t="shared" ca="1" si="29"/>
        <v>0.69382662757041458</v>
      </c>
      <c r="E483" s="101">
        <f t="shared" ca="1" si="30"/>
        <v>0</v>
      </c>
      <c r="F483" s="21">
        <f t="shared" ca="1" si="31"/>
        <v>0</v>
      </c>
      <c r="H483" s="21">
        <v>468</v>
      </c>
      <c r="I483" s="102">
        <v>0.66761359331233583</v>
      </c>
      <c r="J483" s="103">
        <v>1.1667184098528936E-3</v>
      </c>
      <c r="K483" s="103"/>
      <c r="L483" s="103">
        <v>3.78E-2</v>
      </c>
      <c r="O483" s="100"/>
    </row>
    <row r="484" spans="2:15" x14ac:dyDescent="0.2">
      <c r="B484" s="1">
        <v>469</v>
      </c>
      <c r="C484" s="101">
        <f t="shared" ca="1" si="28"/>
        <v>-0.71978326659841252</v>
      </c>
      <c r="D484" s="101">
        <f t="shared" ca="1" si="29"/>
        <v>0.61895821130581929</v>
      </c>
      <c r="E484" s="101">
        <f t="shared" ca="1" si="30"/>
        <v>0</v>
      </c>
      <c r="F484" s="21">
        <f t="shared" ca="1" si="31"/>
        <v>0</v>
      </c>
      <c r="H484" s="21">
        <v>469</v>
      </c>
      <c r="I484" s="102">
        <v>0.66781275890253233</v>
      </c>
      <c r="J484" s="103">
        <v>1.4875851103945831E-3</v>
      </c>
      <c r="K484" s="103"/>
      <c r="L484" s="103">
        <v>4.5400000000000003E-2</v>
      </c>
      <c r="O484" s="100"/>
    </row>
    <row r="485" spans="2:15" x14ac:dyDescent="0.2">
      <c r="B485" s="1">
        <v>470</v>
      </c>
      <c r="C485" s="101">
        <f t="shared" ca="1" si="28"/>
        <v>0.40800750565700011</v>
      </c>
      <c r="D485" s="101">
        <f t="shared" ca="1" si="29"/>
        <v>0.69179144999843778</v>
      </c>
      <c r="E485" s="101">
        <f t="shared" ca="1" si="30"/>
        <v>0</v>
      </c>
      <c r="F485" s="21">
        <f t="shared" ca="1" si="31"/>
        <v>0</v>
      </c>
      <c r="H485" s="21">
        <v>470</v>
      </c>
      <c r="I485" s="102">
        <v>0.66768058295540922</v>
      </c>
      <c r="J485" s="103">
        <v>1.2016476580461279E-3</v>
      </c>
      <c r="K485" s="103"/>
      <c r="L485" s="103">
        <v>4.1399999999999999E-2</v>
      </c>
      <c r="O485" s="100"/>
    </row>
    <row r="486" spans="2:15" x14ac:dyDescent="0.2">
      <c r="B486" s="1">
        <v>471</v>
      </c>
      <c r="C486" s="101">
        <f t="shared" ca="1" si="28"/>
        <v>-1.453778691261896</v>
      </c>
      <c r="D486" s="101">
        <f t="shared" ca="1" si="29"/>
        <v>0.57572808731615321</v>
      </c>
      <c r="E486" s="101">
        <f t="shared" ca="1" si="30"/>
        <v>0</v>
      </c>
      <c r="F486" s="21">
        <f t="shared" ca="1" si="31"/>
        <v>0</v>
      </c>
      <c r="H486" s="21">
        <v>471</v>
      </c>
      <c r="I486" s="102">
        <v>0.66768151689568767</v>
      </c>
      <c r="J486" s="103">
        <v>1.3660048022708115E-3</v>
      </c>
      <c r="K486" s="103"/>
      <c r="L486" s="103">
        <v>4.2999999999999997E-2</v>
      </c>
      <c r="O486" s="100"/>
    </row>
    <row r="487" spans="2:15" x14ac:dyDescent="0.2">
      <c r="B487" s="1">
        <v>472</v>
      </c>
      <c r="C487" s="101">
        <f t="shared" ca="1" si="28"/>
        <v>-0.29981872223022615</v>
      </c>
      <c r="D487" s="101">
        <f t="shared" ca="1" si="29"/>
        <v>0.64513759513142899</v>
      </c>
      <c r="E487" s="101">
        <f t="shared" ca="1" si="30"/>
        <v>0</v>
      </c>
      <c r="F487" s="21">
        <f t="shared" ca="1" si="31"/>
        <v>0</v>
      </c>
      <c r="H487" s="21">
        <v>472</v>
      </c>
      <c r="I487" s="102">
        <v>0.66761865708008739</v>
      </c>
      <c r="J487" s="103">
        <v>1.2090436307739916E-3</v>
      </c>
      <c r="K487" s="103"/>
      <c r="L487" s="103">
        <v>0.04</v>
      </c>
      <c r="O487" s="100"/>
    </row>
    <row r="488" spans="2:15" x14ac:dyDescent="0.2">
      <c r="B488" s="1">
        <v>473</v>
      </c>
      <c r="C488" s="101">
        <f t="shared" ca="1" si="28"/>
        <v>-0.89866839631965589</v>
      </c>
      <c r="D488" s="101">
        <f t="shared" ca="1" si="29"/>
        <v>0.60813220091345821</v>
      </c>
      <c r="E488" s="101">
        <f t="shared" ca="1" si="30"/>
        <v>0</v>
      </c>
      <c r="F488" s="21">
        <f t="shared" ca="1" si="31"/>
        <v>0</v>
      </c>
      <c r="H488" s="21">
        <v>473</v>
      </c>
      <c r="I488" s="102">
        <v>0.66768054454551307</v>
      </c>
      <c r="J488" s="103">
        <v>1.23017101082538E-3</v>
      </c>
      <c r="K488" s="103"/>
      <c r="L488" s="103">
        <v>4.1000000000000002E-2</v>
      </c>
      <c r="O488" s="100"/>
    </row>
    <row r="489" spans="2:15" x14ac:dyDescent="0.2">
      <c r="B489" s="1">
        <v>474</v>
      </c>
      <c r="C489" s="101">
        <f t="shared" ca="1" si="28"/>
        <v>2.5774619407952399</v>
      </c>
      <c r="D489" s="101">
        <f t="shared" ca="1" si="29"/>
        <v>0.85686673009592051</v>
      </c>
      <c r="E489" s="101">
        <f t="shared" ca="1" si="30"/>
        <v>6.8666730095920503E-2</v>
      </c>
      <c r="F489" s="21">
        <f t="shared" ca="1" si="31"/>
        <v>1</v>
      </c>
      <c r="H489" s="21">
        <v>474</v>
      </c>
      <c r="I489" s="102">
        <v>0.66770205230454827</v>
      </c>
      <c r="J489" s="103">
        <v>1.2970964993791736E-3</v>
      </c>
      <c r="K489" s="103"/>
      <c r="L489" s="103">
        <v>4.3200000000000002E-2</v>
      </c>
      <c r="O489" s="100"/>
    </row>
    <row r="490" spans="2:15" x14ac:dyDescent="0.2">
      <c r="B490" s="1">
        <v>475</v>
      </c>
      <c r="C490" s="101">
        <f t="shared" ca="1" si="28"/>
        <v>0.55702855681344543</v>
      </c>
      <c r="D490" s="101">
        <f t="shared" ca="1" si="29"/>
        <v>0.70203563961135618</v>
      </c>
      <c r="E490" s="101">
        <f t="shared" ca="1" si="30"/>
        <v>0</v>
      </c>
      <c r="F490" s="21">
        <f t="shared" ca="1" si="31"/>
        <v>0</v>
      </c>
      <c r="H490" s="21">
        <v>475</v>
      </c>
      <c r="I490" s="102">
        <v>0.66755601006135279</v>
      </c>
      <c r="J490" s="103">
        <v>1.1093283360630556E-3</v>
      </c>
      <c r="K490" s="103"/>
      <c r="L490" s="103">
        <v>3.7999999999999999E-2</v>
      </c>
      <c r="O490" s="100"/>
    </row>
    <row r="491" spans="2:15" x14ac:dyDescent="0.2">
      <c r="B491" s="1">
        <v>476</v>
      </c>
      <c r="C491" s="101">
        <f t="shared" ca="1" si="28"/>
        <v>-0.75837641473205386</v>
      </c>
      <c r="D491" s="101">
        <f t="shared" ca="1" si="29"/>
        <v>0.61660639149260421</v>
      </c>
      <c r="E491" s="101">
        <f t="shared" ca="1" si="30"/>
        <v>0</v>
      </c>
      <c r="F491" s="21">
        <f t="shared" ca="1" si="31"/>
        <v>0</v>
      </c>
      <c r="H491" s="21">
        <v>476</v>
      </c>
      <c r="I491" s="102">
        <v>0.66773434537393672</v>
      </c>
      <c r="J491" s="103">
        <v>1.2986046919829441E-3</v>
      </c>
      <c r="K491" s="103"/>
      <c r="L491" s="103">
        <v>0.04</v>
      </c>
      <c r="O491" s="100"/>
    </row>
    <row r="492" spans="2:15" x14ac:dyDescent="0.2">
      <c r="B492" s="1">
        <v>477</v>
      </c>
      <c r="C492" s="101">
        <f t="shared" ca="1" si="28"/>
        <v>-1.4754462400731267</v>
      </c>
      <c r="D492" s="101">
        <f t="shared" ca="1" si="29"/>
        <v>0.57449888867341725</v>
      </c>
      <c r="E492" s="101">
        <f t="shared" ca="1" si="30"/>
        <v>0</v>
      </c>
      <c r="F492" s="21">
        <f t="shared" ca="1" si="31"/>
        <v>0</v>
      </c>
      <c r="H492" s="21">
        <v>477</v>
      </c>
      <c r="I492" s="102">
        <v>0.66768900823301236</v>
      </c>
      <c r="J492" s="103">
        <v>1.2816199997371493E-3</v>
      </c>
      <c r="K492" s="103"/>
      <c r="L492" s="103">
        <v>3.8399999999999997E-2</v>
      </c>
      <c r="O492" s="100"/>
    </row>
    <row r="493" spans="2:15" x14ac:dyDescent="0.2">
      <c r="B493" s="1">
        <v>478</v>
      </c>
      <c r="C493" s="101">
        <f t="shared" ca="1" si="28"/>
        <v>1.1068254620054798</v>
      </c>
      <c r="D493" s="101">
        <f t="shared" ca="1" si="29"/>
        <v>0.74116025246164396</v>
      </c>
      <c r="E493" s="101">
        <f t="shared" ca="1" si="30"/>
        <v>0</v>
      </c>
      <c r="F493" s="21">
        <f t="shared" ca="1" si="31"/>
        <v>0</v>
      </c>
      <c r="H493" s="21">
        <v>478</v>
      </c>
      <c r="I493" s="102">
        <v>0.66791242066900813</v>
      </c>
      <c r="J493" s="103">
        <v>1.6087487990162511E-3</v>
      </c>
      <c r="K493" s="103"/>
      <c r="L493" s="103">
        <v>4.6600000000000003E-2</v>
      </c>
      <c r="O493" s="100"/>
    </row>
    <row r="494" spans="2:15" x14ac:dyDescent="0.2">
      <c r="B494" s="1">
        <v>479</v>
      </c>
      <c r="C494" s="101">
        <f t="shared" ca="1" si="28"/>
        <v>-0.92623585642683037</v>
      </c>
      <c r="D494" s="101">
        <f t="shared" ca="1" si="29"/>
        <v>0.60648075899948783</v>
      </c>
      <c r="E494" s="101">
        <f t="shared" ca="1" si="30"/>
        <v>0</v>
      </c>
      <c r="F494" s="21">
        <f t="shared" ca="1" si="31"/>
        <v>0</v>
      </c>
      <c r="H494" s="21">
        <v>479</v>
      </c>
      <c r="I494" s="102">
        <v>0.66785081303711635</v>
      </c>
      <c r="J494" s="103">
        <v>1.5989428883472724E-3</v>
      </c>
      <c r="K494" s="103"/>
      <c r="L494" s="103">
        <v>4.5199999999999997E-2</v>
      </c>
      <c r="O494" s="100"/>
    </row>
    <row r="495" spans="2:15" x14ac:dyDescent="0.2">
      <c r="B495" s="1">
        <v>480</v>
      </c>
      <c r="C495" s="101">
        <f t="shared" ca="1" si="28"/>
        <v>-0.75122803999142762</v>
      </c>
      <c r="D495" s="101">
        <f t="shared" ca="1" si="29"/>
        <v>0.61704132949882562</v>
      </c>
      <c r="E495" s="101">
        <f t="shared" ca="1" si="30"/>
        <v>0</v>
      </c>
      <c r="F495" s="21">
        <f t="shared" ca="1" si="31"/>
        <v>0</v>
      </c>
      <c r="H495" s="21">
        <v>480</v>
      </c>
      <c r="I495" s="102">
        <v>0.66772473817235056</v>
      </c>
      <c r="J495" s="103">
        <v>1.3248557311508198E-3</v>
      </c>
      <c r="K495" s="103"/>
      <c r="L495" s="103">
        <v>3.9600000000000003E-2</v>
      </c>
      <c r="O495" s="100"/>
    </row>
    <row r="496" spans="2:15" x14ac:dyDescent="0.2">
      <c r="B496" s="1">
        <v>481</v>
      </c>
      <c r="C496" s="101">
        <f t="shared" ca="1" si="28"/>
        <v>0.61458094921002604</v>
      </c>
      <c r="D496" s="101">
        <f t="shared" ca="1" si="29"/>
        <v>0.70603246136113185</v>
      </c>
      <c r="E496" s="101">
        <f t="shared" ca="1" si="30"/>
        <v>0</v>
      </c>
      <c r="F496" s="21">
        <f t="shared" ca="1" si="31"/>
        <v>0</v>
      </c>
      <c r="H496" s="21">
        <v>481</v>
      </c>
      <c r="I496" s="102">
        <v>0.66777715314063824</v>
      </c>
      <c r="J496" s="103">
        <v>1.4811266639118219E-3</v>
      </c>
      <c r="K496" s="103"/>
      <c r="L496" s="103">
        <v>4.2999999999999997E-2</v>
      </c>
      <c r="O496" s="100"/>
    </row>
    <row r="497" spans="2:15" x14ac:dyDescent="0.2">
      <c r="B497" s="1">
        <v>482</v>
      </c>
      <c r="C497" s="101">
        <f t="shared" ca="1" si="28"/>
        <v>-2.0630247800397905</v>
      </c>
      <c r="D497" s="101">
        <f t="shared" ca="1" si="29"/>
        <v>0.54214778845032685</v>
      </c>
      <c r="E497" s="101">
        <f t="shared" ca="1" si="30"/>
        <v>0</v>
      </c>
      <c r="F497" s="21">
        <f t="shared" ca="1" si="31"/>
        <v>0</v>
      </c>
      <c r="H497" s="21">
        <v>482</v>
      </c>
      <c r="I497" s="102">
        <v>0.66777295280121018</v>
      </c>
      <c r="J497" s="103">
        <v>1.3235361915472808E-3</v>
      </c>
      <c r="K497" s="103"/>
      <c r="L497" s="103">
        <v>4.36E-2</v>
      </c>
      <c r="O497" s="100"/>
    </row>
    <row r="498" spans="2:15" x14ac:dyDescent="0.2">
      <c r="B498" s="1">
        <v>483</v>
      </c>
      <c r="C498" s="101">
        <f t="shared" ca="1" si="28"/>
        <v>0.30327862167978142</v>
      </c>
      <c r="D498" s="101">
        <f t="shared" ca="1" si="29"/>
        <v>0.68468161966184171</v>
      </c>
      <c r="E498" s="101">
        <f t="shared" ca="1" si="30"/>
        <v>0</v>
      </c>
      <c r="F498" s="21">
        <f t="shared" ca="1" si="31"/>
        <v>0</v>
      </c>
      <c r="H498" s="21">
        <v>483</v>
      </c>
      <c r="I498" s="102">
        <v>0.66765044376788141</v>
      </c>
      <c r="J498" s="103">
        <v>1.1954274954943437E-3</v>
      </c>
      <c r="K498" s="103"/>
      <c r="L498" s="103">
        <v>4.3200000000000002E-2</v>
      </c>
      <c r="O498" s="100"/>
    </row>
    <row r="499" spans="2:15" x14ac:dyDescent="0.2">
      <c r="B499" s="1">
        <v>484</v>
      </c>
      <c r="C499" s="101">
        <f t="shared" ca="1" si="28"/>
        <v>1.0861799860706065</v>
      </c>
      <c r="D499" s="101">
        <f t="shared" ca="1" si="29"/>
        <v>0.73965241761583689</v>
      </c>
      <c r="E499" s="101">
        <f t="shared" ca="1" si="30"/>
        <v>0</v>
      </c>
      <c r="F499" s="21">
        <f t="shared" ca="1" si="31"/>
        <v>0</v>
      </c>
      <c r="H499" s="21">
        <v>484</v>
      </c>
      <c r="I499" s="102">
        <v>0.66780769549610919</v>
      </c>
      <c r="J499" s="103">
        <v>1.5393409791686849E-3</v>
      </c>
      <c r="K499" s="103"/>
      <c r="L499" s="103">
        <v>4.4999999999999998E-2</v>
      </c>
      <c r="O499" s="100"/>
    </row>
    <row r="500" spans="2:15" x14ac:dyDescent="0.2">
      <c r="B500" s="1">
        <v>485</v>
      </c>
      <c r="C500" s="101">
        <f t="shared" ca="1" si="28"/>
        <v>-0.37081772801641288</v>
      </c>
      <c r="D500" s="101">
        <f t="shared" ca="1" si="29"/>
        <v>0.6406351997566555</v>
      </c>
      <c r="E500" s="101">
        <f t="shared" ca="1" si="30"/>
        <v>0</v>
      </c>
      <c r="F500" s="21">
        <f t="shared" ca="1" si="31"/>
        <v>0</v>
      </c>
      <c r="H500" s="21">
        <v>485</v>
      </c>
      <c r="I500" s="102">
        <v>0.667706243538148</v>
      </c>
      <c r="J500" s="103">
        <v>1.4352947438069524E-3</v>
      </c>
      <c r="K500" s="103"/>
      <c r="L500" s="103">
        <v>4.2000000000000003E-2</v>
      </c>
      <c r="O500" s="100"/>
    </row>
    <row r="501" spans="2:15" x14ac:dyDescent="0.2">
      <c r="B501" s="1">
        <v>486</v>
      </c>
      <c r="C501" s="101">
        <f t="shared" ca="1" si="28"/>
        <v>-1.5549507921142414</v>
      </c>
      <c r="D501" s="101">
        <f t="shared" ca="1" si="29"/>
        <v>0.57001103964834898</v>
      </c>
      <c r="E501" s="101">
        <f t="shared" ca="1" si="30"/>
        <v>0</v>
      </c>
      <c r="F501" s="21">
        <f t="shared" ca="1" si="31"/>
        <v>0</v>
      </c>
      <c r="H501" s="21">
        <v>486</v>
      </c>
      <c r="I501" s="102">
        <v>0.66783112006296608</v>
      </c>
      <c r="J501" s="103">
        <v>1.6732877571506569E-3</v>
      </c>
      <c r="K501" s="103"/>
      <c r="L501" s="103">
        <v>4.2999999999999997E-2</v>
      </c>
      <c r="O501" s="100"/>
    </row>
    <row r="502" spans="2:15" x14ac:dyDescent="0.2">
      <c r="B502" s="1">
        <v>487</v>
      </c>
      <c r="C502" s="101">
        <f t="shared" ca="1" si="28"/>
        <v>1.1864107327408548</v>
      </c>
      <c r="D502" s="101">
        <f t="shared" ca="1" si="29"/>
        <v>0.74700155266244961</v>
      </c>
      <c r="E502" s="101">
        <f t="shared" ca="1" si="30"/>
        <v>0</v>
      </c>
      <c r="F502" s="21">
        <f t="shared" ca="1" si="31"/>
        <v>0</v>
      </c>
      <c r="H502" s="21">
        <v>487</v>
      </c>
      <c r="I502" s="102">
        <v>0.6677571512941286</v>
      </c>
      <c r="J502" s="103">
        <v>1.3365527506717157E-3</v>
      </c>
      <c r="K502" s="103"/>
      <c r="L502" s="103">
        <v>4.1599999999999998E-2</v>
      </c>
      <c r="O502" s="100"/>
    </row>
    <row r="503" spans="2:15" x14ac:dyDescent="0.2">
      <c r="B503" s="1">
        <v>488</v>
      </c>
      <c r="C503" s="101">
        <f t="shared" ca="1" si="28"/>
        <v>-0.23109526120803586</v>
      </c>
      <c r="D503" s="101">
        <f t="shared" ca="1" si="29"/>
        <v>0.64952582270172765</v>
      </c>
      <c r="E503" s="101">
        <f t="shared" ca="1" si="30"/>
        <v>0</v>
      </c>
      <c r="F503" s="21">
        <f t="shared" ca="1" si="31"/>
        <v>0</v>
      </c>
      <c r="H503" s="21">
        <v>488</v>
      </c>
      <c r="I503" s="102">
        <v>0.66774262450196231</v>
      </c>
      <c r="J503" s="103">
        <v>1.4274364192128489E-3</v>
      </c>
      <c r="K503" s="103"/>
      <c r="L503" s="103">
        <v>4.2999999999999997E-2</v>
      </c>
      <c r="O503" s="100"/>
    </row>
    <row r="504" spans="2:15" x14ac:dyDescent="0.2">
      <c r="B504" s="1">
        <v>489</v>
      </c>
      <c r="C504" s="101">
        <f t="shared" ca="1" si="28"/>
        <v>-1.0645277086514204</v>
      </c>
      <c r="D504" s="101">
        <f t="shared" ca="1" si="29"/>
        <v>0.59826375081212346</v>
      </c>
      <c r="E504" s="101">
        <f t="shared" ca="1" si="30"/>
        <v>0</v>
      </c>
      <c r="F504" s="21">
        <f t="shared" ca="1" si="31"/>
        <v>0</v>
      </c>
      <c r="H504" s="21">
        <v>489</v>
      </c>
      <c r="I504" s="102">
        <v>0.66770247816147343</v>
      </c>
      <c r="J504" s="103">
        <v>1.4415270566845286E-3</v>
      </c>
      <c r="K504" s="103"/>
      <c r="L504" s="103">
        <v>4.4600000000000001E-2</v>
      </c>
      <c r="O504" s="100"/>
    </row>
    <row r="505" spans="2:15" x14ac:dyDescent="0.2">
      <c r="B505" s="1">
        <v>490</v>
      </c>
      <c r="C505" s="101">
        <f t="shared" ca="1" si="28"/>
        <v>-1.220840995236977</v>
      </c>
      <c r="D505" s="101">
        <f t="shared" ca="1" si="29"/>
        <v>0.58910990475881253</v>
      </c>
      <c r="E505" s="101">
        <f t="shared" ca="1" si="30"/>
        <v>0</v>
      </c>
      <c r="F505" s="21">
        <f t="shared" ca="1" si="31"/>
        <v>0</v>
      </c>
      <c r="H505" s="21">
        <v>490</v>
      </c>
      <c r="I505" s="102">
        <v>0.66779093675403645</v>
      </c>
      <c r="J505" s="103">
        <v>1.2538299400852479E-3</v>
      </c>
      <c r="K505" s="103"/>
      <c r="L505" s="103">
        <v>0.04</v>
      </c>
      <c r="O505" s="100"/>
    </row>
    <row r="506" spans="2:15" x14ac:dyDescent="0.2">
      <c r="B506" s="1">
        <v>491</v>
      </c>
      <c r="C506" s="101">
        <f t="shared" ca="1" si="28"/>
        <v>0.99552164864830905</v>
      </c>
      <c r="D506" s="101">
        <f t="shared" ca="1" si="29"/>
        <v>0.73306744602636875</v>
      </c>
      <c r="E506" s="101">
        <f t="shared" ca="1" si="30"/>
        <v>0</v>
      </c>
      <c r="F506" s="21">
        <f t="shared" ca="1" si="31"/>
        <v>0</v>
      </c>
      <c r="H506" s="21">
        <v>491</v>
      </c>
      <c r="I506" s="102">
        <v>0.66781762587344062</v>
      </c>
      <c r="J506" s="103">
        <v>1.3779746819085189E-3</v>
      </c>
      <c r="K506" s="103"/>
      <c r="L506" s="103">
        <v>4.3200000000000002E-2</v>
      </c>
      <c r="O506" s="100"/>
    </row>
    <row r="507" spans="2:15" x14ac:dyDescent="0.2">
      <c r="B507" s="1">
        <v>492</v>
      </c>
      <c r="C507" s="101">
        <f t="shared" ca="1" si="28"/>
        <v>1.1559791056010913</v>
      </c>
      <c r="D507" s="101">
        <f t="shared" ca="1" si="29"/>
        <v>0.74476255362796162</v>
      </c>
      <c r="E507" s="101">
        <f t="shared" ca="1" si="30"/>
        <v>0</v>
      </c>
      <c r="F507" s="21">
        <f t="shared" ca="1" si="31"/>
        <v>0</v>
      </c>
      <c r="H507" s="21">
        <v>492</v>
      </c>
      <c r="I507" s="102">
        <v>0.66769444493882757</v>
      </c>
      <c r="J507" s="103">
        <v>1.3498515674028237E-3</v>
      </c>
      <c r="K507" s="103"/>
      <c r="L507" s="103">
        <v>4.0800000000000003E-2</v>
      </c>
      <c r="O507" s="100"/>
    </row>
    <row r="508" spans="2:15" x14ac:dyDescent="0.2">
      <c r="B508" s="1">
        <v>493</v>
      </c>
      <c r="C508" s="101">
        <f t="shared" ca="1" si="28"/>
        <v>-0.14335159126656791</v>
      </c>
      <c r="D508" s="101">
        <f t="shared" ca="1" si="29"/>
        <v>0.65517196624839558</v>
      </c>
      <c r="E508" s="101">
        <f t="shared" ca="1" si="30"/>
        <v>0</v>
      </c>
      <c r="F508" s="21">
        <f t="shared" ca="1" si="31"/>
        <v>0</v>
      </c>
      <c r="H508" s="21">
        <v>493</v>
      </c>
      <c r="I508" s="102">
        <v>0.66768478111010132</v>
      </c>
      <c r="J508" s="103">
        <v>1.2965001963031444E-3</v>
      </c>
      <c r="K508" s="103"/>
      <c r="L508" s="103">
        <v>3.9600000000000003E-2</v>
      </c>
      <c r="O508" s="100"/>
    </row>
    <row r="509" spans="2:15" x14ac:dyDescent="0.2">
      <c r="B509" s="1">
        <v>494</v>
      </c>
      <c r="C509" s="101">
        <f t="shared" ca="1" si="28"/>
        <v>0.772470973658266</v>
      </c>
      <c r="D509" s="101">
        <f t="shared" ca="1" si="29"/>
        <v>0.71711462622803246</v>
      </c>
      <c r="E509" s="101">
        <f t="shared" ca="1" si="30"/>
        <v>0</v>
      </c>
      <c r="F509" s="21">
        <f t="shared" ca="1" si="31"/>
        <v>0</v>
      </c>
      <c r="H509" s="21">
        <v>494</v>
      </c>
      <c r="I509" s="102">
        <v>0.66785598313379868</v>
      </c>
      <c r="J509" s="103">
        <v>1.5057602467742879E-3</v>
      </c>
      <c r="K509" s="103"/>
      <c r="L509" s="103">
        <v>4.4600000000000001E-2</v>
      </c>
      <c r="O509" s="100"/>
    </row>
    <row r="510" spans="2:15" x14ac:dyDescent="0.2">
      <c r="B510" s="1">
        <v>495</v>
      </c>
      <c r="C510" s="101">
        <f t="shared" ca="1" si="28"/>
        <v>0.10802640944887738</v>
      </c>
      <c r="D510" s="101">
        <f t="shared" ca="1" si="29"/>
        <v>0.67162087306333917</v>
      </c>
      <c r="E510" s="101">
        <f t="shared" ca="1" si="30"/>
        <v>0</v>
      </c>
      <c r="F510" s="21">
        <f t="shared" ca="1" si="31"/>
        <v>0</v>
      </c>
      <c r="H510" s="21">
        <v>495</v>
      </c>
      <c r="I510" s="102">
        <v>0.66766313793501941</v>
      </c>
      <c r="J510" s="103">
        <v>1.2287264161820156E-3</v>
      </c>
      <c r="K510" s="103"/>
      <c r="L510" s="103">
        <v>3.8600000000000002E-2</v>
      </c>
      <c r="O510" s="100"/>
    </row>
    <row r="511" spans="2:15" x14ac:dyDescent="0.2">
      <c r="B511" s="1">
        <v>496</v>
      </c>
      <c r="C511" s="101">
        <f t="shared" ca="1" si="28"/>
        <v>-0.62461552162380618</v>
      </c>
      <c r="D511" s="101">
        <f t="shared" ca="1" si="29"/>
        <v>0.62479602279073931</v>
      </c>
      <c r="E511" s="101">
        <f t="shared" ca="1" si="30"/>
        <v>0</v>
      </c>
      <c r="F511" s="21">
        <f t="shared" ca="1" si="31"/>
        <v>0</v>
      </c>
      <c r="H511" s="21">
        <v>496</v>
      </c>
      <c r="I511" s="102">
        <v>0.66765592635440962</v>
      </c>
      <c r="J511" s="103">
        <v>1.2590480232107894E-3</v>
      </c>
      <c r="K511" s="103"/>
      <c r="L511" s="103">
        <v>4.0599999999999997E-2</v>
      </c>
      <c r="O511" s="100"/>
    </row>
    <row r="512" spans="2:15" x14ac:dyDescent="0.2">
      <c r="B512" s="1">
        <v>497</v>
      </c>
      <c r="C512" s="101">
        <f t="shared" ca="1" si="28"/>
        <v>-0.99725310191718797</v>
      </c>
      <c r="D512" s="101">
        <f t="shared" ca="1" si="29"/>
        <v>0.6022470649345375</v>
      </c>
      <c r="E512" s="101">
        <f t="shared" ca="1" si="30"/>
        <v>0</v>
      </c>
      <c r="F512" s="21">
        <f t="shared" ca="1" si="31"/>
        <v>0</v>
      </c>
      <c r="H512" s="21">
        <v>497</v>
      </c>
      <c r="I512" s="102">
        <v>0.66789414441055839</v>
      </c>
      <c r="J512" s="103">
        <v>1.4935609662390392E-3</v>
      </c>
      <c r="K512" s="103"/>
      <c r="L512" s="103">
        <v>4.6199999999999998E-2</v>
      </c>
      <c r="O512" s="100"/>
    </row>
    <row r="513" spans="2:15" x14ac:dyDescent="0.2">
      <c r="B513" s="1">
        <v>498</v>
      </c>
      <c r="C513" s="101">
        <f t="shared" ca="1" si="28"/>
        <v>-0.54308907687358587</v>
      </c>
      <c r="D513" s="101">
        <f t="shared" ca="1" si="29"/>
        <v>0.62984081290501481</v>
      </c>
      <c r="E513" s="101">
        <f t="shared" ca="1" si="30"/>
        <v>0</v>
      </c>
      <c r="F513" s="21">
        <f t="shared" ca="1" si="31"/>
        <v>0</v>
      </c>
      <c r="H513" s="21">
        <v>498</v>
      </c>
      <c r="I513" s="102">
        <v>0.66770424888569546</v>
      </c>
      <c r="J513" s="103">
        <v>1.2795545612249979E-3</v>
      </c>
      <c r="K513" s="103"/>
      <c r="L513" s="103">
        <v>3.8600000000000002E-2</v>
      </c>
      <c r="O513" s="100"/>
    </row>
    <row r="514" spans="2:15" x14ac:dyDescent="0.2">
      <c r="B514" s="1">
        <v>499</v>
      </c>
      <c r="C514" s="101">
        <f t="shared" ca="1" si="28"/>
        <v>1.8855819806725826</v>
      </c>
      <c r="D514" s="101">
        <f t="shared" ca="1" si="29"/>
        <v>0.80033824334685111</v>
      </c>
      <c r="E514" s="101">
        <f t="shared" ca="1" si="30"/>
        <v>1.2138243346851096E-2</v>
      </c>
      <c r="F514" s="21">
        <f t="shared" ca="1" si="31"/>
        <v>1</v>
      </c>
      <c r="H514" s="21">
        <v>499</v>
      </c>
      <c r="I514" s="102">
        <v>0.66781600308269617</v>
      </c>
      <c r="J514" s="103">
        <v>1.384460160114542E-3</v>
      </c>
      <c r="K514" s="103"/>
      <c r="L514" s="103">
        <v>3.9800000000000002E-2</v>
      </c>
      <c r="O514" s="100"/>
    </row>
    <row r="515" spans="2:15" x14ac:dyDescent="0.2">
      <c r="B515" s="1">
        <v>500</v>
      </c>
      <c r="C515" s="101">
        <f t="shared" ca="1" si="28"/>
        <v>-0.72478668482982567</v>
      </c>
      <c r="D515" s="101">
        <f t="shared" ca="1" si="29"/>
        <v>0.6186528036856177</v>
      </c>
      <c r="E515" s="101">
        <f t="shared" ca="1" si="30"/>
        <v>0</v>
      </c>
      <c r="F515" s="21">
        <f t="shared" ca="1" si="31"/>
        <v>0</v>
      </c>
      <c r="H515" s="21">
        <v>500</v>
      </c>
      <c r="I515" s="102">
        <v>0.66766623988322171</v>
      </c>
      <c r="J515" s="103">
        <v>1.3502871246400933E-3</v>
      </c>
      <c r="K515" s="103"/>
      <c r="L515" s="103">
        <v>4.0399999999999998E-2</v>
      </c>
      <c r="O515" s="100"/>
    </row>
    <row r="516" spans="2:15" x14ac:dyDescent="0.2">
      <c r="B516" s="1">
        <v>501</v>
      </c>
      <c r="C516" s="101">
        <f t="shared" ca="1" si="28"/>
        <v>-0.74572629733838891</v>
      </c>
      <c r="D516" s="101">
        <f t="shared" ca="1" si="29"/>
        <v>0.61737628821081136</v>
      </c>
      <c r="E516" s="101">
        <f t="shared" ca="1" si="30"/>
        <v>0</v>
      </c>
      <c r="F516" s="21">
        <f t="shared" ca="1" si="31"/>
        <v>0</v>
      </c>
      <c r="H516" s="21">
        <v>501</v>
      </c>
      <c r="I516" s="102">
        <v>0.66766404451590811</v>
      </c>
      <c r="J516" s="103">
        <v>1.2085294087641253E-3</v>
      </c>
      <c r="K516" s="103"/>
      <c r="L516" s="103">
        <v>4.2200000000000001E-2</v>
      </c>
      <c r="O516" s="100"/>
    </row>
    <row r="517" spans="2:15" x14ac:dyDescent="0.2">
      <c r="B517" s="1">
        <v>502</v>
      </c>
      <c r="C517" s="101">
        <f t="shared" ca="1" si="28"/>
        <v>-0.26063845450443285</v>
      </c>
      <c r="D517" s="101">
        <f t="shared" ca="1" si="29"/>
        <v>0.64763574305296845</v>
      </c>
      <c r="E517" s="101">
        <f t="shared" ca="1" si="30"/>
        <v>0</v>
      </c>
      <c r="F517" s="21">
        <f t="shared" ca="1" si="31"/>
        <v>0</v>
      </c>
      <c r="H517" s="21">
        <v>502</v>
      </c>
      <c r="I517" s="102">
        <v>0.66778591492100015</v>
      </c>
      <c r="J517" s="103">
        <v>1.4681197484520056E-3</v>
      </c>
      <c r="K517" s="103"/>
      <c r="L517" s="103">
        <v>4.48E-2</v>
      </c>
      <c r="O517" s="100"/>
    </row>
    <row r="518" spans="2:15" x14ac:dyDescent="0.2">
      <c r="B518" s="1">
        <v>503</v>
      </c>
      <c r="C518" s="101">
        <f t="shared" ca="1" si="28"/>
        <v>0.41126873456663021</v>
      </c>
      <c r="D518" s="101">
        <f t="shared" ca="1" si="29"/>
        <v>0.69201402953342961</v>
      </c>
      <c r="E518" s="101">
        <f t="shared" ca="1" si="30"/>
        <v>0</v>
      </c>
      <c r="F518" s="21">
        <f t="shared" ca="1" si="31"/>
        <v>0</v>
      </c>
      <c r="H518" s="21">
        <v>503</v>
      </c>
      <c r="I518" s="102">
        <v>0.66770033457175082</v>
      </c>
      <c r="J518" s="103">
        <v>1.3327533882340739E-3</v>
      </c>
      <c r="K518" s="103"/>
      <c r="L518" s="103">
        <v>4.02E-2</v>
      </c>
      <c r="O518" s="100"/>
    </row>
    <row r="519" spans="2:15" x14ac:dyDescent="0.2">
      <c r="B519" s="1">
        <v>504</v>
      </c>
      <c r="C519" s="101">
        <f t="shared" ca="1" si="28"/>
        <v>0.52054372258841231</v>
      </c>
      <c r="D519" s="101">
        <f t="shared" ca="1" si="29"/>
        <v>0.69951361582336147</v>
      </c>
      <c r="E519" s="101">
        <f t="shared" ca="1" si="30"/>
        <v>0</v>
      </c>
      <c r="F519" s="21">
        <f t="shared" ca="1" si="31"/>
        <v>0</v>
      </c>
      <c r="H519" s="21">
        <v>504</v>
      </c>
      <c r="I519" s="102">
        <v>0.66778378322500354</v>
      </c>
      <c r="J519" s="103">
        <v>1.540858315989604E-3</v>
      </c>
      <c r="K519" s="103"/>
      <c r="L519" s="103">
        <v>4.48E-2</v>
      </c>
      <c r="O519" s="100"/>
    </row>
    <row r="520" spans="2:15" x14ac:dyDescent="0.2">
      <c r="B520" s="1">
        <v>505</v>
      </c>
      <c r="C520" s="101">
        <f t="shared" ca="1" si="28"/>
        <v>0.19876695925141374</v>
      </c>
      <c r="D520" s="101">
        <f t="shared" ca="1" si="29"/>
        <v>0.67765938009459492</v>
      </c>
      <c r="E520" s="101">
        <f t="shared" ca="1" si="30"/>
        <v>0</v>
      </c>
      <c r="F520" s="21">
        <f t="shared" ca="1" si="31"/>
        <v>0</v>
      </c>
      <c r="H520" s="21">
        <v>505</v>
      </c>
      <c r="I520" s="102">
        <v>0.66774055825225997</v>
      </c>
      <c r="J520" s="103">
        <v>1.3051168603905529E-3</v>
      </c>
      <c r="K520" s="103"/>
      <c r="L520" s="103">
        <v>4.1000000000000002E-2</v>
      </c>
      <c r="O520" s="100"/>
    </row>
    <row r="521" spans="2:15" x14ac:dyDescent="0.2">
      <c r="B521" s="1">
        <v>506</v>
      </c>
      <c r="C521" s="101">
        <f t="shared" ca="1" si="28"/>
        <v>0.71324572237011796</v>
      </c>
      <c r="D521" s="101">
        <f t="shared" ca="1" si="29"/>
        <v>0.71293741512059339</v>
      </c>
      <c r="E521" s="101">
        <f t="shared" ca="1" si="30"/>
        <v>0</v>
      </c>
      <c r="F521" s="21">
        <f t="shared" ca="1" si="31"/>
        <v>0</v>
      </c>
      <c r="H521" s="21">
        <v>506</v>
      </c>
      <c r="I521" s="102">
        <v>0.66794993019534843</v>
      </c>
      <c r="J521" s="103">
        <v>1.6115778976477475E-3</v>
      </c>
      <c r="K521" s="103"/>
      <c r="L521" s="103">
        <v>4.6800000000000001E-2</v>
      </c>
      <c r="O521" s="100"/>
    </row>
    <row r="522" spans="2:15" x14ac:dyDescent="0.2">
      <c r="B522" s="1">
        <v>507</v>
      </c>
      <c r="C522" s="101">
        <f t="shared" ca="1" si="28"/>
        <v>0.37242258932842531</v>
      </c>
      <c r="D522" s="101">
        <f t="shared" ca="1" si="29"/>
        <v>0.6893674196944618</v>
      </c>
      <c r="E522" s="101">
        <f t="shared" ca="1" si="30"/>
        <v>0</v>
      </c>
      <c r="F522" s="21">
        <f t="shared" ca="1" si="31"/>
        <v>0</v>
      </c>
      <c r="H522" s="21">
        <v>507</v>
      </c>
      <c r="I522" s="102">
        <v>0.66780272384633688</v>
      </c>
      <c r="J522" s="103">
        <v>1.4848841940720613E-3</v>
      </c>
      <c r="K522" s="103"/>
      <c r="L522" s="103">
        <v>4.4400000000000002E-2</v>
      </c>
      <c r="O522" s="100"/>
    </row>
    <row r="523" spans="2:15" x14ac:dyDescent="0.2">
      <c r="B523" s="1">
        <v>508</v>
      </c>
      <c r="C523" s="101">
        <f t="shared" ca="1" si="28"/>
        <v>-0.94797694285460654</v>
      </c>
      <c r="D523" s="101">
        <f t="shared" ca="1" si="29"/>
        <v>0.6051815124677804</v>
      </c>
      <c r="E523" s="101">
        <f t="shared" ca="1" si="30"/>
        <v>0</v>
      </c>
      <c r="F523" s="21">
        <f t="shared" ca="1" si="31"/>
        <v>0</v>
      </c>
      <c r="H523" s="21">
        <v>508</v>
      </c>
      <c r="I523" s="102">
        <v>0.66768754844029699</v>
      </c>
      <c r="J523" s="103">
        <v>1.3604285067501036E-3</v>
      </c>
      <c r="K523" s="103"/>
      <c r="L523" s="103">
        <v>4.1200000000000001E-2</v>
      </c>
      <c r="O523" s="100"/>
    </row>
    <row r="524" spans="2:15" x14ac:dyDescent="0.2">
      <c r="B524" s="1">
        <v>509</v>
      </c>
      <c r="C524" s="101">
        <f t="shared" ca="1" si="28"/>
        <v>-0.17811263178921602</v>
      </c>
      <c r="D524" s="101">
        <f t="shared" ca="1" si="29"/>
        <v>0.65292931048314162</v>
      </c>
      <c r="E524" s="101">
        <f t="shared" ca="1" si="30"/>
        <v>0</v>
      </c>
      <c r="F524" s="21">
        <f t="shared" ca="1" si="31"/>
        <v>0</v>
      </c>
      <c r="H524" s="21">
        <v>509</v>
      </c>
      <c r="I524" s="102">
        <v>0.6679746841792954</v>
      </c>
      <c r="J524" s="103">
        <v>1.6010691274280428E-3</v>
      </c>
      <c r="K524" s="103"/>
      <c r="L524" s="103">
        <v>4.9200000000000001E-2</v>
      </c>
      <c r="O524" s="100"/>
    </row>
    <row r="525" spans="2:15" x14ac:dyDescent="0.2">
      <c r="B525" s="1">
        <v>510</v>
      </c>
      <c r="C525" s="101">
        <f t="shared" ca="1" si="28"/>
        <v>-0.11380526462157114</v>
      </c>
      <c r="D525" s="101">
        <f t="shared" ca="1" si="29"/>
        <v>0.65708424292782541</v>
      </c>
      <c r="E525" s="101">
        <f t="shared" ca="1" si="30"/>
        <v>0</v>
      </c>
      <c r="F525" s="21">
        <f t="shared" ca="1" si="31"/>
        <v>0</v>
      </c>
      <c r="H525" s="21">
        <v>510</v>
      </c>
      <c r="I525" s="102">
        <v>0.6676878606023513</v>
      </c>
      <c r="J525" s="103">
        <v>1.27402538225397E-3</v>
      </c>
      <c r="K525" s="103"/>
      <c r="L525" s="103">
        <v>4.2599999999999999E-2</v>
      </c>
      <c r="O525" s="100"/>
    </row>
    <row r="526" spans="2:15" x14ac:dyDescent="0.2">
      <c r="B526" s="1">
        <v>511</v>
      </c>
      <c r="C526" s="101">
        <f t="shared" ca="1" si="28"/>
        <v>-0.5034401004451966</v>
      </c>
      <c r="D526" s="101">
        <f t="shared" ca="1" si="29"/>
        <v>0.63230896105968337</v>
      </c>
      <c r="E526" s="101">
        <f t="shared" ca="1" si="30"/>
        <v>0</v>
      </c>
      <c r="F526" s="21">
        <f t="shared" ca="1" si="31"/>
        <v>0</v>
      </c>
      <c r="H526" s="21">
        <v>511</v>
      </c>
      <c r="I526" s="102">
        <v>0.66756392684838251</v>
      </c>
      <c r="J526" s="103">
        <v>1.1225837241591052E-3</v>
      </c>
      <c r="K526" s="103"/>
      <c r="L526" s="103">
        <v>3.6600000000000001E-2</v>
      </c>
      <c r="O526" s="100"/>
    </row>
    <row r="527" spans="2:15" x14ac:dyDescent="0.2">
      <c r="B527" s="1">
        <v>512</v>
      </c>
      <c r="C527" s="101">
        <f t="shared" ca="1" si="28"/>
        <v>1.5074878773360727</v>
      </c>
      <c r="D527" s="101">
        <f t="shared" ca="1" si="29"/>
        <v>0.77103883263511419</v>
      </c>
      <c r="E527" s="101">
        <f t="shared" ca="1" si="30"/>
        <v>0</v>
      </c>
      <c r="F527" s="21">
        <f t="shared" ca="1" si="31"/>
        <v>0</v>
      </c>
      <c r="H527" s="21">
        <v>512</v>
      </c>
      <c r="I527" s="102">
        <v>0.66769795728286419</v>
      </c>
      <c r="J527" s="103">
        <v>1.4087134715509992E-3</v>
      </c>
      <c r="K527" s="103"/>
      <c r="L527" s="103">
        <v>4.24E-2</v>
      </c>
      <c r="O527" s="100"/>
    </row>
    <row r="528" spans="2:15" x14ac:dyDescent="0.2">
      <c r="B528" s="1">
        <v>513</v>
      </c>
      <c r="C528" s="101">
        <f t="shared" ref="C528:C591" ca="1" si="32">_xlfn.NORM.S.INV(RAND())</f>
        <v>-0.67700266513064977</v>
      </c>
      <c r="D528" s="101">
        <f t="shared" ref="D528:D591" ca="1" si="33">S0*EXP((μ-0.5*σ*σ)*T+σ*SQRT(T)*$C528)</f>
        <v>0.62157569379641875</v>
      </c>
      <c r="E528" s="101">
        <f t="shared" ref="E528:E591" ca="1" si="34">MAX(0,CP*(D528-K))</f>
        <v>0</v>
      </c>
      <c r="F528" s="21">
        <f t="shared" ref="F528:F591" ca="1" si="35">(CP*(D528-K)&gt;0)*1</f>
        <v>0</v>
      </c>
      <c r="H528" s="21">
        <v>513</v>
      </c>
      <c r="I528" s="102">
        <v>0.66764325822289283</v>
      </c>
      <c r="J528" s="103">
        <v>1.2137399835340805E-3</v>
      </c>
      <c r="K528" s="103"/>
      <c r="L528" s="103">
        <v>3.8600000000000002E-2</v>
      </c>
      <c r="O528" s="100"/>
    </row>
    <row r="529" spans="2:15" x14ac:dyDescent="0.2">
      <c r="B529" s="1">
        <v>514</v>
      </c>
      <c r="C529" s="101">
        <f t="shared" ca="1" si="32"/>
        <v>0.9736369238985858</v>
      </c>
      <c r="D529" s="101">
        <f t="shared" ca="1" si="33"/>
        <v>0.73148665215502462</v>
      </c>
      <c r="E529" s="101">
        <f t="shared" ca="1" si="34"/>
        <v>0</v>
      </c>
      <c r="F529" s="21">
        <f t="shared" ca="1" si="35"/>
        <v>0</v>
      </c>
      <c r="H529" s="21">
        <v>514</v>
      </c>
      <c r="I529" s="102">
        <v>0.66785224281180855</v>
      </c>
      <c r="J529" s="103">
        <v>1.5385517440152953E-3</v>
      </c>
      <c r="K529" s="103"/>
      <c r="L529" s="103">
        <v>4.36E-2</v>
      </c>
      <c r="O529" s="100"/>
    </row>
    <row r="530" spans="2:15" x14ac:dyDescent="0.2">
      <c r="B530" s="1">
        <v>515</v>
      </c>
      <c r="C530" s="101">
        <f t="shared" ca="1" si="32"/>
        <v>0.70929645766903993</v>
      </c>
      <c r="D530" s="101">
        <f t="shared" ca="1" si="33"/>
        <v>0.71265973680767647</v>
      </c>
      <c r="E530" s="101">
        <f t="shared" ca="1" si="34"/>
        <v>0</v>
      </c>
      <c r="F530" s="21">
        <f t="shared" ca="1" si="35"/>
        <v>0</v>
      </c>
      <c r="H530" s="21">
        <v>515</v>
      </c>
      <c r="I530" s="102">
        <v>0.66773497603309595</v>
      </c>
      <c r="J530" s="103">
        <v>1.3336262714151814E-3</v>
      </c>
      <c r="K530" s="103"/>
      <c r="L530" s="103">
        <v>4.1799999999999997E-2</v>
      </c>
      <c r="O530" s="100"/>
    </row>
    <row r="531" spans="2:15" x14ac:dyDescent="0.2">
      <c r="B531" s="1">
        <v>516</v>
      </c>
      <c r="C531" s="101">
        <f t="shared" ca="1" si="32"/>
        <v>-1.0379262270032541</v>
      </c>
      <c r="D531" s="101">
        <f t="shared" ca="1" si="33"/>
        <v>0.59983565958174923</v>
      </c>
      <c r="E531" s="101">
        <f t="shared" ca="1" si="34"/>
        <v>0</v>
      </c>
      <c r="F531" s="21">
        <f t="shared" ca="1" si="35"/>
        <v>0</v>
      </c>
      <c r="H531" s="21">
        <v>516</v>
      </c>
      <c r="I531" s="102">
        <v>0.6678052916504289</v>
      </c>
      <c r="J531" s="103">
        <v>1.3569257089759254E-3</v>
      </c>
      <c r="K531" s="103"/>
      <c r="L531" s="103">
        <v>4.58E-2</v>
      </c>
      <c r="O531" s="100"/>
    </row>
    <row r="532" spans="2:15" x14ac:dyDescent="0.2">
      <c r="B532" s="1">
        <v>517</v>
      </c>
      <c r="C532" s="101">
        <f t="shared" ca="1" si="32"/>
        <v>1.2678474063279119</v>
      </c>
      <c r="D532" s="101">
        <f t="shared" ca="1" si="33"/>
        <v>0.75302639861723819</v>
      </c>
      <c r="E532" s="101">
        <f t="shared" ca="1" si="34"/>
        <v>0</v>
      </c>
      <c r="F532" s="21">
        <f t="shared" ca="1" si="35"/>
        <v>0</v>
      </c>
      <c r="H532" s="21">
        <v>517</v>
      </c>
      <c r="I532" s="102">
        <v>0.66776211716982548</v>
      </c>
      <c r="J532" s="103">
        <v>1.4489738083272334E-3</v>
      </c>
      <c r="K532" s="103"/>
      <c r="L532" s="103">
        <v>4.0800000000000003E-2</v>
      </c>
      <c r="O532" s="100"/>
    </row>
    <row r="533" spans="2:15" x14ac:dyDescent="0.2">
      <c r="B533" s="1">
        <v>518</v>
      </c>
      <c r="C533" s="101">
        <f t="shared" ca="1" si="32"/>
        <v>-0.34562165449202292</v>
      </c>
      <c r="D533" s="101">
        <f t="shared" ca="1" si="33"/>
        <v>0.64222939815654734</v>
      </c>
      <c r="E533" s="101">
        <f t="shared" ca="1" si="34"/>
        <v>0</v>
      </c>
      <c r="F533" s="21">
        <f t="shared" ca="1" si="35"/>
        <v>0</v>
      </c>
      <c r="H533" s="21">
        <v>518</v>
      </c>
      <c r="I533" s="102">
        <v>0.66772120557329151</v>
      </c>
      <c r="J533" s="103">
        <v>1.1546785658573049E-3</v>
      </c>
      <c r="K533" s="103"/>
      <c r="L533" s="103">
        <v>3.8800000000000001E-2</v>
      </c>
      <c r="O533" s="100"/>
    </row>
    <row r="534" spans="2:15" x14ac:dyDescent="0.2">
      <c r="B534" s="1">
        <v>519</v>
      </c>
      <c r="C534" s="101">
        <f t="shared" ca="1" si="32"/>
        <v>0.67550756450735849</v>
      </c>
      <c r="D534" s="101">
        <f t="shared" ca="1" si="33"/>
        <v>0.71028840928059089</v>
      </c>
      <c r="E534" s="101">
        <f t="shared" ca="1" si="34"/>
        <v>0</v>
      </c>
      <c r="F534" s="21">
        <f t="shared" ca="1" si="35"/>
        <v>0</v>
      </c>
      <c r="H534" s="21">
        <v>519</v>
      </c>
      <c r="I534" s="102">
        <v>0.66776072862302127</v>
      </c>
      <c r="J534" s="103">
        <v>1.3730445429633658E-3</v>
      </c>
      <c r="K534" s="103"/>
      <c r="L534" s="103">
        <v>4.24E-2</v>
      </c>
      <c r="O534" s="100"/>
    </row>
    <row r="535" spans="2:15" x14ac:dyDescent="0.2">
      <c r="B535" s="1">
        <v>520</v>
      </c>
      <c r="C535" s="101">
        <f t="shared" ca="1" si="32"/>
        <v>1.1853693551277282</v>
      </c>
      <c r="D535" s="101">
        <f t="shared" ca="1" si="33"/>
        <v>0.74692482246131497</v>
      </c>
      <c r="E535" s="101">
        <f t="shared" ca="1" si="34"/>
        <v>0</v>
      </c>
      <c r="F535" s="21">
        <f t="shared" ca="1" si="35"/>
        <v>0</v>
      </c>
      <c r="H535" s="21">
        <v>520</v>
      </c>
      <c r="I535" s="102">
        <v>0.66762636446112988</v>
      </c>
      <c r="J535" s="103">
        <v>1.1816497793640708E-3</v>
      </c>
      <c r="K535" s="103"/>
      <c r="L535" s="103">
        <v>3.8800000000000001E-2</v>
      </c>
      <c r="O535" s="100"/>
    </row>
    <row r="536" spans="2:15" x14ac:dyDescent="0.2">
      <c r="B536" s="1">
        <v>521</v>
      </c>
      <c r="C536" s="101">
        <f t="shared" ca="1" si="32"/>
        <v>-6.8926752152030299E-2</v>
      </c>
      <c r="D536" s="101">
        <f t="shared" ca="1" si="33"/>
        <v>0.65999952139922036</v>
      </c>
      <c r="E536" s="101">
        <f t="shared" ca="1" si="34"/>
        <v>0</v>
      </c>
      <c r="F536" s="21">
        <f t="shared" ca="1" si="35"/>
        <v>0</v>
      </c>
      <c r="H536" s="21">
        <v>521</v>
      </c>
      <c r="I536" s="102">
        <v>0.66763720832587847</v>
      </c>
      <c r="J536" s="103">
        <v>1.1305559750602878E-3</v>
      </c>
      <c r="K536" s="103"/>
      <c r="L536" s="103">
        <v>4.1599999999999998E-2</v>
      </c>
      <c r="O536" s="100"/>
    </row>
    <row r="537" spans="2:15" x14ac:dyDescent="0.2">
      <c r="B537" s="1">
        <v>522</v>
      </c>
      <c r="C537" s="101">
        <f t="shared" ca="1" si="32"/>
        <v>1.6447798024588047</v>
      </c>
      <c r="D537" s="101">
        <f t="shared" ca="1" si="33"/>
        <v>0.78155177337577864</v>
      </c>
      <c r="E537" s="101">
        <f t="shared" ca="1" si="34"/>
        <v>0</v>
      </c>
      <c r="F537" s="21">
        <f t="shared" ca="1" si="35"/>
        <v>0</v>
      </c>
      <c r="H537" s="21">
        <v>522</v>
      </c>
      <c r="I537" s="102">
        <v>0.66765229146931326</v>
      </c>
      <c r="J537" s="103">
        <v>1.190198660110458E-3</v>
      </c>
      <c r="K537" s="103"/>
      <c r="L537" s="103">
        <v>3.56E-2</v>
      </c>
      <c r="O537" s="100"/>
    </row>
    <row r="538" spans="2:15" x14ac:dyDescent="0.2">
      <c r="B538" s="1">
        <v>523</v>
      </c>
      <c r="C538" s="101">
        <f t="shared" ca="1" si="32"/>
        <v>0.35367784531835894</v>
      </c>
      <c r="D538" s="101">
        <f t="shared" ca="1" si="33"/>
        <v>0.68809395261049533</v>
      </c>
      <c r="E538" s="101">
        <f t="shared" ca="1" si="34"/>
        <v>0</v>
      </c>
      <c r="F538" s="21">
        <f t="shared" ca="1" si="35"/>
        <v>0</v>
      </c>
      <c r="H538" s="21">
        <v>523</v>
      </c>
      <c r="I538" s="102">
        <v>0.66790663786871596</v>
      </c>
      <c r="J538" s="103">
        <v>1.5365061790661735E-3</v>
      </c>
      <c r="K538" s="103"/>
      <c r="L538" s="103">
        <v>4.82E-2</v>
      </c>
      <c r="O538" s="100"/>
    </row>
    <row r="539" spans="2:15" x14ac:dyDescent="0.2">
      <c r="B539" s="1">
        <v>524</v>
      </c>
      <c r="C539" s="101">
        <f t="shared" ca="1" si="32"/>
        <v>-0.33495957037876345</v>
      </c>
      <c r="D539" s="101">
        <f t="shared" ca="1" si="33"/>
        <v>0.64290520033155041</v>
      </c>
      <c r="E539" s="101">
        <f t="shared" ca="1" si="34"/>
        <v>0</v>
      </c>
      <c r="F539" s="21">
        <f t="shared" ca="1" si="35"/>
        <v>0</v>
      </c>
      <c r="H539" s="21">
        <v>524</v>
      </c>
      <c r="I539" s="102">
        <v>0.66788862540669414</v>
      </c>
      <c r="J539" s="103">
        <v>1.5325104777016423E-3</v>
      </c>
      <c r="K539" s="103"/>
      <c r="L539" s="103">
        <v>4.1000000000000002E-2</v>
      </c>
      <c r="O539" s="100"/>
    </row>
    <row r="540" spans="2:15" x14ac:dyDescent="0.2">
      <c r="B540" s="1">
        <v>525</v>
      </c>
      <c r="C540" s="101">
        <f t="shared" ca="1" si="32"/>
        <v>-8.1324707894106826E-2</v>
      </c>
      <c r="D540" s="101">
        <f t="shared" ca="1" si="33"/>
        <v>0.65919286781169861</v>
      </c>
      <c r="E540" s="101">
        <f t="shared" ca="1" si="34"/>
        <v>0</v>
      </c>
      <c r="F540" s="21">
        <f t="shared" ca="1" si="35"/>
        <v>0</v>
      </c>
      <c r="H540" s="21">
        <v>525</v>
      </c>
      <c r="I540" s="102">
        <v>0.66764959179144168</v>
      </c>
      <c r="J540" s="103">
        <v>1.2144157369934727E-3</v>
      </c>
      <c r="K540" s="103"/>
      <c r="L540" s="103">
        <v>3.8399999999999997E-2</v>
      </c>
      <c r="O540" s="100"/>
    </row>
    <row r="541" spans="2:15" x14ac:dyDescent="0.2">
      <c r="B541" s="1">
        <v>526</v>
      </c>
      <c r="C541" s="101">
        <f t="shared" ca="1" si="32"/>
        <v>1.0202232932445179</v>
      </c>
      <c r="D541" s="101">
        <f t="shared" ca="1" si="33"/>
        <v>0.73485581823543955</v>
      </c>
      <c r="E541" s="101">
        <f t="shared" ca="1" si="34"/>
        <v>0</v>
      </c>
      <c r="F541" s="21">
        <f t="shared" ca="1" si="35"/>
        <v>0</v>
      </c>
      <c r="H541" s="21">
        <v>526</v>
      </c>
      <c r="I541" s="102">
        <v>0.66775013146861562</v>
      </c>
      <c r="J541" s="103">
        <v>1.4160829389354961E-3</v>
      </c>
      <c r="K541" s="103"/>
      <c r="L541" s="103">
        <v>4.36E-2</v>
      </c>
      <c r="O541" s="100"/>
    </row>
    <row r="542" spans="2:15" x14ac:dyDescent="0.2">
      <c r="B542" s="1">
        <v>527</v>
      </c>
      <c r="C542" s="101">
        <f t="shared" ca="1" si="32"/>
        <v>0.14791847550368298</v>
      </c>
      <c r="D542" s="101">
        <f t="shared" ca="1" si="33"/>
        <v>0.67426891202683858</v>
      </c>
      <c r="E542" s="101">
        <f t="shared" ca="1" si="34"/>
        <v>0</v>
      </c>
      <c r="F542" s="21">
        <f t="shared" ca="1" si="35"/>
        <v>0</v>
      </c>
      <c r="H542" s="21">
        <v>527</v>
      </c>
      <c r="I542" s="102">
        <v>0.66768207778677169</v>
      </c>
      <c r="J542" s="103">
        <v>1.1554327568953715E-3</v>
      </c>
      <c r="K542" s="103"/>
      <c r="L542" s="103">
        <v>4.0800000000000003E-2</v>
      </c>
      <c r="O542" s="100"/>
    </row>
    <row r="543" spans="2:15" x14ac:dyDescent="0.2">
      <c r="B543" s="1">
        <v>528</v>
      </c>
      <c r="C543" s="101">
        <f t="shared" ca="1" si="32"/>
        <v>0.35077840139515659</v>
      </c>
      <c r="D543" s="101">
        <f t="shared" ca="1" si="33"/>
        <v>0.68789718244465803</v>
      </c>
      <c r="E543" s="101">
        <f t="shared" ca="1" si="34"/>
        <v>0</v>
      </c>
      <c r="F543" s="21">
        <f t="shared" ca="1" si="35"/>
        <v>0</v>
      </c>
      <c r="H543" s="21">
        <v>528</v>
      </c>
      <c r="I543" s="102">
        <v>0.6676463974039496</v>
      </c>
      <c r="J543" s="103">
        <v>1.2603979735878671E-3</v>
      </c>
      <c r="K543" s="103"/>
      <c r="L543" s="103">
        <v>3.8800000000000001E-2</v>
      </c>
      <c r="O543" s="100"/>
    </row>
    <row r="544" spans="2:15" x14ac:dyDescent="0.2">
      <c r="B544" s="1">
        <v>529</v>
      </c>
      <c r="C544" s="101">
        <f t="shared" ca="1" si="32"/>
        <v>-0.50750008712131056</v>
      </c>
      <c r="D544" s="101">
        <f t="shared" ca="1" si="33"/>
        <v>0.63205578310626387</v>
      </c>
      <c r="E544" s="101">
        <f t="shared" ca="1" si="34"/>
        <v>0</v>
      </c>
      <c r="F544" s="21">
        <f t="shared" ca="1" si="35"/>
        <v>0</v>
      </c>
      <c r="H544" s="21">
        <v>529</v>
      </c>
      <c r="I544" s="102">
        <v>0.66772002784763385</v>
      </c>
      <c r="J544" s="103">
        <v>1.3820001666469295E-3</v>
      </c>
      <c r="K544" s="103"/>
      <c r="L544" s="103">
        <v>4.5199999999999997E-2</v>
      </c>
      <c r="O544" s="100"/>
    </row>
    <row r="545" spans="2:15" x14ac:dyDescent="0.2">
      <c r="B545" s="1">
        <v>530</v>
      </c>
      <c r="C545" s="101">
        <f t="shared" ca="1" si="32"/>
        <v>0.88688479574376522</v>
      </c>
      <c r="D545" s="101">
        <f t="shared" ca="1" si="33"/>
        <v>0.72525377503260813</v>
      </c>
      <c r="E545" s="101">
        <f t="shared" ca="1" si="34"/>
        <v>0</v>
      </c>
      <c r="F545" s="21">
        <f t="shared" ca="1" si="35"/>
        <v>0</v>
      </c>
      <c r="H545" s="21">
        <v>530</v>
      </c>
      <c r="I545" s="102">
        <v>0.66770916747876796</v>
      </c>
      <c r="J545" s="103">
        <v>1.3355397868499881E-3</v>
      </c>
      <c r="K545" s="103"/>
      <c r="L545" s="103">
        <v>4.3200000000000002E-2</v>
      </c>
      <c r="O545" s="100"/>
    </row>
    <row r="546" spans="2:15" x14ac:dyDescent="0.2">
      <c r="B546" s="1">
        <v>531</v>
      </c>
      <c r="C546" s="101">
        <f t="shared" ca="1" si="32"/>
        <v>8.4652263526406327E-2</v>
      </c>
      <c r="D546" s="101">
        <f t="shared" ca="1" si="33"/>
        <v>0.67007412968385838</v>
      </c>
      <c r="E546" s="101">
        <f t="shared" ca="1" si="34"/>
        <v>0</v>
      </c>
      <c r="F546" s="21">
        <f t="shared" ca="1" si="35"/>
        <v>0</v>
      </c>
      <c r="H546" s="21">
        <v>531</v>
      </c>
      <c r="I546" s="102">
        <v>0.66773587886611907</v>
      </c>
      <c r="J546" s="103">
        <v>1.4568147737875864E-3</v>
      </c>
      <c r="K546" s="103"/>
      <c r="L546" s="103">
        <v>4.1599999999999998E-2</v>
      </c>
      <c r="O546" s="100"/>
    </row>
    <row r="547" spans="2:15" x14ac:dyDescent="0.2">
      <c r="B547" s="1">
        <v>532</v>
      </c>
      <c r="C547" s="101">
        <f t="shared" ca="1" si="32"/>
        <v>-0.59747459698627881</v>
      </c>
      <c r="D547" s="101">
        <f t="shared" ca="1" si="33"/>
        <v>0.62647097830158105</v>
      </c>
      <c r="E547" s="101">
        <f t="shared" ca="1" si="34"/>
        <v>0</v>
      </c>
      <c r="F547" s="21">
        <f t="shared" ca="1" si="35"/>
        <v>0</v>
      </c>
      <c r="H547" s="21">
        <v>532</v>
      </c>
      <c r="I547" s="102">
        <v>0.66763331313311935</v>
      </c>
      <c r="J547" s="103">
        <v>1.233835348824612E-3</v>
      </c>
      <c r="K547" s="103"/>
      <c r="L547" s="103">
        <v>3.7199999999999997E-2</v>
      </c>
      <c r="O547" s="100"/>
    </row>
    <row r="548" spans="2:15" x14ac:dyDescent="0.2">
      <c r="B548" s="1">
        <v>533</v>
      </c>
      <c r="C548" s="101">
        <f t="shared" ca="1" si="32"/>
        <v>1.1650127921540578</v>
      </c>
      <c r="D548" s="101">
        <f t="shared" ca="1" si="33"/>
        <v>0.74542650345743722</v>
      </c>
      <c r="E548" s="101">
        <f t="shared" ca="1" si="34"/>
        <v>0</v>
      </c>
      <c r="F548" s="21">
        <f t="shared" ca="1" si="35"/>
        <v>0</v>
      </c>
      <c r="H548" s="21">
        <v>533</v>
      </c>
      <c r="I548" s="102">
        <v>0.66778725694935215</v>
      </c>
      <c r="J548" s="103">
        <v>1.1841241157536134E-3</v>
      </c>
      <c r="K548" s="103"/>
      <c r="L548" s="103">
        <v>4.2599999999999999E-2</v>
      </c>
      <c r="O548" s="100"/>
    </row>
    <row r="549" spans="2:15" x14ac:dyDescent="0.2">
      <c r="B549" s="1">
        <v>534</v>
      </c>
      <c r="C549" s="101">
        <f t="shared" ca="1" si="32"/>
        <v>0.93779976585948932</v>
      </c>
      <c r="D549" s="101">
        <f t="shared" ca="1" si="33"/>
        <v>0.72890539380707564</v>
      </c>
      <c r="E549" s="101">
        <f t="shared" ca="1" si="34"/>
        <v>0</v>
      </c>
      <c r="F549" s="21">
        <f t="shared" ca="1" si="35"/>
        <v>0</v>
      </c>
      <c r="H549" s="21">
        <v>534</v>
      </c>
      <c r="I549" s="102">
        <v>0.66793649930498089</v>
      </c>
      <c r="J549" s="103">
        <v>1.5749226348729616E-3</v>
      </c>
      <c r="K549" s="103"/>
      <c r="L549" s="103">
        <v>4.3999999999999997E-2</v>
      </c>
      <c r="O549" s="100"/>
    </row>
    <row r="550" spans="2:15" x14ac:dyDescent="0.2">
      <c r="B550" s="1">
        <v>535</v>
      </c>
      <c r="C550" s="101">
        <f t="shared" ca="1" si="32"/>
        <v>-1.4217574307381957</v>
      </c>
      <c r="D550" s="101">
        <f t="shared" ca="1" si="33"/>
        <v>0.5775494683422906</v>
      </c>
      <c r="E550" s="101">
        <f t="shared" ca="1" si="34"/>
        <v>0</v>
      </c>
      <c r="F550" s="21">
        <f t="shared" ca="1" si="35"/>
        <v>0</v>
      </c>
      <c r="H550" s="21">
        <v>535</v>
      </c>
      <c r="I550" s="102">
        <v>0.66779853876305451</v>
      </c>
      <c r="J550" s="103">
        <v>1.4491029284401491E-3</v>
      </c>
      <c r="K550" s="103"/>
      <c r="L550" s="103">
        <v>4.48E-2</v>
      </c>
      <c r="O550" s="100"/>
    </row>
    <row r="551" spans="2:15" x14ac:dyDescent="0.2">
      <c r="B551" s="1">
        <v>536</v>
      </c>
      <c r="C551" s="101">
        <f t="shared" ca="1" si="32"/>
        <v>-1.4337697408470085</v>
      </c>
      <c r="D551" s="101">
        <f t="shared" ca="1" si="33"/>
        <v>0.57686552937248869</v>
      </c>
      <c r="E551" s="101">
        <f t="shared" ca="1" si="34"/>
        <v>0</v>
      </c>
      <c r="F551" s="21">
        <f t="shared" ca="1" si="35"/>
        <v>0</v>
      </c>
      <c r="H551" s="21">
        <v>536</v>
      </c>
      <c r="I551" s="102">
        <v>0.6676636637483695</v>
      </c>
      <c r="J551" s="103">
        <v>1.2220554512576889E-3</v>
      </c>
      <c r="K551" s="103"/>
      <c r="L551" s="103">
        <v>4.0399999999999998E-2</v>
      </c>
      <c r="O551" s="100"/>
    </row>
    <row r="552" spans="2:15" x14ac:dyDescent="0.2">
      <c r="B552" s="1">
        <v>537</v>
      </c>
      <c r="C552" s="101">
        <f t="shared" ca="1" si="32"/>
        <v>0.67450733420399778</v>
      </c>
      <c r="D552" s="101">
        <f t="shared" ca="1" si="33"/>
        <v>0.71021833281136748</v>
      </c>
      <c r="E552" s="101">
        <f t="shared" ca="1" si="34"/>
        <v>0</v>
      </c>
      <c r="F552" s="21">
        <f t="shared" ca="1" si="35"/>
        <v>0</v>
      </c>
      <c r="H552" s="21">
        <v>537</v>
      </c>
      <c r="I552" s="102">
        <v>0.66767735048013976</v>
      </c>
      <c r="J552" s="103">
        <v>1.310755346465976E-3</v>
      </c>
      <c r="K552" s="103"/>
      <c r="L552" s="103">
        <v>4.3200000000000002E-2</v>
      </c>
      <c r="O552" s="100"/>
    </row>
    <row r="553" spans="2:15" x14ac:dyDescent="0.2">
      <c r="B553" s="1">
        <v>538</v>
      </c>
      <c r="C553" s="101">
        <f t="shared" ca="1" si="32"/>
        <v>0.43881521321135414</v>
      </c>
      <c r="D553" s="101">
        <f t="shared" ca="1" si="33"/>
        <v>0.69389694169286653</v>
      </c>
      <c r="E553" s="101">
        <f t="shared" ca="1" si="34"/>
        <v>0</v>
      </c>
      <c r="F553" s="21">
        <f t="shared" ca="1" si="35"/>
        <v>0</v>
      </c>
      <c r="H553" s="21">
        <v>538</v>
      </c>
      <c r="I553" s="102">
        <v>0.66779733098961946</v>
      </c>
      <c r="J553" s="103">
        <v>1.5381200058124816E-3</v>
      </c>
      <c r="K553" s="103"/>
      <c r="L553" s="103">
        <v>4.2999999999999997E-2</v>
      </c>
      <c r="O553" s="100"/>
    </row>
    <row r="554" spans="2:15" x14ac:dyDescent="0.2">
      <c r="B554" s="1">
        <v>539</v>
      </c>
      <c r="C554" s="101">
        <f t="shared" ca="1" si="32"/>
        <v>-4.356619566519486E-2</v>
      </c>
      <c r="D554" s="101">
        <f t="shared" ca="1" si="33"/>
        <v>0.66165264234589372</v>
      </c>
      <c r="E554" s="101">
        <f t="shared" ca="1" si="34"/>
        <v>0</v>
      </c>
      <c r="F554" s="21">
        <f t="shared" ca="1" si="35"/>
        <v>0</v>
      </c>
      <c r="H554" s="21">
        <v>539</v>
      </c>
      <c r="I554" s="102">
        <v>0.6677178224587329</v>
      </c>
      <c r="J554" s="103">
        <v>1.417997806514714E-3</v>
      </c>
      <c r="K554" s="103"/>
      <c r="L554" s="103">
        <v>4.1000000000000002E-2</v>
      </c>
      <c r="O554" s="100"/>
    </row>
    <row r="555" spans="2:15" x14ac:dyDescent="0.2">
      <c r="B555" s="1">
        <v>540</v>
      </c>
      <c r="C555" s="101">
        <f t="shared" ca="1" si="32"/>
        <v>1.2878803855906367</v>
      </c>
      <c r="D555" s="101">
        <f t="shared" ca="1" si="33"/>
        <v>0.75451590995886508</v>
      </c>
      <c r="E555" s="101">
        <f t="shared" ca="1" si="34"/>
        <v>0</v>
      </c>
      <c r="F555" s="21">
        <f t="shared" ca="1" si="35"/>
        <v>0</v>
      </c>
      <c r="H555" s="21">
        <v>540</v>
      </c>
      <c r="I555" s="102">
        <v>0.66760765022020374</v>
      </c>
      <c r="J555" s="103">
        <v>1.2910265777158706E-3</v>
      </c>
      <c r="K555" s="103"/>
      <c r="L555" s="103">
        <v>3.8399999999999997E-2</v>
      </c>
      <c r="O555" s="100"/>
    </row>
    <row r="556" spans="2:15" x14ac:dyDescent="0.2">
      <c r="B556" s="1">
        <v>541</v>
      </c>
      <c r="C556" s="101">
        <f t="shared" ca="1" si="32"/>
        <v>-2.6136069300488705E-2</v>
      </c>
      <c r="D556" s="101">
        <f t="shared" ca="1" si="33"/>
        <v>0.66279122061068618</v>
      </c>
      <c r="E556" s="101">
        <f t="shared" ca="1" si="34"/>
        <v>0</v>
      </c>
      <c r="F556" s="21">
        <f t="shared" ca="1" si="35"/>
        <v>0</v>
      </c>
      <c r="H556" s="21">
        <v>541</v>
      </c>
      <c r="I556" s="102">
        <v>0.66794923261439321</v>
      </c>
      <c r="J556" s="103">
        <v>1.5591250241212102E-3</v>
      </c>
      <c r="K556" s="103"/>
      <c r="L556" s="103">
        <v>4.6600000000000003E-2</v>
      </c>
      <c r="O556" s="100"/>
    </row>
    <row r="557" spans="2:15" x14ac:dyDescent="0.2">
      <c r="B557" s="1">
        <v>542</v>
      </c>
      <c r="C557" s="101">
        <f t="shared" ca="1" si="32"/>
        <v>-0.61225604323553784</v>
      </c>
      <c r="D557" s="101">
        <f t="shared" ca="1" si="33"/>
        <v>0.62555821071291484</v>
      </c>
      <c r="E557" s="101">
        <f t="shared" ca="1" si="34"/>
        <v>0</v>
      </c>
      <c r="F557" s="21">
        <f t="shared" ca="1" si="35"/>
        <v>0</v>
      </c>
      <c r="H557" s="21">
        <v>542</v>
      </c>
      <c r="I557" s="102">
        <v>0.66758737983295724</v>
      </c>
      <c r="J557" s="103">
        <v>1.2654779072334044E-3</v>
      </c>
      <c r="K557" s="103"/>
      <c r="L557" s="103">
        <v>3.5799999999999998E-2</v>
      </c>
      <c r="O557" s="100"/>
    </row>
    <row r="558" spans="2:15" x14ac:dyDescent="0.2">
      <c r="B558" s="1">
        <v>543</v>
      </c>
      <c r="C558" s="101">
        <f t="shared" ca="1" si="32"/>
        <v>-0.24422843709035555</v>
      </c>
      <c r="D558" s="101">
        <f t="shared" ca="1" si="33"/>
        <v>0.64868492376258213</v>
      </c>
      <c r="E558" s="101">
        <f t="shared" ca="1" si="34"/>
        <v>0</v>
      </c>
      <c r="F558" s="21">
        <f t="shared" ca="1" si="35"/>
        <v>0</v>
      </c>
      <c r="H558" s="21">
        <v>543</v>
      </c>
      <c r="I558" s="102">
        <v>0.66791145000856944</v>
      </c>
      <c r="J558" s="103">
        <v>1.5697499989905685E-3</v>
      </c>
      <c r="K558" s="103"/>
      <c r="L558" s="103">
        <v>4.4400000000000002E-2</v>
      </c>
      <c r="O558" s="100"/>
    </row>
    <row r="559" spans="2:15" x14ac:dyDescent="0.2">
      <c r="B559" s="1">
        <v>544</v>
      </c>
      <c r="C559" s="101">
        <f t="shared" ca="1" si="32"/>
        <v>0.3663114815783336</v>
      </c>
      <c r="D559" s="101">
        <f t="shared" ca="1" si="33"/>
        <v>0.68895198888227116</v>
      </c>
      <c r="E559" s="101">
        <f t="shared" ca="1" si="34"/>
        <v>0</v>
      </c>
      <c r="F559" s="21">
        <f t="shared" ca="1" si="35"/>
        <v>0</v>
      </c>
      <c r="H559" s="21">
        <v>544</v>
      </c>
      <c r="I559" s="102">
        <v>0.66777412584702112</v>
      </c>
      <c r="J559" s="103">
        <v>1.5314292122408852E-3</v>
      </c>
      <c r="K559" s="103"/>
      <c r="L559" s="103">
        <v>4.0599999999999997E-2</v>
      </c>
      <c r="O559" s="100"/>
    </row>
    <row r="560" spans="2:15" x14ac:dyDescent="0.2">
      <c r="B560" s="1">
        <v>545</v>
      </c>
      <c r="C560" s="101">
        <f t="shared" ca="1" si="32"/>
        <v>-7.9412067500096467E-2</v>
      </c>
      <c r="D560" s="101">
        <f t="shared" ca="1" si="33"/>
        <v>0.65931724641995249</v>
      </c>
      <c r="E560" s="101">
        <f t="shared" ca="1" si="34"/>
        <v>0</v>
      </c>
      <c r="F560" s="21">
        <f t="shared" ca="1" si="35"/>
        <v>0</v>
      </c>
      <c r="H560" s="21">
        <v>545</v>
      </c>
      <c r="I560" s="102">
        <v>0.66769330060773335</v>
      </c>
      <c r="J560" s="103">
        <v>1.3914194513486428E-3</v>
      </c>
      <c r="K560" s="103"/>
      <c r="L560" s="103">
        <v>4.0599999999999997E-2</v>
      </c>
      <c r="O560" s="100"/>
    </row>
    <row r="561" spans="2:15" x14ac:dyDescent="0.2">
      <c r="B561" s="1">
        <v>546</v>
      </c>
      <c r="C561" s="101">
        <f t="shared" ca="1" si="32"/>
        <v>-0.13378079762195133</v>
      </c>
      <c r="D561" s="101">
        <f t="shared" ca="1" si="33"/>
        <v>0.65579079029179599</v>
      </c>
      <c r="E561" s="101">
        <f t="shared" ca="1" si="34"/>
        <v>0</v>
      </c>
      <c r="F561" s="21">
        <f t="shared" ca="1" si="35"/>
        <v>0</v>
      </c>
      <c r="H561" s="21">
        <v>546</v>
      </c>
      <c r="I561" s="102">
        <v>0.66773415187473306</v>
      </c>
      <c r="J561" s="103">
        <v>1.3700584077069537E-3</v>
      </c>
      <c r="K561" s="103"/>
      <c r="L561" s="103">
        <v>4.1799999999999997E-2</v>
      </c>
      <c r="O561" s="100"/>
    </row>
    <row r="562" spans="2:15" x14ac:dyDescent="0.2">
      <c r="B562" s="1">
        <v>547</v>
      </c>
      <c r="C562" s="101">
        <f t="shared" ca="1" si="32"/>
        <v>0.78169847427044348</v>
      </c>
      <c r="D562" s="101">
        <f t="shared" ca="1" si="33"/>
        <v>0.71776765035763124</v>
      </c>
      <c r="E562" s="101">
        <f t="shared" ca="1" si="34"/>
        <v>0</v>
      </c>
      <c r="F562" s="21">
        <f t="shared" ca="1" si="35"/>
        <v>0</v>
      </c>
      <c r="H562" s="21">
        <v>547</v>
      </c>
      <c r="I562" s="102">
        <v>0.66765274389234497</v>
      </c>
      <c r="J562" s="103">
        <v>1.3526889201219835E-3</v>
      </c>
      <c r="K562" s="103"/>
      <c r="L562" s="103">
        <v>4.02E-2</v>
      </c>
      <c r="O562" s="100"/>
    </row>
    <row r="563" spans="2:15" x14ac:dyDescent="0.2">
      <c r="B563" s="1">
        <v>548</v>
      </c>
      <c r="C563" s="101">
        <f t="shared" ca="1" si="32"/>
        <v>-1.3369399445203505</v>
      </c>
      <c r="D563" s="101">
        <f t="shared" ca="1" si="33"/>
        <v>0.58240181161670379</v>
      </c>
      <c r="E563" s="101">
        <f t="shared" ca="1" si="34"/>
        <v>0</v>
      </c>
      <c r="F563" s="21">
        <f t="shared" ca="1" si="35"/>
        <v>0</v>
      </c>
      <c r="H563" s="21">
        <v>548</v>
      </c>
      <c r="I563" s="102">
        <v>0.66772696283593769</v>
      </c>
      <c r="J563" s="103">
        <v>1.4782710399197942E-3</v>
      </c>
      <c r="K563" s="103"/>
      <c r="L563" s="103">
        <v>4.1599999999999998E-2</v>
      </c>
      <c r="O563" s="100"/>
    </row>
    <row r="564" spans="2:15" x14ac:dyDescent="0.2">
      <c r="B564" s="1">
        <v>549</v>
      </c>
      <c r="C564" s="101">
        <f t="shared" ca="1" si="32"/>
        <v>-0.81070561078268089</v>
      </c>
      <c r="D564" s="101">
        <f t="shared" ca="1" si="33"/>
        <v>0.61343177994039566</v>
      </c>
      <c r="E564" s="101">
        <f t="shared" ca="1" si="34"/>
        <v>0</v>
      </c>
      <c r="F564" s="21">
        <f t="shared" ca="1" si="35"/>
        <v>0</v>
      </c>
      <c r="H564" s="21">
        <v>549</v>
      </c>
      <c r="I564" s="102">
        <v>0.66766863567878232</v>
      </c>
      <c r="J564" s="103">
        <v>1.304391080811252E-3</v>
      </c>
      <c r="K564" s="103"/>
      <c r="L564" s="103">
        <v>4.02E-2</v>
      </c>
      <c r="O564" s="100"/>
    </row>
    <row r="565" spans="2:15" x14ac:dyDescent="0.2">
      <c r="B565" s="1">
        <v>550</v>
      </c>
      <c r="C565" s="101">
        <f t="shared" ca="1" si="32"/>
        <v>0.51745416133813693</v>
      </c>
      <c r="D565" s="101">
        <f t="shared" ca="1" si="33"/>
        <v>0.69930046564190518</v>
      </c>
      <c r="E565" s="101">
        <f t="shared" ca="1" si="34"/>
        <v>0</v>
      </c>
      <c r="F565" s="21">
        <f t="shared" ca="1" si="35"/>
        <v>0</v>
      </c>
      <c r="H565" s="21">
        <v>550</v>
      </c>
      <c r="I565" s="102">
        <v>0.6677509667655398</v>
      </c>
      <c r="J565" s="103">
        <v>1.3886765640709641E-3</v>
      </c>
      <c r="K565" s="103"/>
      <c r="L565" s="103">
        <v>4.1000000000000002E-2</v>
      </c>
      <c r="O565" s="100"/>
    </row>
    <row r="566" spans="2:15" x14ac:dyDescent="0.2">
      <c r="B566" s="1">
        <v>551</v>
      </c>
      <c r="C566" s="101">
        <f t="shared" ca="1" si="32"/>
        <v>0.13828746289416152</v>
      </c>
      <c r="D566" s="101">
        <f t="shared" ca="1" si="33"/>
        <v>0.6736286500493861</v>
      </c>
      <c r="E566" s="101">
        <f t="shared" ca="1" si="34"/>
        <v>0</v>
      </c>
      <c r="F566" s="21">
        <f t="shared" ca="1" si="35"/>
        <v>0</v>
      </c>
      <c r="H566" s="21">
        <v>551</v>
      </c>
      <c r="I566" s="102">
        <v>0.66763234542957828</v>
      </c>
      <c r="J566" s="103">
        <v>1.0650779964256377E-3</v>
      </c>
      <c r="K566" s="103"/>
      <c r="L566" s="103">
        <v>3.7400000000000003E-2</v>
      </c>
      <c r="O566" s="100"/>
    </row>
    <row r="567" spans="2:15" x14ac:dyDescent="0.2">
      <c r="B567" s="1">
        <v>552</v>
      </c>
      <c r="C567" s="101">
        <f t="shared" ca="1" si="32"/>
        <v>0.22619374643701334</v>
      </c>
      <c r="D567" s="101">
        <f t="shared" ca="1" si="33"/>
        <v>0.67949521193229945</v>
      </c>
      <c r="E567" s="101">
        <f t="shared" ca="1" si="34"/>
        <v>0</v>
      </c>
      <c r="F567" s="21">
        <f t="shared" ca="1" si="35"/>
        <v>0</v>
      </c>
      <c r="H567" s="21">
        <v>552</v>
      </c>
      <c r="I567" s="102">
        <v>0.66762015208652969</v>
      </c>
      <c r="J567" s="103">
        <v>1.1055928225536184E-3</v>
      </c>
      <c r="K567" s="103"/>
      <c r="L567" s="103">
        <v>3.8399999999999997E-2</v>
      </c>
      <c r="O567" s="100"/>
    </row>
    <row r="568" spans="2:15" x14ac:dyDescent="0.2">
      <c r="B568" s="1">
        <v>553</v>
      </c>
      <c r="C568" s="101">
        <f t="shared" ca="1" si="32"/>
        <v>0.97779424830315886</v>
      </c>
      <c r="D568" s="101">
        <f t="shared" ca="1" si="33"/>
        <v>0.73178668463568963</v>
      </c>
      <c r="E568" s="101">
        <f t="shared" ca="1" si="34"/>
        <v>0</v>
      </c>
      <c r="F568" s="21">
        <f t="shared" ca="1" si="35"/>
        <v>0</v>
      </c>
      <c r="H568" s="21">
        <v>553</v>
      </c>
      <c r="I568" s="102">
        <v>0.66770453381655626</v>
      </c>
      <c r="J568" s="103">
        <v>1.3082945298321172E-3</v>
      </c>
      <c r="K568" s="103"/>
      <c r="L568" s="103">
        <v>4.2000000000000003E-2</v>
      </c>
      <c r="O568" s="100"/>
    </row>
    <row r="569" spans="2:15" x14ac:dyDescent="0.2">
      <c r="B569" s="1">
        <v>554</v>
      </c>
      <c r="C569" s="101">
        <f t="shared" ca="1" si="32"/>
        <v>1.0453280804008087</v>
      </c>
      <c r="D569" s="101">
        <f t="shared" ca="1" si="33"/>
        <v>0.73667784784006696</v>
      </c>
      <c r="E569" s="101">
        <f t="shared" ca="1" si="34"/>
        <v>0</v>
      </c>
      <c r="F569" s="21">
        <f t="shared" ca="1" si="35"/>
        <v>0</v>
      </c>
      <c r="H569" s="21">
        <v>554</v>
      </c>
      <c r="I569" s="102">
        <v>0.66801528806820742</v>
      </c>
      <c r="J569" s="103">
        <v>1.7682175217755482E-3</v>
      </c>
      <c r="K569" s="103"/>
      <c r="L569" s="103">
        <v>4.5600000000000002E-2</v>
      </c>
      <c r="O569" s="100"/>
    </row>
    <row r="570" spans="2:15" x14ac:dyDescent="0.2">
      <c r="B570" s="1">
        <v>555</v>
      </c>
      <c r="C570" s="101">
        <f t="shared" ca="1" si="32"/>
        <v>-0.94523954007738331</v>
      </c>
      <c r="D570" s="101">
        <f t="shared" ca="1" si="33"/>
        <v>0.6053449462729118</v>
      </c>
      <c r="E570" s="101">
        <f t="shared" ca="1" si="34"/>
        <v>0</v>
      </c>
      <c r="F570" s="21">
        <f t="shared" ca="1" si="35"/>
        <v>0</v>
      </c>
      <c r="H570" s="21">
        <v>555</v>
      </c>
      <c r="I570" s="102">
        <v>0.66784436606843944</v>
      </c>
      <c r="J570" s="103">
        <v>1.5543635315160122E-3</v>
      </c>
      <c r="K570" s="103"/>
      <c r="L570" s="103">
        <v>4.6800000000000001E-2</v>
      </c>
      <c r="O570" s="100"/>
    </row>
    <row r="571" spans="2:15" x14ac:dyDescent="0.2">
      <c r="B571" s="1">
        <v>556</v>
      </c>
      <c r="C571" s="101">
        <f t="shared" ca="1" si="32"/>
        <v>0.39078253653465861</v>
      </c>
      <c r="D571" s="101">
        <f t="shared" ca="1" si="33"/>
        <v>0.69061702944928693</v>
      </c>
      <c r="E571" s="101">
        <f t="shared" ca="1" si="34"/>
        <v>0</v>
      </c>
      <c r="F571" s="21">
        <f t="shared" ca="1" si="35"/>
        <v>0</v>
      </c>
      <c r="H571" s="21">
        <v>556</v>
      </c>
      <c r="I571" s="102">
        <v>0.66778740188281782</v>
      </c>
      <c r="J571" s="103">
        <v>1.3417687020995906E-3</v>
      </c>
      <c r="K571" s="103"/>
      <c r="L571" s="103">
        <v>4.2799999999999998E-2</v>
      </c>
      <c r="O571" s="100"/>
    </row>
    <row r="572" spans="2:15" x14ac:dyDescent="0.2">
      <c r="B572" s="1">
        <v>557</v>
      </c>
      <c r="C572" s="101">
        <f t="shared" ca="1" si="32"/>
        <v>0.51051123022431277</v>
      </c>
      <c r="D572" s="101">
        <f t="shared" ca="1" si="33"/>
        <v>0.6988217067342255</v>
      </c>
      <c r="E572" s="101">
        <f t="shared" ca="1" si="34"/>
        <v>0</v>
      </c>
      <c r="F572" s="21">
        <f t="shared" ca="1" si="35"/>
        <v>0</v>
      </c>
      <c r="H572" s="21">
        <v>557</v>
      </c>
      <c r="I572" s="102">
        <v>0.66760043371873201</v>
      </c>
      <c r="J572" s="103">
        <v>1.2006810874832729E-3</v>
      </c>
      <c r="K572" s="103"/>
      <c r="L572" s="103">
        <v>4.0399999999999998E-2</v>
      </c>
      <c r="O572" s="100"/>
    </row>
    <row r="573" spans="2:15" x14ac:dyDescent="0.2">
      <c r="B573" s="1">
        <v>558</v>
      </c>
      <c r="C573" s="101">
        <f t="shared" ca="1" si="32"/>
        <v>-2.107354685845487</v>
      </c>
      <c r="D573" s="101">
        <f t="shared" ca="1" si="33"/>
        <v>0.53978228158531683</v>
      </c>
      <c r="E573" s="101">
        <f t="shared" ca="1" si="34"/>
        <v>0</v>
      </c>
      <c r="F573" s="21">
        <f t="shared" ca="1" si="35"/>
        <v>0</v>
      </c>
      <c r="H573" s="21">
        <v>558</v>
      </c>
      <c r="I573" s="102">
        <v>0.66776045773864634</v>
      </c>
      <c r="J573" s="103">
        <v>1.4298812378940727E-3</v>
      </c>
      <c r="K573" s="103"/>
      <c r="L573" s="103">
        <v>4.2200000000000001E-2</v>
      </c>
      <c r="O573" s="100"/>
    </row>
    <row r="574" spans="2:15" x14ac:dyDescent="0.2">
      <c r="B574" s="1">
        <v>559</v>
      </c>
      <c r="C574" s="101">
        <f t="shared" ca="1" si="32"/>
        <v>0.69385649630380219</v>
      </c>
      <c r="D574" s="101">
        <f t="shared" ca="1" si="33"/>
        <v>0.71157516913400432</v>
      </c>
      <c r="E574" s="101">
        <f t="shared" ca="1" si="34"/>
        <v>0</v>
      </c>
      <c r="F574" s="21">
        <f t="shared" ca="1" si="35"/>
        <v>0</v>
      </c>
      <c r="H574" s="21">
        <v>559</v>
      </c>
      <c r="I574" s="102">
        <v>0.66776278939441813</v>
      </c>
      <c r="J574" s="103">
        <v>1.5042465971863025E-3</v>
      </c>
      <c r="K574" s="103"/>
      <c r="L574" s="103">
        <v>4.1200000000000001E-2</v>
      </c>
      <c r="O574" s="100"/>
    </row>
    <row r="575" spans="2:15" x14ac:dyDescent="0.2">
      <c r="B575" s="1">
        <v>560</v>
      </c>
      <c r="C575" s="101">
        <f t="shared" ca="1" si="32"/>
        <v>-2.0647493957957295</v>
      </c>
      <c r="D575" s="101">
        <f t="shared" ca="1" si="33"/>
        <v>0.54205556698884494</v>
      </c>
      <c r="E575" s="101">
        <f t="shared" ca="1" si="34"/>
        <v>0</v>
      </c>
      <c r="F575" s="21">
        <f t="shared" ca="1" si="35"/>
        <v>0</v>
      </c>
      <c r="H575" s="21">
        <v>560</v>
      </c>
      <c r="I575" s="102">
        <v>0.66781411144050029</v>
      </c>
      <c r="J575" s="103">
        <v>1.5369109588746393E-3</v>
      </c>
      <c r="K575" s="103"/>
      <c r="L575" s="103">
        <v>4.3999999999999997E-2</v>
      </c>
      <c r="O575" s="100"/>
    </row>
    <row r="576" spans="2:15" x14ac:dyDescent="0.2">
      <c r="B576" s="1">
        <v>561</v>
      </c>
      <c r="C576" s="101">
        <f t="shared" ca="1" si="32"/>
        <v>-5.9207657384104689E-2</v>
      </c>
      <c r="D576" s="101">
        <f t="shared" ca="1" si="33"/>
        <v>0.66063256924425462</v>
      </c>
      <c r="E576" s="101">
        <f t="shared" ca="1" si="34"/>
        <v>0</v>
      </c>
      <c r="F576" s="21">
        <f t="shared" ca="1" si="35"/>
        <v>0</v>
      </c>
      <c r="H576" s="21">
        <v>561</v>
      </c>
      <c r="I576" s="102">
        <v>0.66793440070586008</v>
      </c>
      <c r="J576" s="103">
        <v>1.5166661498960468E-3</v>
      </c>
      <c r="K576" s="103"/>
      <c r="L576" s="103">
        <v>4.7800000000000002E-2</v>
      </c>
      <c r="O576" s="100"/>
    </row>
    <row r="577" spans="2:15" x14ac:dyDescent="0.2">
      <c r="B577" s="1">
        <v>562</v>
      </c>
      <c r="C577" s="101">
        <f t="shared" ca="1" si="32"/>
        <v>-0.48504807939947991</v>
      </c>
      <c r="D577" s="101">
        <f t="shared" ca="1" si="33"/>
        <v>0.63345714562245403</v>
      </c>
      <c r="E577" s="101">
        <f t="shared" ca="1" si="34"/>
        <v>0</v>
      </c>
      <c r="F577" s="21">
        <f t="shared" ca="1" si="35"/>
        <v>0</v>
      </c>
      <c r="H577" s="21">
        <v>562</v>
      </c>
      <c r="I577" s="102">
        <v>0.66777804270318786</v>
      </c>
      <c r="J577" s="103">
        <v>1.3478214369179757E-3</v>
      </c>
      <c r="K577" s="103"/>
      <c r="L577" s="103">
        <v>4.0599999999999997E-2</v>
      </c>
      <c r="O577" s="100"/>
    </row>
    <row r="578" spans="2:15" x14ac:dyDescent="0.2">
      <c r="B578" s="1">
        <v>563</v>
      </c>
      <c r="C578" s="101">
        <f t="shared" ca="1" si="32"/>
        <v>0.69726945486973413</v>
      </c>
      <c r="D578" s="101">
        <f t="shared" ca="1" si="33"/>
        <v>0.71181476747565253</v>
      </c>
      <c r="E578" s="101">
        <f t="shared" ca="1" si="34"/>
        <v>0</v>
      </c>
      <c r="F578" s="21">
        <f t="shared" ca="1" si="35"/>
        <v>0</v>
      </c>
      <c r="H578" s="21">
        <v>563</v>
      </c>
      <c r="I578" s="102">
        <v>0.6677070215871127</v>
      </c>
      <c r="J578" s="103">
        <v>1.2720701782612124E-3</v>
      </c>
      <c r="K578" s="103"/>
      <c r="L578" s="103">
        <v>4.0599999999999997E-2</v>
      </c>
      <c r="O578" s="100"/>
    </row>
    <row r="579" spans="2:15" x14ac:dyDescent="0.2">
      <c r="B579" s="1">
        <v>564</v>
      </c>
      <c r="C579" s="101">
        <f t="shared" ca="1" si="32"/>
        <v>-0.12491773767076574</v>
      </c>
      <c r="D579" s="101">
        <f t="shared" ca="1" si="33"/>
        <v>0.65636437525654523</v>
      </c>
      <c r="E579" s="101">
        <f t="shared" ca="1" si="34"/>
        <v>0</v>
      </c>
      <c r="F579" s="21">
        <f t="shared" ca="1" si="35"/>
        <v>0</v>
      </c>
      <c r="H579" s="21">
        <v>564</v>
      </c>
      <c r="I579" s="102">
        <v>0.66791660523413099</v>
      </c>
      <c r="J579" s="103">
        <v>1.4588196445002957E-3</v>
      </c>
      <c r="K579" s="103"/>
      <c r="L579" s="103">
        <v>4.5600000000000002E-2</v>
      </c>
      <c r="O579" s="100"/>
    </row>
    <row r="580" spans="2:15" x14ac:dyDescent="0.2">
      <c r="B580" s="1">
        <v>565</v>
      </c>
      <c r="C580" s="101">
        <f t="shared" ca="1" si="32"/>
        <v>0.78923845237866241</v>
      </c>
      <c r="D580" s="101">
        <f t="shared" ca="1" si="33"/>
        <v>0.71830169108713549</v>
      </c>
      <c r="E580" s="101">
        <f t="shared" ca="1" si="34"/>
        <v>0</v>
      </c>
      <c r="F580" s="21">
        <f t="shared" ca="1" si="35"/>
        <v>0</v>
      </c>
      <c r="H580" s="21">
        <v>565</v>
      </c>
      <c r="I580" s="102">
        <v>0.66764787247085344</v>
      </c>
      <c r="J580" s="103">
        <v>1.1636068840696772E-3</v>
      </c>
      <c r="K580" s="103"/>
      <c r="L580" s="103">
        <v>3.9E-2</v>
      </c>
      <c r="O580" s="100"/>
    </row>
    <row r="581" spans="2:15" x14ac:dyDescent="0.2">
      <c r="B581" s="1">
        <v>566</v>
      </c>
      <c r="C581" s="101">
        <f t="shared" ca="1" si="32"/>
        <v>-7.0202115804099352E-2</v>
      </c>
      <c r="D581" s="101">
        <f t="shared" ca="1" si="33"/>
        <v>0.65991649633139116</v>
      </c>
      <c r="E581" s="101">
        <f t="shared" ca="1" si="34"/>
        <v>0</v>
      </c>
      <c r="F581" s="21">
        <f t="shared" ca="1" si="35"/>
        <v>0</v>
      </c>
      <c r="H581" s="21">
        <v>566</v>
      </c>
      <c r="I581" s="102">
        <v>0.66777925636313162</v>
      </c>
      <c r="J581" s="103">
        <v>1.3770365879193689E-3</v>
      </c>
      <c r="K581" s="103"/>
      <c r="L581" s="103">
        <v>4.2000000000000003E-2</v>
      </c>
      <c r="O581" s="100"/>
    </row>
    <row r="582" spans="2:15" x14ac:dyDescent="0.2">
      <c r="B582" s="1">
        <v>567</v>
      </c>
      <c r="C582" s="101">
        <f t="shared" ca="1" si="32"/>
        <v>0.55774023036585563</v>
      </c>
      <c r="D582" s="101">
        <f t="shared" ca="1" si="33"/>
        <v>0.70208492453991422</v>
      </c>
      <c r="E582" s="101">
        <f t="shared" ca="1" si="34"/>
        <v>0</v>
      </c>
      <c r="F582" s="21">
        <f t="shared" ca="1" si="35"/>
        <v>0</v>
      </c>
      <c r="H582" s="21">
        <v>567</v>
      </c>
      <c r="I582" s="102">
        <v>0.66782873341097448</v>
      </c>
      <c r="J582" s="103">
        <v>1.5231524181970248E-3</v>
      </c>
      <c r="K582" s="103"/>
      <c r="L582" s="103">
        <v>4.5600000000000002E-2</v>
      </c>
      <c r="O582" s="100"/>
    </row>
    <row r="583" spans="2:15" x14ac:dyDescent="0.2">
      <c r="B583" s="1">
        <v>568</v>
      </c>
      <c r="C583" s="101">
        <f t="shared" ca="1" si="32"/>
        <v>0.9655174172085409</v>
      </c>
      <c r="D583" s="101">
        <f t="shared" ca="1" si="33"/>
        <v>0.73090102521809097</v>
      </c>
      <c r="E583" s="101">
        <f t="shared" ca="1" si="34"/>
        <v>0</v>
      </c>
      <c r="F583" s="21">
        <f t="shared" ca="1" si="35"/>
        <v>0</v>
      </c>
      <c r="H583" s="21">
        <v>568</v>
      </c>
      <c r="I583" s="102">
        <v>0.66774094448233035</v>
      </c>
      <c r="J583" s="103">
        <v>1.1796469530042824E-3</v>
      </c>
      <c r="K583" s="103"/>
      <c r="L583" s="103">
        <v>4.0599999999999997E-2</v>
      </c>
      <c r="O583" s="100"/>
    </row>
    <row r="584" spans="2:15" x14ac:dyDescent="0.2">
      <c r="B584" s="1">
        <v>569</v>
      </c>
      <c r="C584" s="101">
        <f t="shared" ca="1" si="32"/>
        <v>-2.6408755602132468E-2</v>
      </c>
      <c r="D584" s="101">
        <f t="shared" ca="1" si="33"/>
        <v>0.66277339300052773</v>
      </c>
      <c r="E584" s="101">
        <f t="shared" ca="1" si="34"/>
        <v>0</v>
      </c>
      <c r="F584" s="21">
        <f t="shared" ca="1" si="35"/>
        <v>0</v>
      </c>
      <c r="H584" s="21">
        <v>569</v>
      </c>
      <c r="I584" s="102">
        <v>0.66784955205248431</v>
      </c>
      <c r="J584" s="103">
        <v>1.3174690652467359E-3</v>
      </c>
      <c r="K584" s="103"/>
      <c r="L584" s="103">
        <v>4.4600000000000001E-2</v>
      </c>
      <c r="O584" s="100"/>
    </row>
    <row r="585" spans="2:15" x14ac:dyDescent="0.2">
      <c r="B585" s="1">
        <v>570</v>
      </c>
      <c r="C585" s="101">
        <f t="shared" ca="1" si="32"/>
        <v>-0.61130271337543929</v>
      </c>
      <c r="D585" s="101">
        <f t="shared" ca="1" si="33"/>
        <v>0.62561703954760761</v>
      </c>
      <c r="E585" s="101">
        <f t="shared" ca="1" si="34"/>
        <v>0</v>
      </c>
      <c r="F585" s="21">
        <f t="shared" ca="1" si="35"/>
        <v>0</v>
      </c>
      <c r="H585" s="21">
        <v>570</v>
      </c>
      <c r="I585" s="102">
        <v>0.66791179336470996</v>
      </c>
      <c r="J585" s="103">
        <v>1.5811914328157841E-3</v>
      </c>
      <c r="K585" s="103"/>
      <c r="L585" s="103">
        <v>3.9600000000000003E-2</v>
      </c>
      <c r="O585" s="100"/>
    </row>
    <row r="586" spans="2:15" x14ac:dyDescent="0.2">
      <c r="B586" s="1">
        <v>571</v>
      </c>
      <c r="C586" s="101">
        <f t="shared" ca="1" si="32"/>
        <v>-8.6164527508544614E-2</v>
      </c>
      <c r="D586" s="101">
        <f t="shared" ca="1" si="33"/>
        <v>0.65887824014287077</v>
      </c>
      <c r="E586" s="101">
        <f t="shared" ca="1" si="34"/>
        <v>0</v>
      </c>
      <c r="F586" s="21">
        <f t="shared" ca="1" si="35"/>
        <v>0</v>
      </c>
      <c r="H586" s="21">
        <v>571</v>
      </c>
      <c r="I586" s="102">
        <v>0.66775189924860878</v>
      </c>
      <c r="J586" s="103">
        <v>1.4220703377698324E-3</v>
      </c>
      <c r="K586" s="103"/>
      <c r="L586" s="103">
        <v>4.2999999999999997E-2</v>
      </c>
      <c r="O586" s="100"/>
    </row>
    <row r="587" spans="2:15" x14ac:dyDescent="0.2">
      <c r="B587" s="1">
        <v>572</v>
      </c>
      <c r="C587" s="101">
        <f t="shared" ca="1" si="32"/>
        <v>-0.13377415899320774</v>
      </c>
      <c r="D587" s="101">
        <f t="shared" ca="1" si="33"/>
        <v>0.65579121973203724</v>
      </c>
      <c r="E587" s="101">
        <f t="shared" ca="1" si="34"/>
        <v>0</v>
      </c>
      <c r="F587" s="21">
        <f t="shared" ca="1" si="35"/>
        <v>0</v>
      </c>
      <c r="H587" s="21">
        <v>572</v>
      </c>
      <c r="I587" s="102">
        <v>0.66773371802957104</v>
      </c>
      <c r="J587" s="103">
        <v>1.2957042768088358E-3</v>
      </c>
      <c r="K587" s="103"/>
      <c r="L587" s="103">
        <v>3.9600000000000003E-2</v>
      </c>
      <c r="O587" s="100"/>
    </row>
    <row r="588" spans="2:15" x14ac:dyDescent="0.2">
      <c r="B588" s="1">
        <v>573</v>
      </c>
      <c r="C588" s="101">
        <f t="shared" ca="1" si="32"/>
        <v>0.14742645010312166</v>
      </c>
      <c r="D588" s="101">
        <f t="shared" ca="1" si="33"/>
        <v>0.67423618782808525</v>
      </c>
      <c r="E588" s="101">
        <f t="shared" ca="1" si="34"/>
        <v>0</v>
      </c>
      <c r="F588" s="21">
        <f t="shared" ca="1" si="35"/>
        <v>0</v>
      </c>
      <c r="H588" s="21">
        <v>573</v>
      </c>
      <c r="I588" s="102">
        <v>0.66775441809576108</v>
      </c>
      <c r="J588" s="103">
        <v>1.2820971106239007E-3</v>
      </c>
      <c r="K588" s="103"/>
      <c r="L588" s="103">
        <v>4.3799999999999999E-2</v>
      </c>
      <c r="O588" s="100"/>
    </row>
    <row r="589" spans="2:15" x14ac:dyDescent="0.2">
      <c r="B589" s="1">
        <v>574</v>
      </c>
      <c r="C589" s="101">
        <f t="shared" ca="1" si="32"/>
        <v>-0.48719684228352605</v>
      </c>
      <c r="D589" s="101">
        <f t="shared" ca="1" si="33"/>
        <v>0.63332289428873545</v>
      </c>
      <c r="E589" s="101">
        <f t="shared" ca="1" si="34"/>
        <v>0</v>
      </c>
      <c r="F589" s="21">
        <f t="shared" ca="1" si="35"/>
        <v>0</v>
      </c>
      <c r="H589" s="21">
        <v>574</v>
      </c>
      <c r="I589" s="102">
        <v>0.66780765083648752</v>
      </c>
      <c r="J589" s="103">
        <v>1.3878435892551119E-3</v>
      </c>
      <c r="K589" s="103"/>
      <c r="L589" s="103">
        <v>4.36E-2</v>
      </c>
      <c r="O589" s="100"/>
    </row>
    <row r="590" spans="2:15" x14ac:dyDescent="0.2">
      <c r="B590" s="1">
        <v>575</v>
      </c>
      <c r="C590" s="101">
        <f t="shared" ca="1" si="32"/>
        <v>-0.35375506436130655</v>
      </c>
      <c r="D590" s="101">
        <f t="shared" ca="1" si="33"/>
        <v>0.64171435035571744</v>
      </c>
      <c r="E590" s="101">
        <f t="shared" ca="1" si="34"/>
        <v>0</v>
      </c>
      <c r="F590" s="21">
        <f t="shared" ca="1" si="35"/>
        <v>0</v>
      </c>
      <c r="H590" s="21">
        <v>575</v>
      </c>
      <c r="I590" s="102">
        <v>0.66765172788977989</v>
      </c>
      <c r="J590" s="103">
        <v>1.2617208978113869E-3</v>
      </c>
      <c r="K590" s="103"/>
      <c r="L590" s="103">
        <v>3.9E-2</v>
      </c>
      <c r="O590" s="100"/>
    </row>
    <row r="591" spans="2:15" x14ac:dyDescent="0.2">
      <c r="B591" s="1">
        <v>576</v>
      </c>
      <c r="C591" s="101">
        <f t="shared" ca="1" si="32"/>
        <v>0.18295086018030693</v>
      </c>
      <c r="D591" s="101">
        <f t="shared" ca="1" si="33"/>
        <v>0.67660297375297862</v>
      </c>
      <c r="E591" s="101">
        <f t="shared" ca="1" si="34"/>
        <v>0</v>
      </c>
      <c r="F591" s="21">
        <f t="shared" ca="1" si="35"/>
        <v>0</v>
      </c>
      <c r="H591" s="21">
        <v>576</v>
      </c>
      <c r="I591" s="102">
        <v>0.66781554757446515</v>
      </c>
      <c r="J591" s="103">
        <v>1.4795610768538997E-3</v>
      </c>
      <c r="K591" s="103"/>
      <c r="L591" s="103">
        <v>4.02E-2</v>
      </c>
      <c r="O591" s="100"/>
    </row>
    <row r="592" spans="2:15" x14ac:dyDescent="0.2">
      <c r="B592" s="1">
        <v>577</v>
      </c>
      <c r="C592" s="101">
        <f t="shared" ref="C592:C655" ca="1" si="36">_xlfn.NORM.S.INV(RAND())</f>
        <v>1.0595615982655262</v>
      </c>
      <c r="D592" s="101">
        <f t="shared" ref="D592:D655" ca="1" si="37">S0*EXP((μ-0.5*σ*σ)*T+σ*SQRT(T)*$C592)</f>
        <v>0.73771287959768372</v>
      </c>
      <c r="E592" s="101">
        <f t="shared" ref="E592:E655" ca="1" si="38">MAX(0,CP*(D592-K))</f>
        <v>0</v>
      </c>
      <c r="F592" s="21">
        <f t="shared" ref="F592:F655" ca="1" si="39">(CP*(D592-K)&gt;0)*1</f>
        <v>0</v>
      </c>
      <c r="H592" s="21">
        <v>577</v>
      </c>
      <c r="I592" s="102">
        <v>0.66770576093679523</v>
      </c>
      <c r="J592" s="103">
        <v>1.268260758616553E-3</v>
      </c>
      <c r="K592" s="103"/>
      <c r="L592" s="103">
        <v>4.0399999999999998E-2</v>
      </c>
      <c r="O592" s="100"/>
    </row>
    <row r="593" spans="2:15" x14ac:dyDescent="0.2">
      <c r="B593" s="1">
        <v>578</v>
      </c>
      <c r="C593" s="101">
        <f t="shared" ca="1" si="36"/>
        <v>-0.25192503874537153</v>
      </c>
      <c r="D593" s="101">
        <f t="shared" ca="1" si="37"/>
        <v>0.64819262712833559</v>
      </c>
      <c r="E593" s="101">
        <f t="shared" ca="1" si="38"/>
        <v>0</v>
      </c>
      <c r="F593" s="21">
        <f t="shared" ca="1" si="39"/>
        <v>0</v>
      </c>
      <c r="H593" s="21">
        <v>578</v>
      </c>
      <c r="I593" s="102">
        <v>0.66773607614530417</v>
      </c>
      <c r="J593" s="103">
        <v>1.2128326731578958E-3</v>
      </c>
      <c r="K593" s="103"/>
      <c r="L593" s="103">
        <v>4.0599999999999997E-2</v>
      </c>
      <c r="O593" s="100"/>
    </row>
    <row r="594" spans="2:15" x14ac:dyDescent="0.2">
      <c r="B594" s="1">
        <v>579</v>
      </c>
      <c r="C594" s="101">
        <f t="shared" ca="1" si="36"/>
        <v>0.71859149355412444</v>
      </c>
      <c r="D594" s="101">
        <f t="shared" ca="1" si="37"/>
        <v>0.71331345610705177</v>
      </c>
      <c r="E594" s="101">
        <f t="shared" ca="1" si="38"/>
        <v>0</v>
      </c>
      <c r="F594" s="21">
        <f t="shared" ca="1" si="39"/>
        <v>0</v>
      </c>
      <c r="H594" s="21">
        <v>579</v>
      </c>
      <c r="I594" s="102">
        <v>0.6678350178686917</v>
      </c>
      <c r="J594" s="103">
        <v>1.5448203123469455E-3</v>
      </c>
      <c r="K594" s="103"/>
      <c r="L594" s="103">
        <v>4.5199999999999997E-2</v>
      </c>
      <c r="O594" s="100"/>
    </row>
    <row r="595" spans="2:15" x14ac:dyDescent="0.2">
      <c r="B595" s="1">
        <v>580</v>
      </c>
      <c r="C595" s="101">
        <f t="shared" ca="1" si="36"/>
        <v>0.99056915722085925</v>
      </c>
      <c r="D595" s="101">
        <f t="shared" ca="1" si="37"/>
        <v>0.73270941514267285</v>
      </c>
      <c r="E595" s="101">
        <f t="shared" ca="1" si="38"/>
        <v>0</v>
      </c>
      <c r="F595" s="21">
        <f t="shared" ca="1" si="39"/>
        <v>0</v>
      </c>
      <c r="H595" s="21">
        <v>580</v>
      </c>
      <c r="I595" s="102">
        <v>0.66774206430667538</v>
      </c>
      <c r="J595" s="103">
        <v>1.3581039321099071E-3</v>
      </c>
      <c r="K595" s="103"/>
      <c r="L595" s="103">
        <v>4.02E-2</v>
      </c>
      <c r="O595" s="100"/>
    </row>
    <row r="596" spans="2:15" x14ac:dyDescent="0.2">
      <c r="B596" s="1">
        <v>581</v>
      </c>
      <c r="C596" s="101">
        <f t="shared" ca="1" si="36"/>
        <v>-0.85978156699562758</v>
      </c>
      <c r="D596" s="101">
        <f t="shared" ca="1" si="37"/>
        <v>0.61046938351628599</v>
      </c>
      <c r="E596" s="101">
        <f t="shared" ca="1" si="38"/>
        <v>0</v>
      </c>
      <c r="F596" s="21">
        <f t="shared" ca="1" si="39"/>
        <v>0</v>
      </c>
      <c r="H596" s="21">
        <v>581</v>
      </c>
      <c r="I596" s="102">
        <v>0.66775988847422341</v>
      </c>
      <c r="J596" s="103">
        <v>1.4195550642814912E-3</v>
      </c>
      <c r="K596" s="103"/>
      <c r="L596" s="103">
        <v>4.0800000000000003E-2</v>
      </c>
      <c r="O596" s="100"/>
    </row>
    <row r="597" spans="2:15" x14ac:dyDescent="0.2">
      <c r="B597" s="1">
        <v>582</v>
      </c>
      <c r="C597" s="101">
        <f t="shared" ca="1" si="36"/>
        <v>-2.9389748416397432</v>
      </c>
      <c r="D597" s="101">
        <f t="shared" ca="1" si="37"/>
        <v>0.49727030988171012</v>
      </c>
      <c r="E597" s="101">
        <f t="shared" ca="1" si="38"/>
        <v>0</v>
      </c>
      <c r="F597" s="21">
        <f t="shared" ca="1" si="39"/>
        <v>0</v>
      </c>
      <c r="H597" s="21">
        <v>582</v>
      </c>
      <c r="I597" s="102">
        <v>0.66754881096227259</v>
      </c>
      <c r="J597" s="103">
        <v>1.2603037961184571E-3</v>
      </c>
      <c r="K597" s="103"/>
      <c r="L597" s="103">
        <v>3.5000000000000003E-2</v>
      </c>
      <c r="O597" s="100"/>
    </row>
    <row r="598" spans="2:15" x14ac:dyDescent="0.2">
      <c r="B598" s="1">
        <v>583</v>
      </c>
      <c r="C598" s="101">
        <f t="shared" ca="1" si="36"/>
        <v>-0.51243137765597213</v>
      </c>
      <c r="D598" s="101">
        <f t="shared" ca="1" si="37"/>
        <v>0.63174840758519024</v>
      </c>
      <c r="E598" s="101">
        <f t="shared" ca="1" si="38"/>
        <v>0</v>
      </c>
      <c r="F598" s="21">
        <f t="shared" ca="1" si="39"/>
        <v>0</v>
      </c>
      <c r="H598" s="21">
        <v>583</v>
      </c>
      <c r="I598" s="102">
        <v>0.6678619643725392</v>
      </c>
      <c r="J598" s="103">
        <v>1.4747038286629566E-3</v>
      </c>
      <c r="K598" s="103"/>
      <c r="L598" s="103">
        <v>4.7199999999999999E-2</v>
      </c>
      <c r="O598" s="100"/>
    </row>
    <row r="599" spans="2:15" x14ac:dyDescent="0.2">
      <c r="B599" s="1">
        <v>584</v>
      </c>
      <c r="C599" s="101">
        <f t="shared" ca="1" si="36"/>
        <v>-1.4442213648755158</v>
      </c>
      <c r="D599" s="101">
        <f t="shared" ca="1" si="37"/>
        <v>0.57627110936829984</v>
      </c>
      <c r="E599" s="101">
        <f t="shared" ca="1" si="38"/>
        <v>0</v>
      </c>
      <c r="F599" s="21">
        <f t="shared" ca="1" si="39"/>
        <v>0</v>
      </c>
      <c r="H599" s="21">
        <v>584</v>
      </c>
      <c r="I599" s="102">
        <v>0.66770851250922492</v>
      </c>
      <c r="J599" s="103">
        <v>1.1890124617202034E-3</v>
      </c>
      <c r="K599" s="103"/>
      <c r="L599" s="103">
        <v>4.1000000000000002E-2</v>
      </c>
      <c r="O599" s="100"/>
    </row>
    <row r="600" spans="2:15" x14ac:dyDescent="0.2">
      <c r="B600" s="1">
        <v>585</v>
      </c>
      <c r="C600" s="101">
        <f t="shared" ca="1" si="36"/>
        <v>1.0779429647231715</v>
      </c>
      <c r="D600" s="101">
        <f t="shared" ca="1" si="37"/>
        <v>0.73905168619115524</v>
      </c>
      <c r="E600" s="101">
        <f t="shared" ca="1" si="38"/>
        <v>0</v>
      </c>
      <c r="F600" s="21">
        <f t="shared" ca="1" si="39"/>
        <v>0</v>
      </c>
      <c r="H600" s="21">
        <v>585</v>
      </c>
      <c r="I600" s="102">
        <v>0.66782204488812402</v>
      </c>
      <c r="J600" s="103">
        <v>1.2362652660302699E-3</v>
      </c>
      <c r="K600" s="103"/>
      <c r="L600" s="103">
        <v>4.24E-2</v>
      </c>
      <c r="O600" s="100"/>
    </row>
    <row r="601" spans="2:15" x14ac:dyDescent="0.2">
      <c r="B601" s="1">
        <v>586</v>
      </c>
      <c r="C601" s="101">
        <f t="shared" ca="1" si="36"/>
        <v>-0.68552096029495768</v>
      </c>
      <c r="D601" s="101">
        <f t="shared" ca="1" si="37"/>
        <v>0.62105363049894091</v>
      </c>
      <c r="E601" s="101">
        <f t="shared" ca="1" si="38"/>
        <v>0</v>
      </c>
      <c r="F601" s="21">
        <f t="shared" ca="1" si="39"/>
        <v>0</v>
      </c>
      <c r="H601" s="21">
        <v>586</v>
      </c>
      <c r="I601" s="102">
        <v>0.66783546115424164</v>
      </c>
      <c r="J601" s="103">
        <v>1.5181091078519688E-3</v>
      </c>
      <c r="K601" s="103"/>
      <c r="L601" s="103">
        <v>4.8000000000000001E-2</v>
      </c>
      <c r="O601" s="100"/>
    </row>
    <row r="602" spans="2:15" x14ac:dyDescent="0.2">
      <c r="B602" s="1">
        <v>587</v>
      </c>
      <c r="C602" s="101">
        <f t="shared" ca="1" si="36"/>
        <v>0.53865060679155452</v>
      </c>
      <c r="D602" s="101">
        <f t="shared" ca="1" si="37"/>
        <v>0.70076412446940073</v>
      </c>
      <c r="E602" s="101">
        <f t="shared" ca="1" si="38"/>
        <v>0</v>
      </c>
      <c r="F602" s="21">
        <f t="shared" ca="1" si="39"/>
        <v>0</v>
      </c>
      <c r="H602" s="21">
        <v>587</v>
      </c>
      <c r="I602" s="102">
        <v>0.66774898666938054</v>
      </c>
      <c r="J602" s="103">
        <v>1.3086256142197006E-3</v>
      </c>
      <c r="K602" s="103"/>
      <c r="L602" s="103">
        <v>3.9399999999999998E-2</v>
      </c>
      <c r="O602" s="100"/>
    </row>
    <row r="603" spans="2:15" x14ac:dyDescent="0.2">
      <c r="B603" s="1">
        <v>588</v>
      </c>
      <c r="C603" s="101">
        <f t="shared" ca="1" si="36"/>
        <v>0.45070898426737238</v>
      </c>
      <c r="D603" s="101">
        <f t="shared" ca="1" si="37"/>
        <v>0.69471151136092679</v>
      </c>
      <c r="E603" s="101">
        <f t="shared" ca="1" si="38"/>
        <v>0</v>
      </c>
      <c r="F603" s="21">
        <f t="shared" ca="1" si="39"/>
        <v>0</v>
      </c>
      <c r="H603" s="21">
        <v>588</v>
      </c>
      <c r="I603" s="102">
        <v>0.66770443338202734</v>
      </c>
      <c r="J603" s="103">
        <v>1.4059046116555456E-3</v>
      </c>
      <c r="K603" s="103"/>
      <c r="L603" s="103">
        <v>3.9399999999999998E-2</v>
      </c>
      <c r="O603" s="100"/>
    </row>
    <row r="604" spans="2:15" x14ac:dyDescent="0.2">
      <c r="B604" s="1">
        <v>589</v>
      </c>
      <c r="C604" s="101">
        <f t="shared" ca="1" si="36"/>
        <v>8.2786240852177392E-3</v>
      </c>
      <c r="D604" s="101">
        <f t="shared" ca="1" si="37"/>
        <v>0.66504502859460957</v>
      </c>
      <c r="E604" s="101">
        <f t="shared" ca="1" si="38"/>
        <v>0</v>
      </c>
      <c r="F604" s="21">
        <f t="shared" ca="1" si="39"/>
        <v>0</v>
      </c>
      <c r="H604" s="21">
        <v>589</v>
      </c>
      <c r="I604" s="102">
        <v>0.66773722639553412</v>
      </c>
      <c r="J604" s="103">
        <v>1.3188737181985414E-3</v>
      </c>
      <c r="K604" s="103"/>
      <c r="L604" s="103">
        <v>4.3799999999999999E-2</v>
      </c>
      <c r="O604" s="100"/>
    </row>
    <row r="605" spans="2:15" x14ac:dyDescent="0.2">
      <c r="B605" s="1">
        <v>590</v>
      </c>
      <c r="C605" s="101">
        <f t="shared" ca="1" si="36"/>
        <v>1.3159304709085597</v>
      </c>
      <c r="D605" s="101">
        <f t="shared" ca="1" si="37"/>
        <v>0.75660646906978901</v>
      </c>
      <c r="E605" s="101">
        <f t="shared" ca="1" si="38"/>
        <v>0</v>
      </c>
      <c r="F605" s="21">
        <f t="shared" ca="1" si="39"/>
        <v>0</v>
      </c>
      <c r="H605" s="21">
        <v>590</v>
      </c>
      <c r="I605" s="102">
        <v>0.66770407063858406</v>
      </c>
      <c r="J605" s="103">
        <v>1.4753840973418353E-3</v>
      </c>
      <c r="K605" s="103"/>
      <c r="L605" s="103">
        <v>3.9800000000000002E-2</v>
      </c>
      <c r="O605" s="100"/>
    </row>
    <row r="606" spans="2:15" x14ac:dyDescent="0.2">
      <c r="B606" s="1">
        <v>591</v>
      </c>
      <c r="C606" s="101">
        <f t="shared" ca="1" si="36"/>
        <v>-1.2716674142503581</v>
      </c>
      <c r="D606" s="101">
        <f t="shared" ca="1" si="37"/>
        <v>0.58616374355414302</v>
      </c>
      <c r="E606" s="101">
        <f t="shared" ca="1" si="38"/>
        <v>0</v>
      </c>
      <c r="F606" s="21">
        <f t="shared" ca="1" si="39"/>
        <v>0</v>
      </c>
      <c r="H606" s="21">
        <v>591</v>
      </c>
      <c r="I606" s="102">
        <v>0.66785826061209463</v>
      </c>
      <c r="J606" s="103">
        <v>1.4406626469468261E-3</v>
      </c>
      <c r="K606" s="103"/>
      <c r="L606" s="103">
        <v>4.7E-2</v>
      </c>
      <c r="O606" s="100"/>
    </row>
    <row r="607" spans="2:15" x14ac:dyDescent="0.2">
      <c r="B607" s="1">
        <v>592</v>
      </c>
      <c r="C607" s="101">
        <f t="shared" ca="1" si="36"/>
        <v>0.68095212569475361</v>
      </c>
      <c r="D607" s="101">
        <f t="shared" ca="1" si="37"/>
        <v>0.71066997832759249</v>
      </c>
      <c r="E607" s="101">
        <f t="shared" ca="1" si="38"/>
        <v>0</v>
      </c>
      <c r="F607" s="21">
        <f t="shared" ca="1" si="39"/>
        <v>0</v>
      </c>
      <c r="H607" s="21">
        <v>592</v>
      </c>
      <c r="I607" s="102">
        <v>0.66768749590450993</v>
      </c>
      <c r="J607" s="103">
        <v>1.3534702618633841E-3</v>
      </c>
      <c r="K607" s="103"/>
      <c r="L607" s="103">
        <v>3.8600000000000002E-2</v>
      </c>
      <c r="O607" s="100"/>
    </row>
    <row r="608" spans="2:15" x14ac:dyDescent="0.2">
      <c r="B608" s="1">
        <v>593</v>
      </c>
      <c r="C608" s="101">
        <f t="shared" ca="1" si="36"/>
        <v>-0.59233171246052929</v>
      </c>
      <c r="D608" s="101">
        <f t="shared" ca="1" si="37"/>
        <v>0.62678886824881253</v>
      </c>
      <c r="E608" s="101">
        <f t="shared" ca="1" si="38"/>
        <v>0</v>
      </c>
      <c r="F608" s="21">
        <f t="shared" ca="1" si="39"/>
        <v>0</v>
      </c>
      <c r="H608" s="21">
        <v>593</v>
      </c>
      <c r="I608" s="102">
        <v>0.66794398702096047</v>
      </c>
      <c r="J608" s="103">
        <v>1.4006292381267703E-3</v>
      </c>
      <c r="K608" s="103"/>
      <c r="L608" s="103">
        <v>4.7399999999999998E-2</v>
      </c>
      <c r="O608" s="100"/>
    </row>
    <row r="609" spans="2:15" x14ac:dyDescent="0.2">
      <c r="B609" s="1">
        <v>594</v>
      </c>
      <c r="C609" s="101">
        <f t="shared" ca="1" si="36"/>
        <v>2.5278999315636921</v>
      </c>
      <c r="D609" s="101">
        <f t="shared" ca="1" si="37"/>
        <v>0.8526878499526036</v>
      </c>
      <c r="E609" s="101">
        <f t="shared" ca="1" si="38"/>
        <v>6.4487849952603593E-2</v>
      </c>
      <c r="F609" s="21">
        <f t="shared" ca="1" si="39"/>
        <v>1</v>
      </c>
      <c r="H609" s="21">
        <v>594</v>
      </c>
      <c r="I609" s="102">
        <v>0.66779242576007058</v>
      </c>
      <c r="J609" s="103">
        <v>1.4383215769132112E-3</v>
      </c>
      <c r="K609" s="103"/>
      <c r="L609" s="103">
        <v>4.3400000000000001E-2</v>
      </c>
      <c r="O609" s="100"/>
    </row>
    <row r="610" spans="2:15" x14ac:dyDescent="0.2">
      <c r="B610" s="1">
        <v>595</v>
      </c>
      <c r="C610" s="101">
        <f t="shared" ca="1" si="36"/>
        <v>-0.36193175854001663</v>
      </c>
      <c r="D610" s="101">
        <f t="shared" ca="1" si="37"/>
        <v>0.64119697793268893</v>
      </c>
      <c r="E610" s="101">
        <f t="shared" ca="1" si="38"/>
        <v>0</v>
      </c>
      <c r="F610" s="21">
        <f t="shared" ca="1" si="39"/>
        <v>0</v>
      </c>
      <c r="H610" s="21">
        <v>595</v>
      </c>
      <c r="I610" s="102">
        <v>0.66782127025078941</v>
      </c>
      <c r="J610" s="103">
        <v>1.4313150876102125E-3</v>
      </c>
      <c r="K610" s="103"/>
      <c r="L610" s="103">
        <v>4.3200000000000002E-2</v>
      </c>
      <c r="O610" s="100"/>
    </row>
    <row r="611" spans="2:15" x14ac:dyDescent="0.2">
      <c r="B611" s="1">
        <v>596</v>
      </c>
      <c r="C611" s="101">
        <f t="shared" ca="1" si="36"/>
        <v>0.49473726531047352</v>
      </c>
      <c r="D611" s="101">
        <f t="shared" ca="1" si="37"/>
        <v>0.69773521024325835</v>
      </c>
      <c r="E611" s="101">
        <f t="shared" ca="1" si="38"/>
        <v>0</v>
      </c>
      <c r="F611" s="21">
        <f t="shared" ca="1" si="39"/>
        <v>0</v>
      </c>
      <c r="H611" s="21">
        <v>596</v>
      </c>
      <c r="I611" s="102">
        <v>0.66799984193006634</v>
      </c>
      <c r="J611" s="103">
        <v>1.750477584213921E-3</v>
      </c>
      <c r="K611" s="103"/>
      <c r="L611" s="103">
        <v>4.8599999999999997E-2</v>
      </c>
      <c r="O611" s="100"/>
    </row>
    <row r="612" spans="2:15" x14ac:dyDescent="0.2">
      <c r="B612" s="1">
        <v>597</v>
      </c>
      <c r="C612" s="101">
        <f t="shared" ca="1" si="36"/>
        <v>1.760796351408598</v>
      </c>
      <c r="D612" s="101">
        <f t="shared" ca="1" si="37"/>
        <v>0.79054724638606666</v>
      </c>
      <c r="E612" s="101">
        <f t="shared" ca="1" si="38"/>
        <v>2.3472463860666481E-3</v>
      </c>
      <c r="F612" s="21">
        <f t="shared" ca="1" si="39"/>
        <v>1</v>
      </c>
      <c r="H612" s="21">
        <v>597</v>
      </c>
      <c r="I612" s="102">
        <v>0.66768824022933404</v>
      </c>
      <c r="J612" s="103">
        <v>1.2602657984198734E-3</v>
      </c>
      <c r="K612" s="103"/>
      <c r="L612" s="103">
        <v>4.0800000000000003E-2</v>
      </c>
      <c r="O612" s="100"/>
    </row>
    <row r="613" spans="2:15" x14ac:dyDescent="0.2">
      <c r="B613" s="1">
        <v>598</v>
      </c>
      <c r="C613" s="101">
        <f t="shared" ca="1" si="36"/>
        <v>9.5401982085923417E-2</v>
      </c>
      <c r="D613" s="101">
        <f t="shared" ca="1" si="37"/>
        <v>0.67078503067819462</v>
      </c>
      <c r="E613" s="101">
        <f t="shared" ca="1" si="38"/>
        <v>0</v>
      </c>
      <c r="F613" s="21">
        <f t="shared" ca="1" si="39"/>
        <v>0</v>
      </c>
      <c r="H613" s="21">
        <v>598</v>
      </c>
      <c r="I613" s="102">
        <v>0.66767702199909906</v>
      </c>
      <c r="J613" s="103">
        <v>1.2640201094316001E-3</v>
      </c>
      <c r="K613" s="103"/>
      <c r="L613" s="103">
        <v>4.1399999999999999E-2</v>
      </c>
      <c r="O613" s="100"/>
    </row>
    <row r="614" spans="2:15" x14ac:dyDescent="0.2">
      <c r="B614" s="1">
        <v>599</v>
      </c>
      <c r="C614" s="101">
        <f t="shared" ca="1" si="36"/>
        <v>2.4197558829697581</v>
      </c>
      <c r="D614" s="101">
        <f t="shared" ca="1" si="37"/>
        <v>0.84364016964748678</v>
      </c>
      <c r="E614" s="101">
        <f t="shared" ca="1" si="38"/>
        <v>5.544016964748677E-2</v>
      </c>
      <c r="F614" s="21">
        <f t="shared" ca="1" si="39"/>
        <v>1</v>
      </c>
      <c r="H614" s="21">
        <v>599</v>
      </c>
      <c r="I614" s="102">
        <v>0.6678234422756546</v>
      </c>
      <c r="J614" s="103">
        <v>1.4898742699873033E-3</v>
      </c>
      <c r="K614" s="103"/>
      <c r="L614" s="103">
        <v>4.5199999999999997E-2</v>
      </c>
      <c r="O614" s="100"/>
    </row>
    <row r="615" spans="2:15" x14ac:dyDescent="0.2">
      <c r="B615" s="1">
        <v>600</v>
      </c>
      <c r="C615" s="101">
        <f t="shared" ca="1" si="36"/>
        <v>-0.5101428691437313</v>
      </c>
      <c r="D615" s="101">
        <f t="shared" ca="1" si="37"/>
        <v>0.63189103552489789</v>
      </c>
      <c r="E615" s="101">
        <f t="shared" ca="1" si="38"/>
        <v>0</v>
      </c>
      <c r="F615" s="21">
        <f t="shared" ca="1" si="39"/>
        <v>0</v>
      </c>
      <c r="H615" s="21">
        <v>600</v>
      </c>
      <c r="I615" s="102">
        <v>0.6678048495936606</v>
      </c>
      <c r="J615" s="103">
        <v>1.4623468349294429E-3</v>
      </c>
      <c r="K615" s="103"/>
      <c r="L615" s="103">
        <v>4.48E-2</v>
      </c>
      <c r="O615" s="100"/>
    </row>
    <row r="616" spans="2:15" x14ac:dyDescent="0.2">
      <c r="B616" s="1">
        <v>601</v>
      </c>
      <c r="C616" s="101">
        <f t="shared" ca="1" si="36"/>
        <v>2.5409723395558137</v>
      </c>
      <c r="D616" s="101">
        <f t="shared" ca="1" si="37"/>
        <v>0.85378808279892271</v>
      </c>
      <c r="E616" s="101">
        <f t="shared" ca="1" si="38"/>
        <v>6.5588082798922698E-2</v>
      </c>
      <c r="F616" s="21">
        <f t="shared" ca="1" si="39"/>
        <v>1</v>
      </c>
      <c r="H616" s="21">
        <v>601</v>
      </c>
      <c r="I616" s="102">
        <v>0.6677534930741329</v>
      </c>
      <c r="J616" s="103">
        <v>1.5071506027893452E-3</v>
      </c>
      <c r="K616" s="103"/>
      <c r="L616" s="103">
        <v>4.36E-2</v>
      </c>
      <c r="O616" s="100"/>
    </row>
    <row r="617" spans="2:15" x14ac:dyDescent="0.2">
      <c r="B617" s="1">
        <v>602</v>
      </c>
      <c r="C617" s="101">
        <f t="shared" ca="1" si="36"/>
        <v>-0.1766034403168624</v>
      </c>
      <c r="D617" s="101">
        <f t="shared" ca="1" si="37"/>
        <v>0.65302651842204373</v>
      </c>
      <c r="E617" s="101">
        <f t="shared" ca="1" si="38"/>
        <v>0</v>
      </c>
      <c r="F617" s="21">
        <f t="shared" ca="1" si="39"/>
        <v>0</v>
      </c>
      <c r="H617" s="21">
        <v>602</v>
      </c>
      <c r="I617" s="102">
        <v>0.66769453091582542</v>
      </c>
      <c r="J617" s="103">
        <v>1.3132179718914735E-3</v>
      </c>
      <c r="K617" s="103"/>
      <c r="L617" s="103">
        <v>4.3799999999999999E-2</v>
      </c>
      <c r="O617" s="100"/>
    </row>
    <row r="618" spans="2:15" x14ac:dyDescent="0.2">
      <c r="B618" s="1">
        <v>603</v>
      </c>
      <c r="C618" s="101">
        <f t="shared" ca="1" si="36"/>
        <v>-0.84139716066024783</v>
      </c>
      <c r="D618" s="101">
        <f t="shared" ca="1" si="37"/>
        <v>0.61157745109197792</v>
      </c>
      <c r="E618" s="101">
        <f t="shared" ca="1" si="38"/>
        <v>0</v>
      </c>
      <c r="F618" s="21">
        <f t="shared" ca="1" si="39"/>
        <v>0</v>
      </c>
      <c r="H618" s="21">
        <v>603</v>
      </c>
      <c r="I618" s="102">
        <v>0.66770020542955122</v>
      </c>
      <c r="J618" s="103">
        <v>1.3900536416983653E-3</v>
      </c>
      <c r="K618" s="103"/>
      <c r="L618" s="103">
        <v>4.0800000000000003E-2</v>
      </c>
      <c r="O618" s="100"/>
    </row>
    <row r="619" spans="2:15" x14ac:dyDescent="0.2">
      <c r="B619" s="1">
        <v>604</v>
      </c>
      <c r="C619" s="101">
        <f t="shared" ca="1" si="36"/>
        <v>-1.4163237098169079</v>
      </c>
      <c r="D619" s="101">
        <f t="shared" ca="1" si="37"/>
        <v>0.57785911173119164</v>
      </c>
      <c r="E619" s="101">
        <f t="shared" ca="1" si="38"/>
        <v>0</v>
      </c>
      <c r="F619" s="21">
        <f t="shared" ca="1" si="39"/>
        <v>0</v>
      </c>
      <c r="H619" s="21">
        <v>604</v>
      </c>
      <c r="I619" s="102">
        <v>0.66757722529581764</v>
      </c>
      <c r="J619" s="103">
        <v>9.6132847545349071E-4</v>
      </c>
      <c r="K619" s="103"/>
      <c r="L619" s="103">
        <v>3.5999999999999997E-2</v>
      </c>
      <c r="O619" s="100"/>
    </row>
    <row r="620" spans="2:15" x14ac:dyDescent="0.2">
      <c r="B620" s="1">
        <v>605</v>
      </c>
      <c r="C620" s="101">
        <f t="shared" ca="1" si="36"/>
        <v>0.46780608216526764</v>
      </c>
      <c r="D620" s="101">
        <f t="shared" ca="1" si="37"/>
        <v>0.69588411722132937</v>
      </c>
      <c r="E620" s="101">
        <f t="shared" ca="1" si="38"/>
        <v>0</v>
      </c>
      <c r="F620" s="21">
        <f t="shared" ca="1" si="39"/>
        <v>0</v>
      </c>
      <c r="H620" s="21">
        <v>605</v>
      </c>
      <c r="I620" s="102">
        <v>0.66776163875465988</v>
      </c>
      <c r="J620" s="103">
        <v>1.2843556149714182E-3</v>
      </c>
      <c r="K620" s="103"/>
      <c r="L620" s="103">
        <v>4.2200000000000001E-2</v>
      </c>
      <c r="O620" s="100"/>
    </row>
    <row r="621" spans="2:15" x14ac:dyDescent="0.2">
      <c r="B621" s="1">
        <v>606</v>
      </c>
      <c r="C621" s="101">
        <f t="shared" ca="1" si="36"/>
        <v>0.31118084052233108</v>
      </c>
      <c r="D621" s="101">
        <f t="shared" ca="1" si="37"/>
        <v>0.68521552700851684</v>
      </c>
      <c r="E621" s="101">
        <f t="shared" ca="1" si="38"/>
        <v>0</v>
      </c>
      <c r="F621" s="21">
        <f t="shared" ca="1" si="39"/>
        <v>0</v>
      </c>
      <c r="H621" s="21">
        <v>606</v>
      </c>
      <c r="I621" s="102">
        <v>0.66785569838393533</v>
      </c>
      <c r="J621" s="103">
        <v>1.4972701727617374E-3</v>
      </c>
      <c r="K621" s="103"/>
      <c r="L621" s="103">
        <v>4.2999999999999997E-2</v>
      </c>
      <c r="O621" s="100"/>
    </row>
    <row r="622" spans="2:15" x14ac:dyDescent="0.2">
      <c r="B622" s="1">
        <v>607</v>
      </c>
      <c r="C622" s="101">
        <f t="shared" ca="1" si="36"/>
        <v>0.55951371981784082</v>
      </c>
      <c r="D622" s="101">
        <f t="shared" ca="1" si="37"/>
        <v>0.70220775756465459</v>
      </c>
      <c r="E622" s="101">
        <f t="shared" ca="1" si="38"/>
        <v>0</v>
      </c>
      <c r="F622" s="21">
        <f t="shared" ca="1" si="39"/>
        <v>0</v>
      </c>
      <c r="H622" s="21">
        <v>607</v>
      </c>
      <c r="I622" s="102">
        <v>0.66769748264373752</v>
      </c>
      <c r="J622" s="103">
        <v>1.289148791337028E-3</v>
      </c>
      <c r="K622" s="103"/>
      <c r="L622" s="103">
        <v>3.8399999999999997E-2</v>
      </c>
      <c r="O622" s="100"/>
    </row>
    <row r="623" spans="2:15" x14ac:dyDescent="0.2">
      <c r="B623" s="1">
        <v>608</v>
      </c>
      <c r="C623" s="101">
        <f t="shared" ca="1" si="36"/>
        <v>0.61494871054362021</v>
      </c>
      <c r="D623" s="101">
        <f t="shared" ca="1" si="37"/>
        <v>0.70605807418793487</v>
      </c>
      <c r="E623" s="101">
        <f t="shared" ca="1" si="38"/>
        <v>0</v>
      </c>
      <c r="F623" s="21">
        <f t="shared" ca="1" si="39"/>
        <v>0</v>
      </c>
      <c r="H623" s="21">
        <v>608</v>
      </c>
      <c r="I623" s="102">
        <v>0.66769485044418941</v>
      </c>
      <c r="J623" s="103">
        <v>1.3796690760375433E-3</v>
      </c>
      <c r="K623" s="103"/>
      <c r="L623" s="103">
        <v>4.2200000000000001E-2</v>
      </c>
      <c r="O623" s="100"/>
    </row>
    <row r="624" spans="2:15" x14ac:dyDescent="0.2">
      <c r="B624" s="1">
        <v>609</v>
      </c>
      <c r="C624" s="101">
        <f t="shared" ca="1" si="36"/>
        <v>-0.51277552575889018</v>
      </c>
      <c r="D624" s="101">
        <f t="shared" ca="1" si="37"/>
        <v>0.63172696184378507</v>
      </c>
      <c r="E624" s="101">
        <f t="shared" ca="1" si="38"/>
        <v>0</v>
      </c>
      <c r="F624" s="21">
        <f t="shared" ca="1" si="39"/>
        <v>0</v>
      </c>
      <c r="H624" s="21">
        <v>609</v>
      </c>
      <c r="I624" s="102">
        <v>0.66776643783995726</v>
      </c>
      <c r="J624" s="103">
        <v>1.3683305785633095E-3</v>
      </c>
      <c r="K624" s="103"/>
      <c r="L624" s="103">
        <v>4.0399999999999998E-2</v>
      </c>
      <c r="O624" s="100"/>
    </row>
    <row r="625" spans="2:15" x14ac:dyDescent="0.2">
      <c r="B625" s="1">
        <v>610</v>
      </c>
      <c r="C625" s="101">
        <f t="shared" ca="1" si="36"/>
        <v>-0.17795604224906025</v>
      </c>
      <c r="D625" s="101">
        <f t="shared" ca="1" si="37"/>
        <v>0.65293939583764404</v>
      </c>
      <c r="E625" s="101">
        <f t="shared" ca="1" si="38"/>
        <v>0</v>
      </c>
      <c r="F625" s="21">
        <f t="shared" ca="1" si="39"/>
        <v>0</v>
      </c>
      <c r="H625" s="21">
        <v>610</v>
      </c>
      <c r="I625" s="102">
        <v>0.66769873543758429</v>
      </c>
      <c r="J625" s="103">
        <v>1.3104854719023355E-3</v>
      </c>
      <c r="K625" s="103"/>
      <c r="L625" s="103">
        <v>4.1399999999999999E-2</v>
      </c>
      <c r="O625" s="100"/>
    </row>
    <row r="626" spans="2:15" x14ac:dyDescent="0.2">
      <c r="B626" s="1">
        <v>611</v>
      </c>
      <c r="C626" s="101">
        <f t="shared" ca="1" si="36"/>
        <v>-1.6728069916504578</v>
      </c>
      <c r="D626" s="101">
        <f t="shared" ca="1" si="37"/>
        <v>0.56342275124483099</v>
      </c>
      <c r="E626" s="101">
        <f t="shared" ca="1" si="38"/>
        <v>0</v>
      </c>
      <c r="F626" s="21">
        <f t="shared" ca="1" si="39"/>
        <v>0</v>
      </c>
      <c r="H626" s="21">
        <v>611</v>
      </c>
      <c r="I626" s="102">
        <v>0.66775963777195813</v>
      </c>
      <c r="J626" s="103">
        <v>1.4168156103531952E-3</v>
      </c>
      <c r="K626" s="103"/>
      <c r="L626" s="103">
        <v>4.1399999999999999E-2</v>
      </c>
      <c r="O626" s="100"/>
    </row>
    <row r="627" spans="2:15" x14ac:dyDescent="0.2">
      <c r="B627" s="1">
        <v>612</v>
      </c>
      <c r="C627" s="101">
        <f t="shared" ca="1" si="36"/>
        <v>1.1301172231777505</v>
      </c>
      <c r="D627" s="101">
        <f t="shared" ca="1" si="37"/>
        <v>0.74286504818571275</v>
      </c>
      <c r="E627" s="101">
        <f t="shared" ca="1" si="38"/>
        <v>0</v>
      </c>
      <c r="F627" s="21">
        <f t="shared" ca="1" si="39"/>
        <v>0</v>
      </c>
      <c r="H627" s="21">
        <v>612</v>
      </c>
      <c r="I627" s="102">
        <v>0.66772759456673769</v>
      </c>
      <c r="J627" s="103">
        <v>1.4004042118017314E-3</v>
      </c>
      <c r="K627" s="103"/>
      <c r="L627" s="103">
        <v>4.1000000000000002E-2</v>
      </c>
      <c r="O627" s="100"/>
    </row>
    <row r="628" spans="2:15" x14ac:dyDescent="0.2">
      <c r="B628" s="1">
        <v>613</v>
      </c>
      <c r="C628" s="101">
        <f t="shared" ca="1" si="36"/>
        <v>1.1358571242330333</v>
      </c>
      <c r="D628" s="101">
        <f t="shared" ca="1" si="37"/>
        <v>0.74328577111801952</v>
      </c>
      <c r="E628" s="101">
        <f t="shared" ca="1" si="38"/>
        <v>0</v>
      </c>
      <c r="F628" s="21">
        <f t="shared" ca="1" si="39"/>
        <v>0</v>
      </c>
      <c r="H628" s="21">
        <v>613</v>
      </c>
      <c r="I628" s="102">
        <v>0.66778936140796108</v>
      </c>
      <c r="J628" s="103">
        <v>1.3322913590576334E-3</v>
      </c>
      <c r="K628" s="103"/>
      <c r="L628" s="103">
        <v>4.1000000000000002E-2</v>
      </c>
      <c r="O628" s="100"/>
    </row>
    <row r="629" spans="2:15" x14ac:dyDescent="0.2">
      <c r="B629" s="1">
        <v>614</v>
      </c>
      <c r="C629" s="101">
        <f t="shared" ca="1" si="36"/>
        <v>0.26918369314620727</v>
      </c>
      <c r="D629" s="101">
        <f t="shared" ca="1" si="37"/>
        <v>0.68238278754350357</v>
      </c>
      <c r="E629" s="101">
        <f t="shared" ca="1" si="38"/>
        <v>0</v>
      </c>
      <c r="F629" s="21">
        <f t="shared" ca="1" si="39"/>
        <v>0</v>
      </c>
      <c r="H629" s="21">
        <v>614</v>
      </c>
      <c r="I629" s="102">
        <v>0.66756867202815351</v>
      </c>
      <c r="J629" s="103">
        <v>1.1664845809663581E-3</v>
      </c>
      <c r="K629" s="103"/>
      <c r="L629" s="103">
        <v>3.8199999999999998E-2</v>
      </c>
      <c r="O629" s="100"/>
    </row>
    <row r="630" spans="2:15" x14ac:dyDescent="0.2">
      <c r="B630" s="1">
        <v>615</v>
      </c>
      <c r="C630" s="101">
        <f t="shared" ca="1" si="36"/>
        <v>-0.86948113967946095</v>
      </c>
      <c r="D630" s="101">
        <f t="shared" ca="1" si="37"/>
        <v>0.60988557873822946</v>
      </c>
      <c r="E630" s="101">
        <f t="shared" ca="1" si="38"/>
        <v>0</v>
      </c>
      <c r="F630" s="21">
        <f t="shared" ca="1" si="39"/>
        <v>0</v>
      </c>
      <c r="H630" s="21">
        <v>615</v>
      </c>
      <c r="I630" s="102">
        <v>0.66787943743630507</v>
      </c>
      <c r="J630" s="103">
        <v>1.5873973252563238E-3</v>
      </c>
      <c r="K630" s="103"/>
      <c r="L630" s="103">
        <v>4.48E-2</v>
      </c>
      <c r="O630" s="100"/>
    </row>
    <row r="631" spans="2:15" x14ac:dyDescent="0.2">
      <c r="B631" s="1">
        <v>616</v>
      </c>
      <c r="C631" s="101">
        <f t="shared" ca="1" si="36"/>
        <v>-1.0530286440384464</v>
      </c>
      <c r="D631" s="101">
        <f t="shared" ca="1" si="37"/>
        <v>0.59894273620931116</v>
      </c>
      <c r="E631" s="101">
        <f t="shared" ca="1" si="38"/>
        <v>0</v>
      </c>
      <c r="F631" s="21">
        <f t="shared" ca="1" si="39"/>
        <v>0</v>
      </c>
      <c r="H631" s="21">
        <v>616</v>
      </c>
      <c r="I631" s="102">
        <v>0.66762086797174847</v>
      </c>
      <c r="J631" s="103">
        <v>1.2197683340439663E-3</v>
      </c>
      <c r="K631" s="103"/>
      <c r="L631" s="103">
        <v>3.9399999999999998E-2</v>
      </c>
      <c r="O631" s="100"/>
    </row>
    <row r="632" spans="2:15" x14ac:dyDescent="0.2">
      <c r="B632" s="1">
        <v>617</v>
      </c>
      <c r="C632" s="101">
        <f t="shared" ca="1" si="36"/>
        <v>0.99871197485893082</v>
      </c>
      <c r="D632" s="101">
        <f t="shared" ca="1" si="37"/>
        <v>0.73329817719407608</v>
      </c>
      <c r="E632" s="101">
        <f t="shared" ca="1" si="38"/>
        <v>0</v>
      </c>
      <c r="F632" s="21">
        <f t="shared" ca="1" si="39"/>
        <v>0</v>
      </c>
      <c r="H632" s="21">
        <v>617</v>
      </c>
      <c r="I632" s="102">
        <v>0.66786765543181958</v>
      </c>
      <c r="J632" s="103">
        <v>1.376988053830529E-3</v>
      </c>
      <c r="K632" s="103"/>
      <c r="L632" s="103">
        <v>4.5199999999999997E-2</v>
      </c>
      <c r="O632" s="100"/>
    </row>
    <row r="633" spans="2:15" x14ac:dyDescent="0.2">
      <c r="B633" s="1">
        <v>618</v>
      </c>
      <c r="C633" s="101">
        <f t="shared" ca="1" si="36"/>
        <v>-0.36008223284709689</v>
      </c>
      <c r="D633" s="101">
        <f t="shared" ca="1" si="37"/>
        <v>0.64131396836695564</v>
      </c>
      <c r="E633" s="101">
        <f t="shared" ca="1" si="38"/>
        <v>0</v>
      </c>
      <c r="F633" s="21">
        <f t="shared" ca="1" si="39"/>
        <v>0</v>
      </c>
      <c r="H633" s="21">
        <v>618</v>
      </c>
      <c r="I633" s="102">
        <v>0.66771857599817175</v>
      </c>
      <c r="J633" s="103">
        <v>1.2792507516204343E-3</v>
      </c>
      <c r="K633" s="103"/>
      <c r="L633" s="103">
        <v>4.2000000000000003E-2</v>
      </c>
      <c r="O633" s="100"/>
    </row>
    <row r="634" spans="2:15" x14ac:dyDescent="0.2">
      <c r="B634" s="1">
        <v>619</v>
      </c>
      <c r="C634" s="101">
        <f t="shared" ca="1" si="36"/>
        <v>-0.31858571317626722</v>
      </c>
      <c r="D634" s="101">
        <f t="shared" ca="1" si="37"/>
        <v>0.64394442059923584</v>
      </c>
      <c r="E634" s="101">
        <f t="shared" ca="1" si="38"/>
        <v>0</v>
      </c>
      <c r="F634" s="21">
        <f t="shared" ca="1" si="39"/>
        <v>0</v>
      </c>
      <c r="H634" s="21">
        <v>619</v>
      </c>
      <c r="I634" s="102">
        <v>0.66764939111067079</v>
      </c>
      <c r="J634" s="103">
        <v>1.2985443261585158E-3</v>
      </c>
      <c r="K634" s="103"/>
      <c r="L634" s="103">
        <v>4.1399999999999999E-2</v>
      </c>
      <c r="O634" s="100"/>
    </row>
    <row r="635" spans="2:15" x14ac:dyDescent="0.2">
      <c r="B635" s="1">
        <v>620</v>
      </c>
      <c r="C635" s="101">
        <f t="shared" ca="1" si="36"/>
        <v>-1.3491824267357422</v>
      </c>
      <c r="D635" s="101">
        <f t="shared" ca="1" si="37"/>
        <v>0.58169891913849325</v>
      </c>
      <c r="E635" s="101">
        <f t="shared" ca="1" si="38"/>
        <v>0</v>
      </c>
      <c r="F635" s="21">
        <f t="shared" ca="1" si="39"/>
        <v>0</v>
      </c>
      <c r="H635" s="21">
        <v>620</v>
      </c>
      <c r="I635" s="102">
        <v>0.66766213860393286</v>
      </c>
      <c r="J635" s="103">
        <v>1.2392394170961116E-3</v>
      </c>
      <c r="K635" s="103"/>
      <c r="L635" s="103">
        <v>4.24E-2</v>
      </c>
      <c r="O635" s="100"/>
    </row>
    <row r="636" spans="2:15" x14ac:dyDescent="0.2">
      <c r="B636" s="1">
        <v>621</v>
      </c>
      <c r="C636" s="101">
        <f t="shared" ca="1" si="36"/>
        <v>-5.3136843389705125E-2</v>
      </c>
      <c r="D636" s="101">
        <f t="shared" ca="1" si="37"/>
        <v>0.66102829639610872</v>
      </c>
      <c r="E636" s="101">
        <f t="shared" ca="1" si="38"/>
        <v>0</v>
      </c>
      <c r="F636" s="21">
        <f t="shared" ca="1" si="39"/>
        <v>0</v>
      </c>
      <c r="H636" s="21">
        <v>621</v>
      </c>
      <c r="I636" s="102">
        <v>0.66773769778752334</v>
      </c>
      <c r="J636" s="103">
        <v>1.4334758238946743E-3</v>
      </c>
      <c r="K636" s="103"/>
      <c r="L636" s="103">
        <v>4.36E-2</v>
      </c>
      <c r="O636" s="100"/>
    </row>
    <row r="637" spans="2:15" x14ac:dyDescent="0.2">
      <c r="B637" s="1">
        <v>622</v>
      </c>
      <c r="C637" s="101">
        <f t="shared" ca="1" si="36"/>
        <v>-0.10495176046549751</v>
      </c>
      <c r="D637" s="101">
        <f t="shared" ca="1" si="37"/>
        <v>0.65765833929948192</v>
      </c>
      <c r="E637" s="101">
        <f t="shared" ca="1" si="38"/>
        <v>0</v>
      </c>
      <c r="F637" s="21">
        <f t="shared" ca="1" si="39"/>
        <v>0</v>
      </c>
      <c r="H637" s="21">
        <v>622</v>
      </c>
      <c r="I637" s="102">
        <v>0.66762431742447592</v>
      </c>
      <c r="J637" s="103">
        <v>1.2614126950119139E-3</v>
      </c>
      <c r="K637" s="103"/>
      <c r="L637" s="103">
        <v>4.24E-2</v>
      </c>
      <c r="O637" s="100"/>
    </row>
    <row r="638" spans="2:15" x14ac:dyDescent="0.2">
      <c r="B638" s="1">
        <v>623</v>
      </c>
      <c r="C638" s="101">
        <f t="shared" ca="1" si="36"/>
        <v>-1.7309974560267829</v>
      </c>
      <c r="D638" s="101">
        <f t="shared" ca="1" si="37"/>
        <v>0.56019797728620757</v>
      </c>
      <c r="E638" s="101">
        <f t="shared" ca="1" si="38"/>
        <v>0</v>
      </c>
      <c r="F638" s="21">
        <f t="shared" ca="1" si="39"/>
        <v>0</v>
      </c>
      <c r="H638" s="21">
        <v>623</v>
      </c>
      <c r="I638" s="102">
        <v>0.66776482888915401</v>
      </c>
      <c r="J638" s="103">
        <v>1.31166945386712E-3</v>
      </c>
      <c r="K638" s="103"/>
      <c r="L638" s="103">
        <v>4.1200000000000001E-2</v>
      </c>
      <c r="O638" s="100"/>
    </row>
    <row r="639" spans="2:15" x14ac:dyDescent="0.2">
      <c r="B639" s="1">
        <v>624</v>
      </c>
      <c r="C639" s="101">
        <f t="shared" ca="1" si="36"/>
        <v>1.148701810137444</v>
      </c>
      <c r="D639" s="101">
        <f t="shared" ca="1" si="37"/>
        <v>0.74422812357406298</v>
      </c>
      <c r="E639" s="101">
        <f t="shared" ca="1" si="38"/>
        <v>0</v>
      </c>
      <c r="F639" s="21">
        <f t="shared" ca="1" si="39"/>
        <v>0</v>
      </c>
      <c r="H639" s="21">
        <v>624</v>
      </c>
      <c r="I639" s="102">
        <v>0.66780602677018441</v>
      </c>
      <c r="J639" s="103">
        <v>1.5710779816799005E-3</v>
      </c>
      <c r="K639" s="103"/>
      <c r="L639" s="103">
        <v>4.4600000000000001E-2</v>
      </c>
      <c r="O639" s="100"/>
    </row>
    <row r="640" spans="2:15" x14ac:dyDescent="0.2">
      <c r="B640" s="1">
        <v>625</v>
      </c>
      <c r="C640" s="101">
        <f t="shared" ca="1" si="36"/>
        <v>0.77858101866337093</v>
      </c>
      <c r="D640" s="101">
        <f t="shared" ca="1" si="37"/>
        <v>0.7175469635938434</v>
      </c>
      <c r="E640" s="101">
        <f t="shared" ca="1" si="38"/>
        <v>0</v>
      </c>
      <c r="F640" s="21">
        <f t="shared" ca="1" si="39"/>
        <v>0</v>
      </c>
      <c r="H640" s="21">
        <v>625</v>
      </c>
      <c r="I640" s="102">
        <v>0.66765980830720073</v>
      </c>
      <c r="J640" s="103">
        <v>1.2225449097428337E-3</v>
      </c>
      <c r="K640" s="103"/>
      <c r="L640" s="103">
        <v>3.78E-2</v>
      </c>
      <c r="O640" s="100"/>
    </row>
    <row r="641" spans="2:15" x14ac:dyDescent="0.2">
      <c r="B641" s="1">
        <v>626</v>
      </c>
      <c r="C641" s="101">
        <f t="shared" ca="1" si="36"/>
        <v>-0.26261289383912301</v>
      </c>
      <c r="D641" s="101">
        <f t="shared" ca="1" si="37"/>
        <v>0.64750962094715703</v>
      </c>
      <c r="E641" s="101">
        <f t="shared" ca="1" si="38"/>
        <v>0</v>
      </c>
      <c r="F641" s="21">
        <f t="shared" ca="1" si="39"/>
        <v>0</v>
      </c>
      <c r="H641" s="21">
        <v>626</v>
      </c>
      <c r="I641" s="102">
        <v>0.66791731380982966</v>
      </c>
      <c r="J641" s="103">
        <v>1.4864371811526762E-3</v>
      </c>
      <c r="K641" s="103"/>
      <c r="L641" s="103">
        <v>4.2200000000000001E-2</v>
      </c>
      <c r="O641" s="100"/>
    </row>
    <row r="642" spans="2:15" x14ac:dyDescent="0.2">
      <c r="B642" s="1">
        <v>627</v>
      </c>
      <c r="C642" s="101">
        <f t="shared" ca="1" si="36"/>
        <v>-0.11801532868514619</v>
      </c>
      <c r="D642" s="101">
        <f t="shared" ca="1" si="37"/>
        <v>0.6568114214966938</v>
      </c>
      <c r="E642" s="101">
        <f t="shared" ca="1" si="38"/>
        <v>0</v>
      </c>
      <c r="F642" s="21">
        <f t="shared" ca="1" si="39"/>
        <v>0</v>
      </c>
      <c r="H642" s="21">
        <v>627</v>
      </c>
      <c r="I642" s="102">
        <v>0.66757213699420459</v>
      </c>
      <c r="J642" s="103">
        <v>1.1669284471052944E-3</v>
      </c>
      <c r="K642" s="103"/>
      <c r="L642" s="103">
        <v>3.6600000000000001E-2</v>
      </c>
      <c r="O642" s="100"/>
    </row>
    <row r="643" spans="2:15" x14ac:dyDescent="0.2">
      <c r="B643" s="1">
        <v>628</v>
      </c>
      <c r="C643" s="101">
        <f t="shared" ca="1" si="36"/>
        <v>0.47608417601205683</v>
      </c>
      <c r="D643" s="101">
        <f t="shared" ca="1" si="37"/>
        <v>0.69645258191532633</v>
      </c>
      <c r="E643" s="101">
        <f t="shared" ca="1" si="38"/>
        <v>0</v>
      </c>
      <c r="F643" s="21">
        <f t="shared" ca="1" si="39"/>
        <v>0</v>
      </c>
      <c r="H643" s="21">
        <v>628</v>
      </c>
      <c r="I643" s="102">
        <v>0.66776947404566978</v>
      </c>
      <c r="J643" s="103">
        <v>1.3849174554028797E-3</v>
      </c>
      <c r="K643" s="103"/>
      <c r="L643" s="103">
        <v>4.3200000000000002E-2</v>
      </c>
      <c r="O643" s="100"/>
    </row>
    <row r="644" spans="2:15" x14ac:dyDescent="0.2">
      <c r="B644" s="1">
        <v>629</v>
      </c>
      <c r="C644" s="101">
        <f t="shared" ca="1" si="36"/>
        <v>0.93681944594602218</v>
      </c>
      <c r="D644" s="101">
        <f t="shared" ca="1" si="37"/>
        <v>0.72883491202257122</v>
      </c>
      <c r="E644" s="101">
        <f t="shared" ca="1" si="38"/>
        <v>0</v>
      </c>
      <c r="F644" s="21">
        <f t="shared" ca="1" si="39"/>
        <v>0</v>
      </c>
      <c r="H644" s="21">
        <v>629</v>
      </c>
      <c r="I644" s="102">
        <v>0.66785860839096933</v>
      </c>
      <c r="J644" s="103">
        <v>1.5045805562734979E-3</v>
      </c>
      <c r="K644" s="103"/>
      <c r="L644" s="103">
        <v>4.6199999999999998E-2</v>
      </c>
      <c r="O644" s="100"/>
    </row>
    <row r="645" spans="2:15" x14ac:dyDescent="0.2">
      <c r="B645" s="1">
        <v>630</v>
      </c>
      <c r="C645" s="101">
        <f t="shared" ca="1" si="36"/>
        <v>-2.3332790128150185</v>
      </c>
      <c r="D645" s="101">
        <f t="shared" ca="1" si="37"/>
        <v>0.52788602616749225</v>
      </c>
      <c r="E645" s="101">
        <f t="shared" ca="1" si="38"/>
        <v>0</v>
      </c>
      <c r="F645" s="21">
        <f t="shared" ca="1" si="39"/>
        <v>0</v>
      </c>
      <c r="H645" s="21">
        <v>630</v>
      </c>
      <c r="I645" s="102">
        <v>0.66767766068274337</v>
      </c>
      <c r="J645" s="103">
        <v>1.3541242422283424E-3</v>
      </c>
      <c r="K645" s="103"/>
      <c r="L645" s="103">
        <v>3.9800000000000002E-2</v>
      </c>
      <c r="O645" s="100"/>
    </row>
    <row r="646" spans="2:15" x14ac:dyDescent="0.2">
      <c r="B646" s="1">
        <v>631</v>
      </c>
      <c r="C646" s="101">
        <f t="shared" ca="1" si="36"/>
        <v>-0.43985780441058697</v>
      </c>
      <c r="D646" s="101">
        <f t="shared" ca="1" si="37"/>
        <v>0.63628716523695961</v>
      </c>
      <c r="E646" s="101">
        <f t="shared" ca="1" si="38"/>
        <v>0</v>
      </c>
      <c r="F646" s="21">
        <f t="shared" ca="1" si="39"/>
        <v>0</v>
      </c>
      <c r="H646" s="21">
        <v>631</v>
      </c>
      <c r="I646" s="102">
        <v>0.66774139527303211</v>
      </c>
      <c r="J646" s="103">
        <v>1.351204660031983E-3</v>
      </c>
      <c r="K646" s="103"/>
      <c r="L646" s="103">
        <v>4.0800000000000003E-2</v>
      </c>
      <c r="O646" s="100"/>
    </row>
    <row r="647" spans="2:15" x14ac:dyDescent="0.2">
      <c r="B647" s="1">
        <v>632</v>
      </c>
      <c r="C647" s="101">
        <f t="shared" ca="1" si="36"/>
        <v>-0.76334597557898909</v>
      </c>
      <c r="D647" s="101">
        <f t="shared" ca="1" si="37"/>
        <v>0.61630420260281227</v>
      </c>
      <c r="E647" s="101">
        <f t="shared" ca="1" si="38"/>
        <v>0</v>
      </c>
      <c r="F647" s="21">
        <f t="shared" ca="1" si="39"/>
        <v>0</v>
      </c>
      <c r="H647" s="21">
        <v>632</v>
      </c>
      <c r="I647" s="102">
        <v>0.66759723933289905</v>
      </c>
      <c r="J647" s="103">
        <v>1.3511043113291993E-3</v>
      </c>
      <c r="K647" s="103"/>
      <c r="L647" s="103">
        <v>3.6999999999999998E-2</v>
      </c>
      <c r="O647" s="100"/>
    </row>
    <row r="648" spans="2:15" x14ac:dyDescent="0.2">
      <c r="B648" s="1">
        <v>633</v>
      </c>
      <c r="C648" s="101">
        <f t="shared" ca="1" si="36"/>
        <v>2.62164042762172</v>
      </c>
      <c r="D648" s="101">
        <f t="shared" ca="1" si="37"/>
        <v>0.8606089529879738</v>
      </c>
      <c r="E648" s="101">
        <f t="shared" ca="1" si="38"/>
        <v>7.2408952987973785E-2</v>
      </c>
      <c r="F648" s="21">
        <f t="shared" ca="1" si="39"/>
        <v>1</v>
      </c>
      <c r="H648" s="21">
        <v>633</v>
      </c>
      <c r="I648" s="102">
        <v>0.66770500812504596</v>
      </c>
      <c r="J648" s="103">
        <v>1.3762327015028216E-3</v>
      </c>
      <c r="K648" s="103"/>
      <c r="L648" s="103">
        <v>4.2599999999999999E-2</v>
      </c>
      <c r="O648" s="100"/>
    </row>
    <row r="649" spans="2:15" x14ac:dyDescent="0.2">
      <c r="B649" s="1">
        <v>634</v>
      </c>
      <c r="C649" s="101">
        <f t="shared" ca="1" si="36"/>
        <v>0.84916892887675199</v>
      </c>
      <c r="D649" s="101">
        <f t="shared" ca="1" si="37"/>
        <v>0.72256059503071002</v>
      </c>
      <c r="E649" s="101">
        <f t="shared" ca="1" si="38"/>
        <v>0</v>
      </c>
      <c r="F649" s="21">
        <f t="shared" ca="1" si="39"/>
        <v>0</v>
      </c>
      <c r="H649" s="21">
        <v>634</v>
      </c>
      <c r="I649" s="102">
        <v>0.66772665261885689</v>
      </c>
      <c r="J649" s="103">
        <v>1.2721264660690956E-3</v>
      </c>
      <c r="K649" s="103"/>
      <c r="L649" s="103">
        <v>4.2999999999999997E-2</v>
      </c>
      <c r="O649" s="100"/>
    </row>
    <row r="650" spans="2:15" x14ac:dyDescent="0.2">
      <c r="B650" s="1">
        <v>635</v>
      </c>
      <c r="C650" s="101">
        <f t="shared" ca="1" si="36"/>
        <v>-0.44902304173925944</v>
      </c>
      <c r="D650" s="101">
        <f t="shared" ca="1" si="37"/>
        <v>0.6357121763153295</v>
      </c>
      <c r="E650" s="101">
        <f t="shared" ca="1" si="38"/>
        <v>0</v>
      </c>
      <c r="F650" s="21">
        <f t="shared" ca="1" si="39"/>
        <v>0</v>
      </c>
      <c r="H650" s="21">
        <v>635</v>
      </c>
      <c r="I650" s="102">
        <v>0.66768239143271302</v>
      </c>
      <c r="J650" s="103">
        <v>1.2243310597795654E-3</v>
      </c>
      <c r="K650" s="103"/>
      <c r="L650" s="103">
        <v>3.4799999999999998E-2</v>
      </c>
      <c r="O650" s="100"/>
    </row>
    <row r="651" spans="2:15" x14ac:dyDescent="0.2">
      <c r="B651" s="1">
        <v>636</v>
      </c>
      <c r="C651" s="101">
        <f t="shared" ca="1" si="36"/>
        <v>0.3850340593421534</v>
      </c>
      <c r="D651" s="101">
        <f t="shared" ca="1" si="37"/>
        <v>0.69022553476319204</v>
      </c>
      <c r="E651" s="101">
        <f t="shared" ca="1" si="38"/>
        <v>0</v>
      </c>
      <c r="F651" s="21">
        <f t="shared" ca="1" si="39"/>
        <v>0</v>
      </c>
      <c r="H651" s="21">
        <v>636</v>
      </c>
      <c r="I651" s="102">
        <v>0.6676852682304627</v>
      </c>
      <c r="J651" s="103">
        <v>1.2743444239430837E-3</v>
      </c>
      <c r="K651" s="103"/>
      <c r="L651" s="103">
        <v>4.1799999999999997E-2</v>
      </c>
      <c r="O651" s="100"/>
    </row>
    <row r="652" spans="2:15" x14ac:dyDescent="0.2">
      <c r="B652" s="1">
        <v>637</v>
      </c>
      <c r="C652" s="101">
        <f t="shared" ca="1" si="36"/>
        <v>-7.4954096968757891E-2</v>
      </c>
      <c r="D652" s="101">
        <f t="shared" ca="1" si="37"/>
        <v>0.6596072384231646</v>
      </c>
      <c r="E652" s="101">
        <f t="shared" ca="1" si="38"/>
        <v>0</v>
      </c>
      <c r="F652" s="21">
        <f t="shared" ca="1" si="39"/>
        <v>0</v>
      </c>
      <c r="H652" s="21">
        <v>637</v>
      </c>
      <c r="I652" s="102">
        <v>0.66779890545331222</v>
      </c>
      <c r="J652" s="103">
        <v>1.4409767482134242E-3</v>
      </c>
      <c r="K652" s="103"/>
      <c r="L652" s="103">
        <v>4.4400000000000002E-2</v>
      </c>
      <c r="O652" s="100"/>
    </row>
    <row r="653" spans="2:15" x14ac:dyDescent="0.2">
      <c r="B653" s="1">
        <v>638</v>
      </c>
      <c r="C653" s="101">
        <f t="shared" ca="1" si="36"/>
        <v>-0.92775965688703232</v>
      </c>
      <c r="D653" s="101">
        <f t="shared" ca="1" si="37"/>
        <v>0.60638960591077218</v>
      </c>
      <c r="E653" s="101">
        <f t="shared" ca="1" si="38"/>
        <v>0</v>
      </c>
      <c r="F653" s="21">
        <f t="shared" ca="1" si="39"/>
        <v>0</v>
      </c>
      <c r="H653" s="21">
        <v>638</v>
      </c>
      <c r="I653" s="102">
        <v>0.66753914947999382</v>
      </c>
      <c r="J653" s="103">
        <v>1.0446354293561131E-3</v>
      </c>
      <c r="K653" s="103"/>
      <c r="L653" s="103">
        <v>3.44E-2</v>
      </c>
      <c r="O653" s="100"/>
    </row>
    <row r="654" spans="2:15" x14ac:dyDescent="0.2">
      <c r="B654" s="1">
        <v>639</v>
      </c>
      <c r="C654" s="101">
        <f t="shared" ca="1" si="36"/>
        <v>0.21888392676296628</v>
      </c>
      <c r="D654" s="101">
        <f t="shared" ca="1" si="37"/>
        <v>0.67900543830026538</v>
      </c>
      <c r="E654" s="101">
        <f t="shared" ca="1" si="38"/>
        <v>0</v>
      </c>
      <c r="F654" s="21">
        <f t="shared" ca="1" si="39"/>
        <v>0</v>
      </c>
      <c r="H654" s="21">
        <v>639</v>
      </c>
      <c r="I654" s="102">
        <v>0.66775810502395749</v>
      </c>
      <c r="J654" s="103">
        <v>1.3920366307624034E-3</v>
      </c>
      <c r="K654" s="103"/>
      <c r="L654" s="103">
        <v>4.36E-2</v>
      </c>
      <c r="O654" s="100"/>
    </row>
    <row r="655" spans="2:15" x14ac:dyDescent="0.2">
      <c r="B655" s="1">
        <v>640</v>
      </c>
      <c r="C655" s="101">
        <f t="shared" ca="1" si="36"/>
        <v>1.6499491945325688</v>
      </c>
      <c r="D655" s="101">
        <f t="shared" ca="1" si="37"/>
        <v>0.78195040051014175</v>
      </c>
      <c r="E655" s="101">
        <f t="shared" ca="1" si="38"/>
        <v>0</v>
      </c>
      <c r="F655" s="21">
        <f t="shared" ca="1" si="39"/>
        <v>0</v>
      </c>
      <c r="H655" s="21">
        <v>640</v>
      </c>
      <c r="I655" s="102">
        <v>0.66776757523995534</v>
      </c>
      <c r="J655" s="103">
        <v>1.3423009415688594E-3</v>
      </c>
      <c r="K655" s="103"/>
      <c r="L655" s="103">
        <v>4.1599999999999998E-2</v>
      </c>
      <c r="O655" s="100"/>
    </row>
    <row r="656" spans="2:15" x14ac:dyDescent="0.2">
      <c r="B656" s="1">
        <v>641</v>
      </c>
      <c r="C656" s="101">
        <f t="shared" ref="C656:C719" ca="1" si="40">_xlfn.NORM.S.INV(RAND())</f>
        <v>-0.40306175093128477</v>
      </c>
      <c r="D656" s="101">
        <f t="shared" ref="D656:D719" ca="1" si="41">S0*EXP((μ-0.5*σ*σ)*T+σ*SQRT(T)*$C656)</f>
        <v>0.63860083677240076</v>
      </c>
      <c r="E656" s="101">
        <f t="shared" ref="E656:E719" ca="1" si="42">MAX(0,CP*(D656-K))</f>
        <v>0</v>
      </c>
      <c r="F656" s="21">
        <f t="shared" ref="F656:F719" ca="1" si="43">(CP*(D656-K)&gt;0)*1</f>
        <v>0</v>
      </c>
      <c r="H656" s="21">
        <v>641</v>
      </c>
      <c r="I656" s="102">
        <v>0.66782779874848863</v>
      </c>
      <c r="J656" s="103">
        <v>1.3666670407409332E-3</v>
      </c>
      <c r="K656" s="103"/>
      <c r="L656" s="103">
        <v>4.5199999999999997E-2</v>
      </c>
      <c r="O656" s="100"/>
    </row>
    <row r="657" spans="2:15" x14ac:dyDescent="0.2">
      <c r="B657" s="1">
        <v>642</v>
      </c>
      <c r="C657" s="101">
        <f t="shared" ca="1" si="40"/>
        <v>9.6117140648056335E-3</v>
      </c>
      <c r="D657" s="101">
        <f t="shared" ca="1" si="41"/>
        <v>0.66513248627825117</v>
      </c>
      <c r="E657" s="101">
        <f t="shared" ca="1" si="42"/>
        <v>0</v>
      </c>
      <c r="F657" s="21">
        <f t="shared" ca="1" si="43"/>
        <v>0</v>
      </c>
      <c r="H657" s="21">
        <v>642</v>
      </c>
      <c r="I657" s="102">
        <v>0.66772041635315005</v>
      </c>
      <c r="J657" s="103">
        <v>1.2378262970328124E-3</v>
      </c>
      <c r="K657" s="103"/>
      <c r="L657" s="103">
        <v>3.9E-2</v>
      </c>
      <c r="O657" s="100"/>
    </row>
    <row r="658" spans="2:15" x14ac:dyDescent="0.2">
      <c r="B658" s="1">
        <v>643</v>
      </c>
      <c r="C658" s="101">
        <f t="shared" ca="1" si="40"/>
        <v>0.74711957057241762</v>
      </c>
      <c r="D658" s="101">
        <f t="shared" ca="1" si="41"/>
        <v>0.71532358090650927</v>
      </c>
      <c r="E658" s="101">
        <f t="shared" ca="1" si="42"/>
        <v>0</v>
      </c>
      <c r="F658" s="21">
        <f t="shared" ca="1" si="43"/>
        <v>0</v>
      </c>
      <c r="H658" s="21">
        <v>643</v>
      </c>
      <c r="I658" s="102">
        <v>0.66764747601157493</v>
      </c>
      <c r="J658" s="103">
        <v>1.1408190080878671E-3</v>
      </c>
      <c r="K658" s="103"/>
      <c r="L658" s="103">
        <v>3.7999999999999999E-2</v>
      </c>
      <c r="O658" s="100"/>
    </row>
    <row r="659" spans="2:15" x14ac:dyDescent="0.2">
      <c r="B659" s="1">
        <v>644</v>
      </c>
      <c r="C659" s="101">
        <f t="shared" ca="1" si="40"/>
        <v>0.42641683816297471</v>
      </c>
      <c r="D659" s="101">
        <f t="shared" ca="1" si="41"/>
        <v>0.69304882990153993</v>
      </c>
      <c r="E659" s="101">
        <f t="shared" ca="1" si="42"/>
        <v>0</v>
      </c>
      <c r="F659" s="21">
        <f t="shared" ca="1" si="43"/>
        <v>0</v>
      </c>
      <c r="H659" s="21">
        <v>644</v>
      </c>
      <c r="I659" s="102">
        <v>0.6677128620251096</v>
      </c>
      <c r="J659" s="103">
        <v>1.3170959952415618E-3</v>
      </c>
      <c r="K659" s="103"/>
      <c r="L659" s="103">
        <v>4.0800000000000003E-2</v>
      </c>
      <c r="O659" s="100"/>
    </row>
    <row r="660" spans="2:15" x14ac:dyDescent="0.2">
      <c r="B660" s="1">
        <v>645</v>
      </c>
      <c r="C660" s="101">
        <f t="shared" ca="1" si="40"/>
        <v>-0.18732373630141427</v>
      </c>
      <c r="D660" s="101">
        <f t="shared" ca="1" si="41"/>
        <v>0.6523363312400331</v>
      </c>
      <c r="E660" s="101">
        <f t="shared" ca="1" si="42"/>
        <v>0</v>
      </c>
      <c r="F660" s="21">
        <f t="shared" ca="1" si="43"/>
        <v>0</v>
      </c>
      <c r="H660" s="21">
        <v>645</v>
      </c>
      <c r="I660" s="102">
        <v>0.66776068693668822</v>
      </c>
      <c r="J660" s="103">
        <v>1.4065640098827553E-3</v>
      </c>
      <c r="K660" s="103"/>
      <c r="L660" s="103">
        <v>4.3400000000000001E-2</v>
      </c>
      <c r="O660" s="100"/>
    </row>
    <row r="661" spans="2:15" x14ac:dyDescent="0.2">
      <c r="B661" s="1">
        <v>646</v>
      </c>
      <c r="C661" s="101">
        <f t="shared" ca="1" si="40"/>
        <v>-0.38375369759861211</v>
      </c>
      <c r="D661" s="101">
        <f t="shared" ca="1" si="41"/>
        <v>0.63981825699590844</v>
      </c>
      <c r="E661" s="101">
        <f t="shared" ca="1" si="42"/>
        <v>0</v>
      </c>
      <c r="F661" s="21">
        <f t="shared" ca="1" si="43"/>
        <v>0</v>
      </c>
      <c r="H661" s="21">
        <v>646</v>
      </c>
      <c r="I661" s="102">
        <v>0.66793835726991635</v>
      </c>
      <c r="J661" s="103">
        <v>1.6179468008716946E-3</v>
      </c>
      <c r="K661" s="103"/>
      <c r="L661" s="103">
        <v>4.58E-2</v>
      </c>
      <c r="O661" s="100"/>
    </row>
    <row r="662" spans="2:15" x14ac:dyDescent="0.2">
      <c r="B662" s="1">
        <v>647</v>
      </c>
      <c r="C662" s="101">
        <f t="shared" ca="1" si="40"/>
        <v>-0.89109697543126987</v>
      </c>
      <c r="D662" s="101">
        <f t="shared" ca="1" si="41"/>
        <v>0.60858655713293042</v>
      </c>
      <c r="E662" s="101">
        <f t="shared" ca="1" si="42"/>
        <v>0</v>
      </c>
      <c r="F662" s="21">
        <f t="shared" ca="1" si="43"/>
        <v>0</v>
      </c>
      <c r="H662" s="21">
        <v>647</v>
      </c>
      <c r="I662" s="102">
        <v>0.6676211563984491</v>
      </c>
      <c r="J662" s="103">
        <v>1.2671910362379002E-3</v>
      </c>
      <c r="K662" s="103"/>
      <c r="L662" s="103">
        <v>3.7199999999999997E-2</v>
      </c>
      <c r="O662" s="100"/>
    </row>
    <row r="663" spans="2:15" x14ac:dyDescent="0.2">
      <c r="B663" s="1">
        <v>648</v>
      </c>
      <c r="C663" s="101">
        <f t="shared" ca="1" si="40"/>
        <v>0.47028071691294232</v>
      </c>
      <c r="D663" s="101">
        <f t="shared" ca="1" si="41"/>
        <v>0.69605400413975838</v>
      </c>
      <c r="E663" s="101">
        <f t="shared" ca="1" si="42"/>
        <v>0</v>
      </c>
      <c r="F663" s="21">
        <f t="shared" ca="1" si="43"/>
        <v>0</v>
      </c>
      <c r="H663" s="21">
        <v>648</v>
      </c>
      <c r="I663" s="102">
        <v>0.66764645719519744</v>
      </c>
      <c r="J663" s="103">
        <v>1.1583601969268398E-3</v>
      </c>
      <c r="K663" s="103"/>
      <c r="L663" s="103">
        <v>4.02E-2</v>
      </c>
      <c r="O663" s="100"/>
    </row>
    <row r="664" spans="2:15" x14ac:dyDescent="0.2">
      <c r="B664" s="1">
        <v>649</v>
      </c>
      <c r="C664" s="101">
        <f t="shared" ca="1" si="40"/>
        <v>-0.25565321252039264</v>
      </c>
      <c r="D664" s="101">
        <f t="shared" ca="1" si="41"/>
        <v>0.647954296816736</v>
      </c>
      <c r="E664" s="101">
        <f t="shared" ca="1" si="42"/>
        <v>0</v>
      </c>
      <c r="F664" s="21">
        <f t="shared" ca="1" si="43"/>
        <v>0</v>
      </c>
      <c r="H664" s="21">
        <v>649</v>
      </c>
      <c r="I664" s="102">
        <v>0.6678131211720566</v>
      </c>
      <c r="J664" s="103">
        <v>1.4728928991940861E-3</v>
      </c>
      <c r="K664" s="103"/>
      <c r="L664" s="103">
        <v>4.3999999999999997E-2</v>
      </c>
      <c r="O664" s="100"/>
    </row>
    <row r="665" spans="2:15" x14ac:dyDescent="0.2">
      <c r="B665" s="1">
        <v>650</v>
      </c>
      <c r="C665" s="101">
        <f t="shared" ca="1" si="40"/>
        <v>0.49004809092803792</v>
      </c>
      <c r="D665" s="101">
        <f t="shared" ca="1" si="41"/>
        <v>0.69741254997749536</v>
      </c>
      <c r="E665" s="101">
        <f t="shared" ca="1" si="42"/>
        <v>0</v>
      </c>
      <c r="F665" s="21">
        <f t="shared" ca="1" si="43"/>
        <v>0</v>
      </c>
      <c r="H665" s="21">
        <v>650</v>
      </c>
      <c r="I665" s="102">
        <v>0.66765128146734842</v>
      </c>
      <c r="J665" s="103">
        <v>1.2860703409984036E-3</v>
      </c>
      <c r="K665" s="103"/>
      <c r="L665" s="103">
        <v>3.9800000000000002E-2</v>
      </c>
      <c r="O665" s="100"/>
    </row>
    <row r="666" spans="2:15" x14ac:dyDescent="0.2">
      <c r="B666" s="1">
        <v>651</v>
      </c>
      <c r="C666" s="101">
        <f t="shared" ca="1" si="40"/>
        <v>-2.588045147216476</v>
      </c>
      <c r="D666" s="101">
        <f t="shared" ca="1" si="41"/>
        <v>0.51478530570410863</v>
      </c>
      <c r="E666" s="101">
        <f t="shared" ca="1" si="42"/>
        <v>0</v>
      </c>
      <c r="F666" s="21">
        <f t="shared" ca="1" si="43"/>
        <v>0</v>
      </c>
      <c r="H666" s="21">
        <v>651</v>
      </c>
      <c r="I666" s="102">
        <v>0.66786216216707817</v>
      </c>
      <c r="J666" s="103">
        <v>1.5522312786363135E-3</v>
      </c>
      <c r="K666" s="103"/>
      <c r="L666" s="103">
        <v>4.82E-2</v>
      </c>
      <c r="O666" s="100"/>
    </row>
    <row r="667" spans="2:15" x14ac:dyDescent="0.2">
      <c r="B667" s="1">
        <v>652</v>
      </c>
      <c r="C667" s="101">
        <f t="shared" ca="1" si="40"/>
        <v>1.4629584631896457</v>
      </c>
      <c r="D667" s="101">
        <f t="shared" ca="1" si="41"/>
        <v>0.76765951763363249</v>
      </c>
      <c r="E667" s="101">
        <f t="shared" ca="1" si="42"/>
        <v>0</v>
      </c>
      <c r="F667" s="21">
        <f t="shared" ca="1" si="43"/>
        <v>0</v>
      </c>
      <c r="H667" s="21">
        <v>652</v>
      </c>
      <c r="I667" s="102">
        <v>0.66765160608772822</v>
      </c>
      <c r="J667" s="103">
        <v>1.2175077751773308E-3</v>
      </c>
      <c r="K667" s="103"/>
      <c r="L667" s="103">
        <v>3.9E-2</v>
      </c>
      <c r="O667" s="100"/>
    </row>
    <row r="668" spans="2:15" x14ac:dyDescent="0.2">
      <c r="B668" s="1">
        <v>653</v>
      </c>
      <c r="C668" s="101">
        <f t="shared" ca="1" si="40"/>
        <v>2.0705621596558824E-2</v>
      </c>
      <c r="D668" s="101">
        <f t="shared" ca="1" si="41"/>
        <v>0.66586075096580799</v>
      </c>
      <c r="E668" s="101">
        <f t="shared" ca="1" si="42"/>
        <v>0</v>
      </c>
      <c r="F668" s="21">
        <f t="shared" ca="1" si="43"/>
        <v>0</v>
      </c>
      <c r="H668" s="21">
        <v>653</v>
      </c>
      <c r="I668" s="102">
        <v>0.66770551960693514</v>
      </c>
      <c r="J668" s="103">
        <v>1.4268037908656286E-3</v>
      </c>
      <c r="K668" s="103"/>
      <c r="L668" s="103">
        <v>4.2000000000000003E-2</v>
      </c>
      <c r="O668" s="100"/>
    </row>
    <row r="669" spans="2:15" x14ac:dyDescent="0.2">
      <c r="B669" s="1">
        <v>654</v>
      </c>
      <c r="C669" s="101">
        <f t="shared" ca="1" si="40"/>
        <v>2.302414608302436E-2</v>
      </c>
      <c r="D669" s="101">
        <f t="shared" ca="1" si="41"/>
        <v>0.6660130522856238</v>
      </c>
      <c r="E669" s="101">
        <f t="shared" ca="1" si="42"/>
        <v>0</v>
      </c>
      <c r="F669" s="21">
        <f t="shared" ca="1" si="43"/>
        <v>0</v>
      </c>
      <c r="H669" s="21">
        <v>654</v>
      </c>
      <c r="I669" s="102">
        <v>0.66779767118276012</v>
      </c>
      <c r="J669" s="103">
        <v>1.45665264407552E-3</v>
      </c>
      <c r="K669" s="103"/>
      <c r="L669" s="103">
        <v>4.2599999999999999E-2</v>
      </c>
      <c r="O669" s="100"/>
    </row>
    <row r="670" spans="2:15" x14ac:dyDescent="0.2">
      <c r="B670" s="1">
        <v>655</v>
      </c>
      <c r="C670" s="101">
        <f t="shared" ca="1" si="40"/>
        <v>-1.0890514894678445</v>
      </c>
      <c r="D670" s="101">
        <f t="shared" ca="1" si="41"/>
        <v>0.5968182650106052</v>
      </c>
      <c r="E670" s="101">
        <f t="shared" ca="1" si="42"/>
        <v>0</v>
      </c>
      <c r="F670" s="21">
        <f t="shared" ca="1" si="43"/>
        <v>0</v>
      </c>
      <c r="H670" s="21">
        <v>655</v>
      </c>
      <c r="I670" s="102">
        <v>0.66777830730632703</v>
      </c>
      <c r="J670" s="103">
        <v>1.3392841214779673E-3</v>
      </c>
      <c r="K670" s="103"/>
      <c r="L670" s="103">
        <v>4.1599999999999998E-2</v>
      </c>
      <c r="O670" s="100"/>
    </row>
    <row r="671" spans="2:15" x14ac:dyDescent="0.2">
      <c r="B671" s="1">
        <v>656</v>
      </c>
      <c r="C671" s="101">
        <f t="shared" ca="1" si="40"/>
        <v>-0.31102594170444914</v>
      </c>
      <c r="D671" s="101">
        <f t="shared" ca="1" si="41"/>
        <v>0.64442479282630927</v>
      </c>
      <c r="E671" s="101">
        <f t="shared" ca="1" si="42"/>
        <v>0</v>
      </c>
      <c r="F671" s="21">
        <f t="shared" ca="1" si="43"/>
        <v>0</v>
      </c>
      <c r="H671" s="21">
        <v>656</v>
      </c>
      <c r="I671" s="102">
        <v>0.66777724284069695</v>
      </c>
      <c r="J671" s="103">
        <v>1.3446502283810016E-3</v>
      </c>
      <c r="K671" s="103"/>
      <c r="L671" s="103">
        <v>3.9399999999999998E-2</v>
      </c>
      <c r="O671" s="100"/>
    </row>
    <row r="672" spans="2:15" x14ac:dyDescent="0.2">
      <c r="B672" s="1">
        <v>657</v>
      </c>
      <c r="C672" s="101">
        <f t="shared" ca="1" si="40"/>
        <v>1.7443444934343482</v>
      </c>
      <c r="D672" s="101">
        <f t="shared" ca="1" si="41"/>
        <v>0.78926536058649954</v>
      </c>
      <c r="E672" s="101">
        <f t="shared" ca="1" si="42"/>
        <v>1.0653605864995308E-3</v>
      </c>
      <c r="F672" s="21">
        <f t="shared" ca="1" si="43"/>
        <v>1</v>
      </c>
      <c r="H672" s="21">
        <v>657</v>
      </c>
      <c r="I672" s="102">
        <v>0.6677005670874524</v>
      </c>
      <c r="J672" s="103">
        <v>1.3693915994503691E-3</v>
      </c>
      <c r="K672" s="103"/>
      <c r="L672" s="103">
        <v>4.1799999999999997E-2</v>
      </c>
      <c r="O672" s="100"/>
    </row>
    <row r="673" spans="2:15" x14ac:dyDescent="0.2">
      <c r="B673" s="1">
        <v>658</v>
      </c>
      <c r="C673" s="101">
        <f t="shared" ca="1" si="40"/>
        <v>1.4186597370932195</v>
      </c>
      <c r="D673" s="101">
        <f t="shared" ca="1" si="41"/>
        <v>0.76431240553785429</v>
      </c>
      <c r="E673" s="101">
        <f t="shared" ca="1" si="42"/>
        <v>0</v>
      </c>
      <c r="F673" s="21">
        <f t="shared" ca="1" si="43"/>
        <v>0</v>
      </c>
      <c r="H673" s="21">
        <v>658</v>
      </c>
      <c r="I673" s="102">
        <v>0.66764112400511344</v>
      </c>
      <c r="J673" s="103">
        <v>1.1262614876741156E-3</v>
      </c>
      <c r="K673" s="103"/>
      <c r="L673" s="103">
        <v>0.04</v>
      </c>
      <c r="O673" s="100"/>
    </row>
    <row r="674" spans="2:15" x14ac:dyDescent="0.2">
      <c r="B674" s="1">
        <v>659</v>
      </c>
      <c r="C674" s="101">
        <f t="shared" ca="1" si="40"/>
        <v>-0.28243560510452043</v>
      </c>
      <c r="D674" s="101">
        <f t="shared" ca="1" si="41"/>
        <v>0.6462447574647181</v>
      </c>
      <c r="E674" s="101">
        <f t="shared" ca="1" si="42"/>
        <v>0</v>
      </c>
      <c r="F674" s="21">
        <f t="shared" ca="1" si="43"/>
        <v>0</v>
      </c>
      <c r="H674" s="21">
        <v>659</v>
      </c>
      <c r="I674" s="102">
        <v>0.66782191598901564</v>
      </c>
      <c r="J674" s="103">
        <v>1.3874448315466779E-3</v>
      </c>
      <c r="K674" s="103"/>
      <c r="L674" s="103">
        <v>4.48E-2</v>
      </c>
      <c r="O674" s="100"/>
    </row>
    <row r="675" spans="2:15" x14ac:dyDescent="0.2">
      <c r="B675" s="1">
        <v>660</v>
      </c>
      <c r="C675" s="101">
        <f t="shared" ca="1" si="40"/>
        <v>1.1741269768179632</v>
      </c>
      <c r="D675" s="101">
        <f t="shared" ca="1" si="41"/>
        <v>0.746096969507835</v>
      </c>
      <c r="E675" s="101">
        <f t="shared" ca="1" si="42"/>
        <v>0</v>
      </c>
      <c r="F675" s="21">
        <f t="shared" ca="1" si="43"/>
        <v>0</v>
      </c>
      <c r="H675" s="21">
        <v>660</v>
      </c>
      <c r="I675" s="102">
        <v>0.66773088192805785</v>
      </c>
      <c r="J675" s="103">
        <v>1.4270787217620085E-3</v>
      </c>
      <c r="K675" s="103"/>
      <c r="L675" s="103">
        <v>4.0800000000000003E-2</v>
      </c>
      <c r="O675" s="100"/>
    </row>
    <row r="676" spans="2:15" x14ac:dyDescent="0.2">
      <c r="B676" s="1">
        <v>661</v>
      </c>
      <c r="C676" s="101">
        <f t="shared" ca="1" si="40"/>
        <v>-3.440563003615813</v>
      </c>
      <c r="D676" s="101">
        <f t="shared" ca="1" si="41"/>
        <v>0.47326545183268187</v>
      </c>
      <c r="E676" s="101">
        <f t="shared" ca="1" si="42"/>
        <v>0</v>
      </c>
      <c r="F676" s="21">
        <f t="shared" ca="1" si="43"/>
        <v>0</v>
      </c>
      <c r="H676" s="21">
        <v>661</v>
      </c>
      <c r="I676" s="102">
        <v>0.66783775972379278</v>
      </c>
      <c r="J676" s="103">
        <v>1.5725670490584829E-3</v>
      </c>
      <c r="K676" s="103"/>
      <c r="L676" s="103">
        <v>4.4999999999999998E-2</v>
      </c>
      <c r="O676" s="100"/>
    </row>
    <row r="677" spans="2:15" x14ac:dyDescent="0.2">
      <c r="B677" s="1">
        <v>662</v>
      </c>
      <c r="C677" s="101">
        <f t="shared" ca="1" si="40"/>
        <v>-0.79176426687343204</v>
      </c>
      <c r="D677" s="101">
        <f t="shared" ca="1" si="41"/>
        <v>0.61457898681981704</v>
      </c>
      <c r="E677" s="101">
        <f t="shared" ca="1" si="42"/>
        <v>0</v>
      </c>
      <c r="F677" s="21">
        <f t="shared" ca="1" si="43"/>
        <v>0</v>
      </c>
      <c r="H677" s="21">
        <v>662</v>
      </c>
      <c r="I677" s="102">
        <v>0.66765817171742714</v>
      </c>
      <c r="J677" s="103">
        <v>1.226111758923165E-3</v>
      </c>
      <c r="K677" s="103"/>
      <c r="L677" s="103">
        <v>4.1000000000000002E-2</v>
      </c>
      <c r="O677" s="100"/>
    </row>
    <row r="678" spans="2:15" x14ac:dyDescent="0.2">
      <c r="B678" s="1">
        <v>663</v>
      </c>
      <c r="C678" s="101">
        <f t="shared" ca="1" si="40"/>
        <v>-1.9052910638175682</v>
      </c>
      <c r="D678" s="101">
        <f t="shared" ca="1" si="41"/>
        <v>0.55064906442667427</v>
      </c>
      <c r="E678" s="101">
        <f t="shared" ca="1" si="42"/>
        <v>0</v>
      </c>
      <c r="F678" s="21">
        <f t="shared" ca="1" si="43"/>
        <v>0</v>
      </c>
      <c r="H678" s="21">
        <v>663</v>
      </c>
      <c r="I678" s="102">
        <v>0.66771600453862812</v>
      </c>
      <c r="J678" s="103">
        <v>1.2699757659263933E-3</v>
      </c>
      <c r="K678" s="103"/>
      <c r="L678" s="103">
        <v>4.2799999999999998E-2</v>
      </c>
      <c r="O678" s="100"/>
    </row>
    <row r="679" spans="2:15" x14ac:dyDescent="0.2">
      <c r="B679" s="1">
        <v>664</v>
      </c>
      <c r="C679" s="101">
        <f t="shared" ca="1" si="40"/>
        <v>-0.67247829598376863</v>
      </c>
      <c r="D679" s="101">
        <f t="shared" ca="1" si="41"/>
        <v>0.62185315858064494</v>
      </c>
      <c r="E679" s="101">
        <f t="shared" ca="1" si="42"/>
        <v>0</v>
      </c>
      <c r="F679" s="21">
        <f t="shared" ca="1" si="43"/>
        <v>0</v>
      </c>
      <c r="H679" s="21">
        <v>664</v>
      </c>
      <c r="I679" s="102">
        <v>0.6678787514656207</v>
      </c>
      <c r="J679" s="103">
        <v>1.6817244212438646E-3</v>
      </c>
      <c r="K679" s="103"/>
      <c r="L679" s="103">
        <v>4.6199999999999998E-2</v>
      </c>
      <c r="O679" s="100"/>
    </row>
    <row r="680" spans="2:15" x14ac:dyDescent="0.2">
      <c r="B680" s="1">
        <v>665</v>
      </c>
      <c r="C680" s="101">
        <f t="shared" ca="1" si="40"/>
        <v>0.45621529743031108</v>
      </c>
      <c r="D680" s="101">
        <f t="shared" ca="1" si="41"/>
        <v>0.69508894643215102</v>
      </c>
      <c r="E680" s="101">
        <f t="shared" ca="1" si="42"/>
        <v>0</v>
      </c>
      <c r="F680" s="21">
        <f t="shared" ca="1" si="43"/>
        <v>0</v>
      </c>
      <c r="H680" s="21">
        <v>665</v>
      </c>
      <c r="I680" s="102">
        <v>0.66770692675202603</v>
      </c>
      <c r="J680" s="103">
        <v>1.3262430851817401E-3</v>
      </c>
      <c r="K680" s="103"/>
      <c r="L680" s="103">
        <v>4.2000000000000003E-2</v>
      </c>
      <c r="O680" s="100"/>
    </row>
    <row r="681" spans="2:15" x14ac:dyDescent="0.2">
      <c r="B681" s="1">
        <v>666</v>
      </c>
      <c r="C681" s="101">
        <f t="shared" ca="1" si="40"/>
        <v>-0.16552304686835895</v>
      </c>
      <c r="D681" s="101">
        <f t="shared" ca="1" si="41"/>
        <v>0.65374065661519021</v>
      </c>
      <c r="E681" s="101">
        <f t="shared" ca="1" si="42"/>
        <v>0</v>
      </c>
      <c r="F681" s="21">
        <f t="shared" ca="1" si="43"/>
        <v>0</v>
      </c>
      <c r="H681" s="21">
        <v>666</v>
      </c>
      <c r="I681" s="102">
        <v>0.6677780417355188</v>
      </c>
      <c r="J681" s="103">
        <v>1.4388625483264424E-3</v>
      </c>
      <c r="K681" s="103"/>
      <c r="L681" s="103">
        <v>4.1799999999999997E-2</v>
      </c>
      <c r="O681" s="100"/>
    </row>
    <row r="682" spans="2:15" x14ac:dyDescent="0.2">
      <c r="B682" s="1">
        <v>667</v>
      </c>
      <c r="C682" s="101">
        <f t="shared" ca="1" si="40"/>
        <v>-1.3930941339136003</v>
      </c>
      <c r="D682" s="101">
        <f t="shared" ca="1" si="41"/>
        <v>0.57918473406614868</v>
      </c>
      <c r="E682" s="101">
        <f t="shared" ca="1" si="42"/>
        <v>0</v>
      </c>
      <c r="F682" s="21">
        <f t="shared" ca="1" si="43"/>
        <v>0</v>
      </c>
      <c r="H682" s="21">
        <v>667</v>
      </c>
      <c r="I682" s="102">
        <v>0.66778265499557576</v>
      </c>
      <c r="J682" s="103">
        <v>1.5259056285673804E-3</v>
      </c>
      <c r="K682" s="103"/>
      <c r="L682" s="103">
        <v>4.4999999999999998E-2</v>
      </c>
      <c r="O682" s="100"/>
    </row>
    <row r="683" spans="2:15" x14ac:dyDescent="0.2">
      <c r="B683" s="1">
        <v>668</v>
      </c>
      <c r="C683" s="101">
        <f t="shared" ca="1" si="40"/>
        <v>-0.10273702717336171</v>
      </c>
      <c r="D683" s="101">
        <f t="shared" ca="1" si="41"/>
        <v>0.6578020298160141</v>
      </c>
      <c r="E683" s="101">
        <f t="shared" ca="1" si="42"/>
        <v>0</v>
      </c>
      <c r="F683" s="21">
        <f t="shared" ca="1" si="43"/>
        <v>0</v>
      </c>
      <c r="H683" s="21">
        <v>668</v>
      </c>
      <c r="I683" s="102">
        <v>0.66766856405483377</v>
      </c>
      <c r="J683" s="103">
        <v>1.2835795372084927E-3</v>
      </c>
      <c r="K683" s="103"/>
      <c r="L683" s="103">
        <v>4.1399999999999999E-2</v>
      </c>
      <c r="O683" s="100"/>
    </row>
    <row r="684" spans="2:15" x14ac:dyDescent="0.2">
      <c r="B684" s="1">
        <v>669</v>
      </c>
      <c r="C684" s="101">
        <f t="shared" ca="1" si="40"/>
        <v>-0.2895259269434306</v>
      </c>
      <c r="D684" s="101">
        <f t="shared" ca="1" si="41"/>
        <v>0.64579293271279514</v>
      </c>
      <c r="E684" s="101">
        <f t="shared" ca="1" si="42"/>
        <v>0</v>
      </c>
      <c r="F684" s="21">
        <f t="shared" ca="1" si="43"/>
        <v>0</v>
      </c>
      <c r="H684" s="21">
        <v>669</v>
      </c>
      <c r="I684" s="102">
        <v>0.66772028866968713</v>
      </c>
      <c r="J684" s="103">
        <v>1.3080127324964356E-3</v>
      </c>
      <c r="K684" s="103"/>
      <c r="L684" s="103">
        <v>4.02E-2</v>
      </c>
      <c r="O684" s="100"/>
    </row>
    <row r="685" spans="2:15" x14ac:dyDescent="0.2">
      <c r="B685" s="1">
        <v>670</v>
      </c>
      <c r="C685" s="101">
        <f t="shared" ca="1" si="40"/>
        <v>0.40739409280372119</v>
      </c>
      <c r="D685" s="101">
        <f t="shared" ca="1" si="41"/>
        <v>0.69174959244661383</v>
      </c>
      <c r="E685" s="101">
        <f t="shared" ca="1" si="42"/>
        <v>0</v>
      </c>
      <c r="F685" s="21">
        <f t="shared" ca="1" si="43"/>
        <v>0</v>
      </c>
      <c r="H685" s="21">
        <v>670</v>
      </c>
      <c r="I685" s="102">
        <v>0.66771002711453586</v>
      </c>
      <c r="J685" s="103">
        <v>1.2638544230118519E-3</v>
      </c>
      <c r="K685" s="103"/>
      <c r="L685" s="103">
        <v>4.2599999999999999E-2</v>
      </c>
      <c r="O685" s="100"/>
    </row>
    <row r="686" spans="2:15" x14ac:dyDescent="0.2">
      <c r="B686" s="1">
        <v>671</v>
      </c>
      <c r="C686" s="101">
        <f t="shared" ca="1" si="40"/>
        <v>-0.81799976515423845</v>
      </c>
      <c r="D686" s="101">
        <f t="shared" ca="1" si="41"/>
        <v>0.61299057141718016</v>
      </c>
      <c r="E686" s="101">
        <f t="shared" ca="1" si="42"/>
        <v>0</v>
      </c>
      <c r="F686" s="21">
        <f t="shared" ca="1" si="43"/>
        <v>0</v>
      </c>
      <c r="H686" s="21">
        <v>671</v>
      </c>
      <c r="I686" s="102">
        <v>0.66774052824461116</v>
      </c>
      <c r="J686" s="103">
        <v>1.4308863815112704E-3</v>
      </c>
      <c r="K686" s="103"/>
      <c r="L686" s="103">
        <v>3.8800000000000001E-2</v>
      </c>
      <c r="O686" s="100"/>
    </row>
    <row r="687" spans="2:15" x14ac:dyDescent="0.2">
      <c r="B687" s="1">
        <v>672</v>
      </c>
      <c r="C687" s="101">
        <f t="shared" ca="1" si="40"/>
        <v>0.87264107903412025</v>
      </c>
      <c r="D687" s="101">
        <f t="shared" ca="1" si="41"/>
        <v>0.72423549514514296</v>
      </c>
      <c r="E687" s="101">
        <f t="shared" ca="1" si="42"/>
        <v>0</v>
      </c>
      <c r="F687" s="21">
        <f t="shared" ca="1" si="43"/>
        <v>0</v>
      </c>
      <c r="H687" s="21">
        <v>672</v>
      </c>
      <c r="I687" s="102">
        <v>0.66774139692646728</v>
      </c>
      <c r="J687" s="103">
        <v>1.4136153449825202E-3</v>
      </c>
      <c r="K687" s="103"/>
      <c r="L687" s="103">
        <v>3.9199999999999999E-2</v>
      </c>
      <c r="O687" s="100"/>
    </row>
    <row r="688" spans="2:15" x14ac:dyDescent="0.2">
      <c r="B688" s="1">
        <v>673</v>
      </c>
      <c r="C688" s="101">
        <f t="shared" ca="1" si="40"/>
        <v>0.27013077773854194</v>
      </c>
      <c r="D688" s="101">
        <f t="shared" ca="1" si="41"/>
        <v>0.68244653986766113</v>
      </c>
      <c r="E688" s="101">
        <f t="shared" ca="1" si="42"/>
        <v>0</v>
      </c>
      <c r="F688" s="21">
        <f t="shared" ca="1" si="43"/>
        <v>0</v>
      </c>
      <c r="H688" s="21">
        <v>673</v>
      </c>
      <c r="I688" s="102">
        <v>0.66760121985964171</v>
      </c>
      <c r="J688" s="103">
        <v>1.3109767980876556E-3</v>
      </c>
      <c r="K688" s="103"/>
      <c r="L688" s="103">
        <v>3.6200000000000003E-2</v>
      </c>
      <c r="O688" s="100"/>
    </row>
    <row r="689" spans="2:15" x14ac:dyDescent="0.2">
      <c r="B689" s="1">
        <v>674</v>
      </c>
      <c r="C689" s="101">
        <f t="shared" ca="1" si="40"/>
        <v>0.45147298778012002</v>
      </c>
      <c r="D689" s="101">
        <f t="shared" ca="1" si="41"/>
        <v>0.6947638684045776</v>
      </c>
      <c r="E689" s="101">
        <f t="shared" ca="1" si="42"/>
        <v>0</v>
      </c>
      <c r="F689" s="21">
        <f t="shared" ca="1" si="43"/>
        <v>0</v>
      </c>
      <c r="H689" s="21">
        <v>674</v>
      </c>
      <c r="I689" s="102">
        <v>0.66791166751017383</v>
      </c>
      <c r="J689" s="103">
        <v>1.5796746381050739E-3</v>
      </c>
      <c r="K689" s="103"/>
      <c r="L689" s="103">
        <v>4.58E-2</v>
      </c>
      <c r="O689" s="100"/>
    </row>
    <row r="690" spans="2:15" x14ac:dyDescent="0.2">
      <c r="B690" s="1">
        <v>675</v>
      </c>
      <c r="C690" s="101">
        <f t="shared" ca="1" si="40"/>
        <v>0.82091833549150639</v>
      </c>
      <c r="D690" s="101">
        <f t="shared" ca="1" si="41"/>
        <v>0.72054985571337804</v>
      </c>
      <c r="E690" s="101">
        <f t="shared" ca="1" si="42"/>
        <v>0</v>
      </c>
      <c r="F690" s="21">
        <f t="shared" ca="1" si="43"/>
        <v>0</v>
      </c>
      <c r="H690" s="21">
        <v>675</v>
      </c>
      <c r="I690" s="102">
        <v>0.66764893217520771</v>
      </c>
      <c r="J690" s="103">
        <v>1.2956156792131982E-3</v>
      </c>
      <c r="K690" s="103"/>
      <c r="L690" s="103">
        <v>0.04</v>
      </c>
      <c r="O690" s="100"/>
    </row>
    <row r="691" spans="2:15" x14ac:dyDescent="0.2">
      <c r="B691" s="1">
        <v>676</v>
      </c>
      <c r="C691" s="101">
        <f t="shared" ca="1" si="40"/>
        <v>-1.2469160073350751</v>
      </c>
      <c r="D691" s="101">
        <f t="shared" ca="1" si="41"/>
        <v>0.58759661760678017</v>
      </c>
      <c r="E691" s="101">
        <f t="shared" ca="1" si="42"/>
        <v>0</v>
      </c>
      <c r="F691" s="21">
        <f t="shared" ca="1" si="43"/>
        <v>0</v>
      </c>
      <c r="H691" s="21">
        <v>676</v>
      </c>
      <c r="I691" s="102">
        <v>0.66767026281914976</v>
      </c>
      <c r="J691" s="103">
        <v>1.2468421989301791E-3</v>
      </c>
      <c r="K691" s="103"/>
      <c r="L691" s="103">
        <v>3.9E-2</v>
      </c>
      <c r="O691" s="100"/>
    </row>
    <row r="692" spans="2:15" x14ac:dyDescent="0.2">
      <c r="B692" s="1">
        <v>677</v>
      </c>
      <c r="C692" s="101">
        <f t="shared" ca="1" si="40"/>
        <v>-0.25968974613015589</v>
      </c>
      <c r="D692" s="101">
        <f t="shared" ca="1" si="41"/>
        <v>0.64769635284104177</v>
      </c>
      <c r="E692" s="101">
        <f t="shared" ca="1" si="42"/>
        <v>0</v>
      </c>
      <c r="F692" s="21">
        <f t="shared" ca="1" si="43"/>
        <v>0</v>
      </c>
      <c r="H692" s="21">
        <v>677</v>
      </c>
      <c r="I692" s="102">
        <v>0.66774195109251855</v>
      </c>
      <c r="J692" s="103">
        <v>1.4304530315750576E-3</v>
      </c>
      <c r="K692" s="103"/>
      <c r="L692" s="103">
        <v>4.4200000000000003E-2</v>
      </c>
      <c r="O692" s="100"/>
    </row>
    <row r="693" spans="2:15" x14ac:dyDescent="0.2">
      <c r="B693" s="1">
        <v>678</v>
      </c>
      <c r="C693" s="101">
        <f t="shared" ca="1" si="40"/>
        <v>-1.3984977520395814</v>
      </c>
      <c r="D693" s="101">
        <f t="shared" ca="1" si="41"/>
        <v>0.57887609924841232</v>
      </c>
      <c r="E693" s="101">
        <f t="shared" ca="1" si="42"/>
        <v>0</v>
      </c>
      <c r="F693" s="21">
        <f t="shared" ca="1" si="43"/>
        <v>0</v>
      </c>
      <c r="H693" s="21">
        <v>678</v>
      </c>
      <c r="I693" s="102">
        <v>0.66773918508288421</v>
      </c>
      <c r="J693" s="103">
        <v>1.4100375176125037E-3</v>
      </c>
      <c r="K693" s="103"/>
      <c r="L693" s="103">
        <v>3.9800000000000002E-2</v>
      </c>
      <c r="O693" s="100"/>
    </row>
    <row r="694" spans="2:15" x14ac:dyDescent="0.2">
      <c r="B694" s="1">
        <v>679</v>
      </c>
      <c r="C694" s="101">
        <f t="shared" ca="1" si="40"/>
        <v>-1.0315061753040354E-2</v>
      </c>
      <c r="D694" s="101">
        <f t="shared" ca="1" si="41"/>
        <v>0.66382638353941092</v>
      </c>
      <c r="E694" s="101">
        <f t="shared" ca="1" si="42"/>
        <v>0</v>
      </c>
      <c r="F694" s="21">
        <f t="shared" ca="1" si="43"/>
        <v>0</v>
      </c>
      <c r="H694" s="21">
        <v>679</v>
      </c>
      <c r="I694" s="102">
        <v>0.66764399745403158</v>
      </c>
      <c r="J694" s="103">
        <v>1.3249992967813721E-3</v>
      </c>
      <c r="K694" s="103"/>
      <c r="L694" s="103">
        <v>3.8399999999999997E-2</v>
      </c>
      <c r="O694" s="100"/>
    </row>
    <row r="695" spans="2:15" x14ac:dyDescent="0.2">
      <c r="B695" s="1">
        <v>680</v>
      </c>
      <c r="C695" s="101">
        <f t="shared" ca="1" si="40"/>
        <v>3.4340762264679359E-2</v>
      </c>
      <c r="D695" s="101">
        <f t="shared" ca="1" si="41"/>
        <v>0.66675692845929913</v>
      </c>
      <c r="E695" s="101">
        <f t="shared" ca="1" si="42"/>
        <v>0</v>
      </c>
      <c r="F695" s="21">
        <f t="shared" ca="1" si="43"/>
        <v>0</v>
      </c>
      <c r="H695" s="21">
        <v>680</v>
      </c>
      <c r="I695" s="102">
        <v>0.66776416448438813</v>
      </c>
      <c r="J695" s="103">
        <v>1.4680973709149418E-3</v>
      </c>
      <c r="K695" s="103"/>
      <c r="L695" s="103">
        <v>4.1000000000000002E-2</v>
      </c>
      <c r="O695" s="100"/>
    </row>
    <row r="696" spans="2:15" x14ac:dyDescent="0.2">
      <c r="B696" s="1">
        <v>681</v>
      </c>
      <c r="C696" s="101">
        <f t="shared" ca="1" si="40"/>
        <v>9.9002881129323572E-4</v>
      </c>
      <c r="D696" s="101">
        <f t="shared" ca="1" si="41"/>
        <v>0.66456706185425607</v>
      </c>
      <c r="E696" s="101">
        <f t="shared" ca="1" si="42"/>
        <v>0</v>
      </c>
      <c r="F696" s="21">
        <f t="shared" ca="1" si="43"/>
        <v>0</v>
      </c>
      <c r="H696" s="21">
        <v>681</v>
      </c>
      <c r="I696" s="102">
        <v>0.66765244200495166</v>
      </c>
      <c r="J696" s="103">
        <v>1.1673184240596941E-3</v>
      </c>
      <c r="K696" s="103"/>
      <c r="L696" s="103">
        <v>4.2000000000000003E-2</v>
      </c>
      <c r="O696" s="100"/>
    </row>
    <row r="697" spans="2:15" x14ac:dyDescent="0.2">
      <c r="B697" s="1">
        <v>682</v>
      </c>
      <c r="C697" s="101">
        <f t="shared" ca="1" si="40"/>
        <v>-0.77578589751260796</v>
      </c>
      <c r="D697" s="101">
        <f t="shared" ca="1" si="41"/>
        <v>0.61554840544782397</v>
      </c>
      <c r="E697" s="101">
        <f t="shared" ca="1" si="42"/>
        <v>0</v>
      </c>
      <c r="F697" s="21">
        <f t="shared" ca="1" si="43"/>
        <v>0</v>
      </c>
      <c r="H697" s="21">
        <v>682</v>
      </c>
      <c r="I697" s="102">
        <v>0.66773108812042758</v>
      </c>
      <c r="J697" s="103">
        <v>1.2888446273255116E-3</v>
      </c>
      <c r="K697" s="103"/>
      <c r="L697" s="103">
        <v>4.02E-2</v>
      </c>
      <c r="O697" s="100"/>
    </row>
    <row r="698" spans="2:15" x14ac:dyDescent="0.2">
      <c r="B698" s="1">
        <v>683</v>
      </c>
      <c r="C698" s="101">
        <f t="shared" ca="1" si="40"/>
        <v>6.5853777619615889E-2</v>
      </c>
      <c r="D698" s="101">
        <f t="shared" ca="1" si="41"/>
        <v>0.66883275744988813</v>
      </c>
      <c r="E698" s="101">
        <f t="shared" ca="1" si="42"/>
        <v>0</v>
      </c>
      <c r="F698" s="21">
        <f t="shared" ca="1" si="43"/>
        <v>0</v>
      </c>
      <c r="H698" s="21">
        <v>683</v>
      </c>
      <c r="I698" s="102">
        <v>0.66771355929836596</v>
      </c>
      <c r="J698" s="103">
        <v>1.3975176425467552E-3</v>
      </c>
      <c r="K698" s="103"/>
      <c r="L698" s="103">
        <v>4.3999999999999997E-2</v>
      </c>
      <c r="O698" s="100"/>
    </row>
    <row r="699" spans="2:15" x14ac:dyDescent="0.2">
      <c r="B699" s="1">
        <v>684</v>
      </c>
      <c r="C699" s="101">
        <f t="shared" ca="1" si="40"/>
        <v>-1.0796802189080621</v>
      </c>
      <c r="D699" s="101">
        <f t="shared" ca="1" si="41"/>
        <v>0.59737021563416426</v>
      </c>
      <c r="E699" s="101">
        <f t="shared" ca="1" si="42"/>
        <v>0</v>
      </c>
      <c r="F699" s="21">
        <f t="shared" ca="1" si="43"/>
        <v>0</v>
      </c>
      <c r="H699" s="21">
        <v>684</v>
      </c>
      <c r="I699" s="102">
        <v>0.66771904884989619</v>
      </c>
      <c r="J699" s="103">
        <v>1.3301041448899021E-3</v>
      </c>
      <c r="K699" s="103"/>
      <c r="L699" s="103">
        <v>4.02E-2</v>
      </c>
      <c r="O699" s="100"/>
    </row>
    <row r="700" spans="2:15" x14ac:dyDescent="0.2">
      <c r="B700" s="1">
        <v>685</v>
      </c>
      <c r="C700" s="101">
        <f t="shared" ca="1" si="40"/>
        <v>-1.0261652146783935</v>
      </c>
      <c r="D700" s="101">
        <f t="shared" ca="1" si="41"/>
        <v>0.60053194584604641</v>
      </c>
      <c r="E700" s="101">
        <f t="shared" ca="1" si="42"/>
        <v>0</v>
      </c>
      <c r="F700" s="21">
        <f t="shared" ca="1" si="43"/>
        <v>0</v>
      </c>
      <c r="H700" s="21">
        <v>685</v>
      </c>
      <c r="I700" s="102">
        <v>0.66773863845090431</v>
      </c>
      <c r="J700" s="103">
        <v>1.3342337208907451E-3</v>
      </c>
      <c r="K700" s="103"/>
      <c r="L700" s="103">
        <v>4.3400000000000001E-2</v>
      </c>
      <c r="O700" s="100"/>
    </row>
    <row r="701" spans="2:15" x14ac:dyDescent="0.2">
      <c r="B701" s="1">
        <v>686</v>
      </c>
      <c r="C701" s="101">
        <f t="shared" ca="1" si="40"/>
        <v>-0.39582725858156803</v>
      </c>
      <c r="D701" s="101">
        <f t="shared" ca="1" si="41"/>
        <v>0.63905671769179817</v>
      </c>
      <c r="E701" s="101">
        <f t="shared" ca="1" si="42"/>
        <v>0</v>
      </c>
      <c r="F701" s="21">
        <f t="shared" ca="1" si="43"/>
        <v>0</v>
      </c>
      <c r="H701" s="21">
        <v>686</v>
      </c>
      <c r="I701" s="102">
        <v>0.66783162420897368</v>
      </c>
      <c r="J701" s="103">
        <v>1.4077855261346525E-3</v>
      </c>
      <c r="K701" s="103"/>
      <c r="L701" s="103">
        <v>4.2999999999999997E-2</v>
      </c>
      <c r="O701" s="100"/>
    </row>
    <row r="702" spans="2:15" x14ac:dyDescent="0.2">
      <c r="B702" s="1">
        <v>687</v>
      </c>
      <c r="C702" s="101">
        <f t="shared" ca="1" si="40"/>
        <v>-0.78382924249733743</v>
      </c>
      <c r="D702" s="101">
        <f t="shared" ca="1" si="41"/>
        <v>0.61506021920921439</v>
      </c>
      <c r="E702" s="101">
        <f t="shared" ca="1" si="42"/>
        <v>0</v>
      </c>
      <c r="F702" s="21">
        <f t="shared" ca="1" si="43"/>
        <v>0</v>
      </c>
      <c r="H702" s="21">
        <v>687</v>
      </c>
      <c r="I702" s="102">
        <v>0.66761772027154409</v>
      </c>
      <c r="J702" s="103">
        <v>1.3520962505538087E-3</v>
      </c>
      <c r="K702" s="103"/>
      <c r="L702" s="103">
        <v>3.8199999999999998E-2</v>
      </c>
      <c r="O702" s="100"/>
    </row>
    <row r="703" spans="2:15" x14ac:dyDescent="0.2">
      <c r="B703" s="1">
        <v>688</v>
      </c>
      <c r="C703" s="101">
        <f t="shared" ca="1" si="40"/>
        <v>0.49287525912324398</v>
      </c>
      <c r="D703" s="101">
        <f t="shared" ca="1" si="41"/>
        <v>0.69760706845599629</v>
      </c>
      <c r="E703" s="101">
        <f t="shared" ca="1" si="42"/>
        <v>0</v>
      </c>
      <c r="F703" s="21">
        <f t="shared" ca="1" si="43"/>
        <v>0</v>
      </c>
      <c r="H703" s="21">
        <v>688</v>
      </c>
      <c r="I703" s="102">
        <v>0.66779340770587825</v>
      </c>
      <c r="J703" s="103">
        <v>1.3996391731107781E-3</v>
      </c>
      <c r="K703" s="103"/>
      <c r="L703" s="103">
        <v>4.4400000000000002E-2</v>
      </c>
      <c r="O703" s="100"/>
    </row>
    <row r="704" spans="2:15" x14ac:dyDescent="0.2">
      <c r="B704" s="1">
        <v>689</v>
      </c>
      <c r="C704" s="101">
        <f t="shared" ca="1" si="40"/>
        <v>0.17376340893463743</v>
      </c>
      <c r="D704" s="101">
        <f t="shared" ca="1" si="41"/>
        <v>0.67599007170454706</v>
      </c>
      <c r="E704" s="101">
        <f t="shared" ca="1" si="42"/>
        <v>0</v>
      </c>
      <c r="F704" s="21">
        <f t="shared" ca="1" si="43"/>
        <v>0</v>
      </c>
      <c r="H704" s="21">
        <v>689</v>
      </c>
      <c r="I704" s="102">
        <v>0.66770714681063836</v>
      </c>
      <c r="J704" s="103">
        <v>1.1372953159058314E-3</v>
      </c>
      <c r="K704" s="103"/>
      <c r="L704" s="103">
        <v>3.8600000000000002E-2</v>
      </c>
      <c r="O704" s="100"/>
    </row>
    <row r="705" spans="2:15" x14ac:dyDescent="0.2">
      <c r="B705" s="1">
        <v>690</v>
      </c>
      <c r="C705" s="101">
        <f t="shared" ca="1" si="40"/>
        <v>1.3359988476376523</v>
      </c>
      <c r="D705" s="101">
        <f t="shared" ca="1" si="41"/>
        <v>0.75810570894768259</v>
      </c>
      <c r="E705" s="101">
        <f t="shared" ca="1" si="42"/>
        <v>0</v>
      </c>
      <c r="F705" s="21">
        <f t="shared" ca="1" si="43"/>
        <v>0</v>
      </c>
      <c r="H705" s="21">
        <v>690</v>
      </c>
      <c r="I705" s="102">
        <v>0.66759582722541733</v>
      </c>
      <c r="J705" s="103">
        <v>1.2177199546399193E-3</v>
      </c>
      <c r="K705" s="103"/>
      <c r="L705" s="103">
        <v>3.8399999999999997E-2</v>
      </c>
      <c r="O705" s="100"/>
    </row>
    <row r="706" spans="2:15" x14ac:dyDescent="0.2">
      <c r="B706" s="1">
        <v>691</v>
      </c>
      <c r="C706" s="101">
        <f t="shared" ca="1" si="40"/>
        <v>-0.46818587717395999</v>
      </c>
      <c r="D706" s="101">
        <f t="shared" ca="1" si="41"/>
        <v>0.63451165796381848</v>
      </c>
      <c r="E706" s="101">
        <f t="shared" ca="1" si="42"/>
        <v>0</v>
      </c>
      <c r="F706" s="21">
        <f t="shared" ca="1" si="43"/>
        <v>0</v>
      </c>
      <c r="H706" s="21">
        <v>691</v>
      </c>
      <c r="I706" s="102">
        <v>0.66773947122004929</v>
      </c>
      <c r="J706" s="103">
        <v>1.3432571899066074E-3</v>
      </c>
      <c r="K706" s="103"/>
      <c r="L706" s="103">
        <v>4.24E-2</v>
      </c>
      <c r="O706" s="100"/>
    </row>
    <row r="707" spans="2:15" x14ac:dyDescent="0.2">
      <c r="B707" s="1">
        <v>692</v>
      </c>
      <c r="C707" s="101">
        <f t="shared" ca="1" si="40"/>
        <v>0.56866957033655841</v>
      </c>
      <c r="D707" s="101">
        <f t="shared" ca="1" si="41"/>
        <v>0.70284223962555203</v>
      </c>
      <c r="E707" s="101">
        <f t="shared" ca="1" si="42"/>
        <v>0</v>
      </c>
      <c r="F707" s="21">
        <f t="shared" ca="1" si="43"/>
        <v>0</v>
      </c>
      <c r="H707" s="21">
        <v>692</v>
      </c>
      <c r="I707" s="102">
        <v>0.66775010986091254</v>
      </c>
      <c r="J707" s="103">
        <v>1.3412005323591083E-3</v>
      </c>
      <c r="K707" s="103"/>
      <c r="L707" s="103">
        <v>4.3200000000000002E-2</v>
      </c>
      <c r="O707" s="100"/>
    </row>
    <row r="708" spans="2:15" x14ac:dyDescent="0.2">
      <c r="B708" s="1">
        <v>693</v>
      </c>
      <c r="C708" s="101">
        <f t="shared" ca="1" si="40"/>
        <v>-0.43160961733275205</v>
      </c>
      <c r="D708" s="101">
        <f t="shared" ca="1" si="41"/>
        <v>0.63680506683603244</v>
      </c>
      <c r="E708" s="101">
        <f t="shared" ca="1" si="42"/>
        <v>0</v>
      </c>
      <c r="F708" s="21">
        <f t="shared" ca="1" si="43"/>
        <v>0</v>
      </c>
      <c r="H708" s="21">
        <v>693</v>
      </c>
      <c r="I708" s="102">
        <v>0.66763391932001737</v>
      </c>
      <c r="J708" s="103">
        <v>1.2546661710085541E-3</v>
      </c>
      <c r="K708" s="103"/>
      <c r="L708" s="103">
        <v>3.9600000000000003E-2</v>
      </c>
      <c r="O708" s="100"/>
    </row>
    <row r="709" spans="2:15" x14ac:dyDescent="0.2">
      <c r="B709" s="1">
        <v>694</v>
      </c>
      <c r="C709" s="101">
        <f t="shared" ca="1" si="40"/>
        <v>1.0031480520614653E-2</v>
      </c>
      <c r="D709" s="101">
        <f t="shared" ca="1" si="41"/>
        <v>0.6651600275368168</v>
      </c>
      <c r="E709" s="101">
        <f t="shared" ca="1" si="42"/>
        <v>0</v>
      </c>
      <c r="F709" s="21">
        <f t="shared" ca="1" si="43"/>
        <v>0</v>
      </c>
      <c r="H709" s="21">
        <v>694</v>
      </c>
      <c r="I709" s="102">
        <v>0.66766937087757594</v>
      </c>
      <c r="J709" s="103">
        <v>1.2897225913942958E-3</v>
      </c>
      <c r="K709" s="103"/>
      <c r="L709" s="103">
        <v>4.2200000000000001E-2</v>
      </c>
      <c r="O709" s="100"/>
    </row>
    <row r="710" spans="2:15" x14ac:dyDescent="0.2">
      <c r="B710" s="1">
        <v>695</v>
      </c>
      <c r="C710" s="101">
        <f t="shared" ca="1" si="40"/>
        <v>0.68213308267490536</v>
      </c>
      <c r="D710" s="101">
        <f t="shared" ca="1" si="41"/>
        <v>0.71075276992145586</v>
      </c>
      <c r="E710" s="101">
        <f t="shared" ca="1" si="42"/>
        <v>0</v>
      </c>
      <c r="F710" s="21">
        <f t="shared" ca="1" si="43"/>
        <v>0</v>
      </c>
      <c r="H710" s="21">
        <v>695</v>
      </c>
      <c r="I710" s="102">
        <v>0.6677308086014051</v>
      </c>
      <c r="J710" s="103">
        <v>1.4468356911379416E-3</v>
      </c>
      <c r="K710" s="103"/>
      <c r="L710" s="103">
        <v>3.9600000000000003E-2</v>
      </c>
      <c r="O710" s="100"/>
    </row>
    <row r="711" spans="2:15" x14ac:dyDescent="0.2">
      <c r="B711" s="1">
        <v>696</v>
      </c>
      <c r="C711" s="101">
        <f t="shared" ca="1" si="40"/>
        <v>-0.86200539510126362</v>
      </c>
      <c r="D711" s="101">
        <f t="shared" ca="1" si="41"/>
        <v>0.6103354848132243</v>
      </c>
      <c r="E711" s="101">
        <f t="shared" ca="1" si="42"/>
        <v>0</v>
      </c>
      <c r="F711" s="21">
        <f t="shared" ca="1" si="43"/>
        <v>0</v>
      </c>
      <c r="H711" s="21">
        <v>696</v>
      </c>
      <c r="I711" s="102">
        <v>0.66778989756354346</v>
      </c>
      <c r="J711" s="103">
        <v>1.4998236480247675E-3</v>
      </c>
      <c r="K711" s="103"/>
      <c r="L711" s="103">
        <v>4.2200000000000001E-2</v>
      </c>
      <c r="O711" s="100"/>
    </row>
    <row r="712" spans="2:15" x14ac:dyDescent="0.2">
      <c r="B712" s="1">
        <v>697</v>
      </c>
      <c r="C712" s="101">
        <f t="shared" ca="1" si="40"/>
        <v>-1.1603122553536891</v>
      </c>
      <c r="D712" s="101">
        <f t="shared" ca="1" si="41"/>
        <v>0.59263778642967313</v>
      </c>
      <c r="E712" s="101">
        <f t="shared" ca="1" si="42"/>
        <v>0</v>
      </c>
      <c r="F712" s="21">
        <f t="shared" ca="1" si="43"/>
        <v>0</v>
      </c>
      <c r="H712" s="21">
        <v>697</v>
      </c>
      <c r="I712" s="102">
        <v>0.66778430642133968</v>
      </c>
      <c r="J712" s="103">
        <v>1.548938914437371E-3</v>
      </c>
      <c r="K712" s="103"/>
      <c r="L712" s="103">
        <v>4.2999999999999997E-2</v>
      </c>
      <c r="O712" s="100"/>
    </row>
    <row r="713" spans="2:15" x14ac:dyDescent="0.2">
      <c r="B713" s="1">
        <v>698</v>
      </c>
      <c r="C713" s="101">
        <f t="shared" ca="1" si="40"/>
        <v>-1.0826047633429905</v>
      </c>
      <c r="D713" s="101">
        <f t="shared" ca="1" si="41"/>
        <v>0.59719791056719562</v>
      </c>
      <c r="E713" s="101">
        <f t="shared" ca="1" si="42"/>
        <v>0</v>
      </c>
      <c r="F713" s="21">
        <f t="shared" ca="1" si="43"/>
        <v>0</v>
      </c>
      <c r="H713" s="21">
        <v>698</v>
      </c>
      <c r="I713" s="102">
        <v>0.66779346652815275</v>
      </c>
      <c r="J713" s="103">
        <v>1.4976612630268596E-3</v>
      </c>
      <c r="K713" s="103"/>
      <c r="L713" s="103">
        <v>4.58E-2</v>
      </c>
      <c r="O713" s="100"/>
    </row>
    <row r="714" spans="2:15" x14ac:dyDescent="0.2">
      <c r="B714" s="1">
        <v>699</v>
      </c>
      <c r="C714" s="101">
        <f t="shared" ca="1" si="40"/>
        <v>0.99708851547045085</v>
      </c>
      <c r="D714" s="101">
        <f t="shared" ca="1" si="41"/>
        <v>0.73318075608945776</v>
      </c>
      <c r="E714" s="101">
        <f t="shared" ca="1" si="42"/>
        <v>0</v>
      </c>
      <c r="F714" s="21">
        <f t="shared" ca="1" si="43"/>
        <v>0</v>
      </c>
      <c r="H714" s="21">
        <v>699</v>
      </c>
      <c r="I714" s="102">
        <v>0.66771414853175293</v>
      </c>
      <c r="J714" s="103">
        <v>1.4125604441960536E-3</v>
      </c>
      <c r="K714" s="103"/>
      <c r="L714" s="103">
        <v>4.3400000000000001E-2</v>
      </c>
      <c r="O714" s="100"/>
    </row>
    <row r="715" spans="2:15" x14ac:dyDescent="0.2">
      <c r="B715" s="1">
        <v>700</v>
      </c>
      <c r="C715" s="101">
        <f t="shared" ca="1" si="40"/>
        <v>-0.54451090967532234</v>
      </c>
      <c r="D715" s="101">
        <f t="shared" ca="1" si="41"/>
        <v>0.62975248299785769</v>
      </c>
      <c r="E715" s="101">
        <f t="shared" ca="1" si="42"/>
        <v>0</v>
      </c>
      <c r="F715" s="21">
        <f t="shared" ca="1" si="43"/>
        <v>0</v>
      </c>
      <c r="H715" s="21">
        <v>700</v>
      </c>
      <c r="I715" s="102">
        <v>0.66780716393803574</v>
      </c>
      <c r="J715" s="103">
        <v>1.5121480694566807E-3</v>
      </c>
      <c r="K715" s="103"/>
      <c r="L715" s="103">
        <v>4.4999999999999998E-2</v>
      </c>
      <c r="O715" s="100"/>
    </row>
    <row r="716" spans="2:15" x14ac:dyDescent="0.2">
      <c r="B716" s="1">
        <v>701</v>
      </c>
      <c r="C716" s="101">
        <f t="shared" ca="1" si="40"/>
        <v>1.7214879998192336</v>
      </c>
      <c r="D716" s="101">
        <f t="shared" ca="1" si="41"/>
        <v>0.78748789147227649</v>
      </c>
      <c r="E716" s="101">
        <f t="shared" ca="1" si="42"/>
        <v>0</v>
      </c>
      <c r="F716" s="21">
        <f t="shared" ca="1" si="43"/>
        <v>0</v>
      </c>
      <c r="H716" s="21">
        <v>701</v>
      </c>
      <c r="I716" s="102">
        <v>0.66771397895782625</v>
      </c>
      <c r="J716" s="103">
        <v>1.3078410755252862E-3</v>
      </c>
      <c r="K716" s="103"/>
      <c r="L716" s="103">
        <v>3.8800000000000001E-2</v>
      </c>
      <c r="O716" s="100"/>
    </row>
    <row r="717" spans="2:15" x14ac:dyDescent="0.2">
      <c r="B717" s="1">
        <v>702</v>
      </c>
      <c r="C717" s="101">
        <f t="shared" ca="1" si="40"/>
        <v>-0.25929834398982127</v>
      </c>
      <c r="D717" s="101">
        <f t="shared" ca="1" si="41"/>
        <v>0.64772135986050827</v>
      </c>
      <c r="E717" s="101">
        <f t="shared" ca="1" si="42"/>
        <v>0</v>
      </c>
      <c r="F717" s="21">
        <f t="shared" ca="1" si="43"/>
        <v>0</v>
      </c>
      <c r="H717" s="21">
        <v>702</v>
      </c>
      <c r="I717" s="102">
        <v>0.66779291102278171</v>
      </c>
      <c r="J717" s="103">
        <v>1.3957123651300628E-3</v>
      </c>
      <c r="K717" s="103"/>
      <c r="L717" s="103">
        <v>4.3400000000000001E-2</v>
      </c>
      <c r="O717" s="100"/>
    </row>
    <row r="718" spans="2:15" x14ac:dyDescent="0.2">
      <c r="B718" s="1">
        <v>703</v>
      </c>
      <c r="C718" s="101">
        <f t="shared" ca="1" si="40"/>
        <v>-0.99682599460401888</v>
      </c>
      <c r="D718" s="101">
        <f t="shared" ca="1" si="41"/>
        <v>0.60227243839781608</v>
      </c>
      <c r="E718" s="101">
        <f t="shared" ca="1" si="42"/>
        <v>0</v>
      </c>
      <c r="F718" s="21">
        <f t="shared" ca="1" si="43"/>
        <v>0</v>
      </c>
      <c r="H718" s="21">
        <v>703</v>
      </c>
      <c r="I718" s="102">
        <v>0.66778720569605499</v>
      </c>
      <c r="J718" s="103">
        <v>1.4567795271467315E-3</v>
      </c>
      <c r="K718" s="103"/>
      <c r="L718" s="103">
        <v>4.1200000000000001E-2</v>
      </c>
      <c r="O718" s="100"/>
    </row>
    <row r="719" spans="2:15" x14ac:dyDescent="0.2">
      <c r="B719" s="1">
        <v>704</v>
      </c>
      <c r="C719" s="101">
        <f t="shared" ca="1" si="40"/>
        <v>-1.0127254107939405</v>
      </c>
      <c r="D719" s="101">
        <f t="shared" ca="1" si="41"/>
        <v>0.60132861106210633</v>
      </c>
      <c r="E719" s="101">
        <f t="shared" ca="1" si="42"/>
        <v>0</v>
      </c>
      <c r="F719" s="21">
        <f t="shared" ca="1" si="43"/>
        <v>0</v>
      </c>
      <c r="H719" s="21">
        <v>704</v>
      </c>
      <c r="I719" s="102">
        <v>0.66770238835481199</v>
      </c>
      <c r="J719" s="103">
        <v>1.2058185866110668E-3</v>
      </c>
      <c r="K719" s="103"/>
      <c r="L719" s="103">
        <v>4.02E-2</v>
      </c>
      <c r="O719" s="100"/>
    </row>
    <row r="720" spans="2:15" x14ac:dyDescent="0.2">
      <c r="B720" s="1">
        <v>705</v>
      </c>
      <c r="C720" s="101">
        <f t="shared" ref="C720:C783" ca="1" si="44">_xlfn.NORM.S.INV(RAND())</f>
        <v>-0.77734340288461279</v>
      </c>
      <c r="D720" s="101">
        <f t="shared" ref="D720:D783" ca="1" si="45">S0*EXP((μ-0.5*σ*σ)*T+σ*SQRT(T)*$C720)</f>
        <v>0.61545384330527841</v>
      </c>
      <c r="E720" s="101">
        <f t="shared" ref="E720:E783" ca="1" si="46">MAX(0,CP*(D720-K))</f>
        <v>0</v>
      </c>
      <c r="F720" s="21">
        <f t="shared" ref="F720:F783" ca="1" si="47">(CP*(D720-K)&gt;0)*1</f>
        <v>0</v>
      </c>
      <c r="H720" s="21">
        <v>705</v>
      </c>
      <c r="I720" s="102">
        <v>0.66777037697880615</v>
      </c>
      <c r="J720" s="103">
        <v>1.4413313953734767E-3</v>
      </c>
      <c r="K720" s="103"/>
      <c r="L720" s="103">
        <v>4.02E-2</v>
      </c>
      <c r="O720" s="100"/>
    </row>
    <row r="721" spans="2:15" x14ac:dyDescent="0.2">
      <c r="B721" s="1">
        <v>706</v>
      </c>
      <c r="C721" s="101">
        <f t="shared" ca="1" si="44"/>
        <v>-1.8947055909440351</v>
      </c>
      <c r="D721" s="101">
        <f t="shared" ca="1" si="45"/>
        <v>0.55122433323557463</v>
      </c>
      <c r="E721" s="101">
        <f t="shared" ca="1" si="46"/>
        <v>0</v>
      </c>
      <c r="F721" s="21">
        <f t="shared" ca="1" si="47"/>
        <v>0</v>
      </c>
      <c r="H721" s="21">
        <v>706</v>
      </c>
      <c r="I721" s="102">
        <v>0.66792643416219588</v>
      </c>
      <c r="J721" s="103">
        <v>1.4429507039820067E-3</v>
      </c>
      <c r="K721" s="103"/>
      <c r="L721" s="103">
        <v>4.3400000000000001E-2</v>
      </c>
      <c r="O721" s="100"/>
    </row>
    <row r="722" spans="2:15" x14ac:dyDescent="0.2">
      <c r="B722" s="1">
        <v>707</v>
      </c>
      <c r="C722" s="101">
        <f t="shared" ca="1" si="44"/>
        <v>-0.36264701587637055</v>
      </c>
      <c r="D722" s="101">
        <f t="shared" ca="1" si="45"/>
        <v>0.64115174056061541</v>
      </c>
      <c r="E722" s="101">
        <f t="shared" ca="1" si="46"/>
        <v>0</v>
      </c>
      <c r="F722" s="21">
        <f t="shared" ca="1" si="47"/>
        <v>0</v>
      </c>
      <c r="H722" s="21">
        <v>707</v>
      </c>
      <c r="I722" s="102">
        <v>0.66783970043502505</v>
      </c>
      <c r="J722" s="103">
        <v>1.4013262494089868E-3</v>
      </c>
      <c r="K722" s="103"/>
      <c r="L722" s="103">
        <v>4.2799999999999998E-2</v>
      </c>
      <c r="O722" s="100"/>
    </row>
    <row r="723" spans="2:15" x14ac:dyDescent="0.2">
      <c r="B723" s="1">
        <v>708</v>
      </c>
      <c r="C723" s="101">
        <f t="shared" ca="1" si="44"/>
        <v>-1.4317206982647306</v>
      </c>
      <c r="D723" s="101">
        <f t="shared" ca="1" si="45"/>
        <v>0.57698213737702475</v>
      </c>
      <c r="E723" s="101">
        <f t="shared" ca="1" si="46"/>
        <v>0</v>
      </c>
      <c r="F723" s="21">
        <f t="shared" ca="1" si="47"/>
        <v>0</v>
      </c>
      <c r="H723" s="21">
        <v>708</v>
      </c>
      <c r="I723" s="102">
        <v>0.66774780339199047</v>
      </c>
      <c r="J723" s="103">
        <v>1.444471663717895E-3</v>
      </c>
      <c r="K723" s="103"/>
      <c r="L723" s="103">
        <v>4.48E-2</v>
      </c>
      <c r="O723" s="100"/>
    </row>
    <row r="724" spans="2:15" x14ac:dyDescent="0.2">
      <c r="B724" s="1">
        <v>709</v>
      </c>
      <c r="C724" s="101">
        <f t="shared" ca="1" si="44"/>
        <v>2.0106430578668402</v>
      </c>
      <c r="D724" s="101">
        <f t="shared" ca="1" si="45"/>
        <v>0.81027251791354304</v>
      </c>
      <c r="E724" s="101">
        <f t="shared" ca="1" si="46"/>
        <v>2.2072517913543033E-2</v>
      </c>
      <c r="F724" s="21">
        <f t="shared" ca="1" si="47"/>
        <v>1</v>
      </c>
      <c r="H724" s="21">
        <v>709</v>
      </c>
      <c r="I724" s="102">
        <v>0.66764314206854292</v>
      </c>
      <c r="J724" s="103">
        <v>1.1830786827318725E-3</v>
      </c>
      <c r="K724" s="103"/>
      <c r="L724" s="103">
        <v>4.2599999999999999E-2</v>
      </c>
      <c r="O724" s="100"/>
    </row>
    <row r="725" spans="2:15" x14ac:dyDescent="0.2">
      <c r="B725" s="1">
        <v>710</v>
      </c>
      <c r="C725" s="101">
        <f t="shared" ca="1" si="44"/>
        <v>-0.10555021229496687</v>
      </c>
      <c r="D725" s="101">
        <f t="shared" ca="1" si="45"/>
        <v>0.65761951750443348</v>
      </c>
      <c r="E725" s="101">
        <f t="shared" ca="1" si="46"/>
        <v>0</v>
      </c>
      <c r="F725" s="21">
        <f t="shared" ca="1" si="47"/>
        <v>0</v>
      </c>
      <c r="H725" s="21">
        <v>710</v>
      </c>
      <c r="I725" s="102">
        <v>0.66764387671291248</v>
      </c>
      <c r="J725" s="103">
        <v>1.3125294750182452E-3</v>
      </c>
      <c r="K725" s="103"/>
      <c r="L725" s="103">
        <v>0.04</v>
      </c>
      <c r="O725" s="100"/>
    </row>
    <row r="726" spans="2:15" x14ac:dyDescent="0.2">
      <c r="B726" s="1">
        <v>711</v>
      </c>
      <c r="C726" s="101">
        <f t="shared" ca="1" si="44"/>
        <v>-0.31169441778572304</v>
      </c>
      <c r="D726" s="101">
        <f t="shared" ca="1" si="45"/>
        <v>0.64438230126440454</v>
      </c>
      <c r="E726" s="101">
        <f t="shared" ca="1" si="46"/>
        <v>0</v>
      </c>
      <c r="F726" s="21">
        <f t="shared" ca="1" si="47"/>
        <v>0</v>
      </c>
      <c r="H726" s="21">
        <v>711</v>
      </c>
      <c r="I726" s="102">
        <v>0.66783728276573451</v>
      </c>
      <c r="J726" s="103">
        <v>1.5818572234094037E-3</v>
      </c>
      <c r="K726" s="103"/>
      <c r="L726" s="103">
        <v>4.4400000000000002E-2</v>
      </c>
      <c r="O726" s="100"/>
    </row>
    <row r="727" spans="2:15" x14ac:dyDescent="0.2">
      <c r="B727" s="1">
        <v>712</v>
      </c>
      <c r="C727" s="101">
        <f t="shared" ca="1" si="44"/>
        <v>1.0186436562539378</v>
      </c>
      <c r="D727" s="101">
        <f t="shared" ca="1" si="45"/>
        <v>0.734741323768901</v>
      </c>
      <c r="E727" s="101">
        <f t="shared" ca="1" si="46"/>
        <v>0</v>
      </c>
      <c r="F727" s="21">
        <f t="shared" ca="1" si="47"/>
        <v>0</v>
      </c>
      <c r="H727" s="21">
        <v>712</v>
      </c>
      <c r="I727" s="102">
        <v>0.66789323643267806</v>
      </c>
      <c r="J727" s="103">
        <v>1.5197323124357665E-3</v>
      </c>
      <c r="K727" s="103"/>
      <c r="L727" s="103">
        <v>4.2999999999999997E-2</v>
      </c>
      <c r="O727" s="100"/>
    </row>
    <row r="728" spans="2:15" x14ac:dyDescent="0.2">
      <c r="B728" s="1">
        <v>713</v>
      </c>
      <c r="C728" s="101">
        <f t="shared" ca="1" si="44"/>
        <v>0.6598421120297846</v>
      </c>
      <c r="D728" s="101">
        <f t="shared" ca="1" si="45"/>
        <v>0.70919167589008825</v>
      </c>
      <c r="E728" s="101">
        <f t="shared" ca="1" si="46"/>
        <v>0</v>
      </c>
      <c r="F728" s="21">
        <f t="shared" ca="1" si="47"/>
        <v>0</v>
      </c>
      <c r="H728" s="21">
        <v>713</v>
      </c>
      <c r="I728" s="102">
        <v>0.66780980205233764</v>
      </c>
      <c r="J728" s="103">
        <v>1.4659029137841805E-3</v>
      </c>
      <c r="K728" s="103"/>
      <c r="L728" s="103">
        <v>4.3999999999999997E-2</v>
      </c>
      <c r="O728" s="100"/>
    </row>
    <row r="729" spans="2:15" x14ac:dyDescent="0.2">
      <c r="B729" s="1">
        <v>714</v>
      </c>
      <c r="C729" s="101">
        <f t="shared" ca="1" si="44"/>
        <v>0.49944529994980102</v>
      </c>
      <c r="D729" s="101">
        <f t="shared" ca="1" si="45"/>
        <v>0.69805931845774749</v>
      </c>
      <c r="E729" s="101">
        <f t="shared" ca="1" si="46"/>
        <v>0</v>
      </c>
      <c r="F729" s="21">
        <f t="shared" ca="1" si="47"/>
        <v>0</v>
      </c>
      <c r="H729" s="21">
        <v>714</v>
      </c>
      <c r="I729" s="102">
        <v>0.6678899102525655</v>
      </c>
      <c r="J729" s="103">
        <v>1.4088124602162631E-3</v>
      </c>
      <c r="K729" s="103"/>
      <c r="L729" s="103">
        <v>4.3799999999999999E-2</v>
      </c>
      <c r="O729" s="100"/>
    </row>
    <row r="730" spans="2:15" x14ac:dyDescent="0.2">
      <c r="B730" s="1">
        <v>715</v>
      </c>
      <c r="C730" s="101">
        <f t="shared" ca="1" si="44"/>
        <v>0.28599568395803515</v>
      </c>
      <c r="D730" s="101">
        <f t="shared" ca="1" si="45"/>
        <v>0.68351536070430741</v>
      </c>
      <c r="E730" s="101">
        <f t="shared" ca="1" si="46"/>
        <v>0</v>
      </c>
      <c r="F730" s="21">
        <f t="shared" ca="1" si="47"/>
        <v>0</v>
      </c>
      <c r="H730" s="21">
        <v>715</v>
      </c>
      <c r="I730" s="102">
        <v>0.66771202110296213</v>
      </c>
      <c r="J730" s="103">
        <v>1.3682448133455615E-3</v>
      </c>
      <c r="K730" s="103"/>
      <c r="L730" s="103">
        <v>4.02E-2</v>
      </c>
      <c r="O730" s="100"/>
    </row>
    <row r="731" spans="2:15" x14ac:dyDescent="0.2">
      <c r="B731" s="1">
        <v>716</v>
      </c>
      <c r="C731" s="101">
        <f t="shared" ca="1" si="44"/>
        <v>2.7925975618483947</v>
      </c>
      <c r="D731" s="101">
        <f t="shared" ca="1" si="45"/>
        <v>0.87524483785900553</v>
      </c>
      <c r="E731" s="101">
        <f t="shared" ca="1" si="46"/>
        <v>8.7044837859005519E-2</v>
      </c>
      <c r="F731" s="21">
        <f t="shared" ca="1" si="47"/>
        <v>1</v>
      </c>
      <c r="H731" s="21">
        <v>716</v>
      </c>
      <c r="I731" s="102">
        <v>0.66783416271210705</v>
      </c>
      <c r="J731" s="103">
        <v>1.4505169510059459E-3</v>
      </c>
      <c r="K731" s="103"/>
      <c r="L731" s="103">
        <v>4.2799999999999998E-2</v>
      </c>
      <c r="O731" s="100"/>
    </row>
    <row r="732" spans="2:15" x14ac:dyDescent="0.2">
      <c r="B732" s="1">
        <v>717</v>
      </c>
      <c r="C732" s="101">
        <f t="shared" ca="1" si="44"/>
        <v>1.5932396255307464</v>
      </c>
      <c r="D732" s="101">
        <f t="shared" ca="1" si="45"/>
        <v>0.77758845417201361</v>
      </c>
      <c r="E732" s="101">
        <f t="shared" ca="1" si="46"/>
        <v>0</v>
      </c>
      <c r="F732" s="21">
        <f t="shared" ca="1" si="47"/>
        <v>0</v>
      </c>
      <c r="H732" s="21">
        <v>717</v>
      </c>
      <c r="I732" s="102">
        <v>0.66767343660886869</v>
      </c>
      <c r="J732" s="103">
        <v>1.3567321667741809E-3</v>
      </c>
      <c r="K732" s="103"/>
      <c r="L732" s="103">
        <v>3.6200000000000003E-2</v>
      </c>
      <c r="O732" s="100"/>
    </row>
    <row r="733" spans="2:15" x14ac:dyDescent="0.2">
      <c r="B733" s="1">
        <v>718</v>
      </c>
      <c r="C733" s="101">
        <f t="shared" ca="1" si="44"/>
        <v>0.32714002600539688</v>
      </c>
      <c r="D733" s="101">
        <f t="shared" ca="1" si="45"/>
        <v>0.68629506692237863</v>
      </c>
      <c r="E733" s="101">
        <f t="shared" ca="1" si="46"/>
        <v>0</v>
      </c>
      <c r="F733" s="21">
        <f t="shared" ca="1" si="47"/>
        <v>0</v>
      </c>
      <c r="H733" s="21">
        <v>718</v>
      </c>
      <c r="I733" s="102">
        <v>0.66766448915262966</v>
      </c>
      <c r="J733" s="103">
        <v>1.2461279582888602E-3</v>
      </c>
      <c r="K733" s="103"/>
      <c r="L733" s="103">
        <v>3.8600000000000002E-2</v>
      </c>
      <c r="O733" s="100"/>
    </row>
    <row r="734" spans="2:15" x14ac:dyDescent="0.2">
      <c r="B734" s="1">
        <v>719</v>
      </c>
      <c r="C734" s="101">
        <f t="shared" ca="1" si="44"/>
        <v>7.6845562354325936E-2</v>
      </c>
      <c r="D734" s="101">
        <f t="shared" ca="1" si="45"/>
        <v>0.6695583287776542</v>
      </c>
      <c r="E734" s="101">
        <f t="shared" ca="1" si="46"/>
        <v>0</v>
      </c>
      <c r="F734" s="21">
        <f t="shared" ca="1" si="47"/>
        <v>0</v>
      </c>
      <c r="H734" s="21">
        <v>719</v>
      </c>
      <c r="I734" s="102">
        <v>0.66762541663657771</v>
      </c>
      <c r="J734" s="103">
        <v>1.1816412019514458E-3</v>
      </c>
      <c r="K734" s="103"/>
      <c r="L734" s="103">
        <v>3.9E-2</v>
      </c>
      <c r="O734" s="100"/>
    </row>
    <row r="735" spans="2:15" x14ac:dyDescent="0.2">
      <c r="B735" s="1">
        <v>720</v>
      </c>
      <c r="C735" s="101">
        <f t="shared" ca="1" si="44"/>
        <v>0.13045797136226334</v>
      </c>
      <c r="D735" s="101">
        <f t="shared" ca="1" si="45"/>
        <v>0.67310859979311899</v>
      </c>
      <c r="E735" s="101">
        <f t="shared" ca="1" si="46"/>
        <v>0</v>
      </c>
      <c r="F735" s="21">
        <f t="shared" ca="1" si="47"/>
        <v>0</v>
      </c>
      <c r="H735" s="21">
        <v>720</v>
      </c>
      <c r="I735" s="102">
        <v>0.66768443061082472</v>
      </c>
      <c r="J735" s="103">
        <v>1.3362993409793901E-3</v>
      </c>
      <c r="K735" s="103"/>
      <c r="L735" s="103">
        <v>4.1799999999999997E-2</v>
      </c>
      <c r="O735" s="100"/>
    </row>
    <row r="736" spans="2:15" x14ac:dyDescent="0.2">
      <c r="B736" s="1">
        <v>721</v>
      </c>
      <c r="C736" s="101">
        <f t="shared" ca="1" si="44"/>
        <v>0.53580612282050166</v>
      </c>
      <c r="D736" s="101">
        <f t="shared" ca="1" si="45"/>
        <v>0.7005675290815524</v>
      </c>
      <c r="E736" s="101">
        <f t="shared" ca="1" si="46"/>
        <v>0</v>
      </c>
      <c r="F736" s="21">
        <f t="shared" ca="1" si="47"/>
        <v>0</v>
      </c>
      <c r="H736" s="21">
        <v>721</v>
      </c>
      <c r="I736" s="102">
        <v>0.66773323505595528</v>
      </c>
      <c r="J736" s="103">
        <v>1.2127315232943782E-3</v>
      </c>
      <c r="K736" s="103"/>
      <c r="L736" s="103">
        <v>3.9600000000000003E-2</v>
      </c>
      <c r="O736" s="100"/>
    </row>
    <row r="737" spans="2:15" x14ac:dyDescent="0.2">
      <c r="B737" s="1">
        <v>722</v>
      </c>
      <c r="C737" s="101">
        <f t="shared" ca="1" si="44"/>
        <v>0.99507952921515908</v>
      </c>
      <c r="D737" s="101">
        <f t="shared" ca="1" si="45"/>
        <v>0.73303547673800362</v>
      </c>
      <c r="E737" s="101">
        <f t="shared" ca="1" si="46"/>
        <v>0</v>
      </c>
      <c r="F737" s="21">
        <f t="shared" ca="1" si="47"/>
        <v>0</v>
      </c>
      <c r="H737" s="21">
        <v>722</v>
      </c>
      <c r="I737" s="102">
        <v>0.66760863709610407</v>
      </c>
      <c r="J737" s="103">
        <v>1.195734136183949E-3</v>
      </c>
      <c r="K737" s="103"/>
      <c r="L737" s="103">
        <v>3.7400000000000003E-2</v>
      </c>
      <c r="O737" s="100"/>
    </row>
    <row r="738" spans="2:15" x14ac:dyDescent="0.2">
      <c r="B738" s="1">
        <v>723</v>
      </c>
      <c r="C738" s="101">
        <f t="shared" ca="1" si="44"/>
        <v>-0.90272305197042013</v>
      </c>
      <c r="D738" s="101">
        <f t="shared" ca="1" si="45"/>
        <v>0.60788902305414527</v>
      </c>
      <c r="E738" s="101">
        <f t="shared" ca="1" si="46"/>
        <v>0</v>
      </c>
      <c r="F738" s="21">
        <f t="shared" ca="1" si="47"/>
        <v>0</v>
      </c>
      <c r="H738" s="21">
        <v>723</v>
      </c>
      <c r="I738" s="102">
        <v>0.66784517615729688</v>
      </c>
      <c r="J738" s="103">
        <v>1.4176753215661953E-3</v>
      </c>
      <c r="K738" s="103"/>
      <c r="L738" s="103">
        <v>4.4600000000000001E-2</v>
      </c>
      <c r="O738" s="100"/>
    </row>
    <row r="739" spans="2:15" x14ac:dyDescent="0.2">
      <c r="B739" s="1">
        <v>724</v>
      </c>
      <c r="C739" s="101">
        <f t="shared" ca="1" si="44"/>
        <v>0.61364234367500436</v>
      </c>
      <c r="D739" s="101">
        <f t="shared" ca="1" si="45"/>
        <v>0.70596709616385356</v>
      </c>
      <c r="E739" s="101">
        <f t="shared" ca="1" si="46"/>
        <v>0</v>
      </c>
      <c r="F739" s="21">
        <f t="shared" ca="1" si="47"/>
        <v>0</v>
      </c>
      <c r="H739" s="21">
        <v>724</v>
      </c>
      <c r="I739" s="102">
        <v>0.66781289830108193</v>
      </c>
      <c r="J739" s="103">
        <v>1.4065362522099644E-3</v>
      </c>
      <c r="K739" s="103"/>
      <c r="L739" s="103">
        <v>4.6800000000000001E-2</v>
      </c>
      <c r="O739" s="100"/>
    </row>
    <row r="740" spans="2:15" x14ac:dyDescent="0.2">
      <c r="B740" s="1">
        <v>725</v>
      </c>
      <c r="C740" s="101">
        <f t="shared" ca="1" si="44"/>
        <v>1.3731489488149937</v>
      </c>
      <c r="D740" s="101">
        <f t="shared" ca="1" si="45"/>
        <v>0.76088891048351925</v>
      </c>
      <c r="E740" s="101">
        <f t="shared" ca="1" si="46"/>
        <v>0</v>
      </c>
      <c r="F740" s="21">
        <f t="shared" ca="1" si="47"/>
        <v>0</v>
      </c>
      <c r="H740" s="21">
        <v>725</v>
      </c>
      <c r="I740" s="102">
        <v>0.66772247225197445</v>
      </c>
      <c r="J740" s="103">
        <v>1.4886515268156117E-3</v>
      </c>
      <c r="K740" s="103"/>
      <c r="L740" s="103">
        <v>4.0599999999999997E-2</v>
      </c>
      <c r="O740" s="100"/>
    </row>
    <row r="741" spans="2:15" x14ac:dyDescent="0.2">
      <c r="B741" s="1">
        <v>726</v>
      </c>
      <c r="C741" s="101">
        <f t="shared" ca="1" si="44"/>
        <v>-0.61562708407158961</v>
      </c>
      <c r="D741" s="101">
        <f t="shared" ca="1" si="45"/>
        <v>0.62535023221452157</v>
      </c>
      <c r="E741" s="101">
        <f t="shared" ca="1" si="46"/>
        <v>0</v>
      </c>
      <c r="F741" s="21">
        <f t="shared" ca="1" si="47"/>
        <v>0</v>
      </c>
      <c r="H741" s="21">
        <v>726</v>
      </c>
      <c r="I741" s="102">
        <v>0.66776417661188736</v>
      </c>
      <c r="J741" s="103">
        <v>1.2917545949501666E-3</v>
      </c>
      <c r="K741" s="103"/>
      <c r="L741" s="103">
        <v>4.1200000000000001E-2</v>
      </c>
      <c r="O741" s="100"/>
    </row>
    <row r="742" spans="2:15" x14ac:dyDescent="0.2">
      <c r="B742" s="1">
        <v>727</v>
      </c>
      <c r="C742" s="101">
        <f t="shared" ca="1" si="44"/>
        <v>1.1624963352575866</v>
      </c>
      <c r="D742" s="101">
        <f t="shared" ca="1" si="45"/>
        <v>0.74524149170113518</v>
      </c>
      <c r="E742" s="101">
        <f t="shared" ca="1" si="46"/>
        <v>0</v>
      </c>
      <c r="F742" s="21">
        <f t="shared" ca="1" si="47"/>
        <v>0</v>
      </c>
      <c r="H742" s="21">
        <v>727</v>
      </c>
      <c r="I742" s="102">
        <v>0.66789482465303207</v>
      </c>
      <c r="J742" s="103">
        <v>1.4787905555261158E-3</v>
      </c>
      <c r="K742" s="103"/>
      <c r="L742" s="103">
        <v>4.6399999999999997E-2</v>
      </c>
      <c r="O742" s="100"/>
    </row>
    <row r="743" spans="2:15" x14ac:dyDescent="0.2">
      <c r="B743" s="1">
        <v>728</v>
      </c>
      <c r="C743" s="101">
        <f t="shared" ca="1" si="44"/>
        <v>1.3334141125249972</v>
      </c>
      <c r="D743" s="101">
        <f t="shared" ca="1" si="45"/>
        <v>0.75791244566707761</v>
      </c>
      <c r="E743" s="101">
        <f t="shared" ca="1" si="46"/>
        <v>0</v>
      </c>
      <c r="F743" s="21">
        <f t="shared" ca="1" si="47"/>
        <v>0</v>
      </c>
      <c r="H743" s="21">
        <v>728</v>
      </c>
      <c r="I743" s="102">
        <v>0.66751640966872283</v>
      </c>
      <c r="J743" s="103">
        <v>1.0558462174806108E-3</v>
      </c>
      <c r="K743" s="103"/>
      <c r="L743" s="103">
        <v>3.6799999999999999E-2</v>
      </c>
      <c r="O743" s="100"/>
    </row>
    <row r="744" spans="2:15" x14ac:dyDescent="0.2">
      <c r="B744" s="1">
        <v>729</v>
      </c>
      <c r="C744" s="101">
        <f t="shared" ca="1" si="44"/>
        <v>-0.18842273321537975</v>
      </c>
      <c r="D744" s="101">
        <f t="shared" ca="1" si="45"/>
        <v>0.65226561756629753</v>
      </c>
      <c r="E744" s="101">
        <f t="shared" ca="1" si="46"/>
        <v>0</v>
      </c>
      <c r="F744" s="21">
        <f t="shared" ca="1" si="47"/>
        <v>0</v>
      </c>
      <c r="H744" s="21">
        <v>729</v>
      </c>
      <c r="I744" s="102">
        <v>0.66772233348544996</v>
      </c>
      <c r="J744" s="103">
        <v>1.4275596328584602E-3</v>
      </c>
      <c r="K744" s="103"/>
      <c r="L744" s="103">
        <v>4.36E-2</v>
      </c>
      <c r="O744" s="100"/>
    </row>
    <row r="745" spans="2:15" x14ac:dyDescent="0.2">
      <c r="B745" s="1">
        <v>730</v>
      </c>
      <c r="C745" s="101">
        <f t="shared" ca="1" si="44"/>
        <v>-0.44626072503510811</v>
      </c>
      <c r="D745" s="101">
        <f t="shared" ca="1" si="45"/>
        <v>0.63588541786885255</v>
      </c>
      <c r="E745" s="101">
        <f t="shared" ca="1" si="46"/>
        <v>0</v>
      </c>
      <c r="F745" s="21">
        <f t="shared" ca="1" si="47"/>
        <v>0</v>
      </c>
      <c r="H745" s="21">
        <v>730</v>
      </c>
      <c r="I745" s="102">
        <v>0.66774310539507065</v>
      </c>
      <c r="J745" s="103">
        <v>1.4696396467528267E-3</v>
      </c>
      <c r="K745" s="103"/>
      <c r="L745" s="103">
        <v>4.2799999999999998E-2</v>
      </c>
      <c r="O745" s="100"/>
    </row>
    <row r="746" spans="2:15" x14ac:dyDescent="0.2">
      <c r="B746" s="1">
        <v>731</v>
      </c>
      <c r="C746" s="101">
        <f t="shared" ca="1" si="44"/>
        <v>0.96240005995931377</v>
      </c>
      <c r="D746" s="101">
        <f t="shared" ca="1" si="45"/>
        <v>0.73067630752083046</v>
      </c>
      <c r="E746" s="101">
        <f t="shared" ca="1" si="46"/>
        <v>0</v>
      </c>
      <c r="F746" s="21">
        <f t="shared" ca="1" si="47"/>
        <v>0</v>
      </c>
      <c r="H746" s="21">
        <v>731</v>
      </c>
      <c r="I746" s="102">
        <v>0.66784124622576224</v>
      </c>
      <c r="J746" s="103">
        <v>1.5641543777547616E-3</v>
      </c>
      <c r="K746" s="103"/>
      <c r="L746" s="103">
        <v>4.1599999999999998E-2</v>
      </c>
      <c r="O746" s="100"/>
    </row>
    <row r="747" spans="2:15" x14ac:dyDescent="0.2">
      <c r="B747" s="1">
        <v>732</v>
      </c>
      <c r="C747" s="101">
        <f t="shared" ca="1" si="44"/>
        <v>1.0764320279427073</v>
      </c>
      <c r="D747" s="101">
        <f t="shared" ca="1" si="45"/>
        <v>0.73894154553923175</v>
      </c>
      <c r="E747" s="101">
        <f t="shared" ca="1" si="46"/>
        <v>0</v>
      </c>
      <c r="F747" s="21">
        <f t="shared" ca="1" si="47"/>
        <v>0</v>
      </c>
      <c r="H747" s="21">
        <v>732</v>
      </c>
      <c r="I747" s="102">
        <v>0.66771943167928904</v>
      </c>
      <c r="J747" s="103">
        <v>1.3241567410919536E-3</v>
      </c>
      <c r="K747" s="103"/>
      <c r="L747" s="103">
        <v>3.9600000000000003E-2</v>
      </c>
      <c r="O747" s="100"/>
    </row>
    <row r="748" spans="2:15" x14ac:dyDescent="0.2">
      <c r="B748" s="1">
        <v>733</v>
      </c>
      <c r="C748" s="101">
        <f t="shared" ca="1" si="44"/>
        <v>-2.6906843900711372</v>
      </c>
      <c r="D748" s="101">
        <f t="shared" ca="1" si="45"/>
        <v>0.50959967200498424</v>
      </c>
      <c r="E748" s="101">
        <f t="shared" ca="1" si="46"/>
        <v>0</v>
      </c>
      <c r="F748" s="21">
        <f t="shared" ca="1" si="47"/>
        <v>0</v>
      </c>
      <c r="H748" s="21">
        <v>733</v>
      </c>
      <c r="I748" s="102">
        <v>0.66775234453009791</v>
      </c>
      <c r="J748" s="103">
        <v>1.4216492856585624E-3</v>
      </c>
      <c r="K748" s="103"/>
      <c r="L748" s="103">
        <v>4.5400000000000003E-2</v>
      </c>
      <c r="O748" s="100"/>
    </row>
    <row r="749" spans="2:15" x14ac:dyDescent="0.2">
      <c r="B749" s="1">
        <v>734</v>
      </c>
      <c r="C749" s="101">
        <f t="shared" ca="1" si="44"/>
        <v>1.027631133053037</v>
      </c>
      <c r="D749" s="101">
        <f t="shared" ca="1" si="45"/>
        <v>0.73539298768289652</v>
      </c>
      <c r="E749" s="101">
        <f t="shared" ca="1" si="46"/>
        <v>0</v>
      </c>
      <c r="F749" s="21">
        <f t="shared" ca="1" si="47"/>
        <v>0</v>
      </c>
      <c r="H749" s="21">
        <v>734</v>
      </c>
      <c r="I749" s="102">
        <v>0.66761784939033564</v>
      </c>
      <c r="J749" s="103">
        <v>1.1987011359650913E-3</v>
      </c>
      <c r="K749" s="103"/>
      <c r="L749" s="103">
        <v>3.6799999999999999E-2</v>
      </c>
      <c r="O749" s="100"/>
    </row>
    <row r="750" spans="2:15" x14ac:dyDescent="0.2">
      <c r="B750" s="1">
        <v>735</v>
      </c>
      <c r="C750" s="101">
        <f t="shared" ca="1" si="44"/>
        <v>-0.10435887882457651</v>
      </c>
      <c r="D750" s="101">
        <f t="shared" ca="1" si="45"/>
        <v>0.65769680201420722</v>
      </c>
      <c r="E750" s="101">
        <f t="shared" ca="1" si="46"/>
        <v>0</v>
      </c>
      <c r="F750" s="21">
        <f t="shared" ca="1" si="47"/>
        <v>0</v>
      </c>
      <c r="H750" s="21">
        <v>735</v>
      </c>
      <c r="I750" s="102">
        <v>0.66763708830625668</v>
      </c>
      <c r="J750" s="103">
        <v>1.2797360651419644E-3</v>
      </c>
      <c r="K750" s="103"/>
      <c r="L750" s="103">
        <v>3.8600000000000002E-2</v>
      </c>
      <c r="O750" s="100"/>
    </row>
    <row r="751" spans="2:15" x14ac:dyDescent="0.2">
      <c r="B751" s="1">
        <v>736</v>
      </c>
      <c r="C751" s="101">
        <f t="shared" ca="1" si="44"/>
        <v>-0.94656940979572257</v>
      </c>
      <c r="D751" s="101">
        <f t="shared" ca="1" si="45"/>
        <v>0.60526554226321982</v>
      </c>
      <c r="E751" s="101">
        <f t="shared" ca="1" si="46"/>
        <v>0</v>
      </c>
      <c r="F751" s="21">
        <f t="shared" ca="1" si="47"/>
        <v>0</v>
      </c>
      <c r="H751" s="21">
        <v>736</v>
      </c>
      <c r="I751" s="102">
        <v>0.66771882713432629</v>
      </c>
      <c r="J751" s="103">
        <v>1.4231572044325095E-3</v>
      </c>
      <c r="K751" s="103"/>
      <c r="L751" s="103">
        <v>4.24E-2</v>
      </c>
      <c r="O751" s="100"/>
    </row>
    <row r="752" spans="2:15" x14ac:dyDescent="0.2">
      <c r="B752" s="1">
        <v>737</v>
      </c>
      <c r="C752" s="101">
        <f t="shared" ca="1" si="44"/>
        <v>1.3273555524218323</v>
      </c>
      <c r="D752" s="101">
        <f t="shared" ca="1" si="45"/>
        <v>0.75745963401499206</v>
      </c>
      <c r="E752" s="101">
        <f t="shared" ca="1" si="46"/>
        <v>0</v>
      </c>
      <c r="F752" s="21">
        <f t="shared" ca="1" si="47"/>
        <v>0</v>
      </c>
      <c r="H752" s="21">
        <v>737</v>
      </c>
      <c r="I752" s="102">
        <v>0.66778648718040845</v>
      </c>
      <c r="J752" s="103">
        <v>1.5316655811947496E-3</v>
      </c>
      <c r="K752" s="103"/>
      <c r="L752" s="103">
        <v>4.3200000000000002E-2</v>
      </c>
      <c r="O752" s="100"/>
    </row>
    <row r="753" spans="2:15" x14ac:dyDescent="0.2">
      <c r="B753" s="1">
        <v>738</v>
      </c>
      <c r="C753" s="101">
        <f t="shared" ca="1" si="44"/>
        <v>0.13352675825098692</v>
      </c>
      <c r="D753" s="101">
        <f t="shared" ca="1" si="45"/>
        <v>0.67331238680626682</v>
      </c>
      <c r="E753" s="101">
        <f t="shared" ca="1" si="46"/>
        <v>0</v>
      </c>
      <c r="F753" s="21">
        <f t="shared" ca="1" si="47"/>
        <v>0</v>
      </c>
      <c r="H753" s="21">
        <v>738</v>
      </c>
      <c r="I753" s="102">
        <v>0.66773780910155334</v>
      </c>
      <c r="J753" s="103">
        <v>1.3338546874986053E-3</v>
      </c>
      <c r="K753" s="103"/>
      <c r="L753" s="103">
        <v>4.3999999999999997E-2</v>
      </c>
      <c r="O753" s="100"/>
    </row>
    <row r="754" spans="2:15" x14ac:dyDescent="0.2">
      <c r="B754" s="1">
        <v>739</v>
      </c>
      <c r="C754" s="101">
        <f t="shared" ca="1" si="44"/>
        <v>0.3887885272020053</v>
      </c>
      <c r="D754" s="101">
        <f t="shared" ca="1" si="45"/>
        <v>0.69048120415332193</v>
      </c>
      <c r="E754" s="101">
        <f t="shared" ca="1" si="46"/>
        <v>0</v>
      </c>
      <c r="F754" s="21">
        <f t="shared" ca="1" si="47"/>
        <v>0</v>
      </c>
      <c r="H754" s="21">
        <v>739</v>
      </c>
      <c r="I754" s="102">
        <v>0.66775691505759116</v>
      </c>
      <c r="J754" s="103">
        <v>1.2970343441779972E-3</v>
      </c>
      <c r="K754" s="103"/>
      <c r="L754" s="103">
        <v>4.2999999999999997E-2</v>
      </c>
      <c r="O754" s="100"/>
    </row>
    <row r="755" spans="2:15" x14ac:dyDescent="0.2">
      <c r="B755" s="1">
        <v>740</v>
      </c>
      <c r="C755" s="101">
        <f t="shared" ca="1" si="44"/>
        <v>-1.8881332434508451</v>
      </c>
      <c r="D755" s="101">
        <f t="shared" ca="1" si="45"/>
        <v>0.55158181063027034</v>
      </c>
      <c r="E755" s="101">
        <f t="shared" ca="1" si="46"/>
        <v>0</v>
      </c>
      <c r="F755" s="21">
        <f t="shared" ca="1" si="47"/>
        <v>0</v>
      </c>
      <c r="H755" s="21">
        <v>740</v>
      </c>
      <c r="I755" s="102">
        <v>0.66775643021648368</v>
      </c>
      <c r="J755" s="103">
        <v>1.3480933286781314E-3</v>
      </c>
      <c r="K755" s="103"/>
      <c r="L755" s="103">
        <v>3.9800000000000002E-2</v>
      </c>
      <c r="O755" s="100"/>
    </row>
    <row r="756" spans="2:15" x14ac:dyDescent="0.2">
      <c r="B756" s="1">
        <v>741</v>
      </c>
      <c r="C756" s="101">
        <f t="shared" ca="1" si="44"/>
        <v>-0.34241686984366132</v>
      </c>
      <c r="D756" s="101">
        <f t="shared" ca="1" si="45"/>
        <v>0.64243245450926001</v>
      </c>
      <c r="E756" s="101">
        <f t="shared" ca="1" si="46"/>
        <v>0</v>
      </c>
      <c r="F756" s="21">
        <f t="shared" ca="1" si="47"/>
        <v>0</v>
      </c>
      <c r="H756" s="21">
        <v>741</v>
      </c>
      <c r="I756" s="102">
        <v>0.66767799561997543</v>
      </c>
      <c r="J756" s="103">
        <v>1.2714930219254368E-3</v>
      </c>
      <c r="K756" s="103"/>
      <c r="L756" s="103">
        <v>4.02E-2</v>
      </c>
      <c r="O756" s="100"/>
    </row>
    <row r="757" spans="2:15" x14ac:dyDescent="0.2">
      <c r="B757" s="1">
        <v>742</v>
      </c>
      <c r="C757" s="101">
        <f t="shared" ca="1" si="44"/>
        <v>-0.69369923356086272</v>
      </c>
      <c r="D757" s="101">
        <f t="shared" ca="1" si="45"/>
        <v>0.62055281880734392</v>
      </c>
      <c r="E757" s="101">
        <f t="shared" ca="1" si="46"/>
        <v>0</v>
      </c>
      <c r="F757" s="21">
        <f t="shared" ca="1" si="47"/>
        <v>0</v>
      </c>
      <c r="H757" s="21">
        <v>742</v>
      </c>
      <c r="I757" s="102">
        <v>0.66768257667275333</v>
      </c>
      <c r="J757" s="103">
        <v>1.46175634200256E-3</v>
      </c>
      <c r="K757" s="103"/>
      <c r="L757" s="103">
        <v>4.0599999999999997E-2</v>
      </c>
      <c r="O757" s="100"/>
    </row>
    <row r="758" spans="2:15" x14ac:dyDescent="0.2">
      <c r="B758" s="1">
        <v>743</v>
      </c>
      <c r="C758" s="101">
        <f t="shared" ca="1" si="44"/>
        <v>-0.64786198975873766</v>
      </c>
      <c r="D758" s="101">
        <f t="shared" ca="1" si="45"/>
        <v>0.62336496787677365</v>
      </c>
      <c r="E758" s="101">
        <f t="shared" ca="1" si="46"/>
        <v>0</v>
      </c>
      <c r="F758" s="21">
        <f t="shared" ca="1" si="47"/>
        <v>0</v>
      </c>
      <c r="H758" s="21">
        <v>743</v>
      </c>
      <c r="I758" s="102">
        <v>0.66785833312585086</v>
      </c>
      <c r="J758" s="103">
        <v>1.6583187544147527E-3</v>
      </c>
      <c r="K758" s="103"/>
      <c r="L758" s="103">
        <v>4.3999999999999997E-2</v>
      </c>
      <c r="O758" s="100"/>
    </row>
    <row r="759" spans="2:15" x14ac:dyDescent="0.2">
      <c r="B759" s="1">
        <v>744</v>
      </c>
      <c r="C759" s="101">
        <f t="shared" ca="1" si="44"/>
        <v>-1.2708400299409039</v>
      </c>
      <c r="D759" s="101">
        <f t="shared" ca="1" si="45"/>
        <v>0.58621158484132463</v>
      </c>
      <c r="E759" s="101">
        <f t="shared" ca="1" si="46"/>
        <v>0</v>
      </c>
      <c r="F759" s="21">
        <f t="shared" ca="1" si="47"/>
        <v>0</v>
      </c>
      <c r="H759" s="21">
        <v>744</v>
      </c>
      <c r="I759" s="102">
        <v>0.66769576111755613</v>
      </c>
      <c r="J759" s="103">
        <v>1.2781785423483607E-3</v>
      </c>
      <c r="K759" s="103"/>
      <c r="L759" s="103">
        <v>4.0800000000000003E-2</v>
      </c>
      <c r="O759" s="100"/>
    </row>
    <row r="760" spans="2:15" x14ac:dyDescent="0.2">
      <c r="B760" s="1">
        <v>745</v>
      </c>
      <c r="C760" s="101">
        <f t="shared" ca="1" si="44"/>
        <v>0.10391268170780837</v>
      </c>
      <c r="D760" s="101">
        <f t="shared" ca="1" si="45"/>
        <v>0.67134839564285997</v>
      </c>
      <c r="E760" s="101">
        <f t="shared" ca="1" si="46"/>
        <v>0</v>
      </c>
      <c r="F760" s="21">
        <f t="shared" ca="1" si="47"/>
        <v>0</v>
      </c>
      <c r="H760" s="21">
        <v>745</v>
      </c>
      <c r="I760" s="102">
        <v>0.66772107528659563</v>
      </c>
      <c r="J760" s="103">
        <v>1.3719322309119597E-3</v>
      </c>
      <c r="K760" s="103"/>
      <c r="L760" s="103">
        <v>0.04</v>
      </c>
      <c r="O760" s="100"/>
    </row>
    <row r="761" spans="2:15" x14ac:dyDescent="0.2">
      <c r="B761" s="1">
        <v>746</v>
      </c>
      <c r="C761" s="101">
        <f t="shared" ca="1" si="44"/>
        <v>-1.5425625893838795</v>
      </c>
      <c r="D761" s="101">
        <f t="shared" ca="1" si="45"/>
        <v>0.57070801248089686</v>
      </c>
      <c r="E761" s="101">
        <f t="shared" ca="1" si="46"/>
        <v>0</v>
      </c>
      <c r="F761" s="21">
        <f t="shared" ca="1" si="47"/>
        <v>0</v>
      </c>
      <c r="H761" s="21">
        <v>746</v>
      </c>
      <c r="I761" s="102">
        <v>0.66774884632270914</v>
      </c>
      <c r="J761" s="103">
        <v>1.4259635361216841E-3</v>
      </c>
      <c r="K761" s="103"/>
      <c r="L761" s="103">
        <v>4.1799999999999997E-2</v>
      </c>
      <c r="O761" s="100"/>
    </row>
    <row r="762" spans="2:15" x14ac:dyDescent="0.2">
      <c r="B762" s="1">
        <v>747</v>
      </c>
      <c r="C762" s="101">
        <f t="shared" ca="1" si="44"/>
        <v>0.94967310490009871</v>
      </c>
      <c r="D762" s="101">
        <f t="shared" ca="1" si="45"/>
        <v>0.72975958931237028</v>
      </c>
      <c r="E762" s="101">
        <f t="shared" ca="1" si="46"/>
        <v>0</v>
      </c>
      <c r="F762" s="21">
        <f t="shared" ca="1" si="47"/>
        <v>0</v>
      </c>
      <c r="H762" s="21">
        <v>747</v>
      </c>
      <c r="I762" s="102">
        <v>0.6677648671766796</v>
      </c>
      <c r="J762" s="103">
        <v>1.398482234310616E-3</v>
      </c>
      <c r="K762" s="103"/>
      <c r="L762" s="103">
        <v>4.4600000000000001E-2</v>
      </c>
      <c r="O762" s="100"/>
    </row>
    <row r="763" spans="2:15" x14ac:dyDescent="0.2">
      <c r="B763" s="1">
        <v>748</v>
      </c>
      <c r="C763" s="101">
        <f t="shared" ca="1" si="44"/>
        <v>-8.745009446425743E-2</v>
      </c>
      <c r="D763" s="101">
        <f t="shared" ca="1" si="45"/>
        <v>0.65879469307162986</v>
      </c>
      <c r="E763" s="101">
        <f t="shared" ca="1" si="46"/>
        <v>0</v>
      </c>
      <c r="F763" s="21">
        <f t="shared" ca="1" si="47"/>
        <v>0</v>
      </c>
      <c r="H763" s="21">
        <v>748</v>
      </c>
      <c r="I763" s="102">
        <v>0.66765845344839303</v>
      </c>
      <c r="J763" s="103">
        <v>1.2612104177896185E-3</v>
      </c>
      <c r="K763" s="103"/>
      <c r="L763" s="103">
        <v>3.9199999999999999E-2</v>
      </c>
      <c r="O763" s="100"/>
    </row>
    <row r="764" spans="2:15" x14ac:dyDescent="0.2">
      <c r="B764" s="1">
        <v>749</v>
      </c>
      <c r="C764" s="101">
        <f t="shared" ca="1" si="44"/>
        <v>0.49675930958629538</v>
      </c>
      <c r="D764" s="101">
        <f t="shared" ca="1" si="45"/>
        <v>0.69787439238445881</v>
      </c>
      <c r="E764" s="101">
        <f t="shared" ca="1" si="46"/>
        <v>0</v>
      </c>
      <c r="F764" s="21">
        <f t="shared" ca="1" si="47"/>
        <v>0</v>
      </c>
      <c r="H764" s="21">
        <v>749</v>
      </c>
      <c r="I764" s="102">
        <v>0.6676897097652128</v>
      </c>
      <c r="J764" s="103">
        <v>1.3341595913043179E-3</v>
      </c>
      <c r="K764" s="103"/>
      <c r="L764" s="103">
        <v>4.1799999999999997E-2</v>
      </c>
      <c r="O764" s="100"/>
    </row>
    <row r="765" spans="2:15" x14ac:dyDescent="0.2">
      <c r="B765" s="1">
        <v>750</v>
      </c>
      <c r="C765" s="101">
        <f t="shared" ca="1" si="44"/>
        <v>-0.75447211758415067</v>
      </c>
      <c r="D765" s="101">
        <f t="shared" ca="1" si="45"/>
        <v>0.61684390779182074</v>
      </c>
      <c r="E765" s="101">
        <f t="shared" ca="1" si="46"/>
        <v>0</v>
      </c>
      <c r="F765" s="21">
        <f t="shared" ca="1" si="47"/>
        <v>0</v>
      </c>
      <c r="H765" s="21">
        <v>750</v>
      </c>
      <c r="I765" s="102">
        <v>0.66759235661799077</v>
      </c>
      <c r="J765" s="103">
        <v>1.2743308932128524E-3</v>
      </c>
      <c r="K765" s="103"/>
      <c r="L765" s="103">
        <v>3.78E-2</v>
      </c>
      <c r="O765" s="100"/>
    </row>
    <row r="766" spans="2:15" x14ac:dyDescent="0.2">
      <c r="B766" s="1">
        <v>751</v>
      </c>
      <c r="C766" s="101">
        <f t="shared" ca="1" si="44"/>
        <v>-5.4930882629152598E-2</v>
      </c>
      <c r="D766" s="101">
        <f t="shared" ca="1" si="45"/>
        <v>0.66091132694234866</v>
      </c>
      <c r="E766" s="101">
        <f t="shared" ca="1" si="46"/>
        <v>0</v>
      </c>
      <c r="F766" s="21">
        <f t="shared" ca="1" si="47"/>
        <v>0</v>
      </c>
      <c r="H766" s="21">
        <v>751</v>
      </c>
      <c r="I766" s="102">
        <v>0.6677801703535805</v>
      </c>
      <c r="J766" s="103">
        <v>1.4813438959925766E-3</v>
      </c>
      <c r="K766" s="103"/>
      <c r="L766" s="103">
        <v>4.6199999999999998E-2</v>
      </c>
      <c r="O766" s="100"/>
    </row>
    <row r="767" spans="2:15" x14ac:dyDescent="0.2">
      <c r="B767" s="1">
        <v>752</v>
      </c>
      <c r="C767" s="101">
        <f t="shared" ca="1" si="44"/>
        <v>-2.7665280311069522</v>
      </c>
      <c r="D767" s="101">
        <f t="shared" ca="1" si="45"/>
        <v>0.5058014208381395</v>
      </c>
      <c r="E767" s="101">
        <f t="shared" ca="1" si="46"/>
        <v>0</v>
      </c>
      <c r="F767" s="21">
        <f t="shared" ca="1" si="47"/>
        <v>0</v>
      </c>
      <c r="H767" s="21">
        <v>752</v>
      </c>
      <c r="I767" s="102">
        <v>0.66785883280238012</v>
      </c>
      <c r="J767" s="103">
        <v>1.3912338387025327E-3</v>
      </c>
      <c r="K767" s="103"/>
      <c r="L767" s="103">
        <v>4.2000000000000003E-2</v>
      </c>
      <c r="O767" s="100"/>
    </row>
    <row r="768" spans="2:15" x14ac:dyDescent="0.2">
      <c r="B768" s="1">
        <v>753</v>
      </c>
      <c r="C768" s="101">
        <f t="shared" ca="1" si="44"/>
        <v>-7.9121894805424905E-2</v>
      </c>
      <c r="D768" s="101">
        <f t="shared" ca="1" si="45"/>
        <v>0.65933611834030836</v>
      </c>
      <c r="E768" s="101">
        <f t="shared" ca="1" si="46"/>
        <v>0</v>
      </c>
      <c r="F768" s="21">
        <f t="shared" ca="1" si="47"/>
        <v>0</v>
      </c>
      <c r="H768" s="21">
        <v>753</v>
      </c>
      <c r="I768" s="102">
        <v>0.66757443097987779</v>
      </c>
      <c r="J768" s="103">
        <v>1.2035204241098664E-3</v>
      </c>
      <c r="K768" s="103"/>
      <c r="L768" s="103">
        <v>3.6600000000000001E-2</v>
      </c>
      <c r="O768" s="100"/>
    </row>
    <row r="769" spans="2:15" x14ac:dyDescent="0.2">
      <c r="B769" s="1">
        <v>754</v>
      </c>
      <c r="C769" s="101">
        <f t="shared" ca="1" si="44"/>
        <v>-1.9031639831059053</v>
      </c>
      <c r="D769" s="101">
        <f t="shared" ca="1" si="45"/>
        <v>0.55076461266751964</v>
      </c>
      <c r="E769" s="101">
        <f t="shared" ca="1" si="46"/>
        <v>0</v>
      </c>
      <c r="F769" s="21">
        <f t="shared" ca="1" si="47"/>
        <v>0</v>
      </c>
      <c r="H769" s="21">
        <v>754</v>
      </c>
      <c r="I769" s="102">
        <v>0.66779629237595195</v>
      </c>
      <c r="J769" s="103">
        <v>1.4063995931682862E-3</v>
      </c>
      <c r="K769" s="103"/>
      <c r="L769" s="103">
        <v>4.2200000000000001E-2</v>
      </c>
      <c r="O769" s="100"/>
    </row>
    <row r="770" spans="2:15" x14ac:dyDescent="0.2">
      <c r="B770" s="1">
        <v>755</v>
      </c>
      <c r="C770" s="101">
        <f t="shared" ca="1" si="44"/>
        <v>0.74431797621821416</v>
      </c>
      <c r="D770" s="101">
        <f t="shared" ca="1" si="45"/>
        <v>0.71512592641475214</v>
      </c>
      <c r="E770" s="101">
        <f t="shared" ca="1" si="46"/>
        <v>0</v>
      </c>
      <c r="F770" s="21">
        <f t="shared" ca="1" si="47"/>
        <v>0</v>
      </c>
      <c r="H770" s="21">
        <v>755</v>
      </c>
      <c r="I770" s="102">
        <v>0.66769896666201023</v>
      </c>
      <c r="J770" s="103">
        <v>1.3473662963463405E-3</v>
      </c>
      <c r="K770" s="103"/>
      <c r="L770" s="103">
        <v>4.0399999999999998E-2</v>
      </c>
      <c r="O770" s="100"/>
    </row>
    <row r="771" spans="2:15" x14ac:dyDescent="0.2">
      <c r="B771" s="1">
        <v>756</v>
      </c>
      <c r="C771" s="101">
        <f t="shared" ca="1" si="44"/>
        <v>0.32332743953999249</v>
      </c>
      <c r="D771" s="101">
        <f t="shared" ca="1" si="45"/>
        <v>0.68603701457273847</v>
      </c>
      <c r="E771" s="101">
        <f t="shared" ca="1" si="46"/>
        <v>0</v>
      </c>
      <c r="F771" s="21">
        <f t="shared" ca="1" si="47"/>
        <v>0</v>
      </c>
      <c r="H771" s="21">
        <v>756</v>
      </c>
      <c r="I771" s="102">
        <v>0.66771383247190963</v>
      </c>
      <c r="J771" s="103">
        <v>1.2302012165066162E-3</v>
      </c>
      <c r="K771" s="103"/>
      <c r="L771" s="103">
        <v>4.1399999999999999E-2</v>
      </c>
      <c r="O771" s="100"/>
    </row>
    <row r="772" spans="2:15" x14ac:dyDescent="0.2">
      <c r="B772" s="1">
        <v>757</v>
      </c>
      <c r="C772" s="101">
        <f t="shared" ca="1" si="44"/>
        <v>-0.41085328850169106</v>
      </c>
      <c r="D772" s="101">
        <f t="shared" ca="1" si="45"/>
        <v>0.63811021742388641</v>
      </c>
      <c r="E772" s="101">
        <f t="shared" ca="1" si="46"/>
        <v>0</v>
      </c>
      <c r="F772" s="21">
        <f t="shared" ca="1" si="47"/>
        <v>0</v>
      </c>
      <c r="H772" s="21">
        <v>757</v>
      </c>
      <c r="I772" s="102">
        <v>0.66788615006805974</v>
      </c>
      <c r="J772" s="103">
        <v>1.5493528094529104E-3</v>
      </c>
      <c r="K772" s="103"/>
      <c r="L772" s="103">
        <v>4.6600000000000003E-2</v>
      </c>
      <c r="O772" s="100"/>
    </row>
    <row r="773" spans="2:15" x14ac:dyDescent="0.2">
      <c r="B773" s="1">
        <v>758</v>
      </c>
      <c r="C773" s="101">
        <f t="shared" ca="1" si="44"/>
        <v>1.0659604465206358</v>
      </c>
      <c r="D773" s="101">
        <f t="shared" ca="1" si="45"/>
        <v>0.73817866421988576</v>
      </c>
      <c r="E773" s="101">
        <f t="shared" ca="1" si="46"/>
        <v>0</v>
      </c>
      <c r="F773" s="21">
        <f t="shared" ca="1" si="47"/>
        <v>0</v>
      </c>
      <c r="H773" s="21">
        <v>758</v>
      </c>
      <c r="I773" s="102">
        <v>0.66784488606540937</v>
      </c>
      <c r="J773" s="103">
        <v>1.4783287254320505E-3</v>
      </c>
      <c r="K773" s="103"/>
      <c r="L773" s="103">
        <v>4.3999999999999997E-2</v>
      </c>
      <c r="O773" s="100"/>
    </row>
    <row r="774" spans="2:15" x14ac:dyDescent="0.2">
      <c r="B774" s="1">
        <v>759</v>
      </c>
      <c r="C774" s="101">
        <f t="shared" ca="1" si="44"/>
        <v>1.4614699710477039</v>
      </c>
      <c r="D774" s="101">
        <f t="shared" ca="1" si="45"/>
        <v>0.76754681288803095</v>
      </c>
      <c r="E774" s="101">
        <f t="shared" ca="1" si="46"/>
        <v>0</v>
      </c>
      <c r="F774" s="21">
        <f t="shared" ca="1" si="47"/>
        <v>0</v>
      </c>
      <c r="H774" s="21">
        <v>759</v>
      </c>
      <c r="I774" s="102">
        <v>0.66774938062381073</v>
      </c>
      <c r="J774" s="103">
        <v>1.3057085771320421E-3</v>
      </c>
      <c r="K774" s="103"/>
      <c r="L774" s="103">
        <v>4.0399999999999998E-2</v>
      </c>
      <c r="O774" s="100"/>
    </row>
    <row r="775" spans="2:15" x14ac:dyDescent="0.2">
      <c r="B775" s="1">
        <v>760</v>
      </c>
      <c r="C775" s="101">
        <f t="shared" ca="1" si="44"/>
        <v>0.72272911047532995</v>
      </c>
      <c r="D775" s="101">
        <f t="shared" ca="1" si="45"/>
        <v>0.71360464729365569</v>
      </c>
      <c r="E775" s="101">
        <f t="shared" ca="1" si="46"/>
        <v>0</v>
      </c>
      <c r="F775" s="21">
        <f t="shared" ca="1" si="47"/>
        <v>0</v>
      </c>
      <c r="H775" s="21">
        <v>760</v>
      </c>
      <c r="I775" s="102">
        <v>0.66776792500320459</v>
      </c>
      <c r="J775" s="103">
        <v>1.3345795710550286E-3</v>
      </c>
      <c r="K775" s="103"/>
      <c r="L775" s="103">
        <v>4.4999999999999998E-2</v>
      </c>
      <c r="O775" s="100"/>
    </row>
    <row r="776" spans="2:15" x14ac:dyDescent="0.2">
      <c r="B776" s="1">
        <v>761</v>
      </c>
      <c r="C776" s="101">
        <f t="shared" ca="1" si="44"/>
        <v>0.98584295817905221</v>
      </c>
      <c r="D776" s="101">
        <f t="shared" ca="1" si="45"/>
        <v>0.73236790669514318</v>
      </c>
      <c r="E776" s="101">
        <f t="shared" ca="1" si="46"/>
        <v>0</v>
      </c>
      <c r="F776" s="21">
        <f t="shared" ca="1" si="47"/>
        <v>0</v>
      </c>
      <c r="H776" s="21">
        <v>761</v>
      </c>
      <c r="I776" s="102">
        <v>0.66771733659591126</v>
      </c>
      <c r="J776" s="103">
        <v>1.2870814575134878E-3</v>
      </c>
      <c r="K776" s="103"/>
      <c r="L776" s="103">
        <v>4.1599999999999998E-2</v>
      </c>
      <c r="O776" s="100"/>
    </row>
    <row r="777" spans="2:15" x14ac:dyDescent="0.2">
      <c r="B777" s="1">
        <v>762</v>
      </c>
      <c r="C777" s="101">
        <f t="shared" ca="1" si="44"/>
        <v>-0.79196013161557866</v>
      </c>
      <c r="D777" s="101">
        <f t="shared" ca="1" si="45"/>
        <v>0.61456711304857614</v>
      </c>
      <c r="E777" s="101">
        <f t="shared" ca="1" si="46"/>
        <v>0</v>
      </c>
      <c r="F777" s="21">
        <f t="shared" ca="1" si="47"/>
        <v>0</v>
      </c>
      <c r="H777" s="21">
        <v>762</v>
      </c>
      <c r="I777" s="102">
        <v>0.66762108965585554</v>
      </c>
      <c r="J777" s="103">
        <v>1.2700208233262812E-3</v>
      </c>
      <c r="K777" s="103"/>
      <c r="L777" s="103">
        <v>3.7999999999999999E-2</v>
      </c>
      <c r="O777" s="100"/>
    </row>
    <row r="778" spans="2:15" x14ac:dyDescent="0.2">
      <c r="B778" s="1">
        <v>763</v>
      </c>
      <c r="C778" s="101">
        <f t="shared" ca="1" si="44"/>
        <v>0.5066573827049996</v>
      </c>
      <c r="D778" s="101">
        <f t="shared" ca="1" si="45"/>
        <v>0.69855610110877608</v>
      </c>
      <c r="E778" s="101">
        <f t="shared" ca="1" si="46"/>
        <v>0</v>
      </c>
      <c r="F778" s="21">
        <f t="shared" ca="1" si="47"/>
        <v>0</v>
      </c>
      <c r="H778" s="21">
        <v>763</v>
      </c>
      <c r="I778" s="102">
        <v>0.66764121302601975</v>
      </c>
      <c r="J778" s="103">
        <v>1.2568314739708254E-3</v>
      </c>
      <c r="K778" s="103"/>
      <c r="L778" s="103">
        <v>3.5799999999999998E-2</v>
      </c>
      <c r="O778" s="100"/>
    </row>
    <row r="779" spans="2:15" x14ac:dyDescent="0.2">
      <c r="B779" s="1">
        <v>764</v>
      </c>
      <c r="C779" s="101">
        <f t="shared" ca="1" si="44"/>
        <v>-1.630249041526987E-2</v>
      </c>
      <c r="D779" s="101">
        <f t="shared" ca="1" si="45"/>
        <v>0.66343443818668979</v>
      </c>
      <c r="E779" s="101">
        <f t="shared" ca="1" si="46"/>
        <v>0</v>
      </c>
      <c r="F779" s="21">
        <f t="shared" ca="1" si="47"/>
        <v>0</v>
      </c>
      <c r="H779" s="21">
        <v>764</v>
      </c>
      <c r="I779" s="102">
        <v>0.66776885953289189</v>
      </c>
      <c r="J779" s="103">
        <v>1.4685715665838312E-3</v>
      </c>
      <c r="K779" s="103"/>
      <c r="L779" s="103">
        <v>4.5999999999999999E-2</v>
      </c>
      <c r="O779" s="100"/>
    </row>
    <row r="780" spans="2:15" x14ac:dyDescent="0.2">
      <c r="B780" s="1">
        <v>765</v>
      </c>
      <c r="C780" s="101">
        <f t="shared" ca="1" si="44"/>
        <v>-0.44991192153090531</v>
      </c>
      <c r="D780" s="101">
        <f t="shared" ca="1" si="45"/>
        <v>0.63565643933656746</v>
      </c>
      <c r="E780" s="101">
        <f t="shared" ca="1" si="46"/>
        <v>0</v>
      </c>
      <c r="F780" s="21">
        <f t="shared" ca="1" si="47"/>
        <v>0</v>
      </c>
      <c r="H780" s="21">
        <v>765</v>
      </c>
      <c r="I780" s="102">
        <v>0.66785282917056543</v>
      </c>
      <c r="J780" s="103">
        <v>1.606782843364689E-3</v>
      </c>
      <c r="K780" s="103"/>
      <c r="L780" s="103">
        <v>4.2200000000000001E-2</v>
      </c>
      <c r="O780" s="100"/>
    </row>
    <row r="781" spans="2:15" x14ac:dyDescent="0.2">
      <c r="B781" s="1">
        <v>766</v>
      </c>
      <c r="C781" s="101">
        <f t="shared" ca="1" si="44"/>
        <v>0.38950070128432002</v>
      </c>
      <c r="D781" s="101">
        <f t="shared" ca="1" si="45"/>
        <v>0.69052971202063185</v>
      </c>
      <c r="E781" s="101">
        <f t="shared" ca="1" si="46"/>
        <v>0</v>
      </c>
      <c r="F781" s="21">
        <f t="shared" ca="1" si="47"/>
        <v>0</v>
      </c>
      <c r="H781" s="21">
        <v>766</v>
      </c>
      <c r="I781" s="102">
        <v>0.66758232906136294</v>
      </c>
      <c r="J781" s="103">
        <v>1.1575326057245772E-3</v>
      </c>
      <c r="K781" s="103"/>
      <c r="L781" s="103">
        <v>3.78E-2</v>
      </c>
      <c r="O781" s="100"/>
    </row>
    <row r="782" spans="2:15" x14ac:dyDescent="0.2">
      <c r="B782" s="1">
        <v>767</v>
      </c>
      <c r="C782" s="101">
        <f t="shared" ca="1" si="44"/>
        <v>-0.84484815305993188</v>
      </c>
      <c r="D782" s="101">
        <f t="shared" ca="1" si="45"/>
        <v>0.61136929915771232</v>
      </c>
      <c r="E782" s="101">
        <f t="shared" ca="1" si="46"/>
        <v>0</v>
      </c>
      <c r="F782" s="21">
        <f t="shared" ca="1" si="47"/>
        <v>0</v>
      </c>
      <c r="H782" s="21">
        <v>767</v>
      </c>
      <c r="I782" s="102">
        <v>0.66774074241046921</v>
      </c>
      <c r="J782" s="103">
        <v>1.3958087816401986E-3</v>
      </c>
      <c r="K782" s="103"/>
      <c r="L782" s="103">
        <v>4.1399999999999999E-2</v>
      </c>
      <c r="O782" s="100"/>
    </row>
    <row r="783" spans="2:15" x14ac:dyDescent="0.2">
      <c r="B783" s="1">
        <v>768</v>
      </c>
      <c r="C783" s="101">
        <f t="shared" ca="1" si="44"/>
        <v>0.10128364096508025</v>
      </c>
      <c r="D783" s="101">
        <f t="shared" ca="1" si="45"/>
        <v>0.67117431605070133</v>
      </c>
      <c r="E783" s="101">
        <f t="shared" ca="1" si="46"/>
        <v>0</v>
      </c>
      <c r="F783" s="21">
        <f t="shared" ca="1" si="47"/>
        <v>0</v>
      </c>
      <c r="H783" s="21">
        <v>768</v>
      </c>
      <c r="I783" s="102">
        <v>0.66770562865217442</v>
      </c>
      <c r="J783" s="103">
        <v>1.2681738414060328E-3</v>
      </c>
      <c r="K783" s="103"/>
      <c r="L783" s="103">
        <v>4.2799999999999998E-2</v>
      </c>
      <c r="O783" s="100"/>
    </row>
    <row r="784" spans="2:15" x14ac:dyDescent="0.2">
      <c r="B784" s="1">
        <v>769</v>
      </c>
      <c r="C784" s="101">
        <f t="shared" ref="C784:C847" ca="1" si="48">_xlfn.NORM.S.INV(RAND())</f>
        <v>-0.57486249443779436</v>
      </c>
      <c r="D784" s="101">
        <f t="shared" ref="D784:D847" ca="1" si="49">S0*EXP((μ-0.5*σ*σ)*T+σ*SQRT(T)*$C784)</f>
        <v>0.62786987368884983</v>
      </c>
      <c r="E784" s="101">
        <f t="shared" ref="E784:E847" ca="1" si="50">MAX(0,CP*(D784-K))</f>
        <v>0</v>
      </c>
      <c r="F784" s="21">
        <f t="shared" ref="F784:F847" ca="1" si="51">(CP*(D784-K)&gt;0)*1</f>
        <v>0</v>
      </c>
      <c r="H784" s="21">
        <v>769</v>
      </c>
      <c r="I784" s="102">
        <v>0.66774726532110618</v>
      </c>
      <c r="J784" s="103">
        <v>1.4192503811927156E-3</v>
      </c>
      <c r="K784" s="103"/>
      <c r="L784" s="103">
        <v>4.3799999999999999E-2</v>
      </c>
      <c r="O784" s="100"/>
    </row>
    <row r="785" spans="2:15" x14ac:dyDescent="0.2">
      <c r="B785" s="1">
        <v>770</v>
      </c>
      <c r="C785" s="101">
        <f t="shared" ca="1" si="48"/>
        <v>-0.10952708150059026</v>
      </c>
      <c r="D785" s="101">
        <f t="shared" ca="1" si="49"/>
        <v>0.65736159471199718</v>
      </c>
      <c r="E785" s="101">
        <f t="shared" ca="1" si="50"/>
        <v>0</v>
      </c>
      <c r="F785" s="21">
        <f t="shared" ca="1" si="51"/>
        <v>0</v>
      </c>
      <c r="H785" s="21">
        <v>770</v>
      </c>
      <c r="I785" s="102">
        <v>0.66764347510735966</v>
      </c>
      <c r="J785" s="103">
        <v>1.2708302323150857E-3</v>
      </c>
      <c r="K785" s="103"/>
      <c r="L785" s="103">
        <v>3.6999999999999998E-2</v>
      </c>
      <c r="O785" s="100"/>
    </row>
    <row r="786" spans="2:15" x14ac:dyDescent="0.2">
      <c r="B786" s="1">
        <v>771</v>
      </c>
      <c r="C786" s="101">
        <f t="shared" ca="1" si="48"/>
        <v>-0.13327498506160212</v>
      </c>
      <c r="D786" s="101">
        <f t="shared" ca="1" si="49"/>
        <v>0.65582351114789461</v>
      </c>
      <c r="E786" s="101">
        <f t="shared" ca="1" si="50"/>
        <v>0</v>
      </c>
      <c r="F786" s="21">
        <f t="shared" ca="1" si="51"/>
        <v>0</v>
      </c>
      <c r="H786" s="21">
        <v>771</v>
      </c>
      <c r="I786" s="102">
        <v>0.66781226487275824</v>
      </c>
      <c r="J786" s="103">
        <v>1.5631922973250042E-3</v>
      </c>
      <c r="K786" s="103"/>
      <c r="L786" s="103">
        <v>4.0800000000000003E-2</v>
      </c>
      <c r="O786" s="100"/>
    </row>
    <row r="787" spans="2:15" x14ac:dyDescent="0.2">
      <c r="B787" s="1">
        <v>772</v>
      </c>
      <c r="C787" s="101">
        <f t="shared" ca="1" si="48"/>
        <v>-1.6187443085106938</v>
      </c>
      <c r="D787" s="101">
        <f t="shared" ca="1" si="49"/>
        <v>0.56643540622289434</v>
      </c>
      <c r="E787" s="101">
        <f t="shared" ca="1" si="50"/>
        <v>0</v>
      </c>
      <c r="F787" s="21">
        <f t="shared" ca="1" si="51"/>
        <v>0</v>
      </c>
      <c r="H787" s="21">
        <v>772</v>
      </c>
      <c r="I787" s="102">
        <v>0.66779500326668673</v>
      </c>
      <c r="J787" s="103">
        <v>1.3673188846014754E-3</v>
      </c>
      <c r="K787" s="103"/>
      <c r="L787" s="103">
        <v>4.3799999999999999E-2</v>
      </c>
      <c r="O787" s="100"/>
    </row>
    <row r="788" spans="2:15" x14ac:dyDescent="0.2">
      <c r="B788" s="1">
        <v>773</v>
      </c>
      <c r="C788" s="101">
        <f t="shared" ca="1" si="48"/>
        <v>-0.16959315041540599</v>
      </c>
      <c r="D788" s="101">
        <f t="shared" ca="1" si="49"/>
        <v>0.6534782452284531</v>
      </c>
      <c r="E788" s="101">
        <f t="shared" ca="1" si="50"/>
        <v>0</v>
      </c>
      <c r="F788" s="21">
        <f t="shared" ca="1" si="51"/>
        <v>0</v>
      </c>
      <c r="H788" s="21">
        <v>773</v>
      </c>
      <c r="I788" s="102">
        <v>0.66764154906319872</v>
      </c>
      <c r="J788" s="103">
        <v>1.2030776733280906E-3</v>
      </c>
      <c r="K788" s="103"/>
      <c r="L788" s="103">
        <v>3.9199999999999999E-2</v>
      </c>
      <c r="O788" s="100"/>
    </row>
    <row r="789" spans="2:15" x14ac:dyDescent="0.2">
      <c r="B789" s="1">
        <v>774</v>
      </c>
      <c r="C789" s="101">
        <f t="shared" ca="1" si="48"/>
        <v>2.006395706193646E-2</v>
      </c>
      <c r="D789" s="101">
        <f t="shared" ca="1" si="49"/>
        <v>0.6658186068827856</v>
      </c>
      <c r="E789" s="101">
        <f t="shared" ca="1" si="50"/>
        <v>0</v>
      </c>
      <c r="F789" s="21">
        <f t="shared" ca="1" si="51"/>
        <v>0</v>
      </c>
      <c r="H789" s="21">
        <v>774</v>
      </c>
      <c r="I789" s="102">
        <v>0.66766732603784207</v>
      </c>
      <c r="J789" s="103">
        <v>1.2394160113276302E-3</v>
      </c>
      <c r="K789" s="103"/>
      <c r="L789" s="103">
        <v>3.6600000000000001E-2</v>
      </c>
      <c r="O789" s="100"/>
    </row>
    <row r="790" spans="2:15" x14ac:dyDescent="0.2">
      <c r="B790" s="1">
        <v>775</v>
      </c>
      <c r="C790" s="101">
        <f t="shared" ca="1" si="48"/>
        <v>-0.4700142661064724</v>
      </c>
      <c r="D790" s="101">
        <f t="shared" ca="1" si="49"/>
        <v>0.63439723111784163</v>
      </c>
      <c r="E790" s="101">
        <f t="shared" ca="1" si="50"/>
        <v>0</v>
      </c>
      <c r="F790" s="21">
        <f t="shared" ca="1" si="51"/>
        <v>0</v>
      </c>
      <c r="H790" s="21">
        <v>775</v>
      </c>
      <c r="I790" s="102">
        <v>0.66782497497872451</v>
      </c>
      <c r="J790" s="103">
        <v>1.4696017723797882E-3</v>
      </c>
      <c r="K790" s="103"/>
      <c r="L790" s="103">
        <v>4.36E-2</v>
      </c>
      <c r="O790" s="100"/>
    </row>
    <row r="791" spans="2:15" x14ac:dyDescent="0.2">
      <c r="B791" s="1">
        <v>776</v>
      </c>
      <c r="C791" s="101">
        <f t="shared" ca="1" si="48"/>
        <v>0.1845947625422156</v>
      </c>
      <c r="D791" s="101">
        <f t="shared" ca="1" si="49"/>
        <v>0.67671269836015224</v>
      </c>
      <c r="E791" s="101">
        <f t="shared" ca="1" si="50"/>
        <v>0</v>
      </c>
      <c r="F791" s="21">
        <f t="shared" ca="1" si="51"/>
        <v>0</v>
      </c>
      <c r="H791" s="21">
        <v>776</v>
      </c>
      <c r="I791" s="102">
        <v>0.6675443110026259</v>
      </c>
      <c r="J791" s="103">
        <v>1.1357898693858334E-3</v>
      </c>
      <c r="K791" s="103"/>
      <c r="L791" s="103">
        <v>3.6999999999999998E-2</v>
      </c>
      <c r="O791" s="100"/>
    </row>
    <row r="792" spans="2:15" x14ac:dyDescent="0.2">
      <c r="B792" s="1">
        <v>777</v>
      </c>
      <c r="C792" s="101">
        <f t="shared" ca="1" si="48"/>
        <v>-0.88068431002266823</v>
      </c>
      <c r="D792" s="101">
        <f t="shared" ca="1" si="49"/>
        <v>0.6092119691536807</v>
      </c>
      <c r="E792" s="101">
        <f t="shared" ca="1" si="50"/>
        <v>0</v>
      </c>
      <c r="F792" s="21">
        <f t="shared" ca="1" si="51"/>
        <v>0</v>
      </c>
      <c r="H792" s="21">
        <v>777</v>
      </c>
      <c r="I792" s="102">
        <v>0.66764908717258109</v>
      </c>
      <c r="J792" s="103">
        <v>1.2027774362129847E-3</v>
      </c>
      <c r="K792" s="103"/>
      <c r="L792" s="103">
        <v>3.8600000000000002E-2</v>
      </c>
      <c r="O792" s="100"/>
    </row>
    <row r="793" spans="2:15" x14ac:dyDescent="0.2">
      <c r="B793" s="1">
        <v>778</v>
      </c>
      <c r="C793" s="101">
        <f t="shared" ca="1" si="48"/>
        <v>-0.798157464545179</v>
      </c>
      <c r="D793" s="101">
        <f t="shared" ca="1" si="49"/>
        <v>0.61419153490879752</v>
      </c>
      <c r="E793" s="101">
        <f t="shared" ca="1" si="50"/>
        <v>0</v>
      </c>
      <c r="F793" s="21">
        <f t="shared" ca="1" si="51"/>
        <v>0</v>
      </c>
      <c r="H793" s="21">
        <v>778</v>
      </c>
      <c r="I793" s="102">
        <v>0.66771108462065898</v>
      </c>
      <c r="J793" s="103">
        <v>1.4078902916034399E-3</v>
      </c>
      <c r="K793" s="103"/>
      <c r="L793" s="103">
        <v>4.1399999999999999E-2</v>
      </c>
      <c r="O793" s="100"/>
    </row>
    <row r="794" spans="2:15" x14ac:dyDescent="0.2">
      <c r="B794" s="1">
        <v>779</v>
      </c>
      <c r="C794" s="101">
        <f t="shared" ca="1" si="48"/>
        <v>-0.49776601192421666</v>
      </c>
      <c r="D794" s="101">
        <f t="shared" ca="1" si="49"/>
        <v>0.63266296319944826</v>
      </c>
      <c r="E794" s="101">
        <f t="shared" ca="1" si="50"/>
        <v>0</v>
      </c>
      <c r="F794" s="21">
        <f t="shared" ca="1" si="51"/>
        <v>0</v>
      </c>
      <c r="H794" s="21">
        <v>779</v>
      </c>
      <c r="I794" s="102">
        <v>0.66764421897504278</v>
      </c>
      <c r="J794" s="103">
        <v>1.1997899628168813E-3</v>
      </c>
      <c r="K794" s="103"/>
      <c r="L794" s="103">
        <v>4.02E-2</v>
      </c>
      <c r="O794" s="100"/>
    </row>
    <row r="795" spans="2:15" x14ac:dyDescent="0.2">
      <c r="B795" s="1">
        <v>780</v>
      </c>
      <c r="C795" s="101">
        <f t="shared" ca="1" si="48"/>
        <v>-2.8433073310514811</v>
      </c>
      <c r="D795" s="101">
        <f t="shared" ca="1" si="49"/>
        <v>0.50198514688966889</v>
      </c>
      <c r="E795" s="101">
        <f t="shared" ca="1" si="50"/>
        <v>0</v>
      </c>
      <c r="F795" s="21">
        <f t="shared" ca="1" si="51"/>
        <v>0</v>
      </c>
      <c r="H795" s="21">
        <v>780</v>
      </c>
      <c r="I795" s="102">
        <v>0.66778108842600092</v>
      </c>
      <c r="J795" s="103">
        <v>1.4442962879996203E-3</v>
      </c>
      <c r="K795" s="103"/>
      <c r="L795" s="103">
        <v>4.1399999999999999E-2</v>
      </c>
      <c r="O795" s="100"/>
    </row>
    <row r="796" spans="2:15" x14ac:dyDescent="0.2">
      <c r="B796" s="1">
        <v>781</v>
      </c>
      <c r="C796" s="101">
        <f t="shared" ca="1" si="48"/>
        <v>-0.30083923458838824</v>
      </c>
      <c r="D796" s="101">
        <f t="shared" ca="1" si="49"/>
        <v>0.64507265582273943</v>
      </c>
      <c r="E796" s="101">
        <f t="shared" ca="1" si="50"/>
        <v>0</v>
      </c>
      <c r="F796" s="21">
        <f t="shared" ca="1" si="51"/>
        <v>0</v>
      </c>
      <c r="H796" s="21">
        <v>781</v>
      </c>
      <c r="I796" s="102">
        <v>0.66783266110209527</v>
      </c>
      <c r="J796" s="103">
        <v>1.5418554634735228E-3</v>
      </c>
      <c r="K796" s="103"/>
      <c r="L796" s="103">
        <v>4.8000000000000001E-2</v>
      </c>
      <c r="O796" s="100"/>
    </row>
    <row r="797" spans="2:15" x14ac:dyDescent="0.2">
      <c r="B797" s="1">
        <v>782</v>
      </c>
      <c r="C797" s="101">
        <f t="shared" ca="1" si="48"/>
        <v>0.28071641073123471</v>
      </c>
      <c r="D797" s="101">
        <f t="shared" ca="1" si="49"/>
        <v>0.68315950966100725</v>
      </c>
      <c r="E797" s="101">
        <f t="shared" ca="1" si="50"/>
        <v>0</v>
      </c>
      <c r="F797" s="21">
        <f t="shared" ca="1" si="51"/>
        <v>0</v>
      </c>
      <c r="H797" s="21">
        <v>782</v>
      </c>
      <c r="I797" s="102">
        <v>0.66764298389658039</v>
      </c>
      <c r="J797" s="103">
        <v>1.236192501158881E-3</v>
      </c>
      <c r="K797" s="103"/>
      <c r="L797" s="103">
        <v>3.7400000000000003E-2</v>
      </c>
      <c r="O797" s="100"/>
    </row>
    <row r="798" spans="2:15" x14ac:dyDescent="0.2">
      <c r="B798" s="1">
        <v>783</v>
      </c>
      <c r="C798" s="101">
        <f t="shared" ca="1" si="48"/>
        <v>-1.1779962390775238</v>
      </c>
      <c r="D798" s="101">
        <f t="shared" ca="1" si="49"/>
        <v>0.5916049070309759</v>
      </c>
      <c r="E798" s="101">
        <f t="shared" ca="1" si="50"/>
        <v>0</v>
      </c>
      <c r="F798" s="21">
        <f t="shared" ca="1" si="51"/>
        <v>0</v>
      </c>
      <c r="H798" s="21">
        <v>783</v>
      </c>
      <c r="I798" s="102">
        <v>0.66771674528368297</v>
      </c>
      <c r="J798" s="103">
        <v>1.278281133630382E-3</v>
      </c>
      <c r="K798" s="103"/>
      <c r="L798" s="103">
        <v>3.9399999999999998E-2</v>
      </c>
      <c r="O798" s="100"/>
    </row>
    <row r="799" spans="2:15" x14ac:dyDescent="0.2">
      <c r="B799" s="1">
        <v>784</v>
      </c>
      <c r="C799" s="101">
        <f t="shared" ca="1" si="48"/>
        <v>-2.1046924230857917</v>
      </c>
      <c r="D799" s="101">
        <f t="shared" ca="1" si="49"/>
        <v>0.53992405195395887</v>
      </c>
      <c r="E799" s="101">
        <f t="shared" ca="1" si="50"/>
        <v>0</v>
      </c>
      <c r="F799" s="21">
        <f t="shared" ca="1" si="51"/>
        <v>0</v>
      </c>
      <c r="H799" s="21">
        <v>784</v>
      </c>
      <c r="I799" s="102">
        <v>0.66777591253499891</v>
      </c>
      <c r="J799" s="103">
        <v>1.4426437416055502E-3</v>
      </c>
      <c r="K799" s="103"/>
      <c r="L799" s="103">
        <v>4.2200000000000001E-2</v>
      </c>
      <c r="O799" s="100"/>
    </row>
    <row r="800" spans="2:15" x14ac:dyDescent="0.2">
      <c r="B800" s="1">
        <v>785</v>
      </c>
      <c r="C800" s="101">
        <f t="shared" ca="1" si="48"/>
        <v>0.14495523535006999</v>
      </c>
      <c r="D800" s="101">
        <f t="shared" ca="1" si="49"/>
        <v>0.67407185341597253</v>
      </c>
      <c r="E800" s="101">
        <f t="shared" ca="1" si="50"/>
        <v>0</v>
      </c>
      <c r="F800" s="21">
        <f t="shared" ca="1" si="51"/>
        <v>0</v>
      </c>
      <c r="H800" s="21">
        <v>785</v>
      </c>
      <c r="I800" s="102">
        <v>0.66786278207060823</v>
      </c>
      <c r="J800" s="103">
        <v>1.4897731430824634E-3</v>
      </c>
      <c r="K800" s="103"/>
      <c r="L800" s="103">
        <v>4.1200000000000001E-2</v>
      </c>
      <c r="O800" s="100"/>
    </row>
    <row r="801" spans="2:15" x14ac:dyDescent="0.2">
      <c r="B801" s="1">
        <v>786</v>
      </c>
      <c r="C801" s="101">
        <f t="shared" ca="1" si="48"/>
        <v>-0.99336810864378799</v>
      </c>
      <c r="D801" s="101">
        <f t="shared" ca="1" si="49"/>
        <v>0.60247790281712776</v>
      </c>
      <c r="E801" s="101">
        <f t="shared" ca="1" si="50"/>
        <v>0</v>
      </c>
      <c r="F801" s="21">
        <f t="shared" ca="1" si="51"/>
        <v>0</v>
      </c>
      <c r="H801" s="21">
        <v>786</v>
      </c>
      <c r="I801" s="102">
        <v>0.66772396410049561</v>
      </c>
      <c r="J801" s="103">
        <v>1.4575555220597163E-3</v>
      </c>
      <c r="K801" s="103"/>
      <c r="L801" s="103">
        <v>4.2000000000000003E-2</v>
      </c>
      <c r="O801" s="100"/>
    </row>
    <row r="802" spans="2:15" x14ac:dyDescent="0.2">
      <c r="B802" s="1">
        <v>787</v>
      </c>
      <c r="C802" s="101">
        <f t="shared" ca="1" si="48"/>
        <v>-0.10951274718054219</v>
      </c>
      <c r="D802" s="101">
        <f t="shared" ca="1" si="49"/>
        <v>0.65736252419324448</v>
      </c>
      <c r="E802" s="101">
        <f t="shared" ca="1" si="50"/>
        <v>0</v>
      </c>
      <c r="F802" s="21">
        <f t="shared" ca="1" si="51"/>
        <v>0</v>
      </c>
      <c r="H802" s="21">
        <v>787</v>
      </c>
      <c r="I802" s="102">
        <v>0.66754919580929017</v>
      </c>
      <c r="J802" s="103">
        <v>1.1128704799793184E-3</v>
      </c>
      <c r="K802" s="103"/>
      <c r="L802" s="103">
        <v>3.5000000000000003E-2</v>
      </c>
      <c r="O802" s="100"/>
    </row>
    <row r="803" spans="2:15" x14ac:dyDescent="0.2">
      <c r="B803" s="1">
        <v>788</v>
      </c>
      <c r="C803" s="101">
        <f t="shared" ca="1" si="48"/>
        <v>-0.70245506703338878</v>
      </c>
      <c r="D803" s="101">
        <f t="shared" ca="1" si="49"/>
        <v>0.62001708677702883</v>
      </c>
      <c r="E803" s="101">
        <f t="shared" ca="1" si="50"/>
        <v>0</v>
      </c>
      <c r="F803" s="21">
        <f t="shared" ca="1" si="51"/>
        <v>0</v>
      </c>
      <c r="H803" s="21">
        <v>788</v>
      </c>
      <c r="I803" s="102">
        <v>0.66758789639297567</v>
      </c>
      <c r="J803" s="103">
        <v>1.215096507641259E-3</v>
      </c>
      <c r="K803" s="103"/>
      <c r="L803" s="103">
        <v>3.5200000000000002E-2</v>
      </c>
      <c r="O803" s="100"/>
    </row>
    <row r="804" spans="2:15" x14ac:dyDescent="0.2">
      <c r="B804" s="1">
        <v>789</v>
      </c>
      <c r="C804" s="101">
        <f t="shared" ca="1" si="48"/>
        <v>1.1295286734323113</v>
      </c>
      <c r="D804" s="101">
        <f t="shared" ca="1" si="49"/>
        <v>0.74282192216415732</v>
      </c>
      <c r="E804" s="101">
        <f t="shared" ca="1" si="50"/>
        <v>0</v>
      </c>
      <c r="F804" s="21">
        <f t="shared" ca="1" si="51"/>
        <v>0</v>
      </c>
      <c r="H804" s="21">
        <v>789</v>
      </c>
      <c r="I804" s="102">
        <v>0.66772232147271438</v>
      </c>
      <c r="J804" s="103">
        <v>1.3498625881311664E-3</v>
      </c>
      <c r="K804" s="103"/>
      <c r="L804" s="103">
        <v>3.9600000000000003E-2</v>
      </c>
      <c r="O804" s="100"/>
    </row>
    <row r="805" spans="2:15" x14ac:dyDescent="0.2">
      <c r="B805" s="1">
        <v>790</v>
      </c>
      <c r="C805" s="101">
        <f t="shared" ca="1" si="48"/>
        <v>-0.12662214422020357</v>
      </c>
      <c r="D805" s="101">
        <f t="shared" ca="1" si="49"/>
        <v>0.65625403332323518</v>
      </c>
      <c r="E805" s="101">
        <f t="shared" ca="1" si="50"/>
        <v>0</v>
      </c>
      <c r="F805" s="21">
        <f t="shared" ca="1" si="51"/>
        <v>0</v>
      </c>
      <c r="H805" s="21">
        <v>790</v>
      </c>
      <c r="I805" s="102">
        <v>0.66768220437479253</v>
      </c>
      <c r="J805" s="103">
        <v>1.2291559514406205E-3</v>
      </c>
      <c r="K805" s="103"/>
      <c r="L805" s="103">
        <v>3.9199999999999999E-2</v>
      </c>
      <c r="O805" s="100"/>
    </row>
    <row r="806" spans="2:15" x14ac:dyDescent="0.2">
      <c r="B806" s="1">
        <v>791</v>
      </c>
      <c r="C806" s="101">
        <f t="shared" ca="1" si="48"/>
        <v>-0.21812249504850281</v>
      </c>
      <c r="D806" s="101">
        <f t="shared" ca="1" si="49"/>
        <v>0.65035752100291155</v>
      </c>
      <c r="E806" s="101">
        <f t="shared" ca="1" si="50"/>
        <v>0</v>
      </c>
      <c r="F806" s="21">
        <f t="shared" ca="1" si="51"/>
        <v>0</v>
      </c>
      <c r="H806" s="21">
        <v>791</v>
      </c>
      <c r="I806" s="102">
        <v>0.66782075541965169</v>
      </c>
      <c r="J806" s="103">
        <v>1.5861333431139799E-3</v>
      </c>
      <c r="K806" s="103"/>
      <c r="L806" s="103">
        <v>4.5600000000000002E-2</v>
      </c>
      <c r="O806" s="100"/>
    </row>
    <row r="807" spans="2:15" x14ac:dyDescent="0.2">
      <c r="B807" s="1">
        <v>792</v>
      </c>
      <c r="C807" s="101">
        <f t="shared" ca="1" si="48"/>
        <v>-0.67822857961500804</v>
      </c>
      <c r="D807" s="101">
        <f t="shared" ca="1" si="49"/>
        <v>0.62150053378421555</v>
      </c>
      <c r="E807" s="101">
        <f t="shared" ca="1" si="50"/>
        <v>0</v>
      </c>
      <c r="F807" s="21">
        <f t="shared" ca="1" si="51"/>
        <v>0</v>
      </c>
      <c r="H807" s="21">
        <v>792</v>
      </c>
      <c r="I807" s="102">
        <v>0.66771575569537511</v>
      </c>
      <c r="J807" s="103">
        <v>1.3342713968720423E-3</v>
      </c>
      <c r="K807" s="103"/>
      <c r="L807" s="103">
        <v>4.1000000000000002E-2</v>
      </c>
      <c r="O807" s="100"/>
    </row>
    <row r="808" spans="2:15" x14ac:dyDescent="0.2">
      <c r="B808" s="1">
        <v>793</v>
      </c>
      <c r="C808" s="101">
        <f t="shared" ca="1" si="48"/>
        <v>-0.4231502351581154</v>
      </c>
      <c r="D808" s="101">
        <f t="shared" ca="1" si="49"/>
        <v>0.63733666719640836</v>
      </c>
      <c r="E808" s="101">
        <f t="shared" ca="1" si="50"/>
        <v>0</v>
      </c>
      <c r="F808" s="21">
        <f t="shared" ca="1" si="51"/>
        <v>0</v>
      </c>
      <c r="H808" s="21">
        <v>793</v>
      </c>
      <c r="I808" s="102">
        <v>0.66773074613090111</v>
      </c>
      <c r="J808" s="103">
        <v>1.4611104725566957E-3</v>
      </c>
      <c r="K808" s="103"/>
      <c r="L808" s="103">
        <v>4.36E-2</v>
      </c>
      <c r="O808" s="100"/>
    </row>
    <row r="809" spans="2:15" x14ac:dyDescent="0.2">
      <c r="B809" s="1">
        <v>794</v>
      </c>
      <c r="C809" s="101">
        <f t="shared" ca="1" si="48"/>
        <v>1.6877192380620121</v>
      </c>
      <c r="D809" s="101">
        <f t="shared" ca="1" si="49"/>
        <v>0.78486913685641935</v>
      </c>
      <c r="E809" s="101">
        <f t="shared" ca="1" si="50"/>
        <v>0</v>
      </c>
      <c r="F809" s="21">
        <f t="shared" ca="1" si="51"/>
        <v>0</v>
      </c>
      <c r="H809" s="21">
        <v>794</v>
      </c>
      <c r="I809" s="102">
        <v>0.66783662838959046</v>
      </c>
      <c r="J809" s="103">
        <v>1.4801164696031576E-3</v>
      </c>
      <c r="K809" s="103"/>
      <c r="L809" s="103">
        <v>4.36E-2</v>
      </c>
      <c r="O809" s="100"/>
    </row>
    <row r="810" spans="2:15" x14ac:dyDescent="0.2">
      <c r="B810" s="1">
        <v>795</v>
      </c>
      <c r="C810" s="101">
        <f t="shared" ca="1" si="48"/>
        <v>-0.93291786425284362</v>
      </c>
      <c r="D810" s="101">
        <f t="shared" ca="1" si="49"/>
        <v>0.60608114583289829</v>
      </c>
      <c r="E810" s="101">
        <f t="shared" ca="1" si="50"/>
        <v>0</v>
      </c>
      <c r="F810" s="21">
        <f t="shared" ca="1" si="51"/>
        <v>0</v>
      </c>
      <c r="H810" s="21">
        <v>795</v>
      </c>
      <c r="I810" s="102">
        <v>0.66773040096617886</v>
      </c>
      <c r="J810" s="103">
        <v>1.3465184470115069E-3</v>
      </c>
      <c r="K810" s="103"/>
      <c r="L810" s="103">
        <v>4.1200000000000001E-2</v>
      </c>
      <c r="O810" s="100"/>
    </row>
    <row r="811" spans="2:15" x14ac:dyDescent="0.2">
      <c r="B811" s="1">
        <v>796</v>
      </c>
      <c r="C811" s="101">
        <f t="shared" ca="1" si="48"/>
        <v>-0.24453244747027339</v>
      </c>
      <c r="D811" s="101">
        <f t="shared" ca="1" si="49"/>
        <v>0.64866547129924357</v>
      </c>
      <c r="E811" s="101">
        <f t="shared" ca="1" si="50"/>
        <v>0</v>
      </c>
      <c r="F811" s="21">
        <f t="shared" ca="1" si="51"/>
        <v>0</v>
      </c>
      <c r="H811" s="21">
        <v>796</v>
      </c>
      <c r="I811" s="102">
        <v>0.66776421618822668</v>
      </c>
      <c r="J811" s="103">
        <v>1.3954425769236644E-3</v>
      </c>
      <c r="K811" s="103"/>
      <c r="L811" s="103">
        <v>4.3999999999999997E-2</v>
      </c>
      <c r="O811" s="100"/>
    </row>
    <row r="812" spans="2:15" x14ac:dyDescent="0.2">
      <c r="B812" s="1">
        <v>797</v>
      </c>
      <c r="C812" s="101">
        <f t="shared" ca="1" si="48"/>
        <v>-1.6589574399316211</v>
      </c>
      <c r="D812" s="101">
        <f t="shared" ca="1" si="49"/>
        <v>0.56419299056269767</v>
      </c>
      <c r="E812" s="101">
        <f t="shared" ca="1" si="50"/>
        <v>0</v>
      </c>
      <c r="F812" s="21">
        <f t="shared" ca="1" si="51"/>
        <v>0</v>
      </c>
      <c r="H812" s="21">
        <v>797</v>
      </c>
      <c r="I812" s="102">
        <v>0.66771679603892131</v>
      </c>
      <c r="J812" s="103">
        <v>1.2380854330788658E-3</v>
      </c>
      <c r="K812" s="103"/>
      <c r="L812" s="103">
        <v>4.1399999999999999E-2</v>
      </c>
      <c r="O812" s="100"/>
    </row>
    <row r="813" spans="2:15" x14ac:dyDescent="0.2">
      <c r="B813" s="1">
        <v>798</v>
      </c>
      <c r="C813" s="101">
        <f t="shared" ca="1" si="48"/>
        <v>-0.11655653112009409</v>
      </c>
      <c r="D813" s="101">
        <f t="shared" ca="1" si="49"/>
        <v>0.656905941967031</v>
      </c>
      <c r="E813" s="101">
        <f t="shared" ca="1" si="50"/>
        <v>0</v>
      </c>
      <c r="F813" s="21">
        <f t="shared" ca="1" si="51"/>
        <v>0</v>
      </c>
      <c r="H813" s="21">
        <v>798</v>
      </c>
      <c r="I813" s="102">
        <v>0.66779874025212926</v>
      </c>
      <c r="J813" s="103">
        <v>1.4432770683633813E-3</v>
      </c>
      <c r="K813" s="103"/>
      <c r="L813" s="103">
        <v>4.3200000000000002E-2</v>
      </c>
      <c r="O813" s="100"/>
    </row>
    <row r="814" spans="2:15" x14ac:dyDescent="0.2">
      <c r="B814" s="1">
        <v>799</v>
      </c>
      <c r="C814" s="101">
        <f t="shared" ca="1" si="48"/>
        <v>3.7266126346043461E-2</v>
      </c>
      <c r="D814" s="101">
        <f t="shared" ca="1" si="49"/>
        <v>0.6669493567953575</v>
      </c>
      <c r="E814" s="101">
        <f t="shared" ca="1" si="50"/>
        <v>0</v>
      </c>
      <c r="F814" s="21">
        <f t="shared" ca="1" si="51"/>
        <v>0</v>
      </c>
      <c r="H814" s="21">
        <v>799</v>
      </c>
      <c r="I814" s="102">
        <v>0.66782839114820225</v>
      </c>
      <c r="J814" s="103">
        <v>1.3450417483404972E-3</v>
      </c>
      <c r="K814" s="103"/>
      <c r="L814" s="103">
        <v>4.5600000000000002E-2</v>
      </c>
      <c r="O814" s="100"/>
    </row>
    <row r="815" spans="2:15" x14ac:dyDescent="0.2">
      <c r="B815" s="1">
        <v>800</v>
      </c>
      <c r="C815" s="101">
        <f t="shared" ca="1" si="48"/>
        <v>1.1820058001849494</v>
      </c>
      <c r="D815" s="101">
        <f t="shared" ca="1" si="49"/>
        <v>0.7466770447283626</v>
      </c>
      <c r="E815" s="101">
        <f t="shared" ca="1" si="50"/>
        <v>0</v>
      </c>
      <c r="F815" s="21">
        <f t="shared" ca="1" si="51"/>
        <v>0</v>
      </c>
      <c r="H815" s="21">
        <v>800</v>
      </c>
      <c r="I815" s="102">
        <v>0.66766980854628122</v>
      </c>
      <c r="J815" s="103">
        <v>1.2669719559321589E-3</v>
      </c>
      <c r="K815" s="103"/>
      <c r="L815" s="103">
        <v>3.78E-2</v>
      </c>
      <c r="O815" s="100"/>
    </row>
    <row r="816" spans="2:15" x14ac:dyDescent="0.2">
      <c r="B816" s="1">
        <v>801</v>
      </c>
      <c r="C816" s="101">
        <f t="shared" ca="1" si="48"/>
        <v>0.38621339203217547</v>
      </c>
      <c r="D816" s="101">
        <f t="shared" ca="1" si="49"/>
        <v>0.69030583401906009</v>
      </c>
      <c r="E816" s="101">
        <f t="shared" ca="1" si="50"/>
        <v>0</v>
      </c>
      <c r="F816" s="21">
        <f t="shared" ca="1" si="51"/>
        <v>0</v>
      </c>
      <c r="H816" s="21">
        <v>801</v>
      </c>
      <c r="I816" s="102">
        <v>0.66755477041155264</v>
      </c>
      <c r="J816" s="103">
        <v>1.1974599076621964E-3</v>
      </c>
      <c r="K816" s="103"/>
      <c r="L816" s="103">
        <v>3.8600000000000002E-2</v>
      </c>
      <c r="O816" s="100"/>
    </row>
    <row r="817" spans="2:15" x14ac:dyDescent="0.2">
      <c r="B817" s="1">
        <v>802</v>
      </c>
      <c r="C817" s="101">
        <f t="shared" ca="1" si="48"/>
        <v>1.6668222483944515</v>
      </c>
      <c r="D817" s="101">
        <f t="shared" ca="1" si="49"/>
        <v>0.78325294709842253</v>
      </c>
      <c r="E817" s="101">
        <f t="shared" ca="1" si="50"/>
        <v>0</v>
      </c>
      <c r="F817" s="21">
        <f t="shared" ca="1" si="51"/>
        <v>0</v>
      </c>
      <c r="H817" s="21">
        <v>802</v>
      </c>
      <c r="I817" s="102">
        <v>0.66760516269107173</v>
      </c>
      <c r="J817" s="103">
        <v>1.2316797514794764E-3</v>
      </c>
      <c r="K817" s="103"/>
      <c r="L817" s="103">
        <v>4.1799999999999997E-2</v>
      </c>
      <c r="O817" s="100"/>
    </row>
    <row r="818" spans="2:15" x14ac:dyDescent="0.2">
      <c r="B818" s="1">
        <v>803</v>
      </c>
      <c r="C818" s="101">
        <f t="shared" ca="1" si="48"/>
        <v>0.10897313593038761</v>
      </c>
      <c r="D818" s="101">
        <f t="shared" ca="1" si="49"/>
        <v>0.6716835962174984</v>
      </c>
      <c r="E818" s="101">
        <f t="shared" ca="1" si="50"/>
        <v>0</v>
      </c>
      <c r="F818" s="21">
        <f t="shared" ca="1" si="51"/>
        <v>0</v>
      </c>
      <c r="H818" s="21">
        <v>803</v>
      </c>
      <c r="I818" s="102">
        <v>0.66806279212728725</v>
      </c>
      <c r="J818" s="103">
        <v>1.6884679487957064E-3</v>
      </c>
      <c r="K818" s="103"/>
      <c r="L818" s="103">
        <v>5.0200000000000002E-2</v>
      </c>
      <c r="O818" s="100"/>
    </row>
    <row r="819" spans="2:15" x14ac:dyDescent="0.2">
      <c r="B819" s="1">
        <v>804</v>
      </c>
      <c r="C819" s="101">
        <f t="shared" ca="1" si="48"/>
        <v>-2.4225718372321721</v>
      </c>
      <c r="D819" s="101">
        <f t="shared" ca="1" si="49"/>
        <v>0.52325684256717186</v>
      </c>
      <c r="E819" s="101">
        <f t="shared" ca="1" si="50"/>
        <v>0</v>
      </c>
      <c r="F819" s="21">
        <f t="shared" ca="1" si="51"/>
        <v>0</v>
      </c>
      <c r="H819" s="21">
        <v>804</v>
      </c>
      <c r="I819" s="102">
        <v>0.66762684661589822</v>
      </c>
      <c r="J819" s="103">
        <v>1.0537120165200575E-3</v>
      </c>
      <c r="K819" s="103"/>
      <c r="L819" s="103">
        <v>3.9199999999999999E-2</v>
      </c>
      <c r="O819" s="100"/>
    </row>
    <row r="820" spans="2:15" x14ac:dyDescent="0.2">
      <c r="B820" s="1">
        <v>805</v>
      </c>
      <c r="C820" s="101">
        <f t="shared" ca="1" si="48"/>
        <v>0.10007331892426082</v>
      </c>
      <c r="D820" s="101">
        <f t="shared" ca="1" si="49"/>
        <v>0.6710941908284308</v>
      </c>
      <c r="E820" s="101">
        <f t="shared" ca="1" si="50"/>
        <v>0</v>
      </c>
      <c r="F820" s="21">
        <f t="shared" ca="1" si="51"/>
        <v>0</v>
      </c>
      <c r="H820" s="21">
        <v>805</v>
      </c>
      <c r="I820" s="102">
        <v>0.66765820016150412</v>
      </c>
      <c r="J820" s="103">
        <v>1.2266580108131276E-3</v>
      </c>
      <c r="K820" s="103"/>
      <c r="L820" s="103">
        <v>3.9800000000000002E-2</v>
      </c>
      <c r="O820" s="100"/>
    </row>
    <row r="821" spans="2:15" x14ac:dyDescent="0.2">
      <c r="B821" s="1">
        <v>806</v>
      </c>
      <c r="C821" s="101">
        <f t="shared" ca="1" si="48"/>
        <v>0.71630454279475875</v>
      </c>
      <c r="D821" s="101">
        <f t="shared" ca="1" si="49"/>
        <v>0.71315255940349509</v>
      </c>
      <c r="E821" s="101">
        <f t="shared" ca="1" si="50"/>
        <v>0</v>
      </c>
      <c r="F821" s="21">
        <f t="shared" ca="1" si="51"/>
        <v>0</v>
      </c>
      <c r="H821" s="21">
        <v>806</v>
      </c>
      <c r="I821" s="102">
        <v>0.66783181555480808</v>
      </c>
      <c r="J821" s="103">
        <v>1.4920389237816319E-3</v>
      </c>
      <c r="K821" s="103"/>
      <c r="L821" s="103">
        <v>4.2000000000000003E-2</v>
      </c>
      <c r="O821" s="100"/>
    </row>
    <row r="822" spans="2:15" x14ac:dyDescent="0.2">
      <c r="B822" s="1">
        <v>807</v>
      </c>
      <c r="C822" s="101">
        <f t="shared" ca="1" si="48"/>
        <v>0.58363820232862196</v>
      </c>
      <c r="D822" s="101">
        <f t="shared" ca="1" si="49"/>
        <v>0.70388077077893441</v>
      </c>
      <c r="E822" s="101">
        <f t="shared" ca="1" si="50"/>
        <v>0</v>
      </c>
      <c r="F822" s="21">
        <f t="shared" ca="1" si="51"/>
        <v>0</v>
      </c>
      <c r="H822" s="21">
        <v>807</v>
      </c>
      <c r="I822" s="102">
        <v>0.66783286945849674</v>
      </c>
      <c r="J822" s="103">
        <v>1.50278974535713E-3</v>
      </c>
      <c r="K822" s="103"/>
      <c r="L822" s="103">
        <v>4.3999999999999997E-2</v>
      </c>
      <c r="O822" s="100"/>
    </row>
    <row r="823" spans="2:15" x14ac:dyDescent="0.2">
      <c r="B823" s="1">
        <v>808</v>
      </c>
      <c r="C823" s="101">
        <f t="shared" ca="1" si="48"/>
        <v>0.39494470982759738</v>
      </c>
      <c r="D823" s="101">
        <f t="shared" ca="1" si="49"/>
        <v>0.69090062897322546</v>
      </c>
      <c r="E823" s="101">
        <f t="shared" ca="1" si="50"/>
        <v>0</v>
      </c>
      <c r="F823" s="21">
        <f t="shared" ca="1" si="51"/>
        <v>0</v>
      </c>
      <c r="H823" s="21">
        <v>808</v>
      </c>
      <c r="I823" s="102">
        <v>0.66779221573046965</v>
      </c>
      <c r="J823" s="103">
        <v>1.4267616826818092E-3</v>
      </c>
      <c r="K823" s="103"/>
      <c r="L823" s="103">
        <v>3.9600000000000003E-2</v>
      </c>
      <c r="O823" s="100"/>
    </row>
    <row r="824" spans="2:15" x14ac:dyDescent="0.2">
      <c r="B824" s="1">
        <v>809</v>
      </c>
      <c r="C824" s="101">
        <f t="shared" ca="1" si="48"/>
        <v>-0.39636298710435652</v>
      </c>
      <c r="D824" s="101">
        <f t="shared" ca="1" si="49"/>
        <v>0.63902294764990863</v>
      </c>
      <c r="E824" s="101">
        <f t="shared" ca="1" si="50"/>
        <v>0</v>
      </c>
      <c r="F824" s="21">
        <f t="shared" ca="1" si="51"/>
        <v>0</v>
      </c>
      <c r="H824" s="21">
        <v>809</v>
      </c>
      <c r="I824" s="102">
        <v>0.66773051761561852</v>
      </c>
      <c r="J824" s="103">
        <v>1.3258105698733319E-3</v>
      </c>
      <c r="K824" s="103"/>
      <c r="L824" s="103">
        <v>4.2999999999999997E-2</v>
      </c>
      <c r="O824" s="100"/>
    </row>
    <row r="825" spans="2:15" x14ac:dyDescent="0.2">
      <c r="B825" s="1">
        <v>810</v>
      </c>
      <c r="C825" s="101">
        <f t="shared" ca="1" si="48"/>
        <v>1.0899650729789891</v>
      </c>
      <c r="D825" s="101">
        <f t="shared" ca="1" si="49"/>
        <v>0.73992863023456557</v>
      </c>
      <c r="E825" s="101">
        <f t="shared" ca="1" si="50"/>
        <v>0</v>
      </c>
      <c r="F825" s="21">
        <f t="shared" ca="1" si="51"/>
        <v>0</v>
      </c>
      <c r="H825" s="21">
        <v>810</v>
      </c>
      <c r="I825" s="102">
        <v>0.66761987683961155</v>
      </c>
      <c r="J825" s="103">
        <v>1.1739761082147366E-3</v>
      </c>
      <c r="K825" s="103"/>
      <c r="L825" s="103">
        <v>3.8399999999999997E-2</v>
      </c>
      <c r="O825" s="100"/>
    </row>
    <row r="826" spans="2:15" x14ac:dyDescent="0.2">
      <c r="B826" s="1">
        <v>811</v>
      </c>
      <c r="C826" s="101">
        <f t="shared" ca="1" si="48"/>
        <v>-0.24292284576147297</v>
      </c>
      <c r="D826" s="101">
        <f t="shared" ca="1" si="49"/>
        <v>0.64876847019854023</v>
      </c>
      <c r="E826" s="101">
        <f t="shared" ca="1" si="50"/>
        <v>0</v>
      </c>
      <c r="F826" s="21">
        <f t="shared" ca="1" si="51"/>
        <v>0</v>
      </c>
      <c r="H826" s="21">
        <v>811</v>
      </c>
      <c r="I826" s="102">
        <v>0.66770417746880917</v>
      </c>
      <c r="J826" s="103">
        <v>1.3715963524331776E-3</v>
      </c>
      <c r="K826" s="103"/>
      <c r="L826" s="103">
        <v>4.2200000000000001E-2</v>
      </c>
      <c r="O826" s="100"/>
    </row>
    <row r="827" spans="2:15" x14ac:dyDescent="0.2">
      <c r="B827" s="1">
        <v>812</v>
      </c>
      <c r="C827" s="101">
        <f t="shared" ca="1" si="48"/>
        <v>1.5199418985716564</v>
      </c>
      <c r="D827" s="101">
        <f t="shared" ca="1" si="49"/>
        <v>0.77198662137021345</v>
      </c>
      <c r="E827" s="101">
        <f t="shared" ca="1" si="50"/>
        <v>0</v>
      </c>
      <c r="F827" s="21">
        <f t="shared" ca="1" si="51"/>
        <v>0</v>
      </c>
      <c r="H827" s="21">
        <v>812</v>
      </c>
      <c r="I827" s="102">
        <v>0.66752878279105687</v>
      </c>
      <c r="J827" s="103">
        <v>1.1672774365958998E-3</v>
      </c>
      <c r="K827" s="103"/>
      <c r="L827" s="103">
        <v>3.7199999999999997E-2</v>
      </c>
      <c r="O827" s="100"/>
    </row>
    <row r="828" spans="2:15" x14ac:dyDescent="0.2">
      <c r="B828" s="1">
        <v>813</v>
      </c>
      <c r="C828" s="101">
        <f t="shared" ca="1" si="48"/>
        <v>5.8872434413753852E-2</v>
      </c>
      <c r="D828" s="101">
        <f t="shared" ca="1" si="49"/>
        <v>0.66837232503045629</v>
      </c>
      <c r="E828" s="101">
        <f t="shared" ca="1" si="50"/>
        <v>0</v>
      </c>
      <c r="F828" s="21">
        <f t="shared" ca="1" si="51"/>
        <v>0</v>
      </c>
      <c r="H828" s="21">
        <v>813</v>
      </c>
      <c r="I828" s="102">
        <v>0.6677164543106644</v>
      </c>
      <c r="J828" s="103">
        <v>1.3261274283061968E-3</v>
      </c>
      <c r="K828" s="103"/>
      <c r="L828" s="103">
        <v>4.1200000000000001E-2</v>
      </c>
      <c r="O828" s="100"/>
    </row>
    <row r="829" spans="2:15" x14ac:dyDescent="0.2">
      <c r="B829" s="1">
        <v>814</v>
      </c>
      <c r="C829" s="101">
        <f t="shared" ca="1" si="48"/>
        <v>-0.1312673563831854</v>
      </c>
      <c r="D829" s="101">
        <f t="shared" ca="1" si="49"/>
        <v>0.65595340011910663</v>
      </c>
      <c r="E829" s="101">
        <f t="shared" ca="1" si="50"/>
        <v>0</v>
      </c>
      <c r="F829" s="21">
        <f t="shared" ca="1" si="51"/>
        <v>0</v>
      </c>
      <c r="H829" s="21">
        <v>814</v>
      </c>
      <c r="I829" s="102">
        <v>0.66765669294309582</v>
      </c>
      <c r="J829" s="103">
        <v>1.2150793685299071E-3</v>
      </c>
      <c r="K829" s="103"/>
      <c r="L829" s="103">
        <v>3.8199999999999998E-2</v>
      </c>
      <c r="O829" s="100"/>
    </row>
    <row r="830" spans="2:15" x14ac:dyDescent="0.2">
      <c r="B830" s="1">
        <v>815</v>
      </c>
      <c r="C830" s="101">
        <f t="shared" ca="1" si="48"/>
        <v>-1.5122768460844334</v>
      </c>
      <c r="D830" s="101">
        <f t="shared" ca="1" si="49"/>
        <v>0.5724155096027248</v>
      </c>
      <c r="E830" s="101">
        <f t="shared" ca="1" si="50"/>
        <v>0</v>
      </c>
      <c r="F830" s="21">
        <f t="shared" ca="1" si="51"/>
        <v>0</v>
      </c>
      <c r="H830" s="21">
        <v>815</v>
      </c>
      <c r="I830" s="102">
        <v>0.66773481558710712</v>
      </c>
      <c r="J830" s="103">
        <v>1.3234017146022611E-3</v>
      </c>
      <c r="K830" s="103"/>
      <c r="L830" s="103">
        <v>4.5400000000000003E-2</v>
      </c>
      <c r="O830" s="100"/>
    </row>
    <row r="831" spans="2:15" x14ac:dyDescent="0.2">
      <c r="B831" s="1">
        <v>816</v>
      </c>
      <c r="C831" s="101">
        <f t="shared" ca="1" si="48"/>
        <v>1.7116558305183383</v>
      </c>
      <c r="D831" s="101">
        <f t="shared" ca="1" si="49"/>
        <v>0.78672451011719757</v>
      </c>
      <c r="E831" s="101">
        <f t="shared" ca="1" si="50"/>
        <v>0</v>
      </c>
      <c r="F831" s="21">
        <f t="shared" ca="1" si="51"/>
        <v>0</v>
      </c>
      <c r="H831" s="21">
        <v>816</v>
      </c>
      <c r="I831" s="102">
        <v>0.66789682138684192</v>
      </c>
      <c r="J831" s="103">
        <v>1.6986198373673226E-3</v>
      </c>
      <c r="K831" s="103"/>
      <c r="L831" s="103">
        <v>4.5199999999999997E-2</v>
      </c>
      <c r="O831" s="100"/>
    </row>
    <row r="832" spans="2:15" x14ac:dyDescent="0.2">
      <c r="B832" s="1">
        <v>817</v>
      </c>
      <c r="C832" s="101">
        <f t="shared" ca="1" si="48"/>
        <v>0.93893749811899463</v>
      </c>
      <c r="D832" s="101">
        <f t="shared" ca="1" si="49"/>
        <v>0.72898720156816421</v>
      </c>
      <c r="E832" s="101">
        <f t="shared" ca="1" si="50"/>
        <v>0</v>
      </c>
      <c r="F832" s="21">
        <f t="shared" ca="1" si="51"/>
        <v>0</v>
      </c>
      <c r="H832" s="21">
        <v>817</v>
      </c>
      <c r="I832" s="102">
        <v>0.66787813002563945</v>
      </c>
      <c r="J832" s="103">
        <v>1.5747452313597963E-3</v>
      </c>
      <c r="K832" s="103"/>
      <c r="L832" s="103">
        <v>4.6399999999999997E-2</v>
      </c>
      <c r="O832" s="100"/>
    </row>
    <row r="833" spans="2:15" x14ac:dyDescent="0.2">
      <c r="B833" s="1">
        <v>818</v>
      </c>
      <c r="C833" s="101">
        <f t="shared" ca="1" si="48"/>
        <v>0.85684543451807305</v>
      </c>
      <c r="D833" s="101">
        <f t="shared" ca="1" si="49"/>
        <v>0.72310794007006984</v>
      </c>
      <c r="E833" s="101">
        <f t="shared" ca="1" si="50"/>
        <v>0</v>
      </c>
      <c r="F833" s="21">
        <f t="shared" ca="1" si="51"/>
        <v>0</v>
      </c>
      <c r="H833" s="21">
        <v>818</v>
      </c>
      <c r="I833" s="102">
        <v>0.66782805813338475</v>
      </c>
      <c r="J833" s="103">
        <v>1.4722459088240528E-3</v>
      </c>
      <c r="K833" s="103"/>
      <c r="L833" s="103">
        <v>4.2200000000000001E-2</v>
      </c>
      <c r="O833" s="100"/>
    </row>
    <row r="834" spans="2:15" x14ac:dyDescent="0.2">
      <c r="B834" s="1">
        <v>819</v>
      </c>
      <c r="C834" s="101">
        <f t="shared" ca="1" si="48"/>
        <v>6.5393349394772635E-2</v>
      </c>
      <c r="D834" s="101">
        <f t="shared" ca="1" si="49"/>
        <v>0.66880238159478722</v>
      </c>
      <c r="E834" s="101">
        <f t="shared" ca="1" si="50"/>
        <v>0</v>
      </c>
      <c r="F834" s="21">
        <f t="shared" ca="1" si="51"/>
        <v>0</v>
      </c>
      <c r="H834" s="21">
        <v>819</v>
      </c>
      <c r="I834" s="102">
        <v>0.6676095429942398</v>
      </c>
      <c r="J834" s="103">
        <v>1.0400177087392067E-3</v>
      </c>
      <c r="K834" s="103"/>
      <c r="L834" s="103">
        <v>3.56E-2</v>
      </c>
      <c r="O834" s="100"/>
    </row>
    <row r="835" spans="2:15" x14ac:dyDescent="0.2">
      <c r="B835" s="1">
        <v>820</v>
      </c>
      <c r="C835" s="101">
        <f t="shared" ca="1" si="48"/>
        <v>-0.76820246569344863</v>
      </c>
      <c r="D835" s="101">
        <f t="shared" ca="1" si="49"/>
        <v>0.61600903239669447</v>
      </c>
      <c r="E835" s="101">
        <f t="shared" ca="1" si="50"/>
        <v>0</v>
      </c>
      <c r="F835" s="21">
        <f t="shared" ca="1" si="51"/>
        <v>0</v>
      </c>
      <c r="H835" s="21">
        <v>820</v>
      </c>
      <c r="I835" s="102">
        <v>0.66773084046860276</v>
      </c>
      <c r="J835" s="103">
        <v>1.3172704502809559E-3</v>
      </c>
      <c r="K835" s="103"/>
      <c r="L835" s="103">
        <v>4.2000000000000003E-2</v>
      </c>
      <c r="O835" s="100"/>
    </row>
    <row r="836" spans="2:15" x14ac:dyDescent="0.2">
      <c r="B836" s="1">
        <v>821</v>
      </c>
      <c r="C836" s="101">
        <f t="shared" ca="1" si="48"/>
        <v>-1.8645903381138071</v>
      </c>
      <c r="D836" s="101">
        <f t="shared" ca="1" si="49"/>
        <v>0.5528642394596831</v>
      </c>
      <c r="E836" s="101">
        <f t="shared" ca="1" si="50"/>
        <v>0</v>
      </c>
      <c r="F836" s="21">
        <f t="shared" ca="1" si="51"/>
        <v>0</v>
      </c>
      <c r="H836" s="21">
        <v>821</v>
      </c>
      <c r="I836" s="102">
        <v>0.66784556479071233</v>
      </c>
      <c r="J836" s="103">
        <v>1.4590708109077806E-3</v>
      </c>
      <c r="K836" s="103"/>
      <c r="L836" s="103">
        <v>4.3799999999999999E-2</v>
      </c>
      <c r="O836" s="100"/>
    </row>
    <row r="837" spans="2:15" x14ac:dyDescent="0.2">
      <c r="B837" s="1">
        <v>822</v>
      </c>
      <c r="C837" s="101">
        <f t="shared" ca="1" si="48"/>
        <v>1.5992082511117025</v>
      </c>
      <c r="D837" s="101">
        <f t="shared" ca="1" si="49"/>
        <v>0.77804639661057062</v>
      </c>
      <c r="E837" s="101">
        <f t="shared" ca="1" si="50"/>
        <v>0</v>
      </c>
      <c r="F837" s="21">
        <f t="shared" ca="1" si="51"/>
        <v>0</v>
      </c>
      <c r="H837" s="21">
        <v>822</v>
      </c>
      <c r="I837" s="102">
        <v>0.66773149050845815</v>
      </c>
      <c r="J837" s="103">
        <v>1.361175764986459E-3</v>
      </c>
      <c r="K837" s="103"/>
      <c r="L837" s="103">
        <v>4.1000000000000002E-2</v>
      </c>
      <c r="O837" s="100"/>
    </row>
    <row r="838" spans="2:15" x14ac:dyDescent="0.2">
      <c r="B838" s="1">
        <v>823</v>
      </c>
      <c r="C838" s="101">
        <f t="shared" ca="1" si="48"/>
        <v>1.7678717621409512</v>
      </c>
      <c r="D838" s="101">
        <f t="shared" ca="1" si="49"/>
        <v>0.79109918394552425</v>
      </c>
      <c r="E838" s="101">
        <f t="shared" ca="1" si="50"/>
        <v>2.8991839455242419E-3</v>
      </c>
      <c r="F838" s="21">
        <f t="shared" ca="1" si="51"/>
        <v>1</v>
      </c>
      <c r="H838" s="21">
        <v>823</v>
      </c>
      <c r="I838" s="102">
        <v>0.66792315311822037</v>
      </c>
      <c r="J838" s="103">
        <v>1.5333198082779099E-3</v>
      </c>
      <c r="K838" s="103"/>
      <c r="L838" s="103">
        <v>4.5400000000000003E-2</v>
      </c>
      <c r="O838" s="100"/>
    </row>
    <row r="839" spans="2:15" x14ac:dyDescent="0.2">
      <c r="B839" s="1">
        <v>824</v>
      </c>
      <c r="C839" s="101">
        <f t="shared" ca="1" si="48"/>
        <v>0.26933361317805071</v>
      </c>
      <c r="D839" s="101">
        <f t="shared" ca="1" si="49"/>
        <v>0.68239287890679889</v>
      </c>
      <c r="E839" s="101">
        <f t="shared" ca="1" si="50"/>
        <v>0</v>
      </c>
      <c r="F839" s="21">
        <f t="shared" ca="1" si="51"/>
        <v>0</v>
      </c>
      <c r="H839" s="21">
        <v>824</v>
      </c>
      <c r="I839" s="102">
        <v>0.66778623487042355</v>
      </c>
      <c r="J839" s="103">
        <v>1.4551803854998332E-3</v>
      </c>
      <c r="K839" s="103"/>
      <c r="L839" s="103">
        <v>4.5600000000000002E-2</v>
      </c>
      <c r="O839" s="100"/>
    </row>
    <row r="840" spans="2:15" x14ac:dyDescent="0.2">
      <c r="B840" s="1">
        <v>825</v>
      </c>
      <c r="C840" s="101">
        <f t="shared" ca="1" si="48"/>
        <v>1.1463638170556214</v>
      </c>
      <c r="D840" s="101">
        <f t="shared" ca="1" si="49"/>
        <v>0.74405650743713814</v>
      </c>
      <c r="E840" s="101">
        <f t="shared" ca="1" si="50"/>
        <v>0</v>
      </c>
      <c r="F840" s="21">
        <f t="shared" ca="1" si="51"/>
        <v>0</v>
      </c>
      <c r="H840" s="21">
        <v>825</v>
      </c>
      <c r="I840" s="102">
        <v>0.66776906565842165</v>
      </c>
      <c r="J840" s="103">
        <v>1.3587460461423799E-3</v>
      </c>
      <c r="K840" s="103"/>
      <c r="L840" s="103">
        <v>4.24E-2</v>
      </c>
      <c r="O840" s="100"/>
    </row>
    <row r="841" spans="2:15" x14ac:dyDescent="0.2">
      <c r="B841" s="1">
        <v>826</v>
      </c>
      <c r="C841" s="101">
        <f t="shared" ca="1" si="48"/>
        <v>-1.8719763506892722</v>
      </c>
      <c r="D841" s="101">
        <f t="shared" ca="1" si="49"/>
        <v>0.55246158802897227</v>
      </c>
      <c r="E841" s="101">
        <f t="shared" ca="1" si="50"/>
        <v>0</v>
      </c>
      <c r="F841" s="21">
        <f t="shared" ca="1" si="51"/>
        <v>0</v>
      </c>
      <c r="H841" s="21">
        <v>826</v>
      </c>
      <c r="I841" s="102">
        <v>0.66780684374799271</v>
      </c>
      <c r="J841" s="103">
        <v>1.3775890083714173E-3</v>
      </c>
      <c r="K841" s="103"/>
      <c r="L841" s="103">
        <v>4.58E-2</v>
      </c>
      <c r="O841" s="100"/>
    </row>
    <row r="842" spans="2:15" x14ac:dyDescent="0.2">
      <c r="B842" s="1">
        <v>827</v>
      </c>
      <c r="C842" s="101">
        <f t="shared" ca="1" si="48"/>
        <v>-1.0471920373445902</v>
      </c>
      <c r="D842" s="101">
        <f t="shared" ca="1" si="49"/>
        <v>0.59928766516707987</v>
      </c>
      <c r="E842" s="101">
        <f t="shared" ca="1" si="50"/>
        <v>0</v>
      </c>
      <c r="F842" s="21">
        <f t="shared" ca="1" si="51"/>
        <v>0</v>
      </c>
      <c r="H842" s="21">
        <v>827</v>
      </c>
      <c r="I842" s="102">
        <v>0.6677337859741741</v>
      </c>
      <c r="J842" s="103">
        <v>1.3208622529075104E-3</v>
      </c>
      <c r="K842" s="103"/>
      <c r="L842" s="103">
        <v>4.3400000000000001E-2</v>
      </c>
      <c r="O842" s="100"/>
    </row>
    <row r="843" spans="2:15" x14ac:dyDescent="0.2">
      <c r="B843" s="1">
        <v>828</v>
      </c>
      <c r="C843" s="101">
        <f t="shared" ca="1" si="48"/>
        <v>0.12946489632167929</v>
      </c>
      <c r="D843" s="101">
        <f t="shared" ca="1" si="49"/>
        <v>0.67304266648971234</v>
      </c>
      <c r="E843" s="101">
        <f t="shared" ca="1" si="50"/>
        <v>0</v>
      </c>
      <c r="F843" s="21">
        <f t="shared" ca="1" si="51"/>
        <v>0</v>
      </c>
      <c r="H843" s="21">
        <v>828</v>
      </c>
      <c r="I843" s="102">
        <v>0.66772595947544955</v>
      </c>
      <c r="J843" s="103">
        <v>1.4364435669525627E-3</v>
      </c>
      <c r="K843" s="103"/>
      <c r="L843" s="103">
        <v>4.4400000000000002E-2</v>
      </c>
      <c r="O843" s="100"/>
    </row>
    <row r="844" spans="2:15" x14ac:dyDescent="0.2">
      <c r="B844" s="1">
        <v>829</v>
      </c>
      <c r="C844" s="101">
        <f t="shared" ca="1" si="48"/>
        <v>-4.7633139098165737E-2</v>
      </c>
      <c r="D844" s="101">
        <f t="shared" ca="1" si="49"/>
        <v>0.66138726125562752</v>
      </c>
      <c r="E844" s="101">
        <f t="shared" ca="1" si="50"/>
        <v>0</v>
      </c>
      <c r="F844" s="21">
        <f t="shared" ca="1" si="51"/>
        <v>0</v>
      </c>
      <c r="H844" s="21">
        <v>829</v>
      </c>
      <c r="I844" s="102">
        <v>0.66782329628140746</v>
      </c>
      <c r="J844" s="103">
        <v>1.3478009929903888E-3</v>
      </c>
      <c r="K844" s="103"/>
      <c r="L844" s="103">
        <v>4.0599999999999997E-2</v>
      </c>
      <c r="O844" s="100"/>
    </row>
    <row r="845" spans="2:15" x14ac:dyDescent="0.2">
      <c r="B845" s="1">
        <v>830</v>
      </c>
      <c r="C845" s="101">
        <f t="shared" ca="1" si="48"/>
        <v>0.52845634083664772</v>
      </c>
      <c r="D845" s="101">
        <f t="shared" ca="1" si="49"/>
        <v>0.70005980712956306</v>
      </c>
      <c r="E845" s="101">
        <f t="shared" ca="1" si="50"/>
        <v>0</v>
      </c>
      <c r="F845" s="21">
        <f t="shared" ca="1" si="51"/>
        <v>0</v>
      </c>
      <c r="H845" s="21">
        <v>830</v>
      </c>
      <c r="I845" s="102">
        <v>0.66783358699566897</v>
      </c>
      <c r="J845" s="103">
        <v>1.4136917006516009E-3</v>
      </c>
      <c r="K845" s="103"/>
      <c r="L845" s="103">
        <v>4.0800000000000003E-2</v>
      </c>
      <c r="O845" s="100"/>
    </row>
    <row r="846" spans="2:15" x14ac:dyDescent="0.2">
      <c r="B846" s="1">
        <v>831</v>
      </c>
      <c r="C846" s="101">
        <f t="shared" ca="1" si="48"/>
        <v>0.9672949224521582</v>
      </c>
      <c r="D846" s="101">
        <f t="shared" ca="1" si="49"/>
        <v>0.73102918933116834</v>
      </c>
      <c r="E846" s="101">
        <f t="shared" ca="1" si="50"/>
        <v>0</v>
      </c>
      <c r="F846" s="21">
        <f t="shared" ca="1" si="51"/>
        <v>0</v>
      </c>
      <c r="H846" s="21">
        <v>831</v>
      </c>
      <c r="I846" s="102">
        <v>0.66762114322033861</v>
      </c>
      <c r="J846" s="103">
        <v>1.1456671077365336E-3</v>
      </c>
      <c r="K846" s="103"/>
      <c r="L846" s="103">
        <v>4.02E-2</v>
      </c>
      <c r="O846" s="100"/>
    </row>
    <row r="847" spans="2:15" x14ac:dyDescent="0.2">
      <c r="B847" s="1">
        <v>832</v>
      </c>
      <c r="C847" s="101">
        <f t="shared" ca="1" si="48"/>
        <v>-0.67646668413169397</v>
      </c>
      <c r="D847" s="101">
        <f t="shared" ca="1" si="49"/>
        <v>0.62160855729521181</v>
      </c>
      <c r="E847" s="101">
        <f t="shared" ca="1" si="50"/>
        <v>0</v>
      </c>
      <c r="F847" s="21">
        <f t="shared" ca="1" si="51"/>
        <v>0</v>
      </c>
      <c r="H847" s="21">
        <v>832</v>
      </c>
      <c r="I847" s="102">
        <v>0.66765635162024717</v>
      </c>
      <c r="J847" s="103">
        <v>1.2592245544005695E-3</v>
      </c>
      <c r="K847" s="103"/>
      <c r="L847" s="103">
        <v>3.7600000000000001E-2</v>
      </c>
      <c r="O847" s="100"/>
    </row>
    <row r="848" spans="2:15" x14ac:dyDescent="0.2">
      <c r="B848" s="1">
        <v>833</v>
      </c>
      <c r="C848" s="101">
        <f t="shared" ref="C848:C911" ca="1" si="52">_xlfn.NORM.S.INV(RAND())</f>
        <v>0.90432258682034661</v>
      </c>
      <c r="D848" s="101">
        <f t="shared" ref="D848:D911" ca="1" si="53">S0*EXP((μ-0.5*σ*σ)*T+σ*SQRT(T)*$C848)</f>
        <v>0.72650234801874425</v>
      </c>
      <c r="E848" s="101">
        <f t="shared" ref="E848:E911" ca="1" si="54">MAX(0,CP*(D848-K))</f>
        <v>0</v>
      </c>
      <c r="F848" s="21">
        <f t="shared" ref="F848:F911" ca="1" si="55">(CP*(D848-K)&gt;0)*1</f>
        <v>0</v>
      </c>
      <c r="H848" s="21">
        <v>833</v>
      </c>
      <c r="I848" s="102">
        <v>0.66770901490170331</v>
      </c>
      <c r="J848" s="103">
        <v>1.3635651797433803E-3</v>
      </c>
      <c r="K848" s="103"/>
      <c r="L848" s="103">
        <v>4.0800000000000003E-2</v>
      </c>
      <c r="O848" s="100"/>
    </row>
    <row r="849" spans="2:15" x14ac:dyDescent="0.2">
      <c r="B849" s="1">
        <v>834</v>
      </c>
      <c r="C849" s="101">
        <f t="shared" ca="1" si="52"/>
        <v>-1.0490549835554834</v>
      </c>
      <c r="D849" s="101">
        <f t="shared" ca="1" si="53"/>
        <v>0.59917754809582469</v>
      </c>
      <c r="E849" s="101">
        <f t="shared" ca="1" si="54"/>
        <v>0</v>
      </c>
      <c r="F849" s="21">
        <f t="shared" ca="1" si="55"/>
        <v>0</v>
      </c>
      <c r="H849" s="21">
        <v>834</v>
      </c>
      <c r="I849" s="102">
        <v>0.66777739547661918</v>
      </c>
      <c r="J849" s="103">
        <v>1.3046713706920533E-3</v>
      </c>
      <c r="K849" s="103"/>
      <c r="L849" s="103">
        <v>4.2799999999999998E-2</v>
      </c>
      <c r="O849" s="100"/>
    </row>
    <row r="850" spans="2:15" x14ac:dyDescent="0.2">
      <c r="B850" s="1">
        <v>835</v>
      </c>
      <c r="C850" s="101">
        <f t="shared" ca="1" si="52"/>
        <v>-0.2244717814251378</v>
      </c>
      <c r="D850" s="101">
        <f t="shared" ca="1" si="53"/>
        <v>0.64995032829609256</v>
      </c>
      <c r="E850" s="101">
        <f t="shared" ca="1" si="54"/>
        <v>0</v>
      </c>
      <c r="F850" s="21">
        <f t="shared" ca="1" si="55"/>
        <v>0</v>
      </c>
      <c r="H850" s="21">
        <v>835</v>
      </c>
      <c r="I850" s="102">
        <v>0.66766171700904164</v>
      </c>
      <c r="J850" s="103">
        <v>1.2123084517085595E-3</v>
      </c>
      <c r="K850" s="103"/>
      <c r="L850" s="103">
        <v>4.1000000000000002E-2</v>
      </c>
      <c r="O850" s="100"/>
    </row>
    <row r="851" spans="2:15" x14ac:dyDescent="0.2">
      <c r="B851" s="1">
        <v>836</v>
      </c>
      <c r="C851" s="101">
        <f t="shared" ca="1" si="52"/>
        <v>-0.34649773150939533</v>
      </c>
      <c r="D851" s="101">
        <f t="shared" ca="1" si="53"/>
        <v>0.64217390076074454</v>
      </c>
      <c r="E851" s="101">
        <f t="shared" ca="1" si="54"/>
        <v>0</v>
      </c>
      <c r="F851" s="21">
        <f t="shared" ca="1" si="55"/>
        <v>0</v>
      </c>
      <c r="H851" s="21">
        <v>836</v>
      </c>
      <c r="I851" s="102">
        <v>0.66768612951384965</v>
      </c>
      <c r="J851" s="103">
        <v>1.2632289430856123E-3</v>
      </c>
      <c r="K851" s="103"/>
      <c r="L851" s="103">
        <v>3.9800000000000002E-2</v>
      </c>
      <c r="O851" s="100"/>
    </row>
    <row r="852" spans="2:15" x14ac:dyDescent="0.2">
      <c r="B852" s="1">
        <v>837</v>
      </c>
      <c r="C852" s="101">
        <f t="shared" ca="1" si="52"/>
        <v>0.30752971646894622</v>
      </c>
      <c r="D852" s="101">
        <f t="shared" ca="1" si="53"/>
        <v>0.68496878989390286</v>
      </c>
      <c r="E852" s="101">
        <f t="shared" ca="1" si="54"/>
        <v>0</v>
      </c>
      <c r="F852" s="21">
        <f t="shared" ca="1" si="55"/>
        <v>0</v>
      </c>
      <c r="H852" s="21">
        <v>837</v>
      </c>
      <c r="I852" s="102">
        <v>0.66771828315918791</v>
      </c>
      <c r="J852" s="103">
        <v>1.286126843335474E-3</v>
      </c>
      <c r="K852" s="103"/>
      <c r="L852" s="103">
        <v>3.8199999999999998E-2</v>
      </c>
      <c r="O852" s="100"/>
    </row>
    <row r="853" spans="2:15" x14ac:dyDescent="0.2">
      <c r="B853" s="1">
        <v>838</v>
      </c>
      <c r="C853" s="101">
        <f t="shared" ca="1" si="52"/>
        <v>-0.62191763139025447</v>
      </c>
      <c r="D853" s="101">
        <f t="shared" ca="1" si="53"/>
        <v>0.62496231780251876</v>
      </c>
      <c r="E853" s="101">
        <f t="shared" ca="1" si="54"/>
        <v>0</v>
      </c>
      <c r="F853" s="21">
        <f t="shared" ca="1" si="55"/>
        <v>0</v>
      </c>
      <c r="H853" s="21">
        <v>838</v>
      </c>
      <c r="I853" s="102">
        <v>0.66774512196101865</v>
      </c>
      <c r="J853" s="103">
        <v>1.2521576074817989E-3</v>
      </c>
      <c r="K853" s="103"/>
      <c r="L853" s="103">
        <v>3.9E-2</v>
      </c>
      <c r="O853" s="100"/>
    </row>
    <row r="854" spans="2:15" x14ac:dyDescent="0.2">
      <c r="B854" s="1">
        <v>839</v>
      </c>
      <c r="C854" s="101">
        <f t="shared" ca="1" si="52"/>
        <v>0.20097405760368453</v>
      </c>
      <c r="D854" s="101">
        <f t="shared" ca="1" si="53"/>
        <v>0.67780693012984472</v>
      </c>
      <c r="E854" s="101">
        <f t="shared" ca="1" si="54"/>
        <v>0</v>
      </c>
      <c r="F854" s="21">
        <f t="shared" ca="1" si="55"/>
        <v>0</v>
      </c>
      <c r="H854" s="21">
        <v>839</v>
      </c>
      <c r="I854" s="102">
        <v>0.66774650140567604</v>
      </c>
      <c r="J854" s="103">
        <v>1.2283968313926213E-3</v>
      </c>
      <c r="K854" s="103"/>
      <c r="L854" s="103">
        <v>4.2200000000000001E-2</v>
      </c>
      <c r="O854" s="100"/>
    </row>
    <row r="855" spans="2:15" x14ac:dyDescent="0.2">
      <c r="B855" s="1">
        <v>840</v>
      </c>
      <c r="C855" s="101">
        <f t="shared" ca="1" si="52"/>
        <v>0.65836866634131397</v>
      </c>
      <c r="D855" s="101">
        <f t="shared" ca="1" si="53"/>
        <v>0.70908860759266534</v>
      </c>
      <c r="E855" s="101">
        <f t="shared" ca="1" si="54"/>
        <v>0</v>
      </c>
      <c r="F855" s="21">
        <f t="shared" ca="1" si="55"/>
        <v>0</v>
      </c>
      <c r="H855" s="21">
        <v>840</v>
      </c>
      <c r="I855" s="102">
        <v>0.66760296414626941</v>
      </c>
      <c r="J855" s="103">
        <v>1.18806039146407E-3</v>
      </c>
      <c r="K855" s="103"/>
      <c r="L855" s="103">
        <v>3.8399999999999997E-2</v>
      </c>
      <c r="O855" s="100"/>
    </row>
    <row r="856" spans="2:15" x14ac:dyDescent="0.2">
      <c r="B856" s="1">
        <v>841</v>
      </c>
      <c r="C856" s="101">
        <f t="shared" ca="1" si="52"/>
        <v>0.19125997173640352</v>
      </c>
      <c r="D856" s="101">
        <f t="shared" ca="1" si="53"/>
        <v>0.67715775961279534</v>
      </c>
      <c r="E856" s="101">
        <f t="shared" ca="1" si="54"/>
        <v>0</v>
      </c>
      <c r="F856" s="21">
        <f t="shared" ca="1" si="55"/>
        <v>0</v>
      </c>
      <c r="H856" s="21">
        <v>841</v>
      </c>
      <c r="I856" s="102">
        <v>0.66774589661426753</v>
      </c>
      <c r="J856" s="103">
        <v>1.310772930547115E-3</v>
      </c>
      <c r="K856" s="103"/>
      <c r="L856" s="103">
        <v>4.3400000000000001E-2</v>
      </c>
      <c r="O856" s="100"/>
    </row>
    <row r="857" spans="2:15" x14ac:dyDescent="0.2">
      <c r="B857" s="1">
        <v>842</v>
      </c>
      <c r="C857" s="101">
        <f t="shared" ca="1" si="52"/>
        <v>-0.72420996229632029</v>
      </c>
      <c r="D857" s="101">
        <f t="shared" ca="1" si="53"/>
        <v>0.61868799902519123</v>
      </c>
      <c r="E857" s="101">
        <f t="shared" ca="1" si="54"/>
        <v>0</v>
      </c>
      <c r="F857" s="21">
        <f t="shared" ca="1" si="55"/>
        <v>0</v>
      </c>
      <c r="H857" s="21">
        <v>842</v>
      </c>
      <c r="I857" s="102">
        <v>0.66770219884068416</v>
      </c>
      <c r="J857" s="103">
        <v>1.2768419673580683E-3</v>
      </c>
      <c r="K857" s="103"/>
      <c r="L857" s="103">
        <v>4.4600000000000001E-2</v>
      </c>
      <c r="O857" s="100"/>
    </row>
    <row r="858" spans="2:15" x14ac:dyDescent="0.2">
      <c r="B858" s="1">
        <v>843</v>
      </c>
      <c r="C858" s="101">
        <f t="shared" ca="1" si="52"/>
        <v>-0.53644138527366647</v>
      </c>
      <c r="D858" s="101">
        <f t="shared" ca="1" si="53"/>
        <v>0.63025395834372488</v>
      </c>
      <c r="E858" s="101">
        <f t="shared" ca="1" si="54"/>
        <v>0</v>
      </c>
      <c r="F858" s="21">
        <f t="shared" ca="1" si="55"/>
        <v>0</v>
      </c>
      <c r="H858" s="21">
        <v>843</v>
      </c>
      <c r="I858" s="102">
        <v>0.667682009022317</v>
      </c>
      <c r="J858" s="103">
        <v>1.3030927920612743E-3</v>
      </c>
      <c r="K858" s="103"/>
      <c r="L858" s="103">
        <v>4.2599999999999999E-2</v>
      </c>
      <c r="O858" s="100"/>
    </row>
    <row r="859" spans="2:15" x14ac:dyDescent="0.2">
      <c r="B859" s="1">
        <v>844</v>
      </c>
      <c r="C859" s="101">
        <f t="shared" ca="1" si="52"/>
        <v>0.92530249940838283</v>
      </c>
      <c r="D859" s="101">
        <f t="shared" ca="1" si="53"/>
        <v>0.72800739153822402</v>
      </c>
      <c r="E859" s="101">
        <f t="shared" ca="1" si="54"/>
        <v>0</v>
      </c>
      <c r="F859" s="21">
        <f t="shared" ca="1" si="55"/>
        <v>0</v>
      </c>
      <c r="H859" s="21">
        <v>844</v>
      </c>
      <c r="I859" s="102">
        <v>0.66760074954197446</v>
      </c>
      <c r="J859" s="103">
        <v>1.1136104941387335E-3</v>
      </c>
      <c r="K859" s="103"/>
      <c r="L859" s="103">
        <v>3.8199999999999998E-2</v>
      </c>
      <c r="O859" s="100"/>
    </row>
    <row r="860" spans="2:15" x14ac:dyDescent="0.2">
      <c r="B860" s="1">
        <v>845</v>
      </c>
      <c r="C860" s="101">
        <f t="shared" ca="1" si="52"/>
        <v>1.2628746419245922</v>
      </c>
      <c r="D860" s="101">
        <f t="shared" ca="1" si="53"/>
        <v>0.75265711463087459</v>
      </c>
      <c r="E860" s="101">
        <f t="shared" ca="1" si="54"/>
        <v>0</v>
      </c>
      <c r="F860" s="21">
        <f t="shared" ca="1" si="55"/>
        <v>0</v>
      </c>
      <c r="H860" s="21">
        <v>845</v>
      </c>
      <c r="I860" s="102">
        <v>0.66785893173451172</v>
      </c>
      <c r="J860" s="103">
        <v>1.6371058536098172E-3</v>
      </c>
      <c r="K860" s="103"/>
      <c r="L860" s="103">
        <v>4.2599999999999999E-2</v>
      </c>
      <c r="O860" s="100"/>
    </row>
    <row r="861" spans="2:15" x14ac:dyDescent="0.2">
      <c r="B861" s="1">
        <v>846</v>
      </c>
      <c r="C861" s="101">
        <f t="shared" ca="1" si="52"/>
        <v>-0.11775805765249438</v>
      </c>
      <c r="D861" s="101">
        <f t="shared" ca="1" si="53"/>
        <v>0.65682808997665654</v>
      </c>
      <c r="E861" s="101">
        <f t="shared" ca="1" si="54"/>
        <v>0</v>
      </c>
      <c r="F861" s="21">
        <f t="shared" ca="1" si="55"/>
        <v>0</v>
      </c>
      <c r="H861" s="21">
        <v>846</v>
      </c>
      <c r="I861" s="102">
        <v>0.66770240726515218</v>
      </c>
      <c r="J861" s="103">
        <v>1.4900676512862631E-3</v>
      </c>
      <c r="K861" s="103"/>
      <c r="L861" s="103">
        <v>4.2200000000000001E-2</v>
      </c>
      <c r="O861" s="100"/>
    </row>
    <row r="862" spans="2:15" x14ac:dyDescent="0.2">
      <c r="B862" s="1">
        <v>847</v>
      </c>
      <c r="C862" s="101">
        <f t="shared" ca="1" si="52"/>
        <v>-1.5477440771663047</v>
      </c>
      <c r="D862" s="101">
        <f t="shared" ca="1" si="53"/>
        <v>0.57041639311058434</v>
      </c>
      <c r="E862" s="101">
        <f t="shared" ca="1" si="54"/>
        <v>0</v>
      </c>
      <c r="F862" s="21">
        <f t="shared" ca="1" si="55"/>
        <v>0</v>
      </c>
      <c r="H862" s="21">
        <v>847</v>
      </c>
      <c r="I862" s="102">
        <v>0.66778663975560171</v>
      </c>
      <c r="J862" s="103">
        <v>1.2679071474461369E-3</v>
      </c>
      <c r="K862" s="103"/>
      <c r="L862" s="103">
        <v>4.24E-2</v>
      </c>
      <c r="O862" s="100"/>
    </row>
    <row r="863" spans="2:15" x14ac:dyDescent="0.2">
      <c r="B863" s="1">
        <v>848</v>
      </c>
      <c r="C863" s="101">
        <f t="shared" ca="1" si="52"/>
        <v>0.21435477541989817</v>
      </c>
      <c r="D863" s="101">
        <f t="shared" ca="1" si="53"/>
        <v>0.67870215257008082</v>
      </c>
      <c r="E863" s="101">
        <f t="shared" ca="1" si="54"/>
        <v>0</v>
      </c>
      <c r="F863" s="21">
        <f t="shared" ca="1" si="55"/>
        <v>0</v>
      </c>
      <c r="H863" s="21">
        <v>848</v>
      </c>
      <c r="I863" s="102">
        <v>0.66772680986725597</v>
      </c>
      <c r="J863" s="103">
        <v>1.3514762087220714E-3</v>
      </c>
      <c r="K863" s="103"/>
      <c r="L863" s="103">
        <v>4.0800000000000003E-2</v>
      </c>
      <c r="O863" s="100"/>
    </row>
    <row r="864" spans="2:15" x14ac:dyDescent="0.2">
      <c r="B864" s="1">
        <v>849</v>
      </c>
      <c r="C864" s="101">
        <f t="shared" ca="1" si="52"/>
        <v>-1.1762145407779707</v>
      </c>
      <c r="D864" s="101">
        <f t="shared" ca="1" si="53"/>
        <v>0.59170889018772477</v>
      </c>
      <c r="E864" s="101">
        <f t="shared" ca="1" si="54"/>
        <v>0</v>
      </c>
      <c r="F864" s="21">
        <f t="shared" ca="1" si="55"/>
        <v>0</v>
      </c>
      <c r="H864" s="21">
        <v>849</v>
      </c>
      <c r="I864" s="102">
        <v>0.6679520143333415</v>
      </c>
      <c r="J864" s="103">
        <v>1.5996231547390754E-3</v>
      </c>
      <c r="K864" s="103"/>
      <c r="L864" s="103">
        <v>4.5999999999999999E-2</v>
      </c>
      <c r="O864" s="100"/>
    </row>
    <row r="865" spans="2:15" x14ac:dyDescent="0.2">
      <c r="B865" s="1">
        <v>850</v>
      </c>
      <c r="C865" s="101">
        <f t="shared" ca="1" si="52"/>
        <v>0.46943045678616369</v>
      </c>
      <c r="D865" s="101">
        <f t="shared" ca="1" si="53"/>
        <v>0.69599562799128822</v>
      </c>
      <c r="E865" s="101">
        <f t="shared" ca="1" si="54"/>
        <v>0</v>
      </c>
      <c r="F865" s="21">
        <f t="shared" ca="1" si="55"/>
        <v>0</v>
      </c>
      <c r="H865" s="21">
        <v>850</v>
      </c>
      <c r="I865" s="102">
        <v>0.66757969060625244</v>
      </c>
      <c r="J865" s="103">
        <v>1.2069924014261196E-3</v>
      </c>
      <c r="K865" s="103"/>
      <c r="L865" s="103">
        <v>3.5999999999999997E-2</v>
      </c>
      <c r="O865" s="100"/>
    </row>
    <row r="866" spans="2:15" x14ac:dyDescent="0.2">
      <c r="B866" s="1">
        <v>851</v>
      </c>
      <c r="C866" s="101">
        <f t="shared" ca="1" si="52"/>
        <v>1.7478415393412106</v>
      </c>
      <c r="D866" s="101">
        <f t="shared" ca="1" si="53"/>
        <v>0.78953766719724383</v>
      </c>
      <c r="E866" s="101">
        <f t="shared" ca="1" si="54"/>
        <v>1.3376671972438192E-3</v>
      </c>
      <c r="F866" s="21">
        <f t="shared" ca="1" si="55"/>
        <v>1</v>
      </c>
      <c r="H866" s="21">
        <v>851</v>
      </c>
      <c r="I866" s="102">
        <v>0.66781033167483006</v>
      </c>
      <c r="J866" s="103">
        <v>1.4751401041110945E-3</v>
      </c>
      <c r="K866" s="103"/>
      <c r="L866" s="103">
        <v>4.24E-2</v>
      </c>
      <c r="O866" s="100"/>
    </row>
    <row r="867" spans="2:15" x14ac:dyDescent="0.2">
      <c r="B867" s="1">
        <v>852</v>
      </c>
      <c r="C867" s="101">
        <f t="shared" ca="1" si="52"/>
        <v>0.27239111372456498</v>
      </c>
      <c r="D867" s="101">
        <f t="shared" ca="1" si="53"/>
        <v>0.6825987168447224</v>
      </c>
      <c r="E867" s="101">
        <f t="shared" ca="1" si="54"/>
        <v>0</v>
      </c>
      <c r="F867" s="21">
        <f t="shared" ca="1" si="55"/>
        <v>0</v>
      </c>
      <c r="H867" s="21">
        <v>852</v>
      </c>
      <c r="I867" s="102">
        <v>0.66753724807421355</v>
      </c>
      <c r="J867" s="103">
        <v>1.0515972309347791E-3</v>
      </c>
      <c r="K867" s="103"/>
      <c r="L867" s="103">
        <v>3.5799999999999998E-2</v>
      </c>
      <c r="O867" s="100"/>
    </row>
    <row r="868" spans="2:15" x14ac:dyDescent="0.2">
      <c r="B868" s="1">
        <v>853</v>
      </c>
      <c r="C868" s="101">
        <f t="shared" ca="1" si="52"/>
        <v>-1.422414140519727</v>
      </c>
      <c r="D868" s="101">
        <f t="shared" ca="1" si="53"/>
        <v>0.57751205663673122</v>
      </c>
      <c r="E868" s="101">
        <f t="shared" ca="1" si="54"/>
        <v>0</v>
      </c>
      <c r="F868" s="21">
        <f t="shared" ca="1" si="55"/>
        <v>0</v>
      </c>
      <c r="H868" s="21">
        <v>853</v>
      </c>
      <c r="I868" s="102">
        <v>0.66774467102788881</v>
      </c>
      <c r="J868" s="103">
        <v>1.4060771021058075E-3</v>
      </c>
      <c r="K868" s="103"/>
      <c r="L868" s="103">
        <v>4.3799999999999999E-2</v>
      </c>
      <c r="O868" s="100"/>
    </row>
    <row r="869" spans="2:15" x14ac:dyDescent="0.2">
      <c r="B869" s="1">
        <v>854</v>
      </c>
      <c r="C869" s="101">
        <f t="shared" ca="1" si="52"/>
        <v>1.4971167031811692</v>
      </c>
      <c r="D869" s="101">
        <f t="shared" ca="1" si="53"/>
        <v>0.7702504429187681</v>
      </c>
      <c r="E869" s="101">
        <f t="shared" ca="1" si="54"/>
        <v>0</v>
      </c>
      <c r="F869" s="21">
        <f t="shared" ca="1" si="55"/>
        <v>0</v>
      </c>
      <c r="H869" s="21">
        <v>854</v>
      </c>
      <c r="I869" s="102">
        <v>0.66778382807561876</v>
      </c>
      <c r="J869" s="103">
        <v>1.4434761369288766E-3</v>
      </c>
      <c r="K869" s="103"/>
      <c r="L869" s="103">
        <v>4.2200000000000001E-2</v>
      </c>
      <c r="O869" s="100"/>
    </row>
    <row r="870" spans="2:15" x14ac:dyDescent="0.2">
      <c r="B870" s="1">
        <v>855</v>
      </c>
      <c r="C870" s="101">
        <f t="shared" ca="1" si="52"/>
        <v>0.95576756407719066</v>
      </c>
      <c r="D870" s="101">
        <f t="shared" ca="1" si="53"/>
        <v>0.73019842751886799</v>
      </c>
      <c r="E870" s="101">
        <f t="shared" ca="1" si="54"/>
        <v>0</v>
      </c>
      <c r="F870" s="21">
        <f t="shared" ca="1" si="55"/>
        <v>0</v>
      </c>
      <c r="H870" s="21">
        <v>855</v>
      </c>
      <c r="I870" s="102">
        <v>0.6677931952115721</v>
      </c>
      <c r="J870" s="103">
        <v>1.3663364402162572E-3</v>
      </c>
      <c r="K870" s="103"/>
      <c r="L870" s="103">
        <v>4.0800000000000003E-2</v>
      </c>
      <c r="O870" s="100"/>
    </row>
    <row r="871" spans="2:15" x14ac:dyDescent="0.2">
      <c r="B871" s="1">
        <v>856</v>
      </c>
      <c r="C871" s="101">
        <f t="shared" ca="1" si="52"/>
        <v>-1.6572499255860988</v>
      </c>
      <c r="D871" s="101">
        <f t="shared" ca="1" si="53"/>
        <v>0.56428802642572162</v>
      </c>
      <c r="E871" s="101">
        <f t="shared" ca="1" si="54"/>
        <v>0</v>
      </c>
      <c r="F871" s="21">
        <f t="shared" ca="1" si="55"/>
        <v>0</v>
      </c>
      <c r="H871" s="21">
        <v>856</v>
      </c>
      <c r="I871" s="102">
        <v>0.66778257019274667</v>
      </c>
      <c r="J871" s="103">
        <v>1.3596701085597646E-3</v>
      </c>
      <c r="K871" s="103"/>
      <c r="L871" s="103">
        <v>4.1599999999999998E-2</v>
      </c>
      <c r="O871" s="100"/>
    </row>
    <row r="872" spans="2:15" x14ac:dyDescent="0.2">
      <c r="B872" s="1">
        <v>857</v>
      </c>
      <c r="C872" s="101">
        <f t="shared" ca="1" si="52"/>
        <v>0.45497481205615675</v>
      </c>
      <c r="D872" s="101">
        <f t="shared" ca="1" si="53"/>
        <v>0.69500389838214593</v>
      </c>
      <c r="E872" s="101">
        <f t="shared" ca="1" si="54"/>
        <v>0</v>
      </c>
      <c r="F872" s="21">
        <f t="shared" ca="1" si="55"/>
        <v>0</v>
      </c>
      <c r="H872" s="21">
        <v>857</v>
      </c>
      <c r="I872" s="102">
        <v>0.66770281061966075</v>
      </c>
      <c r="J872" s="103">
        <v>1.2204240775511297E-3</v>
      </c>
      <c r="K872" s="103"/>
      <c r="L872" s="103">
        <v>4.0399999999999998E-2</v>
      </c>
      <c r="O872" s="100"/>
    </row>
    <row r="873" spans="2:15" x14ac:dyDescent="0.2">
      <c r="B873" s="1">
        <v>858</v>
      </c>
      <c r="C873" s="101">
        <f t="shared" ca="1" si="52"/>
        <v>0.88439494654244666</v>
      </c>
      <c r="D873" s="101">
        <f t="shared" ca="1" si="53"/>
        <v>0.72507567310796039</v>
      </c>
      <c r="E873" s="101">
        <f t="shared" ca="1" si="54"/>
        <v>0</v>
      </c>
      <c r="F873" s="21">
        <f t="shared" ca="1" si="55"/>
        <v>0</v>
      </c>
      <c r="H873" s="21">
        <v>858</v>
      </c>
      <c r="I873" s="102">
        <v>0.66785399373639698</v>
      </c>
      <c r="J873" s="103">
        <v>1.4495975541329261E-3</v>
      </c>
      <c r="K873" s="103"/>
      <c r="L873" s="103">
        <v>4.2200000000000001E-2</v>
      </c>
      <c r="O873" s="100"/>
    </row>
    <row r="874" spans="2:15" x14ac:dyDescent="0.2">
      <c r="B874" s="1">
        <v>859</v>
      </c>
      <c r="C874" s="101">
        <f t="shared" ca="1" si="52"/>
        <v>0.40939204631792397</v>
      </c>
      <c r="D874" s="101">
        <f t="shared" ca="1" si="53"/>
        <v>0.69188593643319996</v>
      </c>
      <c r="E874" s="101">
        <f t="shared" ca="1" si="54"/>
        <v>0</v>
      </c>
      <c r="F874" s="21">
        <f t="shared" ca="1" si="55"/>
        <v>0</v>
      </c>
      <c r="H874" s="21">
        <v>859</v>
      </c>
      <c r="I874" s="102">
        <v>0.6677845244729671</v>
      </c>
      <c r="J874" s="103">
        <v>1.4515622021823334E-3</v>
      </c>
      <c r="K874" s="103"/>
      <c r="L874" s="103">
        <v>4.1399999999999999E-2</v>
      </c>
      <c r="O874" s="100"/>
    </row>
    <row r="875" spans="2:15" x14ac:dyDescent="0.2">
      <c r="B875" s="1">
        <v>860</v>
      </c>
      <c r="C875" s="101">
        <f t="shared" ca="1" si="52"/>
        <v>5.4963642679903758E-2</v>
      </c>
      <c r="D875" s="101">
        <f t="shared" ca="1" si="53"/>
        <v>0.66811467145804104</v>
      </c>
      <c r="E875" s="101">
        <f t="shared" ca="1" si="54"/>
        <v>0</v>
      </c>
      <c r="F875" s="21">
        <f t="shared" ca="1" si="55"/>
        <v>0</v>
      </c>
      <c r="H875" s="21">
        <v>860</v>
      </c>
      <c r="I875" s="102">
        <v>0.66772669263494921</v>
      </c>
      <c r="J875" s="103">
        <v>1.3096554246564412E-3</v>
      </c>
      <c r="K875" s="103"/>
      <c r="L875" s="103">
        <v>4.3200000000000002E-2</v>
      </c>
      <c r="O875" s="100"/>
    </row>
    <row r="876" spans="2:15" x14ac:dyDescent="0.2">
      <c r="B876" s="1">
        <v>861</v>
      </c>
      <c r="C876" s="101">
        <f t="shared" ca="1" si="52"/>
        <v>-0.31263321889023277</v>
      </c>
      <c r="D876" s="101">
        <f t="shared" ca="1" si="53"/>
        <v>0.64432263127134126</v>
      </c>
      <c r="E876" s="101">
        <f t="shared" ca="1" si="54"/>
        <v>0</v>
      </c>
      <c r="F876" s="21">
        <f t="shared" ca="1" si="55"/>
        <v>0</v>
      </c>
      <c r="H876" s="21">
        <v>861</v>
      </c>
      <c r="I876" s="102">
        <v>0.66758990086304415</v>
      </c>
      <c r="J876" s="103">
        <v>1.2569730177420923E-3</v>
      </c>
      <c r="K876" s="103"/>
      <c r="L876" s="103">
        <v>3.7199999999999997E-2</v>
      </c>
      <c r="O876" s="100"/>
    </row>
    <row r="877" spans="2:15" x14ac:dyDescent="0.2">
      <c r="B877" s="1">
        <v>862</v>
      </c>
      <c r="C877" s="101">
        <f t="shared" ca="1" si="52"/>
        <v>-0.35696243360429192</v>
      </c>
      <c r="D877" s="101">
        <f t="shared" ca="1" si="53"/>
        <v>0.64151135742527687</v>
      </c>
      <c r="E877" s="101">
        <f t="shared" ca="1" si="54"/>
        <v>0</v>
      </c>
      <c r="F877" s="21">
        <f t="shared" ca="1" si="55"/>
        <v>0</v>
      </c>
      <c r="H877" s="21">
        <v>862</v>
      </c>
      <c r="I877" s="102">
        <v>0.66766793052258122</v>
      </c>
      <c r="J877" s="103">
        <v>1.3217020043983783E-3</v>
      </c>
      <c r="K877" s="103"/>
      <c r="L877" s="103">
        <v>3.9800000000000002E-2</v>
      </c>
      <c r="O877" s="100"/>
    </row>
    <row r="878" spans="2:15" x14ac:dyDescent="0.2">
      <c r="B878" s="1">
        <v>863</v>
      </c>
      <c r="C878" s="101">
        <f t="shared" ca="1" si="52"/>
        <v>-0.29496392156633011</v>
      </c>
      <c r="D878" s="101">
        <f t="shared" ca="1" si="53"/>
        <v>0.64544661517311164</v>
      </c>
      <c r="E878" s="101">
        <f t="shared" ca="1" si="54"/>
        <v>0</v>
      </c>
      <c r="F878" s="21">
        <f t="shared" ca="1" si="55"/>
        <v>0</v>
      </c>
      <c r="H878" s="21">
        <v>863</v>
      </c>
      <c r="I878" s="102">
        <v>0.66781005673900717</v>
      </c>
      <c r="J878" s="103">
        <v>1.318166047450157E-3</v>
      </c>
      <c r="K878" s="103"/>
      <c r="L878" s="103">
        <v>4.5600000000000002E-2</v>
      </c>
      <c r="O878" s="100"/>
    </row>
    <row r="879" spans="2:15" x14ac:dyDescent="0.2">
      <c r="B879" s="1">
        <v>864</v>
      </c>
      <c r="C879" s="101">
        <f t="shared" ca="1" si="52"/>
        <v>0.87623727756402692</v>
      </c>
      <c r="D879" s="101">
        <f t="shared" ca="1" si="53"/>
        <v>0.72449245152056152</v>
      </c>
      <c r="E879" s="101">
        <f t="shared" ca="1" si="54"/>
        <v>0</v>
      </c>
      <c r="F879" s="21">
        <f t="shared" ca="1" si="55"/>
        <v>0</v>
      </c>
      <c r="H879" s="21">
        <v>864</v>
      </c>
      <c r="I879" s="102">
        <v>0.66773085179316427</v>
      </c>
      <c r="J879" s="103">
        <v>1.2880706597692795E-3</v>
      </c>
      <c r="K879" s="103"/>
      <c r="L879" s="103">
        <v>4.4999999999999998E-2</v>
      </c>
      <c r="O879" s="100"/>
    </row>
    <row r="880" spans="2:15" x14ac:dyDescent="0.2">
      <c r="B880" s="1">
        <v>865</v>
      </c>
      <c r="C880" s="101">
        <f t="shared" ca="1" si="52"/>
        <v>-0.1420738950845104</v>
      </c>
      <c r="D880" s="101">
        <f t="shared" ca="1" si="53"/>
        <v>0.6552545451633679</v>
      </c>
      <c r="E880" s="101">
        <f t="shared" ca="1" si="54"/>
        <v>0</v>
      </c>
      <c r="F880" s="21">
        <f t="shared" ca="1" si="55"/>
        <v>0</v>
      </c>
      <c r="H880" s="21">
        <v>865</v>
      </c>
      <c r="I880" s="102">
        <v>0.6678407348540123</v>
      </c>
      <c r="J880" s="103">
        <v>1.5032334204859062E-3</v>
      </c>
      <c r="K880" s="103"/>
      <c r="L880" s="103">
        <v>4.48E-2</v>
      </c>
      <c r="O880" s="100"/>
    </row>
    <row r="881" spans="2:15" x14ac:dyDescent="0.2">
      <c r="B881" s="1">
        <v>866</v>
      </c>
      <c r="C881" s="101">
        <f t="shared" ca="1" si="52"/>
        <v>-1.4700542392196263</v>
      </c>
      <c r="D881" s="101">
        <f t="shared" ca="1" si="53"/>
        <v>0.57480453103451457</v>
      </c>
      <c r="E881" s="101">
        <f t="shared" ca="1" si="54"/>
        <v>0</v>
      </c>
      <c r="F881" s="21">
        <f t="shared" ca="1" si="55"/>
        <v>0</v>
      </c>
      <c r="H881" s="21">
        <v>866</v>
      </c>
      <c r="I881" s="102">
        <v>0.66773399343220297</v>
      </c>
      <c r="J881" s="103">
        <v>1.4123137545349977E-3</v>
      </c>
      <c r="K881" s="103"/>
      <c r="L881" s="103">
        <v>4.2599999999999999E-2</v>
      </c>
      <c r="O881" s="100"/>
    </row>
    <row r="882" spans="2:15" x14ac:dyDescent="0.2">
      <c r="B882" s="1">
        <v>867</v>
      </c>
      <c r="C882" s="101">
        <f t="shared" ca="1" si="52"/>
        <v>-0.92144959819101546</v>
      </c>
      <c r="D882" s="101">
        <f t="shared" ca="1" si="53"/>
        <v>0.60676716003156883</v>
      </c>
      <c r="E882" s="101">
        <f t="shared" ca="1" si="54"/>
        <v>0</v>
      </c>
      <c r="F882" s="21">
        <f t="shared" ca="1" si="55"/>
        <v>0</v>
      </c>
      <c r="H882" s="21">
        <v>867</v>
      </c>
      <c r="I882" s="102">
        <v>0.66771232325819796</v>
      </c>
      <c r="J882" s="103">
        <v>1.3230818471016723E-3</v>
      </c>
      <c r="K882" s="103"/>
      <c r="L882" s="103">
        <v>4.3400000000000001E-2</v>
      </c>
      <c r="O882" s="100"/>
    </row>
    <row r="883" spans="2:15" x14ac:dyDescent="0.2">
      <c r="B883" s="1">
        <v>868</v>
      </c>
      <c r="C883" s="101">
        <f t="shared" ca="1" si="52"/>
        <v>-0.90353675364113883</v>
      </c>
      <c r="D883" s="101">
        <f t="shared" ca="1" si="53"/>
        <v>0.60784023303590951</v>
      </c>
      <c r="E883" s="101">
        <f t="shared" ca="1" si="54"/>
        <v>0</v>
      </c>
      <c r="F883" s="21">
        <f t="shared" ca="1" si="55"/>
        <v>0</v>
      </c>
      <c r="H883" s="21">
        <v>868</v>
      </c>
      <c r="I883" s="102">
        <v>0.66770804237371484</v>
      </c>
      <c r="J883" s="103">
        <v>1.4236487424696442E-3</v>
      </c>
      <c r="K883" s="103"/>
      <c r="L883" s="103">
        <v>0.04</v>
      </c>
      <c r="O883" s="100"/>
    </row>
    <row r="884" spans="2:15" x14ac:dyDescent="0.2">
      <c r="B884" s="1">
        <v>869</v>
      </c>
      <c r="C884" s="101">
        <f t="shared" ca="1" si="52"/>
        <v>6.2306384315621993E-2</v>
      </c>
      <c r="D884" s="101">
        <f t="shared" ca="1" si="53"/>
        <v>0.66859876071570778</v>
      </c>
      <c r="E884" s="101">
        <f t="shared" ca="1" si="54"/>
        <v>0</v>
      </c>
      <c r="F884" s="21">
        <f t="shared" ca="1" si="55"/>
        <v>0</v>
      </c>
      <c r="H884" s="21">
        <v>869</v>
      </c>
      <c r="I884" s="102">
        <v>0.66779654764642504</v>
      </c>
      <c r="J884" s="103">
        <v>1.2360561278598578E-3</v>
      </c>
      <c r="K884" s="103"/>
      <c r="L884" s="103">
        <v>4.0800000000000003E-2</v>
      </c>
      <c r="O884" s="100"/>
    </row>
    <row r="885" spans="2:15" x14ac:dyDescent="0.2">
      <c r="B885" s="1">
        <v>870</v>
      </c>
      <c r="C885" s="101">
        <f t="shared" ca="1" si="52"/>
        <v>0.89347967811851525</v>
      </c>
      <c r="D885" s="101">
        <f t="shared" ca="1" si="53"/>
        <v>0.72572572636949984</v>
      </c>
      <c r="E885" s="101">
        <f t="shared" ca="1" si="54"/>
        <v>0</v>
      </c>
      <c r="F885" s="21">
        <f t="shared" ca="1" si="55"/>
        <v>0</v>
      </c>
      <c r="H885" s="21">
        <v>870</v>
      </c>
      <c r="I885" s="102">
        <v>0.66791353396754283</v>
      </c>
      <c r="J885" s="103">
        <v>1.5263961843694095E-3</v>
      </c>
      <c r="K885" s="103"/>
      <c r="L885" s="103">
        <v>4.6600000000000003E-2</v>
      </c>
      <c r="O885" s="100"/>
    </row>
    <row r="886" spans="2:15" x14ac:dyDescent="0.2">
      <c r="B886" s="1">
        <v>871</v>
      </c>
      <c r="C886" s="101">
        <f t="shared" ca="1" si="52"/>
        <v>-0.40439876611144804</v>
      </c>
      <c r="D886" s="101">
        <f t="shared" ca="1" si="53"/>
        <v>0.63851662048656332</v>
      </c>
      <c r="E886" s="101">
        <f t="shared" ca="1" si="54"/>
        <v>0</v>
      </c>
      <c r="F886" s="21">
        <f t="shared" ca="1" si="55"/>
        <v>0</v>
      </c>
      <c r="H886" s="21">
        <v>871</v>
      </c>
      <c r="I886" s="102">
        <v>0.66769744189628955</v>
      </c>
      <c r="J886" s="103">
        <v>1.3464041507342079E-3</v>
      </c>
      <c r="K886" s="103"/>
      <c r="L886" s="103">
        <v>0.04</v>
      </c>
      <c r="O886" s="100"/>
    </row>
    <row r="887" spans="2:15" x14ac:dyDescent="0.2">
      <c r="B887" s="1">
        <v>872</v>
      </c>
      <c r="C887" s="101">
        <f t="shared" ca="1" si="52"/>
        <v>-0.6149484131247549</v>
      </c>
      <c r="D887" s="101">
        <f t="shared" ca="1" si="53"/>
        <v>0.62539209768836601</v>
      </c>
      <c r="E887" s="101">
        <f t="shared" ca="1" si="54"/>
        <v>0</v>
      </c>
      <c r="F887" s="21">
        <f t="shared" ca="1" si="55"/>
        <v>0</v>
      </c>
      <c r="H887" s="21">
        <v>872</v>
      </c>
      <c r="I887" s="102">
        <v>0.66758168036301113</v>
      </c>
      <c r="J887" s="103">
        <v>1.1739137953442286E-3</v>
      </c>
      <c r="K887" s="103"/>
      <c r="L887" s="103">
        <v>3.8399999999999997E-2</v>
      </c>
      <c r="O887" s="100"/>
    </row>
    <row r="888" spans="2:15" x14ac:dyDescent="0.2">
      <c r="B888" s="1">
        <v>873</v>
      </c>
      <c r="C888" s="101">
        <f t="shared" ca="1" si="52"/>
        <v>-0.31792466221133892</v>
      </c>
      <c r="D888" s="101">
        <f t="shared" ca="1" si="53"/>
        <v>0.6439864116157763</v>
      </c>
      <c r="E888" s="101">
        <f t="shared" ca="1" si="54"/>
        <v>0</v>
      </c>
      <c r="F888" s="21">
        <f t="shared" ca="1" si="55"/>
        <v>0</v>
      </c>
      <c r="H888" s="21">
        <v>873</v>
      </c>
      <c r="I888" s="102">
        <v>0.6677526806337547</v>
      </c>
      <c r="J888" s="103">
        <v>1.4413873782715522E-3</v>
      </c>
      <c r="K888" s="103"/>
      <c r="L888" s="103">
        <v>4.2999999999999997E-2</v>
      </c>
      <c r="O888" s="100"/>
    </row>
    <row r="889" spans="2:15" x14ac:dyDescent="0.2">
      <c r="B889" s="1">
        <v>874</v>
      </c>
      <c r="C889" s="101">
        <f t="shared" ca="1" si="52"/>
        <v>-1.3323690556091059</v>
      </c>
      <c r="D889" s="101">
        <f t="shared" ca="1" si="53"/>
        <v>0.58266446330401789</v>
      </c>
      <c r="E889" s="101">
        <f t="shared" ca="1" si="54"/>
        <v>0</v>
      </c>
      <c r="F889" s="21">
        <f t="shared" ca="1" si="55"/>
        <v>0</v>
      </c>
      <c r="H889" s="21">
        <v>874</v>
      </c>
      <c r="I889" s="102">
        <v>0.66779171617354927</v>
      </c>
      <c r="J889" s="103">
        <v>1.4573913339160527E-3</v>
      </c>
      <c r="K889" s="103"/>
      <c r="L889" s="103">
        <v>4.3200000000000002E-2</v>
      </c>
      <c r="O889" s="100"/>
    </row>
    <row r="890" spans="2:15" x14ac:dyDescent="0.2">
      <c r="B890" s="1">
        <v>875</v>
      </c>
      <c r="C890" s="101">
        <f t="shared" ca="1" si="52"/>
        <v>-0.49108194877120631</v>
      </c>
      <c r="D890" s="101">
        <f t="shared" ca="1" si="53"/>
        <v>0.63308023115579182</v>
      </c>
      <c r="E890" s="101">
        <f t="shared" ca="1" si="54"/>
        <v>0</v>
      </c>
      <c r="F890" s="21">
        <f t="shared" ca="1" si="55"/>
        <v>0</v>
      </c>
      <c r="H890" s="21">
        <v>875</v>
      </c>
      <c r="I890" s="102">
        <v>0.66782833633963212</v>
      </c>
      <c r="J890" s="103">
        <v>1.4240250232073731E-3</v>
      </c>
      <c r="K890" s="103"/>
      <c r="L890" s="103">
        <v>4.3799999999999999E-2</v>
      </c>
      <c r="O890" s="100"/>
    </row>
    <row r="891" spans="2:15" x14ac:dyDescent="0.2">
      <c r="B891" s="1">
        <v>876</v>
      </c>
      <c r="C891" s="101">
        <f t="shared" ca="1" si="52"/>
        <v>0.45651243489992216</v>
      </c>
      <c r="D891" s="101">
        <f t="shared" ca="1" si="53"/>
        <v>0.69510931981133117</v>
      </c>
      <c r="E891" s="101">
        <f t="shared" ca="1" si="54"/>
        <v>0</v>
      </c>
      <c r="F891" s="21">
        <f t="shared" ca="1" si="55"/>
        <v>0</v>
      </c>
      <c r="H891" s="21">
        <v>876</v>
      </c>
      <c r="I891" s="102">
        <v>0.66793073465545627</v>
      </c>
      <c r="J891" s="103">
        <v>1.5813444126338305E-3</v>
      </c>
      <c r="K891" s="103"/>
      <c r="L891" s="103">
        <v>4.4600000000000001E-2</v>
      </c>
      <c r="O891" s="100"/>
    </row>
    <row r="892" spans="2:15" x14ac:dyDescent="0.2">
      <c r="B892" s="1">
        <v>877</v>
      </c>
      <c r="C892" s="101">
        <f t="shared" ca="1" si="52"/>
        <v>0.12610329570500597</v>
      </c>
      <c r="D892" s="101">
        <f t="shared" ca="1" si="53"/>
        <v>0.67281952742445938</v>
      </c>
      <c r="E892" s="101">
        <f t="shared" ca="1" si="54"/>
        <v>0</v>
      </c>
      <c r="F892" s="21">
        <f t="shared" ca="1" si="55"/>
        <v>0</v>
      </c>
      <c r="H892" s="21">
        <v>877</v>
      </c>
      <c r="I892" s="102">
        <v>0.66763046476874699</v>
      </c>
      <c r="J892" s="103">
        <v>1.2594643584999047E-3</v>
      </c>
      <c r="K892" s="103"/>
      <c r="L892" s="103">
        <v>3.8600000000000002E-2</v>
      </c>
      <c r="O892" s="100"/>
    </row>
    <row r="893" spans="2:15" x14ac:dyDescent="0.2">
      <c r="B893" s="1">
        <v>878</v>
      </c>
      <c r="C893" s="101">
        <f t="shared" ca="1" si="52"/>
        <v>-0.95858333595357481</v>
      </c>
      <c r="D893" s="101">
        <f t="shared" ca="1" si="53"/>
        <v>0.60454868531340133</v>
      </c>
      <c r="E893" s="101">
        <f t="shared" ca="1" si="54"/>
        <v>0</v>
      </c>
      <c r="F893" s="21">
        <f t="shared" ca="1" si="55"/>
        <v>0</v>
      </c>
      <c r="H893" s="21">
        <v>878</v>
      </c>
      <c r="I893" s="102">
        <v>0.66784373453995682</v>
      </c>
      <c r="J893" s="103">
        <v>1.513299834003688E-3</v>
      </c>
      <c r="K893" s="103"/>
      <c r="L893" s="103">
        <v>4.1799999999999997E-2</v>
      </c>
      <c r="O893" s="100"/>
    </row>
    <row r="894" spans="2:15" x14ac:dyDescent="0.2">
      <c r="B894" s="1">
        <v>879</v>
      </c>
      <c r="C894" s="101">
        <f t="shared" ca="1" si="52"/>
        <v>0.44688256802515497</v>
      </c>
      <c r="D894" s="101">
        <f t="shared" ca="1" si="53"/>
        <v>0.69444934700212091</v>
      </c>
      <c r="E894" s="101">
        <f t="shared" ca="1" si="54"/>
        <v>0</v>
      </c>
      <c r="F894" s="21">
        <f t="shared" ca="1" si="55"/>
        <v>0</v>
      </c>
      <c r="H894" s="21">
        <v>879</v>
      </c>
      <c r="I894" s="102">
        <v>0.66769820313155359</v>
      </c>
      <c r="J894" s="103">
        <v>1.3847123241154463E-3</v>
      </c>
      <c r="K894" s="103"/>
      <c r="L894" s="103">
        <v>4.1200000000000001E-2</v>
      </c>
      <c r="O894" s="100"/>
    </row>
    <row r="895" spans="2:15" x14ac:dyDescent="0.2">
      <c r="B895" s="1">
        <v>880</v>
      </c>
      <c r="C895" s="101">
        <f t="shared" ca="1" si="52"/>
        <v>-0.20149460679489115</v>
      </c>
      <c r="D895" s="101">
        <f t="shared" ca="1" si="53"/>
        <v>0.6514251107094321</v>
      </c>
      <c r="E895" s="101">
        <f t="shared" ca="1" si="54"/>
        <v>0</v>
      </c>
      <c r="F895" s="21">
        <f t="shared" ca="1" si="55"/>
        <v>0</v>
      </c>
      <c r="H895" s="21">
        <v>880</v>
      </c>
      <c r="I895" s="102">
        <v>0.66776731675697332</v>
      </c>
      <c r="J895" s="103">
        <v>1.5059655843038377E-3</v>
      </c>
      <c r="K895" s="103"/>
      <c r="L895" s="103">
        <v>4.2799999999999998E-2</v>
      </c>
      <c r="O895" s="100"/>
    </row>
    <row r="896" spans="2:15" x14ac:dyDescent="0.2">
      <c r="B896" s="1">
        <v>881</v>
      </c>
      <c r="C896" s="101">
        <f t="shared" ca="1" si="52"/>
        <v>-0.79228797322272204</v>
      </c>
      <c r="D896" s="101">
        <f t="shared" ca="1" si="53"/>
        <v>0.61454723904951891</v>
      </c>
      <c r="E896" s="101">
        <f t="shared" ca="1" si="54"/>
        <v>0</v>
      </c>
      <c r="F896" s="21">
        <f t="shared" ca="1" si="55"/>
        <v>0</v>
      </c>
      <c r="H896" s="21">
        <v>881</v>
      </c>
      <c r="I896" s="102">
        <v>0.66774601565357983</v>
      </c>
      <c r="J896" s="103">
        <v>1.3896821729815643E-3</v>
      </c>
      <c r="K896" s="103"/>
      <c r="L896" s="103">
        <v>4.02E-2</v>
      </c>
      <c r="O896" s="100"/>
    </row>
    <row r="897" spans="2:15" x14ac:dyDescent="0.2">
      <c r="B897" s="1">
        <v>882</v>
      </c>
      <c r="C897" s="101">
        <f t="shared" ca="1" si="52"/>
        <v>1.9131052176642012</v>
      </c>
      <c r="D897" s="101">
        <f t="shared" ca="1" si="53"/>
        <v>0.80251405677494092</v>
      </c>
      <c r="E897" s="101">
        <f t="shared" ca="1" si="54"/>
        <v>1.4314056774940909E-2</v>
      </c>
      <c r="F897" s="21">
        <f t="shared" ca="1" si="55"/>
        <v>1</v>
      </c>
      <c r="H897" s="21">
        <v>882</v>
      </c>
      <c r="I897" s="102">
        <v>0.66778641512595449</v>
      </c>
      <c r="J897" s="103">
        <v>1.3751349641426384E-3</v>
      </c>
      <c r="K897" s="103"/>
      <c r="L897" s="103">
        <v>4.5600000000000002E-2</v>
      </c>
      <c r="O897" s="100"/>
    </row>
    <row r="898" spans="2:15" x14ac:dyDescent="0.2">
      <c r="B898" s="1">
        <v>883</v>
      </c>
      <c r="C898" s="101">
        <f t="shared" ca="1" si="52"/>
        <v>1.1144442459077617</v>
      </c>
      <c r="D898" s="101">
        <f t="shared" ca="1" si="53"/>
        <v>0.74171746371522873</v>
      </c>
      <c r="E898" s="101">
        <f t="shared" ca="1" si="54"/>
        <v>0</v>
      </c>
      <c r="F898" s="21">
        <f t="shared" ca="1" si="55"/>
        <v>0</v>
      </c>
      <c r="H898" s="21">
        <v>883</v>
      </c>
      <c r="I898" s="102">
        <v>0.66776298275707036</v>
      </c>
      <c r="J898" s="103">
        <v>1.3313700966351249E-3</v>
      </c>
      <c r="K898" s="103"/>
      <c r="L898" s="103">
        <v>0.04</v>
      </c>
      <c r="O898" s="100"/>
    </row>
    <row r="899" spans="2:15" x14ac:dyDescent="0.2">
      <c r="B899" s="1">
        <v>884</v>
      </c>
      <c r="C899" s="101">
        <f t="shared" ca="1" si="52"/>
        <v>-0.46169278910736716</v>
      </c>
      <c r="D899" s="101">
        <f t="shared" ca="1" si="53"/>
        <v>0.63491818448838078</v>
      </c>
      <c r="E899" s="101">
        <f t="shared" ca="1" si="54"/>
        <v>0</v>
      </c>
      <c r="F899" s="21">
        <f t="shared" ca="1" si="55"/>
        <v>0</v>
      </c>
      <c r="H899" s="21">
        <v>884</v>
      </c>
      <c r="I899" s="102">
        <v>0.66777977261238297</v>
      </c>
      <c r="J899" s="103">
        <v>1.4867379765918334E-3</v>
      </c>
      <c r="K899" s="103"/>
      <c r="L899" s="103">
        <v>4.48E-2</v>
      </c>
      <c r="O899" s="100"/>
    </row>
    <row r="900" spans="2:15" x14ac:dyDescent="0.2">
      <c r="B900" s="1">
        <v>885</v>
      </c>
      <c r="C900" s="101">
        <f t="shared" ca="1" si="52"/>
        <v>0.49821825650310581</v>
      </c>
      <c r="D900" s="101">
        <f t="shared" ca="1" si="53"/>
        <v>0.69797483243082314</v>
      </c>
      <c r="E900" s="101">
        <f t="shared" ca="1" si="54"/>
        <v>0</v>
      </c>
      <c r="F900" s="21">
        <f t="shared" ca="1" si="55"/>
        <v>0</v>
      </c>
      <c r="H900" s="21">
        <v>885</v>
      </c>
      <c r="I900" s="102">
        <v>0.66781091087356004</v>
      </c>
      <c r="J900" s="103">
        <v>1.4397387126740162E-3</v>
      </c>
      <c r="K900" s="103"/>
      <c r="L900" s="103">
        <v>4.2200000000000001E-2</v>
      </c>
      <c r="O900" s="100"/>
    </row>
    <row r="901" spans="2:15" x14ac:dyDescent="0.2">
      <c r="B901" s="1">
        <v>886</v>
      </c>
      <c r="C901" s="101">
        <f t="shared" ca="1" si="52"/>
        <v>0.16906400239323216</v>
      </c>
      <c r="D901" s="101">
        <f t="shared" ca="1" si="53"/>
        <v>0.67567678527783437</v>
      </c>
      <c r="E901" s="101">
        <f t="shared" ca="1" si="54"/>
        <v>0</v>
      </c>
      <c r="F901" s="21">
        <f t="shared" ca="1" si="55"/>
        <v>0</v>
      </c>
      <c r="H901" s="21">
        <v>886</v>
      </c>
      <c r="I901" s="102">
        <v>0.66782915447149149</v>
      </c>
      <c r="J901" s="103">
        <v>1.5391506397554832E-3</v>
      </c>
      <c r="K901" s="103"/>
      <c r="L901" s="103">
        <v>4.48E-2</v>
      </c>
      <c r="O901" s="100"/>
    </row>
    <row r="902" spans="2:15" x14ac:dyDescent="0.2">
      <c r="B902" s="1">
        <v>887</v>
      </c>
      <c r="C902" s="101">
        <f t="shared" ca="1" si="52"/>
        <v>-1.0204763486122854</v>
      </c>
      <c r="D902" s="101">
        <f t="shared" ca="1" si="53"/>
        <v>0.60086903329655128</v>
      </c>
      <c r="E902" s="101">
        <f t="shared" ca="1" si="54"/>
        <v>0</v>
      </c>
      <c r="F902" s="21">
        <f t="shared" ca="1" si="55"/>
        <v>0</v>
      </c>
      <c r="H902" s="21">
        <v>887</v>
      </c>
      <c r="I902" s="102">
        <v>0.66762188436253311</v>
      </c>
      <c r="J902" s="103">
        <v>1.1349163452860646E-3</v>
      </c>
      <c r="K902" s="103"/>
      <c r="L902" s="103">
        <v>3.5000000000000003E-2</v>
      </c>
      <c r="O902" s="100"/>
    </row>
    <row r="903" spans="2:15" x14ac:dyDescent="0.2">
      <c r="B903" s="1">
        <v>888</v>
      </c>
      <c r="C903" s="101">
        <f t="shared" ca="1" si="52"/>
        <v>0.56036338410298159</v>
      </c>
      <c r="D903" s="101">
        <f t="shared" ca="1" si="53"/>
        <v>0.7022666134757185</v>
      </c>
      <c r="E903" s="101">
        <f t="shared" ca="1" si="54"/>
        <v>0</v>
      </c>
      <c r="F903" s="21">
        <f t="shared" ca="1" si="55"/>
        <v>0</v>
      </c>
      <c r="H903" s="21">
        <v>888</v>
      </c>
      <c r="I903" s="102">
        <v>0.66754591599856206</v>
      </c>
      <c r="J903" s="103">
        <v>1.1993254435540021E-3</v>
      </c>
      <c r="K903" s="103"/>
      <c r="L903" s="103">
        <v>3.78E-2</v>
      </c>
      <c r="O903" s="100"/>
    </row>
    <row r="904" spans="2:15" x14ac:dyDescent="0.2">
      <c r="B904" s="1">
        <v>889</v>
      </c>
      <c r="C904" s="101">
        <f t="shared" ca="1" si="52"/>
        <v>-0.40626903546108512</v>
      </c>
      <c r="D904" s="101">
        <f t="shared" ca="1" si="53"/>
        <v>0.63839883407154807</v>
      </c>
      <c r="E904" s="101">
        <f t="shared" ca="1" si="54"/>
        <v>0</v>
      </c>
      <c r="F904" s="21">
        <f t="shared" ca="1" si="55"/>
        <v>0</v>
      </c>
      <c r="H904" s="21">
        <v>889</v>
      </c>
      <c r="I904" s="102">
        <v>0.66763781268954947</v>
      </c>
      <c r="J904" s="103">
        <v>1.2076869407801015E-3</v>
      </c>
      <c r="K904" s="103"/>
      <c r="L904" s="103">
        <v>0.04</v>
      </c>
      <c r="O904" s="100"/>
    </row>
    <row r="905" spans="2:15" x14ac:dyDescent="0.2">
      <c r="B905" s="1">
        <v>890</v>
      </c>
      <c r="C905" s="101">
        <f t="shared" ca="1" si="52"/>
        <v>-2.0081671188041543</v>
      </c>
      <c r="D905" s="101">
        <f t="shared" ca="1" si="53"/>
        <v>0.54508942791600745</v>
      </c>
      <c r="E905" s="101">
        <f t="shared" ca="1" si="54"/>
        <v>0</v>
      </c>
      <c r="F905" s="21">
        <f t="shared" ca="1" si="55"/>
        <v>0</v>
      </c>
      <c r="H905" s="21">
        <v>890</v>
      </c>
      <c r="I905" s="102">
        <v>0.66769089818083005</v>
      </c>
      <c r="J905" s="103">
        <v>1.2853573467860857E-3</v>
      </c>
      <c r="K905" s="103"/>
      <c r="L905" s="103">
        <v>4.0599999999999997E-2</v>
      </c>
      <c r="O905" s="100"/>
    </row>
    <row r="906" spans="2:15" x14ac:dyDescent="0.2">
      <c r="B906" s="1">
        <v>891</v>
      </c>
      <c r="C906" s="101">
        <f t="shared" ca="1" si="52"/>
        <v>-0.18736696503544381</v>
      </c>
      <c r="D906" s="101">
        <f t="shared" ca="1" si="53"/>
        <v>0.65233354959275791</v>
      </c>
      <c r="E906" s="101">
        <f t="shared" ca="1" si="54"/>
        <v>0</v>
      </c>
      <c r="F906" s="21">
        <f t="shared" ca="1" si="55"/>
        <v>0</v>
      </c>
      <c r="H906" s="21">
        <v>891</v>
      </c>
      <c r="I906" s="102">
        <v>0.66763662852458361</v>
      </c>
      <c r="J906" s="103">
        <v>1.2449499636570844E-3</v>
      </c>
      <c r="K906" s="103"/>
      <c r="L906" s="103">
        <v>4.0399999999999998E-2</v>
      </c>
      <c r="O906" s="100"/>
    </row>
    <row r="907" spans="2:15" x14ac:dyDescent="0.2">
      <c r="B907" s="1">
        <v>892</v>
      </c>
      <c r="C907" s="101">
        <f t="shared" ca="1" si="52"/>
        <v>-0.31921612883110612</v>
      </c>
      <c r="D907" s="101">
        <f t="shared" ca="1" si="53"/>
        <v>0.6439043781373075</v>
      </c>
      <c r="E907" s="101">
        <f t="shared" ca="1" si="54"/>
        <v>0</v>
      </c>
      <c r="F907" s="21">
        <f t="shared" ca="1" si="55"/>
        <v>0</v>
      </c>
      <c r="H907" s="21">
        <v>892</v>
      </c>
      <c r="I907" s="102">
        <v>0.667603455155107</v>
      </c>
      <c r="J907" s="103">
        <v>1.3218848325220103E-3</v>
      </c>
      <c r="K907" s="103"/>
      <c r="L907" s="103">
        <v>3.7999999999999999E-2</v>
      </c>
      <c r="O907" s="100"/>
    </row>
    <row r="908" spans="2:15" x14ac:dyDescent="0.2">
      <c r="B908" s="1">
        <v>893</v>
      </c>
      <c r="C908" s="101">
        <f t="shared" ca="1" si="52"/>
        <v>-1.1495481372310723</v>
      </c>
      <c r="D908" s="101">
        <f t="shared" ca="1" si="53"/>
        <v>0.59326737564290521</v>
      </c>
      <c r="E908" s="101">
        <f t="shared" ca="1" si="54"/>
        <v>0</v>
      </c>
      <c r="F908" s="21">
        <f t="shared" ca="1" si="55"/>
        <v>0</v>
      </c>
      <c r="H908" s="21">
        <v>893</v>
      </c>
      <c r="I908" s="102">
        <v>0.66780299082331263</v>
      </c>
      <c r="J908" s="103">
        <v>1.3814695805790843E-3</v>
      </c>
      <c r="K908" s="103"/>
      <c r="L908" s="103">
        <v>4.2000000000000003E-2</v>
      </c>
      <c r="O908" s="100"/>
    </row>
    <row r="909" spans="2:15" x14ac:dyDescent="0.2">
      <c r="B909" s="1">
        <v>894</v>
      </c>
      <c r="C909" s="101">
        <f t="shared" ca="1" si="52"/>
        <v>2.287384024436768</v>
      </c>
      <c r="D909" s="101">
        <f t="shared" ca="1" si="53"/>
        <v>0.83269608261011163</v>
      </c>
      <c r="E909" s="101">
        <f t="shared" ca="1" si="54"/>
        <v>4.449608261011162E-2</v>
      </c>
      <c r="F909" s="21">
        <f t="shared" ca="1" si="55"/>
        <v>1</v>
      </c>
      <c r="H909" s="21">
        <v>894</v>
      </c>
      <c r="I909" s="102">
        <v>0.6678736745109517</v>
      </c>
      <c r="J909" s="103">
        <v>1.4967466757521315E-3</v>
      </c>
      <c r="K909" s="103"/>
      <c r="L909" s="103">
        <v>4.5400000000000003E-2</v>
      </c>
      <c r="O909" s="100"/>
    </row>
    <row r="910" spans="2:15" x14ac:dyDescent="0.2">
      <c r="B910" s="1">
        <v>895</v>
      </c>
      <c r="C910" s="101">
        <f t="shared" ca="1" si="52"/>
        <v>-0.12583245187505271</v>
      </c>
      <c r="D910" s="101">
        <f t="shared" ca="1" si="53"/>
        <v>0.65630515507527964</v>
      </c>
      <c r="E910" s="101">
        <f t="shared" ca="1" si="54"/>
        <v>0</v>
      </c>
      <c r="F910" s="21">
        <f t="shared" ca="1" si="55"/>
        <v>0</v>
      </c>
      <c r="H910" s="21">
        <v>895</v>
      </c>
      <c r="I910" s="102">
        <v>0.66762941241310425</v>
      </c>
      <c r="J910" s="103">
        <v>1.0837031429723456E-3</v>
      </c>
      <c r="K910" s="103"/>
      <c r="L910" s="103">
        <v>3.9199999999999999E-2</v>
      </c>
      <c r="O910" s="100"/>
    </row>
    <row r="911" spans="2:15" x14ac:dyDescent="0.2">
      <c r="B911" s="1">
        <v>896</v>
      </c>
      <c r="C911" s="101">
        <f t="shared" ca="1" si="52"/>
        <v>-1.0672103989515356</v>
      </c>
      <c r="D911" s="101">
        <f t="shared" ca="1" si="53"/>
        <v>0.59810545673399618</v>
      </c>
      <c r="E911" s="101">
        <f t="shared" ca="1" si="54"/>
        <v>0</v>
      </c>
      <c r="F911" s="21">
        <f t="shared" ca="1" si="55"/>
        <v>0</v>
      </c>
      <c r="H911" s="21">
        <v>896</v>
      </c>
      <c r="I911" s="102">
        <v>0.66777724052024656</v>
      </c>
      <c r="J911" s="103">
        <v>1.3648457696704734E-3</v>
      </c>
      <c r="K911" s="103"/>
      <c r="L911" s="103">
        <v>4.1599999999999998E-2</v>
      </c>
      <c r="O911" s="100"/>
    </row>
    <row r="912" spans="2:15" x14ac:dyDescent="0.2">
      <c r="B912" s="1">
        <v>897</v>
      </c>
      <c r="C912" s="101">
        <f t="shared" ref="C912:C975" ca="1" si="56">_xlfn.NORM.S.INV(RAND())</f>
        <v>-0.16865481150508968</v>
      </c>
      <c r="D912" s="101">
        <f t="shared" ref="D912:D975" ca="1" si="57">S0*EXP((μ-0.5*σ*σ)*T+σ*SQRT(T)*$C912)</f>
        <v>0.65353873331683354</v>
      </c>
      <c r="E912" s="101">
        <f t="shared" ref="E912:E975" ca="1" si="58">MAX(0,CP*(D912-K))</f>
        <v>0</v>
      </c>
      <c r="F912" s="21">
        <f t="shared" ref="F912:F975" ca="1" si="59">(CP*(D912-K)&gt;0)*1</f>
        <v>0</v>
      </c>
      <c r="H912" s="21">
        <v>897</v>
      </c>
      <c r="I912" s="102">
        <v>0.66769250071593755</v>
      </c>
      <c r="J912" s="103">
        <v>1.3142655784727933E-3</v>
      </c>
      <c r="K912" s="103"/>
      <c r="L912" s="103">
        <v>4.02E-2</v>
      </c>
      <c r="O912" s="100"/>
    </row>
    <row r="913" spans="2:15" x14ac:dyDescent="0.2">
      <c r="B913" s="1">
        <v>898</v>
      </c>
      <c r="C913" s="101">
        <f t="shared" ca="1" si="56"/>
        <v>-0.32873515587554569</v>
      </c>
      <c r="D913" s="101">
        <f t="shared" ca="1" si="57"/>
        <v>0.64330005536372814</v>
      </c>
      <c r="E913" s="101">
        <f t="shared" ca="1" si="58"/>
        <v>0</v>
      </c>
      <c r="F913" s="21">
        <f t="shared" ca="1" si="59"/>
        <v>0</v>
      </c>
      <c r="H913" s="21">
        <v>898</v>
      </c>
      <c r="I913" s="102">
        <v>0.66764752242111913</v>
      </c>
      <c r="J913" s="103">
        <v>1.1352602278988009E-3</v>
      </c>
      <c r="K913" s="103"/>
      <c r="L913" s="103">
        <v>4.02E-2</v>
      </c>
      <c r="O913" s="100"/>
    </row>
    <row r="914" spans="2:15" x14ac:dyDescent="0.2">
      <c r="B914" s="1">
        <v>899</v>
      </c>
      <c r="C914" s="101">
        <f t="shared" ca="1" si="56"/>
        <v>-0.77920960911557513</v>
      </c>
      <c r="D914" s="101">
        <f t="shared" ca="1" si="57"/>
        <v>0.61534055787698816</v>
      </c>
      <c r="E914" s="101">
        <f t="shared" ca="1" si="58"/>
        <v>0</v>
      </c>
      <c r="F914" s="21">
        <f t="shared" ca="1" si="59"/>
        <v>0</v>
      </c>
      <c r="H914" s="21">
        <v>899</v>
      </c>
      <c r="I914" s="102">
        <v>0.66781077277033696</v>
      </c>
      <c r="J914" s="103">
        <v>1.3312915652636493E-3</v>
      </c>
      <c r="K914" s="103"/>
      <c r="L914" s="103">
        <v>4.1399999999999999E-2</v>
      </c>
      <c r="O914" s="100"/>
    </row>
    <row r="915" spans="2:15" x14ac:dyDescent="0.2">
      <c r="B915" s="1">
        <v>900</v>
      </c>
      <c r="C915" s="101">
        <f t="shared" ca="1" si="56"/>
        <v>3.0964818725780077E-2</v>
      </c>
      <c r="D915" s="101">
        <f t="shared" ca="1" si="57"/>
        <v>0.66653493033609168</v>
      </c>
      <c r="E915" s="101">
        <f t="shared" ca="1" si="58"/>
        <v>0</v>
      </c>
      <c r="F915" s="21">
        <f t="shared" ca="1" si="59"/>
        <v>0</v>
      </c>
      <c r="H915" s="21">
        <v>900</v>
      </c>
      <c r="I915" s="102">
        <v>0.66770331732198995</v>
      </c>
      <c r="J915" s="103">
        <v>1.307509492316349E-3</v>
      </c>
      <c r="K915" s="103"/>
      <c r="L915" s="103">
        <v>4.0599999999999997E-2</v>
      </c>
      <c r="O915" s="100"/>
    </row>
    <row r="916" spans="2:15" x14ac:dyDescent="0.2">
      <c r="B916" s="1">
        <v>901</v>
      </c>
      <c r="C916" s="101">
        <f t="shared" ca="1" si="56"/>
        <v>0.43681549961589755</v>
      </c>
      <c r="D916" s="101">
        <f t="shared" ca="1" si="57"/>
        <v>0.69376008096646025</v>
      </c>
      <c r="E916" s="101">
        <f t="shared" ca="1" si="58"/>
        <v>0</v>
      </c>
      <c r="F916" s="21">
        <f t="shared" ca="1" si="59"/>
        <v>0</v>
      </c>
      <c r="H916" s="21">
        <v>901</v>
      </c>
      <c r="I916" s="102">
        <v>0.66760970606711689</v>
      </c>
      <c r="J916" s="103">
        <v>1.2631819596949244E-3</v>
      </c>
      <c r="K916" s="103"/>
      <c r="L916" s="103">
        <v>3.9399999999999998E-2</v>
      </c>
      <c r="O916" s="100"/>
    </row>
    <row r="917" spans="2:15" x14ac:dyDescent="0.2">
      <c r="B917" s="1">
        <v>902</v>
      </c>
      <c r="C917" s="101">
        <f t="shared" ca="1" si="56"/>
        <v>-0.73953534444467151</v>
      </c>
      <c r="D917" s="101">
        <f t="shared" ca="1" si="57"/>
        <v>0.61775342505322173</v>
      </c>
      <c r="E917" s="101">
        <f t="shared" ca="1" si="58"/>
        <v>0</v>
      </c>
      <c r="F917" s="21">
        <f t="shared" ca="1" si="59"/>
        <v>0</v>
      </c>
      <c r="H917" s="21">
        <v>902</v>
      </c>
      <c r="I917" s="102">
        <v>0.66777141587064703</v>
      </c>
      <c r="J917" s="103">
        <v>1.3425679562292774E-3</v>
      </c>
      <c r="K917" s="103"/>
      <c r="L917" s="103">
        <v>4.3999999999999997E-2</v>
      </c>
      <c r="O917" s="100"/>
    </row>
    <row r="918" spans="2:15" x14ac:dyDescent="0.2">
      <c r="B918" s="1">
        <v>903</v>
      </c>
      <c r="C918" s="101">
        <f t="shared" ca="1" si="56"/>
        <v>0.96843144858288088</v>
      </c>
      <c r="D918" s="101">
        <f t="shared" ca="1" si="57"/>
        <v>0.73111114847039382</v>
      </c>
      <c r="E918" s="101">
        <f t="shared" ca="1" si="58"/>
        <v>0</v>
      </c>
      <c r="F918" s="21">
        <f t="shared" ca="1" si="59"/>
        <v>0</v>
      </c>
      <c r="H918" s="21">
        <v>903</v>
      </c>
      <c r="I918" s="102">
        <v>0.66767824499991157</v>
      </c>
      <c r="J918" s="103">
        <v>1.3393807331754384E-3</v>
      </c>
      <c r="K918" s="103"/>
      <c r="L918" s="103">
        <v>4.1200000000000001E-2</v>
      </c>
      <c r="O918" s="100"/>
    </row>
    <row r="919" spans="2:15" x14ac:dyDescent="0.2">
      <c r="B919" s="1">
        <v>904</v>
      </c>
      <c r="C919" s="101">
        <f t="shared" ca="1" si="56"/>
        <v>-0.71684305680850835</v>
      </c>
      <c r="D919" s="101">
        <f t="shared" ca="1" si="57"/>
        <v>0.61913775143308125</v>
      </c>
      <c r="E919" s="101">
        <f t="shared" ca="1" si="58"/>
        <v>0</v>
      </c>
      <c r="F919" s="21">
        <f t="shared" ca="1" si="59"/>
        <v>0</v>
      </c>
      <c r="H919" s="21">
        <v>904</v>
      </c>
      <c r="I919" s="102">
        <v>0.66766634230838451</v>
      </c>
      <c r="J919" s="103">
        <v>1.2477690306733403E-3</v>
      </c>
      <c r="K919" s="103"/>
      <c r="L919" s="103">
        <v>3.9800000000000002E-2</v>
      </c>
      <c r="O919" s="100"/>
    </row>
    <row r="920" spans="2:15" x14ac:dyDescent="0.2">
      <c r="B920" s="1">
        <v>905</v>
      </c>
      <c r="C920" s="101">
        <f t="shared" ca="1" si="56"/>
        <v>-1.5430105236602849</v>
      </c>
      <c r="D920" s="101">
        <f t="shared" ca="1" si="57"/>
        <v>0.5706827964009713</v>
      </c>
      <c r="E920" s="101">
        <f t="shared" ca="1" si="58"/>
        <v>0</v>
      </c>
      <c r="F920" s="21">
        <f t="shared" ca="1" si="59"/>
        <v>0</v>
      </c>
      <c r="H920" s="21">
        <v>905</v>
      </c>
      <c r="I920" s="102">
        <v>0.6677050800082972</v>
      </c>
      <c r="J920" s="103">
        <v>1.4182760759171786E-3</v>
      </c>
      <c r="K920" s="103"/>
      <c r="L920" s="103">
        <v>3.9600000000000003E-2</v>
      </c>
      <c r="O920" s="100"/>
    </row>
    <row r="921" spans="2:15" x14ac:dyDescent="0.2">
      <c r="B921" s="1">
        <v>906</v>
      </c>
      <c r="C921" s="101">
        <f t="shared" ca="1" si="56"/>
        <v>-0.49550823189274951</v>
      </c>
      <c r="D921" s="101">
        <f t="shared" ca="1" si="57"/>
        <v>0.63280387952209627</v>
      </c>
      <c r="E921" s="101">
        <f t="shared" ca="1" si="58"/>
        <v>0</v>
      </c>
      <c r="F921" s="21">
        <f t="shared" ca="1" si="59"/>
        <v>0</v>
      </c>
      <c r="H921" s="21">
        <v>906</v>
      </c>
      <c r="I921" s="102">
        <v>0.66784950302445178</v>
      </c>
      <c r="J921" s="103">
        <v>1.4383247353317789E-3</v>
      </c>
      <c r="K921" s="103"/>
      <c r="L921" s="103">
        <v>4.3999999999999997E-2</v>
      </c>
      <c r="O921" s="100"/>
    </row>
    <row r="922" spans="2:15" x14ac:dyDescent="0.2">
      <c r="B922" s="1">
        <v>907</v>
      </c>
      <c r="C922" s="101">
        <f t="shared" ca="1" si="56"/>
        <v>-0.43347544528925469</v>
      </c>
      <c r="D922" s="101">
        <f t="shared" ca="1" si="57"/>
        <v>0.63668787508534064</v>
      </c>
      <c r="E922" s="101">
        <f t="shared" ca="1" si="58"/>
        <v>0</v>
      </c>
      <c r="F922" s="21">
        <f t="shared" ca="1" si="59"/>
        <v>0</v>
      </c>
      <c r="H922" s="21">
        <v>907</v>
      </c>
      <c r="I922" s="102">
        <v>0.66777290653052024</v>
      </c>
      <c r="J922" s="103">
        <v>1.414755778108208E-3</v>
      </c>
      <c r="K922" s="103"/>
      <c r="L922" s="103">
        <v>4.7E-2</v>
      </c>
      <c r="O922" s="100"/>
    </row>
    <row r="923" spans="2:15" x14ac:dyDescent="0.2">
      <c r="B923" s="1">
        <v>908</v>
      </c>
      <c r="C923" s="101">
        <f t="shared" ca="1" si="56"/>
        <v>-0.11622090831848285</v>
      </c>
      <c r="D923" s="101">
        <f t="shared" ca="1" si="57"/>
        <v>0.65692769003783358</v>
      </c>
      <c r="E923" s="101">
        <f t="shared" ca="1" si="58"/>
        <v>0</v>
      </c>
      <c r="F923" s="21">
        <f t="shared" ca="1" si="59"/>
        <v>0</v>
      </c>
      <c r="H923" s="21">
        <v>908</v>
      </c>
      <c r="I923" s="102">
        <v>0.66786415198970872</v>
      </c>
      <c r="J923" s="103">
        <v>1.400364101996823E-3</v>
      </c>
      <c r="K923" s="103"/>
      <c r="L923" s="103">
        <v>4.2000000000000003E-2</v>
      </c>
      <c r="O923" s="100"/>
    </row>
    <row r="924" spans="2:15" x14ac:dyDescent="0.2">
      <c r="B924" s="1">
        <v>909</v>
      </c>
      <c r="C924" s="101">
        <f t="shared" ca="1" si="56"/>
        <v>-9.0867942839193402E-2</v>
      </c>
      <c r="D924" s="101">
        <f t="shared" ca="1" si="57"/>
        <v>0.6585726237438978</v>
      </c>
      <c r="E924" s="101">
        <f t="shared" ca="1" si="58"/>
        <v>0</v>
      </c>
      <c r="F924" s="21">
        <f t="shared" ca="1" si="59"/>
        <v>0</v>
      </c>
      <c r="H924" s="21">
        <v>909</v>
      </c>
      <c r="I924" s="102">
        <v>0.66780276205047673</v>
      </c>
      <c r="J924" s="103">
        <v>1.4276880380616149E-3</v>
      </c>
      <c r="K924" s="103"/>
      <c r="L924" s="103">
        <v>4.2999999999999997E-2</v>
      </c>
      <c r="O924" s="100"/>
    </row>
    <row r="925" spans="2:15" x14ac:dyDescent="0.2">
      <c r="B925" s="1">
        <v>910</v>
      </c>
      <c r="C925" s="101">
        <f t="shared" ca="1" si="56"/>
        <v>0.80250545017359642</v>
      </c>
      <c r="D925" s="101">
        <f t="shared" ca="1" si="57"/>
        <v>0.71924232937532662</v>
      </c>
      <c r="E925" s="101">
        <f t="shared" ca="1" si="58"/>
        <v>0</v>
      </c>
      <c r="F925" s="21">
        <f t="shared" ca="1" si="59"/>
        <v>0</v>
      </c>
      <c r="H925" s="21">
        <v>910</v>
      </c>
      <c r="I925" s="102">
        <v>0.66769046599724213</v>
      </c>
      <c r="J925" s="103">
        <v>1.4197619364584764E-3</v>
      </c>
      <c r="K925" s="103"/>
      <c r="L925" s="103">
        <v>4.0599999999999997E-2</v>
      </c>
      <c r="O925" s="100"/>
    </row>
    <row r="926" spans="2:15" x14ac:dyDescent="0.2">
      <c r="B926" s="1">
        <v>911</v>
      </c>
      <c r="C926" s="101">
        <f t="shared" ca="1" si="56"/>
        <v>0.71165261668139468</v>
      </c>
      <c r="D926" s="101">
        <f t="shared" ca="1" si="57"/>
        <v>0.71282538861925371</v>
      </c>
      <c r="E926" s="101">
        <f t="shared" ca="1" si="58"/>
        <v>0</v>
      </c>
      <c r="F926" s="21">
        <f t="shared" ca="1" si="59"/>
        <v>0</v>
      </c>
      <c r="H926" s="21">
        <v>911</v>
      </c>
      <c r="I926" s="102">
        <v>0.66759474473715996</v>
      </c>
      <c r="J926" s="103">
        <v>1.2259873195896889E-3</v>
      </c>
      <c r="K926" s="103"/>
      <c r="L926" s="103">
        <v>4.0599999999999997E-2</v>
      </c>
      <c r="O926" s="100"/>
    </row>
    <row r="927" spans="2:15" x14ac:dyDescent="0.2">
      <c r="B927" s="1">
        <v>912</v>
      </c>
      <c r="C927" s="101">
        <f t="shared" ca="1" si="56"/>
        <v>0.93808781653927165</v>
      </c>
      <c r="D927" s="101">
        <f t="shared" ca="1" si="57"/>
        <v>0.72892610500118948</v>
      </c>
      <c r="E927" s="101">
        <f t="shared" ca="1" si="58"/>
        <v>0</v>
      </c>
      <c r="F927" s="21">
        <f t="shared" ca="1" si="59"/>
        <v>0</v>
      </c>
      <c r="H927" s="21">
        <v>912</v>
      </c>
      <c r="I927" s="102">
        <v>0.66769275486453639</v>
      </c>
      <c r="J927" s="103">
        <v>1.3342921429461204E-3</v>
      </c>
      <c r="K927" s="103"/>
      <c r="L927" s="103">
        <v>4.24E-2</v>
      </c>
      <c r="O927" s="100"/>
    </row>
    <row r="928" spans="2:15" x14ac:dyDescent="0.2">
      <c r="B928" s="1">
        <v>913</v>
      </c>
      <c r="C928" s="101">
        <f t="shared" ca="1" si="56"/>
        <v>-0.78230890330176794</v>
      </c>
      <c r="D928" s="101">
        <f t="shared" ca="1" si="57"/>
        <v>0.615152465645459</v>
      </c>
      <c r="E928" s="101">
        <f t="shared" ca="1" si="58"/>
        <v>0</v>
      </c>
      <c r="F928" s="21">
        <f t="shared" ca="1" si="59"/>
        <v>0</v>
      </c>
      <c r="H928" s="21">
        <v>913</v>
      </c>
      <c r="I928" s="102">
        <v>0.66775269585508445</v>
      </c>
      <c r="J928" s="103">
        <v>1.4212512121900321E-3</v>
      </c>
      <c r="K928" s="103"/>
      <c r="L928" s="103">
        <v>4.1000000000000002E-2</v>
      </c>
      <c r="O928" s="100"/>
    </row>
    <row r="929" spans="2:15" x14ac:dyDescent="0.2">
      <c r="B929" s="1">
        <v>914</v>
      </c>
      <c r="C929" s="101">
        <f t="shared" ca="1" si="56"/>
        <v>-1.165118449974232</v>
      </c>
      <c r="D929" s="101">
        <f t="shared" ca="1" si="57"/>
        <v>0.59235688972193734</v>
      </c>
      <c r="E929" s="101">
        <f t="shared" ca="1" si="58"/>
        <v>0</v>
      </c>
      <c r="F929" s="21">
        <f t="shared" ca="1" si="59"/>
        <v>0</v>
      </c>
      <c r="H929" s="21">
        <v>914</v>
      </c>
      <c r="I929" s="102">
        <v>0.66780072123585121</v>
      </c>
      <c r="J929" s="103">
        <v>1.4907178533243937E-3</v>
      </c>
      <c r="K929" s="103"/>
      <c r="L929" s="103">
        <v>4.3799999999999999E-2</v>
      </c>
      <c r="O929" s="100"/>
    </row>
    <row r="930" spans="2:15" x14ac:dyDescent="0.2">
      <c r="B930" s="1">
        <v>915</v>
      </c>
      <c r="C930" s="101">
        <f t="shared" ca="1" si="56"/>
        <v>-0.68193705069733834</v>
      </c>
      <c r="D930" s="101">
        <f t="shared" ca="1" si="57"/>
        <v>0.62127322518188266</v>
      </c>
      <c r="E930" s="101">
        <f t="shared" ca="1" si="58"/>
        <v>0</v>
      </c>
      <c r="F930" s="21">
        <f t="shared" ca="1" si="59"/>
        <v>0</v>
      </c>
      <c r="H930" s="21">
        <v>915</v>
      </c>
      <c r="I930" s="102">
        <v>0.66787180501083954</v>
      </c>
      <c r="J930" s="103">
        <v>1.4724143013814259E-3</v>
      </c>
      <c r="K930" s="103"/>
      <c r="L930" s="103">
        <v>4.82E-2</v>
      </c>
      <c r="O930" s="100"/>
    </row>
    <row r="931" spans="2:15" x14ac:dyDescent="0.2">
      <c r="B931" s="1">
        <v>916</v>
      </c>
      <c r="C931" s="101">
        <f t="shared" ca="1" si="56"/>
        <v>-0.39378346504627876</v>
      </c>
      <c r="D931" s="101">
        <f t="shared" ca="1" si="57"/>
        <v>0.63918556611387323</v>
      </c>
      <c r="E931" s="101">
        <f t="shared" ca="1" si="58"/>
        <v>0</v>
      </c>
      <c r="F931" s="21">
        <f t="shared" ca="1" si="59"/>
        <v>0</v>
      </c>
      <c r="H931" s="21">
        <v>916</v>
      </c>
      <c r="I931" s="102">
        <v>0.66771960517905904</v>
      </c>
      <c r="J931" s="103">
        <v>1.428485535441483E-3</v>
      </c>
      <c r="K931" s="103"/>
      <c r="L931" s="103">
        <v>4.2999999999999997E-2</v>
      </c>
      <c r="O931" s="100"/>
    </row>
    <row r="932" spans="2:15" x14ac:dyDescent="0.2">
      <c r="B932" s="1">
        <v>917</v>
      </c>
      <c r="C932" s="101">
        <f t="shared" ca="1" si="56"/>
        <v>-0.18468883854695689</v>
      </c>
      <c r="D932" s="101">
        <f t="shared" ca="1" si="57"/>
        <v>0.65250590188606183</v>
      </c>
      <c r="E932" s="101">
        <f t="shared" ca="1" si="58"/>
        <v>0</v>
      </c>
      <c r="F932" s="21">
        <f t="shared" ca="1" si="59"/>
        <v>0</v>
      </c>
      <c r="H932" s="21">
        <v>917</v>
      </c>
      <c r="I932" s="102">
        <v>0.66766257872914492</v>
      </c>
      <c r="J932" s="103">
        <v>1.4165893481875133E-3</v>
      </c>
      <c r="K932" s="103"/>
      <c r="L932" s="103">
        <v>4.3400000000000001E-2</v>
      </c>
      <c r="O932" s="100"/>
    </row>
    <row r="933" spans="2:15" x14ac:dyDescent="0.2">
      <c r="B933" s="1">
        <v>918</v>
      </c>
      <c r="C933" s="101">
        <f t="shared" ca="1" si="56"/>
        <v>-1.7202591720966378</v>
      </c>
      <c r="D933" s="101">
        <f t="shared" ca="1" si="57"/>
        <v>0.56079167496507309</v>
      </c>
      <c r="E933" s="101">
        <f t="shared" ca="1" si="58"/>
        <v>0</v>
      </c>
      <c r="F933" s="21">
        <f t="shared" ca="1" si="59"/>
        <v>0</v>
      </c>
      <c r="H933" s="21">
        <v>918</v>
      </c>
      <c r="I933" s="102">
        <v>0.66778274499350254</v>
      </c>
      <c r="J933" s="103">
        <v>1.4432418641484065E-3</v>
      </c>
      <c r="K933" s="103"/>
      <c r="L933" s="103">
        <v>4.2000000000000003E-2</v>
      </c>
      <c r="O933" s="100"/>
    </row>
    <row r="934" spans="2:15" x14ac:dyDescent="0.2">
      <c r="B934" s="1">
        <v>919</v>
      </c>
      <c r="C934" s="101">
        <f t="shared" ca="1" si="56"/>
        <v>6.4247670920306952E-3</v>
      </c>
      <c r="D934" s="101">
        <f t="shared" ca="1" si="57"/>
        <v>0.66492342498314028</v>
      </c>
      <c r="E934" s="101">
        <f t="shared" ca="1" si="58"/>
        <v>0</v>
      </c>
      <c r="F934" s="21">
        <f t="shared" ca="1" si="59"/>
        <v>0</v>
      </c>
      <c r="H934" s="21">
        <v>919</v>
      </c>
      <c r="I934" s="102">
        <v>0.66782743206412654</v>
      </c>
      <c r="J934" s="103">
        <v>1.4882798204611902E-3</v>
      </c>
      <c r="K934" s="103"/>
      <c r="L934" s="103">
        <v>4.48E-2</v>
      </c>
      <c r="O934" s="100"/>
    </row>
    <row r="935" spans="2:15" x14ac:dyDescent="0.2">
      <c r="B935" s="1">
        <v>920</v>
      </c>
      <c r="C935" s="101">
        <f t="shared" ca="1" si="56"/>
        <v>-0.61961529367699253</v>
      </c>
      <c r="D935" s="101">
        <f t="shared" ca="1" si="57"/>
        <v>0.62510426639048022</v>
      </c>
      <c r="E935" s="101">
        <f t="shared" ca="1" si="58"/>
        <v>0</v>
      </c>
      <c r="F935" s="21">
        <f t="shared" ca="1" si="59"/>
        <v>0</v>
      </c>
      <c r="H935" s="21">
        <v>920</v>
      </c>
      <c r="I935" s="102">
        <v>0.66772173008397173</v>
      </c>
      <c r="J935" s="103">
        <v>1.2990423930301525E-3</v>
      </c>
      <c r="K935" s="103"/>
      <c r="L935" s="103">
        <v>4.3999999999999997E-2</v>
      </c>
      <c r="O935" s="100"/>
    </row>
    <row r="936" spans="2:15" x14ac:dyDescent="0.2">
      <c r="B936" s="1">
        <v>921</v>
      </c>
      <c r="C936" s="101">
        <f t="shared" ca="1" si="56"/>
        <v>-9.1933743567312917E-2</v>
      </c>
      <c r="D936" s="101">
        <f t="shared" ca="1" si="57"/>
        <v>0.65850339032829719</v>
      </c>
      <c r="E936" s="101">
        <f t="shared" ca="1" si="58"/>
        <v>0</v>
      </c>
      <c r="F936" s="21">
        <f t="shared" ca="1" si="59"/>
        <v>0</v>
      </c>
      <c r="H936" s="21">
        <v>921</v>
      </c>
      <c r="I936" s="102">
        <v>0.66768496821038081</v>
      </c>
      <c r="J936" s="103">
        <v>1.2780829918137889E-3</v>
      </c>
      <c r="K936" s="103"/>
      <c r="L936" s="103">
        <v>4.02E-2</v>
      </c>
      <c r="O936" s="100"/>
    </row>
    <row r="937" spans="2:15" x14ac:dyDescent="0.2">
      <c r="B937" s="1">
        <v>922</v>
      </c>
      <c r="C937" s="101">
        <f t="shared" ca="1" si="56"/>
        <v>2.2590397988004609</v>
      </c>
      <c r="D937" s="101">
        <f t="shared" ca="1" si="57"/>
        <v>0.83037118925800324</v>
      </c>
      <c r="E937" s="101">
        <f t="shared" ca="1" si="58"/>
        <v>4.2171189258003228E-2</v>
      </c>
      <c r="F937" s="21">
        <f t="shared" ca="1" si="59"/>
        <v>1</v>
      </c>
      <c r="H937" s="21">
        <v>922</v>
      </c>
      <c r="I937" s="102">
        <v>0.66777929385923318</v>
      </c>
      <c r="J937" s="103">
        <v>1.5013950145577198E-3</v>
      </c>
      <c r="K937" s="103"/>
      <c r="L937" s="103">
        <v>4.1799999999999997E-2</v>
      </c>
      <c r="O937" s="100"/>
    </row>
    <row r="938" spans="2:15" x14ac:dyDescent="0.2">
      <c r="B938" s="1">
        <v>923</v>
      </c>
      <c r="C938" s="101">
        <f t="shared" ca="1" si="56"/>
        <v>0.1543624786565049</v>
      </c>
      <c r="D938" s="101">
        <f t="shared" ca="1" si="57"/>
        <v>0.67469764394524046</v>
      </c>
      <c r="E938" s="101">
        <f t="shared" ca="1" si="58"/>
        <v>0</v>
      </c>
      <c r="F938" s="21">
        <f t="shared" ca="1" si="59"/>
        <v>0</v>
      </c>
      <c r="H938" s="21">
        <v>923</v>
      </c>
      <c r="I938" s="102">
        <v>0.66765984875862294</v>
      </c>
      <c r="J938" s="103">
        <v>1.1746494131527449E-3</v>
      </c>
      <c r="K938" s="103"/>
      <c r="L938" s="103">
        <v>3.7400000000000003E-2</v>
      </c>
      <c r="O938" s="100"/>
    </row>
    <row r="939" spans="2:15" x14ac:dyDescent="0.2">
      <c r="B939" s="1">
        <v>924</v>
      </c>
      <c r="C939" s="101">
        <f t="shared" ca="1" si="56"/>
        <v>-0.52740594792506346</v>
      </c>
      <c r="D939" s="101">
        <f t="shared" ca="1" si="57"/>
        <v>0.63081593362343824</v>
      </c>
      <c r="E939" s="101">
        <f t="shared" ca="1" si="58"/>
        <v>0</v>
      </c>
      <c r="F939" s="21">
        <f t="shared" ca="1" si="59"/>
        <v>0</v>
      </c>
      <c r="H939" s="21">
        <v>924</v>
      </c>
      <c r="I939" s="102">
        <v>0.66790390475493266</v>
      </c>
      <c r="J939" s="103">
        <v>1.5948969186794539E-3</v>
      </c>
      <c r="K939" s="103"/>
      <c r="L939" s="103">
        <v>4.7199999999999999E-2</v>
      </c>
      <c r="O939" s="100"/>
    </row>
    <row r="940" spans="2:15" x14ac:dyDescent="0.2">
      <c r="B940" s="1">
        <v>925</v>
      </c>
      <c r="C940" s="101">
        <f t="shared" ca="1" si="56"/>
        <v>1.1993572386937548</v>
      </c>
      <c r="D940" s="101">
        <f t="shared" ca="1" si="57"/>
        <v>0.74795612824284141</v>
      </c>
      <c r="E940" s="101">
        <f t="shared" ca="1" si="58"/>
        <v>0</v>
      </c>
      <c r="F940" s="21">
        <f t="shared" ca="1" si="59"/>
        <v>0</v>
      </c>
      <c r="H940" s="21">
        <v>925</v>
      </c>
      <c r="I940" s="102">
        <v>0.66771215134423079</v>
      </c>
      <c r="J940" s="103">
        <v>1.3388678853194535E-3</v>
      </c>
      <c r="K940" s="103"/>
      <c r="L940" s="103">
        <v>4.3799999999999999E-2</v>
      </c>
      <c r="O940" s="100"/>
    </row>
    <row r="941" spans="2:15" x14ac:dyDescent="0.2">
      <c r="B941" s="1">
        <v>926</v>
      </c>
      <c r="C941" s="101">
        <f t="shared" ca="1" si="56"/>
        <v>-0.36071834438924871</v>
      </c>
      <c r="D941" s="101">
        <f t="shared" ca="1" si="57"/>
        <v>0.64127372917504177</v>
      </c>
      <c r="E941" s="101">
        <f t="shared" ca="1" si="58"/>
        <v>0</v>
      </c>
      <c r="F941" s="21">
        <f t="shared" ca="1" si="59"/>
        <v>0</v>
      </c>
      <c r="H941" s="21">
        <v>926</v>
      </c>
      <c r="I941" s="102">
        <v>0.66772942960680159</v>
      </c>
      <c r="J941" s="103">
        <v>1.3392584027482727E-3</v>
      </c>
      <c r="K941" s="103"/>
      <c r="L941" s="103">
        <v>3.9399999999999998E-2</v>
      </c>
      <c r="O941" s="100"/>
    </row>
    <row r="942" spans="2:15" x14ac:dyDescent="0.2">
      <c r="B942" s="1">
        <v>927</v>
      </c>
      <c r="C942" s="101">
        <f t="shared" ca="1" si="56"/>
        <v>1.5004385211543576</v>
      </c>
      <c r="D942" s="101">
        <f t="shared" ca="1" si="57"/>
        <v>0.77050287110235671</v>
      </c>
      <c r="E942" s="101">
        <f t="shared" ca="1" si="58"/>
        <v>0</v>
      </c>
      <c r="F942" s="21">
        <f t="shared" ca="1" si="59"/>
        <v>0</v>
      </c>
      <c r="H942" s="21">
        <v>927</v>
      </c>
      <c r="I942" s="102">
        <v>0.66788816136335549</v>
      </c>
      <c r="J942" s="103">
        <v>1.5138115628113233E-3</v>
      </c>
      <c r="K942" s="103"/>
      <c r="L942" s="103">
        <v>4.82E-2</v>
      </c>
      <c r="O942" s="100"/>
    </row>
    <row r="943" spans="2:15" x14ac:dyDescent="0.2">
      <c r="B943" s="1">
        <v>928</v>
      </c>
      <c r="C943" s="101">
        <f t="shared" ca="1" si="56"/>
        <v>0.60819553552842442</v>
      </c>
      <c r="D943" s="101">
        <f t="shared" ca="1" si="57"/>
        <v>0.70558789577402359</v>
      </c>
      <c r="E943" s="101">
        <f t="shared" ca="1" si="58"/>
        <v>0</v>
      </c>
      <c r="F943" s="21">
        <f t="shared" ca="1" si="59"/>
        <v>0</v>
      </c>
      <c r="H943" s="21">
        <v>928</v>
      </c>
      <c r="I943" s="102">
        <v>0.66764181249324295</v>
      </c>
      <c r="J943" s="103">
        <v>1.1829095134434987E-3</v>
      </c>
      <c r="K943" s="103"/>
      <c r="L943" s="103">
        <v>4.2000000000000003E-2</v>
      </c>
      <c r="O943" s="100"/>
    </row>
    <row r="944" spans="2:15" x14ac:dyDescent="0.2">
      <c r="B944" s="1">
        <v>929</v>
      </c>
      <c r="C944" s="101">
        <f t="shared" ca="1" si="56"/>
        <v>-1.3266471478786783</v>
      </c>
      <c r="D944" s="101">
        <f t="shared" ca="1" si="57"/>
        <v>0.58299342160464207</v>
      </c>
      <c r="E944" s="101">
        <f t="shared" ca="1" si="58"/>
        <v>0</v>
      </c>
      <c r="F944" s="21">
        <f t="shared" ca="1" si="59"/>
        <v>0</v>
      </c>
      <c r="H944" s="21">
        <v>929</v>
      </c>
      <c r="I944" s="102">
        <v>0.66764459563475897</v>
      </c>
      <c r="J944" s="103">
        <v>1.2773885477454425E-3</v>
      </c>
      <c r="K944" s="103"/>
      <c r="L944" s="103">
        <v>3.9600000000000003E-2</v>
      </c>
      <c r="O944" s="100"/>
    </row>
    <row r="945" spans="2:15" x14ac:dyDescent="0.2">
      <c r="B945" s="1">
        <v>930</v>
      </c>
      <c r="C945" s="101">
        <f t="shared" ca="1" si="56"/>
        <v>0.40236295201250738</v>
      </c>
      <c r="D945" s="101">
        <f t="shared" ca="1" si="57"/>
        <v>0.69140637723941278</v>
      </c>
      <c r="E945" s="101">
        <f t="shared" ca="1" si="58"/>
        <v>0</v>
      </c>
      <c r="F945" s="21">
        <f t="shared" ca="1" si="59"/>
        <v>0</v>
      </c>
      <c r="H945" s="21">
        <v>930</v>
      </c>
      <c r="I945" s="102">
        <v>0.66775127502229825</v>
      </c>
      <c r="J945" s="103">
        <v>1.3095359124799036E-3</v>
      </c>
      <c r="K945" s="103"/>
      <c r="L945" s="103">
        <v>3.9E-2</v>
      </c>
      <c r="O945" s="100"/>
    </row>
    <row r="946" spans="2:15" x14ac:dyDescent="0.2">
      <c r="B946" s="1">
        <v>931</v>
      </c>
      <c r="C946" s="101">
        <f t="shared" ca="1" si="56"/>
        <v>-1.0676245005044682</v>
      </c>
      <c r="D946" s="101">
        <f t="shared" ca="1" si="57"/>
        <v>0.59808102610466074</v>
      </c>
      <c r="E946" s="101">
        <f t="shared" ca="1" si="58"/>
        <v>0</v>
      </c>
      <c r="F946" s="21">
        <f t="shared" ca="1" si="59"/>
        <v>0</v>
      </c>
      <c r="H946" s="21">
        <v>931</v>
      </c>
      <c r="I946" s="102">
        <v>0.66769935510381284</v>
      </c>
      <c r="J946" s="103">
        <v>1.3385741761978056E-3</v>
      </c>
      <c r="K946" s="103"/>
      <c r="L946" s="103">
        <v>3.6999999999999998E-2</v>
      </c>
      <c r="O946" s="100"/>
    </row>
    <row r="947" spans="2:15" x14ac:dyDescent="0.2">
      <c r="B947" s="1">
        <v>932</v>
      </c>
      <c r="C947" s="101">
        <f t="shared" ca="1" si="56"/>
        <v>0.46128959679526732</v>
      </c>
      <c r="D947" s="101">
        <f t="shared" ca="1" si="57"/>
        <v>0.6954369502935086</v>
      </c>
      <c r="E947" s="101">
        <f t="shared" ca="1" si="58"/>
        <v>0</v>
      </c>
      <c r="F947" s="21">
        <f t="shared" ca="1" si="59"/>
        <v>0</v>
      </c>
      <c r="H947" s="21">
        <v>932</v>
      </c>
      <c r="I947" s="102">
        <v>0.66764014092978108</v>
      </c>
      <c r="J947" s="103">
        <v>1.273719793353818E-3</v>
      </c>
      <c r="K947" s="103"/>
      <c r="L947" s="103">
        <v>3.8199999999999998E-2</v>
      </c>
      <c r="O947" s="100"/>
    </row>
    <row r="948" spans="2:15" x14ac:dyDescent="0.2">
      <c r="B948" s="1">
        <v>933</v>
      </c>
      <c r="C948" s="101">
        <f t="shared" ca="1" si="56"/>
        <v>0.62645568926571893</v>
      </c>
      <c r="D948" s="101">
        <f t="shared" ca="1" si="57"/>
        <v>0.70685995003731839</v>
      </c>
      <c r="E948" s="101">
        <f t="shared" ca="1" si="58"/>
        <v>0</v>
      </c>
      <c r="F948" s="21">
        <f t="shared" ca="1" si="59"/>
        <v>0</v>
      </c>
      <c r="H948" s="21">
        <v>933</v>
      </c>
      <c r="I948" s="102">
        <v>0.6679269042627427</v>
      </c>
      <c r="J948" s="103">
        <v>1.5675858452510742E-3</v>
      </c>
      <c r="K948" s="103"/>
      <c r="L948" s="103">
        <v>4.3999999999999997E-2</v>
      </c>
      <c r="O948" s="100"/>
    </row>
    <row r="949" spans="2:15" x14ac:dyDescent="0.2">
      <c r="B949" s="1">
        <v>934</v>
      </c>
      <c r="C949" s="101">
        <f t="shared" ca="1" si="56"/>
        <v>1.4405173845165657</v>
      </c>
      <c r="D949" s="101">
        <f t="shared" ca="1" si="57"/>
        <v>0.76596209231649293</v>
      </c>
      <c r="E949" s="101">
        <f t="shared" ca="1" si="58"/>
        <v>0</v>
      </c>
      <c r="F949" s="21">
        <f t="shared" ca="1" si="59"/>
        <v>0</v>
      </c>
      <c r="H949" s="21">
        <v>934</v>
      </c>
      <c r="I949" s="102">
        <v>0.66777741382227807</v>
      </c>
      <c r="J949" s="103">
        <v>1.3880394267000733E-3</v>
      </c>
      <c r="K949" s="103"/>
      <c r="L949" s="103">
        <v>4.4200000000000003E-2</v>
      </c>
      <c r="O949" s="100"/>
    </row>
    <row r="950" spans="2:15" x14ac:dyDescent="0.2">
      <c r="B950" s="1">
        <v>935</v>
      </c>
      <c r="C950" s="101">
        <f t="shared" ca="1" si="56"/>
        <v>-0.17068741019547512</v>
      </c>
      <c r="D950" s="101">
        <f t="shared" ca="1" si="57"/>
        <v>0.65340771309294821</v>
      </c>
      <c r="E950" s="101">
        <f t="shared" ca="1" si="58"/>
        <v>0</v>
      </c>
      <c r="F950" s="21">
        <f t="shared" ca="1" si="59"/>
        <v>0</v>
      </c>
      <c r="H950" s="21">
        <v>935</v>
      </c>
      <c r="I950" s="102">
        <v>0.66757108536002252</v>
      </c>
      <c r="J950" s="103">
        <v>1.3073694483756693E-3</v>
      </c>
      <c r="K950" s="103"/>
      <c r="L950" s="103">
        <v>3.9199999999999999E-2</v>
      </c>
      <c r="O950" s="100"/>
    </row>
    <row r="951" spans="2:15" x14ac:dyDescent="0.2">
      <c r="B951" s="1">
        <v>936</v>
      </c>
      <c r="C951" s="101">
        <f t="shared" ca="1" si="56"/>
        <v>-0.19198032196549916</v>
      </c>
      <c r="D951" s="101">
        <f t="shared" ca="1" si="57"/>
        <v>0.65203676123587506</v>
      </c>
      <c r="E951" s="101">
        <f t="shared" ca="1" si="58"/>
        <v>0</v>
      </c>
      <c r="F951" s="21">
        <f t="shared" ca="1" si="59"/>
        <v>0</v>
      </c>
      <c r="H951" s="21">
        <v>936</v>
      </c>
      <c r="I951" s="102">
        <v>0.66789986241423649</v>
      </c>
      <c r="J951" s="103">
        <v>1.6910149175836675E-3</v>
      </c>
      <c r="K951" s="103"/>
      <c r="L951" s="103">
        <v>4.8800000000000003E-2</v>
      </c>
      <c r="O951" s="100"/>
    </row>
    <row r="952" spans="2:15" x14ac:dyDescent="0.2">
      <c r="B952" s="1">
        <v>937</v>
      </c>
      <c r="C952" s="101">
        <f t="shared" ca="1" si="56"/>
        <v>0.25035637093518365</v>
      </c>
      <c r="D952" s="101">
        <f t="shared" ca="1" si="57"/>
        <v>0.68111667501442574</v>
      </c>
      <c r="E952" s="101">
        <f t="shared" ca="1" si="58"/>
        <v>0</v>
      </c>
      <c r="F952" s="21">
        <f t="shared" ca="1" si="59"/>
        <v>0</v>
      </c>
      <c r="H952" s="21">
        <v>937</v>
      </c>
      <c r="I952" s="102">
        <v>0.6678010109622774</v>
      </c>
      <c r="J952" s="103">
        <v>1.28260114410201E-3</v>
      </c>
      <c r="K952" s="103"/>
      <c r="L952" s="103">
        <v>4.1200000000000001E-2</v>
      </c>
      <c r="O952" s="100"/>
    </row>
    <row r="953" spans="2:15" x14ac:dyDescent="0.2">
      <c r="B953" s="1">
        <v>938</v>
      </c>
      <c r="C953" s="101">
        <f t="shared" ca="1" si="56"/>
        <v>-0.31695965404363752</v>
      </c>
      <c r="D953" s="101">
        <f t="shared" ca="1" si="57"/>
        <v>0.64404771539716377</v>
      </c>
      <c r="E953" s="101">
        <f t="shared" ca="1" si="58"/>
        <v>0</v>
      </c>
      <c r="F953" s="21">
        <f t="shared" ca="1" si="59"/>
        <v>0</v>
      </c>
      <c r="H953" s="21">
        <v>938</v>
      </c>
      <c r="I953" s="102">
        <v>0.66776693723419589</v>
      </c>
      <c r="J953" s="103">
        <v>1.474397261008211E-3</v>
      </c>
      <c r="K953" s="103"/>
      <c r="L953" s="103">
        <v>3.7600000000000001E-2</v>
      </c>
      <c r="O953" s="100"/>
    </row>
    <row r="954" spans="2:15" x14ac:dyDescent="0.2">
      <c r="B954" s="1">
        <v>939</v>
      </c>
      <c r="C954" s="101">
        <f t="shared" ca="1" si="56"/>
        <v>-0.95567157190069218</v>
      </c>
      <c r="D954" s="101">
        <f t="shared" ca="1" si="57"/>
        <v>0.60472234888656118</v>
      </c>
      <c r="E954" s="101">
        <f t="shared" ca="1" si="58"/>
        <v>0</v>
      </c>
      <c r="F954" s="21">
        <f t="shared" ca="1" si="59"/>
        <v>0</v>
      </c>
      <c r="H954" s="21">
        <v>939</v>
      </c>
      <c r="I954" s="102">
        <v>0.66780289405588722</v>
      </c>
      <c r="J954" s="103">
        <v>1.4645090633911388E-3</v>
      </c>
      <c r="K954" s="103"/>
      <c r="L954" s="103">
        <v>0.04</v>
      </c>
      <c r="O954" s="100"/>
    </row>
    <row r="955" spans="2:15" x14ac:dyDescent="0.2">
      <c r="B955" s="1">
        <v>940</v>
      </c>
      <c r="C955" s="101">
        <f t="shared" ca="1" si="56"/>
        <v>-0.6138527570965252</v>
      </c>
      <c r="D955" s="101">
        <f t="shared" ca="1" si="57"/>
        <v>0.62545969181971706</v>
      </c>
      <c r="E955" s="101">
        <f t="shared" ca="1" si="58"/>
        <v>0</v>
      </c>
      <c r="F955" s="21">
        <f t="shared" ca="1" si="59"/>
        <v>0</v>
      </c>
      <c r="H955" s="21">
        <v>940</v>
      </c>
      <c r="I955" s="102">
        <v>0.66781342926832321</v>
      </c>
      <c r="J955" s="103">
        <v>1.362437209619911E-3</v>
      </c>
      <c r="K955" s="103"/>
      <c r="L955" s="103">
        <v>4.5600000000000002E-2</v>
      </c>
      <c r="O955" s="100"/>
    </row>
    <row r="956" spans="2:15" x14ac:dyDescent="0.2">
      <c r="B956" s="1">
        <v>941</v>
      </c>
      <c r="C956" s="101">
        <f t="shared" ca="1" si="56"/>
        <v>-1.3586185977550087</v>
      </c>
      <c r="D956" s="101">
        <f t="shared" ca="1" si="57"/>
        <v>0.58115772777589825</v>
      </c>
      <c r="E956" s="101">
        <f t="shared" ca="1" si="58"/>
        <v>0</v>
      </c>
      <c r="F956" s="21">
        <f t="shared" ca="1" si="59"/>
        <v>0</v>
      </c>
      <c r="H956" s="21">
        <v>941</v>
      </c>
      <c r="I956" s="102">
        <v>0.66769586446262452</v>
      </c>
      <c r="J956" s="103">
        <v>1.3966425907140617E-3</v>
      </c>
      <c r="K956" s="103"/>
      <c r="L956" s="103">
        <v>4.2799999999999998E-2</v>
      </c>
      <c r="O956" s="100"/>
    </row>
    <row r="957" spans="2:15" x14ac:dyDescent="0.2">
      <c r="B957" s="1">
        <v>942</v>
      </c>
      <c r="C957" s="101">
        <f t="shared" ca="1" si="56"/>
        <v>-0.66824258030382588</v>
      </c>
      <c r="D957" s="101">
        <f t="shared" ca="1" si="57"/>
        <v>0.62211303344566615</v>
      </c>
      <c r="E957" s="101">
        <f t="shared" ca="1" si="58"/>
        <v>0</v>
      </c>
      <c r="F957" s="21">
        <f t="shared" ca="1" si="59"/>
        <v>0</v>
      </c>
      <c r="H957" s="21">
        <v>942</v>
      </c>
      <c r="I957" s="102">
        <v>0.66782407040197556</v>
      </c>
      <c r="J957" s="103">
        <v>1.3792353333650707E-3</v>
      </c>
      <c r="K957" s="103"/>
      <c r="L957" s="103">
        <v>4.1799999999999997E-2</v>
      </c>
      <c r="O957" s="100"/>
    </row>
    <row r="958" spans="2:15" x14ac:dyDescent="0.2">
      <c r="B958" s="1">
        <v>943</v>
      </c>
      <c r="C958" s="101">
        <f t="shared" ca="1" si="56"/>
        <v>1.3700226160146776</v>
      </c>
      <c r="D958" s="101">
        <f t="shared" ca="1" si="57"/>
        <v>0.76065429946822649</v>
      </c>
      <c r="E958" s="101">
        <f t="shared" ca="1" si="58"/>
        <v>0</v>
      </c>
      <c r="F958" s="21">
        <f t="shared" ca="1" si="59"/>
        <v>0</v>
      </c>
      <c r="H958" s="21">
        <v>943</v>
      </c>
      <c r="I958" s="102">
        <v>0.66764793199482098</v>
      </c>
      <c r="J958" s="103">
        <v>1.2542889101489958E-3</v>
      </c>
      <c r="K958" s="103"/>
      <c r="L958" s="103">
        <v>3.9199999999999999E-2</v>
      </c>
      <c r="O958" s="100"/>
    </row>
    <row r="959" spans="2:15" x14ac:dyDescent="0.2">
      <c r="B959" s="1">
        <v>944</v>
      </c>
      <c r="C959" s="101">
        <f t="shared" ca="1" si="56"/>
        <v>0.69636501522233463</v>
      </c>
      <c r="D959" s="101">
        <f t="shared" ca="1" si="57"/>
        <v>0.7117512656642615</v>
      </c>
      <c r="E959" s="101">
        <f t="shared" ca="1" si="58"/>
        <v>0</v>
      </c>
      <c r="F959" s="21">
        <f t="shared" ca="1" si="59"/>
        <v>0</v>
      </c>
      <c r="H959" s="21">
        <v>944</v>
      </c>
      <c r="I959" s="102">
        <v>0.66767731447797718</v>
      </c>
      <c r="J959" s="103">
        <v>1.3699765297936262E-3</v>
      </c>
      <c r="K959" s="103"/>
      <c r="L959" s="103">
        <v>3.8800000000000001E-2</v>
      </c>
      <c r="O959" s="100"/>
    </row>
    <row r="960" spans="2:15" x14ac:dyDescent="0.2">
      <c r="B960" s="1">
        <v>945</v>
      </c>
      <c r="C960" s="101">
        <f t="shared" ca="1" si="56"/>
        <v>-1.7300935063035117</v>
      </c>
      <c r="D960" s="101">
        <f t="shared" ca="1" si="57"/>
        <v>0.5602479305737752</v>
      </c>
      <c r="E960" s="101">
        <f t="shared" ca="1" si="58"/>
        <v>0</v>
      </c>
      <c r="F960" s="21">
        <f t="shared" ca="1" si="59"/>
        <v>0</v>
      </c>
      <c r="H960" s="21">
        <v>945</v>
      </c>
      <c r="I960" s="102">
        <v>0.6677909325035819</v>
      </c>
      <c r="J960" s="103">
        <v>1.4816826446195054E-3</v>
      </c>
      <c r="K960" s="103"/>
      <c r="L960" s="103">
        <v>4.1599999999999998E-2</v>
      </c>
      <c r="O960" s="100"/>
    </row>
    <row r="961" spans="2:15" x14ac:dyDescent="0.2">
      <c r="B961" s="1">
        <v>946</v>
      </c>
      <c r="C961" s="101">
        <f t="shared" ca="1" si="56"/>
        <v>-1.1746823186684139</v>
      </c>
      <c r="D961" s="101">
        <f t="shared" ca="1" si="57"/>
        <v>0.59179832807672605</v>
      </c>
      <c r="E961" s="101">
        <f t="shared" ca="1" si="58"/>
        <v>0</v>
      </c>
      <c r="F961" s="21">
        <f t="shared" ca="1" si="59"/>
        <v>0</v>
      </c>
      <c r="H961" s="21">
        <v>946</v>
      </c>
      <c r="I961" s="102">
        <v>0.66785724598349494</v>
      </c>
      <c r="J961" s="103">
        <v>1.5125724404381775E-3</v>
      </c>
      <c r="K961" s="103"/>
      <c r="L961" s="103">
        <v>4.2000000000000003E-2</v>
      </c>
      <c r="O961" s="100"/>
    </row>
    <row r="962" spans="2:15" x14ac:dyDescent="0.2">
      <c r="B962" s="1">
        <v>947</v>
      </c>
      <c r="C962" s="101">
        <f t="shared" ca="1" si="56"/>
        <v>-0.61632306954427463</v>
      </c>
      <c r="D962" s="101">
        <f t="shared" ca="1" si="57"/>
        <v>0.62530730156264103</v>
      </c>
      <c r="E962" s="101">
        <f t="shared" ca="1" si="58"/>
        <v>0</v>
      </c>
      <c r="F962" s="21">
        <f t="shared" ca="1" si="59"/>
        <v>0</v>
      </c>
      <c r="H962" s="21">
        <v>947</v>
      </c>
      <c r="I962" s="102">
        <v>0.66782695372688128</v>
      </c>
      <c r="J962" s="103">
        <v>1.4234407346280455E-3</v>
      </c>
      <c r="K962" s="103"/>
      <c r="L962" s="103">
        <v>4.36E-2</v>
      </c>
      <c r="O962" s="100"/>
    </row>
    <row r="963" spans="2:15" x14ac:dyDescent="0.2">
      <c r="B963" s="1">
        <v>948</v>
      </c>
      <c r="C963" s="101">
        <f t="shared" ca="1" si="56"/>
        <v>-0.18733518519235212</v>
      </c>
      <c r="D963" s="101">
        <f t="shared" ca="1" si="57"/>
        <v>0.6523355945349939</v>
      </c>
      <c r="E963" s="101">
        <f t="shared" ca="1" si="58"/>
        <v>0</v>
      </c>
      <c r="F963" s="21">
        <f t="shared" ca="1" si="59"/>
        <v>0</v>
      </c>
      <c r="H963" s="21">
        <v>948</v>
      </c>
      <c r="I963" s="102">
        <v>0.66780405694798961</v>
      </c>
      <c r="J963" s="103">
        <v>1.2702973060601209E-3</v>
      </c>
      <c r="K963" s="103"/>
      <c r="L963" s="103">
        <v>4.1399999999999999E-2</v>
      </c>
      <c r="O963" s="100"/>
    </row>
    <row r="964" spans="2:15" x14ac:dyDescent="0.2">
      <c r="B964" s="1">
        <v>949</v>
      </c>
      <c r="C964" s="101">
        <f t="shared" ca="1" si="56"/>
        <v>-0.61719013615492757</v>
      </c>
      <c r="D964" s="101">
        <f t="shared" ca="1" si="57"/>
        <v>0.62525382219160752</v>
      </c>
      <c r="E964" s="101">
        <f t="shared" ca="1" si="58"/>
        <v>0</v>
      </c>
      <c r="F964" s="21">
        <f t="shared" ca="1" si="59"/>
        <v>0</v>
      </c>
      <c r="H964" s="21">
        <v>949</v>
      </c>
      <c r="I964" s="102">
        <v>0.66768159737933463</v>
      </c>
      <c r="J964" s="103">
        <v>1.2445070520091526E-3</v>
      </c>
      <c r="K964" s="103"/>
      <c r="L964" s="103">
        <v>4.02E-2</v>
      </c>
      <c r="O964" s="100"/>
    </row>
    <row r="965" spans="2:15" x14ac:dyDescent="0.2">
      <c r="B965" s="1">
        <v>950</v>
      </c>
      <c r="C965" s="101">
        <f t="shared" ca="1" si="56"/>
        <v>-0.70445065220729697</v>
      </c>
      <c r="D965" s="101">
        <f t="shared" ca="1" si="57"/>
        <v>0.61989505018153335</v>
      </c>
      <c r="E965" s="101">
        <f t="shared" ca="1" si="58"/>
        <v>0</v>
      </c>
      <c r="F965" s="21">
        <f t="shared" ca="1" si="59"/>
        <v>0</v>
      </c>
      <c r="H965" s="21">
        <v>950</v>
      </c>
      <c r="I965" s="102">
        <v>0.6676892982883853</v>
      </c>
      <c r="J965" s="103">
        <v>1.350104849290968E-3</v>
      </c>
      <c r="K965" s="103"/>
      <c r="L965" s="103">
        <v>3.9399999999999998E-2</v>
      </c>
      <c r="O965" s="100"/>
    </row>
    <row r="966" spans="2:15" x14ac:dyDescent="0.2">
      <c r="B966" s="1">
        <v>951</v>
      </c>
      <c r="C966" s="101">
        <f t="shared" ca="1" si="56"/>
        <v>-0.28409708329012923</v>
      </c>
      <c r="D966" s="101">
        <f t="shared" ca="1" si="57"/>
        <v>0.64613885282445094</v>
      </c>
      <c r="E966" s="101">
        <f t="shared" ca="1" si="58"/>
        <v>0</v>
      </c>
      <c r="F966" s="21">
        <f t="shared" ca="1" si="59"/>
        <v>0</v>
      </c>
      <c r="H966" s="21">
        <v>951</v>
      </c>
      <c r="I966" s="102">
        <v>0.66769201215347629</v>
      </c>
      <c r="J966" s="103">
        <v>1.3372014005822222E-3</v>
      </c>
      <c r="K966" s="103"/>
      <c r="L966" s="103">
        <v>4.0599999999999997E-2</v>
      </c>
      <c r="O966" s="100"/>
    </row>
    <row r="967" spans="2:15" x14ac:dyDescent="0.2">
      <c r="B967" s="1">
        <v>952</v>
      </c>
      <c r="C967" s="101">
        <f t="shared" ca="1" si="56"/>
        <v>0.645458281722458</v>
      </c>
      <c r="D967" s="101">
        <f t="shared" ca="1" si="57"/>
        <v>0.70818615981000066</v>
      </c>
      <c r="E967" s="101">
        <f t="shared" ca="1" si="58"/>
        <v>0</v>
      </c>
      <c r="F967" s="21">
        <f t="shared" ca="1" si="59"/>
        <v>0</v>
      </c>
      <c r="H967" s="21">
        <v>952</v>
      </c>
      <c r="I967" s="102">
        <v>0.66768512728785989</v>
      </c>
      <c r="J967" s="103">
        <v>1.4144466734162208E-3</v>
      </c>
      <c r="K967" s="103"/>
      <c r="L967" s="103">
        <v>4.1599999999999998E-2</v>
      </c>
      <c r="O967" s="100"/>
    </row>
    <row r="968" spans="2:15" x14ac:dyDescent="0.2">
      <c r="B968" s="1">
        <v>953</v>
      </c>
      <c r="C968" s="101">
        <f t="shared" ca="1" si="56"/>
        <v>-0.19098297438641093</v>
      </c>
      <c r="D968" s="101">
        <f t="shared" ca="1" si="57"/>
        <v>0.65210091156414496</v>
      </c>
      <c r="E968" s="101">
        <f t="shared" ca="1" si="58"/>
        <v>0</v>
      </c>
      <c r="F968" s="21">
        <f t="shared" ca="1" si="59"/>
        <v>0</v>
      </c>
      <c r="H968" s="21">
        <v>953</v>
      </c>
      <c r="I968" s="102">
        <v>0.66776302222668604</v>
      </c>
      <c r="J968" s="103">
        <v>1.3397390091877054E-3</v>
      </c>
      <c r="K968" s="103"/>
      <c r="L968" s="103">
        <v>4.7199999999999999E-2</v>
      </c>
      <c r="O968" s="100"/>
    </row>
    <row r="969" spans="2:15" x14ac:dyDescent="0.2">
      <c r="B969" s="1">
        <v>954</v>
      </c>
      <c r="C969" s="101">
        <f t="shared" ca="1" si="56"/>
        <v>-1.2766023882083578E-2</v>
      </c>
      <c r="D969" s="101">
        <f t="shared" ca="1" si="57"/>
        <v>0.6636659121869164</v>
      </c>
      <c r="E969" s="101">
        <f t="shared" ca="1" si="58"/>
        <v>0</v>
      </c>
      <c r="F969" s="21">
        <f t="shared" ca="1" si="59"/>
        <v>0</v>
      </c>
      <c r="H969" s="21">
        <v>954</v>
      </c>
      <c r="I969" s="102">
        <v>0.66770787275605115</v>
      </c>
      <c r="J969" s="103">
        <v>1.4487088179498668E-3</v>
      </c>
      <c r="K969" s="103"/>
      <c r="L969" s="103">
        <v>0.04</v>
      </c>
      <c r="O969" s="100"/>
    </row>
    <row r="970" spans="2:15" x14ac:dyDescent="0.2">
      <c r="B970" s="1">
        <v>955</v>
      </c>
      <c r="C970" s="101">
        <f t="shared" ca="1" si="56"/>
        <v>-0.16317071867347582</v>
      </c>
      <c r="D970" s="101">
        <f t="shared" ca="1" si="57"/>
        <v>0.65389236608714019</v>
      </c>
      <c r="E970" s="101">
        <f t="shared" ca="1" si="58"/>
        <v>0</v>
      </c>
      <c r="F970" s="21">
        <f t="shared" ca="1" si="59"/>
        <v>0</v>
      </c>
      <c r="H970" s="21">
        <v>955</v>
      </c>
      <c r="I970" s="102">
        <v>0.6677840212616184</v>
      </c>
      <c r="J970" s="103">
        <v>1.4561495020011335E-3</v>
      </c>
      <c r="K970" s="103"/>
      <c r="L970" s="103">
        <v>4.2799999999999998E-2</v>
      </c>
      <c r="O970" s="100"/>
    </row>
    <row r="971" spans="2:15" x14ac:dyDescent="0.2">
      <c r="B971" s="1">
        <v>956</v>
      </c>
      <c r="C971" s="101">
        <f t="shared" ca="1" si="56"/>
        <v>-0.33642595022387906</v>
      </c>
      <c r="D971" s="101">
        <f t="shared" ca="1" si="57"/>
        <v>0.64281221361489915</v>
      </c>
      <c r="E971" s="101">
        <f t="shared" ca="1" si="58"/>
        <v>0</v>
      </c>
      <c r="F971" s="21">
        <f t="shared" ca="1" si="59"/>
        <v>0</v>
      </c>
      <c r="H971" s="21">
        <v>956</v>
      </c>
      <c r="I971" s="102">
        <v>0.66768943846597617</v>
      </c>
      <c r="J971" s="103">
        <v>1.2427719256517976E-3</v>
      </c>
      <c r="K971" s="103"/>
      <c r="L971" s="103">
        <v>3.9800000000000002E-2</v>
      </c>
      <c r="O971" s="100"/>
    </row>
    <row r="972" spans="2:15" x14ac:dyDescent="0.2">
      <c r="B972" s="1">
        <v>957</v>
      </c>
      <c r="C972" s="101">
        <f t="shared" ca="1" si="56"/>
        <v>-0.85538283180854835</v>
      </c>
      <c r="D972" s="101">
        <f t="shared" ca="1" si="57"/>
        <v>0.61073432186728349</v>
      </c>
      <c r="E972" s="101">
        <f t="shared" ca="1" si="58"/>
        <v>0</v>
      </c>
      <c r="F972" s="21">
        <f t="shared" ca="1" si="59"/>
        <v>0</v>
      </c>
      <c r="H972" s="21">
        <v>957</v>
      </c>
      <c r="I972" s="102">
        <v>0.66769788887723958</v>
      </c>
      <c r="J972" s="103">
        <v>1.4790280084944389E-3</v>
      </c>
      <c r="K972" s="103"/>
      <c r="L972" s="103">
        <v>4.2000000000000003E-2</v>
      </c>
      <c r="O972" s="100"/>
    </row>
    <row r="973" spans="2:15" x14ac:dyDescent="0.2">
      <c r="B973" s="1">
        <v>958</v>
      </c>
      <c r="C973" s="101">
        <f t="shared" ca="1" si="56"/>
        <v>-1.9481358283097689</v>
      </c>
      <c r="D973" s="101">
        <f t="shared" ca="1" si="57"/>
        <v>0.54832678664091383</v>
      </c>
      <c r="E973" s="101">
        <f t="shared" ca="1" si="58"/>
        <v>0</v>
      </c>
      <c r="F973" s="21">
        <f t="shared" ca="1" si="59"/>
        <v>0</v>
      </c>
      <c r="H973" s="21">
        <v>958</v>
      </c>
      <c r="I973" s="102">
        <v>0.66785476183099945</v>
      </c>
      <c r="J973" s="103">
        <v>1.4764181432306127E-3</v>
      </c>
      <c r="K973" s="103"/>
      <c r="L973" s="103">
        <v>4.2599999999999999E-2</v>
      </c>
      <c r="O973" s="100"/>
    </row>
    <row r="974" spans="2:15" x14ac:dyDescent="0.2">
      <c r="B974" s="1">
        <v>959</v>
      </c>
      <c r="C974" s="101">
        <f t="shared" ca="1" si="56"/>
        <v>-0.40688505015576554</v>
      </c>
      <c r="D974" s="101">
        <f t="shared" ca="1" si="57"/>
        <v>0.63836004326021734</v>
      </c>
      <c r="E974" s="101">
        <f t="shared" ca="1" si="58"/>
        <v>0</v>
      </c>
      <c r="F974" s="21">
        <f t="shared" ca="1" si="59"/>
        <v>0</v>
      </c>
      <c r="H974" s="21">
        <v>959</v>
      </c>
      <c r="I974" s="102">
        <v>0.66783488317570339</v>
      </c>
      <c r="J974" s="103">
        <v>1.4387459638054989E-3</v>
      </c>
      <c r="K974" s="103"/>
      <c r="L974" s="103">
        <v>4.1599999999999998E-2</v>
      </c>
      <c r="O974" s="100"/>
    </row>
    <row r="975" spans="2:15" x14ac:dyDescent="0.2">
      <c r="B975" s="1">
        <v>960</v>
      </c>
      <c r="C975" s="101">
        <f t="shared" ca="1" si="56"/>
        <v>0.52845368859716513</v>
      </c>
      <c r="D975" s="101">
        <f t="shared" ca="1" si="57"/>
        <v>0.70005962397964705</v>
      </c>
      <c r="E975" s="101">
        <f t="shared" ca="1" si="58"/>
        <v>0</v>
      </c>
      <c r="F975" s="21">
        <f t="shared" ca="1" si="59"/>
        <v>0</v>
      </c>
      <c r="H975" s="21">
        <v>960</v>
      </c>
      <c r="I975" s="102">
        <v>0.66777564941328194</v>
      </c>
      <c r="J975" s="103">
        <v>1.4144616250182968E-3</v>
      </c>
      <c r="K975" s="103"/>
      <c r="L975" s="103">
        <v>4.48E-2</v>
      </c>
      <c r="O975" s="100"/>
    </row>
    <row r="976" spans="2:15" x14ac:dyDescent="0.2">
      <c r="B976" s="1">
        <v>961</v>
      </c>
      <c r="C976" s="101">
        <f t="shared" ref="C976:C1039" ca="1" si="60">_xlfn.NORM.S.INV(RAND())</f>
        <v>-0.59528757847627856</v>
      </c>
      <c r="D976" s="101">
        <f t="shared" ref="D976:D1039" ca="1" si="61">S0*EXP((μ-0.5*σ*σ)*T+σ*SQRT(T)*$C976)</f>
        <v>0.6266061417185449</v>
      </c>
      <c r="E976" s="101">
        <f t="shared" ref="E976:E1039" ca="1" si="62">MAX(0,CP*(D976-K))</f>
        <v>0</v>
      </c>
      <c r="F976" s="21">
        <f t="shared" ref="F976:F1039" ca="1" si="63">(CP*(D976-K)&gt;0)*1</f>
        <v>0</v>
      </c>
      <c r="H976" s="21">
        <v>961</v>
      </c>
      <c r="I976" s="102">
        <v>0.66786301510390411</v>
      </c>
      <c r="J976" s="103">
        <v>1.5645389985112956E-3</v>
      </c>
      <c r="K976" s="103"/>
      <c r="L976" s="103">
        <v>4.7199999999999999E-2</v>
      </c>
      <c r="O976" s="100"/>
    </row>
    <row r="977" spans="2:15" x14ac:dyDescent="0.2">
      <c r="B977" s="1">
        <v>962</v>
      </c>
      <c r="C977" s="101">
        <f t="shared" ca="1" si="60"/>
        <v>-0.84594111929302174</v>
      </c>
      <c r="D977" s="101">
        <f t="shared" ca="1" si="61"/>
        <v>0.61130338998494638</v>
      </c>
      <c r="E977" s="101">
        <f t="shared" ca="1" si="62"/>
        <v>0</v>
      </c>
      <c r="F977" s="21">
        <f t="shared" ca="1" si="63"/>
        <v>0</v>
      </c>
      <c r="H977" s="21">
        <v>962</v>
      </c>
      <c r="I977" s="102">
        <v>0.66794807285780566</v>
      </c>
      <c r="J977" s="103">
        <v>1.6395998624765011E-3</v>
      </c>
      <c r="K977" s="103"/>
      <c r="L977" s="103">
        <v>4.4999999999999998E-2</v>
      </c>
      <c r="O977" s="100"/>
    </row>
    <row r="978" spans="2:15" x14ac:dyDescent="0.2">
      <c r="B978" s="1">
        <v>963</v>
      </c>
      <c r="C978" s="101">
        <f t="shared" ca="1" si="60"/>
        <v>1.5188375079111864</v>
      </c>
      <c r="D978" s="101">
        <f t="shared" ca="1" si="61"/>
        <v>0.77190252684083316</v>
      </c>
      <c r="E978" s="101">
        <f t="shared" ca="1" si="62"/>
        <v>0</v>
      </c>
      <c r="F978" s="21">
        <f t="shared" ca="1" si="63"/>
        <v>0</v>
      </c>
      <c r="H978" s="21">
        <v>963</v>
      </c>
      <c r="I978" s="102">
        <v>0.66766024454209105</v>
      </c>
      <c r="J978" s="103">
        <v>1.2212488022603689E-3</v>
      </c>
      <c r="K978" s="103"/>
      <c r="L978" s="103">
        <v>4.0399999999999998E-2</v>
      </c>
      <c r="O978" s="100"/>
    </row>
    <row r="979" spans="2:15" x14ac:dyDescent="0.2">
      <c r="B979" s="1">
        <v>964</v>
      </c>
      <c r="C979" s="101">
        <f t="shared" ca="1" si="60"/>
        <v>-1.042239034676046</v>
      </c>
      <c r="D979" s="101">
        <f t="shared" ca="1" si="61"/>
        <v>0.59958053112801124</v>
      </c>
      <c r="E979" s="101">
        <f t="shared" ca="1" si="62"/>
        <v>0</v>
      </c>
      <c r="F979" s="21">
        <f t="shared" ca="1" si="63"/>
        <v>0</v>
      </c>
      <c r="H979" s="21">
        <v>964</v>
      </c>
      <c r="I979" s="102">
        <v>0.6677078701220216</v>
      </c>
      <c r="J979" s="103">
        <v>1.3913550993206122E-3</v>
      </c>
      <c r="K979" s="103"/>
      <c r="L979" s="103">
        <v>3.9199999999999999E-2</v>
      </c>
      <c r="O979" s="100"/>
    </row>
    <row r="980" spans="2:15" x14ac:dyDescent="0.2">
      <c r="B980" s="1">
        <v>965</v>
      </c>
      <c r="C980" s="101">
        <f t="shared" ca="1" si="60"/>
        <v>1.1215853656194974</v>
      </c>
      <c r="D980" s="101">
        <f t="shared" ca="1" si="61"/>
        <v>0.7422401206153556</v>
      </c>
      <c r="E980" s="101">
        <f t="shared" ca="1" si="62"/>
        <v>0</v>
      </c>
      <c r="F980" s="21">
        <f t="shared" ca="1" si="63"/>
        <v>0</v>
      </c>
      <c r="H980" s="21">
        <v>965</v>
      </c>
      <c r="I980" s="102">
        <v>0.66765043452696671</v>
      </c>
      <c r="J980" s="103">
        <v>1.2994325392395763E-3</v>
      </c>
      <c r="K980" s="103"/>
      <c r="L980" s="103">
        <v>3.7600000000000001E-2</v>
      </c>
      <c r="O980" s="100"/>
    </row>
    <row r="981" spans="2:15" x14ac:dyDescent="0.2">
      <c r="B981" s="1">
        <v>966</v>
      </c>
      <c r="C981" s="101">
        <f t="shared" ca="1" si="60"/>
        <v>0.91106699322077023</v>
      </c>
      <c r="D981" s="101">
        <f t="shared" ca="1" si="61"/>
        <v>0.72698583426687635</v>
      </c>
      <c r="E981" s="101">
        <f t="shared" ca="1" si="62"/>
        <v>0</v>
      </c>
      <c r="F981" s="21">
        <f t="shared" ca="1" si="63"/>
        <v>0</v>
      </c>
      <c r="H981" s="21">
        <v>966</v>
      </c>
      <c r="I981" s="102">
        <v>0.66779910932902675</v>
      </c>
      <c r="J981" s="103">
        <v>1.407481154415026E-3</v>
      </c>
      <c r="K981" s="103"/>
      <c r="L981" s="103">
        <v>4.2999999999999997E-2</v>
      </c>
      <c r="O981" s="100"/>
    </row>
    <row r="982" spans="2:15" x14ac:dyDescent="0.2">
      <c r="B982" s="1">
        <v>967</v>
      </c>
      <c r="C982" s="101">
        <f t="shared" ca="1" si="60"/>
        <v>-0.54622168598434973</v>
      </c>
      <c r="D982" s="101">
        <f t="shared" ca="1" si="61"/>
        <v>0.62964621919036434</v>
      </c>
      <c r="E982" s="101">
        <f t="shared" ca="1" si="62"/>
        <v>0</v>
      </c>
      <c r="F982" s="21">
        <f t="shared" ca="1" si="63"/>
        <v>0</v>
      </c>
      <c r="H982" s="21">
        <v>967</v>
      </c>
      <c r="I982" s="102">
        <v>0.66755454615381571</v>
      </c>
      <c r="J982" s="103">
        <v>1.1870979250608535E-3</v>
      </c>
      <c r="K982" s="103"/>
      <c r="L982" s="103">
        <v>4.0599999999999997E-2</v>
      </c>
      <c r="O982" s="100"/>
    </row>
    <row r="983" spans="2:15" x14ac:dyDescent="0.2">
      <c r="B983" s="1">
        <v>968</v>
      </c>
      <c r="C983" s="101">
        <f t="shared" ca="1" si="60"/>
        <v>-1.1937633825602059</v>
      </c>
      <c r="D983" s="101">
        <f t="shared" ca="1" si="61"/>
        <v>0.59068550384488372</v>
      </c>
      <c r="E983" s="101">
        <f t="shared" ca="1" si="62"/>
        <v>0</v>
      </c>
      <c r="F983" s="21">
        <f t="shared" ca="1" si="63"/>
        <v>0</v>
      </c>
      <c r="H983" s="21">
        <v>968</v>
      </c>
      <c r="I983" s="102">
        <v>0.66787070411841776</v>
      </c>
      <c r="J983" s="103">
        <v>1.4476339029770087E-3</v>
      </c>
      <c r="K983" s="103"/>
      <c r="L983" s="103">
        <v>4.2000000000000003E-2</v>
      </c>
      <c r="O983" s="100"/>
    </row>
    <row r="984" spans="2:15" x14ac:dyDescent="0.2">
      <c r="B984" s="1">
        <v>969</v>
      </c>
      <c r="C984" s="101">
        <f t="shared" ca="1" si="60"/>
        <v>-6.3218612483471645E-2</v>
      </c>
      <c r="D984" s="101">
        <f t="shared" ca="1" si="61"/>
        <v>0.66037124435741157</v>
      </c>
      <c r="E984" s="101">
        <f t="shared" ca="1" si="62"/>
        <v>0</v>
      </c>
      <c r="F984" s="21">
        <f t="shared" ca="1" si="63"/>
        <v>0</v>
      </c>
      <c r="H984" s="21">
        <v>969</v>
      </c>
      <c r="I984" s="102">
        <v>0.66781308650979032</v>
      </c>
      <c r="J984" s="103">
        <v>1.3532131795277616E-3</v>
      </c>
      <c r="K984" s="103"/>
      <c r="L984" s="103">
        <v>4.1599999999999998E-2</v>
      </c>
      <c r="O984" s="100"/>
    </row>
    <row r="985" spans="2:15" x14ac:dyDescent="0.2">
      <c r="B985" s="1">
        <v>970</v>
      </c>
      <c r="C985" s="101">
        <f t="shared" ca="1" si="60"/>
        <v>0.26133351295991131</v>
      </c>
      <c r="D985" s="101">
        <f t="shared" ca="1" si="61"/>
        <v>0.6818545874764681</v>
      </c>
      <c r="E985" s="101">
        <f t="shared" ca="1" si="62"/>
        <v>0</v>
      </c>
      <c r="F985" s="21">
        <f t="shared" ca="1" si="63"/>
        <v>0</v>
      </c>
      <c r="H985" s="21">
        <v>970</v>
      </c>
      <c r="I985" s="102">
        <v>0.66778638366781229</v>
      </c>
      <c r="J985" s="103">
        <v>1.422932251540953E-3</v>
      </c>
      <c r="K985" s="103"/>
      <c r="L985" s="103">
        <v>4.24E-2</v>
      </c>
      <c r="O985" s="100"/>
    </row>
    <row r="986" spans="2:15" x14ac:dyDescent="0.2">
      <c r="B986" s="1">
        <v>971</v>
      </c>
      <c r="C986" s="101">
        <f t="shared" ca="1" si="60"/>
        <v>0.64738949537728541</v>
      </c>
      <c r="D986" s="101">
        <f t="shared" ca="1" si="61"/>
        <v>0.70832108033605334</v>
      </c>
      <c r="E986" s="101">
        <f t="shared" ca="1" si="62"/>
        <v>0</v>
      </c>
      <c r="F986" s="21">
        <f t="shared" ca="1" si="63"/>
        <v>0</v>
      </c>
      <c r="H986" s="21">
        <v>971</v>
      </c>
      <c r="I986" s="102">
        <v>0.66784848637111593</v>
      </c>
      <c r="J986" s="103">
        <v>1.5940825784887904E-3</v>
      </c>
      <c r="K986" s="103"/>
      <c r="L986" s="103">
        <v>4.36E-2</v>
      </c>
      <c r="O986" s="100"/>
    </row>
    <row r="987" spans="2:15" x14ac:dyDescent="0.2">
      <c r="B987" s="1">
        <v>972</v>
      </c>
      <c r="C987" s="101">
        <f t="shared" ca="1" si="60"/>
        <v>-0.13003040227540555</v>
      </c>
      <c r="D987" s="101">
        <f t="shared" ca="1" si="61"/>
        <v>0.65603344102049532</v>
      </c>
      <c r="E987" s="101">
        <f t="shared" ca="1" si="62"/>
        <v>0</v>
      </c>
      <c r="F987" s="21">
        <f t="shared" ca="1" si="63"/>
        <v>0</v>
      </c>
      <c r="H987" s="21">
        <v>972</v>
      </c>
      <c r="I987" s="102">
        <v>0.66769765004455006</v>
      </c>
      <c r="J987" s="103">
        <v>1.2808305447501325E-3</v>
      </c>
      <c r="K987" s="103"/>
      <c r="L987" s="103">
        <v>0.04</v>
      </c>
      <c r="O987" s="100"/>
    </row>
    <row r="988" spans="2:15" x14ac:dyDescent="0.2">
      <c r="B988" s="1">
        <v>973</v>
      </c>
      <c r="C988" s="101">
        <f t="shared" ca="1" si="60"/>
        <v>-7.9888107142683351E-2</v>
      </c>
      <c r="D988" s="101">
        <f t="shared" ca="1" si="61"/>
        <v>0.6592862874672496</v>
      </c>
      <c r="E988" s="101">
        <f t="shared" ca="1" si="62"/>
        <v>0</v>
      </c>
      <c r="F988" s="21">
        <f t="shared" ca="1" si="63"/>
        <v>0</v>
      </c>
      <c r="H988" s="21">
        <v>973</v>
      </c>
      <c r="I988" s="102">
        <v>0.66785218408206193</v>
      </c>
      <c r="J988" s="103">
        <v>1.4093335614951254E-3</v>
      </c>
      <c r="K988" s="103"/>
      <c r="L988" s="103">
        <v>4.2000000000000003E-2</v>
      </c>
      <c r="O988" s="100"/>
    </row>
    <row r="989" spans="2:15" x14ac:dyDescent="0.2">
      <c r="B989" s="1">
        <v>974</v>
      </c>
      <c r="C989" s="101">
        <f t="shared" ca="1" si="60"/>
        <v>-0.742786263593049</v>
      </c>
      <c r="D989" s="101">
        <f t="shared" ca="1" si="61"/>
        <v>0.61755535874838907</v>
      </c>
      <c r="E989" s="101">
        <f t="shared" ca="1" si="62"/>
        <v>0</v>
      </c>
      <c r="F989" s="21">
        <f t="shared" ca="1" si="63"/>
        <v>0</v>
      </c>
      <c r="H989" s="21">
        <v>974</v>
      </c>
      <c r="I989" s="102">
        <v>0.66777083130248538</v>
      </c>
      <c r="J989" s="103">
        <v>1.3505499219633066E-3</v>
      </c>
      <c r="K989" s="103"/>
      <c r="L989" s="103">
        <v>4.1599999999999998E-2</v>
      </c>
      <c r="O989" s="100"/>
    </row>
    <row r="990" spans="2:15" x14ac:dyDescent="0.2">
      <c r="B990" s="1">
        <v>975</v>
      </c>
      <c r="C990" s="101">
        <f t="shared" ca="1" si="60"/>
        <v>0.75938789560093722</v>
      </c>
      <c r="D990" s="101">
        <f t="shared" ca="1" si="61"/>
        <v>0.71618976364793918</v>
      </c>
      <c r="E990" s="101">
        <f t="shared" ca="1" si="62"/>
        <v>0</v>
      </c>
      <c r="F990" s="21">
        <f t="shared" ca="1" si="63"/>
        <v>0</v>
      </c>
      <c r="H990" s="21">
        <v>975</v>
      </c>
      <c r="I990" s="102">
        <v>0.66785471778525862</v>
      </c>
      <c r="J990" s="103">
        <v>1.5059876855914786E-3</v>
      </c>
      <c r="K990" s="103"/>
      <c r="L990" s="103">
        <v>4.4200000000000003E-2</v>
      </c>
      <c r="O990" s="100"/>
    </row>
    <row r="991" spans="2:15" x14ac:dyDescent="0.2">
      <c r="B991" s="1">
        <v>976</v>
      </c>
      <c r="C991" s="101">
        <f t="shared" ca="1" si="60"/>
        <v>0.29360885528942782</v>
      </c>
      <c r="D991" s="101">
        <f t="shared" ca="1" si="61"/>
        <v>0.68402885528573587</v>
      </c>
      <c r="E991" s="101">
        <f t="shared" ca="1" si="62"/>
        <v>0</v>
      </c>
      <c r="F991" s="21">
        <f t="shared" ca="1" si="63"/>
        <v>0</v>
      </c>
      <c r="H991" s="21">
        <v>976</v>
      </c>
      <c r="I991" s="102">
        <v>0.66767530373326178</v>
      </c>
      <c r="J991" s="103">
        <v>1.4259624259121396E-3</v>
      </c>
      <c r="K991" s="103"/>
      <c r="L991" s="103">
        <v>4.36E-2</v>
      </c>
      <c r="O991" s="100"/>
    </row>
    <row r="992" spans="2:15" x14ac:dyDescent="0.2">
      <c r="B992" s="1">
        <v>977</v>
      </c>
      <c r="C992" s="101">
        <f t="shared" ca="1" si="60"/>
        <v>-0.29849015000860957</v>
      </c>
      <c r="D992" s="101">
        <f t="shared" ca="1" si="61"/>
        <v>0.64522214732464378</v>
      </c>
      <c r="E992" s="101">
        <f t="shared" ca="1" si="62"/>
        <v>0</v>
      </c>
      <c r="F992" s="21">
        <f t="shared" ca="1" si="63"/>
        <v>0</v>
      </c>
      <c r="H992" s="21">
        <v>977</v>
      </c>
      <c r="I992" s="102">
        <v>0.66803608923287694</v>
      </c>
      <c r="J992" s="103">
        <v>1.7290197170105864E-3</v>
      </c>
      <c r="K992" s="103"/>
      <c r="L992" s="103">
        <v>5.2200000000000003E-2</v>
      </c>
      <c r="O992" s="100"/>
    </row>
    <row r="993" spans="2:15" x14ac:dyDescent="0.2">
      <c r="B993" s="1">
        <v>978</v>
      </c>
      <c r="C993" s="101">
        <f t="shared" ca="1" si="60"/>
        <v>0.99007846632586027</v>
      </c>
      <c r="D993" s="101">
        <f t="shared" ca="1" si="61"/>
        <v>0.73267395110644573</v>
      </c>
      <c r="E993" s="101">
        <f t="shared" ca="1" si="62"/>
        <v>0</v>
      </c>
      <c r="F993" s="21">
        <f t="shared" ca="1" si="63"/>
        <v>0</v>
      </c>
      <c r="H993" s="21">
        <v>978</v>
      </c>
      <c r="I993" s="102">
        <v>0.66778247399345636</v>
      </c>
      <c r="J993" s="103">
        <v>1.3408851377551829E-3</v>
      </c>
      <c r="K993" s="103"/>
      <c r="L993" s="103">
        <v>4.4200000000000003E-2</v>
      </c>
      <c r="O993" s="100"/>
    </row>
    <row r="994" spans="2:15" x14ac:dyDescent="0.2">
      <c r="B994" s="1">
        <v>979</v>
      </c>
      <c r="C994" s="101">
        <f t="shared" ca="1" si="60"/>
        <v>0.24433991693024176</v>
      </c>
      <c r="D994" s="101">
        <f t="shared" ca="1" si="61"/>
        <v>0.68071257194414381</v>
      </c>
      <c r="E994" s="101">
        <f t="shared" ca="1" si="62"/>
        <v>0</v>
      </c>
      <c r="F994" s="21">
        <f t="shared" ca="1" si="63"/>
        <v>0</v>
      </c>
      <c r="H994" s="21">
        <v>979</v>
      </c>
      <c r="I994" s="102">
        <v>0.66769700216369676</v>
      </c>
      <c r="J994" s="103">
        <v>1.2678396822352973E-3</v>
      </c>
      <c r="K994" s="103"/>
      <c r="L994" s="103">
        <v>0.04</v>
      </c>
      <c r="O994" s="100"/>
    </row>
    <row r="995" spans="2:15" x14ac:dyDescent="0.2">
      <c r="B995" s="1">
        <v>980</v>
      </c>
      <c r="C995" s="101">
        <f t="shared" ca="1" si="60"/>
        <v>-4.8929115501732214E-2</v>
      </c>
      <c r="D995" s="101">
        <f t="shared" ca="1" si="61"/>
        <v>0.6613027170083926</v>
      </c>
      <c r="E995" s="101">
        <f t="shared" ca="1" si="62"/>
        <v>0</v>
      </c>
      <c r="F995" s="21">
        <f t="shared" ca="1" si="63"/>
        <v>0</v>
      </c>
      <c r="H995" s="21">
        <v>980</v>
      </c>
      <c r="I995" s="102">
        <v>0.66763083695548386</v>
      </c>
      <c r="J995" s="103">
        <v>1.3068353045064514E-3</v>
      </c>
      <c r="K995" s="103"/>
      <c r="L995" s="103">
        <v>3.9600000000000003E-2</v>
      </c>
      <c r="O995" s="100"/>
    </row>
    <row r="996" spans="2:15" x14ac:dyDescent="0.2">
      <c r="B996" s="1">
        <v>981</v>
      </c>
      <c r="C996" s="101">
        <f t="shared" ca="1" si="60"/>
        <v>-0.50546865345332281</v>
      </c>
      <c r="D996" s="101">
        <f t="shared" ca="1" si="61"/>
        <v>0.63218244922678857</v>
      </c>
      <c r="E996" s="101">
        <f t="shared" ca="1" si="62"/>
        <v>0</v>
      </c>
      <c r="F996" s="21">
        <f t="shared" ca="1" si="63"/>
        <v>0</v>
      </c>
      <c r="H996" s="21">
        <v>981</v>
      </c>
      <c r="I996" s="102">
        <v>0.66783706824731293</v>
      </c>
      <c r="J996" s="103">
        <v>1.4302837824363098E-3</v>
      </c>
      <c r="K996" s="103"/>
      <c r="L996" s="103">
        <v>4.36E-2</v>
      </c>
      <c r="O996" s="100"/>
    </row>
    <row r="997" spans="2:15" x14ac:dyDescent="0.2">
      <c r="B997" s="1">
        <v>982</v>
      </c>
      <c r="C997" s="101">
        <f t="shared" ca="1" si="60"/>
        <v>3.3093258726722731E-2</v>
      </c>
      <c r="D997" s="101">
        <f t="shared" ca="1" si="61"/>
        <v>0.66667488546486342</v>
      </c>
      <c r="E997" s="101">
        <f t="shared" ca="1" si="62"/>
        <v>0</v>
      </c>
      <c r="F997" s="21">
        <f t="shared" ca="1" si="63"/>
        <v>0</v>
      </c>
      <c r="H997" s="21">
        <v>982</v>
      </c>
      <c r="I997" s="102">
        <v>0.66773492353560715</v>
      </c>
      <c r="J997" s="103">
        <v>1.4067569255432114E-3</v>
      </c>
      <c r="K997" s="103"/>
      <c r="L997" s="103">
        <v>4.36E-2</v>
      </c>
      <c r="O997" s="100"/>
    </row>
    <row r="998" spans="2:15" x14ac:dyDescent="0.2">
      <c r="B998" s="1">
        <v>983</v>
      </c>
      <c r="C998" s="101">
        <f t="shared" ca="1" si="60"/>
        <v>0.31699456669696713</v>
      </c>
      <c r="D998" s="101">
        <f t="shared" ca="1" si="61"/>
        <v>0.68560859275862596</v>
      </c>
      <c r="E998" s="101">
        <f t="shared" ca="1" si="62"/>
        <v>0</v>
      </c>
      <c r="F998" s="21">
        <f t="shared" ca="1" si="63"/>
        <v>0</v>
      </c>
      <c r="H998" s="21">
        <v>983</v>
      </c>
      <c r="I998" s="102">
        <v>0.6678557215330202</v>
      </c>
      <c r="J998" s="103">
        <v>1.473625341933582E-3</v>
      </c>
      <c r="K998" s="103"/>
      <c r="L998" s="103">
        <v>4.4400000000000002E-2</v>
      </c>
      <c r="O998" s="100"/>
    </row>
    <row r="999" spans="2:15" x14ac:dyDescent="0.2">
      <c r="B999" s="1">
        <v>984</v>
      </c>
      <c r="C999" s="101">
        <f t="shared" ca="1" si="60"/>
        <v>0.53460057499419</v>
      </c>
      <c r="D999" s="101">
        <f t="shared" ca="1" si="61"/>
        <v>0.70048422476092764</v>
      </c>
      <c r="E999" s="101">
        <f t="shared" ca="1" si="62"/>
        <v>0</v>
      </c>
      <c r="F999" s="21">
        <f t="shared" ca="1" si="63"/>
        <v>0</v>
      </c>
      <c r="H999" s="21">
        <v>984</v>
      </c>
      <c r="I999" s="102">
        <v>0.66774335611300117</v>
      </c>
      <c r="J999" s="103">
        <v>1.2909953207757077E-3</v>
      </c>
      <c r="K999" s="103"/>
      <c r="L999" s="103">
        <v>4.1000000000000002E-2</v>
      </c>
      <c r="O999" s="100"/>
    </row>
    <row r="1000" spans="2:15" x14ac:dyDescent="0.2">
      <c r="B1000" s="1">
        <v>985</v>
      </c>
      <c r="C1000" s="101">
        <f t="shared" ca="1" si="60"/>
        <v>0.37109234188605905</v>
      </c>
      <c r="D1000" s="101">
        <f t="shared" ca="1" si="61"/>
        <v>0.68927696864828525</v>
      </c>
      <c r="E1000" s="101">
        <f t="shared" ca="1" si="62"/>
        <v>0</v>
      </c>
      <c r="F1000" s="21">
        <f t="shared" ca="1" si="63"/>
        <v>0</v>
      </c>
      <c r="H1000" s="21">
        <v>985</v>
      </c>
      <c r="I1000" s="102">
        <v>0.66770964845129199</v>
      </c>
      <c r="J1000" s="103">
        <v>1.4025454132087906E-3</v>
      </c>
      <c r="K1000" s="103"/>
      <c r="L1000" s="103">
        <v>4.3799999999999999E-2</v>
      </c>
      <c r="O1000" s="100"/>
    </row>
    <row r="1001" spans="2:15" x14ac:dyDescent="0.2">
      <c r="B1001" s="1">
        <v>986</v>
      </c>
      <c r="C1001" s="101">
        <f t="shared" ca="1" si="60"/>
        <v>-3.8161331194596797E-2</v>
      </c>
      <c r="D1001" s="101">
        <f t="shared" ca="1" si="61"/>
        <v>0.66200549186985325</v>
      </c>
      <c r="E1001" s="101">
        <f t="shared" ca="1" si="62"/>
        <v>0</v>
      </c>
      <c r="F1001" s="21">
        <f t="shared" ca="1" si="63"/>
        <v>0</v>
      </c>
      <c r="H1001" s="21">
        <v>986</v>
      </c>
      <c r="I1001" s="102">
        <v>0.66772790666921633</v>
      </c>
      <c r="J1001" s="103">
        <v>1.2766374280225338E-3</v>
      </c>
      <c r="K1001" s="103"/>
      <c r="L1001" s="103">
        <v>3.4799999999999998E-2</v>
      </c>
      <c r="O1001" s="100"/>
    </row>
    <row r="1002" spans="2:15" x14ac:dyDescent="0.2">
      <c r="B1002" s="1">
        <v>987</v>
      </c>
      <c r="C1002" s="101">
        <f t="shared" ca="1" si="60"/>
        <v>-0.64095795823712809</v>
      </c>
      <c r="D1002" s="101">
        <f t="shared" ca="1" si="61"/>
        <v>0.62378963823528677</v>
      </c>
      <c r="E1002" s="101">
        <f t="shared" ca="1" si="62"/>
        <v>0</v>
      </c>
      <c r="F1002" s="21">
        <f t="shared" ca="1" si="63"/>
        <v>0</v>
      </c>
      <c r="H1002" s="21">
        <v>987</v>
      </c>
      <c r="I1002" s="102">
        <v>0.66780103110545219</v>
      </c>
      <c r="J1002" s="103">
        <v>1.428396205106185E-3</v>
      </c>
      <c r="K1002" s="103"/>
      <c r="L1002" s="103">
        <v>4.3400000000000001E-2</v>
      </c>
      <c r="O1002" s="100"/>
    </row>
    <row r="1003" spans="2:15" x14ac:dyDescent="0.2">
      <c r="B1003" s="1">
        <v>988</v>
      </c>
      <c r="C1003" s="101">
        <f t="shared" ca="1" si="60"/>
        <v>-0.1589154000708885</v>
      </c>
      <c r="D1003" s="101">
        <f t="shared" ca="1" si="61"/>
        <v>0.65416689519618931</v>
      </c>
      <c r="E1003" s="101">
        <f t="shared" ca="1" si="62"/>
        <v>0</v>
      </c>
      <c r="F1003" s="21">
        <f t="shared" ca="1" si="63"/>
        <v>0</v>
      </c>
      <c r="H1003" s="21">
        <v>988</v>
      </c>
      <c r="I1003" s="102">
        <v>0.66785193404607313</v>
      </c>
      <c r="J1003" s="103">
        <v>1.4743114736191492E-3</v>
      </c>
      <c r="K1003" s="103"/>
      <c r="L1003" s="103">
        <v>4.4200000000000003E-2</v>
      </c>
      <c r="O1003" s="100"/>
    </row>
    <row r="1004" spans="2:15" x14ac:dyDescent="0.2">
      <c r="B1004" s="1">
        <v>989</v>
      </c>
      <c r="C1004" s="101">
        <f t="shared" ca="1" si="60"/>
        <v>-1.1569690575976874</v>
      </c>
      <c r="D1004" s="101">
        <f t="shared" ca="1" si="61"/>
        <v>0.59283325724212244</v>
      </c>
      <c r="E1004" s="101">
        <f t="shared" ca="1" si="62"/>
        <v>0</v>
      </c>
      <c r="F1004" s="21">
        <f t="shared" ca="1" si="63"/>
        <v>0</v>
      </c>
      <c r="H1004" s="21">
        <v>989</v>
      </c>
      <c r="I1004" s="102">
        <v>0.66768519541988791</v>
      </c>
      <c r="J1004" s="103">
        <v>1.3144252473125202E-3</v>
      </c>
      <c r="K1004" s="103"/>
      <c r="L1004" s="103">
        <v>3.9800000000000002E-2</v>
      </c>
      <c r="O1004" s="100"/>
    </row>
    <row r="1005" spans="2:15" x14ac:dyDescent="0.2">
      <c r="B1005" s="1">
        <v>990</v>
      </c>
      <c r="C1005" s="101">
        <f t="shared" ca="1" si="60"/>
        <v>-0.33805939789440786</v>
      </c>
      <c r="D1005" s="101">
        <f t="shared" ca="1" si="61"/>
        <v>0.64270864855541354</v>
      </c>
      <c r="E1005" s="101">
        <f t="shared" ca="1" si="62"/>
        <v>0</v>
      </c>
      <c r="F1005" s="21">
        <f t="shared" ca="1" si="63"/>
        <v>0</v>
      </c>
      <c r="H1005" s="21">
        <v>990</v>
      </c>
      <c r="I1005" s="102">
        <v>0.66782011434331645</v>
      </c>
      <c r="J1005" s="103">
        <v>1.3586248940174691E-3</v>
      </c>
      <c r="K1005" s="103"/>
      <c r="L1005" s="103">
        <v>4.0599999999999997E-2</v>
      </c>
      <c r="O1005" s="100"/>
    </row>
    <row r="1006" spans="2:15" x14ac:dyDescent="0.2">
      <c r="B1006" s="1">
        <v>991</v>
      </c>
      <c r="C1006" s="101">
        <f t="shared" ca="1" si="60"/>
        <v>0.6877887188653069</v>
      </c>
      <c r="D1006" s="101">
        <f t="shared" ca="1" si="61"/>
        <v>0.71114939491133577</v>
      </c>
      <c r="E1006" s="101">
        <f t="shared" ca="1" si="62"/>
        <v>0</v>
      </c>
      <c r="F1006" s="21">
        <f t="shared" ca="1" si="63"/>
        <v>0</v>
      </c>
      <c r="H1006" s="21">
        <v>991</v>
      </c>
      <c r="I1006" s="102">
        <v>0.66788077365992071</v>
      </c>
      <c r="J1006" s="103">
        <v>1.6740836860927825E-3</v>
      </c>
      <c r="K1006" s="103"/>
      <c r="L1006" s="103">
        <v>4.3799999999999999E-2</v>
      </c>
      <c r="O1006" s="100"/>
    </row>
    <row r="1007" spans="2:15" x14ac:dyDescent="0.2">
      <c r="B1007" s="1">
        <v>992</v>
      </c>
      <c r="C1007" s="101">
        <f t="shared" ca="1" si="60"/>
        <v>0.61692505356467198</v>
      </c>
      <c r="D1007" s="101">
        <f t="shared" ca="1" si="61"/>
        <v>0.70619573298884908</v>
      </c>
      <c r="E1007" s="101">
        <f t="shared" ca="1" si="62"/>
        <v>0</v>
      </c>
      <c r="F1007" s="21">
        <f t="shared" ca="1" si="63"/>
        <v>0</v>
      </c>
      <c r="H1007" s="21">
        <v>992</v>
      </c>
      <c r="I1007" s="102">
        <v>0.66775882031363976</v>
      </c>
      <c r="J1007" s="103">
        <v>1.3705280884648834E-3</v>
      </c>
      <c r="K1007" s="103"/>
      <c r="L1007" s="103">
        <v>4.4400000000000002E-2</v>
      </c>
      <c r="O1007" s="100"/>
    </row>
    <row r="1008" spans="2:15" x14ac:dyDescent="0.2">
      <c r="B1008" s="1">
        <v>993</v>
      </c>
      <c r="C1008" s="101">
        <f t="shared" ca="1" si="60"/>
        <v>-0.49609206690222429</v>
      </c>
      <c r="D1008" s="101">
        <f t="shared" ca="1" si="61"/>
        <v>0.63276743723191897</v>
      </c>
      <c r="E1008" s="101">
        <f t="shared" ca="1" si="62"/>
        <v>0</v>
      </c>
      <c r="F1008" s="21">
        <f t="shared" ca="1" si="63"/>
        <v>0</v>
      </c>
      <c r="H1008" s="21">
        <v>993</v>
      </c>
      <c r="I1008" s="102">
        <v>0.66791956026061139</v>
      </c>
      <c r="J1008" s="103">
        <v>1.513403231116543E-3</v>
      </c>
      <c r="K1008" s="103"/>
      <c r="L1008" s="103">
        <v>4.58E-2</v>
      </c>
      <c r="O1008" s="100"/>
    </row>
    <row r="1009" spans="2:15" x14ac:dyDescent="0.2">
      <c r="B1009" s="1">
        <v>994</v>
      </c>
      <c r="C1009" s="101">
        <f t="shared" ca="1" si="60"/>
        <v>0.80244975906028315</v>
      </c>
      <c r="D1009" s="101">
        <f t="shared" ca="1" si="61"/>
        <v>0.71923837826782089</v>
      </c>
      <c r="E1009" s="101">
        <f t="shared" ca="1" si="62"/>
        <v>0</v>
      </c>
      <c r="F1009" s="21">
        <f t="shared" ca="1" si="63"/>
        <v>0</v>
      </c>
      <c r="H1009" s="21">
        <v>994</v>
      </c>
      <c r="I1009" s="102">
        <v>0.66759736636570799</v>
      </c>
      <c r="J1009" s="103">
        <v>1.3793957754623949E-3</v>
      </c>
      <c r="K1009" s="103"/>
      <c r="L1009" s="103">
        <v>4.1399999999999999E-2</v>
      </c>
      <c r="O1009" s="100"/>
    </row>
    <row r="1010" spans="2:15" x14ac:dyDescent="0.2">
      <c r="B1010" s="1">
        <v>995</v>
      </c>
      <c r="C1010" s="101">
        <f t="shared" ca="1" si="60"/>
        <v>-0.31062276734212579</v>
      </c>
      <c r="D1010" s="101">
        <f t="shared" ca="1" si="61"/>
        <v>0.64445042188672674</v>
      </c>
      <c r="E1010" s="101">
        <f t="shared" ca="1" si="62"/>
        <v>0</v>
      </c>
      <c r="F1010" s="21">
        <f t="shared" ca="1" si="63"/>
        <v>0</v>
      </c>
      <c r="H1010" s="21">
        <v>995</v>
      </c>
      <c r="I1010" s="102">
        <v>0.66766177058173493</v>
      </c>
      <c r="J1010" s="103">
        <v>1.1832416782985593E-3</v>
      </c>
      <c r="K1010" s="103"/>
      <c r="L1010" s="103">
        <v>3.7400000000000003E-2</v>
      </c>
      <c r="O1010" s="100"/>
    </row>
    <row r="1011" spans="2:15" x14ac:dyDescent="0.2">
      <c r="B1011" s="1">
        <v>996</v>
      </c>
      <c r="C1011" s="101">
        <f t="shared" ca="1" si="60"/>
        <v>-0.29217035667266683</v>
      </c>
      <c r="D1011" s="101">
        <f t="shared" ca="1" si="61"/>
        <v>0.64562449956002754</v>
      </c>
      <c r="E1011" s="101">
        <f t="shared" ca="1" si="62"/>
        <v>0</v>
      </c>
      <c r="F1011" s="21">
        <f t="shared" ca="1" si="63"/>
        <v>0</v>
      </c>
      <c r="H1011" s="21">
        <v>996</v>
      </c>
      <c r="I1011" s="102">
        <v>0.6679510519667472</v>
      </c>
      <c r="J1011" s="103">
        <v>1.6877507031636157E-3</v>
      </c>
      <c r="K1011" s="103"/>
      <c r="L1011" s="103">
        <v>4.9399999999999999E-2</v>
      </c>
      <c r="O1011" s="100"/>
    </row>
    <row r="1012" spans="2:15" x14ac:dyDescent="0.2">
      <c r="B1012" s="1">
        <v>997</v>
      </c>
      <c r="C1012" s="101">
        <f t="shared" ca="1" si="60"/>
        <v>-1.8395632727780802</v>
      </c>
      <c r="D1012" s="101">
        <f t="shared" ca="1" si="61"/>
        <v>0.55423078311468443</v>
      </c>
      <c r="E1012" s="101">
        <f t="shared" ca="1" si="62"/>
        <v>0</v>
      </c>
      <c r="F1012" s="21">
        <f t="shared" ca="1" si="63"/>
        <v>0</v>
      </c>
      <c r="H1012" s="21">
        <v>997</v>
      </c>
      <c r="I1012" s="102">
        <v>0.66774487517827719</v>
      </c>
      <c r="J1012" s="103">
        <v>1.3558931397333548E-3</v>
      </c>
      <c r="K1012" s="103"/>
      <c r="L1012" s="103">
        <v>4.1799999999999997E-2</v>
      </c>
      <c r="O1012" s="100"/>
    </row>
    <row r="1013" spans="2:15" x14ac:dyDescent="0.2">
      <c r="B1013" s="1">
        <v>998</v>
      </c>
      <c r="C1013" s="101">
        <f t="shared" ca="1" si="60"/>
        <v>8.076309536180229E-2</v>
      </c>
      <c r="D1013" s="101">
        <f t="shared" ca="1" si="61"/>
        <v>0.66981711663614207</v>
      </c>
      <c r="E1013" s="101">
        <f t="shared" ca="1" si="62"/>
        <v>0</v>
      </c>
      <c r="F1013" s="21">
        <f t="shared" ca="1" si="63"/>
        <v>0</v>
      </c>
      <c r="H1013" s="21">
        <v>998</v>
      </c>
      <c r="I1013" s="102">
        <v>0.66765665591763645</v>
      </c>
      <c r="J1013" s="103">
        <v>1.3467891613699967E-3</v>
      </c>
      <c r="K1013" s="103"/>
      <c r="L1013" s="103">
        <v>3.5999999999999997E-2</v>
      </c>
      <c r="O1013" s="100"/>
    </row>
    <row r="1014" spans="2:15" x14ac:dyDescent="0.2">
      <c r="B1014" s="1">
        <v>999</v>
      </c>
      <c r="C1014" s="101">
        <f t="shared" ca="1" si="60"/>
        <v>-0.99656912935205033</v>
      </c>
      <c r="D1014" s="101">
        <f t="shared" ca="1" si="61"/>
        <v>0.60228769868651655</v>
      </c>
      <c r="E1014" s="101">
        <f t="shared" ca="1" si="62"/>
        <v>0</v>
      </c>
      <c r="F1014" s="21">
        <f t="shared" ca="1" si="63"/>
        <v>0</v>
      </c>
      <c r="H1014" s="21">
        <v>999</v>
      </c>
      <c r="I1014" s="102">
        <v>0.66789766773743564</v>
      </c>
      <c r="J1014" s="103">
        <v>1.4401315518855508E-3</v>
      </c>
      <c r="K1014" s="103"/>
      <c r="L1014" s="103">
        <v>4.5199999999999997E-2</v>
      </c>
      <c r="O1014" s="100"/>
    </row>
    <row r="1015" spans="2:15" x14ac:dyDescent="0.2">
      <c r="B1015" s="1">
        <v>1000</v>
      </c>
      <c r="C1015" s="101">
        <f t="shared" ca="1" si="60"/>
        <v>-0.55482474487408218</v>
      </c>
      <c r="D1015" s="101">
        <f t="shared" ca="1" si="61"/>
        <v>0.62911211727613936</v>
      </c>
      <c r="E1015" s="101">
        <f t="shared" ca="1" si="62"/>
        <v>0</v>
      </c>
      <c r="F1015" s="21">
        <f t="shared" ca="1" si="63"/>
        <v>0</v>
      </c>
      <c r="H1015" s="21">
        <v>1000</v>
      </c>
      <c r="I1015" s="102">
        <v>0.66769975412553695</v>
      </c>
      <c r="J1015" s="103">
        <v>1.3806363592917192E-3</v>
      </c>
      <c r="K1015" s="103"/>
      <c r="L1015" s="103">
        <v>3.8800000000000001E-2</v>
      </c>
      <c r="O1015" s="100"/>
    </row>
    <row r="1016" spans="2:15" x14ac:dyDescent="0.2">
      <c r="B1016" s="1">
        <v>1001</v>
      </c>
      <c r="C1016" s="101">
        <f t="shared" ca="1" si="60"/>
        <v>-0.78440302144313667</v>
      </c>
      <c r="D1016" s="101">
        <f t="shared" ca="1" si="61"/>
        <v>0.61502540882173762</v>
      </c>
      <c r="E1016" s="101">
        <f t="shared" ca="1" si="62"/>
        <v>0</v>
      </c>
      <c r="F1016" s="21">
        <f t="shared" ca="1" si="63"/>
        <v>0</v>
      </c>
      <c r="H1016" s="21">
        <v>1001</v>
      </c>
      <c r="I1016" s="102">
        <v>0.66781573891193025</v>
      </c>
      <c r="J1016" s="103">
        <v>1.3824509572723882E-3</v>
      </c>
      <c r="K1016" s="103"/>
      <c r="L1016" s="103">
        <v>4.3799999999999999E-2</v>
      </c>
      <c r="O1016" s="100"/>
    </row>
    <row r="1017" spans="2:15" x14ac:dyDescent="0.2">
      <c r="B1017" s="1">
        <v>1002</v>
      </c>
      <c r="C1017" s="101">
        <f t="shared" ca="1" si="60"/>
        <v>-2.9868366693802493</v>
      </c>
      <c r="D1017" s="101">
        <f t="shared" ca="1" si="61"/>
        <v>0.4949281532901228</v>
      </c>
      <c r="E1017" s="101">
        <f t="shared" ca="1" si="62"/>
        <v>0</v>
      </c>
      <c r="F1017" s="21">
        <f t="shared" ca="1" si="63"/>
        <v>0</v>
      </c>
      <c r="H1017" s="21">
        <v>1002</v>
      </c>
      <c r="I1017" s="102">
        <v>0.66774351165229562</v>
      </c>
      <c r="J1017" s="103">
        <v>1.3209803921415439E-3</v>
      </c>
      <c r="K1017" s="103"/>
      <c r="L1017" s="103">
        <v>4.3799999999999999E-2</v>
      </c>
      <c r="O1017" s="100"/>
    </row>
    <row r="1018" spans="2:15" x14ac:dyDescent="0.2">
      <c r="B1018" s="1">
        <v>1003</v>
      </c>
      <c r="C1018" s="101">
        <f t="shared" ca="1" si="60"/>
        <v>-0.1098072847967097</v>
      </c>
      <c r="D1018" s="101">
        <f t="shared" ca="1" si="61"/>
        <v>0.65734342573537707</v>
      </c>
      <c r="E1018" s="101">
        <f t="shared" ca="1" si="62"/>
        <v>0</v>
      </c>
      <c r="F1018" s="21">
        <f t="shared" ca="1" si="63"/>
        <v>0</v>
      </c>
      <c r="H1018" s="21">
        <v>1003</v>
      </c>
      <c r="I1018" s="102">
        <v>0.66783558057611325</v>
      </c>
      <c r="J1018" s="103">
        <v>1.6022364148887086E-3</v>
      </c>
      <c r="K1018" s="103"/>
      <c r="L1018" s="103">
        <v>4.4600000000000001E-2</v>
      </c>
      <c r="O1018" s="100"/>
    </row>
    <row r="1019" spans="2:15" x14ac:dyDescent="0.2">
      <c r="B1019" s="1">
        <v>1004</v>
      </c>
      <c r="C1019" s="101">
        <f t="shared" ca="1" si="60"/>
        <v>0.3988395938732674</v>
      </c>
      <c r="D1019" s="101">
        <f t="shared" ca="1" si="61"/>
        <v>0.69116612159207302</v>
      </c>
      <c r="E1019" s="101">
        <f t="shared" ca="1" si="62"/>
        <v>0</v>
      </c>
      <c r="F1019" s="21">
        <f t="shared" ca="1" si="63"/>
        <v>0</v>
      </c>
      <c r="H1019" s="21">
        <v>1004</v>
      </c>
      <c r="I1019" s="102">
        <v>0.66772408971893826</v>
      </c>
      <c r="J1019" s="103">
        <v>1.4295526808366002E-3</v>
      </c>
      <c r="K1019" s="103"/>
      <c r="L1019" s="103">
        <v>4.1399999999999999E-2</v>
      </c>
      <c r="O1019" s="100"/>
    </row>
    <row r="1020" spans="2:15" x14ac:dyDescent="0.2">
      <c r="B1020" s="1">
        <v>1005</v>
      </c>
      <c r="C1020" s="101">
        <f t="shared" ca="1" si="60"/>
        <v>-0.68147744448283332</v>
      </c>
      <c r="D1020" s="101">
        <f t="shared" ca="1" si="61"/>
        <v>0.62130139196663747</v>
      </c>
      <c r="E1020" s="101">
        <f t="shared" ca="1" si="62"/>
        <v>0</v>
      </c>
      <c r="F1020" s="21">
        <f t="shared" ca="1" si="63"/>
        <v>0</v>
      </c>
      <c r="H1020" s="21">
        <v>1005</v>
      </c>
      <c r="I1020" s="102">
        <v>0.66776510440334336</v>
      </c>
      <c r="J1020" s="103">
        <v>1.4813934729867586E-3</v>
      </c>
      <c r="K1020" s="103"/>
      <c r="L1020" s="103">
        <v>4.1799999999999997E-2</v>
      </c>
      <c r="O1020" s="100"/>
    </row>
    <row r="1021" spans="2:15" x14ac:dyDescent="0.2">
      <c r="B1021" s="1">
        <v>1006</v>
      </c>
      <c r="C1021" s="101">
        <f t="shared" ca="1" si="60"/>
        <v>0.70922941004726769</v>
      </c>
      <c r="D1021" s="101">
        <f t="shared" ca="1" si="61"/>
        <v>0.71265502352957699</v>
      </c>
      <c r="E1021" s="101">
        <f t="shared" ca="1" si="62"/>
        <v>0</v>
      </c>
      <c r="F1021" s="21">
        <f t="shared" ca="1" si="63"/>
        <v>0</v>
      </c>
      <c r="H1021" s="21">
        <v>1006</v>
      </c>
      <c r="I1021" s="102">
        <v>0.66768345688828867</v>
      </c>
      <c r="J1021" s="103">
        <v>1.1886650065522392E-3</v>
      </c>
      <c r="K1021" s="103"/>
      <c r="L1021" s="103">
        <v>3.7400000000000003E-2</v>
      </c>
      <c r="O1021" s="100"/>
    </row>
    <row r="1022" spans="2:15" x14ac:dyDescent="0.2">
      <c r="B1022" s="1">
        <v>1007</v>
      </c>
      <c r="C1022" s="101">
        <f t="shared" ca="1" si="60"/>
        <v>0.69164952239865241</v>
      </c>
      <c r="D1022" s="101">
        <f t="shared" ca="1" si="61"/>
        <v>0.71142027691138932</v>
      </c>
      <c r="E1022" s="101">
        <f t="shared" ca="1" si="62"/>
        <v>0</v>
      </c>
      <c r="F1022" s="21">
        <f t="shared" ca="1" si="63"/>
        <v>0</v>
      </c>
      <c r="H1022" s="21">
        <v>1007</v>
      </c>
      <c r="I1022" s="102">
        <v>0.6675952453769437</v>
      </c>
      <c r="J1022" s="103">
        <v>1.3167725102022944E-3</v>
      </c>
      <c r="K1022" s="103"/>
      <c r="L1022" s="103">
        <v>4.1599999999999998E-2</v>
      </c>
      <c r="O1022" s="100"/>
    </row>
    <row r="1023" spans="2:15" x14ac:dyDescent="0.2">
      <c r="B1023" s="1">
        <v>1008</v>
      </c>
      <c r="C1023" s="101">
        <f t="shared" ca="1" si="60"/>
        <v>1.2391267513047457</v>
      </c>
      <c r="D1023" s="101">
        <f t="shared" ca="1" si="61"/>
        <v>0.75089606117624497</v>
      </c>
      <c r="E1023" s="101">
        <f t="shared" ca="1" si="62"/>
        <v>0</v>
      </c>
      <c r="F1023" s="21">
        <f t="shared" ca="1" si="63"/>
        <v>0</v>
      </c>
      <c r="H1023" s="21">
        <v>1008</v>
      </c>
      <c r="I1023" s="102">
        <v>0.66789010308258367</v>
      </c>
      <c r="J1023" s="103">
        <v>1.6457574188008983E-3</v>
      </c>
      <c r="K1023" s="103"/>
      <c r="L1023" s="103">
        <v>4.24E-2</v>
      </c>
      <c r="O1023" s="100"/>
    </row>
    <row r="1024" spans="2:15" x14ac:dyDescent="0.2">
      <c r="B1024" s="1">
        <v>1009</v>
      </c>
      <c r="C1024" s="101">
        <f t="shared" ca="1" si="60"/>
        <v>-1.1958484442358013</v>
      </c>
      <c r="D1024" s="101">
        <f t="shared" ca="1" si="61"/>
        <v>0.59056402813135078</v>
      </c>
      <c r="E1024" s="101">
        <f t="shared" ca="1" si="62"/>
        <v>0</v>
      </c>
      <c r="F1024" s="21">
        <f t="shared" ca="1" si="63"/>
        <v>0</v>
      </c>
      <c r="H1024" s="21">
        <v>1009</v>
      </c>
      <c r="I1024" s="102">
        <v>0.66772241927959219</v>
      </c>
      <c r="J1024" s="103">
        <v>1.4185753985771848E-3</v>
      </c>
      <c r="K1024" s="103"/>
      <c r="L1024" s="103">
        <v>4.1799999999999997E-2</v>
      </c>
      <c r="O1024" s="100"/>
    </row>
    <row r="1025" spans="2:15" x14ac:dyDescent="0.2">
      <c r="B1025" s="1">
        <v>1010</v>
      </c>
      <c r="C1025" s="101">
        <f t="shared" ca="1" si="60"/>
        <v>7.0415010741722725E-2</v>
      </c>
      <c r="D1025" s="101">
        <f t="shared" ca="1" si="61"/>
        <v>0.66913375045938239</v>
      </c>
      <c r="E1025" s="101">
        <f t="shared" ca="1" si="62"/>
        <v>0</v>
      </c>
      <c r="F1025" s="21">
        <f t="shared" ca="1" si="63"/>
        <v>0</v>
      </c>
      <c r="H1025" s="21">
        <v>1010</v>
      </c>
      <c r="I1025" s="102">
        <v>0.66757333080724557</v>
      </c>
      <c r="J1025" s="103">
        <v>1.1771343725992037E-3</v>
      </c>
      <c r="K1025" s="103"/>
      <c r="L1025" s="103">
        <v>3.7199999999999997E-2</v>
      </c>
      <c r="O1025" s="100"/>
    </row>
    <row r="1026" spans="2:15" x14ac:dyDescent="0.2">
      <c r="B1026" s="1">
        <v>1011</v>
      </c>
      <c r="C1026" s="101">
        <f t="shared" ca="1" si="60"/>
        <v>1.8312417060006998</v>
      </c>
      <c r="D1026" s="101">
        <f t="shared" ca="1" si="61"/>
        <v>0.79605974993430284</v>
      </c>
      <c r="E1026" s="101">
        <f t="shared" ca="1" si="62"/>
        <v>7.8597499343028288E-3</v>
      </c>
      <c r="F1026" s="21">
        <f t="shared" ca="1" si="63"/>
        <v>1</v>
      </c>
      <c r="H1026" s="21">
        <v>1011</v>
      </c>
      <c r="I1026" s="102">
        <v>0.66780259283398291</v>
      </c>
      <c r="J1026" s="103">
        <v>1.50009740496374E-3</v>
      </c>
      <c r="K1026" s="103"/>
      <c r="L1026" s="103">
        <v>4.24E-2</v>
      </c>
      <c r="O1026" s="100"/>
    </row>
    <row r="1027" spans="2:15" x14ac:dyDescent="0.2">
      <c r="B1027" s="1">
        <v>1012</v>
      </c>
      <c r="C1027" s="101">
        <f t="shared" ca="1" si="60"/>
        <v>-0.68340125192155821</v>
      </c>
      <c r="D1027" s="101">
        <f t="shared" ca="1" si="61"/>
        <v>0.62118350070369133</v>
      </c>
      <c r="E1027" s="101">
        <f t="shared" ca="1" si="62"/>
        <v>0</v>
      </c>
      <c r="F1027" s="21">
        <f t="shared" ca="1" si="63"/>
        <v>0</v>
      </c>
      <c r="H1027" s="21">
        <v>1012</v>
      </c>
      <c r="I1027" s="102">
        <v>0.66783437581320026</v>
      </c>
      <c r="J1027" s="103">
        <v>1.507481599698631E-3</v>
      </c>
      <c r="K1027" s="103"/>
      <c r="L1027" s="103">
        <v>4.4400000000000002E-2</v>
      </c>
      <c r="O1027" s="100"/>
    </row>
    <row r="1028" spans="2:15" x14ac:dyDescent="0.2">
      <c r="B1028" s="1">
        <v>1013</v>
      </c>
      <c r="C1028" s="101">
        <f t="shared" ca="1" si="60"/>
        <v>-0.20894205807516744</v>
      </c>
      <c r="D1028" s="101">
        <f t="shared" ca="1" si="61"/>
        <v>0.65094673231750089</v>
      </c>
      <c r="E1028" s="101">
        <f t="shared" ca="1" si="62"/>
        <v>0</v>
      </c>
      <c r="F1028" s="21">
        <f t="shared" ca="1" si="63"/>
        <v>0</v>
      </c>
      <c r="H1028" s="21">
        <v>1013</v>
      </c>
      <c r="I1028" s="102">
        <v>0.6675444511550257</v>
      </c>
      <c r="J1028" s="103">
        <v>1.2211837509107715E-3</v>
      </c>
      <c r="K1028" s="103"/>
      <c r="L1028" s="103">
        <v>3.78E-2</v>
      </c>
      <c r="O1028" s="100"/>
    </row>
    <row r="1029" spans="2:15" x14ac:dyDescent="0.2">
      <c r="B1029" s="1">
        <v>1014</v>
      </c>
      <c r="C1029" s="101">
        <f t="shared" ca="1" si="60"/>
        <v>0.50316601477363154</v>
      </c>
      <c r="D1029" s="101">
        <f t="shared" ca="1" si="61"/>
        <v>0.69831556458658284</v>
      </c>
      <c r="E1029" s="101">
        <f t="shared" ca="1" si="62"/>
        <v>0</v>
      </c>
      <c r="F1029" s="21">
        <f t="shared" ca="1" si="63"/>
        <v>0</v>
      </c>
      <c r="H1029" s="21">
        <v>1014</v>
      </c>
      <c r="I1029" s="102">
        <v>0.66772799768248547</v>
      </c>
      <c r="J1029" s="103">
        <v>1.4137051083192896E-3</v>
      </c>
      <c r="K1029" s="103"/>
      <c r="L1029" s="103">
        <v>4.2599999999999999E-2</v>
      </c>
      <c r="O1029" s="100"/>
    </row>
    <row r="1030" spans="2:15" x14ac:dyDescent="0.2">
      <c r="B1030" s="1">
        <v>1015</v>
      </c>
      <c r="C1030" s="101">
        <f t="shared" ca="1" si="60"/>
        <v>-0.42341575567665585</v>
      </c>
      <c r="D1030" s="101">
        <f t="shared" ca="1" si="61"/>
        <v>0.63731997474172664</v>
      </c>
      <c r="E1030" s="101">
        <f t="shared" ca="1" si="62"/>
        <v>0</v>
      </c>
      <c r="F1030" s="21">
        <f t="shared" ca="1" si="63"/>
        <v>0</v>
      </c>
      <c r="H1030" s="21">
        <v>1015</v>
      </c>
      <c r="I1030" s="102">
        <v>0.66782557806202847</v>
      </c>
      <c r="J1030" s="103">
        <v>1.5478613662742542E-3</v>
      </c>
      <c r="K1030" s="103"/>
      <c r="L1030" s="103">
        <v>4.3400000000000001E-2</v>
      </c>
      <c r="O1030" s="100"/>
    </row>
    <row r="1031" spans="2:15" x14ac:dyDescent="0.2">
      <c r="B1031" s="1">
        <v>1016</v>
      </c>
      <c r="C1031" s="101">
        <f t="shared" ca="1" si="60"/>
        <v>-0.55112097648518488</v>
      </c>
      <c r="D1031" s="101">
        <f t="shared" ca="1" si="61"/>
        <v>0.62934200199722923</v>
      </c>
      <c r="E1031" s="101">
        <f t="shared" ca="1" si="62"/>
        <v>0</v>
      </c>
      <c r="F1031" s="21">
        <f t="shared" ca="1" si="63"/>
        <v>0</v>
      </c>
      <c r="H1031" s="21">
        <v>1016</v>
      </c>
      <c r="I1031" s="102">
        <v>0.66756493689335095</v>
      </c>
      <c r="J1031" s="103">
        <v>1.1072578482422171E-3</v>
      </c>
      <c r="K1031" s="103"/>
      <c r="L1031" s="103">
        <v>3.7199999999999997E-2</v>
      </c>
      <c r="O1031" s="100"/>
    </row>
    <row r="1032" spans="2:15" x14ac:dyDescent="0.2">
      <c r="B1032" s="1">
        <v>1017</v>
      </c>
      <c r="C1032" s="101">
        <f t="shared" ca="1" si="60"/>
        <v>-0.75417046453965308</v>
      </c>
      <c r="D1032" s="101">
        <f t="shared" ca="1" si="61"/>
        <v>0.61686226253679577</v>
      </c>
      <c r="E1032" s="101">
        <f t="shared" ca="1" si="62"/>
        <v>0</v>
      </c>
      <c r="F1032" s="21">
        <f t="shared" ca="1" si="63"/>
        <v>0</v>
      </c>
      <c r="H1032" s="21">
        <v>1017</v>
      </c>
      <c r="I1032" s="102">
        <v>0.66782619190359072</v>
      </c>
      <c r="J1032" s="103">
        <v>1.4267674315737798E-3</v>
      </c>
      <c r="K1032" s="103"/>
      <c r="L1032" s="103">
        <v>4.3799999999999999E-2</v>
      </c>
      <c r="O1032" s="100"/>
    </row>
    <row r="1033" spans="2:15" x14ac:dyDescent="0.2">
      <c r="B1033" s="1">
        <v>1018</v>
      </c>
      <c r="C1033" s="101">
        <f t="shared" ca="1" si="60"/>
        <v>0.57879858481259905</v>
      </c>
      <c r="D1033" s="101">
        <f t="shared" ca="1" si="61"/>
        <v>0.7035448279442218</v>
      </c>
      <c r="E1033" s="101">
        <f t="shared" ca="1" si="62"/>
        <v>0</v>
      </c>
      <c r="F1033" s="21">
        <f t="shared" ca="1" si="63"/>
        <v>0</v>
      </c>
      <c r="H1033" s="21">
        <v>1018</v>
      </c>
      <c r="I1033" s="102">
        <v>0.66775656525063087</v>
      </c>
      <c r="J1033" s="103">
        <v>1.5473530104169182E-3</v>
      </c>
      <c r="K1033" s="103"/>
      <c r="L1033" s="103">
        <v>4.2000000000000003E-2</v>
      </c>
      <c r="O1033" s="100"/>
    </row>
    <row r="1034" spans="2:15" x14ac:dyDescent="0.2">
      <c r="B1034" s="1">
        <v>1019</v>
      </c>
      <c r="C1034" s="101">
        <f t="shared" ca="1" si="60"/>
        <v>-1.4130604477863509</v>
      </c>
      <c r="D1034" s="101">
        <f t="shared" ca="1" si="61"/>
        <v>0.5780451501818632</v>
      </c>
      <c r="E1034" s="101">
        <f t="shared" ca="1" si="62"/>
        <v>0</v>
      </c>
      <c r="F1034" s="21">
        <f t="shared" ca="1" si="63"/>
        <v>0</v>
      </c>
      <c r="H1034" s="21">
        <v>1019</v>
      </c>
      <c r="I1034" s="102">
        <v>0.66778696164714069</v>
      </c>
      <c r="J1034" s="103">
        <v>1.3979927283370454E-3</v>
      </c>
      <c r="K1034" s="103"/>
      <c r="L1034" s="103">
        <v>4.2000000000000003E-2</v>
      </c>
      <c r="O1034" s="100"/>
    </row>
    <row r="1035" spans="2:15" x14ac:dyDescent="0.2">
      <c r="B1035" s="1">
        <v>1020</v>
      </c>
      <c r="C1035" s="101">
        <f t="shared" ca="1" si="60"/>
        <v>0.32047000628204042</v>
      </c>
      <c r="D1035" s="101">
        <f t="shared" ca="1" si="61"/>
        <v>0.68584367473920449</v>
      </c>
      <c r="E1035" s="101">
        <f t="shared" ca="1" si="62"/>
        <v>0</v>
      </c>
      <c r="F1035" s="21">
        <f t="shared" ca="1" si="63"/>
        <v>0</v>
      </c>
      <c r="H1035" s="21">
        <v>1020</v>
      </c>
      <c r="I1035" s="102">
        <v>0.66770599180249535</v>
      </c>
      <c r="J1035" s="103">
        <v>1.3148835283666046E-3</v>
      </c>
      <c r="K1035" s="103"/>
      <c r="L1035" s="103">
        <v>4.3400000000000001E-2</v>
      </c>
      <c r="O1035" s="100"/>
    </row>
    <row r="1036" spans="2:15" x14ac:dyDescent="0.2">
      <c r="B1036" s="1">
        <v>1021</v>
      </c>
      <c r="C1036" s="101">
        <f t="shared" ca="1" si="60"/>
        <v>0.25842558679971656</v>
      </c>
      <c r="D1036" s="101">
        <f t="shared" ca="1" si="61"/>
        <v>0.68165903120130933</v>
      </c>
      <c r="E1036" s="101">
        <f t="shared" ca="1" si="62"/>
        <v>0</v>
      </c>
      <c r="F1036" s="21">
        <f t="shared" ca="1" si="63"/>
        <v>0</v>
      </c>
      <c r="H1036" s="21">
        <v>1021</v>
      </c>
      <c r="I1036" s="102">
        <v>0.6676178404157318</v>
      </c>
      <c r="J1036" s="103">
        <v>1.2333524085407714E-3</v>
      </c>
      <c r="K1036" s="103"/>
      <c r="L1036" s="103">
        <v>4.1200000000000001E-2</v>
      </c>
      <c r="O1036" s="100"/>
    </row>
    <row r="1037" spans="2:15" x14ac:dyDescent="0.2">
      <c r="B1037" s="1">
        <v>1022</v>
      </c>
      <c r="C1037" s="101">
        <f t="shared" ca="1" si="60"/>
        <v>1.758047730808022</v>
      </c>
      <c r="D1037" s="101">
        <f t="shared" ca="1" si="61"/>
        <v>0.79033293627822698</v>
      </c>
      <c r="E1037" s="101">
        <f t="shared" ca="1" si="62"/>
        <v>2.1329362782269712E-3</v>
      </c>
      <c r="F1037" s="21">
        <f t="shared" ca="1" si="63"/>
        <v>1</v>
      </c>
      <c r="H1037" s="21">
        <v>1022</v>
      </c>
      <c r="I1037" s="102">
        <v>0.66767192954498067</v>
      </c>
      <c r="J1037" s="103">
        <v>1.3111983061454113E-3</v>
      </c>
      <c r="K1037" s="103"/>
      <c r="L1037" s="103">
        <v>4.1399999999999999E-2</v>
      </c>
      <c r="O1037" s="100"/>
    </row>
    <row r="1038" spans="2:15" x14ac:dyDescent="0.2">
      <c r="B1038" s="1">
        <v>1023</v>
      </c>
      <c r="C1038" s="101">
        <f t="shared" ca="1" si="60"/>
        <v>0.18373901411530696</v>
      </c>
      <c r="D1038" s="101">
        <f t="shared" ca="1" si="61"/>
        <v>0.67665557799088305</v>
      </c>
      <c r="E1038" s="101">
        <f t="shared" ca="1" si="62"/>
        <v>0</v>
      </c>
      <c r="F1038" s="21">
        <f t="shared" ca="1" si="63"/>
        <v>0</v>
      </c>
      <c r="H1038" s="21">
        <v>1023</v>
      </c>
      <c r="I1038" s="102">
        <v>0.6676286018147588</v>
      </c>
      <c r="J1038" s="103">
        <v>1.2596967353921708E-3</v>
      </c>
      <c r="K1038" s="103"/>
      <c r="L1038" s="103">
        <v>3.7600000000000001E-2</v>
      </c>
      <c r="O1038" s="100"/>
    </row>
    <row r="1039" spans="2:15" x14ac:dyDescent="0.2">
      <c r="B1039" s="1">
        <v>1024</v>
      </c>
      <c r="C1039" s="101">
        <f t="shared" ca="1" si="60"/>
        <v>0.28632693874622045</v>
      </c>
      <c r="D1039" s="101">
        <f t="shared" ca="1" si="61"/>
        <v>0.68353769521485919</v>
      </c>
      <c r="E1039" s="101">
        <f t="shared" ca="1" si="62"/>
        <v>0</v>
      </c>
      <c r="F1039" s="21">
        <f t="shared" ca="1" si="63"/>
        <v>0</v>
      </c>
      <c r="H1039" s="21">
        <v>1024</v>
      </c>
      <c r="I1039" s="102">
        <v>0.66770565405152793</v>
      </c>
      <c r="J1039" s="103">
        <v>1.4629713602881027E-3</v>
      </c>
      <c r="K1039" s="103"/>
      <c r="L1039" s="103">
        <v>4.0599999999999997E-2</v>
      </c>
      <c r="O1039" s="100"/>
    </row>
    <row r="1040" spans="2:15" x14ac:dyDescent="0.2">
      <c r="B1040" s="1">
        <v>1025</v>
      </c>
      <c r="C1040" s="101">
        <f t="shared" ref="C1040:C1103" ca="1" si="64">_xlfn.NORM.S.INV(RAND())</f>
        <v>0.78417305699761164</v>
      </c>
      <c r="D1040" s="101">
        <f t="shared" ref="D1040:D1103" ca="1" si="65">S0*EXP((μ-0.5*σ*σ)*T+σ*SQRT(T)*$C1040)</f>
        <v>0.71794287604189455</v>
      </c>
      <c r="E1040" s="101">
        <f t="shared" ref="E1040:E1103" ca="1" si="66">MAX(0,CP*(D1040-K))</f>
        <v>0</v>
      </c>
      <c r="F1040" s="21">
        <f t="shared" ref="F1040:F1103" ca="1" si="67">(CP*(D1040-K)&gt;0)*1</f>
        <v>0</v>
      </c>
      <c r="H1040" s="21">
        <v>1025</v>
      </c>
      <c r="I1040" s="102">
        <v>0.66770738159378507</v>
      </c>
      <c r="J1040" s="103">
        <v>1.311975267949832E-3</v>
      </c>
      <c r="K1040" s="103"/>
      <c r="L1040" s="103">
        <v>4.0399999999999998E-2</v>
      </c>
      <c r="O1040" s="100"/>
    </row>
    <row r="1041" spans="2:15" x14ac:dyDescent="0.2">
      <c r="B1041" s="1">
        <v>1026</v>
      </c>
      <c r="C1041" s="101">
        <f t="shared" ca="1" si="64"/>
        <v>0.96721211759192594</v>
      </c>
      <c r="D1041" s="101">
        <f t="shared" ca="1" si="65"/>
        <v>0.73102321832288375</v>
      </c>
      <c r="E1041" s="101">
        <f t="shared" ca="1" si="66"/>
        <v>0</v>
      </c>
      <c r="F1041" s="21">
        <f t="shared" ca="1" si="67"/>
        <v>0</v>
      </c>
      <c r="H1041" s="21">
        <v>1026</v>
      </c>
      <c r="I1041" s="102">
        <v>0.66775424919539894</v>
      </c>
      <c r="J1041" s="103">
        <v>1.3209097312929837E-3</v>
      </c>
      <c r="K1041" s="103"/>
      <c r="L1041" s="103">
        <v>4.3200000000000002E-2</v>
      </c>
      <c r="O1041" s="100"/>
    </row>
    <row r="1042" spans="2:15" x14ac:dyDescent="0.2">
      <c r="B1042" s="1">
        <v>1027</v>
      </c>
      <c r="C1042" s="101">
        <f t="shared" ca="1" si="64"/>
        <v>2.1977974915804444</v>
      </c>
      <c r="D1042" s="101">
        <f t="shared" ca="1" si="65"/>
        <v>0.82537001962054968</v>
      </c>
      <c r="E1042" s="101">
        <f t="shared" ca="1" si="66"/>
        <v>3.7170019620549666E-2</v>
      </c>
      <c r="F1042" s="21">
        <f t="shared" ca="1" si="67"/>
        <v>1</v>
      </c>
      <c r="H1042" s="21">
        <v>1027</v>
      </c>
      <c r="I1042" s="102">
        <v>0.66771013804748669</v>
      </c>
      <c r="J1042" s="103">
        <v>1.3475229589770198E-3</v>
      </c>
      <c r="K1042" s="103"/>
      <c r="L1042" s="103">
        <v>4.0599999999999997E-2</v>
      </c>
      <c r="O1042" s="100"/>
    </row>
    <row r="1043" spans="2:15" x14ac:dyDescent="0.2">
      <c r="B1043" s="1">
        <v>1028</v>
      </c>
      <c r="C1043" s="101">
        <f t="shared" ca="1" si="64"/>
        <v>-0.67915555303863917</v>
      </c>
      <c r="D1043" s="101">
        <f t="shared" ca="1" si="65"/>
        <v>0.62144370768642165</v>
      </c>
      <c r="E1043" s="101">
        <f t="shared" ca="1" si="66"/>
        <v>0</v>
      </c>
      <c r="F1043" s="21">
        <f t="shared" ca="1" si="67"/>
        <v>0</v>
      </c>
      <c r="H1043" s="21">
        <v>1028</v>
      </c>
      <c r="I1043" s="102">
        <v>0.66776551992653876</v>
      </c>
      <c r="J1043" s="103">
        <v>1.3134563671344909E-3</v>
      </c>
      <c r="K1043" s="103"/>
      <c r="L1043" s="103">
        <v>4.0399999999999998E-2</v>
      </c>
      <c r="O1043" s="100"/>
    </row>
    <row r="1044" spans="2:15" x14ac:dyDescent="0.2">
      <c r="B1044" s="1">
        <v>1029</v>
      </c>
      <c r="C1044" s="101">
        <f t="shared" ca="1" si="64"/>
        <v>1.0759708786938231</v>
      </c>
      <c r="D1044" s="101">
        <f t="shared" ca="1" si="65"/>
        <v>0.73890793305486613</v>
      </c>
      <c r="E1044" s="101">
        <f t="shared" ca="1" si="66"/>
        <v>0</v>
      </c>
      <c r="F1044" s="21">
        <f t="shared" ca="1" si="67"/>
        <v>0</v>
      </c>
      <c r="H1044" s="21">
        <v>1029</v>
      </c>
      <c r="I1044" s="102">
        <v>0.66777629541088157</v>
      </c>
      <c r="J1044" s="103">
        <v>1.4169558401192011E-3</v>
      </c>
      <c r="K1044" s="103"/>
      <c r="L1044" s="103">
        <v>4.1799999999999997E-2</v>
      </c>
      <c r="O1044" s="100"/>
    </row>
    <row r="1045" spans="2:15" x14ac:dyDescent="0.2">
      <c r="B1045" s="1">
        <v>1030</v>
      </c>
      <c r="C1045" s="101">
        <f t="shared" ca="1" si="64"/>
        <v>1.7098903576760944</v>
      </c>
      <c r="D1045" s="101">
        <f t="shared" ca="1" si="65"/>
        <v>0.78658751508861346</v>
      </c>
      <c r="E1045" s="101">
        <f t="shared" ca="1" si="66"/>
        <v>0</v>
      </c>
      <c r="F1045" s="21">
        <f t="shared" ca="1" si="67"/>
        <v>0</v>
      </c>
      <c r="H1045" s="21">
        <v>1030</v>
      </c>
      <c r="I1045" s="102">
        <v>0.66785345497705395</v>
      </c>
      <c r="J1045" s="103">
        <v>1.5575157310841533E-3</v>
      </c>
      <c r="K1045" s="103"/>
      <c r="L1045" s="103">
        <v>4.58E-2</v>
      </c>
      <c r="O1045" s="100"/>
    </row>
    <row r="1046" spans="2:15" x14ac:dyDescent="0.2">
      <c r="B1046" s="1">
        <v>1031</v>
      </c>
      <c r="C1046" s="101">
        <f t="shared" ca="1" si="64"/>
        <v>-0.45055780308191651</v>
      </c>
      <c r="D1046" s="101">
        <f t="shared" ca="1" si="65"/>
        <v>0.63561594256554144</v>
      </c>
      <c r="E1046" s="101">
        <f t="shared" ca="1" si="66"/>
        <v>0</v>
      </c>
      <c r="F1046" s="21">
        <f t="shared" ca="1" si="67"/>
        <v>0</v>
      </c>
      <c r="H1046" s="21">
        <v>1031</v>
      </c>
      <c r="I1046" s="102">
        <v>0.66781543257534759</v>
      </c>
      <c r="J1046" s="103">
        <v>1.3220129581138003E-3</v>
      </c>
      <c r="K1046" s="103"/>
      <c r="L1046" s="103">
        <v>3.9199999999999999E-2</v>
      </c>
      <c r="O1046" s="100"/>
    </row>
    <row r="1047" spans="2:15" x14ac:dyDescent="0.2">
      <c r="B1047" s="1">
        <v>1032</v>
      </c>
      <c r="C1047" s="101">
        <f t="shared" ca="1" si="64"/>
        <v>-0.51081777459922784</v>
      </c>
      <c r="D1047" s="101">
        <f t="shared" ca="1" si="65"/>
        <v>0.63184896968376114</v>
      </c>
      <c r="E1047" s="101">
        <f t="shared" ca="1" si="66"/>
        <v>0</v>
      </c>
      <c r="F1047" s="21">
        <f t="shared" ca="1" si="67"/>
        <v>0</v>
      </c>
      <c r="H1047" s="21">
        <v>1032</v>
      </c>
      <c r="I1047" s="102">
        <v>0.66776177299282091</v>
      </c>
      <c r="J1047" s="103">
        <v>1.3511937154627853E-3</v>
      </c>
      <c r="K1047" s="103"/>
      <c r="L1047" s="103">
        <v>4.0800000000000003E-2</v>
      </c>
      <c r="O1047" s="100"/>
    </row>
    <row r="1048" spans="2:15" x14ac:dyDescent="0.2">
      <c r="B1048" s="1">
        <v>1033</v>
      </c>
      <c r="C1048" s="101">
        <f t="shared" ca="1" si="64"/>
        <v>1.7747756422612015</v>
      </c>
      <c r="D1048" s="101">
        <f t="shared" ca="1" si="65"/>
        <v>0.79163811221634905</v>
      </c>
      <c r="E1048" s="101">
        <f t="shared" ca="1" si="66"/>
        <v>3.438112216349043E-3</v>
      </c>
      <c r="F1048" s="21">
        <f t="shared" ca="1" si="67"/>
        <v>1</v>
      </c>
      <c r="H1048" s="21">
        <v>1033</v>
      </c>
      <c r="I1048" s="102">
        <v>0.66788018566217877</v>
      </c>
      <c r="J1048" s="103">
        <v>1.4918957310077726E-3</v>
      </c>
      <c r="K1048" s="103"/>
      <c r="L1048" s="103">
        <v>4.6199999999999998E-2</v>
      </c>
      <c r="O1048" s="100"/>
    </row>
    <row r="1049" spans="2:15" x14ac:dyDescent="0.2">
      <c r="B1049" s="1">
        <v>1034</v>
      </c>
      <c r="C1049" s="101">
        <f t="shared" ca="1" si="64"/>
        <v>0.21485191071594026</v>
      </c>
      <c r="D1049" s="101">
        <f t="shared" ca="1" si="65"/>
        <v>0.67873543563977801</v>
      </c>
      <c r="E1049" s="101">
        <f t="shared" ca="1" si="66"/>
        <v>0</v>
      </c>
      <c r="F1049" s="21">
        <f t="shared" ca="1" si="67"/>
        <v>0</v>
      </c>
      <c r="H1049" s="21">
        <v>1034</v>
      </c>
      <c r="I1049" s="102">
        <v>0.66773170778045721</v>
      </c>
      <c r="J1049" s="103">
        <v>1.3519300959104021E-3</v>
      </c>
      <c r="K1049" s="103"/>
      <c r="L1049" s="103">
        <v>4.1200000000000001E-2</v>
      </c>
      <c r="O1049" s="100"/>
    </row>
    <row r="1050" spans="2:15" x14ac:dyDescent="0.2">
      <c r="B1050" s="1">
        <v>1035</v>
      </c>
      <c r="C1050" s="101">
        <f t="shared" ca="1" si="64"/>
        <v>-0.44742347406315214</v>
      </c>
      <c r="D1050" s="101">
        <f t="shared" ca="1" si="65"/>
        <v>0.63581248910602872</v>
      </c>
      <c r="E1050" s="101">
        <f t="shared" ca="1" si="66"/>
        <v>0</v>
      </c>
      <c r="F1050" s="21">
        <f t="shared" ca="1" si="67"/>
        <v>0</v>
      </c>
      <c r="H1050" s="21">
        <v>1035</v>
      </c>
      <c r="I1050" s="102">
        <v>0.66760887802226276</v>
      </c>
      <c r="J1050" s="103">
        <v>1.2541400485198955E-3</v>
      </c>
      <c r="K1050" s="103"/>
      <c r="L1050" s="103">
        <v>3.7400000000000003E-2</v>
      </c>
      <c r="O1050" s="100"/>
    </row>
    <row r="1051" spans="2:15" x14ac:dyDescent="0.2">
      <c r="B1051" s="1">
        <v>1036</v>
      </c>
      <c r="C1051" s="101">
        <f t="shared" ca="1" si="64"/>
        <v>1.2383118486764892</v>
      </c>
      <c r="D1051" s="101">
        <f t="shared" ca="1" si="65"/>
        <v>0.75083570426724489</v>
      </c>
      <c r="E1051" s="101">
        <f t="shared" ca="1" si="66"/>
        <v>0</v>
      </c>
      <c r="F1051" s="21">
        <f t="shared" ca="1" si="67"/>
        <v>0</v>
      </c>
      <c r="H1051" s="21">
        <v>1036</v>
      </c>
      <c r="I1051" s="102">
        <v>0.66779585405703901</v>
      </c>
      <c r="J1051" s="103">
        <v>1.4282584732505778E-3</v>
      </c>
      <c r="K1051" s="103"/>
      <c r="L1051" s="103">
        <v>3.9600000000000003E-2</v>
      </c>
      <c r="O1051" s="100"/>
    </row>
    <row r="1052" spans="2:15" x14ac:dyDescent="0.2">
      <c r="B1052" s="1">
        <v>1037</v>
      </c>
      <c r="C1052" s="101">
        <f t="shared" ca="1" si="64"/>
        <v>-0.11418404876881133</v>
      </c>
      <c r="D1052" s="101">
        <f t="shared" ca="1" si="65"/>
        <v>0.65705969224165373</v>
      </c>
      <c r="E1052" s="101">
        <f t="shared" ca="1" si="66"/>
        <v>0</v>
      </c>
      <c r="F1052" s="21">
        <f t="shared" ca="1" si="67"/>
        <v>0</v>
      </c>
      <c r="H1052" s="21">
        <v>1037</v>
      </c>
      <c r="I1052" s="102">
        <v>0.6677096536641558</v>
      </c>
      <c r="J1052" s="103">
        <v>1.232879382038038E-3</v>
      </c>
      <c r="K1052" s="103"/>
      <c r="L1052" s="103">
        <v>4.2000000000000003E-2</v>
      </c>
      <c r="O1052" s="100"/>
    </row>
    <row r="1053" spans="2:15" x14ac:dyDescent="0.2">
      <c r="B1053" s="1">
        <v>1038</v>
      </c>
      <c r="C1053" s="101">
        <f t="shared" ca="1" si="64"/>
        <v>9.1940290733628735E-2</v>
      </c>
      <c r="D1053" s="101">
        <f t="shared" ca="1" si="65"/>
        <v>0.67055601961666034</v>
      </c>
      <c r="E1053" s="101">
        <f t="shared" ca="1" si="66"/>
        <v>0</v>
      </c>
      <c r="F1053" s="21">
        <f t="shared" ca="1" si="67"/>
        <v>0</v>
      </c>
      <c r="H1053" s="21">
        <v>1038</v>
      </c>
      <c r="I1053" s="102">
        <v>0.66787712074459471</v>
      </c>
      <c r="J1053" s="103">
        <v>1.50258966283726E-3</v>
      </c>
      <c r="K1053" s="103"/>
      <c r="L1053" s="103">
        <v>4.6199999999999998E-2</v>
      </c>
      <c r="O1053" s="100"/>
    </row>
    <row r="1054" spans="2:15" x14ac:dyDescent="0.2">
      <c r="B1054" s="1">
        <v>1039</v>
      </c>
      <c r="C1054" s="101">
        <f t="shared" ca="1" si="64"/>
        <v>1.1856331738075914</v>
      </c>
      <c r="D1054" s="101">
        <f t="shared" ca="1" si="65"/>
        <v>0.74694426025584049</v>
      </c>
      <c r="E1054" s="101">
        <f t="shared" ca="1" si="66"/>
        <v>0</v>
      </c>
      <c r="F1054" s="21">
        <f t="shared" ca="1" si="67"/>
        <v>0</v>
      </c>
      <c r="H1054" s="21">
        <v>1039</v>
      </c>
      <c r="I1054" s="102">
        <v>0.66796357980316956</v>
      </c>
      <c r="J1054" s="103">
        <v>1.5051739078886732E-3</v>
      </c>
      <c r="K1054" s="103"/>
      <c r="L1054" s="103">
        <v>4.7399999999999998E-2</v>
      </c>
      <c r="O1054" s="100"/>
    </row>
    <row r="1055" spans="2:15" x14ac:dyDescent="0.2">
      <c r="B1055" s="1">
        <v>1040</v>
      </c>
      <c r="C1055" s="101">
        <f t="shared" ca="1" si="64"/>
        <v>0.10508585909832649</v>
      </c>
      <c r="D1055" s="101">
        <f t="shared" ca="1" si="65"/>
        <v>0.67142609110782792</v>
      </c>
      <c r="E1055" s="101">
        <f t="shared" ca="1" si="66"/>
        <v>0</v>
      </c>
      <c r="F1055" s="21">
        <f t="shared" ca="1" si="67"/>
        <v>0</v>
      </c>
      <c r="H1055" s="21">
        <v>1040</v>
      </c>
      <c r="I1055" s="102">
        <v>0.66770450779972668</v>
      </c>
      <c r="J1055" s="103">
        <v>1.1849445907777521E-3</v>
      </c>
      <c r="K1055" s="103"/>
      <c r="L1055" s="103">
        <v>3.7999999999999999E-2</v>
      </c>
      <c r="O1055" s="100"/>
    </row>
    <row r="1056" spans="2:15" x14ac:dyDescent="0.2">
      <c r="B1056" s="1">
        <v>1041</v>
      </c>
      <c r="C1056" s="101">
        <f t="shared" ca="1" si="64"/>
        <v>0.54888004209413233</v>
      </c>
      <c r="D1056" s="101">
        <f t="shared" ca="1" si="65"/>
        <v>0.70147158391668607</v>
      </c>
      <c r="E1056" s="101">
        <f t="shared" ca="1" si="66"/>
        <v>0</v>
      </c>
      <c r="F1056" s="21">
        <f t="shared" ca="1" si="67"/>
        <v>0</v>
      </c>
      <c r="H1056" s="21">
        <v>1041</v>
      </c>
      <c r="I1056" s="102">
        <v>0.66775650507239559</v>
      </c>
      <c r="J1056" s="103">
        <v>1.2949365285963713E-3</v>
      </c>
      <c r="K1056" s="103"/>
      <c r="L1056" s="103">
        <v>3.9399999999999998E-2</v>
      </c>
      <c r="O1056" s="100"/>
    </row>
    <row r="1057" spans="2:15" x14ac:dyDescent="0.2">
      <c r="B1057" s="1">
        <v>1042</v>
      </c>
      <c r="C1057" s="101">
        <f t="shared" ca="1" si="64"/>
        <v>-0.68681874290259426</v>
      </c>
      <c r="D1057" s="101">
        <f t="shared" ca="1" si="65"/>
        <v>0.62097413140895852</v>
      </c>
      <c r="E1057" s="101">
        <f t="shared" ca="1" si="66"/>
        <v>0</v>
      </c>
      <c r="F1057" s="21">
        <f t="shared" ca="1" si="67"/>
        <v>0</v>
      </c>
      <c r="H1057" s="21">
        <v>1042</v>
      </c>
      <c r="I1057" s="102">
        <v>0.66771085727694868</v>
      </c>
      <c r="J1057" s="103">
        <v>1.3440998009473088E-3</v>
      </c>
      <c r="K1057" s="103"/>
      <c r="L1057" s="103">
        <v>4.2200000000000001E-2</v>
      </c>
      <c r="O1057" s="100"/>
    </row>
    <row r="1058" spans="2:15" x14ac:dyDescent="0.2">
      <c r="B1058" s="1">
        <v>1043</v>
      </c>
      <c r="C1058" s="101">
        <f t="shared" ca="1" si="64"/>
        <v>1.2947318909090588</v>
      </c>
      <c r="D1058" s="101">
        <f t="shared" ca="1" si="65"/>
        <v>0.75502601553046911</v>
      </c>
      <c r="E1058" s="101">
        <f t="shared" ca="1" si="66"/>
        <v>0</v>
      </c>
      <c r="F1058" s="21">
        <f t="shared" ca="1" si="67"/>
        <v>0</v>
      </c>
      <c r="H1058" s="21">
        <v>1043</v>
      </c>
      <c r="I1058" s="102">
        <v>0.6677352902558823</v>
      </c>
      <c r="J1058" s="103">
        <v>1.2928082140524972E-3</v>
      </c>
      <c r="K1058" s="103"/>
      <c r="L1058" s="103">
        <v>4.2200000000000001E-2</v>
      </c>
      <c r="O1058" s="100"/>
    </row>
    <row r="1059" spans="2:15" x14ac:dyDescent="0.2">
      <c r="B1059" s="1">
        <v>1044</v>
      </c>
      <c r="C1059" s="101">
        <f t="shared" ca="1" si="64"/>
        <v>0.82823416822504869</v>
      </c>
      <c r="D1059" s="101">
        <f t="shared" ca="1" si="65"/>
        <v>0.72107002345513449</v>
      </c>
      <c r="E1059" s="101">
        <f t="shared" ca="1" si="66"/>
        <v>0</v>
      </c>
      <c r="F1059" s="21">
        <f t="shared" ca="1" si="67"/>
        <v>0</v>
      </c>
      <c r="H1059" s="21">
        <v>1044</v>
      </c>
      <c r="I1059" s="102">
        <v>0.66777753275771068</v>
      </c>
      <c r="J1059" s="103">
        <v>1.2995258266943648E-3</v>
      </c>
      <c r="K1059" s="103"/>
      <c r="L1059" s="103">
        <v>4.1599999999999998E-2</v>
      </c>
      <c r="O1059" s="100"/>
    </row>
    <row r="1060" spans="2:15" x14ac:dyDescent="0.2">
      <c r="B1060" s="1">
        <v>1045</v>
      </c>
      <c r="C1060" s="101">
        <f t="shared" ca="1" si="64"/>
        <v>1.7785184034447772</v>
      </c>
      <c r="D1060" s="101">
        <f t="shared" ca="1" si="65"/>
        <v>0.79193043178094635</v>
      </c>
      <c r="E1060" s="101">
        <f t="shared" ca="1" si="66"/>
        <v>3.7304317809463416E-3</v>
      </c>
      <c r="F1060" s="21">
        <f t="shared" ca="1" si="67"/>
        <v>1</v>
      </c>
      <c r="H1060" s="21">
        <v>1045</v>
      </c>
      <c r="I1060" s="102">
        <v>0.66766590645048041</v>
      </c>
      <c r="J1060" s="103">
        <v>1.2989677625314397E-3</v>
      </c>
      <c r="K1060" s="103"/>
      <c r="L1060" s="103">
        <v>3.8399999999999997E-2</v>
      </c>
      <c r="O1060" s="100"/>
    </row>
    <row r="1061" spans="2:15" x14ac:dyDescent="0.2">
      <c r="B1061" s="1">
        <v>1046</v>
      </c>
      <c r="C1061" s="101">
        <f t="shared" ca="1" si="64"/>
        <v>1.2260053910477355</v>
      </c>
      <c r="D1061" s="101">
        <f t="shared" ca="1" si="65"/>
        <v>0.74992479881015406</v>
      </c>
      <c r="E1061" s="101">
        <f t="shared" ca="1" si="66"/>
        <v>0</v>
      </c>
      <c r="F1061" s="21">
        <f t="shared" ca="1" si="67"/>
        <v>0</v>
      </c>
      <c r="H1061" s="21">
        <v>1046</v>
      </c>
      <c r="I1061" s="102">
        <v>0.66762255330437636</v>
      </c>
      <c r="J1061" s="103">
        <v>1.2363293208522764E-3</v>
      </c>
      <c r="K1061" s="103"/>
      <c r="L1061" s="103">
        <v>3.6400000000000002E-2</v>
      </c>
      <c r="O1061" s="100"/>
    </row>
    <row r="1062" spans="2:15" x14ac:dyDescent="0.2">
      <c r="B1062" s="1">
        <v>1047</v>
      </c>
      <c r="C1062" s="101">
        <f t="shared" ca="1" si="64"/>
        <v>-1.0540305198777569</v>
      </c>
      <c r="D1062" s="101">
        <f t="shared" ca="1" si="65"/>
        <v>0.59888354780295416</v>
      </c>
      <c r="E1062" s="101">
        <f t="shared" ca="1" si="66"/>
        <v>0</v>
      </c>
      <c r="F1062" s="21">
        <f t="shared" ca="1" si="67"/>
        <v>0</v>
      </c>
      <c r="H1062" s="21">
        <v>1047</v>
      </c>
      <c r="I1062" s="102">
        <v>0.66765185417403372</v>
      </c>
      <c r="J1062" s="103">
        <v>1.3850866977422615E-3</v>
      </c>
      <c r="K1062" s="103"/>
      <c r="L1062" s="103">
        <v>3.7999999999999999E-2</v>
      </c>
      <c r="O1062" s="100"/>
    </row>
    <row r="1063" spans="2:15" x14ac:dyDescent="0.2">
      <c r="B1063" s="1">
        <v>1048</v>
      </c>
      <c r="C1063" s="101">
        <f t="shared" ca="1" si="64"/>
        <v>-0.9404837486508516</v>
      </c>
      <c r="D1063" s="101">
        <f t="shared" ca="1" si="65"/>
        <v>0.60562899084389543</v>
      </c>
      <c r="E1063" s="101">
        <f t="shared" ca="1" si="66"/>
        <v>0</v>
      </c>
      <c r="F1063" s="21">
        <f t="shared" ca="1" si="67"/>
        <v>0</v>
      </c>
      <c r="H1063" s="21">
        <v>1048</v>
      </c>
      <c r="I1063" s="102">
        <v>0.66774636575556501</v>
      </c>
      <c r="J1063" s="103">
        <v>1.3508197152407155E-3</v>
      </c>
      <c r="K1063" s="103"/>
      <c r="L1063" s="103">
        <v>4.1200000000000001E-2</v>
      </c>
      <c r="O1063" s="100"/>
    </row>
    <row r="1064" spans="2:15" x14ac:dyDescent="0.2">
      <c r="B1064" s="1">
        <v>1049</v>
      </c>
      <c r="C1064" s="101">
        <f t="shared" ca="1" si="64"/>
        <v>0.37758049029930402</v>
      </c>
      <c r="D1064" s="101">
        <f t="shared" ca="1" si="65"/>
        <v>0.68971824679964955</v>
      </c>
      <c r="E1064" s="101">
        <f t="shared" ca="1" si="66"/>
        <v>0</v>
      </c>
      <c r="F1064" s="21">
        <f t="shared" ca="1" si="67"/>
        <v>0</v>
      </c>
      <c r="H1064" s="21">
        <v>1049</v>
      </c>
      <c r="I1064" s="102">
        <v>0.6678033202971102</v>
      </c>
      <c r="J1064" s="103">
        <v>1.3579748099742594E-3</v>
      </c>
      <c r="K1064" s="103"/>
      <c r="L1064" s="103">
        <v>0.04</v>
      </c>
      <c r="O1064" s="100"/>
    </row>
    <row r="1065" spans="2:15" x14ac:dyDescent="0.2">
      <c r="B1065" s="1">
        <v>1050</v>
      </c>
      <c r="C1065" s="101">
        <f t="shared" ca="1" si="64"/>
        <v>-0.36196194558998218</v>
      </c>
      <c r="D1065" s="101">
        <f t="shared" ca="1" si="65"/>
        <v>0.64119506864929865</v>
      </c>
      <c r="E1065" s="101">
        <f t="shared" ca="1" si="66"/>
        <v>0</v>
      </c>
      <c r="F1065" s="21">
        <f t="shared" ca="1" si="67"/>
        <v>0</v>
      </c>
      <c r="H1065" s="21">
        <v>1050</v>
      </c>
      <c r="I1065" s="102">
        <v>0.66778609731991478</v>
      </c>
      <c r="J1065" s="103">
        <v>1.4595080612615119E-3</v>
      </c>
      <c r="K1065" s="103"/>
      <c r="L1065" s="103">
        <v>4.4200000000000003E-2</v>
      </c>
      <c r="O1065" s="100"/>
    </row>
    <row r="1066" spans="2:15" x14ac:dyDescent="0.2">
      <c r="B1066" s="1">
        <v>1051</v>
      </c>
      <c r="C1066" s="101">
        <f t="shared" ca="1" si="64"/>
        <v>-0.15100168800016228</v>
      </c>
      <c r="D1066" s="101">
        <f t="shared" ca="1" si="65"/>
        <v>0.6546777497021512</v>
      </c>
      <c r="E1066" s="101">
        <f t="shared" ca="1" si="66"/>
        <v>0</v>
      </c>
      <c r="F1066" s="21">
        <f t="shared" ca="1" si="67"/>
        <v>0</v>
      </c>
      <c r="H1066" s="21">
        <v>1051</v>
      </c>
      <c r="I1066" s="102">
        <v>0.6676589720865671</v>
      </c>
      <c r="J1066" s="103">
        <v>1.2927502861104657E-3</v>
      </c>
      <c r="K1066" s="103"/>
      <c r="L1066" s="103">
        <v>3.6799999999999999E-2</v>
      </c>
      <c r="O1066" s="100"/>
    </row>
    <row r="1067" spans="2:15" x14ac:dyDescent="0.2">
      <c r="B1067" s="1">
        <v>1052</v>
      </c>
      <c r="C1067" s="101">
        <f t="shared" ca="1" si="64"/>
        <v>-0.13574189617454596</v>
      </c>
      <c r="D1067" s="101">
        <f t="shared" ca="1" si="65"/>
        <v>0.65566394287492324</v>
      </c>
      <c r="E1067" s="101">
        <f t="shared" ca="1" si="66"/>
        <v>0</v>
      </c>
      <c r="F1067" s="21">
        <f t="shared" ca="1" si="67"/>
        <v>0</v>
      </c>
      <c r="H1067" s="21">
        <v>1052</v>
      </c>
      <c r="I1067" s="102">
        <v>0.66767775828056097</v>
      </c>
      <c r="J1067" s="103">
        <v>1.1567845929379378E-3</v>
      </c>
      <c r="K1067" s="103"/>
      <c r="L1067" s="103">
        <v>3.6600000000000001E-2</v>
      </c>
      <c r="O1067" s="100"/>
    </row>
    <row r="1068" spans="2:15" x14ac:dyDescent="0.2">
      <c r="B1068" s="1">
        <v>1053</v>
      </c>
      <c r="C1068" s="101">
        <f t="shared" ca="1" si="64"/>
        <v>-0.50161373291931899</v>
      </c>
      <c r="D1068" s="101">
        <f t="shared" ca="1" si="65"/>
        <v>0.63242288514087053</v>
      </c>
      <c r="E1068" s="101">
        <f t="shared" ca="1" si="66"/>
        <v>0</v>
      </c>
      <c r="F1068" s="21">
        <f t="shared" ca="1" si="67"/>
        <v>0</v>
      </c>
      <c r="H1068" s="21">
        <v>1053</v>
      </c>
      <c r="I1068" s="102">
        <v>0.6677180610111646</v>
      </c>
      <c r="J1068" s="103">
        <v>1.2721727218242742E-3</v>
      </c>
      <c r="K1068" s="103"/>
      <c r="L1068" s="103">
        <v>4.3400000000000001E-2</v>
      </c>
      <c r="O1068" s="100"/>
    </row>
    <row r="1069" spans="2:15" x14ac:dyDescent="0.2">
      <c r="B1069" s="1">
        <v>1054</v>
      </c>
      <c r="C1069" s="101">
        <f t="shared" ca="1" si="64"/>
        <v>0.89375464406199945</v>
      </c>
      <c r="D1069" s="101">
        <f t="shared" ca="1" si="65"/>
        <v>0.72574541049909935</v>
      </c>
      <c r="E1069" s="101">
        <f t="shared" ca="1" si="66"/>
        <v>0</v>
      </c>
      <c r="F1069" s="21">
        <f t="shared" ca="1" si="67"/>
        <v>0</v>
      </c>
      <c r="H1069" s="21">
        <v>1054</v>
      </c>
      <c r="I1069" s="102">
        <v>0.66786387543431869</v>
      </c>
      <c r="J1069" s="103">
        <v>1.5633544809145374E-3</v>
      </c>
      <c r="K1069" s="103"/>
      <c r="L1069" s="103">
        <v>4.7E-2</v>
      </c>
      <c r="O1069" s="100"/>
    </row>
    <row r="1070" spans="2:15" x14ac:dyDescent="0.2">
      <c r="B1070" s="1">
        <v>1055</v>
      </c>
      <c r="C1070" s="101">
        <f t="shared" ca="1" si="64"/>
        <v>1.4442265736550057</v>
      </c>
      <c r="D1070" s="101">
        <f t="shared" ca="1" si="65"/>
        <v>0.76624239329184107</v>
      </c>
      <c r="E1070" s="101">
        <f t="shared" ca="1" si="66"/>
        <v>0</v>
      </c>
      <c r="F1070" s="21">
        <f t="shared" ca="1" si="67"/>
        <v>0</v>
      </c>
      <c r="H1070" s="21">
        <v>1055</v>
      </c>
      <c r="I1070" s="102">
        <v>0.66769176245601647</v>
      </c>
      <c r="J1070" s="103">
        <v>1.3596112334920423E-3</v>
      </c>
      <c r="K1070" s="103"/>
      <c r="L1070" s="103">
        <v>3.8800000000000001E-2</v>
      </c>
      <c r="O1070" s="100"/>
    </row>
    <row r="1071" spans="2:15" x14ac:dyDescent="0.2">
      <c r="B1071" s="1">
        <v>1056</v>
      </c>
      <c r="C1071" s="101">
        <f t="shared" ca="1" si="64"/>
        <v>-8.5146686177350384E-2</v>
      </c>
      <c r="D1071" s="101">
        <f t="shared" ca="1" si="65"/>
        <v>0.65894439564190221</v>
      </c>
      <c r="E1071" s="101">
        <f t="shared" ca="1" si="66"/>
        <v>0</v>
      </c>
      <c r="F1071" s="21">
        <f t="shared" ca="1" si="67"/>
        <v>0</v>
      </c>
      <c r="H1071" s="21">
        <v>1056</v>
      </c>
      <c r="I1071" s="102">
        <v>0.66775046558217788</v>
      </c>
      <c r="J1071" s="103">
        <v>1.2180489526411942E-3</v>
      </c>
      <c r="K1071" s="103"/>
      <c r="L1071" s="103">
        <v>3.9E-2</v>
      </c>
      <c r="O1071" s="100"/>
    </row>
    <row r="1072" spans="2:15" x14ac:dyDescent="0.2">
      <c r="B1072" s="1">
        <v>1057</v>
      </c>
      <c r="C1072" s="101">
        <f t="shared" ca="1" si="64"/>
        <v>-0.44249869836190386</v>
      </c>
      <c r="D1072" s="101">
        <f t="shared" ca="1" si="65"/>
        <v>0.63612143320324854</v>
      </c>
      <c r="E1072" s="101">
        <f t="shared" ca="1" si="66"/>
        <v>0</v>
      </c>
      <c r="F1072" s="21">
        <f t="shared" ca="1" si="67"/>
        <v>0</v>
      </c>
      <c r="H1072" s="21">
        <v>1057</v>
      </c>
      <c r="I1072" s="102">
        <v>0.66785074218000406</v>
      </c>
      <c r="J1072" s="103">
        <v>1.4538897827996466E-3</v>
      </c>
      <c r="K1072" s="103"/>
      <c r="L1072" s="103">
        <v>4.6600000000000003E-2</v>
      </c>
      <c r="O1072" s="100"/>
    </row>
    <row r="1073" spans="2:15" x14ac:dyDescent="0.2">
      <c r="B1073" s="1">
        <v>1058</v>
      </c>
      <c r="C1073" s="101">
        <f t="shared" ca="1" si="64"/>
        <v>-2.8113236707651876</v>
      </c>
      <c r="D1073" s="101">
        <f t="shared" ca="1" si="65"/>
        <v>0.5035713660516572</v>
      </c>
      <c r="E1073" s="101">
        <f t="shared" ca="1" si="66"/>
        <v>0</v>
      </c>
      <c r="F1073" s="21">
        <f t="shared" ca="1" si="67"/>
        <v>0</v>
      </c>
      <c r="H1073" s="21">
        <v>1058</v>
      </c>
      <c r="I1073" s="102">
        <v>0.66771265368878252</v>
      </c>
      <c r="J1073" s="103">
        <v>1.324241832214203E-3</v>
      </c>
      <c r="K1073" s="103"/>
      <c r="L1073" s="103">
        <v>4.36E-2</v>
      </c>
      <c r="O1073" s="100"/>
    </row>
    <row r="1074" spans="2:15" x14ac:dyDescent="0.2">
      <c r="B1074" s="1">
        <v>1059</v>
      </c>
      <c r="C1074" s="101">
        <f t="shared" ca="1" si="64"/>
        <v>5.3320934379996583E-2</v>
      </c>
      <c r="D1074" s="101">
        <f t="shared" ca="1" si="65"/>
        <v>0.66800641964594232</v>
      </c>
      <c r="E1074" s="101">
        <f t="shared" ca="1" si="66"/>
        <v>0</v>
      </c>
      <c r="F1074" s="21">
        <f t="shared" ca="1" si="67"/>
        <v>0</v>
      </c>
      <c r="H1074" s="21">
        <v>1059</v>
      </c>
      <c r="I1074" s="102">
        <v>0.66765701021992263</v>
      </c>
      <c r="J1074" s="103">
        <v>1.311969356388228E-3</v>
      </c>
      <c r="K1074" s="103"/>
      <c r="L1074" s="103">
        <v>3.9199999999999999E-2</v>
      </c>
      <c r="O1074" s="100"/>
    </row>
    <row r="1075" spans="2:15" x14ac:dyDescent="0.2">
      <c r="B1075" s="1">
        <v>1060</v>
      </c>
      <c r="C1075" s="101">
        <f t="shared" ca="1" si="64"/>
        <v>7.5109421871774079E-2</v>
      </c>
      <c r="D1075" s="101">
        <f t="shared" ca="1" si="65"/>
        <v>0.66944367325083165</v>
      </c>
      <c r="E1075" s="101">
        <f t="shared" ca="1" si="66"/>
        <v>0</v>
      </c>
      <c r="F1075" s="21">
        <f t="shared" ca="1" si="67"/>
        <v>0</v>
      </c>
      <c r="H1075" s="21">
        <v>1060</v>
      </c>
      <c r="I1075" s="102">
        <v>0.66779642951536322</v>
      </c>
      <c r="J1075" s="103">
        <v>1.3180440679980807E-3</v>
      </c>
      <c r="K1075" s="103"/>
      <c r="L1075" s="103">
        <v>4.5600000000000002E-2</v>
      </c>
      <c r="O1075" s="100"/>
    </row>
    <row r="1076" spans="2:15" x14ac:dyDescent="0.2">
      <c r="B1076" s="1">
        <v>1061</v>
      </c>
      <c r="C1076" s="101">
        <f t="shared" ca="1" si="64"/>
        <v>-0.78185306026156476</v>
      </c>
      <c r="D1076" s="101">
        <f t="shared" ca="1" si="65"/>
        <v>0.61518012657447607</v>
      </c>
      <c r="E1076" s="101">
        <f t="shared" ca="1" si="66"/>
        <v>0</v>
      </c>
      <c r="F1076" s="21">
        <f t="shared" ca="1" si="67"/>
        <v>0</v>
      </c>
      <c r="H1076" s="21">
        <v>1061</v>
      </c>
      <c r="I1076" s="102">
        <v>0.66769696323925876</v>
      </c>
      <c r="J1076" s="103">
        <v>1.3013523787205944E-3</v>
      </c>
      <c r="K1076" s="103"/>
      <c r="L1076" s="103">
        <v>4.24E-2</v>
      </c>
      <c r="O1076" s="100"/>
    </row>
    <row r="1077" spans="2:15" x14ac:dyDescent="0.2">
      <c r="B1077" s="1">
        <v>1062</v>
      </c>
      <c r="C1077" s="101">
        <f t="shared" ca="1" si="64"/>
        <v>-0.78433790487401167</v>
      </c>
      <c r="D1077" s="101">
        <f t="shared" ca="1" si="65"/>
        <v>0.61502935925622571</v>
      </c>
      <c r="E1077" s="101">
        <f t="shared" ca="1" si="66"/>
        <v>0</v>
      </c>
      <c r="F1077" s="21">
        <f t="shared" ca="1" si="67"/>
        <v>0</v>
      </c>
      <c r="H1077" s="21">
        <v>1062</v>
      </c>
      <c r="I1077" s="102">
        <v>0.6674788905896949</v>
      </c>
      <c r="J1077" s="103">
        <v>1.1115166351758324E-3</v>
      </c>
      <c r="K1077" s="103"/>
      <c r="L1077" s="103">
        <v>3.5400000000000001E-2</v>
      </c>
      <c r="O1077" s="100"/>
    </row>
    <row r="1078" spans="2:15" x14ac:dyDescent="0.2">
      <c r="B1078" s="1">
        <v>1063</v>
      </c>
      <c r="C1078" s="101">
        <f t="shared" ca="1" si="64"/>
        <v>-0.55330117917674271</v>
      </c>
      <c r="D1078" s="101">
        <f t="shared" ca="1" si="65"/>
        <v>0.62920667146462439</v>
      </c>
      <c r="E1078" s="101">
        <f t="shared" ca="1" si="66"/>
        <v>0</v>
      </c>
      <c r="F1078" s="21">
        <f t="shared" ca="1" si="67"/>
        <v>0</v>
      </c>
      <c r="H1078" s="21">
        <v>1063</v>
      </c>
      <c r="I1078" s="102">
        <v>0.6677584212221479</v>
      </c>
      <c r="J1078" s="103">
        <v>1.3825430340105602E-3</v>
      </c>
      <c r="K1078" s="103"/>
      <c r="L1078" s="103">
        <v>3.8800000000000001E-2</v>
      </c>
      <c r="O1078" s="100"/>
    </row>
    <row r="1079" spans="2:15" x14ac:dyDescent="0.2">
      <c r="B1079" s="1">
        <v>1064</v>
      </c>
      <c r="C1079" s="101">
        <f t="shared" ca="1" si="64"/>
        <v>-1.3966665488804528</v>
      </c>
      <c r="D1079" s="101">
        <f t="shared" ca="1" si="65"/>
        <v>0.57898067241825946</v>
      </c>
      <c r="E1079" s="101">
        <f t="shared" ca="1" si="66"/>
        <v>0</v>
      </c>
      <c r="F1079" s="21">
        <f t="shared" ca="1" si="67"/>
        <v>0</v>
      </c>
      <c r="H1079" s="21">
        <v>1064</v>
      </c>
      <c r="I1079" s="102">
        <v>0.66761676038608808</v>
      </c>
      <c r="J1079" s="103">
        <v>1.2986705596221004E-3</v>
      </c>
      <c r="K1079" s="103"/>
      <c r="L1079" s="103">
        <v>4.2799999999999998E-2</v>
      </c>
      <c r="O1079" s="100"/>
    </row>
    <row r="1080" spans="2:15" x14ac:dyDescent="0.2">
      <c r="B1080" s="1">
        <v>1065</v>
      </c>
      <c r="C1080" s="101">
        <f t="shared" ca="1" si="64"/>
        <v>-0.33743257204092075</v>
      </c>
      <c r="D1080" s="101">
        <f t="shared" ca="1" si="65"/>
        <v>0.64274838905952103</v>
      </c>
      <c r="E1080" s="101">
        <f t="shared" ca="1" si="66"/>
        <v>0</v>
      </c>
      <c r="F1080" s="21">
        <f t="shared" ca="1" si="67"/>
        <v>0</v>
      </c>
      <c r="H1080" s="21">
        <v>1065</v>
      </c>
      <c r="I1080" s="102">
        <v>0.66763178009876267</v>
      </c>
      <c r="J1080" s="103">
        <v>1.2939334996654661E-3</v>
      </c>
      <c r="K1080" s="103"/>
      <c r="L1080" s="103">
        <v>3.6400000000000002E-2</v>
      </c>
      <c r="O1080" s="100"/>
    </row>
    <row r="1081" spans="2:15" x14ac:dyDescent="0.2">
      <c r="B1081" s="1">
        <v>1066</v>
      </c>
      <c r="C1081" s="101">
        <f t="shared" ca="1" si="64"/>
        <v>0.47783646921022543</v>
      </c>
      <c r="D1081" s="101">
        <f t="shared" ca="1" si="65"/>
        <v>0.69657297312070587</v>
      </c>
      <c r="E1081" s="101">
        <f t="shared" ca="1" si="66"/>
        <v>0</v>
      </c>
      <c r="F1081" s="21">
        <f t="shared" ca="1" si="67"/>
        <v>0</v>
      </c>
      <c r="H1081" s="21">
        <v>1066</v>
      </c>
      <c r="I1081" s="102">
        <v>0.6677955983721372</v>
      </c>
      <c r="J1081" s="103">
        <v>1.3736202110486899E-3</v>
      </c>
      <c r="K1081" s="103"/>
      <c r="L1081" s="103">
        <v>4.48E-2</v>
      </c>
      <c r="O1081" s="100"/>
    </row>
    <row r="1082" spans="2:15" x14ac:dyDescent="0.2">
      <c r="B1082" s="1">
        <v>1067</v>
      </c>
      <c r="C1082" s="101">
        <f t="shared" ca="1" si="64"/>
        <v>0.33186018557251362</v>
      </c>
      <c r="D1082" s="101">
        <f t="shared" ca="1" si="65"/>
        <v>0.68661468222658351</v>
      </c>
      <c r="E1082" s="101">
        <f t="shared" ca="1" si="66"/>
        <v>0</v>
      </c>
      <c r="F1082" s="21">
        <f t="shared" ca="1" si="67"/>
        <v>0</v>
      </c>
      <c r="H1082" s="21">
        <v>1067</v>
      </c>
      <c r="I1082" s="102">
        <v>0.66779172285254251</v>
      </c>
      <c r="J1082" s="103">
        <v>1.4219235207987555E-3</v>
      </c>
      <c r="K1082" s="103"/>
      <c r="L1082" s="103">
        <v>4.4200000000000003E-2</v>
      </c>
      <c r="O1082" s="100"/>
    </row>
    <row r="1083" spans="2:15" x14ac:dyDescent="0.2">
      <c r="B1083" s="1">
        <v>1068</v>
      </c>
      <c r="C1083" s="101">
        <f t="shared" ca="1" si="64"/>
        <v>-0.73131867551582097</v>
      </c>
      <c r="D1083" s="101">
        <f t="shared" ca="1" si="65"/>
        <v>0.61825431909013928</v>
      </c>
      <c r="E1083" s="101">
        <f t="shared" ca="1" si="66"/>
        <v>0</v>
      </c>
      <c r="F1083" s="21">
        <f t="shared" ca="1" si="67"/>
        <v>0</v>
      </c>
      <c r="H1083" s="21">
        <v>1068</v>
      </c>
      <c r="I1083" s="102">
        <v>0.6676363347609483</v>
      </c>
      <c r="J1083" s="103">
        <v>1.3662940801589037E-3</v>
      </c>
      <c r="K1083" s="103"/>
      <c r="L1083" s="103">
        <v>3.7400000000000003E-2</v>
      </c>
      <c r="O1083" s="100"/>
    </row>
    <row r="1084" spans="2:15" x14ac:dyDescent="0.2">
      <c r="B1084" s="1">
        <v>1069</v>
      </c>
      <c r="C1084" s="101">
        <f t="shared" ca="1" si="64"/>
        <v>1.8090318103936507</v>
      </c>
      <c r="D1084" s="101">
        <f t="shared" ca="1" si="65"/>
        <v>0.79431764046459041</v>
      </c>
      <c r="E1084" s="101">
        <f t="shared" ca="1" si="66"/>
        <v>6.1176404645904015E-3</v>
      </c>
      <c r="F1084" s="21">
        <f t="shared" ca="1" si="67"/>
        <v>1</v>
      </c>
      <c r="H1084" s="21">
        <v>1069</v>
      </c>
      <c r="I1084" s="102">
        <v>0.66759552498051078</v>
      </c>
      <c r="J1084" s="103">
        <v>1.1713359721590524E-3</v>
      </c>
      <c r="K1084" s="103"/>
      <c r="L1084" s="103">
        <v>3.8199999999999998E-2</v>
      </c>
      <c r="O1084" s="100"/>
    </row>
    <row r="1085" spans="2:15" x14ac:dyDescent="0.2">
      <c r="B1085" s="1">
        <v>1070</v>
      </c>
      <c r="C1085" s="101">
        <f t="shared" ca="1" si="64"/>
        <v>0.72852638336456543</v>
      </c>
      <c r="D1085" s="101">
        <f t="shared" ca="1" si="65"/>
        <v>0.7140128393003623</v>
      </c>
      <c r="E1085" s="101">
        <f t="shared" ca="1" si="66"/>
        <v>0</v>
      </c>
      <c r="F1085" s="21">
        <f t="shared" ca="1" si="67"/>
        <v>0</v>
      </c>
      <c r="H1085" s="21">
        <v>1070</v>
      </c>
      <c r="I1085" s="102">
        <v>0.66784077398748953</v>
      </c>
      <c r="J1085" s="103">
        <v>1.5079716063095944E-3</v>
      </c>
      <c r="K1085" s="103"/>
      <c r="L1085" s="103">
        <v>4.2000000000000003E-2</v>
      </c>
      <c r="O1085" s="100"/>
    </row>
    <row r="1086" spans="2:15" x14ac:dyDescent="0.2">
      <c r="B1086" s="1">
        <v>1071</v>
      </c>
      <c r="C1086" s="101">
        <f t="shared" ca="1" si="64"/>
        <v>-0.11889381030091592</v>
      </c>
      <c r="D1086" s="101">
        <f t="shared" ca="1" si="65"/>
        <v>0.65675450823737491</v>
      </c>
      <c r="E1086" s="101">
        <f t="shared" ca="1" si="66"/>
        <v>0</v>
      </c>
      <c r="F1086" s="21">
        <f t="shared" ca="1" si="67"/>
        <v>0</v>
      </c>
      <c r="H1086" s="21">
        <v>1071</v>
      </c>
      <c r="I1086" s="102">
        <v>0.66787985394176719</v>
      </c>
      <c r="J1086" s="103">
        <v>1.6150652000383797E-3</v>
      </c>
      <c r="K1086" s="103"/>
      <c r="L1086" s="103">
        <v>4.1799999999999997E-2</v>
      </c>
      <c r="O1086" s="100"/>
    </row>
    <row r="1087" spans="2:15" x14ac:dyDescent="0.2">
      <c r="B1087" s="1">
        <v>1072</v>
      </c>
      <c r="C1087" s="101">
        <f t="shared" ca="1" si="64"/>
        <v>0.28282479939262967</v>
      </c>
      <c r="D1087" s="101">
        <f t="shared" ca="1" si="65"/>
        <v>0.68330160402503815</v>
      </c>
      <c r="E1087" s="101">
        <f t="shared" ca="1" si="66"/>
        <v>0</v>
      </c>
      <c r="F1087" s="21">
        <f t="shared" ca="1" si="67"/>
        <v>0</v>
      </c>
      <c r="H1087" s="21">
        <v>1072</v>
      </c>
      <c r="I1087" s="102">
        <v>0.66767346003976147</v>
      </c>
      <c r="J1087" s="103">
        <v>1.3124818392051755E-3</v>
      </c>
      <c r="K1087" s="103"/>
      <c r="L1087" s="103">
        <v>4.0800000000000003E-2</v>
      </c>
      <c r="O1087" s="100"/>
    </row>
    <row r="1088" spans="2:15" x14ac:dyDescent="0.2">
      <c r="B1088" s="1">
        <v>1073</v>
      </c>
      <c r="C1088" s="101">
        <f t="shared" ca="1" si="64"/>
        <v>-1.4320473237270186</v>
      </c>
      <c r="D1088" s="101">
        <f t="shared" ca="1" si="65"/>
        <v>0.57696354802250216</v>
      </c>
      <c r="E1088" s="101">
        <f t="shared" ca="1" si="66"/>
        <v>0</v>
      </c>
      <c r="F1088" s="21">
        <f t="shared" ca="1" si="67"/>
        <v>0</v>
      </c>
      <c r="H1088" s="21">
        <v>1073</v>
      </c>
      <c r="I1088" s="102">
        <v>0.6679347246436812</v>
      </c>
      <c r="J1088" s="103">
        <v>1.5573693319073285E-3</v>
      </c>
      <c r="K1088" s="103"/>
      <c r="L1088" s="103">
        <v>4.5400000000000003E-2</v>
      </c>
      <c r="O1088" s="100"/>
    </row>
    <row r="1089" spans="2:15" x14ac:dyDescent="0.2">
      <c r="B1089" s="1">
        <v>1074</v>
      </c>
      <c r="C1089" s="101">
        <f t="shared" ca="1" si="64"/>
        <v>0.14420863971020587</v>
      </c>
      <c r="D1089" s="101">
        <f t="shared" ca="1" si="65"/>
        <v>0.67402221309838983</v>
      </c>
      <c r="E1089" s="101">
        <f t="shared" ca="1" si="66"/>
        <v>0</v>
      </c>
      <c r="F1089" s="21">
        <f t="shared" ca="1" si="67"/>
        <v>0</v>
      </c>
      <c r="H1089" s="21">
        <v>1074</v>
      </c>
      <c r="I1089" s="102">
        <v>0.6678728904396366</v>
      </c>
      <c r="J1089" s="103">
        <v>1.5019160271631611E-3</v>
      </c>
      <c r="K1089" s="103"/>
      <c r="L1089" s="103">
        <v>4.5400000000000003E-2</v>
      </c>
      <c r="O1089" s="100"/>
    </row>
    <row r="1090" spans="2:15" x14ac:dyDescent="0.2">
      <c r="B1090" s="1">
        <v>1075</v>
      </c>
      <c r="C1090" s="101">
        <f t="shared" ca="1" si="64"/>
        <v>0.10193643583031978</v>
      </c>
      <c r="D1090" s="101">
        <f t="shared" ca="1" si="65"/>
        <v>0.67121753606855972</v>
      </c>
      <c r="E1090" s="101">
        <f t="shared" ca="1" si="66"/>
        <v>0</v>
      </c>
      <c r="F1090" s="21">
        <f t="shared" ca="1" si="67"/>
        <v>0</v>
      </c>
      <c r="H1090" s="21">
        <v>1075</v>
      </c>
      <c r="I1090" s="102">
        <v>0.66775085730051864</v>
      </c>
      <c r="J1090" s="103">
        <v>1.4615810833321829E-3</v>
      </c>
      <c r="K1090" s="103"/>
      <c r="L1090" s="103">
        <v>4.2200000000000001E-2</v>
      </c>
      <c r="O1090" s="100"/>
    </row>
    <row r="1091" spans="2:15" x14ac:dyDescent="0.2">
      <c r="B1091" s="1">
        <v>1076</v>
      </c>
      <c r="C1091" s="101">
        <f t="shared" ca="1" si="64"/>
        <v>-1.3579217031428577</v>
      </c>
      <c r="D1091" s="101">
        <f t="shared" ca="1" si="65"/>
        <v>0.58119767944720879</v>
      </c>
      <c r="E1091" s="101">
        <f t="shared" ca="1" si="66"/>
        <v>0</v>
      </c>
      <c r="F1091" s="21">
        <f t="shared" ca="1" si="67"/>
        <v>0</v>
      </c>
      <c r="H1091" s="21">
        <v>1076</v>
      </c>
      <c r="I1091" s="102">
        <v>0.66763336423332487</v>
      </c>
      <c r="J1091" s="103">
        <v>1.263309310110044E-3</v>
      </c>
      <c r="K1091" s="103"/>
      <c r="L1091" s="103">
        <v>3.9199999999999999E-2</v>
      </c>
      <c r="O1091" s="100"/>
    </row>
    <row r="1092" spans="2:15" x14ac:dyDescent="0.2">
      <c r="B1092" s="1">
        <v>1077</v>
      </c>
      <c r="C1092" s="101">
        <f t="shared" ca="1" si="64"/>
        <v>-1.3895673844541268</v>
      </c>
      <c r="D1092" s="101">
        <f t="shared" ca="1" si="65"/>
        <v>0.57938625778067154</v>
      </c>
      <c r="E1092" s="101">
        <f t="shared" ca="1" si="66"/>
        <v>0</v>
      </c>
      <c r="F1092" s="21">
        <f t="shared" ca="1" si="67"/>
        <v>0</v>
      </c>
      <c r="H1092" s="21">
        <v>1077</v>
      </c>
      <c r="I1092" s="102">
        <v>0.6677417669435971</v>
      </c>
      <c r="J1092" s="103">
        <v>1.2440405469918937E-3</v>
      </c>
      <c r="K1092" s="103"/>
      <c r="L1092" s="103">
        <v>4.0800000000000003E-2</v>
      </c>
      <c r="O1092" s="100"/>
    </row>
    <row r="1093" spans="2:15" x14ac:dyDescent="0.2">
      <c r="B1093" s="1">
        <v>1078</v>
      </c>
      <c r="C1093" s="101">
        <f t="shared" ca="1" si="64"/>
        <v>0.1370197662052316</v>
      </c>
      <c r="D1093" s="101">
        <f t="shared" ca="1" si="65"/>
        <v>0.67354441988406222</v>
      </c>
      <c r="E1093" s="101">
        <f t="shared" ca="1" si="66"/>
        <v>0</v>
      </c>
      <c r="F1093" s="21">
        <f t="shared" ca="1" si="67"/>
        <v>0</v>
      </c>
      <c r="H1093" s="21">
        <v>1078</v>
      </c>
      <c r="I1093" s="102">
        <v>0.66770779187579432</v>
      </c>
      <c r="J1093" s="103">
        <v>1.3437579135050293E-3</v>
      </c>
      <c r="K1093" s="103"/>
      <c r="L1093" s="103">
        <v>4.3400000000000001E-2</v>
      </c>
      <c r="O1093" s="100"/>
    </row>
    <row r="1094" spans="2:15" x14ac:dyDescent="0.2">
      <c r="B1094" s="1">
        <v>1079</v>
      </c>
      <c r="C1094" s="101">
        <f t="shared" ca="1" si="64"/>
        <v>0.45288156567571963</v>
      </c>
      <c r="D1094" s="101">
        <f t="shared" ca="1" si="65"/>
        <v>0.69486040837597196</v>
      </c>
      <c r="E1094" s="101">
        <f t="shared" ca="1" si="66"/>
        <v>0</v>
      </c>
      <c r="F1094" s="21">
        <f t="shared" ca="1" si="67"/>
        <v>0</v>
      </c>
      <c r="H1094" s="21">
        <v>1079</v>
      </c>
      <c r="I1094" s="102">
        <v>0.66773302742797813</v>
      </c>
      <c r="J1094" s="103">
        <v>1.2657923070610378E-3</v>
      </c>
      <c r="K1094" s="103"/>
      <c r="L1094" s="103">
        <v>3.9399999999999998E-2</v>
      </c>
      <c r="O1094" s="100"/>
    </row>
    <row r="1095" spans="2:15" x14ac:dyDescent="0.2">
      <c r="B1095" s="1">
        <v>1080</v>
      </c>
      <c r="C1095" s="101">
        <f t="shared" ca="1" si="64"/>
        <v>-2.2523152326292668</v>
      </c>
      <c r="D1095" s="101">
        <f t="shared" ca="1" si="65"/>
        <v>0.53211880149408408</v>
      </c>
      <c r="E1095" s="101">
        <f t="shared" ca="1" si="66"/>
        <v>0</v>
      </c>
      <c r="F1095" s="21">
        <f t="shared" ca="1" si="67"/>
        <v>0</v>
      </c>
      <c r="H1095" s="21">
        <v>1080</v>
      </c>
      <c r="I1095" s="102">
        <v>0.66762744288136089</v>
      </c>
      <c r="J1095" s="103">
        <v>1.1858755843159991E-3</v>
      </c>
      <c r="K1095" s="103"/>
      <c r="L1095" s="103">
        <v>3.8399999999999997E-2</v>
      </c>
      <c r="O1095" s="100"/>
    </row>
    <row r="1096" spans="2:15" x14ac:dyDescent="0.2">
      <c r="B1096" s="1">
        <v>1081</v>
      </c>
      <c r="C1096" s="101">
        <f t="shared" ca="1" si="64"/>
        <v>0.11644206030446279</v>
      </c>
      <c r="D1096" s="101">
        <f t="shared" ca="1" si="65"/>
        <v>0.67217863781869103</v>
      </c>
      <c r="E1096" s="101">
        <f t="shared" ca="1" si="66"/>
        <v>0</v>
      </c>
      <c r="F1096" s="21">
        <f t="shared" ca="1" si="67"/>
        <v>0</v>
      </c>
      <c r="H1096" s="21">
        <v>1081</v>
      </c>
      <c r="I1096" s="102">
        <v>0.66787722244105341</v>
      </c>
      <c r="J1096" s="103">
        <v>1.5145729199461011E-3</v>
      </c>
      <c r="K1096" s="103"/>
      <c r="L1096" s="103">
        <v>4.1799999999999997E-2</v>
      </c>
      <c r="O1096" s="100"/>
    </row>
    <row r="1097" spans="2:15" x14ac:dyDescent="0.2">
      <c r="B1097" s="1">
        <v>1082</v>
      </c>
      <c r="C1097" s="101">
        <f t="shared" ca="1" si="64"/>
        <v>0.8649285364574294</v>
      </c>
      <c r="D1097" s="101">
        <f t="shared" ca="1" si="65"/>
        <v>0.72368472411177165</v>
      </c>
      <c r="E1097" s="101">
        <f t="shared" ca="1" si="66"/>
        <v>0</v>
      </c>
      <c r="F1097" s="21">
        <f t="shared" ca="1" si="67"/>
        <v>0</v>
      </c>
      <c r="H1097" s="21">
        <v>1082</v>
      </c>
      <c r="I1097" s="102">
        <v>0.66758790035242677</v>
      </c>
      <c r="J1097" s="103">
        <v>1.09072236011936E-3</v>
      </c>
      <c r="K1097" s="103"/>
      <c r="L1097" s="103">
        <v>3.7600000000000001E-2</v>
      </c>
      <c r="O1097" s="100"/>
    </row>
    <row r="1098" spans="2:15" x14ac:dyDescent="0.2">
      <c r="B1098" s="1">
        <v>1083</v>
      </c>
      <c r="C1098" s="101">
        <f t="shared" ca="1" si="64"/>
        <v>-0.39767031256464275</v>
      </c>
      <c r="D1098" s="101">
        <f t="shared" ca="1" si="65"/>
        <v>0.63894054691751179</v>
      </c>
      <c r="E1098" s="101">
        <f t="shared" ca="1" si="66"/>
        <v>0</v>
      </c>
      <c r="F1098" s="21">
        <f t="shared" ca="1" si="67"/>
        <v>0</v>
      </c>
      <c r="H1098" s="21">
        <v>1083</v>
      </c>
      <c r="I1098" s="102">
        <v>0.66777166681800637</v>
      </c>
      <c r="J1098" s="103">
        <v>1.3992234879869273E-3</v>
      </c>
      <c r="K1098" s="103"/>
      <c r="L1098" s="103">
        <v>4.2200000000000001E-2</v>
      </c>
      <c r="O1098" s="100"/>
    </row>
    <row r="1099" spans="2:15" x14ac:dyDescent="0.2">
      <c r="B1099" s="1">
        <v>1084</v>
      </c>
      <c r="C1099" s="101">
        <f t="shared" ca="1" si="64"/>
        <v>0.27928280261086441</v>
      </c>
      <c r="D1099" s="101">
        <f t="shared" ca="1" si="65"/>
        <v>0.6830629088518928</v>
      </c>
      <c r="E1099" s="101">
        <f t="shared" ca="1" si="66"/>
        <v>0</v>
      </c>
      <c r="F1099" s="21">
        <f t="shared" ca="1" si="67"/>
        <v>0</v>
      </c>
      <c r="H1099" s="21">
        <v>1084</v>
      </c>
      <c r="I1099" s="102">
        <v>0.66765980589499407</v>
      </c>
      <c r="J1099" s="103">
        <v>1.1684188732983931E-3</v>
      </c>
      <c r="K1099" s="103"/>
      <c r="L1099" s="103">
        <v>3.6999999999999998E-2</v>
      </c>
      <c r="O1099" s="100"/>
    </row>
    <row r="1100" spans="2:15" x14ac:dyDescent="0.2">
      <c r="B1100" s="1">
        <v>1085</v>
      </c>
      <c r="C1100" s="101">
        <f t="shared" ca="1" si="64"/>
        <v>-0.24061417583539449</v>
      </c>
      <c r="D1100" s="101">
        <f t="shared" ca="1" si="65"/>
        <v>0.64891623123659914</v>
      </c>
      <c r="E1100" s="101">
        <f t="shared" ca="1" si="66"/>
        <v>0</v>
      </c>
      <c r="F1100" s="21">
        <f t="shared" ca="1" si="67"/>
        <v>0</v>
      </c>
      <c r="H1100" s="21">
        <v>1085</v>
      </c>
      <c r="I1100" s="102">
        <v>0.66771494472778636</v>
      </c>
      <c r="J1100" s="103">
        <v>1.3184982778699889E-3</v>
      </c>
      <c r="K1100" s="103"/>
      <c r="L1100" s="103">
        <v>4.24E-2</v>
      </c>
      <c r="O1100" s="100"/>
    </row>
    <row r="1101" spans="2:15" x14ac:dyDescent="0.2">
      <c r="B1101" s="1">
        <v>1086</v>
      </c>
      <c r="C1101" s="101">
        <f t="shared" ca="1" si="64"/>
        <v>5.9612017797167564E-2</v>
      </c>
      <c r="D1101" s="101">
        <f t="shared" ca="1" si="65"/>
        <v>0.66842108689980118</v>
      </c>
      <c r="E1101" s="101">
        <f t="shared" ca="1" si="66"/>
        <v>0</v>
      </c>
      <c r="F1101" s="21">
        <f t="shared" ca="1" si="67"/>
        <v>0</v>
      </c>
      <c r="H1101" s="21">
        <v>1086</v>
      </c>
      <c r="I1101" s="102">
        <v>0.66773751472867748</v>
      </c>
      <c r="J1101" s="103">
        <v>1.3684649717009619E-3</v>
      </c>
      <c r="K1101" s="103"/>
      <c r="L1101" s="103">
        <v>4.1000000000000002E-2</v>
      </c>
      <c r="O1101" s="100"/>
    </row>
    <row r="1102" spans="2:15" x14ac:dyDescent="0.2">
      <c r="B1102" s="1">
        <v>1087</v>
      </c>
      <c r="C1102" s="101">
        <f t="shared" ca="1" si="64"/>
        <v>0.76135143000829142</v>
      </c>
      <c r="D1102" s="101">
        <f t="shared" ca="1" si="65"/>
        <v>0.7163284927531004</v>
      </c>
      <c r="E1102" s="101">
        <f t="shared" ca="1" si="66"/>
        <v>0</v>
      </c>
      <c r="F1102" s="21">
        <f t="shared" ca="1" si="67"/>
        <v>0</v>
      </c>
      <c r="H1102" s="21">
        <v>1087</v>
      </c>
      <c r="I1102" s="102">
        <v>0.66771683873328502</v>
      </c>
      <c r="J1102" s="103">
        <v>1.352159536905696E-3</v>
      </c>
      <c r="K1102" s="103"/>
      <c r="L1102" s="103">
        <v>4.2999999999999997E-2</v>
      </c>
      <c r="O1102" s="100"/>
    </row>
    <row r="1103" spans="2:15" x14ac:dyDescent="0.2">
      <c r="B1103" s="1">
        <v>1088</v>
      </c>
      <c r="C1103" s="101">
        <f t="shared" ca="1" si="64"/>
        <v>0.37134708518757281</v>
      </c>
      <c r="D1103" s="101">
        <f t="shared" ca="1" si="65"/>
        <v>0.68929428916713664</v>
      </c>
      <c r="E1103" s="101">
        <f t="shared" ca="1" si="66"/>
        <v>0</v>
      </c>
      <c r="F1103" s="21">
        <f t="shared" ca="1" si="67"/>
        <v>0</v>
      </c>
      <c r="H1103" s="21">
        <v>1088</v>
      </c>
      <c r="I1103" s="102">
        <v>0.66765641407429599</v>
      </c>
      <c r="J1103" s="103">
        <v>1.3285714543374745E-3</v>
      </c>
      <c r="K1103" s="103"/>
      <c r="L1103" s="103">
        <v>4.1000000000000002E-2</v>
      </c>
      <c r="O1103" s="100"/>
    </row>
    <row r="1104" spans="2:15" x14ac:dyDescent="0.2">
      <c r="B1104" s="1">
        <v>1089</v>
      </c>
      <c r="C1104" s="101">
        <f t="shared" ref="C1104:C1167" ca="1" si="68">_xlfn.NORM.S.INV(RAND())</f>
        <v>0.35317037385214289</v>
      </c>
      <c r="D1104" s="101">
        <f t="shared" ref="D1104:D1167" ca="1" si="69">S0*EXP((μ-0.5*σ*σ)*T+σ*SQRT(T)*$C1104)</f>
        <v>0.68805950910068281</v>
      </c>
      <c r="E1104" s="101">
        <f t="shared" ref="E1104:E1167" ca="1" si="70">MAX(0,CP*(D1104-K))</f>
        <v>0</v>
      </c>
      <c r="F1104" s="21">
        <f t="shared" ref="F1104:F1167" ca="1" si="71">(CP*(D1104-K)&gt;0)*1</f>
        <v>0</v>
      </c>
      <c r="H1104" s="21">
        <v>1089</v>
      </c>
      <c r="I1104" s="102">
        <v>0.66765904538271592</v>
      </c>
      <c r="J1104" s="103">
        <v>1.3083136896805661E-3</v>
      </c>
      <c r="K1104" s="103"/>
      <c r="L1104" s="103">
        <v>3.8199999999999998E-2</v>
      </c>
      <c r="O1104" s="100"/>
    </row>
    <row r="1105" spans="2:15" x14ac:dyDescent="0.2">
      <c r="B1105" s="1">
        <v>1090</v>
      </c>
      <c r="C1105" s="101">
        <f t="shared" ca="1" si="68"/>
        <v>-0.89486222390161929</v>
      </c>
      <c r="D1105" s="101">
        <f t="shared" ca="1" si="69"/>
        <v>0.60836056451734766</v>
      </c>
      <c r="E1105" s="101">
        <f t="shared" ca="1" si="70"/>
        <v>0</v>
      </c>
      <c r="F1105" s="21">
        <f t="shared" ca="1" si="71"/>
        <v>0</v>
      </c>
      <c r="H1105" s="21">
        <v>1090</v>
      </c>
      <c r="I1105" s="102">
        <v>0.66772875818699617</v>
      </c>
      <c r="J1105" s="103">
        <v>1.4206912979719615E-3</v>
      </c>
      <c r="K1105" s="103"/>
      <c r="L1105" s="103">
        <v>4.1799999999999997E-2</v>
      </c>
      <c r="O1105" s="100"/>
    </row>
    <row r="1106" spans="2:15" x14ac:dyDescent="0.2">
      <c r="B1106" s="1">
        <v>1091</v>
      </c>
      <c r="C1106" s="101">
        <f t="shared" ca="1" si="68"/>
        <v>-0.77438951031542791</v>
      </c>
      <c r="D1106" s="101">
        <f t="shared" ca="1" si="69"/>
        <v>0.61563319783849912</v>
      </c>
      <c r="E1106" s="101">
        <f t="shared" ca="1" si="70"/>
        <v>0</v>
      </c>
      <c r="F1106" s="21">
        <f t="shared" ca="1" si="71"/>
        <v>0</v>
      </c>
      <c r="H1106" s="21">
        <v>1091</v>
      </c>
      <c r="I1106" s="102">
        <v>0.66783619024613083</v>
      </c>
      <c r="J1106" s="103">
        <v>1.5787585512653367E-3</v>
      </c>
      <c r="K1106" s="103"/>
      <c r="L1106" s="103">
        <v>4.3999999999999997E-2</v>
      </c>
      <c r="O1106" s="100"/>
    </row>
    <row r="1107" spans="2:15" x14ac:dyDescent="0.2">
      <c r="B1107" s="1">
        <v>1092</v>
      </c>
      <c r="C1107" s="101">
        <f t="shared" ca="1" si="68"/>
        <v>0.29797281303292339</v>
      </c>
      <c r="D1107" s="101">
        <f t="shared" ca="1" si="69"/>
        <v>0.68432337023079015</v>
      </c>
      <c r="E1107" s="101">
        <f t="shared" ca="1" si="70"/>
        <v>0</v>
      </c>
      <c r="F1107" s="21">
        <f t="shared" ca="1" si="71"/>
        <v>0</v>
      </c>
      <c r="H1107" s="21">
        <v>1092</v>
      </c>
      <c r="I1107" s="102">
        <v>0.66784415975418698</v>
      </c>
      <c r="J1107" s="103">
        <v>1.3426723622833837E-3</v>
      </c>
      <c r="K1107" s="103"/>
      <c r="L1107" s="103">
        <v>4.3799999999999999E-2</v>
      </c>
      <c r="O1107" s="100"/>
    </row>
    <row r="1108" spans="2:15" x14ac:dyDescent="0.2">
      <c r="B1108" s="1">
        <v>1093</v>
      </c>
      <c r="C1108" s="101">
        <f t="shared" ca="1" si="68"/>
        <v>-1.1174850508520093</v>
      </c>
      <c r="D1108" s="101">
        <f t="shared" ca="1" si="69"/>
        <v>0.59514669962070699</v>
      </c>
      <c r="E1108" s="101">
        <f t="shared" ca="1" si="70"/>
        <v>0</v>
      </c>
      <c r="F1108" s="21">
        <f t="shared" ca="1" si="71"/>
        <v>0</v>
      </c>
      <c r="H1108" s="21">
        <v>1093</v>
      </c>
      <c r="I1108" s="102">
        <v>0.66770049120348651</v>
      </c>
      <c r="J1108" s="103">
        <v>1.3404191358331139E-3</v>
      </c>
      <c r="K1108" s="103"/>
      <c r="L1108" s="103">
        <v>3.9199999999999999E-2</v>
      </c>
      <c r="O1108" s="100"/>
    </row>
    <row r="1109" spans="2:15" x14ac:dyDescent="0.2">
      <c r="B1109" s="1">
        <v>1094</v>
      </c>
      <c r="C1109" s="101">
        <f t="shared" ca="1" si="68"/>
        <v>0.68896434728536293</v>
      </c>
      <c r="D1109" s="101">
        <f t="shared" ca="1" si="69"/>
        <v>0.71123186852113396</v>
      </c>
      <c r="E1109" s="101">
        <f t="shared" ca="1" si="70"/>
        <v>0</v>
      </c>
      <c r="F1109" s="21">
        <f t="shared" ca="1" si="71"/>
        <v>0</v>
      </c>
      <c r="H1109" s="21">
        <v>1094</v>
      </c>
      <c r="I1109" s="102">
        <v>0.66781019236396499</v>
      </c>
      <c r="J1109" s="103">
        <v>1.3962235439177687E-3</v>
      </c>
      <c r="K1109" s="103"/>
      <c r="L1109" s="103">
        <v>4.2799999999999998E-2</v>
      </c>
      <c r="O1109" s="100"/>
    </row>
    <row r="1110" spans="2:15" x14ac:dyDescent="0.2">
      <c r="B1110" s="1">
        <v>1095</v>
      </c>
      <c r="C1110" s="101">
        <f t="shared" ca="1" si="68"/>
        <v>-0.11682857897611125</v>
      </c>
      <c r="D1110" s="101">
        <f t="shared" ca="1" si="69"/>
        <v>0.65688831402671743</v>
      </c>
      <c r="E1110" s="101">
        <f t="shared" ca="1" si="70"/>
        <v>0</v>
      </c>
      <c r="F1110" s="21">
        <f t="shared" ca="1" si="71"/>
        <v>0</v>
      </c>
      <c r="H1110" s="21">
        <v>1095</v>
      </c>
      <c r="I1110" s="102">
        <v>0.6677462770323398</v>
      </c>
      <c r="J1110" s="103">
        <v>1.361048362500312E-3</v>
      </c>
      <c r="K1110" s="103"/>
      <c r="L1110" s="103">
        <v>3.7600000000000001E-2</v>
      </c>
      <c r="O1110" s="100"/>
    </row>
    <row r="1111" spans="2:15" x14ac:dyDescent="0.2">
      <c r="B1111" s="1">
        <v>1096</v>
      </c>
      <c r="C1111" s="101">
        <f t="shared" ca="1" si="68"/>
        <v>0.20198568809384132</v>
      </c>
      <c r="D1111" s="101">
        <f t="shared" ca="1" si="69"/>
        <v>0.67787457089082348</v>
      </c>
      <c r="E1111" s="101">
        <f t="shared" ca="1" si="70"/>
        <v>0</v>
      </c>
      <c r="F1111" s="21">
        <f t="shared" ca="1" si="71"/>
        <v>0</v>
      </c>
      <c r="H1111" s="21">
        <v>1096</v>
      </c>
      <c r="I1111" s="102">
        <v>0.66772781011765081</v>
      </c>
      <c r="J1111" s="103">
        <v>1.5622013576260124E-3</v>
      </c>
      <c r="K1111" s="103"/>
      <c r="L1111" s="103">
        <v>4.0599999999999997E-2</v>
      </c>
      <c r="O1111" s="100"/>
    </row>
    <row r="1112" spans="2:15" x14ac:dyDescent="0.2">
      <c r="B1112" s="1">
        <v>1097</v>
      </c>
      <c r="C1112" s="101">
        <f t="shared" ca="1" si="68"/>
        <v>0.27196533494788339</v>
      </c>
      <c r="D1112" s="101">
        <f t="shared" ca="1" si="69"/>
        <v>0.68257004872179394</v>
      </c>
      <c r="E1112" s="101">
        <f t="shared" ca="1" si="70"/>
        <v>0</v>
      </c>
      <c r="F1112" s="21">
        <f t="shared" ca="1" si="71"/>
        <v>0</v>
      </c>
      <c r="H1112" s="21">
        <v>1097</v>
      </c>
      <c r="I1112" s="102">
        <v>0.66783688872249281</v>
      </c>
      <c r="J1112" s="103">
        <v>1.378364831530247E-3</v>
      </c>
      <c r="K1112" s="103"/>
      <c r="L1112" s="103">
        <v>4.0800000000000003E-2</v>
      </c>
      <c r="O1112" s="100"/>
    </row>
    <row r="1113" spans="2:15" x14ac:dyDescent="0.2">
      <c r="B1113" s="1">
        <v>1098</v>
      </c>
      <c r="C1113" s="101">
        <f t="shared" ca="1" si="68"/>
        <v>-4.8809121939085598E-2</v>
      </c>
      <c r="D1113" s="101">
        <f t="shared" ca="1" si="69"/>
        <v>0.66131054444800519</v>
      </c>
      <c r="E1113" s="101">
        <f t="shared" ca="1" si="70"/>
        <v>0</v>
      </c>
      <c r="F1113" s="21">
        <f t="shared" ca="1" si="71"/>
        <v>0</v>
      </c>
      <c r="H1113" s="21">
        <v>1098</v>
      </c>
      <c r="I1113" s="102">
        <v>0.66784154070569957</v>
      </c>
      <c r="J1113" s="103">
        <v>1.4264615769106104E-3</v>
      </c>
      <c r="K1113" s="103"/>
      <c r="L1113" s="103">
        <v>4.3400000000000001E-2</v>
      </c>
      <c r="O1113" s="100"/>
    </row>
    <row r="1114" spans="2:15" x14ac:dyDescent="0.2">
      <c r="B1114" s="1">
        <v>1099</v>
      </c>
      <c r="C1114" s="101">
        <f t="shared" ca="1" si="68"/>
        <v>-0.37313915227777994</v>
      </c>
      <c r="D1114" s="101">
        <f t="shared" ca="1" si="69"/>
        <v>0.64048851854333078</v>
      </c>
      <c r="E1114" s="101">
        <f t="shared" ca="1" si="70"/>
        <v>0</v>
      </c>
      <c r="F1114" s="21">
        <f t="shared" ca="1" si="71"/>
        <v>0</v>
      </c>
      <c r="H1114" s="21">
        <v>1099</v>
      </c>
      <c r="I1114" s="102">
        <v>0.66766028671578614</v>
      </c>
      <c r="J1114" s="103">
        <v>1.3316747675117602E-3</v>
      </c>
      <c r="K1114" s="103"/>
      <c r="L1114" s="103">
        <v>4.0399999999999998E-2</v>
      </c>
      <c r="O1114" s="100"/>
    </row>
    <row r="1115" spans="2:15" x14ac:dyDescent="0.2">
      <c r="B1115" s="1">
        <v>1100</v>
      </c>
      <c r="C1115" s="101">
        <f t="shared" ca="1" si="68"/>
        <v>-0.60760416928651939</v>
      </c>
      <c r="D1115" s="101">
        <f t="shared" ca="1" si="69"/>
        <v>0.62584532460942566</v>
      </c>
      <c r="E1115" s="101">
        <f t="shared" ca="1" si="70"/>
        <v>0</v>
      </c>
      <c r="F1115" s="21">
        <f t="shared" ca="1" si="71"/>
        <v>0</v>
      </c>
      <c r="H1115" s="21">
        <v>1100</v>
      </c>
      <c r="I1115" s="102">
        <v>0.66787129017867308</v>
      </c>
      <c r="J1115" s="103">
        <v>1.533350759960326E-3</v>
      </c>
      <c r="K1115" s="103"/>
      <c r="L1115" s="103">
        <v>4.4999999999999998E-2</v>
      </c>
      <c r="O1115" s="100"/>
    </row>
    <row r="1116" spans="2:15" x14ac:dyDescent="0.2">
      <c r="B1116" s="1">
        <v>1101</v>
      </c>
      <c r="C1116" s="101">
        <f t="shared" ca="1" si="68"/>
        <v>1.8275219160015457</v>
      </c>
      <c r="D1116" s="101">
        <f t="shared" ca="1" si="69"/>
        <v>0.79576770927874252</v>
      </c>
      <c r="E1116" s="101">
        <f t="shared" ca="1" si="70"/>
        <v>7.5677092787425071E-3</v>
      </c>
      <c r="F1116" s="21">
        <f t="shared" ca="1" si="71"/>
        <v>1</v>
      </c>
      <c r="H1116" s="21">
        <v>1101</v>
      </c>
      <c r="I1116" s="102">
        <v>0.66760050883244682</v>
      </c>
      <c r="J1116" s="103">
        <v>1.1232308848759748E-3</v>
      </c>
      <c r="K1116" s="103"/>
      <c r="L1116" s="103">
        <v>3.6799999999999999E-2</v>
      </c>
      <c r="O1116" s="100"/>
    </row>
    <row r="1117" spans="2:15" x14ac:dyDescent="0.2">
      <c r="B1117" s="1">
        <v>1102</v>
      </c>
      <c r="C1117" s="101">
        <f t="shared" ca="1" si="68"/>
        <v>-0.70099873925297174</v>
      </c>
      <c r="D1117" s="101">
        <f t="shared" ca="1" si="69"/>
        <v>0.62010616117327899</v>
      </c>
      <c r="E1117" s="101">
        <f t="shared" ca="1" si="70"/>
        <v>0</v>
      </c>
      <c r="F1117" s="21">
        <f t="shared" ca="1" si="71"/>
        <v>0</v>
      </c>
      <c r="H1117" s="21">
        <v>1102</v>
      </c>
      <c r="I1117" s="102">
        <v>0.66771005487005841</v>
      </c>
      <c r="J1117" s="103">
        <v>1.2628661668819315E-3</v>
      </c>
      <c r="K1117" s="103"/>
      <c r="L1117" s="103">
        <v>4.24E-2</v>
      </c>
      <c r="O1117" s="100"/>
    </row>
    <row r="1118" spans="2:15" x14ac:dyDescent="0.2">
      <c r="B1118" s="1">
        <v>1103</v>
      </c>
      <c r="C1118" s="101">
        <f t="shared" ca="1" si="68"/>
        <v>0.26284808592474196</v>
      </c>
      <c r="D1118" s="101">
        <f t="shared" ca="1" si="69"/>
        <v>0.68195646381077879</v>
      </c>
      <c r="E1118" s="101">
        <f t="shared" ca="1" si="70"/>
        <v>0</v>
      </c>
      <c r="F1118" s="21">
        <f t="shared" ca="1" si="71"/>
        <v>0</v>
      </c>
      <c r="H1118" s="21">
        <v>1103</v>
      </c>
      <c r="I1118" s="102">
        <v>0.66762235264567038</v>
      </c>
      <c r="J1118" s="103">
        <v>1.3836600217947666E-3</v>
      </c>
      <c r="K1118" s="103"/>
      <c r="L1118" s="103">
        <v>3.9E-2</v>
      </c>
      <c r="O1118" s="100"/>
    </row>
    <row r="1119" spans="2:15" x14ac:dyDescent="0.2">
      <c r="B1119" s="1">
        <v>1104</v>
      </c>
      <c r="C1119" s="101">
        <f t="shared" ca="1" si="68"/>
        <v>-0.94590482994410097</v>
      </c>
      <c r="D1119" s="101">
        <f t="shared" ca="1" si="69"/>
        <v>0.60530522176920754</v>
      </c>
      <c r="E1119" s="101">
        <f t="shared" ca="1" si="70"/>
        <v>0</v>
      </c>
      <c r="F1119" s="21">
        <f t="shared" ca="1" si="71"/>
        <v>0</v>
      </c>
      <c r="H1119" s="21">
        <v>1104</v>
      </c>
      <c r="I1119" s="102">
        <v>0.6676333727288829</v>
      </c>
      <c r="J1119" s="103">
        <v>1.2345443128286859E-3</v>
      </c>
      <c r="K1119" s="103"/>
      <c r="L1119" s="103">
        <v>3.9E-2</v>
      </c>
      <c r="O1119" s="100"/>
    </row>
    <row r="1120" spans="2:15" x14ac:dyDescent="0.2">
      <c r="B1120" s="1">
        <v>1105</v>
      </c>
      <c r="C1120" s="101">
        <f t="shared" ca="1" si="68"/>
        <v>-1.2917846034146996</v>
      </c>
      <c r="D1120" s="101">
        <f t="shared" ca="1" si="69"/>
        <v>0.58500172163616515</v>
      </c>
      <c r="E1120" s="101">
        <f t="shared" ca="1" si="70"/>
        <v>0</v>
      </c>
      <c r="F1120" s="21">
        <f t="shared" ca="1" si="71"/>
        <v>0</v>
      </c>
      <c r="H1120" s="21">
        <v>1105</v>
      </c>
      <c r="I1120" s="102">
        <v>0.66764963997207749</v>
      </c>
      <c r="J1120" s="103">
        <v>1.2388705260215824E-3</v>
      </c>
      <c r="K1120" s="103"/>
      <c r="L1120" s="103">
        <v>3.9E-2</v>
      </c>
      <c r="O1120" s="100"/>
    </row>
    <row r="1121" spans="2:15" x14ac:dyDescent="0.2">
      <c r="B1121" s="1">
        <v>1106</v>
      </c>
      <c r="C1121" s="101">
        <f t="shared" ca="1" si="68"/>
        <v>-0.29118969217321711</v>
      </c>
      <c r="D1121" s="101">
        <f t="shared" ca="1" si="69"/>
        <v>0.64568695645110274</v>
      </c>
      <c r="E1121" s="101">
        <f t="shared" ca="1" si="70"/>
        <v>0</v>
      </c>
      <c r="F1121" s="21">
        <f t="shared" ca="1" si="71"/>
        <v>0</v>
      </c>
      <c r="H1121" s="21">
        <v>1106</v>
      </c>
      <c r="I1121" s="102">
        <v>0.66777384970009279</v>
      </c>
      <c r="J1121" s="103">
        <v>1.5131643685864934E-3</v>
      </c>
      <c r="K1121" s="103"/>
      <c r="L1121" s="103">
        <v>3.9600000000000003E-2</v>
      </c>
      <c r="O1121" s="100"/>
    </row>
    <row r="1122" spans="2:15" x14ac:dyDescent="0.2">
      <c r="B1122" s="1">
        <v>1107</v>
      </c>
      <c r="C1122" s="101">
        <f t="shared" ca="1" si="68"/>
        <v>0.81706014348968392</v>
      </c>
      <c r="D1122" s="101">
        <f t="shared" ca="1" si="69"/>
        <v>0.72027568306071366</v>
      </c>
      <c r="E1122" s="101">
        <f t="shared" ca="1" si="70"/>
        <v>0</v>
      </c>
      <c r="F1122" s="21">
        <f t="shared" ca="1" si="71"/>
        <v>0</v>
      </c>
      <c r="H1122" s="21">
        <v>1107</v>
      </c>
      <c r="I1122" s="102">
        <v>0.66776695418206278</v>
      </c>
      <c r="J1122" s="103">
        <v>1.2813744933547846E-3</v>
      </c>
      <c r="K1122" s="103"/>
      <c r="L1122" s="103">
        <v>4.2000000000000003E-2</v>
      </c>
      <c r="O1122" s="100"/>
    </row>
    <row r="1123" spans="2:15" x14ac:dyDescent="0.2">
      <c r="B1123" s="1">
        <v>1108</v>
      </c>
      <c r="C1123" s="101">
        <f t="shared" ca="1" si="68"/>
        <v>0.15475186296067822</v>
      </c>
      <c r="D1123" s="101">
        <f t="shared" ca="1" si="69"/>
        <v>0.67472355916381865</v>
      </c>
      <c r="E1123" s="101">
        <f t="shared" ca="1" si="70"/>
        <v>0</v>
      </c>
      <c r="F1123" s="21">
        <f t="shared" ca="1" si="71"/>
        <v>0</v>
      </c>
      <c r="H1123" s="21">
        <v>1108</v>
      </c>
      <c r="I1123" s="102">
        <v>0.66769804426550139</v>
      </c>
      <c r="J1123" s="103">
        <v>1.2877825234347755E-3</v>
      </c>
      <c r="K1123" s="103"/>
      <c r="L1123" s="103">
        <v>3.9800000000000002E-2</v>
      </c>
      <c r="O1123" s="100"/>
    </row>
    <row r="1124" spans="2:15" x14ac:dyDescent="0.2">
      <c r="B1124" s="1">
        <v>1109</v>
      </c>
      <c r="C1124" s="101">
        <f t="shared" ca="1" si="68"/>
        <v>-0.75222507029580543</v>
      </c>
      <c r="D1124" s="101">
        <f t="shared" ca="1" si="69"/>
        <v>0.61698064746089554</v>
      </c>
      <c r="E1124" s="101">
        <f t="shared" ca="1" si="70"/>
        <v>0</v>
      </c>
      <c r="F1124" s="21">
        <f t="shared" ca="1" si="71"/>
        <v>0</v>
      </c>
      <c r="H1124" s="21">
        <v>1109</v>
      </c>
      <c r="I1124" s="102">
        <v>0.66761800900809098</v>
      </c>
      <c r="J1124" s="103">
        <v>1.2308834283085283E-3</v>
      </c>
      <c r="K1124" s="103"/>
      <c r="L1124" s="103">
        <v>3.9199999999999999E-2</v>
      </c>
      <c r="O1124" s="100"/>
    </row>
    <row r="1125" spans="2:15" x14ac:dyDescent="0.2">
      <c r="B1125" s="1">
        <v>1110</v>
      </c>
      <c r="C1125" s="101">
        <f t="shared" ca="1" si="68"/>
        <v>-0.12983759465009953</v>
      </c>
      <c r="D1125" s="101">
        <f t="shared" ca="1" si="69"/>
        <v>0.65604591810780699</v>
      </c>
      <c r="E1125" s="101">
        <f t="shared" ca="1" si="70"/>
        <v>0</v>
      </c>
      <c r="F1125" s="21">
        <f t="shared" ca="1" si="71"/>
        <v>0</v>
      </c>
      <c r="H1125" s="21">
        <v>1110</v>
      </c>
      <c r="I1125" s="102">
        <v>0.66771210266809466</v>
      </c>
      <c r="J1125" s="103">
        <v>1.2962160533533005E-3</v>
      </c>
      <c r="K1125" s="103"/>
      <c r="L1125" s="103">
        <v>4.0399999999999998E-2</v>
      </c>
      <c r="O1125" s="100"/>
    </row>
    <row r="1126" spans="2:15" x14ac:dyDescent="0.2">
      <c r="B1126" s="1">
        <v>1111</v>
      </c>
      <c r="C1126" s="101">
        <f t="shared" ca="1" si="68"/>
        <v>-9.0012848208251735E-3</v>
      </c>
      <c r="D1126" s="101">
        <f t="shared" ca="1" si="69"/>
        <v>0.66391241616617258</v>
      </c>
      <c r="E1126" s="101">
        <f t="shared" ca="1" si="70"/>
        <v>0</v>
      </c>
      <c r="F1126" s="21">
        <f t="shared" ca="1" si="71"/>
        <v>0</v>
      </c>
      <c r="H1126" s="21">
        <v>1111</v>
      </c>
      <c r="I1126" s="102">
        <v>0.6676168493213549</v>
      </c>
      <c r="J1126" s="103">
        <v>1.2077855403455813E-3</v>
      </c>
      <c r="K1126" s="103"/>
      <c r="L1126" s="103">
        <v>3.9399999999999998E-2</v>
      </c>
      <c r="O1126" s="100"/>
    </row>
    <row r="1127" spans="2:15" x14ac:dyDescent="0.2">
      <c r="B1127" s="1">
        <v>1112</v>
      </c>
      <c r="C1127" s="101">
        <f t="shared" ca="1" si="68"/>
        <v>-3.0621193464068316E-2</v>
      </c>
      <c r="D1127" s="101">
        <f t="shared" ca="1" si="69"/>
        <v>0.66249805430682629</v>
      </c>
      <c r="E1127" s="101">
        <f t="shared" ca="1" si="70"/>
        <v>0</v>
      </c>
      <c r="F1127" s="21">
        <f t="shared" ca="1" si="71"/>
        <v>0</v>
      </c>
      <c r="H1127" s="21">
        <v>1112</v>
      </c>
      <c r="I1127" s="102">
        <v>0.66782272270201026</v>
      </c>
      <c r="J1127" s="103">
        <v>1.4442630703772031E-3</v>
      </c>
      <c r="K1127" s="103"/>
      <c r="L1127" s="103">
        <v>4.5600000000000002E-2</v>
      </c>
      <c r="O1127" s="100"/>
    </row>
    <row r="1128" spans="2:15" x14ac:dyDescent="0.2">
      <c r="B1128" s="1">
        <v>1113</v>
      </c>
      <c r="C1128" s="101">
        <f t="shared" ca="1" si="68"/>
        <v>0.64411988660241959</v>
      </c>
      <c r="D1128" s="101">
        <f t="shared" ca="1" si="69"/>
        <v>0.70809267048751945</v>
      </c>
      <c r="E1128" s="101">
        <f t="shared" ca="1" si="70"/>
        <v>0</v>
      </c>
      <c r="F1128" s="21">
        <f t="shared" ca="1" si="71"/>
        <v>0</v>
      </c>
      <c r="H1128" s="21">
        <v>1113</v>
      </c>
      <c r="I1128" s="102">
        <v>0.66764763857006459</v>
      </c>
      <c r="J1128" s="103">
        <v>1.1433537871550273E-3</v>
      </c>
      <c r="K1128" s="103"/>
      <c r="L1128" s="103">
        <v>4.1599999999999998E-2</v>
      </c>
      <c r="O1128" s="100"/>
    </row>
    <row r="1129" spans="2:15" x14ac:dyDescent="0.2">
      <c r="B1129" s="1">
        <v>1114</v>
      </c>
      <c r="C1129" s="101">
        <f t="shared" ca="1" si="68"/>
        <v>-0.64831292756091663</v>
      </c>
      <c r="D1129" s="101">
        <f t="shared" ca="1" si="69"/>
        <v>0.6233372405323282</v>
      </c>
      <c r="E1129" s="101">
        <f t="shared" ca="1" si="70"/>
        <v>0</v>
      </c>
      <c r="F1129" s="21">
        <f t="shared" ca="1" si="71"/>
        <v>0</v>
      </c>
      <c r="H1129" s="21">
        <v>1114</v>
      </c>
      <c r="I1129" s="102">
        <v>0.66768363846271317</v>
      </c>
      <c r="J1129" s="103">
        <v>1.2971448466887268E-3</v>
      </c>
      <c r="K1129" s="103"/>
      <c r="L1129" s="103">
        <v>3.9399999999999998E-2</v>
      </c>
      <c r="O1129" s="100"/>
    </row>
    <row r="1130" spans="2:15" x14ac:dyDescent="0.2">
      <c r="B1130" s="1">
        <v>1115</v>
      </c>
      <c r="C1130" s="101">
        <f t="shared" ca="1" si="68"/>
        <v>1.7290418490531902E-2</v>
      </c>
      <c r="D1130" s="101">
        <f t="shared" ca="1" si="69"/>
        <v>0.66563647346750143</v>
      </c>
      <c r="E1130" s="101">
        <f t="shared" ca="1" si="70"/>
        <v>0</v>
      </c>
      <c r="F1130" s="21">
        <f t="shared" ca="1" si="71"/>
        <v>0</v>
      </c>
      <c r="H1130" s="21">
        <v>1115</v>
      </c>
      <c r="I1130" s="102">
        <v>0.66770849903765384</v>
      </c>
      <c r="J1130" s="103">
        <v>1.2929553483895192E-3</v>
      </c>
      <c r="K1130" s="103"/>
      <c r="L1130" s="103">
        <v>4.2200000000000001E-2</v>
      </c>
      <c r="O1130" s="100"/>
    </row>
    <row r="1131" spans="2:15" x14ac:dyDescent="0.2">
      <c r="B1131" s="1">
        <v>1116</v>
      </c>
      <c r="C1131" s="101">
        <f t="shared" ca="1" si="68"/>
        <v>0.40073497660681018</v>
      </c>
      <c r="D1131" s="101">
        <f t="shared" ca="1" si="69"/>
        <v>0.6912953562097276</v>
      </c>
      <c r="E1131" s="101">
        <f t="shared" ca="1" si="70"/>
        <v>0</v>
      </c>
      <c r="F1131" s="21">
        <f t="shared" ca="1" si="71"/>
        <v>0</v>
      </c>
      <c r="H1131" s="21">
        <v>1116</v>
      </c>
      <c r="I1131" s="102">
        <v>0.66780266496819696</v>
      </c>
      <c r="J1131" s="103">
        <v>1.5335691263365803E-3</v>
      </c>
      <c r="K1131" s="103"/>
      <c r="L1131" s="103">
        <v>4.3999999999999997E-2</v>
      </c>
      <c r="O1131" s="100"/>
    </row>
    <row r="1132" spans="2:15" x14ac:dyDescent="0.2">
      <c r="B1132" s="1">
        <v>1117</v>
      </c>
      <c r="C1132" s="101">
        <f t="shared" ca="1" si="68"/>
        <v>0.91117023843528222</v>
      </c>
      <c r="D1132" s="101">
        <f t="shared" ca="1" si="69"/>
        <v>0.72699323810630789</v>
      </c>
      <c r="E1132" s="101">
        <f t="shared" ca="1" si="70"/>
        <v>0</v>
      </c>
      <c r="F1132" s="21">
        <f t="shared" ca="1" si="71"/>
        <v>0</v>
      </c>
      <c r="H1132" s="21">
        <v>1117</v>
      </c>
      <c r="I1132" s="102">
        <v>0.66759419300746725</v>
      </c>
      <c r="J1132" s="103">
        <v>1.15016989980832E-3</v>
      </c>
      <c r="K1132" s="103"/>
      <c r="L1132" s="103">
        <v>3.6600000000000001E-2</v>
      </c>
      <c r="O1132" s="100"/>
    </row>
    <row r="1133" spans="2:15" x14ac:dyDescent="0.2">
      <c r="B1133" s="1">
        <v>1118</v>
      </c>
      <c r="C1133" s="101">
        <f t="shared" ca="1" si="68"/>
        <v>0.29294518575783679</v>
      </c>
      <c r="D1133" s="101">
        <f t="shared" ca="1" si="69"/>
        <v>0.68398407663660887</v>
      </c>
      <c r="E1133" s="101">
        <f t="shared" ca="1" si="70"/>
        <v>0</v>
      </c>
      <c r="F1133" s="21">
        <f t="shared" ca="1" si="71"/>
        <v>0</v>
      </c>
      <c r="H1133" s="21">
        <v>1118</v>
      </c>
      <c r="I1133" s="102">
        <v>0.66776344927250186</v>
      </c>
      <c r="J1133" s="103">
        <v>1.4432162132115428E-3</v>
      </c>
      <c r="K1133" s="103"/>
      <c r="L1133" s="103">
        <v>3.9800000000000002E-2</v>
      </c>
      <c r="O1133" s="100"/>
    </row>
    <row r="1134" spans="2:15" x14ac:dyDescent="0.2">
      <c r="B1134" s="1">
        <v>1119</v>
      </c>
      <c r="C1134" s="101">
        <f t="shared" ca="1" si="68"/>
        <v>-0.66676729103684207</v>
      </c>
      <c r="D1134" s="101">
        <f t="shared" ca="1" si="69"/>
        <v>0.62220357271475368</v>
      </c>
      <c r="E1134" s="101">
        <f t="shared" ca="1" si="70"/>
        <v>0</v>
      </c>
      <c r="F1134" s="21">
        <f t="shared" ca="1" si="71"/>
        <v>0</v>
      </c>
      <c r="H1134" s="21">
        <v>1119</v>
      </c>
      <c r="I1134" s="102">
        <v>0.66788629709102099</v>
      </c>
      <c r="J1134" s="103">
        <v>1.528348957164965E-3</v>
      </c>
      <c r="K1134" s="103"/>
      <c r="L1134" s="103">
        <v>4.2999999999999997E-2</v>
      </c>
      <c r="O1134" s="100"/>
    </row>
    <row r="1135" spans="2:15" x14ac:dyDescent="0.2">
      <c r="B1135" s="1">
        <v>1120</v>
      </c>
      <c r="C1135" s="101">
        <f t="shared" ca="1" si="68"/>
        <v>-1.6745496085592262</v>
      </c>
      <c r="D1135" s="101">
        <f t="shared" ca="1" si="69"/>
        <v>0.56332591055406867</v>
      </c>
      <c r="E1135" s="101">
        <f t="shared" ca="1" si="70"/>
        <v>0</v>
      </c>
      <c r="F1135" s="21">
        <f t="shared" ca="1" si="71"/>
        <v>0</v>
      </c>
      <c r="H1135" s="21">
        <v>1120</v>
      </c>
      <c r="I1135" s="102">
        <v>0.66769749770767084</v>
      </c>
      <c r="J1135" s="103">
        <v>1.3477404715185285E-3</v>
      </c>
      <c r="K1135" s="103"/>
      <c r="L1135" s="103">
        <v>3.9399999999999998E-2</v>
      </c>
      <c r="O1135" s="100"/>
    </row>
    <row r="1136" spans="2:15" x14ac:dyDescent="0.2">
      <c r="B1136" s="1">
        <v>1121</v>
      </c>
      <c r="C1136" s="101">
        <f t="shared" ca="1" si="68"/>
        <v>-1.2749034811480149</v>
      </c>
      <c r="D1136" s="101">
        <f t="shared" ca="1" si="69"/>
        <v>0.58597666412754346</v>
      </c>
      <c r="E1136" s="101">
        <f t="shared" ca="1" si="70"/>
        <v>0</v>
      </c>
      <c r="F1136" s="21">
        <f t="shared" ca="1" si="71"/>
        <v>0</v>
      </c>
      <c r="H1136" s="21">
        <v>1121</v>
      </c>
      <c r="I1136" s="102">
        <v>0.66766700390015976</v>
      </c>
      <c r="J1136" s="103">
        <v>1.2603583216506664E-3</v>
      </c>
      <c r="K1136" s="103"/>
      <c r="L1136" s="103">
        <v>3.8800000000000001E-2</v>
      </c>
      <c r="O1136" s="100"/>
    </row>
    <row r="1137" spans="2:15" x14ac:dyDescent="0.2">
      <c r="B1137" s="1">
        <v>1122</v>
      </c>
      <c r="C1137" s="101">
        <f t="shared" ca="1" si="68"/>
        <v>-0.74931785487811697</v>
      </c>
      <c r="D1137" s="101">
        <f t="shared" ca="1" si="69"/>
        <v>0.61715760534993735</v>
      </c>
      <c r="E1137" s="101">
        <f t="shared" ca="1" si="70"/>
        <v>0</v>
      </c>
      <c r="F1137" s="21">
        <f t="shared" ca="1" si="71"/>
        <v>0</v>
      </c>
      <c r="H1137" s="21">
        <v>1122</v>
      </c>
      <c r="I1137" s="102">
        <v>0.66780147325983885</v>
      </c>
      <c r="J1137" s="103">
        <v>1.4102352671487249E-3</v>
      </c>
      <c r="K1137" s="103"/>
      <c r="L1137" s="103">
        <v>4.1200000000000001E-2</v>
      </c>
      <c r="O1137" s="100"/>
    </row>
    <row r="1138" spans="2:15" x14ac:dyDescent="0.2">
      <c r="B1138" s="1">
        <v>1123</v>
      </c>
      <c r="C1138" s="101">
        <f t="shared" ca="1" si="68"/>
        <v>-0.32196720741386625</v>
      </c>
      <c r="D1138" s="101">
        <f t="shared" ca="1" si="69"/>
        <v>0.64372966548826072</v>
      </c>
      <c r="E1138" s="101">
        <f t="shared" ca="1" si="70"/>
        <v>0</v>
      </c>
      <c r="F1138" s="21">
        <f t="shared" ca="1" si="71"/>
        <v>0</v>
      </c>
      <c r="H1138" s="21">
        <v>1123</v>
      </c>
      <c r="I1138" s="102">
        <v>0.667671269628756</v>
      </c>
      <c r="J1138" s="103">
        <v>1.2437199608201239E-3</v>
      </c>
      <c r="K1138" s="103"/>
      <c r="L1138" s="103">
        <v>3.9199999999999999E-2</v>
      </c>
      <c r="O1138" s="100"/>
    </row>
    <row r="1139" spans="2:15" x14ac:dyDescent="0.2">
      <c r="B1139" s="1">
        <v>1124</v>
      </c>
      <c r="C1139" s="101">
        <f t="shared" ca="1" si="68"/>
        <v>-0.76838482042107725</v>
      </c>
      <c r="D1139" s="101">
        <f t="shared" ca="1" si="69"/>
        <v>0.61599795190322959</v>
      </c>
      <c r="E1139" s="101">
        <f t="shared" ca="1" si="70"/>
        <v>0</v>
      </c>
      <c r="F1139" s="21">
        <f t="shared" ca="1" si="71"/>
        <v>0</v>
      </c>
      <c r="H1139" s="21">
        <v>1124</v>
      </c>
      <c r="I1139" s="102">
        <v>0.66770676281538577</v>
      </c>
      <c r="J1139" s="103">
        <v>1.3971893783507163E-3</v>
      </c>
      <c r="K1139" s="103"/>
      <c r="L1139" s="103">
        <v>3.9600000000000003E-2</v>
      </c>
      <c r="O1139" s="100"/>
    </row>
    <row r="1140" spans="2:15" x14ac:dyDescent="0.2">
      <c r="B1140" s="1">
        <v>1125</v>
      </c>
      <c r="C1140" s="101">
        <f t="shared" ca="1" si="68"/>
        <v>-0.1876386251392497</v>
      </c>
      <c r="D1140" s="101">
        <f t="shared" ca="1" si="69"/>
        <v>0.6523160693017247</v>
      </c>
      <c r="E1140" s="101">
        <f t="shared" ca="1" si="70"/>
        <v>0</v>
      </c>
      <c r="F1140" s="21">
        <f t="shared" ca="1" si="71"/>
        <v>0</v>
      </c>
      <c r="H1140" s="21">
        <v>1125</v>
      </c>
      <c r="I1140" s="102">
        <v>0.66773574529281821</v>
      </c>
      <c r="J1140" s="103">
        <v>1.4362180595519614E-3</v>
      </c>
      <c r="K1140" s="103"/>
      <c r="L1140" s="103">
        <v>4.1000000000000002E-2</v>
      </c>
      <c r="O1140" s="100"/>
    </row>
    <row r="1141" spans="2:15" x14ac:dyDescent="0.2">
      <c r="B1141" s="1">
        <v>1126</v>
      </c>
      <c r="C1141" s="101">
        <f t="shared" ca="1" si="68"/>
        <v>1.4764045720974137</v>
      </c>
      <c r="D1141" s="101">
        <f t="shared" ca="1" si="69"/>
        <v>0.76867837222598501</v>
      </c>
      <c r="E1141" s="101">
        <f t="shared" ca="1" si="70"/>
        <v>0</v>
      </c>
      <c r="F1141" s="21">
        <f t="shared" ca="1" si="71"/>
        <v>0</v>
      </c>
      <c r="H1141" s="21">
        <v>1126</v>
      </c>
      <c r="I1141" s="102">
        <v>0.66782313788066028</v>
      </c>
      <c r="J1141" s="103">
        <v>1.5054558532513604E-3</v>
      </c>
      <c r="K1141" s="103"/>
      <c r="L1141" s="103">
        <v>4.24E-2</v>
      </c>
      <c r="O1141" s="100"/>
    </row>
    <row r="1142" spans="2:15" x14ac:dyDescent="0.2">
      <c r="B1142" s="1">
        <v>1127</v>
      </c>
      <c r="C1142" s="101">
        <f t="shared" ca="1" si="68"/>
        <v>0.36092886673807539</v>
      </c>
      <c r="D1142" s="101">
        <f t="shared" ca="1" si="69"/>
        <v>0.68858628811252709</v>
      </c>
      <c r="E1142" s="101">
        <f t="shared" ca="1" si="70"/>
        <v>0</v>
      </c>
      <c r="F1142" s="21">
        <f t="shared" ca="1" si="71"/>
        <v>0</v>
      </c>
      <c r="H1142" s="21">
        <v>1127</v>
      </c>
      <c r="I1142" s="102">
        <v>0.66775795479741273</v>
      </c>
      <c r="J1142" s="103">
        <v>1.3634217711348774E-3</v>
      </c>
      <c r="K1142" s="103"/>
      <c r="L1142" s="103">
        <v>4.3200000000000002E-2</v>
      </c>
      <c r="O1142" s="100"/>
    </row>
    <row r="1143" spans="2:15" x14ac:dyDescent="0.2">
      <c r="B1143" s="1">
        <v>1128</v>
      </c>
      <c r="C1143" s="101">
        <f t="shared" ca="1" si="68"/>
        <v>-0.18987671827520536</v>
      </c>
      <c r="D1143" s="101">
        <f t="shared" ca="1" si="69"/>
        <v>0.65217207437381675</v>
      </c>
      <c r="E1143" s="101">
        <f t="shared" ca="1" si="70"/>
        <v>0</v>
      </c>
      <c r="F1143" s="21">
        <f t="shared" ca="1" si="71"/>
        <v>0</v>
      </c>
      <c r="H1143" s="21">
        <v>1128</v>
      </c>
      <c r="I1143" s="102">
        <v>0.66774987576667266</v>
      </c>
      <c r="J1143" s="103">
        <v>1.3965128835156855E-3</v>
      </c>
      <c r="K1143" s="103"/>
      <c r="L1143" s="103">
        <v>4.1799999999999997E-2</v>
      </c>
      <c r="O1143" s="100"/>
    </row>
    <row r="1144" spans="2:15" x14ac:dyDescent="0.2">
      <c r="B1144" s="1">
        <v>1129</v>
      </c>
      <c r="C1144" s="101">
        <f t="shared" ca="1" si="68"/>
        <v>-1.386892500459741</v>
      </c>
      <c r="D1144" s="101">
        <f t="shared" ca="1" si="69"/>
        <v>0.57953915139220158</v>
      </c>
      <c r="E1144" s="101">
        <f t="shared" ca="1" si="70"/>
        <v>0</v>
      </c>
      <c r="F1144" s="21">
        <f t="shared" ca="1" si="71"/>
        <v>0</v>
      </c>
      <c r="H1144" s="21">
        <v>1129</v>
      </c>
      <c r="I1144" s="102">
        <v>0.66782603932291895</v>
      </c>
      <c r="J1144" s="103">
        <v>1.4602395378306057E-3</v>
      </c>
      <c r="K1144" s="103"/>
      <c r="L1144" s="103">
        <v>4.5999999999999999E-2</v>
      </c>
      <c r="O1144" s="100"/>
    </row>
    <row r="1145" spans="2:15" x14ac:dyDescent="0.2">
      <c r="B1145" s="1">
        <v>1130</v>
      </c>
      <c r="C1145" s="101">
        <f t="shared" ca="1" si="68"/>
        <v>-0.27797368076399609</v>
      </c>
      <c r="D1145" s="101">
        <f t="shared" ca="1" si="69"/>
        <v>0.64652925185808041</v>
      </c>
      <c r="E1145" s="101">
        <f t="shared" ca="1" si="70"/>
        <v>0</v>
      </c>
      <c r="F1145" s="21">
        <f t="shared" ca="1" si="71"/>
        <v>0</v>
      </c>
      <c r="H1145" s="21">
        <v>1130</v>
      </c>
      <c r="I1145" s="102">
        <v>0.66766052199538062</v>
      </c>
      <c r="J1145" s="103">
        <v>1.3121643237515896E-3</v>
      </c>
      <c r="K1145" s="103"/>
      <c r="L1145" s="103">
        <v>3.8600000000000002E-2</v>
      </c>
      <c r="O1145" s="100"/>
    </row>
    <row r="1146" spans="2:15" x14ac:dyDescent="0.2">
      <c r="B1146" s="1">
        <v>1131</v>
      </c>
      <c r="C1146" s="101">
        <f t="shared" ca="1" si="68"/>
        <v>0.50550045683248068</v>
      </c>
      <c r="D1146" s="101">
        <f t="shared" ca="1" si="69"/>
        <v>0.69847638594487782</v>
      </c>
      <c r="E1146" s="101">
        <f t="shared" ca="1" si="70"/>
        <v>0</v>
      </c>
      <c r="F1146" s="21">
        <f t="shared" ca="1" si="71"/>
        <v>0</v>
      </c>
      <c r="H1146" s="21">
        <v>1131</v>
      </c>
      <c r="I1146" s="102">
        <v>0.66772467664024571</v>
      </c>
      <c r="J1146" s="103">
        <v>1.2408526296977E-3</v>
      </c>
      <c r="K1146" s="103"/>
      <c r="L1146" s="103">
        <v>3.9399999999999998E-2</v>
      </c>
      <c r="O1146" s="100"/>
    </row>
    <row r="1147" spans="2:15" x14ac:dyDescent="0.2">
      <c r="B1147" s="1">
        <v>1132</v>
      </c>
      <c r="C1147" s="101">
        <f t="shared" ca="1" si="68"/>
        <v>-0.91264634769785757</v>
      </c>
      <c r="D1147" s="101">
        <f t="shared" ca="1" si="69"/>
        <v>0.60729428380617922</v>
      </c>
      <c r="E1147" s="101">
        <f t="shared" ca="1" si="70"/>
        <v>0</v>
      </c>
      <c r="F1147" s="21">
        <f t="shared" ca="1" si="71"/>
        <v>0</v>
      </c>
      <c r="H1147" s="21">
        <v>1132</v>
      </c>
      <c r="I1147" s="102">
        <v>0.66762936475811052</v>
      </c>
      <c r="J1147" s="103">
        <v>1.2283433079493327E-3</v>
      </c>
      <c r="K1147" s="103"/>
      <c r="L1147" s="103">
        <v>3.9199999999999999E-2</v>
      </c>
      <c r="O1147" s="100"/>
    </row>
    <row r="1148" spans="2:15" x14ac:dyDescent="0.2">
      <c r="B1148" s="1">
        <v>1133</v>
      </c>
      <c r="C1148" s="101">
        <f t="shared" ca="1" si="68"/>
        <v>-1.9126470072870532</v>
      </c>
      <c r="D1148" s="101">
        <f t="shared" ca="1" si="69"/>
        <v>0.55024965837870676</v>
      </c>
      <c r="E1148" s="101">
        <f t="shared" ca="1" si="70"/>
        <v>0</v>
      </c>
      <c r="F1148" s="21">
        <f t="shared" ca="1" si="71"/>
        <v>0</v>
      </c>
      <c r="H1148" s="21">
        <v>1133</v>
      </c>
      <c r="I1148" s="102">
        <v>0.66759860294685081</v>
      </c>
      <c r="J1148" s="103">
        <v>1.2571660320132823E-3</v>
      </c>
      <c r="K1148" s="103"/>
      <c r="L1148" s="103">
        <v>3.8199999999999998E-2</v>
      </c>
      <c r="O1148" s="100"/>
    </row>
    <row r="1149" spans="2:15" x14ac:dyDescent="0.2">
      <c r="B1149" s="1">
        <v>1134</v>
      </c>
      <c r="C1149" s="101">
        <f t="shared" ca="1" si="68"/>
        <v>-1.2407593056033888</v>
      </c>
      <c r="D1149" s="101">
        <f t="shared" ca="1" si="69"/>
        <v>0.58795357648111202</v>
      </c>
      <c r="E1149" s="101">
        <f t="shared" ca="1" si="70"/>
        <v>0</v>
      </c>
      <c r="F1149" s="21">
        <f t="shared" ca="1" si="71"/>
        <v>0</v>
      </c>
      <c r="H1149" s="21">
        <v>1134</v>
      </c>
      <c r="I1149" s="102">
        <v>0.66791609978979216</v>
      </c>
      <c r="J1149" s="103">
        <v>1.772476124078586E-3</v>
      </c>
      <c r="K1149" s="103"/>
      <c r="L1149" s="103">
        <v>4.48E-2</v>
      </c>
      <c r="O1149" s="100"/>
    </row>
    <row r="1150" spans="2:15" x14ac:dyDescent="0.2">
      <c r="B1150" s="1">
        <v>1135</v>
      </c>
      <c r="C1150" s="101">
        <f t="shared" ca="1" si="68"/>
        <v>2.7313065475065752</v>
      </c>
      <c r="D1150" s="101">
        <f t="shared" ca="1" si="69"/>
        <v>0.86996922286057587</v>
      </c>
      <c r="E1150" s="101">
        <f t="shared" ca="1" si="70"/>
        <v>8.1769222860575863E-2</v>
      </c>
      <c r="F1150" s="21">
        <f t="shared" ca="1" si="71"/>
        <v>1</v>
      </c>
      <c r="H1150" s="21">
        <v>1135</v>
      </c>
      <c r="I1150" s="102">
        <v>0.667655006791945</v>
      </c>
      <c r="J1150" s="103">
        <v>1.3965591629986611E-3</v>
      </c>
      <c r="K1150" s="103"/>
      <c r="L1150" s="103">
        <v>4.2799999999999998E-2</v>
      </c>
      <c r="O1150" s="100"/>
    </row>
    <row r="1151" spans="2:15" x14ac:dyDescent="0.2">
      <c r="B1151" s="1">
        <v>1136</v>
      </c>
      <c r="C1151" s="101">
        <f t="shared" ca="1" si="68"/>
        <v>0.29451144634684606</v>
      </c>
      <c r="D1151" s="101">
        <f t="shared" ca="1" si="69"/>
        <v>0.68408975898648816</v>
      </c>
      <c r="E1151" s="101">
        <f t="shared" ca="1" si="70"/>
        <v>0</v>
      </c>
      <c r="F1151" s="21">
        <f t="shared" ca="1" si="71"/>
        <v>0</v>
      </c>
      <c r="H1151" s="21">
        <v>1136</v>
      </c>
      <c r="I1151" s="102">
        <v>0.66776827508431924</v>
      </c>
      <c r="J1151" s="103">
        <v>1.4507043683923062E-3</v>
      </c>
      <c r="K1151" s="103"/>
      <c r="L1151" s="103">
        <v>4.36E-2</v>
      </c>
      <c r="O1151" s="100"/>
    </row>
    <row r="1152" spans="2:15" x14ac:dyDescent="0.2">
      <c r="B1152" s="1">
        <v>1137</v>
      </c>
      <c r="C1152" s="101">
        <f t="shared" ca="1" si="68"/>
        <v>-0.37003935184582415</v>
      </c>
      <c r="D1152" s="101">
        <f t="shared" ca="1" si="69"/>
        <v>0.64068438965245011</v>
      </c>
      <c r="E1152" s="101">
        <f t="shared" ca="1" si="70"/>
        <v>0</v>
      </c>
      <c r="F1152" s="21">
        <f t="shared" ca="1" si="71"/>
        <v>0</v>
      </c>
      <c r="H1152" s="21">
        <v>1137</v>
      </c>
      <c r="I1152" s="102">
        <v>0.6679185384467613</v>
      </c>
      <c r="J1152" s="103">
        <v>1.6092197549093146E-3</v>
      </c>
      <c r="K1152" s="103"/>
      <c r="L1152" s="103">
        <v>4.3999999999999997E-2</v>
      </c>
      <c r="O1152" s="100"/>
    </row>
    <row r="1153" spans="2:15" x14ac:dyDescent="0.2">
      <c r="B1153" s="1">
        <v>1138</v>
      </c>
      <c r="C1153" s="101">
        <f t="shared" ca="1" si="68"/>
        <v>-0.41292004390457504</v>
      </c>
      <c r="D1153" s="101">
        <f t="shared" ca="1" si="69"/>
        <v>0.63798014075327136</v>
      </c>
      <c r="E1153" s="101">
        <f t="shared" ca="1" si="70"/>
        <v>0</v>
      </c>
      <c r="F1153" s="21">
        <f t="shared" ca="1" si="71"/>
        <v>0</v>
      </c>
      <c r="H1153" s="21">
        <v>1138</v>
      </c>
      <c r="I1153" s="102">
        <v>0.66761341083783854</v>
      </c>
      <c r="J1153" s="103">
        <v>1.2326197312547864E-3</v>
      </c>
      <c r="K1153" s="103"/>
      <c r="L1153" s="103">
        <v>3.9E-2</v>
      </c>
      <c r="O1153" s="100"/>
    </row>
    <row r="1154" spans="2:15" x14ac:dyDescent="0.2">
      <c r="B1154" s="1">
        <v>1139</v>
      </c>
      <c r="C1154" s="101">
        <f t="shared" ca="1" si="68"/>
        <v>0.8117044012342286</v>
      </c>
      <c r="D1154" s="101">
        <f t="shared" ca="1" si="69"/>
        <v>0.7198952637022773</v>
      </c>
      <c r="E1154" s="101">
        <f t="shared" ca="1" si="70"/>
        <v>0</v>
      </c>
      <c r="F1154" s="21">
        <f t="shared" ca="1" si="71"/>
        <v>0</v>
      </c>
      <c r="H1154" s="21">
        <v>1139</v>
      </c>
      <c r="I1154" s="102">
        <v>0.66770953755196139</v>
      </c>
      <c r="J1154" s="103">
        <v>1.2575148621899825E-3</v>
      </c>
      <c r="K1154" s="103"/>
      <c r="L1154" s="103">
        <v>4.3999999999999997E-2</v>
      </c>
      <c r="O1154" s="100"/>
    </row>
    <row r="1155" spans="2:15" x14ac:dyDescent="0.2">
      <c r="B1155" s="1">
        <v>1140</v>
      </c>
      <c r="C1155" s="101">
        <f t="shared" ca="1" si="68"/>
        <v>-5.3133324879728112E-2</v>
      </c>
      <c r="D1155" s="101">
        <f t="shared" ca="1" si="69"/>
        <v>0.66102852581956251</v>
      </c>
      <c r="E1155" s="101">
        <f t="shared" ca="1" si="70"/>
        <v>0</v>
      </c>
      <c r="F1155" s="21">
        <f t="shared" ca="1" si="71"/>
        <v>0</v>
      </c>
      <c r="H1155" s="21">
        <v>1140</v>
      </c>
      <c r="I1155" s="102">
        <v>0.66774362091904582</v>
      </c>
      <c r="J1155" s="103">
        <v>1.5143368353073814E-3</v>
      </c>
      <c r="K1155" s="103"/>
      <c r="L1155" s="103">
        <v>4.2000000000000003E-2</v>
      </c>
      <c r="O1155" s="100"/>
    </row>
    <row r="1156" spans="2:15" x14ac:dyDescent="0.2">
      <c r="B1156" s="1">
        <v>1141</v>
      </c>
      <c r="C1156" s="101">
        <f t="shared" ca="1" si="68"/>
        <v>-0.65545037840761533</v>
      </c>
      <c r="D1156" s="101">
        <f t="shared" ca="1" si="69"/>
        <v>0.6228985358879463</v>
      </c>
      <c r="E1156" s="101">
        <f t="shared" ca="1" si="70"/>
        <v>0</v>
      </c>
      <c r="F1156" s="21">
        <f t="shared" ca="1" si="71"/>
        <v>0</v>
      </c>
      <c r="H1156" s="21">
        <v>1141</v>
      </c>
      <c r="I1156" s="102">
        <v>0.66772424615361647</v>
      </c>
      <c r="J1156" s="103">
        <v>1.4056850979016289E-3</v>
      </c>
      <c r="K1156" s="103"/>
      <c r="L1156" s="103">
        <v>4.1000000000000002E-2</v>
      </c>
      <c r="O1156" s="100"/>
    </row>
    <row r="1157" spans="2:15" x14ac:dyDescent="0.2">
      <c r="B1157" s="1">
        <v>1142</v>
      </c>
      <c r="C1157" s="101">
        <f t="shared" ca="1" si="68"/>
        <v>-0.82712200804590608</v>
      </c>
      <c r="D1157" s="101">
        <f t="shared" ca="1" si="69"/>
        <v>0.61243923212295592</v>
      </c>
      <c r="E1157" s="101">
        <f t="shared" ca="1" si="70"/>
        <v>0</v>
      </c>
      <c r="F1157" s="21">
        <f t="shared" ca="1" si="71"/>
        <v>0</v>
      </c>
      <c r="H1157" s="21">
        <v>1142</v>
      </c>
      <c r="I1157" s="102">
        <v>0.6677119050793936</v>
      </c>
      <c r="J1157" s="103">
        <v>1.3126506413757523E-3</v>
      </c>
      <c r="K1157" s="103"/>
      <c r="L1157" s="103">
        <v>4.0399999999999998E-2</v>
      </c>
      <c r="O1157" s="100"/>
    </row>
    <row r="1158" spans="2:15" x14ac:dyDescent="0.2">
      <c r="B1158" s="1">
        <v>1143</v>
      </c>
      <c r="C1158" s="101">
        <f t="shared" ca="1" si="68"/>
        <v>-1.3744021433974405</v>
      </c>
      <c r="D1158" s="101">
        <f t="shared" ca="1" si="69"/>
        <v>0.58025362156354132</v>
      </c>
      <c r="E1158" s="101">
        <f t="shared" ca="1" si="70"/>
        <v>0</v>
      </c>
      <c r="F1158" s="21">
        <f t="shared" ca="1" si="71"/>
        <v>0</v>
      </c>
      <c r="H1158" s="21">
        <v>1143</v>
      </c>
      <c r="I1158" s="102">
        <v>0.66778398253570259</v>
      </c>
      <c r="J1158" s="103">
        <v>1.4281756450654122E-3</v>
      </c>
      <c r="K1158" s="103"/>
      <c r="L1158" s="103">
        <v>4.1599999999999998E-2</v>
      </c>
      <c r="O1158" s="100"/>
    </row>
    <row r="1159" spans="2:15" x14ac:dyDescent="0.2">
      <c r="B1159" s="1">
        <v>1144</v>
      </c>
      <c r="C1159" s="101">
        <f t="shared" ca="1" si="68"/>
        <v>0.15985777254889535</v>
      </c>
      <c r="D1159" s="101">
        <f t="shared" ca="1" si="69"/>
        <v>0.67506347176674564</v>
      </c>
      <c r="E1159" s="101">
        <f t="shared" ca="1" si="70"/>
        <v>0</v>
      </c>
      <c r="F1159" s="21">
        <f t="shared" ca="1" si="71"/>
        <v>0</v>
      </c>
      <c r="H1159" s="21">
        <v>1144</v>
      </c>
      <c r="I1159" s="102">
        <v>0.66773315201628869</v>
      </c>
      <c r="J1159" s="103">
        <v>1.4470097891999397E-3</v>
      </c>
      <c r="K1159" s="103"/>
      <c r="L1159" s="103">
        <v>4.4999999999999998E-2</v>
      </c>
      <c r="O1159" s="100"/>
    </row>
    <row r="1160" spans="2:15" x14ac:dyDescent="0.2">
      <c r="B1160" s="1">
        <v>1145</v>
      </c>
      <c r="C1160" s="101">
        <f t="shared" ca="1" si="68"/>
        <v>0.67952646352632884</v>
      </c>
      <c r="D1160" s="101">
        <f t="shared" ca="1" si="69"/>
        <v>0.71057004439951565</v>
      </c>
      <c r="E1160" s="101">
        <f t="shared" ca="1" si="70"/>
        <v>0</v>
      </c>
      <c r="F1160" s="21">
        <f t="shared" ca="1" si="71"/>
        <v>0</v>
      </c>
      <c r="H1160" s="21">
        <v>1145</v>
      </c>
      <c r="I1160" s="102">
        <v>0.66785942987045288</v>
      </c>
      <c r="J1160" s="103">
        <v>1.4058178130409739E-3</v>
      </c>
      <c r="K1160" s="103"/>
      <c r="L1160" s="103">
        <v>4.0399999999999998E-2</v>
      </c>
      <c r="O1160" s="100"/>
    </row>
    <row r="1161" spans="2:15" x14ac:dyDescent="0.2">
      <c r="B1161" s="1">
        <v>1146</v>
      </c>
      <c r="C1161" s="101">
        <f t="shared" ca="1" si="68"/>
        <v>-0.2003921457765088</v>
      </c>
      <c r="D1161" s="101">
        <f t="shared" ca="1" si="69"/>
        <v>0.65149595588045139</v>
      </c>
      <c r="E1161" s="101">
        <f t="shared" ca="1" si="70"/>
        <v>0</v>
      </c>
      <c r="F1161" s="21">
        <f t="shared" ca="1" si="71"/>
        <v>0</v>
      </c>
      <c r="H1161" s="21">
        <v>1146</v>
      </c>
      <c r="I1161" s="102">
        <v>0.66774982372031211</v>
      </c>
      <c r="J1161" s="103">
        <v>1.4168492412676044E-3</v>
      </c>
      <c r="K1161" s="103"/>
      <c r="L1161" s="103">
        <v>4.2000000000000003E-2</v>
      </c>
      <c r="O1161" s="100"/>
    </row>
    <row r="1162" spans="2:15" x14ac:dyDescent="0.2">
      <c r="B1162" s="1">
        <v>1147</v>
      </c>
      <c r="C1162" s="101">
        <f t="shared" ca="1" si="68"/>
        <v>0.41462481502047083</v>
      </c>
      <c r="D1162" s="101">
        <f t="shared" ca="1" si="69"/>
        <v>0.69224315747392695</v>
      </c>
      <c r="E1162" s="101">
        <f t="shared" ca="1" si="70"/>
        <v>0</v>
      </c>
      <c r="F1162" s="21">
        <f t="shared" ca="1" si="71"/>
        <v>0</v>
      </c>
      <c r="H1162" s="21">
        <v>1147</v>
      </c>
      <c r="I1162" s="102">
        <v>0.66776450012943867</v>
      </c>
      <c r="J1162" s="103">
        <v>1.3746197900487505E-3</v>
      </c>
      <c r="K1162" s="103"/>
      <c r="L1162" s="103">
        <v>4.2599999999999999E-2</v>
      </c>
      <c r="O1162" s="100"/>
    </row>
    <row r="1163" spans="2:15" x14ac:dyDescent="0.2">
      <c r="B1163" s="1">
        <v>1148</v>
      </c>
      <c r="C1163" s="101">
        <f t="shared" ca="1" si="68"/>
        <v>0.75124883280384092</v>
      </c>
      <c r="D1163" s="101">
        <f t="shared" ca="1" si="69"/>
        <v>0.71561500292171387</v>
      </c>
      <c r="E1163" s="101">
        <f t="shared" ca="1" si="70"/>
        <v>0</v>
      </c>
      <c r="F1163" s="21">
        <f t="shared" ca="1" si="71"/>
        <v>0</v>
      </c>
      <c r="H1163" s="21">
        <v>1148</v>
      </c>
      <c r="I1163" s="102">
        <v>0.66776250004984661</v>
      </c>
      <c r="J1163" s="103">
        <v>1.3542184835889112E-3</v>
      </c>
      <c r="K1163" s="103"/>
      <c r="L1163" s="103">
        <v>4.1799999999999997E-2</v>
      </c>
      <c r="O1163" s="100"/>
    </row>
    <row r="1164" spans="2:15" x14ac:dyDescent="0.2">
      <c r="B1164" s="1">
        <v>1149</v>
      </c>
      <c r="C1164" s="101">
        <f t="shared" ca="1" si="68"/>
        <v>0.82933151167724484</v>
      </c>
      <c r="D1164" s="101">
        <f t="shared" ca="1" si="69"/>
        <v>0.72114807875985609</v>
      </c>
      <c r="E1164" s="101">
        <f t="shared" ca="1" si="70"/>
        <v>0</v>
      </c>
      <c r="F1164" s="21">
        <f t="shared" ca="1" si="71"/>
        <v>0</v>
      </c>
      <c r="H1164" s="21">
        <v>1149</v>
      </c>
      <c r="I1164" s="102">
        <v>0.66769245981403835</v>
      </c>
      <c r="J1164" s="103">
        <v>1.3274155245236938E-3</v>
      </c>
      <c r="K1164" s="103"/>
      <c r="L1164" s="103">
        <v>4.0800000000000003E-2</v>
      </c>
      <c r="O1164" s="100"/>
    </row>
    <row r="1165" spans="2:15" x14ac:dyDescent="0.2">
      <c r="B1165" s="1">
        <v>1150</v>
      </c>
      <c r="C1165" s="101">
        <f t="shared" ca="1" si="68"/>
        <v>0.22568982383583622</v>
      </c>
      <c r="D1165" s="101">
        <f t="shared" ca="1" si="69"/>
        <v>0.67946143669999393</v>
      </c>
      <c r="E1165" s="101">
        <f t="shared" ca="1" si="70"/>
        <v>0</v>
      </c>
      <c r="F1165" s="21">
        <f t="shared" ca="1" si="71"/>
        <v>0</v>
      </c>
      <c r="H1165" s="21">
        <v>1150</v>
      </c>
      <c r="I1165" s="102">
        <v>0.66777451013177214</v>
      </c>
      <c r="J1165" s="103">
        <v>1.4112849990564546E-3</v>
      </c>
      <c r="K1165" s="103"/>
      <c r="L1165" s="103">
        <v>4.1000000000000002E-2</v>
      </c>
      <c r="O1165" s="100"/>
    </row>
    <row r="1166" spans="2:15" x14ac:dyDescent="0.2">
      <c r="B1166" s="1">
        <v>1151</v>
      </c>
      <c r="C1166" s="101">
        <f t="shared" ca="1" si="68"/>
        <v>0.62681728890603428</v>
      </c>
      <c r="D1166" s="101">
        <f t="shared" ca="1" si="69"/>
        <v>0.70688516323979833</v>
      </c>
      <c r="E1166" s="101">
        <f t="shared" ca="1" si="70"/>
        <v>0</v>
      </c>
      <c r="F1166" s="21">
        <f t="shared" ca="1" si="71"/>
        <v>0</v>
      </c>
      <c r="H1166" s="21">
        <v>1151</v>
      </c>
      <c r="I1166" s="102">
        <v>0.66781072643274486</v>
      </c>
      <c r="J1166" s="103">
        <v>1.4758136565728461E-3</v>
      </c>
      <c r="K1166" s="103"/>
      <c r="L1166" s="103">
        <v>4.4200000000000003E-2</v>
      </c>
      <c r="O1166" s="100"/>
    </row>
    <row r="1167" spans="2:15" x14ac:dyDescent="0.2">
      <c r="B1167" s="1">
        <v>1152</v>
      </c>
      <c r="C1167" s="101">
        <f t="shared" ca="1" si="68"/>
        <v>0.33904115430137549</v>
      </c>
      <c r="D1167" s="101">
        <f t="shared" ca="1" si="69"/>
        <v>0.68710121135363733</v>
      </c>
      <c r="E1167" s="101">
        <f t="shared" ca="1" si="70"/>
        <v>0</v>
      </c>
      <c r="F1167" s="21">
        <f t="shared" ca="1" si="71"/>
        <v>0</v>
      </c>
      <c r="H1167" s="21">
        <v>1152</v>
      </c>
      <c r="I1167" s="102">
        <v>0.66781675837763854</v>
      </c>
      <c r="J1167" s="103">
        <v>1.4584841129019128E-3</v>
      </c>
      <c r="K1167" s="103"/>
      <c r="L1167" s="103">
        <v>4.3200000000000002E-2</v>
      </c>
      <c r="O1167" s="100"/>
    </row>
    <row r="1168" spans="2:15" x14ac:dyDescent="0.2">
      <c r="B1168" s="1">
        <v>1153</v>
      </c>
      <c r="C1168" s="101">
        <f t="shared" ref="C1168:C1231" ca="1" si="72">_xlfn.NORM.S.INV(RAND())</f>
        <v>1.526313032723567</v>
      </c>
      <c r="D1168" s="101">
        <f t="shared" ref="D1168:D1231" ca="1" si="73">S0*EXP((μ-0.5*σ*σ)*T+σ*SQRT(T)*$C1168)</f>
        <v>0.77247193434170169</v>
      </c>
      <c r="E1168" s="101">
        <f t="shared" ref="E1168:E1231" ca="1" si="74">MAX(0,CP*(D1168-K))</f>
        <v>0</v>
      </c>
      <c r="F1168" s="21">
        <f t="shared" ref="F1168:F1231" ca="1" si="75">(CP*(D1168-K)&gt;0)*1</f>
        <v>0</v>
      </c>
      <c r="H1168" s="21">
        <v>1153</v>
      </c>
      <c r="I1168" s="102">
        <v>0.66756334324280964</v>
      </c>
      <c r="J1168" s="103">
        <v>1.1609235809792995E-3</v>
      </c>
      <c r="K1168" s="103"/>
      <c r="L1168" s="103">
        <v>3.56E-2</v>
      </c>
      <c r="O1168" s="100"/>
    </row>
    <row r="1169" spans="2:15" x14ac:dyDescent="0.2">
      <c r="B1169" s="1">
        <v>1154</v>
      </c>
      <c r="C1169" s="101">
        <f t="shared" ca="1" si="72"/>
        <v>-1.378798247677764</v>
      </c>
      <c r="D1169" s="101">
        <f t="shared" ca="1" si="73"/>
        <v>0.58000205635014856</v>
      </c>
      <c r="E1169" s="101">
        <f t="shared" ca="1" si="74"/>
        <v>0</v>
      </c>
      <c r="F1169" s="21">
        <f t="shared" ca="1" si="75"/>
        <v>0</v>
      </c>
      <c r="H1169" s="21">
        <v>1154</v>
      </c>
      <c r="I1169" s="102">
        <v>0.66773439994504535</v>
      </c>
      <c r="J1169" s="103">
        <v>1.3712679066446817E-3</v>
      </c>
      <c r="K1169" s="103"/>
      <c r="L1169" s="103">
        <v>4.1599999999999998E-2</v>
      </c>
      <c r="O1169" s="100"/>
    </row>
    <row r="1170" spans="2:15" x14ac:dyDescent="0.2">
      <c r="B1170" s="1">
        <v>1155</v>
      </c>
      <c r="C1170" s="101">
        <f t="shared" ca="1" si="72"/>
        <v>-9.4268322166214794E-2</v>
      </c>
      <c r="D1170" s="101">
        <f t="shared" ca="1" si="73"/>
        <v>0.65835176372330451</v>
      </c>
      <c r="E1170" s="101">
        <f t="shared" ca="1" si="74"/>
        <v>0</v>
      </c>
      <c r="F1170" s="21">
        <f t="shared" ca="1" si="75"/>
        <v>0</v>
      </c>
      <c r="H1170" s="21">
        <v>1155</v>
      </c>
      <c r="I1170" s="102">
        <v>0.6678229293692175</v>
      </c>
      <c r="J1170" s="103">
        <v>1.4068761855827593E-3</v>
      </c>
      <c r="K1170" s="103"/>
      <c r="L1170" s="103">
        <v>4.1000000000000002E-2</v>
      </c>
      <c r="O1170" s="100"/>
    </row>
    <row r="1171" spans="2:15" x14ac:dyDescent="0.2">
      <c r="B1171" s="1">
        <v>1156</v>
      </c>
      <c r="C1171" s="101">
        <f t="shared" ca="1" si="72"/>
        <v>-0.20431329969694931</v>
      </c>
      <c r="D1171" s="101">
        <f t="shared" ca="1" si="73"/>
        <v>0.6512440139063107</v>
      </c>
      <c r="E1171" s="101">
        <f t="shared" ca="1" si="74"/>
        <v>0</v>
      </c>
      <c r="F1171" s="21">
        <f t="shared" ca="1" si="75"/>
        <v>0</v>
      </c>
      <c r="H1171" s="21">
        <v>1156</v>
      </c>
      <c r="I1171" s="102">
        <v>0.66781127181999222</v>
      </c>
      <c r="J1171" s="103">
        <v>1.4368726059131032E-3</v>
      </c>
      <c r="K1171" s="103"/>
      <c r="L1171" s="103">
        <v>4.3999999999999997E-2</v>
      </c>
      <c r="O1171" s="100"/>
    </row>
    <row r="1172" spans="2:15" x14ac:dyDescent="0.2">
      <c r="B1172" s="1">
        <v>1157</v>
      </c>
      <c r="C1172" s="101">
        <f t="shared" ca="1" si="72"/>
        <v>-0.36873230506956184</v>
      </c>
      <c r="D1172" s="101">
        <f t="shared" ca="1" si="73"/>
        <v>0.64076699766435108</v>
      </c>
      <c r="E1172" s="101">
        <f t="shared" ca="1" si="74"/>
        <v>0</v>
      </c>
      <c r="F1172" s="21">
        <f t="shared" ca="1" si="75"/>
        <v>0</v>
      </c>
      <c r="H1172" s="21">
        <v>1157</v>
      </c>
      <c r="I1172" s="102">
        <v>0.66776758119429791</v>
      </c>
      <c r="J1172" s="103">
        <v>1.3568794452805193E-3</v>
      </c>
      <c r="K1172" s="103"/>
      <c r="L1172" s="103">
        <v>4.2799999999999998E-2</v>
      </c>
      <c r="O1172" s="100"/>
    </row>
    <row r="1173" spans="2:15" x14ac:dyDescent="0.2">
      <c r="B1173" s="1">
        <v>1158</v>
      </c>
      <c r="C1173" s="101">
        <f t="shared" ca="1" si="72"/>
        <v>-0.478791256414623</v>
      </c>
      <c r="D1173" s="101">
        <f t="shared" ca="1" si="73"/>
        <v>0.63384822420693243</v>
      </c>
      <c r="E1173" s="101">
        <f t="shared" ca="1" si="74"/>
        <v>0</v>
      </c>
      <c r="F1173" s="21">
        <f t="shared" ca="1" si="75"/>
        <v>0</v>
      </c>
      <c r="H1173" s="21">
        <v>1158</v>
      </c>
      <c r="I1173" s="102">
        <v>0.66764672332190989</v>
      </c>
      <c r="J1173" s="103">
        <v>1.2619310496834353E-3</v>
      </c>
      <c r="K1173" s="103"/>
      <c r="L1173" s="103">
        <v>4.1000000000000002E-2</v>
      </c>
      <c r="O1173" s="100"/>
    </row>
    <row r="1174" spans="2:15" x14ac:dyDescent="0.2">
      <c r="B1174" s="1">
        <v>1159</v>
      </c>
      <c r="C1174" s="101">
        <f t="shared" ca="1" si="72"/>
        <v>-0.20318736275996871</v>
      </c>
      <c r="D1174" s="101">
        <f t="shared" ca="1" si="73"/>
        <v>0.65131634763104618</v>
      </c>
      <c r="E1174" s="101">
        <f t="shared" ca="1" si="74"/>
        <v>0</v>
      </c>
      <c r="F1174" s="21">
        <f t="shared" ca="1" si="75"/>
        <v>0</v>
      </c>
      <c r="H1174" s="21">
        <v>1159</v>
      </c>
      <c r="I1174" s="102">
        <v>0.66786240043452672</v>
      </c>
      <c r="J1174" s="103">
        <v>1.4327254790880801E-3</v>
      </c>
      <c r="K1174" s="103"/>
      <c r="L1174" s="103">
        <v>4.3999999999999997E-2</v>
      </c>
      <c r="O1174" s="100"/>
    </row>
    <row r="1175" spans="2:15" x14ac:dyDescent="0.2">
      <c r="B1175" s="1">
        <v>1160</v>
      </c>
      <c r="C1175" s="101">
        <f t="shared" ca="1" si="72"/>
        <v>-0.97734118054882724</v>
      </c>
      <c r="D1175" s="101">
        <f t="shared" ca="1" si="73"/>
        <v>0.60343112392144194</v>
      </c>
      <c r="E1175" s="101">
        <f t="shared" ca="1" si="74"/>
        <v>0</v>
      </c>
      <c r="F1175" s="21">
        <f t="shared" ca="1" si="75"/>
        <v>0</v>
      </c>
      <c r="H1175" s="21">
        <v>1160</v>
      </c>
      <c r="I1175" s="102">
        <v>0.66776119167445269</v>
      </c>
      <c r="J1175" s="103">
        <v>1.4637855855838058E-3</v>
      </c>
      <c r="K1175" s="103"/>
      <c r="L1175" s="103">
        <v>4.2200000000000001E-2</v>
      </c>
      <c r="O1175" s="100"/>
    </row>
    <row r="1176" spans="2:15" x14ac:dyDescent="0.2">
      <c r="B1176" s="1">
        <v>1161</v>
      </c>
      <c r="C1176" s="101">
        <f t="shared" ca="1" si="72"/>
        <v>0.42303177050356017</v>
      </c>
      <c r="D1176" s="101">
        <f t="shared" ca="1" si="73"/>
        <v>0.69281745428776886</v>
      </c>
      <c r="E1176" s="101">
        <f t="shared" ca="1" si="74"/>
        <v>0</v>
      </c>
      <c r="F1176" s="21">
        <f t="shared" ca="1" si="75"/>
        <v>0</v>
      </c>
      <c r="H1176" s="21">
        <v>1161</v>
      </c>
      <c r="I1176" s="102">
        <v>0.6678942111821411</v>
      </c>
      <c r="J1176" s="103">
        <v>1.4929271990512575E-3</v>
      </c>
      <c r="K1176" s="103"/>
      <c r="L1176" s="103">
        <v>4.5999999999999999E-2</v>
      </c>
      <c r="O1176" s="100"/>
    </row>
    <row r="1177" spans="2:15" x14ac:dyDescent="0.2">
      <c r="B1177" s="1">
        <v>1162</v>
      </c>
      <c r="C1177" s="101">
        <f t="shared" ca="1" si="72"/>
        <v>-0.49901723027043554</v>
      </c>
      <c r="D1177" s="101">
        <f t="shared" ca="1" si="73"/>
        <v>0.63258488359311171</v>
      </c>
      <c r="E1177" s="101">
        <f t="shared" ca="1" si="74"/>
        <v>0</v>
      </c>
      <c r="F1177" s="21">
        <f t="shared" ca="1" si="75"/>
        <v>0</v>
      </c>
      <c r="H1177" s="21">
        <v>1162</v>
      </c>
      <c r="I1177" s="102">
        <v>0.66776016768530688</v>
      </c>
      <c r="J1177" s="103">
        <v>1.3839133524793581E-3</v>
      </c>
      <c r="K1177" s="103"/>
      <c r="L1177" s="103">
        <v>4.0599999999999997E-2</v>
      </c>
      <c r="O1177" s="100"/>
    </row>
    <row r="1178" spans="2:15" x14ac:dyDescent="0.2">
      <c r="B1178" s="1">
        <v>1163</v>
      </c>
      <c r="C1178" s="101">
        <f t="shared" ca="1" si="72"/>
        <v>-0.75139255963031226</v>
      </c>
      <c r="D1178" s="101">
        <f t="shared" ca="1" si="73"/>
        <v>0.61703131596478822</v>
      </c>
      <c r="E1178" s="101">
        <f t="shared" ca="1" si="74"/>
        <v>0</v>
      </c>
      <c r="F1178" s="21">
        <f t="shared" ca="1" si="75"/>
        <v>0</v>
      </c>
      <c r="H1178" s="21">
        <v>1163</v>
      </c>
      <c r="I1178" s="102">
        <v>0.66778513797979</v>
      </c>
      <c r="J1178" s="103">
        <v>1.308376495322513E-3</v>
      </c>
      <c r="K1178" s="103"/>
      <c r="L1178" s="103">
        <v>4.2599999999999999E-2</v>
      </c>
      <c r="O1178" s="100"/>
    </row>
    <row r="1179" spans="2:15" x14ac:dyDescent="0.2">
      <c r="B1179" s="1">
        <v>1164</v>
      </c>
      <c r="C1179" s="101">
        <f t="shared" ca="1" si="72"/>
        <v>-1.3299550768462733</v>
      </c>
      <c r="D1179" s="101">
        <f t="shared" ca="1" si="73"/>
        <v>0.58280322275878804</v>
      </c>
      <c r="E1179" s="101">
        <f t="shared" ca="1" si="74"/>
        <v>0</v>
      </c>
      <c r="F1179" s="21">
        <f t="shared" ca="1" si="75"/>
        <v>0</v>
      </c>
      <c r="H1179" s="21">
        <v>1164</v>
      </c>
      <c r="I1179" s="102">
        <v>0.66765470242613512</v>
      </c>
      <c r="J1179" s="103">
        <v>1.3015217621195547E-3</v>
      </c>
      <c r="K1179" s="103"/>
      <c r="L1179" s="103">
        <v>0.04</v>
      </c>
      <c r="O1179" s="100"/>
    </row>
    <row r="1180" spans="2:15" x14ac:dyDescent="0.2">
      <c r="B1180" s="1">
        <v>1165</v>
      </c>
      <c r="C1180" s="101">
        <f t="shared" ca="1" si="72"/>
        <v>-1.1020717707934546</v>
      </c>
      <c r="D1180" s="101">
        <f t="shared" ca="1" si="73"/>
        <v>0.59605224076832219</v>
      </c>
      <c r="E1180" s="101">
        <f t="shared" ca="1" si="74"/>
        <v>0</v>
      </c>
      <c r="F1180" s="21">
        <f t="shared" ca="1" si="75"/>
        <v>0</v>
      </c>
      <c r="H1180" s="21">
        <v>1165</v>
      </c>
      <c r="I1180" s="102">
        <v>0.66780634335753208</v>
      </c>
      <c r="J1180" s="103">
        <v>1.4233217831093026E-3</v>
      </c>
      <c r="K1180" s="103"/>
      <c r="L1180" s="103">
        <v>4.3400000000000001E-2</v>
      </c>
      <c r="O1180" s="100"/>
    </row>
    <row r="1181" spans="2:15" x14ac:dyDescent="0.2">
      <c r="B1181" s="1">
        <v>1166</v>
      </c>
      <c r="C1181" s="101">
        <f t="shared" ca="1" si="72"/>
        <v>0.56406204397190018</v>
      </c>
      <c r="D1181" s="101">
        <f t="shared" ca="1" si="73"/>
        <v>0.70252287567231386</v>
      </c>
      <c r="E1181" s="101">
        <f t="shared" ca="1" si="74"/>
        <v>0</v>
      </c>
      <c r="F1181" s="21">
        <f t="shared" ca="1" si="75"/>
        <v>0</v>
      </c>
      <c r="H1181" s="21">
        <v>1166</v>
      </c>
      <c r="I1181" s="102">
        <v>0.66783481551427193</v>
      </c>
      <c r="J1181" s="103">
        <v>1.4516850940242702E-3</v>
      </c>
      <c r="K1181" s="103"/>
      <c r="L1181" s="103">
        <v>4.3400000000000001E-2</v>
      </c>
      <c r="O1181" s="100"/>
    </row>
    <row r="1182" spans="2:15" x14ac:dyDescent="0.2">
      <c r="B1182" s="1">
        <v>1167</v>
      </c>
      <c r="C1182" s="101">
        <f t="shared" ca="1" si="72"/>
        <v>-1.0997277652141475</v>
      </c>
      <c r="D1182" s="101">
        <f t="shared" ca="1" si="73"/>
        <v>0.5961900734086395</v>
      </c>
      <c r="E1182" s="101">
        <f t="shared" ca="1" si="74"/>
        <v>0</v>
      </c>
      <c r="F1182" s="21">
        <f t="shared" ca="1" si="75"/>
        <v>0</v>
      </c>
      <c r="H1182" s="21">
        <v>1167</v>
      </c>
      <c r="I1182" s="102">
        <v>0.66767795210012992</v>
      </c>
      <c r="J1182" s="103">
        <v>1.3488026698006265E-3</v>
      </c>
      <c r="K1182" s="103"/>
      <c r="L1182" s="103">
        <v>0.04</v>
      </c>
      <c r="O1182" s="100"/>
    </row>
    <row r="1183" spans="2:15" x14ac:dyDescent="0.2">
      <c r="B1183" s="1">
        <v>1168</v>
      </c>
      <c r="C1183" s="101">
        <f t="shared" ca="1" si="72"/>
        <v>-1.0914002633441193</v>
      </c>
      <c r="D1183" s="101">
        <f t="shared" ca="1" si="73"/>
        <v>0.59668000649005937</v>
      </c>
      <c r="E1183" s="101">
        <f t="shared" ca="1" si="74"/>
        <v>0</v>
      </c>
      <c r="F1183" s="21">
        <f t="shared" ca="1" si="75"/>
        <v>0</v>
      </c>
      <c r="H1183" s="21">
        <v>1168</v>
      </c>
      <c r="I1183" s="102">
        <v>0.66761944593845368</v>
      </c>
      <c r="J1183" s="103">
        <v>1.2127585109707039E-3</v>
      </c>
      <c r="K1183" s="103"/>
      <c r="L1183" s="103">
        <v>3.9600000000000003E-2</v>
      </c>
      <c r="O1183" s="100"/>
    </row>
    <row r="1184" spans="2:15" x14ac:dyDescent="0.2">
      <c r="B1184" s="1">
        <v>1169</v>
      </c>
      <c r="C1184" s="101">
        <f t="shared" ca="1" si="72"/>
        <v>2.3538440872645805</v>
      </c>
      <c r="D1184" s="101">
        <f t="shared" ca="1" si="73"/>
        <v>0.8381729282572179</v>
      </c>
      <c r="E1184" s="101">
        <f t="shared" ca="1" si="74"/>
        <v>4.9972928257217886E-2</v>
      </c>
      <c r="F1184" s="21">
        <f t="shared" ca="1" si="75"/>
        <v>1</v>
      </c>
      <c r="H1184" s="21">
        <v>1169</v>
      </c>
      <c r="I1184" s="102">
        <v>0.66772045256690371</v>
      </c>
      <c r="J1184" s="103">
        <v>1.2815215898228224E-3</v>
      </c>
      <c r="K1184" s="103"/>
      <c r="L1184" s="103">
        <v>4.4400000000000002E-2</v>
      </c>
      <c r="O1184" s="100"/>
    </row>
    <row r="1185" spans="2:15" x14ac:dyDescent="0.2">
      <c r="B1185" s="1">
        <v>1170</v>
      </c>
      <c r="C1185" s="101">
        <f t="shared" ca="1" si="72"/>
        <v>0.94554301615405256</v>
      </c>
      <c r="D1185" s="101">
        <f t="shared" ca="1" si="73"/>
        <v>0.72946234768342244</v>
      </c>
      <c r="E1185" s="101">
        <f t="shared" ca="1" si="74"/>
        <v>0</v>
      </c>
      <c r="F1185" s="21">
        <f t="shared" ca="1" si="75"/>
        <v>0</v>
      </c>
      <c r="H1185" s="21">
        <v>1170</v>
      </c>
      <c r="I1185" s="102">
        <v>0.66774137865934047</v>
      </c>
      <c r="J1185" s="103">
        <v>1.3718473554745749E-3</v>
      </c>
      <c r="K1185" s="103"/>
      <c r="L1185" s="103">
        <v>4.1599999999999998E-2</v>
      </c>
      <c r="O1185" s="100"/>
    </row>
    <row r="1186" spans="2:15" x14ac:dyDescent="0.2">
      <c r="B1186" s="1">
        <v>1171</v>
      </c>
      <c r="C1186" s="101">
        <f t="shared" ca="1" si="72"/>
        <v>-0.75557181913002502</v>
      </c>
      <c r="D1186" s="101">
        <f t="shared" ca="1" si="73"/>
        <v>0.61677699864979363</v>
      </c>
      <c r="E1186" s="101">
        <f t="shared" ca="1" si="74"/>
        <v>0</v>
      </c>
      <c r="F1186" s="21">
        <f t="shared" ca="1" si="75"/>
        <v>0</v>
      </c>
      <c r="H1186" s="21">
        <v>1171</v>
      </c>
      <c r="I1186" s="102">
        <v>0.6678030638993262</v>
      </c>
      <c r="J1186" s="103">
        <v>1.2896941296553219E-3</v>
      </c>
      <c r="K1186" s="103"/>
      <c r="L1186" s="103">
        <v>4.2799999999999998E-2</v>
      </c>
      <c r="O1186" s="100"/>
    </row>
    <row r="1187" spans="2:15" x14ac:dyDescent="0.2">
      <c r="B1187" s="1">
        <v>1172</v>
      </c>
      <c r="C1187" s="101">
        <f t="shared" ca="1" si="72"/>
        <v>-1.1110430919246308</v>
      </c>
      <c r="D1187" s="101">
        <f t="shared" ca="1" si="73"/>
        <v>0.59552500182672408</v>
      </c>
      <c r="E1187" s="101">
        <f t="shared" ca="1" si="74"/>
        <v>0</v>
      </c>
      <c r="F1187" s="21">
        <f t="shared" ca="1" si="75"/>
        <v>0</v>
      </c>
      <c r="H1187" s="21">
        <v>1172</v>
      </c>
      <c r="I1187" s="102">
        <v>0.66773056538089137</v>
      </c>
      <c r="J1187" s="103">
        <v>1.4196544572436358E-3</v>
      </c>
      <c r="K1187" s="103"/>
      <c r="L1187" s="103">
        <v>4.0399999999999998E-2</v>
      </c>
      <c r="O1187" s="100"/>
    </row>
    <row r="1188" spans="2:15" x14ac:dyDescent="0.2">
      <c r="B1188" s="1">
        <v>1173</v>
      </c>
      <c r="C1188" s="101">
        <f t="shared" ca="1" si="72"/>
        <v>9.8466955291192593E-2</v>
      </c>
      <c r="D1188" s="101">
        <f t="shared" ca="1" si="73"/>
        <v>0.67098786180229075</v>
      </c>
      <c r="E1188" s="101">
        <f t="shared" ca="1" si="74"/>
        <v>0</v>
      </c>
      <c r="F1188" s="21">
        <f t="shared" ca="1" si="75"/>
        <v>0</v>
      </c>
      <c r="H1188" s="21">
        <v>1173</v>
      </c>
      <c r="I1188" s="102">
        <v>0.66771103221221639</v>
      </c>
      <c r="J1188" s="103">
        <v>1.3238525724253616E-3</v>
      </c>
      <c r="K1188" s="103"/>
      <c r="L1188" s="103">
        <v>4.1000000000000002E-2</v>
      </c>
      <c r="O1188" s="100"/>
    </row>
    <row r="1189" spans="2:15" x14ac:dyDescent="0.2">
      <c r="B1189" s="1">
        <v>1174</v>
      </c>
      <c r="C1189" s="101">
        <f t="shared" ca="1" si="72"/>
        <v>-1.9614556247656236</v>
      </c>
      <c r="D1189" s="101">
        <f t="shared" ca="1" si="73"/>
        <v>0.54760682281419415</v>
      </c>
      <c r="E1189" s="101">
        <f t="shared" ca="1" si="74"/>
        <v>0</v>
      </c>
      <c r="F1189" s="21">
        <f t="shared" ca="1" si="75"/>
        <v>0</v>
      </c>
      <c r="H1189" s="21">
        <v>1174</v>
      </c>
      <c r="I1189" s="102">
        <v>0.66758078709951951</v>
      </c>
      <c r="J1189" s="103">
        <v>1.2374312789177491E-3</v>
      </c>
      <c r="K1189" s="103"/>
      <c r="L1189" s="103">
        <v>3.8399999999999997E-2</v>
      </c>
      <c r="O1189" s="100"/>
    </row>
    <row r="1190" spans="2:15" x14ac:dyDescent="0.2">
      <c r="B1190" s="1">
        <v>1175</v>
      </c>
      <c r="C1190" s="101">
        <f t="shared" ca="1" si="72"/>
        <v>-0.8604784775512776</v>
      </c>
      <c r="D1190" s="101">
        <f t="shared" ca="1" si="73"/>
        <v>0.61042741874083262</v>
      </c>
      <c r="E1190" s="101">
        <f t="shared" ca="1" si="74"/>
        <v>0</v>
      </c>
      <c r="F1190" s="21">
        <f t="shared" ca="1" si="75"/>
        <v>0</v>
      </c>
      <c r="H1190" s="21">
        <v>1175</v>
      </c>
      <c r="I1190" s="102">
        <v>0.66767154333099099</v>
      </c>
      <c r="J1190" s="103">
        <v>1.3337793277435693E-3</v>
      </c>
      <c r="K1190" s="103"/>
      <c r="L1190" s="103">
        <v>4.1200000000000001E-2</v>
      </c>
      <c r="O1190" s="100"/>
    </row>
    <row r="1191" spans="2:15" x14ac:dyDescent="0.2">
      <c r="B1191" s="1">
        <v>1176</v>
      </c>
      <c r="C1191" s="101">
        <f t="shared" ca="1" si="72"/>
        <v>-5.8677609787417109E-2</v>
      </c>
      <c r="D1191" s="101">
        <f t="shared" ca="1" si="73"/>
        <v>0.66066711105533071</v>
      </c>
      <c r="E1191" s="101">
        <f t="shared" ca="1" si="74"/>
        <v>0</v>
      </c>
      <c r="F1191" s="21">
        <f t="shared" ca="1" si="75"/>
        <v>0</v>
      </c>
      <c r="H1191" s="21">
        <v>1176</v>
      </c>
      <c r="I1191" s="102">
        <v>0.66769280197027681</v>
      </c>
      <c r="J1191" s="103">
        <v>1.2778951245413482E-3</v>
      </c>
      <c r="K1191" s="103"/>
      <c r="L1191" s="103">
        <v>3.6400000000000002E-2</v>
      </c>
      <c r="O1191" s="100"/>
    </row>
    <row r="1192" spans="2:15" x14ac:dyDescent="0.2">
      <c r="B1192" s="1">
        <v>1177</v>
      </c>
      <c r="C1192" s="101">
        <f t="shared" ca="1" si="72"/>
        <v>-0.93709484902779783</v>
      </c>
      <c r="D1192" s="101">
        <f t="shared" ca="1" si="73"/>
        <v>0.60583147770756007</v>
      </c>
      <c r="E1192" s="101">
        <f t="shared" ca="1" si="74"/>
        <v>0</v>
      </c>
      <c r="F1192" s="21">
        <f t="shared" ca="1" si="75"/>
        <v>0</v>
      </c>
      <c r="H1192" s="21">
        <v>1177</v>
      </c>
      <c r="I1192" s="102">
        <v>0.66774674120019517</v>
      </c>
      <c r="J1192" s="103">
        <v>1.47538378321039E-3</v>
      </c>
      <c r="K1192" s="103"/>
      <c r="L1192" s="103">
        <v>4.0399999999999998E-2</v>
      </c>
      <c r="O1192" s="100"/>
    </row>
    <row r="1193" spans="2:15" x14ac:dyDescent="0.2">
      <c r="B1193" s="1">
        <v>1178</v>
      </c>
      <c r="C1193" s="101">
        <f t="shared" ca="1" si="72"/>
        <v>0.6654190454470803</v>
      </c>
      <c r="D1193" s="101">
        <f t="shared" ca="1" si="73"/>
        <v>0.70958192098344464</v>
      </c>
      <c r="E1193" s="101">
        <f t="shared" ca="1" si="74"/>
        <v>0</v>
      </c>
      <c r="F1193" s="21">
        <f t="shared" ca="1" si="75"/>
        <v>0</v>
      </c>
      <c r="H1193" s="21">
        <v>1178</v>
      </c>
      <c r="I1193" s="102">
        <v>0.66763518097876251</v>
      </c>
      <c r="J1193" s="103">
        <v>1.1839498258256465E-3</v>
      </c>
      <c r="K1193" s="103"/>
      <c r="L1193" s="103">
        <v>3.6999999999999998E-2</v>
      </c>
      <c r="O1193" s="100"/>
    </row>
    <row r="1194" spans="2:15" x14ac:dyDescent="0.2">
      <c r="B1194" s="1">
        <v>1179</v>
      </c>
      <c r="C1194" s="101">
        <f t="shared" ca="1" si="72"/>
        <v>1.1912036106797776E-2</v>
      </c>
      <c r="D1194" s="101">
        <f t="shared" ca="1" si="73"/>
        <v>0.6652834264969063</v>
      </c>
      <c r="E1194" s="101">
        <f t="shared" ca="1" si="74"/>
        <v>0</v>
      </c>
      <c r="F1194" s="21">
        <f t="shared" ca="1" si="75"/>
        <v>0</v>
      </c>
      <c r="H1194" s="21">
        <v>1179</v>
      </c>
      <c r="I1194" s="102">
        <v>0.66756858209571734</v>
      </c>
      <c r="J1194" s="103">
        <v>1.1310136515341209E-3</v>
      </c>
      <c r="K1194" s="103"/>
      <c r="L1194" s="103">
        <v>3.5999999999999997E-2</v>
      </c>
      <c r="O1194" s="100"/>
    </row>
    <row r="1195" spans="2:15" x14ac:dyDescent="0.2">
      <c r="B1195" s="1">
        <v>1180</v>
      </c>
      <c r="C1195" s="101">
        <f t="shared" ca="1" si="72"/>
        <v>-1.5250915738044044</v>
      </c>
      <c r="D1195" s="101">
        <f t="shared" ca="1" si="73"/>
        <v>0.5716923981874632</v>
      </c>
      <c r="E1195" s="101">
        <f t="shared" ca="1" si="74"/>
        <v>0</v>
      </c>
      <c r="F1195" s="21">
        <f t="shared" ca="1" si="75"/>
        <v>0</v>
      </c>
      <c r="H1195" s="21">
        <v>1180</v>
      </c>
      <c r="I1195" s="102">
        <v>0.66775161510639613</v>
      </c>
      <c r="J1195" s="103">
        <v>1.4856614796511234E-3</v>
      </c>
      <c r="K1195" s="103"/>
      <c r="L1195" s="103">
        <v>4.2200000000000001E-2</v>
      </c>
      <c r="O1195" s="100"/>
    </row>
    <row r="1196" spans="2:15" x14ac:dyDescent="0.2">
      <c r="B1196" s="1">
        <v>1181</v>
      </c>
      <c r="C1196" s="101">
        <f t="shared" ca="1" si="72"/>
        <v>0.22798806442315425</v>
      </c>
      <c r="D1196" s="101">
        <f t="shared" ca="1" si="73"/>
        <v>0.67961548908713521</v>
      </c>
      <c r="E1196" s="101">
        <f t="shared" ca="1" si="74"/>
        <v>0</v>
      </c>
      <c r="F1196" s="21">
        <f t="shared" ca="1" si="75"/>
        <v>0</v>
      </c>
      <c r="H1196" s="21">
        <v>1181</v>
      </c>
      <c r="I1196" s="102">
        <v>0.66766926097928858</v>
      </c>
      <c r="J1196" s="103">
        <v>1.3904471063162275E-3</v>
      </c>
      <c r="K1196" s="103"/>
      <c r="L1196" s="103">
        <v>4.2599999999999999E-2</v>
      </c>
      <c r="O1196" s="100"/>
    </row>
    <row r="1197" spans="2:15" x14ac:dyDescent="0.2">
      <c r="B1197" s="1">
        <v>1182</v>
      </c>
      <c r="C1197" s="101">
        <f t="shared" ca="1" si="72"/>
        <v>1.0709057408934852</v>
      </c>
      <c r="D1197" s="101">
        <f t="shared" ca="1" si="73"/>
        <v>0.73853884328676567</v>
      </c>
      <c r="E1197" s="101">
        <f t="shared" ca="1" si="74"/>
        <v>0</v>
      </c>
      <c r="F1197" s="21">
        <f t="shared" ca="1" si="75"/>
        <v>0</v>
      </c>
      <c r="H1197" s="21">
        <v>1182</v>
      </c>
      <c r="I1197" s="102">
        <v>0.667812590793746</v>
      </c>
      <c r="J1197" s="103">
        <v>1.5314026880490295E-3</v>
      </c>
      <c r="K1197" s="103"/>
      <c r="L1197" s="103">
        <v>4.4999999999999998E-2</v>
      </c>
      <c r="O1197" s="100"/>
    </row>
    <row r="1198" spans="2:15" x14ac:dyDescent="0.2">
      <c r="B1198" s="1">
        <v>1183</v>
      </c>
      <c r="C1198" s="101">
        <f t="shared" ca="1" si="72"/>
        <v>0.71981737412817293</v>
      </c>
      <c r="D1198" s="101">
        <f t="shared" ca="1" si="73"/>
        <v>0.71339971695812077</v>
      </c>
      <c r="E1198" s="101">
        <f t="shared" ca="1" si="74"/>
        <v>0</v>
      </c>
      <c r="F1198" s="21">
        <f t="shared" ca="1" si="75"/>
        <v>0</v>
      </c>
      <c r="H1198" s="21">
        <v>1183</v>
      </c>
      <c r="I1198" s="102">
        <v>0.66764517396004819</v>
      </c>
      <c r="J1198" s="103">
        <v>1.2489658323535675E-3</v>
      </c>
      <c r="K1198" s="103"/>
      <c r="L1198" s="103">
        <v>3.7999999999999999E-2</v>
      </c>
      <c r="O1198" s="100"/>
    </row>
    <row r="1199" spans="2:15" x14ac:dyDescent="0.2">
      <c r="B1199" s="1">
        <v>1184</v>
      </c>
      <c r="C1199" s="101">
        <f t="shared" ca="1" si="72"/>
        <v>0.29950704888358948</v>
      </c>
      <c r="D1199" s="101">
        <f t="shared" ca="1" si="73"/>
        <v>0.6844269429223454</v>
      </c>
      <c r="E1199" s="101">
        <f t="shared" ca="1" si="74"/>
        <v>0</v>
      </c>
      <c r="F1199" s="21">
        <f t="shared" ca="1" si="75"/>
        <v>0</v>
      </c>
      <c r="H1199" s="21">
        <v>1184</v>
      </c>
      <c r="I1199" s="102">
        <v>0.66792142392657938</v>
      </c>
      <c r="J1199" s="103">
        <v>1.5237842004618223E-3</v>
      </c>
      <c r="K1199" s="103"/>
      <c r="L1199" s="103">
        <v>4.8800000000000003E-2</v>
      </c>
      <c r="O1199" s="100"/>
    </row>
    <row r="1200" spans="2:15" x14ac:dyDescent="0.2">
      <c r="B1200" s="1">
        <v>1185</v>
      </c>
      <c r="C1200" s="101">
        <f t="shared" ca="1" si="72"/>
        <v>-0.39697823361308088</v>
      </c>
      <c r="D1200" s="101">
        <f t="shared" ca="1" si="73"/>
        <v>0.63898416733472418</v>
      </c>
      <c r="E1200" s="101">
        <f t="shared" ca="1" si="74"/>
        <v>0</v>
      </c>
      <c r="F1200" s="21">
        <f t="shared" ca="1" si="75"/>
        <v>0</v>
      </c>
      <c r="H1200" s="21">
        <v>1185</v>
      </c>
      <c r="I1200" s="102">
        <v>0.66786005071192733</v>
      </c>
      <c r="J1200" s="103">
        <v>1.6209350724084028E-3</v>
      </c>
      <c r="K1200" s="103"/>
      <c r="L1200" s="103">
        <v>4.6199999999999998E-2</v>
      </c>
      <c r="O1200" s="100"/>
    </row>
    <row r="1201" spans="2:15" x14ac:dyDescent="0.2">
      <c r="B1201" s="1">
        <v>1186</v>
      </c>
      <c r="C1201" s="101">
        <f t="shared" ca="1" si="72"/>
        <v>-0.61143754846515908</v>
      </c>
      <c r="D1201" s="101">
        <f t="shared" ca="1" si="73"/>
        <v>0.62560871870111801</v>
      </c>
      <c r="E1201" s="101">
        <f t="shared" ca="1" si="74"/>
        <v>0</v>
      </c>
      <c r="F1201" s="21">
        <f t="shared" ca="1" si="75"/>
        <v>0</v>
      </c>
      <c r="H1201" s="21">
        <v>1186</v>
      </c>
      <c r="I1201" s="102">
        <v>0.66768725043037247</v>
      </c>
      <c r="J1201" s="103">
        <v>1.2438138815468634E-3</v>
      </c>
      <c r="K1201" s="103"/>
      <c r="L1201" s="103">
        <v>4.1000000000000002E-2</v>
      </c>
      <c r="O1201" s="100"/>
    </row>
    <row r="1202" spans="2:15" x14ac:dyDescent="0.2">
      <c r="B1202" s="1">
        <v>1187</v>
      </c>
      <c r="C1202" s="101">
        <f t="shared" ca="1" si="72"/>
        <v>7.1846729358272618E-2</v>
      </c>
      <c r="D1202" s="101">
        <f t="shared" ca="1" si="73"/>
        <v>0.66922825663217089</v>
      </c>
      <c r="E1202" s="101">
        <f t="shared" ca="1" si="74"/>
        <v>0</v>
      </c>
      <c r="F1202" s="21">
        <f t="shared" ca="1" si="75"/>
        <v>0</v>
      </c>
      <c r="H1202" s="21">
        <v>1187</v>
      </c>
      <c r="I1202" s="102">
        <v>0.66783947912099872</v>
      </c>
      <c r="J1202" s="103">
        <v>1.5215959030542366E-3</v>
      </c>
      <c r="K1202" s="103"/>
      <c r="L1202" s="103">
        <v>4.24E-2</v>
      </c>
      <c r="O1202" s="100"/>
    </row>
    <row r="1203" spans="2:15" x14ac:dyDescent="0.2">
      <c r="B1203" s="1">
        <v>1188</v>
      </c>
      <c r="C1203" s="101">
        <f t="shared" ca="1" si="72"/>
        <v>-0.68486749976977113</v>
      </c>
      <c r="D1203" s="101">
        <f t="shared" ca="1" si="73"/>
        <v>0.621093663796078</v>
      </c>
      <c r="E1203" s="101">
        <f t="shared" ca="1" si="74"/>
        <v>0</v>
      </c>
      <c r="F1203" s="21">
        <f t="shared" ca="1" si="75"/>
        <v>0</v>
      </c>
      <c r="H1203" s="21">
        <v>1188</v>
      </c>
      <c r="I1203" s="102">
        <v>0.66769829853115403</v>
      </c>
      <c r="J1203" s="103">
        <v>1.4033868265347035E-3</v>
      </c>
      <c r="K1203" s="103"/>
      <c r="L1203" s="103">
        <v>4.0800000000000003E-2</v>
      </c>
      <c r="O1203" s="100"/>
    </row>
    <row r="1204" spans="2:15" x14ac:dyDescent="0.2">
      <c r="B1204" s="1">
        <v>1189</v>
      </c>
      <c r="C1204" s="101">
        <f t="shared" ca="1" si="72"/>
        <v>-1.0843984244026752</v>
      </c>
      <c r="D1204" s="101">
        <f t="shared" ca="1" si="73"/>
        <v>0.59709225822219225</v>
      </c>
      <c r="E1204" s="101">
        <f t="shared" ca="1" si="74"/>
        <v>0</v>
      </c>
      <c r="F1204" s="21">
        <f t="shared" ca="1" si="75"/>
        <v>0</v>
      </c>
      <c r="H1204" s="21">
        <v>1189</v>
      </c>
      <c r="I1204" s="102">
        <v>0.66768210540902539</v>
      </c>
      <c r="J1204" s="103">
        <v>1.3161823076610528E-3</v>
      </c>
      <c r="K1204" s="103"/>
      <c r="L1204" s="103">
        <v>4.1799999999999997E-2</v>
      </c>
      <c r="O1204" s="100"/>
    </row>
    <row r="1205" spans="2:15" x14ac:dyDescent="0.2">
      <c r="B1205" s="1">
        <v>1190</v>
      </c>
      <c r="C1205" s="101">
        <f t="shared" ca="1" si="72"/>
        <v>-0.4931693806811645</v>
      </c>
      <c r="D1205" s="101">
        <f t="shared" ca="1" si="73"/>
        <v>0.63294988889197579</v>
      </c>
      <c r="E1205" s="101">
        <f t="shared" ca="1" si="74"/>
        <v>0</v>
      </c>
      <c r="F1205" s="21">
        <f t="shared" ca="1" si="75"/>
        <v>0</v>
      </c>
      <c r="H1205" s="21">
        <v>1190</v>
      </c>
      <c r="I1205" s="102">
        <v>0.66780413631293045</v>
      </c>
      <c r="J1205" s="103">
        <v>1.4243107947327998E-3</v>
      </c>
      <c r="K1205" s="103"/>
      <c r="L1205" s="103">
        <v>4.48E-2</v>
      </c>
      <c r="O1205" s="100"/>
    </row>
    <row r="1206" spans="2:15" x14ac:dyDescent="0.2">
      <c r="B1206" s="1">
        <v>1191</v>
      </c>
      <c r="C1206" s="101">
        <f t="shared" ca="1" si="72"/>
        <v>1.4961473757287751</v>
      </c>
      <c r="D1206" s="101">
        <f t="shared" ca="1" si="73"/>
        <v>0.77017679836967268</v>
      </c>
      <c r="E1206" s="101">
        <f t="shared" ca="1" si="74"/>
        <v>0</v>
      </c>
      <c r="F1206" s="21">
        <f t="shared" ca="1" si="75"/>
        <v>0</v>
      </c>
      <c r="H1206" s="21">
        <v>1191</v>
      </c>
      <c r="I1206" s="102">
        <v>0.66764109642866865</v>
      </c>
      <c r="J1206" s="103">
        <v>1.3464375064611001E-3</v>
      </c>
      <c r="K1206" s="103"/>
      <c r="L1206" s="103">
        <v>4.1399999999999999E-2</v>
      </c>
      <c r="O1206" s="100"/>
    </row>
    <row r="1207" spans="2:15" x14ac:dyDescent="0.2">
      <c r="B1207" s="1">
        <v>1192</v>
      </c>
      <c r="C1207" s="101">
        <f t="shared" ca="1" si="72"/>
        <v>-1.2635099974547706</v>
      </c>
      <c r="D1207" s="101">
        <f t="shared" ca="1" si="73"/>
        <v>0.58663559495272977</v>
      </c>
      <c r="E1207" s="101">
        <f t="shared" ca="1" si="74"/>
        <v>0</v>
      </c>
      <c r="F1207" s="21">
        <f t="shared" ca="1" si="75"/>
        <v>0</v>
      </c>
      <c r="H1207" s="21">
        <v>1192</v>
      </c>
      <c r="I1207" s="102">
        <v>0.66791260607052449</v>
      </c>
      <c r="J1207" s="103">
        <v>1.5113375057917132E-3</v>
      </c>
      <c r="K1207" s="103"/>
      <c r="L1207" s="103">
        <v>4.6399999999999997E-2</v>
      </c>
      <c r="O1207" s="100"/>
    </row>
    <row r="1208" spans="2:15" x14ac:dyDescent="0.2">
      <c r="B1208" s="1">
        <v>1193</v>
      </c>
      <c r="C1208" s="101">
        <f t="shared" ca="1" si="72"/>
        <v>0.93998326588888748</v>
      </c>
      <c r="D1208" s="101">
        <f t="shared" ca="1" si="73"/>
        <v>0.72906240479183693</v>
      </c>
      <c r="E1208" s="101">
        <f t="shared" ca="1" si="74"/>
        <v>0</v>
      </c>
      <c r="F1208" s="21">
        <f t="shared" ca="1" si="75"/>
        <v>0</v>
      </c>
      <c r="H1208" s="21">
        <v>1193</v>
      </c>
      <c r="I1208" s="102">
        <v>0.66779199650672794</v>
      </c>
      <c r="J1208" s="103">
        <v>1.5222853558697368E-3</v>
      </c>
      <c r="K1208" s="103"/>
      <c r="L1208" s="103">
        <v>4.0800000000000003E-2</v>
      </c>
      <c r="O1208" s="100"/>
    </row>
    <row r="1209" spans="2:15" x14ac:dyDescent="0.2">
      <c r="B1209" s="1">
        <v>1194</v>
      </c>
      <c r="C1209" s="101">
        <f t="shared" ca="1" si="72"/>
        <v>-1.9438436018725171</v>
      </c>
      <c r="D1209" s="101">
        <f t="shared" ca="1" si="73"/>
        <v>0.54855899236946415</v>
      </c>
      <c r="E1209" s="101">
        <f t="shared" ca="1" si="74"/>
        <v>0</v>
      </c>
      <c r="F1209" s="21">
        <f t="shared" ca="1" si="75"/>
        <v>0</v>
      </c>
      <c r="H1209" s="21">
        <v>1194</v>
      </c>
      <c r="I1209" s="102">
        <v>0.66776546435562267</v>
      </c>
      <c r="J1209" s="103">
        <v>1.4026617701838851E-3</v>
      </c>
      <c r="K1209" s="103"/>
      <c r="L1209" s="103">
        <v>0.04</v>
      </c>
      <c r="O1209" s="100"/>
    </row>
    <row r="1210" spans="2:15" x14ac:dyDescent="0.2">
      <c r="B1210" s="1">
        <v>1195</v>
      </c>
      <c r="C1210" s="101">
        <f t="shared" ca="1" si="72"/>
        <v>-0.69714201759329153</v>
      </c>
      <c r="D1210" s="101">
        <f t="shared" ca="1" si="73"/>
        <v>0.62034211436496967</v>
      </c>
      <c r="E1210" s="101">
        <f t="shared" ca="1" si="74"/>
        <v>0</v>
      </c>
      <c r="F1210" s="21">
        <f t="shared" ca="1" si="75"/>
        <v>0</v>
      </c>
      <c r="H1210" s="21">
        <v>1195</v>
      </c>
      <c r="I1210" s="102">
        <v>0.66771072495128569</v>
      </c>
      <c r="J1210" s="103">
        <v>1.331859168971967E-3</v>
      </c>
      <c r="K1210" s="103"/>
      <c r="L1210" s="103">
        <v>4.0599999999999997E-2</v>
      </c>
      <c r="O1210" s="100"/>
    </row>
    <row r="1211" spans="2:15" x14ac:dyDescent="0.2">
      <c r="B1211" s="1">
        <v>1196</v>
      </c>
      <c r="C1211" s="101">
        <f t="shared" ca="1" si="72"/>
        <v>1.4384187425053909</v>
      </c>
      <c r="D1211" s="101">
        <f t="shared" ca="1" si="73"/>
        <v>0.76580354474712364</v>
      </c>
      <c r="E1211" s="101">
        <f t="shared" ca="1" si="74"/>
        <v>0</v>
      </c>
      <c r="F1211" s="21">
        <f t="shared" ca="1" si="75"/>
        <v>0</v>
      </c>
      <c r="H1211" s="21">
        <v>1196</v>
      </c>
      <c r="I1211" s="102">
        <v>0.66777096633693089</v>
      </c>
      <c r="J1211" s="103">
        <v>1.3949346173050708E-3</v>
      </c>
      <c r="K1211" s="103"/>
      <c r="L1211" s="103">
        <v>4.3799999999999999E-2</v>
      </c>
      <c r="O1211" s="100"/>
    </row>
    <row r="1212" spans="2:15" x14ac:dyDescent="0.2">
      <c r="B1212" s="1">
        <v>1197</v>
      </c>
      <c r="C1212" s="101">
        <f t="shared" ca="1" si="72"/>
        <v>2.2316197883877651</v>
      </c>
      <c r="D1212" s="101">
        <f t="shared" ca="1" si="73"/>
        <v>0.82812828057289123</v>
      </c>
      <c r="E1212" s="101">
        <f t="shared" ca="1" si="74"/>
        <v>3.9928280572891217E-2</v>
      </c>
      <c r="F1212" s="21">
        <f t="shared" ca="1" si="75"/>
        <v>1</v>
      </c>
      <c r="H1212" s="21">
        <v>1197</v>
      </c>
      <c r="I1212" s="102">
        <v>0.66787175565618917</v>
      </c>
      <c r="J1212" s="103">
        <v>1.4861253423863333E-3</v>
      </c>
      <c r="K1212" s="103"/>
      <c r="L1212" s="103">
        <v>4.6199999999999998E-2</v>
      </c>
      <c r="O1212" s="100"/>
    </row>
    <row r="1213" spans="2:15" x14ac:dyDescent="0.2">
      <c r="B1213" s="1">
        <v>1198</v>
      </c>
      <c r="C1213" s="101">
        <f t="shared" ca="1" si="72"/>
        <v>0.7358595580239482</v>
      </c>
      <c r="D1213" s="101">
        <f t="shared" ca="1" si="73"/>
        <v>0.71452951023952771</v>
      </c>
      <c r="E1213" s="101">
        <f t="shared" ca="1" si="74"/>
        <v>0</v>
      </c>
      <c r="F1213" s="21">
        <f t="shared" ca="1" si="75"/>
        <v>0</v>
      </c>
      <c r="H1213" s="21">
        <v>1198</v>
      </c>
      <c r="I1213" s="102">
        <v>0.66774030635195869</v>
      </c>
      <c r="J1213" s="103">
        <v>1.4349459050303495E-3</v>
      </c>
      <c r="K1213" s="103"/>
      <c r="L1213" s="103">
        <v>4.0800000000000003E-2</v>
      </c>
      <c r="O1213" s="100"/>
    </row>
    <row r="1214" spans="2:15" x14ac:dyDescent="0.2">
      <c r="B1214" s="1">
        <v>1199</v>
      </c>
      <c r="C1214" s="101">
        <f t="shared" ca="1" si="72"/>
        <v>0.43421327034937901</v>
      </c>
      <c r="D1214" s="101">
        <f t="shared" ca="1" si="73"/>
        <v>0.69358202438676375</v>
      </c>
      <c r="E1214" s="101">
        <f t="shared" ca="1" si="74"/>
        <v>0</v>
      </c>
      <c r="F1214" s="21">
        <f t="shared" ca="1" si="75"/>
        <v>0</v>
      </c>
      <c r="H1214" s="21">
        <v>1199</v>
      </c>
      <c r="I1214" s="102">
        <v>0.66763454034076652</v>
      </c>
      <c r="J1214" s="103">
        <v>1.2770415100735431E-3</v>
      </c>
      <c r="K1214" s="103"/>
      <c r="L1214" s="103">
        <v>0.04</v>
      </c>
      <c r="O1214" s="100"/>
    </row>
    <row r="1215" spans="2:15" x14ac:dyDescent="0.2">
      <c r="B1215" s="1">
        <v>1200</v>
      </c>
      <c r="C1215" s="101">
        <f t="shared" ca="1" si="72"/>
        <v>-2.3420102020637228</v>
      </c>
      <c r="D1215" s="101">
        <f t="shared" ca="1" si="73"/>
        <v>0.52743157684303421</v>
      </c>
      <c r="E1215" s="101">
        <f t="shared" ca="1" si="74"/>
        <v>0</v>
      </c>
      <c r="F1215" s="21">
        <f t="shared" ca="1" si="75"/>
        <v>0</v>
      </c>
      <c r="H1215" s="21">
        <v>1200</v>
      </c>
      <c r="I1215" s="102">
        <v>0.66772701921384592</v>
      </c>
      <c r="J1215" s="103">
        <v>1.1879801975978939E-3</v>
      </c>
      <c r="K1215" s="103"/>
      <c r="L1215" s="103">
        <v>4.1599999999999998E-2</v>
      </c>
      <c r="O1215" s="100"/>
    </row>
    <row r="1216" spans="2:15" x14ac:dyDescent="0.2">
      <c r="B1216" s="1">
        <v>1201</v>
      </c>
      <c r="C1216" s="101">
        <f t="shared" ca="1" si="72"/>
        <v>-0.32278602870789069</v>
      </c>
      <c r="D1216" s="101">
        <f t="shared" ca="1" si="73"/>
        <v>0.64367767378878182</v>
      </c>
      <c r="E1216" s="101">
        <f t="shared" ca="1" si="74"/>
        <v>0</v>
      </c>
      <c r="F1216" s="21">
        <f t="shared" ca="1" si="75"/>
        <v>0</v>
      </c>
      <c r="H1216" s="21">
        <v>1201</v>
      </c>
      <c r="I1216" s="102">
        <v>0.66783997226156211</v>
      </c>
      <c r="J1216" s="103">
        <v>1.4156600687813847E-3</v>
      </c>
      <c r="K1216" s="103"/>
      <c r="L1216" s="103">
        <v>4.58E-2</v>
      </c>
      <c r="O1216" s="100"/>
    </row>
    <row r="1217" spans="2:15" x14ac:dyDescent="0.2">
      <c r="B1217" s="1">
        <v>1202</v>
      </c>
      <c r="C1217" s="101">
        <f t="shared" ca="1" si="72"/>
        <v>-0.83293252661636896</v>
      </c>
      <c r="D1217" s="101">
        <f t="shared" ca="1" si="73"/>
        <v>0.61208830871046482</v>
      </c>
      <c r="E1217" s="101">
        <f t="shared" ca="1" si="74"/>
        <v>0</v>
      </c>
      <c r="F1217" s="21">
        <f t="shared" ca="1" si="75"/>
        <v>0</v>
      </c>
      <c r="H1217" s="21">
        <v>1202</v>
      </c>
      <c r="I1217" s="102">
        <v>0.66776318342146701</v>
      </c>
      <c r="J1217" s="103">
        <v>1.324364228566591E-3</v>
      </c>
      <c r="K1217" s="103"/>
      <c r="L1217" s="103">
        <v>4.36E-2</v>
      </c>
      <c r="O1217" s="100"/>
    </row>
    <row r="1218" spans="2:15" x14ac:dyDescent="0.2">
      <c r="B1218" s="1">
        <v>1203</v>
      </c>
      <c r="C1218" s="101">
        <f t="shared" ca="1" si="72"/>
        <v>-0.45874861028190944</v>
      </c>
      <c r="D1218" s="101">
        <f t="shared" ca="1" si="73"/>
        <v>0.63510260274674901</v>
      </c>
      <c r="E1218" s="101">
        <f t="shared" ca="1" si="74"/>
        <v>0</v>
      </c>
      <c r="F1218" s="21">
        <f t="shared" ca="1" si="75"/>
        <v>0</v>
      </c>
      <c r="H1218" s="21">
        <v>1203</v>
      </c>
      <c r="I1218" s="102">
        <v>0.66766989917647634</v>
      </c>
      <c r="J1218" s="103">
        <v>1.1686476898707333E-3</v>
      </c>
      <c r="K1218" s="103"/>
      <c r="L1218" s="103">
        <v>3.6400000000000002E-2</v>
      </c>
      <c r="O1218" s="100"/>
    </row>
    <row r="1219" spans="2:15" x14ac:dyDescent="0.2">
      <c r="B1219" s="1">
        <v>1204</v>
      </c>
      <c r="C1219" s="101">
        <f t="shared" ca="1" si="72"/>
        <v>-1.0363498626193277</v>
      </c>
      <c r="D1219" s="101">
        <f t="shared" ca="1" si="73"/>
        <v>0.59992893808328951</v>
      </c>
      <c r="E1219" s="101">
        <f t="shared" ca="1" si="74"/>
        <v>0</v>
      </c>
      <c r="F1219" s="21">
        <f t="shared" ca="1" si="75"/>
        <v>0</v>
      </c>
      <c r="H1219" s="21">
        <v>1204</v>
      </c>
      <c r="I1219" s="102">
        <v>0.66779861980268884</v>
      </c>
      <c r="J1219" s="103">
        <v>1.4910772098541713E-3</v>
      </c>
      <c r="K1219" s="103"/>
      <c r="L1219" s="103">
        <v>4.36E-2</v>
      </c>
      <c r="O1219" s="100"/>
    </row>
    <row r="1220" spans="2:15" x14ac:dyDescent="0.2">
      <c r="B1220" s="1">
        <v>1205</v>
      </c>
      <c r="C1220" s="101">
        <f t="shared" ca="1" si="72"/>
        <v>0.33606871954646583</v>
      </c>
      <c r="D1220" s="101">
        <f t="shared" ca="1" si="73"/>
        <v>0.68689977944010772</v>
      </c>
      <c r="E1220" s="101">
        <f t="shared" ca="1" si="74"/>
        <v>0</v>
      </c>
      <c r="F1220" s="21">
        <f t="shared" ca="1" si="75"/>
        <v>0</v>
      </c>
      <c r="H1220" s="21">
        <v>1205</v>
      </c>
      <c r="I1220" s="102">
        <v>0.6679473571966279</v>
      </c>
      <c r="J1220" s="103">
        <v>1.5574460437224418E-3</v>
      </c>
      <c r="K1220" s="103"/>
      <c r="L1220" s="103">
        <v>4.6600000000000003E-2</v>
      </c>
      <c r="O1220" s="100"/>
    </row>
    <row r="1221" spans="2:15" x14ac:dyDescent="0.2">
      <c r="B1221" s="1">
        <v>1206</v>
      </c>
      <c r="C1221" s="101">
        <f t="shared" ca="1" si="72"/>
        <v>-0.57253555978063053</v>
      </c>
      <c r="D1221" s="101">
        <f t="shared" ca="1" si="73"/>
        <v>0.62801400640708471</v>
      </c>
      <c r="E1221" s="101">
        <f t="shared" ca="1" si="74"/>
        <v>0</v>
      </c>
      <c r="F1221" s="21">
        <f t="shared" ca="1" si="75"/>
        <v>0</v>
      </c>
      <c r="H1221" s="21">
        <v>1206</v>
      </c>
      <c r="I1221" s="102">
        <v>0.6677926002277117</v>
      </c>
      <c r="J1221" s="103">
        <v>1.4258830749981632E-3</v>
      </c>
      <c r="K1221" s="103"/>
      <c r="L1221" s="103">
        <v>4.4999999999999998E-2</v>
      </c>
      <c r="O1221" s="100"/>
    </row>
    <row r="1222" spans="2:15" x14ac:dyDescent="0.2">
      <c r="B1222" s="1">
        <v>1207</v>
      </c>
      <c r="C1222" s="101">
        <f t="shared" ca="1" si="72"/>
        <v>0.45077294234301524</v>
      </c>
      <c r="D1222" s="101">
        <f t="shared" ca="1" si="73"/>
        <v>0.69471589424671931</v>
      </c>
      <c r="E1222" s="101">
        <f t="shared" ca="1" si="74"/>
        <v>0</v>
      </c>
      <c r="F1222" s="21">
        <f t="shared" ca="1" si="75"/>
        <v>0</v>
      </c>
      <c r="H1222" s="21">
        <v>1207</v>
      </c>
      <c r="I1222" s="102">
        <v>0.66763962274344635</v>
      </c>
      <c r="J1222" s="103">
        <v>1.2667319329984898E-3</v>
      </c>
      <c r="K1222" s="103"/>
      <c r="L1222" s="103">
        <v>3.9800000000000002E-2</v>
      </c>
      <c r="O1222" s="100"/>
    </row>
    <row r="1223" spans="2:15" x14ac:dyDescent="0.2">
      <c r="B1223" s="1">
        <v>1208</v>
      </c>
      <c r="C1223" s="101">
        <f t="shared" ca="1" si="72"/>
        <v>0.15154347299171383</v>
      </c>
      <c r="D1223" s="101">
        <f t="shared" ca="1" si="73"/>
        <v>0.67451005654611285</v>
      </c>
      <c r="E1223" s="101">
        <f t="shared" ca="1" si="74"/>
        <v>0</v>
      </c>
      <c r="F1223" s="21">
        <f t="shared" ca="1" si="75"/>
        <v>0</v>
      </c>
      <c r="H1223" s="21">
        <v>1208</v>
      </c>
      <c r="I1223" s="102">
        <v>0.66761081722463322</v>
      </c>
      <c r="J1223" s="103">
        <v>1.1877215373040872E-3</v>
      </c>
      <c r="K1223" s="103"/>
      <c r="L1223" s="103">
        <v>3.9399999999999998E-2</v>
      </c>
      <c r="O1223" s="100"/>
    </row>
    <row r="1224" spans="2:15" x14ac:dyDescent="0.2">
      <c r="B1224" s="1">
        <v>1209</v>
      </c>
      <c r="C1224" s="101">
        <f t="shared" ca="1" si="72"/>
        <v>0.48451983796198733</v>
      </c>
      <c r="D1224" s="101">
        <f t="shared" ca="1" si="73"/>
        <v>0.69703234468461406</v>
      </c>
      <c r="E1224" s="101">
        <f t="shared" ca="1" si="74"/>
        <v>0</v>
      </c>
      <c r="F1224" s="21">
        <f t="shared" ca="1" si="75"/>
        <v>0</v>
      </c>
      <c r="H1224" s="21">
        <v>1209</v>
      </c>
      <c r="I1224" s="102">
        <v>0.66773729646538449</v>
      </c>
      <c r="J1224" s="103">
        <v>1.4088494379983082E-3</v>
      </c>
      <c r="K1224" s="103"/>
      <c r="L1224" s="103">
        <v>4.2599999999999999E-2</v>
      </c>
      <c r="O1224" s="100"/>
    </row>
    <row r="1225" spans="2:15" x14ac:dyDescent="0.2">
      <c r="B1225" s="1">
        <v>1210</v>
      </c>
      <c r="C1225" s="101">
        <f t="shared" ca="1" si="72"/>
        <v>0.11281756034513872</v>
      </c>
      <c r="D1225" s="101">
        <f t="shared" ca="1" si="73"/>
        <v>0.67193835978305383</v>
      </c>
      <c r="E1225" s="101">
        <f t="shared" ca="1" si="74"/>
        <v>0</v>
      </c>
      <c r="F1225" s="21">
        <f t="shared" ca="1" si="75"/>
        <v>0</v>
      </c>
      <c r="H1225" s="21">
        <v>1210</v>
      </c>
      <c r="I1225" s="102">
        <v>0.66774024563982626</v>
      </c>
      <c r="J1225" s="103">
        <v>1.3654172129911124E-3</v>
      </c>
      <c r="K1225" s="103"/>
      <c r="L1225" s="103">
        <v>3.9399999999999998E-2</v>
      </c>
      <c r="O1225" s="100"/>
    </row>
    <row r="1226" spans="2:15" x14ac:dyDescent="0.2">
      <c r="B1226" s="1">
        <v>1211</v>
      </c>
      <c r="C1226" s="101">
        <f t="shared" ca="1" si="72"/>
        <v>-1.05841168438477</v>
      </c>
      <c r="D1226" s="101">
        <f t="shared" ca="1" si="73"/>
        <v>0.59862478788541096</v>
      </c>
      <c r="E1226" s="101">
        <f t="shared" ca="1" si="74"/>
        <v>0</v>
      </c>
      <c r="F1226" s="21">
        <f t="shared" ca="1" si="75"/>
        <v>0</v>
      </c>
      <c r="H1226" s="21">
        <v>1211</v>
      </c>
      <c r="I1226" s="102">
        <v>0.66768775202934583</v>
      </c>
      <c r="J1226" s="103">
        <v>1.0829057967948902E-3</v>
      </c>
      <c r="K1226" s="103"/>
      <c r="L1226" s="103">
        <v>3.7600000000000001E-2</v>
      </c>
      <c r="O1226" s="100"/>
    </row>
    <row r="1227" spans="2:15" x14ac:dyDescent="0.2">
      <c r="B1227" s="1">
        <v>1212</v>
      </c>
      <c r="C1227" s="101">
        <f t="shared" ca="1" si="72"/>
        <v>1.9637269706494143</v>
      </c>
      <c r="D1227" s="101">
        <f t="shared" ca="1" si="73"/>
        <v>0.80653134954093153</v>
      </c>
      <c r="E1227" s="101">
        <f t="shared" ca="1" si="74"/>
        <v>1.8331349540931519E-2</v>
      </c>
      <c r="F1227" s="21">
        <f t="shared" ca="1" si="75"/>
        <v>1</v>
      </c>
      <c r="H1227" s="21">
        <v>1212</v>
      </c>
      <c r="I1227" s="102">
        <v>0.66768153038229616</v>
      </c>
      <c r="J1227" s="103">
        <v>1.2822978990811218E-3</v>
      </c>
      <c r="K1227" s="103"/>
      <c r="L1227" s="103">
        <v>4.2200000000000001E-2</v>
      </c>
      <c r="O1227" s="100"/>
    </row>
    <row r="1228" spans="2:15" x14ac:dyDescent="0.2">
      <c r="B1228" s="1">
        <v>1213</v>
      </c>
      <c r="C1228" s="101">
        <f t="shared" ca="1" si="72"/>
        <v>-1.0968123138666448</v>
      </c>
      <c r="D1228" s="101">
        <f t="shared" ca="1" si="73"/>
        <v>0.59636155278261738</v>
      </c>
      <c r="E1228" s="101">
        <f t="shared" ca="1" si="74"/>
        <v>0</v>
      </c>
      <c r="F1228" s="21">
        <f t="shared" ca="1" si="75"/>
        <v>0</v>
      </c>
      <c r="H1228" s="21">
        <v>1213</v>
      </c>
      <c r="I1228" s="102">
        <v>0.66777179231540262</v>
      </c>
      <c r="J1228" s="103">
        <v>1.3497646342680168E-3</v>
      </c>
      <c r="K1228" s="103"/>
      <c r="L1228" s="103">
        <v>4.2999999999999997E-2</v>
      </c>
      <c r="O1228" s="100"/>
    </row>
    <row r="1229" spans="2:15" x14ac:dyDescent="0.2">
      <c r="B1229" s="1">
        <v>1214</v>
      </c>
      <c r="C1229" s="101">
        <f t="shared" ca="1" si="72"/>
        <v>0.44949653683628965</v>
      </c>
      <c r="D1229" s="101">
        <f t="shared" ca="1" si="73"/>
        <v>0.69462843062333779</v>
      </c>
      <c r="E1229" s="101">
        <f t="shared" ca="1" si="74"/>
        <v>0</v>
      </c>
      <c r="F1229" s="21">
        <f t="shared" ca="1" si="75"/>
        <v>0</v>
      </c>
      <c r="H1229" s="21">
        <v>1214</v>
      </c>
      <c r="I1229" s="102">
        <v>0.66770293011531234</v>
      </c>
      <c r="J1229" s="103">
        <v>1.3620858312371814E-3</v>
      </c>
      <c r="K1229" s="103"/>
      <c r="L1229" s="103">
        <v>4.2200000000000001E-2</v>
      </c>
      <c r="O1229" s="100"/>
    </row>
    <row r="1230" spans="2:15" x14ac:dyDescent="0.2">
      <c r="B1230" s="1">
        <v>1215</v>
      </c>
      <c r="C1230" s="101">
        <f t="shared" ca="1" si="72"/>
        <v>0.7536235186046083</v>
      </c>
      <c r="D1230" s="101">
        <f t="shared" ca="1" si="73"/>
        <v>0.7157826497568367</v>
      </c>
      <c r="E1230" s="101">
        <f t="shared" ca="1" si="74"/>
        <v>0</v>
      </c>
      <c r="F1230" s="21">
        <f t="shared" ca="1" si="75"/>
        <v>0</v>
      </c>
      <c r="H1230" s="21">
        <v>1215</v>
      </c>
      <c r="I1230" s="102">
        <v>0.66772438885488494</v>
      </c>
      <c r="J1230" s="103">
        <v>1.3838153546568059E-3</v>
      </c>
      <c r="K1230" s="103"/>
      <c r="L1230" s="103">
        <v>4.1000000000000002E-2</v>
      </c>
      <c r="O1230" s="100"/>
    </row>
    <row r="1231" spans="2:15" x14ac:dyDescent="0.2">
      <c r="B1231" s="1">
        <v>1216</v>
      </c>
      <c r="C1231" s="101">
        <f t="shared" ca="1" si="72"/>
        <v>-0.78698163133822885</v>
      </c>
      <c r="D1231" s="101">
        <f t="shared" ca="1" si="73"/>
        <v>0.61486899239081083</v>
      </c>
      <c r="E1231" s="101">
        <f t="shared" ca="1" si="74"/>
        <v>0</v>
      </c>
      <c r="F1231" s="21">
        <f t="shared" ca="1" si="75"/>
        <v>0</v>
      </c>
      <c r="H1231" s="21">
        <v>1216</v>
      </c>
      <c r="I1231" s="102">
        <v>0.66776649163664914</v>
      </c>
      <c r="J1231" s="103">
        <v>1.3266325784030541E-3</v>
      </c>
      <c r="K1231" s="103"/>
      <c r="L1231" s="103">
        <v>4.1799999999999997E-2</v>
      </c>
      <c r="O1231" s="100"/>
    </row>
    <row r="1232" spans="2:15" x14ac:dyDescent="0.2">
      <c r="B1232" s="1">
        <v>1217</v>
      </c>
      <c r="C1232" s="101">
        <f t="shared" ref="C1232:C1295" ca="1" si="76">_xlfn.NORM.S.INV(RAND())</f>
        <v>-1.4563411252503351</v>
      </c>
      <c r="D1232" s="101">
        <f t="shared" ref="D1232:D1295" ca="1" si="77">S0*EXP((μ-0.5*σ*σ)*T+σ*SQRT(T)*$C1232)</f>
        <v>0.57558258358876335</v>
      </c>
      <c r="E1232" s="101">
        <f t="shared" ref="E1232:E1295" ca="1" si="78">MAX(0,CP*(D1232-K))</f>
        <v>0</v>
      </c>
      <c r="F1232" s="21">
        <f t="shared" ref="F1232:F1295" ca="1" si="79">(CP*(D1232-K)&gt;0)*1</f>
        <v>0</v>
      </c>
      <c r="H1232" s="21">
        <v>1217</v>
      </c>
      <c r="I1232" s="102">
        <v>0.66777684544243365</v>
      </c>
      <c r="J1232" s="103">
        <v>1.3869919224528005E-3</v>
      </c>
      <c r="K1232" s="103"/>
      <c r="L1232" s="103">
        <v>4.58E-2</v>
      </c>
      <c r="O1232" s="100"/>
    </row>
    <row r="1233" spans="2:15" x14ac:dyDescent="0.2">
      <c r="B1233" s="1">
        <v>1218</v>
      </c>
      <c r="C1233" s="101">
        <f t="shared" ca="1" si="76"/>
        <v>2.7962990548297983</v>
      </c>
      <c r="D1233" s="101">
        <f t="shared" ca="1" si="77"/>
        <v>0.87556446575511837</v>
      </c>
      <c r="E1233" s="101">
        <f t="shared" ca="1" si="78"/>
        <v>8.7364465755118359E-2</v>
      </c>
      <c r="F1233" s="21">
        <f t="shared" ca="1" si="79"/>
        <v>1</v>
      </c>
      <c r="H1233" s="21">
        <v>1218</v>
      </c>
      <c r="I1233" s="102">
        <v>0.6676359094345814</v>
      </c>
      <c r="J1233" s="103">
        <v>1.3178714935829709E-3</v>
      </c>
      <c r="K1233" s="103"/>
      <c r="L1233" s="103">
        <v>3.7400000000000003E-2</v>
      </c>
      <c r="O1233" s="100"/>
    </row>
    <row r="1234" spans="2:15" x14ac:dyDescent="0.2">
      <c r="B1234" s="1">
        <v>1219</v>
      </c>
      <c r="C1234" s="101">
        <f t="shared" ca="1" si="76"/>
        <v>1.246429016871597</v>
      </c>
      <c r="D1234" s="101">
        <f t="shared" ca="1" si="77"/>
        <v>0.75143713032524428</v>
      </c>
      <c r="E1234" s="101">
        <f t="shared" ca="1" si="78"/>
        <v>0</v>
      </c>
      <c r="F1234" s="21">
        <f t="shared" ca="1" si="79"/>
        <v>0</v>
      </c>
      <c r="H1234" s="21">
        <v>1219</v>
      </c>
      <c r="I1234" s="102">
        <v>0.66775362782122916</v>
      </c>
      <c r="J1234" s="103">
        <v>1.4087217968445866E-3</v>
      </c>
      <c r="K1234" s="103"/>
      <c r="L1234" s="103">
        <v>4.4200000000000003E-2</v>
      </c>
      <c r="O1234" s="100"/>
    </row>
    <row r="1235" spans="2:15" x14ac:dyDescent="0.2">
      <c r="B1235" s="1">
        <v>1220</v>
      </c>
      <c r="C1235" s="101">
        <f t="shared" ca="1" si="76"/>
        <v>1.6864262027148671</v>
      </c>
      <c r="D1235" s="101">
        <f t="shared" ca="1" si="77"/>
        <v>0.7847690357555932</v>
      </c>
      <c r="E1235" s="101">
        <f t="shared" ca="1" si="78"/>
        <v>0</v>
      </c>
      <c r="F1235" s="21">
        <f t="shared" ca="1" si="79"/>
        <v>0</v>
      </c>
      <c r="H1235" s="21">
        <v>1220</v>
      </c>
      <c r="I1235" s="102">
        <v>0.66758419094514165</v>
      </c>
      <c r="J1235" s="103">
        <v>1.1946169793804137E-3</v>
      </c>
      <c r="K1235" s="103"/>
      <c r="L1235" s="103">
        <v>3.6400000000000002E-2</v>
      </c>
      <c r="O1235" s="100"/>
    </row>
    <row r="1236" spans="2:15" x14ac:dyDescent="0.2">
      <c r="B1236" s="1">
        <v>1221</v>
      </c>
      <c r="C1236" s="101">
        <f t="shared" ca="1" si="76"/>
        <v>1.2906659707865544</v>
      </c>
      <c r="D1236" s="101">
        <f t="shared" ca="1" si="77"/>
        <v>0.75472325966108078</v>
      </c>
      <c r="E1236" s="101">
        <f t="shared" ca="1" si="78"/>
        <v>0</v>
      </c>
      <c r="F1236" s="21">
        <f t="shared" ca="1" si="79"/>
        <v>0</v>
      </c>
      <c r="H1236" s="21">
        <v>1221</v>
      </c>
      <c r="I1236" s="102">
        <v>0.66770804473447287</v>
      </c>
      <c r="J1236" s="103">
        <v>1.5143501457899546E-3</v>
      </c>
      <c r="K1236" s="103"/>
      <c r="L1236" s="103">
        <v>4.2599999999999999E-2</v>
      </c>
      <c r="O1236" s="100"/>
    </row>
    <row r="1237" spans="2:15" x14ac:dyDescent="0.2">
      <c r="B1237" s="1">
        <v>1222</v>
      </c>
      <c r="C1237" s="101">
        <f t="shared" ca="1" si="76"/>
        <v>0.64828619582008695</v>
      </c>
      <c r="D1237" s="101">
        <f t="shared" ca="1" si="77"/>
        <v>0.70838373532520049</v>
      </c>
      <c r="E1237" s="101">
        <f t="shared" ca="1" si="78"/>
        <v>0</v>
      </c>
      <c r="F1237" s="21">
        <f t="shared" ca="1" si="79"/>
        <v>0</v>
      </c>
      <c r="H1237" s="21">
        <v>1222</v>
      </c>
      <c r="I1237" s="102">
        <v>0.66778663183921794</v>
      </c>
      <c r="J1237" s="103">
        <v>1.3939959069401314E-3</v>
      </c>
      <c r="K1237" s="103"/>
      <c r="L1237" s="103">
        <v>4.2599999999999999E-2</v>
      </c>
      <c r="O1237" s="100"/>
    </row>
    <row r="1238" spans="2:15" x14ac:dyDescent="0.2">
      <c r="B1238" s="1">
        <v>1223</v>
      </c>
      <c r="C1238" s="101">
        <f t="shared" ca="1" si="76"/>
        <v>-1.8545627072728206</v>
      </c>
      <c r="D1238" s="101">
        <f t="shared" ca="1" si="77"/>
        <v>0.55341136947947012</v>
      </c>
      <c r="E1238" s="101">
        <f t="shared" ca="1" si="78"/>
        <v>0</v>
      </c>
      <c r="F1238" s="21">
        <f t="shared" ca="1" si="79"/>
        <v>0</v>
      </c>
      <c r="H1238" s="21">
        <v>1223</v>
      </c>
      <c r="I1238" s="102">
        <v>0.66766789740268173</v>
      </c>
      <c r="J1238" s="103">
        <v>1.3420583077746158E-3</v>
      </c>
      <c r="K1238" s="103"/>
      <c r="L1238" s="103">
        <v>3.78E-2</v>
      </c>
      <c r="O1238" s="100"/>
    </row>
    <row r="1239" spans="2:15" x14ac:dyDescent="0.2">
      <c r="B1239" s="1">
        <v>1224</v>
      </c>
      <c r="C1239" s="101">
        <f t="shared" ca="1" si="76"/>
        <v>-0.23889163807302274</v>
      </c>
      <c r="D1239" s="101">
        <f t="shared" ca="1" si="77"/>
        <v>0.64902650017314045</v>
      </c>
      <c r="E1239" s="101">
        <f t="shared" ca="1" si="78"/>
        <v>0</v>
      </c>
      <c r="F1239" s="21">
        <f t="shared" ca="1" si="79"/>
        <v>0</v>
      </c>
      <c r="H1239" s="21">
        <v>1224</v>
      </c>
      <c r="I1239" s="102">
        <v>0.66768192116201486</v>
      </c>
      <c r="J1239" s="103">
        <v>1.2228501668795789E-3</v>
      </c>
      <c r="K1239" s="103"/>
      <c r="L1239" s="103">
        <v>4.2200000000000001E-2</v>
      </c>
      <c r="O1239" s="100"/>
    </row>
    <row r="1240" spans="2:15" x14ac:dyDescent="0.2">
      <c r="B1240" s="1">
        <v>1225</v>
      </c>
      <c r="C1240" s="101">
        <f t="shared" ca="1" si="76"/>
        <v>8.8063417920390893E-2</v>
      </c>
      <c r="D1240" s="101">
        <f t="shared" ca="1" si="77"/>
        <v>0.67029963469451437</v>
      </c>
      <c r="E1240" s="101">
        <f t="shared" ca="1" si="78"/>
        <v>0</v>
      </c>
      <c r="F1240" s="21">
        <f t="shared" ca="1" si="79"/>
        <v>0</v>
      </c>
      <c r="H1240" s="21">
        <v>1225</v>
      </c>
      <c r="I1240" s="102">
        <v>0.66775831553113607</v>
      </c>
      <c r="J1240" s="103">
        <v>1.4546060270477145E-3</v>
      </c>
      <c r="K1240" s="103"/>
      <c r="L1240" s="103">
        <v>4.0399999999999998E-2</v>
      </c>
      <c r="O1240" s="100"/>
    </row>
    <row r="1241" spans="2:15" x14ac:dyDescent="0.2">
      <c r="B1241" s="1">
        <v>1226</v>
      </c>
      <c r="C1241" s="101">
        <f t="shared" ca="1" si="76"/>
        <v>-0.81466977472494484</v>
      </c>
      <c r="D1241" s="101">
        <f t="shared" ca="1" si="77"/>
        <v>0.61319195636640644</v>
      </c>
      <c r="E1241" s="101">
        <f t="shared" ca="1" si="78"/>
        <v>0</v>
      </c>
      <c r="F1241" s="21">
        <f t="shared" ca="1" si="79"/>
        <v>0</v>
      </c>
      <c r="H1241" s="21">
        <v>1226</v>
      </c>
      <c r="I1241" s="102">
        <v>0.66765073254593654</v>
      </c>
      <c r="J1241" s="103">
        <v>1.256158240666477E-3</v>
      </c>
      <c r="K1241" s="103"/>
      <c r="L1241" s="103">
        <v>3.9E-2</v>
      </c>
      <c r="O1241" s="100"/>
    </row>
    <row r="1242" spans="2:15" x14ac:dyDescent="0.2">
      <c r="B1242" s="1">
        <v>1227</v>
      </c>
      <c r="C1242" s="101">
        <f t="shared" ca="1" si="76"/>
        <v>1.2477216711372419</v>
      </c>
      <c r="D1242" s="101">
        <f t="shared" ca="1" si="77"/>
        <v>0.75153295152928234</v>
      </c>
      <c r="E1242" s="101">
        <f t="shared" ca="1" si="78"/>
        <v>0</v>
      </c>
      <c r="F1242" s="21">
        <f t="shared" ca="1" si="79"/>
        <v>0</v>
      </c>
      <c r="H1242" s="21">
        <v>1227</v>
      </c>
      <c r="I1242" s="102">
        <v>0.66770949179040751</v>
      </c>
      <c r="J1242" s="103">
        <v>1.3087109079969275E-3</v>
      </c>
      <c r="K1242" s="103"/>
      <c r="L1242" s="103">
        <v>3.9600000000000003E-2</v>
      </c>
      <c r="O1242" s="100"/>
    </row>
    <row r="1243" spans="2:15" x14ac:dyDescent="0.2">
      <c r="B1243" s="1">
        <v>1228</v>
      </c>
      <c r="C1243" s="101">
        <f t="shared" ca="1" si="76"/>
        <v>0.1007277024065</v>
      </c>
      <c r="D1243" s="101">
        <f t="shared" ca="1" si="77"/>
        <v>0.6711375108561014</v>
      </c>
      <c r="E1243" s="101">
        <f t="shared" ca="1" si="78"/>
        <v>0</v>
      </c>
      <c r="F1243" s="21">
        <f t="shared" ca="1" si="79"/>
        <v>0</v>
      </c>
      <c r="H1243" s="21">
        <v>1228</v>
      </c>
      <c r="I1243" s="102">
        <v>0.66783066821247716</v>
      </c>
      <c r="J1243" s="103">
        <v>1.5364637656126853E-3</v>
      </c>
      <c r="K1243" s="103"/>
      <c r="L1243" s="103">
        <v>4.5400000000000003E-2</v>
      </c>
      <c r="O1243" s="100"/>
    </row>
    <row r="1244" spans="2:15" x14ac:dyDescent="0.2">
      <c r="B1244" s="1">
        <v>1229</v>
      </c>
      <c r="C1244" s="101">
        <f t="shared" ca="1" si="76"/>
        <v>-0.2721921033764344</v>
      </c>
      <c r="D1244" s="101">
        <f t="shared" ca="1" si="77"/>
        <v>0.64689807424008516</v>
      </c>
      <c r="E1244" s="101">
        <f t="shared" ca="1" si="78"/>
        <v>0</v>
      </c>
      <c r="F1244" s="21">
        <f t="shared" ca="1" si="79"/>
        <v>0</v>
      </c>
      <c r="H1244" s="21">
        <v>1229</v>
      </c>
      <c r="I1244" s="102">
        <v>0.66766063262784514</v>
      </c>
      <c r="J1244" s="103">
        <v>1.3146464950481807E-3</v>
      </c>
      <c r="K1244" s="103"/>
      <c r="L1244" s="103">
        <v>4.0399999999999998E-2</v>
      </c>
      <c r="O1244" s="100"/>
    </row>
    <row r="1245" spans="2:15" x14ac:dyDescent="0.2">
      <c r="B1245" s="1">
        <v>1230</v>
      </c>
      <c r="C1245" s="101">
        <f t="shared" ca="1" si="76"/>
        <v>0.33897598362813824</v>
      </c>
      <c r="D1245" s="101">
        <f t="shared" ca="1" si="77"/>
        <v>0.68709679432284976</v>
      </c>
      <c r="E1245" s="101">
        <f t="shared" ca="1" si="78"/>
        <v>0</v>
      </c>
      <c r="F1245" s="21">
        <f t="shared" ca="1" si="79"/>
        <v>0</v>
      </c>
      <c r="H1245" s="21">
        <v>1230</v>
      </c>
      <c r="I1245" s="102">
        <v>0.66778412339129678</v>
      </c>
      <c r="J1245" s="103">
        <v>1.5196504536759707E-3</v>
      </c>
      <c r="K1245" s="103"/>
      <c r="L1245" s="103">
        <v>4.36E-2</v>
      </c>
      <c r="O1245" s="100"/>
    </row>
    <row r="1246" spans="2:15" x14ac:dyDescent="0.2">
      <c r="B1246" s="1">
        <v>1231</v>
      </c>
      <c r="C1246" s="101">
        <f t="shared" ca="1" si="76"/>
        <v>5.3624754603198696E-2</v>
      </c>
      <c r="D1246" s="101">
        <f t="shared" ca="1" si="77"/>
        <v>0.66802643958370411</v>
      </c>
      <c r="E1246" s="101">
        <f t="shared" ca="1" si="78"/>
        <v>0</v>
      </c>
      <c r="F1246" s="21">
        <f t="shared" ca="1" si="79"/>
        <v>0</v>
      </c>
      <c r="H1246" s="21">
        <v>1231</v>
      </c>
      <c r="I1246" s="102">
        <v>0.66779323884214359</v>
      </c>
      <c r="J1246" s="103">
        <v>1.4746028298121905E-3</v>
      </c>
      <c r="K1246" s="103"/>
      <c r="L1246" s="103">
        <v>4.36E-2</v>
      </c>
      <c r="O1246" s="100"/>
    </row>
    <row r="1247" spans="2:15" x14ac:dyDescent="0.2">
      <c r="B1247" s="1">
        <v>1232</v>
      </c>
      <c r="C1247" s="101">
        <f t="shared" ca="1" si="76"/>
        <v>-1.2933630961313536</v>
      </c>
      <c r="D1247" s="101">
        <f t="shared" ca="1" si="77"/>
        <v>0.58491064125974435</v>
      </c>
      <c r="E1247" s="101">
        <f t="shared" ca="1" si="78"/>
        <v>0</v>
      </c>
      <c r="F1247" s="21">
        <f t="shared" ca="1" si="79"/>
        <v>0</v>
      </c>
      <c r="H1247" s="21">
        <v>1232</v>
      </c>
      <c r="I1247" s="102">
        <v>0.6678558436697638</v>
      </c>
      <c r="J1247" s="103">
        <v>1.3634221102355147E-3</v>
      </c>
      <c r="K1247" s="103"/>
      <c r="L1247" s="103">
        <v>4.2999999999999997E-2</v>
      </c>
      <c r="O1247" s="100"/>
    </row>
    <row r="1248" spans="2:15" x14ac:dyDescent="0.2">
      <c r="B1248" s="1">
        <v>1233</v>
      </c>
      <c r="C1248" s="101">
        <f t="shared" ca="1" si="76"/>
        <v>1.6972983926435581</v>
      </c>
      <c r="D1248" s="101">
        <f t="shared" ca="1" si="77"/>
        <v>0.78561111059274347</v>
      </c>
      <c r="E1248" s="101">
        <f t="shared" ca="1" si="78"/>
        <v>0</v>
      </c>
      <c r="F1248" s="21">
        <f t="shared" ca="1" si="79"/>
        <v>0</v>
      </c>
      <c r="H1248" s="21">
        <v>1233</v>
      </c>
      <c r="I1248" s="102">
        <v>0.66770752477346429</v>
      </c>
      <c r="J1248" s="103">
        <v>1.3576089988353579E-3</v>
      </c>
      <c r="K1248" s="103"/>
      <c r="L1248" s="103">
        <v>4.0399999999999998E-2</v>
      </c>
      <c r="O1248" s="100"/>
    </row>
    <row r="1249" spans="2:15" x14ac:dyDescent="0.2">
      <c r="B1249" s="1">
        <v>1234</v>
      </c>
      <c r="C1249" s="101">
        <f t="shared" ca="1" si="76"/>
        <v>0.14520212605732999</v>
      </c>
      <c r="D1249" s="101">
        <f t="shared" ca="1" si="77"/>
        <v>0.67408826971014579</v>
      </c>
      <c r="E1249" s="101">
        <f t="shared" ca="1" si="78"/>
        <v>0</v>
      </c>
      <c r="F1249" s="21">
        <f t="shared" ca="1" si="79"/>
        <v>0</v>
      </c>
      <c r="H1249" s="21">
        <v>1234</v>
      </c>
      <c r="I1249" s="102">
        <v>0.66779013027093426</v>
      </c>
      <c r="J1249" s="103">
        <v>1.5213258481634048E-3</v>
      </c>
      <c r="K1249" s="103"/>
      <c r="L1249" s="103">
        <v>4.2599999999999999E-2</v>
      </c>
      <c r="O1249" s="100"/>
    </row>
    <row r="1250" spans="2:15" x14ac:dyDescent="0.2">
      <c r="B1250" s="1">
        <v>1235</v>
      </c>
      <c r="C1250" s="101">
        <f t="shared" ca="1" si="76"/>
        <v>0.43956617391590419</v>
      </c>
      <c r="D1250" s="101">
        <f t="shared" ca="1" si="77"/>
        <v>0.69394834453966281</v>
      </c>
      <c r="E1250" s="101">
        <f t="shared" ca="1" si="78"/>
        <v>0</v>
      </c>
      <c r="F1250" s="21">
        <f t="shared" ca="1" si="79"/>
        <v>0</v>
      </c>
      <c r="H1250" s="21">
        <v>1235</v>
      </c>
      <c r="I1250" s="102">
        <v>0.66766532500126208</v>
      </c>
      <c r="J1250" s="103">
        <v>1.2911737470254262E-3</v>
      </c>
      <c r="K1250" s="103"/>
      <c r="L1250" s="103">
        <v>4.2799999999999998E-2</v>
      </c>
      <c r="O1250" s="100"/>
    </row>
    <row r="1251" spans="2:15" x14ac:dyDescent="0.2">
      <c r="B1251" s="1">
        <v>1236</v>
      </c>
      <c r="C1251" s="101">
        <f t="shared" ca="1" si="76"/>
        <v>-1.6360388962665955</v>
      </c>
      <c r="D1251" s="101">
        <f t="shared" ca="1" si="77"/>
        <v>0.5654699132550034</v>
      </c>
      <c r="E1251" s="101">
        <f t="shared" ca="1" si="78"/>
        <v>0</v>
      </c>
      <c r="F1251" s="21">
        <f t="shared" ca="1" si="79"/>
        <v>0</v>
      </c>
      <c r="H1251" s="21">
        <v>1236</v>
      </c>
      <c r="I1251" s="102">
        <v>0.66765406442425124</v>
      </c>
      <c r="J1251" s="103">
        <v>1.404452450403535E-3</v>
      </c>
      <c r="K1251" s="103"/>
      <c r="L1251" s="103">
        <v>4.1599999999999998E-2</v>
      </c>
      <c r="O1251" s="100"/>
    </row>
    <row r="1252" spans="2:15" x14ac:dyDescent="0.2">
      <c r="B1252" s="1">
        <v>1237</v>
      </c>
      <c r="C1252" s="101">
        <f t="shared" ca="1" si="76"/>
        <v>-0.64342857667665387</v>
      </c>
      <c r="D1252" s="101">
        <f t="shared" ca="1" si="77"/>
        <v>0.62363763605523859</v>
      </c>
      <c r="E1252" s="101">
        <f t="shared" ca="1" si="78"/>
        <v>0</v>
      </c>
      <c r="F1252" s="21">
        <f t="shared" ca="1" si="79"/>
        <v>0</v>
      </c>
      <c r="H1252" s="21">
        <v>1237</v>
      </c>
      <c r="I1252" s="102">
        <v>0.66766899167039007</v>
      </c>
      <c r="J1252" s="103">
        <v>1.3468151076829172E-3</v>
      </c>
      <c r="K1252" s="103"/>
      <c r="L1252" s="103">
        <v>4.2200000000000001E-2</v>
      </c>
      <c r="O1252" s="100"/>
    </row>
    <row r="1253" spans="2:15" x14ac:dyDescent="0.2">
      <c r="B1253" s="1">
        <v>1238</v>
      </c>
      <c r="C1253" s="101">
        <f t="shared" ca="1" si="76"/>
        <v>-1.2777017058635307</v>
      </c>
      <c r="D1253" s="101">
        <f t="shared" ca="1" si="77"/>
        <v>0.58581494481958352</v>
      </c>
      <c r="E1253" s="101">
        <f t="shared" ca="1" si="78"/>
        <v>0</v>
      </c>
      <c r="F1253" s="21">
        <f t="shared" ca="1" si="79"/>
        <v>0</v>
      </c>
      <c r="H1253" s="21">
        <v>1238</v>
      </c>
      <c r="I1253" s="102">
        <v>0.66747033072821937</v>
      </c>
      <c r="J1253" s="103">
        <v>1.018675305460578E-3</v>
      </c>
      <c r="K1253" s="103"/>
      <c r="L1253" s="103">
        <v>3.44E-2</v>
      </c>
      <c r="O1253" s="100"/>
    </row>
    <row r="1254" spans="2:15" x14ac:dyDescent="0.2">
      <c r="B1254" s="1">
        <v>1239</v>
      </c>
      <c r="C1254" s="101">
        <f t="shared" ca="1" si="76"/>
        <v>0.75214398601111976</v>
      </c>
      <c r="D1254" s="101">
        <f t="shared" ca="1" si="77"/>
        <v>0.71567819387160669</v>
      </c>
      <c r="E1254" s="101">
        <f t="shared" ca="1" si="78"/>
        <v>0</v>
      </c>
      <c r="F1254" s="21">
        <f t="shared" ca="1" si="79"/>
        <v>0</v>
      </c>
      <c r="H1254" s="21">
        <v>1239</v>
      </c>
      <c r="I1254" s="102">
        <v>0.66776290561030183</v>
      </c>
      <c r="J1254" s="103">
        <v>1.2364773712363168E-3</v>
      </c>
      <c r="K1254" s="103"/>
      <c r="L1254" s="103">
        <v>4.2200000000000001E-2</v>
      </c>
      <c r="O1254" s="100"/>
    </row>
    <row r="1255" spans="2:15" x14ac:dyDescent="0.2">
      <c r="B1255" s="1">
        <v>1240</v>
      </c>
      <c r="C1255" s="101">
        <f t="shared" ca="1" si="76"/>
        <v>-0.65406103126036252</v>
      </c>
      <c r="D1255" s="101">
        <f t="shared" ca="1" si="77"/>
        <v>0.62298390814122095</v>
      </c>
      <c r="E1255" s="101">
        <f t="shared" ca="1" si="78"/>
        <v>0</v>
      </c>
      <c r="F1255" s="21">
        <f t="shared" ca="1" si="79"/>
        <v>0</v>
      </c>
      <c r="H1255" s="21">
        <v>1240</v>
      </c>
      <c r="I1255" s="102">
        <v>0.66771034501222915</v>
      </c>
      <c r="J1255" s="103">
        <v>1.4359487075956796E-3</v>
      </c>
      <c r="K1255" s="103"/>
      <c r="L1255" s="103">
        <v>4.0399999999999998E-2</v>
      </c>
      <c r="O1255" s="100"/>
    </row>
    <row r="1256" spans="2:15" x14ac:dyDescent="0.2">
      <c r="B1256" s="1">
        <v>1241</v>
      </c>
      <c r="C1256" s="101">
        <f t="shared" ca="1" si="76"/>
        <v>0.27720435288301198</v>
      </c>
      <c r="D1256" s="101">
        <f t="shared" ca="1" si="77"/>
        <v>0.68292288094101727</v>
      </c>
      <c r="E1256" s="101">
        <f t="shared" ca="1" si="78"/>
        <v>0</v>
      </c>
      <c r="F1256" s="21">
        <f t="shared" ca="1" si="79"/>
        <v>0</v>
      </c>
      <c r="H1256" s="21">
        <v>1241</v>
      </c>
      <c r="I1256" s="102">
        <v>0.66751498417016797</v>
      </c>
      <c r="J1256" s="103">
        <v>1.2216063276797914E-3</v>
      </c>
      <c r="K1256" s="103"/>
      <c r="L1256" s="103">
        <v>3.5000000000000003E-2</v>
      </c>
      <c r="O1256" s="100"/>
    </row>
    <row r="1257" spans="2:15" x14ac:dyDescent="0.2">
      <c r="B1257" s="1">
        <v>1242</v>
      </c>
      <c r="C1257" s="101">
        <f t="shared" ca="1" si="76"/>
        <v>0.57666933371884332</v>
      </c>
      <c r="D1257" s="101">
        <f t="shared" ca="1" si="77"/>
        <v>0.70339707642766791</v>
      </c>
      <c r="E1257" s="101">
        <f t="shared" ca="1" si="78"/>
        <v>0</v>
      </c>
      <c r="F1257" s="21">
        <f t="shared" ca="1" si="79"/>
        <v>0</v>
      </c>
      <c r="H1257" s="21">
        <v>1242</v>
      </c>
      <c r="I1257" s="102">
        <v>0.66766977049888765</v>
      </c>
      <c r="J1257" s="103">
        <v>1.3560295818922227E-3</v>
      </c>
      <c r="K1257" s="103"/>
      <c r="L1257" s="103">
        <v>0.04</v>
      </c>
      <c r="O1257" s="100"/>
    </row>
    <row r="1258" spans="2:15" x14ac:dyDescent="0.2">
      <c r="B1258" s="1">
        <v>1243</v>
      </c>
      <c r="C1258" s="101">
        <f t="shared" ca="1" si="76"/>
        <v>0.238892256276967</v>
      </c>
      <c r="D1258" s="101">
        <f t="shared" ca="1" si="77"/>
        <v>0.68034687945814232</v>
      </c>
      <c r="E1258" s="101">
        <f t="shared" ca="1" si="78"/>
        <v>0</v>
      </c>
      <c r="F1258" s="21">
        <f t="shared" ca="1" si="79"/>
        <v>0</v>
      </c>
      <c r="H1258" s="21">
        <v>1243</v>
      </c>
      <c r="I1258" s="102">
        <v>0.66778609609362238</v>
      </c>
      <c r="J1258" s="103">
        <v>1.4174012496515581E-3</v>
      </c>
      <c r="K1258" s="103"/>
      <c r="L1258" s="103">
        <v>4.5199999999999997E-2</v>
      </c>
      <c r="O1258" s="100"/>
    </row>
    <row r="1259" spans="2:15" x14ac:dyDescent="0.2">
      <c r="B1259" s="1">
        <v>1244</v>
      </c>
      <c r="C1259" s="101">
        <f t="shared" ca="1" si="76"/>
        <v>-0.83017421669266533</v>
      </c>
      <c r="D1259" s="101">
        <f t="shared" ca="1" si="77"/>
        <v>0.61225487040492044</v>
      </c>
      <c r="E1259" s="101">
        <f t="shared" ca="1" si="78"/>
        <v>0</v>
      </c>
      <c r="F1259" s="21">
        <f t="shared" ca="1" si="79"/>
        <v>0</v>
      </c>
      <c r="H1259" s="21">
        <v>1244</v>
      </c>
      <c r="I1259" s="102">
        <v>0.66783615457122669</v>
      </c>
      <c r="J1259" s="103">
        <v>1.5099289435892892E-3</v>
      </c>
      <c r="K1259" s="103"/>
      <c r="L1259" s="103">
        <v>4.3200000000000002E-2</v>
      </c>
      <c r="O1259" s="100"/>
    </row>
    <row r="1260" spans="2:15" x14ac:dyDescent="0.2">
      <c r="B1260" s="1">
        <v>1245</v>
      </c>
      <c r="C1260" s="101">
        <f t="shared" ca="1" si="76"/>
        <v>0.87359352023197656</v>
      </c>
      <c r="D1260" s="101">
        <f t="shared" ca="1" si="77"/>
        <v>0.72430354031152933</v>
      </c>
      <c r="E1260" s="101">
        <f t="shared" ca="1" si="78"/>
        <v>0</v>
      </c>
      <c r="F1260" s="21">
        <f t="shared" ca="1" si="79"/>
        <v>0</v>
      </c>
      <c r="H1260" s="21">
        <v>1245</v>
      </c>
      <c r="I1260" s="102">
        <v>0.66763447488227301</v>
      </c>
      <c r="J1260" s="103">
        <v>1.1658895241484291E-3</v>
      </c>
      <c r="K1260" s="103"/>
      <c r="L1260" s="103">
        <v>3.8199999999999998E-2</v>
      </c>
      <c r="O1260" s="100"/>
    </row>
    <row r="1261" spans="2:15" x14ac:dyDescent="0.2">
      <c r="B1261" s="1">
        <v>1246</v>
      </c>
      <c r="C1261" s="101">
        <f t="shared" ca="1" si="76"/>
        <v>-0.96258117236181573</v>
      </c>
      <c r="D1261" s="101">
        <f t="shared" ca="1" si="77"/>
        <v>0.60431032740221191</v>
      </c>
      <c r="E1261" s="101">
        <f t="shared" ca="1" si="78"/>
        <v>0</v>
      </c>
      <c r="F1261" s="21">
        <f t="shared" ca="1" si="79"/>
        <v>0</v>
      </c>
      <c r="H1261" s="21">
        <v>1246</v>
      </c>
      <c r="I1261" s="102">
        <v>0.66764307437721482</v>
      </c>
      <c r="J1261" s="103">
        <v>1.2120140135227814E-3</v>
      </c>
      <c r="K1261" s="103"/>
      <c r="L1261" s="103">
        <v>3.8199999999999998E-2</v>
      </c>
      <c r="O1261" s="100"/>
    </row>
    <row r="1262" spans="2:15" x14ac:dyDescent="0.2">
      <c r="B1262" s="1">
        <v>1247</v>
      </c>
      <c r="C1262" s="101">
        <f t="shared" ca="1" si="76"/>
        <v>-0.35895794751151178</v>
      </c>
      <c r="D1262" s="101">
        <f t="shared" ca="1" si="77"/>
        <v>0.64138509466873883</v>
      </c>
      <c r="E1262" s="101">
        <f t="shared" ca="1" si="78"/>
        <v>0</v>
      </c>
      <c r="F1262" s="21">
        <f t="shared" ca="1" si="79"/>
        <v>0</v>
      </c>
      <c r="H1262" s="21">
        <v>1247</v>
      </c>
      <c r="I1262" s="102">
        <v>0.66766506533356362</v>
      </c>
      <c r="J1262" s="103">
        <v>1.2010595581368954E-3</v>
      </c>
      <c r="K1262" s="103"/>
      <c r="L1262" s="103">
        <v>3.8399999999999997E-2</v>
      </c>
      <c r="O1262" s="100"/>
    </row>
    <row r="1263" spans="2:15" x14ac:dyDescent="0.2">
      <c r="B1263" s="1">
        <v>1248</v>
      </c>
      <c r="C1263" s="101">
        <f t="shared" ca="1" si="76"/>
        <v>-0.64508629962617681</v>
      </c>
      <c r="D1263" s="101">
        <f t="shared" ca="1" si="77"/>
        <v>0.62353566717274522</v>
      </c>
      <c r="E1263" s="101">
        <f t="shared" ca="1" si="78"/>
        <v>0</v>
      </c>
      <c r="F1263" s="21">
        <f t="shared" ca="1" si="79"/>
        <v>0</v>
      </c>
      <c r="H1263" s="21">
        <v>1248</v>
      </c>
      <c r="I1263" s="102">
        <v>0.66771805722162392</v>
      </c>
      <c r="J1263" s="103">
        <v>1.3917857563974928E-3</v>
      </c>
      <c r="K1263" s="103"/>
      <c r="L1263" s="103">
        <v>4.1200000000000001E-2</v>
      </c>
      <c r="O1263" s="100"/>
    </row>
    <row r="1264" spans="2:15" x14ac:dyDescent="0.2">
      <c r="B1264" s="1">
        <v>1249</v>
      </c>
      <c r="C1264" s="101">
        <f t="shared" ca="1" si="76"/>
        <v>-4.7602726707052859E-2</v>
      </c>
      <c r="D1264" s="101">
        <f t="shared" ca="1" si="77"/>
        <v>0.66138924536653665</v>
      </c>
      <c r="E1264" s="101">
        <f t="shared" ca="1" si="78"/>
        <v>0</v>
      </c>
      <c r="F1264" s="21">
        <f t="shared" ca="1" si="79"/>
        <v>0</v>
      </c>
      <c r="H1264" s="21">
        <v>1249</v>
      </c>
      <c r="I1264" s="102">
        <v>0.66777775491895897</v>
      </c>
      <c r="J1264" s="103">
        <v>1.450522829036782E-3</v>
      </c>
      <c r="K1264" s="103"/>
      <c r="L1264" s="103">
        <v>4.5199999999999997E-2</v>
      </c>
      <c r="O1264" s="100"/>
    </row>
    <row r="1265" spans="2:15" x14ac:dyDescent="0.2">
      <c r="B1265" s="1">
        <v>1250</v>
      </c>
      <c r="C1265" s="101">
        <f t="shared" ca="1" si="76"/>
        <v>-0.50043387766353431</v>
      </c>
      <c r="D1265" s="101">
        <f t="shared" ca="1" si="77"/>
        <v>0.63249649237206629</v>
      </c>
      <c r="E1265" s="101">
        <f t="shared" ca="1" si="78"/>
        <v>0</v>
      </c>
      <c r="F1265" s="21">
        <f t="shared" ca="1" si="79"/>
        <v>0</v>
      </c>
      <c r="H1265" s="21">
        <v>1250</v>
      </c>
      <c r="I1265" s="102">
        <v>0.66775621468615753</v>
      </c>
      <c r="J1265" s="103">
        <v>1.3485482600526582E-3</v>
      </c>
      <c r="K1265" s="103"/>
      <c r="L1265" s="103">
        <v>4.2999999999999997E-2</v>
      </c>
      <c r="O1265" s="100"/>
    </row>
    <row r="1266" spans="2:15" x14ac:dyDescent="0.2">
      <c r="B1266" s="1">
        <v>1251</v>
      </c>
      <c r="C1266" s="101">
        <f t="shared" ca="1" si="76"/>
        <v>-0.51563092562611812</v>
      </c>
      <c r="D1266" s="101">
        <f t="shared" ca="1" si="77"/>
        <v>0.63154905441293741</v>
      </c>
      <c r="E1266" s="101">
        <f t="shared" ca="1" si="78"/>
        <v>0</v>
      </c>
      <c r="F1266" s="21">
        <f t="shared" ca="1" si="79"/>
        <v>0</v>
      </c>
      <c r="H1266" s="21">
        <v>1251</v>
      </c>
      <c r="I1266" s="102">
        <v>0.66770998347898236</v>
      </c>
      <c r="J1266" s="103">
        <v>1.3802854214687787E-3</v>
      </c>
      <c r="K1266" s="103"/>
      <c r="L1266" s="103">
        <v>4.2000000000000003E-2</v>
      </c>
      <c r="O1266" s="100"/>
    </row>
    <row r="1267" spans="2:15" x14ac:dyDescent="0.2">
      <c r="B1267" s="1">
        <v>1252</v>
      </c>
      <c r="C1267" s="101">
        <f t="shared" ca="1" si="76"/>
        <v>-0.75675068539964574</v>
      </c>
      <c r="D1267" s="101">
        <f t="shared" ca="1" si="77"/>
        <v>0.61670528094853383</v>
      </c>
      <c r="E1267" s="101">
        <f t="shared" ca="1" si="78"/>
        <v>0</v>
      </c>
      <c r="F1267" s="21">
        <f t="shared" ca="1" si="79"/>
        <v>0</v>
      </c>
      <c r="H1267" s="21">
        <v>1252</v>
      </c>
      <c r="I1267" s="102">
        <v>0.6677267799259784</v>
      </c>
      <c r="J1267" s="103">
        <v>1.3676106219572633E-3</v>
      </c>
      <c r="K1267" s="103"/>
      <c r="L1267" s="103">
        <v>4.02E-2</v>
      </c>
      <c r="O1267" s="100"/>
    </row>
    <row r="1268" spans="2:15" x14ac:dyDescent="0.2">
      <c r="B1268" s="1">
        <v>1253</v>
      </c>
      <c r="C1268" s="101">
        <f t="shared" ca="1" si="76"/>
        <v>0.38935691277168133</v>
      </c>
      <c r="D1268" s="101">
        <f t="shared" ca="1" si="77"/>
        <v>0.69051991796915746</v>
      </c>
      <c r="E1268" s="101">
        <f t="shared" ca="1" si="78"/>
        <v>0</v>
      </c>
      <c r="F1268" s="21">
        <f t="shared" ca="1" si="79"/>
        <v>0</v>
      </c>
      <c r="H1268" s="21">
        <v>1253</v>
      </c>
      <c r="I1268" s="102">
        <v>0.667730962092835</v>
      </c>
      <c r="J1268" s="103">
        <v>1.3622988365555192E-3</v>
      </c>
      <c r="K1268" s="103"/>
      <c r="L1268" s="103">
        <v>3.9199999999999999E-2</v>
      </c>
      <c r="O1268" s="100"/>
    </row>
    <row r="1269" spans="2:15" x14ac:dyDescent="0.2">
      <c r="B1269" s="1">
        <v>1254</v>
      </c>
      <c r="C1269" s="101">
        <f t="shared" ca="1" si="76"/>
        <v>-0.88678260209408999</v>
      </c>
      <c r="D1269" s="101">
        <f t="shared" ca="1" si="77"/>
        <v>0.60884561178457086</v>
      </c>
      <c r="E1269" s="101">
        <f t="shared" ca="1" si="78"/>
        <v>0</v>
      </c>
      <c r="F1269" s="21">
        <f t="shared" ca="1" si="79"/>
        <v>0</v>
      </c>
      <c r="H1269" s="21">
        <v>1254</v>
      </c>
      <c r="I1269" s="102">
        <v>0.66782068663649097</v>
      </c>
      <c r="J1269" s="103">
        <v>1.3819891647072816E-3</v>
      </c>
      <c r="K1269" s="103"/>
      <c r="L1269" s="103">
        <v>4.1799999999999997E-2</v>
      </c>
      <c r="O1269" s="100"/>
    </row>
    <row r="1270" spans="2:15" x14ac:dyDescent="0.2">
      <c r="B1270" s="1">
        <v>1255</v>
      </c>
      <c r="C1270" s="101">
        <f t="shared" ca="1" si="76"/>
        <v>-6.640863734405391E-3</v>
      </c>
      <c r="D1270" s="101">
        <f t="shared" ca="1" si="77"/>
        <v>0.66406701625442721</v>
      </c>
      <c r="E1270" s="101">
        <f t="shared" ca="1" si="78"/>
        <v>0</v>
      </c>
      <c r="F1270" s="21">
        <f t="shared" ca="1" si="79"/>
        <v>0</v>
      </c>
      <c r="H1270" s="21">
        <v>1255</v>
      </c>
      <c r="I1270" s="102">
        <v>0.66776587912202401</v>
      </c>
      <c r="J1270" s="103">
        <v>1.2316639133331643E-3</v>
      </c>
      <c r="K1270" s="103"/>
      <c r="L1270" s="103">
        <v>4.0399999999999998E-2</v>
      </c>
      <c r="O1270" s="100"/>
    </row>
    <row r="1271" spans="2:15" x14ac:dyDescent="0.2">
      <c r="B1271" s="1">
        <v>1256</v>
      </c>
      <c r="C1271" s="101">
        <f t="shared" ca="1" si="76"/>
        <v>-6.7108206995757452E-2</v>
      </c>
      <c r="D1271" s="101">
        <f t="shared" ca="1" si="77"/>
        <v>0.66011792517832302</v>
      </c>
      <c r="E1271" s="101">
        <f t="shared" ca="1" si="78"/>
        <v>0</v>
      </c>
      <c r="F1271" s="21">
        <f t="shared" ca="1" si="79"/>
        <v>0</v>
      </c>
      <c r="H1271" s="21">
        <v>1256</v>
      </c>
      <c r="I1271" s="102">
        <v>0.66777888993430146</v>
      </c>
      <c r="J1271" s="103">
        <v>1.5370610259635975E-3</v>
      </c>
      <c r="K1271" s="103"/>
      <c r="L1271" s="103">
        <v>4.5199999999999997E-2</v>
      </c>
      <c r="O1271" s="100"/>
    </row>
    <row r="1272" spans="2:15" x14ac:dyDescent="0.2">
      <c r="B1272" s="1">
        <v>1257</v>
      </c>
      <c r="C1272" s="101">
        <f t="shared" ca="1" si="76"/>
        <v>0.12599606048104867</v>
      </c>
      <c r="D1272" s="101">
        <f t="shared" ca="1" si="77"/>
        <v>0.67281241049511131</v>
      </c>
      <c r="E1272" s="101">
        <f t="shared" ca="1" si="78"/>
        <v>0</v>
      </c>
      <c r="F1272" s="21">
        <f t="shared" ca="1" si="79"/>
        <v>0</v>
      </c>
      <c r="H1272" s="21">
        <v>1257</v>
      </c>
      <c r="I1272" s="102">
        <v>0.66792918866493434</v>
      </c>
      <c r="J1272" s="103">
        <v>1.6242086534496547E-3</v>
      </c>
      <c r="K1272" s="103"/>
      <c r="L1272" s="103">
        <v>4.8399999999999999E-2</v>
      </c>
      <c r="O1272" s="100"/>
    </row>
    <row r="1273" spans="2:15" x14ac:dyDescent="0.2">
      <c r="B1273" s="1">
        <v>1258</v>
      </c>
      <c r="C1273" s="101">
        <f t="shared" ca="1" si="76"/>
        <v>-2.9479779050512094</v>
      </c>
      <c r="D1273" s="101">
        <f t="shared" ca="1" si="77"/>
        <v>0.49682889302785382</v>
      </c>
      <c r="E1273" s="101">
        <f t="shared" ca="1" si="78"/>
        <v>0</v>
      </c>
      <c r="F1273" s="21">
        <f t="shared" ca="1" si="79"/>
        <v>0</v>
      </c>
      <c r="H1273" s="21">
        <v>1258</v>
      </c>
      <c r="I1273" s="102">
        <v>0.66787214887376212</v>
      </c>
      <c r="J1273" s="103">
        <v>1.610598115533618E-3</v>
      </c>
      <c r="K1273" s="103"/>
      <c r="L1273" s="103">
        <v>4.3999999999999997E-2</v>
      </c>
      <c r="O1273" s="100"/>
    </row>
    <row r="1274" spans="2:15" x14ac:dyDescent="0.2">
      <c r="B1274" s="1">
        <v>1259</v>
      </c>
      <c r="C1274" s="101">
        <f t="shared" ca="1" si="76"/>
        <v>1.3909816580275063</v>
      </c>
      <c r="D1274" s="101">
        <f t="shared" ca="1" si="77"/>
        <v>0.76222852396711638</v>
      </c>
      <c r="E1274" s="101">
        <f t="shared" ca="1" si="78"/>
        <v>0</v>
      </c>
      <c r="F1274" s="21">
        <f t="shared" ca="1" si="79"/>
        <v>0</v>
      </c>
      <c r="H1274" s="21">
        <v>1259</v>
      </c>
      <c r="I1274" s="102">
        <v>0.66771708852482359</v>
      </c>
      <c r="J1274" s="103">
        <v>1.3897599365291222E-3</v>
      </c>
      <c r="K1274" s="103"/>
      <c r="L1274" s="103">
        <v>4.2000000000000003E-2</v>
      </c>
      <c r="O1274" s="100"/>
    </row>
    <row r="1275" spans="2:15" x14ac:dyDescent="0.2">
      <c r="B1275" s="1">
        <v>1260</v>
      </c>
      <c r="C1275" s="101">
        <f t="shared" ca="1" si="76"/>
        <v>0.13675144920419663</v>
      </c>
      <c r="D1275" s="101">
        <f t="shared" ca="1" si="77"/>
        <v>0.67352659332234432</v>
      </c>
      <c r="E1275" s="101">
        <f t="shared" ca="1" si="78"/>
        <v>0</v>
      </c>
      <c r="F1275" s="21">
        <f t="shared" ca="1" si="79"/>
        <v>0</v>
      </c>
      <c r="H1275" s="21">
        <v>1260</v>
      </c>
      <c r="I1275" s="102">
        <v>0.66773305392041349</v>
      </c>
      <c r="J1275" s="103">
        <v>1.2002462841604897E-3</v>
      </c>
      <c r="K1275" s="103"/>
      <c r="L1275" s="103">
        <v>3.9800000000000002E-2</v>
      </c>
      <c r="O1275" s="100"/>
    </row>
    <row r="1276" spans="2:15" x14ac:dyDescent="0.2">
      <c r="B1276" s="1">
        <v>1261</v>
      </c>
      <c r="C1276" s="101">
        <f t="shared" ca="1" si="76"/>
        <v>-0.92429834729871363</v>
      </c>
      <c r="D1276" s="101">
        <f t="shared" ca="1" si="77"/>
        <v>0.6065966797506207</v>
      </c>
      <c r="E1276" s="101">
        <f t="shared" ca="1" si="78"/>
        <v>0</v>
      </c>
      <c r="F1276" s="21">
        <f t="shared" ca="1" si="79"/>
        <v>0</v>
      </c>
      <c r="H1276" s="21">
        <v>1261</v>
      </c>
      <c r="I1276" s="102">
        <v>0.66767543911804683</v>
      </c>
      <c r="J1276" s="103">
        <v>1.3224729700245456E-3</v>
      </c>
      <c r="K1276" s="103"/>
      <c r="L1276" s="103">
        <v>4.02E-2</v>
      </c>
      <c r="O1276" s="100"/>
    </row>
    <row r="1277" spans="2:15" x14ac:dyDescent="0.2">
      <c r="B1277" s="1">
        <v>1262</v>
      </c>
      <c r="C1277" s="101">
        <f t="shared" ca="1" si="76"/>
        <v>-0.72447306157840941</v>
      </c>
      <c r="D1277" s="101">
        <f t="shared" ca="1" si="77"/>
        <v>0.61867194275676141</v>
      </c>
      <c r="E1277" s="101">
        <f t="shared" ca="1" si="78"/>
        <v>0</v>
      </c>
      <c r="F1277" s="21">
        <f t="shared" ca="1" si="79"/>
        <v>0</v>
      </c>
      <c r="H1277" s="21">
        <v>1262</v>
      </c>
      <c r="I1277" s="102">
        <v>0.66768099633517763</v>
      </c>
      <c r="J1277" s="103">
        <v>1.1929639771625204E-3</v>
      </c>
      <c r="K1277" s="103"/>
      <c r="L1277" s="103">
        <v>3.8199999999999998E-2</v>
      </c>
      <c r="O1277" s="100"/>
    </row>
    <row r="1278" spans="2:15" x14ac:dyDescent="0.2">
      <c r="B1278" s="1">
        <v>1263</v>
      </c>
      <c r="C1278" s="101">
        <f t="shared" ca="1" si="76"/>
        <v>-0.78455120549221002</v>
      </c>
      <c r="D1278" s="101">
        <f t="shared" ca="1" si="77"/>
        <v>0.61501641901733684</v>
      </c>
      <c r="E1278" s="101">
        <f t="shared" ca="1" si="78"/>
        <v>0</v>
      </c>
      <c r="F1278" s="21">
        <f t="shared" ca="1" si="79"/>
        <v>0</v>
      </c>
      <c r="H1278" s="21">
        <v>1263</v>
      </c>
      <c r="I1278" s="102">
        <v>0.66766639275069195</v>
      </c>
      <c r="J1278" s="103">
        <v>1.3441342533273629E-3</v>
      </c>
      <c r="K1278" s="103"/>
      <c r="L1278" s="103">
        <v>4.1799999999999997E-2</v>
      </c>
      <c r="O1278" s="100"/>
    </row>
    <row r="1279" spans="2:15" x14ac:dyDescent="0.2">
      <c r="B1279" s="1">
        <v>1264</v>
      </c>
      <c r="C1279" s="101">
        <f t="shared" ca="1" si="76"/>
        <v>-0.98981723555673717</v>
      </c>
      <c r="D1279" s="101">
        <f t="shared" ca="1" si="77"/>
        <v>0.60268896539326855</v>
      </c>
      <c r="E1279" s="101">
        <f t="shared" ca="1" si="78"/>
        <v>0</v>
      </c>
      <c r="F1279" s="21">
        <f t="shared" ca="1" si="79"/>
        <v>0</v>
      </c>
      <c r="H1279" s="21">
        <v>1264</v>
      </c>
      <c r="I1279" s="102">
        <v>0.66774644635054414</v>
      </c>
      <c r="J1279" s="103">
        <v>1.441478473134687E-3</v>
      </c>
      <c r="K1279" s="103"/>
      <c r="L1279" s="103">
        <v>4.48E-2</v>
      </c>
      <c r="O1279" s="100"/>
    </row>
    <row r="1280" spans="2:15" x14ac:dyDescent="0.2">
      <c r="B1280" s="1">
        <v>1265</v>
      </c>
      <c r="C1280" s="101">
        <f t="shared" ca="1" si="76"/>
        <v>0.22167091662456387</v>
      </c>
      <c r="D1280" s="101">
        <f t="shared" ca="1" si="77"/>
        <v>0.67919213095872633</v>
      </c>
      <c r="E1280" s="101">
        <f t="shared" ca="1" si="78"/>
        <v>0</v>
      </c>
      <c r="F1280" s="21">
        <f t="shared" ca="1" si="79"/>
        <v>0</v>
      </c>
      <c r="H1280" s="21">
        <v>1265</v>
      </c>
      <c r="I1280" s="102">
        <v>0.66782089526546462</v>
      </c>
      <c r="J1280" s="103">
        <v>1.4191779584425831E-3</v>
      </c>
      <c r="K1280" s="103"/>
      <c r="L1280" s="103">
        <v>4.2200000000000001E-2</v>
      </c>
      <c r="O1280" s="100"/>
    </row>
    <row r="1281" spans="2:15" x14ac:dyDescent="0.2">
      <c r="B1281" s="1">
        <v>1266</v>
      </c>
      <c r="C1281" s="101">
        <f t="shared" ca="1" si="76"/>
        <v>-0.50091734300222435</v>
      </c>
      <c r="D1281" s="101">
        <f t="shared" ca="1" si="77"/>
        <v>0.6324663295473808</v>
      </c>
      <c r="E1281" s="101">
        <f t="shared" ca="1" si="78"/>
        <v>0</v>
      </c>
      <c r="F1281" s="21">
        <f t="shared" ca="1" si="79"/>
        <v>0</v>
      </c>
      <c r="H1281" s="21">
        <v>1266</v>
      </c>
      <c r="I1281" s="102">
        <v>0.6678591175647548</v>
      </c>
      <c r="J1281" s="103">
        <v>1.4789949501220602E-3</v>
      </c>
      <c r="K1281" s="103"/>
      <c r="L1281" s="103">
        <v>4.4400000000000002E-2</v>
      </c>
      <c r="O1281" s="100"/>
    </row>
    <row r="1282" spans="2:15" x14ac:dyDescent="0.2">
      <c r="B1282" s="1">
        <v>1267</v>
      </c>
      <c r="C1282" s="101">
        <f t="shared" ca="1" si="76"/>
        <v>-0.6226105192839464</v>
      </c>
      <c r="D1282" s="101">
        <f t="shared" ca="1" si="77"/>
        <v>0.62491960472490271</v>
      </c>
      <c r="E1282" s="101">
        <f t="shared" ca="1" si="78"/>
        <v>0</v>
      </c>
      <c r="F1282" s="21">
        <f t="shared" ca="1" si="79"/>
        <v>0</v>
      </c>
      <c r="H1282" s="21">
        <v>1267</v>
      </c>
      <c r="I1282" s="102">
        <v>0.6676715205499133</v>
      </c>
      <c r="J1282" s="103">
        <v>1.2326127576598618E-3</v>
      </c>
      <c r="K1282" s="103"/>
      <c r="L1282" s="103">
        <v>4.0399999999999998E-2</v>
      </c>
      <c r="O1282" s="100"/>
    </row>
    <row r="1283" spans="2:15" x14ac:dyDescent="0.2">
      <c r="B1283" s="1">
        <v>1268</v>
      </c>
      <c r="C1283" s="101">
        <f t="shared" ca="1" si="76"/>
        <v>-2.6241131279778047</v>
      </c>
      <c r="D1283" s="101">
        <f t="shared" ca="1" si="77"/>
        <v>0.5129570601090323</v>
      </c>
      <c r="E1283" s="101">
        <f t="shared" ca="1" si="78"/>
        <v>0</v>
      </c>
      <c r="F1283" s="21">
        <f t="shared" ca="1" si="79"/>
        <v>0</v>
      </c>
      <c r="H1283" s="21">
        <v>1268</v>
      </c>
      <c r="I1283" s="102">
        <v>0.66794012281831228</v>
      </c>
      <c r="J1283" s="103">
        <v>1.6493576136718592E-3</v>
      </c>
      <c r="K1283" s="103"/>
      <c r="L1283" s="103">
        <v>4.4600000000000001E-2</v>
      </c>
      <c r="O1283" s="100"/>
    </row>
    <row r="1284" spans="2:15" x14ac:dyDescent="0.2">
      <c r="B1284" s="1">
        <v>1269</v>
      </c>
      <c r="C1284" s="101">
        <f t="shared" ca="1" si="76"/>
        <v>0.7178202310866022</v>
      </c>
      <c r="D1284" s="101">
        <f t="shared" ca="1" si="77"/>
        <v>0.71325919045887731</v>
      </c>
      <c r="E1284" s="101">
        <f t="shared" ca="1" si="78"/>
        <v>0</v>
      </c>
      <c r="F1284" s="21">
        <f t="shared" ca="1" si="79"/>
        <v>0</v>
      </c>
      <c r="H1284" s="21">
        <v>1269</v>
      </c>
      <c r="I1284" s="102">
        <v>0.66772703430285474</v>
      </c>
      <c r="J1284" s="103">
        <v>1.3083658901671467E-3</v>
      </c>
      <c r="K1284" s="103"/>
      <c r="L1284" s="103">
        <v>4.2000000000000003E-2</v>
      </c>
      <c r="O1284" s="100"/>
    </row>
    <row r="1285" spans="2:15" x14ac:dyDescent="0.2">
      <c r="B1285" s="1">
        <v>1270</v>
      </c>
      <c r="C1285" s="101">
        <f t="shared" ca="1" si="76"/>
        <v>1.2110603000178928</v>
      </c>
      <c r="D1285" s="101">
        <f t="shared" ca="1" si="77"/>
        <v>0.74882007147393503</v>
      </c>
      <c r="E1285" s="101">
        <f t="shared" ca="1" si="78"/>
        <v>0</v>
      </c>
      <c r="F1285" s="21">
        <f t="shared" ca="1" si="79"/>
        <v>0</v>
      </c>
      <c r="H1285" s="21">
        <v>1270</v>
      </c>
      <c r="I1285" s="102">
        <v>0.66761798457282906</v>
      </c>
      <c r="J1285" s="103">
        <v>1.2162722114660218E-3</v>
      </c>
      <c r="K1285" s="103"/>
      <c r="L1285" s="103">
        <v>3.9800000000000002E-2</v>
      </c>
      <c r="O1285" s="100"/>
    </row>
    <row r="1286" spans="2:15" x14ac:dyDescent="0.2">
      <c r="B1286" s="1">
        <v>1271</v>
      </c>
      <c r="C1286" s="101">
        <f t="shared" ca="1" si="76"/>
        <v>1.1094824988613354</v>
      </c>
      <c r="D1286" s="101">
        <f t="shared" ca="1" si="77"/>
        <v>0.74135453130711815</v>
      </c>
      <c r="E1286" s="101">
        <f t="shared" ca="1" si="78"/>
        <v>0</v>
      </c>
      <c r="F1286" s="21">
        <f t="shared" ca="1" si="79"/>
        <v>0</v>
      </c>
      <c r="H1286" s="21">
        <v>1271</v>
      </c>
      <c r="I1286" s="102">
        <v>0.66771219832827655</v>
      </c>
      <c r="J1286" s="103">
        <v>1.4436234312688637E-3</v>
      </c>
      <c r="K1286" s="103"/>
      <c r="L1286" s="103">
        <v>3.9600000000000003E-2</v>
      </c>
      <c r="O1286" s="100"/>
    </row>
    <row r="1287" spans="2:15" x14ac:dyDescent="0.2">
      <c r="B1287" s="1">
        <v>1272</v>
      </c>
      <c r="C1287" s="101">
        <f t="shared" ca="1" si="76"/>
        <v>0.16536408555068188</v>
      </c>
      <c r="D1287" s="101">
        <f t="shared" ca="1" si="77"/>
        <v>0.67543023209520059</v>
      </c>
      <c r="E1287" s="101">
        <f t="shared" ca="1" si="78"/>
        <v>0</v>
      </c>
      <c r="F1287" s="21">
        <f t="shared" ca="1" si="79"/>
        <v>0</v>
      </c>
      <c r="H1287" s="21">
        <v>1272</v>
      </c>
      <c r="I1287" s="102">
        <v>0.66759216559387236</v>
      </c>
      <c r="J1287" s="103">
        <v>1.2474802830368271E-3</v>
      </c>
      <c r="K1287" s="103"/>
      <c r="L1287" s="103">
        <v>4.1399999999999999E-2</v>
      </c>
      <c r="O1287" s="100"/>
    </row>
    <row r="1288" spans="2:15" x14ac:dyDescent="0.2">
      <c r="B1288" s="1">
        <v>1273</v>
      </c>
      <c r="C1288" s="101">
        <f t="shared" ca="1" si="76"/>
        <v>0.86932401221605271</v>
      </c>
      <c r="D1288" s="101">
        <f t="shared" ca="1" si="77"/>
        <v>0.72399856415031283</v>
      </c>
      <c r="E1288" s="101">
        <f t="shared" ca="1" si="78"/>
        <v>0</v>
      </c>
      <c r="F1288" s="21">
        <f t="shared" ca="1" si="79"/>
        <v>0</v>
      </c>
      <c r="H1288" s="21">
        <v>1273</v>
      </c>
      <c r="I1288" s="102">
        <v>0.66776634592848472</v>
      </c>
      <c r="J1288" s="103">
        <v>1.4659787290753779E-3</v>
      </c>
      <c r="K1288" s="103"/>
      <c r="L1288" s="103">
        <v>4.1200000000000001E-2</v>
      </c>
      <c r="O1288" s="100"/>
    </row>
    <row r="1289" spans="2:15" x14ac:dyDescent="0.2">
      <c r="B1289" s="1">
        <v>1274</v>
      </c>
      <c r="C1289" s="101">
        <f t="shared" ca="1" si="76"/>
        <v>-0.51136032140874688</v>
      </c>
      <c r="D1289" s="101">
        <f t="shared" ca="1" si="77"/>
        <v>0.63181515558824397</v>
      </c>
      <c r="E1289" s="101">
        <f t="shared" ca="1" si="78"/>
        <v>0</v>
      </c>
      <c r="F1289" s="21">
        <f t="shared" ca="1" si="79"/>
        <v>0</v>
      </c>
      <c r="H1289" s="21">
        <v>1274</v>
      </c>
      <c r="I1289" s="102">
        <v>0.66766824244612322</v>
      </c>
      <c r="J1289" s="103">
        <v>1.298414116863166E-3</v>
      </c>
      <c r="K1289" s="103"/>
      <c r="L1289" s="103">
        <v>3.8800000000000001E-2</v>
      </c>
      <c r="O1289" s="100"/>
    </row>
    <row r="1290" spans="2:15" x14ac:dyDescent="0.2">
      <c r="B1290" s="1">
        <v>1275</v>
      </c>
      <c r="C1290" s="101">
        <f t="shared" ca="1" si="76"/>
        <v>-1.9977972445420116</v>
      </c>
      <c r="D1290" s="101">
        <f t="shared" ca="1" si="77"/>
        <v>0.54564728414722707</v>
      </c>
      <c r="E1290" s="101">
        <f t="shared" ca="1" si="78"/>
        <v>0</v>
      </c>
      <c r="F1290" s="21">
        <f t="shared" ca="1" si="79"/>
        <v>0</v>
      </c>
      <c r="H1290" s="21">
        <v>1275</v>
      </c>
      <c r="I1290" s="102">
        <v>0.66788339838900912</v>
      </c>
      <c r="J1290" s="103">
        <v>1.5368974507795642E-3</v>
      </c>
      <c r="K1290" s="103"/>
      <c r="L1290" s="103">
        <v>4.4400000000000002E-2</v>
      </c>
      <c r="O1290" s="100"/>
    </row>
    <row r="1291" spans="2:15" x14ac:dyDescent="0.2">
      <c r="B1291" s="1">
        <v>1276</v>
      </c>
      <c r="C1291" s="101">
        <f t="shared" ca="1" si="76"/>
        <v>0.61395997895988008</v>
      </c>
      <c r="D1291" s="101">
        <f t="shared" ca="1" si="77"/>
        <v>0.70598921584715735</v>
      </c>
      <c r="E1291" s="101">
        <f t="shared" ca="1" si="78"/>
        <v>0</v>
      </c>
      <c r="F1291" s="21">
        <f t="shared" ca="1" si="79"/>
        <v>0</v>
      </c>
      <c r="H1291" s="21">
        <v>1276</v>
      </c>
      <c r="I1291" s="102">
        <v>0.66761712982643373</v>
      </c>
      <c r="J1291" s="103">
        <v>1.1598204576363075E-3</v>
      </c>
      <c r="K1291" s="103"/>
      <c r="L1291" s="103">
        <v>3.6200000000000003E-2</v>
      </c>
      <c r="O1291" s="100"/>
    </row>
    <row r="1292" spans="2:15" x14ac:dyDescent="0.2">
      <c r="B1292" s="1">
        <v>1277</v>
      </c>
      <c r="C1292" s="101">
        <f t="shared" ca="1" si="76"/>
        <v>-0.24416121287733447</v>
      </c>
      <c r="D1292" s="101">
        <f t="shared" ca="1" si="77"/>
        <v>0.64868922526203343</v>
      </c>
      <c r="E1292" s="101">
        <f t="shared" ca="1" si="78"/>
        <v>0</v>
      </c>
      <c r="F1292" s="21">
        <f t="shared" ca="1" si="79"/>
        <v>0</v>
      </c>
      <c r="H1292" s="21">
        <v>1277</v>
      </c>
      <c r="I1292" s="102">
        <v>0.66778063980936264</v>
      </c>
      <c r="J1292" s="103">
        <v>1.4928905852917146E-3</v>
      </c>
      <c r="K1292" s="103"/>
      <c r="L1292" s="103">
        <v>4.4999999999999998E-2</v>
      </c>
      <c r="O1292" s="100"/>
    </row>
    <row r="1293" spans="2:15" x14ac:dyDescent="0.2">
      <c r="B1293" s="1">
        <v>1278</v>
      </c>
      <c r="C1293" s="101">
        <f t="shared" ca="1" si="76"/>
        <v>0.38559567211685264</v>
      </c>
      <c r="D1293" s="101">
        <f t="shared" ca="1" si="77"/>
        <v>0.69026377309435427</v>
      </c>
      <c r="E1293" s="101">
        <f t="shared" ca="1" si="78"/>
        <v>0</v>
      </c>
      <c r="F1293" s="21">
        <f t="shared" ca="1" si="79"/>
        <v>0</v>
      </c>
      <c r="H1293" s="21">
        <v>1278</v>
      </c>
      <c r="I1293" s="102">
        <v>0.66766423290464483</v>
      </c>
      <c r="J1293" s="103">
        <v>1.2324683183514218E-3</v>
      </c>
      <c r="K1293" s="103"/>
      <c r="L1293" s="103">
        <v>4.2200000000000001E-2</v>
      </c>
      <c r="O1293" s="100"/>
    </row>
    <row r="1294" spans="2:15" x14ac:dyDescent="0.2">
      <c r="B1294" s="1">
        <v>1279</v>
      </c>
      <c r="C1294" s="101">
        <f t="shared" ca="1" si="76"/>
        <v>-0.96537177165825472</v>
      </c>
      <c r="D1294" s="101">
        <f t="shared" ca="1" si="77"/>
        <v>0.60414400274966495</v>
      </c>
      <c r="E1294" s="101">
        <f t="shared" ca="1" si="78"/>
        <v>0</v>
      </c>
      <c r="F1294" s="21">
        <f t="shared" ca="1" si="79"/>
        <v>0</v>
      </c>
      <c r="H1294" s="21">
        <v>1279</v>
      </c>
      <c r="I1294" s="102">
        <v>0.66780709636753377</v>
      </c>
      <c r="J1294" s="103">
        <v>1.4646807994033132E-3</v>
      </c>
      <c r="K1294" s="103"/>
      <c r="L1294" s="103">
        <v>4.3999999999999997E-2</v>
      </c>
      <c r="O1294" s="100"/>
    </row>
    <row r="1295" spans="2:15" x14ac:dyDescent="0.2">
      <c r="B1295" s="1">
        <v>1280</v>
      </c>
      <c r="C1295" s="101">
        <f t="shared" ca="1" si="76"/>
        <v>0.23062046086898547</v>
      </c>
      <c r="D1295" s="101">
        <f t="shared" ca="1" si="77"/>
        <v>0.6797919830485839</v>
      </c>
      <c r="E1295" s="101">
        <f t="shared" ca="1" si="78"/>
        <v>0</v>
      </c>
      <c r="F1295" s="21">
        <f t="shared" ca="1" si="79"/>
        <v>0</v>
      </c>
      <c r="H1295" s="21">
        <v>1280</v>
      </c>
      <c r="I1295" s="102">
        <v>0.66770549763024967</v>
      </c>
      <c r="J1295" s="103">
        <v>1.1801360913562121E-3</v>
      </c>
      <c r="K1295" s="103"/>
      <c r="L1295" s="103">
        <v>4.1200000000000001E-2</v>
      </c>
      <c r="O1295" s="100"/>
    </row>
    <row r="1296" spans="2:15" x14ac:dyDescent="0.2">
      <c r="B1296" s="1">
        <v>1281</v>
      </c>
      <c r="C1296" s="101">
        <f t="shared" ref="C1296:C1359" ca="1" si="80">_xlfn.NORM.S.INV(RAND())</f>
        <v>1.8141621367288552</v>
      </c>
      <c r="D1296" s="101">
        <f t="shared" ref="D1296:D1359" ca="1" si="81">S0*EXP((μ-0.5*σ*σ)*T+σ*SQRT(T)*$C1296)</f>
        <v>0.79471971631943961</v>
      </c>
      <c r="E1296" s="101">
        <f t="shared" ref="E1296:E1359" ca="1" si="82">MAX(0,CP*(D1296-K))</f>
        <v>6.5197163194395946E-3</v>
      </c>
      <c r="F1296" s="21">
        <f t="shared" ref="F1296:F1359" ca="1" si="83">(CP*(D1296-K)&gt;0)*1</f>
        <v>1</v>
      </c>
      <c r="H1296" s="21">
        <v>1281</v>
      </c>
      <c r="I1296" s="102">
        <v>0.66777936447368924</v>
      </c>
      <c r="J1296" s="103">
        <v>1.3505597174510841E-3</v>
      </c>
      <c r="K1296" s="103"/>
      <c r="L1296" s="103">
        <v>4.1000000000000002E-2</v>
      </c>
      <c r="O1296" s="100"/>
    </row>
    <row r="1297" spans="2:15" x14ac:dyDescent="0.2">
      <c r="B1297" s="1">
        <v>1282</v>
      </c>
      <c r="C1297" s="101">
        <f t="shared" ca="1" si="80"/>
        <v>-2.149588852973495</v>
      </c>
      <c r="D1297" s="101">
        <f t="shared" ca="1" si="81"/>
        <v>0.53753820780883266</v>
      </c>
      <c r="E1297" s="101">
        <f t="shared" ca="1" si="82"/>
        <v>0</v>
      </c>
      <c r="F1297" s="21">
        <f t="shared" ca="1" si="83"/>
        <v>0</v>
      </c>
      <c r="H1297" s="21">
        <v>1282</v>
      </c>
      <c r="I1297" s="102">
        <v>0.66769669570145906</v>
      </c>
      <c r="J1297" s="103">
        <v>1.4114901970412521E-3</v>
      </c>
      <c r="K1297" s="103"/>
      <c r="L1297" s="103">
        <v>4.24E-2</v>
      </c>
      <c r="O1297" s="100"/>
    </row>
    <row r="1298" spans="2:15" x14ac:dyDescent="0.2">
      <c r="B1298" s="1">
        <v>1283</v>
      </c>
      <c r="C1298" s="101">
        <f t="shared" ca="1" si="80"/>
        <v>-2.6177458248327095</v>
      </c>
      <c r="D1298" s="101">
        <f t="shared" ca="1" si="81"/>
        <v>0.51327933897891875</v>
      </c>
      <c r="E1298" s="101">
        <f t="shared" ca="1" si="82"/>
        <v>0</v>
      </c>
      <c r="F1298" s="21">
        <f t="shared" ca="1" si="83"/>
        <v>0</v>
      </c>
      <c r="H1298" s="21">
        <v>1283</v>
      </c>
      <c r="I1298" s="102">
        <v>0.66775291990669239</v>
      </c>
      <c r="J1298" s="103">
        <v>1.3840676124528852E-3</v>
      </c>
      <c r="K1298" s="103"/>
      <c r="L1298" s="103">
        <v>4.3799999999999999E-2</v>
      </c>
      <c r="O1298" s="100"/>
    </row>
    <row r="1299" spans="2:15" x14ac:dyDescent="0.2">
      <c r="B1299" s="1">
        <v>1284</v>
      </c>
      <c r="C1299" s="101">
        <f t="shared" ca="1" si="80"/>
        <v>2.0007101719807925</v>
      </c>
      <c r="D1299" s="101">
        <f t="shared" ca="1" si="81"/>
        <v>0.80947900734762013</v>
      </c>
      <c r="E1299" s="101">
        <f t="shared" ca="1" si="82"/>
        <v>2.1279007347620116E-2</v>
      </c>
      <c r="F1299" s="21">
        <f t="shared" ca="1" si="83"/>
        <v>1</v>
      </c>
      <c r="H1299" s="21">
        <v>1284</v>
      </c>
      <c r="I1299" s="102">
        <v>0.66773386589494377</v>
      </c>
      <c r="J1299" s="103">
        <v>1.2692691855036276E-3</v>
      </c>
      <c r="K1299" s="103"/>
      <c r="L1299" s="103">
        <v>4.24E-2</v>
      </c>
      <c r="O1299" s="100"/>
    </row>
    <row r="1300" spans="2:15" x14ac:dyDescent="0.2">
      <c r="B1300" s="1">
        <v>1285</v>
      </c>
      <c r="C1300" s="101">
        <f t="shared" ca="1" si="80"/>
        <v>1.4894957943819465</v>
      </c>
      <c r="D1300" s="101">
        <f t="shared" ca="1" si="81"/>
        <v>0.76967163509285463</v>
      </c>
      <c r="E1300" s="101">
        <f t="shared" ca="1" si="82"/>
        <v>0</v>
      </c>
      <c r="F1300" s="21">
        <f t="shared" ca="1" si="83"/>
        <v>0</v>
      </c>
      <c r="H1300" s="21">
        <v>1285</v>
      </c>
      <c r="I1300" s="102">
        <v>0.6677016028662669</v>
      </c>
      <c r="J1300" s="103">
        <v>1.3669514709661614E-3</v>
      </c>
      <c r="K1300" s="103"/>
      <c r="L1300" s="103">
        <v>4.4400000000000002E-2</v>
      </c>
      <c r="O1300" s="100"/>
    </row>
    <row r="1301" spans="2:15" x14ac:dyDescent="0.2">
      <c r="B1301" s="1">
        <v>1286</v>
      </c>
      <c r="C1301" s="101">
        <f t="shared" ca="1" si="80"/>
        <v>0.42714716579043399</v>
      </c>
      <c r="D1301" s="101">
        <f t="shared" ca="1" si="81"/>
        <v>0.6930987592741098</v>
      </c>
      <c r="E1301" s="101">
        <f t="shared" ca="1" si="82"/>
        <v>0</v>
      </c>
      <c r="F1301" s="21">
        <f t="shared" ca="1" si="83"/>
        <v>0</v>
      </c>
      <c r="H1301" s="21">
        <v>1286</v>
      </c>
      <c r="I1301" s="102">
        <v>0.66759568370219635</v>
      </c>
      <c r="J1301" s="103">
        <v>1.1826437857036087E-3</v>
      </c>
      <c r="K1301" s="103"/>
      <c r="L1301" s="103">
        <v>3.6999999999999998E-2</v>
      </c>
      <c r="O1301" s="100"/>
    </row>
    <row r="1302" spans="2:15" x14ac:dyDescent="0.2">
      <c r="B1302" s="1">
        <v>1287</v>
      </c>
      <c r="C1302" s="101">
        <f t="shared" ca="1" si="80"/>
        <v>0.55928469995311836</v>
      </c>
      <c r="D1302" s="101">
        <f t="shared" ca="1" si="81"/>
        <v>0.70219189429261875</v>
      </c>
      <c r="E1302" s="101">
        <f t="shared" ca="1" si="82"/>
        <v>0</v>
      </c>
      <c r="F1302" s="21">
        <f t="shared" ca="1" si="83"/>
        <v>0</v>
      </c>
      <c r="H1302" s="21">
        <v>1287</v>
      </c>
      <c r="I1302" s="102">
        <v>0.66783930847769313</v>
      </c>
      <c r="J1302" s="103">
        <v>1.5337179313779077E-3</v>
      </c>
      <c r="K1302" s="103"/>
      <c r="L1302" s="103">
        <v>4.5199999999999997E-2</v>
      </c>
      <c r="O1302" s="100"/>
    </row>
    <row r="1303" spans="2:15" x14ac:dyDescent="0.2">
      <c r="B1303" s="1">
        <v>1288</v>
      </c>
      <c r="C1303" s="101">
        <f t="shared" ca="1" si="80"/>
        <v>-4.2265800937037315E-2</v>
      </c>
      <c r="D1303" s="101">
        <f t="shared" ca="1" si="81"/>
        <v>0.66173751973393435</v>
      </c>
      <c r="E1303" s="101">
        <f t="shared" ca="1" si="82"/>
        <v>0</v>
      </c>
      <c r="F1303" s="21">
        <f t="shared" ca="1" si="83"/>
        <v>0</v>
      </c>
      <c r="H1303" s="21">
        <v>1288</v>
      </c>
      <c r="I1303" s="102">
        <v>0.66777985048650801</v>
      </c>
      <c r="J1303" s="103">
        <v>1.3084354900700799E-3</v>
      </c>
      <c r="K1303" s="103"/>
      <c r="L1303" s="103">
        <v>4.2200000000000001E-2</v>
      </c>
      <c r="O1303" s="100"/>
    </row>
    <row r="1304" spans="2:15" x14ac:dyDescent="0.2">
      <c r="B1304" s="1">
        <v>1289</v>
      </c>
      <c r="C1304" s="101">
        <f t="shared" ca="1" si="80"/>
        <v>1.3445459122449839</v>
      </c>
      <c r="D1304" s="101">
        <f t="shared" ca="1" si="81"/>
        <v>0.75874513266792765</v>
      </c>
      <c r="E1304" s="101">
        <f t="shared" ca="1" si="82"/>
        <v>0</v>
      </c>
      <c r="F1304" s="21">
        <f t="shared" ca="1" si="83"/>
        <v>0</v>
      </c>
      <c r="H1304" s="21">
        <v>1289</v>
      </c>
      <c r="I1304" s="102">
        <v>0.66780119735848986</v>
      </c>
      <c r="J1304" s="103">
        <v>1.544511622765614E-3</v>
      </c>
      <c r="K1304" s="103"/>
      <c r="L1304" s="103">
        <v>4.4200000000000003E-2</v>
      </c>
      <c r="O1304" s="100"/>
    </row>
    <row r="1305" spans="2:15" x14ac:dyDescent="0.2">
      <c r="B1305" s="1">
        <v>1290</v>
      </c>
      <c r="C1305" s="101">
        <f t="shared" ca="1" si="80"/>
        <v>-1.2831696977084983</v>
      </c>
      <c r="D1305" s="101">
        <f t="shared" ca="1" si="81"/>
        <v>0.58549905903068944</v>
      </c>
      <c r="E1305" s="101">
        <f t="shared" ca="1" si="82"/>
        <v>0</v>
      </c>
      <c r="F1305" s="21">
        <f t="shared" ca="1" si="83"/>
        <v>0</v>
      </c>
      <c r="H1305" s="21">
        <v>1290</v>
      </c>
      <c r="I1305" s="102">
        <v>0.66782996623988033</v>
      </c>
      <c r="J1305" s="103">
        <v>1.3472963416167921E-3</v>
      </c>
      <c r="K1305" s="103"/>
      <c r="L1305" s="103">
        <v>4.2000000000000003E-2</v>
      </c>
      <c r="O1305" s="100"/>
    </row>
    <row r="1306" spans="2:15" x14ac:dyDescent="0.2">
      <c r="B1306" s="1">
        <v>1291</v>
      </c>
      <c r="C1306" s="101">
        <f t="shared" ca="1" si="80"/>
        <v>1.1796255277527694</v>
      </c>
      <c r="D1306" s="101">
        <f t="shared" ca="1" si="81"/>
        <v>0.74650175059420543</v>
      </c>
      <c r="E1306" s="101">
        <f t="shared" ca="1" si="82"/>
        <v>0</v>
      </c>
      <c r="F1306" s="21">
        <f t="shared" ca="1" si="83"/>
        <v>0</v>
      </c>
      <c r="H1306" s="21">
        <v>1291</v>
      </c>
      <c r="I1306" s="102">
        <v>0.6676993515628985</v>
      </c>
      <c r="J1306" s="103">
        <v>1.3745770972571254E-3</v>
      </c>
      <c r="K1306" s="103"/>
      <c r="L1306" s="103">
        <v>4.02E-2</v>
      </c>
      <c r="O1306" s="100"/>
    </row>
    <row r="1307" spans="2:15" x14ac:dyDescent="0.2">
      <c r="B1307" s="1">
        <v>1292</v>
      </c>
      <c r="C1307" s="101">
        <f t="shared" ca="1" si="80"/>
        <v>-1.3581102065419204</v>
      </c>
      <c r="D1307" s="101">
        <f t="shared" ca="1" si="81"/>
        <v>0.58118687262714686</v>
      </c>
      <c r="E1307" s="101">
        <f t="shared" ca="1" si="82"/>
        <v>0</v>
      </c>
      <c r="F1307" s="21">
        <f t="shared" ca="1" si="83"/>
        <v>0</v>
      </c>
      <c r="H1307" s="21">
        <v>1292</v>
      </c>
      <c r="I1307" s="102">
        <v>0.6676600439934729</v>
      </c>
      <c r="J1307" s="103">
        <v>1.303912545517077E-3</v>
      </c>
      <c r="K1307" s="103"/>
      <c r="L1307" s="103">
        <v>3.9E-2</v>
      </c>
      <c r="O1307" s="100"/>
    </row>
    <row r="1308" spans="2:15" x14ac:dyDescent="0.2">
      <c r="B1308" s="1">
        <v>1293</v>
      </c>
      <c r="C1308" s="101">
        <f t="shared" ca="1" si="80"/>
        <v>-0.51558318683036131</v>
      </c>
      <c r="D1308" s="101">
        <f t="shared" ca="1" si="81"/>
        <v>0.63155202839587044</v>
      </c>
      <c r="E1308" s="101">
        <f t="shared" ca="1" si="82"/>
        <v>0</v>
      </c>
      <c r="F1308" s="21">
        <f t="shared" ca="1" si="83"/>
        <v>0</v>
      </c>
      <c r="H1308" s="21">
        <v>1293</v>
      </c>
      <c r="I1308" s="102">
        <v>0.66780370611844342</v>
      </c>
      <c r="J1308" s="103">
        <v>1.4669947965718832E-3</v>
      </c>
      <c r="K1308" s="103"/>
      <c r="L1308" s="103">
        <v>4.1000000000000002E-2</v>
      </c>
      <c r="O1308" s="100"/>
    </row>
    <row r="1309" spans="2:15" x14ac:dyDescent="0.2">
      <c r="B1309" s="1">
        <v>1294</v>
      </c>
      <c r="C1309" s="101">
        <f t="shared" ca="1" si="80"/>
        <v>1.054403862274492</v>
      </c>
      <c r="D1309" s="101">
        <f t="shared" ca="1" si="81"/>
        <v>0.73733765188829914</v>
      </c>
      <c r="E1309" s="101">
        <f t="shared" ca="1" si="82"/>
        <v>0</v>
      </c>
      <c r="F1309" s="21">
        <f t="shared" ca="1" si="83"/>
        <v>0</v>
      </c>
      <c r="H1309" s="21">
        <v>1294</v>
      </c>
      <c r="I1309" s="102">
        <v>0.66763393454749054</v>
      </c>
      <c r="J1309" s="103">
        <v>1.1682203469026472E-3</v>
      </c>
      <c r="K1309" s="103"/>
      <c r="L1309" s="103">
        <v>3.78E-2</v>
      </c>
      <c r="O1309" s="100"/>
    </row>
    <row r="1310" spans="2:15" x14ac:dyDescent="0.2">
      <c r="B1310" s="1">
        <v>1295</v>
      </c>
      <c r="C1310" s="101">
        <f t="shared" ca="1" si="80"/>
        <v>-1.3148460952099654</v>
      </c>
      <c r="D1310" s="101">
        <f t="shared" ca="1" si="81"/>
        <v>0.58367246276970397</v>
      </c>
      <c r="E1310" s="101">
        <f t="shared" ca="1" si="82"/>
        <v>0</v>
      </c>
      <c r="F1310" s="21">
        <f t="shared" ca="1" si="83"/>
        <v>0</v>
      </c>
      <c r="H1310" s="21">
        <v>1295</v>
      </c>
      <c r="I1310" s="102">
        <v>0.6677088533249701</v>
      </c>
      <c r="J1310" s="103">
        <v>1.2488903558716704E-3</v>
      </c>
      <c r="K1310" s="103"/>
      <c r="L1310" s="103">
        <v>4.1200000000000001E-2</v>
      </c>
      <c r="O1310" s="100"/>
    </row>
    <row r="1311" spans="2:15" x14ac:dyDescent="0.2">
      <c r="B1311" s="1">
        <v>1296</v>
      </c>
      <c r="C1311" s="101">
        <f t="shared" ca="1" si="80"/>
        <v>4.35920825403655E-2</v>
      </c>
      <c r="D1311" s="101">
        <f t="shared" ca="1" si="81"/>
        <v>0.66736566353903792</v>
      </c>
      <c r="E1311" s="101">
        <f t="shared" ca="1" si="82"/>
        <v>0</v>
      </c>
      <c r="F1311" s="21">
        <f t="shared" ca="1" si="83"/>
        <v>0</v>
      </c>
      <c r="H1311" s="21">
        <v>1296</v>
      </c>
      <c r="I1311" s="102">
        <v>0.6678901842576429</v>
      </c>
      <c r="J1311" s="103">
        <v>1.5773850493013906E-3</v>
      </c>
      <c r="K1311" s="103"/>
      <c r="L1311" s="103">
        <v>4.5400000000000003E-2</v>
      </c>
      <c r="O1311" s="100"/>
    </row>
    <row r="1312" spans="2:15" x14ac:dyDescent="0.2">
      <c r="B1312" s="1">
        <v>1297</v>
      </c>
      <c r="C1312" s="101">
        <f t="shared" ca="1" si="80"/>
        <v>1.1375241088415582</v>
      </c>
      <c r="D1312" s="101">
        <f t="shared" ca="1" si="81"/>
        <v>0.74340800230142468</v>
      </c>
      <c r="E1312" s="101">
        <f t="shared" ca="1" si="82"/>
        <v>0</v>
      </c>
      <c r="F1312" s="21">
        <f t="shared" ca="1" si="83"/>
        <v>0</v>
      </c>
      <c r="H1312" s="21">
        <v>1297</v>
      </c>
      <c r="I1312" s="102">
        <v>0.66791688467302901</v>
      </c>
      <c r="J1312" s="103">
        <v>1.5388598854650412E-3</v>
      </c>
      <c r="K1312" s="103"/>
      <c r="L1312" s="103">
        <v>4.8399999999999999E-2</v>
      </c>
      <c r="O1312" s="100"/>
    </row>
    <row r="1313" spans="2:15" x14ac:dyDescent="0.2">
      <c r="B1313" s="1">
        <v>1298</v>
      </c>
      <c r="C1313" s="101">
        <f t="shared" ca="1" si="80"/>
        <v>9.1275255445006243E-3</v>
      </c>
      <c r="D1313" s="101">
        <f t="shared" ca="1" si="81"/>
        <v>0.66510071964580364</v>
      </c>
      <c r="E1313" s="101">
        <f t="shared" ca="1" si="82"/>
        <v>0</v>
      </c>
      <c r="F1313" s="21">
        <f t="shared" ca="1" si="83"/>
        <v>0</v>
      </c>
      <c r="H1313" s="21">
        <v>1298</v>
      </c>
      <c r="I1313" s="102">
        <v>0.66767388242171299</v>
      </c>
      <c r="J1313" s="103">
        <v>1.2606691709403665E-3</v>
      </c>
      <c r="K1313" s="103"/>
      <c r="L1313" s="103">
        <v>3.8800000000000001E-2</v>
      </c>
      <c r="O1313" s="100"/>
    </row>
    <row r="1314" spans="2:15" x14ac:dyDescent="0.2">
      <c r="B1314" s="1">
        <v>1299</v>
      </c>
      <c r="C1314" s="101">
        <f t="shared" ca="1" si="80"/>
        <v>1.4965912687965579</v>
      </c>
      <c r="D1314" s="101">
        <f t="shared" ca="1" si="81"/>
        <v>0.77021052222385855</v>
      </c>
      <c r="E1314" s="101">
        <f t="shared" ca="1" si="82"/>
        <v>0</v>
      </c>
      <c r="F1314" s="21">
        <f t="shared" ca="1" si="83"/>
        <v>0</v>
      </c>
      <c r="H1314" s="21">
        <v>1299</v>
      </c>
      <c r="I1314" s="102">
        <v>0.66756961437518347</v>
      </c>
      <c r="J1314" s="103">
        <v>1.2487046271317916E-3</v>
      </c>
      <c r="K1314" s="103"/>
      <c r="L1314" s="103">
        <v>3.78E-2</v>
      </c>
      <c r="O1314" s="100"/>
    </row>
    <row r="1315" spans="2:15" x14ac:dyDescent="0.2">
      <c r="B1315" s="1">
        <v>1300</v>
      </c>
      <c r="C1315" s="101">
        <f t="shared" ca="1" si="80"/>
        <v>1.2213020073514254</v>
      </c>
      <c r="D1315" s="101">
        <f t="shared" ca="1" si="81"/>
        <v>0.7495769533943849</v>
      </c>
      <c r="E1315" s="101">
        <f t="shared" ca="1" si="82"/>
        <v>0</v>
      </c>
      <c r="F1315" s="21">
        <f t="shared" ca="1" si="83"/>
        <v>0</v>
      </c>
      <c r="H1315" s="21">
        <v>1300</v>
      </c>
      <c r="I1315" s="102">
        <v>0.66772759805211934</v>
      </c>
      <c r="J1315" s="103">
        <v>1.4599592894585602E-3</v>
      </c>
      <c r="K1315" s="103"/>
      <c r="L1315" s="103">
        <v>4.0800000000000003E-2</v>
      </c>
      <c r="O1315" s="100"/>
    </row>
    <row r="1316" spans="2:15" x14ac:dyDescent="0.2">
      <c r="B1316" s="1">
        <v>1301</v>
      </c>
      <c r="C1316" s="101">
        <f t="shared" ca="1" si="80"/>
        <v>-0.68958154463844656</v>
      </c>
      <c r="D1316" s="101">
        <f t="shared" ca="1" si="81"/>
        <v>0.62080492260623632</v>
      </c>
      <c r="E1316" s="101">
        <f t="shared" ca="1" si="82"/>
        <v>0</v>
      </c>
      <c r="F1316" s="21">
        <f t="shared" ca="1" si="83"/>
        <v>0</v>
      </c>
      <c r="H1316" s="21">
        <v>1301</v>
      </c>
      <c r="I1316" s="102">
        <v>0.6677799456436504</v>
      </c>
      <c r="J1316" s="103">
        <v>1.4705934292897789E-3</v>
      </c>
      <c r="K1316" s="103"/>
      <c r="L1316" s="103">
        <v>4.2799999999999998E-2</v>
      </c>
      <c r="O1316" s="100"/>
    </row>
    <row r="1317" spans="2:15" x14ac:dyDescent="0.2">
      <c r="B1317" s="1">
        <v>1302</v>
      </c>
      <c r="C1317" s="101">
        <f t="shared" ca="1" si="80"/>
        <v>-1.4742572016758699</v>
      </c>
      <c r="D1317" s="101">
        <f t="shared" ca="1" si="81"/>
        <v>0.57456627463686383</v>
      </c>
      <c r="E1317" s="101">
        <f t="shared" ca="1" si="82"/>
        <v>0</v>
      </c>
      <c r="F1317" s="21">
        <f t="shared" ca="1" si="83"/>
        <v>0</v>
      </c>
      <c r="H1317" s="21">
        <v>1302</v>
      </c>
      <c r="I1317" s="102">
        <v>0.66781741865171707</v>
      </c>
      <c r="J1317" s="103">
        <v>1.4623385588167389E-3</v>
      </c>
      <c r="K1317" s="103"/>
      <c r="L1317" s="103">
        <v>4.1399999999999999E-2</v>
      </c>
      <c r="O1317" s="100"/>
    </row>
    <row r="1318" spans="2:15" x14ac:dyDescent="0.2">
      <c r="B1318" s="1">
        <v>1303</v>
      </c>
      <c r="C1318" s="101">
        <f t="shared" ca="1" si="80"/>
        <v>-1.314366786550617</v>
      </c>
      <c r="D1318" s="101">
        <f t="shared" ca="1" si="81"/>
        <v>0.58370005924693158</v>
      </c>
      <c r="E1318" s="101">
        <f t="shared" ca="1" si="82"/>
        <v>0</v>
      </c>
      <c r="F1318" s="21">
        <f t="shared" ca="1" si="83"/>
        <v>0</v>
      </c>
      <c r="H1318" s="21">
        <v>1303</v>
      </c>
      <c r="I1318" s="102">
        <v>0.6676726706675864</v>
      </c>
      <c r="J1318" s="103">
        <v>1.327589911960924E-3</v>
      </c>
      <c r="K1318" s="103"/>
      <c r="L1318" s="103">
        <v>3.9E-2</v>
      </c>
      <c r="O1318" s="100"/>
    </row>
    <row r="1319" spans="2:15" x14ac:dyDescent="0.2">
      <c r="B1319" s="1">
        <v>1304</v>
      </c>
      <c r="C1319" s="101">
        <f t="shared" ca="1" si="80"/>
        <v>0.20570524698330814</v>
      </c>
      <c r="D1319" s="101">
        <f t="shared" ca="1" si="81"/>
        <v>0.67812333020823023</v>
      </c>
      <c r="E1319" s="101">
        <f t="shared" ca="1" si="82"/>
        <v>0</v>
      </c>
      <c r="F1319" s="21">
        <f t="shared" ca="1" si="83"/>
        <v>0</v>
      </c>
      <c r="H1319" s="21">
        <v>1304</v>
      </c>
      <c r="I1319" s="102">
        <v>0.6676867226496026</v>
      </c>
      <c r="J1319" s="103">
        <v>1.2844711959943726E-3</v>
      </c>
      <c r="K1319" s="103"/>
      <c r="L1319" s="103">
        <v>3.9800000000000002E-2</v>
      </c>
      <c r="O1319" s="100"/>
    </row>
    <row r="1320" spans="2:15" x14ac:dyDescent="0.2">
      <c r="B1320" s="1">
        <v>1305</v>
      </c>
      <c r="C1320" s="101">
        <f t="shared" ca="1" si="80"/>
        <v>-0.65743988770548867</v>
      </c>
      <c r="D1320" s="101">
        <f t="shared" ca="1" si="81"/>
        <v>0.62277630539312645</v>
      </c>
      <c r="E1320" s="101">
        <f t="shared" ca="1" si="82"/>
        <v>0</v>
      </c>
      <c r="F1320" s="21">
        <f t="shared" ca="1" si="83"/>
        <v>0</v>
      </c>
      <c r="H1320" s="21">
        <v>1305</v>
      </c>
      <c r="I1320" s="102">
        <v>0.66790905739166939</v>
      </c>
      <c r="J1320" s="103">
        <v>1.4806135786783762E-3</v>
      </c>
      <c r="K1320" s="103"/>
      <c r="L1320" s="103">
        <v>4.3200000000000002E-2</v>
      </c>
      <c r="O1320" s="100"/>
    </row>
    <row r="1321" spans="2:15" x14ac:dyDescent="0.2">
      <c r="B1321" s="1">
        <v>1306</v>
      </c>
      <c r="C1321" s="101">
        <f t="shared" ca="1" si="80"/>
        <v>-0.81329269871523369</v>
      </c>
      <c r="D1321" s="101">
        <f t="shared" ca="1" si="81"/>
        <v>0.61327525593635435</v>
      </c>
      <c r="E1321" s="101">
        <f t="shared" ca="1" si="82"/>
        <v>0</v>
      </c>
      <c r="F1321" s="21">
        <f t="shared" ca="1" si="83"/>
        <v>0</v>
      </c>
      <c r="H1321" s="21">
        <v>1306</v>
      </c>
      <c r="I1321" s="102">
        <v>0.66773045496767869</v>
      </c>
      <c r="J1321" s="103">
        <v>1.543532634840425E-3</v>
      </c>
      <c r="K1321" s="103"/>
      <c r="L1321" s="103">
        <v>4.2200000000000001E-2</v>
      </c>
      <c r="O1321" s="100"/>
    </row>
    <row r="1322" spans="2:15" x14ac:dyDescent="0.2">
      <c r="B1322" s="1">
        <v>1307</v>
      </c>
      <c r="C1322" s="101">
        <f t="shared" ca="1" si="80"/>
        <v>-0.53798683545775161</v>
      </c>
      <c r="D1322" s="101">
        <f t="shared" ca="1" si="81"/>
        <v>0.63015788644132908</v>
      </c>
      <c r="E1322" s="101">
        <f t="shared" ca="1" si="82"/>
        <v>0</v>
      </c>
      <c r="F1322" s="21">
        <f t="shared" ca="1" si="83"/>
        <v>0</v>
      </c>
      <c r="H1322" s="21">
        <v>1307</v>
      </c>
      <c r="I1322" s="102">
        <v>0.66772180118835822</v>
      </c>
      <c r="J1322" s="103">
        <v>1.345039981998392E-3</v>
      </c>
      <c r="K1322" s="103"/>
      <c r="L1322" s="103">
        <v>3.9199999999999999E-2</v>
      </c>
      <c r="O1322" s="100"/>
    </row>
    <row r="1323" spans="2:15" x14ac:dyDescent="0.2">
      <c r="B1323" s="1">
        <v>1308</v>
      </c>
      <c r="C1323" s="101">
        <f t="shared" ca="1" si="80"/>
        <v>0.48285014842533425</v>
      </c>
      <c r="D1323" s="101">
        <f t="shared" ca="1" si="81"/>
        <v>0.69691755263934774</v>
      </c>
      <c r="E1323" s="101">
        <f t="shared" ca="1" si="82"/>
        <v>0</v>
      </c>
      <c r="F1323" s="21">
        <f t="shared" ca="1" si="83"/>
        <v>0</v>
      </c>
      <c r="H1323" s="21">
        <v>1308</v>
      </c>
      <c r="I1323" s="102">
        <v>0.66776526357289334</v>
      </c>
      <c r="J1323" s="103">
        <v>1.3526599351157765E-3</v>
      </c>
      <c r="K1323" s="103"/>
      <c r="L1323" s="103">
        <v>4.2799999999999998E-2</v>
      </c>
      <c r="O1323" s="100"/>
    </row>
    <row r="1324" spans="2:15" x14ac:dyDescent="0.2">
      <c r="B1324" s="1">
        <v>1309</v>
      </c>
      <c r="C1324" s="101">
        <f t="shared" ca="1" si="80"/>
        <v>-0.38738027057743096</v>
      </c>
      <c r="D1324" s="101">
        <f t="shared" ca="1" si="81"/>
        <v>0.63958941576631445</v>
      </c>
      <c r="E1324" s="101">
        <f t="shared" ca="1" si="82"/>
        <v>0</v>
      </c>
      <c r="F1324" s="21">
        <f t="shared" ca="1" si="83"/>
        <v>0</v>
      </c>
      <c r="H1324" s="21">
        <v>1309</v>
      </c>
      <c r="I1324" s="102">
        <v>0.66785101695874871</v>
      </c>
      <c r="J1324" s="103">
        <v>1.448626816210694E-3</v>
      </c>
      <c r="K1324" s="103"/>
      <c r="L1324" s="103">
        <v>4.5600000000000002E-2</v>
      </c>
      <c r="O1324" s="100"/>
    </row>
    <row r="1325" spans="2:15" x14ac:dyDescent="0.2">
      <c r="B1325" s="1">
        <v>1310</v>
      </c>
      <c r="C1325" s="101">
        <f t="shared" ca="1" si="80"/>
        <v>0.31233460122256346</v>
      </c>
      <c r="D1325" s="101">
        <f t="shared" ca="1" si="81"/>
        <v>0.68529351478735567</v>
      </c>
      <c r="E1325" s="101">
        <f t="shared" ca="1" si="82"/>
        <v>0</v>
      </c>
      <c r="F1325" s="21">
        <f t="shared" ca="1" si="83"/>
        <v>0</v>
      </c>
      <c r="H1325" s="21">
        <v>1310</v>
      </c>
      <c r="I1325" s="102">
        <v>0.66778895102126457</v>
      </c>
      <c r="J1325" s="103">
        <v>1.3860504837157881E-3</v>
      </c>
      <c r="K1325" s="103"/>
      <c r="L1325" s="103">
        <v>4.0800000000000003E-2</v>
      </c>
      <c r="O1325" s="100"/>
    </row>
    <row r="1326" spans="2:15" x14ac:dyDescent="0.2">
      <c r="B1326" s="1">
        <v>1311</v>
      </c>
      <c r="C1326" s="101">
        <f t="shared" ca="1" si="80"/>
        <v>5.8642846310798184E-2</v>
      </c>
      <c r="D1326" s="101">
        <f t="shared" ca="1" si="81"/>
        <v>0.66835718865745075</v>
      </c>
      <c r="E1326" s="101">
        <f t="shared" ca="1" si="82"/>
        <v>0</v>
      </c>
      <c r="F1326" s="21">
        <f t="shared" ca="1" si="83"/>
        <v>0</v>
      </c>
      <c r="H1326" s="21">
        <v>1311</v>
      </c>
      <c r="I1326" s="102">
        <v>0.66781683771176104</v>
      </c>
      <c r="J1326" s="103">
        <v>1.2937486955702992E-3</v>
      </c>
      <c r="K1326" s="103"/>
      <c r="L1326" s="103">
        <v>4.58E-2</v>
      </c>
      <c r="O1326" s="100"/>
    </row>
    <row r="1327" spans="2:15" x14ac:dyDescent="0.2">
      <c r="B1327" s="1">
        <v>1312</v>
      </c>
      <c r="C1327" s="101">
        <f t="shared" ca="1" si="80"/>
        <v>-0.159167164392888</v>
      </c>
      <c r="D1327" s="101">
        <f t="shared" ca="1" si="81"/>
        <v>0.6541506495774857</v>
      </c>
      <c r="E1327" s="101">
        <f t="shared" ca="1" si="82"/>
        <v>0</v>
      </c>
      <c r="F1327" s="21">
        <f t="shared" ca="1" si="83"/>
        <v>0</v>
      </c>
      <c r="H1327" s="21">
        <v>1312</v>
      </c>
      <c r="I1327" s="102">
        <v>0.66790021986074022</v>
      </c>
      <c r="J1327" s="103">
        <v>1.5948136795614469E-3</v>
      </c>
      <c r="K1327" s="103"/>
      <c r="L1327" s="103">
        <v>4.4400000000000002E-2</v>
      </c>
      <c r="O1327" s="100"/>
    </row>
    <row r="1328" spans="2:15" x14ac:dyDescent="0.2">
      <c r="B1328" s="1">
        <v>1313</v>
      </c>
      <c r="C1328" s="101">
        <f t="shared" ca="1" si="80"/>
        <v>-1.334479250632425</v>
      </c>
      <c r="D1328" s="101">
        <f t="shared" ca="1" si="81"/>
        <v>0.58254319289915601</v>
      </c>
      <c r="E1328" s="101">
        <f t="shared" ca="1" si="82"/>
        <v>0</v>
      </c>
      <c r="F1328" s="21">
        <f t="shared" ca="1" si="83"/>
        <v>0</v>
      </c>
      <c r="H1328" s="21">
        <v>1313</v>
      </c>
      <c r="I1328" s="102">
        <v>0.66779107569193408</v>
      </c>
      <c r="J1328" s="103">
        <v>1.3784522297967819E-3</v>
      </c>
      <c r="K1328" s="103"/>
      <c r="L1328" s="103">
        <v>4.3400000000000001E-2</v>
      </c>
      <c r="O1328" s="100"/>
    </row>
    <row r="1329" spans="2:15" x14ac:dyDescent="0.2">
      <c r="B1329" s="1">
        <v>1314</v>
      </c>
      <c r="C1329" s="101">
        <f t="shared" ca="1" si="80"/>
        <v>-1.5447285855627573</v>
      </c>
      <c r="D1329" s="101">
        <f t="shared" ca="1" si="81"/>
        <v>0.57058608989574389</v>
      </c>
      <c r="E1329" s="101">
        <f t="shared" ca="1" si="82"/>
        <v>0</v>
      </c>
      <c r="F1329" s="21">
        <f t="shared" ca="1" si="83"/>
        <v>0</v>
      </c>
      <c r="H1329" s="21">
        <v>1314</v>
      </c>
      <c r="I1329" s="102">
        <v>0.66775915378028816</v>
      </c>
      <c r="J1329" s="103">
        <v>1.3341282451910606E-3</v>
      </c>
      <c r="K1329" s="103"/>
      <c r="L1329" s="103">
        <v>4.3799999999999999E-2</v>
      </c>
      <c r="O1329" s="100"/>
    </row>
    <row r="1330" spans="2:15" x14ac:dyDescent="0.2">
      <c r="B1330" s="1">
        <v>1315</v>
      </c>
      <c r="C1330" s="101">
        <f t="shared" ca="1" si="80"/>
        <v>0.17856954335989825</v>
      </c>
      <c r="D1330" s="101">
        <f t="shared" ca="1" si="81"/>
        <v>0.67631062340257986</v>
      </c>
      <c r="E1330" s="101">
        <f t="shared" ca="1" si="82"/>
        <v>0</v>
      </c>
      <c r="F1330" s="21">
        <f t="shared" ca="1" si="83"/>
        <v>0</v>
      </c>
      <c r="H1330" s="21">
        <v>1315</v>
      </c>
      <c r="I1330" s="102">
        <v>0.66752958984745014</v>
      </c>
      <c r="J1330" s="103">
        <v>1.1876925933822732E-3</v>
      </c>
      <c r="K1330" s="103"/>
      <c r="L1330" s="103">
        <v>3.4200000000000001E-2</v>
      </c>
      <c r="O1330" s="100"/>
    </row>
    <row r="1331" spans="2:15" x14ac:dyDescent="0.2">
      <c r="B1331" s="1">
        <v>1316</v>
      </c>
      <c r="C1331" s="101">
        <f t="shared" ca="1" si="80"/>
        <v>1.6436503438398455</v>
      </c>
      <c r="D1331" s="101">
        <f t="shared" ca="1" si="81"/>
        <v>0.78146470453046668</v>
      </c>
      <c r="E1331" s="101">
        <f t="shared" ca="1" si="82"/>
        <v>0</v>
      </c>
      <c r="F1331" s="21">
        <f t="shared" ca="1" si="83"/>
        <v>0</v>
      </c>
      <c r="H1331" s="21">
        <v>1316</v>
      </c>
      <c r="I1331" s="102">
        <v>0.66791623128892175</v>
      </c>
      <c r="J1331" s="103">
        <v>1.4997837179426027E-3</v>
      </c>
      <c r="K1331" s="103"/>
      <c r="L1331" s="103">
        <v>4.7800000000000002E-2</v>
      </c>
      <c r="O1331" s="100"/>
    </row>
    <row r="1332" spans="2:15" x14ac:dyDescent="0.2">
      <c r="B1332" s="1">
        <v>1317</v>
      </c>
      <c r="C1332" s="101">
        <f t="shared" ca="1" si="80"/>
        <v>0.40880238573786809</v>
      </c>
      <c r="D1332" s="101">
        <f t="shared" ca="1" si="81"/>
        <v>0.69184569412630514</v>
      </c>
      <c r="E1332" s="101">
        <f t="shared" ca="1" si="82"/>
        <v>0</v>
      </c>
      <c r="F1332" s="21">
        <f t="shared" ca="1" si="83"/>
        <v>0</v>
      </c>
      <c r="H1332" s="21">
        <v>1317</v>
      </c>
      <c r="I1332" s="102">
        <v>0.66761333979579174</v>
      </c>
      <c r="J1332" s="103">
        <v>1.194925391051375E-3</v>
      </c>
      <c r="K1332" s="103"/>
      <c r="L1332" s="103">
        <v>4.0599999999999997E-2</v>
      </c>
      <c r="O1332" s="100"/>
    </row>
    <row r="1333" spans="2:15" x14ac:dyDescent="0.2">
      <c r="B1333" s="1">
        <v>1318</v>
      </c>
      <c r="C1333" s="101">
        <f t="shared" ca="1" si="80"/>
        <v>4.4944248644817636E-2</v>
      </c>
      <c r="D1333" s="101">
        <f t="shared" ca="1" si="81"/>
        <v>0.6674546823455022</v>
      </c>
      <c r="E1333" s="101">
        <f t="shared" ca="1" si="82"/>
        <v>0</v>
      </c>
      <c r="F1333" s="21">
        <f t="shared" ca="1" si="83"/>
        <v>0</v>
      </c>
      <c r="H1333" s="21">
        <v>1318</v>
      </c>
      <c r="I1333" s="102">
        <v>0.66771837395316824</v>
      </c>
      <c r="J1333" s="103">
        <v>1.2852559946570461E-3</v>
      </c>
      <c r="K1333" s="103"/>
      <c r="L1333" s="103">
        <v>0.04</v>
      </c>
      <c r="O1333" s="100"/>
    </row>
    <row r="1334" spans="2:15" x14ac:dyDescent="0.2">
      <c r="B1334" s="1">
        <v>1319</v>
      </c>
      <c r="C1334" s="101">
        <f t="shared" ca="1" si="80"/>
        <v>-0.67440934600858482</v>
      </c>
      <c r="D1334" s="101">
        <f t="shared" ca="1" si="81"/>
        <v>0.62173471844176864</v>
      </c>
      <c r="E1334" s="101">
        <f t="shared" ca="1" si="82"/>
        <v>0</v>
      </c>
      <c r="F1334" s="21">
        <f t="shared" ca="1" si="83"/>
        <v>0</v>
      </c>
      <c r="H1334" s="21">
        <v>1319</v>
      </c>
      <c r="I1334" s="102">
        <v>0.66771318841741023</v>
      </c>
      <c r="J1334" s="103">
        <v>1.2947678059563703E-3</v>
      </c>
      <c r="K1334" s="103"/>
      <c r="L1334" s="103">
        <v>4.2999999999999997E-2</v>
      </c>
      <c r="O1334" s="100"/>
    </row>
    <row r="1335" spans="2:15" x14ac:dyDescent="0.2">
      <c r="B1335" s="1">
        <v>1320</v>
      </c>
      <c r="C1335" s="101">
        <f t="shared" ca="1" si="80"/>
        <v>-0.5099168987819046</v>
      </c>
      <c r="D1335" s="101">
        <f t="shared" ca="1" si="81"/>
        <v>0.63190512054321413</v>
      </c>
      <c r="E1335" s="101">
        <f t="shared" ca="1" si="82"/>
        <v>0</v>
      </c>
      <c r="F1335" s="21">
        <f t="shared" ca="1" si="83"/>
        <v>0</v>
      </c>
      <c r="H1335" s="21">
        <v>1320</v>
      </c>
      <c r="I1335" s="102">
        <v>0.66774162123314285</v>
      </c>
      <c r="J1335" s="103">
        <v>1.4694958850475751E-3</v>
      </c>
      <c r="K1335" s="103"/>
      <c r="L1335" s="103">
        <v>4.3200000000000002E-2</v>
      </c>
      <c r="O1335" s="100"/>
    </row>
    <row r="1336" spans="2:15" x14ac:dyDescent="0.2">
      <c r="B1336" s="1">
        <v>1321</v>
      </c>
      <c r="C1336" s="101">
        <f t="shared" ca="1" si="80"/>
        <v>-2.2661718838030804</v>
      </c>
      <c r="D1336" s="101">
        <f t="shared" ca="1" si="81"/>
        <v>0.53139197789861636</v>
      </c>
      <c r="E1336" s="101">
        <f t="shared" ca="1" si="82"/>
        <v>0</v>
      </c>
      <c r="F1336" s="21">
        <f t="shared" ca="1" si="83"/>
        <v>0</v>
      </c>
      <c r="H1336" s="21">
        <v>1321</v>
      </c>
      <c r="I1336" s="102">
        <v>0.66777540876691199</v>
      </c>
      <c r="J1336" s="103">
        <v>1.4856690599334282E-3</v>
      </c>
      <c r="K1336" s="103"/>
      <c r="L1336" s="103">
        <v>4.7600000000000003E-2</v>
      </c>
      <c r="O1336" s="100"/>
    </row>
    <row r="1337" spans="2:15" x14ac:dyDescent="0.2">
      <c r="B1337" s="1">
        <v>1322</v>
      </c>
      <c r="C1337" s="101">
        <f t="shared" ca="1" si="80"/>
        <v>-0.21996157610126185</v>
      </c>
      <c r="D1337" s="101">
        <f t="shared" ca="1" si="81"/>
        <v>0.65023955074042061</v>
      </c>
      <c r="E1337" s="101">
        <f t="shared" ca="1" si="82"/>
        <v>0</v>
      </c>
      <c r="F1337" s="21">
        <f t="shared" ca="1" si="83"/>
        <v>0</v>
      </c>
      <c r="H1337" s="21">
        <v>1322</v>
      </c>
      <c r="I1337" s="102">
        <v>0.66767082201518857</v>
      </c>
      <c r="J1337" s="103">
        <v>1.3993230341093478E-3</v>
      </c>
      <c r="K1337" s="103"/>
      <c r="L1337" s="103">
        <v>4.3400000000000001E-2</v>
      </c>
      <c r="O1337" s="100"/>
    </row>
    <row r="1338" spans="2:15" x14ac:dyDescent="0.2">
      <c r="B1338" s="1">
        <v>1323</v>
      </c>
      <c r="C1338" s="101">
        <f t="shared" ca="1" si="80"/>
        <v>-0.15308830042992391</v>
      </c>
      <c r="D1338" s="101">
        <f t="shared" ca="1" si="81"/>
        <v>0.65454301372452173</v>
      </c>
      <c r="E1338" s="101">
        <f t="shared" ca="1" si="82"/>
        <v>0</v>
      </c>
      <c r="F1338" s="21">
        <f t="shared" ca="1" si="83"/>
        <v>0</v>
      </c>
      <c r="H1338" s="21">
        <v>1323</v>
      </c>
      <c r="I1338" s="102">
        <v>0.66766468801915368</v>
      </c>
      <c r="J1338" s="103">
        <v>1.3169232911892932E-3</v>
      </c>
      <c r="K1338" s="103"/>
      <c r="L1338" s="103">
        <v>3.9E-2</v>
      </c>
      <c r="O1338" s="100"/>
    </row>
    <row r="1339" spans="2:15" x14ac:dyDescent="0.2">
      <c r="B1339" s="1">
        <v>1324</v>
      </c>
      <c r="C1339" s="101">
        <f t="shared" ca="1" si="80"/>
        <v>0.30586329055827532</v>
      </c>
      <c r="D1339" s="101">
        <f t="shared" ca="1" si="81"/>
        <v>0.68485620503182176</v>
      </c>
      <c r="E1339" s="101">
        <f t="shared" ca="1" si="82"/>
        <v>0</v>
      </c>
      <c r="F1339" s="21">
        <f t="shared" ca="1" si="83"/>
        <v>0</v>
      </c>
      <c r="H1339" s="21">
        <v>1324</v>
      </c>
      <c r="I1339" s="102">
        <v>0.66776820791227687</v>
      </c>
      <c r="J1339" s="103">
        <v>1.5292471597934695E-3</v>
      </c>
      <c r="K1339" s="103"/>
      <c r="L1339" s="103">
        <v>4.1599999999999998E-2</v>
      </c>
      <c r="O1339" s="100"/>
    </row>
    <row r="1340" spans="2:15" x14ac:dyDescent="0.2">
      <c r="B1340" s="1">
        <v>1325</v>
      </c>
      <c r="C1340" s="101">
        <f t="shared" ca="1" si="80"/>
        <v>2.3134312326528992</v>
      </c>
      <c r="D1340" s="101">
        <f t="shared" ca="1" si="81"/>
        <v>0.83483830545589566</v>
      </c>
      <c r="E1340" s="101">
        <f t="shared" ca="1" si="82"/>
        <v>4.6638305455895646E-2</v>
      </c>
      <c r="F1340" s="21">
        <f t="shared" ca="1" si="83"/>
        <v>1</v>
      </c>
      <c r="H1340" s="21">
        <v>1325</v>
      </c>
      <c r="I1340" s="102">
        <v>0.66770474085032838</v>
      </c>
      <c r="J1340" s="103">
        <v>1.2541411782062747E-3</v>
      </c>
      <c r="K1340" s="103"/>
      <c r="L1340" s="103">
        <v>3.9199999999999999E-2</v>
      </c>
      <c r="O1340" s="100"/>
    </row>
    <row r="1341" spans="2:15" x14ac:dyDescent="0.2">
      <c r="B1341" s="1">
        <v>1326</v>
      </c>
      <c r="C1341" s="101">
        <f t="shared" ca="1" si="80"/>
        <v>0.62222617936907043</v>
      </c>
      <c r="D1341" s="101">
        <f t="shared" ca="1" si="81"/>
        <v>0.70656510642037362</v>
      </c>
      <c r="E1341" s="101">
        <f t="shared" ca="1" si="82"/>
        <v>0</v>
      </c>
      <c r="F1341" s="21">
        <f t="shared" ca="1" si="83"/>
        <v>0</v>
      </c>
      <c r="H1341" s="21">
        <v>1326</v>
      </c>
      <c r="I1341" s="102">
        <v>0.66794563959775977</v>
      </c>
      <c r="J1341" s="103">
        <v>1.5117469892579967E-3</v>
      </c>
      <c r="K1341" s="103"/>
      <c r="L1341" s="103">
        <v>4.3400000000000001E-2</v>
      </c>
      <c r="O1341" s="100"/>
    </row>
    <row r="1342" spans="2:15" x14ac:dyDescent="0.2">
      <c r="B1342" s="1">
        <v>1327</v>
      </c>
      <c r="C1342" s="101">
        <f t="shared" ca="1" si="80"/>
        <v>-1.9739761250252728</v>
      </c>
      <c r="D1342" s="101">
        <f t="shared" ca="1" si="81"/>
        <v>0.54693092463719606</v>
      </c>
      <c r="E1342" s="101">
        <f t="shared" ca="1" si="82"/>
        <v>0</v>
      </c>
      <c r="F1342" s="21">
        <f t="shared" ca="1" si="83"/>
        <v>0</v>
      </c>
      <c r="H1342" s="21">
        <v>1327</v>
      </c>
      <c r="I1342" s="102">
        <v>0.66776117468468654</v>
      </c>
      <c r="J1342" s="103">
        <v>1.3425676165797541E-3</v>
      </c>
      <c r="K1342" s="103"/>
      <c r="L1342" s="103">
        <v>4.1599999999999998E-2</v>
      </c>
      <c r="O1342" s="100"/>
    </row>
    <row r="1343" spans="2:15" x14ac:dyDescent="0.2">
      <c r="B1343" s="1">
        <v>1328</v>
      </c>
      <c r="C1343" s="101">
        <f t="shared" ca="1" si="80"/>
        <v>2.6934107639761384</v>
      </c>
      <c r="D1343" s="101">
        <f t="shared" ca="1" si="81"/>
        <v>0.86672326993494808</v>
      </c>
      <c r="E1343" s="101">
        <f t="shared" ca="1" si="82"/>
        <v>7.852326993494807E-2</v>
      </c>
      <c r="F1343" s="21">
        <f t="shared" ca="1" si="83"/>
        <v>1</v>
      </c>
      <c r="H1343" s="21">
        <v>1328</v>
      </c>
      <c r="I1343" s="102">
        <v>0.66765123383853286</v>
      </c>
      <c r="J1343" s="103">
        <v>1.2664287479360922E-3</v>
      </c>
      <c r="K1343" s="103"/>
      <c r="L1343" s="103">
        <v>4.2799999999999998E-2</v>
      </c>
      <c r="O1343" s="100"/>
    </row>
    <row r="1344" spans="2:15" x14ac:dyDescent="0.2">
      <c r="B1344" s="1">
        <v>1329</v>
      </c>
      <c r="C1344" s="101">
        <f t="shared" ca="1" si="80"/>
        <v>-0.97748101508120244</v>
      </c>
      <c r="D1344" s="101">
        <f t="shared" ca="1" si="81"/>
        <v>0.60342280057356601</v>
      </c>
      <c r="E1344" s="101">
        <f t="shared" ca="1" si="82"/>
        <v>0</v>
      </c>
      <c r="F1344" s="21">
        <f t="shared" ca="1" si="83"/>
        <v>0</v>
      </c>
      <c r="H1344" s="21">
        <v>1329</v>
      </c>
      <c r="I1344" s="102">
        <v>0.66770333463693909</v>
      </c>
      <c r="J1344" s="103">
        <v>1.2931908402915181E-3</v>
      </c>
      <c r="K1344" s="103"/>
      <c r="L1344" s="103">
        <v>4.0599999999999997E-2</v>
      </c>
      <c r="O1344" s="100"/>
    </row>
    <row r="1345" spans="2:15" x14ac:dyDescent="0.2">
      <c r="B1345" s="1">
        <v>1330</v>
      </c>
      <c r="C1345" s="101">
        <f t="shared" ca="1" si="80"/>
        <v>1.4957534255784055</v>
      </c>
      <c r="D1345" s="101">
        <f t="shared" ca="1" si="81"/>
        <v>0.7701468700616958</v>
      </c>
      <c r="E1345" s="101">
        <f t="shared" ca="1" si="82"/>
        <v>0</v>
      </c>
      <c r="F1345" s="21">
        <f t="shared" ca="1" si="83"/>
        <v>0</v>
      </c>
      <c r="H1345" s="21">
        <v>1330</v>
      </c>
      <c r="I1345" s="102">
        <v>0.66794993648585987</v>
      </c>
      <c r="J1345" s="103">
        <v>1.5440907799884635E-3</v>
      </c>
      <c r="K1345" s="103"/>
      <c r="L1345" s="103">
        <v>4.8399999999999999E-2</v>
      </c>
      <c r="O1345" s="100"/>
    </row>
    <row r="1346" spans="2:15" x14ac:dyDescent="0.2">
      <c r="B1346" s="1">
        <v>1331</v>
      </c>
      <c r="C1346" s="101">
        <f t="shared" ca="1" si="80"/>
        <v>0.5761826537053818</v>
      </c>
      <c r="D1346" s="101">
        <f t="shared" ca="1" si="81"/>
        <v>0.70336330942233172</v>
      </c>
      <c r="E1346" s="101">
        <f t="shared" ca="1" si="82"/>
        <v>0</v>
      </c>
      <c r="F1346" s="21">
        <f t="shared" ca="1" si="83"/>
        <v>0</v>
      </c>
      <c r="H1346" s="21">
        <v>1331</v>
      </c>
      <c r="I1346" s="102">
        <v>0.66763433691978158</v>
      </c>
      <c r="J1346" s="103">
        <v>1.3129823846726473E-3</v>
      </c>
      <c r="K1346" s="103"/>
      <c r="L1346" s="103">
        <v>4.1200000000000001E-2</v>
      </c>
      <c r="O1346" s="100"/>
    </row>
    <row r="1347" spans="2:15" x14ac:dyDescent="0.2">
      <c r="B1347" s="1">
        <v>1332</v>
      </c>
      <c r="C1347" s="101">
        <f t="shared" ca="1" si="80"/>
        <v>1.0561178725109281</v>
      </c>
      <c r="D1347" s="101">
        <f t="shared" ca="1" si="81"/>
        <v>0.7374623257574362</v>
      </c>
      <c r="E1347" s="101">
        <f t="shared" ca="1" si="82"/>
        <v>0</v>
      </c>
      <c r="F1347" s="21">
        <f t="shared" ca="1" si="83"/>
        <v>0</v>
      </c>
      <c r="H1347" s="21">
        <v>1332</v>
      </c>
      <c r="I1347" s="102">
        <v>0.66791012890378942</v>
      </c>
      <c r="J1347" s="103">
        <v>1.4806919909375583E-3</v>
      </c>
      <c r="K1347" s="103"/>
      <c r="L1347" s="103">
        <v>4.6600000000000003E-2</v>
      </c>
      <c r="O1347" s="100"/>
    </row>
    <row r="1348" spans="2:15" x14ac:dyDescent="0.2">
      <c r="B1348" s="1">
        <v>1333</v>
      </c>
      <c r="C1348" s="101">
        <f t="shared" ca="1" si="80"/>
        <v>-0.10030156113763397</v>
      </c>
      <c r="D1348" s="101">
        <f t="shared" ca="1" si="81"/>
        <v>0.65796007757977371</v>
      </c>
      <c r="E1348" s="101">
        <f t="shared" ca="1" si="82"/>
        <v>0</v>
      </c>
      <c r="F1348" s="21">
        <f t="shared" ca="1" si="83"/>
        <v>0</v>
      </c>
      <c r="H1348" s="21">
        <v>1333</v>
      </c>
      <c r="I1348" s="102">
        <v>0.66770769729429613</v>
      </c>
      <c r="J1348" s="103">
        <v>1.3370387154907155E-3</v>
      </c>
      <c r="K1348" s="103"/>
      <c r="L1348" s="103">
        <v>4.1200000000000001E-2</v>
      </c>
      <c r="O1348" s="100"/>
    </row>
    <row r="1349" spans="2:15" x14ac:dyDescent="0.2">
      <c r="B1349" s="1">
        <v>1334</v>
      </c>
      <c r="C1349" s="101">
        <f t="shared" ca="1" si="80"/>
        <v>-0.15959584147410019</v>
      </c>
      <c r="D1349" s="101">
        <f t="shared" ca="1" si="81"/>
        <v>0.65412298922179068</v>
      </c>
      <c r="E1349" s="101">
        <f t="shared" ca="1" si="82"/>
        <v>0</v>
      </c>
      <c r="F1349" s="21">
        <f t="shared" ca="1" si="83"/>
        <v>0</v>
      </c>
      <c r="H1349" s="21">
        <v>1334</v>
      </c>
      <c r="I1349" s="102">
        <v>0.66780358405215678</v>
      </c>
      <c r="J1349" s="103">
        <v>1.3049377739107651E-3</v>
      </c>
      <c r="K1349" s="103"/>
      <c r="L1349" s="103">
        <v>3.9399999999999998E-2</v>
      </c>
      <c r="O1349" s="100"/>
    </row>
    <row r="1350" spans="2:15" x14ac:dyDescent="0.2">
      <c r="B1350" s="1">
        <v>1335</v>
      </c>
      <c r="C1350" s="101">
        <f t="shared" ca="1" si="80"/>
        <v>-0.25849895459160549</v>
      </c>
      <c r="D1350" s="101">
        <f t="shared" ca="1" si="81"/>
        <v>0.64777243653655658</v>
      </c>
      <c r="E1350" s="101">
        <f t="shared" ca="1" si="82"/>
        <v>0</v>
      </c>
      <c r="F1350" s="21">
        <f t="shared" ca="1" si="83"/>
        <v>0</v>
      </c>
      <c r="H1350" s="21">
        <v>1335</v>
      </c>
      <c r="I1350" s="102">
        <v>0.66781851236321199</v>
      </c>
      <c r="J1350" s="103">
        <v>1.5063619958007319E-3</v>
      </c>
      <c r="K1350" s="103"/>
      <c r="L1350" s="103">
        <v>4.2599999999999999E-2</v>
      </c>
      <c r="O1350" s="100"/>
    </row>
    <row r="1351" spans="2:15" x14ac:dyDescent="0.2">
      <c r="B1351" s="1">
        <v>1336</v>
      </c>
      <c r="C1351" s="101">
        <f t="shared" ca="1" si="80"/>
        <v>-0.40677427743571803</v>
      </c>
      <c r="D1351" s="101">
        <f t="shared" ca="1" si="81"/>
        <v>0.63836701851039601</v>
      </c>
      <c r="E1351" s="101">
        <f t="shared" ca="1" si="82"/>
        <v>0</v>
      </c>
      <c r="F1351" s="21">
        <f t="shared" ca="1" si="83"/>
        <v>0</v>
      </c>
      <c r="H1351" s="21">
        <v>1336</v>
      </c>
      <c r="I1351" s="102">
        <v>0.66767289004594854</v>
      </c>
      <c r="J1351" s="103">
        <v>1.2984320649505458E-3</v>
      </c>
      <c r="K1351" s="103"/>
      <c r="L1351" s="103">
        <v>4.4200000000000003E-2</v>
      </c>
      <c r="O1351" s="100"/>
    </row>
    <row r="1352" spans="2:15" x14ac:dyDescent="0.2">
      <c r="B1352" s="1">
        <v>1337</v>
      </c>
      <c r="C1352" s="101">
        <f t="shared" ca="1" si="80"/>
        <v>0.77433557532056774</v>
      </c>
      <c r="D1352" s="101">
        <f t="shared" ca="1" si="81"/>
        <v>0.71724653494252277</v>
      </c>
      <c r="E1352" s="101">
        <f t="shared" ca="1" si="82"/>
        <v>0</v>
      </c>
      <c r="F1352" s="21">
        <f t="shared" ca="1" si="83"/>
        <v>0</v>
      </c>
      <c r="H1352" s="21">
        <v>1337</v>
      </c>
      <c r="I1352" s="102">
        <v>0.66764259435340056</v>
      </c>
      <c r="J1352" s="103">
        <v>1.1693451417317295E-3</v>
      </c>
      <c r="K1352" s="103"/>
      <c r="L1352" s="103">
        <v>3.5200000000000002E-2</v>
      </c>
      <c r="O1352" s="100"/>
    </row>
    <row r="1353" spans="2:15" x14ac:dyDescent="0.2">
      <c r="B1353" s="1">
        <v>1338</v>
      </c>
      <c r="C1353" s="101">
        <f t="shared" ca="1" si="80"/>
        <v>1.8865982376006651</v>
      </c>
      <c r="D1353" s="101">
        <f t="shared" ca="1" si="81"/>
        <v>0.80041847722004855</v>
      </c>
      <c r="E1353" s="101">
        <f t="shared" ca="1" si="82"/>
        <v>1.221847722004854E-2</v>
      </c>
      <c r="F1353" s="21">
        <f t="shared" ca="1" si="83"/>
        <v>1</v>
      </c>
      <c r="H1353" s="21">
        <v>1338</v>
      </c>
      <c r="I1353" s="102">
        <v>0.66777261826785539</v>
      </c>
      <c r="J1353" s="103">
        <v>1.6174942840420127E-3</v>
      </c>
      <c r="K1353" s="103"/>
      <c r="L1353" s="103">
        <v>4.5400000000000003E-2</v>
      </c>
      <c r="O1353" s="100"/>
    </row>
    <row r="1354" spans="2:15" x14ac:dyDescent="0.2">
      <c r="B1354" s="1">
        <v>1339</v>
      </c>
      <c r="C1354" s="101">
        <f t="shared" ca="1" si="80"/>
        <v>0.55318795610872906</v>
      </c>
      <c r="D1354" s="101">
        <f t="shared" ca="1" si="81"/>
        <v>0.7017697294361539</v>
      </c>
      <c r="E1354" s="101">
        <f t="shared" ca="1" si="82"/>
        <v>0</v>
      </c>
      <c r="F1354" s="21">
        <f t="shared" ca="1" si="83"/>
        <v>0</v>
      </c>
      <c r="H1354" s="21">
        <v>1339</v>
      </c>
      <c r="I1354" s="102">
        <v>0.66787592050778799</v>
      </c>
      <c r="J1354" s="103">
        <v>1.28263227274864E-3</v>
      </c>
      <c r="K1354" s="103"/>
      <c r="L1354" s="103">
        <v>4.1599999999999998E-2</v>
      </c>
      <c r="O1354" s="100"/>
    </row>
    <row r="1355" spans="2:15" x14ac:dyDescent="0.2">
      <c r="B1355" s="1">
        <v>1340</v>
      </c>
      <c r="C1355" s="101">
        <f t="shared" ca="1" si="80"/>
        <v>-1.481107377004377</v>
      </c>
      <c r="D1355" s="101">
        <f t="shared" ca="1" si="81"/>
        <v>0.57417816538280664</v>
      </c>
      <c r="E1355" s="101">
        <f t="shared" ca="1" si="82"/>
        <v>0</v>
      </c>
      <c r="F1355" s="21">
        <f t="shared" ca="1" si="83"/>
        <v>0</v>
      </c>
      <c r="H1355" s="21">
        <v>1340</v>
      </c>
      <c r="I1355" s="102">
        <v>0.66774323783872525</v>
      </c>
      <c r="J1355" s="103">
        <v>1.2697057897257565E-3</v>
      </c>
      <c r="K1355" s="103"/>
      <c r="L1355" s="103">
        <v>3.9800000000000002E-2</v>
      </c>
      <c r="O1355" s="100"/>
    </row>
    <row r="1356" spans="2:15" x14ac:dyDescent="0.2">
      <c r="B1356" s="1">
        <v>1341</v>
      </c>
      <c r="C1356" s="101">
        <f t="shared" ca="1" si="80"/>
        <v>0.82231274590067505</v>
      </c>
      <c r="D1356" s="101">
        <f t="shared" ca="1" si="81"/>
        <v>0.72064897163429387</v>
      </c>
      <c r="E1356" s="101">
        <f t="shared" ca="1" si="82"/>
        <v>0</v>
      </c>
      <c r="F1356" s="21">
        <f t="shared" ca="1" si="83"/>
        <v>0</v>
      </c>
      <c r="H1356" s="21">
        <v>1341</v>
      </c>
      <c r="I1356" s="102">
        <v>0.66766967147371403</v>
      </c>
      <c r="J1356" s="103">
        <v>1.2943024898603884E-3</v>
      </c>
      <c r="K1356" s="103"/>
      <c r="L1356" s="103">
        <v>3.9800000000000002E-2</v>
      </c>
      <c r="O1356" s="100"/>
    </row>
    <row r="1357" spans="2:15" x14ac:dyDescent="0.2">
      <c r="B1357" s="1">
        <v>1342</v>
      </c>
      <c r="C1357" s="101">
        <f t="shared" ca="1" si="80"/>
        <v>-4.5184118324766938E-2</v>
      </c>
      <c r="D1357" s="101">
        <f t="shared" ca="1" si="81"/>
        <v>0.66154705495597033</v>
      </c>
      <c r="E1357" s="101">
        <f t="shared" ca="1" si="82"/>
        <v>0</v>
      </c>
      <c r="F1357" s="21">
        <f t="shared" ca="1" si="83"/>
        <v>0</v>
      </c>
      <c r="H1357" s="21">
        <v>1342</v>
      </c>
      <c r="I1357" s="102">
        <v>0.66779818075914665</v>
      </c>
      <c r="J1357" s="103">
        <v>1.4258908256975171E-3</v>
      </c>
      <c r="K1357" s="103"/>
      <c r="L1357" s="103">
        <v>4.4200000000000003E-2</v>
      </c>
      <c r="O1357" s="100"/>
    </row>
    <row r="1358" spans="2:15" x14ac:dyDescent="0.2">
      <c r="B1358" s="1">
        <v>1343</v>
      </c>
      <c r="C1358" s="101">
        <f t="shared" ca="1" si="80"/>
        <v>0.60436893769777156</v>
      </c>
      <c r="D1358" s="101">
        <f t="shared" ca="1" si="81"/>
        <v>0.70532161434338125</v>
      </c>
      <c r="E1358" s="101">
        <f t="shared" ca="1" si="82"/>
        <v>0</v>
      </c>
      <c r="F1358" s="21">
        <f t="shared" ca="1" si="83"/>
        <v>0</v>
      </c>
      <c r="H1358" s="21">
        <v>1343</v>
      </c>
      <c r="I1358" s="102">
        <v>0.66775917179826039</v>
      </c>
      <c r="J1358" s="103">
        <v>1.4504043870052859E-3</v>
      </c>
      <c r="K1358" s="103"/>
      <c r="L1358" s="103">
        <v>4.3799999999999999E-2</v>
      </c>
      <c r="O1358" s="100"/>
    </row>
    <row r="1359" spans="2:15" x14ac:dyDescent="0.2">
      <c r="B1359" s="1">
        <v>1344</v>
      </c>
      <c r="C1359" s="101">
        <f t="shared" ca="1" si="80"/>
        <v>-0.52491167093283109</v>
      </c>
      <c r="D1359" s="101">
        <f t="shared" ca="1" si="81"/>
        <v>0.63097115790685898</v>
      </c>
      <c r="E1359" s="101">
        <f t="shared" ca="1" si="82"/>
        <v>0</v>
      </c>
      <c r="F1359" s="21">
        <f t="shared" ca="1" si="83"/>
        <v>0</v>
      </c>
      <c r="H1359" s="21">
        <v>1344</v>
      </c>
      <c r="I1359" s="102">
        <v>0.6677881069513516</v>
      </c>
      <c r="J1359" s="103">
        <v>1.4106149631606453E-3</v>
      </c>
      <c r="K1359" s="103"/>
      <c r="L1359" s="103">
        <v>4.2200000000000001E-2</v>
      </c>
      <c r="O1359" s="100"/>
    </row>
    <row r="1360" spans="2:15" x14ac:dyDescent="0.2">
      <c r="B1360" s="1">
        <v>1345</v>
      </c>
      <c r="C1360" s="101">
        <f t="shared" ref="C1360:C1423" ca="1" si="84">_xlfn.NORM.S.INV(RAND())</f>
        <v>0.8518969613900621</v>
      </c>
      <c r="D1360" s="101">
        <f t="shared" ref="D1360:D1423" ca="1" si="85">S0*EXP((μ-0.5*σ*σ)*T+σ*SQRT(T)*$C1360)</f>
        <v>0.72275505989782218</v>
      </c>
      <c r="E1360" s="101">
        <f t="shared" ref="E1360:E1423" ca="1" si="86">MAX(0,CP*(D1360-K))</f>
        <v>0</v>
      </c>
      <c r="F1360" s="21">
        <f t="shared" ref="F1360:F1423" ca="1" si="87">(CP*(D1360-K)&gt;0)*1</f>
        <v>0</v>
      </c>
      <c r="H1360" s="21">
        <v>1345</v>
      </c>
      <c r="I1360" s="102">
        <v>0.66762535051975935</v>
      </c>
      <c r="J1360" s="103">
        <v>1.2237493989251658E-3</v>
      </c>
      <c r="K1360" s="103"/>
      <c r="L1360" s="103">
        <v>3.5999999999999997E-2</v>
      </c>
      <c r="O1360" s="100"/>
    </row>
    <row r="1361" spans="2:15" x14ac:dyDescent="0.2">
      <c r="B1361" s="1">
        <v>1346</v>
      </c>
      <c r="C1361" s="101">
        <f t="shared" ca="1" si="84"/>
        <v>-1.2186906240497948</v>
      </c>
      <c r="D1361" s="101">
        <f t="shared" ca="1" si="85"/>
        <v>0.58923487733391411</v>
      </c>
      <c r="E1361" s="101">
        <f t="shared" ca="1" si="86"/>
        <v>0</v>
      </c>
      <c r="F1361" s="21">
        <f t="shared" ca="1" si="87"/>
        <v>0</v>
      </c>
      <c r="H1361" s="21">
        <v>1346</v>
      </c>
      <c r="I1361" s="102">
        <v>0.6675695351486548</v>
      </c>
      <c r="J1361" s="103">
        <v>1.1278653039084492E-3</v>
      </c>
      <c r="K1361" s="103"/>
      <c r="L1361" s="103">
        <v>3.56E-2</v>
      </c>
      <c r="O1361" s="100"/>
    </row>
    <row r="1362" spans="2:15" x14ac:dyDescent="0.2">
      <c r="B1362" s="1">
        <v>1347</v>
      </c>
      <c r="C1362" s="101">
        <f t="shared" ca="1" si="84"/>
        <v>-0.15137504543825289</v>
      </c>
      <c r="D1362" s="101">
        <f t="shared" ca="1" si="85"/>
        <v>0.6546536393645096</v>
      </c>
      <c r="E1362" s="101">
        <f t="shared" ca="1" si="86"/>
        <v>0</v>
      </c>
      <c r="F1362" s="21">
        <f t="shared" ca="1" si="87"/>
        <v>0</v>
      </c>
      <c r="H1362" s="21">
        <v>1347</v>
      </c>
      <c r="I1362" s="102">
        <v>0.66776374197585908</v>
      </c>
      <c r="J1362" s="103">
        <v>1.4594091087220768E-3</v>
      </c>
      <c r="K1362" s="103"/>
      <c r="L1362" s="103">
        <v>4.4400000000000002E-2</v>
      </c>
      <c r="O1362" s="100"/>
    </row>
    <row r="1363" spans="2:15" x14ac:dyDescent="0.2">
      <c r="B1363" s="1">
        <v>1348</v>
      </c>
      <c r="C1363" s="101">
        <f t="shared" ca="1" si="84"/>
        <v>-1.2225589499982361</v>
      </c>
      <c r="D1363" s="101">
        <f t="shared" ca="1" si="85"/>
        <v>0.5890100818660382</v>
      </c>
      <c r="E1363" s="101">
        <f t="shared" ca="1" si="86"/>
        <v>0</v>
      </c>
      <c r="F1363" s="21">
        <f t="shared" ca="1" si="87"/>
        <v>0</v>
      </c>
      <c r="H1363" s="21">
        <v>1348</v>
      </c>
      <c r="I1363" s="102">
        <v>0.66770804577237974</v>
      </c>
      <c r="J1363" s="103">
        <v>1.3564019590736047E-3</v>
      </c>
      <c r="K1363" s="103"/>
      <c r="L1363" s="103">
        <v>3.9E-2</v>
      </c>
      <c r="O1363" s="100"/>
    </row>
    <row r="1364" spans="2:15" x14ac:dyDescent="0.2">
      <c r="B1364" s="1">
        <v>1349</v>
      </c>
      <c r="C1364" s="101">
        <f t="shared" ca="1" si="84"/>
        <v>-8.8590956561443251E-2</v>
      </c>
      <c r="D1364" s="101">
        <f t="shared" ca="1" si="85"/>
        <v>0.65872055902483251</v>
      </c>
      <c r="E1364" s="101">
        <f t="shared" ca="1" si="86"/>
        <v>0</v>
      </c>
      <c r="F1364" s="21">
        <f t="shared" ca="1" si="87"/>
        <v>0</v>
      </c>
      <c r="H1364" s="21">
        <v>1349</v>
      </c>
      <c r="I1364" s="102">
        <v>0.66780521363830536</v>
      </c>
      <c r="J1364" s="103">
        <v>1.4875854656853089E-3</v>
      </c>
      <c r="K1364" s="103"/>
      <c r="L1364" s="103">
        <v>4.4999999999999998E-2</v>
      </c>
      <c r="O1364" s="100"/>
    </row>
    <row r="1365" spans="2:15" x14ac:dyDescent="0.2">
      <c r="B1365" s="1">
        <v>1350</v>
      </c>
      <c r="C1365" s="101">
        <f t="shared" ca="1" si="84"/>
        <v>2.0454868065168879</v>
      </c>
      <c r="D1365" s="101">
        <f t="shared" ca="1" si="85"/>
        <v>0.81306224319498943</v>
      </c>
      <c r="E1365" s="101">
        <f t="shared" ca="1" si="86"/>
        <v>2.486224319498942E-2</v>
      </c>
      <c r="F1365" s="21">
        <f t="shared" ca="1" si="87"/>
        <v>1</v>
      </c>
      <c r="H1365" s="21">
        <v>1350</v>
      </c>
      <c r="I1365" s="102">
        <v>0.66768120520575802</v>
      </c>
      <c r="J1365" s="103">
        <v>1.2854500562544335E-3</v>
      </c>
      <c r="K1365" s="103"/>
      <c r="L1365" s="103">
        <v>4.0800000000000003E-2</v>
      </c>
      <c r="O1365" s="100"/>
    </row>
    <row r="1366" spans="2:15" x14ac:dyDescent="0.2">
      <c r="B1366" s="1">
        <v>1351</v>
      </c>
      <c r="C1366" s="101">
        <f t="shared" ca="1" si="84"/>
        <v>-6.6679646310665475E-2</v>
      </c>
      <c r="D1366" s="101">
        <f t="shared" ca="1" si="85"/>
        <v>0.66014583145745398</v>
      </c>
      <c r="E1366" s="101">
        <f t="shared" ca="1" si="86"/>
        <v>0</v>
      </c>
      <c r="F1366" s="21">
        <f t="shared" ca="1" si="87"/>
        <v>0</v>
      </c>
      <c r="H1366" s="21">
        <v>1351</v>
      </c>
      <c r="I1366" s="102">
        <v>0.66780276895828383</v>
      </c>
      <c r="J1366" s="103">
        <v>1.4959807027335389E-3</v>
      </c>
      <c r="K1366" s="103"/>
      <c r="L1366" s="103">
        <v>4.2799999999999998E-2</v>
      </c>
      <c r="O1366" s="100"/>
    </row>
    <row r="1367" spans="2:15" x14ac:dyDescent="0.2">
      <c r="B1367" s="1">
        <v>1352</v>
      </c>
      <c r="C1367" s="101">
        <f t="shared" ca="1" si="84"/>
        <v>0.75396460991554304</v>
      </c>
      <c r="D1367" s="101">
        <f t="shared" ca="1" si="85"/>
        <v>0.71580673316965349</v>
      </c>
      <c r="E1367" s="101">
        <f t="shared" ca="1" si="86"/>
        <v>0</v>
      </c>
      <c r="F1367" s="21">
        <f t="shared" ca="1" si="87"/>
        <v>0</v>
      </c>
      <c r="H1367" s="21">
        <v>1352</v>
      </c>
      <c r="I1367" s="102">
        <v>0.66784575589215822</v>
      </c>
      <c r="J1367" s="103">
        <v>1.4857841859277352E-3</v>
      </c>
      <c r="K1367" s="103"/>
      <c r="L1367" s="103">
        <v>4.5400000000000003E-2</v>
      </c>
      <c r="O1367" s="100"/>
    </row>
    <row r="1368" spans="2:15" x14ac:dyDescent="0.2">
      <c r="B1368" s="1">
        <v>1353</v>
      </c>
      <c r="C1368" s="101">
        <f t="shared" ca="1" si="84"/>
        <v>1.1698370676065006</v>
      </c>
      <c r="D1368" s="101">
        <f t="shared" ca="1" si="85"/>
        <v>0.74578131616530607</v>
      </c>
      <c r="E1368" s="101">
        <f t="shared" ca="1" si="86"/>
        <v>0</v>
      </c>
      <c r="F1368" s="21">
        <f t="shared" ca="1" si="87"/>
        <v>0</v>
      </c>
      <c r="H1368" s="21">
        <v>1353</v>
      </c>
      <c r="I1368" s="102">
        <v>0.66771964565737707</v>
      </c>
      <c r="J1368" s="103">
        <v>1.3155747754350887E-3</v>
      </c>
      <c r="K1368" s="103"/>
      <c r="L1368" s="103">
        <v>0.04</v>
      </c>
      <c r="O1368" s="100"/>
    </row>
    <row r="1369" spans="2:15" x14ac:dyDescent="0.2">
      <c r="B1369" s="1">
        <v>1354</v>
      </c>
      <c r="C1369" s="101">
        <f t="shared" ca="1" si="84"/>
        <v>-0.87940581255732164</v>
      </c>
      <c r="D1369" s="101">
        <f t="shared" ca="1" si="85"/>
        <v>0.60928880335560875</v>
      </c>
      <c r="E1369" s="101">
        <f t="shared" ca="1" si="86"/>
        <v>0</v>
      </c>
      <c r="F1369" s="21">
        <f t="shared" ca="1" si="87"/>
        <v>0</v>
      </c>
      <c r="H1369" s="21">
        <v>1354</v>
      </c>
      <c r="I1369" s="102">
        <v>0.66771657081076685</v>
      </c>
      <c r="J1369" s="103">
        <v>1.2612262606054923E-3</v>
      </c>
      <c r="K1369" s="103"/>
      <c r="L1369" s="103">
        <v>4.2000000000000003E-2</v>
      </c>
      <c r="O1369" s="100"/>
    </row>
    <row r="1370" spans="2:15" x14ac:dyDescent="0.2">
      <c r="B1370" s="1">
        <v>1355</v>
      </c>
      <c r="C1370" s="101">
        <f t="shared" ca="1" si="84"/>
        <v>0.58757003746369152</v>
      </c>
      <c r="D1370" s="101">
        <f t="shared" ca="1" si="85"/>
        <v>0.70415381784997721</v>
      </c>
      <c r="E1370" s="101">
        <f t="shared" ca="1" si="86"/>
        <v>0</v>
      </c>
      <c r="F1370" s="21">
        <f t="shared" ca="1" si="87"/>
        <v>0</v>
      </c>
      <c r="H1370" s="21">
        <v>1355</v>
      </c>
      <c r="I1370" s="102">
        <v>0.66769908809722445</v>
      </c>
      <c r="J1370" s="103">
        <v>1.375644857531471E-3</v>
      </c>
      <c r="K1370" s="103"/>
      <c r="L1370" s="103">
        <v>4.2200000000000001E-2</v>
      </c>
      <c r="O1370" s="100"/>
    </row>
    <row r="1371" spans="2:15" x14ac:dyDescent="0.2">
      <c r="B1371" s="1">
        <v>1356</v>
      </c>
      <c r="C1371" s="101">
        <f t="shared" ca="1" si="84"/>
        <v>-6.0763966135677489E-4</v>
      </c>
      <c r="D1371" s="101">
        <f t="shared" ca="1" si="85"/>
        <v>0.66446233690535117</v>
      </c>
      <c r="E1371" s="101">
        <f t="shared" ca="1" si="86"/>
        <v>0</v>
      </c>
      <c r="F1371" s="21">
        <f t="shared" ca="1" si="87"/>
        <v>0</v>
      </c>
      <c r="H1371" s="21">
        <v>1356</v>
      </c>
      <c r="I1371" s="102">
        <v>0.66768316100794778</v>
      </c>
      <c r="J1371" s="103">
        <v>1.3093191127552949E-3</v>
      </c>
      <c r="K1371" s="103"/>
      <c r="L1371" s="103">
        <v>3.7600000000000001E-2</v>
      </c>
      <c r="O1371" s="100"/>
    </row>
    <row r="1372" spans="2:15" x14ac:dyDescent="0.2">
      <c r="B1372" s="1">
        <v>1357</v>
      </c>
      <c r="C1372" s="101">
        <f t="shared" ca="1" si="84"/>
        <v>1.5011639581202043</v>
      </c>
      <c r="D1372" s="101">
        <f t="shared" ca="1" si="85"/>
        <v>0.77055800876892266</v>
      </c>
      <c r="E1372" s="101">
        <f t="shared" ca="1" si="86"/>
        <v>0</v>
      </c>
      <c r="F1372" s="21">
        <f t="shared" ca="1" si="87"/>
        <v>0</v>
      </c>
      <c r="H1372" s="21">
        <v>1357</v>
      </c>
      <c r="I1372" s="102">
        <v>0.66797001782961674</v>
      </c>
      <c r="J1372" s="103">
        <v>1.7278101868006847E-3</v>
      </c>
      <c r="K1372" s="103"/>
      <c r="L1372" s="103">
        <v>4.5400000000000003E-2</v>
      </c>
      <c r="O1372" s="100"/>
    </row>
    <row r="1373" spans="2:15" x14ac:dyDescent="0.2">
      <c r="B1373" s="1">
        <v>1358</v>
      </c>
      <c r="C1373" s="101">
        <f t="shared" ca="1" si="84"/>
        <v>1.4528803919001461</v>
      </c>
      <c r="D1373" s="101">
        <f t="shared" ca="1" si="85"/>
        <v>0.76689675551870284</v>
      </c>
      <c r="E1373" s="101">
        <f t="shared" ca="1" si="86"/>
        <v>0</v>
      </c>
      <c r="F1373" s="21">
        <f t="shared" ca="1" si="87"/>
        <v>0</v>
      </c>
      <c r="H1373" s="21">
        <v>1358</v>
      </c>
      <c r="I1373" s="102">
        <v>0.66758056401099186</v>
      </c>
      <c r="J1373" s="103">
        <v>1.2967227497777648E-3</v>
      </c>
      <c r="K1373" s="103"/>
      <c r="L1373" s="103">
        <v>3.78E-2</v>
      </c>
      <c r="O1373" s="100"/>
    </row>
    <row r="1374" spans="2:15" x14ac:dyDescent="0.2">
      <c r="B1374" s="1">
        <v>1359</v>
      </c>
      <c r="C1374" s="101">
        <f t="shared" ca="1" si="84"/>
        <v>0.56896365125962556</v>
      </c>
      <c r="D1374" s="101">
        <f t="shared" ca="1" si="85"/>
        <v>0.70286262834296709</v>
      </c>
      <c r="E1374" s="101">
        <f t="shared" ca="1" si="86"/>
        <v>0</v>
      </c>
      <c r="F1374" s="21">
        <f t="shared" ca="1" si="87"/>
        <v>0</v>
      </c>
      <c r="H1374" s="21">
        <v>1359</v>
      </c>
      <c r="I1374" s="102">
        <v>0.66785148531535332</v>
      </c>
      <c r="J1374" s="103">
        <v>1.5153114008105231E-3</v>
      </c>
      <c r="K1374" s="103"/>
      <c r="L1374" s="103">
        <v>4.4999999999999998E-2</v>
      </c>
      <c r="O1374" s="100"/>
    </row>
    <row r="1375" spans="2:15" x14ac:dyDescent="0.2">
      <c r="B1375" s="1">
        <v>1360</v>
      </c>
      <c r="C1375" s="101">
        <f t="shared" ca="1" si="84"/>
        <v>1.6433252604830113</v>
      </c>
      <c r="D1375" s="101">
        <f t="shared" ca="1" si="85"/>
        <v>0.78143964597449245</v>
      </c>
      <c r="E1375" s="101">
        <f t="shared" ca="1" si="86"/>
        <v>0</v>
      </c>
      <c r="F1375" s="21">
        <f t="shared" ca="1" si="87"/>
        <v>0</v>
      </c>
      <c r="H1375" s="21">
        <v>1360</v>
      </c>
      <c r="I1375" s="102">
        <v>0.66771643058650132</v>
      </c>
      <c r="J1375" s="103">
        <v>1.4165831884774306E-3</v>
      </c>
      <c r="K1375" s="103"/>
      <c r="L1375" s="103">
        <v>4.3799999999999999E-2</v>
      </c>
      <c r="O1375" s="100"/>
    </row>
    <row r="1376" spans="2:15" x14ac:dyDescent="0.2">
      <c r="B1376" s="1">
        <v>1361</v>
      </c>
      <c r="C1376" s="101">
        <f t="shared" ca="1" si="84"/>
        <v>-0.37461716160043462</v>
      </c>
      <c r="D1376" s="101">
        <f t="shared" ca="1" si="85"/>
        <v>0.64039514673606679</v>
      </c>
      <c r="E1376" s="101">
        <f t="shared" ca="1" si="86"/>
        <v>0</v>
      </c>
      <c r="F1376" s="21">
        <f t="shared" ca="1" si="87"/>
        <v>0</v>
      </c>
      <c r="H1376" s="21">
        <v>1361</v>
      </c>
      <c r="I1376" s="102">
        <v>0.66766622630505712</v>
      </c>
      <c r="J1376" s="103">
        <v>1.4432596553075898E-3</v>
      </c>
      <c r="K1376" s="103"/>
      <c r="L1376" s="103">
        <v>4.02E-2</v>
      </c>
      <c r="O1376" s="100"/>
    </row>
    <row r="1377" spans="2:15" x14ac:dyDescent="0.2">
      <c r="B1377" s="1">
        <v>1362</v>
      </c>
      <c r="C1377" s="101">
        <f t="shared" ca="1" si="84"/>
        <v>0.47643822393379659</v>
      </c>
      <c r="D1377" s="101">
        <f t="shared" ca="1" si="85"/>
        <v>0.69647690508035665</v>
      </c>
      <c r="E1377" s="101">
        <f t="shared" ca="1" si="86"/>
        <v>0</v>
      </c>
      <c r="F1377" s="21">
        <f t="shared" ca="1" si="87"/>
        <v>0</v>
      </c>
      <c r="H1377" s="21">
        <v>1362</v>
      </c>
      <c r="I1377" s="102">
        <v>0.66769264727195232</v>
      </c>
      <c r="J1377" s="103">
        <v>1.3330103442895061E-3</v>
      </c>
      <c r="K1377" s="103"/>
      <c r="L1377" s="103">
        <v>3.7999999999999999E-2</v>
      </c>
      <c r="O1377" s="100"/>
    </row>
    <row r="1378" spans="2:15" x14ac:dyDescent="0.2">
      <c r="B1378" s="1">
        <v>1363</v>
      </c>
      <c r="C1378" s="101">
        <f t="shared" ca="1" si="84"/>
        <v>4.2818376497990432E-2</v>
      </c>
      <c r="D1378" s="101">
        <f t="shared" ca="1" si="85"/>
        <v>0.66731473254237705</v>
      </c>
      <c r="E1378" s="101">
        <f t="shared" ca="1" si="86"/>
        <v>0</v>
      </c>
      <c r="F1378" s="21">
        <f t="shared" ca="1" si="87"/>
        <v>0</v>
      </c>
      <c r="H1378" s="21">
        <v>1363</v>
      </c>
      <c r="I1378" s="102">
        <v>0.66772407828541502</v>
      </c>
      <c r="J1378" s="103">
        <v>1.4304350729020636E-3</v>
      </c>
      <c r="K1378" s="103"/>
      <c r="L1378" s="103">
        <v>4.2200000000000001E-2</v>
      </c>
      <c r="O1378" s="100"/>
    </row>
    <row r="1379" spans="2:15" x14ac:dyDescent="0.2">
      <c r="B1379" s="1">
        <v>1364</v>
      </c>
      <c r="C1379" s="101">
        <f t="shared" ca="1" si="84"/>
        <v>-1.4378569390985718</v>
      </c>
      <c r="D1379" s="101">
        <f t="shared" ca="1" si="85"/>
        <v>0.57663300330361444</v>
      </c>
      <c r="E1379" s="101">
        <f t="shared" ca="1" si="86"/>
        <v>0</v>
      </c>
      <c r="F1379" s="21">
        <f t="shared" ca="1" si="87"/>
        <v>0</v>
      </c>
      <c r="H1379" s="21">
        <v>1364</v>
      </c>
      <c r="I1379" s="102">
        <v>0.66765021087411747</v>
      </c>
      <c r="J1379" s="103">
        <v>1.2690951085646929E-3</v>
      </c>
      <c r="K1379" s="103"/>
      <c r="L1379" s="103">
        <v>3.8399999999999997E-2</v>
      </c>
      <c r="O1379" s="100"/>
    </row>
    <row r="1380" spans="2:15" x14ac:dyDescent="0.2">
      <c r="B1380" s="1">
        <v>1365</v>
      </c>
      <c r="C1380" s="101">
        <f t="shared" ca="1" si="84"/>
        <v>-0.82477612713213999</v>
      </c>
      <c r="D1380" s="101">
        <f t="shared" ca="1" si="85"/>
        <v>0.61258096745151935</v>
      </c>
      <c r="E1380" s="101">
        <f t="shared" ca="1" si="86"/>
        <v>0</v>
      </c>
      <c r="F1380" s="21">
        <f t="shared" ca="1" si="87"/>
        <v>0</v>
      </c>
      <c r="H1380" s="21">
        <v>1365</v>
      </c>
      <c r="I1380" s="102">
        <v>0.66785850133155511</v>
      </c>
      <c r="J1380" s="103">
        <v>1.3752839955260201E-3</v>
      </c>
      <c r="K1380" s="103"/>
      <c r="L1380" s="103">
        <v>3.9800000000000002E-2</v>
      </c>
      <c r="O1380" s="100"/>
    </row>
    <row r="1381" spans="2:15" x14ac:dyDescent="0.2">
      <c r="B1381" s="1">
        <v>1366</v>
      </c>
      <c r="C1381" s="101">
        <f t="shared" ca="1" si="84"/>
        <v>1.2822943547421106</v>
      </c>
      <c r="D1381" s="101">
        <f t="shared" ca="1" si="85"/>
        <v>0.7541002760355271</v>
      </c>
      <c r="E1381" s="101">
        <f t="shared" ca="1" si="86"/>
        <v>0</v>
      </c>
      <c r="F1381" s="21">
        <f t="shared" ca="1" si="87"/>
        <v>0</v>
      </c>
      <c r="H1381" s="21">
        <v>1366</v>
      </c>
      <c r="I1381" s="102">
        <v>0.6677157021615695</v>
      </c>
      <c r="J1381" s="103">
        <v>1.4372960997806417E-3</v>
      </c>
      <c r="K1381" s="103"/>
      <c r="L1381" s="103">
        <v>4.0599999999999997E-2</v>
      </c>
      <c r="O1381" s="100"/>
    </row>
    <row r="1382" spans="2:15" x14ac:dyDescent="0.2">
      <c r="B1382" s="1">
        <v>1367</v>
      </c>
      <c r="C1382" s="101">
        <f t="shared" ca="1" si="84"/>
        <v>-1.8470810706099174</v>
      </c>
      <c r="D1382" s="101">
        <f t="shared" ca="1" si="85"/>
        <v>0.55381993701544563</v>
      </c>
      <c r="E1382" s="101">
        <f t="shared" ca="1" si="86"/>
        <v>0</v>
      </c>
      <c r="F1382" s="21">
        <f t="shared" ca="1" si="87"/>
        <v>0</v>
      </c>
      <c r="H1382" s="21">
        <v>1367</v>
      </c>
      <c r="I1382" s="102">
        <v>0.66760092173070484</v>
      </c>
      <c r="J1382" s="103">
        <v>1.3211469090742816E-3</v>
      </c>
      <c r="K1382" s="103"/>
      <c r="L1382" s="103">
        <v>3.9399999999999998E-2</v>
      </c>
      <c r="O1382" s="100"/>
    </row>
    <row r="1383" spans="2:15" x14ac:dyDescent="0.2">
      <c r="B1383" s="1">
        <v>1368</v>
      </c>
      <c r="C1383" s="101">
        <f t="shared" ca="1" si="84"/>
        <v>1.8088730597092411</v>
      </c>
      <c r="D1383" s="101">
        <f t="shared" ca="1" si="85"/>
        <v>0.79430520204181432</v>
      </c>
      <c r="E1383" s="101">
        <f t="shared" ca="1" si="86"/>
        <v>6.105202041814306E-3</v>
      </c>
      <c r="F1383" s="21">
        <f t="shared" ca="1" si="87"/>
        <v>1</v>
      </c>
      <c r="H1383" s="21">
        <v>1368</v>
      </c>
      <c r="I1383" s="102">
        <v>0.66786462909052191</v>
      </c>
      <c r="J1383" s="103">
        <v>1.5464897715748E-3</v>
      </c>
      <c r="K1383" s="103"/>
      <c r="L1383" s="103">
        <v>4.4999999999999998E-2</v>
      </c>
      <c r="O1383" s="100"/>
    </row>
    <row r="1384" spans="2:15" x14ac:dyDescent="0.2">
      <c r="B1384" s="1">
        <v>1369</v>
      </c>
      <c r="C1384" s="101">
        <f t="shared" ca="1" si="84"/>
        <v>-0.88856109518318627</v>
      </c>
      <c r="D1384" s="101">
        <f t="shared" ca="1" si="85"/>
        <v>0.60873880959197946</v>
      </c>
      <c r="E1384" s="101">
        <f t="shared" ca="1" si="86"/>
        <v>0</v>
      </c>
      <c r="F1384" s="21">
        <f t="shared" ca="1" si="87"/>
        <v>0</v>
      </c>
      <c r="H1384" s="21">
        <v>1369</v>
      </c>
      <c r="I1384" s="102">
        <v>0.66787915918536556</v>
      </c>
      <c r="J1384" s="103">
        <v>1.3762007909936464E-3</v>
      </c>
      <c r="K1384" s="103"/>
      <c r="L1384" s="103">
        <v>4.4400000000000002E-2</v>
      </c>
      <c r="O1384" s="100"/>
    </row>
    <row r="1385" spans="2:15" x14ac:dyDescent="0.2">
      <c r="B1385" s="1">
        <v>1370</v>
      </c>
      <c r="C1385" s="101">
        <f t="shared" ca="1" si="84"/>
        <v>0.60261704085519974</v>
      </c>
      <c r="D1385" s="101">
        <f t="shared" ca="1" si="85"/>
        <v>0.70519973865018271</v>
      </c>
      <c r="E1385" s="101">
        <f t="shared" ca="1" si="86"/>
        <v>0</v>
      </c>
      <c r="F1385" s="21">
        <f t="shared" ca="1" si="87"/>
        <v>0</v>
      </c>
      <c r="H1385" s="21">
        <v>1370</v>
      </c>
      <c r="I1385" s="102">
        <v>0.66793053134603098</v>
      </c>
      <c r="J1385" s="103">
        <v>1.6663706148231541E-3</v>
      </c>
      <c r="K1385" s="103"/>
      <c r="L1385" s="103">
        <v>4.8800000000000003E-2</v>
      </c>
      <c r="O1385" s="100"/>
    </row>
    <row r="1386" spans="2:15" x14ac:dyDescent="0.2">
      <c r="B1386" s="1">
        <v>1371</v>
      </c>
      <c r="C1386" s="101">
        <f t="shared" ca="1" si="84"/>
        <v>-0.44902940532787139</v>
      </c>
      <c r="D1386" s="101">
        <f t="shared" ca="1" si="85"/>
        <v>0.63571177727077355</v>
      </c>
      <c r="E1386" s="101">
        <f t="shared" ca="1" si="86"/>
        <v>0</v>
      </c>
      <c r="F1386" s="21">
        <f t="shared" ca="1" si="87"/>
        <v>0</v>
      </c>
      <c r="H1386" s="21">
        <v>1371</v>
      </c>
      <c r="I1386" s="102">
        <v>0.66771183594889449</v>
      </c>
      <c r="J1386" s="103">
        <v>1.3111135758456399E-3</v>
      </c>
      <c r="K1386" s="103"/>
      <c r="L1386" s="103">
        <v>4.02E-2</v>
      </c>
      <c r="O1386" s="100"/>
    </row>
    <row r="1387" spans="2:15" x14ac:dyDescent="0.2">
      <c r="B1387" s="1">
        <v>1372</v>
      </c>
      <c r="C1387" s="101">
        <f t="shared" ca="1" si="84"/>
        <v>0.7408096130220071</v>
      </c>
      <c r="D1387" s="101">
        <f t="shared" ca="1" si="85"/>
        <v>0.71487848589192471</v>
      </c>
      <c r="E1387" s="101">
        <f t="shared" ca="1" si="86"/>
        <v>0</v>
      </c>
      <c r="F1387" s="21">
        <f t="shared" ca="1" si="87"/>
        <v>0</v>
      </c>
      <c r="H1387" s="21">
        <v>1372</v>
      </c>
      <c r="I1387" s="102">
        <v>0.66778188928839222</v>
      </c>
      <c r="J1387" s="103">
        <v>1.2807315590683071E-3</v>
      </c>
      <c r="K1387" s="103"/>
      <c r="L1387" s="103">
        <v>4.24E-2</v>
      </c>
      <c r="O1387" s="100"/>
    </row>
    <row r="1388" spans="2:15" x14ac:dyDescent="0.2">
      <c r="B1388" s="1">
        <v>1373</v>
      </c>
      <c r="C1388" s="101">
        <f t="shared" ca="1" si="84"/>
        <v>-1.3140839612963127</v>
      </c>
      <c r="D1388" s="101">
        <f t="shared" ca="1" si="85"/>
        <v>0.58371634368895797</v>
      </c>
      <c r="E1388" s="101">
        <f t="shared" ca="1" si="86"/>
        <v>0</v>
      </c>
      <c r="F1388" s="21">
        <f t="shared" ca="1" si="87"/>
        <v>0</v>
      </c>
      <c r="H1388" s="21">
        <v>1373</v>
      </c>
      <c r="I1388" s="102">
        <v>0.66773098915485174</v>
      </c>
      <c r="J1388" s="103">
        <v>1.3654954212833645E-3</v>
      </c>
      <c r="K1388" s="103"/>
      <c r="L1388" s="103">
        <v>4.6399999999999997E-2</v>
      </c>
      <c r="O1388" s="100"/>
    </row>
    <row r="1389" spans="2:15" x14ac:dyDescent="0.2">
      <c r="B1389" s="1">
        <v>1374</v>
      </c>
      <c r="C1389" s="101">
        <f t="shared" ca="1" si="84"/>
        <v>0.34618709927892116</v>
      </c>
      <c r="D1389" s="101">
        <f t="shared" ca="1" si="85"/>
        <v>0.68758570976312172</v>
      </c>
      <c r="E1389" s="101">
        <f t="shared" ca="1" si="86"/>
        <v>0</v>
      </c>
      <c r="F1389" s="21">
        <f t="shared" ca="1" si="87"/>
        <v>0</v>
      </c>
      <c r="H1389" s="21">
        <v>1374</v>
      </c>
      <c r="I1389" s="102">
        <v>0.66781747870735109</v>
      </c>
      <c r="J1389" s="103">
        <v>1.4841999169081846E-3</v>
      </c>
      <c r="K1389" s="103"/>
      <c r="L1389" s="103">
        <v>4.7399999999999998E-2</v>
      </c>
      <c r="O1389" s="100"/>
    </row>
    <row r="1390" spans="2:15" x14ac:dyDescent="0.2">
      <c r="B1390" s="1">
        <v>1375</v>
      </c>
      <c r="C1390" s="101">
        <f t="shared" ca="1" si="84"/>
        <v>4.2977757685601796E-2</v>
      </c>
      <c r="D1390" s="101">
        <f t="shared" ca="1" si="85"/>
        <v>0.66732522386122628</v>
      </c>
      <c r="E1390" s="101">
        <f t="shared" ca="1" si="86"/>
        <v>0</v>
      </c>
      <c r="F1390" s="21">
        <f t="shared" ca="1" si="87"/>
        <v>0</v>
      </c>
      <c r="H1390" s="21">
        <v>1375</v>
      </c>
      <c r="I1390" s="102">
        <v>0.66766467583134392</v>
      </c>
      <c r="J1390" s="103">
        <v>1.2377291227031997E-3</v>
      </c>
      <c r="K1390" s="103"/>
      <c r="L1390" s="103">
        <v>3.9800000000000002E-2</v>
      </c>
      <c r="O1390" s="100"/>
    </row>
    <row r="1391" spans="2:15" x14ac:dyDescent="0.2">
      <c r="B1391" s="1">
        <v>1376</v>
      </c>
      <c r="C1391" s="101">
        <f t="shared" ca="1" si="84"/>
        <v>1.8565522845703559</v>
      </c>
      <c r="D1391" s="101">
        <f t="shared" ca="1" si="85"/>
        <v>0.79804973078291119</v>
      </c>
      <c r="E1391" s="101">
        <f t="shared" ca="1" si="86"/>
        <v>9.8497307829111813E-3</v>
      </c>
      <c r="F1391" s="21">
        <f t="shared" ca="1" si="87"/>
        <v>1</v>
      </c>
      <c r="H1391" s="21">
        <v>1376</v>
      </c>
      <c r="I1391" s="102">
        <v>0.66773514152608227</v>
      </c>
      <c r="J1391" s="103">
        <v>1.2423401742782097E-3</v>
      </c>
      <c r="K1391" s="103"/>
      <c r="L1391" s="103">
        <v>3.9199999999999999E-2</v>
      </c>
      <c r="O1391" s="100"/>
    </row>
    <row r="1392" spans="2:15" x14ac:dyDescent="0.2">
      <c r="B1392" s="1">
        <v>1377</v>
      </c>
      <c r="C1392" s="101">
        <f t="shared" ca="1" si="84"/>
        <v>-0.11744397112777809</v>
      </c>
      <c r="D1392" s="101">
        <f t="shared" ca="1" si="85"/>
        <v>0.65684844008145704</v>
      </c>
      <c r="E1392" s="101">
        <f t="shared" ca="1" si="86"/>
        <v>0</v>
      </c>
      <c r="F1392" s="21">
        <f t="shared" ca="1" si="87"/>
        <v>0</v>
      </c>
      <c r="H1392" s="21">
        <v>1377</v>
      </c>
      <c r="I1392" s="102">
        <v>0.66774685094090458</v>
      </c>
      <c r="J1392" s="103">
        <v>1.3681980411043078E-3</v>
      </c>
      <c r="K1392" s="103"/>
      <c r="L1392" s="103">
        <v>4.2799999999999998E-2</v>
      </c>
      <c r="O1392" s="100"/>
    </row>
    <row r="1393" spans="2:15" x14ac:dyDescent="0.2">
      <c r="B1393" s="1">
        <v>1378</v>
      </c>
      <c r="C1393" s="101">
        <f t="shared" ca="1" si="84"/>
        <v>1.7848760080804513</v>
      </c>
      <c r="D1393" s="101">
        <f t="shared" ca="1" si="85"/>
        <v>0.79242722497154061</v>
      </c>
      <c r="E1393" s="101">
        <f t="shared" ca="1" si="86"/>
        <v>4.2272249715405996E-3</v>
      </c>
      <c r="F1393" s="21">
        <f t="shared" ca="1" si="87"/>
        <v>1</v>
      </c>
      <c r="H1393" s="21">
        <v>1378</v>
      </c>
      <c r="I1393" s="102">
        <v>0.66769382204905092</v>
      </c>
      <c r="J1393" s="103">
        <v>1.3466212643441938E-3</v>
      </c>
      <c r="K1393" s="103"/>
      <c r="L1393" s="103">
        <v>4.2799999999999998E-2</v>
      </c>
      <c r="O1393" s="100"/>
    </row>
    <row r="1394" spans="2:15" x14ac:dyDescent="0.2">
      <c r="B1394" s="1">
        <v>1379</v>
      </c>
      <c r="C1394" s="101">
        <f t="shared" ca="1" si="84"/>
        <v>-1.1595249938622469</v>
      </c>
      <c r="D1394" s="101">
        <f t="shared" ca="1" si="85"/>
        <v>0.59268381040315998</v>
      </c>
      <c r="E1394" s="101">
        <f t="shared" ca="1" si="86"/>
        <v>0</v>
      </c>
      <c r="F1394" s="21">
        <f t="shared" ca="1" si="87"/>
        <v>0</v>
      </c>
      <c r="H1394" s="21">
        <v>1379</v>
      </c>
      <c r="I1394" s="102">
        <v>0.66788565276653977</v>
      </c>
      <c r="J1394" s="103">
        <v>1.6948555007934441E-3</v>
      </c>
      <c r="K1394" s="103"/>
      <c r="L1394" s="103">
        <v>4.8000000000000001E-2</v>
      </c>
      <c r="O1394" s="100"/>
    </row>
    <row r="1395" spans="2:15" x14ac:dyDescent="0.2">
      <c r="B1395" s="1">
        <v>1380</v>
      </c>
      <c r="C1395" s="101">
        <f t="shared" ca="1" si="84"/>
        <v>-0.44570483391027327</v>
      </c>
      <c r="D1395" s="101">
        <f t="shared" ca="1" si="85"/>
        <v>0.63592028686253876</v>
      </c>
      <c r="E1395" s="101">
        <f t="shared" ca="1" si="86"/>
        <v>0</v>
      </c>
      <c r="F1395" s="21">
        <f t="shared" ca="1" si="87"/>
        <v>0</v>
      </c>
      <c r="H1395" s="21">
        <v>1380</v>
      </c>
      <c r="I1395" s="102">
        <v>0.6676819233096829</v>
      </c>
      <c r="J1395" s="103">
        <v>1.3981182984946394E-3</v>
      </c>
      <c r="K1395" s="103"/>
      <c r="L1395" s="103">
        <v>4.2799999999999998E-2</v>
      </c>
      <c r="O1395" s="100"/>
    </row>
    <row r="1396" spans="2:15" x14ac:dyDescent="0.2">
      <c r="B1396" s="1">
        <v>1381</v>
      </c>
      <c r="C1396" s="101">
        <f t="shared" ca="1" si="84"/>
        <v>0.72695096852357288</v>
      </c>
      <c r="D1396" s="101">
        <f t="shared" ca="1" si="85"/>
        <v>0.71390188960608969</v>
      </c>
      <c r="E1396" s="101">
        <f t="shared" ca="1" si="86"/>
        <v>0</v>
      </c>
      <c r="F1396" s="21">
        <f t="shared" ca="1" si="87"/>
        <v>0</v>
      </c>
      <c r="H1396" s="21">
        <v>1381</v>
      </c>
      <c r="I1396" s="102">
        <v>0.6677832344601845</v>
      </c>
      <c r="J1396" s="103">
        <v>1.4723103507458279E-3</v>
      </c>
      <c r="K1396" s="103"/>
      <c r="L1396" s="103">
        <v>4.36E-2</v>
      </c>
      <c r="O1396" s="100"/>
    </row>
    <row r="1397" spans="2:15" x14ac:dyDescent="0.2">
      <c r="B1397" s="1">
        <v>1382</v>
      </c>
      <c r="C1397" s="101">
        <f t="shared" ca="1" si="84"/>
        <v>0.47123117499349709</v>
      </c>
      <c r="D1397" s="101">
        <f t="shared" ca="1" si="85"/>
        <v>0.6961192653559285</v>
      </c>
      <c r="E1397" s="101">
        <f t="shared" ca="1" si="86"/>
        <v>0</v>
      </c>
      <c r="F1397" s="21">
        <f t="shared" ca="1" si="87"/>
        <v>0</v>
      </c>
      <c r="H1397" s="21">
        <v>1382</v>
      </c>
      <c r="I1397" s="102">
        <v>0.66761529790707641</v>
      </c>
      <c r="J1397" s="103">
        <v>1.3549417096335946E-3</v>
      </c>
      <c r="K1397" s="103"/>
      <c r="L1397" s="103">
        <v>3.8600000000000002E-2</v>
      </c>
      <c r="O1397" s="100"/>
    </row>
    <row r="1398" spans="2:15" x14ac:dyDescent="0.2">
      <c r="B1398" s="1">
        <v>1383</v>
      </c>
      <c r="C1398" s="101">
        <f t="shared" ca="1" si="84"/>
        <v>0.52625105597684063</v>
      </c>
      <c r="D1398" s="101">
        <f t="shared" ca="1" si="85"/>
        <v>0.69990753812630857</v>
      </c>
      <c r="E1398" s="101">
        <f t="shared" ca="1" si="86"/>
        <v>0</v>
      </c>
      <c r="F1398" s="21">
        <f t="shared" ca="1" si="87"/>
        <v>0</v>
      </c>
      <c r="H1398" s="21">
        <v>1383</v>
      </c>
      <c r="I1398" s="102">
        <v>0.66777155614338124</v>
      </c>
      <c r="J1398" s="103">
        <v>1.4085384665962935E-3</v>
      </c>
      <c r="K1398" s="103"/>
      <c r="L1398" s="103">
        <v>4.3999999999999997E-2</v>
      </c>
      <c r="O1398" s="100"/>
    </row>
    <row r="1399" spans="2:15" x14ac:dyDescent="0.2">
      <c r="B1399" s="1">
        <v>1384</v>
      </c>
      <c r="C1399" s="101">
        <f t="shared" ca="1" si="84"/>
        <v>-0.13492949259182135</v>
      </c>
      <c r="D1399" s="101">
        <f t="shared" ca="1" si="85"/>
        <v>0.65571648763740531</v>
      </c>
      <c r="E1399" s="101">
        <f t="shared" ca="1" si="86"/>
        <v>0</v>
      </c>
      <c r="F1399" s="21">
        <f t="shared" ca="1" si="87"/>
        <v>0</v>
      </c>
      <c r="H1399" s="21">
        <v>1384</v>
      </c>
      <c r="I1399" s="102">
        <v>0.66758136846700933</v>
      </c>
      <c r="J1399" s="103">
        <v>1.2038693504724872E-3</v>
      </c>
      <c r="K1399" s="103"/>
      <c r="L1399" s="103">
        <v>3.6799999999999999E-2</v>
      </c>
      <c r="O1399" s="100"/>
    </row>
    <row r="1400" spans="2:15" x14ac:dyDescent="0.2">
      <c r="B1400" s="1">
        <v>1385</v>
      </c>
      <c r="C1400" s="101">
        <f t="shared" ca="1" si="84"/>
        <v>-0.36174081677121439</v>
      </c>
      <c r="D1400" s="101">
        <f t="shared" ca="1" si="85"/>
        <v>0.64120905483070056</v>
      </c>
      <c r="E1400" s="101">
        <f t="shared" ca="1" si="86"/>
        <v>0</v>
      </c>
      <c r="F1400" s="21">
        <f t="shared" ca="1" si="87"/>
        <v>0</v>
      </c>
      <c r="H1400" s="21">
        <v>1385</v>
      </c>
      <c r="I1400" s="102">
        <v>0.66775486719631549</v>
      </c>
      <c r="J1400" s="103">
        <v>1.4052945567530448E-3</v>
      </c>
      <c r="K1400" s="103"/>
      <c r="L1400" s="103">
        <v>4.0800000000000003E-2</v>
      </c>
      <c r="O1400" s="100"/>
    </row>
    <row r="1401" spans="2:15" x14ac:dyDescent="0.2">
      <c r="B1401" s="1">
        <v>1386</v>
      </c>
      <c r="C1401" s="101">
        <f t="shared" ca="1" si="84"/>
        <v>-0.92264019970707101</v>
      </c>
      <c r="D1401" s="101">
        <f t="shared" ca="1" si="85"/>
        <v>0.60669590395642192</v>
      </c>
      <c r="E1401" s="101">
        <f t="shared" ca="1" si="86"/>
        <v>0</v>
      </c>
      <c r="F1401" s="21">
        <f t="shared" ca="1" si="87"/>
        <v>0</v>
      </c>
      <c r="H1401" s="21">
        <v>1386</v>
      </c>
      <c r="I1401" s="102">
        <v>0.66756178247507592</v>
      </c>
      <c r="J1401" s="103">
        <v>1.2180340261405272E-3</v>
      </c>
      <c r="K1401" s="103"/>
      <c r="L1401" s="103">
        <v>3.4200000000000001E-2</v>
      </c>
      <c r="O1401" s="100"/>
    </row>
    <row r="1402" spans="2:15" x14ac:dyDescent="0.2">
      <c r="B1402" s="1">
        <v>1387</v>
      </c>
      <c r="C1402" s="101">
        <f t="shared" ca="1" si="84"/>
        <v>-0.83302094542275062</v>
      </c>
      <c r="D1402" s="101">
        <f t="shared" ca="1" si="85"/>
        <v>0.61208297025358882</v>
      </c>
      <c r="E1402" s="101">
        <f t="shared" ca="1" si="86"/>
        <v>0</v>
      </c>
      <c r="F1402" s="21">
        <f t="shared" ca="1" si="87"/>
        <v>0</v>
      </c>
      <c r="H1402" s="21">
        <v>1387</v>
      </c>
      <c r="I1402" s="102">
        <v>0.66777747959033928</v>
      </c>
      <c r="J1402" s="103">
        <v>1.5412446965566025E-3</v>
      </c>
      <c r="K1402" s="103"/>
      <c r="L1402" s="103">
        <v>3.9800000000000002E-2</v>
      </c>
      <c r="O1402" s="100"/>
    </row>
    <row r="1403" spans="2:15" x14ac:dyDescent="0.2">
      <c r="B1403" s="1">
        <v>1388</v>
      </c>
      <c r="C1403" s="101">
        <f t="shared" ca="1" si="84"/>
        <v>-0.42987369235183209</v>
      </c>
      <c r="D1403" s="101">
        <f t="shared" ca="1" si="85"/>
        <v>0.63691411881405846</v>
      </c>
      <c r="E1403" s="101">
        <f t="shared" ca="1" si="86"/>
        <v>0</v>
      </c>
      <c r="F1403" s="21">
        <f t="shared" ca="1" si="87"/>
        <v>0</v>
      </c>
      <c r="H1403" s="21">
        <v>1388</v>
      </c>
      <c r="I1403" s="102">
        <v>0.66752151419421757</v>
      </c>
      <c r="J1403" s="103">
        <v>1.0915458862338324E-3</v>
      </c>
      <c r="K1403" s="103"/>
      <c r="L1403" s="103">
        <v>3.8800000000000001E-2</v>
      </c>
      <c r="O1403" s="100"/>
    </row>
    <row r="1404" spans="2:15" x14ac:dyDescent="0.2">
      <c r="B1404" s="1">
        <v>1389</v>
      </c>
      <c r="C1404" s="101">
        <f t="shared" ca="1" si="84"/>
        <v>-1.1908179574096553</v>
      </c>
      <c r="D1404" s="101">
        <f t="shared" ca="1" si="85"/>
        <v>0.59085714692370783</v>
      </c>
      <c r="E1404" s="101">
        <f t="shared" ca="1" si="86"/>
        <v>0</v>
      </c>
      <c r="F1404" s="21">
        <f t="shared" ca="1" si="87"/>
        <v>0</v>
      </c>
      <c r="H1404" s="21">
        <v>1389</v>
      </c>
      <c r="I1404" s="102">
        <v>0.66758866811480633</v>
      </c>
      <c r="J1404" s="103">
        <v>1.1912882991808888E-3</v>
      </c>
      <c r="K1404" s="103"/>
      <c r="L1404" s="103">
        <v>3.9E-2</v>
      </c>
      <c r="O1404" s="100"/>
    </row>
    <row r="1405" spans="2:15" x14ac:dyDescent="0.2">
      <c r="B1405" s="1">
        <v>1390</v>
      </c>
      <c r="C1405" s="101">
        <f t="shared" ca="1" si="84"/>
        <v>-1.2745972030099786</v>
      </c>
      <c r="D1405" s="101">
        <f t="shared" ca="1" si="85"/>
        <v>0.58599436773536528</v>
      </c>
      <c r="E1405" s="101">
        <f t="shared" ca="1" si="86"/>
        <v>0</v>
      </c>
      <c r="F1405" s="21">
        <f t="shared" ca="1" si="87"/>
        <v>0</v>
      </c>
      <c r="H1405" s="21">
        <v>1390</v>
      </c>
      <c r="I1405" s="102">
        <v>0.66769008670649899</v>
      </c>
      <c r="J1405" s="103">
        <v>1.2794367917446968E-3</v>
      </c>
      <c r="K1405" s="103"/>
      <c r="L1405" s="103">
        <v>4.0800000000000003E-2</v>
      </c>
      <c r="O1405" s="100"/>
    </row>
    <row r="1406" spans="2:15" x14ac:dyDescent="0.2">
      <c r="B1406" s="1">
        <v>1391</v>
      </c>
      <c r="C1406" s="101">
        <f t="shared" ca="1" si="84"/>
        <v>-7.3280014320398056E-3</v>
      </c>
      <c r="D1406" s="101">
        <f t="shared" ca="1" si="85"/>
        <v>0.66402200720224192</v>
      </c>
      <c r="E1406" s="101">
        <f t="shared" ca="1" si="86"/>
        <v>0</v>
      </c>
      <c r="F1406" s="21">
        <f t="shared" ca="1" si="87"/>
        <v>0</v>
      </c>
      <c r="H1406" s="21">
        <v>1391</v>
      </c>
      <c r="I1406" s="102">
        <v>0.66781320746377126</v>
      </c>
      <c r="J1406" s="103">
        <v>1.4736329850896914E-3</v>
      </c>
      <c r="K1406" s="103"/>
      <c r="L1406" s="103">
        <v>4.5400000000000003E-2</v>
      </c>
      <c r="O1406" s="100"/>
    </row>
    <row r="1407" spans="2:15" x14ac:dyDescent="0.2">
      <c r="B1407" s="1">
        <v>1392</v>
      </c>
      <c r="C1407" s="101">
        <f t="shared" ca="1" si="84"/>
        <v>7.7736214806352386E-2</v>
      </c>
      <c r="D1407" s="101">
        <f t="shared" ca="1" si="85"/>
        <v>0.66961715550155021</v>
      </c>
      <c r="E1407" s="101">
        <f t="shared" ca="1" si="86"/>
        <v>0</v>
      </c>
      <c r="F1407" s="21">
        <f t="shared" ca="1" si="87"/>
        <v>0</v>
      </c>
      <c r="H1407" s="21">
        <v>1392</v>
      </c>
      <c r="I1407" s="102">
        <v>0.66773646686822208</v>
      </c>
      <c r="J1407" s="103">
        <v>1.3714519318109798E-3</v>
      </c>
      <c r="K1407" s="103"/>
      <c r="L1407" s="103">
        <v>3.9600000000000003E-2</v>
      </c>
      <c r="O1407" s="100"/>
    </row>
    <row r="1408" spans="2:15" x14ac:dyDescent="0.2">
      <c r="B1408" s="1">
        <v>1393</v>
      </c>
      <c r="C1408" s="101">
        <f t="shared" ca="1" si="84"/>
        <v>-0.69852204096576731</v>
      </c>
      <c r="D1408" s="101">
        <f t="shared" ca="1" si="85"/>
        <v>0.6202576745935332</v>
      </c>
      <c r="E1408" s="101">
        <f t="shared" ca="1" si="86"/>
        <v>0</v>
      </c>
      <c r="F1408" s="21">
        <f t="shared" ca="1" si="87"/>
        <v>0</v>
      </c>
      <c r="H1408" s="21">
        <v>1393</v>
      </c>
      <c r="I1408" s="102">
        <v>0.6676968583321925</v>
      </c>
      <c r="J1408" s="103">
        <v>1.2627783923590305E-3</v>
      </c>
      <c r="K1408" s="103"/>
      <c r="L1408" s="103">
        <v>4.24E-2</v>
      </c>
      <c r="O1408" s="100"/>
    </row>
    <row r="1409" spans="2:15" x14ac:dyDescent="0.2">
      <c r="B1409" s="1">
        <v>1394</v>
      </c>
      <c r="C1409" s="101">
        <f t="shared" ca="1" si="84"/>
        <v>0.11409708299125314</v>
      </c>
      <c r="D1409" s="101">
        <f t="shared" ca="1" si="85"/>
        <v>0.67202317303582448</v>
      </c>
      <c r="E1409" s="101">
        <f t="shared" ca="1" si="86"/>
        <v>0</v>
      </c>
      <c r="F1409" s="21">
        <f t="shared" ca="1" si="87"/>
        <v>0</v>
      </c>
      <c r="H1409" s="21">
        <v>1394</v>
      </c>
      <c r="I1409" s="102">
        <v>0.66776837745887463</v>
      </c>
      <c r="J1409" s="103">
        <v>1.35029464095721E-3</v>
      </c>
      <c r="K1409" s="103"/>
      <c r="L1409" s="103">
        <v>4.1599999999999998E-2</v>
      </c>
      <c r="O1409" s="100"/>
    </row>
    <row r="1410" spans="2:15" x14ac:dyDescent="0.2">
      <c r="B1410" s="1">
        <v>1395</v>
      </c>
      <c r="C1410" s="101">
        <f t="shared" ca="1" si="84"/>
        <v>0.83751067129314694</v>
      </c>
      <c r="D1410" s="101">
        <f t="shared" ca="1" si="85"/>
        <v>0.72173013807216291</v>
      </c>
      <c r="E1410" s="101">
        <f t="shared" ca="1" si="86"/>
        <v>0</v>
      </c>
      <c r="F1410" s="21">
        <f t="shared" ca="1" si="87"/>
        <v>0</v>
      </c>
      <c r="H1410" s="21">
        <v>1395</v>
      </c>
      <c r="I1410" s="102">
        <v>0.66763683582675482</v>
      </c>
      <c r="J1410" s="103">
        <v>1.2112905457392288E-3</v>
      </c>
      <c r="K1410" s="103"/>
      <c r="L1410" s="103">
        <v>3.8800000000000001E-2</v>
      </c>
      <c r="O1410" s="100"/>
    </row>
    <row r="1411" spans="2:15" x14ac:dyDescent="0.2">
      <c r="B1411" s="1">
        <v>1396</v>
      </c>
      <c r="C1411" s="101">
        <f t="shared" ca="1" si="84"/>
        <v>1.1944500227175339</v>
      </c>
      <c r="D1411" s="101">
        <f t="shared" ca="1" si="85"/>
        <v>0.74759416448256943</v>
      </c>
      <c r="E1411" s="101">
        <f t="shared" ca="1" si="86"/>
        <v>0</v>
      </c>
      <c r="F1411" s="21">
        <f t="shared" ca="1" si="87"/>
        <v>0</v>
      </c>
      <c r="H1411" s="21">
        <v>1396</v>
      </c>
      <c r="I1411" s="102">
        <v>0.66757951170836594</v>
      </c>
      <c r="J1411" s="103">
        <v>1.2168340485286904E-3</v>
      </c>
      <c r="K1411" s="103"/>
      <c r="L1411" s="103">
        <v>3.8199999999999998E-2</v>
      </c>
      <c r="O1411" s="100"/>
    </row>
    <row r="1412" spans="2:15" x14ac:dyDescent="0.2">
      <c r="B1412" s="1">
        <v>1397</v>
      </c>
      <c r="C1412" s="101">
        <f t="shared" ca="1" si="84"/>
        <v>8.3441111195082587E-2</v>
      </c>
      <c r="D1412" s="101">
        <f t="shared" ca="1" si="85"/>
        <v>0.66999408092938728</v>
      </c>
      <c r="E1412" s="101">
        <f t="shared" ca="1" si="86"/>
        <v>0</v>
      </c>
      <c r="F1412" s="21">
        <f t="shared" ca="1" si="87"/>
        <v>0</v>
      </c>
      <c r="H1412" s="21">
        <v>1397</v>
      </c>
      <c r="I1412" s="102">
        <v>0.66783121593557304</v>
      </c>
      <c r="J1412" s="103">
        <v>1.4282861231781452E-3</v>
      </c>
      <c r="K1412" s="103"/>
      <c r="L1412" s="103">
        <v>4.1399999999999999E-2</v>
      </c>
      <c r="O1412" s="100"/>
    </row>
    <row r="1413" spans="2:15" x14ac:dyDescent="0.2">
      <c r="B1413" s="1">
        <v>1398</v>
      </c>
      <c r="C1413" s="101">
        <f t="shared" ca="1" si="84"/>
        <v>-3.5500475382677893E-2</v>
      </c>
      <c r="D1413" s="101">
        <f t="shared" ca="1" si="85"/>
        <v>0.66217927148467015</v>
      </c>
      <c r="E1413" s="101">
        <f t="shared" ca="1" si="86"/>
        <v>0</v>
      </c>
      <c r="F1413" s="21">
        <f t="shared" ca="1" si="87"/>
        <v>0</v>
      </c>
      <c r="H1413" s="21">
        <v>1398</v>
      </c>
      <c r="I1413" s="102">
        <v>0.66771451466428466</v>
      </c>
      <c r="J1413" s="103">
        <v>1.2573015224093054E-3</v>
      </c>
      <c r="K1413" s="103"/>
      <c r="L1413" s="103">
        <v>3.8800000000000001E-2</v>
      </c>
      <c r="O1413" s="100"/>
    </row>
    <row r="1414" spans="2:15" x14ac:dyDescent="0.2">
      <c r="B1414" s="1">
        <v>1399</v>
      </c>
      <c r="C1414" s="101">
        <f t="shared" ca="1" si="84"/>
        <v>0.14153988417447949</v>
      </c>
      <c r="D1414" s="101">
        <f t="shared" ca="1" si="85"/>
        <v>0.67384480038399308</v>
      </c>
      <c r="E1414" s="101">
        <f t="shared" ca="1" si="86"/>
        <v>0</v>
      </c>
      <c r="F1414" s="21">
        <f t="shared" ca="1" si="87"/>
        <v>0</v>
      </c>
      <c r="H1414" s="21">
        <v>1399</v>
      </c>
      <c r="I1414" s="102">
        <v>0.66769901458629843</v>
      </c>
      <c r="J1414" s="103">
        <v>1.2534412014805327E-3</v>
      </c>
      <c r="K1414" s="103"/>
      <c r="L1414" s="103">
        <v>3.8600000000000002E-2</v>
      </c>
      <c r="O1414" s="100"/>
    </row>
    <row r="1415" spans="2:15" x14ac:dyDescent="0.2">
      <c r="B1415" s="1">
        <v>1400</v>
      </c>
      <c r="C1415" s="101">
        <f t="shared" ca="1" si="84"/>
        <v>0.54998181434836702</v>
      </c>
      <c r="D1415" s="101">
        <f t="shared" ca="1" si="85"/>
        <v>0.70154782418475892</v>
      </c>
      <c r="E1415" s="101">
        <f t="shared" ca="1" si="86"/>
        <v>0</v>
      </c>
      <c r="F1415" s="21">
        <f t="shared" ca="1" si="87"/>
        <v>0</v>
      </c>
      <c r="H1415" s="21">
        <v>1400</v>
      </c>
      <c r="I1415" s="102">
        <v>0.66794997204627471</v>
      </c>
      <c r="J1415" s="103">
        <v>1.602136825354015E-3</v>
      </c>
      <c r="K1415" s="103"/>
      <c r="L1415" s="103">
        <v>4.2799999999999998E-2</v>
      </c>
      <c r="O1415" s="100"/>
    </row>
    <row r="1416" spans="2:15" x14ac:dyDescent="0.2">
      <c r="B1416" s="1">
        <v>1401</v>
      </c>
      <c r="C1416" s="101">
        <f t="shared" ca="1" si="84"/>
        <v>1.6037178912657921</v>
      </c>
      <c r="D1416" s="101">
        <f t="shared" ca="1" si="85"/>
        <v>0.77839257733614808</v>
      </c>
      <c r="E1416" s="101">
        <f t="shared" ca="1" si="86"/>
        <v>0</v>
      </c>
      <c r="F1416" s="21">
        <f t="shared" ca="1" si="87"/>
        <v>0</v>
      </c>
      <c r="H1416" s="21">
        <v>1401</v>
      </c>
      <c r="I1416" s="102">
        <v>0.66780756446525313</v>
      </c>
      <c r="J1416" s="103">
        <v>1.4633969092786208E-3</v>
      </c>
      <c r="K1416" s="103"/>
      <c r="L1416" s="103">
        <v>4.2999999999999997E-2</v>
      </c>
      <c r="O1416" s="100"/>
    </row>
    <row r="1417" spans="2:15" x14ac:dyDescent="0.2">
      <c r="B1417" s="1">
        <v>1402</v>
      </c>
      <c r="C1417" s="101">
        <f t="shared" ca="1" si="84"/>
        <v>-2.0354725376533422</v>
      </c>
      <c r="D1417" s="101">
        <f t="shared" ca="1" si="85"/>
        <v>0.54362323620496289</v>
      </c>
      <c r="E1417" s="101">
        <f t="shared" ca="1" si="86"/>
        <v>0</v>
      </c>
      <c r="F1417" s="21">
        <f t="shared" ca="1" si="87"/>
        <v>0</v>
      </c>
      <c r="H1417" s="21">
        <v>1402</v>
      </c>
      <c r="I1417" s="102">
        <v>0.66769340168432223</v>
      </c>
      <c r="J1417" s="103">
        <v>1.3514602445754446E-3</v>
      </c>
      <c r="K1417" s="103"/>
      <c r="L1417" s="103">
        <v>3.9600000000000003E-2</v>
      </c>
      <c r="O1417" s="100"/>
    </row>
    <row r="1418" spans="2:15" x14ac:dyDescent="0.2">
      <c r="B1418" s="1">
        <v>1403</v>
      </c>
      <c r="C1418" s="101">
        <f t="shared" ca="1" si="84"/>
        <v>-0.91232085641169691</v>
      </c>
      <c r="D1418" s="101">
        <f t="shared" ca="1" si="85"/>
        <v>0.60731378245117562</v>
      </c>
      <c r="E1418" s="101">
        <f t="shared" ca="1" si="86"/>
        <v>0</v>
      </c>
      <c r="F1418" s="21">
        <f t="shared" ca="1" si="87"/>
        <v>0</v>
      </c>
      <c r="H1418" s="21">
        <v>1403</v>
      </c>
      <c r="I1418" s="102">
        <v>0.66778443765363416</v>
      </c>
      <c r="J1418" s="103">
        <v>1.4168858668499385E-3</v>
      </c>
      <c r="K1418" s="103"/>
      <c r="L1418" s="103">
        <v>4.2999999999999997E-2</v>
      </c>
      <c r="O1418" s="100"/>
    </row>
    <row r="1419" spans="2:15" x14ac:dyDescent="0.2">
      <c r="B1419" s="1">
        <v>1404</v>
      </c>
      <c r="C1419" s="101">
        <f t="shared" ca="1" si="84"/>
        <v>-0.34835723822879938</v>
      </c>
      <c r="D1419" s="101">
        <f t="shared" ca="1" si="85"/>
        <v>0.64205612132368239</v>
      </c>
      <c r="E1419" s="101">
        <f t="shared" ca="1" si="86"/>
        <v>0</v>
      </c>
      <c r="F1419" s="21">
        <f t="shared" ca="1" si="87"/>
        <v>0</v>
      </c>
      <c r="H1419" s="21">
        <v>1404</v>
      </c>
      <c r="I1419" s="102">
        <v>0.66784044343363225</v>
      </c>
      <c r="J1419" s="103">
        <v>1.4945201297160574E-3</v>
      </c>
      <c r="K1419" s="103"/>
      <c r="L1419" s="103">
        <v>4.4600000000000001E-2</v>
      </c>
      <c r="O1419" s="100"/>
    </row>
    <row r="1420" spans="2:15" x14ac:dyDescent="0.2">
      <c r="B1420" s="1">
        <v>1405</v>
      </c>
      <c r="C1420" s="101">
        <f t="shared" ca="1" si="84"/>
        <v>1.6107479528701834</v>
      </c>
      <c r="D1420" s="101">
        <f t="shared" ca="1" si="85"/>
        <v>0.77893254444677473</v>
      </c>
      <c r="E1420" s="101">
        <f t="shared" ca="1" si="86"/>
        <v>0</v>
      </c>
      <c r="F1420" s="21">
        <f t="shared" ca="1" si="87"/>
        <v>0</v>
      </c>
      <c r="H1420" s="21">
        <v>1405</v>
      </c>
      <c r="I1420" s="102">
        <v>0.66774136246805282</v>
      </c>
      <c r="J1420" s="103">
        <v>1.2947075857083503E-3</v>
      </c>
      <c r="K1420" s="103"/>
      <c r="L1420" s="103">
        <v>4.1000000000000002E-2</v>
      </c>
      <c r="O1420" s="100"/>
    </row>
    <row r="1421" spans="2:15" x14ac:dyDescent="0.2">
      <c r="B1421" s="1">
        <v>1406</v>
      </c>
      <c r="C1421" s="101">
        <f t="shared" ca="1" si="84"/>
        <v>1.0743638860849021</v>
      </c>
      <c r="D1421" s="101">
        <f t="shared" ca="1" si="85"/>
        <v>0.73879081369543909</v>
      </c>
      <c r="E1421" s="101">
        <f t="shared" ca="1" si="86"/>
        <v>0</v>
      </c>
      <c r="F1421" s="21">
        <f t="shared" ca="1" si="87"/>
        <v>0</v>
      </c>
      <c r="H1421" s="21">
        <v>1406</v>
      </c>
      <c r="I1421" s="102">
        <v>0.66774303904728283</v>
      </c>
      <c r="J1421" s="103">
        <v>1.4676727611052727E-3</v>
      </c>
      <c r="K1421" s="103"/>
      <c r="L1421" s="103">
        <v>4.02E-2</v>
      </c>
      <c r="O1421" s="100"/>
    </row>
    <row r="1422" spans="2:15" x14ac:dyDescent="0.2">
      <c r="B1422" s="1">
        <v>1407</v>
      </c>
      <c r="C1422" s="101">
        <f t="shared" ca="1" si="84"/>
        <v>-3.7886523408826055E-2</v>
      </c>
      <c r="D1422" s="101">
        <f t="shared" ca="1" si="85"/>
        <v>0.6620234373636098</v>
      </c>
      <c r="E1422" s="101">
        <f t="shared" ca="1" si="86"/>
        <v>0</v>
      </c>
      <c r="F1422" s="21">
        <f t="shared" ca="1" si="87"/>
        <v>0</v>
      </c>
      <c r="H1422" s="21">
        <v>1407</v>
      </c>
      <c r="I1422" s="102">
        <v>0.66777009195588222</v>
      </c>
      <c r="J1422" s="103">
        <v>1.3122311314608679E-3</v>
      </c>
      <c r="K1422" s="103"/>
      <c r="L1422" s="103">
        <v>3.9800000000000002E-2</v>
      </c>
      <c r="O1422" s="100"/>
    </row>
    <row r="1423" spans="2:15" x14ac:dyDescent="0.2">
      <c r="B1423" s="1">
        <v>1408</v>
      </c>
      <c r="C1423" s="101">
        <f t="shared" ca="1" si="84"/>
        <v>1.6061097587938127</v>
      </c>
      <c r="D1423" s="101">
        <f t="shared" ca="1" si="85"/>
        <v>0.7785762506000351</v>
      </c>
      <c r="E1423" s="101">
        <f t="shared" ca="1" si="86"/>
        <v>0</v>
      </c>
      <c r="F1423" s="21">
        <f t="shared" ca="1" si="87"/>
        <v>0</v>
      </c>
      <c r="H1423" s="21">
        <v>1408</v>
      </c>
      <c r="I1423" s="102">
        <v>0.66767512793170691</v>
      </c>
      <c r="J1423" s="103">
        <v>1.2489706915361299E-3</v>
      </c>
      <c r="K1423" s="103"/>
      <c r="L1423" s="103">
        <v>4.0399999999999998E-2</v>
      </c>
      <c r="O1423" s="100"/>
    </row>
    <row r="1424" spans="2:15" x14ac:dyDescent="0.2">
      <c r="B1424" s="1">
        <v>1409</v>
      </c>
      <c r="C1424" s="101">
        <f t="shared" ref="C1424:C1487" ca="1" si="88">_xlfn.NORM.S.INV(RAND())</f>
        <v>-2.4493786994640692</v>
      </c>
      <c r="D1424" s="101">
        <f t="shared" ref="D1424:D1487" ca="1" si="89">S0*EXP((μ-0.5*σ*σ)*T+σ*SQRT(T)*$C1424)</f>
        <v>0.52187504084024283</v>
      </c>
      <c r="E1424" s="101">
        <f t="shared" ref="E1424:E1487" ca="1" si="90">MAX(0,CP*(D1424-K))</f>
        <v>0</v>
      </c>
      <c r="F1424" s="21">
        <f t="shared" ref="F1424:F1487" ca="1" si="91">(CP*(D1424-K)&gt;0)*1</f>
        <v>0</v>
      </c>
      <c r="H1424" s="21">
        <v>1409</v>
      </c>
      <c r="I1424" s="102">
        <v>0.66780508414147977</v>
      </c>
      <c r="J1424" s="103">
        <v>1.4662032182821126E-3</v>
      </c>
      <c r="K1424" s="103"/>
      <c r="L1424" s="103">
        <v>4.7199999999999999E-2</v>
      </c>
      <c r="O1424" s="100"/>
    </row>
    <row r="1425" spans="2:15" x14ac:dyDescent="0.2">
      <c r="B1425" s="1">
        <v>1410</v>
      </c>
      <c r="C1425" s="101">
        <f t="shared" ca="1" si="88"/>
        <v>0.29544390513125574</v>
      </c>
      <c r="D1425" s="101">
        <f t="shared" ca="1" si="89"/>
        <v>0.68415268375223071</v>
      </c>
      <c r="E1425" s="101">
        <f t="shared" ca="1" si="90"/>
        <v>0</v>
      </c>
      <c r="F1425" s="21">
        <f t="shared" ca="1" si="91"/>
        <v>0</v>
      </c>
      <c r="H1425" s="21">
        <v>1410</v>
      </c>
      <c r="I1425" s="102">
        <v>0.66761691274533086</v>
      </c>
      <c r="J1425" s="103">
        <v>1.2447363098609589E-3</v>
      </c>
      <c r="K1425" s="103"/>
      <c r="L1425" s="103">
        <v>4.1399999999999999E-2</v>
      </c>
      <c r="O1425" s="100"/>
    </row>
    <row r="1426" spans="2:15" x14ac:dyDescent="0.2">
      <c r="B1426" s="1">
        <v>1411</v>
      </c>
      <c r="C1426" s="101">
        <f t="shared" ca="1" si="88"/>
        <v>-0.69007768867255048</v>
      </c>
      <c r="D1426" s="101">
        <f t="shared" ca="1" si="89"/>
        <v>0.6207745409672446</v>
      </c>
      <c r="E1426" s="101">
        <f t="shared" ca="1" si="90"/>
        <v>0</v>
      </c>
      <c r="F1426" s="21">
        <f t="shared" ca="1" si="91"/>
        <v>0</v>
      </c>
      <c r="H1426" s="21">
        <v>1411</v>
      </c>
      <c r="I1426" s="102">
        <v>0.66768148113992842</v>
      </c>
      <c r="J1426" s="103">
        <v>1.265223090992515E-3</v>
      </c>
      <c r="K1426" s="103"/>
      <c r="L1426" s="103">
        <v>4.0599999999999997E-2</v>
      </c>
      <c r="O1426" s="100"/>
    </row>
    <row r="1427" spans="2:15" x14ac:dyDescent="0.2">
      <c r="B1427" s="1">
        <v>1412</v>
      </c>
      <c r="C1427" s="101">
        <f t="shared" ca="1" si="88"/>
        <v>1.4336186150589005</v>
      </c>
      <c r="D1427" s="101">
        <f t="shared" ca="1" si="89"/>
        <v>0.76544102954117055</v>
      </c>
      <c r="E1427" s="101">
        <f t="shared" ca="1" si="90"/>
        <v>0</v>
      </c>
      <c r="F1427" s="21">
        <f t="shared" ca="1" si="91"/>
        <v>0</v>
      </c>
      <c r="H1427" s="21">
        <v>1412</v>
      </c>
      <c r="I1427" s="102">
        <v>0.66775632639808025</v>
      </c>
      <c r="J1427" s="103">
        <v>1.4403566660696936E-3</v>
      </c>
      <c r="K1427" s="103"/>
      <c r="L1427" s="103">
        <v>4.2000000000000003E-2</v>
      </c>
      <c r="O1427" s="100"/>
    </row>
    <row r="1428" spans="2:15" x14ac:dyDescent="0.2">
      <c r="B1428" s="1">
        <v>1413</v>
      </c>
      <c r="C1428" s="101">
        <f t="shared" ca="1" si="88"/>
        <v>-0.14497520943577216</v>
      </c>
      <c r="D1428" s="101">
        <f t="shared" ca="1" si="89"/>
        <v>0.65506704502816271</v>
      </c>
      <c r="E1428" s="101">
        <f t="shared" ca="1" si="90"/>
        <v>0</v>
      </c>
      <c r="F1428" s="21">
        <f t="shared" ca="1" si="91"/>
        <v>0</v>
      </c>
      <c r="H1428" s="21">
        <v>1413</v>
      </c>
      <c r="I1428" s="102">
        <v>0.66780211207059259</v>
      </c>
      <c r="J1428" s="103">
        <v>1.4845566694390057E-3</v>
      </c>
      <c r="K1428" s="103"/>
      <c r="L1428" s="103">
        <v>4.4999999999999998E-2</v>
      </c>
      <c r="O1428" s="100"/>
    </row>
    <row r="1429" spans="2:15" x14ac:dyDescent="0.2">
      <c r="B1429" s="1">
        <v>1414</v>
      </c>
      <c r="C1429" s="101">
        <f t="shared" ca="1" si="88"/>
        <v>0.37576573053672091</v>
      </c>
      <c r="D1429" s="101">
        <f t="shared" ca="1" si="89"/>
        <v>0.68959479117346112</v>
      </c>
      <c r="E1429" s="101">
        <f t="shared" ca="1" si="90"/>
        <v>0</v>
      </c>
      <c r="F1429" s="21">
        <f t="shared" ca="1" si="91"/>
        <v>0</v>
      </c>
      <c r="H1429" s="21">
        <v>1414</v>
      </c>
      <c r="I1429" s="102">
        <v>0.66788499802393109</v>
      </c>
      <c r="J1429" s="103">
        <v>1.4750522722591216E-3</v>
      </c>
      <c r="K1429" s="103"/>
      <c r="L1429" s="103">
        <v>4.3999999999999997E-2</v>
      </c>
      <c r="O1429" s="100"/>
    </row>
    <row r="1430" spans="2:15" x14ac:dyDescent="0.2">
      <c r="B1430" s="1">
        <v>1415</v>
      </c>
      <c r="C1430" s="101">
        <f t="shared" ca="1" si="88"/>
        <v>1.1279394169472645</v>
      </c>
      <c r="D1430" s="101">
        <f t="shared" ca="1" si="89"/>
        <v>0.7427054817975437</v>
      </c>
      <c r="E1430" s="101">
        <f t="shared" ca="1" si="90"/>
        <v>0</v>
      </c>
      <c r="F1430" s="21">
        <f t="shared" ca="1" si="91"/>
        <v>0</v>
      </c>
      <c r="H1430" s="21">
        <v>1415</v>
      </c>
      <c r="I1430" s="102">
        <v>0.66770017017508199</v>
      </c>
      <c r="J1430" s="103">
        <v>1.2626841248725943E-3</v>
      </c>
      <c r="K1430" s="103"/>
      <c r="L1430" s="103">
        <v>4.0399999999999998E-2</v>
      </c>
      <c r="O1430" s="100"/>
    </row>
    <row r="1431" spans="2:15" x14ac:dyDescent="0.2">
      <c r="B1431" s="1">
        <v>1416</v>
      </c>
      <c r="C1431" s="101">
        <f t="shared" ca="1" si="88"/>
        <v>-2.0104477464814581</v>
      </c>
      <c r="D1431" s="101">
        <f t="shared" ca="1" si="89"/>
        <v>0.54496681613504805</v>
      </c>
      <c r="E1431" s="101">
        <f t="shared" ca="1" si="90"/>
        <v>0</v>
      </c>
      <c r="F1431" s="21">
        <f t="shared" ca="1" si="91"/>
        <v>0</v>
      </c>
      <c r="H1431" s="21">
        <v>1416</v>
      </c>
      <c r="I1431" s="102">
        <v>0.66763143138811953</v>
      </c>
      <c r="J1431" s="103">
        <v>1.2002015436523514E-3</v>
      </c>
      <c r="K1431" s="103"/>
      <c r="L1431" s="103">
        <v>3.8399999999999997E-2</v>
      </c>
      <c r="O1431" s="100"/>
    </row>
    <row r="1432" spans="2:15" x14ac:dyDescent="0.2">
      <c r="B1432" s="1">
        <v>1417</v>
      </c>
      <c r="C1432" s="101">
        <f t="shared" ca="1" si="88"/>
        <v>0.56887252181174397</v>
      </c>
      <c r="D1432" s="101">
        <f t="shared" ca="1" si="89"/>
        <v>0.70285631024813833</v>
      </c>
      <c r="E1432" s="101">
        <f t="shared" ca="1" si="90"/>
        <v>0</v>
      </c>
      <c r="F1432" s="21">
        <f t="shared" ca="1" si="91"/>
        <v>0</v>
      </c>
      <c r="H1432" s="21">
        <v>1417</v>
      </c>
      <c r="I1432" s="102">
        <v>0.66767232435239687</v>
      </c>
      <c r="J1432" s="103">
        <v>1.1984740921748918E-3</v>
      </c>
      <c r="K1432" s="103"/>
      <c r="L1432" s="103">
        <v>4.0800000000000003E-2</v>
      </c>
      <c r="O1432" s="100"/>
    </row>
    <row r="1433" spans="2:15" x14ac:dyDescent="0.2">
      <c r="B1433" s="1">
        <v>1418</v>
      </c>
      <c r="C1433" s="101">
        <f t="shared" ca="1" si="88"/>
        <v>-2.1463151371079214</v>
      </c>
      <c r="D1433" s="101">
        <f t="shared" ca="1" si="89"/>
        <v>0.53771181965154158</v>
      </c>
      <c r="E1433" s="101">
        <f t="shared" ca="1" si="90"/>
        <v>0</v>
      </c>
      <c r="F1433" s="21">
        <f t="shared" ca="1" si="91"/>
        <v>0</v>
      </c>
      <c r="H1433" s="21">
        <v>1418</v>
      </c>
      <c r="I1433" s="102">
        <v>0.66779969316202614</v>
      </c>
      <c r="J1433" s="103">
        <v>1.4027080833113013E-3</v>
      </c>
      <c r="K1433" s="103"/>
      <c r="L1433" s="103">
        <v>4.3999999999999997E-2</v>
      </c>
      <c r="O1433" s="100"/>
    </row>
    <row r="1434" spans="2:15" x14ac:dyDescent="0.2">
      <c r="B1434" s="1">
        <v>1419</v>
      </c>
      <c r="C1434" s="101">
        <f t="shared" ca="1" si="88"/>
        <v>0.79010921613971707</v>
      </c>
      <c r="D1434" s="101">
        <f t="shared" ca="1" si="89"/>
        <v>0.71836339103367031</v>
      </c>
      <c r="E1434" s="101">
        <f t="shared" ca="1" si="90"/>
        <v>0</v>
      </c>
      <c r="F1434" s="21">
        <f t="shared" ca="1" si="91"/>
        <v>0</v>
      </c>
      <c r="H1434" s="21">
        <v>1419</v>
      </c>
      <c r="I1434" s="102">
        <v>0.66787419115240487</v>
      </c>
      <c r="J1434" s="103">
        <v>1.4645704817498404E-3</v>
      </c>
      <c r="K1434" s="103"/>
      <c r="L1434" s="103">
        <v>4.5400000000000003E-2</v>
      </c>
      <c r="O1434" s="100"/>
    </row>
    <row r="1435" spans="2:15" x14ac:dyDescent="0.2">
      <c r="B1435" s="1">
        <v>1420</v>
      </c>
      <c r="C1435" s="101">
        <f t="shared" ca="1" si="88"/>
        <v>9.4286162293129444E-2</v>
      </c>
      <c r="D1435" s="101">
        <f t="shared" ca="1" si="89"/>
        <v>0.67071120415375596</v>
      </c>
      <c r="E1435" s="101">
        <f t="shared" ca="1" si="90"/>
        <v>0</v>
      </c>
      <c r="F1435" s="21">
        <f t="shared" ca="1" si="91"/>
        <v>0</v>
      </c>
      <c r="H1435" s="21">
        <v>1420</v>
      </c>
      <c r="I1435" s="102">
        <v>0.66764849871460941</v>
      </c>
      <c r="J1435" s="103">
        <v>1.2947511607503421E-3</v>
      </c>
      <c r="K1435" s="103"/>
      <c r="L1435" s="103">
        <v>3.9800000000000002E-2</v>
      </c>
      <c r="O1435" s="100"/>
    </row>
    <row r="1436" spans="2:15" x14ac:dyDescent="0.2">
      <c r="B1436" s="1">
        <v>1421</v>
      </c>
      <c r="C1436" s="101">
        <f t="shared" ca="1" si="88"/>
        <v>-1.2409291851184718</v>
      </c>
      <c r="D1436" s="101">
        <f t="shared" ca="1" si="89"/>
        <v>0.58794372414292029</v>
      </c>
      <c r="E1436" s="101">
        <f t="shared" ca="1" si="90"/>
        <v>0</v>
      </c>
      <c r="F1436" s="21">
        <f t="shared" ca="1" si="91"/>
        <v>0</v>
      </c>
      <c r="H1436" s="21">
        <v>1421</v>
      </c>
      <c r="I1436" s="102">
        <v>0.66779639953415615</v>
      </c>
      <c r="J1436" s="103">
        <v>1.3840902327050448E-3</v>
      </c>
      <c r="K1436" s="103"/>
      <c r="L1436" s="103">
        <v>4.1399999999999999E-2</v>
      </c>
      <c r="O1436" s="100"/>
    </row>
    <row r="1437" spans="2:15" x14ac:dyDescent="0.2">
      <c r="B1437" s="1">
        <v>1422</v>
      </c>
      <c r="C1437" s="101">
        <f t="shared" ca="1" si="88"/>
        <v>0.82809315410872653</v>
      </c>
      <c r="D1437" s="101">
        <f t="shared" ca="1" si="89"/>
        <v>0.72105999357110084</v>
      </c>
      <c r="E1437" s="101">
        <f t="shared" ca="1" si="90"/>
        <v>0</v>
      </c>
      <c r="F1437" s="21">
        <f t="shared" ca="1" si="91"/>
        <v>0</v>
      </c>
      <c r="H1437" s="21">
        <v>1422</v>
      </c>
      <c r="I1437" s="102">
        <v>0.66769217762619448</v>
      </c>
      <c r="J1437" s="103">
        <v>1.2379862500901801E-3</v>
      </c>
      <c r="K1437" s="103"/>
      <c r="L1437" s="103">
        <v>4.0800000000000003E-2</v>
      </c>
      <c r="O1437" s="100"/>
    </row>
    <row r="1438" spans="2:15" x14ac:dyDescent="0.2">
      <c r="B1438" s="1">
        <v>1423</v>
      </c>
      <c r="C1438" s="101">
        <f t="shared" ca="1" si="88"/>
        <v>1.3809099186804419</v>
      </c>
      <c r="D1438" s="101">
        <f t="shared" ca="1" si="89"/>
        <v>0.76147163380631888</v>
      </c>
      <c r="E1438" s="101">
        <f t="shared" ca="1" si="90"/>
        <v>0</v>
      </c>
      <c r="F1438" s="21">
        <f t="shared" ca="1" si="91"/>
        <v>0</v>
      </c>
      <c r="H1438" s="21">
        <v>1423</v>
      </c>
      <c r="I1438" s="102">
        <v>0.66785962671378607</v>
      </c>
      <c r="J1438" s="103">
        <v>1.3951984029139377E-3</v>
      </c>
      <c r="K1438" s="103"/>
      <c r="L1438" s="103">
        <v>4.5999999999999999E-2</v>
      </c>
      <c r="O1438" s="100"/>
    </row>
    <row r="1439" spans="2:15" x14ac:dyDescent="0.2">
      <c r="B1439" s="1">
        <v>1424</v>
      </c>
      <c r="C1439" s="101">
        <f t="shared" ca="1" si="88"/>
        <v>0.94362530313569126</v>
      </c>
      <c r="D1439" s="101">
        <f t="shared" ca="1" si="89"/>
        <v>0.72932437143859397</v>
      </c>
      <c r="E1439" s="101">
        <f t="shared" ca="1" si="90"/>
        <v>0</v>
      </c>
      <c r="F1439" s="21">
        <f t="shared" ca="1" si="91"/>
        <v>0</v>
      </c>
      <c r="H1439" s="21">
        <v>1424</v>
      </c>
      <c r="I1439" s="102">
        <v>0.66775160225497077</v>
      </c>
      <c r="J1439" s="103">
        <v>1.3920327369411373E-3</v>
      </c>
      <c r="K1439" s="103"/>
      <c r="L1439" s="103">
        <v>4.4400000000000002E-2</v>
      </c>
      <c r="O1439" s="100"/>
    </row>
    <row r="1440" spans="2:15" x14ac:dyDescent="0.2">
      <c r="B1440" s="1">
        <v>1425</v>
      </c>
      <c r="C1440" s="101">
        <f t="shared" ca="1" si="88"/>
        <v>0.43128562289556316</v>
      </c>
      <c r="D1440" s="101">
        <f t="shared" ca="1" si="89"/>
        <v>0.69338175581537553</v>
      </c>
      <c r="E1440" s="101">
        <f t="shared" ca="1" si="90"/>
        <v>0</v>
      </c>
      <c r="F1440" s="21">
        <f t="shared" ca="1" si="91"/>
        <v>0</v>
      </c>
      <c r="H1440" s="21">
        <v>1425</v>
      </c>
      <c r="I1440" s="102">
        <v>0.66769127746080537</v>
      </c>
      <c r="J1440" s="103">
        <v>1.2854950226626513E-3</v>
      </c>
      <c r="K1440" s="103"/>
      <c r="L1440" s="103">
        <v>4.0399999999999998E-2</v>
      </c>
      <c r="O1440" s="100"/>
    </row>
    <row r="1441" spans="2:15" x14ac:dyDescent="0.2">
      <c r="B1441" s="1">
        <v>1426</v>
      </c>
      <c r="C1441" s="101">
        <f t="shared" ca="1" si="88"/>
        <v>0.35593869982194282</v>
      </c>
      <c r="D1441" s="101">
        <f t="shared" ca="1" si="89"/>
        <v>0.68824742409138884</v>
      </c>
      <c r="E1441" s="101">
        <f t="shared" ca="1" si="90"/>
        <v>0</v>
      </c>
      <c r="F1441" s="21">
        <f t="shared" ca="1" si="91"/>
        <v>0</v>
      </c>
      <c r="H1441" s="21">
        <v>1426</v>
      </c>
      <c r="I1441" s="102">
        <v>0.66749127264538166</v>
      </c>
      <c r="J1441" s="103">
        <v>9.8514002466575275E-4</v>
      </c>
      <c r="K1441" s="103"/>
      <c r="L1441" s="103">
        <v>3.5200000000000002E-2</v>
      </c>
      <c r="O1441" s="100"/>
    </row>
    <row r="1442" spans="2:15" x14ac:dyDescent="0.2">
      <c r="B1442" s="1">
        <v>1427</v>
      </c>
      <c r="C1442" s="101">
        <f t="shared" ca="1" si="88"/>
        <v>2.6104652766598089</v>
      </c>
      <c r="D1442" s="101">
        <f t="shared" ca="1" si="89"/>
        <v>0.85966079913821658</v>
      </c>
      <c r="E1442" s="101">
        <f t="shared" ca="1" si="90"/>
        <v>7.1460799138216569E-2</v>
      </c>
      <c r="F1442" s="21">
        <f t="shared" ca="1" si="91"/>
        <v>1</v>
      </c>
      <c r="H1442" s="21">
        <v>1427</v>
      </c>
      <c r="I1442" s="102">
        <v>0.66784470496678994</v>
      </c>
      <c r="J1442" s="103">
        <v>1.440334423662351E-3</v>
      </c>
      <c r="K1442" s="103"/>
      <c r="L1442" s="103">
        <v>4.4200000000000003E-2</v>
      </c>
      <c r="O1442" s="100"/>
    </row>
    <row r="1443" spans="2:15" x14ac:dyDescent="0.2">
      <c r="B1443" s="1">
        <v>1428</v>
      </c>
      <c r="C1443" s="101">
        <f t="shared" ca="1" si="88"/>
        <v>0.56170652093716478</v>
      </c>
      <c r="D1443" s="101">
        <f t="shared" ca="1" si="89"/>
        <v>0.702359662099034</v>
      </c>
      <c r="E1443" s="101">
        <f t="shared" ca="1" si="90"/>
        <v>0</v>
      </c>
      <c r="F1443" s="21">
        <f t="shared" ca="1" si="91"/>
        <v>0</v>
      </c>
      <c r="H1443" s="21">
        <v>1428</v>
      </c>
      <c r="I1443" s="102">
        <v>0.66774649451027968</v>
      </c>
      <c r="J1443" s="103">
        <v>1.4985158873673608E-3</v>
      </c>
      <c r="K1443" s="103"/>
      <c r="L1443" s="103">
        <v>4.2999999999999997E-2</v>
      </c>
      <c r="O1443" s="100"/>
    </row>
    <row r="1444" spans="2:15" x14ac:dyDescent="0.2">
      <c r="B1444" s="1">
        <v>1429</v>
      </c>
      <c r="C1444" s="101">
        <f t="shared" ca="1" si="88"/>
        <v>-1.2321878652688598</v>
      </c>
      <c r="D1444" s="101">
        <f t="shared" ca="1" si="89"/>
        <v>0.5884509004078684</v>
      </c>
      <c r="E1444" s="101">
        <f t="shared" ca="1" si="90"/>
        <v>0</v>
      </c>
      <c r="F1444" s="21">
        <f t="shared" ca="1" si="91"/>
        <v>0</v>
      </c>
      <c r="H1444" s="21">
        <v>1429</v>
      </c>
      <c r="I1444" s="102">
        <v>0.66778711042904326</v>
      </c>
      <c r="J1444" s="103">
        <v>1.2790343253648541E-3</v>
      </c>
      <c r="K1444" s="103"/>
      <c r="L1444" s="103">
        <v>4.1399999999999999E-2</v>
      </c>
      <c r="O1444" s="100"/>
    </row>
    <row r="1445" spans="2:15" x14ac:dyDescent="0.2">
      <c r="B1445" s="1">
        <v>1430</v>
      </c>
      <c r="C1445" s="101">
        <f t="shared" ca="1" si="88"/>
        <v>0.46838513684269611</v>
      </c>
      <c r="D1445" s="101">
        <f t="shared" ca="1" si="89"/>
        <v>0.69592386636731918</v>
      </c>
      <c r="E1445" s="101">
        <f t="shared" ca="1" si="90"/>
        <v>0</v>
      </c>
      <c r="F1445" s="21">
        <f t="shared" ca="1" si="91"/>
        <v>0</v>
      </c>
      <c r="H1445" s="21">
        <v>1430</v>
      </c>
      <c r="I1445" s="102">
        <v>0.66754609191992964</v>
      </c>
      <c r="J1445" s="103">
        <v>1.236571290677315E-3</v>
      </c>
      <c r="K1445" s="103"/>
      <c r="L1445" s="103">
        <v>3.9E-2</v>
      </c>
      <c r="O1445" s="100"/>
    </row>
    <row r="1446" spans="2:15" x14ac:dyDescent="0.2">
      <c r="B1446" s="1">
        <v>1431</v>
      </c>
      <c r="C1446" s="101">
        <f t="shared" ca="1" si="88"/>
        <v>1.6951224496627473</v>
      </c>
      <c r="D1446" s="101">
        <f t="shared" ca="1" si="89"/>
        <v>0.78544250676845284</v>
      </c>
      <c r="E1446" s="101">
        <f t="shared" ca="1" si="90"/>
        <v>0</v>
      </c>
      <c r="F1446" s="21">
        <f t="shared" ca="1" si="91"/>
        <v>0</v>
      </c>
      <c r="H1446" s="21">
        <v>1431</v>
      </c>
      <c r="I1446" s="102">
        <v>0.66763783119804798</v>
      </c>
      <c r="J1446" s="103">
        <v>1.3526323770127135E-3</v>
      </c>
      <c r="K1446" s="103"/>
      <c r="L1446" s="103">
        <v>4.1799999999999997E-2</v>
      </c>
      <c r="O1446" s="100"/>
    </row>
    <row r="1447" spans="2:15" x14ac:dyDescent="0.2">
      <c r="B1447" s="1">
        <v>1432</v>
      </c>
      <c r="C1447" s="101">
        <f t="shared" ca="1" si="88"/>
        <v>0.62000495081624074</v>
      </c>
      <c r="D1447" s="101">
        <f t="shared" ca="1" si="89"/>
        <v>0.70641031148148536</v>
      </c>
      <c r="E1447" s="101">
        <f t="shared" ca="1" si="90"/>
        <v>0</v>
      </c>
      <c r="F1447" s="21">
        <f t="shared" ca="1" si="91"/>
        <v>0</v>
      </c>
      <c r="H1447" s="21">
        <v>1432</v>
      </c>
      <c r="I1447" s="102">
        <v>0.66754568800261282</v>
      </c>
      <c r="J1447" s="103">
        <v>1.1836676863050974E-3</v>
      </c>
      <c r="K1447" s="103"/>
      <c r="L1447" s="103">
        <v>3.9E-2</v>
      </c>
      <c r="O1447" s="100"/>
    </row>
    <row r="1448" spans="2:15" x14ac:dyDescent="0.2">
      <c r="B1448" s="1">
        <v>1433</v>
      </c>
      <c r="C1448" s="101">
        <f t="shared" ca="1" si="88"/>
        <v>-1.2133294722149732</v>
      </c>
      <c r="D1448" s="101">
        <f t="shared" ca="1" si="89"/>
        <v>0.58954656548469409</v>
      </c>
      <c r="E1448" s="101">
        <f t="shared" ca="1" si="90"/>
        <v>0</v>
      </c>
      <c r="F1448" s="21">
        <f t="shared" ca="1" si="91"/>
        <v>0</v>
      </c>
      <c r="H1448" s="21">
        <v>1433</v>
      </c>
      <c r="I1448" s="102">
        <v>0.66790462050899213</v>
      </c>
      <c r="J1448" s="103">
        <v>1.529824928176618E-3</v>
      </c>
      <c r="K1448" s="103"/>
      <c r="L1448" s="103">
        <v>4.48E-2</v>
      </c>
      <c r="O1448" s="100"/>
    </row>
    <row r="1449" spans="2:15" x14ac:dyDescent="0.2">
      <c r="B1449" s="1">
        <v>1434</v>
      </c>
      <c r="C1449" s="101">
        <f t="shared" ca="1" si="88"/>
        <v>-0.43232967143923395</v>
      </c>
      <c r="D1449" s="101">
        <f t="shared" ca="1" si="89"/>
        <v>0.63675983803041791</v>
      </c>
      <c r="E1449" s="101">
        <f t="shared" ca="1" si="90"/>
        <v>0</v>
      </c>
      <c r="F1449" s="21">
        <f t="shared" ca="1" si="91"/>
        <v>0</v>
      </c>
      <c r="H1449" s="21">
        <v>1434</v>
      </c>
      <c r="I1449" s="102">
        <v>0.66760405288025826</v>
      </c>
      <c r="J1449" s="103">
        <v>1.1774844589782548E-3</v>
      </c>
      <c r="K1449" s="103"/>
      <c r="L1449" s="103">
        <v>3.7999999999999999E-2</v>
      </c>
      <c r="O1449" s="100"/>
    </row>
    <row r="1450" spans="2:15" x14ac:dyDescent="0.2">
      <c r="B1450" s="1">
        <v>1435</v>
      </c>
      <c r="C1450" s="101">
        <f t="shared" ca="1" si="88"/>
        <v>-0.92776377678456456</v>
      </c>
      <c r="D1450" s="101">
        <f t="shared" ca="1" si="89"/>
        <v>0.60638935947884376</v>
      </c>
      <c r="E1450" s="101">
        <f t="shared" ca="1" si="90"/>
        <v>0</v>
      </c>
      <c r="F1450" s="21">
        <f t="shared" ca="1" si="91"/>
        <v>0</v>
      </c>
      <c r="H1450" s="21">
        <v>1435</v>
      </c>
      <c r="I1450" s="102">
        <v>0.66776312020051865</v>
      </c>
      <c r="J1450" s="103">
        <v>1.3863694167977514E-3</v>
      </c>
      <c r="K1450" s="103"/>
      <c r="L1450" s="103">
        <v>4.24E-2</v>
      </c>
      <c r="O1450" s="100"/>
    </row>
    <row r="1451" spans="2:15" x14ac:dyDescent="0.2">
      <c r="B1451" s="1">
        <v>1436</v>
      </c>
      <c r="C1451" s="101">
        <f t="shared" ca="1" si="88"/>
        <v>-1.2494922628151142</v>
      </c>
      <c r="D1451" s="101">
        <f t="shared" ca="1" si="89"/>
        <v>0.58744731343765233</v>
      </c>
      <c r="E1451" s="101">
        <f t="shared" ca="1" si="90"/>
        <v>0</v>
      </c>
      <c r="F1451" s="21">
        <f t="shared" ca="1" si="91"/>
        <v>0</v>
      </c>
      <c r="H1451" s="21">
        <v>1436</v>
      </c>
      <c r="I1451" s="102">
        <v>0.66783766840574965</v>
      </c>
      <c r="J1451" s="103">
        <v>1.5710124992282686E-3</v>
      </c>
      <c r="K1451" s="103"/>
      <c r="L1451" s="103">
        <v>4.5199999999999997E-2</v>
      </c>
      <c r="O1451" s="100"/>
    </row>
    <row r="1452" spans="2:15" x14ac:dyDescent="0.2">
      <c r="B1452" s="1">
        <v>1437</v>
      </c>
      <c r="C1452" s="101">
        <f t="shared" ca="1" si="88"/>
        <v>0.82568278848956089</v>
      </c>
      <c r="D1452" s="101">
        <f t="shared" ca="1" si="89"/>
        <v>0.72088857352924984</v>
      </c>
      <c r="E1452" s="101">
        <f t="shared" ca="1" si="90"/>
        <v>0</v>
      </c>
      <c r="F1452" s="21">
        <f t="shared" ca="1" si="91"/>
        <v>0</v>
      </c>
      <c r="H1452" s="21">
        <v>1437</v>
      </c>
      <c r="I1452" s="102">
        <v>0.66791627630533601</v>
      </c>
      <c r="J1452" s="103">
        <v>1.5479625944906518E-3</v>
      </c>
      <c r="K1452" s="103"/>
      <c r="L1452" s="103">
        <v>4.58E-2</v>
      </c>
      <c r="O1452" s="100"/>
    </row>
    <row r="1453" spans="2:15" x14ac:dyDescent="0.2">
      <c r="B1453" s="1">
        <v>1438</v>
      </c>
      <c r="C1453" s="101">
        <f t="shared" ca="1" si="88"/>
        <v>-0.64197297333735437</v>
      </c>
      <c r="D1453" s="101">
        <f t="shared" ca="1" si="89"/>
        <v>0.62372718602416555</v>
      </c>
      <c r="E1453" s="101">
        <f t="shared" ca="1" si="90"/>
        <v>0</v>
      </c>
      <c r="F1453" s="21">
        <f t="shared" ca="1" si="91"/>
        <v>0</v>
      </c>
      <c r="H1453" s="21">
        <v>1438</v>
      </c>
      <c r="I1453" s="102">
        <v>0.66769528627856267</v>
      </c>
      <c r="J1453" s="103">
        <v>1.2742695061999537E-3</v>
      </c>
      <c r="K1453" s="103"/>
      <c r="L1453" s="103">
        <v>4.1399999999999999E-2</v>
      </c>
      <c r="O1453" s="100"/>
    </row>
    <row r="1454" spans="2:15" x14ac:dyDescent="0.2">
      <c r="B1454" s="1">
        <v>1439</v>
      </c>
      <c r="C1454" s="101">
        <f t="shared" ca="1" si="88"/>
        <v>1.8445282638321168</v>
      </c>
      <c r="D1454" s="101">
        <f t="shared" ca="1" si="89"/>
        <v>0.79710375275909051</v>
      </c>
      <c r="E1454" s="101">
        <f t="shared" ca="1" si="90"/>
        <v>8.9037527590904997E-3</v>
      </c>
      <c r="F1454" s="21">
        <f t="shared" ca="1" si="91"/>
        <v>1</v>
      </c>
      <c r="H1454" s="21">
        <v>1439</v>
      </c>
      <c r="I1454" s="102">
        <v>0.66785134715775951</v>
      </c>
      <c r="J1454" s="103">
        <v>1.4176841066425008E-3</v>
      </c>
      <c r="K1454" s="103"/>
      <c r="L1454" s="103">
        <v>4.6199999999999998E-2</v>
      </c>
      <c r="O1454" s="100"/>
    </row>
    <row r="1455" spans="2:15" x14ac:dyDescent="0.2">
      <c r="B1455" s="1">
        <v>1440</v>
      </c>
      <c r="C1455" s="101">
        <f t="shared" ca="1" si="88"/>
        <v>4.69456447963498E-2</v>
      </c>
      <c r="D1455" s="101">
        <f t="shared" ca="1" si="89"/>
        <v>0.66758646450350911</v>
      </c>
      <c r="E1455" s="101">
        <f t="shared" ca="1" si="90"/>
        <v>0</v>
      </c>
      <c r="F1455" s="21">
        <f t="shared" ca="1" si="91"/>
        <v>0</v>
      </c>
      <c r="H1455" s="21">
        <v>1440</v>
      </c>
      <c r="I1455" s="102">
        <v>0.66782485549154658</v>
      </c>
      <c r="J1455" s="103">
        <v>1.3324960721621305E-3</v>
      </c>
      <c r="K1455" s="103"/>
      <c r="L1455" s="103">
        <v>4.24E-2</v>
      </c>
      <c r="O1455" s="100"/>
    </row>
    <row r="1456" spans="2:15" x14ac:dyDescent="0.2">
      <c r="B1456" s="1">
        <v>1441</v>
      </c>
      <c r="C1456" s="101">
        <f t="shared" ca="1" si="88"/>
        <v>0.58829218786474691</v>
      </c>
      <c r="D1456" s="101">
        <f t="shared" ca="1" si="89"/>
        <v>0.70420397924015798</v>
      </c>
      <c r="E1456" s="101">
        <f t="shared" ca="1" si="90"/>
        <v>0</v>
      </c>
      <c r="F1456" s="21">
        <f t="shared" ca="1" si="91"/>
        <v>0</v>
      </c>
      <c r="H1456" s="21">
        <v>1441</v>
      </c>
      <c r="I1456" s="102">
        <v>0.66773222756249284</v>
      </c>
      <c r="J1456" s="103">
        <v>1.3352270343303676E-3</v>
      </c>
      <c r="K1456" s="103"/>
      <c r="L1456" s="103">
        <v>4.3799999999999999E-2</v>
      </c>
      <c r="O1456" s="100"/>
    </row>
    <row r="1457" spans="2:15" x14ac:dyDescent="0.2">
      <c r="B1457" s="1">
        <v>1442</v>
      </c>
      <c r="C1457" s="101">
        <f t="shared" ca="1" si="88"/>
        <v>9.5483028753585289E-2</v>
      </c>
      <c r="D1457" s="101">
        <f t="shared" ca="1" si="89"/>
        <v>0.67079039332459867</v>
      </c>
      <c r="E1457" s="101">
        <f t="shared" ca="1" si="90"/>
        <v>0</v>
      </c>
      <c r="F1457" s="21">
        <f t="shared" ca="1" si="91"/>
        <v>0</v>
      </c>
      <c r="H1457" s="21">
        <v>1442</v>
      </c>
      <c r="I1457" s="102">
        <v>0.66762009279160472</v>
      </c>
      <c r="J1457" s="103">
        <v>1.2281767085621108E-3</v>
      </c>
      <c r="K1457" s="103"/>
      <c r="L1457" s="103">
        <v>3.9600000000000003E-2</v>
      </c>
      <c r="O1457" s="100"/>
    </row>
    <row r="1458" spans="2:15" x14ac:dyDescent="0.2">
      <c r="B1458" s="1">
        <v>1443</v>
      </c>
      <c r="C1458" s="101">
        <f t="shared" ca="1" si="88"/>
        <v>-0.77835921410175224</v>
      </c>
      <c r="D1458" s="101">
        <f t="shared" ca="1" si="89"/>
        <v>0.61539217732569818</v>
      </c>
      <c r="E1458" s="101">
        <f t="shared" ca="1" si="90"/>
        <v>0</v>
      </c>
      <c r="F1458" s="21">
        <f t="shared" ca="1" si="91"/>
        <v>0</v>
      </c>
      <c r="H1458" s="21">
        <v>1443</v>
      </c>
      <c r="I1458" s="102">
        <v>0.66783088708563521</v>
      </c>
      <c r="J1458" s="103">
        <v>1.4149023471005673E-3</v>
      </c>
      <c r="K1458" s="103"/>
      <c r="L1458" s="103">
        <v>4.24E-2</v>
      </c>
      <c r="O1458" s="100"/>
    </row>
    <row r="1459" spans="2:15" x14ac:dyDescent="0.2">
      <c r="B1459" s="1">
        <v>1444</v>
      </c>
      <c r="C1459" s="101">
        <f t="shared" ca="1" si="88"/>
        <v>1.6888980646142908</v>
      </c>
      <c r="D1459" s="101">
        <f t="shared" ca="1" si="89"/>
        <v>0.7849604075419041</v>
      </c>
      <c r="E1459" s="101">
        <f t="shared" ca="1" si="90"/>
        <v>0</v>
      </c>
      <c r="F1459" s="21">
        <f t="shared" ca="1" si="91"/>
        <v>0</v>
      </c>
      <c r="H1459" s="21">
        <v>1444</v>
      </c>
      <c r="I1459" s="102">
        <v>0.66784514173239817</v>
      </c>
      <c r="J1459" s="103">
        <v>1.5382347764638865E-3</v>
      </c>
      <c r="K1459" s="103"/>
      <c r="L1459" s="103">
        <v>4.4600000000000001E-2</v>
      </c>
      <c r="O1459" s="100"/>
    </row>
    <row r="1460" spans="2:15" x14ac:dyDescent="0.2">
      <c r="B1460" s="1">
        <v>1445</v>
      </c>
      <c r="C1460" s="101">
        <f t="shared" ca="1" si="88"/>
        <v>0.26115521393588231</v>
      </c>
      <c r="D1460" s="101">
        <f t="shared" ca="1" si="89"/>
        <v>0.68184259536064873</v>
      </c>
      <c r="E1460" s="101">
        <f t="shared" ca="1" si="90"/>
        <v>0</v>
      </c>
      <c r="F1460" s="21">
        <f t="shared" ca="1" si="91"/>
        <v>0</v>
      </c>
      <c r="H1460" s="21">
        <v>1445</v>
      </c>
      <c r="I1460" s="102">
        <v>0.6677161120619296</v>
      </c>
      <c r="J1460" s="103">
        <v>1.2603591890525873E-3</v>
      </c>
      <c r="K1460" s="103"/>
      <c r="L1460" s="103">
        <v>4.1000000000000002E-2</v>
      </c>
      <c r="O1460" s="100"/>
    </row>
    <row r="1461" spans="2:15" x14ac:dyDescent="0.2">
      <c r="B1461" s="1">
        <v>1446</v>
      </c>
      <c r="C1461" s="101">
        <f t="shared" ca="1" si="88"/>
        <v>-0.89779398117905507</v>
      </c>
      <c r="D1461" s="101">
        <f t="shared" ca="1" si="89"/>
        <v>0.60818465668745247</v>
      </c>
      <c r="E1461" s="101">
        <f t="shared" ca="1" si="90"/>
        <v>0</v>
      </c>
      <c r="F1461" s="21">
        <f t="shared" ca="1" si="91"/>
        <v>0</v>
      </c>
      <c r="H1461" s="21">
        <v>1446</v>
      </c>
      <c r="I1461" s="102">
        <v>0.66765387553652034</v>
      </c>
      <c r="J1461" s="103">
        <v>1.3596608176520359E-3</v>
      </c>
      <c r="K1461" s="103"/>
      <c r="L1461" s="103">
        <v>0.04</v>
      </c>
      <c r="O1461" s="100"/>
    </row>
    <row r="1462" spans="2:15" x14ac:dyDescent="0.2">
      <c r="B1462" s="1">
        <v>1447</v>
      </c>
      <c r="C1462" s="101">
        <f t="shared" ca="1" si="88"/>
        <v>-6.0180311076057126E-2</v>
      </c>
      <c r="D1462" s="101">
        <f t="shared" ca="1" si="89"/>
        <v>0.66056918865287118</v>
      </c>
      <c r="E1462" s="101">
        <f t="shared" ca="1" si="90"/>
        <v>0</v>
      </c>
      <c r="F1462" s="21">
        <f t="shared" ca="1" si="91"/>
        <v>0</v>
      </c>
      <c r="H1462" s="21">
        <v>1447</v>
      </c>
      <c r="I1462" s="102">
        <v>0.66771257059719169</v>
      </c>
      <c r="J1462" s="103">
        <v>1.2628745958376856E-3</v>
      </c>
      <c r="K1462" s="103"/>
      <c r="L1462" s="103">
        <v>4.2000000000000003E-2</v>
      </c>
      <c r="O1462" s="100"/>
    </row>
    <row r="1463" spans="2:15" x14ac:dyDescent="0.2">
      <c r="B1463" s="1">
        <v>1448</v>
      </c>
      <c r="C1463" s="101">
        <f t="shared" ca="1" si="88"/>
        <v>-0.44702908487091109</v>
      </c>
      <c r="D1463" s="101">
        <f t="shared" ca="1" si="89"/>
        <v>0.63583722464671466</v>
      </c>
      <c r="E1463" s="101">
        <f t="shared" ca="1" si="90"/>
        <v>0</v>
      </c>
      <c r="F1463" s="21">
        <f t="shared" ca="1" si="91"/>
        <v>0</v>
      </c>
      <c r="H1463" s="21">
        <v>1448</v>
      </c>
      <c r="I1463" s="102">
        <v>0.66768612284896667</v>
      </c>
      <c r="J1463" s="103">
        <v>1.2386958558514133E-3</v>
      </c>
      <c r="K1463" s="103"/>
      <c r="L1463" s="103">
        <v>4.02E-2</v>
      </c>
      <c r="O1463" s="100"/>
    </row>
    <row r="1464" spans="2:15" x14ac:dyDescent="0.2">
      <c r="B1464" s="1">
        <v>1449</v>
      </c>
      <c r="C1464" s="101">
        <f t="shared" ca="1" si="88"/>
        <v>0.95681375116321854</v>
      </c>
      <c r="D1464" s="101">
        <f t="shared" ca="1" si="89"/>
        <v>0.73027378589962222</v>
      </c>
      <c r="E1464" s="101">
        <f t="shared" ca="1" si="90"/>
        <v>0</v>
      </c>
      <c r="F1464" s="21">
        <f t="shared" ca="1" si="91"/>
        <v>0</v>
      </c>
      <c r="H1464" s="21">
        <v>1449</v>
      </c>
      <c r="I1464" s="102">
        <v>0.667749093568896</v>
      </c>
      <c r="J1464" s="103">
        <v>1.4554178735919035E-3</v>
      </c>
      <c r="K1464" s="103"/>
      <c r="L1464" s="103">
        <v>4.2000000000000003E-2</v>
      </c>
      <c r="O1464" s="100"/>
    </row>
    <row r="1465" spans="2:15" x14ac:dyDescent="0.2">
      <c r="B1465" s="1">
        <v>1450</v>
      </c>
      <c r="C1465" s="101">
        <f t="shared" ca="1" si="88"/>
        <v>0.98288601253712105</v>
      </c>
      <c r="D1465" s="101">
        <f t="shared" ca="1" si="89"/>
        <v>0.73215432294339633</v>
      </c>
      <c r="E1465" s="101">
        <f t="shared" ca="1" si="90"/>
        <v>0</v>
      </c>
      <c r="F1465" s="21">
        <f t="shared" ca="1" si="91"/>
        <v>0</v>
      </c>
      <c r="H1465" s="21">
        <v>1450</v>
      </c>
      <c r="I1465" s="102">
        <v>0.66755780263189846</v>
      </c>
      <c r="J1465" s="103">
        <v>1.2287343649170315E-3</v>
      </c>
      <c r="K1465" s="103"/>
      <c r="L1465" s="103">
        <v>3.6999999999999998E-2</v>
      </c>
      <c r="O1465" s="100"/>
    </row>
    <row r="1466" spans="2:15" x14ac:dyDescent="0.2">
      <c r="B1466" s="1">
        <v>1451</v>
      </c>
      <c r="C1466" s="101">
        <f t="shared" ca="1" si="88"/>
        <v>-0.95705106387879058</v>
      </c>
      <c r="D1466" s="101">
        <f t="shared" ca="1" si="89"/>
        <v>0.6046400669411448</v>
      </c>
      <c r="E1466" s="101">
        <f t="shared" ca="1" si="90"/>
        <v>0</v>
      </c>
      <c r="F1466" s="21">
        <f t="shared" ca="1" si="91"/>
        <v>0</v>
      </c>
      <c r="H1466" s="21">
        <v>1451</v>
      </c>
      <c r="I1466" s="102">
        <v>0.66784897745541894</v>
      </c>
      <c r="J1466" s="103">
        <v>1.5770962057989162E-3</v>
      </c>
      <c r="K1466" s="103"/>
      <c r="L1466" s="103">
        <v>4.6399999999999997E-2</v>
      </c>
      <c r="O1466" s="100"/>
    </row>
    <row r="1467" spans="2:15" x14ac:dyDescent="0.2">
      <c r="B1467" s="1">
        <v>1452</v>
      </c>
      <c r="C1467" s="101">
        <f t="shared" ca="1" si="88"/>
        <v>-1.0156774744563857</v>
      </c>
      <c r="D1467" s="101">
        <f t="shared" ca="1" si="89"/>
        <v>0.6011535323848296</v>
      </c>
      <c r="E1467" s="101">
        <f t="shared" ca="1" si="90"/>
        <v>0</v>
      </c>
      <c r="F1467" s="21">
        <f t="shared" ca="1" si="91"/>
        <v>0</v>
      </c>
      <c r="H1467" s="21">
        <v>1452</v>
      </c>
      <c r="I1467" s="102">
        <v>0.66778914527021049</v>
      </c>
      <c r="J1467" s="103">
        <v>1.3752254461824776E-3</v>
      </c>
      <c r="K1467" s="103"/>
      <c r="L1467" s="103">
        <v>4.2999999999999997E-2</v>
      </c>
      <c r="O1467" s="100"/>
    </row>
    <row r="1468" spans="2:15" x14ac:dyDescent="0.2">
      <c r="B1468" s="1">
        <v>1453</v>
      </c>
      <c r="C1468" s="101">
        <f t="shared" ca="1" si="88"/>
        <v>1.2541523225197335</v>
      </c>
      <c r="D1468" s="101">
        <f t="shared" ca="1" si="89"/>
        <v>0.75200982113663506</v>
      </c>
      <c r="E1468" s="101">
        <f t="shared" ca="1" si="90"/>
        <v>0</v>
      </c>
      <c r="F1468" s="21">
        <f t="shared" ca="1" si="91"/>
        <v>0</v>
      </c>
      <c r="H1468" s="21">
        <v>1453</v>
      </c>
      <c r="I1468" s="102">
        <v>0.66780215934699705</v>
      </c>
      <c r="J1468" s="103">
        <v>1.4311598404584032E-3</v>
      </c>
      <c r="K1468" s="103"/>
      <c r="L1468" s="103">
        <v>4.0399999999999998E-2</v>
      </c>
      <c r="O1468" s="100"/>
    </row>
    <row r="1469" spans="2:15" x14ac:dyDescent="0.2">
      <c r="B1469" s="1">
        <v>1454</v>
      </c>
      <c r="C1469" s="101">
        <f t="shared" ca="1" si="88"/>
        <v>-0.38299268593454555</v>
      </c>
      <c r="D1469" s="101">
        <f t="shared" ca="1" si="89"/>
        <v>0.6398662881633892</v>
      </c>
      <c r="E1469" s="101">
        <f t="shared" ca="1" si="90"/>
        <v>0</v>
      </c>
      <c r="F1469" s="21">
        <f t="shared" ca="1" si="91"/>
        <v>0</v>
      </c>
      <c r="H1469" s="21">
        <v>1454</v>
      </c>
      <c r="I1469" s="102">
        <v>0.66781210286394954</v>
      </c>
      <c r="J1469" s="103">
        <v>1.5845143841648327E-3</v>
      </c>
      <c r="K1469" s="103"/>
      <c r="L1469" s="103">
        <v>4.7E-2</v>
      </c>
      <c r="O1469" s="100"/>
    </row>
    <row r="1470" spans="2:15" x14ac:dyDescent="0.2">
      <c r="B1470" s="1">
        <v>1455</v>
      </c>
      <c r="C1470" s="101">
        <f t="shared" ca="1" si="88"/>
        <v>1.168993356136329</v>
      </c>
      <c r="D1470" s="101">
        <f t="shared" ca="1" si="89"/>
        <v>0.74571925123372107</v>
      </c>
      <c r="E1470" s="101">
        <f t="shared" ca="1" si="90"/>
        <v>0</v>
      </c>
      <c r="F1470" s="21">
        <f t="shared" ca="1" si="91"/>
        <v>0</v>
      </c>
      <c r="H1470" s="21">
        <v>1455</v>
      </c>
      <c r="I1470" s="102">
        <v>0.66778345639955472</v>
      </c>
      <c r="J1470" s="103">
        <v>1.4205599814850426E-3</v>
      </c>
      <c r="K1470" s="103"/>
      <c r="L1470" s="103">
        <v>4.2999999999999997E-2</v>
      </c>
      <c r="O1470" s="100"/>
    </row>
    <row r="1471" spans="2:15" x14ac:dyDescent="0.2">
      <c r="B1471" s="1">
        <v>1456</v>
      </c>
      <c r="C1471" s="101">
        <f t="shared" ca="1" si="88"/>
        <v>0.4858606400899817</v>
      </c>
      <c r="D1471" s="101">
        <f t="shared" ca="1" si="89"/>
        <v>0.6971245392332438</v>
      </c>
      <c r="E1471" s="101">
        <f t="shared" ca="1" si="90"/>
        <v>0</v>
      </c>
      <c r="F1471" s="21">
        <f t="shared" ca="1" si="91"/>
        <v>0</v>
      </c>
      <c r="H1471" s="21">
        <v>1456</v>
      </c>
      <c r="I1471" s="102">
        <v>0.6677055349734542</v>
      </c>
      <c r="J1471" s="103">
        <v>1.4088208454145193E-3</v>
      </c>
      <c r="K1471" s="103"/>
      <c r="L1471" s="103">
        <v>4.2599999999999999E-2</v>
      </c>
      <c r="O1471" s="100"/>
    </row>
    <row r="1472" spans="2:15" x14ac:dyDescent="0.2">
      <c r="B1472" s="1">
        <v>1457</v>
      </c>
      <c r="C1472" s="101">
        <f t="shared" ca="1" si="88"/>
        <v>-1.6751036654884368</v>
      </c>
      <c r="D1472" s="101">
        <f t="shared" ca="1" si="89"/>
        <v>0.563295123995047</v>
      </c>
      <c r="E1472" s="101">
        <f t="shared" ca="1" si="90"/>
        <v>0</v>
      </c>
      <c r="F1472" s="21">
        <f t="shared" ca="1" si="91"/>
        <v>0</v>
      </c>
      <c r="H1472" s="21">
        <v>1457</v>
      </c>
      <c r="I1472" s="102">
        <v>0.66767397915061177</v>
      </c>
      <c r="J1472" s="103">
        <v>1.2944800698349202E-3</v>
      </c>
      <c r="K1472" s="103"/>
      <c r="L1472" s="103">
        <v>4.3799999999999999E-2</v>
      </c>
      <c r="O1472" s="100"/>
    </row>
    <row r="1473" spans="2:15" x14ac:dyDescent="0.2">
      <c r="B1473" s="1">
        <v>1458</v>
      </c>
      <c r="C1473" s="101">
        <f t="shared" ca="1" si="88"/>
        <v>0.92564954171254621</v>
      </c>
      <c r="D1473" s="101">
        <f t="shared" ca="1" si="89"/>
        <v>0.72803231363287868</v>
      </c>
      <c r="E1473" s="101">
        <f t="shared" ca="1" si="90"/>
        <v>0</v>
      </c>
      <c r="F1473" s="21">
        <f t="shared" ca="1" si="91"/>
        <v>0</v>
      </c>
      <c r="H1473" s="21">
        <v>1458</v>
      </c>
      <c r="I1473" s="102">
        <v>0.66783281951407081</v>
      </c>
      <c r="J1473" s="103">
        <v>1.6114167548418258E-3</v>
      </c>
      <c r="K1473" s="103"/>
      <c r="L1473" s="103">
        <v>4.6199999999999998E-2</v>
      </c>
      <c r="O1473" s="100"/>
    </row>
    <row r="1474" spans="2:15" x14ac:dyDescent="0.2">
      <c r="B1474" s="1">
        <v>1459</v>
      </c>
      <c r="C1474" s="101">
        <f t="shared" ca="1" si="88"/>
        <v>4.0773106394128497E-2</v>
      </c>
      <c r="D1474" s="101">
        <f t="shared" ca="1" si="89"/>
        <v>0.66718011660626741</v>
      </c>
      <c r="E1474" s="101">
        <f t="shared" ca="1" si="90"/>
        <v>0</v>
      </c>
      <c r="F1474" s="21">
        <f t="shared" ca="1" si="91"/>
        <v>0</v>
      </c>
      <c r="H1474" s="21">
        <v>1459</v>
      </c>
      <c r="I1474" s="102">
        <v>0.66773022248003211</v>
      </c>
      <c r="J1474" s="103">
        <v>1.2585772381367268E-3</v>
      </c>
      <c r="K1474" s="103"/>
      <c r="L1474" s="103">
        <v>0.04</v>
      </c>
      <c r="O1474" s="100"/>
    </row>
    <row r="1475" spans="2:15" x14ac:dyDescent="0.2">
      <c r="B1475" s="1">
        <v>1460</v>
      </c>
      <c r="C1475" s="101">
        <f t="shared" ca="1" si="88"/>
        <v>0.67428927567397912</v>
      </c>
      <c r="D1475" s="101">
        <f t="shared" ca="1" si="89"/>
        <v>0.71020305647584225</v>
      </c>
      <c r="E1475" s="101">
        <f t="shared" ca="1" si="90"/>
        <v>0</v>
      </c>
      <c r="F1475" s="21">
        <f t="shared" ca="1" si="91"/>
        <v>0</v>
      </c>
      <c r="H1475" s="21">
        <v>1460</v>
      </c>
      <c r="I1475" s="102">
        <v>0.66761989528204613</v>
      </c>
      <c r="J1475" s="103">
        <v>1.2695781858369046E-3</v>
      </c>
      <c r="K1475" s="103"/>
      <c r="L1475" s="103">
        <v>3.9199999999999999E-2</v>
      </c>
      <c r="O1475" s="100"/>
    </row>
    <row r="1476" spans="2:15" x14ac:dyDescent="0.2">
      <c r="B1476" s="1">
        <v>1461</v>
      </c>
      <c r="C1476" s="101">
        <f t="shared" ca="1" si="88"/>
        <v>1.4237396682562187</v>
      </c>
      <c r="D1476" s="101">
        <f t="shared" ca="1" si="89"/>
        <v>0.76469549168859163</v>
      </c>
      <c r="E1476" s="101">
        <f t="shared" ca="1" si="90"/>
        <v>0</v>
      </c>
      <c r="F1476" s="21">
        <f t="shared" ca="1" si="91"/>
        <v>0</v>
      </c>
      <c r="H1476" s="21">
        <v>1461</v>
      </c>
      <c r="I1476" s="102">
        <v>0.66775312352621985</v>
      </c>
      <c r="J1476" s="103">
        <v>1.3279458143557027E-3</v>
      </c>
      <c r="K1476" s="103"/>
      <c r="L1476" s="103">
        <v>4.2599999999999999E-2</v>
      </c>
      <c r="O1476" s="100"/>
    </row>
    <row r="1477" spans="2:15" x14ac:dyDescent="0.2">
      <c r="B1477" s="1">
        <v>1462</v>
      </c>
      <c r="C1477" s="101">
        <f t="shared" ca="1" si="88"/>
        <v>1.9598367501317375</v>
      </c>
      <c r="D1477" s="101">
        <f t="shared" ca="1" si="89"/>
        <v>0.80622191339091898</v>
      </c>
      <c r="E1477" s="101">
        <f t="shared" ca="1" si="90"/>
        <v>1.8021913390918964E-2</v>
      </c>
      <c r="F1477" s="21">
        <f t="shared" ca="1" si="91"/>
        <v>1</v>
      </c>
      <c r="H1477" s="21">
        <v>1462</v>
      </c>
      <c r="I1477" s="102">
        <v>0.6676715738961605</v>
      </c>
      <c r="J1477" s="103">
        <v>1.2049484325949711E-3</v>
      </c>
      <c r="K1477" s="103"/>
      <c r="L1477" s="103">
        <v>4.1399999999999999E-2</v>
      </c>
      <c r="O1477" s="100"/>
    </row>
    <row r="1478" spans="2:15" x14ac:dyDescent="0.2">
      <c r="B1478" s="1">
        <v>1463</v>
      </c>
      <c r="C1478" s="101">
        <f t="shared" ca="1" si="88"/>
        <v>-1.0269266265059855</v>
      </c>
      <c r="D1478" s="101">
        <f t="shared" ca="1" si="89"/>
        <v>0.60048684358384907</v>
      </c>
      <c r="E1478" s="101">
        <f t="shared" ca="1" si="90"/>
        <v>0</v>
      </c>
      <c r="F1478" s="21">
        <f t="shared" ca="1" si="91"/>
        <v>0</v>
      </c>
      <c r="H1478" s="21">
        <v>1463</v>
      </c>
      <c r="I1478" s="102">
        <v>0.66763446134646753</v>
      </c>
      <c r="J1478" s="103">
        <v>1.1717528035865251E-3</v>
      </c>
      <c r="K1478" s="103"/>
      <c r="L1478" s="103">
        <v>3.6999999999999998E-2</v>
      </c>
      <c r="O1478" s="100"/>
    </row>
    <row r="1479" spans="2:15" x14ac:dyDescent="0.2">
      <c r="B1479" s="1">
        <v>1464</v>
      </c>
      <c r="C1479" s="101">
        <f t="shared" ca="1" si="88"/>
        <v>-0.52517646314854771</v>
      </c>
      <c r="D1479" s="101">
        <f t="shared" ca="1" si="89"/>
        <v>0.63095467749919121</v>
      </c>
      <c r="E1479" s="101">
        <f t="shared" ca="1" si="90"/>
        <v>0</v>
      </c>
      <c r="F1479" s="21">
        <f t="shared" ca="1" si="91"/>
        <v>0</v>
      </c>
      <c r="H1479" s="21">
        <v>1464</v>
      </c>
      <c r="I1479" s="102">
        <v>0.66778960068014759</v>
      </c>
      <c r="J1479" s="103">
        <v>1.4115346895615202E-3</v>
      </c>
      <c r="K1479" s="103"/>
      <c r="L1479" s="103">
        <v>4.0599999999999997E-2</v>
      </c>
      <c r="O1479" s="100"/>
    </row>
    <row r="1480" spans="2:15" x14ac:dyDescent="0.2">
      <c r="B1480" s="1">
        <v>1465</v>
      </c>
      <c r="C1480" s="101">
        <f t="shared" ca="1" si="88"/>
        <v>-0.8599268764974568</v>
      </c>
      <c r="D1480" s="101">
        <f t="shared" ca="1" si="89"/>
        <v>0.61046063340271395</v>
      </c>
      <c r="E1480" s="101">
        <f t="shared" ca="1" si="90"/>
        <v>0</v>
      </c>
      <c r="F1480" s="21">
        <f t="shared" ca="1" si="91"/>
        <v>0</v>
      </c>
      <c r="H1480" s="21">
        <v>1465</v>
      </c>
      <c r="I1480" s="102">
        <v>0.66782461977616225</v>
      </c>
      <c r="J1480" s="103">
        <v>1.6607012236176761E-3</v>
      </c>
      <c r="K1480" s="103"/>
      <c r="L1480" s="103">
        <v>4.4400000000000002E-2</v>
      </c>
      <c r="O1480" s="100"/>
    </row>
    <row r="1481" spans="2:15" x14ac:dyDescent="0.2">
      <c r="B1481" s="1">
        <v>1466</v>
      </c>
      <c r="C1481" s="101">
        <f t="shared" ca="1" si="88"/>
        <v>-0.44126388051114424</v>
      </c>
      <c r="D1481" s="101">
        <f t="shared" ca="1" si="89"/>
        <v>0.63619892010176371</v>
      </c>
      <c r="E1481" s="101">
        <f t="shared" ca="1" si="90"/>
        <v>0</v>
      </c>
      <c r="F1481" s="21">
        <f t="shared" ca="1" si="91"/>
        <v>0</v>
      </c>
      <c r="H1481" s="21">
        <v>1466</v>
      </c>
      <c r="I1481" s="102">
        <v>0.66778301220544833</v>
      </c>
      <c r="J1481" s="103">
        <v>1.4038750252621916E-3</v>
      </c>
      <c r="K1481" s="103"/>
      <c r="L1481" s="103">
        <v>4.2599999999999999E-2</v>
      </c>
      <c r="O1481" s="100"/>
    </row>
    <row r="1482" spans="2:15" x14ac:dyDescent="0.2">
      <c r="B1482" s="1">
        <v>1467</v>
      </c>
      <c r="C1482" s="101">
        <f t="shared" ca="1" si="88"/>
        <v>-0.68882682905215331</v>
      </c>
      <c r="D1482" s="101">
        <f t="shared" ca="1" si="89"/>
        <v>0.62085114086051141</v>
      </c>
      <c r="E1482" s="101">
        <f t="shared" ca="1" si="90"/>
        <v>0</v>
      </c>
      <c r="F1482" s="21">
        <f t="shared" ca="1" si="91"/>
        <v>0</v>
      </c>
      <c r="H1482" s="21">
        <v>1467</v>
      </c>
      <c r="I1482" s="102">
        <v>0.66781454137781471</v>
      </c>
      <c r="J1482" s="103">
        <v>1.54459498979139E-3</v>
      </c>
      <c r="K1482" s="103"/>
      <c r="L1482" s="103">
        <v>4.24E-2</v>
      </c>
      <c r="O1482" s="100"/>
    </row>
    <row r="1483" spans="2:15" x14ac:dyDescent="0.2">
      <c r="B1483" s="1">
        <v>1468</v>
      </c>
      <c r="C1483" s="101">
        <f t="shared" ca="1" si="88"/>
        <v>-2.0833747309031314</v>
      </c>
      <c r="D1483" s="101">
        <f t="shared" ca="1" si="89"/>
        <v>0.54106060172906434</v>
      </c>
      <c r="E1483" s="101">
        <f t="shared" ca="1" si="90"/>
        <v>0</v>
      </c>
      <c r="F1483" s="21">
        <f t="shared" ca="1" si="91"/>
        <v>0</v>
      </c>
      <c r="H1483" s="21">
        <v>1468</v>
      </c>
      <c r="I1483" s="102">
        <v>0.66782165649017611</v>
      </c>
      <c r="J1483" s="103">
        <v>1.4031281284139292E-3</v>
      </c>
      <c r="K1483" s="103"/>
      <c r="L1483" s="103">
        <v>4.58E-2</v>
      </c>
      <c r="O1483" s="100"/>
    </row>
    <row r="1484" spans="2:15" x14ac:dyDescent="0.2">
      <c r="B1484" s="1">
        <v>1469</v>
      </c>
      <c r="C1484" s="101">
        <f t="shared" ca="1" si="88"/>
        <v>-7.9008205356366157E-2</v>
      </c>
      <c r="D1484" s="101">
        <f t="shared" ca="1" si="89"/>
        <v>0.65934351249215006</v>
      </c>
      <c r="E1484" s="101">
        <f t="shared" ca="1" si="90"/>
        <v>0</v>
      </c>
      <c r="F1484" s="21">
        <f t="shared" ca="1" si="91"/>
        <v>0</v>
      </c>
      <c r="H1484" s="21">
        <v>1469</v>
      </c>
      <c r="I1484" s="102">
        <v>0.66781007076417209</v>
      </c>
      <c r="J1484" s="103">
        <v>1.5127613707500815E-3</v>
      </c>
      <c r="K1484" s="103"/>
      <c r="L1484" s="103">
        <v>4.2799999999999998E-2</v>
      </c>
      <c r="O1484" s="100"/>
    </row>
    <row r="1485" spans="2:15" x14ac:dyDescent="0.2">
      <c r="B1485" s="1">
        <v>1470</v>
      </c>
      <c r="C1485" s="101">
        <f t="shared" ca="1" si="88"/>
        <v>1.2676145471810105</v>
      </c>
      <c r="D1485" s="101">
        <f t="shared" ca="1" si="89"/>
        <v>0.75300910214969052</v>
      </c>
      <c r="E1485" s="101">
        <f t="shared" ca="1" si="90"/>
        <v>0</v>
      </c>
      <c r="F1485" s="21">
        <f t="shared" ca="1" si="91"/>
        <v>0</v>
      </c>
      <c r="H1485" s="21">
        <v>1470</v>
      </c>
      <c r="I1485" s="102">
        <v>0.66761769035847496</v>
      </c>
      <c r="J1485" s="103">
        <v>1.1723040638643766E-3</v>
      </c>
      <c r="K1485" s="103"/>
      <c r="L1485" s="103">
        <v>3.9199999999999999E-2</v>
      </c>
      <c r="O1485" s="100"/>
    </row>
    <row r="1486" spans="2:15" x14ac:dyDescent="0.2">
      <c r="B1486" s="1">
        <v>1471</v>
      </c>
      <c r="C1486" s="101">
        <f t="shared" ca="1" si="88"/>
        <v>-2.1147267335112154</v>
      </c>
      <c r="D1486" s="101">
        <f t="shared" ca="1" si="89"/>
        <v>0.53938990077247151</v>
      </c>
      <c r="E1486" s="101">
        <f t="shared" ca="1" si="90"/>
        <v>0</v>
      </c>
      <c r="F1486" s="21">
        <f t="shared" ca="1" si="91"/>
        <v>0</v>
      </c>
      <c r="H1486" s="21">
        <v>1471</v>
      </c>
      <c r="I1486" s="102">
        <v>0.66778252153238626</v>
      </c>
      <c r="J1486" s="103">
        <v>1.3717856290802245E-3</v>
      </c>
      <c r="K1486" s="103"/>
      <c r="L1486" s="103">
        <v>4.0399999999999998E-2</v>
      </c>
      <c r="O1486" s="100"/>
    </row>
    <row r="1487" spans="2:15" x14ac:dyDescent="0.2">
      <c r="B1487" s="1">
        <v>1472</v>
      </c>
      <c r="C1487" s="101">
        <f t="shared" ca="1" si="88"/>
        <v>5.4645112107575312E-2</v>
      </c>
      <c r="D1487" s="101">
        <f t="shared" ca="1" si="89"/>
        <v>0.66809367943914955</v>
      </c>
      <c r="E1487" s="101">
        <f t="shared" ca="1" si="90"/>
        <v>0</v>
      </c>
      <c r="F1487" s="21">
        <f t="shared" ca="1" si="91"/>
        <v>0</v>
      </c>
      <c r="H1487" s="21">
        <v>1472</v>
      </c>
      <c r="I1487" s="102">
        <v>0.66785088371259171</v>
      </c>
      <c r="J1487" s="103">
        <v>1.4555881208101426E-3</v>
      </c>
      <c r="K1487" s="103"/>
      <c r="L1487" s="103">
        <v>4.3999999999999997E-2</v>
      </c>
      <c r="O1487" s="100"/>
    </row>
    <row r="1488" spans="2:15" x14ac:dyDescent="0.2">
      <c r="B1488" s="1">
        <v>1473</v>
      </c>
      <c r="C1488" s="101">
        <f t="shared" ref="C1488:C1551" ca="1" si="92">_xlfn.NORM.S.INV(RAND())</f>
        <v>-0.48434043536249971</v>
      </c>
      <c r="D1488" s="101">
        <f t="shared" ref="D1488:D1551" ca="1" si="93">S0*EXP((μ-0.5*σ*σ)*T+σ*SQRT(T)*$C1488)</f>
        <v>0.63350136434064996</v>
      </c>
      <c r="E1488" s="101">
        <f t="shared" ref="E1488:E1551" ca="1" si="94">MAX(0,CP*(D1488-K))</f>
        <v>0</v>
      </c>
      <c r="F1488" s="21">
        <f t="shared" ref="F1488:F1551" ca="1" si="95">(CP*(D1488-K)&gt;0)*1</f>
        <v>0</v>
      </c>
      <c r="H1488" s="21">
        <v>1473</v>
      </c>
      <c r="I1488" s="102">
        <v>0.66770524886304039</v>
      </c>
      <c r="J1488" s="103">
        <v>1.328432472653388E-3</v>
      </c>
      <c r="K1488" s="103"/>
      <c r="L1488" s="103">
        <v>3.9199999999999999E-2</v>
      </c>
      <c r="O1488" s="100"/>
    </row>
    <row r="1489" spans="2:15" x14ac:dyDescent="0.2">
      <c r="B1489" s="1">
        <v>1474</v>
      </c>
      <c r="C1489" s="101">
        <f t="shared" ca="1" si="92"/>
        <v>-0.31893563555236343</v>
      </c>
      <c r="D1489" s="101">
        <f t="shared" ca="1" si="93"/>
        <v>0.64392219407748763</v>
      </c>
      <c r="E1489" s="101">
        <f t="shared" ca="1" si="94"/>
        <v>0</v>
      </c>
      <c r="F1489" s="21">
        <f t="shared" ca="1" si="95"/>
        <v>0</v>
      </c>
      <c r="H1489" s="21">
        <v>1474</v>
      </c>
      <c r="I1489" s="102">
        <v>0.66778150183341944</v>
      </c>
      <c r="J1489" s="103">
        <v>1.4125082577042532E-3</v>
      </c>
      <c r="K1489" s="103"/>
      <c r="L1489" s="103">
        <v>4.36E-2</v>
      </c>
      <c r="O1489" s="100"/>
    </row>
    <row r="1490" spans="2:15" x14ac:dyDescent="0.2">
      <c r="B1490" s="1">
        <v>1475</v>
      </c>
      <c r="C1490" s="101">
        <f t="shared" ca="1" si="92"/>
        <v>-0.83150833613020214</v>
      </c>
      <c r="D1490" s="101">
        <f t="shared" ca="1" si="93"/>
        <v>0.6121743033877991</v>
      </c>
      <c r="E1490" s="101">
        <f t="shared" ca="1" si="94"/>
        <v>0</v>
      </c>
      <c r="F1490" s="21">
        <f t="shared" ca="1" si="95"/>
        <v>0</v>
      </c>
      <c r="H1490" s="21">
        <v>1475</v>
      </c>
      <c r="I1490" s="102">
        <v>0.66785972899231061</v>
      </c>
      <c r="J1490" s="103">
        <v>1.490992149989987E-3</v>
      </c>
      <c r="K1490" s="103"/>
      <c r="L1490" s="103">
        <v>4.58E-2</v>
      </c>
      <c r="O1490" s="100"/>
    </row>
    <row r="1491" spans="2:15" x14ac:dyDescent="0.2">
      <c r="B1491" s="1">
        <v>1476</v>
      </c>
      <c r="C1491" s="101">
        <f t="shared" ca="1" si="92"/>
        <v>0.20266738122741856</v>
      </c>
      <c r="D1491" s="101">
        <f t="shared" ca="1" si="93"/>
        <v>0.67792015482077006</v>
      </c>
      <c r="E1491" s="101">
        <f t="shared" ca="1" si="94"/>
        <v>0</v>
      </c>
      <c r="F1491" s="21">
        <f t="shared" ca="1" si="95"/>
        <v>0</v>
      </c>
      <c r="H1491" s="21">
        <v>1476</v>
      </c>
      <c r="I1491" s="102">
        <v>0.66777498072751462</v>
      </c>
      <c r="J1491" s="103">
        <v>1.538083400876483E-3</v>
      </c>
      <c r="K1491" s="103"/>
      <c r="L1491" s="103">
        <v>4.3799999999999999E-2</v>
      </c>
      <c r="O1491" s="100"/>
    </row>
    <row r="1492" spans="2:15" x14ac:dyDescent="0.2">
      <c r="B1492" s="1">
        <v>1477</v>
      </c>
      <c r="C1492" s="101">
        <f t="shared" ca="1" si="92"/>
        <v>-0.52311851751965588</v>
      </c>
      <c r="D1492" s="101">
        <f t="shared" ca="1" si="93"/>
        <v>0.63108277334413765</v>
      </c>
      <c r="E1492" s="101">
        <f t="shared" ca="1" si="94"/>
        <v>0</v>
      </c>
      <c r="F1492" s="21">
        <f t="shared" ca="1" si="95"/>
        <v>0</v>
      </c>
      <c r="H1492" s="21">
        <v>1477</v>
      </c>
      <c r="I1492" s="102">
        <v>0.66783603871134312</v>
      </c>
      <c r="J1492" s="103">
        <v>1.4420340512148035E-3</v>
      </c>
      <c r="K1492" s="103"/>
      <c r="L1492" s="103">
        <v>4.3400000000000001E-2</v>
      </c>
      <c r="O1492" s="100"/>
    </row>
    <row r="1493" spans="2:15" x14ac:dyDescent="0.2">
      <c r="B1493" s="1">
        <v>1478</v>
      </c>
      <c r="C1493" s="101">
        <f t="shared" ca="1" si="92"/>
        <v>1.0251051015361181</v>
      </c>
      <c r="D1493" s="101">
        <f t="shared" ca="1" si="93"/>
        <v>0.73520977183186875</v>
      </c>
      <c r="E1493" s="101">
        <f t="shared" ca="1" si="94"/>
        <v>0</v>
      </c>
      <c r="F1493" s="21">
        <f t="shared" ca="1" si="95"/>
        <v>0</v>
      </c>
      <c r="H1493" s="21">
        <v>1478</v>
      </c>
      <c r="I1493" s="102">
        <v>0.6677751325045731</v>
      </c>
      <c r="J1493" s="103">
        <v>1.4379085554863565E-3</v>
      </c>
      <c r="K1493" s="103"/>
      <c r="L1493" s="103">
        <v>4.4600000000000001E-2</v>
      </c>
      <c r="O1493" s="100"/>
    </row>
    <row r="1494" spans="2:15" x14ac:dyDescent="0.2">
      <c r="B1494" s="1">
        <v>1479</v>
      </c>
      <c r="C1494" s="101">
        <f t="shared" ca="1" si="92"/>
        <v>-1.8079430165211805</v>
      </c>
      <c r="D1494" s="101">
        <f t="shared" ca="1" si="93"/>
        <v>0.5559621631359114</v>
      </c>
      <c r="E1494" s="101">
        <f t="shared" ca="1" si="94"/>
        <v>0</v>
      </c>
      <c r="F1494" s="21">
        <f t="shared" ca="1" si="95"/>
        <v>0</v>
      </c>
      <c r="H1494" s="21">
        <v>1479</v>
      </c>
      <c r="I1494" s="102">
        <v>0.66779045564384654</v>
      </c>
      <c r="J1494" s="103">
        <v>1.3519635018726626E-3</v>
      </c>
      <c r="K1494" s="103"/>
      <c r="L1494" s="103">
        <v>4.4400000000000002E-2</v>
      </c>
      <c r="O1494" s="100"/>
    </row>
    <row r="1495" spans="2:15" x14ac:dyDescent="0.2">
      <c r="B1495" s="1">
        <v>1480</v>
      </c>
      <c r="C1495" s="101">
        <f t="shared" ca="1" si="92"/>
        <v>1.8140974606130673</v>
      </c>
      <c r="D1495" s="101">
        <f t="shared" ca="1" si="93"/>
        <v>0.79471464623219268</v>
      </c>
      <c r="E1495" s="101">
        <f t="shared" ca="1" si="94"/>
        <v>6.5146462321926668E-3</v>
      </c>
      <c r="F1495" s="21">
        <f t="shared" ca="1" si="95"/>
        <v>1</v>
      </c>
      <c r="H1495" s="21">
        <v>1480</v>
      </c>
      <c r="I1495" s="102">
        <v>0.66782177104485052</v>
      </c>
      <c r="J1495" s="103">
        <v>1.4144084874823852E-3</v>
      </c>
      <c r="K1495" s="103"/>
      <c r="L1495" s="103">
        <v>4.2000000000000003E-2</v>
      </c>
      <c r="O1495" s="100"/>
    </row>
    <row r="1496" spans="2:15" x14ac:dyDescent="0.2">
      <c r="B1496" s="1">
        <v>1481</v>
      </c>
      <c r="C1496" s="101">
        <f t="shared" ca="1" si="92"/>
        <v>0.60330667315957898</v>
      </c>
      <c r="D1496" s="101">
        <f t="shared" ca="1" si="93"/>
        <v>0.70524771237195127</v>
      </c>
      <c r="E1496" s="101">
        <f t="shared" ca="1" si="94"/>
        <v>0</v>
      </c>
      <c r="F1496" s="21">
        <f t="shared" ca="1" si="95"/>
        <v>0</v>
      </c>
      <c r="H1496" s="21">
        <v>1481</v>
      </c>
      <c r="I1496" s="102">
        <v>0.66781934260613285</v>
      </c>
      <c r="J1496" s="103">
        <v>1.4775451466196882E-3</v>
      </c>
      <c r="K1496" s="103"/>
      <c r="L1496" s="103">
        <v>4.1599999999999998E-2</v>
      </c>
      <c r="O1496" s="100"/>
    </row>
    <row r="1497" spans="2:15" x14ac:dyDescent="0.2">
      <c r="B1497" s="1">
        <v>1482</v>
      </c>
      <c r="C1497" s="101">
        <f t="shared" ca="1" si="92"/>
        <v>-0.91482001491115494</v>
      </c>
      <c r="D1497" s="101">
        <f t="shared" ca="1" si="93"/>
        <v>0.60716408572306346</v>
      </c>
      <c r="E1497" s="101">
        <f t="shared" ca="1" si="94"/>
        <v>0</v>
      </c>
      <c r="F1497" s="21">
        <f t="shared" ca="1" si="95"/>
        <v>0</v>
      </c>
      <c r="H1497" s="21">
        <v>1482</v>
      </c>
      <c r="I1497" s="102">
        <v>0.66764242791879824</v>
      </c>
      <c r="J1497" s="103">
        <v>1.2570210591677296E-3</v>
      </c>
      <c r="K1497" s="103"/>
      <c r="L1497" s="103">
        <v>4.1799999999999997E-2</v>
      </c>
      <c r="O1497" s="100"/>
    </row>
    <row r="1498" spans="2:15" x14ac:dyDescent="0.2">
      <c r="B1498" s="1">
        <v>1483</v>
      </c>
      <c r="C1498" s="101">
        <f t="shared" ca="1" si="92"/>
        <v>-0.10303022178449286</v>
      </c>
      <c r="D1498" s="101">
        <f t="shared" ca="1" si="93"/>
        <v>0.65778300572944237</v>
      </c>
      <c r="E1498" s="101">
        <f t="shared" ca="1" si="94"/>
        <v>0</v>
      </c>
      <c r="F1498" s="21">
        <f t="shared" ca="1" si="95"/>
        <v>0</v>
      </c>
      <c r="H1498" s="21">
        <v>1483</v>
      </c>
      <c r="I1498" s="102">
        <v>0.6677596580057531</v>
      </c>
      <c r="J1498" s="103">
        <v>1.3154945173646829E-3</v>
      </c>
      <c r="K1498" s="103"/>
      <c r="L1498" s="103">
        <v>4.2599999999999999E-2</v>
      </c>
      <c r="O1498" s="100"/>
    </row>
    <row r="1499" spans="2:15" x14ac:dyDescent="0.2">
      <c r="B1499" s="1">
        <v>1484</v>
      </c>
      <c r="C1499" s="101">
        <f t="shared" ca="1" si="92"/>
        <v>-0.23754048659940113</v>
      </c>
      <c r="D1499" s="101">
        <f t="shared" ca="1" si="93"/>
        <v>0.64911300778264092</v>
      </c>
      <c r="E1499" s="101">
        <f t="shared" ca="1" si="94"/>
        <v>0</v>
      </c>
      <c r="F1499" s="21">
        <f t="shared" ca="1" si="95"/>
        <v>0</v>
      </c>
      <c r="H1499" s="21">
        <v>1484</v>
      </c>
      <c r="I1499" s="102">
        <v>0.66781647771808261</v>
      </c>
      <c r="J1499" s="103">
        <v>1.4660343602249919E-3</v>
      </c>
      <c r="K1499" s="103"/>
      <c r="L1499" s="103">
        <v>4.5400000000000003E-2</v>
      </c>
      <c r="O1499" s="100"/>
    </row>
    <row r="1500" spans="2:15" x14ac:dyDescent="0.2">
      <c r="B1500" s="1">
        <v>1485</v>
      </c>
      <c r="C1500" s="101">
        <f t="shared" ca="1" si="92"/>
        <v>-1.5923420851087693</v>
      </c>
      <c r="D1500" s="101">
        <f t="shared" ca="1" si="93"/>
        <v>0.5679125250866861</v>
      </c>
      <c r="E1500" s="101">
        <f t="shared" ca="1" si="94"/>
        <v>0</v>
      </c>
      <c r="F1500" s="21">
        <f t="shared" ca="1" si="95"/>
        <v>0</v>
      </c>
      <c r="H1500" s="21">
        <v>1485</v>
      </c>
      <c r="I1500" s="102">
        <v>0.66775386283530402</v>
      </c>
      <c r="J1500" s="103">
        <v>1.4764248587385126E-3</v>
      </c>
      <c r="K1500" s="103"/>
      <c r="L1500" s="103">
        <v>4.0599999999999997E-2</v>
      </c>
      <c r="O1500" s="100"/>
    </row>
    <row r="1501" spans="2:15" x14ac:dyDescent="0.2">
      <c r="B1501" s="1">
        <v>1486</v>
      </c>
      <c r="C1501" s="101">
        <f t="shared" ca="1" si="92"/>
        <v>0.63895540994121136</v>
      </c>
      <c r="D1501" s="101">
        <f t="shared" ca="1" si="93"/>
        <v>0.70773203812081464</v>
      </c>
      <c r="E1501" s="101">
        <f t="shared" ca="1" si="94"/>
        <v>0</v>
      </c>
      <c r="F1501" s="21">
        <f t="shared" ca="1" si="95"/>
        <v>0</v>
      </c>
      <c r="H1501" s="21">
        <v>1486</v>
      </c>
      <c r="I1501" s="102">
        <v>0.66776840441543894</v>
      </c>
      <c r="J1501" s="103">
        <v>1.4471866433464881E-3</v>
      </c>
      <c r="K1501" s="103"/>
      <c r="L1501" s="103">
        <v>4.2799999999999998E-2</v>
      </c>
      <c r="O1501" s="100"/>
    </row>
    <row r="1502" spans="2:15" x14ac:dyDescent="0.2">
      <c r="B1502" s="1">
        <v>1487</v>
      </c>
      <c r="C1502" s="101">
        <f t="shared" ca="1" si="92"/>
        <v>2.263639833557336</v>
      </c>
      <c r="D1502" s="101">
        <f t="shared" ca="1" si="93"/>
        <v>0.83074805861027157</v>
      </c>
      <c r="E1502" s="101">
        <f t="shared" ca="1" si="94"/>
        <v>4.2548058610271555E-2</v>
      </c>
      <c r="F1502" s="21">
        <f t="shared" ca="1" si="95"/>
        <v>1</v>
      </c>
      <c r="H1502" s="21">
        <v>1487</v>
      </c>
      <c r="I1502" s="102">
        <v>0.66762323084544939</v>
      </c>
      <c r="J1502" s="103">
        <v>1.2290504038050504E-3</v>
      </c>
      <c r="K1502" s="103"/>
      <c r="L1502" s="103">
        <v>3.6600000000000001E-2</v>
      </c>
      <c r="O1502" s="100"/>
    </row>
    <row r="1503" spans="2:15" x14ac:dyDescent="0.2">
      <c r="B1503" s="1">
        <v>1488</v>
      </c>
      <c r="C1503" s="101">
        <f t="shared" ca="1" si="92"/>
        <v>0.60170054589735267</v>
      </c>
      <c r="D1503" s="101">
        <f t="shared" ca="1" si="93"/>
        <v>0.70513598845886416</v>
      </c>
      <c r="E1503" s="101">
        <f t="shared" ca="1" si="94"/>
        <v>0</v>
      </c>
      <c r="F1503" s="21">
        <f t="shared" ca="1" si="95"/>
        <v>0</v>
      </c>
      <c r="H1503" s="21">
        <v>1488</v>
      </c>
      <c r="I1503" s="102">
        <v>0.66770453766674687</v>
      </c>
      <c r="J1503" s="103">
        <v>1.3319042831041758E-3</v>
      </c>
      <c r="K1503" s="103"/>
      <c r="L1503" s="103">
        <v>4.2000000000000003E-2</v>
      </c>
      <c r="O1503" s="100"/>
    </row>
    <row r="1504" spans="2:15" x14ac:dyDescent="0.2">
      <c r="B1504" s="1">
        <v>1489</v>
      </c>
      <c r="C1504" s="101">
        <f t="shared" ca="1" si="92"/>
        <v>1.483343092638316</v>
      </c>
      <c r="D1504" s="101">
        <f t="shared" ca="1" si="93"/>
        <v>0.76920465489706136</v>
      </c>
      <c r="E1504" s="101">
        <f t="shared" ca="1" si="94"/>
        <v>0</v>
      </c>
      <c r="F1504" s="21">
        <f t="shared" ca="1" si="95"/>
        <v>0</v>
      </c>
      <c r="H1504" s="21">
        <v>1489</v>
      </c>
      <c r="I1504" s="102">
        <v>0.66767448971272492</v>
      </c>
      <c r="J1504" s="103">
        <v>1.428340076693641E-3</v>
      </c>
      <c r="K1504" s="103"/>
      <c r="L1504" s="103">
        <v>3.9800000000000002E-2</v>
      </c>
      <c r="O1504" s="100"/>
    </row>
    <row r="1505" spans="2:15" x14ac:dyDescent="0.2">
      <c r="B1505" s="1">
        <v>1490</v>
      </c>
      <c r="C1505" s="101">
        <f t="shared" ca="1" si="92"/>
        <v>-1.4370979317936414</v>
      </c>
      <c r="D1505" s="101">
        <f t="shared" ca="1" si="93"/>
        <v>0.57667617713683905</v>
      </c>
      <c r="E1505" s="101">
        <f t="shared" ca="1" si="94"/>
        <v>0</v>
      </c>
      <c r="F1505" s="21">
        <f t="shared" ca="1" si="95"/>
        <v>0</v>
      </c>
      <c r="H1505" s="21">
        <v>1490</v>
      </c>
      <c r="I1505" s="102">
        <v>0.66769929351342094</v>
      </c>
      <c r="J1505" s="103">
        <v>1.29235709143383E-3</v>
      </c>
      <c r="K1505" s="103"/>
      <c r="L1505" s="103">
        <v>4.1399999999999999E-2</v>
      </c>
      <c r="O1505" s="100"/>
    </row>
    <row r="1506" spans="2:15" x14ac:dyDescent="0.2">
      <c r="B1506" s="1">
        <v>1491</v>
      </c>
      <c r="C1506" s="101">
        <f t="shared" ca="1" si="92"/>
        <v>-1.9696205860565374</v>
      </c>
      <c r="D1506" s="101">
        <f t="shared" ca="1" si="93"/>
        <v>0.54716595641303234</v>
      </c>
      <c r="E1506" s="101">
        <f t="shared" ca="1" si="94"/>
        <v>0</v>
      </c>
      <c r="F1506" s="21">
        <f t="shared" ca="1" si="95"/>
        <v>0</v>
      </c>
      <c r="H1506" s="21">
        <v>1491</v>
      </c>
      <c r="I1506" s="102">
        <v>0.66785877742277255</v>
      </c>
      <c r="J1506" s="103">
        <v>1.5963824600561832E-3</v>
      </c>
      <c r="K1506" s="103"/>
      <c r="L1506" s="103">
        <v>4.5600000000000002E-2</v>
      </c>
      <c r="O1506" s="100"/>
    </row>
    <row r="1507" spans="2:15" x14ac:dyDescent="0.2">
      <c r="B1507" s="1">
        <v>1492</v>
      </c>
      <c r="C1507" s="101">
        <f t="shared" ca="1" si="92"/>
        <v>1.7862291080641184</v>
      </c>
      <c r="D1507" s="101">
        <f t="shared" ca="1" si="93"/>
        <v>0.79253299854107273</v>
      </c>
      <c r="E1507" s="101">
        <f t="shared" ca="1" si="94"/>
        <v>4.332998541072719E-3</v>
      </c>
      <c r="F1507" s="21">
        <f t="shared" ca="1" si="95"/>
        <v>1</v>
      </c>
      <c r="H1507" s="21">
        <v>1492</v>
      </c>
      <c r="I1507" s="102">
        <v>0.66779657917028157</v>
      </c>
      <c r="J1507" s="103">
        <v>1.3756857338521472E-3</v>
      </c>
      <c r="K1507" s="103"/>
      <c r="L1507" s="103">
        <v>4.2000000000000003E-2</v>
      </c>
      <c r="O1507" s="100"/>
    </row>
    <row r="1508" spans="2:15" x14ac:dyDescent="0.2">
      <c r="B1508" s="1">
        <v>1493</v>
      </c>
      <c r="C1508" s="101">
        <f t="shared" ca="1" si="92"/>
        <v>0.97198021592971662</v>
      </c>
      <c r="D1508" s="101">
        <f t="shared" ca="1" si="93"/>
        <v>0.73136712246811764</v>
      </c>
      <c r="E1508" s="101">
        <f t="shared" ca="1" si="94"/>
        <v>0</v>
      </c>
      <c r="F1508" s="21">
        <f t="shared" ca="1" si="95"/>
        <v>0</v>
      </c>
      <c r="H1508" s="21">
        <v>1493</v>
      </c>
      <c r="I1508" s="102">
        <v>0.66788223512694644</v>
      </c>
      <c r="J1508" s="103">
        <v>1.5393617565049038E-3</v>
      </c>
      <c r="K1508" s="103"/>
      <c r="L1508" s="103">
        <v>4.2999999999999997E-2</v>
      </c>
      <c r="O1508" s="100"/>
    </row>
    <row r="1509" spans="2:15" x14ac:dyDescent="0.2">
      <c r="B1509" s="1">
        <v>1494</v>
      </c>
      <c r="C1509" s="101">
        <f t="shared" ca="1" si="92"/>
        <v>1.6168651822628073</v>
      </c>
      <c r="D1509" s="101">
        <f t="shared" ca="1" si="93"/>
        <v>0.77940270322856031</v>
      </c>
      <c r="E1509" s="101">
        <f t="shared" ca="1" si="94"/>
        <v>0</v>
      </c>
      <c r="F1509" s="21">
        <f t="shared" ca="1" si="95"/>
        <v>0</v>
      </c>
      <c r="H1509" s="21">
        <v>1494</v>
      </c>
      <c r="I1509" s="102">
        <v>0.66771224430738929</v>
      </c>
      <c r="J1509" s="103">
        <v>1.3357104290401679E-3</v>
      </c>
      <c r="K1509" s="103"/>
      <c r="L1509" s="103">
        <v>4.1399999999999999E-2</v>
      </c>
      <c r="O1509" s="100"/>
    </row>
    <row r="1510" spans="2:15" x14ac:dyDescent="0.2">
      <c r="B1510" s="1">
        <v>1495</v>
      </c>
      <c r="C1510" s="101">
        <f t="shared" ca="1" si="92"/>
        <v>-0.15086331783028267</v>
      </c>
      <c r="D1510" s="101">
        <f t="shared" ca="1" si="93"/>
        <v>0.65468668547087072</v>
      </c>
      <c r="E1510" s="101">
        <f t="shared" ca="1" si="94"/>
        <v>0</v>
      </c>
      <c r="F1510" s="21">
        <f t="shared" ca="1" si="95"/>
        <v>0</v>
      </c>
      <c r="H1510" s="21">
        <v>1495</v>
      </c>
      <c r="I1510" s="102">
        <v>0.66769523812930454</v>
      </c>
      <c r="J1510" s="103">
        <v>1.3603529183642486E-3</v>
      </c>
      <c r="K1510" s="103"/>
      <c r="L1510" s="103">
        <v>3.8600000000000002E-2</v>
      </c>
      <c r="O1510" s="100"/>
    </row>
    <row r="1511" spans="2:15" x14ac:dyDescent="0.2">
      <c r="B1511" s="1">
        <v>1496</v>
      </c>
      <c r="C1511" s="101">
        <f t="shared" ca="1" si="92"/>
        <v>0.5684251872640228</v>
      </c>
      <c r="D1511" s="101">
        <f t="shared" ca="1" si="93"/>
        <v>0.70282529692478002</v>
      </c>
      <c r="E1511" s="101">
        <f t="shared" ca="1" si="94"/>
        <v>0</v>
      </c>
      <c r="F1511" s="21">
        <f t="shared" ca="1" si="95"/>
        <v>0</v>
      </c>
      <c r="H1511" s="21">
        <v>1496</v>
      </c>
      <c r="I1511" s="102">
        <v>0.66778625809767556</v>
      </c>
      <c r="J1511" s="103">
        <v>1.4019839318306527E-3</v>
      </c>
      <c r="K1511" s="103"/>
      <c r="L1511" s="103">
        <v>4.1599999999999998E-2</v>
      </c>
      <c r="O1511" s="100"/>
    </row>
    <row r="1512" spans="2:15" x14ac:dyDescent="0.2">
      <c r="B1512" s="1">
        <v>1497</v>
      </c>
      <c r="C1512" s="101">
        <f t="shared" ca="1" si="92"/>
        <v>0.86839211137360472</v>
      </c>
      <c r="D1512" s="101">
        <f t="shared" ca="1" si="93"/>
        <v>0.72393201441246835</v>
      </c>
      <c r="E1512" s="101">
        <f t="shared" ca="1" si="94"/>
        <v>0</v>
      </c>
      <c r="F1512" s="21">
        <f t="shared" ca="1" si="95"/>
        <v>0</v>
      </c>
      <c r="H1512" s="21">
        <v>1497</v>
      </c>
      <c r="I1512" s="102">
        <v>0.66763879280383354</v>
      </c>
      <c r="J1512" s="103">
        <v>1.2594598763101591E-3</v>
      </c>
      <c r="K1512" s="103"/>
      <c r="L1512" s="103">
        <v>4.1599999999999998E-2</v>
      </c>
      <c r="O1512" s="100"/>
    </row>
    <row r="1513" spans="2:15" x14ac:dyDescent="0.2">
      <c r="B1513" s="1">
        <v>1498</v>
      </c>
      <c r="C1513" s="101">
        <f t="shared" ca="1" si="92"/>
        <v>-0.91259969402658814</v>
      </c>
      <c r="D1513" s="101">
        <f t="shared" ca="1" si="93"/>
        <v>0.60729707856874948</v>
      </c>
      <c r="E1513" s="101">
        <f t="shared" ca="1" si="94"/>
        <v>0</v>
      </c>
      <c r="F1513" s="21">
        <f t="shared" ca="1" si="95"/>
        <v>0</v>
      </c>
      <c r="H1513" s="21">
        <v>1498</v>
      </c>
      <c r="I1513" s="102">
        <v>0.66762328419135775</v>
      </c>
      <c r="J1513" s="103">
        <v>1.1881132755564342E-3</v>
      </c>
      <c r="K1513" s="103"/>
      <c r="L1513" s="103">
        <v>3.9399999999999998E-2</v>
      </c>
      <c r="O1513" s="100"/>
    </row>
    <row r="1514" spans="2:15" x14ac:dyDescent="0.2">
      <c r="B1514" s="1">
        <v>1499</v>
      </c>
      <c r="C1514" s="101">
        <f t="shared" ca="1" si="92"/>
        <v>0.79645417650679651</v>
      </c>
      <c r="D1514" s="101">
        <f t="shared" ca="1" si="93"/>
        <v>0.71881313766634303</v>
      </c>
      <c r="E1514" s="101">
        <f t="shared" ca="1" si="94"/>
        <v>0</v>
      </c>
      <c r="F1514" s="21">
        <f t="shared" ca="1" si="95"/>
        <v>0</v>
      </c>
      <c r="H1514" s="21">
        <v>1499</v>
      </c>
      <c r="I1514" s="102">
        <v>0.66777060660858301</v>
      </c>
      <c r="J1514" s="103">
        <v>1.436852939402289E-3</v>
      </c>
      <c r="K1514" s="103"/>
      <c r="L1514" s="103">
        <v>4.3200000000000002E-2</v>
      </c>
      <c r="O1514" s="100"/>
    </row>
    <row r="1515" spans="2:15" x14ac:dyDescent="0.2">
      <c r="B1515" s="1">
        <v>1500</v>
      </c>
      <c r="C1515" s="101">
        <f t="shared" ca="1" si="92"/>
        <v>-0.74318699072378835</v>
      </c>
      <c r="D1515" s="101">
        <f t="shared" ca="1" si="93"/>
        <v>0.61753094834486955</v>
      </c>
      <c r="E1515" s="101">
        <f t="shared" ca="1" si="94"/>
        <v>0</v>
      </c>
      <c r="F1515" s="21">
        <f t="shared" ca="1" si="95"/>
        <v>0</v>
      </c>
      <c r="H1515" s="21">
        <v>1500</v>
      </c>
      <c r="I1515" s="102">
        <v>0.66753544759184735</v>
      </c>
      <c r="J1515" s="103">
        <v>1.0735567004559964E-3</v>
      </c>
      <c r="K1515" s="103"/>
      <c r="L1515" s="103">
        <v>3.6400000000000002E-2</v>
      </c>
      <c r="O1515" s="100"/>
    </row>
    <row r="1516" spans="2:15" x14ac:dyDescent="0.2">
      <c r="B1516" s="1">
        <v>1501</v>
      </c>
      <c r="C1516" s="101">
        <f t="shared" ca="1" si="92"/>
        <v>0.6308497791249057</v>
      </c>
      <c r="D1516" s="101">
        <f t="shared" ca="1" si="93"/>
        <v>0.70716639700885431</v>
      </c>
      <c r="E1516" s="101">
        <f t="shared" ca="1" si="94"/>
        <v>0</v>
      </c>
      <c r="F1516" s="21">
        <f t="shared" ca="1" si="95"/>
        <v>0</v>
      </c>
      <c r="H1516" s="21">
        <v>1501</v>
      </c>
      <c r="I1516" s="102">
        <v>0.6676966647386493</v>
      </c>
      <c r="J1516" s="103">
        <v>1.3519425364246582E-3</v>
      </c>
      <c r="K1516" s="103"/>
      <c r="L1516" s="103">
        <v>4.2000000000000003E-2</v>
      </c>
      <c r="O1516" s="100"/>
    </row>
    <row r="1517" spans="2:15" x14ac:dyDescent="0.2">
      <c r="B1517" s="1">
        <v>1502</v>
      </c>
      <c r="C1517" s="101">
        <f t="shared" ca="1" si="92"/>
        <v>-7.585451816601199E-3</v>
      </c>
      <c r="D1517" s="101">
        <f t="shared" ca="1" si="93"/>
        <v>0.66400514441330649</v>
      </c>
      <c r="E1517" s="101">
        <f t="shared" ca="1" si="94"/>
        <v>0</v>
      </c>
      <c r="F1517" s="21">
        <f t="shared" ca="1" si="95"/>
        <v>0</v>
      </c>
      <c r="H1517" s="21">
        <v>1502</v>
      </c>
      <c r="I1517" s="102">
        <v>0.66770832885100562</v>
      </c>
      <c r="J1517" s="103">
        <v>1.3461697921411976E-3</v>
      </c>
      <c r="K1517" s="103"/>
      <c r="L1517" s="103">
        <v>4.2000000000000003E-2</v>
      </c>
      <c r="O1517" s="100"/>
    </row>
    <row r="1518" spans="2:15" x14ac:dyDescent="0.2">
      <c r="B1518" s="1">
        <v>1503</v>
      </c>
      <c r="C1518" s="101">
        <f t="shared" ca="1" si="92"/>
        <v>-1.3672781452485419</v>
      </c>
      <c r="D1518" s="101">
        <f t="shared" ca="1" si="93"/>
        <v>0.58066152105240476</v>
      </c>
      <c r="E1518" s="101">
        <f t="shared" ca="1" si="94"/>
        <v>0</v>
      </c>
      <c r="F1518" s="21">
        <f t="shared" ca="1" si="95"/>
        <v>0</v>
      </c>
      <c r="H1518" s="21">
        <v>1503</v>
      </c>
      <c r="I1518" s="102">
        <v>0.66760907597115215</v>
      </c>
      <c r="J1518" s="103">
        <v>1.2700051008126072E-3</v>
      </c>
      <c r="K1518" s="103"/>
      <c r="L1518" s="103">
        <v>3.9600000000000003E-2</v>
      </c>
      <c r="O1518" s="100"/>
    </row>
    <row r="1519" spans="2:15" x14ac:dyDescent="0.2">
      <c r="B1519" s="1">
        <v>1504</v>
      </c>
      <c r="C1519" s="101">
        <f t="shared" ca="1" si="92"/>
        <v>-2.5311757598875113</v>
      </c>
      <c r="D1519" s="101">
        <f t="shared" ca="1" si="93"/>
        <v>0.517681197203119</v>
      </c>
      <c r="E1519" s="101">
        <f t="shared" ca="1" si="94"/>
        <v>0</v>
      </c>
      <c r="F1519" s="21">
        <f t="shared" ca="1" si="95"/>
        <v>0</v>
      </c>
      <c r="H1519" s="21">
        <v>1504</v>
      </c>
      <c r="I1519" s="102">
        <v>0.66758226457917469</v>
      </c>
      <c r="J1519" s="103">
        <v>1.2048549305689999E-3</v>
      </c>
      <c r="K1519" s="103"/>
      <c r="L1519" s="103">
        <v>3.7600000000000001E-2</v>
      </c>
      <c r="O1519" s="100"/>
    </row>
    <row r="1520" spans="2:15" x14ac:dyDescent="0.2">
      <c r="B1520" s="1">
        <v>1505</v>
      </c>
      <c r="C1520" s="101">
        <f t="shared" ca="1" si="92"/>
        <v>-0.72418780244141745</v>
      </c>
      <c r="D1520" s="101">
        <f t="shared" ca="1" si="93"/>
        <v>0.61868935140282511</v>
      </c>
      <c r="E1520" s="101">
        <f t="shared" ca="1" si="94"/>
        <v>0</v>
      </c>
      <c r="F1520" s="21">
        <f t="shared" ca="1" si="95"/>
        <v>0</v>
      </c>
      <c r="H1520" s="21">
        <v>1505</v>
      </c>
      <c r="I1520" s="102">
        <v>0.66765055632039383</v>
      </c>
      <c r="J1520" s="103">
        <v>1.3556514409958313E-3</v>
      </c>
      <c r="K1520" s="103"/>
      <c r="L1520" s="103">
        <v>4.24E-2</v>
      </c>
      <c r="O1520" s="100"/>
    </row>
    <row r="1521" spans="2:15" x14ac:dyDescent="0.2">
      <c r="B1521" s="1">
        <v>1506</v>
      </c>
      <c r="C1521" s="101">
        <f t="shared" ca="1" si="92"/>
        <v>-3.3670920937706614E-2</v>
      </c>
      <c r="D1521" s="101">
        <f t="shared" ca="1" si="93"/>
        <v>0.66229878554726551</v>
      </c>
      <c r="E1521" s="101">
        <f t="shared" ca="1" si="94"/>
        <v>0</v>
      </c>
      <c r="F1521" s="21">
        <f t="shared" ca="1" si="95"/>
        <v>0</v>
      </c>
      <c r="H1521" s="21">
        <v>1506</v>
      </c>
      <c r="I1521" s="102">
        <v>0.66767971677052018</v>
      </c>
      <c r="J1521" s="103">
        <v>1.223546742635234E-3</v>
      </c>
      <c r="K1521" s="103"/>
      <c r="L1521" s="103">
        <v>3.8199999999999998E-2</v>
      </c>
      <c r="O1521" s="100"/>
    </row>
    <row r="1522" spans="2:15" x14ac:dyDescent="0.2">
      <c r="B1522" s="1">
        <v>1507</v>
      </c>
      <c r="C1522" s="101">
        <f t="shared" ca="1" si="92"/>
        <v>1.5361993574178561</v>
      </c>
      <c r="D1522" s="101">
        <f t="shared" ca="1" si="93"/>
        <v>0.77322561654287658</v>
      </c>
      <c r="E1522" s="101">
        <f t="shared" ca="1" si="94"/>
        <v>0</v>
      </c>
      <c r="F1522" s="21">
        <f t="shared" ca="1" si="95"/>
        <v>0</v>
      </c>
      <c r="H1522" s="21">
        <v>1507</v>
      </c>
      <c r="I1522" s="102">
        <v>0.66762939349955397</v>
      </c>
      <c r="J1522" s="103">
        <v>1.2827937898717574E-3</v>
      </c>
      <c r="K1522" s="103"/>
      <c r="L1522" s="103">
        <v>3.78E-2</v>
      </c>
      <c r="O1522" s="100"/>
    </row>
    <row r="1523" spans="2:15" x14ac:dyDescent="0.2">
      <c r="B1523" s="1">
        <v>1508</v>
      </c>
      <c r="C1523" s="101">
        <f t="shared" ca="1" si="92"/>
        <v>-0.74255993436375889</v>
      </c>
      <c r="D1523" s="101">
        <f t="shared" ca="1" si="93"/>
        <v>0.61756914608210833</v>
      </c>
      <c r="E1523" s="101">
        <f t="shared" ca="1" si="94"/>
        <v>0</v>
      </c>
      <c r="F1523" s="21">
        <f t="shared" ca="1" si="95"/>
        <v>0</v>
      </c>
      <c r="H1523" s="21">
        <v>1508</v>
      </c>
      <c r="I1523" s="102">
        <v>0.66763144941458963</v>
      </c>
      <c r="J1523" s="103">
        <v>1.230954159787504E-3</v>
      </c>
      <c r="K1523" s="103"/>
      <c r="L1523" s="103">
        <v>3.9199999999999999E-2</v>
      </c>
      <c r="O1523" s="100"/>
    </row>
    <row r="1524" spans="2:15" x14ac:dyDescent="0.2">
      <c r="B1524" s="1">
        <v>1509</v>
      </c>
      <c r="C1524" s="101">
        <f t="shared" ca="1" si="92"/>
        <v>-2.3220117298686724</v>
      </c>
      <c r="D1524" s="101">
        <f t="shared" ca="1" si="93"/>
        <v>0.52847305526833888</v>
      </c>
      <c r="E1524" s="101">
        <f t="shared" ca="1" si="94"/>
        <v>0</v>
      </c>
      <c r="F1524" s="21">
        <f t="shared" ca="1" si="95"/>
        <v>0</v>
      </c>
      <c r="H1524" s="21">
        <v>1509</v>
      </c>
      <c r="I1524" s="102">
        <v>0.66775518971556735</v>
      </c>
      <c r="J1524" s="103">
        <v>1.3370074484351849E-3</v>
      </c>
      <c r="K1524" s="103"/>
      <c r="L1524" s="103">
        <v>4.1000000000000002E-2</v>
      </c>
      <c r="O1524" s="100"/>
    </row>
    <row r="1525" spans="2:15" x14ac:dyDescent="0.2">
      <c r="B1525" s="1">
        <v>1510</v>
      </c>
      <c r="C1525" s="101">
        <f t="shared" ca="1" si="92"/>
        <v>-0.44690972958759251</v>
      </c>
      <c r="D1525" s="101">
        <f t="shared" ca="1" si="93"/>
        <v>0.63584471063348091</v>
      </c>
      <c r="E1525" s="101">
        <f t="shared" ca="1" si="94"/>
        <v>0</v>
      </c>
      <c r="F1525" s="21">
        <f t="shared" ca="1" si="95"/>
        <v>0</v>
      </c>
      <c r="H1525" s="21">
        <v>1510</v>
      </c>
      <c r="I1525" s="102">
        <v>0.66783568336954013</v>
      </c>
      <c r="J1525" s="103">
        <v>1.5080576537143215E-3</v>
      </c>
      <c r="K1525" s="103"/>
      <c r="L1525" s="103">
        <v>4.6600000000000003E-2</v>
      </c>
      <c r="O1525" s="100"/>
    </row>
    <row r="1526" spans="2:15" x14ac:dyDescent="0.2">
      <c r="B1526" s="1">
        <v>1511</v>
      </c>
      <c r="C1526" s="101">
        <f t="shared" ca="1" si="92"/>
        <v>-2.9675600269655678</v>
      </c>
      <c r="D1526" s="101">
        <f t="shared" ca="1" si="93"/>
        <v>0.49587014138864799</v>
      </c>
      <c r="E1526" s="101">
        <f t="shared" ca="1" si="94"/>
        <v>0</v>
      </c>
      <c r="F1526" s="21">
        <f t="shared" ca="1" si="95"/>
        <v>0</v>
      </c>
      <c r="H1526" s="21">
        <v>1511</v>
      </c>
      <c r="I1526" s="102">
        <v>0.66766314449473763</v>
      </c>
      <c r="J1526" s="103">
        <v>1.1085979190125354E-3</v>
      </c>
      <c r="K1526" s="103"/>
      <c r="L1526" s="103">
        <v>4.1200000000000001E-2</v>
      </c>
      <c r="O1526" s="100"/>
    </row>
    <row r="1527" spans="2:15" x14ac:dyDescent="0.2">
      <c r="B1527" s="1">
        <v>1512</v>
      </c>
      <c r="C1527" s="101">
        <f t="shared" ca="1" si="92"/>
        <v>0.80208981998505502</v>
      </c>
      <c r="D1527" s="101">
        <f t="shared" ca="1" si="93"/>
        <v>0.71921284225777415</v>
      </c>
      <c r="E1527" s="101">
        <f t="shared" ca="1" si="94"/>
        <v>0</v>
      </c>
      <c r="F1527" s="21">
        <f t="shared" ca="1" si="95"/>
        <v>0</v>
      </c>
      <c r="H1527" s="21">
        <v>1512</v>
      </c>
      <c r="I1527" s="102">
        <v>0.66770865706423332</v>
      </c>
      <c r="J1527" s="103">
        <v>1.2895943998395391E-3</v>
      </c>
      <c r="K1527" s="103"/>
      <c r="L1527" s="103">
        <v>3.9399999999999998E-2</v>
      </c>
      <c r="O1527" s="100"/>
    </row>
    <row r="1528" spans="2:15" x14ac:dyDescent="0.2">
      <c r="B1528" s="1">
        <v>1513</v>
      </c>
      <c r="C1528" s="101">
        <f t="shared" ca="1" si="92"/>
        <v>0.7780455244245631</v>
      </c>
      <c r="D1528" s="101">
        <f t="shared" ca="1" si="93"/>
        <v>0.71750906242841439</v>
      </c>
      <c r="E1528" s="101">
        <f t="shared" ca="1" si="94"/>
        <v>0</v>
      </c>
      <c r="F1528" s="21">
        <f t="shared" ca="1" si="95"/>
        <v>0</v>
      </c>
      <c r="H1528" s="21">
        <v>1513</v>
      </c>
      <c r="I1528" s="102">
        <v>0.66758914041999051</v>
      </c>
      <c r="J1528" s="103">
        <v>9.9922772734331936E-4</v>
      </c>
      <c r="K1528" s="103"/>
      <c r="L1528" s="103">
        <v>3.7400000000000003E-2</v>
      </c>
      <c r="O1528" s="100"/>
    </row>
    <row r="1529" spans="2:15" x14ac:dyDescent="0.2">
      <c r="B1529" s="1">
        <v>1514</v>
      </c>
      <c r="C1529" s="101">
        <f t="shared" ca="1" si="92"/>
        <v>1.2033763680553913</v>
      </c>
      <c r="D1529" s="101">
        <f t="shared" ca="1" si="93"/>
        <v>0.74825271591932174</v>
      </c>
      <c r="E1529" s="101">
        <f t="shared" ca="1" si="94"/>
        <v>0</v>
      </c>
      <c r="F1529" s="21">
        <f t="shared" ca="1" si="95"/>
        <v>0</v>
      </c>
      <c r="H1529" s="21">
        <v>1514</v>
      </c>
      <c r="I1529" s="102">
        <v>0.66774651385650774</v>
      </c>
      <c r="J1529" s="103">
        <v>1.4982210029691363E-3</v>
      </c>
      <c r="K1529" s="103"/>
      <c r="L1529" s="103">
        <v>4.48E-2</v>
      </c>
      <c r="O1529" s="100"/>
    </row>
    <row r="1530" spans="2:15" x14ac:dyDescent="0.2">
      <c r="B1530" s="1">
        <v>1515</v>
      </c>
      <c r="C1530" s="101">
        <f t="shared" ca="1" si="92"/>
        <v>-0.35982255048270895</v>
      </c>
      <c r="D1530" s="101">
        <f t="shared" ca="1" si="93"/>
        <v>0.64133039609932707</v>
      </c>
      <c r="E1530" s="101">
        <f t="shared" ca="1" si="94"/>
        <v>0</v>
      </c>
      <c r="F1530" s="21">
        <f t="shared" ca="1" si="95"/>
        <v>0</v>
      </c>
      <c r="H1530" s="21">
        <v>1515</v>
      </c>
      <c r="I1530" s="102">
        <v>0.66768584911498718</v>
      </c>
      <c r="J1530" s="103">
        <v>1.3753813134110657E-3</v>
      </c>
      <c r="K1530" s="103"/>
      <c r="L1530" s="103">
        <v>4.2799999999999998E-2</v>
      </c>
      <c r="O1530" s="100"/>
    </row>
    <row r="1531" spans="2:15" x14ac:dyDescent="0.2">
      <c r="B1531" s="1">
        <v>1516</v>
      </c>
      <c r="C1531" s="101">
        <f t="shared" ca="1" si="92"/>
        <v>-0.81450093726049777</v>
      </c>
      <c r="D1531" s="101">
        <f t="shared" ca="1" si="93"/>
        <v>0.61320216876572198</v>
      </c>
      <c r="E1531" s="101">
        <f t="shared" ca="1" si="94"/>
        <v>0</v>
      </c>
      <c r="F1531" s="21">
        <f t="shared" ca="1" si="95"/>
        <v>0</v>
      </c>
      <c r="H1531" s="21">
        <v>1516</v>
      </c>
      <c r="I1531" s="102">
        <v>0.66768583438999163</v>
      </c>
      <c r="J1531" s="103">
        <v>1.386142840896576E-3</v>
      </c>
      <c r="K1531" s="103"/>
      <c r="L1531" s="103">
        <v>4.3200000000000002E-2</v>
      </c>
      <c r="O1531" s="100"/>
    </row>
    <row r="1532" spans="2:15" x14ac:dyDescent="0.2">
      <c r="B1532" s="1">
        <v>1517</v>
      </c>
      <c r="C1532" s="101">
        <f t="shared" ca="1" si="92"/>
        <v>-0.70653876886542022</v>
      </c>
      <c r="D1532" s="101">
        <f t="shared" ca="1" si="93"/>
        <v>0.619767380698099</v>
      </c>
      <c r="E1532" s="101">
        <f t="shared" ca="1" si="94"/>
        <v>0</v>
      </c>
      <c r="F1532" s="21">
        <f t="shared" ca="1" si="95"/>
        <v>0</v>
      </c>
      <c r="H1532" s="21">
        <v>1517</v>
      </c>
      <c r="I1532" s="102">
        <v>0.66776542649748649</v>
      </c>
      <c r="J1532" s="103">
        <v>1.3811229964594777E-3</v>
      </c>
      <c r="K1532" s="103"/>
      <c r="L1532" s="103">
        <v>4.1200000000000001E-2</v>
      </c>
      <c r="O1532" s="100"/>
    </row>
    <row r="1533" spans="2:15" x14ac:dyDescent="0.2">
      <c r="B1533" s="1">
        <v>1518</v>
      </c>
      <c r="C1533" s="101">
        <f t="shared" ca="1" si="92"/>
        <v>0.68102779017892368</v>
      </c>
      <c r="D1533" s="101">
        <f t="shared" ca="1" si="93"/>
        <v>0.71067528253584</v>
      </c>
      <c r="E1533" s="101">
        <f t="shared" ca="1" si="94"/>
        <v>0</v>
      </c>
      <c r="F1533" s="21">
        <f t="shared" ca="1" si="95"/>
        <v>0</v>
      </c>
      <c r="H1533" s="21">
        <v>1518</v>
      </c>
      <c r="I1533" s="102">
        <v>0.66791448178549084</v>
      </c>
      <c r="J1533" s="103">
        <v>1.5020253896032491E-3</v>
      </c>
      <c r="K1533" s="103"/>
      <c r="L1533" s="103">
        <v>4.6399999999999997E-2</v>
      </c>
      <c r="O1533" s="100"/>
    </row>
    <row r="1534" spans="2:15" x14ac:dyDescent="0.2">
      <c r="B1534" s="1">
        <v>1519</v>
      </c>
      <c r="C1534" s="101">
        <f t="shared" ca="1" si="92"/>
        <v>-2.0759011887659469</v>
      </c>
      <c r="D1534" s="101">
        <f t="shared" ca="1" si="93"/>
        <v>0.54145961872085713</v>
      </c>
      <c r="E1534" s="101">
        <f t="shared" ca="1" si="94"/>
        <v>0</v>
      </c>
      <c r="F1534" s="21">
        <f t="shared" ca="1" si="95"/>
        <v>0</v>
      </c>
      <c r="H1534" s="21">
        <v>1519</v>
      </c>
      <c r="I1534" s="102">
        <v>0.66767526927962428</v>
      </c>
      <c r="J1534" s="103">
        <v>1.4169863349206861E-3</v>
      </c>
      <c r="K1534" s="103"/>
      <c r="L1534" s="103">
        <v>3.9600000000000003E-2</v>
      </c>
      <c r="O1534" s="100"/>
    </row>
    <row r="1535" spans="2:15" x14ac:dyDescent="0.2">
      <c r="B1535" s="1">
        <v>1520</v>
      </c>
      <c r="C1535" s="101">
        <f t="shared" ca="1" si="92"/>
        <v>-1.2266102896525757</v>
      </c>
      <c r="D1535" s="101">
        <f t="shared" ca="1" si="93"/>
        <v>0.58877474308020239</v>
      </c>
      <c r="E1535" s="101">
        <f t="shared" ca="1" si="94"/>
        <v>0</v>
      </c>
      <c r="F1535" s="21">
        <f t="shared" ca="1" si="95"/>
        <v>0</v>
      </c>
      <c r="H1535" s="21">
        <v>1520</v>
      </c>
      <c r="I1535" s="102">
        <v>0.66771083715728674</v>
      </c>
      <c r="J1535" s="103">
        <v>1.2845061343965676E-3</v>
      </c>
      <c r="K1535" s="103"/>
      <c r="L1535" s="103">
        <v>4.1399999999999999E-2</v>
      </c>
      <c r="O1535" s="100"/>
    </row>
    <row r="1536" spans="2:15" x14ac:dyDescent="0.2">
      <c r="B1536" s="1">
        <v>1521</v>
      </c>
      <c r="C1536" s="101">
        <f t="shared" ca="1" si="92"/>
        <v>-1.6348996085578322</v>
      </c>
      <c r="D1536" s="101">
        <f t="shared" ca="1" si="93"/>
        <v>0.56553346481543898</v>
      </c>
      <c r="E1536" s="101">
        <f t="shared" ca="1" si="94"/>
        <v>0</v>
      </c>
      <c r="F1536" s="21">
        <f t="shared" ca="1" si="95"/>
        <v>0</v>
      </c>
      <c r="H1536" s="21">
        <v>1521</v>
      </c>
      <c r="I1536" s="102">
        <v>0.6677758504078094</v>
      </c>
      <c r="J1536" s="103">
        <v>1.3451942301593029E-3</v>
      </c>
      <c r="K1536" s="103"/>
      <c r="L1536" s="103">
        <v>4.48E-2</v>
      </c>
      <c r="O1536" s="100"/>
    </row>
    <row r="1537" spans="2:15" x14ac:dyDescent="0.2">
      <c r="B1537" s="1">
        <v>1522</v>
      </c>
      <c r="C1537" s="101">
        <f t="shared" ca="1" si="92"/>
        <v>-0.54727292538423566</v>
      </c>
      <c r="D1537" s="101">
        <f t="shared" ca="1" si="93"/>
        <v>0.62958093100269907</v>
      </c>
      <c r="E1537" s="101">
        <f t="shared" ca="1" si="94"/>
        <v>0</v>
      </c>
      <c r="F1537" s="21">
        <f t="shared" ca="1" si="95"/>
        <v>0</v>
      </c>
      <c r="H1537" s="21">
        <v>1522</v>
      </c>
      <c r="I1537" s="102">
        <v>0.66773167000957279</v>
      </c>
      <c r="J1537" s="103">
        <v>1.3567397342065114E-3</v>
      </c>
      <c r="K1537" s="103"/>
      <c r="L1537" s="103">
        <v>0.04</v>
      </c>
      <c r="O1537" s="100"/>
    </row>
    <row r="1538" spans="2:15" x14ac:dyDescent="0.2">
      <c r="B1538" s="1">
        <v>1523</v>
      </c>
      <c r="C1538" s="101">
        <f t="shared" ca="1" si="92"/>
        <v>0.3761786362727727</v>
      </c>
      <c r="D1538" s="101">
        <f t="shared" ca="1" si="93"/>
        <v>0.68962287864423377</v>
      </c>
      <c r="E1538" s="101">
        <f t="shared" ca="1" si="94"/>
        <v>0</v>
      </c>
      <c r="F1538" s="21">
        <f t="shared" ca="1" si="95"/>
        <v>0</v>
      </c>
      <c r="H1538" s="21">
        <v>1523</v>
      </c>
      <c r="I1538" s="102">
        <v>0.66761688546072695</v>
      </c>
      <c r="J1538" s="103">
        <v>1.21785554454293E-3</v>
      </c>
      <c r="K1538" s="103"/>
      <c r="L1538" s="103">
        <v>3.7999999999999999E-2</v>
      </c>
      <c r="O1538" s="100"/>
    </row>
    <row r="1539" spans="2:15" x14ac:dyDescent="0.2">
      <c r="B1539" s="1">
        <v>1524</v>
      </c>
      <c r="C1539" s="101">
        <f t="shared" ca="1" si="92"/>
        <v>1.0882989768268136</v>
      </c>
      <c r="D1539" s="101">
        <f t="shared" ca="1" si="93"/>
        <v>0.7398070359652863</v>
      </c>
      <c r="E1539" s="101">
        <f t="shared" ca="1" si="94"/>
        <v>0</v>
      </c>
      <c r="F1539" s="21">
        <f t="shared" ca="1" si="95"/>
        <v>0</v>
      </c>
      <c r="H1539" s="21">
        <v>1524</v>
      </c>
      <c r="I1539" s="102">
        <v>0.66778652957033668</v>
      </c>
      <c r="J1539" s="103">
        <v>1.3766499944793133E-3</v>
      </c>
      <c r="K1539" s="103"/>
      <c r="L1539" s="103">
        <v>4.2799999999999998E-2</v>
      </c>
      <c r="O1539" s="100"/>
    </row>
    <row r="1540" spans="2:15" x14ac:dyDescent="0.2">
      <c r="B1540" s="1">
        <v>1525</v>
      </c>
      <c r="C1540" s="101">
        <f t="shared" ca="1" si="92"/>
        <v>-1.069001927483834</v>
      </c>
      <c r="D1540" s="101">
        <f t="shared" ca="1" si="93"/>
        <v>0.5979997696242908</v>
      </c>
      <c r="E1540" s="101">
        <f t="shared" ca="1" si="94"/>
        <v>0</v>
      </c>
      <c r="F1540" s="21">
        <f t="shared" ca="1" si="95"/>
        <v>0</v>
      </c>
      <c r="H1540" s="21">
        <v>1525</v>
      </c>
      <c r="I1540" s="102">
        <v>0.66771208901906975</v>
      </c>
      <c r="J1540" s="103">
        <v>1.5052174787221889E-3</v>
      </c>
      <c r="K1540" s="103"/>
      <c r="L1540" s="103">
        <v>4.0399999999999998E-2</v>
      </c>
      <c r="O1540" s="100"/>
    </row>
    <row r="1541" spans="2:15" x14ac:dyDescent="0.2">
      <c r="B1541" s="1">
        <v>1526</v>
      </c>
      <c r="C1541" s="101">
        <f t="shared" ca="1" si="92"/>
        <v>-1.0153134534496762</v>
      </c>
      <c r="D1541" s="101">
        <f t="shared" ca="1" si="93"/>
        <v>0.60117511870168894</v>
      </c>
      <c r="E1541" s="101">
        <f t="shared" ca="1" si="94"/>
        <v>0</v>
      </c>
      <c r="F1541" s="21">
        <f t="shared" ca="1" si="95"/>
        <v>0</v>
      </c>
      <c r="H1541" s="21">
        <v>1526</v>
      </c>
      <c r="I1541" s="102">
        <v>0.66771936981737123</v>
      </c>
      <c r="J1541" s="103">
        <v>1.2901906851563313E-3</v>
      </c>
      <c r="K1541" s="103"/>
      <c r="L1541" s="103">
        <v>4.2599999999999999E-2</v>
      </c>
      <c r="O1541" s="100"/>
    </row>
    <row r="1542" spans="2:15" x14ac:dyDescent="0.2">
      <c r="B1542" s="1">
        <v>1527</v>
      </c>
      <c r="C1542" s="101">
        <f t="shared" ca="1" si="92"/>
        <v>-0.31098413340830705</v>
      </c>
      <c r="D1542" s="101">
        <f t="shared" ca="1" si="93"/>
        <v>0.64442745045623506</v>
      </c>
      <c r="E1542" s="101">
        <f t="shared" ca="1" si="94"/>
        <v>0</v>
      </c>
      <c r="F1542" s="21">
        <f t="shared" ca="1" si="95"/>
        <v>0</v>
      </c>
      <c r="H1542" s="21">
        <v>1527</v>
      </c>
      <c r="I1542" s="102">
        <v>0.66783388067039884</v>
      </c>
      <c r="J1542" s="103">
        <v>1.4609843016727779E-3</v>
      </c>
      <c r="K1542" s="103"/>
      <c r="L1542" s="103">
        <v>4.48E-2</v>
      </c>
      <c r="O1542" s="100"/>
    </row>
    <row r="1543" spans="2:15" x14ac:dyDescent="0.2">
      <c r="B1543" s="1">
        <v>1528</v>
      </c>
      <c r="C1543" s="101">
        <f t="shared" ca="1" si="92"/>
        <v>-0.10576370803801814</v>
      </c>
      <c r="D1543" s="101">
        <f t="shared" ca="1" si="93"/>
        <v>0.65760566850996671</v>
      </c>
      <c r="E1543" s="101">
        <f t="shared" ca="1" si="94"/>
        <v>0</v>
      </c>
      <c r="F1543" s="21">
        <f t="shared" ca="1" si="95"/>
        <v>0</v>
      </c>
      <c r="H1543" s="21">
        <v>1528</v>
      </c>
      <c r="I1543" s="102">
        <v>0.66772871649533583</v>
      </c>
      <c r="J1543" s="103">
        <v>1.3411847601746509E-3</v>
      </c>
      <c r="K1543" s="103"/>
      <c r="L1543" s="103">
        <v>4.2200000000000001E-2</v>
      </c>
      <c r="O1543" s="100"/>
    </row>
    <row r="1544" spans="2:15" x14ac:dyDescent="0.2">
      <c r="B1544" s="1">
        <v>1529</v>
      </c>
      <c r="C1544" s="101">
        <f t="shared" ca="1" si="92"/>
        <v>0.17493691753644344</v>
      </c>
      <c r="D1544" s="101">
        <f t="shared" ca="1" si="93"/>
        <v>0.67606832644077397</v>
      </c>
      <c r="E1544" s="101">
        <f t="shared" ca="1" si="94"/>
        <v>0</v>
      </c>
      <c r="F1544" s="21">
        <f t="shared" ca="1" si="95"/>
        <v>0</v>
      </c>
      <c r="H1544" s="21">
        <v>1529</v>
      </c>
      <c r="I1544" s="102">
        <v>0.66777534913107417</v>
      </c>
      <c r="J1544" s="103">
        <v>1.3891569364293626E-3</v>
      </c>
      <c r="K1544" s="103"/>
      <c r="L1544" s="103">
        <v>4.1200000000000001E-2</v>
      </c>
      <c r="O1544" s="100"/>
    </row>
    <row r="1545" spans="2:15" x14ac:dyDescent="0.2">
      <c r="B1545" s="1">
        <v>1530</v>
      </c>
      <c r="C1545" s="101">
        <f t="shared" ca="1" si="92"/>
        <v>1.4002068388441027</v>
      </c>
      <c r="D1545" s="101">
        <f t="shared" ca="1" si="93"/>
        <v>0.76292245546413329</v>
      </c>
      <c r="E1545" s="101">
        <f t="shared" ca="1" si="94"/>
        <v>0</v>
      </c>
      <c r="F1545" s="21">
        <f t="shared" ca="1" si="95"/>
        <v>0</v>
      </c>
      <c r="H1545" s="21">
        <v>1530</v>
      </c>
      <c r="I1545" s="102">
        <v>0.66788526488769429</v>
      </c>
      <c r="J1545" s="103">
        <v>1.522454566385811E-3</v>
      </c>
      <c r="K1545" s="103"/>
      <c r="L1545" s="103">
        <v>4.5400000000000003E-2</v>
      </c>
      <c r="O1545" s="100"/>
    </row>
    <row r="1546" spans="2:15" x14ac:dyDescent="0.2">
      <c r="B1546" s="1">
        <v>1531</v>
      </c>
      <c r="C1546" s="101">
        <f t="shared" ca="1" si="92"/>
        <v>1.092304371669055</v>
      </c>
      <c r="D1546" s="101">
        <f t="shared" ca="1" si="93"/>
        <v>0.74009938959448895</v>
      </c>
      <c r="E1546" s="101">
        <f t="shared" ca="1" si="94"/>
        <v>0</v>
      </c>
      <c r="F1546" s="21">
        <f t="shared" ca="1" si="95"/>
        <v>0</v>
      </c>
      <c r="H1546" s="21">
        <v>1531</v>
      </c>
      <c r="I1546" s="102">
        <v>0.66798127415862496</v>
      </c>
      <c r="J1546" s="103">
        <v>1.6410770924155638E-3</v>
      </c>
      <c r="K1546" s="103"/>
      <c r="L1546" s="103">
        <v>4.6399999999999997E-2</v>
      </c>
      <c r="O1546" s="100"/>
    </row>
    <row r="1547" spans="2:15" x14ac:dyDescent="0.2">
      <c r="B1547" s="1">
        <v>1532</v>
      </c>
      <c r="C1547" s="101">
        <f t="shared" ca="1" si="92"/>
        <v>-0.26463901855113575</v>
      </c>
      <c r="D1547" s="101">
        <f t="shared" ca="1" si="93"/>
        <v>0.64738022284650198</v>
      </c>
      <c r="E1547" s="101">
        <f t="shared" ca="1" si="94"/>
        <v>0</v>
      </c>
      <c r="F1547" s="21">
        <f t="shared" ca="1" si="95"/>
        <v>0</v>
      </c>
      <c r="H1547" s="21">
        <v>1532</v>
      </c>
      <c r="I1547" s="102">
        <v>0.6677184218248674</v>
      </c>
      <c r="J1547" s="103">
        <v>1.2559341603894047E-3</v>
      </c>
      <c r="K1547" s="103"/>
      <c r="L1547" s="103">
        <v>4.2000000000000003E-2</v>
      </c>
      <c r="O1547" s="100"/>
    </row>
    <row r="1548" spans="2:15" x14ac:dyDescent="0.2">
      <c r="B1548" s="1">
        <v>1533</v>
      </c>
      <c r="C1548" s="101">
        <f t="shared" ca="1" si="92"/>
        <v>0.25522743290778327</v>
      </c>
      <c r="D1548" s="101">
        <f t="shared" ca="1" si="93"/>
        <v>0.68144402204763599</v>
      </c>
      <c r="E1548" s="101">
        <f t="shared" ca="1" si="94"/>
        <v>0</v>
      </c>
      <c r="F1548" s="21">
        <f t="shared" ca="1" si="95"/>
        <v>0</v>
      </c>
      <c r="H1548" s="21">
        <v>1533</v>
      </c>
      <c r="I1548" s="102">
        <v>0.66773449577205357</v>
      </c>
      <c r="J1548" s="103">
        <v>1.2995968637012686E-3</v>
      </c>
      <c r="K1548" s="103"/>
      <c r="L1548" s="103">
        <v>4.1599999999999998E-2</v>
      </c>
      <c r="O1548" s="100"/>
    </row>
    <row r="1549" spans="2:15" x14ac:dyDescent="0.2">
      <c r="B1549" s="1">
        <v>1534</v>
      </c>
      <c r="C1549" s="101">
        <f t="shared" ca="1" si="92"/>
        <v>0.27466956786580943</v>
      </c>
      <c r="D1549" s="101">
        <f t="shared" ca="1" si="93"/>
        <v>0.68275214796809591</v>
      </c>
      <c r="E1549" s="101">
        <f t="shared" ca="1" si="94"/>
        <v>0</v>
      </c>
      <c r="F1549" s="21">
        <f t="shared" ca="1" si="95"/>
        <v>0</v>
      </c>
      <c r="H1549" s="21">
        <v>1534</v>
      </c>
      <c r="I1549" s="102">
        <v>0.66771082180579155</v>
      </c>
      <c r="J1549" s="103">
        <v>1.4657531278905651E-3</v>
      </c>
      <c r="K1549" s="103"/>
      <c r="L1549" s="103">
        <v>4.1000000000000002E-2</v>
      </c>
      <c r="O1549" s="100"/>
    </row>
    <row r="1550" spans="2:15" x14ac:dyDescent="0.2">
      <c r="B1550" s="1">
        <v>1535</v>
      </c>
      <c r="C1550" s="101">
        <f t="shared" ca="1" si="92"/>
        <v>-0.76252625350032388</v>
      </c>
      <c r="D1550" s="101">
        <f t="shared" ca="1" si="93"/>
        <v>0.61635403803407263</v>
      </c>
      <c r="E1550" s="101">
        <f t="shared" ca="1" si="94"/>
        <v>0</v>
      </c>
      <c r="F1550" s="21">
        <f t="shared" ca="1" si="95"/>
        <v>0</v>
      </c>
      <c r="H1550" s="21">
        <v>1535</v>
      </c>
      <c r="I1550" s="102">
        <v>0.66778577637836434</v>
      </c>
      <c r="J1550" s="103">
        <v>1.3512884157922758E-3</v>
      </c>
      <c r="K1550" s="103"/>
      <c r="L1550" s="103">
        <v>4.1599999999999998E-2</v>
      </c>
      <c r="O1550" s="100"/>
    </row>
    <row r="1551" spans="2:15" x14ac:dyDescent="0.2">
      <c r="B1551" s="1">
        <v>1536</v>
      </c>
      <c r="C1551" s="101">
        <f t="shared" ca="1" si="92"/>
        <v>1.194264931166565</v>
      </c>
      <c r="D1551" s="101">
        <f t="shared" ca="1" si="93"/>
        <v>0.74758051527515479</v>
      </c>
      <c r="E1551" s="101">
        <f t="shared" ca="1" si="94"/>
        <v>0</v>
      </c>
      <c r="F1551" s="21">
        <f t="shared" ca="1" si="95"/>
        <v>0</v>
      </c>
      <c r="H1551" s="21">
        <v>1536</v>
      </c>
      <c r="I1551" s="102">
        <v>0.66782694769586692</v>
      </c>
      <c r="J1551" s="103">
        <v>1.5222314536167047E-3</v>
      </c>
      <c r="K1551" s="103"/>
      <c r="L1551" s="103">
        <v>4.4400000000000002E-2</v>
      </c>
      <c r="O1551" s="100"/>
    </row>
    <row r="1552" spans="2:15" x14ac:dyDescent="0.2">
      <c r="B1552" s="1">
        <v>1537</v>
      </c>
      <c r="C1552" s="101">
        <f t="shared" ref="C1552:C1615" ca="1" si="96">_xlfn.NORM.S.INV(RAND())</f>
        <v>-0.70704446708260493</v>
      </c>
      <c r="D1552" s="101">
        <f t="shared" ref="D1552:D1615" ca="1" si="97">S0*EXP((μ-0.5*σ*σ)*T+σ*SQRT(T)*$C1552)</f>
        <v>0.61973646577245467</v>
      </c>
      <c r="E1552" s="101">
        <f t="shared" ref="E1552:E1615" ca="1" si="98">MAX(0,CP*(D1552-K))</f>
        <v>0</v>
      </c>
      <c r="F1552" s="21">
        <f t="shared" ref="F1552:F1615" ca="1" si="99">(CP*(D1552-K)&gt;0)*1</f>
        <v>0</v>
      </c>
      <c r="H1552" s="21">
        <v>1537</v>
      </c>
      <c r="I1552" s="102">
        <v>0.66758512766514866</v>
      </c>
      <c r="J1552" s="103">
        <v>1.2120539150742996E-3</v>
      </c>
      <c r="K1552" s="103"/>
      <c r="L1552" s="103">
        <v>3.56E-2</v>
      </c>
      <c r="O1552" s="100"/>
    </row>
    <row r="1553" spans="2:15" x14ac:dyDescent="0.2">
      <c r="B1553" s="1">
        <v>1538</v>
      </c>
      <c r="C1553" s="101">
        <f t="shared" ca="1" si="96"/>
        <v>-0.72436422759094099</v>
      </c>
      <c r="D1553" s="101">
        <f t="shared" ca="1" si="97"/>
        <v>0.61867858456287983</v>
      </c>
      <c r="E1553" s="101">
        <f t="shared" ca="1" si="98"/>
        <v>0</v>
      </c>
      <c r="F1553" s="21">
        <f t="shared" ca="1" si="99"/>
        <v>0</v>
      </c>
      <c r="H1553" s="21">
        <v>1538</v>
      </c>
      <c r="I1553" s="102">
        <v>0.66764725131036262</v>
      </c>
      <c r="J1553" s="103">
        <v>1.2365252700972081E-3</v>
      </c>
      <c r="K1553" s="103"/>
      <c r="L1553" s="103">
        <v>3.8399999999999997E-2</v>
      </c>
      <c r="O1553" s="100"/>
    </row>
    <row r="1554" spans="2:15" x14ac:dyDescent="0.2">
      <c r="B1554" s="1">
        <v>1539</v>
      </c>
      <c r="C1554" s="101">
        <f t="shared" ca="1" si="96"/>
        <v>-0.12100301937497776</v>
      </c>
      <c r="D1554" s="101">
        <f t="shared" ca="1" si="97"/>
        <v>0.65661788127381915</v>
      </c>
      <c r="E1554" s="101">
        <f t="shared" ca="1" si="98"/>
        <v>0</v>
      </c>
      <c r="F1554" s="21">
        <f t="shared" ca="1" si="99"/>
        <v>0</v>
      </c>
      <c r="H1554" s="21">
        <v>1539</v>
      </c>
      <c r="I1554" s="102">
        <v>0.66769044179892256</v>
      </c>
      <c r="J1554" s="103">
        <v>1.4252146063938971E-3</v>
      </c>
      <c r="K1554" s="103"/>
      <c r="L1554" s="103">
        <v>4.0599999999999997E-2</v>
      </c>
      <c r="O1554" s="100"/>
    </row>
    <row r="1555" spans="2:15" x14ac:dyDescent="0.2">
      <c r="B1555" s="1">
        <v>1540</v>
      </c>
      <c r="C1555" s="101">
        <f t="shared" ca="1" si="96"/>
        <v>-1.0015474747609856</v>
      </c>
      <c r="D1555" s="101">
        <f t="shared" ca="1" si="97"/>
        <v>0.60199200551926557</v>
      </c>
      <c r="E1555" s="101">
        <f t="shared" ca="1" si="98"/>
        <v>0</v>
      </c>
      <c r="F1555" s="21">
        <f t="shared" ca="1" si="99"/>
        <v>0</v>
      </c>
      <c r="H1555" s="21">
        <v>1540</v>
      </c>
      <c r="I1555" s="102">
        <v>0.66772425132378366</v>
      </c>
      <c r="J1555" s="103">
        <v>1.2567361625339688E-3</v>
      </c>
      <c r="K1555" s="103"/>
      <c r="L1555" s="103">
        <v>3.9600000000000003E-2</v>
      </c>
      <c r="O1555" s="100"/>
    </row>
    <row r="1556" spans="2:15" x14ac:dyDescent="0.2">
      <c r="B1556" s="1">
        <v>1541</v>
      </c>
      <c r="C1556" s="101">
        <f t="shared" ca="1" si="96"/>
        <v>-0.70849177158033061</v>
      </c>
      <c r="D1556" s="101">
        <f t="shared" ca="1" si="97"/>
        <v>0.61964799600960996</v>
      </c>
      <c r="E1556" s="101">
        <f t="shared" ca="1" si="98"/>
        <v>0</v>
      </c>
      <c r="F1556" s="21">
        <f t="shared" ca="1" si="99"/>
        <v>0</v>
      </c>
      <c r="H1556" s="21">
        <v>1541</v>
      </c>
      <c r="I1556" s="102">
        <v>0.6677769176036179</v>
      </c>
      <c r="J1556" s="103">
        <v>1.4101177025346522E-3</v>
      </c>
      <c r="K1556" s="103"/>
      <c r="L1556" s="103">
        <v>4.4200000000000003E-2</v>
      </c>
      <c r="O1556" s="100"/>
    </row>
    <row r="1557" spans="2:15" x14ac:dyDescent="0.2">
      <c r="B1557" s="1">
        <v>1542</v>
      </c>
      <c r="C1557" s="101">
        <f t="shared" ca="1" si="96"/>
        <v>-0.70034293802013703</v>
      </c>
      <c r="D1557" s="101">
        <f t="shared" ca="1" si="97"/>
        <v>0.6201462765821395</v>
      </c>
      <c r="E1557" s="101">
        <f t="shared" ca="1" si="98"/>
        <v>0</v>
      </c>
      <c r="F1557" s="21">
        <f t="shared" ca="1" si="99"/>
        <v>0</v>
      </c>
      <c r="H1557" s="21">
        <v>1542</v>
      </c>
      <c r="I1557" s="102">
        <v>0.66798714565189443</v>
      </c>
      <c r="J1557" s="103">
        <v>1.6497258192311318E-3</v>
      </c>
      <c r="K1557" s="103"/>
      <c r="L1557" s="103">
        <v>4.8800000000000003E-2</v>
      </c>
      <c r="O1557" s="100"/>
    </row>
    <row r="1558" spans="2:15" x14ac:dyDescent="0.2">
      <c r="B1558" s="1">
        <v>1543</v>
      </c>
      <c r="C1558" s="101">
        <f t="shared" ca="1" si="96"/>
        <v>-4.2898251608008885E-2</v>
      </c>
      <c r="D1558" s="101">
        <f t="shared" ca="1" si="97"/>
        <v>0.66169623801517286</v>
      </c>
      <c r="E1558" s="101">
        <f t="shared" ca="1" si="98"/>
        <v>0</v>
      </c>
      <c r="F1558" s="21">
        <f t="shared" ca="1" si="99"/>
        <v>0</v>
      </c>
      <c r="H1558" s="21">
        <v>1543</v>
      </c>
      <c r="I1558" s="102">
        <v>0.66766349826543869</v>
      </c>
      <c r="J1558" s="103">
        <v>1.4005542397356957E-3</v>
      </c>
      <c r="K1558" s="103"/>
      <c r="L1558" s="103">
        <v>4.0399999999999998E-2</v>
      </c>
      <c r="O1558" s="100"/>
    </row>
    <row r="1559" spans="2:15" x14ac:dyDescent="0.2">
      <c r="B1559" s="1">
        <v>1544</v>
      </c>
      <c r="C1559" s="101">
        <f t="shared" ca="1" si="96"/>
        <v>-0.44291527758124505</v>
      </c>
      <c r="D1559" s="101">
        <f t="shared" ca="1" si="97"/>
        <v>0.63609529428513434</v>
      </c>
      <c r="E1559" s="101">
        <f t="shared" ca="1" si="98"/>
        <v>0</v>
      </c>
      <c r="F1559" s="21">
        <f t="shared" ca="1" si="99"/>
        <v>0</v>
      </c>
      <c r="H1559" s="21">
        <v>1544</v>
      </c>
      <c r="I1559" s="102">
        <v>0.66790467285127808</v>
      </c>
      <c r="J1559" s="103">
        <v>1.4904473301681259E-3</v>
      </c>
      <c r="K1559" s="103"/>
      <c r="L1559" s="103">
        <v>4.3799999999999999E-2</v>
      </c>
      <c r="O1559" s="100"/>
    </row>
    <row r="1560" spans="2:15" x14ac:dyDescent="0.2">
      <c r="B1560" s="1">
        <v>1545</v>
      </c>
      <c r="C1560" s="101">
        <f t="shared" ca="1" si="96"/>
        <v>0.8003266195233395</v>
      </c>
      <c r="D1560" s="101">
        <f t="shared" ca="1" si="97"/>
        <v>0.71908776445067801</v>
      </c>
      <c r="E1560" s="101">
        <f t="shared" ca="1" si="98"/>
        <v>0</v>
      </c>
      <c r="F1560" s="21">
        <f t="shared" ca="1" si="99"/>
        <v>0</v>
      </c>
      <c r="H1560" s="21">
        <v>1545</v>
      </c>
      <c r="I1560" s="102">
        <v>0.66771668734215195</v>
      </c>
      <c r="J1560" s="103">
        <v>1.2730343175362624E-3</v>
      </c>
      <c r="K1560" s="103"/>
      <c r="L1560" s="103">
        <v>4.1599999999999998E-2</v>
      </c>
      <c r="O1560" s="100"/>
    </row>
    <row r="1561" spans="2:15" x14ac:dyDescent="0.2">
      <c r="B1561" s="1">
        <v>1546</v>
      </c>
      <c r="C1561" s="101">
        <f t="shared" ca="1" si="96"/>
        <v>0.39413836157814808</v>
      </c>
      <c r="D1561" s="101">
        <f t="shared" ca="1" si="97"/>
        <v>0.69084567743364955</v>
      </c>
      <c r="E1561" s="101">
        <f t="shared" ca="1" si="98"/>
        <v>0</v>
      </c>
      <c r="F1561" s="21">
        <f t="shared" ca="1" si="99"/>
        <v>0</v>
      </c>
      <c r="H1561" s="21">
        <v>1546</v>
      </c>
      <c r="I1561" s="102">
        <v>0.66771697220061244</v>
      </c>
      <c r="J1561" s="103">
        <v>1.410221645209514E-3</v>
      </c>
      <c r="K1561" s="103"/>
      <c r="L1561" s="103">
        <v>4.24E-2</v>
      </c>
      <c r="O1561" s="100"/>
    </row>
    <row r="1562" spans="2:15" x14ac:dyDescent="0.2">
      <c r="B1562" s="1">
        <v>1547</v>
      </c>
      <c r="C1562" s="101">
        <f t="shared" ca="1" si="96"/>
        <v>0.66077501738999989</v>
      </c>
      <c r="D1562" s="101">
        <f t="shared" ca="1" si="97"/>
        <v>0.70925694085385238</v>
      </c>
      <c r="E1562" s="101">
        <f t="shared" ca="1" si="98"/>
        <v>0</v>
      </c>
      <c r="F1562" s="21">
        <f t="shared" ca="1" si="99"/>
        <v>0</v>
      </c>
      <c r="H1562" s="21">
        <v>1547</v>
      </c>
      <c r="I1562" s="102">
        <v>0.6676982711126207</v>
      </c>
      <c r="J1562" s="103">
        <v>1.4146901512863816E-3</v>
      </c>
      <c r="K1562" s="103"/>
      <c r="L1562" s="103">
        <v>4.0800000000000003E-2</v>
      </c>
      <c r="O1562" s="100"/>
    </row>
    <row r="1563" spans="2:15" x14ac:dyDescent="0.2">
      <c r="B1563" s="1">
        <v>1548</v>
      </c>
      <c r="C1563" s="101">
        <f t="shared" ca="1" si="96"/>
        <v>0.54556687129631698</v>
      </c>
      <c r="D1563" s="101">
        <f t="shared" ca="1" si="97"/>
        <v>0.70124236954562547</v>
      </c>
      <c r="E1563" s="101">
        <f t="shared" ca="1" si="98"/>
        <v>0</v>
      </c>
      <c r="F1563" s="21">
        <f t="shared" ca="1" si="99"/>
        <v>0</v>
      </c>
      <c r="H1563" s="21">
        <v>1548</v>
      </c>
      <c r="I1563" s="102">
        <v>0.66783405129857021</v>
      </c>
      <c r="J1563" s="103">
        <v>1.4935118732852686E-3</v>
      </c>
      <c r="K1563" s="103"/>
      <c r="L1563" s="103">
        <v>4.58E-2</v>
      </c>
      <c r="O1563" s="100"/>
    </row>
    <row r="1564" spans="2:15" x14ac:dyDescent="0.2">
      <c r="B1564" s="1">
        <v>1549</v>
      </c>
      <c r="C1564" s="101">
        <f t="shared" ca="1" si="96"/>
        <v>-0.85990022467351779</v>
      </c>
      <c r="D1564" s="101">
        <f t="shared" ca="1" si="97"/>
        <v>0.61046223828827639</v>
      </c>
      <c r="E1564" s="101">
        <f t="shared" ca="1" si="98"/>
        <v>0</v>
      </c>
      <c r="F1564" s="21">
        <f t="shared" ca="1" si="99"/>
        <v>0</v>
      </c>
      <c r="H1564" s="21">
        <v>1549</v>
      </c>
      <c r="I1564" s="102">
        <v>0.66783354780713333</v>
      </c>
      <c r="J1564" s="103">
        <v>1.4322194348588108E-3</v>
      </c>
      <c r="K1564" s="103"/>
      <c r="L1564" s="103">
        <v>4.24E-2</v>
      </c>
      <c r="O1564" s="100"/>
    </row>
    <row r="1565" spans="2:15" x14ac:dyDescent="0.2">
      <c r="B1565" s="1">
        <v>1550</v>
      </c>
      <c r="C1565" s="101">
        <f t="shared" ca="1" si="96"/>
        <v>0.58777444409834123</v>
      </c>
      <c r="D1565" s="101">
        <f t="shared" ca="1" si="97"/>
        <v>0.70416801580530508</v>
      </c>
      <c r="E1565" s="101">
        <f t="shared" ca="1" si="98"/>
        <v>0</v>
      </c>
      <c r="F1565" s="21">
        <f t="shared" ca="1" si="99"/>
        <v>0</v>
      </c>
      <c r="H1565" s="21">
        <v>1550</v>
      </c>
      <c r="I1565" s="102">
        <v>0.66780859084224398</v>
      </c>
      <c r="J1565" s="103">
        <v>1.6032341763240997E-3</v>
      </c>
      <c r="K1565" s="103"/>
      <c r="L1565" s="103">
        <v>4.7800000000000002E-2</v>
      </c>
      <c r="O1565" s="100"/>
    </row>
    <row r="1566" spans="2:15" x14ac:dyDescent="0.2">
      <c r="B1566" s="1">
        <v>1551</v>
      </c>
      <c r="C1566" s="101">
        <f t="shared" ca="1" si="96"/>
        <v>-2.5762076185451321</v>
      </c>
      <c r="D1566" s="101">
        <f t="shared" ca="1" si="97"/>
        <v>0.5153867558951114</v>
      </c>
      <c r="E1566" s="101">
        <f t="shared" ca="1" si="98"/>
        <v>0</v>
      </c>
      <c r="F1566" s="21">
        <f t="shared" ca="1" si="99"/>
        <v>0</v>
      </c>
      <c r="H1566" s="21">
        <v>1551</v>
      </c>
      <c r="I1566" s="102">
        <v>0.66775147615131059</v>
      </c>
      <c r="J1566" s="103">
        <v>1.340495108216962E-3</v>
      </c>
      <c r="K1566" s="103"/>
      <c r="L1566" s="103">
        <v>4.0800000000000003E-2</v>
      </c>
      <c r="O1566" s="100"/>
    </row>
    <row r="1567" spans="2:15" x14ac:dyDescent="0.2">
      <c r="B1567" s="1">
        <v>1552</v>
      </c>
      <c r="C1567" s="101">
        <f t="shared" ca="1" si="96"/>
        <v>-3.1067171734065985E-4</v>
      </c>
      <c r="D1567" s="101">
        <f t="shared" ca="1" si="97"/>
        <v>0.6644818014927939</v>
      </c>
      <c r="E1567" s="101">
        <f t="shared" ca="1" si="98"/>
        <v>0</v>
      </c>
      <c r="F1567" s="21">
        <f t="shared" ca="1" si="99"/>
        <v>0</v>
      </c>
      <c r="H1567" s="21">
        <v>1552</v>
      </c>
      <c r="I1567" s="102">
        <v>0.66803006584036195</v>
      </c>
      <c r="J1567" s="103">
        <v>1.7057318125379048E-3</v>
      </c>
      <c r="K1567" s="103"/>
      <c r="L1567" s="103">
        <v>4.7E-2</v>
      </c>
      <c r="O1567" s="100"/>
    </row>
    <row r="1568" spans="2:15" x14ac:dyDescent="0.2">
      <c r="B1568" s="1">
        <v>1553</v>
      </c>
      <c r="C1568" s="101">
        <f t="shared" ca="1" si="96"/>
        <v>8.7380435555933653E-2</v>
      </c>
      <c r="D1568" s="101">
        <f t="shared" ca="1" si="97"/>
        <v>0.67025447793761195</v>
      </c>
      <c r="E1568" s="101">
        <f t="shared" ca="1" si="98"/>
        <v>0</v>
      </c>
      <c r="F1568" s="21">
        <f t="shared" ca="1" si="99"/>
        <v>0</v>
      </c>
      <c r="H1568" s="21">
        <v>1553</v>
      </c>
      <c r="I1568" s="102">
        <v>0.66779917629372265</v>
      </c>
      <c r="J1568" s="103">
        <v>1.4260873024419397E-3</v>
      </c>
      <c r="K1568" s="103"/>
      <c r="L1568" s="103">
        <v>4.5999999999999999E-2</v>
      </c>
      <c r="O1568" s="100"/>
    </row>
    <row r="1569" spans="2:15" x14ac:dyDescent="0.2">
      <c r="B1569" s="1">
        <v>1554</v>
      </c>
      <c r="C1569" s="101">
        <f t="shared" ca="1" si="96"/>
        <v>-0.68057790200742829</v>
      </c>
      <c r="D1569" s="101">
        <f t="shared" ca="1" si="97"/>
        <v>0.62135652376643502</v>
      </c>
      <c r="E1569" s="101">
        <f t="shared" ca="1" si="98"/>
        <v>0</v>
      </c>
      <c r="F1569" s="21">
        <f t="shared" ca="1" si="99"/>
        <v>0</v>
      </c>
      <c r="H1569" s="21">
        <v>1554</v>
      </c>
      <c r="I1569" s="102">
        <v>0.66771103708484369</v>
      </c>
      <c r="J1569" s="103">
        <v>1.2700854634839951E-3</v>
      </c>
      <c r="K1569" s="103"/>
      <c r="L1569" s="103">
        <v>4.0599999999999997E-2</v>
      </c>
      <c r="O1569" s="100"/>
    </row>
    <row r="1570" spans="2:15" x14ac:dyDescent="0.2">
      <c r="B1570" s="1">
        <v>1555</v>
      </c>
      <c r="C1570" s="101">
        <f t="shared" ca="1" si="96"/>
        <v>0.33044277920976212</v>
      </c>
      <c r="D1570" s="101">
        <f t="shared" ca="1" si="97"/>
        <v>0.68651869001346799</v>
      </c>
      <c r="E1570" s="101">
        <f t="shared" ca="1" si="98"/>
        <v>0</v>
      </c>
      <c r="F1570" s="21">
        <f t="shared" ca="1" si="99"/>
        <v>0</v>
      </c>
      <c r="H1570" s="21">
        <v>1555</v>
      </c>
      <c r="I1570" s="102">
        <v>0.6676948208539788</v>
      </c>
      <c r="J1570" s="103">
        <v>1.3808324519969852E-3</v>
      </c>
      <c r="K1570" s="103"/>
      <c r="L1570" s="103">
        <v>4.2599999999999999E-2</v>
      </c>
      <c r="O1570" s="100"/>
    </row>
    <row r="1571" spans="2:15" x14ac:dyDescent="0.2">
      <c r="B1571" s="1">
        <v>1556</v>
      </c>
      <c r="C1571" s="101">
        <f t="shared" ca="1" si="96"/>
        <v>-0.524752779058556</v>
      </c>
      <c r="D1571" s="101">
        <f t="shared" ca="1" si="97"/>
        <v>0.63098104738784655</v>
      </c>
      <c r="E1571" s="101">
        <f t="shared" ca="1" si="98"/>
        <v>0</v>
      </c>
      <c r="F1571" s="21">
        <f t="shared" ca="1" si="99"/>
        <v>0</v>
      </c>
      <c r="H1571" s="21">
        <v>1556</v>
      </c>
      <c r="I1571" s="102">
        <v>0.66780011576349363</v>
      </c>
      <c r="J1571" s="103">
        <v>1.4385839586833159E-3</v>
      </c>
      <c r="K1571" s="103"/>
      <c r="L1571" s="103">
        <v>4.3999999999999997E-2</v>
      </c>
      <c r="O1571" s="100"/>
    </row>
    <row r="1572" spans="2:15" x14ac:dyDescent="0.2">
      <c r="B1572" s="1">
        <v>1557</v>
      </c>
      <c r="C1572" s="101">
        <f t="shared" ca="1" si="96"/>
        <v>0.15035116045546709</v>
      </c>
      <c r="D1572" s="101">
        <f t="shared" ca="1" si="97"/>
        <v>0.67443073121358321</v>
      </c>
      <c r="E1572" s="101">
        <f t="shared" ca="1" si="98"/>
        <v>0</v>
      </c>
      <c r="F1572" s="21">
        <f t="shared" ca="1" si="99"/>
        <v>0</v>
      </c>
      <c r="H1572" s="21">
        <v>1557</v>
      </c>
      <c r="I1572" s="102">
        <v>0.66768096959040357</v>
      </c>
      <c r="J1572" s="103">
        <v>1.2933680651956081E-3</v>
      </c>
      <c r="K1572" s="103"/>
      <c r="L1572" s="103">
        <v>4.0800000000000003E-2</v>
      </c>
      <c r="O1572" s="100"/>
    </row>
    <row r="1573" spans="2:15" x14ac:dyDescent="0.2">
      <c r="B1573" s="1">
        <v>1558</v>
      </c>
      <c r="C1573" s="101">
        <f t="shared" ca="1" si="96"/>
        <v>-0.70178717324919826</v>
      </c>
      <c r="D1573" s="101">
        <f t="shared" ca="1" si="97"/>
        <v>0.62005793604391113</v>
      </c>
      <c r="E1573" s="101">
        <f t="shared" ca="1" si="98"/>
        <v>0</v>
      </c>
      <c r="F1573" s="21">
        <f t="shared" ca="1" si="99"/>
        <v>0</v>
      </c>
      <c r="H1573" s="21">
        <v>1558</v>
      </c>
      <c r="I1573" s="102">
        <v>0.66806675072217991</v>
      </c>
      <c r="J1573" s="103">
        <v>1.8780223717071096E-3</v>
      </c>
      <c r="K1573" s="103"/>
      <c r="L1573" s="103">
        <v>4.8000000000000001E-2</v>
      </c>
      <c r="O1573" s="100"/>
    </row>
    <row r="1574" spans="2:15" x14ac:dyDescent="0.2">
      <c r="B1574" s="1">
        <v>1559</v>
      </c>
      <c r="C1574" s="101">
        <f t="shared" ca="1" si="96"/>
        <v>-0.5503410534606743</v>
      </c>
      <c r="D1574" s="101">
        <f t="shared" ca="1" si="97"/>
        <v>0.6293904208020884</v>
      </c>
      <c r="E1574" s="101">
        <f t="shared" ca="1" si="98"/>
        <v>0</v>
      </c>
      <c r="F1574" s="21">
        <f t="shared" ca="1" si="99"/>
        <v>0</v>
      </c>
      <c r="H1574" s="21">
        <v>1559</v>
      </c>
      <c r="I1574" s="102">
        <v>0.6676484663720611</v>
      </c>
      <c r="J1574" s="103">
        <v>1.2337769604619348E-3</v>
      </c>
      <c r="K1574" s="103"/>
      <c r="L1574" s="103">
        <v>4.0399999999999998E-2</v>
      </c>
      <c r="O1574" s="100"/>
    </row>
    <row r="1575" spans="2:15" x14ac:dyDescent="0.2">
      <c r="B1575" s="1">
        <v>1560</v>
      </c>
      <c r="C1575" s="101">
        <f t="shared" ca="1" si="96"/>
        <v>-1.1228490283816441</v>
      </c>
      <c r="D1575" s="101">
        <f t="shared" ca="1" si="97"/>
        <v>0.59483188492994665</v>
      </c>
      <c r="E1575" s="101">
        <f t="shared" ca="1" si="98"/>
        <v>0</v>
      </c>
      <c r="F1575" s="21">
        <f t="shared" ca="1" si="99"/>
        <v>0</v>
      </c>
      <c r="H1575" s="21">
        <v>1560</v>
      </c>
      <c r="I1575" s="102">
        <v>0.66784048521371919</v>
      </c>
      <c r="J1575" s="103">
        <v>1.5053810825281055E-3</v>
      </c>
      <c r="K1575" s="103"/>
      <c r="L1575" s="103">
        <v>4.1599999999999998E-2</v>
      </c>
      <c r="O1575" s="100"/>
    </row>
    <row r="1576" spans="2:15" x14ac:dyDescent="0.2">
      <c r="B1576" s="1">
        <v>1561</v>
      </c>
      <c r="C1576" s="101">
        <f t="shared" ca="1" si="96"/>
        <v>-0.17085267154871916</v>
      </c>
      <c r="D1576" s="101">
        <f t="shared" ca="1" si="97"/>
        <v>0.65339706158925626</v>
      </c>
      <c r="E1576" s="101">
        <f t="shared" ca="1" si="98"/>
        <v>0</v>
      </c>
      <c r="F1576" s="21">
        <f t="shared" ca="1" si="99"/>
        <v>0</v>
      </c>
      <c r="H1576" s="21">
        <v>1561</v>
      </c>
      <c r="I1576" s="102">
        <v>0.66764369127222933</v>
      </c>
      <c r="J1576" s="103">
        <v>1.3111617910327401E-3</v>
      </c>
      <c r="K1576" s="103"/>
      <c r="L1576" s="103">
        <v>3.9E-2</v>
      </c>
      <c r="O1576" s="100"/>
    </row>
    <row r="1577" spans="2:15" x14ac:dyDescent="0.2">
      <c r="B1577" s="1">
        <v>1562</v>
      </c>
      <c r="C1577" s="101">
        <f t="shared" ca="1" si="96"/>
        <v>1.7545824802378174</v>
      </c>
      <c r="D1577" s="101">
        <f t="shared" ca="1" si="97"/>
        <v>0.79006283328131066</v>
      </c>
      <c r="E1577" s="101">
        <f t="shared" ca="1" si="98"/>
        <v>1.8628332813106496E-3</v>
      </c>
      <c r="F1577" s="21">
        <f t="shared" ca="1" si="99"/>
        <v>1</v>
      </c>
      <c r="H1577" s="21">
        <v>1562</v>
      </c>
      <c r="I1577" s="102">
        <v>0.66764229750073012</v>
      </c>
      <c r="J1577" s="103">
        <v>1.2843164565408873E-3</v>
      </c>
      <c r="K1577" s="103"/>
      <c r="L1577" s="103">
        <v>3.6799999999999999E-2</v>
      </c>
      <c r="O1577" s="100"/>
    </row>
    <row r="1578" spans="2:15" x14ac:dyDescent="0.2">
      <c r="B1578" s="1">
        <v>1563</v>
      </c>
      <c r="C1578" s="101">
        <f t="shared" ca="1" si="96"/>
        <v>0.95100013977290976</v>
      </c>
      <c r="D1578" s="101">
        <f t="shared" ca="1" si="97"/>
        <v>0.72985512144477072</v>
      </c>
      <c r="E1578" s="101">
        <f t="shared" ca="1" si="98"/>
        <v>0</v>
      </c>
      <c r="F1578" s="21">
        <f t="shared" ca="1" si="99"/>
        <v>0</v>
      </c>
      <c r="H1578" s="21">
        <v>1563</v>
      </c>
      <c r="I1578" s="102">
        <v>0.6678487141644246</v>
      </c>
      <c r="J1578" s="103">
        <v>1.5645320262501542E-3</v>
      </c>
      <c r="K1578" s="103"/>
      <c r="L1578" s="103">
        <v>4.4999999999999998E-2</v>
      </c>
      <c r="O1578" s="100"/>
    </row>
    <row r="1579" spans="2:15" x14ac:dyDescent="0.2">
      <c r="B1579" s="1">
        <v>1564</v>
      </c>
      <c r="C1579" s="101">
        <f t="shared" ca="1" si="96"/>
        <v>-0.75647904521957043</v>
      </c>
      <c r="D1579" s="101">
        <f t="shared" ca="1" si="97"/>
        <v>0.6167218057555458</v>
      </c>
      <c r="E1579" s="101">
        <f t="shared" ca="1" si="98"/>
        <v>0</v>
      </c>
      <c r="F1579" s="21">
        <f t="shared" ca="1" si="99"/>
        <v>0</v>
      </c>
      <c r="H1579" s="21">
        <v>1564</v>
      </c>
      <c r="I1579" s="102">
        <v>0.6677503367643689</v>
      </c>
      <c r="J1579" s="103">
        <v>1.3555714264104175E-3</v>
      </c>
      <c r="K1579" s="103"/>
      <c r="L1579" s="103">
        <v>4.1599999999999998E-2</v>
      </c>
      <c r="O1579" s="100"/>
    </row>
    <row r="1580" spans="2:15" x14ac:dyDescent="0.2">
      <c r="B1580" s="1">
        <v>1565</v>
      </c>
      <c r="C1580" s="101">
        <f t="shared" ca="1" si="96"/>
        <v>1.541794730421995</v>
      </c>
      <c r="D1580" s="101">
        <f t="shared" ca="1" si="97"/>
        <v>0.77365250462867208</v>
      </c>
      <c r="E1580" s="101">
        <f t="shared" ca="1" si="98"/>
        <v>0</v>
      </c>
      <c r="F1580" s="21">
        <f t="shared" ca="1" si="99"/>
        <v>0</v>
      </c>
      <c r="H1580" s="21">
        <v>1565</v>
      </c>
      <c r="I1580" s="102">
        <v>0.6676742748129858</v>
      </c>
      <c r="J1580" s="103">
        <v>1.2084815419047684E-3</v>
      </c>
      <c r="K1580" s="103"/>
      <c r="L1580" s="103">
        <v>0.04</v>
      </c>
      <c r="O1580" s="100"/>
    </row>
    <row r="1581" spans="2:15" x14ac:dyDescent="0.2">
      <c r="B1581" s="1">
        <v>1566</v>
      </c>
      <c r="C1581" s="101">
        <f t="shared" ca="1" si="96"/>
        <v>1.0927517693777791</v>
      </c>
      <c r="D1581" s="101">
        <f t="shared" ca="1" si="97"/>
        <v>0.74013205230978807</v>
      </c>
      <c r="E1581" s="101">
        <f t="shared" ca="1" si="98"/>
        <v>0</v>
      </c>
      <c r="F1581" s="21">
        <f t="shared" ca="1" si="99"/>
        <v>0</v>
      </c>
      <c r="H1581" s="21">
        <v>1566</v>
      </c>
      <c r="I1581" s="102">
        <v>0.66782693627711476</v>
      </c>
      <c r="J1581" s="103">
        <v>1.5141321689993194E-3</v>
      </c>
      <c r="K1581" s="103"/>
      <c r="L1581" s="103">
        <v>4.5400000000000003E-2</v>
      </c>
      <c r="O1581" s="100"/>
    </row>
    <row r="1582" spans="2:15" x14ac:dyDescent="0.2">
      <c r="B1582" s="1">
        <v>1567</v>
      </c>
      <c r="C1582" s="101">
        <f t="shared" ca="1" si="96"/>
        <v>3.0498690963841286E-2</v>
      </c>
      <c r="D1582" s="101">
        <f t="shared" ca="1" si="97"/>
        <v>0.66650428412420126</v>
      </c>
      <c r="E1582" s="101">
        <f t="shared" ca="1" si="98"/>
        <v>0</v>
      </c>
      <c r="F1582" s="21">
        <f t="shared" ca="1" si="99"/>
        <v>0</v>
      </c>
      <c r="H1582" s="21">
        <v>1567</v>
      </c>
      <c r="I1582" s="102">
        <v>0.66786093096350574</v>
      </c>
      <c r="J1582" s="103">
        <v>1.5087179115259278E-3</v>
      </c>
      <c r="K1582" s="103"/>
      <c r="L1582" s="103">
        <v>4.5199999999999997E-2</v>
      </c>
      <c r="O1582" s="100"/>
    </row>
    <row r="1583" spans="2:15" x14ac:dyDescent="0.2">
      <c r="B1583" s="1">
        <v>1568</v>
      </c>
      <c r="C1583" s="101">
        <f t="shared" ca="1" si="96"/>
        <v>1.2114550406890903</v>
      </c>
      <c r="D1583" s="101">
        <f t="shared" ca="1" si="97"/>
        <v>0.74884922940520504</v>
      </c>
      <c r="E1583" s="101">
        <f t="shared" ca="1" si="98"/>
        <v>0</v>
      </c>
      <c r="F1583" s="21">
        <f t="shared" ca="1" si="99"/>
        <v>0</v>
      </c>
      <c r="H1583" s="21">
        <v>1568</v>
      </c>
      <c r="I1583" s="102">
        <v>0.6678555064076821</v>
      </c>
      <c r="J1583" s="103">
        <v>1.5032126640036844E-3</v>
      </c>
      <c r="K1583" s="103"/>
      <c r="L1583" s="103">
        <v>4.3400000000000001E-2</v>
      </c>
      <c r="O1583" s="100"/>
    </row>
    <row r="1584" spans="2:15" x14ac:dyDescent="0.2">
      <c r="B1584" s="1">
        <v>1569</v>
      </c>
      <c r="C1584" s="101">
        <f t="shared" ca="1" si="96"/>
        <v>0.18726971555864871</v>
      </c>
      <c r="D1584" s="101">
        <f t="shared" ca="1" si="97"/>
        <v>0.67689127994915244</v>
      </c>
      <c r="E1584" s="101">
        <f t="shared" ca="1" si="98"/>
        <v>0</v>
      </c>
      <c r="F1584" s="21">
        <f t="shared" ca="1" si="99"/>
        <v>0</v>
      </c>
      <c r="H1584" s="21">
        <v>1569</v>
      </c>
      <c r="I1584" s="102">
        <v>0.66779674572777881</v>
      </c>
      <c r="J1584" s="103">
        <v>1.4328032547388831E-3</v>
      </c>
      <c r="K1584" s="103"/>
      <c r="L1584" s="103">
        <v>4.36E-2</v>
      </c>
      <c r="O1584" s="100"/>
    </row>
    <row r="1585" spans="2:15" x14ac:dyDescent="0.2">
      <c r="B1585" s="1">
        <v>1570</v>
      </c>
      <c r="C1585" s="101">
        <f t="shared" ca="1" si="96"/>
        <v>-0.8777889959562154</v>
      </c>
      <c r="D1585" s="101">
        <f t="shared" ca="1" si="97"/>
        <v>0.60938598348880002</v>
      </c>
      <c r="E1585" s="101">
        <f t="shared" ca="1" si="98"/>
        <v>0</v>
      </c>
      <c r="F1585" s="21">
        <f t="shared" ca="1" si="99"/>
        <v>0</v>
      </c>
      <c r="H1585" s="21">
        <v>1570</v>
      </c>
      <c r="I1585" s="102">
        <v>0.66774993069146305</v>
      </c>
      <c r="J1585" s="103">
        <v>1.4852105783141618E-3</v>
      </c>
      <c r="K1585" s="103"/>
      <c r="L1585" s="103">
        <v>4.0599999999999997E-2</v>
      </c>
      <c r="O1585" s="100"/>
    </row>
    <row r="1586" spans="2:15" x14ac:dyDescent="0.2">
      <c r="B1586" s="1">
        <v>1571</v>
      </c>
      <c r="C1586" s="101">
        <f t="shared" ca="1" si="96"/>
        <v>0.36477391997702663</v>
      </c>
      <c r="D1586" s="101">
        <f t="shared" ca="1" si="97"/>
        <v>0.68884750544543272</v>
      </c>
      <c r="E1586" s="101">
        <f t="shared" ca="1" si="98"/>
        <v>0</v>
      </c>
      <c r="F1586" s="21">
        <f t="shared" ca="1" si="99"/>
        <v>0</v>
      </c>
      <c r="H1586" s="21">
        <v>1571</v>
      </c>
      <c r="I1586" s="102">
        <v>0.66765674225404026</v>
      </c>
      <c r="J1586" s="103">
        <v>1.3221435770594131E-3</v>
      </c>
      <c r="K1586" s="103"/>
      <c r="L1586" s="103">
        <v>4.2599999999999999E-2</v>
      </c>
      <c r="O1586" s="100"/>
    </row>
    <row r="1587" spans="2:15" x14ac:dyDescent="0.2">
      <c r="B1587" s="1">
        <v>1572</v>
      </c>
      <c r="C1587" s="101">
        <f t="shared" ca="1" si="96"/>
        <v>1.4373534187872097</v>
      </c>
      <c r="D1587" s="101">
        <f t="shared" ca="1" si="97"/>
        <v>0.76572307455273814</v>
      </c>
      <c r="E1587" s="101">
        <f t="shared" ca="1" si="98"/>
        <v>0</v>
      </c>
      <c r="F1587" s="21">
        <f t="shared" ca="1" si="99"/>
        <v>0</v>
      </c>
      <c r="H1587" s="21">
        <v>1572</v>
      </c>
      <c r="I1587" s="102">
        <v>0.66765869447728143</v>
      </c>
      <c r="J1587" s="103">
        <v>1.3092762909383514E-3</v>
      </c>
      <c r="K1587" s="103"/>
      <c r="L1587" s="103">
        <v>4.0399999999999998E-2</v>
      </c>
      <c r="O1587" s="100"/>
    </row>
    <row r="1588" spans="2:15" x14ac:dyDescent="0.2">
      <c r="B1588" s="1">
        <v>1573</v>
      </c>
      <c r="C1588" s="101">
        <f t="shared" ca="1" si="96"/>
        <v>-1.6107311063655083</v>
      </c>
      <c r="D1588" s="101">
        <f t="shared" ca="1" si="97"/>
        <v>0.56688331239076228</v>
      </c>
      <c r="E1588" s="101">
        <f t="shared" ca="1" si="98"/>
        <v>0</v>
      </c>
      <c r="F1588" s="21">
        <f t="shared" ca="1" si="99"/>
        <v>0</v>
      </c>
      <c r="H1588" s="21">
        <v>1573</v>
      </c>
      <c r="I1588" s="102">
        <v>0.66760956543378813</v>
      </c>
      <c r="J1588" s="103">
        <v>1.2944367132126228E-3</v>
      </c>
      <c r="K1588" s="103"/>
      <c r="L1588" s="103">
        <v>3.8199999999999998E-2</v>
      </c>
      <c r="O1588" s="100"/>
    </row>
    <row r="1589" spans="2:15" x14ac:dyDescent="0.2">
      <c r="B1589" s="1">
        <v>1574</v>
      </c>
      <c r="C1589" s="101">
        <f t="shared" ca="1" si="96"/>
        <v>0.59346760720851166</v>
      </c>
      <c r="D1589" s="101">
        <f t="shared" ca="1" si="97"/>
        <v>0.7045635743530545</v>
      </c>
      <c r="E1589" s="101">
        <f t="shared" ca="1" si="98"/>
        <v>0</v>
      </c>
      <c r="F1589" s="21">
        <f t="shared" ca="1" si="99"/>
        <v>0</v>
      </c>
      <c r="H1589" s="21">
        <v>1574</v>
      </c>
      <c r="I1589" s="102">
        <v>0.66779614977152602</v>
      </c>
      <c r="J1589" s="103">
        <v>1.4997808983749567E-3</v>
      </c>
      <c r="K1589" s="103"/>
      <c r="L1589" s="103">
        <v>4.2799999999999998E-2</v>
      </c>
      <c r="O1589" s="100"/>
    </row>
    <row r="1590" spans="2:15" x14ac:dyDescent="0.2">
      <c r="B1590" s="1">
        <v>1575</v>
      </c>
      <c r="C1590" s="101">
        <f t="shared" ca="1" si="96"/>
        <v>0.79283942307576272</v>
      </c>
      <c r="D1590" s="101">
        <f t="shared" ca="1" si="97"/>
        <v>0.71855688041664334</v>
      </c>
      <c r="E1590" s="101">
        <f t="shared" ca="1" si="98"/>
        <v>0</v>
      </c>
      <c r="F1590" s="21">
        <f t="shared" ca="1" si="99"/>
        <v>0</v>
      </c>
      <c r="H1590" s="21">
        <v>1575</v>
      </c>
      <c r="I1590" s="102">
        <v>0.66777570414818299</v>
      </c>
      <c r="J1590" s="103">
        <v>1.4786727895177154E-3</v>
      </c>
      <c r="K1590" s="103"/>
      <c r="L1590" s="103">
        <v>4.3400000000000001E-2</v>
      </c>
      <c r="O1590" s="100"/>
    </row>
    <row r="1591" spans="2:15" x14ac:dyDescent="0.2">
      <c r="B1591" s="1">
        <v>1576</v>
      </c>
      <c r="C1591" s="101">
        <f t="shared" ca="1" si="96"/>
        <v>-0.66405365831512442</v>
      </c>
      <c r="D1591" s="101">
        <f t="shared" ca="1" si="97"/>
        <v>0.62237014417580738</v>
      </c>
      <c r="E1591" s="101">
        <f t="shared" ca="1" si="98"/>
        <v>0</v>
      </c>
      <c r="F1591" s="21">
        <f t="shared" ca="1" si="99"/>
        <v>0</v>
      </c>
      <c r="H1591" s="21">
        <v>1576</v>
      </c>
      <c r="I1591" s="102">
        <v>0.66777552250610384</v>
      </c>
      <c r="J1591" s="103">
        <v>1.4360795838363944E-3</v>
      </c>
      <c r="K1591" s="103"/>
      <c r="L1591" s="103">
        <v>4.1200000000000001E-2</v>
      </c>
      <c r="O1591" s="100"/>
    </row>
    <row r="1592" spans="2:15" x14ac:dyDescent="0.2">
      <c r="B1592" s="1">
        <v>1577</v>
      </c>
      <c r="C1592" s="101">
        <f t="shared" ca="1" si="96"/>
        <v>3.3685281907128627E-2</v>
      </c>
      <c r="D1592" s="101">
        <f t="shared" ca="1" si="97"/>
        <v>0.66671381904923388</v>
      </c>
      <c r="E1592" s="101">
        <f t="shared" ca="1" si="98"/>
        <v>0</v>
      </c>
      <c r="F1592" s="21">
        <f t="shared" ca="1" si="99"/>
        <v>0</v>
      </c>
      <c r="H1592" s="21">
        <v>1577</v>
      </c>
      <c r="I1592" s="102">
        <v>0.66751555222484993</v>
      </c>
      <c r="J1592" s="103">
        <v>1.2045101024079324E-3</v>
      </c>
      <c r="K1592" s="103"/>
      <c r="L1592" s="103">
        <v>3.6600000000000001E-2</v>
      </c>
      <c r="O1592" s="100"/>
    </row>
    <row r="1593" spans="2:15" x14ac:dyDescent="0.2">
      <c r="B1593" s="1">
        <v>1578</v>
      </c>
      <c r="C1593" s="101">
        <f t="shared" ca="1" si="96"/>
        <v>0.77208646655010271</v>
      </c>
      <c r="D1593" s="101">
        <f t="shared" ca="1" si="97"/>
        <v>0.7170874278116669</v>
      </c>
      <c r="E1593" s="101">
        <f t="shared" ca="1" si="98"/>
        <v>0</v>
      </c>
      <c r="F1593" s="21">
        <f t="shared" ca="1" si="99"/>
        <v>0</v>
      </c>
      <c r="H1593" s="21">
        <v>1578</v>
      </c>
      <c r="I1593" s="102">
        <v>0.66776799183315838</v>
      </c>
      <c r="J1593" s="103">
        <v>1.4143766249714235E-3</v>
      </c>
      <c r="K1593" s="103"/>
      <c r="L1593" s="103">
        <v>4.1000000000000002E-2</v>
      </c>
      <c r="O1593" s="100"/>
    </row>
    <row r="1594" spans="2:15" x14ac:dyDescent="0.2">
      <c r="B1594" s="1">
        <v>1579</v>
      </c>
      <c r="C1594" s="101">
        <f t="shared" ca="1" si="96"/>
        <v>1.2094189885830064</v>
      </c>
      <c r="D1594" s="101">
        <f t="shared" ca="1" si="97"/>
        <v>0.74869884646725238</v>
      </c>
      <c r="E1594" s="101">
        <f t="shared" ca="1" si="98"/>
        <v>0</v>
      </c>
      <c r="F1594" s="21">
        <f t="shared" ca="1" si="99"/>
        <v>0</v>
      </c>
      <c r="H1594" s="21">
        <v>1579</v>
      </c>
      <c r="I1594" s="102">
        <v>0.66781010228081927</v>
      </c>
      <c r="J1594" s="103">
        <v>1.5285272600371461E-3</v>
      </c>
      <c r="K1594" s="103"/>
      <c r="L1594" s="103">
        <v>3.9399999999999998E-2</v>
      </c>
      <c r="O1594" s="100"/>
    </row>
    <row r="1595" spans="2:15" x14ac:dyDescent="0.2">
      <c r="B1595" s="1">
        <v>1580</v>
      </c>
      <c r="C1595" s="101">
        <f t="shared" ca="1" si="96"/>
        <v>0.75572103830908166</v>
      </c>
      <c r="D1595" s="101">
        <f t="shared" ca="1" si="97"/>
        <v>0.71593076202957373</v>
      </c>
      <c r="E1595" s="101">
        <f t="shared" ca="1" si="98"/>
        <v>0</v>
      </c>
      <c r="F1595" s="21">
        <f t="shared" ca="1" si="99"/>
        <v>0</v>
      </c>
      <c r="H1595" s="21">
        <v>1580</v>
      </c>
      <c r="I1595" s="102">
        <v>0.6677322350725049</v>
      </c>
      <c r="J1595" s="103">
        <v>1.4690604155558852E-3</v>
      </c>
      <c r="K1595" s="103"/>
      <c r="L1595" s="103">
        <v>4.1200000000000001E-2</v>
      </c>
      <c r="O1595" s="100"/>
    </row>
    <row r="1596" spans="2:15" x14ac:dyDescent="0.2">
      <c r="B1596" s="1">
        <v>1581</v>
      </c>
      <c r="C1596" s="101">
        <f t="shared" ca="1" si="96"/>
        <v>0.76085119023026881</v>
      </c>
      <c r="D1596" s="101">
        <f t="shared" ca="1" si="97"/>
        <v>0.71629314688644441</v>
      </c>
      <c r="E1596" s="101">
        <f t="shared" ca="1" si="98"/>
        <v>0</v>
      </c>
      <c r="F1596" s="21">
        <f t="shared" ca="1" si="99"/>
        <v>0</v>
      </c>
      <c r="H1596" s="21">
        <v>1581</v>
      </c>
      <c r="I1596" s="102">
        <v>0.66766355843167879</v>
      </c>
      <c r="J1596" s="103">
        <v>1.2591071296448443E-3</v>
      </c>
      <c r="K1596" s="103"/>
      <c r="L1596" s="103">
        <v>4.0599999999999997E-2</v>
      </c>
      <c r="O1596" s="100"/>
    </row>
    <row r="1597" spans="2:15" x14ac:dyDescent="0.2">
      <c r="B1597" s="1">
        <v>1582</v>
      </c>
      <c r="C1597" s="101">
        <f t="shared" ca="1" si="96"/>
        <v>0.66125364976108314</v>
      </c>
      <c r="D1597" s="101">
        <f t="shared" ca="1" si="97"/>
        <v>0.70929042774381579</v>
      </c>
      <c r="E1597" s="101">
        <f t="shared" ca="1" si="98"/>
        <v>0</v>
      </c>
      <c r="F1597" s="21">
        <f t="shared" ca="1" si="99"/>
        <v>0</v>
      </c>
      <c r="H1597" s="21">
        <v>1582</v>
      </c>
      <c r="I1597" s="102">
        <v>0.66774894203932567</v>
      </c>
      <c r="J1597" s="103">
        <v>1.4602919840500704E-3</v>
      </c>
      <c r="K1597" s="103"/>
      <c r="L1597" s="103">
        <v>4.2200000000000001E-2</v>
      </c>
      <c r="O1597" s="100"/>
    </row>
    <row r="1598" spans="2:15" x14ac:dyDescent="0.2">
      <c r="B1598" s="1">
        <v>1583</v>
      </c>
      <c r="C1598" s="101">
        <f t="shared" ca="1" si="96"/>
        <v>-1.082248523338686</v>
      </c>
      <c r="D1598" s="101">
        <f t="shared" ca="1" si="97"/>
        <v>0.5972188964623204</v>
      </c>
      <c r="E1598" s="101">
        <f t="shared" ca="1" si="98"/>
        <v>0</v>
      </c>
      <c r="F1598" s="21">
        <f t="shared" ca="1" si="99"/>
        <v>0</v>
      </c>
      <c r="H1598" s="21">
        <v>1583</v>
      </c>
      <c r="I1598" s="102">
        <v>0.66789103347616441</v>
      </c>
      <c r="J1598" s="103">
        <v>1.5622020023516939E-3</v>
      </c>
      <c r="K1598" s="103"/>
      <c r="L1598" s="103">
        <v>4.4999999999999998E-2</v>
      </c>
      <c r="O1598" s="100"/>
    </row>
    <row r="1599" spans="2:15" x14ac:dyDescent="0.2">
      <c r="B1599" s="1">
        <v>1584</v>
      </c>
      <c r="C1599" s="101">
        <f t="shared" ca="1" si="96"/>
        <v>-0.65976195447436692</v>
      </c>
      <c r="D1599" s="101">
        <f t="shared" ca="1" si="97"/>
        <v>0.62263367372952005</v>
      </c>
      <c r="E1599" s="101">
        <f t="shared" ca="1" si="98"/>
        <v>0</v>
      </c>
      <c r="F1599" s="21">
        <f t="shared" ca="1" si="99"/>
        <v>0</v>
      </c>
      <c r="H1599" s="21">
        <v>1584</v>
      </c>
      <c r="I1599" s="102">
        <v>0.66782837585462229</v>
      </c>
      <c r="J1599" s="103">
        <v>1.3782355669920544E-3</v>
      </c>
      <c r="K1599" s="103"/>
      <c r="L1599" s="103">
        <v>4.3400000000000001E-2</v>
      </c>
      <c r="O1599" s="100"/>
    </row>
    <row r="1600" spans="2:15" x14ac:dyDescent="0.2">
      <c r="B1600" s="1">
        <v>1585</v>
      </c>
      <c r="C1600" s="101">
        <f t="shared" ca="1" si="96"/>
        <v>-0.65758759466057737</v>
      </c>
      <c r="D1600" s="101">
        <f t="shared" ca="1" si="97"/>
        <v>0.62276723160230985</v>
      </c>
      <c r="E1600" s="101">
        <f t="shared" ca="1" si="98"/>
        <v>0</v>
      </c>
      <c r="F1600" s="21">
        <f t="shared" ca="1" si="99"/>
        <v>0</v>
      </c>
      <c r="H1600" s="21">
        <v>1585</v>
      </c>
      <c r="I1600" s="102">
        <v>0.6676892174674115</v>
      </c>
      <c r="J1600" s="103">
        <v>1.2479250959880597E-3</v>
      </c>
      <c r="K1600" s="103"/>
      <c r="L1600" s="103">
        <v>4.0599999999999997E-2</v>
      </c>
      <c r="O1600" s="100"/>
    </row>
    <row r="1601" spans="2:15" x14ac:dyDescent="0.2">
      <c r="B1601" s="1">
        <v>1586</v>
      </c>
      <c r="C1601" s="101">
        <f t="shared" ca="1" si="96"/>
        <v>0.38726064024947277</v>
      </c>
      <c r="D1601" s="101">
        <f t="shared" ca="1" si="97"/>
        <v>0.69037714764293301</v>
      </c>
      <c r="E1601" s="101">
        <f t="shared" ca="1" si="98"/>
        <v>0</v>
      </c>
      <c r="F1601" s="21">
        <f t="shared" ca="1" si="99"/>
        <v>0</v>
      </c>
      <c r="H1601" s="21">
        <v>1586</v>
      </c>
      <c r="I1601" s="102">
        <v>0.66761328104030593</v>
      </c>
      <c r="J1601" s="103">
        <v>1.1198547250132482E-3</v>
      </c>
      <c r="K1601" s="103"/>
      <c r="L1601" s="103">
        <v>3.9399999999999998E-2</v>
      </c>
      <c r="O1601" s="100"/>
    </row>
    <row r="1602" spans="2:15" x14ac:dyDescent="0.2">
      <c r="B1602" s="1">
        <v>1587</v>
      </c>
      <c r="C1602" s="101">
        <f t="shared" ca="1" si="96"/>
        <v>0.50551484846556571</v>
      </c>
      <c r="D1602" s="101">
        <f t="shared" ca="1" si="97"/>
        <v>0.69847737750948147</v>
      </c>
      <c r="E1602" s="101">
        <f t="shared" ca="1" si="98"/>
        <v>0</v>
      </c>
      <c r="F1602" s="21">
        <f t="shared" ca="1" si="99"/>
        <v>0</v>
      </c>
      <c r="H1602" s="21">
        <v>1587</v>
      </c>
      <c r="I1602" s="102">
        <v>0.66769917907788945</v>
      </c>
      <c r="J1602" s="103">
        <v>1.2962710658262116E-3</v>
      </c>
      <c r="K1602" s="103"/>
      <c r="L1602" s="103">
        <v>3.8600000000000002E-2</v>
      </c>
      <c r="O1602" s="100"/>
    </row>
    <row r="1603" spans="2:15" x14ac:dyDescent="0.2">
      <c r="B1603" s="1">
        <v>1588</v>
      </c>
      <c r="C1603" s="101">
        <f t="shared" ca="1" si="96"/>
        <v>3.7833219211539246E-2</v>
      </c>
      <c r="D1603" s="101">
        <f t="shared" ca="1" si="97"/>
        <v>0.66698666618026969</v>
      </c>
      <c r="E1603" s="101">
        <f t="shared" ca="1" si="98"/>
        <v>0</v>
      </c>
      <c r="F1603" s="21">
        <f t="shared" ca="1" si="99"/>
        <v>0</v>
      </c>
      <c r="H1603" s="21">
        <v>1588</v>
      </c>
      <c r="I1603" s="102">
        <v>0.66767100607720598</v>
      </c>
      <c r="J1603" s="103">
        <v>1.1429672478764556E-3</v>
      </c>
      <c r="K1603" s="103"/>
      <c r="L1603" s="103">
        <v>3.9399999999999998E-2</v>
      </c>
      <c r="O1603" s="100"/>
    </row>
    <row r="1604" spans="2:15" x14ac:dyDescent="0.2">
      <c r="B1604" s="1">
        <v>1589</v>
      </c>
      <c r="C1604" s="101">
        <f t="shared" ca="1" si="96"/>
        <v>0.2850103746272139</v>
      </c>
      <c r="D1604" s="101">
        <f t="shared" ca="1" si="97"/>
        <v>0.68344893155814757</v>
      </c>
      <c r="E1604" s="101">
        <f t="shared" ca="1" si="98"/>
        <v>0</v>
      </c>
      <c r="F1604" s="21">
        <f t="shared" ca="1" si="99"/>
        <v>0</v>
      </c>
      <c r="H1604" s="21">
        <v>1589</v>
      </c>
      <c r="I1604" s="102">
        <v>0.6677511890599257</v>
      </c>
      <c r="J1604" s="103">
        <v>1.3640242496200947E-3</v>
      </c>
      <c r="K1604" s="103"/>
      <c r="L1604" s="103">
        <v>4.1399999999999999E-2</v>
      </c>
      <c r="O1604" s="100"/>
    </row>
    <row r="1605" spans="2:15" x14ac:dyDescent="0.2">
      <c r="B1605" s="1">
        <v>1590</v>
      </c>
      <c r="C1605" s="101">
        <f t="shared" ca="1" si="96"/>
        <v>0.2540423475315719</v>
      </c>
      <c r="D1605" s="101">
        <f t="shared" ca="1" si="97"/>
        <v>0.68136436699263858</v>
      </c>
      <c r="E1605" s="101">
        <f t="shared" ca="1" si="98"/>
        <v>0</v>
      </c>
      <c r="F1605" s="21">
        <f t="shared" ca="1" si="99"/>
        <v>0</v>
      </c>
      <c r="H1605" s="21">
        <v>1590</v>
      </c>
      <c r="I1605" s="102">
        <v>0.66767820272437761</v>
      </c>
      <c r="J1605" s="103">
        <v>1.3106897238882402E-3</v>
      </c>
      <c r="K1605" s="103"/>
      <c r="L1605" s="103">
        <v>0.04</v>
      </c>
      <c r="O1605" s="100"/>
    </row>
    <row r="1606" spans="2:15" x14ac:dyDescent="0.2">
      <c r="B1606" s="1">
        <v>1591</v>
      </c>
      <c r="C1606" s="101">
        <f t="shared" ca="1" si="96"/>
        <v>-0.16791031634800291</v>
      </c>
      <c r="D1606" s="101">
        <f t="shared" ca="1" si="97"/>
        <v>0.65358672964970754</v>
      </c>
      <c r="E1606" s="101">
        <f t="shared" ca="1" si="98"/>
        <v>0</v>
      </c>
      <c r="F1606" s="21">
        <f t="shared" ca="1" si="99"/>
        <v>0</v>
      </c>
      <c r="H1606" s="21">
        <v>1591</v>
      </c>
      <c r="I1606" s="102">
        <v>0.66766779449198632</v>
      </c>
      <c r="J1606" s="103">
        <v>1.2688847163762546E-3</v>
      </c>
      <c r="K1606" s="103"/>
      <c r="L1606" s="103">
        <v>4.1599999999999998E-2</v>
      </c>
      <c r="O1606" s="100"/>
    </row>
    <row r="1607" spans="2:15" x14ac:dyDescent="0.2">
      <c r="B1607" s="1">
        <v>1592</v>
      </c>
      <c r="C1607" s="101">
        <f t="shared" ca="1" si="96"/>
        <v>0.42350703349600999</v>
      </c>
      <c r="D1607" s="101">
        <f t="shared" ca="1" si="97"/>
        <v>0.69284993472742873</v>
      </c>
      <c r="E1607" s="101">
        <f t="shared" ca="1" si="98"/>
        <v>0</v>
      </c>
      <c r="F1607" s="21">
        <f t="shared" ca="1" si="99"/>
        <v>0</v>
      </c>
      <c r="H1607" s="21">
        <v>1592</v>
      </c>
      <c r="I1607" s="102">
        <v>0.66774102107668465</v>
      </c>
      <c r="J1607" s="103">
        <v>1.4619750512437494E-3</v>
      </c>
      <c r="K1607" s="103"/>
      <c r="L1607" s="103">
        <v>4.3799999999999999E-2</v>
      </c>
      <c r="O1607" s="100"/>
    </row>
    <row r="1608" spans="2:15" x14ac:dyDescent="0.2">
      <c r="B1608" s="1">
        <v>1593</v>
      </c>
      <c r="C1608" s="101">
        <f t="shared" ca="1" si="96"/>
        <v>0.88314894943176703</v>
      </c>
      <c r="D1608" s="101">
        <f t="shared" ca="1" si="97"/>
        <v>0.72498656184852139</v>
      </c>
      <c r="E1608" s="101">
        <f t="shared" ca="1" si="98"/>
        <v>0</v>
      </c>
      <c r="F1608" s="21">
        <f t="shared" ca="1" si="99"/>
        <v>0</v>
      </c>
      <c r="H1608" s="21">
        <v>1593</v>
      </c>
      <c r="I1608" s="102">
        <v>0.66758725315529599</v>
      </c>
      <c r="J1608" s="103">
        <v>1.1280769003272457E-3</v>
      </c>
      <c r="K1608" s="103"/>
      <c r="L1608" s="103">
        <v>3.7199999999999997E-2</v>
      </c>
      <c r="O1608" s="100"/>
    </row>
    <row r="1609" spans="2:15" x14ac:dyDescent="0.2">
      <c r="B1609" s="1">
        <v>1594</v>
      </c>
      <c r="C1609" s="101">
        <f t="shared" ca="1" si="96"/>
        <v>0.67506749335904848</v>
      </c>
      <c r="D1609" s="101">
        <f t="shared" ca="1" si="97"/>
        <v>0.7102575768971181</v>
      </c>
      <c r="E1609" s="101">
        <f t="shared" ca="1" si="98"/>
        <v>0</v>
      </c>
      <c r="F1609" s="21">
        <f t="shared" ca="1" si="99"/>
        <v>0</v>
      </c>
      <c r="H1609" s="21">
        <v>1594</v>
      </c>
      <c r="I1609" s="102">
        <v>0.66787037123340987</v>
      </c>
      <c r="J1609" s="103">
        <v>1.4655343106014663E-3</v>
      </c>
      <c r="K1609" s="103"/>
      <c r="L1609" s="103">
        <v>4.5199999999999997E-2</v>
      </c>
      <c r="O1609" s="100"/>
    </row>
    <row r="1610" spans="2:15" x14ac:dyDescent="0.2">
      <c r="B1610" s="1">
        <v>1595</v>
      </c>
      <c r="C1610" s="101">
        <f t="shared" ca="1" si="96"/>
        <v>0.29509044676029217</v>
      </c>
      <c r="D1610" s="101">
        <f t="shared" ca="1" si="97"/>
        <v>0.68412883077266295</v>
      </c>
      <c r="E1610" s="101">
        <f t="shared" ca="1" si="98"/>
        <v>0</v>
      </c>
      <c r="F1610" s="21">
        <f t="shared" ca="1" si="99"/>
        <v>0</v>
      </c>
      <c r="H1610" s="21">
        <v>1595</v>
      </c>
      <c r="I1610" s="102">
        <v>0.66784062684910006</v>
      </c>
      <c r="J1610" s="103">
        <v>1.4584106660291143E-3</v>
      </c>
      <c r="K1610" s="103"/>
      <c r="L1610" s="103">
        <v>4.5199999999999997E-2</v>
      </c>
      <c r="O1610" s="100"/>
    </row>
    <row r="1611" spans="2:15" x14ac:dyDescent="0.2">
      <c r="B1611" s="1">
        <v>1596</v>
      </c>
      <c r="C1611" s="101">
        <f t="shared" ca="1" si="96"/>
        <v>0.49558110462711413</v>
      </c>
      <c r="D1611" s="101">
        <f t="shared" ca="1" si="97"/>
        <v>0.69779329034541648</v>
      </c>
      <c r="E1611" s="101">
        <f t="shared" ca="1" si="98"/>
        <v>0</v>
      </c>
      <c r="F1611" s="21">
        <f t="shared" ca="1" si="99"/>
        <v>0</v>
      </c>
      <c r="H1611" s="21">
        <v>1596</v>
      </c>
      <c r="I1611" s="102">
        <v>0.6677025686356225</v>
      </c>
      <c r="J1611" s="103">
        <v>1.3452393201431505E-3</v>
      </c>
      <c r="K1611" s="103"/>
      <c r="L1611" s="103">
        <v>4.02E-2</v>
      </c>
      <c r="O1611" s="100"/>
    </row>
    <row r="1612" spans="2:15" x14ac:dyDescent="0.2">
      <c r="B1612" s="1">
        <v>1597</v>
      </c>
      <c r="C1612" s="101">
        <f t="shared" ca="1" si="96"/>
        <v>-0.41461854010420812</v>
      </c>
      <c r="D1612" s="101">
        <f t="shared" ca="1" si="97"/>
        <v>0.6378732612911644</v>
      </c>
      <c r="E1612" s="101">
        <f t="shared" ca="1" si="98"/>
        <v>0</v>
      </c>
      <c r="F1612" s="21">
        <f t="shared" ca="1" si="99"/>
        <v>0</v>
      </c>
      <c r="H1612" s="21">
        <v>1597</v>
      </c>
      <c r="I1612" s="102">
        <v>0.66792816602809579</v>
      </c>
      <c r="J1612" s="103">
        <v>1.4165982717466322E-3</v>
      </c>
      <c r="K1612" s="103"/>
      <c r="L1612" s="103">
        <v>4.24E-2</v>
      </c>
      <c r="O1612" s="100"/>
    </row>
    <row r="1613" spans="2:15" x14ac:dyDescent="0.2">
      <c r="B1613" s="1">
        <v>1598</v>
      </c>
      <c r="C1613" s="101">
        <f t="shared" ca="1" si="96"/>
        <v>-0.81582872376145266</v>
      </c>
      <c r="D1613" s="101">
        <f t="shared" ca="1" si="97"/>
        <v>0.61312186010351422</v>
      </c>
      <c r="E1613" s="101">
        <f t="shared" ca="1" si="98"/>
        <v>0</v>
      </c>
      <c r="F1613" s="21">
        <f t="shared" ca="1" si="99"/>
        <v>0</v>
      </c>
      <c r="H1613" s="21">
        <v>1598</v>
      </c>
      <c r="I1613" s="102">
        <v>0.66763125648853683</v>
      </c>
      <c r="J1613" s="103">
        <v>1.2590844392185343E-3</v>
      </c>
      <c r="K1613" s="103"/>
      <c r="L1613" s="103">
        <v>4.2000000000000003E-2</v>
      </c>
      <c r="O1613" s="100"/>
    </row>
    <row r="1614" spans="2:15" x14ac:dyDescent="0.2">
      <c r="B1614" s="1">
        <v>1599</v>
      </c>
      <c r="C1614" s="101">
        <f t="shared" ca="1" si="96"/>
        <v>-1.9901674243110818</v>
      </c>
      <c r="D1614" s="101">
        <f t="shared" ca="1" si="97"/>
        <v>0.54605810137039379</v>
      </c>
      <c r="E1614" s="101">
        <f t="shared" ca="1" si="98"/>
        <v>0</v>
      </c>
      <c r="F1614" s="21">
        <f t="shared" ca="1" si="99"/>
        <v>0</v>
      </c>
      <c r="H1614" s="21">
        <v>1599</v>
      </c>
      <c r="I1614" s="102">
        <v>0.66780425293813983</v>
      </c>
      <c r="J1614" s="103">
        <v>1.4884906863932013E-3</v>
      </c>
      <c r="K1614" s="103"/>
      <c r="L1614" s="103">
        <v>4.1200000000000001E-2</v>
      </c>
      <c r="O1614" s="100"/>
    </row>
    <row r="1615" spans="2:15" x14ac:dyDescent="0.2">
      <c r="B1615" s="1">
        <v>1600</v>
      </c>
      <c r="C1615" s="101">
        <f t="shared" ca="1" si="96"/>
        <v>-0.61835502440404966</v>
      </c>
      <c r="D1615" s="101">
        <f t="shared" ca="1" si="97"/>
        <v>0.62518198082767995</v>
      </c>
      <c r="E1615" s="101">
        <f t="shared" ca="1" si="98"/>
        <v>0</v>
      </c>
      <c r="F1615" s="21">
        <f t="shared" ca="1" si="99"/>
        <v>0</v>
      </c>
      <c r="H1615" s="21">
        <v>1600</v>
      </c>
      <c r="I1615" s="102">
        <v>0.66761433359523492</v>
      </c>
      <c r="J1615" s="103">
        <v>1.1766416896474641E-3</v>
      </c>
      <c r="K1615" s="103"/>
      <c r="L1615" s="103">
        <v>3.7400000000000003E-2</v>
      </c>
      <c r="O1615" s="100"/>
    </row>
    <row r="1616" spans="2:15" x14ac:dyDescent="0.2">
      <c r="B1616" s="1">
        <v>1601</v>
      </c>
      <c r="C1616" s="101">
        <f t="shared" ref="C1616:C1679" ca="1" si="100">_xlfn.NORM.S.INV(RAND())</f>
        <v>-0.99047292298812428</v>
      </c>
      <c r="D1616" s="101">
        <f t="shared" ref="D1616:D1679" ca="1" si="101">S0*EXP((μ-0.5*σ*σ)*T+σ*SQRT(T)*$C1616)</f>
        <v>0.60264998601074748</v>
      </c>
      <c r="E1616" s="101">
        <f t="shared" ref="E1616:E1679" ca="1" si="102">MAX(0,CP*(D1616-K))</f>
        <v>0</v>
      </c>
      <c r="F1616" s="21">
        <f t="shared" ref="F1616:F1679" ca="1" si="103">(CP*(D1616-K)&gt;0)*1</f>
        <v>0</v>
      </c>
      <c r="H1616" s="21">
        <v>1601</v>
      </c>
      <c r="I1616" s="102">
        <v>0.66769132965651146</v>
      </c>
      <c r="J1616" s="103">
        <v>1.3351565108794092E-3</v>
      </c>
      <c r="K1616" s="103"/>
      <c r="L1616" s="103">
        <v>3.6799999999999999E-2</v>
      </c>
      <c r="O1616" s="100"/>
    </row>
    <row r="1617" spans="2:15" x14ac:dyDescent="0.2">
      <c r="B1617" s="1">
        <v>1602</v>
      </c>
      <c r="C1617" s="101">
        <f t="shared" ca="1" si="100"/>
        <v>-0.39990748185336622</v>
      </c>
      <c r="D1617" s="101">
        <f t="shared" ca="1" si="101"/>
        <v>0.63879956277083438</v>
      </c>
      <c r="E1617" s="101">
        <f t="shared" ca="1" si="102"/>
        <v>0</v>
      </c>
      <c r="F1617" s="21">
        <f t="shared" ca="1" si="103"/>
        <v>0</v>
      </c>
      <c r="H1617" s="21">
        <v>1602</v>
      </c>
      <c r="I1617" s="102">
        <v>0.66777856377334333</v>
      </c>
      <c r="J1617" s="103">
        <v>1.5025204854716562E-3</v>
      </c>
      <c r="K1617" s="103"/>
      <c r="L1617" s="103">
        <v>4.24E-2</v>
      </c>
      <c r="O1617" s="100"/>
    </row>
    <row r="1618" spans="2:15" x14ac:dyDescent="0.2">
      <c r="B1618" s="1">
        <v>1603</v>
      </c>
      <c r="C1618" s="101">
        <f t="shared" ca="1" si="100"/>
        <v>-0.77833323025432932</v>
      </c>
      <c r="D1618" s="101">
        <f t="shared" ca="1" si="101"/>
        <v>0.6153937546278142</v>
      </c>
      <c r="E1618" s="101">
        <f t="shared" ca="1" si="102"/>
        <v>0</v>
      </c>
      <c r="F1618" s="21">
        <f t="shared" ca="1" si="103"/>
        <v>0</v>
      </c>
      <c r="H1618" s="21">
        <v>1603</v>
      </c>
      <c r="I1618" s="102">
        <v>0.66785479114363222</v>
      </c>
      <c r="J1618" s="103">
        <v>1.5340685584072922E-3</v>
      </c>
      <c r="K1618" s="103"/>
      <c r="L1618" s="103">
        <v>4.2200000000000001E-2</v>
      </c>
      <c r="O1618" s="100"/>
    </row>
    <row r="1619" spans="2:15" x14ac:dyDescent="0.2">
      <c r="B1619" s="1">
        <v>1604</v>
      </c>
      <c r="C1619" s="101">
        <f t="shared" ca="1" si="100"/>
        <v>0.71815938987744299</v>
      </c>
      <c r="D1619" s="101">
        <f t="shared" ca="1" si="101"/>
        <v>0.71328305299615991</v>
      </c>
      <c r="E1619" s="101">
        <f t="shared" ca="1" si="102"/>
        <v>0</v>
      </c>
      <c r="F1619" s="21">
        <f t="shared" ca="1" si="103"/>
        <v>0</v>
      </c>
      <c r="H1619" s="21">
        <v>1604</v>
      </c>
      <c r="I1619" s="102">
        <v>0.66784336929143862</v>
      </c>
      <c r="J1619" s="103">
        <v>1.5147679251532788E-3</v>
      </c>
      <c r="K1619" s="103"/>
      <c r="L1619" s="103">
        <v>4.7600000000000003E-2</v>
      </c>
      <c r="O1619" s="100"/>
    </row>
    <row r="1620" spans="2:15" x14ac:dyDescent="0.2">
      <c r="B1620" s="1">
        <v>1605</v>
      </c>
      <c r="C1620" s="101">
        <f t="shared" ca="1" si="100"/>
        <v>-1.6621394407851695</v>
      </c>
      <c r="D1620" s="101">
        <f t="shared" ca="1" si="101"/>
        <v>0.56401593127080507</v>
      </c>
      <c r="E1620" s="101">
        <f t="shared" ca="1" si="102"/>
        <v>0</v>
      </c>
      <c r="F1620" s="21">
        <f t="shared" ca="1" si="103"/>
        <v>0</v>
      </c>
      <c r="H1620" s="21">
        <v>1605</v>
      </c>
      <c r="I1620" s="102">
        <v>0.66772125996770471</v>
      </c>
      <c r="J1620" s="103">
        <v>1.2964449103177479E-3</v>
      </c>
      <c r="K1620" s="103"/>
      <c r="L1620" s="103">
        <v>4.1000000000000002E-2</v>
      </c>
      <c r="O1620" s="100"/>
    </row>
    <row r="1621" spans="2:15" x14ac:dyDescent="0.2">
      <c r="B1621" s="1">
        <v>1606</v>
      </c>
      <c r="C1621" s="101">
        <f t="shared" ca="1" si="100"/>
        <v>0.24027494486442413</v>
      </c>
      <c r="D1621" s="101">
        <f t="shared" ca="1" si="101"/>
        <v>0.68043967845747233</v>
      </c>
      <c r="E1621" s="101">
        <f t="shared" ca="1" si="102"/>
        <v>0</v>
      </c>
      <c r="F1621" s="21">
        <f t="shared" ca="1" si="103"/>
        <v>0</v>
      </c>
      <c r="H1621" s="21">
        <v>1606</v>
      </c>
      <c r="I1621" s="102">
        <v>0.66780853105215487</v>
      </c>
      <c r="J1621" s="103">
        <v>1.4036843090945862E-3</v>
      </c>
      <c r="K1621" s="103"/>
      <c r="L1621" s="103">
        <v>4.2999999999999997E-2</v>
      </c>
      <c r="O1621" s="100"/>
    </row>
    <row r="1622" spans="2:15" x14ac:dyDescent="0.2">
      <c r="B1622" s="1">
        <v>1607</v>
      </c>
      <c r="C1622" s="101">
        <f t="shared" ca="1" si="100"/>
        <v>0.48181922608866468</v>
      </c>
      <c r="D1622" s="101">
        <f t="shared" ca="1" si="101"/>
        <v>0.69684668561929919</v>
      </c>
      <c r="E1622" s="101">
        <f t="shared" ca="1" si="102"/>
        <v>0</v>
      </c>
      <c r="F1622" s="21">
        <f t="shared" ca="1" si="103"/>
        <v>0</v>
      </c>
      <c r="H1622" s="21">
        <v>1607</v>
      </c>
      <c r="I1622" s="102">
        <v>0.667736888892972</v>
      </c>
      <c r="J1622" s="103">
        <v>1.4556691925809537E-3</v>
      </c>
      <c r="K1622" s="103"/>
      <c r="L1622" s="103">
        <v>4.1200000000000001E-2</v>
      </c>
      <c r="O1622" s="100"/>
    </row>
    <row r="1623" spans="2:15" x14ac:dyDescent="0.2">
      <c r="B1623" s="1">
        <v>1608</v>
      </c>
      <c r="C1623" s="101">
        <f t="shared" ca="1" si="100"/>
        <v>-1.3706049609959168</v>
      </c>
      <c r="D1623" s="101">
        <f t="shared" ca="1" si="101"/>
        <v>0.58047100154972509</v>
      </c>
      <c r="E1623" s="101">
        <f t="shared" ca="1" si="102"/>
        <v>0</v>
      </c>
      <c r="F1623" s="21">
        <f t="shared" ca="1" si="103"/>
        <v>0</v>
      </c>
      <c r="H1623" s="21">
        <v>1608</v>
      </c>
      <c r="I1623" s="102">
        <v>0.66795853061649924</v>
      </c>
      <c r="J1623" s="103">
        <v>1.6241354793598358E-3</v>
      </c>
      <c r="K1623" s="103"/>
      <c r="L1623" s="103">
        <v>4.3400000000000001E-2</v>
      </c>
      <c r="O1623" s="100"/>
    </row>
    <row r="1624" spans="2:15" x14ac:dyDescent="0.2">
      <c r="B1624" s="1">
        <v>1609</v>
      </c>
      <c r="C1624" s="101">
        <f t="shared" ca="1" si="100"/>
        <v>0.51299062035882115</v>
      </c>
      <c r="D1624" s="101">
        <f t="shared" ca="1" si="101"/>
        <v>0.69899263869121486</v>
      </c>
      <c r="E1624" s="101">
        <f t="shared" ca="1" si="102"/>
        <v>0</v>
      </c>
      <c r="F1624" s="21">
        <f t="shared" ca="1" si="103"/>
        <v>0</v>
      </c>
      <c r="H1624" s="21">
        <v>1609</v>
      </c>
      <c r="I1624" s="102">
        <v>0.66784048771879179</v>
      </c>
      <c r="J1624" s="103">
        <v>1.584748649182293E-3</v>
      </c>
      <c r="K1624" s="103"/>
      <c r="L1624" s="103">
        <v>4.4600000000000001E-2</v>
      </c>
      <c r="O1624" s="100"/>
    </row>
    <row r="1625" spans="2:15" x14ac:dyDescent="0.2">
      <c r="B1625" s="1">
        <v>1610</v>
      </c>
      <c r="C1625" s="101">
        <f t="shared" ca="1" si="100"/>
        <v>-1.1444945476278696</v>
      </c>
      <c r="D1625" s="101">
        <f t="shared" ca="1" si="101"/>
        <v>0.59356318886953985</v>
      </c>
      <c r="E1625" s="101">
        <f t="shared" ca="1" si="102"/>
        <v>0</v>
      </c>
      <c r="F1625" s="21">
        <f t="shared" ca="1" si="103"/>
        <v>0</v>
      </c>
      <c r="H1625" s="21">
        <v>1610</v>
      </c>
      <c r="I1625" s="102">
        <v>0.66772608802904521</v>
      </c>
      <c r="J1625" s="103">
        <v>1.3503706260614508E-3</v>
      </c>
      <c r="K1625" s="103"/>
      <c r="L1625" s="103">
        <v>4.2799999999999998E-2</v>
      </c>
      <c r="O1625" s="100"/>
    </row>
    <row r="1626" spans="2:15" x14ac:dyDescent="0.2">
      <c r="B1626" s="1">
        <v>1611</v>
      </c>
      <c r="C1626" s="101">
        <f t="shared" ca="1" si="100"/>
        <v>-0.64027220766607196</v>
      </c>
      <c r="D1626" s="101">
        <f t="shared" ca="1" si="101"/>
        <v>0.62383183488043403</v>
      </c>
      <c r="E1626" s="101">
        <f t="shared" ca="1" si="102"/>
        <v>0</v>
      </c>
      <c r="F1626" s="21">
        <f t="shared" ca="1" si="103"/>
        <v>0</v>
      </c>
      <c r="H1626" s="21">
        <v>1611</v>
      </c>
      <c r="I1626" s="102">
        <v>0.66774488338324878</v>
      </c>
      <c r="J1626" s="103">
        <v>1.4054675519403217E-3</v>
      </c>
      <c r="K1626" s="103"/>
      <c r="L1626" s="103">
        <v>4.5400000000000003E-2</v>
      </c>
      <c r="O1626" s="100"/>
    </row>
    <row r="1627" spans="2:15" x14ac:dyDescent="0.2">
      <c r="B1627" s="1">
        <v>1612</v>
      </c>
      <c r="C1627" s="101">
        <f t="shared" ca="1" si="100"/>
        <v>-3.0488572142085935</v>
      </c>
      <c r="D1627" s="101">
        <f t="shared" ca="1" si="101"/>
        <v>0.4919095304569871</v>
      </c>
      <c r="E1627" s="101">
        <f t="shared" ca="1" si="102"/>
        <v>0</v>
      </c>
      <c r="F1627" s="21">
        <f t="shared" ca="1" si="103"/>
        <v>0</v>
      </c>
      <c r="H1627" s="21">
        <v>1612</v>
      </c>
      <c r="I1627" s="102">
        <v>0.66770432018884207</v>
      </c>
      <c r="J1627" s="103">
        <v>1.3633395813555155E-3</v>
      </c>
      <c r="K1627" s="103"/>
      <c r="L1627" s="103">
        <v>4.3799999999999999E-2</v>
      </c>
      <c r="O1627" s="100"/>
    </row>
    <row r="1628" spans="2:15" x14ac:dyDescent="0.2">
      <c r="B1628" s="1">
        <v>1613</v>
      </c>
      <c r="C1628" s="101">
        <f t="shared" ca="1" si="100"/>
        <v>4.5761615871737361E-2</v>
      </c>
      <c r="D1628" s="101">
        <f t="shared" ca="1" si="101"/>
        <v>0.66750849884094932</v>
      </c>
      <c r="E1628" s="101">
        <f t="shared" ca="1" si="102"/>
        <v>0</v>
      </c>
      <c r="F1628" s="21">
        <f t="shared" ca="1" si="103"/>
        <v>0</v>
      </c>
      <c r="H1628" s="21">
        <v>1613</v>
      </c>
      <c r="I1628" s="102">
        <v>0.66774374803076131</v>
      </c>
      <c r="J1628" s="103">
        <v>1.2473260672726707E-3</v>
      </c>
      <c r="K1628" s="103"/>
      <c r="L1628" s="103">
        <v>4.2200000000000001E-2</v>
      </c>
      <c r="O1628" s="100"/>
    </row>
    <row r="1629" spans="2:15" x14ac:dyDescent="0.2">
      <c r="B1629" s="1">
        <v>1614</v>
      </c>
      <c r="C1629" s="101">
        <f t="shared" ca="1" si="100"/>
        <v>-0.39934748657408037</v>
      </c>
      <c r="D1629" s="101">
        <f t="shared" ca="1" si="101"/>
        <v>0.63883485018801023</v>
      </c>
      <c r="E1629" s="101">
        <f t="shared" ca="1" si="102"/>
        <v>0</v>
      </c>
      <c r="F1629" s="21">
        <f t="shared" ca="1" si="103"/>
        <v>0</v>
      </c>
      <c r="H1629" s="21">
        <v>1614</v>
      </c>
      <c r="I1629" s="102">
        <v>0.66761633445680979</v>
      </c>
      <c r="J1629" s="103">
        <v>1.3104500056035436E-3</v>
      </c>
      <c r="K1629" s="103"/>
      <c r="L1629" s="103">
        <v>3.7600000000000001E-2</v>
      </c>
      <c r="O1629" s="100"/>
    </row>
    <row r="1630" spans="2:15" x14ac:dyDescent="0.2">
      <c r="B1630" s="1">
        <v>1615</v>
      </c>
      <c r="C1630" s="101">
        <f t="shared" ca="1" si="100"/>
        <v>4.2864774862518377E-2</v>
      </c>
      <c r="D1630" s="101">
        <f t="shared" ca="1" si="101"/>
        <v>0.66731778671289188</v>
      </c>
      <c r="E1630" s="101">
        <f t="shared" ca="1" si="102"/>
        <v>0</v>
      </c>
      <c r="F1630" s="21">
        <f t="shared" ca="1" si="103"/>
        <v>0</v>
      </c>
      <c r="H1630" s="21">
        <v>1615</v>
      </c>
      <c r="I1630" s="102">
        <v>0.66770253035245253</v>
      </c>
      <c r="J1630" s="103">
        <v>1.4703146531417327E-3</v>
      </c>
      <c r="K1630" s="103"/>
      <c r="L1630" s="103">
        <v>3.9199999999999999E-2</v>
      </c>
      <c r="O1630" s="100"/>
    </row>
    <row r="1631" spans="2:15" x14ac:dyDescent="0.2">
      <c r="B1631" s="1">
        <v>1616</v>
      </c>
      <c r="C1631" s="101">
        <f t="shared" ca="1" si="100"/>
        <v>0.6994951390391313</v>
      </c>
      <c r="D1631" s="101">
        <f t="shared" ca="1" si="101"/>
        <v>0.71197105960407903</v>
      </c>
      <c r="E1631" s="101">
        <f t="shared" ca="1" si="102"/>
        <v>0</v>
      </c>
      <c r="F1631" s="21">
        <f t="shared" ca="1" si="103"/>
        <v>0</v>
      </c>
      <c r="H1631" s="21">
        <v>1616</v>
      </c>
      <c r="I1631" s="102">
        <v>0.66791417058078961</v>
      </c>
      <c r="J1631" s="103">
        <v>1.6000483299622662E-3</v>
      </c>
      <c r="K1631" s="103"/>
      <c r="L1631" s="103">
        <v>4.6600000000000003E-2</v>
      </c>
      <c r="O1631" s="100"/>
    </row>
    <row r="1632" spans="2:15" x14ac:dyDescent="0.2">
      <c r="B1632" s="1">
        <v>1617</v>
      </c>
      <c r="C1632" s="101">
        <f t="shared" ca="1" si="100"/>
        <v>-8.7664249036598474E-2</v>
      </c>
      <c r="D1632" s="101">
        <f t="shared" ca="1" si="101"/>
        <v>0.6587807765160989</v>
      </c>
      <c r="E1632" s="101">
        <f t="shared" ca="1" si="102"/>
        <v>0</v>
      </c>
      <c r="F1632" s="21">
        <f t="shared" ca="1" si="103"/>
        <v>0</v>
      </c>
      <c r="H1632" s="21">
        <v>1617</v>
      </c>
      <c r="I1632" s="102">
        <v>0.66775988493429306</v>
      </c>
      <c r="J1632" s="103">
        <v>1.4277347552874599E-3</v>
      </c>
      <c r="K1632" s="103"/>
      <c r="L1632" s="103">
        <v>4.1799999999999997E-2</v>
      </c>
      <c r="O1632" s="100"/>
    </row>
    <row r="1633" spans="2:15" x14ac:dyDescent="0.2">
      <c r="B1633" s="1">
        <v>1618</v>
      </c>
      <c r="C1633" s="101">
        <f t="shared" ca="1" si="100"/>
        <v>-0.64141310149468089</v>
      </c>
      <c r="D1633" s="101">
        <f t="shared" ca="1" si="101"/>
        <v>0.6237616332453072</v>
      </c>
      <c r="E1633" s="101">
        <f t="shared" ca="1" si="102"/>
        <v>0</v>
      </c>
      <c r="F1633" s="21">
        <f t="shared" ca="1" si="103"/>
        <v>0</v>
      </c>
      <c r="H1633" s="21">
        <v>1618</v>
      </c>
      <c r="I1633" s="102">
        <v>0.66771262286771205</v>
      </c>
      <c r="J1633" s="103">
        <v>1.387004318141034E-3</v>
      </c>
      <c r="K1633" s="103"/>
      <c r="L1633" s="103">
        <v>3.9800000000000002E-2</v>
      </c>
      <c r="O1633" s="100"/>
    </row>
    <row r="1634" spans="2:15" x14ac:dyDescent="0.2">
      <c r="B1634" s="1">
        <v>1619</v>
      </c>
      <c r="C1634" s="101">
        <f t="shared" ca="1" si="100"/>
        <v>0.43729845358381381</v>
      </c>
      <c r="D1634" s="101">
        <f t="shared" ca="1" si="101"/>
        <v>0.69379313194261727</v>
      </c>
      <c r="E1634" s="101">
        <f t="shared" ca="1" si="102"/>
        <v>0</v>
      </c>
      <c r="F1634" s="21">
        <f t="shared" ca="1" si="103"/>
        <v>0</v>
      </c>
      <c r="H1634" s="21">
        <v>1619</v>
      </c>
      <c r="I1634" s="102">
        <v>0.66762596408617603</v>
      </c>
      <c r="J1634" s="103">
        <v>1.1859904930218736E-3</v>
      </c>
      <c r="K1634" s="103"/>
      <c r="L1634" s="103">
        <v>3.7199999999999997E-2</v>
      </c>
      <c r="O1634" s="100"/>
    </row>
    <row r="1635" spans="2:15" x14ac:dyDescent="0.2">
      <c r="B1635" s="1">
        <v>1620</v>
      </c>
      <c r="C1635" s="101">
        <f t="shared" ca="1" si="100"/>
        <v>1.6532585471249122</v>
      </c>
      <c r="D1635" s="101">
        <f t="shared" ca="1" si="101"/>
        <v>0.78220570122773747</v>
      </c>
      <c r="E1635" s="101">
        <f t="shared" ca="1" si="102"/>
        <v>0</v>
      </c>
      <c r="F1635" s="21">
        <f t="shared" ca="1" si="103"/>
        <v>0</v>
      </c>
      <c r="H1635" s="21">
        <v>1620</v>
      </c>
      <c r="I1635" s="102">
        <v>0.66782784371059944</v>
      </c>
      <c r="J1635" s="103">
        <v>1.3838258473732644E-3</v>
      </c>
      <c r="K1635" s="103"/>
      <c r="L1635" s="103">
        <v>4.4400000000000002E-2</v>
      </c>
      <c r="O1635" s="100"/>
    </row>
    <row r="1636" spans="2:15" x14ac:dyDescent="0.2">
      <c r="B1636" s="1">
        <v>1621</v>
      </c>
      <c r="C1636" s="101">
        <f t="shared" ca="1" si="100"/>
        <v>-1.9231098866900432E-2</v>
      </c>
      <c r="D1636" s="101">
        <f t="shared" ca="1" si="101"/>
        <v>0.66324281171855803</v>
      </c>
      <c r="E1636" s="101">
        <f t="shared" ca="1" si="102"/>
        <v>0</v>
      </c>
      <c r="F1636" s="21">
        <f t="shared" ca="1" si="103"/>
        <v>0</v>
      </c>
      <c r="H1636" s="21">
        <v>1621</v>
      </c>
      <c r="I1636" s="102">
        <v>0.66788059766167918</v>
      </c>
      <c r="J1636" s="103">
        <v>1.4937181233357448E-3</v>
      </c>
      <c r="K1636" s="103"/>
      <c r="L1636" s="103">
        <v>4.5199999999999997E-2</v>
      </c>
      <c r="O1636" s="100"/>
    </row>
    <row r="1637" spans="2:15" x14ac:dyDescent="0.2">
      <c r="B1637" s="1">
        <v>1622</v>
      </c>
      <c r="C1637" s="101">
        <f t="shared" ca="1" si="100"/>
        <v>7.1733507842927438E-2</v>
      </c>
      <c r="D1637" s="101">
        <f t="shared" ca="1" si="101"/>
        <v>0.66922078251833095</v>
      </c>
      <c r="E1637" s="101">
        <f t="shared" ca="1" si="102"/>
        <v>0</v>
      </c>
      <c r="F1637" s="21">
        <f t="shared" ca="1" si="103"/>
        <v>0</v>
      </c>
      <c r="H1637" s="21">
        <v>1622</v>
      </c>
      <c r="I1637" s="102">
        <v>0.66761636582282513</v>
      </c>
      <c r="J1637" s="103">
        <v>1.2320801182168083E-3</v>
      </c>
      <c r="K1637" s="103"/>
      <c r="L1637" s="103">
        <v>3.7999999999999999E-2</v>
      </c>
      <c r="O1637" s="100"/>
    </row>
    <row r="1638" spans="2:15" x14ac:dyDescent="0.2">
      <c r="B1638" s="1">
        <v>1623</v>
      </c>
      <c r="C1638" s="101">
        <f t="shared" ca="1" si="100"/>
        <v>0.57076830134708934</v>
      </c>
      <c r="D1638" s="101">
        <f t="shared" ca="1" si="101"/>
        <v>0.70298775821931403</v>
      </c>
      <c r="E1638" s="101">
        <f t="shared" ca="1" si="102"/>
        <v>0</v>
      </c>
      <c r="F1638" s="21">
        <f t="shared" ca="1" si="103"/>
        <v>0</v>
      </c>
      <c r="H1638" s="21">
        <v>1623</v>
      </c>
      <c r="I1638" s="102">
        <v>0.66762379155608464</v>
      </c>
      <c r="J1638" s="103">
        <v>1.3329263789989287E-3</v>
      </c>
      <c r="K1638" s="103"/>
      <c r="L1638" s="103">
        <v>4.0599999999999997E-2</v>
      </c>
      <c r="O1638" s="100"/>
    </row>
    <row r="1639" spans="2:15" x14ac:dyDescent="0.2">
      <c r="B1639" s="1">
        <v>1624</v>
      </c>
      <c r="C1639" s="101">
        <f t="shared" ca="1" si="100"/>
        <v>0.8040996530493939</v>
      </c>
      <c r="D1639" s="101">
        <f t="shared" ca="1" si="101"/>
        <v>0.71935544220723024</v>
      </c>
      <c r="E1639" s="101">
        <f t="shared" ca="1" si="102"/>
        <v>0</v>
      </c>
      <c r="F1639" s="21">
        <f t="shared" ca="1" si="103"/>
        <v>0</v>
      </c>
      <c r="H1639" s="21">
        <v>1624</v>
      </c>
      <c r="I1639" s="102">
        <v>0.66764655524383387</v>
      </c>
      <c r="J1639" s="103">
        <v>1.1864817067557909E-3</v>
      </c>
      <c r="K1639" s="103"/>
      <c r="L1639" s="103">
        <v>4.0599999999999997E-2</v>
      </c>
      <c r="O1639" s="100"/>
    </row>
    <row r="1640" spans="2:15" x14ac:dyDescent="0.2">
      <c r="B1640" s="1">
        <v>1625</v>
      </c>
      <c r="C1640" s="101">
        <f t="shared" ca="1" si="100"/>
        <v>0.3907054055792048</v>
      </c>
      <c r="D1640" s="101">
        <f t="shared" ca="1" si="101"/>
        <v>0.69061177504793514</v>
      </c>
      <c r="E1640" s="101">
        <f t="shared" ca="1" si="102"/>
        <v>0</v>
      </c>
      <c r="F1640" s="21">
        <f t="shared" ca="1" si="103"/>
        <v>0</v>
      </c>
      <c r="H1640" s="21">
        <v>1625</v>
      </c>
      <c r="I1640" s="102">
        <v>0.66769313995250379</v>
      </c>
      <c r="J1640" s="103">
        <v>1.2539957014573641E-3</v>
      </c>
      <c r="K1640" s="103"/>
      <c r="L1640" s="103">
        <v>4.2000000000000003E-2</v>
      </c>
      <c r="O1640" s="100"/>
    </row>
    <row r="1641" spans="2:15" x14ac:dyDescent="0.2">
      <c r="B1641" s="1">
        <v>1626</v>
      </c>
      <c r="C1641" s="101">
        <f t="shared" ca="1" si="100"/>
        <v>0.3735888439697716</v>
      </c>
      <c r="D1641" s="101">
        <f t="shared" ca="1" si="101"/>
        <v>0.68944672970747434</v>
      </c>
      <c r="E1641" s="101">
        <f t="shared" ca="1" si="102"/>
        <v>0</v>
      </c>
      <c r="F1641" s="21">
        <f t="shared" ca="1" si="103"/>
        <v>0</v>
      </c>
      <c r="H1641" s="21">
        <v>1626</v>
      </c>
      <c r="I1641" s="102">
        <v>0.66761449434365672</v>
      </c>
      <c r="J1641" s="103">
        <v>1.1797773911233706E-3</v>
      </c>
      <c r="K1641" s="103"/>
      <c r="L1641" s="103">
        <v>3.8600000000000002E-2</v>
      </c>
      <c r="O1641" s="100"/>
    </row>
    <row r="1642" spans="2:15" x14ac:dyDescent="0.2">
      <c r="B1642" s="1">
        <v>1627</v>
      </c>
      <c r="C1642" s="101">
        <f t="shared" ca="1" si="100"/>
        <v>-0.48274757022166531</v>
      </c>
      <c r="D1642" s="101">
        <f t="shared" ca="1" si="101"/>
        <v>0.6336009093707724</v>
      </c>
      <c r="E1642" s="101">
        <f t="shared" ca="1" si="102"/>
        <v>0</v>
      </c>
      <c r="F1642" s="21">
        <f t="shared" ca="1" si="103"/>
        <v>0</v>
      </c>
      <c r="H1642" s="21">
        <v>1627</v>
      </c>
      <c r="I1642" s="102">
        <v>0.66771224816018526</v>
      </c>
      <c r="J1642" s="103">
        <v>1.3268858543198257E-3</v>
      </c>
      <c r="K1642" s="103"/>
      <c r="L1642" s="103">
        <v>4.0399999999999998E-2</v>
      </c>
      <c r="O1642" s="100"/>
    </row>
    <row r="1643" spans="2:15" x14ac:dyDescent="0.2">
      <c r="B1643" s="1">
        <v>1628</v>
      </c>
      <c r="C1643" s="101">
        <f t="shared" ca="1" si="100"/>
        <v>0.41914720959022556</v>
      </c>
      <c r="D1643" s="101">
        <f t="shared" ca="1" si="101"/>
        <v>0.6925520325711858</v>
      </c>
      <c r="E1643" s="101">
        <f t="shared" ca="1" si="102"/>
        <v>0</v>
      </c>
      <c r="F1643" s="21">
        <f t="shared" ca="1" si="103"/>
        <v>0</v>
      </c>
      <c r="H1643" s="21">
        <v>1628</v>
      </c>
      <c r="I1643" s="102">
        <v>0.66774803226190094</v>
      </c>
      <c r="J1643" s="103">
        <v>1.4354387586847047E-3</v>
      </c>
      <c r="K1643" s="103"/>
      <c r="L1643" s="103">
        <v>4.24E-2</v>
      </c>
      <c r="O1643" s="100"/>
    </row>
    <row r="1644" spans="2:15" x14ac:dyDescent="0.2">
      <c r="B1644" s="1">
        <v>1629</v>
      </c>
      <c r="C1644" s="101">
        <f t="shared" ca="1" si="100"/>
        <v>0.31232309351322224</v>
      </c>
      <c r="D1644" s="101">
        <f t="shared" ca="1" si="101"/>
        <v>0.68529273688665948</v>
      </c>
      <c r="E1644" s="101">
        <f t="shared" ca="1" si="102"/>
        <v>0</v>
      </c>
      <c r="F1644" s="21">
        <f t="shared" ca="1" si="103"/>
        <v>0</v>
      </c>
      <c r="H1644" s="21">
        <v>1629</v>
      </c>
      <c r="I1644" s="102">
        <v>0.66761285114015345</v>
      </c>
      <c r="J1644" s="103">
        <v>1.2910473684453088E-3</v>
      </c>
      <c r="K1644" s="103"/>
      <c r="L1644" s="103">
        <v>3.78E-2</v>
      </c>
      <c r="O1644" s="100"/>
    </row>
    <row r="1645" spans="2:15" x14ac:dyDescent="0.2">
      <c r="B1645" s="1">
        <v>1630</v>
      </c>
      <c r="C1645" s="101">
        <f t="shared" ca="1" si="100"/>
        <v>0.25244403115616498</v>
      </c>
      <c r="D1645" s="101">
        <f t="shared" ca="1" si="101"/>
        <v>0.6812569515228023</v>
      </c>
      <c r="E1645" s="101">
        <f t="shared" ca="1" si="102"/>
        <v>0</v>
      </c>
      <c r="F1645" s="21">
        <f t="shared" ca="1" si="103"/>
        <v>0</v>
      </c>
      <c r="H1645" s="21">
        <v>1630</v>
      </c>
      <c r="I1645" s="102">
        <v>0.66781957114169399</v>
      </c>
      <c r="J1645" s="103">
        <v>1.4130219460344602E-3</v>
      </c>
      <c r="K1645" s="103"/>
      <c r="L1645" s="103">
        <v>4.5400000000000003E-2</v>
      </c>
      <c r="O1645" s="100"/>
    </row>
    <row r="1646" spans="2:15" x14ac:dyDescent="0.2">
      <c r="B1646" s="1">
        <v>1631</v>
      </c>
      <c r="C1646" s="101">
        <f t="shared" ca="1" si="100"/>
        <v>-1.4234414551220376</v>
      </c>
      <c r="D1646" s="101">
        <f t="shared" ca="1" si="101"/>
        <v>0.57745353702813818</v>
      </c>
      <c r="E1646" s="101">
        <f t="shared" ca="1" si="102"/>
        <v>0</v>
      </c>
      <c r="F1646" s="21">
        <f t="shared" ca="1" si="103"/>
        <v>0</v>
      </c>
      <c r="H1646" s="21">
        <v>1631</v>
      </c>
      <c r="I1646" s="102">
        <v>0.66767678232391281</v>
      </c>
      <c r="J1646" s="103">
        <v>1.3291947369212251E-3</v>
      </c>
      <c r="K1646" s="103"/>
      <c r="L1646" s="103">
        <v>3.7999999999999999E-2</v>
      </c>
      <c r="O1646" s="100"/>
    </row>
    <row r="1647" spans="2:15" x14ac:dyDescent="0.2">
      <c r="B1647" s="1">
        <v>1632</v>
      </c>
      <c r="C1647" s="101">
        <f t="shared" ca="1" si="100"/>
        <v>1.4239401046521155E-2</v>
      </c>
      <c r="D1647" s="101">
        <f t="shared" ca="1" si="101"/>
        <v>0.66543617604890914</v>
      </c>
      <c r="E1647" s="101">
        <f t="shared" ca="1" si="102"/>
        <v>0</v>
      </c>
      <c r="F1647" s="21">
        <f t="shared" ca="1" si="103"/>
        <v>0</v>
      </c>
      <c r="H1647" s="21">
        <v>1632</v>
      </c>
      <c r="I1647" s="102">
        <v>0.66800317789535035</v>
      </c>
      <c r="J1647" s="103">
        <v>1.5618760206845925E-3</v>
      </c>
      <c r="K1647" s="103"/>
      <c r="L1647" s="103">
        <v>4.7399999999999998E-2</v>
      </c>
      <c r="O1647" s="100"/>
    </row>
    <row r="1648" spans="2:15" x14ac:dyDescent="0.2">
      <c r="B1648" s="1">
        <v>1633</v>
      </c>
      <c r="C1648" s="101">
        <f t="shared" ca="1" si="100"/>
        <v>-0.17749201381997284</v>
      </c>
      <c r="D1648" s="101">
        <f t="shared" ca="1" si="101"/>
        <v>0.65296928311142122</v>
      </c>
      <c r="E1648" s="101">
        <f t="shared" ca="1" si="102"/>
        <v>0</v>
      </c>
      <c r="F1648" s="21">
        <f t="shared" ca="1" si="103"/>
        <v>0</v>
      </c>
      <c r="H1648" s="21">
        <v>1633</v>
      </c>
      <c r="I1648" s="102">
        <v>0.66766380480352727</v>
      </c>
      <c r="J1648" s="103">
        <v>1.2670448340533589E-3</v>
      </c>
      <c r="K1648" s="103"/>
      <c r="L1648" s="103">
        <v>4.0599999999999997E-2</v>
      </c>
      <c r="O1648" s="100"/>
    </row>
    <row r="1649" spans="2:15" x14ac:dyDescent="0.2">
      <c r="B1649" s="1">
        <v>1634</v>
      </c>
      <c r="C1649" s="101">
        <f t="shared" ca="1" si="100"/>
        <v>0.85383191848679607</v>
      </c>
      <c r="D1649" s="101">
        <f t="shared" ca="1" si="101"/>
        <v>0.72289302296095792</v>
      </c>
      <c r="E1649" s="101">
        <f t="shared" ca="1" si="102"/>
        <v>0</v>
      </c>
      <c r="F1649" s="21">
        <f t="shared" ca="1" si="103"/>
        <v>0</v>
      </c>
      <c r="H1649" s="21">
        <v>1634</v>
      </c>
      <c r="I1649" s="102">
        <v>0.66764489627482948</v>
      </c>
      <c r="J1649" s="103">
        <v>1.3685883449729146E-3</v>
      </c>
      <c r="K1649" s="103"/>
      <c r="L1649" s="103">
        <v>4.48E-2</v>
      </c>
      <c r="O1649" s="100"/>
    </row>
    <row r="1650" spans="2:15" x14ac:dyDescent="0.2">
      <c r="B1650" s="1">
        <v>1635</v>
      </c>
      <c r="C1650" s="101">
        <f t="shared" ca="1" si="100"/>
        <v>-0.10293453615388476</v>
      </c>
      <c r="D1650" s="101">
        <f t="shared" ca="1" si="101"/>
        <v>0.65778921428143788</v>
      </c>
      <c r="E1650" s="101">
        <f t="shared" ca="1" si="102"/>
        <v>0</v>
      </c>
      <c r="F1650" s="21">
        <f t="shared" ca="1" si="103"/>
        <v>0</v>
      </c>
      <c r="H1650" s="21">
        <v>1635</v>
      </c>
      <c r="I1650" s="102">
        <v>0.66782477242107363</v>
      </c>
      <c r="J1650" s="103">
        <v>1.4003523820910078E-3</v>
      </c>
      <c r="K1650" s="103"/>
      <c r="L1650" s="103">
        <v>4.1799999999999997E-2</v>
      </c>
      <c r="O1650" s="100"/>
    </row>
    <row r="1651" spans="2:15" x14ac:dyDescent="0.2">
      <c r="B1651" s="1">
        <v>1636</v>
      </c>
      <c r="C1651" s="101">
        <f t="shared" ca="1" si="100"/>
        <v>0.35458483128064544</v>
      </c>
      <c r="D1651" s="101">
        <f t="shared" ca="1" si="101"/>
        <v>0.68815551658286345</v>
      </c>
      <c r="E1651" s="101">
        <f t="shared" ca="1" si="102"/>
        <v>0</v>
      </c>
      <c r="F1651" s="21">
        <f t="shared" ca="1" si="103"/>
        <v>0</v>
      </c>
      <c r="H1651" s="21">
        <v>1636</v>
      </c>
      <c r="I1651" s="102">
        <v>0.6676897821758544</v>
      </c>
      <c r="J1651" s="103">
        <v>1.428562795341445E-3</v>
      </c>
      <c r="K1651" s="103"/>
      <c r="L1651" s="103">
        <v>4.1599999999999998E-2</v>
      </c>
      <c r="O1651" s="100"/>
    </row>
    <row r="1652" spans="2:15" x14ac:dyDescent="0.2">
      <c r="B1652" s="1">
        <v>1637</v>
      </c>
      <c r="C1652" s="101">
        <f t="shared" ca="1" si="100"/>
        <v>0.27997198529322176</v>
      </c>
      <c r="D1652" s="101">
        <f t="shared" ca="1" si="101"/>
        <v>0.6831093463402409</v>
      </c>
      <c r="E1652" s="101">
        <f t="shared" ca="1" si="102"/>
        <v>0</v>
      </c>
      <c r="F1652" s="21">
        <f t="shared" ca="1" si="103"/>
        <v>0</v>
      </c>
      <c r="H1652" s="21">
        <v>1637</v>
      </c>
      <c r="I1652" s="102">
        <v>0.66770027498219919</v>
      </c>
      <c r="J1652" s="103">
        <v>1.3413833057527753E-3</v>
      </c>
      <c r="K1652" s="103"/>
      <c r="L1652" s="103">
        <v>3.8800000000000001E-2</v>
      </c>
      <c r="O1652" s="100"/>
    </row>
    <row r="1653" spans="2:15" x14ac:dyDescent="0.2">
      <c r="B1653" s="1">
        <v>1638</v>
      </c>
      <c r="C1653" s="101">
        <f t="shared" ca="1" si="100"/>
        <v>-0.41834671505605875</v>
      </c>
      <c r="D1653" s="101">
        <f t="shared" ca="1" si="101"/>
        <v>0.63763872517529241</v>
      </c>
      <c r="E1653" s="101">
        <f t="shared" ca="1" si="102"/>
        <v>0</v>
      </c>
      <c r="F1653" s="21">
        <f t="shared" ca="1" si="103"/>
        <v>0</v>
      </c>
      <c r="H1653" s="21">
        <v>1638</v>
      </c>
      <c r="I1653" s="102">
        <v>0.66758571869642669</v>
      </c>
      <c r="J1653" s="103">
        <v>1.2131317248128496E-3</v>
      </c>
      <c r="K1653" s="103"/>
      <c r="L1653" s="103">
        <v>3.9800000000000002E-2</v>
      </c>
      <c r="O1653" s="100"/>
    </row>
    <row r="1654" spans="2:15" x14ac:dyDescent="0.2">
      <c r="B1654" s="1">
        <v>1639</v>
      </c>
      <c r="C1654" s="101">
        <f t="shared" ca="1" si="100"/>
        <v>0.39495360373982813</v>
      </c>
      <c r="D1654" s="101">
        <f t="shared" ca="1" si="101"/>
        <v>0.69090123510565238</v>
      </c>
      <c r="E1654" s="101">
        <f t="shared" ca="1" si="102"/>
        <v>0</v>
      </c>
      <c r="F1654" s="21">
        <f t="shared" ca="1" si="103"/>
        <v>0</v>
      </c>
      <c r="H1654" s="21">
        <v>1639</v>
      </c>
      <c r="I1654" s="102">
        <v>0.66747763778933111</v>
      </c>
      <c r="J1654" s="103">
        <v>1.0897374032061424E-3</v>
      </c>
      <c r="K1654" s="103"/>
      <c r="L1654" s="103">
        <v>3.56E-2</v>
      </c>
      <c r="O1654" s="100"/>
    </row>
    <row r="1655" spans="2:15" x14ac:dyDescent="0.2">
      <c r="B1655" s="1">
        <v>1640</v>
      </c>
      <c r="C1655" s="101">
        <f t="shared" ca="1" si="100"/>
        <v>0.18533075688137152</v>
      </c>
      <c r="D1655" s="101">
        <f t="shared" ca="1" si="101"/>
        <v>0.67676182911826077</v>
      </c>
      <c r="E1655" s="101">
        <f t="shared" ca="1" si="102"/>
        <v>0</v>
      </c>
      <c r="F1655" s="21">
        <f t="shared" ca="1" si="103"/>
        <v>0</v>
      </c>
      <c r="H1655" s="21">
        <v>1640</v>
      </c>
      <c r="I1655" s="102">
        <v>0.66770063391492074</v>
      </c>
      <c r="J1655" s="103">
        <v>1.3010606722599215E-3</v>
      </c>
      <c r="K1655" s="103"/>
      <c r="L1655" s="103">
        <v>4.1200000000000001E-2</v>
      </c>
      <c r="O1655" s="100"/>
    </row>
    <row r="1656" spans="2:15" x14ac:dyDescent="0.2">
      <c r="B1656" s="1">
        <v>1641</v>
      </c>
      <c r="C1656" s="101">
        <f t="shared" ca="1" si="100"/>
        <v>-0.64488251913065553</v>
      </c>
      <c r="D1656" s="101">
        <f t="shared" ca="1" si="101"/>
        <v>0.62354820110030518</v>
      </c>
      <c r="E1656" s="101">
        <f t="shared" ca="1" si="102"/>
        <v>0</v>
      </c>
      <c r="F1656" s="21">
        <f t="shared" ca="1" si="103"/>
        <v>0</v>
      </c>
      <c r="H1656" s="21">
        <v>1641</v>
      </c>
      <c r="I1656" s="102">
        <v>0.66773028995690331</v>
      </c>
      <c r="J1656" s="103">
        <v>1.3512329864462779E-3</v>
      </c>
      <c r="K1656" s="103"/>
      <c r="L1656" s="103">
        <v>4.1200000000000001E-2</v>
      </c>
      <c r="O1656" s="100"/>
    </row>
    <row r="1657" spans="2:15" x14ac:dyDescent="0.2">
      <c r="B1657" s="1">
        <v>1642</v>
      </c>
      <c r="C1657" s="101">
        <f t="shared" ca="1" si="100"/>
        <v>1.2602446128805949</v>
      </c>
      <c r="D1657" s="101">
        <f t="shared" ca="1" si="101"/>
        <v>0.75246187845915069</v>
      </c>
      <c r="E1657" s="101">
        <f t="shared" ca="1" si="102"/>
        <v>0</v>
      </c>
      <c r="F1657" s="21">
        <f t="shared" ca="1" si="103"/>
        <v>0</v>
      </c>
      <c r="H1657" s="21">
        <v>1642</v>
      </c>
      <c r="I1657" s="102">
        <v>0.66765962586020022</v>
      </c>
      <c r="J1657" s="103">
        <v>1.201472009439644E-3</v>
      </c>
      <c r="K1657" s="103"/>
      <c r="L1657" s="103">
        <v>3.6999999999999998E-2</v>
      </c>
      <c r="O1657" s="100"/>
    </row>
    <row r="1658" spans="2:15" x14ac:dyDescent="0.2">
      <c r="B1658" s="1">
        <v>1643</v>
      </c>
      <c r="C1658" s="101">
        <f t="shared" ca="1" si="100"/>
        <v>0.61686171336168938</v>
      </c>
      <c r="D1658" s="101">
        <f t="shared" ca="1" si="101"/>
        <v>0.70619132071881352</v>
      </c>
      <c r="E1658" s="101">
        <f t="shared" ca="1" si="102"/>
        <v>0</v>
      </c>
      <c r="F1658" s="21">
        <f t="shared" ca="1" si="103"/>
        <v>0</v>
      </c>
      <c r="H1658" s="21">
        <v>1643</v>
      </c>
      <c r="I1658" s="102">
        <v>0.66776188595398112</v>
      </c>
      <c r="J1658" s="103">
        <v>1.4655792098729752E-3</v>
      </c>
      <c r="K1658" s="103"/>
      <c r="L1658" s="103">
        <v>4.0599999999999997E-2</v>
      </c>
      <c r="O1658" s="100"/>
    </row>
    <row r="1659" spans="2:15" x14ac:dyDescent="0.2">
      <c r="B1659" s="1">
        <v>1644</v>
      </c>
      <c r="C1659" s="101">
        <f t="shared" ca="1" si="100"/>
        <v>2.2142933406430045</v>
      </c>
      <c r="D1659" s="101">
        <f t="shared" ca="1" si="101"/>
        <v>0.82671413220863799</v>
      </c>
      <c r="E1659" s="101">
        <f t="shared" ca="1" si="102"/>
        <v>3.8514132208637974E-2</v>
      </c>
      <c r="F1659" s="21">
        <f t="shared" ca="1" si="103"/>
        <v>1</v>
      </c>
      <c r="H1659" s="21">
        <v>1644</v>
      </c>
      <c r="I1659" s="102">
        <v>0.66760742374199478</v>
      </c>
      <c r="J1659" s="103">
        <v>1.3422837730539285E-3</v>
      </c>
      <c r="K1659" s="103"/>
      <c r="L1659" s="103">
        <v>3.8600000000000002E-2</v>
      </c>
      <c r="O1659" s="100"/>
    </row>
    <row r="1660" spans="2:15" x14ac:dyDescent="0.2">
      <c r="B1660" s="1">
        <v>1645</v>
      </c>
      <c r="C1660" s="101">
        <f t="shared" ca="1" si="100"/>
        <v>-0.44696200335546848</v>
      </c>
      <c r="D1660" s="101">
        <f t="shared" ca="1" si="101"/>
        <v>0.63584143200166554</v>
      </c>
      <c r="E1660" s="101">
        <f t="shared" ca="1" si="102"/>
        <v>0</v>
      </c>
      <c r="F1660" s="21">
        <f t="shared" ca="1" si="103"/>
        <v>0</v>
      </c>
      <c r="H1660" s="21">
        <v>1645</v>
      </c>
      <c r="I1660" s="102">
        <v>0.66757643019710611</v>
      </c>
      <c r="J1660" s="103">
        <v>1.2039225838825123E-3</v>
      </c>
      <c r="K1660" s="103"/>
      <c r="L1660" s="103">
        <v>3.3599999999999998E-2</v>
      </c>
      <c r="O1660" s="100"/>
    </row>
    <row r="1661" spans="2:15" x14ac:dyDescent="0.2">
      <c r="B1661" s="1">
        <v>1646</v>
      </c>
      <c r="C1661" s="101">
        <f t="shared" ca="1" si="100"/>
        <v>-0.32318454926556478</v>
      </c>
      <c r="D1661" s="101">
        <f t="shared" ca="1" si="101"/>
        <v>0.64365237093303262</v>
      </c>
      <c r="E1661" s="101">
        <f t="shared" ca="1" si="102"/>
        <v>0</v>
      </c>
      <c r="F1661" s="21">
        <f t="shared" ca="1" si="103"/>
        <v>0</v>
      </c>
      <c r="H1661" s="21">
        <v>1646</v>
      </c>
      <c r="I1661" s="102">
        <v>0.66778471727390543</v>
      </c>
      <c r="J1661" s="103">
        <v>1.4385217142286943E-3</v>
      </c>
      <c r="K1661" s="103"/>
      <c r="L1661" s="103">
        <v>4.3799999999999999E-2</v>
      </c>
      <c r="O1661" s="100"/>
    </row>
    <row r="1662" spans="2:15" x14ac:dyDescent="0.2">
      <c r="B1662" s="1">
        <v>1647</v>
      </c>
      <c r="C1662" s="101">
        <f t="shared" ca="1" si="100"/>
        <v>0.58463662595888799</v>
      </c>
      <c r="D1662" s="101">
        <f t="shared" ca="1" si="101"/>
        <v>0.70395009647500717</v>
      </c>
      <c r="E1662" s="101">
        <f t="shared" ca="1" si="102"/>
        <v>0</v>
      </c>
      <c r="F1662" s="21">
        <f t="shared" ca="1" si="103"/>
        <v>0</v>
      </c>
      <c r="H1662" s="21">
        <v>1647</v>
      </c>
      <c r="I1662" s="102">
        <v>0.66763380375031278</v>
      </c>
      <c r="J1662" s="103">
        <v>1.2223566220400878E-3</v>
      </c>
      <c r="K1662" s="103"/>
      <c r="L1662" s="103">
        <v>3.9E-2</v>
      </c>
      <c r="O1662" s="100"/>
    </row>
    <row r="1663" spans="2:15" x14ac:dyDescent="0.2">
      <c r="B1663" s="1">
        <v>1648</v>
      </c>
      <c r="C1663" s="101">
        <f t="shared" ca="1" si="100"/>
        <v>-1.2292877322575708</v>
      </c>
      <c r="D1663" s="101">
        <f t="shared" ca="1" si="101"/>
        <v>0.58861926438282519</v>
      </c>
      <c r="E1663" s="101">
        <f t="shared" ca="1" si="102"/>
        <v>0</v>
      </c>
      <c r="F1663" s="21">
        <f t="shared" ca="1" si="103"/>
        <v>0</v>
      </c>
      <c r="H1663" s="21">
        <v>1648</v>
      </c>
      <c r="I1663" s="102">
        <v>0.66779173863221153</v>
      </c>
      <c r="J1663" s="103">
        <v>1.5462537667924946E-3</v>
      </c>
      <c r="K1663" s="103"/>
      <c r="L1663" s="103">
        <v>4.2799999999999998E-2</v>
      </c>
      <c r="O1663" s="100"/>
    </row>
    <row r="1664" spans="2:15" x14ac:dyDescent="0.2">
      <c r="B1664" s="1">
        <v>1649</v>
      </c>
      <c r="C1664" s="101">
        <f t="shared" ca="1" si="100"/>
        <v>-0.79372144255363131</v>
      </c>
      <c r="D1664" s="101">
        <f t="shared" ca="1" si="101"/>
        <v>0.61446034863399834</v>
      </c>
      <c r="E1664" s="101">
        <f t="shared" ca="1" si="102"/>
        <v>0</v>
      </c>
      <c r="F1664" s="21">
        <f t="shared" ca="1" si="103"/>
        <v>0</v>
      </c>
      <c r="H1664" s="21">
        <v>1649</v>
      </c>
      <c r="I1664" s="102">
        <v>0.66780188914067895</v>
      </c>
      <c r="J1664" s="103">
        <v>1.5578509495505234E-3</v>
      </c>
      <c r="K1664" s="103"/>
      <c r="L1664" s="103">
        <v>4.4600000000000001E-2</v>
      </c>
      <c r="O1664" s="100"/>
    </row>
    <row r="1665" spans="2:15" x14ac:dyDescent="0.2">
      <c r="B1665" s="1">
        <v>1650</v>
      </c>
      <c r="C1665" s="101">
        <f t="shared" ca="1" si="100"/>
        <v>-0.72817398448637194</v>
      </c>
      <c r="D1665" s="101">
        <f t="shared" ca="1" si="101"/>
        <v>0.61844612915911912</v>
      </c>
      <c r="E1665" s="101">
        <f t="shared" ca="1" si="102"/>
        <v>0</v>
      </c>
      <c r="F1665" s="21">
        <f t="shared" ca="1" si="103"/>
        <v>0</v>
      </c>
      <c r="H1665" s="21">
        <v>1650</v>
      </c>
      <c r="I1665" s="102">
        <v>0.66781383095051328</v>
      </c>
      <c r="J1665" s="103">
        <v>1.4880043224193219E-3</v>
      </c>
      <c r="K1665" s="103"/>
      <c r="L1665" s="103">
        <v>4.3200000000000002E-2</v>
      </c>
      <c r="O1665" s="100"/>
    </row>
    <row r="1666" spans="2:15" x14ac:dyDescent="0.2">
      <c r="B1666" s="1">
        <v>1651</v>
      </c>
      <c r="C1666" s="101">
        <f t="shared" ca="1" si="100"/>
        <v>-2.2172958026667584</v>
      </c>
      <c r="D1666" s="101">
        <f t="shared" ca="1" si="101"/>
        <v>0.53396011143857947</v>
      </c>
      <c r="E1666" s="101">
        <f t="shared" ca="1" si="102"/>
        <v>0</v>
      </c>
      <c r="F1666" s="21">
        <f t="shared" ca="1" si="103"/>
        <v>0</v>
      </c>
      <c r="H1666" s="21">
        <v>1651</v>
      </c>
      <c r="I1666" s="102">
        <v>0.66777256173178035</v>
      </c>
      <c r="J1666" s="103">
        <v>1.5303589674301307E-3</v>
      </c>
      <c r="K1666" s="103"/>
      <c r="L1666" s="103">
        <v>4.4400000000000002E-2</v>
      </c>
      <c r="O1666" s="100"/>
    </row>
    <row r="1667" spans="2:15" x14ac:dyDescent="0.2">
      <c r="B1667" s="1">
        <v>1652</v>
      </c>
      <c r="C1667" s="101">
        <f t="shared" ca="1" si="100"/>
        <v>-0.70877299910285796</v>
      </c>
      <c r="D1667" s="101">
        <f t="shared" ca="1" si="101"/>
        <v>0.61963080680634075</v>
      </c>
      <c r="E1667" s="101">
        <f t="shared" ca="1" si="102"/>
        <v>0</v>
      </c>
      <c r="F1667" s="21">
        <f t="shared" ca="1" si="103"/>
        <v>0</v>
      </c>
      <c r="H1667" s="21">
        <v>1652</v>
      </c>
      <c r="I1667" s="102">
        <v>0.667762099379834</v>
      </c>
      <c r="J1667" s="103">
        <v>1.425323827066088E-3</v>
      </c>
      <c r="K1667" s="103"/>
      <c r="L1667" s="103">
        <v>4.3999999999999997E-2</v>
      </c>
      <c r="O1667" s="100"/>
    </row>
    <row r="1668" spans="2:15" x14ac:dyDescent="0.2">
      <c r="B1668" s="1">
        <v>1653</v>
      </c>
      <c r="C1668" s="101">
        <f t="shared" ca="1" si="100"/>
        <v>-2.5165467760392195</v>
      </c>
      <c r="D1668" s="101">
        <f t="shared" ca="1" si="101"/>
        <v>0.51842876199339605</v>
      </c>
      <c r="E1668" s="101">
        <f t="shared" ca="1" si="102"/>
        <v>0</v>
      </c>
      <c r="F1668" s="21">
        <f t="shared" ca="1" si="103"/>
        <v>0</v>
      </c>
      <c r="H1668" s="21">
        <v>1653</v>
      </c>
      <c r="I1668" s="102">
        <v>0.66761137543718818</v>
      </c>
      <c r="J1668" s="103">
        <v>1.2498990624671502E-3</v>
      </c>
      <c r="K1668" s="103"/>
      <c r="L1668" s="103">
        <v>3.78E-2</v>
      </c>
      <c r="O1668" s="100"/>
    </row>
    <row r="1669" spans="2:15" x14ac:dyDescent="0.2">
      <c r="B1669" s="1">
        <v>1654</v>
      </c>
      <c r="C1669" s="101">
        <f t="shared" ca="1" si="100"/>
        <v>-1.1394111349014009</v>
      </c>
      <c r="D1669" s="101">
        <f t="shared" ca="1" si="101"/>
        <v>0.5938608966066049</v>
      </c>
      <c r="E1669" s="101">
        <f t="shared" ca="1" si="102"/>
        <v>0</v>
      </c>
      <c r="F1669" s="21">
        <f t="shared" ca="1" si="103"/>
        <v>0</v>
      </c>
      <c r="H1669" s="21">
        <v>1654</v>
      </c>
      <c r="I1669" s="102">
        <v>0.66771644073574765</v>
      </c>
      <c r="J1669" s="103">
        <v>1.3300229487006917E-3</v>
      </c>
      <c r="K1669" s="103"/>
      <c r="L1669" s="103">
        <v>4.2200000000000001E-2</v>
      </c>
      <c r="O1669" s="100"/>
    </row>
    <row r="1670" spans="2:15" x14ac:dyDescent="0.2">
      <c r="B1670" s="1">
        <v>1655</v>
      </c>
      <c r="C1670" s="101">
        <f t="shared" ca="1" si="100"/>
        <v>-2.1022400811710944</v>
      </c>
      <c r="D1670" s="101">
        <f t="shared" ca="1" si="101"/>
        <v>0.54005467659967332</v>
      </c>
      <c r="E1670" s="101">
        <f t="shared" ca="1" si="102"/>
        <v>0</v>
      </c>
      <c r="F1670" s="21">
        <f t="shared" ca="1" si="103"/>
        <v>0</v>
      </c>
      <c r="H1670" s="21">
        <v>1655</v>
      </c>
      <c r="I1670" s="102">
        <v>0.66765372654254207</v>
      </c>
      <c r="J1670" s="103">
        <v>1.2769212247041607E-3</v>
      </c>
      <c r="K1670" s="103"/>
      <c r="L1670" s="103">
        <v>4.0800000000000003E-2</v>
      </c>
      <c r="O1670" s="100"/>
    </row>
    <row r="1671" spans="2:15" x14ac:dyDescent="0.2">
      <c r="B1671" s="1">
        <v>1656</v>
      </c>
      <c r="C1671" s="101">
        <f t="shared" ca="1" si="100"/>
        <v>-0.65790043996885761</v>
      </c>
      <c r="D1671" s="101">
        <f t="shared" ca="1" si="101"/>
        <v>0.62274801362842203</v>
      </c>
      <c r="E1671" s="101">
        <f t="shared" ca="1" si="102"/>
        <v>0</v>
      </c>
      <c r="F1671" s="21">
        <f t="shared" ca="1" si="103"/>
        <v>0</v>
      </c>
      <c r="H1671" s="21">
        <v>1656</v>
      </c>
      <c r="I1671" s="102">
        <v>0.66774950978828262</v>
      </c>
      <c r="J1671" s="103">
        <v>1.4827377046646528E-3</v>
      </c>
      <c r="K1671" s="103"/>
      <c r="L1671" s="103">
        <v>4.4200000000000003E-2</v>
      </c>
      <c r="O1671" s="100"/>
    </row>
    <row r="1672" spans="2:15" x14ac:dyDescent="0.2">
      <c r="B1672" s="1">
        <v>1657</v>
      </c>
      <c r="C1672" s="101">
        <f t="shared" ca="1" si="100"/>
        <v>1.6106728920237621</v>
      </c>
      <c r="D1672" s="101">
        <f t="shared" ca="1" si="101"/>
        <v>0.77892677717257952</v>
      </c>
      <c r="E1672" s="101">
        <f t="shared" ca="1" si="102"/>
        <v>0</v>
      </c>
      <c r="F1672" s="21">
        <f t="shared" ca="1" si="103"/>
        <v>0</v>
      </c>
      <c r="H1672" s="21">
        <v>1657</v>
      </c>
      <c r="I1672" s="102">
        <v>0.66775336551204423</v>
      </c>
      <c r="J1672" s="103">
        <v>1.532701450695298E-3</v>
      </c>
      <c r="K1672" s="103"/>
      <c r="L1672" s="103">
        <v>4.0399999999999998E-2</v>
      </c>
      <c r="O1672" s="100"/>
    </row>
    <row r="1673" spans="2:15" x14ac:dyDescent="0.2">
      <c r="B1673" s="1">
        <v>1658</v>
      </c>
      <c r="C1673" s="101">
        <f t="shared" ca="1" si="100"/>
        <v>0.34194738713345707</v>
      </c>
      <c r="D1673" s="101">
        <f t="shared" ca="1" si="101"/>
        <v>0.68729821409597069</v>
      </c>
      <c r="E1673" s="101">
        <f t="shared" ca="1" si="102"/>
        <v>0</v>
      </c>
      <c r="F1673" s="21">
        <f t="shared" ca="1" si="103"/>
        <v>0</v>
      </c>
      <c r="H1673" s="21">
        <v>1658</v>
      </c>
      <c r="I1673" s="102">
        <v>0.66753355718684304</v>
      </c>
      <c r="J1673" s="103">
        <v>1.2208709948584374E-3</v>
      </c>
      <c r="K1673" s="103"/>
      <c r="L1673" s="103">
        <v>3.8800000000000001E-2</v>
      </c>
      <c r="O1673" s="100"/>
    </row>
    <row r="1674" spans="2:15" x14ac:dyDescent="0.2">
      <c r="B1674" s="1">
        <v>1659</v>
      </c>
      <c r="C1674" s="101">
        <f t="shared" ca="1" si="100"/>
        <v>-0.58274426095654785</v>
      </c>
      <c r="D1674" s="101">
        <f t="shared" ca="1" si="101"/>
        <v>0.62738191472823268</v>
      </c>
      <c r="E1674" s="101">
        <f t="shared" ca="1" si="102"/>
        <v>0</v>
      </c>
      <c r="F1674" s="21">
        <f t="shared" ca="1" si="103"/>
        <v>0</v>
      </c>
      <c r="H1674" s="21">
        <v>1659</v>
      </c>
      <c r="I1674" s="102">
        <v>0.66788520983320854</v>
      </c>
      <c r="J1674" s="103">
        <v>1.600645025461991E-3</v>
      </c>
      <c r="K1674" s="103"/>
      <c r="L1674" s="103">
        <v>4.4200000000000003E-2</v>
      </c>
      <c r="O1674" s="100"/>
    </row>
    <row r="1675" spans="2:15" x14ac:dyDescent="0.2">
      <c r="B1675" s="1">
        <v>1660</v>
      </c>
      <c r="C1675" s="101">
        <f t="shared" ca="1" si="100"/>
        <v>-1.4333101531948189</v>
      </c>
      <c r="D1675" s="101">
        <f t="shared" ca="1" si="101"/>
        <v>0.57689168178062711</v>
      </c>
      <c r="E1675" s="101">
        <f t="shared" ca="1" si="102"/>
        <v>0</v>
      </c>
      <c r="F1675" s="21">
        <f t="shared" ca="1" si="103"/>
        <v>0</v>
      </c>
      <c r="H1675" s="21">
        <v>1660</v>
      </c>
      <c r="I1675" s="102">
        <v>0.66771789976600082</v>
      </c>
      <c r="J1675" s="103">
        <v>1.3510463860740519E-3</v>
      </c>
      <c r="K1675" s="103"/>
      <c r="L1675" s="103">
        <v>3.8399999999999997E-2</v>
      </c>
      <c r="O1675" s="100"/>
    </row>
    <row r="1676" spans="2:15" x14ac:dyDescent="0.2">
      <c r="B1676" s="1">
        <v>1661</v>
      </c>
      <c r="C1676" s="101">
        <f t="shared" ca="1" si="100"/>
        <v>-4.9581802172552071E-2</v>
      </c>
      <c r="D1676" s="101">
        <f t="shared" ca="1" si="101"/>
        <v>0.66126014246773068</v>
      </c>
      <c r="E1676" s="101">
        <f t="shared" ca="1" si="102"/>
        <v>0</v>
      </c>
      <c r="F1676" s="21">
        <f t="shared" ca="1" si="103"/>
        <v>0</v>
      </c>
      <c r="H1676" s="21">
        <v>1661</v>
      </c>
      <c r="I1676" s="102">
        <v>0.66765165010606775</v>
      </c>
      <c r="J1676" s="103">
        <v>1.3141167222887277E-3</v>
      </c>
      <c r="K1676" s="103"/>
      <c r="L1676" s="103">
        <v>4.1200000000000001E-2</v>
      </c>
      <c r="O1676" s="100"/>
    </row>
    <row r="1677" spans="2:15" x14ac:dyDescent="0.2">
      <c r="B1677" s="1">
        <v>1662</v>
      </c>
      <c r="C1677" s="101">
        <f t="shared" ca="1" si="100"/>
        <v>0.86149429968758107</v>
      </c>
      <c r="D1677" s="101">
        <f t="shared" ca="1" si="101"/>
        <v>0.72343961188145178</v>
      </c>
      <c r="E1677" s="101">
        <f t="shared" ca="1" si="102"/>
        <v>0</v>
      </c>
      <c r="F1677" s="21">
        <f t="shared" ca="1" si="103"/>
        <v>0</v>
      </c>
      <c r="H1677" s="21">
        <v>1662</v>
      </c>
      <c r="I1677" s="102">
        <v>0.66777239180053416</v>
      </c>
      <c r="J1677" s="103">
        <v>1.4018401983941933E-3</v>
      </c>
      <c r="K1677" s="103"/>
      <c r="L1677" s="103">
        <v>4.2000000000000003E-2</v>
      </c>
      <c r="O1677" s="100"/>
    </row>
    <row r="1678" spans="2:15" x14ac:dyDescent="0.2">
      <c r="B1678" s="1">
        <v>1663</v>
      </c>
      <c r="C1678" s="101">
        <f t="shared" ca="1" si="100"/>
        <v>-9.218514708274074E-2</v>
      </c>
      <c r="D1678" s="101">
        <f t="shared" ca="1" si="101"/>
        <v>0.65848706045266425</v>
      </c>
      <c r="E1678" s="101">
        <f t="shared" ca="1" si="102"/>
        <v>0</v>
      </c>
      <c r="F1678" s="21">
        <f t="shared" ca="1" si="103"/>
        <v>0</v>
      </c>
      <c r="H1678" s="21">
        <v>1663</v>
      </c>
      <c r="I1678" s="102">
        <v>0.66774660713759071</v>
      </c>
      <c r="J1678" s="103">
        <v>1.3448705477514865E-3</v>
      </c>
      <c r="K1678" s="103"/>
      <c r="L1678" s="103">
        <v>4.2200000000000001E-2</v>
      </c>
      <c r="O1678" s="100"/>
    </row>
    <row r="1679" spans="2:15" x14ac:dyDescent="0.2">
      <c r="B1679" s="1">
        <v>1664</v>
      </c>
      <c r="C1679" s="101">
        <f t="shared" ca="1" si="100"/>
        <v>0.4031209259788503</v>
      </c>
      <c r="D1679" s="101">
        <f t="shared" ca="1" si="101"/>
        <v>0.69145807393768299</v>
      </c>
      <c r="E1679" s="101">
        <f t="shared" ca="1" si="102"/>
        <v>0</v>
      </c>
      <c r="F1679" s="21">
        <f t="shared" ca="1" si="103"/>
        <v>0</v>
      </c>
      <c r="H1679" s="21">
        <v>1664</v>
      </c>
      <c r="I1679" s="102">
        <v>0.66774120685021443</v>
      </c>
      <c r="J1679" s="103">
        <v>1.3124418670300184E-3</v>
      </c>
      <c r="K1679" s="103"/>
      <c r="L1679" s="103">
        <v>4.1200000000000001E-2</v>
      </c>
      <c r="O1679" s="100"/>
    </row>
    <row r="1680" spans="2:15" x14ac:dyDescent="0.2">
      <c r="B1680" s="1">
        <v>1665</v>
      </c>
      <c r="C1680" s="101">
        <f t="shared" ref="C1680:C1743" ca="1" si="104">_xlfn.NORM.S.INV(RAND())</f>
        <v>-0.92510869466311274</v>
      </c>
      <c r="D1680" s="101">
        <f t="shared" ref="D1680:D1743" ca="1" si="105">S0*EXP((μ-0.5*σ*σ)*T+σ*SQRT(T)*$C1680)</f>
        <v>0.60654819414817773</v>
      </c>
      <c r="E1680" s="101">
        <f t="shared" ref="E1680:E1743" ca="1" si="106">MAX(0,CP*(D1680-K))</f>
        <v>0</v>
      </c>
      <c r="F1680" s="21">
        <f t="shared" ref="F1680:F1743" ca="1" si="107">(CP*(D1680-K)&gt;0)*1</f>
        <v>0</v>
      </c>
      <c r="H1680" s="21">
        <v>1665</v>
      </c>
      <c r="I1680" s="102">
        <v>0.66771925342234095</v>
      </c>
      <c r="J1680" s="103">
        <v>1.4256666076747503E-3</v>
      </c>
      <c r="K1680" s="103"/>
      <c r="L1680" s="103">
        <v>4.0599999999999997E-2</v>
      </c>
      <c r="O1680" s="100"/>
    </row>
    <row r="1681" spans="2:15" x14ac:dyDescent="0.2">
      <c r="B1681" s="1">
        <v>1666</v>
      </c>
      <c r="C1681" s="101">
        <f t="shared" ca="1" si="104"/>
        <v>0.46497693840898052</v>
      </c>
      <c r="D1681" s="101">
        <f t="shared" ca="1" si="105"/>
        <v>0.69568994359444936</v>
      </c>
      <c r="E1681" s="101">
        <f t="shared" ca="1" si="106"/>
        <v>0</v>
      </c>
      <c r="F1681" s="21">
        <f t="shared" ca="1" si="107"/>
        <v>0</v>
      </c>
      <c r="H1681" s="21">
        <v>1666</v>
      </c>
      <c r="I1681" s="102">
        <v>0.66769421144802776</v>
      </c>
      <c r="J1681" s="103">
        <v>1.2903007422399408E-3</v>
      </c>
      <c r="K1681" s="103"/>
      <c r="L1681" s="103">
        <v>4.1000000000000002E-2</v>
      </c>
      <c r="O1681" s="100"/>
    </row>
    <row r="1682" spans="2:15" x14ac:dyDescent="0.2">
      <c r="B1682" s="1">
        <v>1667</v>
      </c>
      <c r="C1682" s="101">
        <f t="shared" ca="1" si="104"/>
        <v>0.84195138611224263</v>
      </c>
      <c r="D1682" s="101">
        <f t="shared" ca="1" si="105"/>
        <v>0.72204635254821625</v>
      </c>
      <c r="E1682" s="101">
        <f t="shared" ca="1" si="106"/>
        <v>0</v>
      </c>
      <c r="F1682" s="21">
        <f t="shared" ca="1" si="107"/>
        <v>0</v>
      </c>
      <c r="H1682" s="21">
        <v>1667</v>
      </c>
      <c r="I1682" s="102">
        <v>0.66766133906636849</v>
      </c>
      <c r="J1682" s="103">
        <v>1.2493950098321617E-3</v>
      </c>
      <c r="K1682" s="103"/>
      <c r="L1682" s="103">
        <v>3.9399999999999998E-2</v>
      </c>
      <c r="O1682" s="100"/>
    </row>
    <row r="1683" spans="2:15" x14ac:dyDescent="0.2">
      <c r="B1683" s="1">
        <v>1668</v>
      </c>
      <c r="C1683" s="101">
        <f t="shared" ca="1" si="104"/>
        <v>0.88155737444887328</v>
      </c>
      <c r="D1683" s="101">
        <f t="shared" ca="1" si="105"/>
        <v>0.72487275146919516</v>
      </c>
      <c r="E1683" s="101">
        <f t="shared" ca="1" si="106"/>
        <v>0</v>
      </c>
      <c r="F1683" s="21">
        <f t="shared" ca="1" si="107"/>
        <v>0</v>
      </c>
      <c r="H1683" s="21">
        <v>1668</v>
      </c>
      <c r="I1683" s="102">
        <v>0.66782818114440468</v>
      </c>
      <c r="J1683" s="103">
        <v>1.3730087937699224E-3</v>
      </c>
      <c r="K1683" s="103"/>
      <c r="L1683" s="103">
        <v>4.48E-2</v>
      </c>
      <c r="O1683" s="100"/>
    </row>
    <row r="1684" spans="2:15" x14ac:dyDescent="0.2">
      <c r="B1684" s="1">
        <v>1669</v>
      </c>
      <c r="C1684" s="101">
        <f t="shared" ca="1" si="104"/>
        <v>-0.82124500907299336</v>
      </c>
      <c r="D1684" s="101">
        <f t="shared" ca="1" si="105"/>
        <v>0.61279437524511071</v>
      </c>
      <c r="E1684" s="101">
        <f t="shared" ca="1" si="106"/>
        <v>0</v>
      </c>
      <c r="F1684" s="21">
        <f t="shared" ca="1" si="107"/>
        <v>0</v>
      </c>
      <c r="H1684" s="21">
        <v>1669</v>
      </c>
      <c r="I1684" s="102">
        <v>0.66780043143593504</v>
      </c>
      <c r="J1684" s="103">
        <v>1.414172335370641E-3</v>
      </c>
      <c r="K1684" s="103"/>
      <c r="L1684" s="103">
        <v>4.1599999999999998E-2</v>
      </c>
      <c r="O1684" s="100"/>
    </row>
    <row r="1685" spans="2:15" x14ac:dyDescent="0.2">
      <c r="B1685" s="1">
        <v>1670</v>
      </c>
      <c r="C1685" s="101">
        <f t="shared" ca="1" si="104"/>
        <v>-7.2652484833615168E-3</v>
      </c>
      <c r="D1685" s="101">
        <f t="shared" ca="1" si="105"/>
        <v>0.66402611753380025</v>
      </c>
      <c r="E1685" s="101">
        <f t="shared" ca="1" si="106"/>
        <v>0</v>
      </c>
      <c r="F1685" s="21">
        <f t="shared" ca="1" si="107"/>
        <v>0</v>
      </c>
      <c r="H1685" s="21">
        <v>1670</v>
      </c>
      <c r="I1685" s="102">
        <v>0.66779608100592169</v>
      </c>
      <c r="J1685" s="103">
        <v>1.4161357002847594E-3</v>
      </c>
      <c r="K1685" s="103"/>
      <c r="L1685" s="103">
        <v>4.24E-2</v>
      </c>
      <c r="O1685" s="100"/>
    </row>
    <row r="1686" spans="2:15" x14ac:dyDescent="0.2">
      <c r="B1686" s="1">
        <v>1671</v>
      </c>
      <c r="C1686" s="101">
        <f t="shared" ca="1" si="104"/>
        <v>6.2550503501516072E-2</v>
      </c>
      <c r="D1686" s="101">
        <f t="shared" ca="1" si="105"/>
        <v>0.66861486092827194</v>
      </c>
      <c r="E1686" s="101">
        <f t="shared" ca="1" si="106"/>
        <v>0</v>
      </c>
      <c r="F1686" s="21">
        <f t="shared" ca="1" si="107"/>
        <v>0</v>
      </c>
      <c r="H1686" s="21">
        <v>1671</v>
      </c>
      <c r="I1686" s="102">
        <v>0.6676495667565131</v>
      </c>
      <c r="J1686" s="103">
        <v>1.153842035468188E-3</v>
      </c>
      <c r="K1686" s="103"/>
      <c r="L1686" s="103">
        <v>3.9600000000000003E-2</v>
      </c>
      <c r="O1686" s="100"/>
    </row>
    <row r="1687" spans="2:15" x14ac:dyDescent="0.2">
      <c r="B1687" s="1">
        <v>1672</v>
      </c>
      <c r="C1687" s="101">
        <f t="shared" ca="1" si="104"/>
        <v>1.3203440850454631</v>
      </c>
      <c r="D1687" s="101">
        <f t="shared" ca="1" si="105"/>
        <v>0.75693594057089153</v>
      </c>
      <c r="E1687" s="101">
        <f t="shared" ca="1" si="106"/>
        <v>0</v>
      </c>
      <c r="F1687" s="21">
        <f t="shared" ca="1" si="107"/>
        <v>0</v>
      </c>
      <c r="H1687" s="21">
        <v>1672</v>
      </c>
      <c r="I1687" s="102">
        <v>0.66766744139524603</v>
      </c>
      <c r="J1687" s="103">
        <v>1.300276920636869E-3</v>
      </c>
      <c r="K1687" s="103"/>
      <c r="L1687" s="103">
        <v>4.1000000000000002E-2</v>
      </c>
      <c r="O1687" s="100"/>
    </row>
    <row r="1688" spans="2:15" x14ac:dyDescent="0.2">
      <c r="B1688" s="1">
        <v>1673</v>
      </c>
      <c r="C1688" s="101">
        <f t="shared" ca="1" si="104"/>
        <v>1.8387519610977971</v>
      </c>
      <c r="D1688" s="101">
        <f t="shared" ca="1" si="105"/>
        <v>0.79664970662728296</v>
      </c>
      <c r="E1688" s="101">
        <f t="shared" ca="1" si="106"/>
        <v>8.4497066272829491E-3</v>
      </c>
      <c r="F1688" s="21">
        <f t="shared" ca="1" si="107"/>
        <v>1</v>
      </c>
      <c r="H1688" s="21">
        <v>1673</v>
      </c>
      <c r="I1688" s="102">
        <v>0.66766600495387152</v>
      </c>
      <c r="J1688" s="103">
        <v>1.2548098557360764E-3</v>
      </c>
      <c r="K1688" s="103"/>
      <c r="L1688" s="103">
        <v>4.0599999999999997E-2</v>
      </c>
      <c r="O1688" s="100"/>
    </row>
    <row r="1689" spans="2:15" x14ac:dyDescent="0.2">
      <c r="B1689" s="1">
        <v>1674</v>
      </c>
      <c r="C1689" s="101">
        <f t="shared" ca="1" si="104"/>
        <v>0.36846632379920863</v>
      </c>
      <c r="D1689" s="101">
        <f t="shared" ca="1" si="105"/>
        <v>0.68909844566582568</v>
      </c>
      <c r="E1689" s="101">
        <f t="shared" ca="1" si="106"/>
        <v>0</v>
      </c>
      <c r="F1689" s="21">
        <f t="shared" ca="1" si="107"/>
        <v>0</v>
      </c>
      <c r="H1689" s="21">
        <v>1674</v>
      </c>
      <c r="I1689" s="102">
        <v>0.66767216164821264</v>
      </c>
      <c r="J1689" s="103">
        <v>1.4122978695392343E-3</v>
      </c>
      <c r="K1689" s="103"/>
      <c r="L1689" s="103">
        <v>0.04</v>
      </c>
      <c r="O1689" s="100"/>
    </row>
    <row r="1690" spans="2:15" x14ac:dyDescent="0.2">
      <c r="B1690" s="1">
        <v>1675</v>
      </c>
      <c r="C1690" s="101">
        <f t="shared" ca="1" si="104"/>
        <v>1.1306955147852624</v>
      </c>
      <c r="D1690" s="101">
        <f t="shared" ca="1" si="105"/>
        <v>0.74290742498022078</v>
      </c>
      <c r="E1690" s="101">
        <f t="shared" ca="1" si="106"/>
        <v>0</v>
      </c>
      <c r="F1690" s="21">
        <f t="shared" ca="1" si="107"/>
        <v>0</v>
      </c>
      <c r="H1690" s="21">
        <v>1675</v>
      </c>
      <c r="I1690" s="102">
        <v>0.66769130230258666</v>
      </c>
      <c r="J1690" s="103">
        <v>1.3165127833970412E-3</v>
      </c>
      <c r="K1690" s="103"/>
      <c r="L1690" s="103">
        <v>4.1799999999999997E-2</v>
      </c>
      <c r="O1690" s="100"/>
    </row>
    <row r="1691" spans="2:15" x14ac:dyDescent="0.2">
      <c r="B1691" s="1">
        <v>1676</v>
      </c>
      <c r="C1691" s="101">
        <f t="shared" ca="1" si="104"/>
        <v>0.5490487871002413</v>
      </c>
      <c r="D1691" s="101">
        <f t="shared" ca="1" si="105"/>
        <v>0.70148326017050056</v>
      </c>
      <c r="E1691" s="101">
        <f t="shared" ca="1" si="106"/>
        <v>0</v>
      </c>
      <c r="F1691" s="21">
        <f t="shared" ca="1" si="107"/>
        <v>0</v>
      </c>
      <c r="H1691" s="21">
        <v>1676</v>
      </c>
      <c r="I1691" s="102">
        <v>0.66776663420089344</v>
      </c>
      <c r="J1691" s="103">
        <v>1.4707755875040191E-3</v>
      </c>
      <c r="K1691" s="103"/>
      <c r="L1691" s="103">
        <v>4.2999999999999997E-2</v>
      </c>
      <c r="O1691" s="100"/>
    </row>
    <row r="1692" spans="2:15" x14ac:dyDescent="0.2">
      <c r="B1692" s="1">
        <v>1677</v>
      </c>
      <c r="C1692" s="101">
        <f t="shared" ca="1" si="104"/>
        <v>1.8428725025155335</v>
      </c>
      <c r="D1692" s="101">
        <f t="shared" ca="1" si="105"/>
        <v>0.79697357523086332</v>
      </c>
      <c r="E1692" s="101">
        <f t="shared" ca="1" si="106"/>
        <v>8.7735752308633064E-3</v>
      </c>
      <c r="F1692" s="21">
        <f t="shared" ca="1" si="107"/>
        <v>1</v>
      </c>
      <c r="H1692" s="21">
        <v>1677</v>
      </c>
      <c r="I1692" s="102">
        <v>0.66757370492402346</v>
      </c>
      <c r="J1692" s="103">
        <v>1.1996471483157493E-3</v>
      </c>
      <c r="K1692" s="103"/>
      <c r="L1692" s="103">
        <v>3.6999999999999998E-2</v>
      </c>
      <c r="O1692" s="100"/>
    </row>
    <row r="1693" spans="2:15" x14ac:dyDescent="0.2">
      <c r="B1693" s="1">
        <v>1678</v>
      </c>
      <c r="C1693" s="101">
        <f t="shared" ca="1" si="104"/>
        <v>-1.7713430010089946</v>
      </c>
      <c r="D1693" s="101">
        <f t="shared" ca="1" si="105"/>
        <v>0.55797296649955896</v>
      </c>
      <c r="E1693" s="101">
        <f t="shared" ca="1" si="106"/>
        <v>0</v>
      </c>
      <c r="F1693" s="21">
        <f t="shared" ca="1" si="107"/>
        <v>0</v>
      </c>
      <c r="H1693" s="21">
        <v>1678</v>
      </c>
      <c r="I1693" s="102">
        <v>0.66791487747228595</v>
      </c>
      <c r="J1693" s="103">
        <v>1.5304307310646298E-3</v>
      </c>
      <c r="K1693" s="103"/>
      <c r="L1693" s="103">
        <v>4.6199999999999998E-2</v>
      </c>
      <c r="O1693" s="100"/>
    </row>
    <row r="1694" spans="2:15" x14ac:dyDescent="0.2">
      <c r="B1694" s="1">
        <v>1679</v>
      </c>
      <c r="C1694" s="101">
        <f t="shared" ca="1" si="104"/>
        <v>-0.58976451295489718</v>
      </c>
      <c r="D1694" s="101">
        <f t="shared" ca="1" si="105"/>
        <v>0.62694761132270582</v>
      </c>
      <c r="E1694" s="101">
        <f t="shared" ca="1" si="106"/>
        <v>0</v>
      </c>
      <c r="F1694" s="21">
        <f t="shared" ca="1" si="107"/>
        <v>0</v>
      </c>
      <c r="H1694" s="21">
        <v>1679</v>
      </c>
      <c r="I1694" s="102">
        <v>0.66759398469117204</v>
      </c>
      <c r="J1694" s="103">
        <v>1.2242271272830956E-3</v>
      </c>
      <c r="K1694" s="103"/>
      <c r="L1694" s="103">
        <v>3.6799999999999999E-2</v>
      </c>
      <c r="O1694" s="100"/>
    </row>
    <row r="1695" spans="2:15" x14ac:dyDescent="0.2">
      <c r="B1695" s="1">
        <v>1680</v>
      </c>
      <c r="C1695" s="101">
        <f t="shared" ca="1" si="104"/>
        <v>-1.0674118784985158</v>
      </c>
      <c r="D1695" s="101">
        <f t="shared" ca="1" si="105"/>
        <v>0.59809356997888918</v>
      </c>
      <c r="E1695" s="101">
        <f t="shared" ca="1" si="106"/>
        <v>0</v>
      </c>
      <c r="F1695" s="21">
        <f t="shared" ca="1" si="107"/>
        <v>0</v>
      </c>
      <c r="H1695" s="21">
        <v>1680</v>
      </c>
      <c r="I1695" s="102">
        <v>0.66766900827675602</v>
      </c>
      <c r="J1695" s="103">
        <v>1.3175877365364521E-3</v>
      </c>
      <c r="K1695" s="103"/>
      <c r="L1695" s="103">
        <v>4.2599999999999999E-2</v>
      </c>
      <c r="O1695" s="100"/>
    </row>
    <row r="1696" spans="2:15" x14ac:dyDescent="0.2">
      <c r="B1696" s="1">
        <v>1681</v>
      </c>
      <c r="C1696" s="101">
        <f t="shared" ca="1" si="104"/>
        <v>1.1259176172350257E-2</v>
      </c>
      <c r="D1696" s="101">
        <f t="shared" ca="1" si="105"/>
        <v>0.66524058430934341</v>
      </c>
      <c r="E1696" s="101">
        <f t="shared" ca="1" si="106"/>
        <v>0</v>
      </c>
      <c r="F1696" s="21">
        <f t="shared" ca="1" si="107"/>
        <v>0</v>
      </c>
      <c r="H1696" s="21">
        <v>1681</v>
      </c>
      <c r="I1696" s="102">
        <v>0.66783650612941658</v>
      </c>
      <c r="J1696" s="103">
        <v>1.3768325772604974E-3</v>
      </c>
      <c r="K1696" s="103"/>
      <c r="L1696" s="103">
        <v>4.1799999999999997E-2</v>
      </c>
      <c r="O1696" s="100"/>
    </row>
    <row r="1697" spans="2:15" x14ac:dyDescent="0.2">
      <c r="B1697" s="1">
        <v>1682</v>
      </c>
      <c r="C1697" s="101">
        <f t="shared" ca="1" si="104"/>
        <v>1.6379109104810614</v>
      </c>
      <c r="D1697" s="101">
        <f t="shared" ca="1" si="105"/>
        <v>0.7810224071627504</v>
      </c>
      <c r="E1697" s="101">
        <f t="shared" ca="1" si="106"/>
        <v>0</v>
      </c>
      <c r="F1697" s="21">
        <f t="shared" ca="1" si="107"/>
        <v>0</v>
      </c>
      <c r="H1697" s="21">
        <v>1682</v>
      </c>
      <c r="I1697" s="102">
        <v>0.66777529744962261</v>
      </c>
      <c r="J1697" s="103">
        <v>1.4177285734373666E-3</v>
      </c>
      <c r="K1697" s="103"/>
      <c r="L1697" s="103">
        <v>4.2599999999999999E-2</v>
      </c>
      <c r="O1697" s="100"/>
    </row>
    <row r="1698" spans="2:15" x14ac:dyDescent="0.2">
      <c r="B1698" s="1">
        <v>1683</v>
      </c>
      <c r="C1698" s="101">
        <f t="shared" ca="1" si="104"/>
        <v>-0.72644697788897661</v>
      </c>
      <c r="D1698" s="101">
        <f t="shared" ca="1" si="105"/>
        <v>0.61855149304163159</v>
      </c>
      <c r="E1698" s="101">
        <f t="shared" ca="1" si="106"/>
        <v>0</v>
      </c>
      <c r="F1698" s="21">
        <f t="shared" ca="1" si="107"/>
        <v>0</v>
      </c>
      <c r="H1698" s="21">
        <v>1683</v>
      </c>
      <c r="I1698" s="102">
        <v>0.66774575666495406</v>
      </c>
      <c r="J1698" s="103">
        <v>1.3231493336133121E-3</v>
      </c>
      <c r="K1698" s="103"/>
      <c r="L1698" s="103">
        <v>4.0599999999999997E-2</v>
      </c>
      <c r="O1698" s="100"/>
    </row>
    <row r="1699" spans="2:15" x14ac:dyDescent="0.2">
      <c r="B1699" s="1">
        <v>1684</v>
      </c>
      <c r="C1699" s="101">
        <f t="shared" ca="1" si="104"/>
        <v>-0.10674996722466355</v>
      </c>
      <c r="D1699" s="101">
        <f t="shared" ca="1" si="105"/>
        <v>0.65754169585350797</v>
      </c>
      <c r="E1699" s="101">
        <f t="shared" ca="1" si="106"/>
        <v>0</v>
      </c>
      <c r="F1699" s="21">
        <f t="shared" ca="1" si="107"/>
        <v>0</v>
      </c>
      <c r="H1699" s="21">
        <v>1684</v>
      </c>
      <c r="I1699" s="102">
        <v>0.66775137226939218</v>
      </c>
      <c r="J1699" s="103">
        <v>1.2880887840163273E-3</v>
      </c>
      <c r="K1699" s="103"/>
      <c r="L1699" s="103">
        <v>3.9800000000000002E-2</v>
      </c>
      <c r="O1699" s="100"/>
    </row>
    <row r="1700" spans="2:15" x14ac:dyDescent="0.2">
      <c r="B1700" s="1">
        <v>1685</v>
      </c>
      <c r="C1700" s="101">
        <f t="shared" ca="1" si="104"/>
        <v>0.76481503913803994</v>
      </c>
      <c r="D1700" s="101">
        <f t="shared" ca="1" si="105"/>
        <v>0.71657327177438757</v>
      </c>
      <c r="E1700" s="101">
        <f t="shared" ca="1" si="106"/>
        <v>0</v>
      </c>
      <c r="F1700" s="21">
        <f t="shared" ca="1" si="107"/>
        <v>0</v>
      </c>
      <c r="H1700" s="21">
        <v>1685</v>
      </c>
      <c r="I1700" s="102">
        <v>0.66768439633664101</v>
      </c>
      <c r="J1700" s="103">
        <v>1.2248497280989603E-3</v>
      </c>
      <c r="K1700" s="103"/>
      <c r="L1700" s="103">
        <v>3.7400000000000003E-2</v>
      </c>
      <c r="O1700" s="100"/>
    </row>
    <row r="1701" spans="2:15" x14ac:dyDescent="0.2">
      <c r="B1701" s="1">
        <v>1686</v>
      </c>
      <c r="C1701" s="101">
        <f t="shared" ca="1" si="104"/>
        <v>8.0738989788654195E-2</v>
      </c>
      <c r="D1701" s="101">
        <f t="shared" ca="1" si="105"/>
        <v>0.66981552394308208</v>
      </c>
      <c r="E1701" s="101">
        <f t="shared" ca="1" si="106"/>
        <v>0</v>
      </c>
      <c r="F1701" s="21">
        <f t="shared" ca="1" si="107"/>
        <v>0</v>
      </c>
      <c r="H1701" s="21">
        <v>1686</v>
      </c>
      <c r="I1701" s="102">
        <v>0.66762129646999568</v>
      </c>
      <c r="J1701" s="103">
        <v>1.1870169652319624E-3</v>
      </c>
      <c r="K1701" s="103"/>
      <c r="L1701" s="103">
        <v>3.7199999999999997E-2</v>
      </c>
      <c r="O1701" s="100"/>
    </row>
    <row r="1702" spans="2:15" x14ac:dyDescent="0.2">
      <c r="B1702" s="1">
        <v>1687</v>
      </c>
      <c r="C1702" s="101">
        <f t="shared" ca="1" si="104"/>
        <v>-2.4869468679375197</v>
      </c>
      <c r="D1702" s="101">
        <f t="shared" ca="1" si="105"/>
        <v>0.51994466888160495</v>
      </c>
      <c r="E1702" s="101">
        <f t="shared" ca="1" si="106"/>
        <v>0</v>
      </c>
      <c r="F1702" s="21">
        <f t="shared" ca="1" si="107"/>
        <v>0</v>
      </c>
      <c r="H1702" s="21">
        <v>1687</v>
      </c>
      <c r="I1702" s="102">
        <v>0.66773809273314377</v>
      </c>
      <c r="J1702" s="103">
        <v>1.3694140892682863E-3</v>
      </c>
      <c r="K1702" s="103"/>
      <c r="L1702" s="103">
        <v>4.2799999999999998E-2</v>
      </c>
      <c r="O1702" s="100"/>
    </row>
    <row r="1703" spans="2:15" x14ac:dyDescent="0.2">
      <c r="B1703" s="1">
        <v>1688</v>
      </c>
      <c r="C1703" s="101">
        <f t="shared" ca="1" si="104"/>
        <v>2.1510553283984968</v>
      </c>
      <c r="D1703" s="101">
        <f t="shared" ca="1" si="105"/>
        <v>0.82157323834068285</v>
      </c>
      <c r="E1703" s="101">
        <f t="shared" ca="1" si="106"/>
        <v>3.3373238340682843E-2</v>
      </c>
      <c r="F1703" s="21">
        <f t="shared" ca="1" si="107"/>
        <v>1</v>
      </c>
      <c r="H1703" s="21">
        <v>1688</v>
      </c>
      <c r="I1703" s="102">
        <v>0.66773032596224458</v>
      </c>
      <c r="J1703" s="103">
        <v>1.3869793596635056E-3</v>
      </c>
      <c r="K1703" s="103"/>
      <c r="L1703" s="103">
        <v>4.3200000000000002E-2</v>
      </c>
      <c r="O1703" s="100"/>
    </row>
    <row r="1704" spans="2:15" x14ac:dyDescent="0.2">
      <c r="B1704" s="1">
        <v>1689</v>
      </c>
      <c r="C1704" s="101">
        <f t="shared" ca="1" si="104"/>
        <v>-3.9932090304229464E-2</v>
      </c>
      <c r="D1704" s="101">
        <f t="shared" ca="1" si="105"/>
        <v>0.66188986945143202</v>
      </c>
      <c r="E1704" s="101">
        <f t="shared" ca="1" si="106"/>
        <v>0</v>
      </c>
      <c r="F1704" s="21">
        <f t="shared" ca="1" si="107"/>
        <v>0</v>
      </c>
      <c r="H1704" s="21">
        <v>1689</v>
      </c>
      <c r="I1704" s="102">
        <v>0.66765464703155042</v>
      </c>
      <c r="J1704" s="103">
        <v>1.5431547418615053E-3</v>
      </c>
      <c r="K1704" s="103"/>
      <c r="L1704" s="103">
        <v>3.9199999999999999E-2</v>
      </c>
      <c r="O1704" s="100"/>
    </row>
    <row r="1705" spans="2:15" x14ac:dyDescent="0.2">
      <c r="B1705" s="1">
        <v>1690</v>
      </c>
      <c r="C1705" s="101">
        <f t="shared" ca="1" si="104"/>
        <v>-1.0674690352421095</v>
      </c>
      <c r="D1705" s="101">
        <f t="shared" ca="1" si="105"/>
        <v>0.59809019792670104</v>
      </c>
      <c r="E1705" s="101">
        <f t="shared" ca="1" si="106"/>
        <v>0</v>
      </c>
      <c r="F1705" s="21">
        <f t="shared" ca="1" si="107"/>
        <v>0</v>
      </c>
      <c r="H1705" s="21">
        <v>1690</v>
      </c>
      <c r="I1705" s="102">
        <v>0.66792820257213348</v>
      </c>
      <c r="J1705" s="103">
        <v>1.6252393326654784E-3</v>
      </c>
      <c r="K1705" s="103"/>
      <c r="L1705" s="103">
        <v>4.5999999999999999E-2</v>
      </c>
      <c r="O1705" s="100"/>
    </row>
    <row r="1706" spans="2:15" x14ac:dyDescent="0.2">
      <c r="B1706" s="1">
        <v>1691</v>
      </c>
      <c r="C1706" s="101">
        <f t="shared" ca="1" si="104"/>
        <v>0.27720511315957924</v>
      </c>
      <c r="D1706" s="101">
        <f t="shared" ca="1" si="105"/>
        <v>0.68292293215660793</v>
      </c>
      <c r="E1706" s="101">
        <f t="shared" ca="1" si="106"/>
        <v>0</v>
      </c>
      <c r="F1706" s="21">
        <f t="shared" ca="1" si="107"/>
        <v>0</v>
      </c>
      <c r="H1706" s="21">
        <v>1691</v>
      </c>
      <c r="I1706" s="102">
        <v>0.66772758546715139</v>
      </c>
      <c r="J1706" s="103">
        <v>1.3939717078234992E-3</v>
      </c>
      <c r="K1706" s="103"/>
      <c r="L1706" s="103">
        <v>4.0399999999999998E-2</v>
      </c>
      <c r="O1706" s="100"/>
    </row>
    <row r="1707" spans="2:15" x14ac:dyDescent="0.2">
      <c r="B1707" s="1">
        <v>1692</v>
      </c>
      <c r="C1707" s="101">
        <f t="shared" ca="1" si="104"/>
        <v>-1.1750320598671917</v>
      </c>
      <c r="D1707" s="101">
        <f t="shared" ca="1" si="105"/>
        <v>0.59177791201653174</v>
      </c>
      <c r="E1707" s="101">
        <f t="shared" ca="1" si="106"/>
        <v>0</v>
      </c>
      <c r="F1707" s="21">
        <f t="shared" ca="1" si="107"/>
        <v>0</v>
      </c>
      <c r="H1707" s="21">
        <v>1692</v>
      </c>
      <c r="I1707" s="102">
        <v>0.66778302817889312</v>
      </c>
      <c r="J1707" s="103">
        <v>1.3887140955695211E-3</v>
      </c>
      <c r="K1707" s="103"/>
      <c r="L1707" s="103">
        <v>4.2000000000000003E-2</v>
      </c>
      <c r="O1707" s="100"/>
    </row>
    <row r="1708" spans="2:15" x14ac:dyDescent="0.2">
      <c r="B1708" s="1">
        <v>1693</v>
      </c>
      <c r="C1708" s="101">
        <f t="shared" ca="1" si="104"/>
        <v>-0.24358178721869081</v>
      </c>
      <c r="D1708" s="101">
        <f t="shared" ca="1" si="105"/>
        <v>0.6487263023587051</v>
      </c>
      <c r="E1708" s="101">
        <f t="shared" ca="1" si="106"/>
        <v>0</v>
      </c>
      <c r="F1708" s="21">
        <f t="shared" ca="1" si="107"/>
        <v>0</v>
      </c>
      <c r="H1708" s="21">
        <v>1693</v>
      </c>
      <c r="I1708" s="102">
        <v>0.66774544384635015</v>
      </c>
      <c r="J1708" s="103">
        <v>1.3845203014314234E-3</v>
      </c>
      <c r="K1708" s="103"/>
      <c r="L1708" s="103">
        <v>3.9399999999999998E-2</v>
      </c>
      <c r="O1708" s="100"/>
    </row>
    <row r="1709" spans="2:15" x14ac:dyDescent="0.2">
      <c r="B1709" s="1">
        <v>1694</v>
      </c>
      <c r="C1709" s="101">
        <f t="shared" ca="1" si="104"/>
        <v>0.78934710721201984</v>
      </c>
      <c r="D1709" s="101">
        <f t="shared" ca="1" si="105"/>
        <v>0.71830938978306602</v>
      </c>
      <c r="E1709" s="101">
        <f t="shared" ca="1" si="106"/>
        <v>0</v>
      </c>
      <c r="F1709" s="21">
        <f t="shared" ca="1" si="107"/>
        <v>0</v>
      </c>
      <c r="H1709" s="21">
        <v>1694</v>
      </c>
      <c r="I1709" s="102">
        <v>0.66767676302646151</v>
      </c>
      <c r="J1709" s="103">
        <v>1.3877659274892859E-3</v>
      </c>
      <c r="K1709" s="103"/>
      <c r="L1709" s="103">
        <v>4.0800000000000003E-2</v>
      </c>
      <c r="O1709" s="100"/>
    </row>
    <row r="1710" spans="2:15" x14ac:dyDescent="0.2">
      <c r="B1710" s="1">
        <v>1695</v>
      </c>
      <c r="C1710" s="101">
        <f t="shared" ca="1" si="104"/>
        <v>0.80376156555485501</v>
      </c>
      <c r="D1710" s="101">
        <f t="shared" ca="1" si="105"/>
        <v>0.71933145253581376</v>
      </c>
      <c r="E1710" s="101">
        <f t="shared" ca="1" si="106"/>
        <v>0</v>
      </c>
      <c r="F1710" s="21">
        <f t="shared" ca="1" si="107"/>
        <v>0</v>
      </c>
      <c r="H1710" s="21">
        <v>1695</v>
      </c>
      <c r="I1710" s="102">
        <v>0.66783124968894603</v>
      </c>
      <c r="J1710" s="103">
        <v>1.4503409136008211E-3</v>
      </c>
      <c r="K1710" s="103"/>
      <c r="L1710" s="103">
        <v>4.24E-2</v>
      </c>
      <c r="O1710" s="100"/>
    </row>
    <row r="1711" spans="2:15" x14ac:dyDescent="0.2">
      <c r="B1711" s="1">
        <v>1696</v>
      </c>
      <c r="C1711" s="101">
        <f t="shared" ca="1" si="104"/>
        <v>0.68687145794869464</v>
      </c>
      <c r="D1711" s="101">
        <f t="shared" ca="1" si="105"/>
        <v>0.71108505314378567</v>
      </c>
      <c r="E1711" s="101">
        <f t="shared" ca="1" si="106"/>
        <v>0</v>
      </c>
      <c r="F1711" s="21">
        <f t="shared" ca="1" si="107"/>
        <v>0</v>
      </c>
      <c r="H1711" s="21">
        <v>1696</v>
      </c>
      <c r="I1711" s="102">
        <v>0.66767602851727392</v>
      </c>
      <c r="J1711" s="103">
        <v>1.2148884579846E-3</v>
      </c>
      <c r="K1711" s="103"/>
      <c r="L1711" s="103">
        <v>3.9600000000000003E-2</v>
      </c>
      <c r="O1711" s="100"/>
    </row>
    <row r="1712" spans="2:15" x14ac:dyDescent="0.2">
      <c r="B1712" s="1">
        <v>1697</v>
      </c>
      <c r="C1712" s="101">
        <f t="shared" ca="1" si="104"/>
        <v>0.86349744715466259</v>
      </c>
      <c r="D1712" s="101">
        <f t="shared" ca="1" si="105"/>
        <v>0.72358257269641091</v>
      </c>
      <c r="E1712" s="101">
        <f t="shared" ca="1" si="106"/>
        <v>0</v>
      </c>
      <c r="F1712" s="21">
        <f t="shared" ca="1" si="107"/>
        <v>0</v>
      </c>
      <c r="H1712" s="21">
        <v>1697</v>
      </c>
      <c r="I1712" s="102">
        <v>0.66768260811754454</v>
      </c>
      <c r="J1712" s="103">
        <v>1.3074574148536915E-3</v>
      </c>
      <c r="K1712" s="103"/>
      <c r="L1712" s="103">
        <v>4.2999999999999997E-2</v>
      </c>
      <c r="O1712" s="100"/>
    </row>
    <row r="1713" spans="2:15" x14ac:dyDescent="0.2">
      <c r="B1713" s="1">
        <v>1698</v>
      </c>
      <c r="C1713" s="101">
        <f t="shared" ca="1" si="104"/>
        <v>0.70781504861451927</v>
      </c>
      <c r="D1713" s="101">
        <f t="shared" ca="1" si="105"/>
        <v>0.71255560476501634</v>
      </c>
      <c r="E1713" s="101">
        <f t="shared" ca="1" si="106"/>
        <v>0</v>
      </c>
      <c r="F1713" s="21">
        <f t="shared" ca="1" si="107"/>
        <v>0</v>
      </c>
      <c r="H1713" s="21">
        <v>1698</v>
      </c>
      <c r="I1713" s="102">
        <v>0.66777738585103863</v>
      </c>
      <c r="J1713" s="103">
        <v>1.4746470676118611E-3</v>
      </c>
      <c r="K1713" s="103"/>
      <c r="L1713" s="103">
        <v>4.4200000000000003E-2</v>
      </c>
      <c r="O1713" s="100"/>
    </row>
    <row r="1714" spans="2:15" x14ac:dyDescent="0.2">
      <c r="B1714" s="1">
        <v>1699</v>
      </c>
      <c r="C1714" s="101">
        <f t="shared" ca="1" si="104"/>
        <v>0.93129574679267224</v>
      </c>
      <c r="D1714" s="101">
        <f t="shared" ca="1" si="105"/>
        <v>0.72843790355051219</v>
      </c>
      <c r="E1714" s="101">
        <f t="shared" ca="1" si="106"/>
        <v>0</v>
      </c>
      <c r="F1714" s="21">
        <f t="shared" ca="1" si="107"/>
        <v>0</v>
      </c>
      <c r="H1714" s="21">
        <v>1699</v>
      </c>
      <c r="I1714" s="102">
        <v>0.66785509990605196</v>
      </c>
      <c r="J1714" s="103">
        <v>1.5029536168725272E-3</v>
      </c>
      <c r="K1714" s="103"/>
      <c r="L1714" s="103">
        <v>4.24E-2</v>
      </c>
      <c r="O1714" s="100"/>
    </row>
    <row r="1715" spans="2:15" x14ac:dyDescent="0.2">
      <c r="B1715" s="1">
        <v>1700</v>
      </c>
      <c r="C1715" s="101">
        <f t="shared" ca="1" si="104"/>
        <v>-0.33508438512833805</v>
      </c>
      <c r="D1715" s="101">
        <f t="shared" ca="1" si="105"/>
        <v>0.64289728500064425</v>
      </c>
      <c r="E1715" s="101">
        <f t="shared" ca="1" si="106"/>
        <v>0</v>
      </c>
      <c r="F1715" s="21">
        <f t="shared" ca="1" si="107"/>
        <v>0</v>
      </c>
      <c r="H1715" s="21">
        <v>1700</v>
      </c>
      <c r="I1715" s="102">
        <v>0.66757477504264817</v>
      </c>
      <c r="J1715" s="103">
        <v>1.2988525124116117E-3</v>
      </c>
      <c r="K1715" s="103"/>
      <c r="L1715" s="103">
        <v>3.78E-2</v>
      </c>
      <c r="O1715" s="100"/>
    </row>
    <row r="1716" spans="2:15" x14ac:dyDescent="0.2">
      <c r="B1716" s="1">
        <v>1701</v>
      </c>
      <c r="C1716" s="101">
        <f t="shared" ca="1" si="104"/>
        <v>-0.62629674242028066</v>
      </c>
      <c r="D1716" s="101">
        <f t="shared" ca="1" si="105"/>
        <v>0.6246924165538672</v>
      </c>
      <c r="E1716" s="101">
        <f t="shared" ca="1" si="106"/>
        <v>0</v>
      </c>
      <c r="F1716" s="21">
        <f t="shared" ca="1" si="107"/>
        <v>0</v>
      </c>
      <c r="H1716" s="21">
        <v>1701</v>
      </c>
      <c r="I1716" s="102">
        <v>0.66769862967241911</v>
      </c>
      <c r="J1716" s="103">
        <v>1.2929396356256356E-3</v>
      </c>
      <c r="K1716" s="103"/>
      <c r="L1716" s="103">
        <v>3.7400000000000003E-2</v>
      </c>
      <c r="O1716" s="100"/>
    </row>
    <row r="1717" spans="2:15" x14ac:dyDescent="0.2">
      <c r="B1717" s="1">
        <v>1702</v>
      </c>
      <c r="C1717" s="101">
        <f t="shared" ca="1" si="104"/>
        <v>1.6071678902342161</v>
      </c>
      <c r="D1717" s="101">
        <f t="shared" ca="1" si="105"/>
        <v>0.77865751911737413</v>
      </c>
      <c r="E1717" s="101">
        <f t="shared" ca="1" si="106"/>
        <v>0</v>
      </c>
      <c r="F1717" s="21">
        <f t="shared" ca="1" si="107"/>
        <v>0</v>
      </c>
      <c r="H1717" s="21">
        <v>1702</v>
      </c>
      <c r="I1717" s="102">
        <v>0.66776435435959691</v>
      </c>
      <c r="J1717" s="103">
        <v>1.5028386579342828E-3</v>
      </c>
      <c r="K1717" s="103"/>
      <c r="L1717" s="103">
        <v>4.6600000000000003E-2</v>
      </c>
      <c r="O1717" s="100"/>
    </row>
    <row r="1718" spans="2:15" x14ac:dyDescent="0.2">
      <c r="B1718" s="1">
        <v>1703</v>
      </c>
      <c r="C1718" s="101">
        <f t="shared" ca="1" si="104"/>
        <v>0.73090789907168663</v>
      </c>
      <c r="D1718" s="101">
        <f t="shared" ca="1" si="105"/>
        <v>0.71418059194843753</v>
      </c>
      <c r="E1718" s="101">
        <f t="shared" ca="1" si="106"/>
        <v>0</v>
      </c>
      <c r="F1718" s="21">
        <f t="shared" ca="1" si="107"/>
        <v>0</v>
      </c>
      <c r="H1718" s="21">
        <v>1703</v>
      </c>
      <c r="I1718" s="102">
        <v>0.66780562202292271</v>
      </c>
      <c r="J1718" s="103">
        <v>1.4432151049656671E-3</v>
      </c>
      <c r="K1718" s="103"/>
      <c r="L1718" s="103">
        <v>4.48E-2</v>
      </c>
      <c r="O1718" s="100"/>
    </row>
    <row r="1719" spans="2:15" x14ac:dyDescent="0.2">
      <c r="B1719" s="1">
        <v>1704</v>
      </c>
      <c r="C1719" s="101">
        <f t="shared" ca="1" si="104"/>
        <v>-0.20626655325749202</v>
      </c>
      <c r="D1719" s="101">
        <f t="shared" ca="1" si="105"/>
        <v>0.65111854981882566</v>
      </c>
      <c r="E1719" s="101">
        <f t="shared" ca="1" si="106"/>
        <v>0</v>
      </c>
      <c r="F1719" s="21">
        <f t="shared" ca="1" si="107"/>
        <v>0</v>
      </c>
      <c r="H1719" s="21">
        <v>1704</v>
      </c>
      <c r="I1719" s="102">
        <v>0.66766193440521993</v>
      </c>
      <c r="J1719" s="103">
        <v>1.3519772307988287E-3</v>
      </c>
      <c r="K1719" s="103"/>
      <c r="L1719" s="103">
        <v>4.1000000000000002E-2</v>
      </c>
      <c r="O1719" s="100"/>
    </row>
    <row r="1720" spans="2:15" x14ac:dyDescent="0.2">
      <c r="B1720" s="1">
        <v>1705</v>
      </c>
      <c r="C1720" s="101">
        <f t="shared" ca="1" si="104"/>
        <v>1.2754351649398186</v>
      </c>
      <c r="D1720" s="101">
        <f t="shared" ca="1" si="105"/>
        <v>0.75359022467838954</v>
      </c>
      <c r="E1720" s="101">
        <f t="shared" ca="1" si="106"/>
        <v>0</v>
      </c>
      <c r="F1720" s="21">
        <f t="shared" ca="1" si="107"/>
        <v>0</v>
      </c>
      <c r="H1720" s="21">
        <v>1705</v>
      </c>
      <c r="I1720" s="102">
        <v>0.66781993842339071</v>
      </c>
      <c r="J1720" s="103">
        <v>1.5732354268467293E-3</v>
      </c>
      <c r="K1720" s="103"/>
      <c r="L1720" s="103">
        <v>4.2599999999999999E-2</v>
      </c>
      <c r="O1720" s="100"/>
    </row>
    <row r="1721" spans="2:15" x14ac:dyDescent="0.2">
      <c r="B1721" s="1">
        <v>1706</v>
      </c>
      <c r="C1721" s="101">
        <f t="shared" ca="1" si="104"/>
        <v>0.92275729477307289</v>
      </c>
      <c r="D1721" s="101">
        <f t="shared" ca="1" si="105"/>
        <v>0.72782463922679086</v>
      </c>
      <c r="E1721" s="101">
        <f t="shared" ca="1" si="106"/>
        <v>0</v>
      </c>
      <c r="F1721" s="21">
        <f t="shared" ca="1" si="107"/>
        <v>0</v>
      </c>
      <c r="H1721" s="21">
        <v>1706</v>
      </c>
      <c r="I1721" s="102">
        <v>0.66774313680821018</v>
      </c>
      <c r="J1721" s="103">
        <v>1.3072678949888473E-3</v>
      </c>
      <c r="K1721" s="103"/>
      <c r="L1721" s="103">
        <v>4.2000000000000003E-2</v>
      </c>
      <c r="O1721" s="100"/>
    </row>
    <row r="1722" spans="2:15" x14ac:dyDescent="0.2">
      <c r="B1722" s="1">
        <v>1707</v>
      </c>
      <c r="C1722" s="101">
        <f t="shared" ca="1" si="104"/>
        <v>-0.513074470780567</v>
      </c>
      <c r="D1722" s="101">
        <f t="shared" ca="1" si="105"/>
        <v>0.63170833354325906</v>
      </c>
      <c r="E1722" s="101">
        <f t="shared" ca="1" si="106"/>
        <v>0</v>
      </c>
      <c r="F1722" s="21">
        <f t="shared" ca="1" si="107"/>
        <v>0</v>
      </c>
      <c r="H1722" s="21">
        <v>1707</v>
      </c>
      <c r="I1722" s="102">
        <v>0.66787047691850843</v>
      </c>
      <c r="J1722" s="103">
        <v>1.4484274005772061E-3</v>
      </c>
      <c r="K1722" s="103"/>
      <c r="L1722" s="103">
        <v>4.3999999999999997E-2</v>
      </c>
      <c r="O1722" s="100"/>
    </row>
    <row r="1723" spans="2:15" x14ac:dyDescent="0.2">
      <c r="B1723" s="1">
        <v>1708</v>
      </c>
      <c r="C1723" s="101">
        <f t="shared" ca="1" si="104"/>
        <v>1.2186179306717526</v>
      </c>
      <c r="D1723" s="101">
        <f t="shared" ca="1" si="105"/>
        <v>0.7493785210086974</v>
      </c>
      <c r="E1723" s="101">
        <f t="shared" ca="1" si="106"/>
        <v>0</v>
      </c>
      <c r="F1723" s="21">
        <f t="shared" ca="1" si="107"/>
        <v>0</v>
      </c>
      <c r="H1723" s="21">
        <v>1708</v>
      </c>
      <c r="I1723" s="102">
        <v>0.66772093520766795</v>
      </c>
      <c r="J1723" s="103">
        <v>1.4884560493529794E-3</v>
      </c>
      <c r="K1723" s="103"/>
      <c r="L1723" s="103">
        <v>4.3999999999999997E-2</v>
      </c>
      <c r="O1723" s="100"/>
    </row>
    <row r="1724" spans="2:15" x14ac:dyDescent="0.2">
      <c r="B1724" s="1">
        <v>1709</v>
      </c>
      <c r="C1724" s="101">
        <f t="shared" ca="1" si="104"/>
        <v>1.4274553892132822</v>
      </c>
      <c r="D1724" s="101">
        <f t="shared" ca="1" si="105"/>
        <v>0.7649758220354651</v>
      </c>
      <c r="E1724" s="101">
        <f t="shared" ca="1" si="106"/>
        <v>0</v>
      </c>
      <c r="F1724" s="21">
        <f t="shared" ca="1" si="107"/>
        <v>0</v>
      </c>
      <c r="H1724" s="21">
        <v>1709</v>
      </c>
      <c r="I1724" s="102">
        <v>0.66775685238965754</v>
      </c>
      <c r="J1724" s="103">
        <v>1.3450414201946499E-3</v>
      </c>
      <c r="K1724" s="103"/>
      <c r="L1724" s="103">
        <v>4.02E-2</v>
      </c>
      <c r="O1724" s="100"/>
    </row>
    <row r="1725" spans="2:15" x14ac:dyDescent="0.2">
      <c r="B1725" s="1">
        <v>1710</v>
      </c>
      <c r="C1725" s="101">
        <f t="shared" ca="1" si="104"/>
        <v>0.54095199195559662</v>
      </c>
      <c r="D1725" s="101">
        <f t="shared" ca="1" si="105"/>
        <v>0.70092322417122133</v>
      </c>
      <c r="E1725" s="101">
        <f t="shared" ca="1" si="106"/>
        <v>0</v>
      </c>
      <c r="F1725" s="21">
        <f t="shared" ca="1" si="107"/>
        <v>0</v>
      </c>
      <c r="H1725" s="21">
        <v>1710</v>
      </c>
      <c r="I1725" s="102">
        <v>0.66755928372350393</v>
      </c>
      <c r="J1725" s="103">
        <v>1.0143009984154329E-3</v>
      </c>
      <c r="K1725" s="103"/>
      <c r="L1725" s="103">
        <v>3.56E-2</v>
      </c>
      <c r="O1725" s="100"/>
    </row>
    <row r="1726" spans="2:15" x14ac:dyDescent="0.2">
      <c r="B1726" s="1">
        <v>1711</v>
      </c>
      <c r="C1726" s="101">
        <f t="shared" ca="1" si="104"/>
        <v>0.75045889781739705</v>
      </c>
      <c r="D1726" s="101">
        <f t="shared" ca="1" si="105"/>
        <v>0.71555924420538919</v>
      </c>
      <c r="E1726" s="101">
        <f t="shared" ca="1" si="106"/>
        <v>0</v>
      </c>
      <c r="F1726" s="21">
        <f t="shared" ca="1" si="107"/>
        <v>0</v>
      </c>
      <c r="H1726" s="21">
        <v>1711</v>
      </c>
      <c r="I1726" s="102">
        <v>0.66774266431078477</v>
      </c>
      <c r="J1726" s="103">
        <v>1.4091376852755581E-3</v>
      </c>
      <c r="K1726" s="103"/>
      <c r="L1726" s="103">
        <v>4.5600000000000002E-2</v>
      </c>
      <c r="O1726" s="100"/>
    </row>
    <row r="1727" spans="2:15" x14ac:dyDescent="0.2">
      <c r="B1727" s="1">
        <v>1712</v>
      </c>
      <c r="C1727" s="101">
        <f t="shared" ca="1" si="104"/>
        <v>-0.29640056830451189</v>
      </c>
      <c r="D1727" s="101">
        <f t="shared" ca="1" si="105"/>
        <v>0.64535515364623885</v>
      </c>
      <c r="E1727" s="101">
        <f t="shared" ca="1" si="106"/>
        <v>0</v>
      </c>
      <c r="F1727" s="21">
        <f t="shared" ca="1" si="107"/>
        <v>0</v>
      </c>
      <c r="H1727" s="21">
        <v>1712</v>
      </c>
      <c r="I1727" s="102">
        <v>0.66762316308631875</v>
      </c>
      <c r="J1727" s="103">
        <v>1.2014150474204007E-3</v>
      </c>
      <c r="K1727" s="103"/>
      <c r="L1727" s="103">
        <v>3.6600000000000001E-2</v>
      </c>
      <c r="O1727" s="100"/>
    </row>
    <row r="1728" spans="2:15" x14ac:dyDescent="0.2">
      <c r="B1728" s="1">
        <v>1713</v>
      </c>
      <c r="C1728" s="101">
        <f t="shared" ca="1" si="104"/>
        <v>0.72860803660616891</v>
      </c>
      <c r="D1728" s="101">
        <f t="shared" ca="1" si="105"/>
        <v>0.71401859025711456</v>
      </c>
      <c r="E1728" s="101">
        <f t="shared" ca="1" si="106"/>
        <v>0</v>
      </c>
      <c r="F1728" s="21">
        <f t="shared" ca="1" si="107"/>
        <v>0</v>
      </c>
      <c r="H1728" s="21">
        <v>1713</v>
      </c>
      <c r="I1728" s="102">
        <v>0.66784156688423113</v>
      </c>
      <c r="J1728" s="103">
        <v>1.4450009676258754E-3</v>
      </c>
      <c r="K1728" s="103"/>
      <c r="L1728" s="103">
        <v>4.2599999999999999E-2</v>
      </c>
      <c r="O1728" s="100"/>
    </row>
    <row r="1729" spans="2:15" x14ac:dyDescent="0.2">
      <c r="B1729" s="1">
        <v>1714</v>
      </c>
      <c r="C1729" s="101">
        <f t="shared" ca="1" si="104"/>
        <v>-0.11125191284245986</v>
      </c>
      <c r="D1729" s="101">
        <f t="shared" ca="1" si="105"/>
        <v>0.65724976095410992</v>
      </c>
      <c r="E1729" s="101">
        <f t="shared" ca="1" si="106"/>
        <v>0</v>
      </c>
      <c r="F1729" s="21">
        <f t="shared" ca="1" si="107"/>
        <v>0</v>
      </c>
      <c r="H1729" s="21">
        <v>1714</v>
      </c>
      <c r="I1729" s="102">
        <v>0.66774577270326219</v>
      </c>
      <c r="J1729" s="103">
        <v>1.3203884622264919E-3</v>
      </c>
      <c r="K1729" s="103"/>
      <c r="L1729" s="103">
        <v>4.1399999999999999E-2</v>
      </c>
      <c r="O1729" s="100"/>
    </row>
    <row r="1730" spans="2:15" x14ac:dyDescent="0.2">
      <c r="B1730" s="1">
        <v>1715</v>
      </c>
      <c r="C1730" s="101">
        <f t="shared" ca="1" si="104"/>
        <v>-1.0140964111100841</v>
      </c>
      <c r="D1730" s="101">
        <f t="shared" ca="1" si="105"/>
        <v>0.60124729450970127</v>
      </c>
      <c r="E1730" s="101">
        <f t="shared" ca="1" si="106"/>
        <v>0</v>
      </c>
      <c r="F1730" s="21">
        <f t="shared" ca="1" si="107"/>
        <v>0</v>
      </c>
      <c r="H1730" s="21">
        <v>1715</v>
      </c>
      <c r="I1730" s="102">
        <v>0.66766895287679329</v>
      </c>
      <c r="J1730" s="103">
        <v>1.2307513542599367E-3</v>
      </c>
      <c r="K1730" s="103"/>
      <c r="L1730" s="103">
        <v>4.4400000000000002E-2</v>
      </c>
      <c r="O1730" s="100"/>
    </row>
    <row r="1731" spans="2:15" x14ac:dyDescent="0.2">
      <c r="B1731" s="1">
        <v>1716</v>
      </c>
      <c r="C1731" s="101">
        <f t="shared" ca="1" si="104"/>
        <v>-0.218296770607738</v>
      </c>
      <c r="D1731" s="101">
        <f t="shared" ca="1" si="105"/>
        <v>0.65034634095100907</v>
      </c>
      <c r="E1731" s="101">
        <f t="shared" ca="1" si="106"/>
        <v>0</v>
      </c>
      <c r="F1731" s="21">
        <f t="shared" ca="1" si="107"/>
        <v>0</v>
      </c>
      <c r="H1731" s="21">
        <v>1716</v>
      </c>
      <c r="I1731" s="102">
        <v>0.66774256656661501</v>
      </c>
      <c r="J1731" s="103">
        <v>1.3806774634793721E-3</v>
      </c>
      <c r="K1731" s="103"/>
      <c r="L1731" s="103">
        <v>3.9600000000000003E-2</v>
      </c>
      <c r="O1731" s="100"/>
    </row>
    <row r="1732" spans="2:15" x14ac:dyDescent="0.2">
      <c r="B1732" s="1">
        <v>1717</v>
      </c>
      <c r="C1732" s="101">
        <f t="shared" ca="1" si="104"/>
        <v>1.3958870185921539</v>
      </c>
      <c r="D1732" s="101">
        <f t="shared" ca="1" si="105"/>
        <v>0.76259743369583721</v>
      </c>
      <c r="E1732" s="101">
        <f t="shared" ca="1" si="106"/>
        <v>0</v>
      </c>
      <c r="F1732" s="21">
        <f t="shared" ca="1" si="107"/>
        <v>0</v>
      </c>
      <c r="H1732" s="21">
        <v>1717</v>
      </c>
      <c r="I1732" s="102">
        <v>0.66766450215660422</v>
      </c>
      <c r="J1732" s="103">
        <v>1.1717295802945913E-3</v>
      </c>
      <c r="K1732" s="103"/>
      <c r="L1732" s="103">
        <v>3.8199999999999998E-2</v>
      </c>
      <c r="O1732" s="100"/>
    </row>
    <row r="1733" spans="2:15" x14ac:dyDescent="0.2">
      <c r="B1733" s="1">
        <v>1718</v>
      </c>
      <c r="C1733" s="101">
        <f t="shared" ca="1" si="104"/>
        <v>-0.25880528890097138</v>
      </c>
      <c r="D1733" s="101">
        <f t="shared" ca="1" si="105"/>
        <v>0.64775286294850609</v>
      </c>
      <c r="E1733" s="101">
        <f t="shared" ca="1" si="106"/>
        <v>0</v>
      </c>
      <c r="F1733" s="21">
        <f t="shared" ca="1" si="107"/>
        <v>0</v>
      </c>
      <c r="H1733" s="21">
        <v>1718</v>
      </c>
      <c r="I1733" s="102">
        <v>0.66776982363633941</v>
      </c>
      <c r="J1733" s="103">
        <v>1.460197206793827E-3</v>
      </c>
      <c r="K1733" s="103"/>
      <c r="L1733" s="103">
        <v>4.5999999999999999E-2</v>
      </c>
      <c r="O1733" s="100"/>
    </row>
    <row r="1734" spans="2:15" x14ac:dyDescent="0.2">
      <c r="B1734" s="1">
        <v>1719</v>
      </c>
      <c r="C1734" s="101">
        <f t="shared" ca="1" si="104"/>
        <v>0.37375111760525009</v>
      </c>
      <c r="D1734" s="101">
        <f t="shared" ca="1" si="105"/>
        <v>0.68945776569137807</v>
      </c>
      <c r="E1734" s="101">
        <f t="shared" ca="1" si="106"/>
        <v>0</v>
      </c>
      <c r="F1734" s="21">
        <f t="shared" ca="1" si="107"/>
        <v>0</v>
      </c>
      <c r="H1734" s="21">
        <v>1719</v>
      </c>
      <c r="I1734" s="102">
        <v>0.66788172580635441</v>
      </c>
      <c r="J1734" s="103">
        <v>1.4978042645410225E-3</v>
      </c>
      <c r="K1734" s="103"/>
      <c r="L1734" s="103">
        <v>4.8000000000000001E-2</v>
      </c>
      <c r="O1734" s="100"/>
    </row>
    <row r="1735" spans="2:15" x14ac:dyDescent="0.2">
      <c r="B1735" s="1">
        <v>1720</v>
      </c>
      <c r="C1735" s="101">
        <f t="shared" ca="1" si="104"/>
        <v>-3.5912941931919438</v>
      </c>
      <c r="D1735" s="101">
        <f t="shared" ca="1" si="105"/>
        <v>0.46628084098146927</v>
      </c>
      <c r="E1735" s="101">
        <f t="shared" ca="1" si="106"/>
        <v>0</v>
      </c>
      <c r="F1735" s="21">
        <f t="shared" ca="1" si="107"/>
        <v>0</v>
      </c>
      <c r="H1735" s="21">
        <v>1720</v>
      </c>
      <c r="I1735" s="102">
        <v>0.66780084788902616</v>
      </c>
      <c r="J1735" s="103">
        <v>1.4338265417879758E-3</v>
      </c>
      <c r="K1735" s="103"/>
      <c r="L1735" s="103">
        <v>4.4400000000000002E-2</v>
      </c>
      <c r="O1735" s="100"/>
    </row>
    <row r="1736" spans="2:15" x14ac:dyDescent="0.2">
      <c r="B1736" s="1">
        <v>1721</v>
      </c>
      <c r="C1736" s="101">
        <f t="shared" ca="1" si="104"/>
        <v>0.81104863058104115</v>
      </c>
      <c r="D1736" s="101">
        <f t="shared" ca="1" si="105"/>
        <v>0.7198486980009785</v>
      </c>
      <c r="E1736" s="101">
        <f t="shared" ca="1" si="106"/>
        <v>0</v>
      </c>
      <c r="F1736" s="21">
        <f t="shared" ca="1" si="107"/>
        <v>0</v>
      </c>
      <c r="H1736" s="21">
        <v>1721</v>
      </c>
      <c r="I1736" s="102">
        <v>0.66765363765653318</v>
      </c>
      <c r="J1736" s="103">
        <v>1.3196840726542567E-3</v>
      </c>
      <c r="K1736" s="103"/>
      <c r="L1736" s="103">
        <v>4.0399999999999998E-2</v>
      </c>
      <c r="O1736" s="100"/>
    </row>
    <row r="1737" spans="2:15" x14ac:dyDescent="0.2">
      <c r="B1737" s="1">
        <v>1722</v>
      </c>
      <c r="C1737" s="101">
        <f t="shared" ca="1" si="104"/>
        <v>0.43121932514527428</v>
      </c>
      <c r="D1737" s="101">
        <f t="shared" ca="1" si="105"/>
        <v>0.69337722132293222</v>
      </c>
      <c r="E1737" s="101">
        <f t="shared" ca="1" si="106"/>
        <v>0</v>
      </c>
      <c r="F1737" s="21">
        <f t="shared" ca="1" si="107"/>
        <v>0</v>
      </c>
      <c r="H1737" s="21">
        <v>1722</v>
      </c>
      <c r="I1737" s="102">
        <v>0.6678032947438024</v>
      </c>
      <c r="J1737" s="103">
        <v>1.5131273514902455E-3</v>
      </c>
      <c r="K1737" s="103"/>
      <c r="L1737" s="103">
        <v>4.6199999999999998E-2</v>
      </c>
      <c r="O1737" s="100"/>
    </row>
    <row r="1738" spans="2:15" x14ac:dyDescent="0.2">
      <c r="B1738" s="1">
        <v>1723</v>
      </c>
      <c r="C1738" s="101">
        <f t="shared" ca="1" si="104"/>
        <v>-0.6410331856360636</v>
      </c>
      <c r="D1738" s="101">
        <f t="shared" ca="1" si="105"/>
        <v>0.62378500940250914</v>
      </c>
      <c r="E1738" s="101">
        <f t="shared" ca="1" si="106"/>
        <v>0</v>
      </c>
      <c r="F1738" s="21">
        <f t="shared" ca="1" si="107"/>
        <v>0</v>
      </c>
      <c r="H1738" s="21">
        <v>1723</v>
      </c>
      <c r="I1738" s="102">
        <v>0.66782854271099934</v>
      </c>
      <c r="J1738" s="103">
        <v>1.4925859041579172E-3</v>
      </c>
      <c r="K1738" s="103"/>
      <c r="L1738" s="103">
        <v>4.36E-2</v>
      </c>
      <c r="O1738" s="100"/>
    </row>
    <row r="1739" spans="2:15" x14ac:dyDescent="0.2">
      <c r="B1739" s="1">
        <v>1724</v>
      </c>
      <c r="C1739" s="101">
        <f t="shared" ca="1" si="104"/>
        <v>-0.11903356371730826</v>
      </c>
      <c r="D1739" s="101">
        <f t="shared" ca="1" si="105"/>
        <v>0.656745454635283</v>
      </c>
      <c r="E1739" s="101">
        <f t="shared" ca="1" si="106"/>
        <v>0</v>
      </c>
      <c r="F1739" s="21">
        <f t="shared" ca="1" si="107"/>
        <v>0</v>
      </c>
      <c r="H1739" s="21">
        <v>1724</v>
      </c>
      <c r="I1739" s="102">
        <v>0.66777963508943883</v>
      </c>
      <c r="J1739" s="103">
        <v>1.2890591550264062E-3</v>
      </c>
      <c r="K1739" s="103"/>
      <c r="L1739" s="103">
        <v>4.0599999999999997E-2</v>
      </c>
      <c r="O1739" s="100"/>
    </row>
    <row r="1740" spans="2:15" x14ac:dyDescent="0.2">
      <c r="B1740" s="1">
        <v>1725</v>
      </c>
      <c r="C1740" s="101">
        <f t="shared" ca="1" si="104"/>
        <v>-3.0687904246597189E-3</v>
      </c>
      <c r="D1740" s="101">
        <f t="shared" ca="1" si="105"/>
        <v>0.66430104418301106</v>
      </c>
      <c r="E1740" s="101">
        <f t="shared" ca="1" si="106"/>
        <v>0</v>
      </c>
      <c r="F1740" s="21">
        <f t="shared" ca="1" si="107"/>
        <v>0</v>
      </c>
      <c r="H1740" s="21">
        <v>1725</v>
      </c>
      <c r="I1740" s="102">
        <v>0.66769481158834687</v>
      </c>
      <c r="J1740" s="103">
        <v>1.3039680947608597E-3</v>
      </c>
      <c r="K1740" s="103"/>
      <c r="L1740" s="103">
        <v>4.0399999999999998E-2</v>
      </c>
      <c r="O1740" s="100"/>
    </row>
    <row r="1741" spans="2:15" x14ac:dyDescent="0.2">
      <c r="B1741" s="1">
        <v>1726</v>
      </c>
      <c r="C1741" s="101">
        <f t="shared" ca="1" si="104"/>
        <v>0.33010519624740653</v>
      </c>
      <c r="D1741" s="101">
        <f t="shared" ca="1" si="105"/>
        <v>0.68649582957506561</v>
      </c>
      <c r="E1741" s="101">
        <f t="shared" ca="1" si="106"/>
        <v>0</v>
      </c>
      <c r="F1741" s="21">
        <f t="shared" ca="1" si="107"/>
        <v>0</v>
      </c>
      <c r="H1741" s="21">
        <v>1726</v>
      </c>
      <c r="I1741" s="102">
        <v>0.66783854010807175</v>
      </c>
      <c r="J1741" s="103">
        <v>1.4893906082086652E-3</v>
      </c>
      <c r="K1741" s="103"/>
      <c r="L1741" s="103">
        <v>4.1799999999999997E-2</v>
      </c>
      <c r="O1741" s="100"/>
    </row>
    <row r="1742" spans="2:15" x14ac:dyDescent="0.2">
      <c r="B1742" s="1">
        <v>1727</v>
      </c>
      <c r="C1742" s="101">
        <f t="shared" ca="1" si="104"/>
        <v>-1.1433573629511098</v>
      </c>
      <c r="D1742" s="101">
        <f t="shared" ca="1" si="105"/>
        <v>0.59362977460752209</v>
      </c>
      <c r="E1742" s="101">
        <f t="shared" ca="1" si="106"/>
        <v>0</v>
      </c>
      <c r="F1742" s="21">
        <f t="shared" ca="1" si="107"/>
        <v>0</v>
      </c>
      <c r="H1742" s="21">
        <v>1727</v>
      </c>
      <c r="I1742" s="102">
        <v>0.66784069852519956</v>
      </c>
      <c r="J1742" s="103">
        <v>1.4985088181834838E-3</v>
      </c>
      <c r="K1742" s="103"/>
      <c r="L1742" s="103">
        <v>4.2599999999999999E-2</v>
      </c>
      <c r="O1742" s="100"/>
    </row>
    <row r="1743" spans="2:15" x14ac:dyDescent="0.2">
      <c r="B1743" s="1">
        <v>1728</v>
      </c>
      <c r="C1743" s="101">
        <f t="shared" ca="1" si="104"/>
        <v>-0.54274806892145477</v>
      </c>
      <c r="D1743" s="101">
        <f t="shared" ca="1" si="105"/>
        <v>0.6298619995168846</v>
      </c>
      <c r="E1743" s="101">
        <f t="shared" ca="1" si="106"/>
        <v>0</v>
      </c>
      <c r="F1743" s="21">
        <f t="shared" ca="1" si="107"/>
        <v>0</v>
      </c>
      <c r="H1743" s="21">
        <v>1728</v>
      </c>
      <c r="I1743" s="102">
        <v>0.66763381250109211</v>
      </c>
      <c r="J1743" s="103">
        <v>1.2506429581654449E-3</v>
      </c>
      <c r="K1743" s="103"/>
      <c r="L1743" s="103">
        <v>4.1200000000000001E-2</v>
      </c>
      <c r="O1743" s="100"/>
    </row>
    <row r="1744" spans="2:15" x14ac:dyDescent="0.2">
      <c r="B1744" s="1">
        <v>1729</v>
      </c>
      <c r="C1744" s="101">
        <f t="shared" ref="C1744:C1807" ca="1" si="108">_xlfn.NORM.S.INV(RAND())</f>
        <v>-0.44013935009904076</v>
      </c>
      <c r="D1744" s="101">
        <f t="shared" ref="D1744:D1807" ca="1" si="109">S0*EXP((μ-0.5*σ*σ)*T+σ*SQRT(T)*$C1744)</f>
        <v>0.63626949448975001</v>
      </c>
      <c r="E1744" s="101">
        <f t="shared" ref="E1744:E1807" ca="1" si="110">MAX(0,CP*(D1744-K))</f>
        <v>0</v>
      </c>
      <c r="F1744" s="21">
        <f t="shared" ref="F1744:F1807" ca="1" si="111">(CP*(D1744-K)&gt;0)*1</f>
        <v>0</v>
      </c>
      <c r="H1744" s="21">
        <v>1729</v>
      </c>
      <c r="I1744" s="102">
        <v>0.66759338456270667</v>
      </c>
      <c r="J1744" s="103">
        <v>1.3894590293575615E-3</v>
      </c>
      <c r="K1744" s="103"/>
      <c r="L1744" s="103">
        <v>3.9800000000000002E-2</v>
      </c>
      <c r="O1744" s="100"/>
    </row>
    <row r="1745" spans="2:15" x14ac:dyDescent="0.2">
      <c r="B1745" s="1">
        <v>1730</v>
      </c>
      <c r="C1745" s="101">
        <f t="shared" ca="1" si="108"/>
        <v>-0.68582484542282074</v>
      </c>
      <c r="D1745" s="101">
        <f t="shared" ca="1" si="109"/>
        <v>0.62103501430294472</v>
      </c>
      <c r="E1745" s="101">
        <f t="shared" ca="1" si="110"/>
        <v>0</v>
      </c>
      <c r="F1745" s="21">
        <f t="shared" ca="1" si="111"/>
        <v>0</v>
      </c>
      <c r="H1745" s="21">
        <v>1730</v>
      </c>
      <c r="I1745" s="102">
        <v>0.66761476592917912</v>
      </c>
      <c r="J1745" s="103">
        <v>1.3425907443685126E-3</v>
      </c>
      <c r="K1745" s="103"/>
      <c r="L1745" s="103">
        <v>3.9399999999999998E-2</v>
      </c>
      <c r="O1745" s="100"/>
    </row>
    <row r="1746" spans="2:15" x14ac:dyDescent="0.2">
      <c r="B1746" s="1">
        <v>1731</v>
      </c>
      <c r="C1746" s="101">
        <f t="shared" ca="1" si="108"/>
        <v>-0.38026622931414444</v>
      </c>
      <c r="D1746" s="101">
        <f t="shared" ca="1" si="109"/>
        <v>0.64003839777464355</v>
      </c>
      <c r="E1746" s="101">
        <f t="shared" ca="1" si="110"/>
        <v>0</v>
      </c>
      <c r="F1746" s="21">
        <f t="shared" ca="1" si="111"/>
        <v>0</v>
      </c>
      <c r="H1746" s="21">
        <v>1731</v>
      </c>
      <c r="I1746" s="102">
        <v>0.66785049675168384</v>
      </c>
      <c r="J1746" s="103">
        <v>1.5015843090065114E-3</v>
      </c>
      <c r="K1746" s="103"/>
      <c r="L1746" s="103">
        <v>4.1200000000000001E-2</v>
      </c>
      <c r="O1746" s="100"/>
    </row>
    <row r="1747" spans="2:15" x14ac:dyDescent="0.2">
      <c r="B1747" s="1">
        <v>1732</v>
      </c>
      <c r="C1747" s="101">
        <f t="shared" ca="1" si="108"/>
        <v>0.71855193780990623</v>
      </c>
      <c r="D1747" s="101">
        <f t="shared" ca="1" si="109"/>
        <v>0.71331067288388939</v>
      </c>
      <c r="E1747" s="101">
        <f t="shared" ca="1" si="110"/>
        <v>0</v>
      </c>
      <c r="F1747" s="21">
        <f t="shared" ca="1" si="111"/>
        <v>0</v>
      </c>
      <c r="H1747" s="21">
        <v>1732</v>
      </c>
      <c r="I1747" s="102">
        <v>0.66780075106444803</v>
      </c>
      <c r="J1747" s="103">
        <v>1.4521207438519142E-3</v>
      </c>
      <c r="K1747" s="103"/>
      <c r="L1747" s="103">
        <v>4.0599999999999997E-2</v>
      </c>
      <c r="O1747" s="100"/>
    </row>
    <row r="1748" spans="2:15" x14ac:dyDescent="0.2">
      <c r="B1748" s="1">
        <v>1733</v>
      </c>
      <c r="C1748" s="101">
        <f t="shared" ca="1" si="108"/>
        <v>6.5371206660488498E-2</v>
      </c>
      <c r="D1748" s="101">
        <f t="shared" ca="1" si="109"/>
        <v>0.66880092080580078</v>
      </c>
      <c r="E1748" s="101">
        <f t="shared" ca="1" si="110"/>
        <v>0</v>
      </c>
      <c r="F1748" s="21">
        <f t="shared" ca="1" si="111"/>
        <v>0</v>
      </c>
      <c r="H1748" s="21">
        <v>1733</v>
      </c>
      <c r="I1748" s="102">
        <v>0.6678054257684306</v>
      </c>
      <c r="J1748" s="103">
        <v>1.4112595488001921E-3</v>
      </c>
      <c r="K1748" s="103"/>
      <c r="L1748" s="103">
        <v>4.1399999999999999E-2</v>
      </c>
      <c r="O1748" s="100"/>
    </row>
    <row r="1749" spans="2:15" x14ac:dyDescent="0.2">
      <c r="B1749" s="1">
        <v>1734</v>
      </c>
      <c r="C1749" s="101">
        <f t="shared" ca="1" si="108"/>
        <v>-0.4046551455016838</v>
      </c>
      <c r="D1749" s="101">
        <f t="shared" ca="1" si="109"/>
        <v>0.6385004728589373</v>
      </c>
      <c r="E1749" s="101">
        <f t="shared" ca="1" si="110"/>
        <v>0</v>
      </c>
      <c r="F1749" s="21">
        <f t="shared" ca="1" si="111"/>
        <v>0</v>
      </c>
      <c r="H1749" s="21">
        <v>1734</v>
      </c>
      <c r="I1749" s="102">
        <v>0.66769894920886153</v>
      </c>
      <c r="J1749" s="103">
        <v>1.4408726259366625E-3</v>
      </c>
      <c r="K1749" s="103"/>
      <c r="L1749" s="103">
        <v>4.1000000000000002E-2</v>
      </c>
      <c r="O1749" s="100"/>
    </row>
    <row r="1750" spans="2:15" x14ac:dyDescent="0.2">
      <c r="B1750" s="1">
        <v>1735</v>
      </c>
      <c r="C1750" s="101">
        <f t="shared" ca="1" si="108"/>
        <v>1.3652123351170824</v>
      </c>
      <c r="D1750" s="101">
        <f t="shared" ca="1" si="109"/>
        <v>0.7602934603339091</v>
      </c>
      <c r="E1750" s="101">
        <f t="shared" ca="1" si="110"/>
        <v>0</v>
      </c>
      <c r="F1750" s="21">
        <f t="shared" ca="1" si="111"/>
        <v>0</v>
      </c>
      <c r="H1750" s="21">
        <v>1735</v>
      </c>
      <c r="I1750" s="102">
        <v>0.66784467564350103</v>
      </c>
      <c r="J1750" s="103">
        <v>1.5156449055774206E-3</v>
      </c>
      <c r="K1750" s="103"/>
      <c r="L1750" s="103">
        <v>4.4200000000000003E-2</v>
      </c>
      <c r="O1750" s="100"/>
    </row>
    <row r="1751" spans="2:15" x14ac:dyDescent="0.2">
      <c r="B1751" s="1">
        <v>1736</v>
      </c>
      <c r="C1751" s="101">
        <f t="shared" ca="1" si="108"/>
        <v>0.65419151957547705</v>
      </c>
      <c r="D1751" s="101">
        <f t="shared" ca="1" si="109"/>
        <v>0.70879649540775191</v>
      </c>
      <c r="E1751" s="101">
        <f t="shared" ca="1" si="110"/>
        <v>0</v>
      </c>
      <c r="F1751" s="21">
        <f t="shared" ca="1" si="111"/>
        <v>0</v>
      </c>
      <c r="H1751" s="21">
        <v>1736</v>
      </c>
      <c r="I1751" s="102">
        <v>0.66767010866162935</v>
      </c>
      <c r="J1751" s="103">
        <v>1.2489518050755443E-3</v>
      </c>
      <c r="K1751" s="103"/>
      <c r="L1751" s="103">
        <v>4.0399999999999998E-2</v>
      </c>
      <c r="O1751" s="100"/>
    </row>
    <row r="1752" spans="2:15" x14ac:dyDescent="0.2">
      <c r="B1752" s="1">
        <v>1737</v>
      </c>
      <c r="C1752" s="101">
        <f t="shared" ca="1" si="108"/>
        <v>-0.77981482593021068</v>
      </c>
      <c r="D1752" s="101">
        <f t="shared" ca="1" si="109"/>
        <v>0.61530382351819368</v>
      </c>
      <c r="E1752" s="101">
        <f t="shared" ca="1" si="110"/>
        <v>0</v>
      </c>
      <c r="F1752" s="21">
        <f t="shared" ca="1" si="111"/>
        <v>0</v>
      </c>
      <c r="H1752" s="21">
        <v>1737</v>
      </c>
      <c r="I1752" s="102">
        <v>0.66783289925218536</v>
      </c>
      <c r="J1752" s="103">
        <v>1.4152617239252656E-3</v>
      </c>
      <c r="K1752" s="103"/>
      <c r="L1752" s="103">
        <v>4.3799999999999999E-2</v>
      </c>
      <c r="O1752" s="100"/>
    </row>
    <row r="1753" spans="2:15" x14ac:dyDescent="0.2">
      <c r="B1753" s="1">
        <v>1738</v>
      </c>
      <c r="C1753" s="101">
        <f t="shared" ca="1" si="108"/>
        <v>-0.91422677281557763</v>
      </c>
      <c r="D1753" s="101">
        <f t="shared" ca="1" si="109"/>
        <v>0.60719961690405488</v>
      </c>
      <c r="E1753" s="101">
        <f t="shared" ca="1" si="110"/>
        <v>0</v>
      </c>
      <c r="F1753" s="21">
        <f t="shared" ca="1" si="111"/>
        <v>0</v>
      </c>
      <c r="H1753" s="21">
        <v>1738</v>
      </c>
      <c r="I1753" s="102">
        <v>0.66773684785183951</v>
      </c>
      <c r="J1753" s="103">
        <v>1.3544061776223962E-3</v>
      </c>
      <c r="K1753" s="103"/>
      <c r="L1753" s="103">
        <v>4.1599999999999998E-2</v>
      </c>
      <c r="O1753" s="100"/>
    </row>
    <row r="1754" spans="2:15" x14ac:dyDescent="0.2">
      <c r="B1754" s="1">
        <v>1739</v>
      </c>
      <c r="C1754" s="101">
        <f t="shared" ca="1" si="108"/>
        <v>-6.8593198882357942E-4</v>
      </c>
      <c r="D1754" s="101">
        <f t="shared" ca="1" si="109"/>
        <v>0.66445720537624176</v>
      </c>
      <c r="E1754" s="101">
        <f t="shared" ca="1" si="110"/>
        <v>0</v>
      </c>
      <c r="F1754" s="21">
        <f t="shared" ca="1" si="111"/>
        <v>0</v>
      </c>
      <c r="H1754" s="21">
        <v>1739</v>
      </c>
      <c r="I1754" s="102">
        <v>0.66751925438345394</v>
      </c>
      <c r="J1754" s="103">
        <v>1.1345616608501459E-3</v>
      </c>
      <c r="K1754" s="103"/>
      <c r="L1754" s="103">
        <v>3.5400000000000001E-2</v>
      </c>
      <c r="O1754" s="100"/>
    </row>
    <row r="1755" spans="2:15" x14ac:dyDescent="0.2">
      <c r="B1755" s="1">
        <v>1740</v>
      </c>
      <c r="C1755" s="101">
        <f t="shared" ca="1" si="108"/>
        <v>-0.21459887586657322</v>
      </c>
      <c r="D1755" s="101">
        <f t="shared" ca="1" si="109"/>
        <v>0.6505836079607753</v>
      </c>
      <c r="E1755" s="101">
        <f t="shared" ca="1" si="110"/>
        <v>0</v>
      </c>
      <c r="F1755" s="21">
        <f t="shared" ca="1" si="111"/>
        <v>0</v>
      </c>
      <c r="H1755" s="21">
        <v>1740</v>
      </c>
      <c r="I1755" s="102">
        <v>0.66779027171988892</v>
      </c>
      <c r="J1755" s="103">
        <v>1.5672566069748091E-3</v>
      </c>
      <c r="K1755" s="103"/>
      <c r="L1755" s="103">
        <v>4.5199999999999997E-2</v>
      </c>
      <c r="O1755" s="100"/>
    </row>
    <row r="1756" spans="2:15" x14ac:dyDescent="0.2">
      <c r="B1756" s="1">
        <v>1741</v>
      </c>
      <c r="C1756" s="101">
        <f t="shared" ca="1" si="108"/>
        <v>-1.4186274085365089</v>
      </c>
      <c r="D1756" s="101">
        <f t="shared" ca="1" si="109"/>
        <v>0.57772781400542161</v>
      </c>
      <c r="E1756" s="101">
        <f t="shared" ca="1" si="110"/>
        <v>0</v>
      </c>
      <c r="F1756" s="21">
        <f t="shared" ca="1" si="111"/>
        <v>0</v>
      </c>
      <c r="H1756" s="21">
        <v>1741</v>
      </c>
      <c r="I1756" s="102">
        <v>0.66794501135600115</v>
      </c>
      <c r="J1756" s="103">
        <v>1.4801826526572902E-3</v>
      </c>
      <c r="K1756" s="103"/>
      <c r="L1756" s="103">
        <v>4.3799999999999999E-2</v>
      </c>
      <c r="O1756" s="100"/>
    </row>
    <row r="1757" spans="2:15" x14ac:dyDescent="0.2">
      <c r="B1757" s="1">
        <v>1742</v>
      </c>
      <c r="C1757" s="101">
        <f t="shared" ca="1" si="108"/>
        <v>-0.19754143938895535</v>
      </c>
      <c r="D1757" s="101">
        <f t="shared" ca="1" si="109"/>
        <v>0.65167918064673835</v>
      </c>
      <c r="E1757" s="101">
        <f t="shared" ca="1" si="110"/>
        <v>0</v>
      </c>
      <c r="F1757" s="21">
        <f t="shared" ca="1" si="111"/>
        <v>0</v>
      </c>
      <c r="H1757" s="21">
        <v>1742</v>
      </c>
      <c r="I1757" s="102">
        <v>0.66776664823909837</v>
      </c>
      <c r="J1757" s="103">
        <v>1.3977482000098311E-3</v>
      </c>
      <c r="K1757" s="103"/>
      <c r="L1757" s="103">
        <v>3.9800000000000002E-2</v>
      </c>
      <c r="O1757" s="100"/>
    </row>
    <row r="1758" spans="2:15" x14ac:dyDescent="0.2">
      <c r="B1758" s="1">
        <v>1743</v>
      </c>
      <c r="C1758" s="101">
        <f t="shared" ca="1" si="108"/>
        <v>-0.97650197501349156</v>
      </c>
      <c r="D1758" s="101">
        <f t="shared" ca="1" si="109"/>
        <v>0.60348107822661567</v>
      </c>
      <c r="E1758" s="101">
        <f t="shared" ca="1" si="110"/>
        <v>0</v>
      </c>
      <c r="F1758" s="21">
        <f t="shared" ca="1" si="111"/>
        <v>0</v>
      </c>
      <c r="H1758" s="21">
        <v>1743</v>
      </c>
      <c r="I1758" s="102">
        <v>0.66762474201530819</v>
      </c>
      <c r="J1758" s="103">
        <v>1.2422637506449082E-3</v>
      </c>
      <c r="K1758" s="103"/>
      <c r="L1758" s="103">
        <v>3.9199999999999999E-2</v>
      </c>
      <c r="O1758" s="100"/>
    </row>
    <row r="1759" spans="2:15" x14ac:dyDescent="0.2">
      <c r="B1759" s="1">
        <v>1744</v>
      </c>
      <c r="C1759" s="101">
        <f t="shared" ca="1" si="108"/>
        <v>6.9386836410902195E-2</v>
      </c>
      <c r="D1759" s="101">
        <f t="shared" ca="1" si="109"/>
        <v>0.66906589003509798</v>
      </c>
      <c r="E1759" s="101">
        <f t="shared" ca="1" si="110"/>
        <v>0</v>
      </c>
      <c r="F1759" s="21">
        <f t="shared" ca="1" si="111"/>
        <v>0</v>
      </c>
      <c r="H1759" s="21">
        <v>1744</v>
      </c>
      <c r="I1759" s="102">
        <v>0.66778092448152471</v>
      </c>
      <c r="J1759" s="103">
        <v>1.4265843191030925E-3</v>
      </c>
      <c r="K1759" s="103"/>
      <c r="L1759" s="103">
        <v>3.9E-2</v>
      </c>
      <c r="O1759" s="100"/>
    </row>
    <row r="1760" spans="2:15" x14ac:dyDescent="0.2">
      <c r="B1760" s="1">
        <v>1745</v>
      </c>
      <c r="C1760" s="101">
        <f t="shared" ca="1" si="108"/>
        <v>-0.85365296198096463</v>
      </c>
      <c r="D1760" s="101">
        <f t="shared" ca="1" si="109"/>
        <v>0.61083854441979968</v>
      </c>
      <c r="E1760" s="101">
        <f t="shared" ca="1" si="110"/>
        <v>0</v>
      </c>
      <c r="F1760" s="21">
        <f t="shared" ca="1" si="111"/>
        <v>0</v>
      </c>
      <c r="H1760" s="21">
        <v>1745</v>
      </c>
      <c r="I1760" s="102">
        <v>0.66758058537107723</v>
      </c>
      <c r="J1760" s="103">
        <v>1.1718571893243079E-3</v>
      </c>
      <c r="K1760" s="103"/>
      <c r="L1760" s="103">
        <v>4.02E-2</v>
      </c>
      <c r="O1760" s="100"/>
    </row>
    <row r="1761" spans="2:15" x14ac:dyDescent="0.2">
      <c r="B1761" s="1">
        <v>1746</v>
      </c>
      <c r="C1761" s="101">
        <f t="shared" ca="1" si="108"/>
        <v>1.1718903875372513</v>
      </c>
      <c r="D1761" s="101">
        <f t="shared" ca="1" si="109"/>
        <v>0.74593238365219805</v>
      </c>
      <c r="E1761" s="101">
        <f t="shared" ca="1" si="110"/>
        <v>0</v>
      </c>
      <c r="F1761" s="21">
        <f t="shared" ca="1" si="111"/>
        <v>0</v>
      </c>
      <c r="H1761" s="21">
        <v>1746</v>
      </c>
      <c r="I1761" s="102">
        <v>0.66781262922547591</v>
      </c>
      <c r="J1761" s="103">
        <v>1.4834078745004902E-3</v>
      </c>
      <c r="K1761" s="103"/>
      <c r="L1761" s="103">
        <v>4.1799999999999997E-2</v>
      </c>
      <c r="O1761" s="100"/>
    </row>
    <row r="1762" spans="2:15" x14ac:dyDescent="0.2">
      <c r="B1762" s="1">
        <v>1747</v>
      </c>
      <c r="C1762" s="101">
        <f t="shared" ca="1" si="108"/>
        <v>-8.1733052148846561E-2</v>
      </c>
      <c r="D1762" s="101">
        <f t="shared" ca="1" si="109"/>
        <v>0.65916631630910782</v>
      </c>
      <c r="E1762" s="101">
        <f t="shared" ca="1" si="110"/>
        <v>0</v>
      </c>
      <c r="F1762" s="21">
        <f t="shared" ca="1" si="111"/>
        <v>0</v>
      </c>
      <c r="H1762" s="21">
        <v>1747</v>
      </c>
      <c r="I1762" s="102">
        <v>0.667701418957382</v>
      </c>
      <c r="J1762" s="103">
        <v>1.4140141990898335E-3</v>
      </c>
      <c r="K1762" s="103"/>
      <c r="L1762" s="103">
        <v>4.0399999999999998E-2</v>
      </c>
      <c r="O1762" s="100"/>
    </row>
    <row r="1763" spans="2:15" x14ac:dyDescent="0.2">
      <c r="B1763" s="1">
        <v>1748</v>
      </c>
      <c r="C1763" s="101">
        <f t="shared" ca="1" si="108"/>
        <v>-3.6202822625254212E-2</v>
      </c>
      <c r="D1763" s="101">
        <f t="shared" ca="1" si="109"/>
        <v>0.662133396987171</v>
      </c>
      <c r="E1763" s="101">
        <f t="shared" ca="1" si="110"/>
        <v>0</v>
      </c>
      <c r="F1763" s="21">
        <f t="shared" ca="1" si="111"/>
        <v>0</v>
      </c>
      <c r="H1763" s="21">
        <v>1748</v>
      </c>
      <c r="I1763" s="102">
        <v>0.66771103631197992</v>
      </c>
      <c r="J1763" s="103">
        <v>1.3624736152672359E-3</v>
      </c>
      <c r="K1763" s="103"/>
      <c r="L1763" s="103">
        <v>4.3400000000000001E-2</v>
      </c>
      <c r="O1763" s="100"/>
    </row>
    <row r="1764" spans="2:15" x14ac:dyDescent="0.2">
      <c r="B1764" s="1">
        <v>1749</v>
      </c>
      <c r="C1764" s="101">
        <f t="shared" ca="1" si="108"/>
        <v>-0.30223146535506451</v>
      </c>
      <c r="D1764" s="101">
        <f t="shared" ca="1" si="109"/>
        <v>0.64498407311739836</v>
      </c>
      <c r="E1764" s="101">
        <f t="shared" ca="1" si="110"/>
        <v>0</v>
      </c>
      <c r="F1764" s="21">
        <f t="shared" ca="1" si="111"/>
        <v>0</v>
      </c>
      <c r="H1764" s="21">
        <v>1749</v>
      </c>
      <c r="I1764" s="102">
        <v>0.66773796465231028</v>
      </c>
      <c r="J1764" s="103">
        <v>1.2545099021962144E-3</v>
      </c>
      <c r="K1764" s="103"/>
      <c r="L1764" s="103">
        <v>4.24E-2</v>
      </c>
      <c r="O1764" s="100"/>
    </row>
    <row r="1765" spans="2:15" x14ac:dyDescent="0.2">
      <c r="B1765" s="1">
        <v>1750</v>
      </c>
      <c r="C1765" s="101">
        <f t="shared" ca="1" si="108"/>
        <v>-0.45992669635750727</v>
      </c>
      <c r="D1765" s="101">
        <f t="shared" ca="1" si="109"/>
        <v>0.63502880304918052</v>
      </c>
      <c r="E1765" s="101">
        <f t="shared" ca="1" si="110"/>
        <v>0</v>
      </c>
      <c r="F1765" s="21">
        <f t="shared" ca="1" si="111"/>
        <v>0</v>
      </c>
      <c r="H1765" s="21">
        <v>1750</v>
      </c>
      <c r="I1765" s="102">
        <v>0.66783815598940033</v>
      </c>
      <c r="J1765" s="103">
        <v>1.4454233784076875E-3</v>
      </c>
      <c r="K1765" s="103"/>
      <c r="L1765" s="103">
        <v>4.2000000000000003E-2</v>
      </c>
      <c r="O1765" s="100"/>
    </row>
    <row r="1766" spans="2:15" x14ac:dyDescent="0.2">
      <c r="B1766" s="1">
        <v>1751</v>
      </c>
      <c r="C1766" s="101">
        <f t="shared" ca="1" si="108"/>
        <v>0.20758099801633337</v>
      </c>
      <c r="D1766" s="101">
        <f t="shared" ca="1" si="109"/>
        <v>0.67824881264961223</v>
      </c>
      <c r="E1766" s="101">
        <f t="shared" ca="1" si="110"/>
        <v>0</v>
      </c>
      <c r="F1766" s="21">
        <f t="shared" ca="1" si="111"/>
        <v>0</v>
      </c>
      <c r="H1766" s="21">
        <v>1751</v>
      </c>
      <c r="I1766" s="102">
        <v>0.66764897128777989</v>
      </c>
      <c r="J1766" s="103">
        <v>1.2279889960892503E-3</v>
      </c>
      <c r="K1766" s="103"/>
      <c r="L1766" s="103">
        <v>4.0599999999999997E-2</v>
      </c>
      <c r="O1766" s="100"/>
    </row>
    <row r="1767" spans="2:15" x14ac:dyDescent="0.2">
      <c r="B1767" s="1">
        <v>1752</v>
      </c>
      <c r="C1767" s="101">
        <f t="shared" ca="1" si="108"/>
        <v>-2.8350790942029254E-2</v>
      </c>
      <c r="D1767" s="101">
        <f t="shared" ca="1" si="109"/>
        <v>0.66264644101502124</v>
      </c>
      <c r="E1767" s="101">
        <f t="shared" ca="1" si="110"/>
        <v>0</v>
      </c>
      <c r="F1767" s="21">
        <f t="shared" ca="1" si="111"/>
        <v>0</v>
      </c>
      <c r="H1767" s="21">
        <v>1752</v>
      </c>
      <c r="I1767" s="102">
        <v>0.66774821988162869</v>
      </c>
      <c r="J1767" s="103">
        <v>1.1940139643867877E-3</v>
      </c>
      <c r="K1767" s="103"/>
      <c r="L1767" s="103">
        <v>4.1000000000000002E-2</v>
      </c>
      <c r="O1767" s="100"/>
    </row>
    <row r="1768" spans="2:15" x14ac:dyDescent="0.2">
      <c r="B1768" s="1">
        <v>1753</v>
      </c>
      <c r="C1768" s="101">
        <f t="shared" ca="1" si="108"/>
        <v>-0.49532182602780556</v>
      </c>
      <c r="D1768" s="101">
        <f t="shared" ca="1" si="109"/>
        <v>0.63281551519754375</v>
      </c>
      <c r="E1768" s="101">
        <f t="shared" ca="1" si="110"/>
        <v>0</v>
      </c>
      <c r="F1768" s="21">
        <f t="shared" ca="1" si="111"/>
        <v>0</v>
      </c>
      <c r="H1768" s="21">
        <v>1753</v>
      </c>
      <c r="I1768" s="102">
        <v>0.66774670807045511</v>
      </c>
      <c r="J1768" s="103">
        <v>1.31305184122603E-3</v>
      </c>
      <c r="K1768" s="103"/>
      <c r="L1768" s="103">
        <v>4.3999999999999997E-2</v>
      </c>
      <c r="O1768" s="100"/>
    </row>
    <row r="1769" spans="2:15" x14ac:dyDescent="0.2">
      <c r="B1769" s="1">
        <v>1754</v>
      </c>
      <c r="C1769" s="101">
        <f t="shared" ca="1" si="108"/>
        <v>-0.47426491480188365</v>
      </c>
      <c r="D1769" s="101">
        <f t="shared" ca="1" si="109"/>
        <v>0.63413129069910079</v>
      </c>
      <c r="E1769" s="101">
        <f t="shared" ca="1" si="110"/>
        <v>0</v>
      </c>
      <c r="F1769" s="21">
        <f t="shared" ca="1" si="111"/>
        <v>0</v>
      </c>
      <c r="H1769" s="21">
        <v>1754</v>
      </c>
      <c r="I1769" s="102">
        <v>0.66767467229847233</v>
      </c>
      <c r="J1769" s="103">
        <v>1.2485193982940039E-3</v>
      </c>
      <c r="K1769" s="103"/>
      <c r="L1769" s="103">
        <v>3.7400000000000003E-2</v>
      </c>
      <c r="O1769" s="100"/>
    </row>
    <row r="1770" spans="2:15" x14ac:dyDescent="0.2">
      <c r="B1770" s="1">
        <v>1755</v>
      </c>
      <c r="C1770" s="101">
        <f t="shared" ca="1" si="108"/>
        <v>0.42803176693206541</v>
      </c>
      <c r="D1770" s="101">
        <f t="shared" ca="1" si="109"/>
        <v>0.6931592404833361</v>
      </c>
      <c r="E1770" s="101">
        <f t="shared" ca="1" si="110"/>
        <v>0</v>
      </c>
      <c r="F1770" s="21">
        <f t="shared" ca="1" si="111"/>
        <v>0</v>
      </c>
      <c r="H1770" s="21">
        <v>1755</v>
      </c>
      <c r="I1770" s="102">
        <v>0.66776283254831836</v>
      </c>
      <c r="J1770" s="103">
        <v>1.3538542902467069E-3</v>
      </c>
      <c r="K1770" s="103"/>
      <c r="L1770" s="103">
        <v>4.4200000000000003E-2</v>
      </c>
      <c r="O1770" s="100"/>
    </row>
    <row r="1771" spans="2:15" x14ac:dyDescent="0.2">
      <c r="B1771" s="1">
        <v>1756</v>
      </c>
      <c r="C1771" s="101">
        <f t="shared" ca="1" si="108"/>
        <v>-1.2980797589447819E-2</v>
      </c>
      <c r="D1771" s="101">
        <f t="shared" ca="1" si="109"/>
        <v>0.66365185219970235</v>
      </c>
      <c r="E1771" s="101">
        <f t="shared" ca="1" si="110"/>
        <v>0</v>
      </c>
      <c r="F1771" s="21">
        <f t="shared" ca="1" si="111"/>
        <v>0</v>
      </c>
      <c r="H1771" s="21">
        <v>1756</v>
      </c>
      <c r="I1771" s="102">
        <v>0.66797579492503989</v>
      </c>
      <c r="J1771" s="103">
        <v>1.5525856184033947E-3</v>
      </c>
      <c r="K1771" s="103"/>
      <c r="L1771" s="103">
        <v>4.82E-2</v>
      </c>
      <c r="O1771" s="100"/>
    </row>
    <row r="1772" spans="2:15" x14ac:dyDescent="0.2">
      <c r="B1772" s="1">
        <v>1757</v>
      </c>
      <c r="C1772" s="101">
        <f t="shared" ca="1" si="108"/>
        <v>0.61408331924321868</v>
      </c>
      <c r="D1772" s="101">
        <f t="shared" ca="1" si="109"/>
        <v>0.70599780528124656</v>
      </c>
      <c r="E1772" s="101">
        <f t="shared" ca="1" si="110"/>
        <v>0</v>
      </c>
      <c r="F1772" s="21">
        <f t="shared" ca="1" si="111"/>
        <v>0</v>
      </c>
      <c r="H1772" s="21">
        <v>1757</v>
      </c>
      <c r="I1772" s="102">
        <v>0.66789315134621152</v>
      </c>
      <c r="J1772" s="103">
        <v>1.5517547139072617E-3</v>
      </c>
      <c r="K1772" s="103"/>
      <c r="L1772" s="103">
        <v>4.2200000000000001E-2</v>
      </c>
      <c r="O1772" s="100"/>
    </row>
    <row r="1773" spans="2:15" x14ac:dyDescent="0.2">
      <c r="B1773" s="1">
        <v>1758</v>
      </c>
      <c r="C1773" s="101">
        <f t="shared" ca="1" si="108"/>
        <v>2.121493229343693</v>
      </c>
      <c r="D1773" s="101">
        <f t="shared" ca="1" si="109"/>
        <v>0.81918098375578285</v>
      </c>
      <c r="E1773" s="101">
        <f t="shared" ca="1" si="110"/>
        <v>3.0980983755782843E-2</v>
      </c>
      <c r="F1773" s="21">
        <f t="shared" ca="1" si="111"/>
        <v>1</v>
      </c>
      <c r="H1773" s="21">
        <v>1758</v>
      </c>
      <c r="I1773" s="102">
        <v>0.66785875926147975</v>
      </c>
      <c r="J1773" s="103">
        <v>1.5563587861549739E-3</v>
      </c>
      <c r="K1773" s="103"/>
      <c r="L1773" s="103">
        <v>4.58E-2</v>
      </c>
      <c r="O1773" s="100"/>
    </row>
    <row r="1774" spans="2:15" x14ac:dyDescent="0.2">
      <c r="B1774" s="1">
        <v>1759</v>
      </c>
      <c r="C1774" s="101">
        <f t="shared" ca="1" si="108"/>
        <v>0.8710293407439812</v>
      </c>
      <c r="D1774" s="101">
        <f t="shared" ca="1" si="109"/>
        <v>0.72412036244030342</v>
      </c>
      <c r="E1774" s="101">
        <f t="shared" ca="1" si="110"/>
        <v>0</v>
      </c>
      <c r="F1774" s="21">
        <f t="shared" ca="1" si="111"/>
        <v>0</v>
      </c>
      <c r="H1774" s="21">
        <v>1759</v>
      </c>
      <c r="I1774" s="102">
        <v>0.66767427783855593</v>
      </c>
      <c r="J1774" s="103">
        <v>1.2683015214997133E-3</v>
      </c>
      <c r="K1774" s="103"/>
      <c r="L1774" s="103">
        <v>4.1599999999999998E-2</v>
      </c>
      <c r="O1774" s="100"/>
    </row>
    <row r="1775" spans="2:15" x14ac:dyDescent="0.2">
      <c r="B1775" s="1">
        <v>1760</v>
      </c>
      <c r="C1775" s="101">
        <f t="shared" ca="1" si="108"/>
        <v>2.0494965261519837</v>
      </c>
      <c r="D1775" s="101">
        <f t="shared" ca="1" si="109"/>
        <v>0.8133838924808886</v>
      </c>
      <c r="E1775" s="101">
        <f t="shared" ca="1" si="110"/>
        <v>2.5183892480888592E-2</v>
      </c>
      <c r="F1775" s="21">
        <f t="shared" ca="1" si="111"/>
        <v>1</v>
      </c>
      <c r="H1775" s="21">
        <v>1760</v>
      </c>
      <c r="I1775" s="102">
        <v>0.66770318545543084</v>
      </c>
      <c r="J1775" s="103">
        <v>1.3649582849324488E-3</v>
      </c>
      <c r="K1775" s="103"/>
      <c r="L1775" s="103">
        <v>4.3999999999999997E-2</v>
      </c>
      <c r="O1775" s="100"/>
    </row>
    <row r="1776" spans="2:15" x14ac:dyDescent="0.2">
      <c r="B1776" s="1">
        <v>1761</v>
      </c>
      <c r="C1776" s="101">
        <f t="shared" ca="1" si="108"/>
        <v>1.4356533399842448</v>
      </c>
      <c r="D1776" s="101">
        <f t="shared" ca="1" si="109"/>
        <v>0.76559467507035406</v>
      </c>
      <c r="E1776" s="101">
        <f t="shared" ca="1" si="110"/>
        <v>0</v>
      </c>
      <c r="F1776" s="21">
        <f t="shared" ca="1" si="111"/>
        <v>0</v>
      </c>
      <c r="H1776" s="21">
        <v>1761</v>
      </c>
      <c r="I1776" s="102">
        <v>0.66779680863109514</v>
      </c>
      <c r="J1776" s="103">
        <v>1.3533947104312366E-3</v>
      </c>
      <c r="K1776" s="103"/>
      <c r="L1776" s="103">
        <v>4.36E-2</v>
      </c>
      <c r="O1776" s="100"/>
    </row>
    <row r="1777" spans="2:15" x14ac:dyDescent="0.2">
      <c r="B1777" s="1">
        <v>1762</v>
      </c>
      <c r="C1777" s="101">
        <f t="shared" ca="1" si="108"/>
        <v>-1.0799373557247944</v>
      </c>
      <c r="D1777" s="101">
        <f t="shared" ca="1" si="109"/>
        <v>0.59735506393910065</v>
      </c>
      <c r="E1777" s="101">
        <f t="shared" ca="1" si="110"/>
        <v>0</v>
      </c>
      <c r="F1777" s="21">
        <f t="shared" ca="1" si="111"/>
        <v>0</v>
      </c>
      <c r="H1777" s="21">
        <v>1762</v>
      </c>
      <c r="I1777" s="102">
        <v>0.66776399096782046</v>
      </c>
      <c r="J1777" s="103">
        <v>1.4048621142724433E-3</v>
      </c>
      <c r="K1777" s="103"/>
      <c r="L1777" s="103">
        <v>4.1599999999999998E-2</v>
      </c>
      <c r="O1777" s="100"/>
    </row>
    <row r="1778" spans="2:15" x14ac:dyDescent="0.2">
      <c r="B1778" s="1">
        <v>1763</v>
      </c>
      <c r="C1778" s="101">
        <f t="shared" ca="1" si="108"/>
        <v>0.79069259443381112</v>
      </c>
      <c r="D1778" s="101">
        <f t="shared" ca="1" si="109"/>
        <v>0.7184047305941158</v>
      </c>
      <c r="E1778" s="101">
        <f t="shared" ca="1" si="110"/>
        <v>0</v>
      </c>
      <c r="F1778" s="21">
        <f t="shared" ca="1" si="111"/>
        <v>0</v>
      </c>
      <c r="H1778" s="21">
        <v>1763</v>
      </c>
      <c r="I1778" s="102">
        <v>0.66786005911632318</v>
      </c>
      <c r="J1778" s="103">
        <v>1.4969969977521676E-3</v>
      </c>
      <c r="K1778" s="103"/>
      <c r="L1778" s="103">
        <v>4.2999999999999997E-2</v>
      </c>
      <c r="O1778" s="100"/>
    </row>
    <row r="1779" spans="2:15" x14ac:dyDescent="0.2">
      <c r="B1779" s="1">
        <v>1764</v>
      </c>
      <c r="C1779" s="101">
        <f t="shared" ca="1" si="108"/>
        <v>0.15440297329583552</v>
      </c>
      <c r="D1779" s="101">
        <f t="shared" ca="1" si="109"/>
        <v>0.67470033899319271</v>
      </c>
      <c r="E1779" s="101">
        <f t="shared" ca="1" si="110"/>
        <v>0</v>
      </c>
      <c r="F1779" s="21">
        <f t="shared" ca="1" si="111"/>
        <v>0</v>
      </c>
      <c r="H1779" s="21">
        <v>1764</v>
      </c>
      <c r="I1779" s="102">
        <v>0.66760812852197227</v>
      </c>
      <c r="J1779" s="103">
        <v>1.2404397612710714E-3</v>
      </c>
      <c r="K1779" s="103"/>
      <c r="L1779" s="103">
        <v>3.7999999999999999E-2</v>
      </c>
      <c r="O1779" s="100"/>
    </row>
    <row r="1780" spans="2:15" x14ac:dyDescent="0.2">
      <c r="B1780" s="1">
        <v>1765</v>
      </c>
      <c r="C1780" s="101">
        <f t="shared" ca="1" si="108"/>
        <v>0.49842271459680704</v>
      </c>
      <c r="D1780" s="101">
        <f t="shared" ca="1" si="109"/>
        <v>0.69798890934135793</v>
      </c>
      <c r="E1780" s="101">
        <f t="shared" ca="1" si="110"/>
        <v>0</v>
      </c>
      <c r="F1780" s="21">
        <f t="shared" ca="1" si="111"/>
        <v>0</v>
      </c>
      <c r="H1780" s="21">
        <v>1765</v>
      </c>
      <c r="I1780" s="102">
        <v>0.66782106787928719</v>
      </c>
      <c r="J1780" s="103">
        <v>1.4848855884569496E-3</v>
      </c>
      <c r="K1780" s="103"/>
      <c r="L1780" s="103">
        <v>4.3799999999999999E-2</v>
      </c>
      <c r="O1780" s="100"/>
    </row>
    <row r="1781" spans="2:15" x14ac:dyDescent="0.2">
      <c r="B1781" s="1">
        <v>1766</v>
      </c>
      <c r="C1781" s="101">
        <f t="shared" ca="1" si="108"/>
        <v>-1.0984539270566953</v>
      </c>
      <c r="D1781" s="101">
        <f t="shared" ca="1" si="109"/>
        <v>0.59626499123713816</v>
      </c>
      <c r="E1781" s="101">
        <f t="shared" ca="1" si="110"/>
        <v>0</v>
      </c>
      <c r="F1781" s="21">
        <f t="shared" ca="1" si="111"/>
        <v>0</v>
      </c>
      <c r="H1781" s="21">
        <v>1766</v>
      </c>
      <c r="I1781" s="102">
        <v>0.66773718767339729</v>
      </c>
      <c r="J1781" s="103">
        <v>1.3190219115950623E-3</v>
      </c>
      <c r="K1781" s="103"/>
      <c r="L1781" s="103">
        <v>4.24E-2</v>
      </c>
      <c r="O1781" s="100"/>
    </row>
    <row r="1782" spans="2:15" x14ac:dyDescent="0.2">
      <c r="B1782" s="1">
        <v>1767</v>
      </c>
      <c r="C1782" s="101">
        <f t="shared" ca="1" si="108"/>
        <v>-0.36289268602418617</v>
      </c>
      <c r="D1782" s="101">
        <f t="shared" ca="1" si="109"/>
        <v>0.64113620357186674</v>
      </c>
      <c r="E1782" s="101">
        <f t="shared" ca="1" si="110"/>
        <v>0</v>
      </c>
      <c r="F1782" s="21">
        <f t="shared" ca="1" si="111"/>
        <v>0</v>
      </c>
      <c r="H1782" s="21">
        <v>1767</v>
      </c>
      <c r="I1782" s="102">
        <v>0.66772883542724182</v>
      </c>
      <c r="J1782" s="103">
        <v>1.3769058982580722E-3</v>
      </c>
      <c r="K1782" s="103"/>
      <c r="L1782" s="103">
        <v>4.2000000000000003E-2</v>
      </c>
      <c r="O1782" s="100"/>
    </row>
    <row r="1783" spans="2:15" x14ac:dyDescent="0.2">
      <c r="B1783" s="1">
        <v>1768</v>
      </c>
      <c r="C1783" s="101">
        <f t="shared" ca="1" si="108"/>
        <v>2.1104900485637637E-2</v>
      </c>
      <c r="D1783" s="101">
        <f t="shared" ca="1" si="109"/>
        <v>0.6658869766735942</v>
      </c>
      <c r="E1783" s="101">
        <f t="shared" ca="1" si="110"/>
        <v>0</v>
      </c>
      <c r="F1783" s="21">
        <f t="shared" ca="1" si="111"/>
        <v>0</v>
      </c>
      <c r="H1783" s="21">
        <v>1768</v>
      </c>
      <c r="I1783" s="102">
        <v>0.66786687916781429</v>
      </c>
      <c r="J1783" s="103">
        <v>1.5104691127213151E-3</v>
      </c>
      <c r="K1783" s="103"/>
      <c r="L1783" s="103">
        <v>4.2799999999999998E-2</v>
      </c>
      <c r="O1783" s="100"/>
    </row>
    <row r="1784" spans="2:15" x14ac:dyDescent="0.2">
      <c r="B1784" s="1">
        <v>1769</v>
      </c>
      <c r="C1784" s="101">
        <f t="shared" ca="1" si="108"/>
        <v>1.3412981479388428</v>
      </c>
      <c r="D1784" s="101">
        <f t="shared" ca="1" si="109"/>
        <v>0.75850209714346373</v>
      </c>
      <c r="E1784" s="101">
        <f t="shared" ca="1" si="110"/>
        <v>0</v>
      </c>
      <c r="F1784" s="21">
        <f t="shared" ca="1" si="111"/>
        <v>0</v>
      </c>
      <c r="H1784" s="21">
        <v>1769</v>
      </c>
      <c r="I1784" s="102">
        <v>0.66773251371220121</v>
      </c>
      <c r="J1784" s="103">
        <v>1.4130976144900032E-3</v>
      </c>
      <c r="K1784" s="103"/>
      <c r="L1784" s="103">
        <v>4.24E-2</v>
      </c>
      <c r="O1784" s="100"/>
    </row>
    <row r="1785" spans="2:15" x14ac:dyDescent="0.2">
      <c r="B1785" s="1">
        <v>1770</v>
      </c>
      <c r="C1785" s="101">
        <f t="shared" ca="1" si="108"/>
        <v>-1.4852463038703314</v>
      </c>
      <c r="D1785" s="101">
        <f t="shared" ca="1" si="109"/>
        <v>0.57394379395002204</v>
      </c>
      <c r="E1785" s="101">
        <f t="shared" ca="1" si="110"/>
        <v>0</v>
      </c>
      <c r="F1785" s="21">
        <f t="shared" ca="1" si="111"/>
        <v>0</v>
      </c>
      <c r="H1785" s="21">
        <v>1770</v>
      </c>
      <c r="I1785" s="102">
        <v>0.66759896661733586</v>
      </c>
      <c r="J1785" s="103">
        <v>1.1830526636230404E-3</v>
      </c>
      <c r="K1785" s="103"/>
      <c r="L1785" s="103">
        <v>3.9199999999999999E-2</v>
      </c>
      <c r="O1785" s="100"/>
    </row>
    <row r="1786" spans="2:15" x14ac:dyDescent="0.2">
      <c r="B1786" s="1">
        <v>1771</v>
      </c>
      <c r="C1786" s="101">
        <f t="shared" ca="1" si="108"/>
        <v>-1.6926208482457541E-2</v>
      </c>
      <c r="D1786" s="101">
        <f t="shared" ca="1" si="109"/>
        <v>0.6633936220517721</v>
      </c>
      <c r="E1786" s="101">
        <f t="shared" ca="1" si="110"/>
        <v>0</v>
      </c>
      <c r="F1786" s="21">
        <f t="shared" ca="1" si="111"/>
        <v>0</v>
      </c>
      <c r="H1786" s="21">
        <v>1771</v>
      </c>
      <c r="I1786" s="102">
        <v>0.66777667235819937</v>
      </c>
      <c r="J1786" s="103">
        <v>1.3616122491657081E-3</v>
      </c>
      <c r="K1786" s="103"/>
      <c r="L1786" s="103">
        <v>4.1399999999999999E-2</v>
      </c>
      <c r="O1786" s="100"/>
    </row>
    <row r="1787" spans="2:15" x14ac:dyDescent="0.2">
      <c r="B1787" s="1">
        <v>1772</v>
      </c>
      <c r="C1787" s="101">
        <f t="shared" ca="1" si="108"/>
        <v>-0.26372502165075457</v>
      </c>
      <c r="D1787" s="101">
        <f t="shared" ca="1" si="109"/>
        <v>0.64743859189705932</v>
      </c>
      <c r="E1787" s="101">
        <f t="shared" ca="1" si="110"/>
        <v>0</v>
      </c>
      <c r="F1787" s="21">
        <f t="shared" ca="1" si="111"/>
        <v>0</v>
      </c>
      <c r="H1787" s="21">
        <v>1772</v>
      </c>
      <c r="I1787" s="102">
        <v>0.66759888749338414</v>
      </c>
      <c r="J1787" s="103">
        <v>1.365144599227741E-3</v>
      </c>
      <c r="K1787" s="103"/>
      <c r="L1787" s="103">
        <v>3.78E-2</v>
      </c>
      <c r="O1787" s="100"/>
    </row>
    <row r="1788" spans="2:15" x14ac:dyDescent="0.2">
      <c r="B1788" s="1">
        <v>1773</v>
      </c>
      <c r="C1788" s="101">
        <f t="shared" ca="1" si="108"/>
        <v>-0.87693875228005402</v>
      </c>
      <c r="D1788" s="101">
        <f t="shared" ca="1" si="109"/>
        <v>0.60943709432472937</v>
      </c>
      <c r="E1788" s="101">
        <f t="shared" ca="1" si="110"/>
        <v>0</v>
      </c>
      <c r="F1788" s="21">
        <f t="shared" ca="1" si="111"/>
        <v>0</v>
      </c>
      <c r="H1788" s="21">
        <v>1773</v>
      </c>
      <c r="I1788" s="102">
        <v>0.66780925102090605</v>
      </c>
      <c r="J1788" s="103">
        <v>1.4131898675324459E-3</v>
      </c>
      <c r="K1788" s="103"/>
      <c r="L1788" s="103">
        <v>4.2799999999999998E-2</v>
      </c>
      <c r="O1788" s="100"/>
    </row>
    <row r="1789" spans="2:15" x14ac:dyDescent="0.2">
      <c r="B1789" s="1">
        <v>1774</v>
      </c>
      <c r="C1789" s="101">
        <f t="shared" ca="1" si="108"/>
        <v>2.8244804441993301</v>
      </c>
      <c r="D1789" s="101">
        <f t="shared" ca="1" si="109"/>
        <v>0.87800178942027551</v>
      </c>
      <c r="E1789" s="101">
        <f t="shared" ca="1" si="110"/>
        <v>8.9801789420275502E-2</v>
      </c>
      <c r="F1789" s="21">
        <f t="shared" ca="1" si="111"/>
        <v>1</v>
      </c>
      <c r="H1789" s="21">
        <v>1774</v>
      </c>
      <c r="I1789" s="102">
        <v>0.6677231539293893</v>
      </c>
      <c r="J1789" s="103">
        <v>1.4013817758713953E-3</v>
      </c>
      <c r="K1789" s="103"/>
      <c r="L1789" s="103">
        <v>4.24E-2</v>
      </c>
      <c r="O1789" s="100"/>
    </row>
    <row r="1790" spans="2:15" x14ac:dyDescent="0.2">
      <c r="B1790" s="1">
        <v>1775</v>
      </c>
      <c r="C1790" s="101">
        <f t="shared" ca="1" si="108"/>
        <v>1.3850553118908724</v>
      </c>
      <c r="D1790" s="101">
        <f t="shared" ca="1" si="109"/>
        <v>0.76178306861981093</v>
      </c>
      <c r="E1790" s="101">
        <f t="shared" ca="1" si="110"/>
        <v>0</v>
      </c>
      <c r="F1790" s="21">
        <f t="shared" ca="1" si="111"/>
        <v>0</v>
      </c>
      <c r="H1790" s="21">
        <v>1775</v>
      </c>
      <c r="I1790" s="102">
        <v>0.66783106494154676</v>
      </c>
      <c r="J1790" s="103">
        <v>1.4663896317335208E-3</v>
      </c>
      <c r="K1790" s="103"/>
      <c r="L1790" s="103">
        <v>4.3200000000000002E-2</v>
      </c>
      <c r="O1790" s="100"/>
    </row>
    <row r="1791" spans="2:15" x14ac:dyDescent="0.2">
      <c r="B1791" s="1">
        <v>1776</v>
      </c>
      <c r="C1791" s="101">
        <f t="shared" ca="1" si="108"/>
        <v>-1.2804369001462261</v>
      </c>
      <c r="D1791" s="101">
        <f t="shared" ca="1" si="109"/>
        <v>0.58565691139848064</v>
      </c>
      <c r="E1791" s="101">
        <f t="shared" ca="1" si="110"/>
        <v>0</v>
      </c>
      <c r="F1791" s="21">
        <f t="shared" ca="1" si="111"/>
        <v>0</v>
      </c>
      <c r="H1791" s="21">
        <v>1776</v>
      </c>
      <c r="I1791" s="102">
        <v>0.66784259503352583</v>
      </c>
      <c r="J1791" s="103">
        <v>1.5680891359117829E-3</v>
      </c>
      <c r="K1791" s="103"/>
      <c r="L1791" s="103">
        <v>4.7800000000000002E-2</v>
      </c>
      <c r="O1791" s="100"/>
    </row>
    <row r="1792" spans="2:15" x14ac:dyDescent="0.2">
      <c r="B1792" s="1">
        <v>1777</v>
      </c>
      <c r="C1792" s="101">
        <f t="shared" ca="1" si="108"/>
        <v>0.69132420692374807</v>
      </c>
      <c r="D1792" s="101">
        <f t="shared" ca="1" si="109"/>
        <v>0.71139744812131422</v>
      </c>
      <c r="E1792" s="101">
        <f t="shared" ca="1" si="110"/>
        <v>0</v>
      </c>
      <c r="F1792" s="21">
        <f t="shared" ca="1" si="111"/>
        <v>0</v>
      </c>
      <c r="H1792" s="21">
        <v>1777</v>
      </c>
      <c r="I1792" s="102">
        <v>0.66779906906770925</v>
      </c>
      <c r="J1792" s="103">
        <v>1.5013566028239391E-3</v>
      </c>
      <c r="K1792" s="103"/>
      <c r="L1792" s="103">
        <v>4.3999999999999997E-2</v>
      </c>
      <c r="O1792" s="100"/>
    </row>
    <row r="1793" spans="2:15" x14ac:dyDescent="0.2">
      <c r="B1793" s="1">
        <v>1778</v>
      </c>
      <c r="C1793" s="101">
        <f t="shared" ca="1" si="108"/>
        <v>-2.5639760212480076</v>
      </c>
      <c r="D1793" s="101">
        <f t="shared" ca="1" si="109"/>
        <v>0.51600896641912775</v>
      </c>
      <c r="E1793" s="101">
        <f t="shared" ca="1" si="110"/>
        <v>0</v>
      </c>
      <c r="F1793" s="21">
        <f t="shared" ca="1" si="111"/>
        <v>0</v>
      </c>
      <c r="H1793" s="21">
        <v>1778</v>
      </c>
      <c r="I1793" s="102">
        <v>0.66774418908269317</v>
      </c>
      <c r="J1793" s="103">
        <v>1.3081800681712539E-3</v>
      </c>
      <c r="K1793" s="103"/>
      <c r="L1793" s="103">
        <v>4.0800000000000003E-2</v>
      </c>
      <c r="O1793" s="100"/>
    </row>
    <row r="1794" spans="2:15" x14ac:dyDescent="0.2">
      <c r="B1794" s="1">
        <v>1779</v>
      </c>
      <c r="C1794" s="101">
        <f t="shared" ca="1" si="108"/>
        <v>-0.35979710483632343</v>
      </c>
      <c r="D1794" s="101">
        <f t="shared" ca="1" si="109"/>
        <v>0.64133200583569983</v>
      </c>
      <c r="E1794" s="101">
        <f t="shared" ca="1" si="110"/>
        <v>0</v>
      </c>
      <c r="F1794" s="21">
        <f t="shared" ca="1" si="111"/>
        <v>0</v>
      </c>
      <c r="H1794" s="21">
        <v>1779</v>
      </c>
      <c r="I1794" s="102">
        <v>0.66761910623014042</v>
      </c>
      <c r="J1794" s="103">
        <v>1.2355527859692107E-3</v>
      </c>
      <c r="K1794" s="103"/>
      <c r="L1794" s="103">
        <v>4.1599999999999998E-2</v>
      </c>
      <c r="O1794" s="100"/>
    </row>
    <row r="1795" spans="2:15" x14ac:dyDescent="0.2">
      <c r="B1795" s="1">
        <v>1780</v>
      </c>
      <c r="C1795" s="101">
        <f t="shared" ca="1" si="108"/>
        <v>0.53705075458757601</v>
      </c>
      <c r="D1795" s="101">
        <f t="shared" ca="1" si="109"/>
        <v>0.70065354452766349</v>
      </c>
      <c r="E1795" s="101">
        <f t="shared" ca="1" si="110"/>
        <v>0</v>
      </c>
      <c r="F1795" s="21">
        <f t="shared" ca="1" si="111"/>
        <v>0</v>
      </c>
      <c r="H1795" s="21">
        <v>1780</v>
      </c>
      <c r="I1795" s="102">
        <v>0.66763863562028791</v>
      </c>
      <c r="J1795" s="103">
        <v>1.2432218749812522E-3</v>
      </c>
      <c r="K1795" s="103"/>
      <c r="L1795" s="103">
        <v>3.7600000000000001E-2</v>
      </c>
      <c r="O1795" s="100"/>
    </row>
    <row r="1796" spans="2:15" x14ac:dyDescent="0.2">
      <c r="B1796" s="1">
        <v>1781</v>
      </c>
      <c r="C1796" s="101">
        <f t="shared" ca="1" si="108"/>
        <v>-0.89648056971215906</v>
      </c>
      <c r="D1796" s="101">
        <f t="shared" ca="1" si="109"/>
        <v>0.60826345615755106</v>
      </c>
      <c r="E1796" s="101">
        <f t="shared" ca="1" si="110"/>
        <v>0</v>
      </c>
      <c r="F1796" s="21">
        <f t="shared" ca="1" si="111"/>
        <v>0</v>
      </c>
      <c r="H1796" s="21">
        <v>1781</v>
      </c>
      <c r="I1796" s="102">
        <v>0.66780446392481974</v>
      </c>
      <c r="J1796" s="103">
        <v>1.3652845001483368E-3</v>
      </c>
      <c r="K1796" s="103"/>
      <c r="L1796" s="103">
        <v>4.5199999999999997E-2</v>
      </c>
      <c r="O1796" s="100"/>
    </row>
    <row r="1797" spans="2:15" x14ac:dyDescent="0.2">
      <c r="B1797" s="1">
        <v>1782</v>
      </c>
      <c r="C1797" s="101">
        <f t="shared" ca="1" si="108"/>
        <v>1.0942446229381837</v>
      </c>
      <c r="D1797" s="101">
        <f t="shared" ca="1" si="109"/>
        <v>0.74024105000080087</v>
      </c>
      <c r="E1797" s="101">
        <f t="shared" ca="1" si="110"/>
        <v>0</v>
      </c>
      <c r="F1797" s="21">
        <f t="shared" ca="1" si="111"/>
        <v>0</v>
      </c>
      <c r="H1797" s="21">
        <v>1782</v>
      </c>
      <c r="I1797" s="102">
        <v>0.6678861473297073</v>
      </c>
      <c r="J1797" s="103">
        <v>1.510352491592318E-3</v>
      </c>
      <c r="K1797" s="103"/>
      <c r="L1797" s="103">
        <v>4.6399999999999997E-2</v>
      </c>
      <c r="O1797" s="100"/>
    </row>
    <row r="1798" spans="2:15" x14ac:dyDescent="0.2">
      <c r="B1798" s="1">
        <v>1783</v>
      </c>
      <c r="C1798" s="101">
        <f t="shared" ca="1" si="108"/>
        <v>0.11654663190150556</v>
      </c>
      <c r="D1798" s="101">
        <f t="shared" ca="1" si="109"/>
        <v>0.67218557143152668</v>
      </c>
      <c r="E1798" s="101">
        <f t="shared" ca="1" si="110"/>
        <v>0</v>
      </c>
      <c r="F1798" s="21">
        <f t="shared" ca="1" si="111"/>
        <v>0</v>
      </c>
      <c r="H1798" s="21">
        <v>1783</v>
      </c>
      <c r="I1798" s="102">
        <v>0.66767269390520856</v>
      </c>
      <c r="J1798" s="103">
        <v>1.3212764856387438E-3</v>
      </c>
      <c r="K1798" s="103"/>
      <c r="L1798" s="103">
        <v>4.2799999999999998E-2</v>
      </c>
      <c r="O1798" s="100"/>
    </row>
    <row r="1799" spans="2:15" x14ac:dyDescent="0.2">
      <c r="B1799" s="1">
        <v>1784</v>
      </c>
      <c r="C1799" s="101">
        <f t="shared" ca="1" si="108"/>
        <v>0.31477835432359924</v>
      </c>
      <c r="D1799" s="101">
        <f t="shared" ca="1" si="109"/>
        <v>0.68545872815886055</v>
      </c>
      <c r="E1799" s="101">
        <f t="shared" ca="1" si="110"/>
        <v>0</v>
      </c>
      <c r="F1799" s="21">
        <f t="shared" ca="1" si="111"/>
        <v>0</v>
      </c>
      <c r="H1799" s="21">
        <v>1784</v>
      </c>
      <c r="I1799" s="102">
        <v>0.66773526365672786</v>
      </c>
      <c r="J1799" s="103">
        <v>1.3647979510980496E-3</v>
      </c>
      <c r="K1799" s="103"/>
      <c r="L1799" s="103">
        <v>4.1599999999999998E-2</v>
      </c>
      <c r="O1799" s="100"/>
    </row>
    <row r="1800" spans="2:15" x14ac:dyDescent="0.2">
      <c r="B1800" s="1">
        <v>1785</v>
      </c>
      <c r="C1800" s="101">
        <f t="shared" ca="1" si="108"/>
        <v>0.89964537096824448</v>
      </c>
      <c r="D1800" s="101">
        <f t="shared" ca="1" si="109"/>
        <v>0.72616724128469201</v>
      </c>
      <c r="E1800" s="101">
        <f t="shared" ca="1" si="110"/>
        <v>0</v>
      </c>
      <c r="F1800" s="21">
        <f t="shared" ca="1" si="111"/>
        <v>0</v>
      </c>
      <c r="H1800" s="21">
        <v>1785</v>
      </c>
      <c r="I1800" s="102">
        <v>0.66779816293683469</v>
      </c>
      <c r="J1800" s="103">
        <v>1.4280253458766464E-3</v>
      </c>
      <c r="K1800" s="103"/>
      <c r="L1800" s="103">
        <v>4.3799999999999999E-2</v>
      </c>
      <c r="O1800" s="100"/>
    </row>
    <row r="1801" spans="2:15" x14ac:dyDescent="0.2">
      <c r="B1801" s="1">
        <v>1786</v>
      </c>
      <c r="C1801" s="101">
        <f t="shared" ca="1" si="108"/>
        <v>-1.9436654812043119</v>
      </c>
      <c r="D1801" s="101">
        <f t="shared" ca="1" si="109"/>
        <v>0.54856863066791972</v>
      </c>
      <c r="E1801" s="101">
        <f t="shared" ca="1" si="110"/>
        <v>0</v>
      </c>
      <c r="F1801" s="21">
        <f t="shared" ca="1" si="111"/>
        <v>0</v>
      </c>
      <c r="H1801" s="21">
        <v>1786</v>
      </c>
      <c r="I1801" s="102">
        <v>0.66782381014305692</v>
      </c>
      <c r="J1801" s="103">
        <v>1.4618277176102477E-3</v>
      </c>
      <c r="K1801" s="103"/>
      <c r="L1801" s="103">
        <v>4.7199999999999999E-2</v>
      </c>
      <c r="O1801" s="100"/>
    </row>
    <row r="1802" spans="2:15" x14ac:dyDescent="0.2">
      <c r="B1802" s="1">
        <v>1787</v>
      </c>
      <c r="C1802" s="101">
        <f t="shared" ca="1" si="108"/>
        <v>0.15018961311650983</v>
      </c>
      <c r="D1802" s="101">
        <f t="shared" ca="1" si="109"/>
        <v>0.67441998408115944</v>
      </c>
      <c r="E1802" s="101">
        <f t="shared" ca="1" si="110"/>
        <v>0</v>
      </c>
      <c r="F1802" s="21">
        <f t="shared" ca="1" si="111"/>
        <v>0</v>
      </c>
      <c r="H1802" s="21">
        <v>1787</v>
      </c>
      <c r="I1802" s="102">
        <v>0.66785626711837831</v>
      </c>
      <c r="J1802" s="103">
        <v>1.4585426663848817E-3</v>
      </c>
      <c r="K1802" s="103"/>
      <c r="L1802" s="103">
        <v>4.3200000000000002E-2</v>
      </c>
      <c r="O1802" s="100"/>
    </row>
    <row r="1803" spans="2:15" x14ac:dyDescent="0.2">
      <c r="B1803" s="1">
        <v>1788</v>
      </c>
      <c r="C1803" s="101">
        <f t="shared" ca="1" si="108"/>
        <v>-1.7202192146560333</v>
      </c>
      <c r="D1803" s="101">
        <f t="shared" ca="1" si="109"/>
        <v>0.56079388530453289</v>
      </c>
      <c r="E1803" s="101">
        <f t="shared" ca="1" si="110"/>
        <v>0</v>
      </c>
      <c r="F1803" s="21">
        <f t="shared" ca="1" si="111"/>
        <v>0</v>
      </c>
      <c r="H1803" s="21">
        <v>1788</v>
      </c>
      <c r="I1803" s="102">
        <v>0.6678441117001519</v>
      </c>
      <c r="J1803" s="103">
        <v>1.5297582475949107E-3</v>
      </c>
      <c r="K1803" s="103"/>
      <c r="L1803" s="103">
        <v>4.1399999999999999E-2</v>
      </c>
      <c r="O1803" s="100"/>
    </row>
    <row r="1804" spans="2:15" x14ac:dyDescent="0.2">
      <c r="B1804" s="1">
        <v>1789</v>
      </c>
      <c r="C1804" s="101">
        <f t="shared" ca="1" si="108"/>
        <v>-2.0786083230356397E-2</v>
      </c>
      <c r="D1804" s="101">
        <f t="shared" ca="1" si="109"/>
        <v>0.6631410875446242</v>
      </c>
      <c r="E1804" s="101">
        <f t="shared" ca="1" si="110"/>
        <v>0</v>
      </c>
      <c r="F1804" s="21">
        <f t="shared" ca="1" si="111"/>
        <v>0</v>
      </c>
      <c r="H1804" s="21">
        <v>1789</v>
      </c>
      <c r="I1804" s="102">
        <v>0.66778815106255507</v>
      </c>
      <c r="J1804" s="103">
        <v>1.3749310334318474E-3</v>
      </c>
      <c r="K1804" s="103"/>
      <c r="L1804" s="103">
        <v>4.2799999999999998E-2</v>
      </c>
      <c r="O1804" s="100"/>
    </row>
    <row r="1805" spans="2:15" x14ac:dyDescent="0.2">
      <c r="B1805" s="1">
        <v>1790</v>
      </c>
      <c r="C1805" s="101">
        <f t="shared" ca="1" si="108"/>
        <v>-1.0538329182007651</v>
      </c>
      <c r="D1805" s="101">
        <f t="shared" ca="1" si="109"/>
        <v>0.59889522117001426</v>
      </c>
      <c r="E1805" s="101">
        <f t="shared" ca="1" si="110"/>
        <v>0</v>
      </c>
      <c r="F1805" s="21">
        <f t="shared" ca="1" si="111"/>
        <v>0</v>
      </c>
      <c r="H1805" s="21">
        <v>1790</v>
      </c>
      <c r="I1805" s="102">
        <v>0.66782662759845912</v>
      </c>
      <c r="J1805" s="103">
        <v>1.3760722051511902E-3</v>
      </c>
      <c r="K1805" s="103"/>
      <c r="L1805" s="103">
        <v>4.0800000000000003E-2</v>
      </c>
      <c r="O1805" s="100"/>
    </row>
    <row r="1806" spans="2:15" x14ac:dyDescent="0.2">
      <c r="B1806" s="1">
        <v>1791</v>
      </c>
      <c r="C1806" s="101">
        <f t="shared" ca="1" si="108"/>
        <v>-0.1784356920818041</v>
      </c>
      <c r="D1806" s="101">
        <f t="shared" ca="1" si="109"/>
        <v>0.65290850385393351</v>
      </c>
      <c r="E1806" s="101">
        <f t="shared" ca="1" si="110"/>
        <v>0</v>
      </c>
      <c r="F1806" s="21">
        <f t="shared" ca="1" si="111"/>
        <v>0</v>
      </c>
      <c r="H1806" s="21">
        <v>1791</v>
      </c>
      <c r="I1806" s="102">
        <v>0.66776961487880604</v>
      </c>
      <c r="J1806" s="103">
        <v>1.4105189838910946E-3</v>
      </c>
      <c r="K1806" s="103"/>
      <c r="L1806" s="103">
        <v>0.04</v>
      </c>
      <c r="O1806" s="100"/>
    </row>
    <row r="1807" spans="2:15" x14ac:dyDescent="0.2">
      <c r="B1807" s="1">
        <v>1792</v>
      </c>
      <c r="C1807" s="101">
        <f t="shared" ca="1" si="108"/>
        <v>0.48957409911739597</v>
      </c>
      <c r="D1807" s="101">
        <f t="shared" ca="1" si="109"/>
        <v>0.69737994309004203</v>
      </c>
      <c r="E1807" s="101">
        <f t="shared" ca="1" si="110"/>
        <v>0</v>
      </c>
      <c r="F1807" s="21">
        <f t="shared" ca="1" si="111"/>
        <v>0</v>
      </c>
      <c r="H1807" s="21">
        <v>1792</v>
      </c>
      <c r="I1807" s="102">
        <v>0.66790285959041706</v>
      </c>
      <c r="J1807" s="103">
        <v>1.4548332472557142E-3</v>
      </c>
      <c r="K1807" s="103"/>
      <c r="L1807" s="103">
        <v>4.4600000000000001E-2</v>
      </c>
      <c r="O1807" s="100"/>
    </row>
    <row r="1808" spans="2:15" x14ac:dyDescent="0.2">
      <c r="B1808" s="1">
        <v>1793</v>
      </c>
      <c r="C1808" s="101">
        <f t="shared" ref="C1808:C1871" ca="1" si="112">_xlfn.NORM.S.INV(RAND())</f>
        <v>-1.3504715272321117</v>
      </c>
      <c r="D1808" s="101">
        <f t="shared" ref="D1808:D1871" ca="1" si="113">S0*EXP((μ-0.5*σ*σ)*T+σ*SQRT(T)*$C1808)</f>
        <v>0.58162495583141449</v>
      </c>
      <c r="E1808" s="101">
        <f t="shared" ref="E1808:E1871" ca="1" si="114">MAX(0,CP*(D1808-K))</f>
        <v>0</v>
      </c>
      <c r="F1808" s="21">
        <f t="shared" ref="F1808:F1871" ca="1" si="115">(CP*(D1808-K)&gt;0)*1</f>
        <v>0</v>
      </c>
      <c r="H1808" s="21">
        <v>1793</v>
      </c>
      <c r="I1808" s="102">
        <v>0.66779390588595333</v>
      </c>
      <c r="J1808" s="103">
        <v>1.4279320239106567E-3</v>
      </c>
      <c r="K1808" s="103"/>
      <c r="L1808" s="103">
        <v>4.2200000000000001E-2</v>
      </c>
      <c r="O1808" s="100"/>
    </row>
    <row r="1809" spans="2:15" x14ac:dyDescent="0.2">
      <c r="B1809" s="1">
        <v>1794</v>
      </c>
      <c r="C1809" s="101">
        <f t="shared" ca="1" si="112"/>
        <v>8.8272096347143933E-2</v>
      </c>
      <c r="D1809" s="101">
        <f t="shared" ca="1" si="113"/>
        <v>0.67031343249646991</v>
      </c>
      <c r="E1809" s="101">
        <f t="shared" ca="1" si="114"/>
        <v>0</v>
      </c>
      <c r="F1809" s="21">
        <f t="shared" ca="1" si="115"/>
        <v>0</v>
      </c>
      <c r="H1809" s="21">
        <v>1794</v>
      </c>
      <c r="I1809" s="102">
        <v>0.66764874547614095</v>
      </c>
      <c r="J1809" s="103">
        <v>1.1980706134593489E-3</v>
      </c>
      <c r="K1809" s="103"/>
      <c r="L1809" s="103">
        <v>3.7199999999999997E-2</v>
      </c>
      <c r="O1809" s="100"/>
    </row>
    <row r="1810" spans="2:15" x14ac:dyDescent="0.2">
      <c r="B1810" s="1">
        <v>1795</v>
      </c>
      <c r="C1810" s="101">
        <f t="shared" ca="1" si="112"/>
        <v>-1.9352494786721022</v>
      </c>
      <c r="D1810" s="101">
        <f t="shared" ca="1" si="113"/>
        <v>0.54902422258257055</v>
      </c>
      <c r="E1810" s="101">
        <f t="shared" ca="1" si="114"/>
        <v>0</v>
      </c>
      <c r="F1810" s="21">
        <f t="shared" ca="1" si="115"/>
        <v>0</v>
      </c>
      <c r="H1810" s="21">
        <v>1795</v>
      </c>
      <c r="I1810" s="102">
        <v>0.66772956937363115</v>
      </c>
      <c r="J1810" s="103">
        <v>1.1708754127208643E-3</v>
      </c>
      <c r="K1810" s="103"/>
      <c r="L1810" s="103">
        <v>4.2000000000000003E-2</v>
      </c>
      <c r="O1810" s="100"/>
    </row>
    <row r="1811" spans="2:15" x14ac:dyDescent="0.2">
      <c r="B1811" s="1">
        <v>1796</v>
      </c>
      <c r="C1811" s="101">
        <f t="shared" ca="1" si="112"/>
        <v>-0.1174702305888711</v>
      </c>
      <c r="D1811" s="101">
        <f t="shared" ca="1" si="113"/>
        <v>0.65684673867012855</v>
      </c>
      <c r="E1811" s="101">
        <f t="shared" ca="1" si="114"/>
        <v>0</v>
      </c>
      <c r="F1811" s="21">
        <f t="shared" ca="1" si="115"/>
        <v>0</v>
      </c>
      <c r="H1811" s="21">
        <v>1796</v>
      </c>
      <c r="I1811" s="102">
        <v>0.66754849632400937</v>
      </c>
      <c r="J1811" s="103">
        <v>1.1409433201635441E-3</v>
      </c>
      <c r="K1811" s="103"/>
      <c r="L1811" s="103">
        <v>3.5799999999999998E-2</v>
      </c>
      <c r="O1811" s="100"/>
    </row>
    <row r="1812" spans="2:15" x14ac:dyDescent="0.2">
      <c r="B1812" s="1">
        <v>1797</v>
      </c>
      <c r="C1812" s="101">
        <f t="shared" ca="1" si="112"/>
        <v>1.2588279465591174</v>
      </c>
      <c r="D1812" s="101">
        <f t="shared" ca="1" si="113"/>
        <v>0.75235673539523951</v>
      </c>
      <c r="E1812" s="101">
        <f t="shared" ca="1" si="114"/>
        <v>0</v>
      </c>
      <c r="F1812" s="21">
        <f t="shared" ca="1" si="115"/>
        <v>0</v>
      </c>
      <c r="H1812" s="21">
        <v>1797</v>
      </c>
      <c r="I1812" s="102">
        <v>0.66778601807618099</v>
      </c>
      <c r="J1812" s="103">
        <v>1.2963028649865533E-3</v>
      </c>
      <c r="K1812" s="103"/>
      <c r="L1812" s="103">
        <v>4.4200000000000003E-2</v>
      </c>
      <c r="O1812" s="100"/>
    </row>
    <row r="1813" spans="2:15" x14ac:dyDescent="0.2">
      <c r="B1813" s="1">
        <v>1798</v>
      </c>
      <c r="C1813" s="101">
        <f t="shared" ca="1" si="112"/>
        <v>0.5990019359199219</v>
      </c>
      <c r="D1813" s="101">
        <f t="shared" ca="1" si="113"/>
        <v>0.70494831014160275</v>
      </c>
      <c r="E1813" s="101">
        <f t="shared" ca="1" si="114"/>
        <v>0</v>
      </c>
      <c r="F1813" s="21">
        <f t="shared" ca="1" si="115"/>
        <v>0</v>
      </c>
      <c r="H1813" s="21">
        <v>1798</v>
      </c>
      <c r="I1813" s="102">
        <v>0.6678543448335249</v>
      </c>
      <c r="J1813" s="103">
        <v>1.5561142069890285E-3</v>
      </c>
      <c r="K1813" s="103"/>
      <c r="L1813" s="103">
        <v>4.3999999999999997E-2</v>
      </c>
      <c r="O1813" s="100"/>
    </row>
    <row r="1814" spans="2:15" x14ac:dyDescent="0.2">
      <c r="B1814" s="1">
        <v>1799</v>
      </c>
      <c r="C1814" s="101">
        <f t="shared" ca="1" si="112"/>
        <v>0.60522900064123064</v>
      </c>
      <c r="D1814" s="101">
        <f t="shared" ca="1" si="113"/>
        <v>0.70538145477978087</v>
      </c>
      <c r="E1814" s="101">
        <f t="shared" ca="1" si="114"/>
        <v>0</v>
      </c>
      <c r="F1814" s="21">
        <f t="shared" ca="1" si="115"/>
        <v>0</v>
      </c>
      <c r="H1814" s="21">
        <v>1799</v>
      </c>
      <c r="I1814" s="102">
        <v>0.66769034823380757</v>
      </c>
      <c r="J1814" s="103">
        <v>1.3026745409745765E-3</v>
      </c>
      <c r="K1814" s="103"/>
      <c r="L1814" s="103">
        <v>3.9E-2</v>
      </c>
      <c r="O1814" s="100"/>
    </row>
    <row r="1815" spans="2:15" x14ac:dyDescent="0.2">
      <c r="B1815" s="1">
        <v>1800</v>
      </c>
      <c r="C1815" s="101">
        <f t="shared" ca="1" si="112"/>
        <v>0.85318432238719255</v>
      </c>
      <c r="D1815" s="101">
        <f t="shared" ca="1" si="113"/>
        <v>0.72284684621906981</v>
      </c>
      <c r="E1815" s="101">
        <f t="shared" ca="1" si="114"/>
        <v>0</v>
      </c>
      <c r="F1815" s="21">
        <f t="shared" ca="1" si="115"/>
        <v>0</v>
      </c>
      <c r="H1815" s="21">
        <v>1800</v>
      </c>
      <c r="I1815" s="102">
        <v>0.66759351376264919</v>
      </c>
      <c r="J1815" s="103">
        <v>1.0208231948629263E-3</v>
      </c>
      <c r="K1815" s="103"/>
      <c r="L1815" s="103">
        <v>3.3399999999999999E-2</v>
      </c>
      <c r="O1815" s="100"/>
    </row>
    <row r="1816" spans="2:15" x14ac:dyDescent="0.2">
      <c r="B1816" s="1">
        <v>1801</v>
      </c>
      <c r="C1816" s="101">
        <f t="shared" ca="1" si="112"/>
        <v>-0.55945945193043101</v>
      </c>
      <c r="D1816" s="101">
        <f t="shared" ca="1" si="113"/>
        <v>0.62882456952875543</v>
      </c>
      <c r="E1816" s="101">
        <f t="shared" ca="1" si="114"/>
        <v>0</v>
      </c>
      <c r="F1816" s="21">
        <f t="shared" ca="1" si="115"/>
        <v>0</v>
      </c>
      <c r="H1816" s="21">
        <v>1801</v>
      </c>
      <c r="I1816" s="102">
        <v>0.66769092379253447</v>
      </c>
      <c r="J1816" s="103">
        <v>1.2067986768775705E-3</v>
      </c>
      <c r="K1816" s="103"/>
      <c r="L1816" s="103">
        <v>3.8600000000000002E-2</v>
      </c>
      <c r="O1816" s="100"/>
    </row>
    <row r="1817" spans="2:15" x14ac:dyDescent="0.2">
      <c r="B1817" s="1">
        <v>1802</v>
      </c>
      <c r="C1817" s="101">
        <f t="shared" ca="1" si="112"/>
        <v>-0.59955451369236223</v>
      </c>
      <c r="D1817" s="101">
        <f t="shared" ca="1" si="113"/>
        <v>0.62634246110298408</v>
      </c>
      <c r="E1817" s="101">
        <f t="shared" ca="1" si="114"/>
        <v>0</v>
      </c>
      <c r="F1817" s="21">
        <f t="shared" ca="1" si="115"/>
        <v>0</v>
      </c>
      <c r="H1817" s="21">
        <v>1802</v>
      </c>
      <c r="I1817" s="102">
        <v>0.6677821567023724</v>
      </c>
      <c r="J1817" s="103">
        <v>1.4355773241154055E-3</v>
      </c>
      <c r="K1817" s="103"/>
      <c r="L1817" s="103">
        <v>4.58E-2</v>
      </c>
      <c r="O1817" s="100"/>
    </row>
    <row r="1818" spans="2:15" x14ac:dyDescent="0.2">
      <c r="B1818" s="1">
        <v>1803</v>
      </c>
      <c r="C1818" s="101">
        <f t="shared" ca="1" si="112"/>
        <v>0.50493981512259267</v>
      </c>
      <c r="D1818" s="101">
        <f t="shared" ca="1" si="113"/>
        <v>0.69843775956345122</v>
      </c>
      <c r="E1818" s="101">
        <f t="shared" ca="1" si="114"/>
        <v>0</v>
      </c>
      <c r="F1818" s="21">
        <f t="shared" ca="1" si="115"/>
        <v>0</v>
      </c>
      <c r="H1818" s="21">
        <v>1803</v>
      </c>
      <c r="I1818" s="102">
        <v>0.66766738459160446</v>
      </c>
      <c r="J1818" s="103">
        <v>1.3057206942918137E-3</v>
      </c>
      <c r="K1818" s="103"/>
      <c r="L1818" s="103">
        <v>4.3799999999999999E-2</v>
      </c>
      <c r="O1818" s="100"/>
    </row>
    <row r="1819" spans="2:15" x14ac:dyDescent="0.2">
      <c r="B1819" s="1">
        <v>1804</v>
      </c>
      <c r="C1819" s="101">
        <f t="shared" ca="1" si="112"/>
        <v>-0.43592837373798032</v>
      </c>
      <c r="D1819" s="101">
        <f t="shared" ca="1" si="113"/>
        <v>0.63653384065022667</v>
      </c>
      <c r="E1819" s="101">
        <f t="shared" ca="1" si="114"/>
        <v>0</v>
      </c>
      <c r="F1819" s="21">
        <f t="shared" ca="1" si="115"/>
        <v>0</v>
      </c>
      <c r="H1819" s="21">
        <v>1804</v>
      </c>
      <c r="I1819" s="102">
        <v>0.66757088237639939</v>
      </c>
      <c r="J1819" s="103">
        <v>1.2366835039464433E-3</v>
      </c>
      <c r="K1819" s="103"/>
      <c r="L1819" s="103">
        <v>3.8199999999999998E-2</v>
      </c>
      <c r="O1819" s="100"/>
    </row>
    <row r="1820" spans="2:15" x14ac:dyDescent="0.2">
      <c r="B1820" s="1">
        <v>1805</v>
      </c>
      <c r="C1820" s="101">
        <f t="shared" ca="1" si="112"/>
        <v>-2.7697406448199637</v>
      </c>
      <c r="D1820" s="101">
        <f t="shared" ca="1" si="113"/>
        <v>0.50564115954486866</v>
      </c>
      <c r="E1820" s="101">
        <f t="shared" ca="1" si="114"/>
        <v>0</v>
      </c>
      <c r="F1820" s="21">
        <f t="shared" ca="1" si="115"/>
        <v>0</v>
      </c>
      <c r="H1820" s="21">
        <v>1805</v>
      </c>
      <c r="I1820" s="102">
        <v>0.66753416567794477</v>
      </c>
      <c r="J1820" s="103">
        <v>1.1702981682796647E-3</v>
      </c>
      <c r="K1820" s="103"/>
      <c r="L1820" s="103">
        <v>3.8800000000000001E-2</v>
      </c>
      <c r="O1820" s="100"/>
    </row>
    <row r="1821" spans="2:15" x14ac:dyDescent="0.2">
      <c r="B1821" s="1">
        <v>1806</v>
      </c>
      <c r="C1821" s="101">
        <f t="shared" ca="1" si="112"/>
        <v>-1.470054051907941</v>
      </c>
      <c r="D1821" s="101">
        <f t="shared" ca="1" si="113"/>
        <v>0.57480454165499006</v>
      </c>
      <c r="E1821" s="101">
        <f t="shared" ca="1" si="114"/>
        <v>0</v>
      </c>
      <c r="F1821" s="21">
        <f t="shared" ca="1" si="115"/>
        <v>0</v>
      </c>
      <c r="H1821" s="21">
        <v>1806</v>
      </c>
      <c r="I1821" s="102">
        <v>0.66749995678888752</v>
      </c>
      <c r="J1821" s="103">
        <v>1.0787381225340236E-3</v>
      </c>
      <c r="K1821" s="103"/>
      <c r="L1821" s="103">
        <v>3.4599999999999999E-2</v>
      </c>
      <c r="O1821" s="100"/>
    </row>
    <row r="1822" spans="2:15" x14ac:dyDescent="0.2">
      <c r="B1822" s="1">
        <v>1807</v>
      </c>
      <c r="C1822" s="101">
        <f t="shared" ca="1" si="112"/>
        <v>0.53814490344542998</v>
      </c>
      <c r="D1822" s="101">
        <f t="shared" ca="1" si="113"/>
        <v>0.70072916895029036</v>
      </c>
      <c r="E1822" s="101">
        <f t="shared" ca="1" si="114"/>
        <v>0</v>
      </c>
      <c r="F1822" s="21">
        <f t="shared" ca="1" si="115"/>
        <v>0</v>
      </c>
      <c r="H1822" s="21">
        <v>1807</v>
      </c>
      <c r="I1822" s="102">
        <v>0.6676969055784655</v>
      </c>
      <c r="J1822" s="103">
        <v>1.35430790658847E-3</v>
      </c>
      <c r="K1822" s="103"/>
      <c r="L1822" s="103">
        <v>3.7199999999999997E-2</v>
      </c>
      <c r="O1822" s="100"/>
    </row>
    <row r="1823" spans="2:15" x14ac:dyDescent="0.2">
      <c r="B1823" s="1">
        <v>1808</v>
      </c>
      <c r="C1823" s="101">
        <f t="shared" ca="1" si="112"/>
        <v>0.80739732070783488</v>
      </c>
      <c r="D1823" s="101">
        <f t="shared" ca="1" si="113"/>
        <v>0.71958947674648732</v>
      </c>
      <c r="E1823" s="101">
        <f t="shared" ca="1" si="114"/>
        <v>0</v>
      </c>
      <c r="F1823" s="21">
        <f t="shared" ca="1" si="115"/>
        <v>0</v>
      </c>
      <c r="H1823" s="21">
        <v>1808</v>
      </c>
      <c r="I1823" s="102">
        <v>0.66789180160973716</v>
      </c>
      <c r="J1823" s="103">
        <v>1.4516069421089352E-3</v>
      </c>
      <c r="K1823" s="103"/>
      <c r="L1823" s="103">
        <v>4.8399999999999999E-2</v>
      </c>
      <c r="O1823" s="100"/>
    </row>
    <row r="1824" spans="2:15" x14ac:dyDescent="0.2">
      <c r="B1824" s="1">
        <v>1809</v>
      </c>
      <c r="C1824" s="101">
        <f t="shared" ca="1" si="112"/>
        <v>-0.78860240694929673</v>
      </c>
      <c r="D1824" s="101">
        <f t="shared" ca="1" si="113"/>
        <v>0.61477069778851567</v>
      </c>
      <c r="E1824" s="101">
        <f t="shared" ca="1" si="114"/>
        <v>0</v>
      </c>
      <c r="F1824" s="21">
        <f t="shared" ca="1" si="115"/>
        <v>0</v>
      </c>
      <c r="H1824" s="21">
        <v>1809</v>
      </c>
      <c r="I1824" s="102">
        <v>0.66788329663745227</v>
      </c>
      <c r="J1824" s="103">
        <v>1.4281724782101953E-3</v>
      </c>
      <c r="K1824" s="103"/>
      <c r="L1824" s="103">
        <v>4.5400000000000003E-2</v>
      </c>
      <c r="O1824" s="100"/>
    </row>
    <row r="1825" spans="2:15" x14ac:dyDescent="0.2">
      <c r="B1825" s="1">
        <v>1810</v>
      </c>
      <c r="C1825" s="101">
        <f t="shared" ca="1" si="112"/>
        <v>-1.0925508430972271</v>
      </c>
      <c r="D1825" s="101">
        <f t="shared" ca="1" si="113"/>
        <v>0.59661229030720664</v>
      </c>
      <c r="E1825" s="101">
        <f t="shared" ca="1" si="114"/>
        <v>0</v>
      </c>
      <c r="F1825" s="21">
        <f t="shared" ca="1" si="115"/>
        <v>0</v>
      </c>
      <c r="H1825" s="21">
        <v>1810</v>
      </c>
      <c r="I1825" s="102">
        <v>0.66774565212150494</v>
      </c>
      <c r="J1825" s="103">
        <v>1.5025474705531892E-3</v>
      </c>
      <c r="K1825" s="103"/>
      <c r="L1825" s="103">
        <v>4.02E-2</v>
      </c>
      <c r="O1825" s="100"/>
    </row>
    <row r="1826" spans="2:15" x14ac:dyDescent="0.2">
      <c r="B1826" s="1">
        <v>1811</v>
      </c>
      <c r="C1826" s="101">
        <f t="shared" ca="1" si="112"/>
        <v>-0.1197577680931297</v>
      </c>
      <c r="D1826" s="101">
        <f t="shared" ca="1" si="113"/>
        <v>0.65669854072760969</v>
      </c>
      <c r="E1826" s="101">
        <f t="shared" ca="1" si="114"/>
        <v>0</v>
      </c>
      <c r="F1826" s="21">
        <f t="shared" ca="1" si="115"/>
        <v>0</v>
      </c>
      <c r="H1826" s="21">
        <v>1811</v>
      </c>
      <c r="I1826" s="102">
        <v>0.66767682709972354</v>
      </c>
      <c r="J1826" s="103">
        <v>1.4039886115332181E-3</v>
      </c>
      <c r="K1826" s="103"/>
      <c r="L1826" s="103">
        <v>3.9199999999999999E-2</v>
      </c>
      <c r="O1826" s="100"/>
    </row>
    <row r="1827" spans="2:15" x14ac:dyDescent="0.2">
      <c r="B1827" s="1">
        <v>1812</v>
      </c>
      <c r="C1827" s="101">
        <f t="shared" ca="1" si="112"/>
        <v>-0.78952624131668958</v>
      </c>
      <c r="D1827" s="101">
        <f t="shared" ca="1" si="113"/>
        <v>0.6147146773652099</v>
      </c>
      <c r="E1827" s="101">
        <f t="shared" ca="1" si="114"/>
        <v>0</v>
      </c>
      <c r="F1827" s="21">
        <f t="shared" ca="1" si="115"/>
        <v>0</v>
      </c>
      <c r="H1827" s="21">
        <v>1812</v>
      </c>
      <c r="I1827" s="102">
        <v>0.66780253906221465</v>
      </c>
      <c r="J1827" s="103">
        <v>1.3869626495251338E-3</v>
      </c>
      <c r="K1827" s="103"/>
      <c r="L1827" s="103">
        <v>4.5199999999999997E-2</v>
      </c>
      <c r="O1827" s="100"/>
    </row>
    <row r="1828" spans="2:15" x14ac:dyDescent="0.2">
      <c r="B1828" s="1">
        <v>1813</v>
      </c>
      <c r="C1828" s="101">
        <f t="shared" ca="1" si="112"/>
        <v>0.90012884206492028</v>
      </c>
      <c r="D1828" s="101">
        <f t="shared" ca="1" si="113"/>
        <v>0.72620187319320328</v>
      </c>
      <c r="E1828" s="101">
        <f t="shared" ca="1" si="114"/>
        <v>0</v>
      </c>
      <c r="F1828" s="21">
        <f t="shared" ca="1" si="115"/>
        <v>0</v>
      </c>
      <c r="H1828" s="21">
        <v>1813</v>
      </c>
      <c r="I1828" s="102">
        <v>0.66781467908650194</v>
      </c>
      <c r="J1828" s="103">
        <v>1.5252967407903037E-3</v>
      </c>
      <c r="K1828" s="103"/>
      <c r="L1828" s="103">
        <v>4.3799999999999999E-2</v>
      </c>
      <c r="O1828" s="100"/>
    </row>
    <row r="1829" spans="2:15" x14ac:dyDescent="0.2">
      <c r="B1829" s="1">
        <v>1814</v>
      </c>
      <c r="C1829" s="101">
        <f t="shared" ca="1" si="112"/>
        <v>5.9567875921766163E-2</v>
      </c>
      <c r="D1829" s="101">
        <f t="shared" ca="1" si="113"/>
        <v>0.66841817645827706</v>
      </c>
      <c r="E1829" s="101">
        <f t="shared" ca="1" si="114"/>
        <v>0</v>
      </c>
      <c r="F1829" s="21">
        <f t="shared" ca="1" si="115"/>
        <v>0</v>
      </c>
      <c r="H1829" s="21">
        <v>1814</v>
      </c>
      <c r="I1829" s="102">
        <v>0.66762087804359593</v>
      </c>
      <c r="J1829" s="103">
        <v>1.176313125383533E-3</v>
      </c>
      <c r="K1829" s="103"/>
      <c r="L1829" s="103">
        <v>3.9800000000000002E-2</v>
      </c>
      <c r="O1829" s="100"/>
    </row>
    <row r="1830" spans="2:15" x14ac:dyDescent="0.2">
      <c r="B1830" s="1">
        <v>1815</v>
      </c>
      <c r="C1830" s="101">
        <f t="shared" ca="1" si="112"/>
        <v>-0.23535740298131039</v>
      </c>
      <c r="D1830" s="101">
        <f t="shared" ca="1" si="113"/>
        <v>0.64925280429776444</v>
      </c>
      <c r="E1830" s="101">
        <f t="shared" ca="1" si="114"/>
        <v>0</v>
      </c>
      <c r="F1830" s="21">
        <f t="shared" ca="1" si="115"/>
        <v>0</v>
      </c>
      <c r="H1830" s="21">
        <v>1815</v>
      </c>
      <c r="I1830" s="102">
        <v>0.66778901431911897</v>
      </c>
      <c r="J1830" s="103">
        <v>1.387284605605427E-3</v>
      </c>
      <c r="K1830" s="103"/>
      <c r="L1830" s="103">
        <v>3.9600000000000003E-2</v>
      </c>
      <c r="O1830" s="100"/>
    </row>
    <row r="1831" spans="2:15" x14ac:dyDescent="0.2">
      <c r="B1831" s="1">
        <v>1816</v>
      </c>
      <c r="C1831" s="101">
        <f t="shared" ca="1" si="112"/>
        <v>9.1672987579462559E-2</v>
      </c>
      <c r="D1831" s="101">
        <f t="shared" ca="1" si="113"/>
        <v>0.67053833920697592</v>
      </c>
      <c r="E1831" s="101">
        <f t="shared" ca="1" si="114"/>
        <v>0</v>
      </c>
      <c r="F1831" s="21">
        <f t="shared" ca="1" si="115"/>
        <v>0</v>
      </c>
      <c r="H1831" s="21">
        <v>1816</v>
      </c>
      <c r="I1831" s="102">
        <v>0.66754268276257889</v>
      </c>
      <c r="J1831" s="103">
        <v>1.2211687029424596E-3</v>
      </c>
      <c r="K1831" s="103"/>
      <c r="L1831" s="103">
        <v>3.7999999999999999E-2</v>
      </c>
      <c r="O1831" s="100"/>
    </row>
    <row r="1832" spans="2:15" x14ac:dyDescent="0.2">
      <c r="B1832" s="1">
        <v>1817</v>
      </c>
      <c r="C1832" s="101">
        <f t="shared" ca="1" si="112"/>
        <v>0.89513912032780052</v>
      </c>
      <c r="D1832" s="101">
        <f t="shared" ca="1" si="113"/>
        <v>0.72584452983170156</v>
      </c>
      <c r="E1832" s="101">
        <f t="shared" ca="1" si="114"/>
        <v>0</v>
      </c>
      <c r="F1832" s="21">
        <f t="shared" ca="1" si="115"/>
        <v>0</v>
      </c>
      <c r="H1832" s="21">
        <v>1817</v>
      </c>
      <c r="I1832" s="102">
        <v>0.66780509995257598</v>
      </c>
      <c r="J1832" s="103">
        <v>1.4626508555016385E-3</v>
      </c>
      <c r="K1832" s="103"/>
      <c r="L1832" s="103">
        <v>4.5999999999999999E-2</v>
      </c>
      <c r="O1832" s="100"/>
    </row>
    <row r="1833" spans="2:15" x14ac:dyDescent="0.2">
      <c r="B1833" s="1">
        <v>1818</v>
      </c>
      <c r="C1833" s="101">
        <f t="shared" ca="1" si="112"/>
        <v>0.50461412180498766</v>
      </c>
      <c r="D1833" s="101">
        <f t="shared" ca="1" si="113"/>
        <v>0.69841532133925666</v>
      </c>
      <c r="E1833" s="101">
        <f t="shared" ca="1" si="114"/>
        <v>0</v>
      </c>
      <c r="F1833" s="21">
        <f t="shared" ca="1" si="115"/>
        <v>0</v>
      </c>
      <c r="H1833" s="21">
        <v>1818</v>
      </c>
      <c r="I1833" s="102">
        <v>0.66785611035292392</v>
      </c>
      <c r="J1833" s="103">
        <v>1.5312367903115938E-3</v>
      </c>
      <c r="K1833" s="103"/>
      <c r="L1833" s="103">
        <v>4.82E-2</v>
      </c>
      <c r="O1833" s="100"/>
    </row>
    <row r="1834" spans="2:15" x14ac:dyDescent="0.2">
      <c r="B1834" s="1">
        <v>1819</v>
      </c>
      <c r="C1834" s="101">
        <f t="shared" ca="1" si="112"/>
        <v>-1.7044807375887459</v>
      </c>
      <c r="D1834" s="101">
        <f t="shared" ca="1" si="113"/>
        <v>0.56166517390662429</v>
      </c>
      <c r="E1834" s="101">
        <f t="shared" ca="1" si="114"/>
        <v>0</v>
      </c>
      <c r="F1834" s="21">
        <f t="shared" ca="1" si="115"/>
        <v>0</v>
      </c>
      <c r="H1834" s="21">
        <v>1819</v>
      </c>
      <c r="I1834" s="102">
        <v>0.66777427970205849</v>
      </c>
      <c r="J1834" s="103">
        <v>1.3936728023442771E-3</v>
      </c>
      <c r="K1834" s="103"/>
      <c r="L1834" s="103">
        <v>4.3400000000000001E-2</v>
      </c>
      <c r="O1834" s="100"/>
    </row>
    <row r="1835" spans="2:15" x14ac:dyDescent="0.2">
      <c r="B1835" s="1">
        <v>1820</v>
      </c>
      <c r="C1835" s="101">
        <f t="shared" ca="1" si="112"/>
        <v>0.44425906155959549</v>
      </c>
      <c r="D1835" s="101">
        <f t="shared" ca="1" si="113"/>
        <v>0.69426965637685567</v>
      </c>
      <c r="E1835" s="101">
        <f t="shared" ca="1" si="114"/>
        <v>0</v>
      </c>
      <c r="F1835" s="21">
        <f t="shared" ca="1" si="115"/>
        <v>0</v>
      </c>
      <c r="H1835" s="21">
        <v>1820</v>
      </c>
      <c r="I1835" s="102">
        <v>0.66780031758799885</v>
      </c>
      <c r="J1835" s="103">
        <v>1.518792672817243E-3</v>
      </c>
      <c r="K1835" s="103"/>
      <c r="L1835" s="103">
        <v>4.0800000000000003E-2</v>
      </c>
      <c r="O1835" s="100"/>
    </row>
    <row r="1836" spans="2:15" x14ac:dyDescent="0.2">
      <c r="B1836" s="1">
        <v>1821</v>
      </c>
      <c r="C1836" s="101">
        <f t="shared" ca="1" si="112"/>
        <v>-1.0637550973288996</v>
      </c>
      <c r="D1836" s="101">
        <f t="shared" ca="1" si="113"/>
        <v>0.59830934707068173</v>
      </c>
      <c r="E1836" s="101">
        <f t="shared" ca="1" si="114"/>
        <v>0</v>
      </c>
      <c r="F1836" s="21">
        <f t="shared" ca="1" si="115"/>
        <v>0</v>
      </c>
      <c r="H1836" s="21">
        <v>1821</v>
      </c>
      <c r="I1836" s="102">
        <v>0.66769441089332249</v>
      </c>
      <c r="J1836" s="103">
        <v>1.2786029755360467E-3</v>
      </c>
      <c r="K1836" s="103"/>
      <c r="L1836" s="103">
        <v>0.04</v>
      </c>
      <c r="O1836" s="100"/>
    </row>
    <row r="1837" spans="2:15" x14ac:dyDescent="0.2">
      <c r="B1837" s="1">
        <v>1822</v>
      </c>
      <c r="C1837" s="101">
        <f t="shared" ca="1" si="112"/>
        <v>2.0117019417723951</v>
      </c>
      <c r="D1837" s="101">
        <f t="shared" ca="1" si="113"/>
        <v>0.81035715506499073</v>
      </c>
      <c r="E1837" s="101">
        <f t="shared" ca="1" si="114"/>
        <v>2.2157155064990719E-2</v>
      </c>
      <c r="F1837" s="21">
        <f t="shared" ca="1" si="115"/>
        <v>1</v>
      </c>
      <c r="H1837" s="21">
        <v>1822</v>
      </c>
      <c r="I1837" s="102">
        <v>0.667773022209186</v>
      </c>
      <c r="J1837" s="103">
        <v>1.3724219700943523E-3</v>
      </c>
      <c r="K1837" s="103"/>
      <c r="L1837" s="103">
        <v>4.2599999999999999E-2</v>
      </c>
      <c r="O1837" s="100"/>
    </row>
    <row r="1838" spans="2:15" x14ac:dyDescent="0.2">
      <c r="B1838" s="1">
        <v>1823</v>
      </c>
      <c r="C1838" s="101">
        <f t="shared" ca="1" si="112"/>
        <v>-2.9306756608004196</v>
      </c>
      <c r="D1838" s="101">
        <f t="shared" ca="1" si="113"/>
        <v>0.49767756301712379</v>
      </c>
      <c r="E1838" s="101">
        <f t="shared" ca="1" si="114"/>
        <v>0</v>
      </c>
      <c r="F1838" s="21">
        <f t="shared" ca="1" si="115"/>
        <v>0</v>
      </c>
      <c r="H1838" s="21">
        <v>1823</v>
      </c>
      <c r="I1838" s="102">
        <v>0.66773322878093966</v>
      </c>
      <c r="J1838" s="103">
        <v>1.2266344540485617E-3</v>
      </c>
      <c r="K1838" s="103"/>
      <c r="L1838" s="103">
        <v>4.0800000000000003E-2</v>
      </c>
      <c r="O1838" s="100"/>
    </row>
    <row r="1839" spans="2:15" x14ac:dyDescent="0.2">
      <c r="B1839" s="1">
        <v>1824</v>
      </c>
      <c r="C1839" s="101">
        <f t="shared" ca="1" si="112"/>
        <v>0.24223252088162583</v>
      </c>
      <c r="D1839" s="101">
        <f t="shared" ca="1" si="113"/>
        <v>0.68057108261264565</v>
      </c>
      <c r="E1839" s="101">
        <f t="shared" ca="1" si="114"/>
        <v>0</v>
      </c>
      <c r="F1839" s="21">
        <f t="shared" ca="1" si="115"/>
        <v>0</v>
      </c>
      <c r="H1839" s="21">
        <v>1824</v>
      </c>
      <c r="I1839" s="102">
        <v>0.66771224356493264</v>
      </c>
      <c r="J1839" s="103">
        <v>1.4010372185232756E-3</v>
      </c>
      <c r="K1839" s="103"/>
      <c r="L1839" s="103">
        <v>4.2799999999999998E-2</v>
      </c>
      <c r="O1839" s="100"/>
    </row>
    <row r="1840" spans="2:15" x14ac:dyDescent="0.2">
      <c r="B1840" s="1">
        <v>1825</v>
      </c>
      <c r="C1840" s="101">
        <f t="shared" ca="1" si="112"/>
        <v>-0.33663781812425303</v>
      </c>
      <c r="D1840" s="101">
        <f t="shared" ca="1" si="113"/>
        <v>0.64279877966744881</v>
      </c>
      <c r="E1840" s="101">
        <f t="shared" ca="1" si="114"/>
        <v>0</v>
      </c>
      <c r="F1840" s="21">
        <f t="shared" ca="1" si="115"/>
        <v>0</v>
      </c>
      <c r="H1840" s="21">
        <v>1825</v>
      </c>
      <c r="I1840" s="102">
        <v>0.66781481187443337</v>
      </c>
      <c r="J1840" s="103">
        <v>1.4846822838436885E-3</v>
      </c>
      <c r="K1840" s="103"/>
      <c r="L1840" s="103">
        <v>4.2599999999999999E-2</v>
      </c>
      <c r="O1840" s="100"/>
    </row>
    <row r="1841" spans="2:15" x14ac:dyDescent="0.2">
      <c r="B1841" s="1">
        <v>1826</v>
      </c>
      <c r="C1841" s="101">
        <f t="shared" ca="1" si="112"/>
        <v>-0.69945875085664411</v>
      </c>
      <c r="D1841" s="101">
        <f t="shared" ca="1" si="113"/>
        <v>0.62020036648305776</v>
      </c>
      <c r="E1841" s="101">
        <f t="shared" ca="1" si="114"/>
        <v>0</v>
      </c>
      <c r="F1841" s="21">
        <f t="shared" ca="1" si="115"/>
        <v>0</v>
      </c>
      <c r="H1841" s="21">
        <v>1826</v>
      </c>
      <c r="I1841" s="102">
        <v>0.6677623357083956</v>
      </c>
      <c r="J1841" s="103">
        <v>1.3606521187092316E-3</v>
      </c>
      <c r="K1841" s="103"/>
      <c r="L1841" s="103">
        <v>4.4400000000000002E-2</v>
      </c>
      <c r="O1841" s="100"/>
    </row>
    <row r="1842" spans="2:15" x14ac:dyDescent="0.2">
      <c r="B1842" s="1">
        <v>1827</v>
      </c>
      <c r="C1842" s="101">
        <f t="shared" ca="1" si="112"/>
        <v>1.3892275776079426</v>
      </c>
      <c r="D1842" s="101">
        <f t="shared" ca="1" si="113"/>
        <v>0.76209665092440049</v>
      </c>
      <c r="E1842" s="101">
        <f t="shared" ca="1" si="114"/>
        <v>0</v>
      </c>
      <c r="F1842" s="21">
        <f t="shared" ca="1" si="115"/>
        <v>0</v>
      </c>
      <c r="H1842" s="21">
        <v>1827</v>
      </c>
      <c r="I1842" s="102">
        <v>0.66778682656625588</v>
      </c>
      <c r="J1842" s="103">
        <v>1.4253903912221824E-3</v>
      </c>
      <c r="K1842" s="103"/>
      <c r="L1842" s="103">
        <v>3.9E-2</v>
      </c>
      <c r="O1842" s="100"/>
    </row>
    <row r="1843" spans="2:15" x14ac:dyDescent="0.2">
      <c r="B1843" s="1">
        <v>1828</v>
      </c>
      <c r="C1843" s="101">
        <f t="shared" ca="1" si="112"/>
        <v>-4.1955839714033667E-2</v>
      </c>
      <c r="D1843" s="101">
        <f t="shared" ca="1" si="113"/>
        <v>0.66175775265862735</v>
      </c>
      <c r="E1843" s="101">
        <f t="shared" ca="1" si="114"/>
        <v>0</v>
      </c>
      <c r="F1843" s="21">
        <f t="shared" ca="1" si="115"/>
        <v>0</v>
      </c>
      <c r="H1843" s="21">
        <v>1828</v>
      </c>
      <c r="I1843" s="102">
        <v>0.66767081194542188</v>
      </c>
      <c r="J1843" s="103">
        <v>1.2323585882438705E-3</v>
      </c>
      <c r="K1843" s="103"/>
      <c r="L1843" s="103">
        <v>4.24E-2</v>
      </c>
      <c r="O1843" s="100"/>
    </row>
    <row r="1844" spans="2:15" x14ac:dyDescent="0.2">
      <c r="B1844" s="1">
        <v>1829</v>
      </c>
      <c r="C1844" s="101">
        <f t="shared" ca="1" si="112"/>
        <v>-8.7091230726325283E-2</v>
      </c>
      <c r="D1844" s="101">
        <f t="shared" ca="1" si="113"/>
        <v>0.65881801402260165</v>
      </c>
      <c r="E1844" s="101">
        <f t="shared" ca="1" si="114"/>
        <v>0</v>
      </c>
      <c r="F1844" s="21">
        <f t="shared" ca="1" si="115"/>
        <v>0</v>
      </c>
      <c r="H1844" s="21">
        <v>1829</v>
      </c>
      <c r="I1844" s="102">
        <v>0.66754235903427261</v>
      </c>
      <c r="J1844" s="103">
        <v>1.0017568199680263E-3</v>
      </c>
      <c r="K1844" s="103"/>
      <c r="L1844" s="103">
        <v>3.5400000000000001E-2</v>
      </c>
      <c r="O1844" s="100"/>
    </row>
    <row r="1845" spans="2:15" x14ac:dyDescent="0.2">
      <c r="B1845" s="1">
        <v>1830</v>
      </c>
      <c r="C1845" s="101">
        <f t="shared" ca="1" si="112"/>
        <v>1.1106705411123832</v>
      </c>
      <c r="D1845" s="101">
        <f t="shared" ca="1" si="113"/>
        <v>0.74144141578203115</v>
      </c>
      <c r="E1845" s="101">
        <f t="shared" ca="1" si="114"/>
        <v>0</v>
      </c>
      <c r="F1845" s="21">
        <f t="shared" ca="1" si="115"/>
        <v>0</v>
      </c>
      <c r="H1845" s="21">
        <v>1830</v>
      </c>
      <c r="I1845" s="102">
        <v>0.66788377915424757</v>
      </c>
      <c r="J1845" s="103">
        <v>1.5430634988792314E-3</v>
      </c>
      <c r="K1845" s="103"/>
      <c r="L1845" s="103">
        <v>4.6199999999999998E-2</v>
      </c>
      <c r="O1845" s="100"/>
    </row>
    <row r="1846" spans="2:15" x14ac:dyDescent="0.2">
      <c r="B1846" s="1">
        <v>1831</v>
      </c>
      <c r="C1846" s="101">
        <f t="shared" ca="1" si="112"/>
        <v>-1.3828382261294334</v>
      </c>
      <c r="D1846" s="101">
        <f t="shared" ca="1" si="113"/>
        <v>0.57977096645770165</v>
      </c>
      <c r="E1846" s="101">
        <f t="shared" ca="1" si="114"/>
        <v>0</v>
      </c>
      <c r="F1846" s="21">
        <f t="shared" ca="1" si="115"/>
        <v>0</v>
      </c>
      <c r="H1846" s="21">
        <v>1831</v>
      </c>
      <c r="I1846" s="102">
        <v>0.66786436832668583</v>
      </c>
      <c r="J1846" s="103">
        <v>1.5082174344173106E-3</v>
      </c>
      <c r="K1846" s="103"/>
      <c r="L1846" s="103">
        <v>4.24E-2</v>
      </c>
      <c r="O1846" s="100"/>
    </row>
    <row r="1847" spans="2:15" x14ac:dyDescent="0.2">
      <c r="B1847" s="1">
        <v>1832</v>
      </c>
      <c r="C1847" s="101">
        <f t="shared" ca="1" si="112"/>
        <v>-0.27154573698707524</v>
      </c>
      <c r="D1847" s="101">
        <f t="shared" ca="1" si="113"/>
        <v>0.64693932076546334</v>
      </c>
      <c r="E1847" s="101">
        <f t="shared" ca="1" si="114"/>
        <v>0</v>
      </c>
      <c r="F1847" s="21">
        <f t="shared" ca="1" si="115"/>
        <v>0</v>
      </c>
      <c r="H1847" s="21">
        <v>1832</v>
      </c>
      <c r="I1847" s="102">
        <v>0.66766459221885366</v>
      </c>
      <c r="J1847" s="103">
        <v>1.3419465248215544E-3</v>
      </c>
      <c r="K1847" s="103"/>
      <c r="L1847" s="103">
        <v>3.9399999999999998E-2</v>
      </c>
      <c r="O1847" s="100"/>
    </row>
    <row r="1848" spans="2:15" x14ac:dyDescent="0.2">
      <c r="B1848" s="1">
        <v>1833</v>
      </c>
      <c r="C1848" s="101">
        <f t="shared" ca="1" si="112"/>
        <v>-0.5077794390077871</v>
      </c>
      <c r="D1848" s="101">
        <f t="shared" ca="1" si="113"/>
        <v>0.63203836664433022</v>
      </c>
      <c r="E1848" s="101">
        <f t="shared" ca="1" si="114"/>
        <v>0</v>
      </c>
      <c r="F1848" s="21">
        <f t="shared" ca="1" si="115"/>
        <v>0</v>
      </c>
      <c r="H1848" s="21">
        <v>1833</v>
      </c>
      <c r="I1848" s="102">
        <v>0.66773668188123048</v>
      </c>
      <c r="J1848" s="103">
        <v>1.3117307881611643E-3</v>
      </c>
      <c r="K1848" s="103"/>
      <c r="L1848" s="103">
        <v>4.0800000000000003E-2</v>
      </c>
      <c r="O1848" s="100"/>
    </row>
    <row r="1849" spans="2:15" x14ac:dyDescent="0.2">
      <c r="B1849" s="1">
        <v>1834</v>
      </c>
      <c r="C1849" s="101">
        <f t="shared" ca="1" si="112"/>
        <v>-1.0291009331133605</v>
      </c>
      <c r="D1849" s="101">
        <f t="shared" ca="1" si="113"/>
        <v>0.60035806708578265</v>
      </c>
      <c r="E1849" s="101">
        <f t="shared" ca="1" si="114"/>
        <v>0</v>
      </c>
      <c r="F1849" s="21">
        <f t="shared" ca="1" si="115"/>
        <v>0</v>
      </c>
      <c r="H1849" s="21">
        <v>1834</v>
      </c>
      <c r="I1849" s="102">
        <v>0.66762871036738036</v>
      </c>
      <c r="J1849" s="103">
        <v>1.2383076635615077E-3</v>
      </c>
      <c r="K1849" s="103"/>
      <c r="L1849" s="103">
        <v>3.9199999999999999E-2</v>
      </c>
      <c r="O1849" s="100"/>
    </row>
    <row r="1850" spans="2:15" x14ac:dyDescent="0.2">
      <c r="B1850" s="1">
        <v>1835</v>
      </c>
      <c r="C1850" s="101">
        <f t="shared" ca="1" si="112"/>
        <v>0.92547327450103578</v>
      </c>
      <c r="D1850" s="101">
        <f t="shared" ca="1" si="113"/>
        <v>0.7280196552765984</v>
      </c>
      <c r="E1850" s="101">
        <f t="shared" ca="1" si="114"/>
        <v>0</v>
      </c>
      <c r="F1850" s="21">
        <f t="shared" ca="1" si="115"/>
        <v>0</v>
      </c>
      <c r="H1850" s="21">
        <v>1835</v>
      </c>
      <c r="I1850" s="102">
        <v>0.66783708683218035</v>
      </c>
      <c r="J1850" s="103">
        <v>1.481105227397154E-3</v>
      </c>
      <c r="K1850" s="103"/>
      <c r="L1850" s="103">
        <v>4.4600000000000001E-2</v>
      </c>
      <c r="O1850" s="100"/>
    </row>
    <row r="1851" spans="2:15" x14ac:dyDescent="0.2">
      <c r="B1851" s="1">
        <v>1836</v>
      </c>
      <c r="C1851" s="101">
        <f t="shared" ca="1" si="112"/>
        <v>0.60156876822317429</v>
      </c>
      <c r="D1851" s="101">
        <f t="shared" ca="1" si="113"/>
        <v>0.70512682264999615</v>
      </c>
      <c r="E1851" s="101">
        <f t="shared" ca="1" si="114"/>
        <v>0</v>
      </c>
      <c r="F1851" s="21">
        <f t="shared" ca="1" si="115"/>
        <v>0</v>
      </c>
      <c r="H1851" s="21">
        <v>1836</v>
      </c>
      <c r="I1851" s="102">
        <v>0.66773880589701196</v>
      </c>
      <c r="J1851" s="103">
        <v>1.3968902398289519E-3</v>
      </c>
      <c r="K1851" s="103"/>
      <c r="L1851" s="103">
        <v>4.2999999999999997E-2</v>
      </c>
      <c r="O1851" s="100"/>
    </row>
    <row r="1852" spans="2:15" x14ac:dyDescent="0.2">
      <c r="B1852" s="1">
        <v>1837</v>
      </c>
      <c r="C1852" s="101">
        <f t="shared" ca="1" si="112"/>
        <v>-0.66697691713206386</v>
      </c>
      <c r="D1852" s="101">
        <f t="shared" ca="1" si="113"/>
        <v>0.62219070704925628</v>
      </c>
      <c r="E1852" s="101">
        <f t="shared" ca="1" si="114"/>
        <v>0</v>
      </c>
      <c r="F1852" s="21">
        <f t="shared" ca="1" si="115"/>
        <v>0</v>
      </c>
      <c r="H1852" s="21">
        <v>1837</v>
      </c>
      <c r="I1852" s="102">
        <v>0.667899633388081</v>
      </c>
      <c r="J1852" s="103">
        <v>1.4986894255654888E-3</v>
      </c>
      <c r="K1852" s="103"/>
      <c r="L1852" s="103">
        <v>4.1200000000000001E-2</v>
      </c>
      <c r="O1852" s="100"/>
    </row>
    <row r="1853" spans="2:15" x14ac:dyDescent="0.2">
      <c r="B1853" s="1">
        <v>1838</v>
      </c>
      <c r="C1853" s="101">
        <f t="shared" ca="1" si="112"/>
        <v>0.20232770173440368</v>
      </c>
      <c r="D1853" s="101">
        <f t="shared" ca="1" si="113"/>
        <v>0.67789744051335032</v>
      </c>
      <c r="E1853" s="101">
        <f t="shared" ca="1" si="114"/>
        <v>0</v>
      </c>
      <c r="F1853" s="21">
        <f t="shared" ca="1" si="115"/>
        <v>0</v>
      </c>
      <c r="H1853" s="21">
        <v>1838</v>
      </c>
      <c r="I1853" s="102">
        <v>0.66748529337696805</v>
      </c>
      <c r="J1853" s="103">
        <v>1.1271161664776974E-3</v>
      </c>
      <c r="K1853" s="103"/>
      <c r="L1853" s="103">
        <v>3.5400000000000001E-2</v>
      </c>
      <c r="O1853" s="100"/>
    </row>
    <row r="1854" spans="2:15" x14ac:dyDescent="0.2">
      <c r="B1854" s="1">
        <v>1839</v>
      </c>
      <c r="C1854" s="101">
        <f t="shared" ca="1" si="112"/>
        <v>0.70545510637688558</v>
      </c>
      <c r="D1854" s="101">
        <f t="shared" ca="1" si="113"/>
        <v>0.71238974979653746</v>
      </c>
      <c r="E1854" s="101">
        <f t="shared" ca="1" si="114"/>
        <v>0</v>
      </c>
      <c r="F1854" s="21">
        <f t="shared" ca="1" si="115"/>
        <v>0</v>
      </c>
      <c r="H1854" s="21">
        <v>1839</v>
      </c>
      <c r="I1854" s="102">
        <v>0.66762867935000569</v>
      </c>
      <c r="J1854" s="103">
        <v>1.2243265825732401E-3</v>
      </c>
      <c r="K1854" s="103"/>
      <c r="L1854" s="103">
        <v>0.04</v>
      </c>
      <c r="O1854" s="100"/>
    </row>
    <row r="1855" spans="2:15" x14ac:dyDescent="0.2">
      <c r="B1855" s="1">
        <v>1840</v>
      </c>
      <c r="C1855" s="101">
        <f t="shared" ca="1" si="112"/>
        <v>-7.8897619670816752E-2</v>
      </c>
      <c r="D1855" s="101">
        <f t="shared" ca="1" si="113"/>
        <v>0.6593507048605014</v>
      </c>
      <c r="E1855" s="101">
        <f t="shared" ca="1" si="114"/>
        <v>0</v>
      </c>
      <c r="F1855" s="21">
        <f t="shared" ca="1" si="115"/>
        <v>0</v>
      </c>
      <c r="H1855" s="21">
        <v>1840</v>
      </c>
      <c r="I1855" s="102">
        <v>0.66777485575419537</v>
      </c>
      <c r="J1855" s="103">
        <v>1.3910130148779044E-3</v>
      </c>
      <c r="K1855" s="103"/>
      <c r="L1855" s="103">
        <v>4.2599999999999999E-2</v>
      </c>
      <c r="O1855" s="100"/>
    </row>
    <row r="1856" spans="2:15" x14ac:dyDescent="0.2">
      <c r="B1856" s="1">
        <v>1841</v>
      </c>
      <c r="C1856" s="101">
        <f t="shared" ca="1" si="112"/>
        <v>-1.3285112258301799</v>
      </c>
      <c r="D1856" s="101">
        <f t="shared" ca="1" si="113"/>
        <v>0.58288623347392976</v>
      </c>
      <c r="E1856" s="101">
        <f t="shared" ca="1" si="114"/>
        <v>0</v>
      </c>
      <c r="F1856" s="21">
        <f t="shared" ca="1" si="115"/>
        <v>0</v>
      </c>
      <c r="H1856" s="21">
        <v>1841</v>
      </c>
      <c r="I1856" s="102">
        <v>0.66769824432755853</v>
      </c>
      <c r="J1856" s="103">
        <v>1.3237433328007033E-3</v>
      </c>
      <c r="K1856" s="103"/>
      <c r="L1856" s="103">
        <v>3.9399999999999998E-2</v>
      </c>
      <c r="O1856" s="100"/>
    </row>
    <row r="1857" spans="2:15" x14ac:dyDescent="0.2">
      <c r="B1857" s="1">
        <v>1842</v>
      </c>
      <c r="C1857" s="101">
        <f t="shared" ca="1" si="112"/>
        <v>8.6074776656421118E-2</v>
      </c>
      <c r="D1857" s="101">
        <f t="shared" ca="1" si="113"/>
        <v>0.67016816013189884</v>
      </c>
      <c r="E1857" s="101">
        <f t="shared" ca="1" si="114"/>
        <v>0</v>
      </c>
      <c r="F1857" s="21">
        <f t="shared" ca="1" si="115"/>
        <v>0</v>
      </c>
      <c r="H1857" s="21">
        <v>1842</v>
      </c>
      <c r="I1857" s="102">
        <v>0.66780887053984483</v>
      </c>
      <c r="J1857" s="103">
        <v>1.5576643870690026E-3</v>
      </c>
      <c r="K1857" s="103"/>
      <c r="L1857" s="103">
        <v>4.5999999999999999E-2</v>
      </c>
      <c r="O1857" s="100"/>
    </row>
    <row r="1858" spans="2:15" x14ac:dyDescent="0.2">
      <c r="B1858" s="1">
        <v>1843</v>
      </c>
      <c r="C1858" s="101">
        <f t="shared" ca="1" si="112"/>
        <v>-1.1083336170996017</v>
      </c>
      <c r="D1858" s="101">
        <f t="shared" ca="1" si="113"/>
        <v>0.59568418679577217</v>
      </c>
      <c r="E1858" s="101">
        <f t="shared" ca="1" si="114"/>
        <v>0</v>
      </c>
      <c r="F1858" s="21">
        <f t="shared" ca="1" si="115"/>
        <v>0</v>
      </c>
      <c r="H1858" s="21">
        <v>1843</v>
      </c>
      <c r="I1858" s="102">
        <v>0.6678426208029985</v>
      </c>
      <c r="J1858" s="103">
        <v>1.4570041236352126E-3</v>
      </c>
      <c r="K1858" s="103"/>
      <c r="L1858" s="103">
        <v>4.4200000000000003E-2</v>
      </c>
      <c r="O1858" s="100"/>
    </row>
    <row r="1859" spans="2:15" x14ac:dyDescent="0.2">
      <c r="B1859" s="1">
        <v>1844</v>
      </c>
      <c r="C1859" s="101">
        <f t="shared" ca="1" si="112"/>
        <v>-1.0008528159642227</v>
      </c>
      <c r="D1859" s="101">
        <f t="shared" ca="1" si="113"/>
        <v>0.60203325666768814</v>
      </c>
      <c r="E1859" s="101">
        <f t="shared" ca="1" si="114"/>
        <v>0</v>
      </c>
      <c r="F1859" s="21">
        <f t="shared" ca="1" si="115"/>
        <v>0</v>
      </c>
      <c r="H1859" s="21">
        <v>1844</v>
      </c>
      <c r="I1859" s="102">
        <v>0.66783881821949276</v>
      </c>
      <c r="J1859" s="103">
        <v>1.4742636353263527E-3</v>
      </c>
      <c r="K1859" s="103"/>
      <c r="L1859" s="103">
        <v>4.48E-2</v>
      </c>
      <c r="O1859" s="100"/>
    </row>
    <row r="1860" spans="2:15" x14ac:dyDescent="0.2">
      <c r="B1860" s="1">
        <v>1845</v>
      </c>
      <c r="C1860" s="101">
        <f t="shared" ca="1" si="112"/>
        <v>0.12728687355686974</v>
      </c>
      <c r="D1860" s="101">
        <f t="shared" ca="1" si="113"/>
        <v>0.67289808348028113</v>
      </c>
      <c r="E1860" s="101">
        <f t="shared" ca="1" si="114"/>
        <v>0</v>
      </c>
      <c r="F1860" s="21">
        <f t="shared" ca="1" si="115"/>
        <v>0</v>
      </c>
      <c r="H1860" s="21">
        <v>1845</v>
      </c>
      <c r="I1860" s="102">
        <v>0.66766374961600228</v>
      </c>
      <c r="J1860" s="103">
        <v>1.2422124419848833E-3</v>
      </c>
      <c r="K1860" s="103"/>
      <c r="L1860" s="103">
        <v>4.1799999999999997E-2</v>
      </c>
      <c r="O1860" s="100"/>
    </row>
    <row r="1861" spans="2:15" x14ac:dyDescent="0.2">
      <c r="B1861" s="1">
        <v>1846</v>
      </c>
      <c r="C1861" s="101">
        <f t="shared" ca="1" si="112"/>
        <v>-0.92859651887862937</v>
      </c>
      <c r="D1861" s="101">
        <f t="shared" ca="1" si="113"/>
        <v>0.60633955101429005</v>
      </c>
      <c r="E1861" s="101">
        <f t="shared" ca="1" si="114"/>
        <v>0</v>
      </c>
      <c r="F1861" s="21">
        <f t="shared" ca="1" si="115"/>
        <v>0</v>
      </c>
      <c r="H1861" s="21">
        <v>1846</v>
      </c>
      <c r="I1861" s="102">
        <v>0.66762865293348916</v>
      </c>
      <c r="J1861" s="103">
        <v>1.3910545947024178E-3</v>
      </c>
      <c r="K1861" s="103"/>
      <c r="L1861" s="103">
        <v>3.8399999999999997E-2</v>
      </c>
      <c r="O1861" s="100"/>
    </row>
    <row r="1862" spans="2:15" x14ac:dyDescent="0.2">
      <c r="B1862" s="1">
        <v>1847</v>
      </c>
      <c r="C1862" s="101">
        <f t="shared" ca="1" si="112"/>
        <v>0.84008979473288348</v>
      </c>
      <c r="D1862" s="101">
        <f t="shared" ca="1" si="113"/>
        <v>0.72191377546372848</v>
      </c>
      <c r="E1862" s="101">
        <f t="shared" ca="1" si="114"/>
        <v>0</v>
      </c>
      <c r="F1862" s="21">
        <f t="shared" ca="1" si="115"/>
        <v>0</v>
      </c>
      <c r="H1862" s="21">
        <v>1847</v>
      </c>
      <c r="I1862" s="102">
        <v>0.66770909184479521</v>
      </c>
      <c r="J1862" s="103">
        <v>1.3226974746283304E-3</v>
      </c>
      <c r="K1862" s="103"/>
      <c r="L1862" s="103">
        <v>3.9199999999999999E-2</v>
      </c>
      <c r="O1862" s="100"/>
    </row>
    <row r="1863" spans="2:15" x14ac:dyDescent="0.2">
      <c r="B1863" s="1">
        <v>1848</v>
      </c>
      <c r="C1863" s="101">
        <f t="shared" ca="1" si="112"/>
        <v>1.0303425150802805</v>
      </c>
      <c r="D1863" s="101">
        <f t="shared" ca="1" si="113"/>
        <v>0.73558969801709273</v>
      </c>
      <c r="E1863" s="101">
        <f t="shared" ca="1" si="114"/>
        <v>0</v>
      </c>
      <c r="F1863" s="21">
        <f t="shared" ca="1" si="115"/>
        <v>0</v>
      </c>
      <c r="H1863" s="21">
        <v>1848</v>
      </c>
      <c r="I1863" s="102">
        <v>0.66778959176929253</v>
      </c>
      <c r="J1863" s="103">
        <v>1.4481374434621008E-3</v>
      </c>
      <c r="K1863" s="103"/>
      <c r="L1863" s="103">
        <v>4.3200000000000002E-2</v>
      </c>
      <c r="O1863" s="100"/>
    </row>
    <row r="1864" spans="2:15" x14ac:dyDescent="0.2">
      <c r="B1864" s="1">
        <v>1849</v>
      </c>
      <c r="C1864" s="101">
        <f t="shared" ca="1" si="112"/>
        <v>-0.20311680630524201</v>
      </c>
      <c r="D1864" s="101">
        <f t="shared" ca="1" si="113"/>
        <v>0.65132088066676663</v>
      </c>
      <c r="E1864" s="101">
        <f t="shared" ca="1" si="114"/>
        <v>0</v>
      </c>
      <c r="F1864" s="21">
        <f t="shared" ca="1" si="115"/>
        <v>0</v>
      </c>
      <c r="H1864" s="21">
        <v>1849</v>
      </c>
      <c r="I1864" s="102">
        <v>0.66784366852638988</v>
      </c>
      <c r="J1864" s="103">
        <v>1.4947271434217705E-3</v>
      </c>
      <c r="K1864" s="103"/>
      <c r="L1864" s="103">
        <v>4.58E-2</v>
      </c>
      <c r="O1864" s="100"/>
    </row>
    <row r="1865" spans="2:15" x14ac:dyDescent="0.2">
      <c r="B1865" s="1">
        <v>1850</v>
      </c>
      <c r="C1865" s="101">
        <f t="shared" ca="1" si="112"/>
        <v>1.8467515608153324</v>
      </c>
      <c r="D1865" s="101">
        <f t="shared" ca="1" si="113"/>
        <v>0.79727858392603168</v>
      </c>
      <c r="E1865" s="101">
        <f t="shared" ca="1" si="114"/>
        <v>9.0785839260316692E-3</v>
      </c>
      <c r="F1865" s="21">
        <f t="shared" ca="1" si="115"/>
        <v>1</v>
      </c>
      <c r="H1865" s="21">
        <v>1850</v>
      </c>
      <c r="I1865" s="102">
        <v>0.66761423235110495</v>
      </c>
      <c r="J1865" s="103">
        <v>1.2045488007187701E-3</v>
      </c>
      <c r="K1865" s="103"/>
      <c r="L1865" s="103">
        <v>3.8199999999999998E-2</v>
      </c>
      <c r="O1865" s="100"/>
    </row>
    <row r="1866" spans="2:15" x14ac:dyDescent="0.2">
      <c r="B1866" s="1">
        <v>1851</v>
      </c>
      <c r="C1866" s="101">
        <f t="shared" ca="1" si="112"/>
        <v>-0.24182539043136686</v>
      </c>
      <c r="D1866" s="101">
        <f t="shared" ca="1" si="113"/>
        <v>0.6488387060732399</v>
      </c>
      <c r="E1866" s="101">
        <f t="shared" ca="1" si="114"/>
        <v>0</v>
      </c>
      <c r="F1866" s="21">
        <f t="shared" ca="1" si="115"/>
        <v>0</v>
      </c>
      <c r="H1866" s="21">
        <v>1851</v>
      </c>
      <c r="I1866" s="102">
        <v>0.66772031565630863</v>
      </c>
      <c r="J1866" s="103">
        <v>1.4020157487734484E-3</v>
      </c>
      <c r="K1866" s="103"/>
      <c r="L1866" s="103">
        <v>3.7400000000000003E-2</v>
      </c>
      <c r="O1866" s="100"/>
    </row>
    <row r="1867" spans="2:15" x14ac:dyDescent="0.2">
      <c r="B1867" s="1">
        <v>1852</v>
      </c>
      <c r="C1867" s="101">
        <f t="shared" ca="1" si="112"/>
        <v>-1.0032901576662956</v>
      </c>
      <c r="D1867" s="101">
        <f t="shared" ca="1" si="113"/>
        <v>0.60188853165497702</v>
      </c>
      <c r="E1867" s="101">
        <f t="shared" ca="1" si="114"/>
        <v>0</v>
      </c>
      <c r="F1867" s="21">
        <f t="shared" ca="1" si="115"/>
        <v>0</v>
      </c>
      <c r="H1867" s="21">
        <v>1852</v>
      </c>
      <c r="I1867" s="102">
        <v>0.66784023542214654</v>
      </c>
      <c r="J1867" s="103">
        <v>1.5272740070787353E-3</v>
      </c>
      <c r="K1867" s="103"/>
      <c r="L1867" s="103">
        <v>4.4999999999999998E-2</v>
      </c>
      <c r="O1867" s="100"/>
    </row>
    <row r="1868" spans="2:15" x14ac:dyDescent="0.2">
      <c r="B1868" s="1">
        <v>1853</v>
      </c>
      <c r="C1868" s="101">
        <f t="shared" ca="1" si="112"/>
        <v>6.4647194600147119E-3</v>
      </c>
      <c r="D1868" s="101">
        <f t="shared" ca="1" si="113"/>
        <v>0.66492604542129785</v>
      </c>
      <c r="E1868" s="101">
        <f t="shared" ca="1" si="114"/>
        <v>0</v>
      </c>
      <c r="F1868" s="21">
        <f t="shared" ca="1" si="115"/>
        <v>0</v>
      </c>
      <c r="H1868" s="21">
        <v>1853</v>
      </c>
      <c r="I1868" s="102">
        <v>0.66760507526130408</v>
      </c>
      <c r="J1868" s="103">
        <v>1.2657676188267074E-3</v>
      </c>
      <c r="K1868" s="103"/>
      <c r="L1868" s="103">
        <v>4.0800000000000003E-2</v>
      </c>
      <c r="O1868" s="100"/>
    </row>
    <row r="1869" spans="2:15" x14ac:dyDescent="0.2">
      <c r="B1869" s="1">
        <v>1854</v>
      </c>
      <c r="C1869" s="101">
        <f t="shared" ca="1" si="112"/>
        <v>2.5080293667795978E-2</v>
      </c>
      <c r="D1869" s="101">
        <f t="shared" ca="1" si="113"/>
        <v>0.66614814750092777</v>
      </c>
      <c r="E1869" s="101">
        <f t="shared" ca="1" si="114"/>
        <v>0</v>
      </c>
      <c r="F1869" s="21">
        <f t="shared" ca="1" si="115"/>
        <v>0</v>
      </c>
      <c r="H1869" s="21">
        <v>1854</v>
      </c>
      <c r="I1869" s="102">
        <v>0.66782050618960909</v>
      </c>
      <c r="J1869" s="103">
        <v>1.3635312076821465E-3</v>
      </c>
      <c r="K1869" s="103"/>
      <c r="L1869" s="103">
        <v>4.1399999999999999E-2</v>
      </c>
      <c r="O1869" s="100"/>
    </row>
    <row r="1870" spans="2:15" x14ac:dyDescent="0.2">
      <c r="B1870" s="1">
        <v>1855</v>
      </c>
      <c r="C1870" s="101">
        <f t="shared" ca="1" si="112"/>
        <v>-1.1902487207697023</v>
      </c>
      <c r="D1870" s="101">
        <f t="shared" ca="1" si="113"/>
        <v>0.590890324635723</v>
      </c>
      <c r="E1870" s="101">
        <f t="shared" ca="1" si="114"/>
        <v>0</v>
      </c>
      <c r="F1870" s="21">
        <f t="shared" ca="1" si="115"/>
        <v>0</v>
      </c>
      <c r="H1870" s="21">
        <v>1855</v>
      </c>
      <c r="I1870" s="102">
        <v>0.6677673701442518</v>
      </c>
      <c r="J1870" s="103">
        <v>1.3389242106871951E-3</v>
      </c>
      <c r="K1870" s="103"/>
      <c r="L1870" s="103">
        <v>4.36E-2</v>
      </c>
      <c r="O1870" s="100"/>
    </row>
    <row r="1871" spans="2:15" x14ac:dyDescent="0.2">
      <c r="B1871" s="1">
        <v>1856</v>
      </c>
      <c r="C1871" s="101">
        <f t="shared" ca="1" si="112"/>
        <v>1.4977411681243677</v>
      </c>
      <c r="D1871" s="101">
        <f t="shared" ca="1" si="113"/>
        <v>0.77029789030529838</v>
      </c>
      <c r="E1871" s="101">
        <f t="shared" ca="1" si="114"/>
        <v>0</v>
      </c>
      <c r="F1871" s="21">
        <f t="shared" ca="1" si="115"/>
        <v>0</v>
      </c>
      <c r="H1871" s="21">
        <v>1856</v>
      </c>
      <c r="I1871" s="102">
        <v>0.66775530739485656</v>
      </c>
      <c r="J1871" s="103">
        <v>1.4307642271555818E-3</v>
      </c>
      <c r="K1871" s="103"/>
      <c r="L1871" s="103">
        <v>3.9399999999999998E-2</v>
      </c>
      <c r="O1871" s="100"/>
    </row>
    <row r="1872" spans="2:15" x14ac:dyDescent="0.2">
      <c r="B1872" s="1">
        <v>1857</v>
      </c>
      <c r="C1872" s="101">
        <f t="shared" ref="C1872:C1935" ca="1" si="116">_xlfn.NORM.S.INV(RAND())</f>
        <v>-0.33439511466919541</v>
      </c>
      <c r="D1872" s="101">
        <f t="shared" ref="D1872:D1935" ca="1" si="117">S0*EXP((μ-0.5*σ*σ)*T+σ*SQRT(T)*$C1872)</f>
        <v>0.64294099742786659</v>
      </c>
      <c r="E1872" s="101">
        <f t="shared" ref="E1872:E1935" ca="1" si="118">MAX(0,CP*(D1872-K))</f>
        <v>0</v>
      </c>
      <c r="F1872" s="21">
        <f t="shared" ref="F1872:F1935" ca="1" si="119">(CP*(D1872-K)&gt;0)*1</f>
        <v>0</v>
      </c>
      <c r="H1872" s="21">
        <v>1857</v>
      </c>
      <c r="I1872" s="102">
        <v>0.66781900925179094</v>
      </c>
      <c r="J1872" s="103">
        <v>1.4106879691901254E-3</v>
      </c>
      <c r="K1872" s="103"/>
      <c r="L1872" s="103">
        <v>4.3999999999999997E-2</v>
      </c>
      <c r="O1872" s="100"/>
    </row>
    <row r="1873" spans="2:15" x14ac:dyDescent="0.2">
      <c r="B1873" s="1">
        <v>1858</v>
      </c>
      <c r="C1873" s="101">
        <f t="shared" ca="1" si="116"/>
        <v>2.8443378151982016E-2</v>
      </c>
      <c r="D1873" s="101">
        <f t="shared" ca="1" si="117"/>
        <v>0.66636917155509734</v>
      </c>
      <c r="E1873" s="101">
        <f t="shared" ca="1" si="118"/>
        <v>0</v>
      </c>
      <c r="F1873" s="21">
        <f t="shared" ca="1" si="119"/>
        <v>0</v>
      </c>
      <c r="H1873" s="21">
        <v>1858</v>
      </c>
      <c r="I1873" s="102">
        <v>0.66764265646778054</v>
      </c>
      <c r="J1873" s="103">
        <v>1.2823324586959002E-3</v>
      </c>
      <c r="K1873" s="103"/>
      <c r="L1873" s="103">
        <v>4.0599999999999997E-2</v>
      </c>
      <c r="O1873" s="100"/>
    </row>
    <row r="1874" spans="2:15" x14ac:dyDescent="0.2">
      <c r="B1874" s="1">
        <v>1859</v>
      </c>
      <c r="C1874" s="101">
        <f t="shared" ca="1" si="116"/>
        <v>-0.6194693319131932</v>
      </c>
      <c r="D1874" s="101">
        <f t="shared" ca="1" si="117"/>
        <v>0.62511326662016797</v>
      </c>
      <c r="E1874" s="101">
        <f t="shared" ca="1" si="118"/>
        <v>0</v>
      </c>
      <c r="F1874" s="21">
        <f t="shared" ca="1" si="119"/>
        <v>0</v>
      </c>
      <c r="H1874" s="21">
        <v>1859</v>
      </c>
      <c r="I1874" s="102">
        <v>0.66777718220946958</v>
      </c>
      <c r="J1874" s="103">
        <v>1.3679000927940216E-3</v>
      </c>
      <c r="K1874" s="103"/>
      <c r="L1874" s="103">
        <v>4.5400000000000003E-2</v>
      </c>
      <c r="O1874" s="100"/>
    </row>
    <row r="1875" spans="2:15" x14ac:dyDescent="0.2">
      <c r="B1875" s="1">
        <v>1860</v>
      </c>
      <c r="C1875" s="101">
        <f t="shared" ca="1" si="116"/>
        <v>-1.6636250434659257</v>
      </c>
      <c r="D1875" s="101">
        <f t="shared" ca="1" si="117"/>
        <v>0.56393328540654586</v>
      </c>
      <c r="E1875" s="101">
        <f t="shared" ca="1" si="118"/>
        <v>0</v>
      </c>
      <c r="F1875" s="21">
        <f t="shared" ca="1" si="119"/>
        <v>0</v>
      </c>
      <c r="H1875" s="21">
        <v>1860</v>
      </c>
      <c r="I1875" s="102">
        <v>0.66783594880423791</v>
      </c>
      <c r="J1875" s="103">
        <v>1.3833547618511313E-3</v>
      </c>
      <c r="K1875" s="103"/>
      <c r="L1875" s="103">
        <v>4.1200000000000001E-2</v>
      </c>
      <c r="O1875" s="100"/>
    </row>
    <row r="1876" spans="2:15" x14ac:dyDescent="0.2">
      <c r="B1876" s="1">
        <v>1861</v>
      </c>
      <c r="C1876" s="101">
        <f t="shared" ca="1" si="116"/>
        <v>1.2277246594007815E-2</v>
      </c>
      <c r="D1876" s="101">
        <f t="shared" ca="1" si="117"/>
        <v>0.66530739366202363</v>
      </c>
      <c r="E1876" s="101">
        <f t="shared" ca="1" si="118"/>
        <v>0</v>
      </c>
      <c r="F1876" s="21">
        <f t="shared" ca="1" si="119"/>
        <v>0</v>
      </c>
      <c r="H1876" s="21">
        <v>1861</v>
      </c>
      <c r="I1876" s="102">
        <v>0.66785075776825165</v>
      </c>
      <c r="J1876" s="103">
        <v>1.4579257953172948E-3</v>
      </c>
      <c r="K1876" s="103"/>
      <c r="L1876" s="103">
        <v>4.4999999999999998E-2</v>
      </c>
      <c r="O1876" s="100"/>
    </row>
    <row r="1877" spans="2:15" x14ac:dyDescent="0.2">
      <c r="B1877" s="1">
        <v>1862</v>
      </c>
      <c r="C1877" s="101">
        <f t="shared" ca="1" si="116"/>
        <v>-1.1581787334211076</v>
      </c>
      <c r="D1877" s="101">
        <f t="shared" ca="1" si="117"/>
        <v>0.59276252221082515</v>
      </c>
      <c r="E1877" s="101">
        <f t="shared" ca="1" si="118"/>
        <v>0</v>
      </c>
      <c r="F1877" s="21">
        <f t="shared" ca="1" si="119"/>
        <v>0</v>
      </c>
      <c r="H1877" s="21">
        <v>1862</v>
      </c>
      <c r="I1877" s="102">
        <v>0.66769202314370757</v>
      </c>
      <c r="J1877" s="103">
        <v>1.231795033600071E-3</v>
      </c>
      <c r="K1877" s="103"/>
      <c r="L1877" s="103">
        <v>3.9600000000000003E-2</v>
      </c>
      <c r="O1877" s="100"/>
    </row>
    <row r="1878" spans="2:15" x14ac:dyDescent="0.2">
      <c r="B1878" s="1">
        <v>1863</v>
      </c>
      <c r="C1878" s="101">
        <f t="shared" ca="1" si="116"/>
        <v>-0.11474015662849926</v>
      </c>
      <c r="D1878" s="101">
        <f t="shared" ca="1" si="117"/>
        <v>0.65702365007850982</v>
      </c>
      <c r="E1878" s="101">
        <f t="shared" ca="1" si="118"/>
        <v>0</v>
      </c>
      <c r="F1878" s="21">
        <f t="shared" ca="1" si="119"/>
        <v>0</v>
      </c>
      <c r="H1878" s="21">
        <v>1863</v>
      </c>
      <c r="I1878" s="102">
        <v>0.66765556322037389</v>
      </c>
      <c r="J1878" s="103">
        <v>1.1543378250576763E-3</v>
      </c>
      <c r="K1878" s="103"/>
      <c r="L1878" s="103">
        <v>3.9399999999999998E-2</v>
      </c>
      <c r="O1878" s="100"/>
    </row>
    <row r="1879" spans="2:15" x14ac:dyDescent="0.2">
      <c r="B1879" s="1">
        <v>1864</v>
      </c>
      <c r="C1879" s="101">
        <f t="shared" ca="1" si="116"/>
        <v>-0.11207958939155099</v>
      </c>
      <c r="D1879" s="101">
        <f t="shared" ca="1" si="117"/>
        <v>0.6571961032286151</v>
      </c>
      <c r="E1879" s="101">
        <f t="shared" ca="1" si="118"/>
        <v>0</v>
      </c>
      <c r="F1879" s="21">
        <f t="shared" ca="1" si="119"/>
        <v>0</v>
      </c>
      <c r="H1879" s="21">
        <v>1864</v>
      </c>
      <c r="I1879" s="102">
        <v>0.66763863134243462</v>
      </c>
      <c r="J1879" s="103">
        <v>1.2888573730042031E-3</v>
      </c>
      <c r="K1879" s="103"/>
      <c r="L1879" s="103">
        <v>3.9199999999999999E-2</v>
      </c>
      <c r="O1879" s="100"/>
    </row>
    <row r="1880" spans="2:15" x14ac:dyDescent="0.2">
      <c r="B1880" s="1">
        <v>1865</v>
      </c>
      <c r="C1880" s="101">
        <f t="shared" ca="1" si="116"/>
        <v>0.33642250429298054</v>
      </c>
      <c r="D1880" s="101">
        <f t="shared" ca="1" si="117"/>
        <v>0.68692375114705728</v>
      </c>
      <c r="E1880" s="101">
        <f t="shared" ca="1" si="118"/>
        <v>0</v>
      </c>
      <c r="F1880" s="21">
        <f t="shared" ca="1" si="119"/>
        <v>0</v>
      </c>
      <c r="H1880" s="21">
        <v>1865</v>
      </c>
      <c r="I1880" s="102">
        <v>0.66793997260205162</v>
      </c>
      <c r="J1880" s="103">
        <v>1.6419482783708703E-3</v>
      </c>
      <c r="K1880" s="103"/>
      <c r="L1880" s="103">
        <v>4.5600000000000002E-2</v>
      </c>
      <c r="O1880" s="100"/>
    </row>
    <row r="1881" spans="2:15" x14ac:dyDescent="0.2">
      <c r="B1881" s="1">
        <v>1866</v>
      </c>
      <c r="C1881" s="101">
        <f t="shared" ca="1" si="116"/>
        <v>1.2078823563728995</v>
      </c>
      <c r="D1881" s="101">
        <f t="shared" ca="1" si="117"/>
        <v>0.74858537071164044</v>
      </c>
      <c r="E1881" s="101">
        <f t="shared" ca="1" si="118"/>
        <v>0</v>
      </c>
      <c r="F1881" s="21">
        <f t="shared" ca="1" si="119"/>
        <v>0</v>
      </c>
      <c r="H1881" s="21">
        <v>1866</v>
      </c>
      <c r="I1881" s="102">
        <v>0.66776693163273038</v>
      </c>
      <c r="J1881" s="103">
        <v>1.3828444443709966E-3</v>
      </c>
      <c r="K1881" s="103"/>
      <c r="L1881" s="103">
        <v>4.4400000000000002E-2</v>
      </c>
      <c r="O1881" s="100"/>
    </row>
    <row r="1882" spans="2:15" x14ac:dyDescent="0.2">
      <c r="B1882" s="1">
        <v>1867</v>
      </c>
      <c r="C1882" s="101">
        <f t="shared" ca="1" si="116"/>
        <v>0.36227266662245933</v>
      </c>
      <c r="D1882" s="101">
        <f t="shared" ca="1" si="117"/>
        <v>0.68867756916827649</v>
      </c>
      <c r="E1882" s="101">
        <f t="shared" ca="1" si="118"/>
        <v>0</v>
      </c>
      <c r="F1882" s="21">
        <f t="shared" ca="1" si="119"/>
        <v>0</v>
      </c>
      <c r="H1882" s="21">
        <v>1867</v>
      </c>
      <c r="I1882" s="102">
        <v>0.66770196119267866</v>
      </c>
      <c r="J1882" s="103">
        <v>1.3399385565344185E-3</v>
      </c>
      <c r="K1882" s="103"/>
      <c r="L1882" s="103">
        <v>4.02E-2</v>
      </c>
      <c r="O1882" s="100"/>
    </row>
    <row r="1883" spans="2:15" x14ac:dyDescent="0.2">
      <c r="B1883" s="1">
        <v>1868</v>
      </c>
      <c r="C1883" s="101">
        <f t="shared" ca="1" si="116"/>
        <v>-0.83641796912562305</v>
      </c>
      <c r="D1883" s="101">
        <f t="shared" ca="1" si="117"/>
        <v>0.61187790361474836</v>
      </c>
      <c r="E1883" s="101">
        <f t="shared" ca="1" si="118"/>
        <v>0</v>
      </c>
      <c r="F1883" s="21">
        <f t="shared" ca="1" si="119"/>
        <v>0</v>
      </c>
      <c r="H1883" s="21">
        <v>1868</v>
      </c>
      <c r="I1883" s="102">
        <v>0.66780136541443214</v>
      </c>
      <c r="J1883" s="103">
        <v>1.4003211266764091E-3</v>
      </c>
      <c r="K1883" s="103"/>
      <c r="L1883" s="103">
        <v>4.0599999999999997E-2</v>
      </c>
      <c r="O1883" s="100"/>
    </row>
    <row r="1884" spans="2:15" x14ac:dyDescent="0.2">
      <c r="B1884" s="1">
        <v>1869</v>
      </c>
      <c r="C1884" s="101">
        <f t="shared" ca="1" si="116"/>
        <v>8.6818388828926604E-2</v>
      </c>
      <c r="D1884" s="101">
        <f t="shared" ca="1" si="117"/>
        <v>0.67021731936617879</v>
      </c>
      <c r="E1884" s="101">
        <f t="shared" ca="1" si="118"/>
        <v>0</v>
      </c>
      <c r="F1884" s="21">
        <f t="shared" ca="1" si="119"/>
        <v>0</v>
      </c>
      <c r="H1884" s="21">
        <v>1869</v>
      </c>
      <c r="I1884" s="102">
        <v>0.66764227277303845</v>
      </c>
      <c r="J1884" s="103">
        <v>1.2481896029748274E-3</v>
      </c>
      <c r="K1884" s="103"/>
      <c r="L1884" s="103">
        <v>3.6999999999999998E-2</v>
      </c>
      <c r="O1884" s="100"/>
    </row>
    <row r="1885" spans="2:15" x14ac:dyDescent="0.2">
      <c r="B1885" s="1">
        <v>1870</v>
      </c>
      <c r="C1885" s="101">
        <f t="shared" ca="1" si="116"/>
        <v>0.73323302502081422</v>
      </c>
      <c r="D1885" s="101">
        <f t="shared" ca="1" si="117"/>
        <v>0.71434441055672548</v>
      </c>
      <c r="E1885" s="101">
        <f t="shared" ca="1" si="118"/>
        <v>0</v>
      </c>
      <c r="F1885" s="21">
        <f t="shared" ca="1" si="119"/>
        <v>0</v>
      </c>
      <c r="H1885" s="21">
        <v>1870</v>
      </c>
      <c r="I1885" s="102">
        <v>0.6679396900494482</v>
      </c>
      <c r="J1885" s="103">
        <v>1.6011682675394873E-3</v>
      </c>
      <c r="K1885" s="103"/>
      <c r="L1885" s="103">
        <v>4.7199999999999999E-2</v>
      </c>
      <c r="O1885" s="100"/>
    </row>
    <row r="1886" spans="2:15" x14ac:dyDescent="0.2">
      <c r="B1886" s="1">
        <v>1871</v>
      </c>
      <c r="C1886" s="101">
        <f t="shared" ca="1" si="116"/>
        <v>-1.2228777306658816</v>
      </c>
      <c r="D1886" s="101">
        <f t="shared" ca="1" si="117"/>
        <v>0.58899156076602688</v>
      </c>
      <c r="E1886" s="101">
        <f t="shared" ca="1" si="118"/>
        <v>0</v>
      </c>
      <c r="F1886" s="21">
        <f t="shared" ca="1" si="119"/>
        <v>0</v>
      </c>
      <c r="H1886" s="21">
        <v>1871</v>
      </c>
      <c r="I1886" s="102">
        <v>0.667883337130315</v>
      </c>
      <c r="J1886" s="103">
        <v>1.5539941198008788E-3</v>
      </c>
      <c r="K1886" s="103"/>
      <c r="L1886" s="103">
        <v>4.3200000000000002E-2</v>
      </c>
      <c r="O1886" s="100"/>
    </row>
    <row r="1887" spans="2:15" x14ac:dyDescent="0.2">
      <c r="B1887" s="1">
        <v>1872</v>
      </c>
      <c r="C1887" s="101">
        <f t="shared" ca="1" si="116"/>
        <v>-2.9251660338611797E-2</v>
      </c>
      <c r="D1887" s="101">
        <f t="shared" ca="1" si="117"/>
        <v>0.66258755891264887</v>
      </c>
      <c r="E1887" s="101">
        <f t="shared" ca="1" si="118"/>
        <v>0</v>
      </c>
      <c r="F1887" s="21">
        <f t="shared" ca="1" si="119"/>
        <v>0</v>
      </c>
      <c r="H1887" s="21">
        <v>1872</v>
      </c>
      <c r="I1887" s="102">
        <v>0.66763786923737967</v>
      </c>
      <c r="J1887" s="103">
        <v>1.3172405212502128E-3</v>
      </c>
      <c r="K1887" s="103"/>
      <c r="L1887" s="103">
        <v>4.1000000000000002E-2</v>
      </c>
      <c r="O1887" s="100"/>
    </row>
    <row r="1888" spans="2:15" x14ac:dyDescent="0.2">
      <c r="B1888" s="1">
        <v>1873</v>
      </c>
      <c r="C1888" s="101">
        <f t="shared" ca="1" si="116"/>
        <v>-0.27788869216271339</v>
      </c>
      <c r="D1888" s="101">
        <f t="shared" ca="1" si="117"/>
        <v>0.64653467198656911</v>
      </c>
      <c r="E1888" s="101">
        <f t="shared" ca="1" si="118"/>
        <v>0</v>
      </c>
      <c r="F1888" s="21">
        <f t="shared" ca="1" si="119"/>
        <v>0</v>
      </c>
      <c r="H1888" s="21">
        <v>1873</v>
      </c>
      <c r="I1888" s="102">
        <v>0.66762251108674564</v>
      </c>
      <c r="J1888" s="103">
        <v>1.2977377924514755E-3</v>
      </c>
      <c r="K1888" s="103"/>
      <c r="L1888" s="103">
        <v>3.9199999999999999E-2</v>
      </c>
      <c r="O1888" s="100"/>
    </row>
    <row r="1889" spans="2:15" x14ac:dyDescent="0.2">
      <c r="B1889" s="1">
        <v>1874</v>
      </c>
      <c r="C1889" s="101">
        <f t="shared" ca="1" si="116"/>
        <v>-0.22284633660529307</v>
      </c>
      <c r="D1889" s="101">
        <f t="shared" ca="1" si="117"/>
        <v>0.65005454710751376</v>
      </c>
      <c r="E1889" s="101">
        <f t="shared" ca="1" si="118"/>
        <v>0</v>
      </c>
      <c r="F1889" s="21">
        <f t="shared" ca="1" si="119"/>
        <v>0</v>
      </c>
      <c r="H1889" s="21">
        <v>1874</v>
      </c>
      <c r="I1889" s="102">
        <v>0.6679221453298031</v>
      </c>
      <c r="J1889" s="103">
        <v>1.5059760495236671E-3</v>
      </c>
      <c r="K1889" s="103"/>
      <c r="L1889" s="103">
        <v>4.3999999999999997E-2</v>
      </c>
      <c r="O1889" s="100"/>
    </row>
    <row r="1890" spans="2:15" x14ac:dyDescent="0.2">
      <c r="B1890" s="1">
        <v>1875</v>
      </c>
      <c r="C1890" s="101">
        <f t="shared" ca="1" si="116"/>
        <v>-0.16869656998189733</v>
      </c>
      <c r="D1890" s="101">
        <f t="shared" ca="1" si="117"/>
        <v>0.65353604132345633</v>
      </c>
      <c r="E1890" s="101">
        <f t="shared" ca="1" si="118"/>
        <v>0</v>
      </c>
      <c r="F1890" s="21">
        <f t="shared" ca="1" si="119"/>
        <v>0</v>
      </c>
      <c r="H1890" s="21">
        <v>1875</v>
      </c>
      <c r="I1890" s="102">
        <v>0.66774539655799137</v>
      </c>
      <c r="J1890" s="103">
        <v>1.3919279682391985E-3</v>
      </c>
      <c r="K1890" s="103"/>
      <c r="L1890" s="103">
        <v>4.1799999999999997E-2</v>
      </c>
      <c r="O1890" s="100"/>
    </row>
    <row r="1891" spans="2:15" x14ac:dyDescent="0.2">
      <c r="B1891" s="1">
        <v>1876</v>
      </c>
      <c r="C1891" s="101">
        <f t="shared" ca="1" si="116"/>
        <v>1.0988746525653625</v>
      </c>
      <c r="D1891" s="101">
        <f t="shared" ca="1" si="117"/>
        <v>0.74057920437800273</v>
      </c>
      <c r="E1891" s="101">
        <f t="shared" ca="1" si="118"/>
        <v>0</v>
      </c>
      <c r="F1891" s="21">
        <f t="shared" ca="1" si="119"/>
        <v>0</v>
      </c>
      <c r="H1891" s="21">
        <v>1876</v>
      </c>
      <c r="I1891" s="102">
        <v>0.66774333860594559</v>
      </c>
      <c r="J1891" s="103">
        <v>1.5365487309765354E-3</v>
      </c>
      <c r="K1891" s="103"/>
      <c r="L1891" s="103">
        <v>4.3200000000000002E-2</v>
      </c>
      <c r="O1891" s="100"/>
    </row>
    <row r="1892" spans="2:15" x14ac:dyDescent="0.2">
      <c r="B1892" s="1">
        <v>1877</v>
      </c>
      <c r="C1892" s="101">
        <f t="shared" ca="1" si="116"/>
        <v>-0.45224996976552306</v>
      </c>
      <c r="D1892" s="101">
        <f t="shared" ca="1" si="117"/>
        <v>0.63550985595418275</v>
      </c>
      <c r="E1892" s="101">
        <f t="shared" ca="1" si="118"/>
        <v>0</v>
      </c>
      <c r="F1892" s="21">
        <f t="shared" ca="1" si="119"/>
        <v>0</v>
      </c>
      <c r="H1892" s="21">
        <v>1877</v>
      </c>
      <c r="I1892" s="102">
        <v>0.66790012184278102</v>
      </c>
      <c r="J1892" s="103">
        <v>1.5716653930732856E-3</v>
      </c>
      <c r="K1892" s="103"/>
      <c r="L1892" s="103">
        <v>4.3200000000000002E-2</v>
      </c>
      <c r="O1892" s="100"/>
    </row>
    <row r="1893" spans="2:15" x14ac:dyDescent="0.2">
      <c r="B1893" s="1">
        <v>1878</v>
      </c>
      <c r="C1893" s="101">
        <f t="shared" ca="1" si="116"/>
        <v>-0.11337657529164706</v>
      </c>
      <c r="D1893" s="101">
        <f t="shared" ca="1" si="117"/>
        <v>0.65711202929753887</v>
      </c>
      <c r="E1893" s="101">
        <f t="shared" ca="1" si="118"/>
        <v>0</v>
      </c>
      <c r="F1893" s="21">
        <f t="shared" ca="1" si="119"/>
        <v>0</v>
      </c>
      <c r="H1893" s="21">
        <v>1878</v>
      </c>
      <c r="I1893" s="102">
        <v>0.66787533884942818</v>
      </c>
      <c r="J1893" s="103">
        <v>1.4686780151095459E-3</v>
      </c>
      <c r="K1893" s="103"/>
      <c r="L1893" s="103">
        <v>4.3999999999999997E-2</v>
      </c>
      <c r="O1893" s="100"/>
    </row>
    <row r="1894" spans="2:15" x14ac:dyDescent="0.2">
      <c r="B1894" s="1">
        <v>1879</v>
      </c>
      <c r="C1894" s="101">
        <f t="shared" ca="1" si="116"/>
        <v>0.6320145561296846</v>
      </c>
      <c r="D1894" s="101">
        <f t="shared" ca="1" si="117"/>
        <v>0.70724765166447401</v>
      </c>
      <c r="E1894" s="101">
        <f t="shared" ca="1" si="118"/>
        <v>0</v>
      </c>
      <c r="F1894" s="21">
        <f t="shared" ca="1" si="119"/>
        <v>0</v>
      </c>
      <c r="H1894" s="21">
        <v>1879</v>
      </c>
      <c r="I1894" s="102">
        <v>0.66767255225453681</v>
      </c>
      <c r="J1894" s="103">
        <v>1.3875440576239485E-3</v>
      </c>
      <c r="K1894" s="103"/>
      <c r="L1894" s="103">
        <v>3.9199999999999999E-2</v>
      </c>
      <c r="O1894" s="100"/>
    </row>
    <row r="1895" spans="2:15" x14ac:dyDescent="0.2">
      <c r="B1895" s="1">
        <v>1880</v>
      </c>
      <c r="C1895" s="101">
        <f t="shared" ca="1" si="116"/>
        <v>0.65633892118796677</v>
      </c>
      <c r="D1895" s="101">
        <f t="shared" ca="1" si="117"/>
        <v>0.70894665038571902</v>
      </c>
      <c r="E1895" s="101">
        <f t="shared" ca="1" si="118"/>
        <v>0</v>
      </c>
      <c r="F1895" s="21">
        <f t="shared" ca="1" si="119"/>
        <v>0</v>
      </c>
      <c r="H1895" s="21">
        <v>1880</v>
      </c>
      <c r="I1895" s="102">
        <v>0.6676672483092706</v>
      </c>
      <c r="J1895" s="103">
        <v>1.2618722096192857E-3</v>
      </c>
      <c r="K1895" s="103"/>
      <c r="L1895" s="103">
        <v>4.0800000000000003E-2</v>
      </c>
      <c r="O1895" s="100"/>
    </row>
    <row r="1896" spans="2:15" x14ac:dyDescent="0.2">
      <c r="B1896" s="1">
        <v>1881</v>
      </c>
      <c r="C1896" s="101">
        <f t="shared" ca="1" si="116"/>
        <v>0.89164065973530937</v>
      </c>
      <c r="D1896" s="101">
        <f t="shared" ca="1" si="117"/>
        <v>0.72559408933217218</v>
      </c>
      <c r="E1896" s="101">
        <f t="shared" ca="1" si="118"/>
        <v>0</v>
      </c>
      <c r="F1896" s="21">
        <f t="shared" ca="1" si="119"/>
        <v>0</v>
      </c>
      <c r="H1896" s="21">
        <v>1881</v>
      </c>
      <c r="I1896" s="102">
        <v>0.66773739606428939</v>
      </c>
      <c r="J1896" s="103">
        <v>1.3843155719425887E-3</v>
      </c>
      <c r="K1896" s="103"/>
      <c r="L1896" s="103">
        <v>4.2999999999999997E-2</v>
      </c>
      <c r="O1896" s="100"/>
    </row>
    <row r="1897" spans="2:15" x14ac:dyDescent="0.2">
      <c r="B1897" s="1">
        <v>1882</v>
      </c>
      <c r="C1897" s="101">
        <f t="shared" ca="1" si="116"/>
        <v>0.86093527285316884</v>
      </c>
      <c r="D1897" s="101">
        <f t="shared" ca="1" si="117"/>
        <v>0.72339972024368837</v>
      </c>
      <c r="E1897" s="101">
        <f t="shared" ca="1" si="118"/>
        <v>0</v>
      </c>
      <c r="F1897" s="21">
        <f t="shared" ca="1" si="119"/>
        <v>0</v>
      </c>
      <c r="H1897" s="21">
        <v>1882</v>
      </c>
      <c r="I1897" s="102">
        <v>0.66771579858695007</v>
      </c>
      <c r="J1897" s="103">
        <v>1.3897779131282549E-3</v>
      </c>
      <c r="K1897" s="103"/>
      <c r="L1897" s="103">
        <v>3.9800000000000002E-2</v>
      </c>
      <c r="O1897" s="100"/>
    </row>
    <row r="1898" spans="2:15" x14ac:dyDescent="0.2">
      <c r="B1898" s="1">
        <v>1883</v>
      </c>
      <c r="C1898" s="101">
        <f t="shared" ca="1" si="116"/>
        <v>0.58494144990866548</v>
      </c>
      <c r="D1898" s="101">
        <f t="shared" ca="1" si="117"/>
        <v>0.70397126333264559</v>
      </c>
      <c r="E1898" s="101">
        <f t="shared" ca="1" si="118"/>
        <v>0</v>
      </c>
      <c r="F1898" s="21">
        <f t="shared" ca="1" si="119"/>
        <v>0</v>
      </c>
      <c r="H1898" s="21">
        <v>1883</v>
      </c>
      <c r="I1898" s="102">
        <v>0.66766745397605487</v>
      </c>
      <c r="J1898" s="103">
        <v>1.3272432170669266E-3</v>
      </c>
      <c r="K1898" s="103"/>
      <c r="L1898" s="103">
        <v>4.0599999999999997E-2</v>
      </c>
      <c r="O1898" s="100"/>
    </row>
    <row r="1899" spans="2:15" x14ac:dyDescent="0.2">
      <c r="B1899" s="1">
        <v>1884</v>
      </c>
      <c r="C1899" s="101">
        <f t="shared" ca="1" si="116"/>
        <v>1.1534929368713167</v>
      </c>
      <c r="D1899" s="101">
        <f t="shared" ca="1" si="117"/>
        <v>0.74457993121326049</v>
      </c>
      <c r="E1899" s="101">
        <f t="shared" ca="1" si="118"/>
        <v>0</v>
      </c>
      <c r="F1899" s="21">
        <f t="shared" ca="1" si="119"/>
        <v>0</v>
      </c>
      <c r="H1899" s="21">
        <v>1884</v>
      </c>
      <c r="I1899" s="102">
        <v>0.66781738659860368</v>
      </c>
      <c r="J1899" s="103">
        <v>1.4531469905088759E-3</v>
      </c>
      <c r="K1899" s="103"/>
      <c r="L1899" s="103">
        <v>4.2599999999999999E-2</v>
      </c>
      <c r="O1899" s="100"/>
    </row>
    <row r="1900" spans="2:15" x14ac:dyDescent="0.2">
      <c r="B1900" s="1">
        <v>1885</v>
      </c>
      <c r="C1900" s="101">
        <f t="shared" ca="1" si="116"/>
        <v>-0.34476767117784163</v>
      </c>
      <c r="D1900" s="101">
        <f t="shared" ca="1" si="117"/>
        <v>0.64228350058502948</v>
      </c>
      <c r="E1900" s="101">
        <f t="shared" ca="1" si="118"/>
        <v>0</v>
      </c>
      <c r="F1900" s="21">
        <f t="shared" ca="1" si="119"/>
        <v>0</v>
      </c>
      <c r="H1900" s="21">
        <v>1885</v>
      </c>
      <c r="I1900" s="102">
        <v>0.66768077279512261</v>
      </c>
      <c r="J1900" s="103">
        <v>1.2974315001750274E-3</v>
      </c>
      <c r="K1900" s="103"/>
      <c r="L1900" s="103">
        <v>0.04</v>
      </c>
      <c r="O1900" s="100"/>
    </row>
    <row r="1901" spans="2:15" x14ac:dyDescent="0.2">
      <c r="B1901" s="1">
        <v>1886</v>
      </c>
      <c r="C1901" s="101">
        <f t="shared" ca="1" si="116"/>
        <v>0.42419961029477121</v>
      </c>
      <c r="D1901" s="101">
        <f t="shared" ca="1" si="117"/>
        <v>0.69289726956100861</v>
      </c>
      <c r="E1901" s="101">
        <f t="shared" ca="1" si="118"/>
        <v>0</v>
      </c>
      <c r="F1901" s="21">
        <f t="shared" ca="1" si="119"/>
        <v>0</v>
      </c>
      <c r="H1901" s="21">
        <v>1886</v>
      </c>
      <c r="I1901" s="102">
        <v>0.66762884206003714</v>
      </c>
      <c r="J1901" s="103">
        <v>1.2312381591668684E-3</v>
      </c>
      <c r="K1901" s="103"/>
      <c r="L1901" s="103">
        <v>3.8600000000000002E-2</v>
      </c>
      <c r="O1901" s="100"/>
    </row>
    <row r="1902" spans="2:15" x14ac:dyDescent="0.2">
      <c r="B1902" s="1">
        <v>1887</v>
      </c>
      <c r="C1902" s="101">
        <f t="shared" ca="1" si="116"/>
        <v>0.64241717427813327</v>
      </c>
      <c r="D1902" s="101">
        <f t="shared" ca="1" si="117"/>
        <v>0.7079737507866587</v>
      </c>
      <c r="E1902" s="101">
        <f t="shared" ca="1" si="118"/>
        <v>0</v>
      </c>
      <c r="F1902" s="21">
        <f t="shared" ca="1" si="119"/>
        <v>0</v>
      </c>
      <c r="H1902" s="21">
        <v>1887</v>
      </c>
      <c r="I1902" s="102">
        <v>0.66774782759481188</v>
      </c>
      <c r="J1902" s="103">
        <v>1.3804802216014641E-3</v>
      </c>
      <c r="K1902" s="103"/>
      <c r="L1902" s="103">
        <v>4.2999999999999997E-2</v>
      </c>
      <c r="O1902" s="100"/>
    </row>
    <row r="1903" spans="2:15" x14ac:dyDescent="0.2">
      <c r="B1903" s="1">
        <v>1888</v>
      </c>
      <c r="C1903" s="101">
        <f t="shared" ca="1" si="116"/>
        <v>0.88071994632762673</v>
      </c>
      <c r="D1903" s="101">
        <f t="shared" ca="1" si="117"/>
        <v>0.72481287581402909</v>
      </c>
      <c r="E1903" s="101">
        <f t="shared" ca="1" si="118"/>
        <v>0</v>
      </c>
      <c r="F1903" s="21">
        <f t="shared" ca="1" si="119"/>
        <v>0</v>
      </c>
      <c r="H1903" s="21">
        <v>1888</v>
      </c>
      <c r="I1903" s="102">
        <v>0.66750258613258628</v>
      </c>
      <c r="J1903" s="103">
        <v>1.1871639038108929E-3</v>
      </c>
      <c r="K1903" s="103"/>
      <c r="L1903" s="103">
        <v>4.02E-2</v>
      </c>
      <c r="O1903" s="100"/>
    </row>
    <row r="1904" spans="2:15" x14ac:dyDescent="0.2">
      <c r="B1904" s="1">
        <v>1889</v>
      </c>
      <c r="C1904" s="101">
        <f t="shared" ca="1" si="116"/>
        <v>-1.1968705811866336</v>
      </c>
      <c r="D1904" s="101">
        <f t="shared" ca="1" si="117"/>
        <v>0.59050448754795704</v>
      </c>
      <c r="E1904" s="101">
        <f t="shared" ca="1" si="118"/>
        <v>0</v>
      </c>
      <c r="F1904" s="21">
        <f t="shared" ca="1" si="119"/>
        <v>0</v>
      </c>
      <c r="H1904" s="21">
        <v>1889</v>
      </c>
      <c r="I1904" s="102">
        <v>0.66773707865787202</v>
      </c>
      <c r="J1904" s="103">
        <v>1.3008319391568071E-3</v>
      </c>
      <c r="K1904" s="103"/>
      <c r="L1904" s="103">
        <v>3.8600000000000002E-2</v>
      </c>
      <c r="O1904" s="100"/>
    </row>
    <row r="1905" spans="2:15" x14ac:dyDescent="0.2">
      <c r="B1905" s="1">
        <v>1890</v>
      </c>
      <c r="C1905" s="101">
        <f t="shared" ca="1" si="116"/>
        <v>-1.9266115597742866</v>
      </c>
      <c r="D1905" s="101">
        <f t="shared" ca="1" si="117"/>
        <v>0.54949222119250229</v>
      </c>
      <c r="E1905" s="101">
        <f t="shared" ca="1" si="118"/>
        <v>0</v>
      </c>
      <c r="F1905" s="21">
        <f t="shared" ca="1" si="119"/>
        <v>0</v>
      </c>
      <c r="H1905" s="21">
        <v>1890</v>
      </c>
      <c r="I1905" s="102">
        <v>0.66779874222847468</v>
      </c>
      <c r="J1905" s="103">
        <v>1.3511294103438615E-3</v>
      </c>
      <c r="K1905" s="103"/>
      <c r="L1905" s="103">
        <v>4.2799999999999998E-2</v>
      </c>
      <c r="O1905" s="100"/>
    </row>
    <row r="1906" spans="2:15" x14ac:dyDescent="0.2">
      <c r="B1906" s="1">
        <v>1891</v>
      </c>
      <c r="C1906" s="101">
        <f t="shared" ca="1" si="116"/>
        <v>1.1999178366177279</v>
      </c>
      <c r="D1906" s="101">
        <f t="shared" ca="1" si="117"/>
        <v>0.74799748995600457</v>
      </c>
      <c r="E1906" s="101">
        <f t="shared" ca="1" si="118"/>
        <v>0</v>
      </c>
      <c r="F1906" s="21">
        <f t="shared" ca="1" si="119"/>
        <v>0</v>
      </c>
      <c r="H1906" s="21">
        <v>1891</v>
      </c>
      <c r="I1906" s="102">
        <v>0.66772240028167351</v>
      </c>
      <c r="J1906" s="103">
        <v>1.4080994168303982E-3</v>
      </c>
      <c r="K1906" s="103"/>
      <c r="L1906" s="103">
        <v>4.02E-2</v>
      </c>
      <c r="O1906" s="100"/>
    </row>
    <row r="1907" spans="2:15" x14ac:dyDescent="0.2">
      <c r="B1907" s="1">
        <v>1892</v>
      </c>
      <c r="C1907" s="101">
        <f t="shared" ca="1" si="116"/>
        <v>0.25986271529484473</v>
      </c>
      <c r="D1907" s="101">
        <f t="shared" ca="1" si="117"/>
        <v>0.68175567021246575</v>
      </c>
      <c r="E1907" s="101">
        <f t="shared" ca="1" si="118"/>
        <v>0</v>
      </c>
      <c r="F1907" s="21">
        <f t="shared" ca="1" si="119"/>
        <v>0</v>
      </c>
      <c r="H1907" s="21">
        <v>1892</v>
      </c>
      <c r="I1907" s="102">
        <v>0.66772896603700094</v>
      </c>
      <c r="J1907" s="103">
        <v>1.3704190289317941E-3</v>
      </c>
      <c r="K1907" s="103"/>
      <c r="L1907" s="103">
        <v>4.1599999999999998E-2</v>
      </c>
      <c r="O1907" s="100"/>
    </row>
    <row r="1908" spans="2:15" x14ac:dyDescent="0.2">
      <c r="B1908" s="1">
        <v>1893</v>
      </c>
      <c r="C1908" s="101">
        <f t="shared" ca="1" si="116"/>
        <v>-0.11730416330163138</v>
      </c>
      <c r="D1908" s="101">
        <f t="shared" ca="1" si="117"/>
        <v>0.65685749862864784</v>
      </c>
      <c r="E1908" s="101">
        <f t="shared" ca="1" si="118"/>
        <v>0</v>
      </c>
      <c r="F1908" s="21">
        <f t="shared" ca="1" si="119"/>
        <v>0</v>
      </c>
      <c r="H1908" s="21">
        <v>1893</v>
      </c>
      <c r="I1908" s="102">
        <v>0.6679439294306031</v>
      </c>
      <c r="J1908" s="103">
        <v>1.5594794985226426E-3</v>
      </c>
      <c r="K1908" s="103"/>
      <c r="L1908" s="103">
        <v>4.9599999999999998E-2</v>
      </c>
      <c r="O1908" s="100"/>
    </row>
    <row r="1909" spans="2:15" x14ac:dyDescent="0.2">
      <c r="B1909" s="1">
        <v>1894</v>
      </c>
      <c r="C1909" s="101">
        <f t="shared" ca="1" si="116"/>
        <v>0.48129901104129397</v>
      </c>
      <c r="D1909" s="101">
        <f t="shared" ca="1" si="117"/>
        <v>0.6968109280567697</v>
      </c>
      <c r="E1909" s="101">
        <f t="shared" ca="1" si="118"/>
        <v>0</v>
      </c>
      <c r="F1909" s="21">
        <f t="shared" ca="1" si="119"/>
        <v>0</v>
      </c>
      <c r="H1909" s="21">
        <v>1894</v>
      </c>
      <c r="I1909" s="102">
        <v>0.66767752966721605</v>
      </c>
      <c r="J1909" s="103">
        <v>1.2619713683275763E-3</v>
      </c>
      <c r="K1909" s="103"/>
      <c r="L1909" s="103">
        <v>3.9600000000000003E-2</v>
      </c>
      <c r="O1909" s="100"/>
    </row>
    <row r="1910" spans="2:15" x14ac:dyDescent="0.2">
      <c r="B1910" s="1">
        <v>1895</v>
      </c>
      <c r="C1910" s="101">
        <f t="shared" ca="1" si="116"/>
        <v>0.18857827374025199</v>
      </c>
      <c r="D1910" s="101">
        <f t="shared" ca="1" si="117"/>
        <v>0.67697865730261086</v>
      </c>
      <c r="E1910" s="101">
        <f t="shared" ca="1" si="118"/>
        <v>0</v>
      </c>
      <c r="F1910" s="21">
        <f t="shared" ca="1" si="119"/>
        <v>0</v>
      </c>
      <c r="H1910" s="21">
        <v>1895</v>
      </c>
      <c r="I1910" s="102">
        <v>0.66762399949921281</v>
      </c>
      <c r="J1910" s="103">
        <v>1.1980010489090554E-3</v>
      </c>
      <c r="K1910" s="103"/>
      <c r="L1910" s="103">
        <v>4.36E-2</v>
      </c>
      <c r="O1910" s="100"/>
    </row>
    <row r="1911" spans="2:15" x14ac:dyDescent="0.2">
      <c r="B1911" s="1">
        <v>1896</v>
      </c>
      <c r="C1911" s="101">
        <f t="shared" ca="1" si="116"/>
        <v>0.78892177740188707</v>
      </c>
      <c r="D1911" s="101">
        <f t="shared" ca="1" si="117"/>
        <v>0.71827925367558798</v>
      </c>
      <c r="E1911" s="101">
        <f t="shared" ca="1" si="118"/>
        <v>0</v>
      </c>
      <c r="F1911" s="21">
        <f t="shared" ca="1" si="119"/>
        <v>0</v>
      </c>
      <c r="H1911" s="21">
        <v>1896</v>
      </c>
      <c r="I1911" s="102">
        <v>0.66775437995870701</v>
      </c>
      <c r="J1911" s="103">
        <v>1.3659118362911212E-3</v>
      </c>
      <c r="K1911" s="103"/>
      <c r="L1911" s="103">
        <v>4.1799999999999997E-2</v>
      </c>
      <c r="O1911" s="100"/>
    </row>
    <row r="1912" spans="2:15" x14ac:dyDescent="0.2">
      <c r="B1912" s="1">
        <v>1897</v>
      </c>
      <c r="C1912" s="101">
        <f t="shared" ca="1" si="116"/>
        <v>-0.63228048943112547</v>
      </c>
      <c r="D1912" s="101">
        <f t="shared" ca="1" si="117"/>
        <v>0.62432380393853326</v>
      </c>
      <c r="E1912" s="101">
        <f t="shared" ca="1" si="118"/>
        <v>0</v>
      </c>
      <c r="F1912" s="21">
        <f t="shared" ca="1" si="119"/>
        <v>0</v>
      </c>
      <c r="H1912" s="21">
        <v>1897</v>
      </c>
      <c r="I1912" s="102">
        <v>0.6677400565295265</v>
      </c>
      <c r="J1912" s="103">
        <v>1.4093826019677545E-3</v>
      </c>
      <c r="K1912" s="103"/>
      <c r="L1912" s="103">
        <v>4.1200000000000001E-2</v>
      </c>
      <c r="O1912" s="100"/>
    </row>
    <row r="1913" spans="2:15" x14ac:dyDescent="0.2">
      <c r="B1913" s="1">
        <v>1898</v>
      </c>
      <c r="C1913" s="101">
        <f t="shared" ca="1" si="116"/>
        <v>0.40633069716623199</v>
      </c>
      <c r="D1913" s="101">
        <f t="shared" ca="1" si="117"/>
        <v>0.69167703534774583</v>
      </c>
      <c r="E1913" s="101">
        <f t="shared" ca="1" si="118"/>
        <v>0</v>
      </c>
      <c r="F1913" s="21">
        <f t="shared" ca="1" si="119"/>
        <v>0</v>
      </c>
      <c r="H1913" s="21">
        <v>1898</v>
      </c>
      <c r="I1913" s="102">
        <v>0.66759200074362712</v>
      </c>
      <c r="J1913" s="103">
        <v>1.2794000548056949E-3</v>
      </c>
      <c r="K1913" s="103"/>
      <c r="L1913" s="103">
        <v>3.8800000000000001E-2</v>
      </c>
      <c r="O1913" s="100"/>
    </row>
    <row r="1914" spans="2:15" x14ac:dyDescent="0.2">
      <c r="B1914" s="1">
        <v>1899</v>
      </c>
      <c r="C1914" s="101">
        <f t="shared" ca="1" si="116"/>
        <v>-0.61431930620159392</v>
      </c>
      <c r="D1914" s="101">
        <f t="shared" ca="1" si="117"/>
        <v>0.6254309081876489</v>
      </c>
      <c r="E1914" s="101">
        <f t="shared" ca="1" si="118"/>
        <v>0</v>
      </c>
      <c r="F1914" s="21">
        <f t="shared" ca="1" si="119"/>
        <v>0</v>
      </c>
      <c r="H1914" s="21">
        <v>1899</v>
      </c>
      <c r="I1914" s="102">
        <v>0.66777394184944072</v>
      </c>
      <c r="J1914" s="103">
        <v>1.4771957077321842E-3</v>
      </c>
      <c r="K1914" s="103"/>
      <c r="L1914" s="103">
        <v>4.2599999999999999E-2</v>
      </c>
      <c r="O1914" s="100"/>
    </row>
    <row r="1915" spans="2:15" x14ac:dyDescent="0.2">
      <c r="B1915" s="1">
        <v>1900</v>
      </c>
      <c r="C1915" s="101">
        <f t="shared" ca="1" si="116"/>
        <v>0.70925459878887442</v>
      </c>
      <c r="D1915" s="101">
        <f t="shared" ca="1" si="117"/>
        <v>0.7126567942306985</v>
      </c>
      <c r="E1915" s="101">
        <f t="shared" ca="1" si="118"/>
        <v>0</v>
      </c>
      <c r="F1915" s="21">
        <f t="shared" ca="1" si="119"/>
        <v>0</v>
      </c>
      <c r="H1915" s="21">
        <v>1900</v>
      </c>
      <c r="I1915" s="102">
        <v>0.66778544440521326</v>
      </c>
      <c r="J1915" s="103">
        <v>1.4336283402913174E-3</v>
      </c>
      <c r="K1915" s="103"/>
      <c r="L1915" s="103">
        <v>3.9399999999999998E-2</v>
      </c>
      <c r="O1915" s="100"/>
    </row>
    <row r="1916" spans="2:15" x14ac:dyDescent="0.2">
      <c r="B1916" s="1">
        <v>1901</v>
      </c>
      <c r="C1916" s="101">
        <f t="shared" ca="1" si="116"/>
        <v>0.73062876252938835</v>
      </c>
      <c r="D1916" s="101">
        <f t="shared" ca="1" si="117"/>
        <v>0.71416092768606809</v>
      </c>
      <c r="E1916" s="101">
        <f t="shared" ca="1" si="118"/>
        <v>0</v>
      </c>
      <c r="F1916" s="21">
        <f t="shared" ca="1" si="119"/>
        <v>0</v>
      </c>
      <c r="H1916" s="21">
        <v>1901</v>
      </c>
      <c r="I1916" s="102">
        <v>0.66775607340582988</v>
      </c>
      <c r="J1916" s="103">
        <v>1.3881677466463232E-3</v>
      </c>
      <c r="K1916" s="103"/>
      <c r="L1916" s="103">
        <v>4.3400000000000001E-2</v>
      </c>
      <c r="O1916" s="100"/>
    </row>
    <row r="1917" spans="2:15" x14ac:dyDescent="0.2">
      <c r="B1917" s="1">
        <v>1902</v>
      </c>
      <c r="C1917" s="101">
        <f t="shared" ca="1" si="116"/>
        <v>-0.93426404806995822</v>
      </c>
      <c r="D1917" s="101">
        <f t="shared" ca="1" si="117"/>
        <v>0.60600067005087144</v>
      </c>
      <c r="E1917" s="101">
        <f t="shared" ca="1" si="118"/>
        <v>0</v>
      </c>
      <c r="F1917" s="21">
        <f t="shared" ca="1" si="119"/>
        <v>0</v>
      </c>
      <c r="H1917" s="21">
        <v>1902</v>
      </c>
      <c r="I1917" s="102">
        <v>0.66776746338187265</v>
      </c>
      <c r="J1917" s="103">
        <v>1.3091228172632697E-3</v>
      </c>
      <c r="K1917" s="103"/>
      <c r="L1917" s="103">
        <v>4.1799999999999997E-2</v>
      </c>
      <c r="O1917" s="100"/>
    </row>
    <row r="1918" spans="2:15" x14ac:dyDescent="0.2">
      <c r="B1918" s="1">
        <v>1903</v>
      </c>
      <c r="C1918" s="101">
        <f t="shared" ca="1" si="116"/>
        <v>0.50931660934100365</v>
      </c>
      <c r="D1918" s="101">
        <f t="shared" ca="1" si="117"/>
        <v>0.69873936314344676</v>
      </c>
      <c r="E1918" s="101">
        <f t="shared" ca="1" si="118"/>
        <v>0</v>
      </c>
      <c r="F1918" s="21">
        <f t="shared" ca="1" si="119"/>
        <v>0</v>
      </c>
      <c r="H1918" s="21">
        <v>1903</v>
      </c>
      <c r="I1918" s="102">
        <v>0.66753818245416374</v>
      </c>
      <c r="J1918" s="103">
        <v>1.083522262388163E-3</v>
      </c>
      <c r="K1918" s="103"/>
      <c r="L1918" s="103">
        <v>3.5999999999999997E-2</v>
      </c>
      <c r="O1918" s="100"/>
    </row>
    <row r="1919" spans="2:15" x14ac:dyDescent="0.2">
      <c r="B1919" s="1">
        <v>1904</v>
      </c>
      <c r="C1919" s="101">
        <f t="shared" ca="1" si="116"/>
        <v>1.2467965467665925</v>
      </c>
      <c r="D1919" s="101">
        <f t="shared" ca="1" si="117"/>
        <v>0.7514643731473426</v>
      </c>
      <c r="E1919" s="101">
        <f t="shared" ca="1" si="118"/>
        <v>0</v>
      </c>
      <c r="F1919" s="21">
        <f t="shared" ca="1" si="119"/>
        <v>0</v>
      </c>
      <c r="H1919" s="21">
        <v>1904</v>
      </c>
      <c r="I1919" s="102">
        <v>0.667760822178462</v>
      </c>
      <c r="J1919" s="103">
        <v>1.417184693219779E-3</v>
      </c>
      <c r="K1919" s="103"/>
      <c r="L1919" s="103">
        <v>4.3799999999999999E-2</v>
      </c>
      <c r="O1919" s="100"/>
    </row>
    <row r="1920" spans="2:15" x14ac:dyDescent="0.2">
      <c r="B1920" s="1">
        <v>1905</v>
      </c>
      <c r="C1920" s="101">
        <f t="shared" ca="1" si="116"/>
        <v>-1.3397375178932196</v>
      </c>
      <c r="D1920" s="101">
        <f t="shared" ca="1" si="117"/>
        <v>0.58224111631408104</v>
      </c>
      <c r="E1920" s="101">
        <f t="shared" ca="1" si="118"/>
        <v>0</v>
      </c>
      <c r="F1920" s="21">
        <f t="shared" ca="1" si="119"/>
        <v>0</v>
      </c>
      <c r="H1920" s="21">
        <v>1905</v>
      </c>
      <c r="I1920" s="102">
        <v>0.66779862971667603</v>
      </c>
      <c r="J1920" s="103">
        <v>1.464336243010666E-3</v>
      </c>
      <c r="K1920" s="103"/>
      <c r="L1920" s="103">
        <v>3.9800000000000002E-2</v>
      </c>
      <c r="O1920" s="100"/>
    </row>
    <row r="1921" spans="2:15" x14ac:dyDescent="0.2">
      <c r="B1921" s="1">
        <v>1906</v>
      </c>
      <c r="C1921" s="101">
        <f t="shared" ca="1" si="116"/>
        <v>-1.2648050895002831</v>
      </c>
      <c r="D1921" s="101">
        <f t="shared" ca="1" si="117"/>
        <v>0.58656065727899553</v>
      </c>
      <c r="E1921" s="101">
        <f t="shared" ca="1" si="118"/>
        <v>0</v>
      </c>
      <c r="F1921" s="21">
        <f t="shared" ca="1" si="119"/>
        <v>0</v>
      </c>
      <c r="H1921" s="21">
        <v>1906</v>
      </c>
      <c r="I1921" s="102">
        <v>0.66780735394617163</v>
      </c>
      <c r="J1921" s="103">
        <v>1.4150216060652078E-3</v>
      </c>
      <c r="K1921" s="103"/>
      <c r="L1921" s="103">
        <v>4.3200000000000002E-2</v>
      </c>
      <c r="O1921" s="100"/>
    </row>
    <row r="1922" spans="2:15" x14ac:dyDescent="0.2">
      <c r="B1922" s="1">
        <v>1907</v>
      </c>
      <c r="C1922" s="101">
        <f t="shared" ca="1" si="116"/>
        <v>0.57043860013322678</v>
      </c>
      <c r="D1922" s="101">
        <f t="shared" ca="1" si="117"/>
        <v>0.70296489590732725</v>
      </c>
      <c r="E1922" s="101">
        <f t="shared" ca="1" si="118"/>
        <v>0</v>
      </c>
      <c r="F1922" s="21">
        <f t="shared" ca="1" si="119"/>
        <v>0</v>
      </c>
      <c r="H1922" s="21">
        <v>1907</v>
      </c>
      <c r="I1922" s="102">
        <v>0.66757220768147607</v>
      </c>
      <c r="J1922" s="103">
        <v>1.1234195219265554E-3</v>
      </c>
      <c r="K1922" s="103"/>
      <c r="L1922" s="103">
        <v>3.7400000000000003E-2</v>
      </c>
      <c r="O1922" s="100"/>
    </row>
    <row r="1923" spans="2:15" x14ac:dyDescent="0.2">
      <c r="B1923" s="1">
        <v>1908</v>
      </c>
      <c r="C1923" s="101">
        <f t="shared" ca="1" si="116"/>
        <v>0.14243119557921871</v>
      </c>
      <c r="D1923" s="101">
        <f t="shared" ca="1" si="117"/>
        <v>0.67390404751673061</v>
      </c>
      <c r="E1923" s="101">
        <f t="shared" ca="1" si="118"/>
        <v>0</v>
      </c>
      <c r="F1923" s="21">
        <f t="shared" ca="1" si="119"/>
        <v>0</v>
      </c>
      <c r="H1923" s="21">
        <v>1908</v>
      </c>
      <c r="I1923" s="102">
        <v>0.66781735848484003</v>
      </c>
      <c r="J1923" s="103">
        <v>1.4186628856932271E-3</v>
      </c>
      <c r="K1923" s="103"/>
      <c r="L1923" s="103">
        <v>4.36E-2</v>
      </c>
      <c r="O1923" s="100"/>
    </row>
    <row r="1924" spans="2:15" x14ac:dyDescent="0.2">
      <c r="B1924" s="1">
        <v>1909</v>
      </c>
      <c r="C1924" s="101">
        <f t="shared" ca="1" si="116"/>
        <v>-1.3499099768104172</v>
      </c>
      <c r="D1924" s="101">
        <f t="shared" ca="1" si="117"/>
        <v>0.58165717413869278</v>
      </c>
      <c r="E1924" s="101">
        <f t="shared" ca="1" si="118"/>
        <v>0</v>
      </c>
      <c r="F1924" s="21">
        <f t="shared" ca="1" si="119"/>
        <v>0</v>
      </c>
      <c r="H1924" s="21">
        <v>1909</v>
      </c>
      <c r="I1924" s="102">
        <v>0.66781301854479569</v>
      </c>
      <c r="J1924" s="103">
        <v>1.3413482612132334E-3</v>
      </c>
      <c r="K1924" s="103"/>
      <c r="L1924" s="103">
        <v>4.4999999999999998E-2</v>
      </c>
      <c r="O1924" s="100"/>
    </row>
    <row r="1925" spans="2:15" x14ac:dyDescent="0.2">
      <c r="B1925" s="1">
        <v>1910</v>
      </c>
      <c r="C1925" s="101">
        <f t="shared" ca="1" si="116"/>
        <v>0.69955262993516198</v>
      </c>
      <c r="D1925" s="101">
        <f t="shared" ca="1" si="117"/>
        <v>0.71197509718788843</v>
      </c>
      <c r="E1925" s="101">
        <f t="shared" ca="1" si="118"/>
        <v>0</v>
      </c>
      <c r="F1925" s="21">
        <f t="shared" ca="1" si="119"/>
        <v>0</v>
      </c>
      <c r="H1925" s="21">
        <v>1910</v>
      </c>
      <c r="I1925" s="102">
        <v>0.6675664113458063</v>
      </c>
      <c r="J1925" s="103">
        <v>1.1394322583467829E-3</v>
      </c>
      <c r="K1925" s="103"/>
      <c r="L1925" s="103">
        <v>3.7199999999999997E-2</v>
      </c>
      <c r="O1925" s="100"/>
    </row>
    <row r="1926" spans="2:15" x14ac:dyDescent="0.2">
      <c r="B1926" s="1">
        <v>1911</v>
      </c>
      <c r="C1926" s="101">
        <f t="shared" ca="1" si="116"/>
        <v>-0.74936605193866535</v>
      </c>
      <c r="D1926" s="101">
        <f t="shared" ca="1" si="117"/>
        <v>0.61715467125267776</v>
      </c>
      <c r="E1926" s="101">
        <f t="shared" ca="1" si="118"/>
        <v>0</v>
      </c>
      <c r="F1926" s="21">
        <f t="shared" ca="1" si="119"/>
        <v>0</v>
      </c>
      <c r="H1926" s="21">
        <v>1911</v>
      </c>
      <c r="I1926" s="102">
        <v>0.6677847394841856</v>
      </c>
      <c r="J1926" s="103">
        <v>1.5158940659491212E-3</v>
      </c>
      <c r="K1926" s="103"/>
      <c r="L1926" s="103">
        <v>4.5600000000000002E-2</v>
      </c>
      <c r="O1926" s="100"/>
    </row>
    <row r="1927" spans="2:15" x14ac:dyDescent="0.2">
      <c r="B1927" s="1">
        <v>1912</v>
      </c>
      <c r="C1927" s="101">
        <f t="shared" ca="1" si="116"/>
        <v>0.60952264390053401</v>
      </c>
      <c r="D1927" s="101">
        <f t="shared" ca="1" si="117"/>
        <v>0.70568026872928791</v>
      </c>
      <c r="E1927" s="101">
        <f t="shared" ca="1" si="118"/>
        <v>0</v>
      </c>
      <c r="F1927" s="21">
        <f t="shared" ca="1" si="119"/>
        <v>0</v>
      </c>
      <c r="H1927" s="21">
        <v>1912</v>
      </c>
      <c r="I1927" s="102">
        <v>0.66773025381076556</v>
      </c>
      <c r="J1927" s="103">
        <v>1.2601649081883644E-3</v>
      </c>
      <c r="K1927" s="103"/>
      <c r="L1927" s="103">
        <v>4.0800000000000003E-2</v>
      </c>
      <c r="O1927" s="100"/>
    </row>
    <row r="1928" spans="2:15" x14ac:dyDescent="0.2">
      <c r="B1928" s="1">
        <v>1913</v>
      </c>
      <c r="C1928" s="101">
        <f t="shared" ca="1" si="116"/>
        <v>-0.35655460716733672</v>
      </c>
      <c r="D1928" s="101">
        <f t="shared" ca="1" si="117"/>
        <v>0.64153716500994862</v>
      </c>
      <c r="E1928" s="101">
        <f t="shared" ca="1" si="118"/>
        <v>0</v>
      </c>
      <c r="F1928" s="21">
        <f t="shared" ca="1" si="119"/>
        <v>0</v>
      </c>
      <c r="H1928" s="21">
        <v>1913</v>
      </c>
      <c r="I1928" s="102">
        <v>0.66771928196666763</v>
      </c>
      <c r="J1928" s="103">
        <v>1.359642826248306E-3</v>
      </c>
      <c r="K1928" s="103"/>
      <c r="L1928" s="103">
        <v>3.8600000000000002E-2</v>
      </c>
      <c r="O1928" s="100"/>
    </row>
    <row r="1929" spans="2:15" x14ac:dyDescent="0.2">
      <c r="B1929" s="1">
        <v>1914</v>
      </c>
      <c r="C1929" s="101">
        <f t="shared" ca="1" si="116"/>
        <v>0.3994392352565404</v>
      </c>
      <c r="D1929" s="101">
        <f t="shared" ca="1" si="117"/>
        <v>0.6912070048771003</v>
      </c>
      <c r="E1929" s="101">
        <f t="shared" ca="1" si="118"/>
        <v>0</v>
      </c>
      <c r="F1929" s="21">
        <f t="shared" ca="1" si="119"/>
        <v>0</v>
      </c>
      <c r="H1929" s="21">
        <v>1914</v>
      </c>
      <c r="I1929" s="102">
        <v>0.66778557872843303</v>
      </c>
      <c r="J1929" s="103">
        <v>1.3122475830095468E-3</v>
      </c>
      <c r="K1929" s="103"/>
      <c r="L1929" s="103">
        <v>4.24E-2</v>
      </c>
      <c r="O1929" s="100"/>
    </row>
    <row r="1930" spans="2:15" x14ac:dyDescent="0.2">
      <c r="B1930" s="1">
        <v>1915</v>
      </c>
      <c r="C1930" s="101">
        <f t="shared" ca="1" si="116"/>
        <v>1.1420147823245301</v>
      </c>
      <c r="D1930" s="101">
        <f t="shared" ca="1" si="117"/>
        <v>0.74373737970623011</v>
      </c>
      <c r="E1930" s="101">
        <f t="shared" ca="1" si="118"/>
        <v>0</v>
      </c>
      <c r="F1930" s="21">
        <f t="shared" ca="1" si="119"/>
        <v>0</v>
      </c>
      <c r="H1930" s="21">
        <v>1915</v>
      </c>
      <c r="I1930" s="102">
        <v>0.66789747118025966</v>
      </c>
      <c r="J1930" s="103">
        <v>1.5806956225869668E-3</v>
      </c>
      <c r="K1930" s="103"/>
      <c r="L1930" s="103">
        <v>4.6800000000000001E-2</v>
      </c>
      <c r="O1930" s="100"/>
    </row>
    <row r="1931" spans="2:15" x14ac:dyDescent="0.2">
      <c r="B1931" s="1">
        <v>1916</v>
      </c>
      <c r="C1931" s="101">
        <f t="shared" ca="1" si="116"/>
        <v>1.4886911248539834</v>
      </c>
      <c r="D1931" s="101">
        <f t="shared" ca="1" si="117"/>
        <v>0.76961054585569033</v>
      </c>
      <c r="E1931" s="101">
        <f t="shared" ca="1" si="118"/>
        <v>0</v>
      </c>
      <c r="F1931" s="21">
        <f t="shared" ca="1" si="119"/>
        <v>0</v>
      </c>
      <c r="H1931" s="21">
        <v>1916</v>
      </c>
      <c r="I1931" s="102">
        <v>0.66765624348736041</v>
      </c>
      <c r="J1931" s="103">
        <v>1.147854198608702E-3</v>
      </c>
      <c r="K1931" s="103"/>
      <c r="L1931" s="103">
        <v>3.9E-2</v>
      </c>
      <c r="O1931" s="100"/>
    </row>
    <row r="1932" spans="2:15" x14ac:dyDescent="0.2">
      <c r="B1932" s="1">
        <v>1917</v>
      </c>
      <c r="C1932" s="101">
        <f t="shared" ca="1" si="116"/>
        <v>-0.46864662473095942</v>
      </c>
      <c r="D1932" s="101">
        <f t="shared" ca="1" si="117"/>
        <v>0.63448282085749874</v>
      </c>
      <c r="E1932" s="101">
        <f t="shared" ca="1" si="118"/>
        <v>0</v>
      </c>
      <c r="F1932" s="21">
        <f t="shared" ca="1" si="119"/>
        <v>0</v>
      </c>
      <c r="H1932" s="21">
        <v>1917</v>
      </c>
      <c r="I1932" s="102">
        <v>0.66791875125817846</v>
      </c>
      <c r="J1932" s="103">
        <v>1.499007182174516E-3</v>
      </c>
      <c r="K1932" s="103"/>
      <c r="L1932" s="103">
        <v>4.58E-2</v>
      </c>
      <c r="O1932" s="100"/>
    </row>
    <row r="1933" spans="2:15" x14ac:dyDescent="0.2">
      <c r="B1933" s="1">
        <v>1918</v>
      </c>
      <c r="C1933" s="101">
        <f t="shared" ca="1" si="116"/>
        <v>-1.3407835763309808</v>
      </c>
      <c r="D1933" s="101">
        <f t="shared" ca="1" si="117"/>
        <v>0.58218104110202662</v>
      </c>
      <c r="E1933" s="101">
        <f t="shared" ca="1" si="118"/>
        <v>0</v>
      </c>
      <c r="F1933" s="21">
        <f t="shared" ca="1" si="119"/>
        <v>0</v>
      </c>
      <c r="H1933" s="21">
        <v>1918</v>
      </c>
      <c r="I1933" s="102">
        <v>0.66764626700609409</v>
      </c>
      <c r="J1933" s="103">
        <v>1.3973151684718553E-3</v>
      </c>
      <c r="K1933" s="103"/>
      <c r="L1933" s="103">
        <v>3.9199999999999999E-2</v>
      </c>
      <c r="O1933" s="100"/>
    </row>
    <row r="1934" spans="2:15" x14ac:dyDescent="0.2">
      <c r="B1934" s="1">
        <v>1919</v>
      </c>
      <c r="C1934" s="101">
        <f t="shared" ca="1" si="116"/>
        <v>-0.23121666100537475</v>
      </c>
      <c r="D1934" s="101">
        <f t="shared" ca="1" si="117"/>
        <v>0.64951804465256746</v>
      </c>
      <c r="E1934" s="101">
        <f t="shared" ca="1" si="118"/>
        <v>0</v>
      </c>
      <c r="F1934" s="21">
        <f t="shared" ca="1" si="119"/>
        <v>0</v>
      </c>
      <c r="H1934" s="21">
        <v>1919</v>
      </c>
      <c r="I1934" s="102">
        <v>0.66784284755597922</v>
      </c>
      <c r="J1934" s="103">
        <v>1.4695483119205367E-3</v>
      </c>
      <c r="K1934" s="103"/>
      <c r="L1934" s="103">
        <v>4.1399999999999999E-2</v>
      </c>
      <c r="O1934" s="100"/>
    </row>
    <row r="1935" spans="2:15" x14ac:dyDescent="0.2">
      <c r="B1935" s="1">
        <v>1920</v>
      </c>
      <c r="C1935" s="101">
        <f t="shared" ca="1" si="116"/>
        <v>1.176650987261078</v>
      </c>
      <c r="D1935" s="101">
        <f t="shared" ca="1" si="117"/>
        <v>0.74628274969187158</v>
      </c>
      <c r="E1935" s="101">
        <f t="shared" ca="1" si="118"/>
        <v>0</v>
      </c>
      <c r="F1935" s="21">
        <f t="shared" ca="1" si="119"/>
        <v>0</v>
      </c>
      <c r="H1935" s="21">
        <v>1920</v>
      </c>
      <c r="I1935" s="102">
        <v>0.66782801866121644</v>
      </c>
      <c r="J1935" s="103">
        <v>1.4805101605738886E-3</v>
      </c>
      <c r="K1935" s="103"/>
      <c r="L1935" s="103">
        <v>4.3200000000000002E-2</v>
      </c>
      <c r="O1935" s="100"/>
    </row>
    <row r="1936" spans="2:15" x14ac:dyDescent="0.2">
      <c r="B1936" s="1">
        <v>1921</v>
      </c>
      <c r="C1936" s="101">
        <f t="shared" ref="C1936:C1999" ca="1" si="120">_xlfn.NORM.S.INV(RAND())</f>
        <v>-0.5012509969386999</v>
      </c>
      <c r="D1936" s="101">
        <f t="shared" ref="D1936:D1999" ca="1" si="121">S0*EXP((μ-0.5*σ*σ)*T+σ*SQRT(T)*$C1936)</f>
        <v>0.63244551411593575</v>
      </c>
      <c r="E1936" s="101">
        <f t="shared" ref="E1936:E1999" ca="1" si="122">MAX(0,CP*(D1936-K))</f>
        <v>0</v>
      </c>
      <c r="F1936" s="21">
        <f t="shared" ref="F1936:F1999" ca="1" si="123">(CP*(D1936-K)&gt;0)*1</f>
        <v>0</v>
      </c>
      <c r="H1936" s="21">
        <v>1921</v>
      </c>
      <c r="I1936" s="102">
        <v>0.66772743326762907</v>
      </c>
      <c r="J1936" s="103">
        <v>1.3133789824160763E-3</v>
      </c>
      <c r="K1936" s="103"/>
      <c r="L1936" s="103">
        <v>3.9199999999999999E-2</v>
      </c>
      <c r="O1936" s="100"/>
    </row>
    <row r="1937" spans="2:15" x14ac:dyDescent="0.2">
      <c r="B1937" s="1">
        <v>1922</v>
      </c>
      <c r="C1937" s="101">
        <f t="shared" ca="1" si="120"/>
        <v>-1.8226767841515235</v>
      </c>
      <c r="D1937" s="101">
        <f t="shared" ca="1" si="121"/>
        <v>0.55515473775261981</v>
      </c>
      <c r="E1937" s="101">
        <f t="shared" ca="1" si="122"/>
        <v>0</v>
      </c>
      <c r="F1937" s="21">
        <f t="shared" ca="1" si="123"/>
        <v>0</v>
      </c>
      <c r="H1937" s="21">
        <v>1922</v>
      </c>
      <c r="I1937" s="102">
        <v>0.6676522465247966</v>
      </c>
      <c r="J1937" s="103">
        <v>1.4925291061714664E-3</v>
      </c>
      <c r="K1937" s="103"/>
      <c r="L1937" s="103">
        <v>3.9E-2</v>
      </c>
      <c r="O1937" s="100"/>
    </row>
    <row r="1938" spans="2:15" x14ac:dyDescent="0.2">
      <c r="B1938" s="1">
        <v>1923</v>
      </c>
      <c r="C1938" s="101">
        <f t="shared" ca="1" si="120"/>
        <v>-0.147220654373626</v>
      </c>
      <c r="D1938" s="101">
        <f t="shared" ca="1" si="121"/>
        <v>0.65492196789456869</v>
      </c>
      <c r="E1938" s="101">
        <f t="shared" ca="1" si="122"/>
        <v>0</v>
      </c>
      <c r="F1938" s="21">
        <f t="shared" ca="1" si="123"/>
        <v>0</v>
      </c>
      <c r="H1938" s="21">
        <v>1923</v>
      </c>
      <c r="I1938" s="102">
        <v>0.6676359791414106</v>
      </c>
      <c r="J1938" s="103">
        <v>1.2618739730854802E-3</v>
      </c>
      <c r="K1938" s="103"/>
      <c r="L1938" s="103">
        <v>3.7999999999999999E-2</v>
      </c>
      <c r="O1938" s="100"/>
    </row>
    <row r="1939" spans="2:15" x14ac:dyDescent="0.2">
      <c r="B1939" s="1">
        <v>1924</v>
      </c>
      <c r="C1939" s="101">
        <f t="shared" ca="1" si="120"/>
        <v>-0.54165907603251062</v>
      </c>
      <c r="D1939" s="101">
        <f t="shared" ca="1" si="121"/>
        <v>0.62992966273948903</v>
      </c>
      <c r="E1939" s="101">
        <f t="shared" ca="1" si="122"/>
        <v>0</v>
      </c>
      <c r="F1939" s="21">
        <f t="shared" ca="1" si="123"/>
        <v>0</v>
      </c>
      <c r="H1939" s="21">
        <v>1924</v>
      </c>
      <c r="I1939" s="102">
        <v>0.66777001666321234</v>
      </c>
      <c r="J1939" s="103">
        <v>1.3623170129825253E-3</v>
      </c>
      <c r="K1939" s="103"/>
      <c r="L1939" s="103">
        <v>4.3400000000000001E-2</v>
      </c>
      <c r="O1939" s="100"/>
    </row>
    <row r="1940" spans="2:15" x14ac:dyDescent="0.2">
      <c r="B1940" s="1">
        <v>1925</v>
      </c>
      <c r="C1940" s="101">
        <f t="shared" ca="1" si="120"/>
        <v>0.55261838907695215</v>
      </c>
      <c r="D1940" s="101">
        <f t="shared" ca="1" si="121"/>
        <v>0.70173030312227802</v>
      </c>
      <c r="E1940" s="101">
        <f t="shared" ca="1" si="122"/>
        <v>0</v>
      </c>
      <c r="F1940" s="21">
        <f t="shared" ca="1" si="123"/>
        <v>0</v>
      </c>
      <c r="H1940" s="21">
        <v>1925</v>
      </c>
      <c r="I1940" s="102">
        <v>0.66795654904483781</v>
      </c>
      <c r="J1940" s="103">
        <v>1.619300365291679E-3</v>
      </c>
      <c r="K1940" s="103"/>
      <c r="L1940" s="103">
        <v>4.6399999999999997E-2</v>
      </c>
      <c r="O1940" s="100"/>
    </row>
    <row r="1941" spans="2:15" x14ac:dyDescent="0.2">
      <c r="B1941" s="1">
        <v>1926</v>
      </c>
      <c r="C1941" s="101">
        <f t="shared" ca="1" si="120"/>
        <v>-2.510114685383606</v>
      </c>
      <c r="D1941" s="101">
        <f t="shared" ca="1" si="121"/>
        <v>0.51875779383332021</v>
      </c>
      <c r="E1941" s="101">
        <f t="shared" ca="1" si="122"/>
        <v>0</v>
      </c>
      <c r="F1941" s="21">
        <f t="shared" ca="1" si="123"/>
        <v>0</v>
      </c>
      <c r="H1941" s="21">
        <v>1926</v>
      </c>
      <c r="I1941" s="102">
        <v>0.66770806007441585</v>
      </c>
      <c r="J1941" s="103">
        <v>1.2999215899311667E-3</v>
      </c>
      <c r="K1941" s="103"/>
      <c r="L1941" s="103">
        <v>3.9600000000000003E-2</v>
      </c>
      <c r="O1941" s="100"/>
    </row>
    <row r="1942" spans="2:15" x14ac:dyDescent="0.2">
      <c r="B1942" s="1">
        <v>1927</v>
      </c>
      <c r="C1942" s="101">
        <f t="shared" ca="1" si="120"/>
        <v>-1.4128755706178326</v>
      </c>
      <c r="D1942" s="101">
        <f t="shared" ca="1" si="121"/>
        <v>0.57805569181513272</v>
      </c>
      <c r="E1942" s="101">
        <f t="shared" ca="1" si="122"/>
        <v>0</v>
      </c>
      <c r="F1942" s="21">
        <f t="shared" ca="1" si="123"/>
        <v>0</v>
      </c>
      <c r="H1942" s="21">
        <v>1927</v>
      </c>
      <c r="I1942" s="102">
        <v>0.66773767480860291</v>
      </c>
      <c r="J1942" s="103">
        <v>1.3970732894416859E-3</v>
      </c>
      <c r="K1942" s="103"/>
      <c r="L1942" s="103">
        <v>4.0399999999999998E-2</v>
      </c>
      <c r="O1942" s="100"/>
    </row>
    <row r="1943" spans="2:15" x14ac:dyDescent="0.2">
      <c r="B1943" s="1">
        <v>1928</v>
      </c>
      <c r="C1943" s="101">
        <f t="shared" ca="1" si="120"/>
        <v>-2.5898875446758769</v>
      </c>
      <c r="D1943" s="101">
        <f t="shared" ca="1" si="121"/>
        <v>0.51469175891068519</v>
      </c>
      <c r="E1943" s="101">
        <f t="shared" ca="1" si="122"/>
        <v>0</v>
      </c>
      <c r="F1943" s="21">
        <f t="shared" ca="1" si="123"/>
        <v>0</v>
      </c>
      <c r="H1943" s="21">
        <v>1928</v>
      </c>
      <c r="I1943" s="102">
        <v>0.66770034807155221</v>
      </c>
      <c r="J1943" s="103">
        <v>1.3035771834528547E-3</v>
      </c>
      <c r="K1943" s="103"/>
      <c r="L1943" s="103">
        <v>4.2200000000000001E-2</v>
      </c>
      <c r="O1943" s="100"/>
    </row>
    <row r="1944" spans="2:15" x14ac:dyDescent="0.2">
      <c r="B1944" s="1">
        <v>1929</v>
      </c>
      <c r="C1944" s="101">
        <f t="shared" ca="1" si="120"/>
        <v>0.9552648285210168</v>
      </c>
      <c r="D1944" s="101">
        <f t="shared" ca="1" si="121"/>
        <v>0.73016221751029875</v>
      </c>
      <c r="E1944" s="101">
        <f t="shared" ca="1" si="122"/>
        <v>0</v>
      </c>
      <c r="F1944" s="21">
        <f t="shared" ca="1" si="123"/>
        <v>0</v>
      </c>
      <c r="H1944" s="21">
        <v>1929</v>
      </c>
      <c r="I1944" s="102">
        <v>0.66778341244117134</v>
      </c>
      <c r="J1944" s="103">
        <v>1.4535793235841308E-3</v>
      </c>
      <c r="K1944" s="103"/>
      <c r="L1944" s="103">
        <v>4.24E-2</v>
      </c>
      <c r="O1944" s="100"/>
    </row>
    <row r="1945" spans="2:15" x14ac:dyDescent="0.2">
      <c r="B1945" s="1">
        <v>1930</v>
      </c>
      <c r="C1945" s="101">
        <f t="shared" ca="1" si="120"/>
        <v>-0.56591868192349037</v>
      </c>
      <c r="D1945" s="101">
        <f t="shared" ca="1" si="121"/>
        <v>0.62842404344504865</v>
      </c>
      <c r="E1945" s="101">
        <f t="shared" ca="1" si="122"/>
        <v>0</v>
      </c>
      <c r="F1945" s="21">
        <f t="shared" ca="1" si="123"/>
        <v>0</v>
      </c>
      <c r="H1945" s="21">
        <v>1930</v>
      </c>
      <c r="I1945" s="102">
        <v>0.66761048195779304</v>
      </c>
      <c r="J1945" s="103">
        <v>1.1806152174428832E-3</v>
      </c>
      <c r="K1945" s="103"/>
      <c r="L1945" s="103">
        <v>3.7199999999999997E-2</v>
      </c>
      <c r="O1945" s="100"/>
    </row>
    <row r="1946" spans="2:15" x14ac:dyDescent="0.2">
      <c r="B1946" s="1">
        <v>1931</v>
      </c>
      <c r="C1946" s="101">
        <f t="shared" ca="1" si="120"/>
        <v>-0.20391565379176194</v>
      </c>
      <c r="D1946" s="101">
        <f t="shared" ca="1" si="121"/>
        <v>0.65126955901042827</v>
      </c>
      <c r="E1946" s="101">
        <f t="shared" ca="1" si="122"/>
        <v>0</v>
      </c>
      <c r="F1946" s="21">
        <f t="shared" ca="1" si="123"/>
        <v>0</v>
      </c>
      <c r="H1946" s="21">
        <v>1931</v>
      </c>
      <c r="I1946" s="102">
        <v>0.66773076558869326</v>
      </c>
      <c r="J1946" s="103">
        <v>1.2734217034019932E-3</v>
      </c>
      <c r="K1946" s="103"/>
      <c r="L1946" s="103">
        <v>3.9199999999999999E-2</v>
      </c>
      <c r="O1946" s="100"/>
    </row>
    <row r="1947" spans="2:15" x14ac:dyDescent="0.2">
      <c r="B1947" s="1">
        <v>1932</v>
      </c>
      <c r="C1947" s="101">
        <f t="shared" ca="1" si="120"/>
        <v>0.25951823850772837</v>
      </c>
      <c r="D1947" s="101">
        <f t="shared" ca="1" si="121"/>
        <v>0.68173250478904612</v>
      </c>
      <c r="E1947" s="101">
        <f t="shared" ca="1" si="122"/>
        <v>0</v>
      </c>
      <c r="F1947" s="21">
        <f t="shared" ca="1" si="123"/>
        <v>0</v>
      </c>
      <c r="H1947" s="21">
        <v>1932</v>
      </c>
      <c r="I1947" s="102">
        <v>0.66784288160975169</v>
      </c>
      <c r="J1947" s="103">
        <v>1.499850429647449E-3</v>
      </c>
      <c r="K1947" s="103"/>
      <c r="L1947" s="103">
        <v>4.4999999999999998E-2</v>
      </c>
      <c r="O1947" s="100"/>
    </row>
    <row r="1948" spans="2:15" x14ac:dyDescent="0.2">
      <c r="B1948" s="1">
        <v>1933</v>
      </c>
      <c r="C1948" s="101">
        <f t="shared" ca="1" si="120"/>
        <v>-0.32689854046760136</v>
      </c>
      <c r="D1948" s="101">
        <f t="shared" ca="1" si="121"/>
        <v>0.64341661013412832</v>
      </c>
      <c r="E1948" s="101">
        <f t="shared" ca="1" si="122"/>
        <v>0</v>
      </c>
      <c r="F1948" s="21">
        <f t="shared" ca="1" si="123"/>
        <v>0</v>
      </c>
      <c r="H1948" s="21">
        <v>1933</v>
      </c>
      <c r="I1948" s="102">
        <v>0.6677395796506912</v>
      </c>
      <c r="J1948" s="103">
        <v>1.3896846828739195E-3</v>
      </c>
      <c r="K1948" s="103"/>
      <c r="L1948" s="103">
        <v>0.04</v>
      </c>
      <c r="O1948" s="100"/>
    </row>
    <row r="1949" spans="2:15" x14ac:dyDescent="0.2">
      <c r="B1949" s="1">
        <v>1934</v>
      </c>
      <c r="C1949" s="101">
        <f t="shared" ca="1" si="120"/>
        <v>0.12068738950083367</v>
      </c>
      <c r="D1949" s="101">
        <f t="shared" ca="1" si="121"/>
        <v>0.67246018158511278</v>
      </c>
      <c r="E1949" s="101">
        <f t="shared" ca="1" si="122"/>
        <v>0</v>
      </c>
      <c r="F1949" s="21">
        <f t="shared" ca="1" si="123"/>
        <v>0</v>
      </c>
      <c r="H1949" s="21">
        <v>1934</v>
      </c>
      <c r="I1949" s="102">
        <v>0.66770470927900083</v>
      </c>
      <c r="J1949" s="103">
        <v>1.3728472618536013E-3</v>
      </c>
      <c r="K1949" s="103"/>
      <c r="L1949" s="103">
        <v>4.2799999999999998E-2</v>
      </c>
      <c r="O1949" s="100"/>
    </row>
    <row r="1950" spans="2:15" x14ac:dyDescent="0.2">
      <c r="B1950" s="1">
        <v>1935</v>
      </c>
      <c r="C1950" s="101">
        <f t="shared" ca="1" si="120"/>
        <v>-0.37990064530249523</v>
      </c>
      <c r="D1950" s="101">
        <f t="shared" ca="1" si="121"/>
        <v>0.64006147905812116</v>
      </c>
      <c r="E1950" s="101">
        <f t="shared" ca="1" si="122"/>
        <v>0</v>
      </c>
      <c r="F1950" s="21">
        <f t="shared" ca="1" si="123"/>
        <v>0</v>
      </c>
      <c r="H1950" s="21">
        <v>1935</v>
      </c>
      <c r="I1950" s="102">
        <v>0.66777114241319901</v>
      </c>
      <c r="J1950" s="103">
        <v>1.4227938025190468E-3</v>
      </c>
      <c r="K1950" s="103"/>
      <c r="L1950" s="103">
        <v>4.1200000000000001E-2</v>
      </c>
      <c r="O1950" s="100"/>
    </row>
    <row r="1951" spans="2:15" x14ac:dyDescent="0.2">
      <c r="B1951" s="1">
        <v>1936</v>
      </c>
      <c r="C1951" s="101">
        <f t="shared" ca="1" si="120"/>
        <v>0.2676065416201896</v>
      </c>
      <c r="D1951" s="101">
        <f t="shared" ca="1" si="121"/>
        <v>0.68227663592919052</v>
      </c>
      <c r="E1951" s="101">
        <f t="shared" ca="1" si="122"/>
        <v>0</v>
      </c>
      <c r="F1951" s="21">
        <f t="shared" ca="1" si="123"/>
        <v>0</v>
      </c>
      <c r="H1951" s="21">
        <v>1936</v>
      </c>
      <c r="I1951" s="102">
        <v>0.6677404458961993</v>
      </c>
      <c r="J1951" s="103">
        <v>1.3376114154220887E-3</v>
      </c>
      <c r="K1951" s="103"/>
      <c r="L1951" s="103">
        <v>4.3799999999999999E-2</v>
      </c>
      <c r="O1951" s="100"/>
    </row>
    <row r="1952" spans="2:15" x14ac:dyDescent="0.2">
      <c r="B1952" s="1">
        <v>1937</v>
      </c>
      <c r="C1952" s="101">
        <f t="shared" ca="1" si="120"/>
        <v>-0.53795550219759258</v>
      </c>
      <c r="D1952" s="101">
        <f t="shared" ca="1" si="121"/>
        <v>0.6301598341075505</v>
      </c>
      <c r="E1952" s="101">
        <f t="shared" ca="1" si="122"/>
        <v>0</v>
      </c>
      <c r="F1952" s="21">
        <f t="shared" ca="1" si="123"/>
        <v>0</v>
      </c>
      <c r="H1952" s="21">
        <v>1937</v>
      </c>
      <c r="I1952" s="102">
        <v>0.66762777286461983</v>
      </c>
      <c r="J1952" s="103">
        <v>1.192980687707875E-3</v>
      </c>
      <c r="K1952" s="103"/>
      <c r="L1952" s="103">
        <v>3.9600000000000003E-2</v>
      </c>
      <c r="O1952" s="100"/>
    </row>
    <row r="1953" spans="2:15" x14ac:dyDescent="0.2">
      <c r="B1953" s="1">
        <v>1938</v>
      </c>
      <c r="C1953" s="101">
        <f t="shared" ca="1" si="120"/>
        <v>-1.4029035569276818</v>
      </c>
      <c r="D1953" s="101">
        <f t="shared" ca="1" si="121"/>
        <v>0.57862457757591002</v>
      </c>
      <c r="E1953" s="101">
        <f t="shared" ca="1" si="122"/>
        <v>0</v>
      </c>
      <c r="F1953" s="21">
        <f t="shared" ca="1" si="123"/>
        <v>0</v>
      </c>
      <c r="H1953" s="21">
        <v>1938</v>
      </c>
      <c r="I1953" s="102">
        <v>0.66785156223037467</v>
      </c>
      <c r="J1953" s="103">
        <v>1.4736412814472459E-3</v>
      </c>
      <c r="K1953" s="103"/>
      <c r="L1953" s="103">
        <v>4.4200000000000003E-2</v>
      </c>
      <c r="O1953" s="100"/>
    </row>
    <row r="1954" spans="2:15" x14ac:dyDescent="0.2">
      <c r="B1954" s="1">
        <v>1939</v>
      </c>
      <c r="C1954" s="101">
        <f t="shared" ca="1" si="120"/>
        <v>-1.6414558681136668</v>
      </c>
      <c r="D1954" s="101">
        <f t="shared" ca="1" si="121"/>
        <v>0.56516784230808481</v>
      </c>
      <c r="E1954" s="101">
        <f t="shared" ca="1" si="122"/>
        <v>0</v>
      </c>
      <c r="F1954" s="21">
        <f t="shared" ca="1" si="123"/>
        <v>0</v>
      </c>
      <c r="H1954" s="21">
        <v>1939</v>
      </c>
      <c r="I1954" s="102">
        <v>0.66777087575647875</v>
      </c>
      <c r="J1954" s="103">
        <v>1.4573529100243281E-3</v>
      </c>
      <c r="K1954" s="103"/>
      <c r="L1954" s="103">
        <v>4.1799999999999997E-2</v>
      </c>
      <c r="O1954" s="100"/>
    </row>
    <row r="1955" spans="2:15" x14ac:dyDescent="0.2">
      <c r="B1955" s="1">
        <v>1940</v>
      </c>
      <c r="C1955" s="101">
        <f t="shared" ca="1" si="120"/>
        <v>-0.31912487528707728</v>
      </c>
      <c r="D1955" s="101">
        <f t="shared" ca="1" si="121"/>
        <v>0.64391017418530894</v>
      </c>
      <c r="E1955" s="101">
        <f t="shared" ca="1" si="122"/>
        <v>0</v>
      </c>
      <c r="F1955" s="21">
        <f t="shared" ca="1" si="123"/>
        <v>0</v>
      </c>
      <c r="H1955" s="21">
        <v>1940</v>
      </c>
      <c r="I1955" s="102">
        <v>0.66788783850389921</v>
      </c>
      <c r="J1955" s="103">
        <v>1.6611713162076255E-3</v>
      </c>
      <c r="K1955" s="103"/>
      <c r="L1955" s="103">
        <v>4.7800000000000002E-2</v>
      </c>
      <c r="O1955" s="100"/>
    </row>
    <row r="1956" spans="2:15" x14ac:dyDescent="0.2">
      <c r="B1956" s="1">
        <v>1941</v>
      </c>
      <c r="C1956" s="101">
        <f t="shared" ca="1" si="120"/>
        <v>0.92171134108077746</v>
      </c>
      <c r="D1956" s="101">
        <f t="shared" ca="1" si="121"/>
        <v>0.72774955033271793</v>
      </c>
      <c r="E1956" s="101">
        <f t="shared" ca="1" si="122"/>
        <v>0</v>
      </c>
      <c r="F1956" s="21">
        <f t="shared" ca="1" si="123"/>
        <v>0</v>
      </c>
      <c r="H1956" s="21">
        <v>1941</v>
      </c>
      <c r="I1956" s="102">
        <v>0.66779567985676624</v>
      </c>
      <c r="J1956" s="103">
        <v>1.4121146113274981E-3</v>
      </c>
      <c r="K1956" s="103"/>
      <c r="L1956" s="103">
        <v>4.3200000000000002E-2</v>
      </c>
      <c r="O1956" s="100"/>
    </row>
    <row r="1957" spans="2:15" x14ac:dyDescent="0.2">
      <c r="B1957" s="1">
        <v>1942</v>
      </c>
      <c r="C1957" s="101">
        <f t="shared" ca="1" si="120"/>
        <v>-2.4927152173194109</v>
      </c>
      <c r="D1957" s="101">
        <f t="shared" ca="1" si="121"/>
        <v>0.51964890574925404</v>
      </c>
      <c r="E1957" s="101">
        <f t="shared" ca="1" si="122"/>
        <v>0</v>
      </c>
      <c r="F1957" s="21">
        <f t="shared" ca="1" si="123"/>
        <v>0</v>
      </c>
      <c r="H1957" s="21">
        <v>1942</v>
      </c>
      <c r="I1957" s="102">
        <v>0.66764197660139613</v>
      </c>
      <c r="J1957" s="103">
        <v>1.2246559485291724E-3</v>
      </c>
      <c r="K1957" s="103"/>
      <c r="L1957" s="103">
        <v>0.04</v>
      </c>
      <c r="O1957" s="100"/>
    </row>
    <row r="1958" spans="2:15" x14ac:dyDescent="0.2">
      <c r="B1958" s="1">
        <v>1943</v>
      </c>
      <c r="C1958" s="101">
        <f t="shared" ca="1" si="120"/>
        <v>-0.34776739535250106</v>
      </c>
      <c r="D1958" s="101">
        <f t="shared" ca="1" si="121"/>
        <v>0.64209347908684966</v>
      </c>
      <c r="E1958" s="101">
        <f t="shared" ca="1" si="122"/>
        <v>0</v>
      </c>
      <c r="F1958" s="21">
        <f t="shared" ca="1" si="123"/>
        <v>0</v>
      </c>
      <c r="H1958" s="21">
        <v>1943</v>
      </c>
      <c r="I1958" s="102">
        <v>0.66782708274519742</v>
      </c>
      <c r="J1958" s="103">
        <v>1.4159730638489414E-3</v>
      </c>
      <c r="K1958" s="103"/>
      <c r="L1958" s="103">
        <v>4.1599999999999998E-2</v>
      </c>
      <c r="O1958" s="100"/>
    </row>
    <row r="1959" spans="2:15" x14ac:dyDescent="0.2">
      <c r="B1959" s="1">
        <v>1944</v>
      </c>
      <c r="C1959" s="101">
        <f t="shared" ca="1" si="120"/>
        <v>1.4124644528934986</v>
      </c>
      <c r="D1959" s="101">
        <f t="shared" ca="1" si="121"/>
        <v>0.7638454684732332</v>
      </c>
      <c r="E1959" s="101">
        <f t="shared" ca="1" si="122"/>
        <v>0</v>
      </c>
      <c r="F1959" s="21">
        <f t="shared" ca="1" si="123"/>
        <v>0</v>
      </c>
      <c r="H1959" s="21">
        <v>1944</v>
      </c>
      <c r="I1959" s="102">
        <v>0.66775603318614818</v>
      </c>
      <c r="J1959" s="103">
        <v>1.3525078483515099E-3</v>
      </c>
      <c r="K1959" s="103"/>
      <c r="L1959" s="103">
        <v>4.2000000000000003E-2</v>
      </c>
      <c r="O1959" s="100"/>
    </row>
    <row r="1960" spans="2:15" x14ac:dyDescent="0.2">
      <c r="B1960" s="1">
        <v>1945</v>
      </c>
      <c r="C1960" s="101">
        <f t="shared" ca="1" si="120"/>
        <v>-0.3522892910252326</v>
      </c>
      <c r="D1960" s="101">
        <f t="shared" ca="1" si="121"/>
        <v>0.64180713986243187</v>
      </c>
      <c r="E1960" s="101">
        <f t="shared" ca="1" si="122"/>
        <v>0</v>
      </c>
      <c r="F1960" s="21">
        <f t="shared" ca="1" si="123"/>
        <v>0</v>
      </c>
      <c r="H1960" s="21">
        <v>1945</v>
      </c>
      <c r="I1960" s="102">
        <v>0.66768607874700425</v>
      </c>
      <c r="J1960" s="103">
        <v>1.2822742761286041E-3</v>
      </c>
      <c r="K1960" s="103"/>
      <c r="L1960" s="103">
        <v>0.04</v>
      </c>
      <c r="O1960" s="100"/>
    </row>
    <row r="1961" spans="2:15" x14ac:dyDescent="0.2">
      <c r="B1961" s="1">
        <v>1946</v>
      </c>
      <c r="C1961" s="101">
        <f t="shared" ca="1" si="120"/>
        <v>-0.53939315105361196</v>
      </c>
      <c r="D1961" s="101">
        <f t="shared" ca="1" si="121"/>
        <v>0.63007047647618453</v>
      </c>
      <c r="E1961" s="101">
        <f t="shared" ca="1" si="122"/>
        <v>0</v>
      </c>
      <c r="F1961" s="21">
        <f t="shared" ca="1" si="123"/>
        <v>0</v>
      </c>
      <c r="H1961" s="21">
        <v>1946</v>
      </c>
      <c r="I1961" s="102">
        <v>0.66789213276696491</v>
      </c>
      <c r="J1961" s="103">
        <v>1.4154978808905351E-3</v>
      </c>
      <c r="K1961" s="103"/>
      <c r="L1961" s="103">
        <v>4.5999999999999999E-2</v>
      </c>
      <c r="O1961" s="100"/>
    </row>
    <row r="1962" spans="2:15" x14ac:dyDescent="0.2">
      <c r="B1962" s="1">
        <v>1947</v>
      </c>
      <c r="C1962" s="101">
        <f t="shared" ca="1" si="120"/>
        <v>-1.1041635116416773</v>
      </c>
      <c r="D1962" s="101">
        <f t="shared" ca="1" si="121"/>
        <v>0.59592926875045327</v>
      </c>
      <c r="E1962" s="101">
        <f t="shared" ca="1" si="122"/>
        <v>0</v>
      </c>
      <c r="F1962" s="21">
        <f t="shared" ca="1" si="123"/>
        <v>0</v>
      </c>
      <c r="H1962" s="21">
        <v>1947</v>
      </c>
      <c r="I1962" s="102">
        <v>0.66769840879751152</v>
      </c>
      <c r="J1962" s="103">
        <v>1.2303143309331521E-3</v>
      </c>
      <c r="K1962" s="103"/>
      <c r="L1962" s="103">
        <v>4.24E-2</v>
      </c>
      <c r="O1962" s="100"/>
    </row>
    <row r="1963" spans="2:15" x14ac:dyDescent="0.2">
      <c r="B1963" s="1">
        <v>1948</v>
      </c>
      <c r="C1963" s="101">
        <f t="shared" ca="1" si="120"/>
        <v>-0.25971786354839788</v>
      </c>
      <c r="D1963" s="101">
        <f t="shared" ca="1" si="121"/>
        <v>0.647694556432171</v>
      </c>
      <c r="E1963" s="101">
        <f t="shared" ca="1" si="122"/>
        <v>0</v>
      </c>
      <c r="F1963" s="21">
        <f t="shared" ca="1" si="123"/>
        <v>0</v>
      </c>
      <c r="H1963" s="21">
        <v>1948</v>
      </c>
      <c r="I1963" s="102">
        <v>0.66767994734645519</v>
      </c>
      <c r="J1963" s="103">
        <v>1.3752625790366211E-3</v>
      </c>
      <c r="K1963" s="103"/>
      <c r="L1963" s="103">
        <v>4.0399999999999998E-2</v>
      </c>
      <c r="O1963" s="100"/>
    </row>
    <row r="1964" spans="2:15" x14ac:dyDescent="0.2">
      <c r="B1964" s="1">
        <v>1949</v>
      </c>
      <c r="C1964" s="101">
        <f t="shared" ca="1" si="120"/>
        <v>0.66298695600133861</v>
      </c>
      <c r="D1964" s="101">
        <f t="shared" ca="1" si="121"/>
        <v>0.70941170948617427</v>
      </c>
      <c r="E1964" s="101">
        <f t="shared" ca="1" si="122"/>
        <v>0</v>
      </c>
      <c r="F1964" s="21">
        <f t="shared" ca="1" si="123"/>
        <v>0</v>
      </c>
      <c r="H1964" s="21">
        <v>1949</v>
      </c>
      <c r="I1964" s="102">
        <v>0.66763350012810785</v>
      </c>
      <c r="J1964" s="103">
        <v>1.1704190497492523E-3</v>
      </c>
      <c r="K1964" s="103"/>
      <c r="L1964" s="103">
        <v>3.9199999999999999E-2</v>
      </c>
      <c r="O1964" s="100"/>
    </row>
    <row r="1965" spans="2:15" x14ac:dyDescent="0.2">
      <c r="B1965" s="1">
        <v>1950</v>
      </c>
      <c r="C1965" s="101">
        <f t="shared" ca="1" si="120"/>
        <v>-0.85535173443538204</v>
      </c>
      <c r="D1965" s="101">
        <f t="shared" ca="1" si="121"/>
        <v>0.6107361952892103</v>
      </c>
      <c r="E1965" s="101">
        <f t="shared" ca="1" si="122"/>
        <v>0</v>
      </c>
      <c r="F1965" s="21">
        <f t="shared" ca="1" si="123"/>
        <v>0</v>
      </c>
      <c r="H1965" s="21">
        <v>1950</v>
      </c>
      <c r="I1965" s="102">
        <v>0.66763754867393676</v>
      </c>
      <c r="J1965" s="103">
        <v>1.1695712851215463E-3</v>
      </c>
      <c r="K1965" s="103"/>
      <c r="L1965" s="103">
        <v>3.7400000000000003E-2</v>
      </c>
      <c r="O1965" s="100"/>
    </row>
    <row r="1966" spans="2:15" x14ac:dyDescent="0.2">
      <c r="B1966" s="1">
        <v>1951</v>
      </c>
      <c r="C1966" s="101">
        <f t="shared" ca="1" si="120"/>
        <v>-0.71919851742694751</v>
      </c>
      <c r="D1966" s="101">
        <f t="shared" ca="1" si="121"/>
        <v>0.61899391411344129</v>
      </c>
      <c r="E1966" s="101">
        <f t="shared" ca="1" si="122"/>
        <v>0</v>
      </c>
      <c r="F1966" s="21">
        <f t="shared" ca="1" si="123"/>
        <v>0</v>
      </c>
      <c r="H1966" s="21">
        <v>1951</v>
      </c>
      <c r="I1966" s="102">
        <v>0.66773248068211588</v>
      </c>
      <c r="J1966" s="103">
        <v>1.2912135561198835E-3</v>
      </c>
      <c r="K1966" s="103"/>
      <c r="L1966" s="103">
        <v>4.5999999999999999E-2</v>
      </c>
      <c r="O1966" s="100"/>
    </row>
    <row r="1967" spans="2:15" x14ac:dyDescent="0.2">
      <c r="B1967" s="1">
        <v>1952</v>
      </c>
      <c r="C1967" s="101">
        <f t="shared" ca="1" si="120"/>
        <v>-1.8432109551587921</v>
      </c>
      <c r="D1967" s="101">
        <f t="shared" ca="1" si="121"/>
        <v>0.55403139997528683</v>
      </c>
      <c r="E1967" s="101">
        <f t="shared" ca="1" si="122"/>
        <v>0</v>
      </c>
      <c r="F1967" s="21">
        <f t="shared" ca="1" si="123"/>
        <v>0</v>
      </c>
      <c r="H1967" s="21">
        <v>1952</v>
      </c>
      <c r="I1967" s="102">
        <v>0.66785630338452839</v>
      </c>
      <c r="J1967" s="103">
        <v>1.476809860769218E-3</v>
      </c>
      <c r="K1967" s="103"/>
      <c r="L1967" s="103">
        <v>4.2200000000000001E-2</v>
      </c>
      <c r="O1967" s="100"/>
    </row>
    <row r="1968" spans="2:15" x14ac:dyDescent="0.2">
      <c r="B1968" s="1">
        <v>1953</v>
      </c>
      <c r="C1968" s="101">
        <f t="shared" ca="1" si="120"/>
        <v>1.1922260366016459</v>
      </c>
      <c r="D1968" s="101">
        <f t="shared" ca="1" si="121"/>
        <v>0.74743017755131635</v>
      </c>
      <c r="E1968" s="101">
        <f t="shared" ca="1" si="122"/>
        <v>0</v>
      </c>
      <c r="F1968" s="21">
        <f t="shared" ca="1" si="123"/>
        <v>0</v>
      </c>
      <c r="H1968" s="21">
        <v>1953</v>
      </c>
      <c r="I1968" s="102">
        <v>0.6678715915900898</v>
      </c>
      <c r="J1968" s="103">
        <v>1.4315136712347589E-3</v>
      </c>
      <c r="K1968" s="103"/>
      <c r="L1968" s="103">
        <v>4.5400000000000003E-2</v>
      </c>
      <c r="O1968" s="100"/>
    </row>
    <row r="1969" spans="2:15" x14ac:dyDescent="0.2">
      <c r="B1969" s="1">
        <v>1954</v>
      </c>
      <c r="C1969" s="101">
        <f t="shared" ca="1" si="120"/>
        <v>-1.0940302303234772</v>
      </c>
      <c r="D1969" s="101">
        <f t="shared" ca="1" si="121"/>
        <v>0.59652523379312272</v>
      </c>
      <c r="E1969" s="101">
        <f t="shared" ca="1" si="122"/>
        <v>0</v>
      </c>
      <c r="F1969" s="21">
        <f t="shared" ca="1" si="123"/>
        <v>0</v>
      </c>
      <c r="H1969" s="21">
        <v>1954</v>
      </c>
      <c r="I1969" s="102">
        <v>0.6677743775341195</v>
      </c>
      <c r="J1969" s="103">
        <v>1.2238275687072246E-3</v>
      </c>
      <c r="K1969" s="103"/>
      <c r="L1969" s="103">
        <v>4.3400000000000001E-2</v>
      </c>
      <c r="O1969" s="100"/>
    </row>
    <row r="1970" spans="2:15" x14ac:dyDescent="0.2">
      <c r="B1970" s="1">
        <v>1955</v>
      </c>
      <c r="C1970" s="101">
        <f t="shared" ca="1" si="120"/>
        <v>0.53363956418359193</v>
      </c>
      <c r="D1970" s="101">
        <f t="shared" ca="1" si="121"/>
        <v>0.70041782523958784</v>
      </c>
      <c r="E1970" s="101">
        <f t="shared" ca="1" si="122"/>
        <v>0</v>
      </c>
      <c r="F1970" s="21">
        <f t="shared" ca="1" si="123"/>
        <v>0</v>
      </c>
      <c r="H1970" s="21">
        <v>1955</v>
      </c>
      <c r="I1970" s="102">
        <v>0.66775305186284739</v>
      </c>
      <c r="J1970" s="103">
        <v>1.461548119318575E-3</v>
      </c>
      <c r="K1970" s="103"/>
      <c r="L1970" s="103">
        <v>4.2599999999999999E-2</v>
      </c>
      <c r="O1970" s="100"/>
    </row>
    <row r="1971" spans="2:15" x14ac:dyDescent="0.2">
      <c r="B1971" s="1">
        <v>1956</v>
      </c>
      <c r="C1971" s="101">
        <f t="shared" ca="1" si="120"/>
        <v>-1.1064550473807222</v>
      </c>
      <c r="D1971" s="101">
        <f t="shared" ca="1" si="121"/>
        <v>0.5957945800481419</v>
      </c>
      <c r="E1971" s="101">
        <f t="shared" ca="1" si="122"/>
        <v>0</v>
      </c>
      <c r="F1971" s="21">
        <f t="shared" ca="1" si="123"/>
        <v>0</v>
      </c>
      <c r="H1971" s="21">
        <v>1956</v>
      </c>
      <c r="I1971" s="102">
        <v>0.66767774372202349</v>
      </c>
      <c r="J1971" s="103">
        <v>1.3667780771793843E-3</v>
      </c>
      <c r="K1971" s="103"/>
      <c r="L1971" s="103">
        <v>4.2599999999999999E-2</v>
      </c>
      <c r="O1971" s="100"/>
    </row>
    <row r="1972" spans="2:15" x14ac:dyDescent="0.2">
      <c r="B1972" s="1">
        <v>1957</v>
      </c>
      <c r="C1972" s="101">
        <f t="shared" ca="1" si="120"/>
        <v>-0.27351700805298979</v>
      </c>
      <c r="D1972" s="101">
        <f t="shared" ca="1" si="121"/>
        <v>0.64681353642614292</v>
      </c>
      <c r="E1972" s="101">
        <f t="shared" ca="1" si="122"/>
        <v>0</v>
      </c>
      <c r="F1972" s="21">
        <f t="shared" ca="1" si="123"/>
        <v>0</v>
      </c>
      <c r="H1972" s="21">
        <v>1957</v>
      </c>
      <c r="I1972" s="102">
        <v>0.66780948456561773</v>
      </c>
      <c r="J1972" s="103">
        <v>1.4809762307083179E-3</v>
      </c>
      <c r="K1972" s="103"/>
      <c r="L1972" s="103">
        <v>4.2000000000000003E-2</v>
      </c>
      <c r="O1972" s="100"/>
    </row>
    <row r="1973" spans="2:15" x14ac:dyDescent="0.2">
      <c r="B1973" s="1">
        <v>1958</v>
      </c>
      <c r="C1973" s="101">
        <f t="shared" ca="1" si="120"/>
        <v>0.50938865622454454</v>
      </c>
      <c r="D1973" s="101">
        <f t="shared" ca="1" si="121"/>
        <v>0.69874432896207506</v>
      </c>
      <c r="E1973" s="101">
        <f t="shared" ca="1" si="122"/>
        <v>0</v>
      </c>
      <c r="F1973" s="21">
        <f t="shared" ca="1" si="123"/>
        <v>0</v>
      </c>
      <c r="H1973" s="21">
        <v>1958</v>
      </c>
      <c r="I1973" s="102">
        <v>0.66763897012522089</v>
      </c>
      <c r="J1973" s="103">
        <v>1.1097827608226106E-3</v>
      </c>
      <c r="K1973" s="103"/>
      <c r="L1973" s="103">
        <v>3.5999999999999997E-2</v>
      </c>
      <c r="O1973" s="100"/>
    </row>
    <row r="1974" spans="2:15" x14ac:dyDescent="0.2">
      <c r="B1974" s="1">
        <v>1959</v>
      </c>
      <c r="C1974" s="101">
        <f t="shared" ca="1" si="120"/>
        <v>0.87783443255394888</v>
      </c>
      <c r="D1974" s="101">
        <f t="shared" ca="1" si="121"/>
        <v>0.72460660102732699</v>
      </c>
      <c r="E1974" s="101">
        <f t="shared" ca="1" si="122"/>
        <v>0</v>
      </c>
      <c r="F1974" s="21">
        <f t="shared" ca="1" si="123"/>
        <v>0</v>
      </c>
      <c r="H1974" s="21">
        <v>1959</v>
      </c>
      <c r="I1974" s="102">
        <v>0.66769048496723005</v>
      </c>
      <c r="J1974" s="103">
        <v>1.2916956640441563E-3</v>
      </c>
      <c r="K1974" s="103"/>
      <c r="L1974" s="103">
        <v>4.1200000000000001E-2</v>
      </c>
      <c r="O1974" s="100"/>
    </row>
    <row r="1975" spans="2:15" x14ac:dyDescent="0.2">
      <c r="B1975" s="1">
        <v>1960</v>
      </c>
      <c r="C1975" s="101">
        <f t="shared" ca="1" si="120"/>
        <v>-0.76691924869012529</v>
      </c>
      <c r="D1975" s="101">
        <f t="shared" ca="1" si="121"/>
        <v>0.61608701066256577</v>
      </c>
      <c r="E1975" s="101">
        <f t="shared" ca="1" si="122"/>
        <v>0</v>
      </c>
      <c r="F1975" s="21">
        <f t="shared" ca="1" si="123"/>
        <v>0</v>
      </c>
      <c r="H1975" s="21">
        <v>1960</v>
      </c>
      <c r="I1975" s="102">
        <v>0.66771011123967605</v>
      </c>
      <c r="J1975" s="103">
        <v>1.310090814937148E-3</v>
      </c>
      <c r="K1975" s="103"/>
      <c r="L1975" s="103">
        <v>4.02E-2</v>
      </c>
      <c r="O1975" s="100"/>
    </row>
    <row r="1976" spans="2:15" x14ac:dyDescent="0.2">
      <c r="B1976" s="1">
        <v>1961</v>
      </c>
      <c r="C1976" s="101">
        <f t="shared" ca="1" si="120"/>
        <v>-0.73239991436683582</v>
      </c>
      <c r="D1976" s="101">
        <f t="shared" ca="1" si="121"/>
        <v>0.61818838279480626</v>
      </c>
      <c r="E1976" s="101">
        <f t="shared" ca="1" si="122"/>
        <v>0</v>
      </c>
      <c r="F1976" s="21">
        <f t="shared" ca="1" si="123"/>
        <v>0</v>
      </c>
      <c r="H1976" s="21">
        <v>1961</v>
      </c>
      <c r="I1976" s="102">
        <v>0.66789529247097046</v>
      </c>
      <c r="J1976" s="103">
        <v>1.460627088944254E-3</v>
      </c>
      <c r="K1976" s="103"/>
      <c r="L1976" s="103">
        <v>4.6199999999999998E-2</v>
      </c>
      <c r="O1976" s="100"/>
    </row>
    <row r="1977" spans="2:15" x14ac:dyDescent="0.2">
      <c r="B1977" s="1">
        <v>1962</v>
      </c>
      <c r="C1977" s="101">
        <f t="shared" ca="1" si="120"/>
        <v>-0.16526925414718713</v>
      </c>
      <c r="D1977" s="101">
        <f t="shared" ca="1" si="121"/>
        <v>0.65375702285814807</v>
      </c>
      <c r="E1977" s="101">
        <f t="shared" ca="1" si="122"/>
        <v>0</v>
      </c>
      <c r="F1977" s="21">
        <f t="shared" ca="1" si="123"/>
        <v>0</v>
      </c>
      <c r="H1977" s="21">
        <v>1962</v>
      </c>
      <c r="I1977" s="102">
        <v>0.66774971286483265</v>
      </c>
      <c r="J1977" s="103">
        <v>1.3146383762711426E-3</v>
      </c>
      <c r="K1977" s="103"/>
      <c r="L1977" s="103">
        <v>4.0599999999999997E-2</v>
      </c>
      <c r="O1977" s="100"/>
    </row>
    <row r="1978" spans="2:15" x14ac:dyDescent="0.2">
      <c r="B1978" s="1">
        <v>1963</v>
      </c>
      <c r="C1978" s="101">
        <f t="shared" ca="1" si="120"/>
        <v>0.55621169327425812</v>
      </c>
      <c r="D1978" s="101">
        <f t="shared" ca="1" si="121"/>
        <v>0.70197907431385054</v>
      </c>
      <c r="E1978" s="101">
        <f t="shared" ca="1" si="122"/>
        <v>0</v>
      </c>
      <c r="F1978" s="21">
        <f t="shared" ca="1" si="123"/>
        <v>0</v>
      </c>
      <c r="H1978" s="21">
        <v>1963</v>
      </c>
      <c r="I1978" s="102">
        <v>0.66782186858332782</v>
      </c>
      <c r="J1978" s="103">
        <v>1.4074831620756194E-3</v>
      </c>
      <c r="K1978" s="103"/>
      <c r="L1978" s="103">
        <v>4.5400000000000003E-2</v>
      </c>
      <c r="O1978" s="100"/>
    </row>
    <row r="1979" spans="2:15" x14ac:dyDescent="0.2">
      <c r="B1979" s="1">
        <v>1964</v>
      </c>
      <c r="C1979" s="101">
        <f t="shared" ca="1" si="120"/>
        <v>0.49839000263446792</v>
      </c>
      <c r="D1979" s="101">
        <f t="shared" ca="1" si="121"/>
        <v>0.69798665710834762</v>
      </c>
      <c r="E1979" s="101">
        <f t="shared" ca="1" si="122"/>
        <v>0</v>
      </c>
      <c r="F1979" s="21">
        <f t="shared" ca="1" si="123"/>
        <v>0</v>
      </c>
      <c r="H1979" s="21">
        <v>1964</v>
      </c>
      <c r="I1979" s="102">
        <v>0.66789353662797701</v>
      </c>
      <c r="J1979" s="103">
        <v>1.7055776037812819E-3</v>
      </c>
      <c r="K1979" s="103"/>
      <c r="L1979" s="103">
        <v>4.8399999999999999E-2</v>
      </c>
      <c r="O1979" s="100"/>
    </row>
    <row r="1980" spans="2:15" x14ac:dyDescent="0.2">
      <c r="B1980" s="1">
        <v>1965</v>
      </c>
      <c r="C1980" s="101">
        <f t="shared" ca="1" si="120"/>
        <v>1.2241822320326019</v>
      </c>
      <c r="D1980" s="101">
        <f t="shared" ca="1" si="121"/>
        <v>0.7497899453438035</v>
      </c>
      <c r="E1980" s="101">
        <f t="shared" ca="1" si="122"/>
        <v>0</v>
      </c>
      <c r="F1980" s="21">
        <f t="shared" ca="1" si="123"/>
        <v>0</v>
      </c>
      <c r="H1980" s="21">
        <v>1965</v>
      </c>
      <c r="I1980" s="102">
        <v>0.66772868892586523</v>
      </c>
      <c r="J1980" s="103">
        <v>1.2914133522700418E-3</v>
      </c>
      <c r="K1980" s="103"/>
      <c r="L1980" s="103">
        <v>4.2200000000000001E-2</v>
      </c>
      <c r="O1980" s="100"/>
    </row>
    <row r="1981" spans="2:15" x14ac:dyDescent="0.2">
      <c r="B1981" s="1">
        <v>1966</v>
      </c>
      <c r="C1981" s="101">
        <f t="shared" ca="1" si="120"/>
        <v>-0.36690614150818818</v>
      </c>
      <c r="D1981" s="101">
        <f t="shared" ca="1" si="121"/>
        <v>0.64088243274891965</v>
      </c>
      <c r="E1981" s="101">
        <f t="shared" ca="1" si="122"/>
        <v>0</v>
      </c>
      <c r="F1981" s="21">
        <f t="shared" ca="1" si="123"/>
        <v>0</v>
      </c>
      <c r="H1981" s="21">
        <v>1966</v>
      </c>
      <c r="I1981" s="102">
        <v>0.66766899882800446</v>
      </c>
      <c r="J1981" s="103">
        <v>1.3380661056304143E-3</v>
      </c>
      <c r="K1981" s="103"/>
      <c r="L1981" s="103">
        <v>3.9800000000000002E-2</v>
      </c>
      <c r="O1981" s="100"/>
    </row>
    <row r="1982" spans="2:15" x14ac:dyDescent="0.2">
      <c r="B1982" s="1">
        <v>1967</v>
      </c>
      <c r="C1982" s="101">
        <f t="shared" ca="1" si="120"/>
        <v>0.84302774693204763</v>
      </c>
      <c r="D1982" s="101">
        <f t="shared" ca="1" si="121"/>
        <v>0.72212301892080821</v>
      </c>
      <c r="E1982" s="101">
        <f t="shared" ca="1" si="122"/>
        <v>0</v>
      </c>
      <c r="F1982" s="21">
        <f t="shared" ca="1" si="123"/>
        <v>0</v>
      </c>
      <c r="H1982" s="21">
        <v>1967</v>
      </c>
      <c r="I1982" s="102">
        <v>0.66788906948804483</v>
      </c>
      <c r="J1982" s="103">
        <v>1.6242610186770624E-3</v>
      </c>
      <c r="K1982" s="103"/>
      <c r="L1982" s="103">
        <v>4.1200000000000001E-2</v>
      </c>
      <c r="O1982" s="100"/>
    </row>
    <row r="1983" spans="2:15" x14ac:dyDescent="0.2">
      <c r="B1983" s="1">
        <v>1968</v>
      </c>
      <c r="C1983" s="101">
        <f t="shared" ca="1" si="120"/>
        <v>-0.60075101068320647</v>
      </c>
      <c r="D1983" s="101">
        <f t="shared" ca="1" si="121"/>
        <v>0.62626854199158311</v>
      </c>
      <c r="E1983" s="101">
        <f t="shared" ca="1" si="122"/>
        <v>0</v>
      </c>
      <c r="F1983" s="21">
        <f t="shared" ca="1" si="123"/>
        <v>0</v>
      </c>
      <c r="H1983" s="21">
        <v>1968</v>
      </c>
      <c r="I1983" s="102">
        <v>0.66762453786049814</v>
      </c>
      <c r="J1983" s="103">
        <v>1.1634075205607674E-3</v>
      </c>
      <c r="K1983" s="103"/>
      <c r="L1983" s="103">
        <v>3.9199999999999999E-2</v>
      </c>
      <c r="O1983" s="100"/>
    </row>
    <row r="1984" spans="2:15" x14ac:dyDescent="0.2">
      <c r="B1984" s="1">
        <v>1969</v>
      </c>
      <c r="C1984" s="101">
        <f t="shared" ca="1" si="120"/>
        <v>0.15142332603295169</v>
      </c>
      <c r="D1984" s="101">
        <f t="shared" ca="1" si="121"/>
        <v>0.67450206266769852</v>
      </c>
      <c r="E1984" s="101">
        <f t="shared" ca="1" si="122"/>
        <v>0</v>
      </c>
      <c r="F1984" s="21">
        <f t="shared" ca="1" si="123"/>
        <v>0</v>
      </c>
      <c r="H1984" s="21">
        <v>1969</v>
      </c>
      <c r="I1984" s="102">
        <v>0.66773490414782677</v>
      </c>
      <c r="J1984" s="103">
        <v>1.262713528637675E-3</v>
      </c>
      <c r="K1984" s="103"/>
      <c r="L1984" s="103">
        <v>4.1000000000000002E-2</v>
      </c>
      <c r="O1984" s="100"/>
    </row>
    <row r="1985" spans="2:15" x14ac:dyDescent="0.2">
      <c r="B1985" s="1">
        <v>1970</v>
      </c>
      <c r="C1985" s="101">
        <f t="shared" ca="1" si="120"/>
        <v>-0.36961270340522462</v>
      </c>
      <c r="D1985" s="101">
        <f t="shared" ca="1" si="121"/>
        <v>0.64071135352989195</v>
      </c>
      <c r="E1985" s="101">
        <f t="shared" ca="1" si="122"/>
        <v>0</v>
      </c>
      <c r="F1985" s="21">
        <f t="shared" ca="1" si="123"/>
        <v>0</v>
      </c>
      <c r="H1985" s="21">
        <v>1970</v>
      </c>
      <c r="I1985" s="102">
        <v>0.66776027675323579</v>
      </c>
      <c r="J1985" s="103">
        <v>1.3418281244439946E-3</v>
      </c>
      <c r="K1985" s="103"/>
      <c r="L1985" s="103">
        <v>4.2599999999999999E-2</v>
      </c>
      <c r="O1985" s="100"/>
    </row>
    <row r="1986" spans="2:15" x14ac:dyDescent="0.2">
      <c r="B1986" s="1">
        <v>1971</v>
      </c>
      <c r="C1986" s="101">
        <f t="shared" ca="1" si="120"/>
        <v>-0.48936970107675121</v>
      </c>
      <c r="D1986" s="101">
        <f t="shared" ca="1" si="121"/>
        <v>0.63318716641324535</v>
      </c>
      <c r="E1986" s="101">
        <f t="shared" ca="1" si="122"/>
        <v>0</v>
      </c>
      <c r="F1986" s="21">
        <f t="shared" ca="1" si="123"/>
        <v>0</v>
      </c>
      <c r="H1986" s="21">
        <v>1971</v>
      </c>
      <c r="I1986" s="102">
        <v>0.66758863121097067</v>
      </c>
      <c r="J1986" s="103">
        <v>1.1473425887255524E-3</v>
      </c>
      <c r="K1986" s="103"/>
      <c r="L1986" s="103">
        <v>4.02E-2</v>
      </c>
      <c r="O1986" s="100"/>
    </row>
    <row r="1987" spans="2:15" x14ac:dyDescent="0.2">
      <c r="B1987" s="1">
        <v>1972</v>
      </c>
      <c r="C1987" s="101">
        <f t="shared" ca="1" si="120"/>
        <v>1.1208398787560678</v>
      </c>
      <c r="D1987" s="101">
        <f t="shared" ca="1" si="121"/>
        <v>0.7421855413917674</v>
      </c>
      <c r="E1987" s="101">
        <f t="shared" ca="1" si="122"/>
        <v>0</v>
      </c>
      <c r="F1987" s="21">
        <f t="shared" ca="1" si="123"/>
        <v>0</v>
      </c>
      <c r="H1987" s="21">
        <v>1972</v>
      </c>
      <c r="I1987" s="102">
        <v>0.66779342098480188</v>
      </c>
      <c r="J1987" s="103">
        <v>1.4315677639455374E-3</v>
      </c>
      <c r="K1987" s="103"/>
      <c r="L1987" s="103">
        <v>4.36E-2</v>
      </c>
      <c r="O1987" s="100"/>
    </row>
    <row r="1988" spans="2:15" x14ac:dyDescent="0.2">
      <c r="B1988" s="1">
        <v>1973</v>
      </c>
      <c r="C1988" s="101">
        <f t="shared" ca="1" si="120"/>
        <v>1.1771315316977773</v>
      </c>
      <c r="D1988" s="101">
        <f t="shared" ca="1" si="121"/>
        <v>0.74631812548215226</v>
      </c>
      <c r="E1988" s="101">
        <f t="shared" ca="1" si="122"/>
        <v>0</v>
      </c>
      <c r="F1988" s="21">
        <f t="shared" ca="1" si="123"/>
        <v>0</v>
      </c>
      <c r="H1988" s="21">
        <v>1973</v>
      </c>
      <c r="I1988" s="102">
        <v>0.66783351116119549</v>
      </c>
      <c r="J1988" s="103">
        <v>1.4973656253127051E-3</v>
      </c>
      <c r="K1988" s="103"/>
      <c r="L1988" s="103">
        <v>4.3999999999999997E-2</v>
      </c>
      <c r="O1988" s="100"/>
    </row>
    <row r="1989" spans="2:15" x14ac:dyDescent="0.2">
      <c r="B1989" s="1">
        <v>1974</v>
      </c>
      <c r="C1989" s="101">
        <f t="shared" ca="1" si="120"/>
        <v>-1.6916439606038653</v>
      </c>
      <c r="D1989" s="101">
        <f t="shared" ca="1" si="121"/>
        <v>0.56237682542768663</v>
      </c>
      <c r="E1989" s="101">
        <f t="shared" ca="1" si="122"/>
        <v>0</v>
      </c>
      <c r="F1989" s="21">
        <f t="shared" ca="1" si="123"/>
        <v>0</v>
      </c>
      <c r="H1989" s="21">
        <v>1974</v>
      </c>
      <c r="I1989" s="102">
        <v>0.66782013838072052</v>
      </c>
      <c r="J1989" s="103">
        <v>1.655914190025997E-3</v>
      </c>
      <c r="K1989" s="103"/>
      <c r="L1989" s="103">
        <v>4.58E-2</v>
      </c>
      <c r="O1989" s="100"/>
    </row>
    <row r="1990" spans="2:15" x14ac:dyDescent="0.2">
      <c r="B1990" s="1">
        <v>1975</v>
      </c>
      <c r="C1990" s="101">
        <f t="shared" ca="1" si="120"/>
        <v>1.0178188911926043</v>
      </c>
      <c r="D1990" s="101">
        <f t="shared" ca="1" si="121"/>
        <v>0.73468155064468998</v>
      </c>
      <c r="E1990" s="101">
        <f t="shared" ca="1" si="122"/>
        <v>0</v>
      </c>
      <c r="F1990" s="21">
        <f t="shared" ca="1" si="123"/>
        <v>0</v>
      </c>
      <c r="H1990" s="21">
        <v>1975</v>
      </c>
      <c r="I1990" s="102">
        <v>0.6677514223477039</v>
      </c>
      <c r="J1990" s="103">
        <v>1.2643930358554962E-3</v>
      </c>
      <c r="K1990" s="103"/>
      <c r="L1990" s="103">
        <v>4.2200000000000001E-2</v>
      </c>
      <c r="O1990" s="100"/>
    </row>
    <row r="1991" spans="2:15" x14ac:dyDescent="0.2">
      <c r="B1991" s="1">
        <v>1976</v>
      </c>
      <c r="C1991" s="101">
        <f t="shared" ca="1" si="120"/>
        <v>0.99789802840987363</v>
      </c>
      <c r="D1991" s="101">
        <f t="shared" ca="1" si="121"/>
        <v>0.7332393039584989</v>
      </c>
      <c r="E1991" s="101">
        <f t="shared" ca="1" si="122"/>
        <v>0</v>
      </c>
      <c r="F1991" s="21">
        <f t="shared" ca="1" si="123"/>
        <v>0</v>
      </c>
      <c r="H1991" s="21">
        <v>1976</v>
      </c>
      <c r="I1991" s="102">
        <v>0.66789036632272591</v>
      </c>
      <c r="J1991" s="103">
        <v>1.526109942407381E-3</v>
      </c>
      <c r="K1991" s="103"/>
      <c r="L1991" s="103">
        <v>4.5199999999999997E-2</v>
      </c>
      <c r="O1991" s="100"/>
    </row>
    <row r="1992" spans="2:15" x14ac:dyDescent="0.2">
      <c r="B1992" s="1">
        <v>1977</v>
      </c>
      <c r="C1992" s="101">
        <f t="shared" ca="1" si="120"/>
        <v>-0.794259080886631</v>
      </c>
      <c r="D1992" s="101">
        <f t="shared" ca="1" si="121"/>
        <v>0.61442776260246423</v>
      </c>
      <c r="E1992" s="101">
        <f t="shared" ca="1" si="122"/>
        <v>0</v>
      </c>
      <c r="F1992" s="21">
        <f t="shared" ca="1" si="123"/>
        <v>0</v>
      </c>
      <c r="H1992" s="21">
        <v>1977</v>
      </c>
      <c r="I1992" s="102">
        <v>0.66778386069737139</v>
      </c>
      <c r="J1992" s="103">
        <v>1.3613881604564401E-3</v>
      </c>
      <c r="K1992" s="103"/>
      <c r="L1992" s="103">
        <v>4.1399999999999999E-2</v>
      </c>
      <c r="O1992" s="100"/>
    </row>
    <row r="1993" spans="2:15" x14ac:dyDescent="0.2">
      <c r="B1993" s="1">
        <v>1978</v>
      </c>
      <c r="C1993" s="101">
        <f t="shared" ca="1" si="120"/>
        <v>-0.9515642839596179</v>
      </c>
      <c r="D1993" s="101">
        <f t="shared" ca="1" si="121"/>
        <v>0.60496740077283151</v>
      </c>
      <c r="E1993" s="101">
        <f t="shared" ca="1" si="122"/>
        <v>0</v>
      </c>
      <c r="F1993" s="21">
        <f t="shared" ca="1" si="123"/>
        <v>0</v>
      </c>
      <c r="H1993" s="21">
        <v>1978</v>
      </c>
      <c r="I1993" s="102">
        <v>0.66763698820492312</v>
      </c>
      <c r="J1993" s="103">
        <v>1.2160414400967934E-3</v>
      </c>
      <c r="K1993" s="103"/>
      <c r="L1993" s="103">
        <v>4.2000000000000003E-2</v>
      </c>
      <c r="O1993" s="100"/>
    </row>
    <row r="1994" spans="2:15" x14ac:dyDescent="0.2">
      <c r="B1994" s="1">
        <v>1979</v>
      </c>
      <c r="C1994" s="101">
        <f t="shared" ca="1" si="120"/>
        <v>-1.1364762126865819</v>
      </c>
      <c r="D1994" s="101">
        <f t="shared" ca="1" si="121"/>
        <v>0.59403284696780545</v>
      </c>
      <c r="E1994" s="101">
        <f t="shared" ca="1" si="122"/>
        <v>0</v>
      </c>
      <c r="F1994" s="21">
        <f t="shared" ca="1" si="123"/>
        <v>0</v>
      </c>
      <c r="H1994" s="21">
        <v>1979</v>
      </c>
      <c r="I1994" s="102">
        <v>0.66768550731922827</v>
      </c>
      <c r="J1994" s="103">
        <v>1.1939947818305774E-3</v>
      </c>
      <c r="K1994" s="103"/>
      <c r="L1994" s="103">
        <v>4.02E-2</v>
      </c>
      <c r="O1994" s="100"/>
    </row>
    <row r="1995" spans="2:15" x14ac:dyDescent="0.2">
      <c r="B1995" s="1">
        <v>1980</v>
      </c>
      <c r="C1995" s="101">
        <f t="shared" ca="1" si="120"/>
        <v>1.1207249073745655</v>
      </c>
      <c r="D1995" s="101">
        <f t="shared" ca="1" si="121"/>
        <v>0.74217712436559757</v>
      </c>
      <c r="E1995" s="101">
        <f t="shared" ca="1" si="122"/>
        <v>0</v>
      </c>
      <c r="F1995" s="21">
        <f t="shared" ca="1" si="123"/>
        <v>0</v>
      </c>
      <c r="H1995" s="21">
        <v>1980</v>
      </c>
      <c r="I1995" s="102">
        <v>0.66761231001436971</v>
      </c>
      <c r="J1995" s="103">
        <v>1.2290151515424856E-3</v>
      </c>
      <c r="K1995" s="103"/>
      <c r="L1995" s="103">
        <v>4.1000000000000002E-2</v>
      </c>
      <c r="O1995" s="100"/>
    </row>
    <row r="1996" spans="2:15" x14ac:dyDescent="0.2">
      <c r="B1996" s="1">
        <v>1981</v>
      </c>
      <c r="C1996" s="101">
        <f t="shared" ca="1" si="120"/>
        <v>0.56813992077389786</v>
      </c>
      <c r="D1996" s="101">
        <f t="shared" ca="1" si="121"/>
        <v>0.70280552035646737</v>
      </c>
      <c r="E1996" s="101">
        <f t="shared" ca="1" si="122"/>
        <v>0</v>
      </c>
      <c r="F1996" s="21">
        <f t="shared" ca="1" si="123"/>
        <v>0</v>
      </c>
      <c r="H1996" s="21">
        <v>1981</v>
      </c>
      <c r="I1996" s="102">
        <v>0.66769722722266478</v>
      </c>
      <c r="J1996" s="103">
        <v>1.4225241797801E-3</v>
      </c>
      <c r="K1996" s="103"/>
      <c r="L1996" s="103">
        <v>4.1799999999999997E-2</v>
      </c>
      <c r="O1996" s="100"/>
    </row>
    <row r="1997" spans="2:15" x14ac:dyDescent="0.2">
      <c r="B1997" s="1">
        <v>1982</v>
      </c>
      <c r="C1997" s="101">
        <f t="shared" ca="1" si="120"/>
        <v>1.1608258185938503</v>
      </c>
      <c r="D1997" s="101">
        <f t="shared" ca="1" si="121"/>
        <v>0.74511869945098075</v>
      </c>
      <c r="E1997" s="101">
        <f t="shared" ca="1" si="122"/>
        <v>0</v>
      </c>
      <c r="F1997" s="21">
        <f t="shared" ca="1" si="123"/>
        <v>0</v>
      </c>
      <c r="H1997" s="21">
        <v>1982</v>
      </c>
      <c r="I1997" s="102">
        <v>0.66786428690833211</v>
      </c>
      <c r="J1997" s="103">
        <v>1.4771909864598788E-3</v>
      </c>
      <c r="K1997" s="103"/>
      <c r="L1997" s="103">
        <v>4.3200000000000002E-2</v>
      </c>
      <c r="O1997" s="100"/>
    </row>
    <row r="1998" spans="2:15" x14ac:dyDescent="0.2">
      <c r="B1998" s="1">
        <v>1983</v>
      </c>
      <c r="C1998" s="101">
        <f t="shared" ca="1" si="120"/>
        <v>1.4335903331554429</v>
      </c>
      <c r="D1998" s="101">
        <f t="shared" ca="1" si="121"/>
        <v>0.76543889414397459</v>
      </c>
      <c r="E1998" s="101">
        <f t="shared" ca="1" si="122"/>
        <v>0</v>
      </c>
      <c r="F1998" s="21">
        <f t="shared" ca="1" si="123"/>
        <v>0</v>
      </c>
      <c r="H1998" s="21">
        <v>1983</v>
      </c>
      <c r="I1998" s="102">
        <v>0.66789912378138017</v>
      </c>
      <c r="J1998" s="103">
        <v>1.4990241160049752E-3</v>
      </c>
      <c r="K1998" s="103"/>
      <c r="L1998" s="103">
        <v>4.5199999999999997E-2</v>
      </c>
      <c r="O1998" s="100"/>
    </row>
    <row r="1999" spans="2:15" x14ac:dyDescent="0.2">
      <c r="B1999" s="1">
        <v>1984</v>
      </c>
      <c r="C1999" s="101">
        <f t="shared" ca="1" si="120"/>
        <v>2.2516408232163072</v>
      </c>
      <c r="D1999" s="101">
        <f t="shared" ca="1" si="121"/>
        <v>0.8297653683004117</v>
      </c>
      <c r="E1999" s="101">
        <f t="shared" ca="1" si="122"/>
        <v>4.1565368300411687E-2</v>
      </c>
      <c r="F1999" s="21">
        <f t="shared" ca="1" si="123"/>
        <v>1</v>
      </c>
      <c r="H1999" s="21">
        <v>1984</v>
      </c>
      <c r="I1999" s="102">
        <v>0.66777174724326172</v>
      </c>
      <c r="J1999" s="103">
        <v>1.3182508916487717E-3</v>
      </c>
      <c r="K1999" s="103"/>
      <c r="L1999" s="103">
        <v>4.24E-2</v>
      </c>
      <c r="O1999" s="100"/>
    </row>
    <row r="2000" spans="2:15" x14ac:dyDescent="0.2">
      <c r="B2000" s="1">
        <v>1985</v>
      </c>
      <c r="C2000" s="101">
        <f t="shared" ref="C2000:C2063" ca="1" si="124">_xlfn.NORM.S.INV(RAND())</f>
        <v>6.7709844913033571E-2</v>
      </c>
      <c r="D2000" s="101">
        <f t="shared" ref="D2000:D2063" ca="1" si="125">S0*EXP((μ-0.5*σ*σ)*T+σ*SQRT(T)*$C2000)</f>
        <v>0.66895522186452838</v>
      </c>
      <c r="E2000" s="101">
        <f t="shared" ref="E2000:E2063" ca="1" si="126">MAX(0,CP*(D2000-K))</f>
        <v>0</v>
      </c>
      <c r="F2000" s="21">
        <f t="shared" ref="F2000:F2063" ca="1" si="127">(CP*(D2000-K)&gt;0)*1</f>
        <v>0</v>
      </c>
      <c r="H2000" s="21">
        <v>1985</v>
      </c>
      <c r="I2000" s="102">
        <v>0.66761775103462617</v>
      </c>
      <c r="J2000" s="103">
        <v>1.1991480119839912E-3</v>
      </c>
      <c r="K2000" s="103"/>
      <c r="L2000" s="103">
        <v>3.7400000000000003E-2</v>
      </c>
      <c r="O2000" s="100"/>
    </row>
    <row r="2001" spans="2:15" x14ac:dyDescent="0.2">
      <c r="B2001" s="1">
        <v>1986</v>
      </c>
      <c r="C2001" s="101">
        <f t="shared" ca="1" si="124"/>
        <v>-0.50022114430418363</v>
      </c>
      <c r="D2001" s="101">
        <f t="shared" ca="1" si="125"/>
        <v>0.63250976500784939</v>
      </c>
      <c r="E2001" s="101">
        <f t="shared" ca="1" si="126"/>
        <v>0</v>
      </c>
      <c r="F2001" s="21">
        <f t="shared" ca="1" si="127"/>
        <v>0</v>
      </c>
      <c r="H2001" s="21">
        <v>1986</v>
      </c>
      <c r="I2001" s="102">
        <v>0.66783219352247325</v>
      </c>
      <c r="J2001" s="103">
        <v>1.4824151924057174E-3</v>
      </c>
      <c r="K2001" s="103"/>
      <c r="L2001" s="103">
        <v>0.05</v>
      </c>
      <c r="O2001" s="100"/>
    </row>
    <row r="2002" spans="2:15" x14ac:dyDescent="0.2">
      <c r="B2002" s="1">
        <v>1987</v>
      </c>
      <c r="C2002" s="101">
        <f t="shared" ca="1" si="124"/>
        <v>-1.3114169547859322</v>
      </c>
      <c r="D2002" s="101">
        <f t="shared" ca="1" si="125"/>
        <v>0.58386992626850942</v>
      </c>
      <c r="E2002" s="101">
        <f t="shared" ca="1" si="126"/>
        <v>0</v>
      </c>
      <c r="F2002" s="21">
        <f t="shared" ca="1" si="127"/>
        <v>0</v>
      </c>
      <c r="H2002" s="21">
        <v>1987</v>
      </c>
      <c r="I2002" s="102">
        <v>0.66767432172844288</v>
      </c>
      <c r="J2002" s="103">
        <v>1.2948060971634339E-3</v>
      </c>
      <c r="K2002" s="103"/>
      <c r="L2002" s="103">
        <v>3.9E-2</v>
      </c>
      <c r="O2002" s="100"/>
    </row>
    <row r="2003" spans="2:15" x14ac:dyDescent="0.2">
      <c r="B2003" s="1">
        <v>1988</v>
      </c>
      <c r="C2003" s="101">
        <f t="shared" ca="1" si="124"/>
        <v>0.33503733076000425</v>
      </c>
      <c r="D2003" s="101">
        <f t="shared" ca="1" si="125"/>
        <v>0.68682989948922135</v>
      </c>
      <c r="E2003" s="101">
        <f t="shared" ca="1" si="126"/>
        <v>0</v>
      </c>
      <c r="F2003" s="21">
        <f t="shared" ca="1" si="127"/>
        <v>0</v>
      </c>
      <c r="H2003" s="21">
        <v>1988</v>
      </c>
      <c r="I2003" s="102">
        <v>0.66777945743318168</v>
      </c>
      <c r="J2003" s="103">
        <v>1.4750743069727279E-3</v>
      </c>
      <c r="K2003" s="103"/>
      <c r="L2003" s="103">
        <v>4.2200000000000001E-2</v>
      </c>
      <c r="O2003" s="100"/>
    </row>
    <row r="2004" spans="2:15" x14ac:dyDescent="0.2">
      <c r="B2004" s="1">
        <v>1989</v>
      </c>
      <c r="C2004" s="101">
        <f t="shared" ca="1" si="124"/>
        <v>0.43939290447151508</v>
      </c>
      <c r="D2004" s="101">
        <f t="shared" ca="1" si="125"/>
        <v>0.69393648400366081</v>
      </c>
      <c r="E2004" s="101">
        <f t="shared" ca="1" si="126"/>
        <v>0</v>
      </c>
      <c r="F2004" s="21">
        <f t="shared" ca="1" si="127"/>
        <v>0</v>
      </c>
      <c r="H2004" s="21">
        <v>1989</v>
      </c>
      <c r="I2004" s="102">
        <v>0.66772633342156074</v>
      </c>
      <c r="J2004" s="103">
        <v>1.4346173519810569E-3</v>
      </c>
      <c r="K2004" s="103"/>
      <c r="L2004" s="103">
        <v>4.2999999999999997E-2</v>
      </c>
      <c r="O2004" s="100"/>
    </row>
    <row r="2005" spans="2:15" x14ac:dyDescent="0.2">
      <c r="B2005" s="1">
        <v>1990</v>
      </c>
      <c r="C2005" s="101">
        <f t="shared" ca="1" si="124"/>
        <v>0.22381257496329099</v>
      </c>
      <c r="D2005" s="101">
        <f t="shared" ca="1" si="125"/>
        <v>0.67933562954061733</v>
      </c>
      <c r="E2005" s="101">
        <f t="shared" ca="1" si="126"/>
        <v>0</v>
      </c>
      <c r="F2005" s="21">
        <f t="shared" ca="1" si="127"/>
        <v>0</v>
      </c>
      <c r="H2005" s="21">
        <v>1990</v>
      </c>
      <c r="I2005" s="102">
        <v>0.6678073712130671</v>
      </c>
      <c r="J2005" s="103">
        <v>1.4367978707302443E-3</v>
      </c>
      <c r="K2005" s="103"/>
      <c r="L2005" s="103">
        <v>4.1000000000000002E-2</v>
      </c>
      <c r="O2005" s="100"/>
    </row>
    <row r="2006" spans="2:15" x14ac:dyDescent="0.2">
      <c r="B2006" s="1">
        <v>1991</v>
      </c>
      <c r="C2006" s="101">
        <f t="shared" ca="1" si="124"/>
        <v>1.1428676280918117</v>
      </c>
      <c r="D2006" s="101">
        <f t="shared" ca="1" si="125"/>
        <v>0.74379994986777076</v>
      </c>
      <c r="E2006" s="101">
        <f t="shared" ca="1" si="126"/>
        <v>0</v>
      </c>
      <c r="F2006" s="21">
        <f t="shared" ca="1" si="127"/>
        <v>0</v>
      </c>
      <c r="H2006" s="21">
        <v>1991</v>
      </c>
      <c r="I2006" s="102">
        <v>0.66779510848857948</v>
      </c>
      <c r="J2006" s="103">
        <v>1.4878939898786169E-3</v>
      </c>
      <c r="K2006" s="103"/>
      <c r="L2006" s="103">
        <v>4.36E-2</v>
      </c>
      <c r="O2006" s="100"/>
    </row>
    <row r="2007" spans="2:15" x14ac:dyDescent="0.2">
      <c r="B2007" s="1">
        <v>1992</v>
      </c>
      <c r="C2007" s="101">
        <f t="shared" ca="1" si="124"/>
        <v>-0.13123311089392614</v>
      </c>
      <c r="D2007" s="101">
        <f t="shared" ca="1" si="125"/>
        <v>0.65595561594685692</v>
      </c>
      <c r="E2007" s="101">
        <f t="shared" ca="1" si="126"/>
        <v>0</v>
      </c>
      <c r="F2007" s="21">
        <f t="shared" ca="1" si="127"/>
        <v>0</v>
      </c>
      <c r="H2007" s="21">
        <v>1992</v>
      </c>
      <c r="I2007" s="102">
        <v>0.66769427534715309</v>
      </c>
      <c r="J2007" s="103">
        <v>1.327974731559968E-3</v>
      </c>
      <c r="K2007" s="103"/>
      <c r="L2007" s="103">
        <v>4.2799999999999998E-2</v>
      </c>
      <c r="O2007" s="100"/>
    </row>
    <row r="2008" spans="2:15" x14ac:dyDescent="0.2">
      <c r="B2008" s="1">
        <v>1993</v>
      </c>
      <c r="C2008" s="101">
        <f t="shared" ca="1" si="124"/>
        <v>0.65716961468407276</v>
      </c>
      <c r="D2008" s="101">
        <f t="shared" ca="1" si="125"/>
        <v>0.7090047443561146</v>
      </c>
      <c r="E2008" s="101">
        <f t="shared" ca="1" si="126"/>
        <v>0</v>
      </c>
      <c r="F2008" s="21">
        <f t="shared" ca="1" si="127"/>
        <v>0</v>
      </c>
      <c r="H2008" s="21">
        <v>1993</v>
      </c>
      <c r="I2008" s="102">
        <v>0.6678047675408959</v>
      </c>
      <c r="J2008" s="103">
        <v>1.3573438799468018E-3</v>
      </c>
      <c r="K2008" s="103"/>
      <c r="L2008" s="103">
        <v>4.2200000000000001E-2</v>
      </c>
      <c r="O2008" s="100"/>
    </row>
    <row r="2009" spans="2:15" x14ac:dyDescent="0.2">
      <c r="B2009" s="1">
        <v>1994</v>
      </c>
      <c r="C2009" s="101">
        <f t="shared" ca="1" si="124"/>
        <v>-0.8276848472406465</v>
      </c>
      <c r="D2009" s="101">
        <f t="shared" ca="1" si="125"/>
        <v>0.61240523092793653</v>
      </c>
      <c r="E2009" s="101">
        <f t="shared" ca="1" si="126"/>
        <v>0</v>
      </c>
      <c r="F2009" s="21">
        <f t="shared" ca="1" si="127"/>
        <v>0</v>
      </c>
      <c r="H2009" s="21">
        <v>1994</v>
      </c>
      <c r="I2009" s="102">
        <v>0.66789993523988755</v>
      </c>
      <c r="J2009" s="103">
        <v>1.4987585743976742E-3</v>
      </c>
      <c r="K2009" s="103"/>
      <c r="L2009" s="103">
        <v>4.6399999999999997E-2</v>
      </c>
      <c r="O2009" s="100"/>
    </row>
    <row r="2010" spans="2:15" x14ac:dyDescent="0.2">
      <c r="B2010" s="1">
        <v>1995</v>
      </c>
      <c r="C2010" s="101">
        <f t="shared" ca="1" si="124"/>
        <v>1.2367630647321048</v>
      </c>
      <c r="D2010" s="101">
        <f t="shared" ca="1" si="125"/>
        <v>0.75072100477885528</v>
      </c>
      <c r="E2010" s="101">
        <f t="shared" ca="1" si="126"/>
        <v>0</v>
      </c>
      <c r="F2010" s="21">
        <f t="shared" ca="1" si="127"/>
        <v>0</v>
      </c>
      <c r="H2010" s="21">
        <v>1995</v>
      </c>
      <c r="I2010" s="102">
        <v>0.66772063398448878</v>
      </c>
      <c r="J2010" s="103">
        <v>1.3044691842921943E-3</v>
      </c>
      <c r="K2010" s="103"/>
      <c r="L2010" s="103">
        <v>4.0599999999999997E-2</v>
      </c>
      <c r="O2010" s="100"/>
    </row>
    <row r="2011" spans="2:15" x14ac:dyDescent="0.2">
      <c r="B2011" s="1">
        <v>1996</v>
      </c>
      <c r="C2011" s="101">
        <f t="shared" ca="1" si="124"/>
        <v>0.72534741908608735</v>
      </c>
      <c r="D2011" s="101">
        <f t="shared" ca="1" si="125"/>
        <v>0.71378897621806037</v>
      </c>
      <c r="E2011" s="101">
        <f t="shared" ca="1" si="126"/>
        <v>0</v>
      </c>
      <c r="F2011" s="21">
        <f t="shared" ca="1" si="127"/>
        <v>0</v>
      </c>
      <c r="H2011" s="21">
        <v>1996</v>
      </c>
      <c r="I2011" s="102">
        <v>0.66777101071997691</v>
      </c>
      <c r="J2011" s="103">
        <v>1.3591744445150438E-3</v>
      </c>
      <c r="K2011" s="103"/>
      <c r="L2011" s="103">
        <v>4.2200000000000001E-2</v>
      </c>
      <c r="O2011" s="100"/>
    </row>
    <row r="2012" spans="2:15" x14ac:dyDescent="0.2">
      <c r="B2012" s="1">
        <v>1997</v>
      </c>
      <c r="C2012" s="101">
        <f t="shared" ca="1" si="124"/>
        <v>-0.15941676073396052</v>
      </c>
      <c r="D2012" s="101">
        <f t="shared" ca="1" si="125"/>
        <v>0.65413454425052786</v>
      </c>
      <c r="E2012" s="101">
        <f t="shared" ca="1" si="126"/>
        <v>0</v>
      </c>
      <c r="F2012" s="21">
        <f t="shared" ca="1" si="127"/>
        <v>0</v>
      </c>
      <c r="H2012" s="21">
        <v>1997</v>
      </c>
      <c r="I2012" s="102">
        <v>0.66790151697283251</v>
      </c>
      <c r="J2012" s="103">
        <v>1.5775225827270229E-3</v>
      </c>
      <c r="K2012" s="103"/>
      <c r="L2012" s="103">
        <v>4.48E-2</v>
      </c>
      <c r="O2012" s="100"/>
    </row>
    <row r="2013" spans="2:15" x14ac:dyDescent="0.2">
      <c r="B2013" s="1">
        <v>1998</v>
      </c>
      <c r="C2013" s="101">
        <f t="shared" ca="1" si="124"/>
        <v>0.63469908190304636</v>
      </c>
      <c r="D2013" s="101">
        <f t="shared" ca="1" si="125"/>
        <v>0.70743495930604627</v>
      </c>
      <c r="E2013" s="101">
        <f t="shared" ca="1" si="126"/>
        <v>0</v>
      </c>
      <c r="F2013" s="21">
        <f t="shared" ca="1" si="127"/>
        <v>0</v>
      </c>
      <c r="H2013" s="21">
        <v>1998</v>
      </c>
      <c r="I2013" s="102">
        <v>0.66786505397664009</v>
      </c>
      <c r="J2013" s="103">
        <v>1.5630594659747066E-3</v>
      </c>
      <c r="K2013" s="103"/>
      <c r="L2013" s="103">
        <v>4.8000000000000001E-2</v>
      </c>
      <c r="O2013" s="100"/>
    </row>
    <row r="2014" spans="2:15" x14ac:dyDescent="0.2">
      <c r="B2014" s="1">
        <v>1999</v>
      </c>
      <c r="C2014" s="101">
        <f t="shared" ca="1" si="124"/>
        <v>0.85755115538351434</v>
      </c>
      <c r="D2014" s="101">
        <f t="shared" ca="1" si="125"/>
        <v>0.72315827971007329</v>
      </c>
      <c r="E2014" s="101">
        <f t="shared" ca="1" si="126"/>
        <v>0</v>
      </c>
      <c r="F2014" s="21">
        <f t="shared" ca="1" si="127"/>
        <v>0</v>
      </c>
      <c r="H2014" s="21">
        <v>1999</v>
      </c>
      <c r="I2014" s="102">
        <v>0.66786246679755468</v>
      </c>
      <c r="J2014" s="103">
        <v>1.4421535437947833E-3</v>
      </c>
      <c r="K2014" s="103"/>
      <c r="L2014" s="103">
        <v>4.3999999999999997E-2</v>
      </c>
      <c r="O2014" s="100"/>
    </row>
    <row r="2015" spans="2:15" x14ac:dyDescent="0.2">
      <c r="B2015" s="1">
        <v>2000</v>
      </c>
      <c r="C2015" s="101">
        <f t="shared" ca="1" si="124"/>
        <v>1.7566907956612239</v>
      </c>
      <c r="D2015" s="101">
        <f t="shared" ca="1" si="125"/>
        <v>0.79022715738748073</v>
      </c>
      <c r="E2015" s="101">
        <f t="shared" ca="1" si="126"/>
        <v>2.0271573874807158E-3</v>
      </c>
      <c r="F2015" s="21">
        <f t="shared" ca="1" si="127"/>
        <v>1</v>
      </c>
      <c r="H2015" s="21">
        <v>2000</v>
      </c>
      <c r="I2015" s="102">
        <v>0.66774180081314594</v>
      </c>
      <c r="J2015" s="103">
        <v>1.219493463554484E-3</v>
      </c>
      <c r="K2015" s="103"/>
      <c r="L2015" s="103">
        <v>3.8199999999999998E-2</v>
      </c>
      <c r="O2015" s="100"/>
    </row>
    <row r="2016" spans="2:15" x14ac:dyDescent="0.2">
      <c r="B2016" s="1">
        <v>2001</v>
      </c>
      <c r="C2016" s="101">
        <f t="shared" ca="1" si="124"/>
        <v>0.41693822775914269</v>
      </c>
      <c r="D2016" s="101">
        <f t="shared" ca="1" si="125"/>
        <v>0.69240114407234976</v>
      </c>
      <c r="E2016" s="101">
        <f t="shared" ca="1" si="126"/>
        <v>0</v>
      </c>
      <c r="F2016" s="21">
        <f t="shared" ca="1" si="127"/>
        <v>0</v>
      </c>
      <c r="H2016" s="21">
        <v>2001</v>
      </c>
      <c r="I2016" s="102">
        <v>0.66779390385440474</v>
      </c>
      <c r="J2016" s="103">
        <v>1.5617875294619166E-3</v>
      </c>
      <c r="K2016" s="103"/>
      <c r="L2016" s="103">
        <v>4.2000000000000003E-2</v>
      </c>
      <c r="O2016" s="100"/>
    </row>
    <row r="2017" spans="2:15" x14ac:dyDescent="0.2">
      <c r="B2017" s="1">
        <v>2002</v>
      </c>
      <c r="C2017" s="101">
        <f t="shared" ca="1" si="124"/>
        <v>-1.8175887320766593</v>
      </c>
      <c r="D2017" s="101">
        <f t="shared" ca="1" si="125"/>
        <v>0.55543343551879765</v>
      </c>
      <c r="E2017" s="101">
        <f t="shared" ca="1" si="126"/>
        <v>0</v>
      </c>
      <c r="F2017" s="21">
        <f t="shared" ca="1" si="127"/>
        <v>0</v>
      </c>
      <c r="H2017" s="21">
        <v>2002</v>
      </c>
      <c r="I2017" s="102">
        <v>0.66794739337791909</v>
      </c>
      <c r="J2017" s="103">
        <v>1.5405706372971452E-3</v>
      </c>
      <c r="K2017" s="103"/>
      <c r="L2017" s="103">
        <v>4.5400000000000003E-2</v>
      </c>
      <c r="O2017" s="100"/>
    </row>
    <row r="2018" spans="2:15" x14ac:dyDescent="0.2">
      <c r="B2018" s="1">
        <v>2003</v>
      </c>
      <c r="C2018" s="101">
        <f t="shared" ca="1" si="124"/>
        <v>0.51648632196912836</v>
      </c>
      <c r="D2018" s="101">
        <f t="shared" ca="1" si="125"/>
        <v>0.6992337073415037</v>
      </c>
      <c r="E2018" s="101">
        <f t="shared" ca="1" si="126"/>
        <v>0</v>
      </c>
      <c r="F2018" s="21">
        <f t="shared" ca="1" si="127"/>
        <v>0</v>
      </c>
      <c r="H2018" s="21">
        <v>2003</v>
      </c>
      <c r="I2018" s="102">
        <v>0.6677642674094757</v>
      </c>
      <c r="J2018" s="103">
        <v>1.4356626328805636E-3</v>
      </c>
      <c r="K2018" s="103"/>
      <c r="L2018" s="103">
        <v>4.4400000000000002E-2</v>
      </c>
      <c r="O2018" s="100"/>
    </row>
    <row r="2019" spans="2:15" x14ac:dyDescent="0.2">
      <c r="B2019" s="1">
        <v>2004</v>
      </c>
      <c r="C2019" s="101">
        <f t="shared" ca="1" si="124"/>
        <v>0.78521219913521756</v>
      </c>
      <c r="D2019" s="101">
        <f t="shared" ca="1" si="125"/>
        <v>0.71801647065142538</v>
      </c>
      <c r="E2019" s="101">
        <f t="shared" ca="1" si="126"/>
        <v>0</v>
      </c>
      <c r="F2019" s="21">
        <f t="shared" ca="1" si="127"/>
        <v>0</v>
      </c>
      <c r="H2019" s="21">
        <v>2004</v>
      </c>
      <c r="I2019" s="102">
        <v>0.66778275911981977</v>
      </c>
      <c r="J2019" s="103">
        <v>1.3697714043436038E-3</v>
      </c>
      <c r="K2019" s="103"/>
      <c r="L2019" s="103">
        <v>4.1200000000000001E-2</v>
      </c>
      <c r="O2019" s="100"/>
    </row>
    <row r="2020" spans="2:15" x14ac:dyDescent="0.2">
      <c r="B2020" s="1">
        <v>2005</v>
      </c>
      <c r="C2020" s="101">
        <f t="shared" ca="1" si="124"/>
        <v>-0.30658558576149619</v>
      </c>
      <c r="D2020" s="101">
        <f t="shared" ca="1" si="125"/>
        <v>0.6447071143834685</v>
      </c>
      <c r="E2020" s="101">
        <f t="shared" ca="1" si="126"/>
        <v>0</v>
      </c>
      <c r="F2020" s="21">
        <f t="shared" ca="1" si="127"/>
        <v>0</v>
      </c>
      <c r="H2020" s="21">
        <v>2005</v>
      </c>
      <c r="I2020" s="102">
        <v>0.66774659578688766</v>
      </c>
      <c r="J2020" s="103">
        <v>1.4342807184224832E-3</v>
      </c>
      <c r="K2020" s="103"/>
      <c r="L2020" s="103">
        <v>4.3799999999999999E-2</v>
      </c>
      <c r="O2020" s="100"/>
    </row>
    <row r="2021" spans="2:15" x14ac:dyDescent="0.2">
      <c r="B2021" s="1">
        <v>2006</v>
      </c>
      <c r="C2021" s="101">
        <f t="shared" ca="1" si="124"/>
        <v>-1.5007577349198906</v>
      </c>
      <c r="D2021" s="101">
        <f t="shared" ca="1" si="125"/>
        <v>0.5730662923361739</v>
      </c>
      <c r="E2021" s="101">
        <f t="shared" ca="1" si="126"/>
        <v>0</v>
      </c>
      <c r="F2021" s="21">
        <f t="shared" ca="1" si="127"/>
        <v>0</v>
      </c>
      <c r="H2021" s="21">
        <v>2006</v>
      </c>
      <c r="I2021" s="102">
        <v>0.66755445100075406</v>
      </c>
      <c r="J2021" s="103">
        <v>1.2864488714210518E-3</v>
      </c>
      <c r="K2021" s="103"/>
      <c r="L2021" s="103">
        <v>3.6999999999999998E-2</v>
      </c>
      <c r="O2021" s="100"/>
    </row>
    <row r="2022" spans="2:15" x14ac:dyDescent="0.2">
      <c r="B2022" s="1">
        <v>2007</v>
      </c>
      <c r="C2022" s="101">
        <f t="shared" ca="1" si="124"/>
        <v>1.7360226358131432</v>
      </c>
      <c r="D2022" s="101">
        <f t="shared" ca="1" si="125"/>
        <v>0.7886177350199306</v>
      </c>
      <c r="E2022" s="101">
        <f t="shared" ca="1" si="126"/>
        <v>4.1773501993058737E-4</v>
      </c>
      <c r="F2022" s="21">
        <f t="shared" ca="1" si="127"/>
        <v>1</v>
      </c>
      <c r="H2022" s="21">
        <v>2007</v>
      </c>
      <c r="I2022" s="102">
        <v>0.66778387484054291</v>
      </c>
      <c r="J2022" s="103">
        <v>1.5214822521779122E-3</v>
      </c>
      <c r="K2022" s="103"/>
      <c r="L2022" s="103">
        <v>4.4200000000000003E-2</v>
      </c>
      <c r="O2022" s="100"/>
    </row>
    <row r="2023" spans="2:15" x14ac:dyDescent="0.2">
      <c r="B2023" s="1">
        <v>2008</v>
      </c>
      <c r="C2023" s="101">
        <f t="shared" ca="1" si="124"/>
        <v>-1.4129004929484124</v>
      </c>
      <c r="D2023" s="101">
        <f t="shared" ca="1" si="125"/>
        <v>0.5780542707411086</v>
      </c>
      <c r="E2023" s="101">
        <f t="shared" ca="1" si="126"/>
        <v>0</v>
      </c>
      <c r="F2023" s="21">
        <f t="shared" ca="1" si="127"/>
        <v>0</v>
      </c>
      <c r="H2023" s="21">
        <v>2008</v>
      </c>
      <c r="I2023" s="102">
        <v>0.66770757734005215</v>
      </c>
      <c r="J2023" s="103">
        <v>1.3835842662259193E-3</v>
      </c>
      <c r="K2023" s="103"/>
      <c r="L2023" s="103">
        <v>4.2599999999999999E-2</v>
      </c>
      <c r="O2023" s="100"/>
    </row>
    <row r="2024" spans="2:15" x14ac:dyDescent="0.2">
      <c r="B2024" s="1">
        <v>2009</v>
      </c>
      <c r="C2024" s="101">
        <f t="shared" ca="1" si="124"/>
        <v>1.3257505345867318</v>
      </c>
      <c r="D2024" s="101">
        <f t="shared" ca="1" si="125"/>
        <v>0.7573397216748522</v>
      </c>
      <c r="E2024" s="101">
        <f t="shared" ca="1" si="126"/>
        <v>0</v>
      </c>
      <c r="F2024" s="21">
        <f t="shared" ca="1" si="127"/>
        <v>0</v>
      </c>
      <c r="H2024" s="21">
        <v>2009</v>
      </c>
      <c r="I2024" s="102">
        <v>0.6677489904601055</v>
      </c>
      <c r="J2024" s="103">
        <v>1.4236435732161005E-3</v>
      </c>
      <c r="K2024" s="103"/>
      <c r="L2024" s="103">
        <v>4.0599999999999997E-2</v>
      </c>
      <c r="O2024" s="100"/>
    </row>
    <row r="2025" spans="2:15" x14ac:dyDescent="0.2">
      <c r="B2025" s="1">
        <v>2010</v>
      </c>
      <c r="C2025" s="101">
        <f t="shared" ca="1" si="124"/>
        <v>0.95011605254085396</v>
      </c>
      <c r="D2025" s="101">
        <f t="shared" ca="1" si="125"/>
        <v>0.72979147535275835</v>
      </c>
      <c r="E2025" s="101">
        <f t="shared" ca="1" si="126"/>
        <v>0</v>
      </c>
      <c r="F2025" s="21">
        <f t="shared" ca="1" si="127"/>
        <v>0</v>
      </c>
      <c r="H2025" s="21">
        <v>2010</v>
      </c>
      <c r="I2025" s="102">
        <v>0.66769675687848784</v>
      </c>
      <c r="J2025" s="103">
        <v>1.3276185723722935E-3</v>
      </c>
      <c r="K2025" s="103"/>
      <c r="L2025" s="103">
        <v>0.04</v>
      </c>
      <c r="O2025" s="100"/>
    </row>
    <row r="2026" spans="2:15" x14ac:dyDescent="0.2">
      <c r="B2026" s="1">
        <v>2011</v>
      </c>
      <c r="C2026" s="101">
        <f t="shared" ca="1" si="124"/>
        <v>-0.97285291941036323</v>
      </c>
      <c r="D2026" s="101">
        <f t="shared" ca="1" si="125"/>
        <v>0.60369833894104774</v>
      </c>
      <c r="E2026" s="101">
        <f t="shared" ca="1" si="126"/>
        <v>0</v>
      </c>
      <c r="F2026" s="21">
        <f t="shared" ca="1" si="127"/>
        <v>0</v>
      </c>
      <c r="H2026" s="21">
        <v>2011</v>
      </c>
      <c r="I2026" s="102">
        <v>0.66792571988925098</v>
      </c>
      <c r="J2026" s="103">
        <v>1.3331874944436826E-3</v>
      </c>
      <c r="K2026" s="103"/>
      <c r="L2026" s="103">
        <v>4.3999999999999997E-2</v>
      </c>
      <c r="O2026" s="100"/>
    </row>
    <row r="2027" spans="2:15" x14ac:dyDescent="0.2">
      <c r="B2027" s="1">
        <v>2012</v>
      </c>
      <c r="C2027" s="101">
        <f t="shared" ca="1" si="124"/>
        <v>0.53195696842096196</v>
      </c>
      <c r="D2027" s="101">
        <f t="shared" ca="1" si="125"/>
        <v>0.70030158410469157</v>
      </c>
      <c r="E2027" s="101">
        <f t="shared" ca="1" si="126"/>
        <v>0</v>
      </c>
      <c r="F2027" s="21">
        <f t="shared" ca="1" si="127"/>
        <v>0</v>
      </c>
      <c r="H2027" s="21">
        <v>2012</v>
      </c>
      <c r="I2027" s="102">
        <v>0.66784201078135497</v>
      </c>
      <c r="J2027" s="103">
        <v>1.4854685289720148E-3</v>
      </c>
      <c r="K2027" s="103"/>
      <c r="L2027" s="103">
        <v>4.4400000000000002E-2</v>
      </c>
      <c r="O2027" s="100"/>
    </row>
    <row r="2028" spans="2:15" x14ac:dyDescent="0.2">
      <c r="B2028" s="1">
        <v>2013</v>
      </c>
      <c r="C2028" s="101">
        <f t="shared" ca="1" si="124"/>
        <v>0.18762796575339091</v>
      </c>
      <c r="D2028" s="101">
        <f t="shared" ca="1" si="125"/>
        <v>0.67691520054143717</v>
      </c>
      <c r="E2028" s="101">
        <f t="shared" ca="1" si="126"/>
        <v>0</v>
      </c>
      <c r="F2028" s="21">
        <f t="shared" ca="1" si="127"/>
        <v>0</v>
      </c>
      <c r="H2028" s="21">
        <v>2013</v>
      </c>
      <c r="I2028" s="102">
        <v>0.66800048333944317</v>
      </c>
      <c r="J2028" s="103">
        <v>1.6896865354872031E-3</v>
      </c>
      <c r="K2028" s="103"/>
      <c r="L2028" s="103">
        <v>4.5999999999999999E-2</v>
      </c>
      <c r="O2028" s="100"/>
    </row>
    <row r="2029" spans="2:15" x14ac:dyDescent="0.2">
      <c r="B2029" s="1">
        <v>2014</v>
      </c>
      <c r="C2029" s="101">
        <f t="shared" ca="1" si="124"/>
        <v>0.6968842173762535</v>
      </c>
      <c r="D2029" s="101">
        <f t="shared" ca="1" si="125"/>
        <v>0.71178771878847447</v>
      </c>
      <c r="E2029" s="101">
        <f t="shared" ca="1" si="126"/>
        <v>0</v>
      </c>
      <c r="F2029" s="21">
        <f t="shared" ca="1" si="127"/>
        <v>0</v>
      </c>
      <c r="H2029" s="21">
        <v>2014</v>
      </c>
      <c r="I2029" s="102">
        <v>0.66775378092650572</v>
      </c>
      <c r="J2029" s="103">
        <v>1.4217056692985436E-3</v>
      </c>
      <c r="K2029" s="103"/>
      <c r="L2029" s="103">
        <v>0.04</v>
      </c>
      <c r="O2029" s="100"/>
    </row>
    <row r="2030" spans="2:15" x14ac:dyDescent="0.2">
      <c r="B2030" s="1">
        <v>2015</v>
      </c>
      <c r="C2030" s="101">
        <f t="shared" ca="1" si="124"/>
        <v>2.2642582442736368</v>
      </c>
      <c r="D2030" s="101">
        <f t="shared" ca="1" si="125"/>
        <v>0.83079873649609315</v>
      </c>
      <c r="E2030" s="101">
        <f t="shared" ca="1" si="126"/>
        <v>4.2598736496093137E-2</v>
      </c>
      <c r="F2030" s="21">
        <f t="shared" ca="1" si="127"/>
        <v>1</v>
      </c>
      <c r="H2030" s="21">
        <v>2015</v>
      </c>
      <c r="I2030" s="102">
        <v>0.66783250327550781</v>
      </c>
      <c r="J2030" s="103">
        <v>1.5366205740399096E-3</v>
      </c>
      <c r="K2030" s="103"/>
      <c r="L2030" s="103">
        <v>4.3799999999999999E-2</v>
      </c>
      <c r="O2030" s="100"/>
    </row>
    <row r="2031" spans="2:15" x14ac:dyDescent="0.2">
      <c r="B2031" s="1">
        <v>2016</v>
      </c>
      <c r="C2031" s="101">
        <f t="shared" ca="1" si="124"/>
        <v>1.0614169526322543</v>
      </c>
      <c r="D2031" s="101">
        <f t="shared" ca="1" si="125"/>
        <v>0.73784790419131518</v>
      </c>
      <c r="E2031" s="101">
        <f t="shared" ca="1" si="126"/>
        <v>0</v>
      </c>
      <c r="F2031" s="21">
        <f t="shared" ca="1" si="127"/>
        <v>0</v>
      </c>
      <c r="H2031" s="21">
        <v>2016</v>
      </c>
      <c r="I2031" s="102">
        <v>0.66782636229151182</v>
      </c>
      <c r="J2031" s="103">
        <v>1.456738690861586E-3</v>
      </c>
      <c r="K2031" s="103"/>
      <c r="L2031" s="103">
        <v>4.48E-2</v>
      </c>
      <c r="O2031" s="100"/>
    </row>
    <row r="2032" spans="2:15" x14ac:dyDescent="0.2">
      <c r="B2032" s="1">
        <v>2017</v>
      </c>
      <c r="C2032" s="101">
        <f t="shared" ca="1" si="124"/>
        <v>-0.29352076003649219</v>
      </c>
      <c r="D2032" s="101">
        <f t="shared" ca="1" si="125"/>
        <v>0.64553850450294858</v>
      </c>
      <c r="E2032" s="101">
        <f t="shared" ca="1" si="126"/>
        <v>0</v>
      </c>
      <c r="F2032" s="21">
        <f t="shared" ca="1" si="127"/>
        <v>0</v>
      </c>
      <c r="H2032" s="21">
        <v>2017</v>
      </c>
      <c r="I2032" s="102">
        <v>0.66771498504676707</v>
      </c>
      <c r="J2032" s="103">
        <v>1.2911983498922705E-3</v>
      </c>
      <c r="K2032" s="103"/>
      <c r="L2032" s="103">
        <v>4.3999999999999997E-2</v>
      </c>
      <c r="O2032" s="100"/>
    </row>
    <row r="2033" spans="2:15" x14ac:dyDescent="0.2">
      <c r="B2033" s="1">
        <v>2018</v>
      </c>
      <c r="C2033" s="101">
        <f t="shared" ca="1" si="124"/>
        <v>-0.77607627657684453</v>
      </c>
      <c r="D2033" s="101">
        <f t="shared" ca="1" si="125"/>
        <v>0.61553077431598868</v>
      </c>
      <c r="E2033" s="101">
        <f t="shared" ca="1" si="126"/>
        <v>0</v>
      </c>
      <c r="F2033" s="21">
        <f t="shared" ca="1" si="127"/>
        <v>0</v>
      </c>
      <c r="H2033" s="21">
        <v>2018</v>
      </c>
      <c r="I2033" s="102">
        <v>0.66774183121858544</v>
      </c>
      <c r="J2033" s="103">
        <v>1.3861851802832513E-3</v>
      </c>
      <c r="K2033" s="103"/>
      <c r="L2033" s="103">
        <v>4.4999999999999998E-2</v>
      </c>
      <c r="O2033" s="100"/>
    </row>
    <row r="2034" spans="2:15" x14ac:dyDescent="0.2">
      <c r="B2034" s="1">
        <v>2019</v>
      </c>
      <c r="C2034" s="101">
        <f t="shared" ca="1" si="124"/>
        <v>-0.28167908159855631</v>
      </c>
      <c r="D2034" s="101">
        <f t="shared" ca="1" si="125"/>
        <v>0.64629298494418452</v>
      </c>
      <c r="E2034" s="101">
        <f t="shared" ca="1" si="126"/>
        <v>0</v>
      </c>
      <c r="F2034" s="21">
        <f t="shared" ca="1" si="127"/>
        <v>0</v>
      </c>
      <c r="H2034" s="21">
        <v>2019</v>
      </c>
      <c r="I2034" s="102">
        <v>0.66767274154905087</v>
      </c>
      <c r="J2034" s="103">
        <v>1.1751618010396073E-3</v>
      </c>
      <c r="K2034" s="103"/>
      <c r="L2034" s="103">
        <v>3.78E-2</v>
      </c>
      <c r="O2034" s="100"/>
    </row>
    <row r="2035" spans="2:15" x14ac:dyDescent="0.2">
      <c r="B2035" s="1">
        <v>2020</v>
      </c>
      <c r="C2035" s="101">
        <f t="shared" ca="1" si="124"/>
        <v>1.4557088051914853</v>
      </c>
      <c r="D2035" s="101">
        <f t="shared" ca="1" si="125"/>
        <v>0.76711074836518178</v>
      </c>
      <c r="E2035" s="101">
        <f t="shared" ca="1" si="126"/>
        <v>0</v>
      </c>
      <c r="F2035" s="21">
        <f t="shared" ca="1" si="127"/>
        <v>0</v>
      </c>
      <c r="H2035" s="21">
        <v>2020</v>
      </c>
      <c r="I2035" s="102">
        <v>0.66773735437959525</v>
      </c>
      <c r="J2035" s="103">
        <v>1.3223524763512648E-3</v>
      </c>
      <c r="K2035" s="103"/>
      <c r="L2035" s="103">
        <v>4.2200000000000001E-2</v>
      </c>
      <c r="O2035" s="100"/>
    </row>
    <row r="2036" spans="2:15" x14ac:dyDescent="0.2">
      <c r="B2036" s="1">
        <v>2021</v>
      </c>
      <c r="C2036" s="101">
        <f t="shared" ca="1" si="124"/>
        <v>0.56201161958854728</v>
      </c>
      <c r="D2036" s="101">
        <f t="shared" ca="1" si="125"/>
        <v>0.70238080016675675</v>
      </c>
      <c r="E2036" s="101">
        <f t="shared" ca="1" si="126"/>
        <v>0</v>
      </c>
      <c r="F2036" s="21">
        <f t="shared" ca="1" si="127"/>
        <v>0</v>
      </c>
      <c r="H2036" s="21">
        <v>2021</v>
      </c>
      <c r="I2036" s="102">
        <v>0.66776543520535581</v>
      </c>
      <c r="J2036" s="103">
        <v>1.3848449612534242E-3</v>
      </c>
      <c r="K2036" s="103"/>
      <c r="L2036" s="103">
        <v>4.2000000000000003E-2</v>
      </c>
      <c r="O2036" s="100"/>
    </row>
    <row r="2037" spans="2:15" x14ac:dyDescent="0.2">
      <c r="B2037" s="1">
        <v>2022</v>
      </c>
      <c r="C2037" s="101">
        <f t="shared" ca="1" si="124"/>
        <v>-1.116852356923673</v>
      </c>
      <c r="D2037" s="101">
        <f t="shared" ca="1" si="125"/>
        <v>0.59518384374716005</v>
      </c>
      <c r="E2037" s="101">
        <f t="shared" ca="1" si="126"/>
        <v>0</v>
      </c>
      <c r="F2037" s="21">
        <f t="shared" ca="1" si="127"/>
        <v>0</v>
      </c>
      <c r="H2037" s="21">
        <v>2022</v>
      </c>
      <c r="I2037" s="102">
        <v>0.66776295801137886</v>
      </c>
      <c r="J2037" s="103">
        <v>1.4934733823018255E-3</v>
      </c>
      <c r="K2037" s="103"/>
      <c r="L2037" s="103">
        <v>4.2799999999999998E-2</v>
      </c>
      <c r="O2037" s="100"/>
    </row>
    <row r="2038" spans="2:15" x14ac:dyDescent="0.2">
      <c r="B2038" s="1">
        <v>2023</v>
      </c>
      <c r="C2038" s="101">
        <f t="shared" ca="1" si="124"/>
        <v>0.26832832910422172</v>
      </c>
      <c r="D2038" s="101">
        <f t="shared" ca="1" si="125"/>
        <v>0.682325214441168</v>
      </c>
      <c r="E2038" s="101">
        <f t="shared" ca="1" si="126"/>
        <v>0</v>
      </c>
      <c r="F2038" s="21">
        <f t="shared" ca="1" si="127"/>
        <v>0</v>
      </c>
      <c r="H2038" s="21">
        <v>2023</v>
      </c>
      <c r="I2038" s="102">
        <v>0.66780218821387838</v>
      </c>
      <c r="J2038" s="103">
        <v>1.5385067380526175E-3</v>
      </c>
      <c r="K2038" s="103"/>
      <c r="L2038" s="103">
        <v>4.2999999999999997E-2</v>
      </c>
      <c r="O2038" s="100"/>
    </row>
    <row r="2039" spans="2:15" x14ac:dyDescent="0.2">
      <c r="B2039" s="1">
        <v>2024</v>
      </c>
      <c r="C2039" s="101">
        <f t="shared" ca="1" si="124"/>
        <v>1.3441867892776012</v>
      </c>
      <c r="D2039" s="101">
        <f t="shared" ca="1" si="125"/>
        <v>0.75871825507900237</v>
      </c>
      <c r="E2039" s="101">
        <f t="shared" ca="1" si="126"/>
        <v>0</v>
      </c>
      <c r="F2039" s="21">
        <f t="shared" ca="1" si="127"/>
        <v>0</v>
      </c>
      <c r="H2039" s="21">
        <v>2024</v>
      </c>
      <c r="I2039" s="102">
        <v>0.66790633088222684</v>
      </c>
      <c r="J2039" s="103">
        <v>1.5622308854364073E-3</v>
      </c>
      <c r="K2039" s="103"/>
      <c r="L2039" s="103">
        <v>4.5400000000000003E-2</v>
      </c>
      <c r="O2039" s="100"/>
    </row>
    <row r="2040" spans="2:15" x14ac:dyDescent="0.2">
      <c r="B2040" s="1">
        <v>2025</v>
      </c>
      <c r="C2040" s="101">
        <f t="shared" ca="1" si="124"/>
        <v>-2.4553952592209933</v>
      </c>
      <c r="D2040" s="101">
        <f t="shared" ca="1" si="125"/>
        <v>0.52156540958350384</v>
      </c>
      <c r="E2040" s="101">
        <f t="shared" ca="1" si="126"/>
        <v>0</v>
      </c>
      <c r="F2040" s="21">
        <f t="shared" ca="1" si="127"/>
        <v>0</v>
      </c>
      <c r="H2040" s="21">
        <v>2025</v>
      </c>
      <c r="I2040" s="102">
        <v>0.667683190511002</v>
      </c>
      <c r="J2040" s="103">
        <v>1.3422386616861236E-3</v>
      </c>
      <c r="K2040" s="103"/>
      <c r="L2040" s="103">
        <v>4.02E-2</v>
      </c>
      <c r="O2040" s="100"/>
    </row>
    <row r="2041" spans="2:15" x14ac:dyDescent="0.2">
      <c r="B2041" s="1">
        <v>2026</v>
      </c>
      <c r="C2041" s="101">
        <f t="shared" ca="1" si="124"/>
        <v>-0.5231671890282743</v>
      </c>
      <c r="D2041" s="101">
        <f t="shared" ca="1" si="125"/>
        <v>0.63107974350904561</v>
      </c>
      <c r="E2041" s="101">
        <f t="shared" ca="1" si="126"/>
        <v>0</v>
      </c>
      <c r="F2041" s="21">
        <f t="shared" ca="1" si="127"/>
        <v>0</v>
      </c>
      <c r="H2041" s="21">
        <v>2026</v>
      </c>
      <c r="I2041" s="102">
        <v>0.66790991307371839</v>
      </c>
      <c r="J2041" s="103">
        <v>1.4767449035902318E-3</v>
      </c>
      <c r="K2041" s="103"/>
      <c r="L2041" s="103">
        <v>4.5600000000000002E-2</v>
      </c>
      <c r="O2041" s="100"/>
    </row>
    <row r="2042" spans="2:15" x14ac:dyDescent="0.2">
      <c r="B2042" s="1">
        <v>2027</v>
      </c>
      <c r="C2042" s="101">
        <f t="shared" ca="1" si="124"/>
        <v>-1.5294588091818515</v>
      </c>
      <c r="D2042" s="101">
        <f t="shared" ca="1" si="125"/>
        <v>0.57144617192322666</v>
      </c>
      <c r="E2042" s="101">
        <f t="shared" ca="1" si="126"/>
        <v>0</v>
      </c>
      <c r="F2042" s="21">
        <f t="shared" ca="1" si="127"/>
        <v>0</v>
      </c>
      <c r="H2042" s="21">
        <v>2027</v>
      </c>
      <c r="I2042" s="102">
        <v>0.66772118938940672</v>
      </c>
      <c r="J2042" s="103">
        <v>1.4389300907556165E-3</v>
      </c>
      <c r="K2042" s="103"/>
      <c r="L2042" s="103">
        <v>4.2799999999999998E-2</v>
      </c>
      <c r="O2042" s="100"/>
    </row>
    <row r="2043" spans="2:15" x14ac:dyDescent="0.2">
      <c r="B2043" s="1">
        <v>2028</v>
      </c>
      <c r="C2043" s="101">
        <f t="shared" ca="1" si="124"/>
        <v>2.2216547379881879E-2</v>
      </c>
      <c r="D2043" s="101">
        <f t="shared" ca="1" si="125"/>
        <v>0.66595999806298611</v>
      </c>
      <c r="E2043" s="101">
        <f t="shared" ca="1" si="126"/>
        <v>0</v>
      </c>
      <c r="F2043" s="21">
        <f t="shared" ca="1" si="127"/>
        <v>0</v>
      </c>
      <c r="H2043" s="21">
        <v>2028</v>
      </c>
      <c r="I2043" s="102">
        <v>0.66765456898783426</v>
      </c>
      <c r="J2043" s="103">
        <v>1.2993293874965942E-3</v>
      </c>
      <c r="K2043" s="103"/>
      <c r="L2043" s="103">
        <v>3.9199999999999999E-2</v>
      </c>
      <c r="O2043" s="100"/>
    </row>
    <row r="2044" spans="2:15" x14ac:dyDescent="0.2">
      <c r="B2044" s="1">
        <v>2029</v>
      </c>
      <c r="C2044" s="101">
        <f t="shared" ca="1" si="124"/>
        <v>-1.3179543019071573</v>
      </c>
      <c r="D2044" s="101">
        <f t="shared" ca="1" si="125"/>
        <v>0.5834935376067093</v>
      </c>
      <c r="E2044" s="101">
        <f t="shared" ca="1" si="126"/>
        <v>0</v>
      </c>
      <c r="F2044" s="21">
        <f t="shared" ca="1" si="127"/>
        <v>0</v>
      </c>
      <c r="H2044" s="21">
        <v>2029</v>
      </c>
      <c r="I2044" s="102">
        <v>0.66766553425781217</v>
      </c>
      <c r="J2044" s="103">
        <v>1.1783863694880396E-3</v>
      </c>
      <c r="K2044" s="103"/>
      <c r="L2044" s="103">
        <v>3.9E-2</v>
      </c>
      <c r="O2044" s="100"/>
    </row>
    <row r="2045" spans="2:15" x14ac:dyDescent="0.2">
      <c r="B2045" s="1">
        <v>2030</v>
      </c>
      <c r="C2045" s="101">
        <f t="shared" ca="1" si="124"/>
        <v>1.0490338512422963</v>
      </c>
      <c r="D2045" s="101">
        <f t="shared" ca="1" si="125"/>
        <v>0.73694718386736857</v>
      </c>
      <c r="E2045" s="101">
        <f t="shared" ca="1" si="126"/>
        <v>0</v>
      </c>
      <c r="F2045" s="21">
        <f t="shared" ca="1" si="127"/>
        <v>0</v>
      </c>
      <c r="H2045" s="21">
        <v>2030</v>
      </c>
      <c r="I2045" s="102">
        <v>0.66771019979764967</v>
      </c>
      <c r="J2045" s="103">
        <v>1.3545337072850493E-3</v>
      </c>
      <c r="K2045" s="103"/>
      <c r="L2045" s="103">
        <v>4.1599999999999998E-2</v>
      </c>
      <c r="O2045" s="100"/>
    </row>
    <row r="2046" spans="2:15" x14ac:dyDescent="0.2">
      <c r="B2046" s="1">
        <v>2031</v>
      </c>
      <c r="C2046" s="101">
        <f t="shared" ca="1" si="124"/>
        <v>-0.48221094505036233</v>
      </c>
      <c r="D2046" s="101">
        <f t="shared" ca="1" si="125"/>
        <v>0.63363444892044041</v>
      </c>
      <c r="E2046" s="101">
        <f t="shared" ca="1" si="126"/>
        <v>0</v>
      </c>
      <c r="F2046" s="21">
        <f t="shared" ca="1" si="127"/>
        <v>0</v>
      </c>
      <c r="H2046" s="21">
        <v>2031</v>
      </c>
      <c r="I2046" s="102">
        <v>0.66764624146849494</v>
      </c>
      <c r="J2046" s="103">
        <v>1.4689376383606914E-3</v>
      </c>
      <c r="K2046" s="103"/>
      <c r="L2046" s="103">
        <v>3.9800000000000002E-2</v>
      </c>
      <c r="O2046" s="100"/>
    </row>
    <row r="2047" spans="2:15" x14ac:dyDescent="0.2">
      <c r="B2047" s="1">
        <v>2032</v>
      </c>
      <c r="C2047" s="101">
        <f t="shared" ca="1" si="124"/>
        <v>0.68039724822885295</v>
      </c>
      <c r="D2047" s="101">
        <f t="shared" ca="1" si="125"/>
        <v>0.71063108168889033</v>
      </c>
      <c r="E2047" s="101">
        <f t="shared" ca="1" si="126"/>
        <v>0</v>
      </c>
      <c r="F2047" s="21">
        <f t="shared" ca="1" si="127"/>
        <v>0</v>
      </c>
      <c r="H2047" s="21">
        <v>2032</v>
      </c>
      <c r="I2047" s="102">
        <v>0.66768436600441805</v>
      </c>
      <c r="J2047" s="103">
        <v>1.3539186011675944E-3</v>
      </c>
      <c r="K2047" s="103"/>
      <c r="L2047" s="103">
        <v>4.0800000000000003E-2</v>
      </c>
      <c r="O2047" s="100"/>
    </row>
    <row r="2048" spans="2:15" x14ac:dyDescent="0.2">
      <c r="B2048" s="1">
        <v>2033</v>
      </c>
      <c r="C2048" s="101">
        <f t="shared" ca="1" si="124"/>
        <v>-0.89405414217112844</v>
      </c>
      <c r="D2048" s="101">
        <f t="shared" ca="1" si="125"/>
        <v>0.60840905902472531</v>
      </c>
      <c r="E2048" s="101">
        <f t="shared" ca="1" si="126"/>
        <v>0</v>
      </c>
      <c r="F2048" s="21">
        <f t="shared" ca="1" si="127"/>
        <v>0</v>
      </c>
      <c r="H2048" s="21">
        <v>2033</v>
      </c>
      <c r="I2048" s="102">
        <v>0.66768159546763595</v>
      </c>
      <c r="J2048" s="103">
        <v>1.198883324295843E-3</v>
      </c>
      <c r="K2048" s="103"/>
      <c r="L2048" s="103">
        <v>4.02E-2</v>
      </c>
      <c r="O2048" s="100"/>
    </row>
    <row r="2049" spans="2:15" x14ac:dyDescent="0.2">
      <c r="B2049" s="1">
        <v>2034</v>
      </c>
      <c r="C2049" s="101">
        <f t="shared" ca="1" si="124"/>
        <v>-1.1691325452398036</v>
      </c>
      <c r="D2049" s="101">
        <f t="shared" ca="1" si="125"/>
        <v>0.59212238907660131</v>
      </c>
      <c r="E2049" s="101">
        <f t="shared" ca="1" si="126"/>
        <v>0</v>
      </c>
      <c r="F2049" s="21">
        <f t="shared" ca="1" si="127"/>
        <v>0</v>
      </c>
      <c r="H2049" s="21">
        <v>2034</v>
      </c>
      <c r="I2049" s="102">
        <v>0.66767376486213292</v>
      </c>
      <c r="J2049" s="103">
        <v>1.2753730312488197E-3</v>
      </c>
      <c r="K2049" s="103"/>
      <c r="L2049" s="103">
        <v>4.1399999999999999E-2</v>
      </c>
      <c r="O2049" s="100"/>
    </row>
    <row r="2050" spans="2:15" x14ac:dyDescent="0.2">
      <c r="B2050" s="1">
        <v>2035</v>
      </c>
      <c r="C2050" s="101">
        <f t="shared" ca="1" si="124"/>
        <v>-3.4954218863217645E-2</v>
      </c>
      <c r="D2050" s="101">
        <f t="shared" ca="1" si="125"/>
        <v>0.66221495296109611</v>
      </c>
      <c r="E2050" s="101">
        <f t="shared" ca="1" si="126"/>
        <v>0</v>
      </c>
      <c r="F2050" s="21">
        <f t="shared" ca="1" si="127"/>
        <v>0</v>
      </c>
      <c r="H2050" s="21">
        <v>2035</v>
      </c>
      <c r="I2050" s="102">
        <v>0.66771127486294368</v>
      </c>
      <c r="J2050" s="103">
        <v>1.3945281511516985E-3</v>
      </c>
      <c r="K2050" s="103"/>
      <c r="L2050" s="103">
        <v>4.2599999999999999E-2</v>
      </c>
      <c r="O2050" s="100"/>
    </row>
    <row r="2051" spans="2:15" x14ac:dyDescent="0.2">
      <c r="B2051" s="1">
        <v>2036</v>
      </c>
      <c r="C2051" s="101">
        <f t="shared" ca="1" si="124"/>
        <v>1.2495772568990502</v>
      </c>
      <c r="D2051" s="101">
        <f t="shared" ca="1" si="125"/>
        <v>0.75167052278647994</v>
      </c>
      <c r="E2051" s="101">
        <f t="shared" ca="1" si="126"/>
        <v>0</v>
      </c>
      <c r="F2051" s="21">
        <f t="shared" ca="1" si="127"/>
        <v>0</v>
      </c>
      <c r="H2051" s="21">
        <v>2036</v>
      </c>
      <c r="I2051" s="102">
        <v>0.66771567905072093</v>
      </c>
      <c r="J2051" s="103">
        <v>1.2156211037741441E-3</v>
      </c>
      <c r="K2051" s="103"/>
      <c r="L2051" s="103">
        <v>4.0399999999999998E-2</v>
      </c>
      <c r="O2051" s="100"/>
    </row>
    <row r="2052" spans="2:15" x14ac:dyDescent="0.2">
      <c r="B2052" s="1">
        <v>2037</v>
      </c>
      <c r="C2052" s="101">
        <f t="shared" ca="1" si="124"/>
        <v>-1.2003654560365449</v>
      </c>
      <c r="D2052" s="101">
        <f t="shared" ca="1" si="125"/>
        <v>0.59030095265434868</v>
      </c>
      <c r="E2052" s="101">
        <f t="shared" ca="1" si="126"/>
        <v>0</v>
      </c>
      <c r="F2052" s="21">
        <f t="shared" ca="1" si="127"/>
        <v>0</v>
      </c>
      <c r="H2052" s="21">
        <v>2037</v>
      </c>
      <c r="I2052" s="102">
        <v>0.66775499817325856</v>
      </c>
      <c r="J2052" s="103">
        <v>1.2419987227376447E-3</v>
      </c>
      <c r="K2052" s="103"/>
      <c r="L2052" s="103">
        <v>4.24E-2</v>
      </c>
      <c r="O2052" s="100"/>
    </row>
    <row r="2053" spans="2:15" x14ac:dyDescent="0.2">
      <c r="B2053" s="1">
        <v>2038</v>
      </c>
      <c r="C2053" s="101">
        <f t="shared" ca="1" si="124"/>
        <v>0.20519271150122986</v>
      </c>
      <c r="D2053" s="101">
        <f t="shared" ca="1" si="125"/>
        <v>0.67808904707196926</v>
      </c>
      <c r="E2053" s="101">
        <f t="shared" ca="1" si="126"/>
        <v>0</v>
      </c>
      <c r="F2053" s="21">
        <f t="shared" ca="1" si="127"/>
        <v>0</v>
      </c>
      <c r="H2053" s="21">
        <v>2038</v>
      </c>
      <c r="I2053" s="102">
        <v>0.66784506521257869</v>
      </c>
      <c r="J2053" s="103">
        <v>1.4338035506512392E-3</v>
      </c>
      <c r="K2053" s="103"/>
      <c r="L2053" s="103">
        <v>4.7800000000000002E-2</v>
      </c>
      <c r="O2053" s="100"/>
    </row>
    <row r="2054" spans="2:15" x14ac:dyDescent="0.2">
      <c r="B2054" s="1">
        <v>2039</v>
      </c>
      <c r="C2054" s="101">
        <f t="shared" ca="1" si="124"/>
        <v>-8.3553423705726118E-2</v>
      </c>
      <c r="D2054" s="101">
        <f t="shared" ca="1" si="125"/>
        <v>0.65904796448466585</v>
      </c>
      <c r="E2054" s="101">
        <f t="shared" ca="1" si="126"/>
        <v>0</v>
      </c>
      <c r="F2054" s="21">
        <f t="shared" ca="1" si="127"/>
        <v>0</v>
      </c>
      <c r="H2054" s="21">
        <v>2039</v>
      </c>
      <c r="I2054" s="102">
        <v>0.66749806129330402</v>
      </c>
      <c r="J2054" s="103">
        <v>1.1182994216767824E-3</v>
      </c>
      <c r="K2054" s="103"/>
      <c r="L2054" s="103">
        <v>3.5999999999999997E-2</v>
      </c>
      <c r="O2054" s="100"/>
    </row>
    <row r="2055" spans="2:15" x14ac:dyDescent="0.2">
      <c r="B2055" s="1">
        <v>2040</v>
      </c>
      <c r="C2055" s="101">
        <f t="shared" ca="1" si="124"/>
        <v>0.51986123810102569</v>
      </c>
      <c r="D2055" s="101">
        <f t="shared" ca="1" si="125"/>
        <v>0.69946652533017151</v>
      </c>
      <c r="E2055" s="101">
        <f t="shared" ca="1" si="126"/>
        <v>0</v>
      </c>
      <c r="F2055" s="21">
        <f t="shared" ca="1" si="127"/>
        <v>0</v>
      </c>
      <c r="H2055" s="21">
        <v>2040</v>
      </c>
      <c r="I2055" s="102">
        <v>0.66771415790573774</v>
      </c>
      <c r="J2055" s="103">
        <v>1.3144100262419539E-3</v>
      </c>
      <c r="K2055" s="103"/>
      <c r="L2055" s="103">
        <v>4.0800000000000003E-2</v>
      </c>
      <c r="O2055" s="100"/>
    </row>
    <row r="2056" spans="2:15" x14ac:dyDescent="0.2">
      <c r="B2056" s="1">
        <v>2041</v>
      </c>
      <c r="C2056" s="101">
        <f t="shared" ca="1" si="124"/>
        <v>-0.57347219514679626</v>
      </c>
      <c r="D2056" s="101">
        <f t="shared" ca="1" si="125"/>
        <v>0.6279559862740417</v>
      </c>
      <c r="E2056" s="101">
        <f t="shared" ca="1" si="126"/>
        <v>0</v>
      </c>
      <c r="F2056" s="21">
        <f t="shared" ca="1" si="127"/>
        <v>0</v>
      </c>
      <c r="H2056" s="21">
        <v>2041</v>
      </c>
      <c r="I2056" s="102">
        <v>0.66768531809224374</v>
      </c>
      <c r="J2056" s="103">
        <v>1.4252719785395789E-3</v>
      </c>
      <c r="K2056" s="103"/>
      <c r="L2056" s="103">
        <v>3.8199999999999998E-2</v>
      </c>
      <c r="O2056" s="100"/>
    </row>
    <row r="2057" spans="2:15" x14ac:dyDescent="0.2">
      <c r="B2057" s="1">
        <v>2042</v>
      </c>
      <c r="C2057" s="101">
        <f t="shared" ca="1" si="124"/>
        <v>2.8046381588049827</v>
      </c>
      <c r="D2057" s="101">
        <f t="shared" ca="1" si="125"/>
        <v>0.87628498411281608</v>
      </c>
      <c r="E2057" s="101">
        <f t="shared" ca="1" si="126"/>
        <v>8.8084984112816067E-2</v>
      </c>
      <c r="F2057" s="21">
        <f t="shared" ca="1" si="127"/>
        <v>1</v>
      </c>
      <c r="H2057" s="21">
        <v>2042</v>
      </c>
      <c r="I2057" s="102">
        <v>0.66769647372582108</v>
      </c>
      <c r="J2057" s="103">
        <v>1.2549483504034375E-3</v>
      </c>
      <c r="K2057" s="103"/>
      <c r="L2057" s="103">
        <v>4.2000000000000003E-2</v>
      </c>
      <c r="O2057" s="100"/>
    </row>
    <row r="2058" spans="2:15" x14ac:dyDescent="0.2">
      <c r="B2058" s="1">
        <v>2043</v>
      </c>
      <c r="C2058" s="101">
        <f t="shared" ca="1" si="124"/>
        <v>0.41310306459342272</v>
      </c>
      <c r="D2058" s="101">
        <f t="shared" ca="1" si="125"/>
        <v>0.69213925439679136</v>
      </c>
      <c r="E2058" s="101">
        <f t="shared" ca="1" si="126"/>
        <v>0</v>
      </c>
      <c r="F2058" s="21">
        <f t="shared" ca="1" si="127"/>
        <v>0</v>
      </c>
      <c r="H2058" s="21">
        <v>2043</v>
      </c>
      <c r="I2058" s="102">
        <v>0.66777120313649252</v>
      </c>
      <c r="J2058" s="103">
        <v>1.4269160820288766E-3</v>
      </c>
      <c r="K2058" s="103"/>
      <c r="L2058" s="103">
        <v>3.9600000000000003E-2</v>
      </c>
      <c r="O2058" s="100"/>
    </row>
    <row r="2059" spans="2:15" x14ac:dyDescent="0.2">
      <c r="B2059" s="1">
        <v>2044</v>
      </c>
      <c r="C2059" s="101">
        <f t="shared" ca="1" si="124"/>
        <v>6.6119604234179521E-2</v>
      </c>
      <c r="D2059" s="101">
        <f t="shared" ca="1" si="125"/>
        <v>0.66885029547107389</v>
      </c>
      <c r="E2059" s="101">
        <f t="shared" ca="1" si="126"/>
        <v>0</v>
      </c>
      <c r="F2059" s="21">
        <f t="shared" ca="1" si="127"/>
        <v>0</v>
      </c>
      <c r="H2059" s="21">
        <v>2044</v>
      </c>
      <c r="I2059" s="102">
        <v>0.66781017612290916</v>
      </c>
      <c r="J2059" s="103">
        <v>1.3611601273530924E-3</v>
      </c>
      <c r="K2059" s="103"/>
      <c r="L2059" s="103">
        <v>4.4400000000000002E-2</v>
      </c>
      <c r="O2059" s="100"/>
    </row>
    <row r="2060" spans="2:15" x14ac:dyDescent="0.2">
      <c r="B2060" s="1">
        <v>2045</v>
      </c>
      <c r="C2060" s="101">
        <f t="shared" ca="1" si="124"/>
        <v>1.4792987544673608</v>
      </c>
      <c r="D2060" s="101">
        <f t="shared" ca="1" si="125"/>
        <v>0.76889785045647085</v>
      </c>
      <c r="E2060" s="101">
        <f t="shared" ca="1" si="126"/>
        <v>0</v>
      </c>
      <c r="F2060" s="21">
        <f t="shared" ca="1" si="127"/>
        <v>0</v>
      </c>
      <c r="H2060" s="21">
        <v>2045</v>
      </c>
      <c r="I2060" s="102">
        <v>0.66773398316011212</v>
      </c>
      <c r="J2060" s="103">
        <v>1.3529480134725094E-3</v>
      </c>
      <c r="K2060" s="103"/>
      <c r="L2060" s="103">
        <v>4.2599999999999999E-2</v>
      </c>
      <c r="O2060" s="100"/>
    </row>
    <row r="2061" spans="2:15" x14ac:dyDescent="0.2">
      <c r="B2061" s="1">
        <v>2046</v>
      </c>
      <c r="C2061" s="101">
        <f t="shared" ca="1" si="124"/>
        <v>1.3203699464120191E-2</v>
      </c>
      <c r="D2061" s="101">
        <f t="shared" ca="1" si="125"/>
        <v>0.6653681965805881</v>
      </c>
      <c r="E2061" s="101">
        <f t="shared" ca="1" si="126"/>
        <v>0</v>
      </c>
      <c r="F2061" s="21">
        <f t="shared" ca="1" si="127"/>
        <v>0</v>
      </c>
      <c r="H2061" s="21">
        <v>2046</v>
      </c>
      <c r="I2061" s="102">
        <v>0.66776539299393234</v>
      </c>
      <c r="J2061" s="103">
        <v>1.3810995965193413E-3</v>
      </c>
      <c r="K2061" s="103"/>
      <c r="L2061" s="103">
        <v>0.04</v>
      </c>
      <c r="O2061" s="100"/>
    </row>
    <row r="2062" spans="2:15" x14ac:dyDescent="0.2">
      <c r="B2062" s="1">
        <v>2047</v>
      </c>
      <c r="C2062" s="101">
        <f t="shared" ca="1" si="124"/>
        <v>1.1126279574209037</v>
      </c>
      <c r="D2062" s="101">
        <f t="shared" ca="1" si="125"/>
        <v>0.74158458869871058</v>
      </c>
      <c r="E2062" s="101">
        <f t="shared" ca="1" si="126"/>
        <v>0</v>
      </c>
      <c r="F2062" s="21">
        <f t="shared" ca="1" si="127"/>
        <v>0</v>
      </c>
      <c r="H2062" s="21">
        <v>2047</v>
      </c>
      <c r="I2062" s="102">
        <v>0.66793041514939666</v>
      </c>
      <c r="J2062" s="103">
        <v>1.4226707668791589E-3</v>
      </c>
      <c r="K2062" s="103"/>
      <c r="L2062" s="103">
        <v>4.5199999999999997E-2</v>
      </c>
      <c r="O2062" s="100"/>
    </row>
    <row r="2063" spans="2:15" x14ac:dyDescent="0.2">
      <c r="B2063" s="1">
        <v>2048</v>
      </c>
      <c r="C2063" s="101">
        <f t="shared" ca="1" si="124"/>
        <v>-0.37469648252414084</v>
      </c>
      <c r="D2063" s="101">
        <f t="shared" ca="1" si="125"/>
        <v>0.64039013609842599</v>
      </c>
      <c r="E2063" s="101">
        <f t="shared" ca="1" si="126"/>
        <v>0</v>
      </c>
      <c r="F2063" s="21">
        <f t="shared" ca="1" si="127"/>
        <v>0</v>
      </c>
      <c r="H2063" s="21">
        <v>2048</v>
      </c>
      <c r="I2063" s="102">
        <v>0.66785069798944341</v>
      </c>
      <c r="J2063" s="103">
        <v>1.488018985597411E-3</v>
      </c>
      <c r="K2063" s="103"/>
      <c r="L2063" s="103">
        <v>4.3799999999999999E-2</v>
      </c>
      <c r="O2063" s="100"/>
    </row>
    <row r="2064" spans="2:15" x14ac:dyDescent="0.2">
      <c r="B2064" s="1">
        <v>2049</v>
      </c>
      <c r="C2064" s="101">
        <f t="shared" ref="C2064:C2127" ca="1" si="128">_xlfn.NORM.S.INV(RAND())</f>
        <v>-0.35043517837421601</v>
      </c>
      <c r="D2064" s="101">
        <f t="shared" ref="D2064:D2127" ca="1" si="129">S0*EXP((μ-0.5*σ*σ)*T+σ*SQRT(T)*$C2064)</f>
        <v>0.64192453207202937</v>
      </c>
      <c r="E2064" s="101">
        <f t="shared" ref="E2064:E2127" ca="1" si="130">MAX(0,CP*(D2064-K))</f>
        <v>0</v>
      </c>
      <c r="F2064" s="21">
        <f t="shared" ref="F2064:F2127" ca="1" si="131">(CP*(D2064-K)&gt;0)*1</f>
        <v>0</v>
      </c>
      <c r="H2064" s="21">
        <v>2049</v>
      </c>
      <c r="I2064" s="102">
        <v>0.66782801174529582</v>
      </c>
      <c r="J2064" s="103">
        <v>1.5327267846314157E-3</v>
      </c>
      <c r="K2064" s="103"/>
      <c r="L2064" s="103">
        <v>4.2599999999999999E-2</v>
      </c>
      <c r="O2064" s="100"/>
    </row>
    <row r="2065" spans="2:15" x14ac:dyDescent="0.2">
      <c r="B2065" s="1">
        <v>2050</v>
      </c>
      <c r="C2065" s="101">
        <f t="shared" ca="1" si="128"/>
        <v>-9.618688441230179E-2</v>
      </c>
      <c r="D2065" s="101">
        <f t="shared" ca="1" si="129"/>
        <v>0.65822718275452818</v>
      </c>
      <c r="E2065" s="101">
        <f t="shared" ca="1" si="130"/>
        <v>0</v>
      </c>
      <c r="F2065" s="21">
        <f t="shared" ca="1" si="131"/>
        <v>0</v>
      </c>
      <c r="H2065" s="21">
        <v>2050</v>
      </c>
      <c r="I2065" s="102">
        <v>0.66784619367496678</v>
      </c>
      <c r="J2065" s="103">
        <v>1.4579179284043245E-3</v>
      </c>
      <c r="K2065" s="103"/>
      <c r="L2065" s="103">
        <v>4.2599999999999999E-2</v>
      </c>
      <c r="O2065" s="100"/>
    </row>
    <row r="2066" spans="2:15" x14ac:dyDescent="0.2">
      <c r="B2066" s="1">
        <v>2051</v>
      </c>
      <c r="C2066" s="101">
        <f t="shared" ca="1" si="128"/>
        <v>0.31176921284114845</v>
      </c>
      <c r="D2066" s="101">
        <f t="shared" ca="1" si="129"/>
        <v>0.68525529658181139</v>
      </c>
      <c r="E2066" s="101">
        <f t="shared" ca="1" si="130"/>
        <v>0</v>
      </c>
      <c r="F2066" s="21">
        <f t="shared" ca="1" si="131"/>
        <v>0</v>
      </c>
      <c r="H2066" s="21">
        <v>2051</v>
      </c>
      <c r="I2066" s="102">
        <v>0.66781774583475817</v>
      </c>
      <c r="J2066" s="103">
        <v>1.3751583021378408E-3</v>
      </c>
      <c r="K2066" s="103"/>
      <c r="L2066" s="103">
        <v>4.1799999999999997E-2</v>
      </c>
      <c r="O2066" s="100"/>
    </row>
    <row r="2067" spans="2:15" x14ac:dyDescent="0.2">
      <c r="B2067" s="1">
        <v>2052</v>
      </c>
      <c r="C2067" s="101">
        <f t="shared" ca="1" si="128"/>
        <v>-0.66236186007077325</v>
      </c>
      <c r="D2067" s="101">
        <f t="shared" ca="1" si="129"/>
        <v>0.62247401473263086</v>
      </c>
      <c r="E2067" s="101">
        <f t="shared" ca="1" si="130"/>
        <v>0</v>
      </c>
      <c r="F2067" s="21">
        <f t="shared" ca="1" si="131"/>
        <v>0</v>
      </c>
      <c r="H2067" s="21">
        <v>2052</v>
      </c>
      <c r="I2067" s="102">
        <v>0.66781987187755376</v>
      </c>
      <c r="J2067" s="103">
        <v>1.5993224673675388E-3</v>
      </c>
      <c r="K2067" s="103"/>
      <c r="L2067" s="103">
        <v>4.4600000000000001E-2</v>
      </c>
      <c r="O2067" s="100"/>
    </row>
    <row r="2068" spans="2:15" x14ac:dyDescent="0.2">
      <c r="B2068" s="1">
        <v>2053</v>
      </c>
      <c r="C2068" s="101">
        <f t="shared" ca="1" si="128"/>
        <v>0.9277082794370467</v>
      </c>
      <c r="D2068" s="101">
        <f t="shared" ca="1" si="129"/>
        <v>0.72818017498640975</v>
      </c>
      <c r="E2068" s="101">
        <f t="shared" ca="1" si="130"/>
        <v>0</v>
      </c>
      <c r="F2068" s="21">
        <f t="shared" ca="1" si="131"/>
        <v>0</v>
      </c>
      <c r="H2068" s="21">
        <v>2053</v>
      </c>
      <c r="I2068" s="102">
        <v>0.66761368585142533</v>
      </c>
      <c r="J2068" s="103">
        <v>1.2305974370417833E-3</v>
      </c>
      <c r="K2068" s="103"/>
      <c r="L2068" s="103">
        <v>3.7999999999999999E-2</v>
      </c>
      <c r="O2068" s="100"/>
    </row>
    <row r="2069" spans="2:15" x14ac:dyDescent="0.2">
      <c r="B2069" s="1">
        <v>2054</v>
      </c>
      <c r="C2069" s="101">
        <f t="shared" ca="1" si="128"/>
        <v>0.98827333162405917</v>
      </c>
      <c r="D2069" s="101">
        <f t="shared" ca="1" si="129"/>
        <v>0.73254350215210495</v>
      </c>
      <c r="E2069" s="101">
        <f t="shared" ca="1" si="130"/>
        <v>0</v>
      </c>
      <c r="F2069" s="21">
        <f t="shared" ca="1" si="131"/>
        <v>0</v>
      </c>
      <c r="H2069" s="21">
        <v>2054</v>
      </c>
      <c r="I2069" s="102">
        <v>0.66773000234543678</v>
      </c>
      <c r="J2069" s="103">
        <v>1.5189281354525028E-3</v>
      </c>
      <c r="K2069" s="103"/>
      <c r="L2069" s="103">
        <v>4.3999999999999997E-2</v>
      </c>
      <c r="O2069" s="100"/>
    </row>
    <row r="2070" spans="2:15" x14ac:dyDescent="0.2">
      <c r="B2070" s="1">
        <v>2055</v>
      </c>
      <c r="C2070" s="101">
        <f t="shared" ca="1" si="128"/>
        <v>0.45387300487446286</v>
      </c>
      <c r="D2070" s="101">
        <f t="shared" ca="1" si="129"/>
        <v>0.69492836687685899</v>
      </c>
      <c r="E2070" s="101">
        <f t="shared" ca="1" si="130"/>
        <v>0</v>
      </c>
      <c r="F2070" s="21">
        <f t="shared" ca="1" si="131"/>
        <v>0</v>
      </c>
      <c r="H2070" s="21">
        <v>2055</v>
      </c>
      <c r="I2070" s="102">
        <v>0.66772402665421382</v>
      </c>
      <c r="J2070" s="103">
        <v>1.3856843558028907E-3</v>
      </c>
      <c r="K2070" s="103"/>
      <c r="L2070" s="103">
        <v>4.2599999999999999E-2</v>
      </c>
      <c r="O2070" s="100"/>
    </row>
    <row r="2071" spans="2:15" x14ac:dyDescent="0.2">
      <c r="B2071" s="1">
        <v>2056</v>
      </c>
      <c r="C2071" s="101">
        <f t="shared" ca="1" si="128"/>
        <v>-0.63017663128308399</v>
      </c>
      <c r="D2071" s="101">
        <f t="shared" ca="1" si="129"/>
        <v>0.6244533816524388</v>
      </c>
      <c r="E2071" s="101">
        <f t="shared" ca="1" si="130"/>
        <v>0</v>
      </c>
      <c r="F2071" s="21">
        <f t="shared" ca="1" si="131"/>
        <v>0</v>
      </c>
      <c r="H2071" s="21">
        <v>2056</v>
      </c>
      <c r="I2071" s="102">
        <v>0.66775852172056038</v>
      </c>
      <c r="J2071" s="103">
        <v>1.4237812018185435E-3</v>
      </c>
      <c r="K2071" s="103"/>
      <c r="L2071" s="103">
        <v>4.2799999999999998E-2</v>
      </c>
      <c r="O2071" s="100"/>
    </row>
    <row r="2072" spans="2:15" x14ac:dyDescent="0.2">
      <c r="B2072" s="1">
        <v>2057</v>
      </c>
      <c r="C2072" s="101">
        <f t="shared" ca="1" si="128"/>
        <v>-1.3409415476158563E-2</v>
      </c>
      <c r="D2072" s="101">
        <f t="shared" ca="1" si="129"/>
        <v>0.66362379396644533</v>
      </c>
      <c r="E2072" s="101">
        <f t="shared" ca="1" si="130"/>
        <v>0</v>
      </c>
      <c r="F2072" s="21">
        <f t="shared" ca="1" si="131"/>
        <v>0</v>
      </c>
      <c r="H2072" s="21">
        <v>2057</v>
      </c>
      <c r="I2072" s="102">
        <v>0.66773812321781312</v>
      </c>
      <c r="J2072" s="103">
        <v>1.4146742429738087E-3</v>
      </c>
      <c r="K2072" s="103"/>
      <c r="L2072" s="103">
        <v>4.1799999999999997E-2</v>
      </c>
      <c r="O2072" s="100"/>
    </row>
    <row r="2073" spans="2:15" x14ac:dyDescent="0.2">
      <c r="B2073" s="1">
        <v>2058</v>
      </c>
      <c r="C2073" s="101">
        <f t="shared" ca="1" si="128"/>
        <v>-1.3568496559601257</v>
      </c>
      <c r="D2073" s="101">
        <f t="shared" ca="1" si="129"/>
        <v>0.58125914327951256</v>
      </c>
      <c r="E2073" s="101">
        <f t="shared" ca="1" si="130"/>
        <v>0</v>
      </c>
      <c r="F2073" s="21">
        <f t="shared" ca="1" si="131"/>
        <v>0</v>
      </c>
      <c r="H2073" s="21">
        <v>2058</v>
      </c>
      <c r="I2073" s="102">
        <v>0.66779647559216371</v>
      </c>
      <c r="J2073" s="103">
        <v>1.4851267879126546E-3</v>
      </c>
      <c r="K2073" s="103"/>
      <c r="L2073" s="103">
        <v>4.2799999999999998E-2</v>
      </c>
      <c r="O2073" s="100"/>
    </row>
    <row r="2074" spans="2:15" x14ac:dyDescent="0.2">
      <c r="B2074" s="1">
        <v>2059</v>
      </c>
      <c r="C2074" s="101">
        <f t="shared" ca="1" si="128"/>
        <v>0.88603210696366352</v>
      </c>
      <c r="D2074" s="101">
        <f t="shared" ca="1" si="129"/>
        <v>0.7251927762478434</v>
      </c>
      <c r="E2074" s="101">
        <f t="shared" ca="1" si="130"/>
        <v>0</v>
      </c>
      <c r="F2074" s="21">
        <f t="shared" ca="1" si="131"/>
        <v>0</v>
      </c>
      <c r="H2074" s="21">
        <v>2059</v>
      </c>
      <c r="I2074" s="102">
        <v>0.66786039156672627</v>
      </c>
      <c r="J2074" s="103">
        <v>1.4921174502301668E-3</v>
      </c>
      <c r="K2074" s="103"/>
      <c r="L2074" s="103">
        <v>4.4600000000000001E-2</v>
      </c>
      <c r="O2074" s="100"/>
    </row>
    <row r="2075" spans="2:15" x14ac:dyDescent="0.2">
      <c r="B2075" s="1">
        <v>2060</v>
      </c>
      <c r="C2075" s="101">
        <f t="shared" ca="1" si="128"/>
        <v>0.28597793459318638</v>
      </c>
      <c r="D2075" s="101">
        <f t="shared" ca="1" si="129"/>
        <v>0.68351416399238951</v>
      </c>
      <c r="E2075" s="101">
        <f t="shared" ca="1" si="130"/>
        <v>0</v>
      </c>
      <c r="F2075" s="21">
        <f t="shared" ca="1" si="131"/>
        <v>0</v>
      </c>
      <c r="H2075" s="21">
        <v>2060</v>
      </c>
      <c r="I2075" s="102">
        <v>0.6678097398036571</v>
      </c>
      <c r="J2075" s="103">
        <v>1.4201996848648903E-3</v>
      </c>
      <c r="K2075" s="103"/>
      <c r="L2075" s="103">
        <v>4.2599999999999999E-2</v>
      </c>
      <c r="O2075" s="100"/>
    </row>
    <row r="2076" spans="2:15" x14ac:dyDescent="0.2">
      <c r="B2076" s="1">
        <v>2061</v>
      </c>
      <c r="C2076" s="101">
        <f t="shared" ca="1" si="128"/>
        <v>-0.43390450793657143</v>
      </c>
      <c r="D2076" s="101">
        <f t="shared" ca="1" si="129"/>
        <v>0.63666092891829873</v>
      </c>
      <c r="E2076" s="101">
        <f t="shared" ca="1" si="130"/>
        <v>0</v>
      </c>
      <c r="F2076" s="21">
        <f t="shared" ca="1" si="131"/>
        <v>0</v>
      </c>
      <c r="H2076" s="21">
        <v>2061</v>
      </c>
      <c r="I2076" s="102">
        <v>0.66793845831142662</v>
      </c>
      <c r="J2076" s="103">
        <v>1.6137064848692965E-3</v>
      </c>
      <c r="K2076" s="103"/>
      <c r="L2076" s="103">
        <v>4.5600000000000002E-2</v>
      </c>
      <c r="O2076" s="100"/>
    </row>
    <row r="2077" spans="2:15" x14ac:dyDescent="0.2">
      <c r="B2077" s="1">
        <v>2062</v>
      </c>
      <c r="C2077" s="101">
        <f t="shared" ca="1" si="128"/>
        <v>-1.5082849506563991</v>
      </c>
      <c r="D2077" s="101">
        <f t="shared" ca="1" si="129"/>
        <v>0.57264095166940043</v>
      </c>
      <c r="E2077" s="101">
        <f t="shared" ca="1" si="130"/>
        <v>0</v>
      </c>
      <c r="F2077" s="21">
        <f t="shared" ca="1" si="131"/>
        <v>0</v>
      </c>
      <c r="H2077" s="21">
        <v>2062</v>
      </c>
      <c r="I2077" s="102">
        <v>0.66779757347113589</v>
      </c>
      <c r="J2077" s="103">
        <v>1.3381247471386003E-3</v>
      </c>
      <c r="K2077" s="103"/>
      <c r="L2077" s="103">
        <v>4.2799999999999998E-2</v>
      </c>
      <c r="O2077" s="100"/>
    </row>
    <row r="2078" spans="2:15" x14ac:dyDescent="0.2">
      <c r="B2078" s="1">
        <v>2063</v>
      </c>
      <c r="C2078" s="101">
        <f t="shared" ca="1" si="128"/>
        <v>1.2974875411415927</v>
      </c>
      <c r="D2078" s="101">
        <f t="shared" ca="1" si="129"/>
        <v>0.75523127534691126</v>
      </c>
      <c r="E2078" s="101">
        <f t="shared" ca="1" si="130"/>
        <v>0</v>
      </c>
      <c r="F2078" s="21">
        <f t="shared" ca="1" si="131"/>
        <v>0</v>
      </c>
      <c r="H2078" s="21">
        <v>2063</v>
      </c>
      <c r="I2078" s="102">
        <v>0.66785229974532356</v>
      </c>
      <c r="J2078" s="103">
        <v>1.6011938409982883E-3</v>
      </c>
      <c r="K2078" s="103"/>
      <c r="L2078" s="103">
        <v>4.1799999999999997E-2</v>
      </c>
      <c r="O2078" s="100"/>
    </row>
    <row r="2079" spans="2:15" x14ac:dyDescent="0.2">
      <c r="B2079" s="1">
        <v>2064</v>
      </c>
      <c r="C2079" s="101">
        <f t="shared" ca="1" si="128"/>
        <v>0.74227813355610306</v>
      </c>
      <c r="D2079" s="101">
        <f t="shared" ca="1" si="129"/>
        <v>0.71498204841133006</v>
      </c>
      <c r="E2079" s="101">
        <f t="shared" ca="1" si="130"/>
        <v>0</v>
      </c>
      <c r="F2079" s="21">
        <f t="shared" ca="1" si="131"/>
        <v>0</v>
      </c>
      <c r="H2079" s="21">
        <v>2064</v>
      </c>
      <c r="I2079" s="102">
        <v>0.66783073981392904</v>
      </c>
      <c r="J2079" s="103">
        <v>1.5129374158644943E-3</v>
      </c>
      <c r="K2079" s="103"/>
      <c r="L2079" s="103">
        <v>4.3799999999999999E-2</v>
      </c>
      <c r="O2079" s="100"/>
    </row>
    <row r="2080" spans="2:15" x14ac:dyDescent="0.2">
      <c r="B2080" s="1">
        <v>2065</v>
      </c>
      <c r="C2080" s="101">
        <f t="shared" ca="1" si="128"/>
        <v>0.93167797016260068</v>
      </c>
      <c r="D2080" s="101">
        <f t="shared" ca="1" si="129"/>
        <v>0.72846536837707121</v>
      </c>
      <c r="E2080" s="101">
        <f t="shared" ca="1" si="130"/>
        <v>0</v>
      </c>
      <c r="F2080" s="21">
        <f t="shared" ca="1" si="131"/>
        <v>0</v>
      </c>
      <c r="H2080" s="21">
        <v>2065</v>
      </c>
      <c r="I2080" s="102">
        <v>0.66764820332306896</v>
      </c>
      <c r="J2080" s="103">
        <v>1.337534627930624E-3</v>
      </c>
      <c r="K2080" s="103"/>
      <c r="L2080" s="103">
        <v>3.9800000000000002E-2</v>
      </c>
      <c r="O2080" s="100"/>
    </row>
    <row r="2081" spans="2:15" x14ac:dyDescent="0.2">
      <c r="B2081" s="1">
        <v>2066</v>
      </c>
      <c r="C2081" s="101">
        <f t="shared" ca="1" si="128"/>
        <v>2.313721220793731</v>
      </c>
      <c r="D2081" s="101">
        <f t="shared" ca="1" si="129"/>
        <v>0.83486218619245145</v>
      </c>
      <c r="E2081" s="101">
        <f t="shared" ca="1" si="130"/>
        <v>4.6662186192451438E-2</v>
      </c>
      <c r="F2081" s="21">
        <f t="shared" ca="1" si="131"/>
        <v>1</v>
      </c>
      <c r="H2081" s="21">
        <v>2066</v>
      </c>
      <c r="I2081" s="102">
        <v>0.66766286208577774</v>
      </c>
      <c r="J2081" s="103">
        <v>1.1724108907463248E-3</v>
      </c>
      <c r="K2081" s="103"/>
      <c r="L2081" s="103">
        <v>3.8399999999999997E-2</v>
      </c>
      <c r="O2081" s="100"/>
    </row>
    <row r="2082" spans="2:15" x14ac:dyDescent="0.2">
      <c r="B2082" s="1">
        <v>2067</v>
      </c>
      <c r="C2082" s="101">
        <f t="shared" ca="1" si="128"/>
        <v>2.7063673577363057</v>
      </c>
      <c r="D2082" s="101">
        <f t="shared" ca="1" si="129"/>
        <v>0.86783169861738951</v>
      </c>
      <c r="E2082" s="101">
        <f t="shared" ca="1" si="130"/>
        <v>7.9631698617389501E-2</v>
      </c>
      <c r="F2082" s="21">
        <f t="shared" ca="1" si="131"/>
        <v>1</v>
      </c>
      <c r="H2082" s="21">
        <v>2067</v>
      </c>
      <c r="I2082" s="102">
        <v>0.66760281644839536</v>
      </c>
      <c r="J2082" s="103">
        <v>1.2455340244944405E-3</v>
      </c>
      <c r="K2082" s="103"/>
      <c r="L2082" s="103">
        <v>4.02E-2</v>
      </c>
      <c r="O2082" s="100"/>
    </row>
    <row r="2083" spans="2:15" x14ac:dyDescent="0.2">
      <c r="B2083" s="1">
        <v>2068</v>
      </c>
      <c r="C2083" s="101">
        <f t="shared" ca="1" si="128"/>
        <v>2.3754909063637979</v>
      </c>
      <c r="D2083" s="101">
        <f t="shared" ca="1" si="129"/>
        <v>0.83996456668506747</v>
      </c>
      <c r="E2083" s="101">
        <f t="shared" ca="1" si="130"/>
        <v>5.1764566685067459E-2</v>
      </c>
      <c r="F2083" s="21">
        <f t="shared" ca="1" si="131"/>
        <v>1</v>
      </c>
      <c r="H2083" s="21">
        <v>2068</v>
      </c>
      <c r="I2083" s="102">
        <v>0.66761387881431955</v>
      </c>
      <c r="J2083" s="103">
        <v>1.1789089447447061E-3</v>
      </c>
      <c r="K2083" s="103"/>
      <c r="L2083" s="103">
        <v>3.7400000000000003E-2</v>
      </c>
      <c r="O2083" s="100"/>
    </row>
    <row r="2084" spans="2:15" x14ac:dyDescent="0.2">
      <c r="B2084" s="1">
        <v>2069</v>
      </c>
      <c r="C2084" s="101">
        <f t="shared" ca="1" si="128"/>
        <v>0.45243314496837095</v>
      </c>
      <c r="D2084" s="101">
        <f t="shared" ca="1" si="129"/>
        <v>0.69482967342516755</v>
      </c>
      <c r="E2084" s="101">
        <f t="shared" ca="1" si="130"/>
        <v>0</v>
      </c>
      <c r="F2084" s="21">
        <f t="shared" ca="1" si="131"/>
        <v>0</v>
      </c>
      <c r="H2084" s="21">
        <v>2069</v>
      </c>
      <c r="I2084" s="102">
        <v>0.66786282404422093</v>
      </c>
      <c r="J2084" s="103">
        <v>1.6183972122045759E-3</v>
      </c>
      <c r="K2084" s="103"/>
      <c r="L2084" s="103">
        <v>4.5400000000000003E-2</v>
      </c>
      <c r="O2084" s="100"/>
    </row>
    <row r="2085" spans="2:15" x14ac:dyDescent="0.2">
      <c r="B2085" s="1">
        <v>2070</v>
      </c>
      <c r="C2085" s="101">
        <f t="shared" ca="1" si="128"/>
        <v>-0.28629172364850464</v>
      </c>
      <c r="D2085" s="101">
        <f t="shared" ca="1" si="129"/>
        <v>0.64599899038118802</v>
      </c>
      <c r="E2085" s="101">
        <f t="shared" ca="1" si="130"/>
        <v>0</v>
      </c>
      <c r="F2085" s="21">
        <f t="shared" ca="1" si="131"/>
        <v>0</v>
      </c>
      <c r="H2085" s="21">
        <v>2070</v>
      </c>
      <c r="I2085" s="102">
        <v>0.66767693826034569</v>
      </c>
      <c r="J2085" s="103">
        <v>1.3691529983319174E-3</v>
      </c>
      <c r="K2085" s="103"/>
      <c r="L2085" s="103">
        <v>4.02E-2</v>
      </c>
      <c r="O2085" s="100"/>
    </row>
    <row r="2086" spans="2:15" x14ac:dyDescent="0.2">
      <c r="B2086" s="1">
        <v>2071</v>
      </c>
      <c r="C2086" s="101">
        <f t="shared" ca="1" si="128"/>
        <v>1.0322775868475678</v>
      </c>
      <c r="D2086" s="101">
        <f t="shared" ca="1" si="129"/>
        <v>0.73573011934150956</v>
      </c>
      <c r="E2086" s="101">
        <f t="shared" ca="1" si="130"/>
        <v>0</v>
      </c>
      <c r="F2086" s="21">
        <f t="shared" ca="1" si="131"/>
        <v>0</v>
      </c>
      <c r="H2086" s="21">
        <v>2071</v>
      </c>
      <c r="I2086" s="102">
        <v>0.66760864357944227</v>
      </c>
      <c r="J2086" s="103">
        <v>1.2582783181159368E-3</v>
      </c>
      <c r="K2086" s="103"/>
      <c r="L2086" s="103">
        <v>3.44E-2</v>
      </c>
      <c r="O2086" s="100"/>
    </row>
    <row r="2087" spans="2:15" x14ac:dyDescent="0.2">
      <c r="B2087" s="1">
        <v>2072</v>
      </c>
      <c r="C2087" s="101">
        <f t="shared" ca="1" si="128"/>
        <v>0.29581886081438985</v>
      </c>
      <c r="D2087" s="101">
        <f t="shared" ca="1" si="129"/>
        <v>0.6841779883773389</v>
      </c>
      <c r="E2087" s="101">
        <f t="shared" ca="1" si="130"/>
        <v>0</v>
      </c>
      <c r="F2087" s="21">
        <f t="shared" ca="1" si="131"/>
        <v>0</v>
      </c>
      <c r="H2087" s="21">
        <v>2072</v>
      </c>
      <c r="I2087" s="102">
        <v>0.66765614015701436</v>
      </c>
      <c r="J2087" s="103">
        <v>1.1935871073990207E-3</v>
      </c>
      <c r="K2087" s="103"/>
      <c r="L2087" s="103">
        <v>0.04</v>
      </c>
      <c r="O2087" s="100"/>
    </row>
    <row r="2088" spans="2:15" x14ac:dyDescent="0.2">
      <c r="B2088" s="1">
        <v>2073</v>
      </c>
      <c r="C2088" s="101">
        <f t="shared" ca="1" si="128"/>
        <v>0.20279049119699144</v>
      </c>
      <c r="D2088" s="101">
        <f t="shared" ca="1" si="129"/>
        <v>0.67792838735049465</v>
      </c>
      <c r="E2088" s="101">
        <f t="shared" ca="1" si="130"/>
        <v>0</v>
      </c>
      <c r="F2088" s="21">
        <f t="shared" ca="1" si="131"/>
        <v>0</v>
      </c>
      <c r="H2088" s="21">
        <v>2073</v>
      </c>
      <c r="I2088" s="102">
        <v>0.6678221546832297</v>
      </c>
      <c r="J2088" s="103">
        <v>1.428650864867308E-3</v>
      </c>
      <c r="K2088" s="103"/>
      <c r="L2088" s="103">
        <v>4.24E-2</v>
      </c>
      <c r="O2088" s="100"/>
    </row>
    <row r="2089" spans="2:15" x14ac:dyDescent="0.2">
      <c r="B2089" s="1">
        <v>2074</v>
      </c>
      <c r="C2089" s="101">
        <f t="shared" ca="1" si="128"/>
        <v>-6.4495134528262263E-2</v>
      </c>
      <c r="D2089" s="101">
        <f t="shared" ca="1" si="129"/>
        <v>0.66028809708036795</v>
      </c>
      <c r="E2089" s="101">
        <f t="shared" ca="1" si="130"/>
        <v>0</v>
      </c>
      <c r="F2089" s="21">
        <f t="shared" ca="1" si="131"/>
        <v>0</v>
      </c>
      <c r="H2089" s="21">
        <v>2074</v>
      </c>
      <c r="I2089" s="102">
        <v>0.66782758173321621</v>
      </c>
      <c r="J2089" s="103">
        <v>1.4967733683403726E-3</v>
      </c>
      <c r="K2089" s="103"/>
      <c r="L2089" s="103">
        <v>4.3799999999999999E-2</v>
      </c>
      <c r="O2089" s="100"/>
    </row>
    <row r="2090" spans="2:15" x14ac:dyDescent="0.2">
      <c r="B2090" s="1">
        <v>2075</v>
      </c>
      <c r="C2090" s="101">
        <f t="shared" ca="1" si="128"/>
        <v>0.81168261335653136</v>
      </c>
      <c r="D2090" s="101">
        <f t="shared" ca="1" si="129"/>
        <v>0.71989371651573564</v>
      </c>
      <c r="E2090" s="101">
        <f t="shared" ca="1" si="130"/>
        <v>0</v>
      </c>
      <c r="F2090" s="21">
        <f t="shared" ca="1" si="131"/>
        <v>0</v>
      </c>
      <c r="H2090" s="21">
        <v>2075</v>
      </c>
      <c r="I2090" s="102">
        <v>0.66802605419531769</v>
      </c>
      <c r="J2090" s="103">
        <v>1.7215543579813793E-3</v>
      </c>
      <c r="K2090" s="103"/>
      <c r="L2090" s="103">
        <v>4.7199999999999999E-2</v>
      </c>
      <c r="O2090" s="100"/>
    </row>
    <row r="2091" spans="2:15" x14ac:dyDescent="0.2">
      <c r="B2091" s="1">
        <v>2076</v>
      </c>
      <c r="C2091" s="101">
        <f t="shared" ca="1" si="128"/>
        <v>-0.84093998307245499</v>
      </c>
      <c r="D2091" s="101">
        <f t="shared" ca="1" si="129"/>
        <v>0.61160503177961312</v>
      </c>
      <c r="E2091" s="101">
        <f t="shared" ca="1" si="130"/>
        <v>0</v>
      </c>
      <c r="F2091" s="21">
        <f t="shared" ca="1" si="131"/>
        <v>0</v>
      </c>
      <c r="H2091" s="21">
        <v>2076</v>
      </c>
      <c r="I2091" s="102">
        <v>0.66779062313411042</v>
      </c>
      <c r="J2091" s="103">
        <v>1.442159664295005E-3</v>
      </c>
      <c r="K2091" s="103"/>
      <c r="L2091" s="103">
        <v>4.2000000000000003E-2</v>
      </c>
      <c r="O2091" s="100"/>
    </row>
    <row r="2092" spans="2:15" x14ac:dyDescent="0.2">
      <c r="B2092" s="1">
        <v>2077</v>
      </c>
      <c r="C2092" s="101">
        <f t="shared" ca="1" si="128"/>
        <v>0.98568867442231989</v>
      </c>
      <c r="D2092" s="101">
        <f t="shared" ca="1" si="129"/>
        <v>0.73235676105271952</v>
      </c>
      <c r="E2092" s="101">
        <f t="shared" ca="1" si="130"/>
        <v>0</v>
      </c>
      <c r="F2092" s="21">
        <f t="shared" ca="1" si="131"/>
        <v>0</v>
      </c>
      <c r="H2092" s="21">
        <v>2077</v>
      </c>
      <c r="I2092" s="102">
        <v>0.66772305654662067</v>
      </c>
      <c r="J2092" s="103">
        <v>1.6207186335611742E-3</v>
      </c>
      <c r="K2092" s="103"/>
      <c r="L2092" s="103">
        <v>4.3400000000000001E-2</v>
      </c>
      <c r="O2092" s="100"/>
    </row>
    <row r="2093" spans="2:15" x14ac:dyDescent="0.2">
      <c r="B2093" s="1">
        <v>2078</v>
      </c>
      <c r="C2093" s="101">
        <f t="shared" ca="1" si="128"/>
        <v>-1.5297314369149095</v>
      </c>
      <c r="D2093" s="101">
        <f t="shared" ca="1" si="129"/>
        <v>0.57143080459309525</v>
      </c>
      <c r="E2093" s="101">
        <f t="shared" ca="1" si="130"/>
        <v>0</v>
      </c>
      <c r="F2093" s="21">
        <f t="shared" ca="1" si="131"/>
        <v>0</v>
      </c>
      <c r="H2093" s="21">
        <v>2078</v>
      </c>
      <c r="I2093" s="102">
        <v>0.66787068467336574</v>
      </c>
      <c r="J2093" s="103">
        <v>1.5490752331321521E-3</v>
      </c>
      <c r="K2093" s="103"/>
      <c r="L2093" s="103">
        <v>4.58E-2</v>
      </c>
      <c r="O2093" s="100"/>
    </row>
    <row r="2094" spans="2:15" x14ac:dyDescent="0.2">
      <c r="B2094" s="1">
        <v>2079</v>
      </c>
      <c r="C2094" s="101">
        <f t="shared" ca="1" si="128"/>
        <v>-0.44995315037173655</v>
      </c>
      <c r="D2094" s="101">
        <f t="shared" ca="1" si="129"/>
        <v>0.6356538542112975</v>
      </c>
      <c r="E2094" s="101">
        <f t="shared" ca="1" si="130"/>
        <v>0</v>
      </c>
      <c r="F2094" s="21">
        <f t="shared" ca="1" si="131"/>
        <v>0</v>
      </c>
      <c r="H2094" s="21">
        <v>2079</v>
      </c>
      <c r="I2094" s="102">
        <v>0.66779768103121617</v>
      </c>
      <c r="J2094" s="103">
        <v>1.2532547521396924E-3</v>
      </c>
      <c r="K2094" s="103"/>
      <c r="L2094" s="103">
        <v>4.3999999999999997E-2</v>
      </c>
      <c r="O2094" s="100"/>
    </row>
    <row r="2095" spans="2:15" x14ac:dyDescent="0.2">
      <c r="B2095" s="1">
        <v>2080</v>
      </c>
      <c r="C2095" s="101">
        <f t="shared" ca="1" si="128"/>
        <v>0.23814996737967895</v>
      </c>
      <c r="D2095" s="101">
        <f t="shared" ca="1" si="129"/>
        <v>0.68029706603777129</v>
      </c>
      <c r="E2095" s="101">
        <f t="shared" ca="1" si="130"/>
        <v>0</v>
      </c>
      <c r="F2095" s="21">
        <f t="shared" ca="1" si="131"/>
        <v>0</v>
      </c>
      <c r="H2095" s="21">
        <v>2080</v>
      </c>
      <c r="I2095" s="102">
        <v>0.6677663084080111</v>
      </c>
      <c r="J2095" s="103">
        <v>1.4448925625112493E-3</v>
      </c>
      <c r="K2095" s="103"/>
      <c r="L2095" s="103">
        <v>4.4999999999999998E-2</v>
      </c>
      <c r="O2095" s="100"/>
    </row>
    <row r="2096" spans="2:15" x14ac:dyDescent="0.2">
      <c r="B2096" s="1">
        <v>2081</v>
      </c>
      <c r="C2096" s="101">
        <f t="shared" ca="1" si="128"/>
        <v>-0.13892543394503254</v>
      </c>
      <c r="D2096" s="101">
        <f t="shared" ca="1" si="129"/>
        <v>0.65545807811036372</v>
      </c>
      <c r="E2096" s="101">
        <f t="shared" ca="1" si="130"/>
        <v>0</v>
      </c>
      <c r="F2096" s="21">
        <f t="shared" ca="1" si="131"/>
        <v>0</v>
      </c>
      <c r="H2096" s="21">
        <v>2081</v>
      </c>
      <c r="I2096" s="102">
        <v>0.66769529015192142</v>
      </c>
      <c r="J2096" s="103">
        <v>1.3903494187234881E-3</v>
      </c>
      <c r="K2096" s="103"/>
      <c r="L2096" s="103">
        <v>4.3799999999999999E-2</v>
      </c>
      <c r="O2096" s="100"/>
    </row>
    <row r="2097" spans="2:15" x14ac:dyDescent="0.2">
      <c r="B2097" s="1">
        <v>2082</v>
      </c>
      <c r="C2097" s="101">
        <f t="shared" ca="1" si="128"/>
        <v>-0.21268473005913172</v>
      </c>
      <c r="D2097" s="101">
        <f t="shared" ca="1" si="129"/>
        <v>0.65070645877376454</v>
      </c>
      <c r="E2097" s="101">
        <f t="shared" ca="1" si="130"/>
        <v>0</v>
      </c>
      <c r="F2097" s="21">
        <f t="shared" ca="1" si="131"/>
        <v>0</v>
      </c>
      <c r="H2097" s="21">
        <v>2082</v>
      </c>
      <c r="I2097" s="102">
        <v>0.66769964330291798</v>
      </c>
      <c r="J2097" s="103">
        <v>1.4215518859380005E-3</v>
      </c>
      <c r="K2097" s="103"/>
      <c r="L2097" s="103">
        <v>4.1200000000000001E-2</v>
      </c>
      <c r="O2097" s="100"/>
    </row>
    <row r="2098" spans="2:15" x14ac:dyDescent="0.2">
      <c r="B2098" s="1">
        <v>2083</v>
      </c>
      <c r="C2098" s="101">
        <f t="shared" ca="1" si="128"/>
        <v>1.1253251200384609</v>
      </c>
      <c r="D2098" s="101">
        <f t="shared" ca="1" si="129"/>
        <v>0.74251397929961649</v>
      </c>
      <c r="E2098" s="101">
        <f t="shared" ca="1" si="130"/>
        <v>0</v>
      </c>
      <c r="F2098" s="21">
        <f t="shared" ca="1" si="131"/>
        <v>0</v>
      </c>
      <c r="H2098" s="21">
        <v>2083</v>
      </c>
      <c r="I2098" s="102">
        <v>0.66771038982381181</v>
      </c>
      <c r="J2098" s="103">
        <v>1.3870627541829016E-3</v>
      </c>
      <c r="K2098" s="103"/>
      <c r="L2098" s="103">
        <v>4.0399999999999998E-2</v>
      </c>
      <c r="O2098" s="100"/>
    </row>
    <row r="2099" spans="2:15" x14ac:dyDescent="0.2">
      <c r="B2099" s="1">
        <v>2084</v>
      </c>
      <c r="C2099" s="101">
        <f t="shared" ca="1" si="128"/>
        <v>-1.0595622135852321</v>
      </c>
      <c r="D2099" s="101">
        <f t="shared" ca="1" si="129"/>
        <v>0.59855685397743008</v>
      </c>
      <c r="E2099" s="101">
        <f t="shared" ca="1" si="130"/>
        <v>0</v>
      </c>
      <c r="F2099" s="21">
        <f t="shared" ca="1" si="131"/>
        <v>0</v>
      </c>
      <c r="H2099" s="21">
        <v>2084</v>
      </c>
      <c r="I2099" s="102">
        <v>0.66785774682825327</v>
      </c>
      <c r="J2099" s="103">
        <v>1.4303662823499448E-3</v>
      </c>
      <c r="K2099" s="103"/>
      <c r="L2099" s="103">
        <v>4.2599999999999999E-2</v>
      </c>
      <c r="O2099" s="100"/>
    </row>
    <row r="2100" spans="2:15" x14ac:dyDescent="0.2">
      <c r="B2100" s="1">
        <v>2085</v>
      </c>
      <c r="C2100" s="101">
        <f t="shared" ca="1" si="128"/>
        <v>1.2934805727044634</v>
      </c>
      <c r="D2100" s="101">
        <f t="shared" ca="1" si="129"/>
        <v>0.75493282714722043</v>
      </c>
      <c r="E2100" s="101">
        <f t="shared" ca="1" si="130"/>
        <v>0</v>
      </c>
      <c r="F2100" s="21">
        <f t="shared" ca="1" si="131"/>
        <v>0</v>
      </c>
      <c r="H2100" s="21">
        <v>2085</v>
      </c>
      <c r="I2100" s="102">
        <v>0.66788024225066378</v>
      </c>
      <c r="J2100" s="103">
        <v>1.6916498687740251E-3</v>
      </c>
      <c r="K2100" s="103"/>
      <c r="L2100" s="103">
        <v>4.8599999999999997E-2</v>
      </c>
      <c r="O2100" s="100"/>
    </row>
    <row r="2101" spans="2:15" x14ac:dyDescent="0.2">
      <c r="B2101" s="1">
        <v>2086</v>
      </c>
      <c r="C2101" s="101">
        <f t="shared" ca="1" si="128"/>
        <v>-2.2690885026802725</v>
      </c>
      <c r="D2101" s="101">
        <f t="shared" ca="1" si="129"/>
        <v>0.53123911886653097</v>
      </c>
      <c r="E2101" s="101">
        <f t="shared" ca="1" si="130"/>
        <v>0</v>
      </c>
      <c r="F2101" s="21">
        <f t="shared" ca="1" si="131"/>
        <v>0</v>
      </c>
      <c r="H2101" s="21">
        <v>2086</v>
      </c>
      <c r="I2101" s="102">
        <v>0.66765939759095982</v>
      </c>
      <c r="J2101" s="103">
        <v>1.1652943717459386E-3</v>
      </c>
      <c r="K2101" s="103"/>
      <c r="L2101" s="103">
        <v>3.8399999999999997E-2</v>
      </c>
      <c r="O2101" s="100"/>
    </row>
    <row r="2102" spans="2:15" x14ac:dyDescent="0.2">
      <c r="B2102" s="1">
        <v>2087</v>
      </c>
      <c r="C2102" s="101">
        <f t="shared" ca="1" si="128"/>
        <v>-8.4143875410528715E-2</v>
      </c>
      <c r="D2102" s="101">
        <f t="shared" ca="1" si="129"/>
        <v>0.65900958071209959</v>
      </c>
      <c r="E2102" s="101">
        <f t="shared" ca="1" si="130"/>
        <v>0</v>
      </c>
      <c r="F2102" s="21">
        <f t="shared" ca="1" si="131"/>
        <v>0</v>
      </c>
      <c r="H2102" s="21">
        <v>2087</v>
      </c>
      <c r="I2102" s="102">
        <v>0.66769631759933423</v>
      </c>
      <c r="J2102" s="103">
        <v>1.3623225776377365E-3</v>
      </c>
      <c r="K2102" s="103"/>
      <c r="L2102" s="103">
        <v>4.0599999999999997E-2</v>
      </c>
      <c r="O2102" s="100"/>
    </row>
    <row r="2103" spans="2:15" x14ac:dyDescent="0.2">
      <c r="B2103" s="1">
        <v>2088</v>
      </c>
      <c r="C2103" s="101">
        <f t="shared" ca="1" si="128"/>
        <v>-0.72930735873347352</v>
      </c>
      <c r="D2103" s="101">
        <f t="shared" ca="1" si="129"/>
        <v>0.61837699226903253</v>
      </c>
      <c r="E2103" s="101">
        <f t="shared" ca="1" si="130"/>
        <v>0</v>
      </c>
      <c r="F2103" s="21">
        <f t="shared" ca="1" si="131"/>
        <v>0</v>
      </c>
      <c r="H2103" s="21">
        <v>2088</v>
      </c>
      <c r="I2103" s="102">
        <v>0.66772914627302993</v>
      </c>
      <c r="J2103" s="103">
        <v>1.2784074021377754E-3</v>
      </c>
      <c r="K2103" s="103"/>
      <c r="L2103" s="103">
        <v>4.2999999999999997E-2</v>
      </c>
      <c r="O2103" s="100"/>
    </row>
    <row r="2104" spans="2:15" x14ac:dyDescent="0.2">
      <c r="B2104" s="1">
        <v>2089</v>
      </c>
      <c r="C2104" s="101">
        <f t="shared" ca="1" si="128"/>
        <v>0.91353324742589304</v>
      </c>
      <c r="D2104" s="101">
        <f t="shared" ca="1" si="129"/>
        <v>0.72716271295779578</v>
      </c>
      <c r="E2104" s="101">
        <f t="shared" ca="1" si="130"/>
        <v>0</v>
      </c>
      <c r="F2104" s="21">
        <f t="shared" ca="1" si="131"/>
        <v>0</v>
      </c>
      <c r="H2104" s="21">
        <v>2089</v>
      </c>
      <c r="I2104" s="102">
        <v>0.6675891861069807</v>
      </c>
      <c r="J2104" s="103">
        <v>1.0736408781471388E-3</v>
      </c>
      <c r="K2104" s="103"/>
      <c r="L2104" s="103">
        <v>3.5999999999999997E-2</v>
      </c>
      <c r="O2104" s="100"/>
    </row>
    <row r="2105" spans="2:15" x14ac:dyDescent="0.2">
      <c r="B2105" s="1">
        <v>2090</v>
      </c>
      <c r="C2105" s="101">
        <f t="shared" ca="1" si="128"/>
        <v>-1.5421339467528674</v>
      </c>
      <c r="D2105" s="101">
        <f t="shared" ca="1" si="129"/>
        <v>0.57073214359726432</v>
      </c>
      <c r="E2105" s="101">
        <f t="shared" ca="1" si="130"/>
        <v>0</v>
      </c>
      <c r="F2105" s="21">
        <f t="shared" ca="1" si="131"/>
        <v>0</v>
      </c>
      <c r="H2105" s="21">
        <v>2090</v>
      </c>
      <c r="I2105" s="102">
        <v>0.66776281583236607</v>
      </c>
      <c r="J2105" s="103">
        <v>1.3070443691713498E-3</v>
      </c>
      <c r="K2105" s="103"/>
      <c r="L2105" s="103">
        <v>4.1000000000000002E-2</v>
      </c>
      <c r="O2105" s="100"/>
    </row>
    <row r="2106" spans="2:15" x14ac:dyDescent="0.2">
      <c r="B2106" s="1">
        <v>2091</v>
      </c>
      <c r="C2106" s="101">
        <f t="shared" ca="1" si="128"/>
        <v>-0.63317637989599862</v>
      </c>
      <c r="D2106" s="101">
        <f t="shared" ca="1" si="129"/>
        <v>0.6242686337434955</v>
      </c>
      <c r="E2106" s="101">
        <f t="shared" ca="1" si="130"/>
        <v>0</v>
      </c>
      <c r="F2106" s="21">
        <f t="shared" ca="1" si="131"/>
        <v>0</v>
      </c>
      <c r="H2106" s="21">
        <v>2091</v>
      </c>
      <c r="I2106" s="102">
        <v>0.66796814652454584</v>
      </c>
      <c r="J2106" s="103">
        <v>1.7899415351732468E-3</v>
      </c>
      <c r="K2106" s="103"/>
      <c r="L2106" s="103">
        <v>4.7399999999999998E-2</v>
      </c>
      <c r="O2106" s="100"/>
    </row>
    <row r="2107" spans="2:15" x14ac:dyDescent="0.2">
      <c r="B2107" s="1">
        <v>2092</v>
      </c>
      <c r="C2107" s="101">
        <f t="shared" ca="1" si="128"/>
        <v>-0.12053151196261104</v>
      </c>
      <c r="D2107" s="101">
        <f t="shared" ca="1" si="129"/>
        <v>0.65664842135802448</v>
      </c>
      <c r="E2107" s="101">
        <f t="shared" ca="1" si="130"/>
        <v>0</v>
      </c>
      <c r="F2107" s="21">
        <f t="shared" ca="1" si="131"/>
        <v>0</v>
      </c>
      <c r="H2107" s="21">
        <v>2092</v>
      </c>
      <c r="I2107" s="102">
        <v>0.6678487538894986</v>
      </c>
      <c r="J2107" s="103">
        <v>1.491537659373888E-3</v>
      </c>
      <c r="K2107" s="103"/>
      <c r="L2107" s="103">
        <v>4.4600000000000001E-2</v>
      </c>
      <c r="O2107" s="100"/>
    </row>
    <row r="2108" spans="2:15" x14ac:dyDescent="0.2">
      <c r="B2108" s="1">
        <v>2093</v>
      </c>
      <c r="C2108" s="101">
        <f t="shared" ca="1" si="128"/>
        <v>-1.3357345017182176</v>
      </c>
      <c r="D2108" s="101">
        <f t="shared" ca="1" si="129"/>
        <v>0.58247106708119933</v>
      </c>
      <c r="E2108" s="101">
        <f t="shared" ca="1" si="130"/>
        <v>0</v>
      </c>
      <c r="F2108" s="21">
        <f t="shared" ca="1" si="131"/>
        <v>0</v>
      </c>
      <c r="H2108" s="21">
        <v>2093</v>
      </c>
      <c r="I2108" s="102">
        <v>0.66765061696169958</v>
      </c>
      <c r="J2108" s="103">
        <v>1.1711741390525968E-3</v>
      </c>
      <c r="K2108" s="103"/>
      <c r="L2108" s="103">
        <v>0.04</v>
      </c>
      <c r="O2108" s="100"/>
    </row>
    <row r="2109" spans="2:15" x14ac:dyDescent="0.2">
      <c r="B2109" s="1">
        <v>2094</v>
      </c>
      <c r="C2109" s="101">
        <f t="shared" ca="1" si="128"/>
        <v>0.96794650693977324</v>
      </c>
      <c r="D2109" s="101">
        <f t="shared" ca="1" si="129"/>
        <v>0.73107617639553002</v>
      </c>
      <c r="E2109" s="101">
        <f t="shared" ca="1" si="130"/>
        <v>0</v>
      </c>
      <c r="F2109" s="21">
        <f t="shared" ca="1" si="131"/>
        <v>0</v>
      </c>
      <c r="H2109" s="21">
        <v>2094</v>
      </c>
      <c r="I2109" s="102">
        <v>0.66771234556510262</v>
      </c>
      <c r="J2109" s="103">
        <v>1.2664902367680066E-3</v>
      </c>
      <c r="K2109" s="103"/>
      <c r="L2109" s="103">
        <v>4.48E-2</v>
      </c>
      <c r="O2109" s="100"/>
    </row>
    <row r="2110" spans="2:15" x14ac:dyDescent="0.2">
      <c r="B2110" s="1">
        <v>2095</v>
      </c>
      <c r="C2110" s="101">
        <f t="shared" ca="1" si="128"/>
        <v>1.1604283686110854</v>
      </c>
      <c r="D2110" s="101">
        <f t="shared" ca="1" si="129"/>
        <v>0.74508948765004435</v>
      </c>
      <c r="E2110" s="101">
        <f t="shared" ca="1" si="130"/>
        <v>0</v>
      </c>
      <c r="F2110" s="21">
        <f t="shared" ca="1" si="131"/>
        <v>0</v>
      </c>
      <c r="H2110" s="21">
        <v>2095</v>
      </c>
      <c r="I2110" s="102">
        <v>0.66783410585074354</v>
      </c>
      <c r="J2110" s="103">
        <v>1.4099564748247498E-3</v>
      </c>
      <c r="K2110" s="103"/>
      <c r="L2110" s="103">
        <v>4.3799999999999999E-2</v>
      </c>
      <c r="O2110" s="100"/>
    </row>
    <row r="2111" spans="2:15" x14ac:dyDescent="0.2">
      <c r="B2111" s="1">
        <v>2096</v>
      </c>
      <c r="C2111" s="101">
        <f t="shared" ca="1" si="128"/>
        <v>0.47829541448701862</v>
      </c>
      <c r="D2111" s="101">
        <f t="shared" ca="1" si="129"/>
        <v>0.69660450836907317</v>
      </c>
      <c r="E2111" s="101">
        <f t="shared" ca="1" si="130"/>
        <v>0</v>
      </c>
      <c r="F2111" s="21">
        <f t="shared" ca="1" si="131"/>
        <v>0</v>
      </c>
      <c r="H2111" s="21">
        <v>2096</v>
      </c>
      <c r="I2111" s="102">
        <v>0.66766733382840526</v>
      </c>
      <c r="J2111" s="103">
        <v>1.3106079770486482E-3</v>
      </c>
      <c r="K2111" s="103"/>
      <c r="L2111" s="103">
        <v>4.1000000000000002E-2</v>
      </c>
      <c r="O2111" s="100"/>
    </row>
    <row r="2112" spans="2:15" x14ac:dyDescent="0.2">
      <c r="B2112" s="1">
        <v>2097</v>
      </c>
      <c r="C2112" s="101">
        <f t="shared" ca="1" si="128"/>
        <v>1.3356150619032139</v>
      </c>
      <c r="D2112" s="101">
        <f t="shared" ca="1" si="129"/>
        <v>0.75807700978177184</v>
      </c>
      <c r="E2112" s="101">
        <f t="shared" ca="1" si="130"/>
        <v>0</v>
      </c>
      <c r="F2112" s="21">
        <f t="shared" ca="1" si="131"/>
        <v>0</v>
      </c>
      <c r="H2112" s="21">
        <v>2097</v>
      </c>
      <c r="I2112" s="102">
        <v>0.66778234480010501</v>
      </c>
      <c r="J2112" s="103">
        <v>1.4435492416857425E-3</v>
      </c>
      <c r="K2112" s="103"/>
      <c r="L2112" s="103">
        <v>4.1399999999999999E-2</v>
      </c>
      <c r="O2112" s="100"/>
    </row>
    <row r="2113" spans="2:15" x14ac:dyDescent="0.2">
      <c r="B2113" s="1">
        <v>2098</v>
      </c>
      <c r="C2113" s="101">
        <f t="shared" ca="1" si="128"/>
        <v>1.2442768932336364E-2</v>
      </c>
      <c r="D2113" s="101">
        <f t="shared" ca="1" si="129"/>
        <v>0.66531825645265164</v>
      </c>
      <c r="E2113" s="101">
        <f t="shared" ca="1" si="130"/>
        <v>0</v>
      </c>
      <c r="F2113" s="21">
        <f t="shared" ca="1" si="131"/>
        <v>0</v>
      </c>
      <c r="H2113" s="21">
        <v>2098</v>
      </c>
      <c r="I2113" s="102">
        <v>0.66775301419159583</v>
      </c>
      <c r="J2113" s="103">
        <v>1.3324390160358171E-3</v>
      </c>
      <c r="K2113" s="103"/>
      <c r="L2113" s="103">
        <v>4.3400000000000001E-2</v>
      </c>
      <c r="O2113" s="100"/>
    </row>
    <row r="2114" spans="2:15" x14ac:dyDescent="0.2">
      <c r="B2114" s="1">
        <v>2099</v>
      </c>
      <c r="C2114" s="101">
        <f t="shared" ca="1" si="128"/>
        <v>0.25580992758192866</v>
      </c>
      <c r="D2114" s="101">
        <f t="shared" ca="1" si="129"/>
        <v>0.68148317761511146</v>
      </c>
      <c r="E2114" s="101">
        <f t="shared" ca="1" si="130"/>
        <v>0</v>
      </c>
      <c r="F2114" s="21">
        <f t="shared" ca="1" si="131"/>
        <v>0</v>
      </c>
      <c r="H2114" s="21">
        <v>2099</v>
      </c>
      <c r="I2114" s="102">
        <v>0.66762846632980644</v>
      </c>
      <c r="J2114" s="103">
        <v>1.2427894539362419E-3</v>
      </c>
      <c r="K2114" s="103"/>
      <c r="L2114" s="103">
        <v>3.9600000000000003E-2</v>
      </c>
      <c r="O2114" s="100"/>
    </row>
    <row r="2115" spans="2:15" x14ac:dyDescent="0.2">
      <c r="B2115" s="1">
        <v>2100</v>
      </c>
      <c r="C2115" s="101">
        <f t="shared" ca="1" si="128"/>
        <v>0.51086404859909296</v>
      </c>
      <c r="D2115" s="101">
        <f t="shared" ca="1" si="129"/>
        <v>0.69884602788049244</v>
      </c>
      <c r="E2115" s="101">
        <f t="shared" ca="1" si="130"/>
        <v>0</v>
      </c>
      <c r="F2115" s="21">
        <f t="shared" ca="1" si="131"/>
        <v>0</v>
      </c>
      <c r="H2115" s="21">
        <v>2100</v>
      </c>
      <c r="I2115" s="102">
        <v>0.66793733250390552</v>
      </c>
      <c r="J2115" s="103">
        <v>1.6828803066423965E-3</v>
      </c>
      <c r="K2115" s="103"/>
      <c r="L2115" s="103">
        <v>4.6399999999999997E-2</v>
      </c>
      <c r="O2115" s="100"/>
    </row>
    <row r="2116" spans="2:15" x14ac:dyDescent="0.2">
      <c r="B2116" s="1">
        <v>2101</v>
      </c>
      <c r="C2116" s="101">
        <f t="shared" ca="1" si="128"/>
        <v>-0.7707174271308993</v>
      </c>
      <c r="D2116" s="101">
        <f t="shared" ca="1" si="129"/>
        <v>0.61585623236562659</v>
      </c>
      <c r="E2116" s="101">
        <f t="shared" ca="1" si="130"/>
        <v>0</v>
      </c>
      <c r="F2116" s="21">
        <f t="shared" ca="1" si="131"/>
        <v>0</v>
      </c>
      <c r="H2116" s="21">
        <v>2101</v>
      </c>
      <c r="I2116" s="102">
        <v>0.66775723676080612</v>
      </c>
      <c r="J2116" s="103">
        <v>1.3018801798668253E-3</v>
      </c>
      <c r="K2116" s="103"/>
      <c r="L2116" s="103">
        <v>4.36E-2</v>
      </c>
      <c r="O2116" s="100"/>
    </row>
    <row r="2117" spans="2:15" x14ac:dyDescent="0.2">
      <c r="B2117" s="1">
        <v>2102</v>
      </c>
      <c r="C2117" s="101">
        <f t="shared" ca="1" si="128"/>
        <v>-0.45565446685675265</v>
      </c>
      <c r="D2117" s="101">
        <f t="shared" ca="1" si="129"/>
        <v>0.63529647225624242</v>
      </c>
      <c r="E2117" s="101">
        <f t="shared" ca="1" si="130"/>
        <v>0</v>
      </c>
      <c r="F2117" s="21">
        <f t="shared" ca="1" si="131"/>
        <v>0</v>
      </c>
      <c r="H2117" s="21">
        <v>2102</v>
      </c>
      <c r="I2117" s="102">
        <v>0.66776240942766196</v>
      </c>
      <c r="J2117" s="103">
        <v>1.384978752340309E-3</v>
      </c>
      <c r="K2117" s="103"/>
      <c r="L2117" s="103">
        <v>4.2599999999999999E-2</v>
      </c>
      <c r="O2117" s="100"/>
    </row>
    <row r="2118" spans="2:15" x14ac:dyDescent="0.2">
      <c r="B2118" s="1">
        <v>2103</v>
      </c>
      <c r="C2118" s="101">
        <f t="shared" ca="1" si="128"/>
        <v>7.5868121116339907E-2</v>
      </c>
      <c r="D2118" s="101">
        <f t="shared" ca="1" si="129"/>
        <v>0.66949377568718516</v>
      </c>
      <c r="E2118" s="101">
        <f t="shared" ca="1" si="130"/>
        <v>0</v>
      </c>
      <c r="F2118" s="21">
        <f t="shared" ca="1" si="131"/>
        <v>0</v>
      </c>
      <c r="H2118" s="21">
        <v>2103</v>
      </c>
      <c r="I2118" s="102">
        <v>0.66796295251325177</v>
      </c>
      <c r="J2118" s="103">
        <v>1.7794522451544061E-3</v>
      </c>
      <c r="K2118" s="103"/>
      <c r="L2118" s="103">
        <v>4.5999999999999999E-2</v>
      </c>
      <c r="O2118" s="100"/>
    </row>
    <row r="2119" spans="2:15" x14ac:dyDescent="0.2">
      <c r="B2119" s="1">
        <v>2104</v>
      </c>
      <c r="C2119" s="101">
        <f t="shared" ca="1" si="128"/>
        <v>2.3841251141839757</v>
      </c>
      <c r="D2119" s="101">
        <f t="shared" ca="1" si="129"/>
        <v>0.84068026059149381</v>
      </c>
      <c r="E2119" s="101">
        <f t="shared" ca="1" si="130"/>
        <v>5.2480260591493799E-2</v>
      </c>
      <c r="F2119" s="21">
        <f t="shared" ca="1" si="131"/>
        <v>1</v>
      </c>
      <c r="H2119" s="21">
        <v>2104</v>
      </c>
      <c r="I2119" s="102">
        <v>0.66777435501185012</v>
      </c>
      <c r="J2119" s="103">
        <v>1.4192369952830365E-3</v>
      </c>
      <c r="K2119" s="103"/>
      <c r="L2119" s="103">
        <v>4.2200000000000001E-2</v>
      </c>
      <c r="O2119" s="100"/>
    </row>
    <row r="2120" spans="2:15" x14ac:dyDescent="0.2">
      <c r="B2120" s="1">
        <v>2105</v>
      </c>
      <c r="C2120" s="101">
        <f t="shared" ca="1" si="128"/>
        <v>0.5048994381440588</v>
      </c>
      <c r="D2120" s="101">
        <f t="shared" ca="1" si="129"/>
        <v>0.6984349778040575</v>
      </c>
      <c r="E2120" s="101">
        <f t="shared" ca="1" si="130"/>
        <v>0</v>
      </c>
      <c r="F2120" s="21">
        <f t="shared" ca="1" si="131"/>
        <v>0</v>
      </c>
      <c r="H2120" s="21">
        <v>2105</v>
      </c>
      <c r="I2120" s="102">
        <v>0.66761544721863442</v>
      </c>
      <c r="J2120" s="103">
        <v>1.3048100555839242E-3</v>
      </c>
      <c r="K2120" s="103"/>
      <c r="L2120" s="103">
        <v>3.9800000000000002E-2</v>
      </c>
      <c r="O2120" s="100"/>
    </row>
    <row r="2121" spans="2:15" x14ac:dyDescent="0.2">
      <c r="B2121" s="1">
        <v>2106</v>
      </c>
      <c r="C2121" s="101">
        <f t="shared" ca="1" si="128"/>
        <v>-0.9615812381890847</v>
      </c>
      <c r="D2121" s="101">
        <f t="shared" ca="1" si="129"/>
        <v>0.60436993638983227</v>
      </c>
      <c r="E2121" s="101">
        <f t="shared" ca="1" si="130"/>
        <v>0</v>
      </c>
      <c r="F2121" s="21">
        <f t="shared" ca="1" si="131"/>
        <v>0</v>
      </c>
      <c r="H2121" s="21">
        <v>2106</v>
      </c>
      <c r="I2121" s="102">
        <v>0.66762897371439589</v>
      </c>
      <c r="J2121" s="103">
        <v>1.2344179036034404E-3</v>
      </c>
      <c r="K2121" s="103"/>
      <c r="L2121" s="103">
        <v>3.9399999999999998E-2</v>
      </c>
      <c r="O2121" s="100"/>
    </row>
    <row r="2122" spans="2:15" x14ac:dyDescent="0.2">
      <c r="B2122" s="1">
        <v>2107</v>
      </c>
      <c r="C2122" s="101">
        <f t="shared" ca="1" si="128"/>
        <v>-1.2711189477827283</v>
      </c>
      <c r="D2122" s="101">
        <f t="shared" ca="1" si="129"/>
        <v>0.58619545672603512</v>
      </c>
      <c r="E2122" s="101">
        <f t="shared" ca="1" si="130"/>
        <v>0</v>
      </c>
      <c r="F2122" s="21">
        <f t="shared" ca="1" si="131"/>
        <v>0</v>
      </c>
      <c r="H2122" s="21">
        <v>2107</v>
      </c>
      <c r="I2122" s="102">
        <v>0.66772210119651376</v>
      </c>
      <c r="J2122" s="103">
        <v>1.3471735394367168E-3</v>
      </c>
      <c r="K2122" s="103"/>
      <c r="L2122" s="103">
        <v>0.04</v>
      </c>
      <c r="O2122" s="100"/>
    </row>
    <row r="2123" spans="2:15" x14ac:dyDescent="0.2">
      <c r="B2123" s="1">
        <v>2108</v>
      </c>
      <c r="C2123" s="101">
        <f t="shared" ca="1" si="128"/>
        <v>-0.26063768767692003</v>
      </c>
      <c r="D2123" s="101">
        <f t="shared" ca="1" si="129"/>
        <v>0.64763579204070931</v>
      </c>
      <c r="E2123" s="101">
        <f t="shared" ca="1" si="130"/>
        <v>0</v>
      </c>
      <c r="F2123" s="21">
        <f t="shared" ca="1" si="131"/>
        <v>0</v>
      </c>
      <c r="H2123" s="21">
        <v>2108</v>
      </c>
      <c r="I2123" s="102">
        <v>0.66788400326783981</v>
      </c>
      <c r="J2123" s="103">
        <v>1.5882843957433083E-3</v>
      </c>
      <c r="K2123" s="103"/>
      <c r="L2123" s="103">
        <v>4.7399999999999998E-2</v>
      </c>
      <c r="O2123" s="100"/>
    </row>
    <row r="2124" spans="2:15" x14ac:dyDescent="0.2">
      <c r="B2124" s="1">
        <v>2109</v>
      </c>
      <c r="C2124" s="101">
        <f t="shared" ca="1" si="128"/>
        <v>0.24023138346922407</v>
      </c>
      <c r="D2124" s="101">
        <f t="shared" ca="1" si="129"/>
        <v>0.68043675464590914</v>
      </c>
      <c r="E2124" s="101">
        <f t="shared" ca="1" si="130"/>
        <v>0</v>
      </c>
      <c r="F2124" s="21">
        <f t="shared" ca="1" si="131"/>
        <v>0</v>
      </c>
      <c r="H2124" s="21">
        <v>2109</v>
      </c>
      <c r="I2124" s="102">
        <v>0.66758336940686724</v>
      </c>
      <c r="J2124" s="103">
        <v>1.0676178085715004E-3</v>
      </c>
      <c r="K2124" s="103"/>
      <c r="L2124" s="103">
        <v>3.8600000000000002E-2</v>
      </c>
      <c r="O2124" s="100"/>
    </row>
    <row r="2125" spans="2:15" x14ac:dyDescent="0.2">
      <c r="B2125" s="1">
        <v>2110</v>
      </c>
      <c r="C2125" s="101">
        <f t="shared" ca="1" si="128"/>
        <v>-0.17884974205533122</v>
      </c>
      <c r="D2125" s="101">
        <f t="shared" ca="1" si="129"/>
        <v>0.65288183802318733</v>
      </c>
      <c r="E2125" s="101">
        <f t="shared" ca="1" si="130"/>
        <v>0</v>
      </c>
      <c r="F2125" s="21">
        <f t="shared" ca="1" si="131"/>
        <v>0</v>
      </c>
      <c r="H2125" s="21">
        <v>2110</v>
      </c>
      <c r="I2125" s="102">
        <v>0.66785228082032932</v>
      </c>
      <c r="J2125" s="103">
        <v>1.4302906364178959E-3</v>
      </c>
      <c r="K2125" s="103"/>
      <c r="L2125" s="103">
        <v>4.6399999999999997E-2</v>
      </c>
      <c r="O2125" s="100"/>
    </row>
    <row r="2126" spans="2:15" x14ac:dyDescent="0.2">
      <c r="B2126" s="1">
        <v>2111</v>
      </c>
      <c r="C2126" s="101">
        <f t="shared" ca="1" si="128"/>
        <v>-0.1717355702721689</v>
      </c>
      <c r="D2126" s="101">
        <f t="shared" ca="1" si="129"/>
        <v>0.65334015952059732</v>
      </c>
      <c r="E2126" s="101">
        <f t="shared" ca="1" si="130"/>
        <v>0</v>
      </c>
      <c r="F2126" s="21">
        <f t="shared" ca="1" si="131"/>
        <v>0</v>
      </c>
      <c r="H2126" s="21">
        <v>2111</v>
      </c>
      <c r="I2126" s="102">
        <v>0.66770851058996938</v>
      </c>
      <c r="J2126" s="103">
        <v>1.3414261847141708E-3</v>
      </c>
      <c r="K2126" s="103"/>
      <c r="L2126" s="103">
        <v>4.1200000000000001E-2</v>
      </c>
      <c r="O2126" s="100"/>
    </row>
    <row r="2127" spans="2:15" x14ac:dyDescent="0.2">
      <c r="B2127" s="1">
        <v>2112</v>
      </c>
      <c r="C2127" s="101">
        <f t="shared" ca="1" si="128"/>
        <v>-1.8823537673774533</v>
      </c>
      <c r="D2127" s="101">
        <f t="shared" ca="1" si="129"/>
        <v>0.55189635441448104</v>
      </c>
      <c r="E2127" s="101">
        <f t="shared" ca="1" si="130"/>
        <v>0</v>
      </c>
      <c r="F2127" s="21">
        <f t="shared" ca="1" si="131"/>
        <v>0</v>
      </c>
      <c r="H2127" s="21">
        <v>2112</v>
      </c>
      <c r="I2127" s="102">
        <v>0.6676865249135</v>
      </c>
      <c r="J2127" s="103">
        <v>1.3260189183345818E-3</v>
      </c>
      <c r="K2127" s="103"/>
      <c r="L2127" s="103">
        <v>3.9E-2</v>
      </c>
      <c r="O2127" s="100"/>
    </row>
    <row r="2128" spans="2:15" x14ac:dyDescent="0.2">
      <c r="B2128" s="1">
        <v>2113</v>
      </c>
      <c r="C2128" s="101">
        <f t="shared" ref="C2128:C2191" ca="1" si="132">_xlfn.NORM.S.INV(RAND())</f>
        <v>1.1115137298940605</v>
      </c>
      <c r="D2128" s="101">
        <f t="shared" ref="D2128:D2191" ca="1" si="133">S0*EXP((μ-0.5*σ*σ)*T+σ*SQRT(T)*$C2128)</f>
        <v>0.74150308644579832</v>
      </c>
      <c r="E2128" s="101">
        <f t="shared" ref="E2128:E2191" ca="1" si="134">MAX(0,CP*(D2128-K))</f>
        <v>0</v>
      </c>
      <c r="F2128" s="21">
        <f t="shared" ref="F2128:F2191" ca="1" si="135">(CP*(D2128-K)&gt;0)*1</f>
        <v>0</v>
      </c>
      <c r="H2128" s="21">
        <v>2113</v>
      </c>
      <c r="I2128" s="102">
        <v>0.66770221690342868</v>
      </c>
      <c r="J2128" s="103">
        <v>1.3485749482281587E-3</v>
      </c>
      <c r="K2128" s="103"/>
      <c r="L2128" s="103">
        <v>4.02E-2</v>
      </c>
      <c r="O2128" s="100"/>
    </row>
    <row r="2129" spans="2:15" x14ac:dyDescent="0.2">
      <c r="B2129" s="1">
        <v>2114</v>
      </c>
      <c r="C2129" s="101">
        <f t="shared" ca="1" si="132"/>
        <v>5.0281117526502259E-2</v>
      </c>
      <c r="D2129" s="101">
        <f t="shared" ca="1" si="133"/>
        <v>0.66780614690345352</v>
      </c>
      <c r="E2129" s="101">
        <f t="shared" ca="1" si="134"/>
        <v>0</v>
      </c>
      <c r="F2129" s="21">
        <f t="shared" ca="1" si="135"/>
        <v>0</v>
      </c>
      <c r="H2129" s="21">
        <v>2114</v>
      </c>
      <c r="I2129" s="102">
        <v>0.66793748038221279</v>
      </c>
      <c r="J2129" s="103">
        <v>1.5687898331150113E-3</v>
      </c>
      <c r="K2129" s="103"/>
      <c r="L2129" s="103">
        <v>4.3999999999999997E-2</v>
      </c>
      <c r="O2129" s="100"/>
    </row>
    <row r="2130" spans="2:15" x14ac:dyDescent="0.2">
      <c r="B2130" s="1">
        <v>2115</v>
      </c>
      <c r="C2130" s="101">
        <f t="shared" ca="1" si="132"/>
        <v>0.60289778315443843</v>
      </c>
      <c r="D2130" s="101">
        <f t="shared" ca="1" si="133"/>
        <v>0.70521926787069167</v>
      </c>
      <c r="E2130" s="101">
        <f t="shared" ca="1" si="134"/>
        <v>0</v>
      </c>
      <c r="F2130" s="21">
        <f t="shared" ca="1" si="135"/>
        <v>0</v>
      </c>
      <c r="H2130" s="21">
        <v>2115</v>
      </c>
      <c r="I2130" s="102">
        <v>0.66786477618096374</v>
      </c>
      <c r="J2130" s="103">
        <v>1.6208565746656124E-3</v>
      </c>
      <c r="K2130" s="103"/>
      <c r="L2130" s="103">
        <v>4.5199999999999997E-2</v>
      </c>
      <c r="O2130" s="100"/>
    </row>
    <row r="2131" spans="2:15" x14ac:dyDescent="0.2">
      <c r="B2131" s="1">
        <v>2116</v>
      </c>
      <c r="C2131" s="101">
        <f t="shared" ca="1" si="132"/>
        <v>-0.45665822675210932</v>
      </c>
      <c r="D2131" s="101">
        <f t="shared" ca="1" si="133"/>
        <v>0.63523357326446905</v>
      </c>
      <c r="E2131" s="101">
        <f t="shared" ca="1" si="134"/>
        <v>0</v>
      </c>
      <c r="F2131" s="21">
        <f t="shared" ca="1" si="135"/>
        <v>0</v>
      </c>
      <c r="H2131" s="21">
        <v>2116</v>
      </c>
      <c r="I2131" s="102">
        <v>0.66757791808022204</v>
      </c>
      <c r="J2131" s="103">
        <v>1.1506735334493681E-3</v>
      </c>
      <c r="K2131" s="103"/>
      <c r="L2131" s="103">
        <v>3.44E-2</v>
      </c>
      <c r="O2131" s="100"/>
    </row>
    <row r="2132" spans="2:15" x14ac:dyDescent="0.2">
      <c r="B2132" s="1">
        <v>2117</v>
      </c>
      <c r="C2132" s="101">
        <f t="shared" ca="1" si="132"/>
        <v>-2.0030863064187785</v>
      </c>
      <c r="D2132" s="101">
        <f t="shared" ca="1" si="133"/>
        <v>0.54536268325235526</v>
      </c>
      <c r="E2132" s="101">
        <f t="shared" ca="1" si="134"/>
        <v>0</v>
      </c>
      <c r="F2132" s="21">
        <f t="shared" ca="1" si="135"/>
        <v>0</v>
      </c>
      <c r="H2132" s="21">
        <v>2117</v>
      </c>
      <c r="I2132" s="102">
        <v>0.66764531123033133</v>
      </c>
      <c r="J2132" s="103">
        <v>1.403209002521041E-3</v>
      </c>
      <c r="K2132" s="103"/>
      <c r="L2132" s="103">
        <v>0.04</v>
      </c>
      <c r="O2132" s="100"/>
    </row>
    <row r="2133" spans="2:15" x14ac:dyDescent="0.2">
      <c r="B2133" s="1">
        <v>2118</v>
      </c>
      <c r="C2133" s="101">
        <f t="shared" ca="1" si="132"/>
        <v>-0.77891149538581805</v>
      </c>
      <c r="D2133" s="101">
        <f t="shared" ca="1" si="133"/>
        <v>0.61535865305272408</v>
      </c>
      <c r="E2133" s="101">
        <f t="shared" ca="1" si="134"/>
        <v>0</v>
      </c>
      <c r="F2133" s="21">
        <f t="shared" ca="1" si="135"/>
        <v>0</v>
      </c>
      <c r="H2133" s="21">
        <v>2118</v>
      </c>
      <c r="I2133" s="102">
        <v>0.66771928072847209</v>
      </c>
      <c r="J2133" s="103">
        <v>1.271781801055124E-3</v>
      </c>
      <c r="K2133" s="103"/>
      <c r="L2133" s="103">
        <v>4.24E-2</v>
      </c>
      <c r="O2133" s="100"/>
    </row>
    <row r="2134" spans="2:15" x14ac:dyDescent="0.2">
      <c r="B2134" s="1">
        <v>2119</v>
      </c>
      <c r="C2134" s="101">
        <f t="shared" ca="1" si="132"/>
        <v>0.24412619854150056</v>
      </c>
      <c r="D2134" s="101">
        <f t="shared" ca="1" si="133"/>
        <v>0.68069822167700589</v>
      </c>
      <c r="E2134" s="101">
        <f t="shared" ca="1" si="134"/>
        <v>0</v>
      </c>
      <c r="F2134" s="21">
        <f t="shared" ca="1" si="135"/>
        <v>0</v>
      </c>
      <c r="H2134" s="21">
        <v>2119</v>
      </c>
      <c r="I2134" s="102">
        <v>0.66772226623868802</v>
      </c>
      <c r="J2134" s="103">
        <v>1.3668123177018074E-3</v>
      </c>
      <c r="K2134" s="103"/>
      <c r="L2134" s="103">
        <v>4.02E-2</v>
      </c>
      <c r="O2134" s="100"/>
    </row>
    <row r="2135" spans="2:15" x14ac:dyDescent="0.2">
      <c r="B2135" s="1">
        <v>2120</v>
      </c>
      <c r="C2135" s="101">
        <f t="shared" ca="1" si="132"/>
        <v>-2.0647447313055878</v>
      </c>
      <c r="D2135" s="101">
        <f t="shared" ca="1" si="133"/>
        <v>0.54205581639489775</v>
      </c>
      <c r="E2135" s="101">
        <f t="shared" ca="1" si="134"/>
        <v>0</v>
      </c>
      <c r="F2135" s="21">
        <f t="shared" ca="1" si="135"/>
        <v>0</v>
      </c>
      <c r="H2135" s="21">
        <v>2120</v>
      </c>
      <c r="I2135" s="102">
        <v>0.66783073318391883</v>
      </c>
      <c r="J2135" s="103">
        <v>1.5582036135221656E-3</v>
      </c>
      <c r="K2135" s="103"/>
      <c r="L2135" s="103">
        <v>4.4400000000000002E-2</v>
      </c>
      <c r="O2135" s="100"/>
    </row>
    <row r="2136" spans="2:15" x14ac:dyDescent="0.2">
      <c r="B2136" s="1">
        <v>2121</v>
      </c>
      <c r="C2136" s="101">
        <f t="shared" ca="1" si="132"/>
        <v>-1.568511707668175E-2</v>
      </c>
      <c r="D2136" s="101">
        <f t="shared" ca="1" si="133"/>
        <v>0.66347484159539294</v>
      </c>
      <c r="E2136" s="101">
        <f t="shared" ca="1" si="134"/>
        <v>0</v>
      </c>
      <c r="F2136" s="21">
        <f t="shared" ca="1" si="135"/>
        <v>0</v>
      </c>
      <c r="H2136" s="21">
        <v>2121</v>
      </c>
      <c r="I2136" s="102">
        <v>0.66763136606390583</v>
      </c>
      <c r="J2136" s="103">
        <v>1.1039246518015681E-3</v>
      </c>
      <c r="K2136" s="103"/>
      <c r="L2136" s="103">
        <v>4.02E-2</v>
      </c>
      <c r="O2136" s="100"/>
    </row>
    <row r="2137" spans="2:15" x14ac:dyDescent="0.2">
      <c r="B2137" s="1">
        <v>2122</v>
      </c>
      <c r="C2137" s="101">
        <f t="shared" ca="1" si="132"/>
        <v>-0.62449660327976364</v>
      </c>
      <c r="D2137" s="101">
        <f t="shared" ca="1" si="133"/>
        <v>0.62480335185546532</v>
      </c>
      <c r="E2137" s="101">
        <f t="shared" ca="1" si="134"/>
        <v>0</v>
      </c>
      <c r="F2137" s="21">
        <f t="shared" ca="1" si="135"/>
        <v>0</v>
      </c>
      <c r="H2137" s="21">
        <v>2122</v>
      </c>
      <c r="I2137" s="102">
        <v>0.66770240234874423</v>
      </c>
      <c r="J2137" s="103">
        <v>1.2017358829257048E-3</v>
      </c>
      <c r="K2137" s="103"/>
      <c r="L2137" s="103">
        <v>4.1200000000000001E-2</v>
      </c>
      <c r="O2137" s="100"/>
    </row>
    <row r="2138" spans="2:15" x14ac:dyDescent="0.2">
      <c r="B2138" s="1">
        <v>2123</v>
      </c>
      <c r="C2138" s="101">
        <f t="shared" ca="1" si="132"/>
        <v>1.0365400701127994</v>
      </c>
      <c r="D2138" s="101">
        <f t="shared" ca="1" si="133"/>
        <v>0.73603952726235167</v>
      </c>
      <c r="E2138" s="101">
        <f t="shared" ca="1" si="134"/>
        <v>0</v>
      </c>
      <c r="F2138" s="21">
        <f t="shared" ca="1" si="135"/>
        <v>0</v>
      </c>
      <c r="H2138" s="21">
        <v>2123</v>
      </c>
      <c r="I2138" s="102">
        <v>0.66776383046945809</v>
      </c>
      <c r="J2138" s="103">
        <v>1.5013423412750396E-3</v>
      </c>
      <c r="K2138" s="103"/>
      <c r="L2138" s="103">
        <v>4.24E-2</v>
      </c>
      <c r="O2138" s="100"/>
    </row>
    <row r="2139" spans="2:15" x14ac:dyDescent="0.2">
      <c r="B2139" s="1">
        <v>2124</v>
      </c>
      <c r="C2139" s="101">
        <f t="shared" ca="1" si="132"/>
        <v>-0.57597546457445059</v>
      </c>
      <c r="D2139" s="101">
        <f t="shared" ca="1" si="133"/>
        <v>0.62780094687269106</v>
      </c>
      <c r="E2139" s="101">
        <f t="shared" ca="1" si="134"/>
        <v>0</v>
      </c>
      <c r="F2139" s="21">
        <f t="shared" ca="1" si="135"/>
        <v>0</v>
      </c>
      <c r="H2139" s="21">
        <v>2124</v>
      </c>
      <c r="I2139" s="102">
        <v>0.66771968761895706</v>
      </c>
      <c r="J2139" s="103">
        <v>1.3532951396324927E-3</v>
      </c>
      <c r="K2139" s="103"/>
      <c r="L2139" s="103">
        <v>3.8800000000000001E-2</v>
      </c>
      <c r="O2139" s="100"/>
    </row>
    <row r="2140" spans="2:15" x14ac:dyDescent="0.2">
      <c r="B2140" s="1">
        <v>2125</v>
      </c>
      <c r="C2140" s="101">
        <f t="shared" ca="1" si="132"/>
        <v>-1.2409950805655041</v>
      </c>
      <c r="D2140" s="101">
        <f t="shared" ca="1" si="133"/>
        <v>0.5879399025127513</v>
      </c>
      <c r="E2140" s="101">
        <f t="shared" ca="1" si="134"/>
        <v>0</v>
      </c>
      <c r="F2140" s="21">
        <f t="shared" ca="1" si="135"/>
        <v>0</v>
      </c>
      <c r="H2140" s="21">
        <v>2125</v>
      </c>
      <c r="I2140" s="102">
        <v>0.66769927091199155</v>
      </c>
      <c r="J2140" s="103">
        <v>1.3473910489260948E-3</v>
      </c>
      <c r="K2140" s="103"/>
      <c r="L2140" s="103">
        <v>0.04</v>
      </c>
      <c r="O2140" s="100"/>
    </row>
    <row r="2141" spans="2:15" x14ac:dyDescent="0.2">
      <c r="B2141" s="1">
        <v>2126</v>
      </c>
      <c r="C2141" s="101">
        <f t="shared" ca="1" si="132"/>
        <v>2.0744798677306008E-2</v>
      </c>
      <c r="D2141" s="101">
        <f t="shared" ca="1" si="133"/>
        <v>0.66586332417579186</v>
      </c>
      <c r="E2141" s="101">
        <f t="shared" ca="1" si="134"/>
        <v>0</v>
      </c>
      <c r="F2141" s="21">
        <f t="shared" ca="1" si="135"/>
        <v>0</v>
      </c>
      <c r="H2141" s="21">
        <v>2126</v>
      </c>
      <c r="I2141" s="102">
        <v>0.66783684808599408</v>
      </c>
      <c r="J2141" s="103">
        <v>1.4788710651155753E-3</v>
      </c>
      <c r="K2141" s="103"/>
      <c r="L2141" s="103">
        <v>4.3400000000000001E-2</v>
      </c>
      <c r="O2141" s="100"/>
    </row>
    <row r="2142" spans="2:15" x14ac:dyDescent="0.2">
      <c r="B2142" s="1">
        <v>2127</v>
      </c>
      <c r="C2142" s="101">
        <f t="shared" ca="1" si="132"/>
        <v>0.16076371460323655</v>
      </c>
      <c r="D2142" s="101">
        <f t="shared" ca="1" si="133"/>
        <v>0.67512380037891895</v>
      </c>
      <c r="E2142" s="101">
        <f t="shared" ca="1" si="134"/>
        <v>0</v>
      </c>
      <c r="F2142" s="21">
        <f t="shared" ca="1" si="135"/>
        <v>0</v>
      </c>
      <c r="H2142" s="21">
        <v>2127</v>
      </c>
      <c r="I2142" s="102">
        <v>0.66766185818527712</v>
      </c>
      <c r="J2142" s="103">
        <v>1.342479867778718E-3</v>
      </c>
      <c r="K2142" s="103"/>
      <c r="L2142" s="103">
        <v>4.1200000000000001E-2</v>
      </c>
      <c r="O2142" s="100"/>
    </row>
    <row r="2143" spans="2:15" x14ac:dyDescent="0.2">
      <c r="B2143" s="1">
        <v>2128</v>
      </c>
      <c r="C2143" s="101">
        <f t="shared" ca="1" si="132"/>
        <v>-1.171976567652725</v>
      </c>
      <c r="D2143" s="101">
        <f t="shared" ca="1" si="133"/>
        <v>0.59195629946046158</v>
      </c>
      <c r="E2143" s="101">
        <f t="shared" ca="1" si="134"/>
        <v>0</v>
      </c>
      <c r="F2143" s="21">
        <f t="shared" ca="1" si="135"/>
        <v>0</v>
      </c>
      <c r="H2143" s="21">
        <v>2128</v>
      </c>
      <c r="I2143" s="102">
        <v>0.66771958454053604</v>
      </c>
      <c r="J2143" s="103">
        <v>1.3252433087300637E-3</v>
      </c>
      <c r="K2143" s="103"/>
      <c r="L2143" s="103">
        <v>4.2200000000000001E-2</v>
      </c>
      <c r="O2143" s="100"/>
    </row>
    <row r="2144" spans="2:15" x14ac:dyDescent="0.2">
      <c r="B2144" s="1">
        <v>2129</v>
      </c>
      <c r="C2144" s="101">
        <f t="shared" ca="1" si="132"/>
        <v>-0.22613833253672239</v>
      </c>
      <c r="D2144" s="101">
        <f t="shared" ca="1" si="133"/>
        <v>0.64984349121620444</v>
      </c>
      <c r="E2144" s="101">
        <f t="shared" ca="1" si="134"/>
        <v>0</v>
      </c>
      <c r="F2144" s="21">
        <f t="shared" ca="1" si="135"/>
        <v>0</v>
      </c>
      <c r="H2144" s="21">
        <v>2129</v>
      </c>
      <c r="I2144" s="102">
        <v>0.66770336691444943</v>
      </c>
      <c r="J2144" s="103">
        <v>1.372539358206691E-3</v>
      </c>
      <c r="K2144" s="103"/>
      <c r="L2144" s="103">
        <v>3.9E-2</v>
      </c>
      <c r="O2144" s="100"/>
    </row>
    <row r="2145" spans="2:15" x14ac:dyDescent="0.2">
      <c r="B2145" s="1">
        <v>2130</v>
      </c>
      <c r="C2145" s="101">
        <f t="shared" ca="1" si="132"/>
        <v>0.25694673102961785</v>
      </c>
      <c r="D2145" s="101">
        <f t="shared" ca="1" si="133"/>
        <v>0.68155960056067932</v>
      </c>
      <c r="E2145" s="101">
        <f t="shared" ca="1" si="134"/>
        <v>0</v>
      </c>
      <c r="F2145" s="21">
        <f t="shared" ca="1" si="135"/>
        <v>0</v>
      </c>
      <c r="H2145" s="21">
        <v>2130</v>
      </c>
      <c r="I2145" s="102">
        <v>0.66774485416208496</v>
      </c>
      <c r="J2145" s="103">
        <v>1.4794540415304118E-3</v>
      </c>
      <c r="K2145" s="103"/>
      <c r="L2145" s="103">
        <v>4.24E-2</v>
      </c>
      <c r="O2145" s="100"/>
    </row>
    <row r="2146" spans="2:15" x14ac:dyDescent="0.2">
      <c r="B2146" s="1">
        <v>2131</v>
      </c>
      <c r="C2146" s="101">
        <f t="shared" ca="1" si="132"/>
        <v>0.50726124183934374</v>
      </c>
      <c r="D2146" s="101">
        <f t="shared" ca="1" si="133"/>
        <v>0.69859771216745659</v>
      </c>
      <c r="E2146" s="101">
        <f t="shared" ca="1" si="134"/>
        <v>0</v>
      </c>
      <c r="F2146" s="21">
        <f t="shared" ca="1" si="135"/>
        <v>0</v>
      </c>
      <c r="H2146" s="21">
        <v>2131</v>
      </c>
      <c r="I2146" s="102">
        <v>0.66803179455329265</v>
      </c>
      <c r="J2146" s="103">
        <v>1.814342305369403E-3</v>
      </c>
      <c r="K2146" s="103"/>
      <c r="L2146" s="103">
        <v>4.9000000000000002E-2</v>
      </c>
      <c r="O2146" s="100"/>
    </row>
    <row r="2147" spans="2:15" x14ac:dyDescent="0.2">
      <c r="B2147" s="1">
        <v>2132</v>
      </c>
      <c r="C2147" s="101">
        <f t="shared" ca="1" si="132"/>
        <v>0.36592450485202033</v>
      </c>
      <c r="D2147" s="101">
        <f t="shared" ca="1" si="133"/>
        <v>0.68892569077961774</v>
      </c>
      <c r="E2147" s="101">
        <f t="shared" ca="1" si="134"/>
        <v>0</v>
      </c>
      <c r="F2147" s="21">
        <f t="shared" ca="1" si="135"/>
        <v>0</v>
      </c>
      <c r="H2147" s="21">
        <v>2132</v>
      </c>
      <c r="I2147" s="102">
        <v>0.66767223108241092</v>
      </c>
      <c r="J2147" s="103">
        <v>1.3373438112212327E-3</v>
      </c>
      <c r="K2147" s="103"/>
      <c r="L2147" s="103">
        <v>3.7999999999999999E-2</v>
      </c>
      <c r="O2147" s="100"/>
    </row>
    <row r="2148" spans="2:15" x14ac:dyDescent="0.2">
      <c r="B2148" s="1">
        <v>2133</v>
      </c>
      <c r="C2148" s="101">
        <f t="shared" ca="1" si="132"/>
        <v>0.87595985026910783</v>
      </c>
      <c r="D2148" s="101">
        <f t="shared" ca="1" si="133"/>
        <v>0.7244726254790822</v>
      </c>
      <c r="E2148" s="101">
        <f t="shared" ca="1" si="134"/>
        <v>0</v>
      </c>
      <c r="F2148" s="21">
        <f t="shared" ca="1" si="135"/>
        <v>0</v>
      </c>
      <c r="H2148" s="21">
        <v>2133</v>
      </c>
      <c r="I2148" s="102">
        <v>0.66759069637907253</v>
      </c>
      <c r="J2148" s="103">
        <v>1.1404452840103236E-3</v>
      </c>
      <c r="K2148" s="103"/>
      <c r="L2148" s="103">
        <v>3.7999999999999999E-2</v>
      </c>
      <c r="O2148" s="100"/>
    </row>
    <row r="2149" spans="2:15" x14ac:dyDescent="0.2">
      <c r="B2149" s="1">
        <v>2134</v>
      </c>
      <c r="C2149" s="101">
        <f t="shared" ca="1" si="132"/>
        <v>-4.4181561991511034E-2</v>
      </c>
      <c r="D2149" s="101">
        <f t="shared" ca="1" si="133"/>
        <v>0.66161248088534619</v>
      </c>
      <c r="E2149" s="101">
        <f t="shared" ca="1" si="134"/>
        <v>0</v>
      </c>
      <c r="F2149" s="21">
        <f t="shared" ca="1" si="135"/>
        <v>0</v>
      </c>
      <c r="H2149" s="21">
        <v>2134</v>
      </c>
      <c r="I2149" s="102">
        <v>0.66768121649441192</v>
      </c>
      <c r="J2149" s="103">
        <v>1.2253385140030236E-3</v>
      </c>
      <c r="K2149" s="103"/>
      <c r="L2149" s="103">
        <v>4.1399999999999999E-2</v>
      </c>
      <c r="O2149" s="100"/>
    </row>
    <row r="2150" spans="2:15" x14ac:dyDescent="0.2">
      <c r="B2150" s="1">
        <v>2135</v>
      </c>
      <c r="C2150" s="101">
        <f t="shared" ca="1" si="132"/>
        <v>0.85148022346623697</v>
      </c>
      <c r="D2150" s="101">
        <f t="shared" ca="1" si="133"/>
        <v>0.7227253497960946</v>
      </c>
      <c r="E2150" s="101">
        <f t="shared" ca="1" si="134"/>
        <v>0</v>
      </c>
      <c r="F2150" s="21">
        <f t="shared" ca="1" si="135"/>
        <v>0</v>
      </c>
      <c r="H2150" s="21">
        <v>2135</v>
      </c>
      <c r="I2150" s="102">
        <v>0.6677036685194585</v>
      </c>
      <c r="J2150" s="103">
        <v>1.3315689597483808E-3</v>
      </c>
      <c r="K2150" s="103"/>
      <c r="L2150" s="103">
        <v>4.0399999999999998E-2</v>
      </c>
      <c r="O2150" s="100"/>
    </row>
    <row r="2151" spans="2:15" x14ac:dyDescent="0.2">
      <c r="B2151" s="1">
        <v>2136</v>
      </c>
      <c r="C2151" s="101">
        <f t="shared" ca="1" si="132"/>
        <v>-0.95491532341280039</v>
      </c>
      <c r="D2151" s="101">
        <f t="shared" ca="1" si="133"/>
        <v>0.60476746125597347</v>
      </c>
      <c r="E2151" s="101">
        <f t="shared" ca="1" si="134"/>
        <v>0</v>
      </c>
      <c r="F2151" s="21">
        <f t="shared" ca="1" si="135"/>
        <v>0</v>
      </c>
      <c r="H2151" s="21">
        <v>2136</v>
      </c>
      <c r="I2151" s="102">
        <v>0.66784432200092336</v>
      </c>
      <c r="J2151" s="103">
        <v>1.5233091092666754E-3</v>
      </c>
      <c r="K2151" s="103"/>
      <c r="L2151" s="103">
        <v>4.3400000000000001E-2</v>
      </c>
      <c r="O2151" s="100"/>
    </row>
    <row r="2152" spans="2:15" x14ac:dyDescent="0.2">
      <c r="B2152" s="1">
        <v>2137</v>
      </c>
      <c r="C2152" s="101">
        <f t="shared" ca="1" si="132"/>
        <v>-0.72373414698008254</v>
      </c>
      <c r="D2152" s="101">
        <f t="shared" ca="1" si="133"/>
        <v>0.61871703786105992</v>
      </c>
      <c r="E2152" s="101">
        <f t="shared" ca="1" si="134"/>
        <v>0</v>
      </c>
      <c r="F2152" s="21">
        <f t="shared" ca="1" si="135"/>
        <v>0</v>
      </c>
      <c r="H2152" s="21">
        <v>2137</v>
      </c>
      <c r="I2152" s="102">
        <v>0.6676137142282873</v>
      </c>
      <c r="J2152" s="103">
        <v>1.1381083489826174E-3</v>
      </c>
      <c r="K2152" s="103"/>
      <c r="L2152" s="103">
        <v>3.7999999999999999E-2</v>
      </c>
      <c r="O2152" s="100"/>
    </row>
    <row r="2153" spans="2:15" x14ac:dyDescent="0.2">
      <c r="B2153" s="1">
        <v>2138</v>
      </c>
      <c r="C2153" s="101">
        <f t="shared" ca="1" si="132"/>
        <v>0.2483032968788661</v>
      </c>
      <c r="D2153" s="101">
        <f t="shared" ca="1" si="133"/>
        <v>0.68097875063041557</v>
      </c>
      <c r="E2153" s="101">
        <f t="shared" ca="1" si="134"/>
        <v>0</v>
      </c>
      <c r="F2153" s="21">
        <f t="shared" ca="1" si="135"/>
        <v>0</v>
      </c>
      <c r="H2153" s="21">
        <v>2138</v>
      </c>
      <c r="I2153" s="102">
        <v>0.66767157101207497</v>
      </c>
      <c r="J2153" s="103">
        <v>1.2269397903329588E-3</v>
      </c>
      <c r="K2153" s="103"/>
      <c r="L2153" s="103">
        <v>3.78E-2</v>
      </c>
      <c r="O2153" s="100"/>
    </row>
    <row r="2154" spans="2:15" x14ac:dyDescent="0.2">
      <c r="B2154" s="1">
        <v>2139</v>
      </c>
      <c r="C2154" s="101">
        <f t="shared" ca="1" si="132"/>
        <v>-1.4558122136634577</v>
      </c>
      <c r="D2154" s="101">
        <f t="shared" ca="1" si="133"/>
        <v>0.57561261397758523</v>
      </c>
      <c r="E2154" s="101">
        <f t="shared" ca="1" si="134"/>
        <v>0</v>
      </c>
      <c r="F2154" s="21">
        <f t="shared" ca="1" si="135"/>
        <v>0</v>
      </c>
      <c r="H2154" s="21">
        <v>2139</v>
      </c>
      <c r="I2154" s="102">
        <v>0.66780016874322357</v>
      </c>
      <c r="J2154" s="103">
        <v>1.365251254529315E-3</v>
      </c>
      <c r="K2154" s="103"/>
      <c r="L2154" s="103">
        <v>4.1200000000000001E-2</v>
      </c>
      <c r="O2154" s="100"/>
    </row>
    <row r="2155" spans="2:15" x14ac:dyDescent="0.2">
      <c r="B2155" s="1">
        <v>2140</v>
      </c>
      <c r="C2155" s="101">
        <f t="shared" ca="1" si="132"/>
        <v>2.0798839340867485</v>
      </c>
      <c r="D2155" s="101">
        <f t="shared" ca="1" si="133"/>
        <v>0.81582563112159734</v>
      </c>
      <c r="E2155" s="101">
        <f t="shared" ca="1" si="134"/>
        <v>2.7625631121597327E-2</v>
      </c>
      <c r="F2155" s="21">
        <f t="shared" ca="1" si="135"/>
        <v>1</v>
      </c>
      <c r="H2155" s="21">
        <v>2140</v>
      </c>
      <c r="I2155" s="102">
        <v>0.66763336887845703</v>
      </c>
      <c r="J2155" s="103">
        <v>1.2764952337125325E-3</v>
      </c>
      <c r="K2155" s="103"/>
      <c r="L2155" s="103">
        <v>3.9399999999999998E-2</v>
      </c>
      <c r="O2155" s="100"/>
    </row>
    <row r="2156" spans="2:15" x14ac:dyDescent="0.2">
      <c r="B2156" s="1">
        <v>2141</v>
      </c>
      <c r="C2156" s="101">
        <f t="shared" ca="1" si="132"/>
        <v>9.3274584249360026E-2</v>
      </c>
      <c r="D2156" s="101">
        <f t="shared" ca="1" si="133"/>
        <v>0.670644281648754</v>
      </c>
      <c r="E2156" s="101">
        <f t="shared" ca="1" si="134"/>
        <v>0</v>
      </c>
      <c r="F2156" s="21">
        <f t="shared" ca="1" si="135"/>
        <v>0</v>
      </c>
      <c r="H2156" s="21">
        <v>2141</v>
      </c>
      <c r="I2156" s="102">
        <v>0.66773889254089147</v>
      </c>
      <c r="J2156" s="103">
        <v>1.4669525987430574E-3</v>
      </c>
      <c r="K2156" s="103"/>
      <c r="L2156" s="103">
        <v>3.9E-2</v>
      </c>
      <c r="O2156" s="100"/>
    </row>
    <row r="2157" spans="2:15" x14ac:dyDescent="0.2">
      <c r="B2157" s="1">
        <v>2142</v>
      </c>
      <c r="C2157" s="101">
        <f t="shared" ca="1" si="132"/>
        <v>0.34723624223045652</v>
      </c>
      <c r="D2157" s="101">
        <f t="shared" ca="1" si="133"/>
        <v>0.6876568709007701</v>
      </c>
      <c r="E2157" s="101">
        <f t="shared" ca="1" si="134"/>
        <v>0</v>
      </c>
      <c r="F2157" s="21">
        <f t="shared" ca="1" si="135"/>
        <v>0</v>
      </c>
      <c r="H2157" s="21">
        <v>2142</v>
      </c>
      <c r="I2157" s="102">
        <v>0.66772012229079514</v>
      </c>
      <c r="J2157" s="103">
        <v>1.325036902657254E-3</v>
      </c>
      <c r="K2157" s="103"/>
      <c r="L2157" s="103">
        <v>4.2799999999999998E-2</v>
      </c>
      <c r="O2157" s="100"/>
    </row>
    <row r="2158" spans="2:15" x14ac:dyDescent="0.2">
      <c r="B2158" s="1">
        <v>2143</v>
      </c>
      <c r="C2158" s="101">
        <f t="shared" ca="1" si="132"/>
        <v>-0.96212212857619317</v>
      </c>
      <c r="D2158" s="101">
        <f t="shared" ca="1" si="133"/>
        <v>0.60433769160888995</v>
      </c>
      <c r="E2158" s="101">
        <f t="shared" ca="1" si="134"/>
        <v>0</v>
      </c>
      <c r="F2158" s="21">
        <f t="shared" ca="1" si="135"/>
        <v>0</v>
      </c>
      <c r="H2158" s="21">
        <v>2143</v>
      </c>
      <c r="I2158" s="102">
        <v>0.66762727183288439</v>
      </c>
      <c r="J2158" s="103">
        <v>1.2640001438877846E-3</v>
      </c>
      <c r="K2158" s="103"/>
      <c r="L2158" s="103">
        <v>4.0399999999999998E-2</v>
      </c>
      <c r="O2158" s="100"/>
    </row>
    <row r="2159" spans="2:15" x14ac:dyDescent="0.2">
      <c r="B2159" s="1">
        <v>2144</v>
      </c>
      <c r="C2159" s="101">
        <f t="shared" ca="1" si="132"/>
        <v>1.6228828459295797</v>
      </c>
      <c r="D2159" s="101">
        <f t="shared" ca="1" si="133"/>
        <v>0.77986548646845766</v>
      </c>
      <c r="E2159" s="101">
        <f t="shared" ca="1" si="134"/>
        <v>0</v>
      </c>
      <c r="F2159" s="21">
        <f t="shared" ca="1" si="135"/>
        <v>0</v>
      </c>
      <c r="H2159" s="21">
        <v>2144</v>
      </c>
      <c r="I2159" s="102">
        <v>0.66758848767061663</v>
      </c>
      <c r="J2159" s="103">
        <v>1.1802559702954003E-3</v>
      </c>
      <c r="K2159" s="103"/>
      <c r="L2159" s="103">
        <v>3.8399999999999997E-2</v>
      </c>
      <c r="O2159" s="100"/>
    </row>
    <row r="2160" spans="2:15" x14ac:dyDescent="0.2">
      <c r="B2160" s="1">
        <v>2145</v>
      </c>
      <c r="C2160" s="101">
        <f t="shared" ca="1" si="132"/>
        <v>-0.6951950353968217</v>
      </c>
      <c r="D2160" s="101">
        <f t="shared" ca="1" si="133"/>
        <v>0.62046126431137161</v>
      </c>
      <c r="E2160" s="101">
        <f t="shared" ca="1" si="134"/>
        <v>0</v>
      </c>
      <c r="F2160" s="21">
        <f t="shared" ca="1" si="135"/>
        <v>0</v>
      </c>
      <c r="H2160" s="21">
        <v>2145</v>
      </c>
      <c r="I2160" s="102">
        <v>0.66775101350745181</v>
      </c>
      <c r="J2160" s="103">
        <v>1.4044990572566283E-3</v>
      </c>
      <c r="K2160" s="103"/>
      <c r="L2160" s="103">
        <v>4.0399999999999998E-2</v>
      </c>
      <c r="O2160" s="100"/>
    </row>
    <row r="2161" spans="2:15" x14ac:dyDescent="0.2">
      <c r="B2161" s="1">
        <v>2146</v>
      </c>
      <c r="C2161" s="101">
        <f t="shared" ca="1" si="132"/>
        <v>-1.4079511212875355</v>
      </c>
      <c r="D2161" s="101">
        <f t="shared" ca="1" si="133"/>
        <v>0.57833655301063003</v>
      </c>
      <c r="E2161" s="101">
        <f t="shared" ca="1" si="134"/>
        <v>0</v>
      </c>
      <c r="F2161" s="21">
        <f t="shared" ca="1" si="135"/>
        <v>0</v>
      </c>
      <c r="H2161" s="21">
        <v>2146</v>
      </c>
      <c r="I2161" s="102">
        <v>0.66772576407439022</v>
      </c>
      <c r="J2161" s="103">
        <v>1.3951674743732077E-3</v>
      </c>
      <c r="K2161" s="103"/>
      <c r="L2161" s="103">
        <v>3.9600000000000003E-2</v>
      </c>
      <c r="O2161" s="100"/>
    </row>
    <row r="2162" spans="2:15" x14ac:dyDescent="0.2">
      <c r="B2162" s="1">
        <v>2147</v>
      </c>
      <c r="C2162" s="101">
        <f t="shared" ca="1" si="132"/>
        <v>-0.1922045748050448</v>
      </c>
      <c r="D2162" s="101">
        <f t="shared" ca="1" si="133"/>
        <v>0.65202233795271647</v>
      </c>
      <c r="E2162" s="101">
        <f t="shared" ca="1" si="134"/>
        <v>0</v>
      </c>
      <c r="F2162" s="21">
        <f t="shared" ca="1" si="135"/>
        <v>0</v>
      </c>
      <c r="H2162" s="21">
        <v>2147</v>
      </c>
      <c r="I2162" s="102">
        <v>0.66781035225028595</v>
      </c>
      <c r="J2162" s="103">
        <v>1.3692705265393394E-3</v>
      </c>
      <c r="K2162" s="103"/>
      <c r="L2162" s="103">
        <v>4.1399999999999999E-2</v>
      </c>
      <c r="O2162" s="100"/>
    </row>
    <row r="2163" spans="2:15" x14ac:dyDescent="0.2">
      <c r="B2163" s="1">
        <v>2148</v>
      </c>
      <c r="C2163" s="101">
        <f t="shared" ca="1" si="132"/>
        <v>-2.0921613883023489</v>
      </c>
      <c r="D2163" s="101">
        <f t="shared" ca="1" si="133"/>
        <v>0.54059185277564636</v>
      </c>
      <c r="E2163" s="101">
        <f t="shared" ca="1" si="134"/>
        <v>0</v>
      </c>
      <c r="F2163" s="21">
        <f t="shared" ca="1" si="135"/>
        <v>0</v>
      </c>
      <c r="H2163" s="21">
        <v>2148</v>
      </c>
      <c r="I2163" s="102">
        <v>0.66796579650582044</v>
      </c>
      <c r="J2163" s="103">
        <v>1.6438966050754446E-3</v>
      </c>
      <c r="K2163" s="103"/>
      <c r="L2163" s="103">
        <v>4.9799999999999997E-2</v>
      </c>
      <c r="O2163" s="100"/>
    </row>
    <row r="2164" spans="2:15" x14ac:dyDescent="0.2">
      <c r="B2164" s="1">
        <v>2149</v>
      </c>
      <c r="C2164" s="101">
        <f t="shared" ca="1" si="132"/>
        <v>-1.3163347470713358</v>
      </c>
      <c r="D2164" s="101">
        <f t="shared" ca="1" si="133"/>
        <v>0.58358676108416851</v>
      </c>
      <c r="E2164" s="101">
        <f t="shared" ca="1" si="134"/>
        <v>0</v>
      </c>
      <c r="F2164" s="21">
        <f t="shared" ca="1" si="135"/>
        <v>0</v>
      </c>
      <c r="H2164" s="21">
        <v>2149</v>
      </c>
      <c r="I2164" s="102">
        <v>0.66775385613026672</v>
      </c>
      <c r="J2164" s="103">
        <v>1.3857956824214702E-3</v>
      </c>
      <c r="K2164" s="103"/>
      <c r="L2164" s="103">
        <v>4.1200000000000001E-2</v>
      </c>
      <c r="O2164" s="100"/>
    </row>
    <row r="2165" spans="2:15" x14ac:dyDescent="0.2">
      <c r="B2165" s="1">
        <v>2150</v>
      </c>
      <c r="C2165" s="101">
        <f t="shared" ca="1" si="132"/>
        <v>-0.13623696020617498</v>
      </c>
      <c r="D2165" s="101">
        <f t="shared" ca="1" si="133"/>
        <v>0.65563192511293389</v>
      </c>
      <c r="E2165" s="101">
        <f t="shared" ca="1" si="134"/>
        <v>0</v>
      </c>
      <c r="F2165" s="21">
        <f t="shared" ca="1" si="135"/>
        <v>0</v>
      </c>
      <c r="H2165" s="21">
        <v>2150</v>
      </c>
      <c r="I2165" s="102">
        <v>0.66760946354722706</v>
      </c>
      <c r="J2165" s="103">
        <v>1.2056161566264742E-3</v>
      </c>
      <c r="K2165" s="103"/>
      <c r="L2165" s="103">
        <v>4.0399999999999998E-2</v>
      </c>
      <c r="O2165" s="100"/>
    </row>
    <row r="2166" spans="2:15" x14ac:dyDescent="0.2">
      <c r="B2166" s="1">
        <v>2151</v>
      </c>
      <c r="C2166" s="101">
        <f t="shared" ca="1" si="132"/>
        <v>1.620584804707685</v>
      </c>
      <c r="D2166" s="101">
        <f t="shared" ca="1" si="133"/>
        <v>0.77968872516569776</v>
      </c>
      <c r="E2166" s="101">
        <f t="shared" ca="1" si="134"/>
        <v>0</v>
      </c>
      <c r="F2166" s="21">
        <f t="shared" ca="1" si="135"/>
        <v>0</v>
      </c>
      <c r="H2166" s="21">
        <v>2151</v>
      </c>
      <c r="I2166" s="102">
        <v>0.66758815028980922</v>
      </c>
      <c r="J2166" s="103">
        <v>1.0721506946871375E-3</v>
      </c>
      <c r="K2166" s="103"/>
      <c r="L2166" s="103">
        <v>3.5999999999999997E-2</v>
      </c>
      <c r="O2166" s="100"/>
    </row>
    <row r="2167" spans="2:15" x14ac:dyDescent="0.2">
      <c r="B2167" s="1">
        <v>2152</v>
      </c>
      <c r="C2167" s="101">
        <f t="shared" ca="1" si="132"/>
        <v>-2.1360252486969737</v>
      </c>
      <c r="D2167" s="101">
        <f t="shared" ca="1" si="133"/>
        <v>0.53825787865677244</v>
      </c>
      <c r="E2167" s="101">
        <f t="shared" ca="1" si="134"/>
        <v>0</v>
      </c>
      <c r="F2167" s="21">
        <f t="shared" ca="1" si="135"/>
        <v>0</v>
      </c>
      <c r="H2167" s="21">
        <v>2152</v>
      </c>
      <c r="I2167" s="102">
        <v>0.66761507451030266</v>
      </c>
      <c r="J2167" s="103">
        <v>1.2780411627769954E-3</v>
      </c>
      <c r="K2167" s="103"/>
      <c r="L2167" s="103">
        <v>4.0800000000000003E-2</v>
      </c>
      <c r="O2167" s="100"/>
    </row>
    <row r="2168" spans="2:15" x14ac:dyDescent="0.2">
      <c r="B2168" s="1">
        <v>2153</v>
      </c>
      <c r="C2168" s="101">
        <f t="shared" ca="1" si="132"/>
        <v>0.39699631927315027</v>
      </c>
      <c r="D2168" s="101">
        <f t="shared" ca="1" si="133"/>
        <v>0.69104046308372924</v>
      </c>
      <c r="E2168" s="101">
        <f t="shared" ca="1" si="134"/>
        <v>0</v>
      </c>
      <c r="F2168" s="21">
        <f t="shared" ca="1" si="135"/>
        <v>0</v>
      </c>
      <c r="H2168" s="21">
        <v>2153</v>
      </c>
      <c r="I2168" s="102">
        <v>0.6678681163037643</v>
      </c>
      <c r="J2168" s="103">
        <v>1.5236100091592568E-3</v>
      </c>
      <c r="K2168" s="103"/>
      <c r="L2168" s="103">
        <v>4.3200000000000002E-2</v>
      </c>
      <c r="O2168" s="100"/>
    </row>
    <row r="2169" spans="2:15" x14ac:dyDescent="0.2">
      <c r="B2169" s="1">
        <v>2154</v>
      </c>
      <c r="C2169" s="101">
        <f t="shared" ca="1" si="132"/>
        <v>0.29973757609463908</v>
      </c>
      <c r="D2169" s="101">
        <f t="shared" ca="1" si="133"/>
        <v>0.68444250663242356</v>
      </c>
      <c r="E2169" s="101">
        <f t="shared" ca="1" si="134"/>
        <v>0</v>
      </c>
      <c r="F2169" s="21">
        <f t="shared" ca="1" si="135"/>
        <v>0</v>
      </c>
      <c r="H2169" s="21">
        <v>2154</v>
      </c>
      <c r="I2169" s="102">
        <v>0.66786722459393555</v>
      </c>
      <c r="J2169" s="103">
        <v>1.5279593479046174E-3</v>
      </c>
      <c r="K2169" s="103"/>
      <c r="L2169" s="103">
        <v>4.1599999999999998E-2</v>
      </c>
      <c r="O2169" s="100"/>
    </row>
    <row r="2170" spans="2:15" x14ac:dyDescent="0.2">
      <c r="B2170" s="1">
        <v>2155</v>
      </c>
      <c r="C2170" s="101">
        <f t="shared" ca="1" si="132"/>
        <v>0.90917457655337408</v>
      </c>
      <c r="D2170" s="101">
        <f t="shared" ca="1" si="133"/>
        <v>0.72685014013115601</v>
      </c>
      <c r="E2170" s="101">
        <f t="shared" ca="1" si="134"/>
        <v>0</v>
      </c>
      <c r="F2170" s="21">
        <f t="shared" ca="1" si="135"/>
        <v>0</v>
      </c>
      <c r="H2170" s="21">
        <v>2155</v>
      </c>
      <c r="I2170" s="102">
        <v>0.66766261628036749</v>
      </c>
      <c r="J2170" s="103">
        <v>1.394944081746452E-3</v>
      </c>
      <c r="K2170" s="103"/>
      <c r="L2170" s="103">
        <v>4.1200000000000001E-2</v>
      </c>
      <c r="O2170" s="100"/>
    </row>
    <row r="2171" spans="2:15" x14ac:dyDescent="0.2">
      <c r="B2171" s="1">
        <v>2156</v>
      </c>
      <c r="C2171" s="101">
        <f t="shared" ca="1" si="132"/>
        <v>0.71796619846607623</v>
      </c>
      <c r="D2171" s="101">
        <f t="shared" ca="1" si="133"/>
        <v>0.71326946033523086</v>
      </c>
      <c r="E2171" s="101">
        <f t="shared" ca="1" si="134"/>
        <v>0</v>
      </c>
      <c r="F2171" s="21">
        <f t="shared" ca="1" si="135"/>
        <v>0</v>
      </c>
      <c r="H2171" s="21">
        <v>2156</v>
      </c>
      <c r="I2171" s="102">
        <v>0.66797072416998204</v>
      </c>
      <c r="J2171" s="103">
        <v>1.5756147435236031E-3</v>
      </c>
      <c r="K2171" s="103"/>
      <c r="L2171" s="103">
        <v>4.6800000000000001E-2</v>
      </c>
      <c r="O2171" s="100"/>
    </row>
    <row r="2172" spans="2:15" x14ac:dyDescent="0.2">
      <c r="B2172" s="1">
        <v>2157</v>
      </c>
      <c r="C2172" s="101">
        <f t="shared" ca="1" si="132"/>
        <v>0.90398396854269492</v>
      </c>
      <c r="D2172" s="101">
        <f t="shared" ca="1" si="133"/>
        <v>0.72647808196996788</v>
      </c>
      <c r="E2172" s="101">
        <f t="shared" ca="1" si="134"/>
        <v>0</v>
      </c>
      <c r="F2172" s="21">
        <f t="shared" ca="1" si="135"/>
        <v>0</v>
      </c>
      <c r="H2172" s="21">
        <v>2157</v>
      </c>
      <c r="I2172" s="102">
        <v>0.66770595098209107</v>
      </c>
      <c r="J2172" s="103">
        <v>1.3717149561244437E-3</v>
      </c>
      <c r="K2172" s="103"/>
      <c r="L2172" s="103">
        <v>4.3200000000000002E-2</v>
      </c>
      <c r="O2172" s="100"/>
    </row>
    <row r="2173" spans="2:15" x14ac:dyDescent="0.2">
      <c r="B2173" s="1">
        <v>2158</v>
      </c>
      <c r="C2173" s="101">
        <f t="shared" ca="1" si="132"/>
        <v>-0.20314844813639912</v>
      </c>
      <c r="D2173" s="101">
        <f t="shared" ca="1" si="133"/>
        <v>0.65131884777230298</v>
      </c>
      <c r="E2173" s="101">
        <f t="shared" ca="1" si="134"/>
        <v>0</v>
      </c>
      <c r="F2173" s="21">
        <f t="shared" ca="1" si="135"/>
        <v>0</v>
      </c>
      <c r="H2173" s="21">
        <v>2158</v>
      </c>
      <c r="I2173" s="102">
        <v>0.66762502062432294</v>
      </c>
      <c r="J2173" s="103">
        <v>1.2557067350965265E-3</v>
      </c>
      <c r="K2173" s="103"/>
      <c r="L2173" s="103">
        <v>3.9399999999999998E-2</v>
      </c>
      <c r="O2173" s="100"/>
    </row>
    <row r="2174" spans="2:15" x14ac:dyDescent="0.2">
      <c r="B2174" s="1">
        <v>2159</v>
      </c>
      <c r="C2174" s="101">
        <f t="shared" ca="1" si="132"/>
        <v>0.35751405691396015</v>
      </c>
      <c r="D2174" s="101">
        <f t="shared" ca="1" si="133"/>
        <v>0.68835438282489336</v>
      </c>
      <c r="E2174" s="101">
        <f t="shared" ca="1" si="134"/>
        <v>0</v>
      </c>
      <c r="F2174" s="21">
        <f t="shared" ca="1" si="135"/>
        <v>0</v>
      </c>
      <c r="H2174" s="21">
        <v>2159</v>
      </c>
      <c r="I2174" s="102">
        <v>0.66781122204250409</v>
      </c>
      <c r="J2174" s="103">
        <v>1.3834584861072243E-3</v>
      </c>
      <c r="K2174" s="103"/>
      <c r="L2174" s="103">
        <v>4.2599999999999999E-2</v>
      </c>
      <c r="O2174" s="100"/>
    </row>
    <row r="2175" spans="2:15" x14ac:dyDescent="0.2">
      <c r="B2175" s="1">
        <v>2160</v>
      </c>
      <c r="C2175" s="101">
        <f t="shared" ca="1" si="132"/>
        <v>-3.5438333320794685E-2</v>
      </c>
      <c r="D2175" s="101">
        <f t="shared" ca="1" si="133"/>
        <v>0.66218333050729938</v>
      </c>
      <c r="E2175" s="101">
        <f t="shared" ca="1" si="134"/>
        <v>0</v>
      </c>
      <c r="F2175" s="21">
        <f t="shared" ca="1" si="135"/>
        <v>0</v>
      </c>
      <c r="H2175" s="21">
        <v>2160</v>
      </c>
      <c r="I2175" s="102">
        <v>0.66774657964320283</v>
      </c>
      <c r="J2175" s="103">
        <v>1.4625038995123847E-3</v>
      </c>
      <c r="K2175" s="103"/>
      <c r="L2175" s="103">
        <v>4.1200000000000001E-2</v>
      </c>
      <c r="O2175" s="100"/>
    </row>
    <row r="2176" spans="2:15" x14ac:dyDescent="0.2">
      <c r="B2176" s="1">
        <v>2161</v>
      </c>
      <c r="C2176" s="101">
        <f t="shared" ca="1" si="132"/>
        <v>-0.62920718914659346</v>
      </c>
      <c r="D2176" s="101">
        <f t="shared" ca="1" si="133"/>
        <v>0.62451309914719144</v>
      </c>
      <c r="E2176" s="101">
        <f t="shared" ca="1" si="134"/>
        <v>0</v>
      </c>
      <c r="F2176" s="21">
        <f t="shared" ca="1" si="135"/>
        <v>0</v>
      </c>
      <c r="H2176" s="21">
        <v>2161</v>
      </c>
      <c r="I2176" s="102">
        <v>0.66777225335573154</v>
      </c>
      <c r="J2176" s="103">
        <v>1.3769560197943855E-3</v>
      </c>
      <c r="K2176" s="103"/>
      <c r="L2176" s="103">
        <v>3.9800000000000002E-2</v>
      </c>
      <c r="O2176" s="100"/>
    </row>
    <row r="2177" spans="2:15" x14ac:dyDescent="0.2">
      <c r="B2177" s="1">
        <v>2162</v>
      </c>
      <c r="C2177" s="101">
        <f t="shared" ca="1" si="132"/>
        <v>0.15230513486106784</v>
      </c>
      <c r="D2177" s="101">
        <f t="shared" ca="1" si="133"/>
        <v>0.67456073529195393</v>
      </c>
      <c r="E2177" s="101">
        <f t="shared" ca="1" si="134"/>
        <v>0</v>
      </c>
      <c r="F2177" s="21">
        <f t="shared" ca="1" si="135"/>
        <v>0</v>
      </c>
      <c r="H2177" s="21">
        <v>2162</v>
      </c>
      <c r="I2177" s="102">
        <v>0.66769297984868081</v>
      </c>
      <c r="J2177" s="103">
        <v>1.27723850116956E-3</v>
      </c>
      <c r="K2177" s="103"/>
      <c r="L2177" s="103">
        <v>4.0800000000000003E-2</v>
      </c>
      <c r="O2177" s="100"/>
    </row>
    <row r="2178" spans="2:15" x14ac:dyDescent="0.2">
      <c r="B2178" s="1">
        <v>2163</v>
      </c>
      <c r="C2178" s="101">
        <f t="shared" ca="1" si="132"/>
        <v>0.52611580541543523</v>
      </c>
      <c r="D2178" s="101">
        <f t="shared" ca="1" si="133"/>
        <v>0.69989820051587648</v>
      </c>
      <c r="E2178" s="101">
        <f t="shared" ca="1" si="134"/>
        <v>0</v>
      </c>
      <c r="F2178" s="21">
        <f t="shared" ca="1" si="135"/>
        <v>0</v>
      </c>
      <c r="H2178" s="21">
        <v>2163</v>
      </c>
      <c r="I2178" s="102">
        <v>0.66774444701453362</v>
      </c>
      <c r="J2178" s="103">
        <v>1.3715983693947098E-3</v>
      </c>
      <c r="K2178" s="103"/>
      <c r="L2178" s="103">
        <v>4.3799999999999999E-2</v>
      </c>
      <c r="O2178" s="100"/>
    </row>
    <row r="2179" spans="2:15" x14ac:dyDescent="0.2">
      <c r="B2179" s="1">
        <v>2164</v>
      </c>
      <c r="C2179" s="101">
        <f t="shared" ca="1" si="132"/>
        <v>1.5689277143834794</v>
      </c>
      <c r="D2179" s="101">
        <f t="shared" ca="1" si="133"/>
        <v>0.77572590754193915</v>
      </c>
      <c r="E2179" s="101">
        <f t="shared" ca="1" si="134"/>
        <v>0</v>
      </c>
      <c r="F2179" s="21">
        <f t="shared" ca="1" si="135"/>
        <v>0</v>
      </c>
      <c r="H2179" s="21">
        <v>2164</v>
      </c>
      <c r="I2179" s="102">
        <v>0.66776848437427583</v>
      </c>
      <c r="J2179" s="103">
        <v>1.3983043152458244E-3</v>
      </c>
      <c r="K2179" s="103"/>
      <c r="L2179" s="103">
        <v>4.1000000000000002E-2</v>
      </c>
      <c r="O2179" s="100"/>
    </row>
    <row r="2180" spans="2:15" x14ac:dyDescent="0.2">
      <c r="B2180" s="1">
        <v>2165</v>
      </c>
      <c r="C2180" s="101">
        <f t="shared" ca="1" si="132"/>
        <v>-0.59625778180639322</v>
      </c>
      <c r="D2180" s="101">
        <f t="shared" ca="1" si="133"/>
        <v>0.62654617703754512</v>
      </c>
      <c r="E2180" s="101">
        <f t="shared" ca="1" si="134"/>
        <v>0</v>
      </c>
      <c r="F2180" s="21">
        <f t="shared" ca="1" si="135"/>
        <v>0</v>
      </c>
      <c r="H2180" s="21">
        <v>2165</v>
      </c>
      <c r="I2180" s="102">
        <v>0.66763277000724219</v>
      </c>
      <c r="J2180" s="103">
        <v>1.2825124977043092E-3</v>
      </c>
      <c r="K2180" s="103"/>
      <c r="L2180" s="103">
        <v>3.9800000000000002E-2</v>
      </c>
      <c r="O2180" s="100"/>
    </row>
    <row r="2181" spans="2:15" x14ac:dyDescent="0.2">
      <c r="B2181" s="1">
        <v>2166</v>
      </c>
      <c r="C2181" s="101">
        <f t="shared" ca="1" si="132"/>
        <v>6.2117827045868573E-2</v>
      </c>
      <c r="D2181" s="101">
        <f t="shared" ca="1" si="133"/>
        <v>0.66858632520258254</v>
      </c>
      <c r="E2181" s="101">
        <f t="shared" ca="1" si="134"/>
        <v>0</v>
      </c>
      <c r="F2181" s="21">
        <f t="shared" ca="1" si="135"/>
        <v>0</v>
      </c>
      <c r="H2181" s="21">
        <v>2166</v>
      </c>
      <c r="I2181" s="102">
        <v>0.66785297915162689</v>
      </c>
      <c r="J2181" s="103">
        <v>1.3538569805155757E-3</v>
      </c>
      <c r="K2181" s="103"/>
      <c r="L2181" s="103">
        <v>4.3400000000000001E-2</v>
      </c>
      <c r="O2181" s="100"/>
    </row>
    <row r="2182" spans="2:15" x14ac:dyDescent="0.2">
      <c r="B2182" s="1">
        <v>2167</v>
      </c>
      <c r="C2182" s="101">
        <f t="shared" ca="1" si="132"/>
        <v>-0.89628358790633678</v>
      </c>
      <c r="D2182" s="101">
        <f t="shared" ca="1" si="133"/>
        <v>0.60827527516373148</v>
      </c>
      <c r="E2182" s="101">
        <f t="shared" ca="1" si="134"/>
        <v>0</v>
      </c>
      <c r="F2182" s="21">
        <f t="shared" ca="1" si="135"/>
        <v>0</v>
      </c>
      <c r="H2182" s="21">
        <v>2167</v>
      </c>
      <c r="I2182" s="102">
        <v>0.66778807175843224</v>
      </c>
      <c r="J2182" s="103">
        <v>1.4714776833446718E-3</v>
      </c>
      <c r="K2182" s="103"/>
      <c r="L2182" s="103">
        <v>4.2000000000000003E-2</v>
      </c>
      <c r="O2182" s="100"/>
    </row>
    <row r="2183" spans="2:15" x14ac:dyDescent="0.2">
      <c r="B2183" s="1">
        <v>2168</v>
      </c>
      <c r="C2183" s="101">
        <f t="shared" ca="1" si="132"/>
        <v>-0.77296165587466259</v>
      </c>
      <c r="D2183" s="101">
        <f t="shared" ca="1" si="133"/>
        <v>0.61571991308296603</v>
      </c>
      <c r="E2183" s="101">
        <f t="shared" ca="1" si="134"/>
        <v>0</v>
      </c>
      <c r="F2183" s="21">
        <f t="shared" ca="1" si="135"/>
        <v>0</v>
      </c>
      <c r="H2183" s="21">
        <v>2168</v>
      </c>
      <c r="I2183" s="102">
        <v>0.66771662025277867</v>
      </c>
      <c r="J2183" s="103">
        <v>1.3370505595211299E-3</v>
      </c>
      <c r="K2183" s="103"/>
      <c r="L2183" s="103">
        <v>4.0399999999999998E-2</v>
      </c>
      <c r="O2183" s="100"/>
    </row>
    <row r="2184" spans="2:15" x14ac:dyDescent="0.2">
      <c r="B2184" s="1">
        <v>2169</v>
      </c>
      <c r="C2184" s="101">
        <f t="shared" ca="1" si="132"/>
        <v>1.7541901249625615</v>
      </c>
      <c r="D2184" s="101">
        <f t="shared" ca="1" si="133"/>
        <v>0.79003225651003783</v>
      </c>
      <c r="E2184" s="101">
        <f t="shared" ca="1" si="134"/>
        <v>1.8322565100378219E-3</v>
      </c>
      <c r="F2184" s="21">
        <f t="shared" ca="1" si="135"/>
        <v>1</v>
      </c>
      <c r="H2184" s="21">
        <v>2169</v>
      </c>
      <c r="I2184" s="102">
        <v>0.66779237150303461</v>
      </c>
      <c r="J2184" s="103">
        <v>1.5415053727892121E-3</v>
      </c>
      <c r="K2184" s="103"/>
      <c r="L2184" s="103">
        <v>4.4999999999999998E-2</v>
      </c>
      <c r="O2184" s="100"/>
    </row>
    <row r="2185" spans="2:15" x14ac:dyDescent="0.2">
      <c r="B2185" s="1">
        <v>2170</v>
      </c>
      <c r="C2185" s="101">
        <f t="shared" ca="1" si="132"/>
        <v>-1.2916160540805917</v>
      </c>
      <c r="D2185" s="101">
        <f t="shared" ca="1" si="133"/>
        <v>0.58501144791456039</v>
      </c>
      <c r="E2185" s="101">
        <f t="shared" ca="1" si="134"/>
        <v>0</v>
      </c>
      <c r="F2185" s="21">
        <f t="shared" ca="1" si="135"/>
        <v>0</v>
      </c>
      <c r="H2185" s="21">
        <v>2170</v>
      </c>
      <c r="I2185" s="102">
        <v>0.66773191220753669</v>
      </c>
      <c r="J2185" s="103">
        <v>1.453998788315648E-3</v>
      </c>
      <c r="K2185" s="103"/>
      <c r="L2185" s="103">
        <v>4.1399999999999999E-2</v>
      </c>
      <c r="O2185" s="100"/>
    </row>
    <row r="2186" spans="2:15" x14ac:dyDescent="0.2">
      <c r="B2186" s="1">
        <v>2171</v>
      </c>
      <c r="C2186" s="101">
        <f t="shared" ca="1" si="132"/>
        <v>-0.93133861576110499</v>
      </c>
      <c r="D2186" s="101">
        <f t="shared" ca="1" si="133"/>
        <v>0.60617556800199401</v>
      </c>
      <c r="E2186" s="101">
        <f t="shared" ca="1" si="134"/>
        <v>0</v>
      </c>
      <c r="F2186" s="21">
        <f t="shared" ca="1" si="135"/>
        <v>0</v>
      </c>
      <c r="H2186" s="21">
        <v>2171</v>
      </c>
      <c r="I2186" s="102">
        <v>0.66787593679079604</v>
      </c>
      <c r="J2186" s="103">
        <v>1.5548465002118469E-3</v>
      </c>
      <c r="K2186" s="103"/>
      <c r="L2186" s="103">
        <v>4.5199999999999997E-2</v>
      </c>
      <c r="O2186" s="100"/>
    </row>
    <row r="2187" spans="2:15" x14ac:dyDescent="0.2">
      <c r="B2187" s="1">
        <v>2172</v>
      </c>
      <c r="C2187" s="101">
        <f t="shared" ca="1" si="132"/>
        <v>1.2328451264952323</v>
      </c>
      <c r="D2187" s="101">
        <f t="shared" ca="1" si="133"/>
        <v>0.75043092922167454</v>
      </c>
      <c r="E2187" s="101">
        <f t="shared" ca="1" si="134"/>
        <v>0</v>
      </c>
      <c r="F2187" s="21">
        <f t="shared" ca="1" si="135"/>
        <v>0</v>
      </c>
      <c r="H2187" s="21">
        <v>2172</v>
      </c>
      <c r="I2187" s="102">
        <v>0.66780025270029575</v>
      </c>
      <c r="J2187" s="103">
        <v>1.4066447980145582E-3</v>
      </c>
      <c r="K2187" s="103"/>
      <c r="L2187" s="103">
        <v>4.3999999999999997E-2</v>
      </c>
      <c r="O2187" s="100"/>
    </row>
    <row r="2188" spans="2:15" x14ac:dyDescent="0.2">
      <c r="B2188" s="1">
        <v>2173</v>
      </c>
      <c r="C2188" s="101">
        <f t="shared" ca="1" si="132"/>
        <v>1.448239006030122</v>
      </c>
      <c r="D2188" s="101">
        <f t="shared" ca="1" si="133"/>
        <v>0.76654572565648649</v>
      </c>
      <c r="E2188" s="101">
        <f t="shared" ca="1" si="134"/>
        <v>0</v>
      </c>
      <c r="F2188" s="21">
        <f t="shared" ca="1" si="135"/>
        <v>0</v>
      </c>
      <c r="H2188" s="21">
        <v>2173</v>
      </c>
      <c r="I2188" s="102">
        <v>0.66781642638842797</v>
      </c>
      <c r="J2188" s="103">
        <v>1.4478078174395138E-3</v>
      </c>
      <c r="K2188" s="103"/>
      <c r="L2188" s="103">
        <v>4.1599999999999998E-2</v>
      </c>
      <c r="O2188" s="100"/>
    </row>
    <row r="2189" spans="2:15" x14ac:dyDescent="0.2">
      <c r="B2189" s="1">
        <v>2174</v>
      </c>
      <c r="C2189" s="101">
        <f t="shared" ca="1" si="132"/>
        <v>0.92255618384126803</v>
      </c>
      <c r="D2189" s="101">
        <f t="shared" ca="1" si="133"/>
        <v>0.72781020089475679</v>
      </c>
      <c r="E2189" s="101">
        <f t="shared" ca="1" si="134"/>
        <v>0</v>
      </c>
      <c r="F2189" s="21">
        <f t="shared" ca="1" si="135"/>
        <v>0</v>
      </c>
      <c r="H2189" s="21">
        <v>2174</v>
      </c>
      <c r="I2189" s="102">
        <v>0.6678449899732507</v>
      </c>
      <c r="J2189" s="103">
        <v>1.5365569452857454E-3</v>
      </c>
      <c r="K2189" s="103"/>
      <c r="L2189" s="103">
        <v>4.6399999999999997E-2</v>
      </c>
      <c r="O2189" s="100"/>
    </row>
    <row r="2190" spans="2:15" x14ac:dyDescent="0.2">
      <c r="B2190" s="1">
        <v>2175</v>
      </c>
      <c r="C2190" s="101">
        <f t="shared" ca="1" si="132"/>
        <v>-0.36318449401230957</v>
      </c>
      <c r="D2190" s="101">
        <f t="shared" ca="1" si="133"/>
        <v>0.64111774916344855</v>
      </c>
      <c r="E2190" s="101">
        <f t="shared" ca="1" si="134"/>
        <v>0</v>
      </c>
      <c r="F2190" s="21">
        <f t="shared" ca="1" si="135"/>
        <v>0</v>
      </c>
      <c r="H2190" s="21">
        <v>2175</v>
      </c>
      <c r="I2190" s="102">
        <v>0.66784486378324548</v>
      </c>
      <c r="J2190" s="103">
        <v>1.493616650136483E-3</v>
      </c>
      <c r="K2190" s="103"/>
      <c r="L2190" s="103">
        <v>4.2200000000000001E-2</v>
      </c>
      <c r="O2190" s="100"/>
    </row>
    <row r="2191" spans="2:15" x14ac:dyDescent="0.2">
      <c r="B2191" s="1">
        <v>2176</v>
      </c>
      <c r="C2191" s="101">
        <f t="shared" ca="1" si="132"/>
        <v>1.5094068817195798</v>
      </c>
      <c r="D2191" s="101">
        <f t="shared" ca="1" si="133"/>
        <v>0.77118479880889967</v>
      </c>
      <c r="E2191" s="101">
        <f t="shared" ca="1" si="134"/>
        <v>0</v>
      </c>
      <c r="F2191" s="21">
        <f t="shared" ca="1" si="135"/>
        <v>0</v>
      </c>
      <c r="H2191" s="21">
        <v>2176</v>
      </c>
      <c r="I2191" s="102">
        <v>0.66775301756199468</v>
      </c>
      <c r="J2191" s="103">
        <v>1.3523528697937052E-3</v>
      </c>
      <c r="K2191" s="103"/>
      <c r="L2191" s="103">
        <v>4.1799999999999997E-2</v>
      </c>
      <c r="O2191" s="100"/>
    </row>
    <row r="2192" spans="2:15" x14ac:dyDescent="0.2">
      <c r="B2192" s="1">
        <v>2177</v>
      </c>
      <c r="C2192" s="101">
        <f t="shared" ref="C2192:C2255" ca="1" si="136">_xlfn.NORM.S.INV(RAND())</f>
        <v>-0.25133201761330132</v>
      </c>
      <c r="D2192" s="101">
        <f t="shared" ref="D2192:D2255" ca="1" si="137">S0*EXP((μ-0.5*σ*σ)*T+σ*SQRT(T)*$C2192)</f>
        <v>0.64823054516650802</v>
      </c>
      <c r="E2192" s="101">
        <f t="shared" ref="E2192:E2255" ca="1" si="138">MAX(0,CP*(D2192-K))</f>
        <v>0</v>
      </c>
      <c r="F2192" s="21">
        <f t="shared" ref="F2192:F2255" ca="1" si="139">(CP*(D2192-K)&gt;0)*1</f>
        <v>0</v>
      </c>
      <c r="H2192" s="21">
        <v>2177</v>
      </c>
      <c r="I2192" s="102">
        <v>0.66774480870669095</v>
      </c>
      <c r="J2192" s="103">
        <v>1.372181127888361E-3</v>
      </c>
      <c r="K2192" s="103"/>
      <c r="L2192" s="103">
        <v>4.1599999999999998E-2</v>
      </c>
      <c r="O2192" s="100"/>
    </row>
    <row r="2193" spans="2:15" x14ac:dyDescent="0.2">
      <c r="B2193" s="1">
        <v>2178</v>
      </c>
      <c r="C2193" s="101">
        <f t="shared" ca="1" si="136"/>
        <v>0.73460742194610162</v>
      </c>
      <c r="D2193" s="101">
        <f t="shared" ca="1" si="137"/>
        <v>0.71444126246141526</v>
      </c>
      <c r="E2193" s="101">
        <f t="shared" ca="1" si="138"/>
        <v>0</v>
      </c>
      <c r="F2193" s="21">
        <f t="shared" ca="1" si="139"/>
        <v>0</v>
      </c>
      <c r="H2193" s="21">
        <v>2178</v>
      </c>
      <c r="I2193" s="102">
        <v>0.66780813215195689</v>
      </c>
      <c r="J2193" s="103">
        <v>1.4155300823050342E-3</v>
      </c>
      <c r="K2193" s="103"/>
      <c r="L2193" s="103">
        <v>4.2599999999999999E-2</v>
      </c>
      <c r="O2193" s="100"/>
    </row>
    <row r="2194" spans="2:15" x14ac:dyDescent="0.2">
      <c r="B2194" s="1">
        <v>2179</v>
      </c>
      <c r="C2194" s="101">
        <f t="shared" ca="1" si="136"/>
        <v>-0.10246346123376995</v>
      </c>
      <c r="D2194" s="101">
        <f t="shared" ca="1" si="137"/>
        <v>0.65781978078209358</v>
      </c>
      <c r="E2194" s="101">
        <f t="shared" ca="1" si="138"/>
        <v>0</v>
      </c>
      <c r="F2194" s="21">
        <f t="shared" ca="1" si="139"/>
        <v>0</v>
      </c>
      <c r="H2194" s="21">
        <v>2179</v>
      </c>
      <c r="I2194" s="102">
        <v>0.6678778429971729</v>
      </c>
      <c r="J2194" s="103">
        <v>1.5268220543110369E-3</v>
      </c>
      <c r="K2194" s="103"/>
      <c r="L2194" s="103">
        <v>4.7600000000000003E-2</v>
      </c>
      <c r="O2194" s="100"/>
    </row>
    <row r="2195" spans="2:15" x14ac:dyDescent="0.2">
      <c r="B2195" s="1">
        <v>2180</v>
      </c>
      <c r="C2195" s="101">
        <f t="shared" ca="1" si="136"/>
        <v>-0.95738844686018243</v>
      </c>
      <c r="D2195" s="101">
        <f t="shared" ca="1" si="137"/>
        <v>0.60461994491224602</v>
      </c>
      <c r="E2195" s="101">
        <f t="shared" ca="1" si="138"/>
        <v>0</v>
      </c>
      <c r="F2195" s="21">
        <f t="shared" ca="1" si="139"/>
        <v>0</v>
      </c>
      <c r="H2195" s="21">
        <v>2180</v>
      </c>
      <c r="I2195" s="102">
        <v>0.66769172142413369</v>
      </c>
      <c r="J2195" s="103">
        <v>1.2390517318430366E-3</v>
      </c>
      <c r="K2195" s="103"/>
      <c r="L2195" s="103">
        <v>3.9E-2</v>
      </c>
      <c r="O2195" s="100"/>
    </row>
    <row r="2196" spans="2:15" x14ac:dyDescent="0.2">
      <c r="B2196" s="1">
        <v>2181</v>
      </c>
      <c r="C2196" s="101">
        <f t="shared" ca="1" si="136"/>
        <v>-1.2746370277838037</v>
      </c>
      <c r="D2196" s="101">
        <f t="shared" ca="1" si="137"/>
        <v>0.58599206573807816</v>
      </c>
      <c r="E2196" s="101">
        <f t="shared" ca="1" si="138"/>
        <v>0</v>
      </c>
      <c r="F2196" s="21">
        <f t="shared" ca="1" si="139"/>
        <v>0</v>
      </c>
      <c r="H2196" s="21">
        <v>2181</v>
      </c>
      <c r="I2196" s="102">
        <v>0.66772349022230082</v>
      </c>
      <c r="J2196" s="103">
        <v>1.3297731253192489E-3</v>
      </c>
      <c r="K2196" s="103"/>
      <c r="L2196" s="103">
        <v>4.24E-2</v>
      </c>
      <c r="O2196" s="100"/>
    </row>
    <row r="2197" spans="2:15" x14ac:dyDescent="0.2">
      <c r="B2197" s="1">
        <v>2182</v>
      </c>
      <c r="C2197" s="101">
        <f t="shared" ca="1" si="136"/>
        <v>9.1797854413019075E-2</v>
      </c>
      <c r="D2197" s="101">
        <f t="shared" ca="1" si="137"/>
        <v>0.67054659829868402</v>
      </c>
      <c r="E2197" s="101">
        <f t="shared" ca="1" si="138"/>
        <v>0</v>
      </c>
      <c r="F2197" s="21">
        <f t="shared" ca="1" si="139"/>
        <v>0</v>
      </c>
      <c r="H2197" s="21">
        <v>2182</v>
      </c>
      <c r="I2197" s="102">
        <v>0.66783297436228273</v>
      </c>
      <c r="J2197" s="103">
        <v>1.3943772307705941E-3</v>
      </c>
      <c r="K2197" s="103"/>
      <c r="L2197" s="103">
        <v>4.5199999999999997E-2</v>
      </c>
      <c r="O2197" s="100"/>
    </row>
    <row r="2198" spans="2:15" x14ac:dyDescent="0.2">
      <c r="B2198" s="1">
        <v>2183</v>
      </c>
      <c r="C2198" s="101">
        <f t="shared" ca="1" si="136"/>
        <v>-0.97393736672003306</v>
      </c>
      <c r="D2198" s="101">
        <f t="shared" ca="1" si="137"/>
        <v>0.60363376398653412</v>
      </c>
      <c r="E2198" s="101">
        <f t="shared" ca="1" si="138"/>
        <v>0</v>
      </c>
      <c r="F2198" s="21">
        <f t="shared" ca="1" si="139"/>
        <v>0</v>
      </c>
      <c r="H2198" s="21">
        <v>2183</v>
      </c>
      <c r="I2198" s="102">
        <v>0.66784316981709779</v>
      </c>
      <c r="J2198" s="103">
        <v>1.4518637046317489E-3</v>
      </c>
      <c r="K2198" s="103"/>
      <c r="L2198" s="103">
        <v>4.3799999999999999E-2</v>
      </c>
      <c r="O2198" s="100"/>
    </row>
    <row r="2199" spans="2:15" x14ac:dyDescent="0.2">
      <c r="B2199" s="1">
        <v>2184</v>
      </c>
      <c r="C2199" s="101">
        <f t="shared" ca="1" si="136"/>
        <v>-4.3257119578464689E-2</v>
      </c>
      <c r="D2199" s="101">
        <f t="shared" ca="1" si="137"/>
        <v>0.66167281490409402</v>
      </c>
      <c r="E2199" s="101">
        <f t="shared" ca="1" si="138"/>
        <v>0</v>
      </c>
      <c r="F2199" s="21">
        <f t="shared" ca="1" si="139"/>
        <v>0</v>
      </c>
      <c r="H2199" s="21">
        <v>2184</v>
      </c>
      <c r="I2199" s="102">
        <v>0.66765599950659782</v>
      </c>
      <c r="J2199" s="103">
        <v>1.3209131686314213E-3</v>
      </c>
      <c r="K2199" s="103"/>
      <c r="L2199" s="103">
        <v>4.1399999999999999E-2</v>
      </c>
      <c r="O2199" s="100"/>
    </row>
    <row r="2200" spans="2:15" x14ac:dyDescent="0.2">
      <c r="B2200" s="1">
        <v>2185</v>
      </c>
      <c r="C2200" s="101">
        <f t="shared" ca="1" si="136"/>
        <v>-0.57422561794541882</v>
      </c>
      <c r="D2200" s="101">
        <f t="shared" ca="1" si="137"/>
        <v>0.62790931918352444</v>
      </c>
      <c r="E2200" s="101">
        <f t="shared" ca="1" si="138"/>
        <v>0</v>
      </c>
      <c r="F2200" s="21">
        <f t="shared" ca="1" si="139"/>
        <v>0</v>
      </c>
      <c r="H2200" s="21">
        <v>2185</v>
      </c>
      <c r="I2200" s="102">
        <v>0.66771145136689192</v>
      </c>
      <c r="J2200" s="103">
        <v>1.3880149844732609E-3</v>
      </c>
      <c r="K2200" s="103"/>
      <c r="L2200" s="103">
        <v>4.1799999999999997E-2</v>
      </c>
      <c r="O2200" s="100"/>
    </row>
    <row r="2201" spans="2:15" x14ac:dyDescent="0.2">
      <c r="B2201" s="1">
        <v>2186</v>
      </c>
      <c r="C2201" s="101">
        <f t="shared" ca="1" si="136"/>
        <v>-2.2814350324600055</v>
      </c>
      <c r="D2201" s="101">
        <f t="shared" ca="1" si="137"/>
        <v>0.53059252821002634</v>
      </c>
      <c r="E2201" s="101">
        <f t="shared" ca="1" si="138"/>
        <v>0</v>
      </c>
      <c r="F2201" s="21">
        <f t="shared" ca="1" si="139"/>
        <v>0</v>
      </c>
      <c r="H2201" s="21">
        <v>2186</v>
      </c>
      <c r="I2201" s="102">
        <v>0.66779031348742979</v>
      </c>
      <c r="J2201" s="103">
        <v>1.4270863303155168E-3</v>
      </c>
      <c r="K2201" s="103"/>
      <c r="L2201" s="103">
        <v>4.0399999999999998E-2</v>
      </c>
      <c r="O2201" s="100"/>
    </row>
    <row r="2202" spans="2:15" x14ac:dyDescent="0.2">
      <c r="B2202" s="1">
        <v>2187</v>
      </c>
      <c r="C2202" s="101">
        <f t="shared" ca="1" si="136"/>
        <v>-1.2553405885435238</v>
      </c>
      <c r="D2202" s="101">
        <f t="shared" ca="1" si="137"/>
        <v>0.58710852068424479</v>
      </c>
      <c r="E2202" s="101">
        <f t="shared" ca="1" si="138"/>
        <v>0</v>
      </c>
      <c r="F2202" s="21">
        <f t="shared" ca="1" si="139"/>
        <v>0</v>
      </c>
      <c r="H2202" s="21">
        <v>2187</v>
      </c>
      <c r="I2202" s="102">
        <v>0.66760431288783861</v>
      </c>
      <c r="J2202" s="103">
        <v>1.1350742961203685E-3</v>
      </c>
      <c r="K2202" s="103"/>
      <c r="L2202" s="103">
        <v>3.6400000000000002E-2</v>
      </c>
      <c r="O2202" s="100"/>
    </row>
    <row r="2203" spans="2:15" x14ac:dyDescent="0.2">
      <c r="B2203" s="1">
        <v>2188</v>
      </c>
      <c r="C2203" s="101">
        <f t="shared" ca="1" si="136"/>
        <v>-1.0808109850951859</v>
      </c>
      <c r="D2203" s="101">
        <f t="shared" ca="1" si="137"/>
        <v>0.59730358851141296</v>
      </c>
      <c r="E2203" s="101">
        <f t="shared" ca="1" si="138"/>
        <v>0</v>
      </c>
      <c r="F2203" s="21">
        <f t="shared" ca="1" si="139"/>
        <v>0</v>
      </c>
      <c r="H2203" s="21">
        <v>2188</v>
      </c>
      <c r="I2203" s="102">
        <v>0.66767007612649487</v>
      </c>
      <c r="J2203" s="103">
        <v>1.3590836907268181E-3</v>
      </c>
      <c r="K2203" s="103"/>
      <c r="L2203" s="103">
        <v>4.2799999999999998E-2</v>
      </c>
      <c r="O2203" s="100"/>
    </row>
    <row r="2204" spans="2:15" x14ac:dyDescent="0.2">
      <c r="B2204" s="1">
        <v>2189</v>
      </c>
      <c r="C2204" s="101">
        <f t="shared" ca="1" si="136"/>
        <v>-1.9387028734684673</v>
      </c>
      <c r="D2204" s="101">
        <f t="shared" ca="1" si="137"/>
        <v>0.54883723073699686</v>
      </c>
      <c r="E2204" s="101">
        <f t="shared" ca="1" si="138"/>
        <v>0</v>
      </c>
      <c r="F2204" s="21">
        <f t="shared" ca="1" si="139"/>
        <v>0</v>
      </c>
      <c r="H2204" s="21">
        <v>2189</v>
      </c>
      <c r="I2204" s="102">
        <v>0.6677132309557624</v>
      </c>
      <c r="J2204" s="103">
        <v>1.2498096226486962E-3</v>
      </c>
      <c r="K2204" s="103"/>
      <c r="L2204" s="103">
        <v>4.1000000000000002E-2</v>
      </c>
      <c r="O2204" s="100"/>
    </row>
    <row r="2205" spans="2:15" x14ac:dyDescent="0.2">
      <c r="B2205" s="1">
        <v>2190</v>
      </c>
      <c r="C2205" s="101">
        <f t="shared" ca="1" si="136"/>
        <v>0.41812126195731608</v>
      </c>
      <c r="D2205" s="101">
        <f t="shared" ca="1" si="137"/>
        <v>0.6924819492737363</v>
      </c>
      <c r="E2205" s="101">
        <f t="shared" ca="1" si="138"/>
        <v>0</v>
      </c>
      <c r="F2205" s="21">
        <f t="shared" ca="1" si="139"/>
        <v>0</v>
      </c>
      <c r="H2205" s="21">
        <v>2190</v>
      </c>
      <c r="I2205" s="102">
        <v>0.667876801524804</v>
      </c>
      <c r="J2205" s="103">
        <v>1.5567472408775233E-3</v>
      </c>
      <c r="K2205" s="103"/>
      <c r="L2205" s="103">
        <v>4.5199999999999997E-2</v>
      </c>
      <c r="O2205" s="100"/>
    </row>
    <row r="2206" spans="2:15" x14ac:dyDescent="0.2">
      <c r="B2206" s="1">
        <v>2191</v>
      </c>
      <c r="C2206" s="101">
        <f t="shared" ca="1" si="136"/>
        <v>-1.4640320524516328</v>
      </c>
      <c r="D2206" s="101">
        <f t="shared" ca="1" si="137"/>
        <v>0.5751460873371399</v>
      </c>
      <c r="E2206" s="101">
        <f t="shared" ca="1" si="138"/>
        <v>0</v>
      </c>
      <c r="F2206" s="21">
        <f t="shared" ca="1" si="139"/>
        <v>0</v>
      </c>
      <c r="H2206" s="21">
        <v>2191</v>
      </c>
      <c r="I2206" s="102">
        <v>0.66776852601354297</v>
      </c>
      <c r="J2206" s="103">
        <v>1.3642176042706299E-3</v>
      </c>
      <c r="K2206" s="103"/>
      <c r="L2206" s="103">
        <v>4.1599999999999998E-2</v>
      </c>
      <c r="O2206" s="100"/>
    </row>
    <row r="2207" spans="2:15" x14ac:dyDescent="0.2">
      <c r="B2207" s="1">
        <v>2192</v>
      </c>
      <c r="C2207" s="101">
        <f t="shared" ca="1" si="136"/>
        <v>-2.4734805993921909</v>
      </c>
      <c r="D2207" s="101">
        <f t="shared" ca="1" si="137"/>
        <v>0.52063578620096929</v>
      </c>
      <c r="E2207" s="101">
        <f t="shared" ca="1" si="138"/>
        <v>0</v>
      </c>
      <c r="F2207" s="21">
        <f t="shared" ca="1" si="139"/>
        <v>0</v>
      </c>
      <c r="H2207" s="21">
        <v>2192</v>
      </c>
      <c r="I2207" s="102">
        <v>0.66770421284804882</v>
      </c>
      <c r="J2207" s="103">
        <v>1.309449630520136E-3</v>
      </c>
      <c r="K2207" s="103"/>
      <c r="L2207" s="103">
        <v>3.6999999999999998E-2</v>
      </c>
      <c r="O2207" s="100"/>
    </row>
    <row r="2208" spans="2:15" x14ac:dyDescent="0.2">
      <c r="B2208" s="1">
        <v>2193</v>
      </c>
      <c r="C2208" s="101">
        <f t="shared" ca="1" si="136"/>
        <v>-0.96582647321683379</v>
      </c>
      <c r="D2208" s="101">
        <f t="shared" ca="1" si="137"/>
        <v>0.60411690607028279</v>
      </c>
      <c r="E2208" s="101">
        <f t="shared" ca="1" si="138"/>
        <v>0</v>
      </c>
      <c r="F2208" s="21">
        <f t="shared" ca="1" si="139"/>
        <v>0</v>
      </c>
      <c r="H2208" s="21">
        <v>2193</v>
      </c>
      <c r="I2208" s="102">
        <v>0.66773432272173427</v>
      </c>
      <c r="J2208" s="103">
        <v>1.3462164020426701E-3</v>
      </c>
      <c r="K2208" s="103"/>
      <c r="L2208" s="103">
        <v>3.9600000000000003E-2</v>
      </c>
      <c r="O2208" s="100"/>
    </row>
    <row r="2209" spans="2:15" x14ac:dyDescent="0.2">
      <c r="B2209" s="1">
        <v>2194</v>
      </c>
      <c r="C2209" s="101">
        <f t="shared" ca="1" si="136"/>
        <v>-0.26754347945667278</v>
      </c>
      <c r="D2209" s="101">
        <f t="shared" ca="1" si="137"/>
        <v>0.6471947750606466</v>
      </c>
      <c r="E2209" s="101">
        <f t="shared" ca="1" si="138"/>
        <v>0</v>
      </c>
      <c r="F2209" s="21">
        <f t="shared" ca="1" si="139"/>
        <v>0</v>
      </c>
      <c r="H2209" s="21">
        <v>2194</v>
      </c>
      <c r="I2209" s="102">
        <v>0.66774212506405572</v>
      </c>
      <c r="J2209" s="103">
        <v>1.3701441605669103E-3</v>
      </c>
      <c r="K2209" s="103"/>
      <c r="L2209" s="103">
        <v>4.1200000000000001E-2</v>
      </c>
      <c r="O2209" s="100"/>
    </row>
    <row r="2210" spans="2:15" x14ac:dyDescent="0.2">
      <c r="B2210" s="1">
        <v>2195</v>
      </c>
      <c r="C2210" s="101">
        <f t="shared" ca="1" si="136"/>
        <v>0.44282136145151241</v>
      </c>
      <c r="D2210" s="101">
        <f t="shared" ca="1" si="137"/>
        <v>0.69417120436489255</v>
      </c>
      <c r="E2210" s="101">
        <f t="shared" ca="1" si="138"/>
        <v>0</v>
      </c>
      <c r="F2210" s="21">
        <f t="shared" ca="1" si="139"/>
        <v>0</v>
      </c>
      <c r="H2210" s="21">
        <v>2195</v>
      </c>
      <c r="I2210" s="102">
        <v>0.66793562271239615</v>
      </c>
      <c r="J2210" s="103">
        <v>1.5477831943006804E-3</v>
      </c>
      <c r="K2210" s="103"/>
      <c r="L2210" s="103">
        <v>4.5999999999999999E-2</v>
      </c>
      <c r="O2210" s="100"/>
    </row>
    <row r="2211" spans="2:15" x14ac:dyDescent="0.2">
      <c r="B2211" s="1">
        <v>2196</v>
      </c>
      <c r="C2211" s="101">
        <f t="shared" ca="1" si="136"/>
        <v>0.25792544352805868</v>
      </c>
      <c r="D2211" s="101">
        <f t="shared" ca="1" si="137"/>
        <v>0.68162540252201853</v>
      </c>
      <c r="E2211" s="101">
        <f t="shared" ca="1" si="138"/>
        <v>0</v>
      </c>
      <c r="F2211" s="21">
        <f t="shared" ca="1" si="139"/>
        <v>0</v>
      </c>
      <c r="H2211" s="21">
        <v>2196</v>
      </c>
      <c r="I2211" s="102">
        <v>0.66776233915294958</v>
      </c>
      <c r="J2211" s="103">
        <v>1.3986779034922028E-3</v>
      </c>
      <c r="K2211" s="103"/>
      <c r="L2211" s="103">
        <v>4.1599999999999998E-2</v>
      </c>
      <c r="O2211" s="100"/>
    </row>
    <row r="2212" spans="2:15" x14ac:dyDescent="0.2">
      <c r="B2212" s="1">
        <v>2197</v>
      </c>
      <c r="C2212" s="101">
        <f t="shared" ca="1" si="136"/>
        <v>0.56956886699059761</v>
      </c>
      <c r="D2212" s="101">
        <f t="shared" ca="1" si="137"/>
        <v>0.70290458998980598</v>
      </c>
      <c r="E2212" s="101">
        <f t="shared" ca="1" si="138"/>
        <v>0</v>
      </c>
      <c r="F2212" s="21">
        <f t="shared" ca="1" si="139"/>
        <v>0</v>
      </c>
      <c r="H2212" s="21">
        <v>2197</v>
      </c>
      <c r="I2212" s="102">
        <v>0.66772559650739027</v>
      </c>
      <c r="J2212" s="103">
        <v>1.2796941010519141E-3</v>
      </c>
      <c r="K2212" s="103"/>
      <c r="L2212" s="103">
        <v>3.9800000000000002E-2</v>
      </c>
      <c r="O2212" s="100"/>
    </row>
    <row r="2213" spans="2:15" x14ac:dyDescent="0.2">
      <c r="B2213" s="1">
        <v>2198</v>
      </c>
      <c r="C2213" s="101">
        <f t="shared" ca="1" si="136"/>
        <v>-0.87044755111460881</v>
      </c>
      <c r="D2213" s="101">
        <f t="shared" ca="1" si="137"/>
        <v>0.60982744227268393</v>
      </c>
      <c r="E2213" s="101">
        <f t="shared" ca="1" si="138"/>
        <v>0</v>
      </c>
      <c r="F2213" s="21">
        <f t="shared" ca="1" si="139"/>
        <v>0</v>
      </c>
      <c r="H2213" s="21">
        <v>2198</v>
      </c>
      <c r="I2213" s="102">
        <v>0.66776822217274789</v>
      </c>
      <c r="J2213" s="103">
        <v>1.3130161703578096E-3</v>
      </c>
      <c r="K2213" s="103"/>
      <c r="L2213" s="103">
        <v>4.0399999999999998E-2</v>
      </c>
      <c r="O2213" s="100"/>
    </row>
    <row r="2214" spans="2:15" x14ac:dyDescent="0.2">
      <c r="B2214" s="1">
        <v>2199</v>
      </c>
      <c r="C2214" s="101">
        <f t="shared" ca="1" si="136"/>
        <v>-2.734242150567725</v>
      </c>
      <c r="D2214" s="101">
        <f t="shared" ca="1" si="137"/>
        <v>0.50741482554013739</v>
      </c>
      <c r="E2214" s="101">
        <f t="shared" ca="1" si="138"/>
        <v>0</v>
      </c>
      <c r="F2214" s="21">
        <f t="shared" ca="1" si="139"/>
        <v>0</v>
      </c>
      <c r="H2214" s="21">
        <v>2199</v>
      </c>
      <c r="I2214" s="102">
        <v>0.66778625020756288</v>
      </c>
      <c r="J2214" s="103">
        <v>1.4505675388498942E-3</v>
      </c>
      <c r="K2214" s="103"/>
      <c r="L2214" s="103">
        <v>4.2200000000000001E-2</v>
      </c>
      <c r="O2214" s="100"/>
    </row>
    <row r="2215" spans="2:15" x14ac:dyDescent="0.2">
      <c r="B2215" s="1">
        <v>2200</v>
      </c>
      <c r="C2215" s="101">
        <f t="shared" ca="1" si="136"/>
        <v>-1.8137920841660509</v>
      </c>
      <c r="D2215" s="101">
        <f t="shared" ca="1" si="137"/>
        <v>0.55564148784196643</v>
      </c>
      <c r="E2215" s="101">
        <f t="shared" ca="1" si="138"/>
        <v>0</v>
      </c>
      <c r="F2215" s="21">
        <f t="shared" ca="1" si="139"/>
        <v>0</v>
      </c>
      <c r="H2215" s="21">
        <v>2200</v>
      </c>
      <c r="I2215" s="102">
        <v>0.6675893221724033</v>
      </c>
      <c r="J2215" s="103">
        <v>1.1106472018436767E-3</v>
      </c>
      <c r="K2215" s="103"/>
      <c r="L2215" s="103">
        <v>3.7400000000000003E-2</v>
      </c>
      <c r="O2215" s="100"/>
    </row>
    <row r="2216" spans="2:15" x14ac:dyDescent="0.2">
      <c r="B2216" s="1">
        <v>2201</v>
      </c>
      <c r="C2216" s="101">
        <f t="shared" ca="1" si="136"/>
        <v>-0.86239839689348108</v>
      </c>
      <c r="D2216" s="101">
        <f t="shared" ca="1" si="137"/>
        <v>0.61031182487348723</v>
      </c>
      <c r="E2216" s="101">
        <f t="shared" ca="1" si="138"/>
        <v>0</v>
      </c>
      <c r="F2216" s="21">
        <f t="shared" ca="1" si="139"/>
        <v>0</v>
      </c>
      <c r="H2216" s="21">
        <v>2201</v>
      </c>
      <c r="I2216" s="102">
        <v>0.66757401429687657</v>
      </c>
      <c r="J2216" s="103">
        <v>1.2111590610621975E-3</v>
      </c>
      <c r="K2216" s="103"/>
      <c r="L2216" s="103">
        <v>3.78E-2</v>
      </c>
      <c r="O2216" s="100"/>
    </row>
    <row r="2217" spans="2:15" x14ac:dyDescent="0.2">
      <c r="B2217" s="1">
        <v>2202</v>
      </c>
      <c r="C2217" s="101">
        <f t="shared" ca="1" si="136"/>
        <v>9.2750164574048999E-2</v>
      </c>
      <c r="D2217" s="101">
        <f t="shared" ca="1" si="137"/>
        <v>0.67060959048484214</v>
      </c>
      <c r="E2217" s="101">
        <f t="shared" ca="1" si="138"/>
        <v>0</v>
      </c>
      <c r="F2217" s="21">
        <f t="shared" ca="1" si="139"/>
        <v>0</v>
      </c>
      <c r="H2217" s="21">
        <v>2202</v>
      </c>
      <c r="I2217" s="102">
        <v>0.66775214365451951</v>
      </c>
      <c r="J2217" s="103">
        <v>1.300683845747289E-3</v>
      </c>
      <c r="K2217" s="103"/>
      <c r="L2217" s="103">
        <v>4.2799999999999998E-2</v>
      </c>
      <c r="O2217" s="100"/>
    </row>
    <row r="2218" spans="2:15" x14ac:dyDescent="0.2">
      <c r="B2218" s="1">
        <v>2203</v>
      </c>
      <c r="C2218" s="101">
        <f t="shared" ca="1" si="136"/>
        <v>0.18537629530009492</v>
      </c>
      <c r="D2218" s="101">
        <f t="shared" ca="1" si="137"/>
        <v>0.67676486911891942</v>
      </c>
      <c r="E2218" s="101">
        <f t="shared" ca="1" si="138"/>
        <v>0</v>
      </c>
      <c r="F2218" s="21">
        <f t="shared" ca="1" si="139"/>
        <v>0</v>
      </c>
      <c r="H2218" s="21">
        <v>2203</v>
      </c>
      <c r="I2218" s="102">
        <v>0.66786107849833309</v>
      </c>
      <c r="J2218" s="103">
        <v>1.4871727022217653E-3</v>
      </c>
      <c r="K2218" s="103"/>
      <c r="L2218" s="103">
        <v>4.5999999999999999E-2</v>
      </c>
      <c r="O2218" s="100"/>
    </row>
    <row r="2219" spans="2:15" x14ac:dyDescent="0.2">
      <c r="B2219" s="1">
        <v>2204</v>
      </c>
      <c r="C2219" s="101">
        <f t="shared" ca="1" si="136"/>
        <v>1.2161172883134235</v>
      </c>
      <c r="D2219" s="101">
        <f t="shared" ca="1" si="137"/>
        <v>0.74919369709462336</v>
      </c>
      <c r="E2219" s="101">
        <f t="shared" ca="1" si="138"/>
        <v>0</v>
      </c>
      <c r="F2219" s="21">
        <f t="shared" ca="1" si="139"/>
        <v>0</v>
      </c>
      <c r="H2219" s="21">
        <v>2204</v>
      </c>
      <c r="I2219" s="102">
        <v>0.66779898797642712</v>
      </c>
      <c r="J2219" s="103">
        <v>1.347229218982245E-3</v>
      </c>
      <c r="K2219" s="103"/>
      <c r="L2219" s="103">
        <v>4.1599999999999998E-2</v>
      </c>
      <c r="O2219" s="100"/>
    </row>
    <row r="2220" spans="2:15" x14ac:dyDescent="0.2">
      <c r="B2220" s="1">
        <v>2205</v>
      </c>
      <c r="C2220" s="101">
        <f t="shared" ca="1" si="136"/>
        <v>-0.30294002061729897</v>
      </c>
      <c r="D2220" s="101">
        <f t="shared" ca="1" si="137"/>
        <v>0.6449389949302754</v>
      </c>
      <c r="E2220" s="101">
        <f t="shared" ca="1" si="138"/>
        <v>0</v>
      </c>
      <c r="F2220" s="21">
        <f t="shared" ca="1" si="139"/>
        <v>0</v>
      </c>
      <c r="H2220" s="21">
        <v>2205</v>
      </c>
      <c r="I2220" s="102">
        <v>0.66785545779401712</v>
      </c>
      <c r="J2220" s="103">
        <v>1.54821243547672E-3</v>
      </c>
      <c r="K2220" s="103"/>
      <c r="L2220" s="103">
        <v>4.6800000000000001E-2</v>
      </c>
      <c r="O2220" s="100"/>
    </row>
    <row r="2221" spans="2:15" x14ac:dyDescent="0.2">
      <c r="B2221" s="1">
        <v>2206</v>
      </c>
      <c r="C2221" s="101">
        <f t="shared" ca="1" si="136"/>
        <v>0.1844648817351392</v>
      </c>
      <c r="D2221" s="101">
        <f t="shared" ca="1" si="137"/>
        <v>0.67670402863313084</v>
      </c>
      <c r="E2221" s="101">
        <f t="shared" ca="1" si="138"/>
        <v>0</v>
      </c>
      <c r="F2221" s="21">
        <f t="shared" ca="1" si="139"/>
        <v>0</v>
      </c>
      <c r="H2221" s="21">
        <v>2206</v>
      </c>
      <c r="I2221" s="102">
        <v>0.66785736319772993</v>
      </c>
      <c r="J2221" s="103">
        <v>1.5527830276629133E-3</v>
      </c>
      <c r="K2221" s="103"/>
      <c r="L2221" s="103">
        <v>4.6399999999999997E-2</v>
      </c>
      <c r="O2221" s="100"/>
    </row>
    <row r="2222" spans="2:15" x14ac:dyDescent="0.2">
      <c r="B2222" s="1">
        <v>2207</v>
      </c>
      <c r="C2222" s="101">
        <f t="shared" ca="1" si="136"/>
        <v>0.42937476031987315</v>
      </c>
      <c r="D2222" s="101">
        <f t="shared" ca="1" si="137"/>
        <v>0.69325107259249219</v>
      </c>
      <c r="E2222" s="101">
        <f t="shared" ca="1" si="138"/>
        <v>0</v>
      </c>
      <c r="F2222" s="21">
        <f t="shared" ca="1" si="139"/>
        <v>0</v>
      </c>
      <c r="H2222" s="21">
        <v>2207</v>
      </c>
      <c r="I2222" s="102">
        <v>0.66775255172788761</v>
      </c>
      <c r="J2222" s="103">
        <v>1.3137095233470781E-3</v>
      </c>
      <c r="K2222" s="103"/>
      <c r="L2222" s="103">
        <v>3.9800000000000002E-2</v>
      </c>
      <c r="O2222" s="100"/>
    </row>
    <row r="2223" spans="2:15" x14ac:dyDescent="0.2">
      <c r="B2223" s="1">
        <v>2208</v>
      </c>
      <c r="C2223" s="101">
        <f t="shared" ca="1" si="136"/>
        <v>-1.1180118157732712</v>
      </c>
      <c r="D2223" s="101">
        <f t="shared" ca="1" si="137"/>
        <v>0.59511577613132094</v>
      </c>
      <c r="E2223" s="101">
        <f t="shared" ca="1" si="138"/>
        <v>0</v>
      </c>
      <c r="F2223" s="21">
        <f t="shared" ca="1" si="139"/>
        <v>0</v>
      </c>
      <c r="H2223" s="21">
        <v>2208</v>
      </c>
      <c r="I2223" s="102">
        <v>0.66779041054643662</v>
      </c>
      <c r="J2223" s="103">
        <v>1.3918182513612714E-3</v>
      </c>
      <c r="K2223" s="103"/>
      <c r="L2223" s="103">
        <v>4.3200000000000002E-2</v>
      </c>
      <c r="O2223" s="100"/>
    </row>
    <row r="2224" spans="2:15" x14ac:dyDescent="0.2">
      <c r="B2224" s="1">
        <v>2209</v>
      </c>
      <c r="C2224" s="101">
        <f t="shared" ca="1" si="136"/>
        <v>1.3517631889883543</v>
      </c>
      <c r="D2224" s="101">
        <f t="shared" ca="1" si="137"/>
        <v>0.75928549215185093</v>
      </c>
      <c r="E2224" s="101">
        <f t="shared" ca="1" si="138"/>
        <v>0</v>
      </c>
      <c r="F2224" s="21">
        <f t="shared" ca="1" si="139"/>
        <v>0</v>
      </c>
      <c r="H2224" s="21">
        <v>2209</v>
      </c>
      <c r="I2224" s="102">
        <v>0.66764331768563356</v>
      </c>
      <c r="J2224" s="103">
        <v>1.2123678311075673E-3</v>
      </c>
      <c r="K2224" s="103"/>
      <c r="L2224" s="103">
        <v>4.1200000000000001E-2</v>
      </c>
      <c r="O2224" s="100"/>
    </row>
    <row r="2225" spans="2:15" x14ac:dyDescent="0.2">
      <c r="B2225" s="1">
        <v>2210</v>
      </c>
      <c r="C2225" s="101">
        <f t="shared" ca="1" si="136"/>
        <v>9.1776061697652525E-2</v>
      </c>
      <c r="D2225" s="101">
        <f t="shared" ca="1" si="137"/>
        <v>0.67054515685146654</v>
      </c>
      <c r="E2225" s="101">
        <f t="shared" ca="1" si="138"/>
        <v>0</v>
      </c>
      <c r="F2225" s="21">
        <f t="shared" ca="1" si="139"/>
        <v>0</v>
      </c>
      <c r="H2225" s="21">
        <v>2210</v>
      </c>
      <c r="I2225" s="102">
        <v>0.66772871994977623</v>
      </c>
      <c r="J2225" s="103">
        <v>1.3998482542704593E-3</v>
      </c>
      <c r="K2225" s="103"/>
      <c r="L2225" s="103">
        <v>4.2200000000000001E-2</v>
      </c>
      <c r="O2225" s="100"/>
    </row>
    <row r="2226" spans="2:15" x14ac:dyDescent="0.2">
      <c r="B2226" s="1">
        <v>2211</v>
      </c>
      <c r="C2226" s="101">
        <f t="shared" ca="1" si="136"/>
        <v>-0.62219445648059157</v>
      </c>
      <c r="D2226" s="101">
        <f t="shared" ca="1" si="137"/>
        <v>0.62494525256828226</v>
      </c>
      <c r="E2226" s="101">
        <f t="shared" ca="1" si="138"/>
        <v>0</v>
      </c>
      <c r="F2226" s="21">
        <f t="shared" ca="1" si="139"/>
        <v>0</v>
      </c>
      <c r="H2226" s="21">
        <v>2211</v>
      </c>
      <c r="I2226" s="102">
        <v>0.66774207167310962</v>
      </c>
      <c r="J2226" s="103">
        <v>1.27485437376354E-3</v>
      </c>
      <c r="K2226" s="103"/>
      <c r="L2226" s="103">
        <v>0.04</v>
      </c>
      <c r="O2226" s="100"/>
    </row>
    <row r="2227" spans="2:15" x14ac:dyDescent="0.2">
      <c r="B2227" s="1">
        <v>2212</v>
      </c>
      <c r="C2227" s="101">
        <f t="shared" ca="1" si="136"/>
        <v>-0.76268524386380143</v>
      </c>
      <c r="D2227" s="101">
        <f t="shared" ca="1" si="137"/>
        <v>0.61634437181701862</v>
      </c>
      <c r="E2227" s="101">
        <f t="shared" ca="1" si="138"/>
        <v>0</v>
      </c>
      <c r="F2227" s="21">
        <f t="shared" ca="1" si="139"/>
        <v>0</v>
      </c>
      <c r="H2227" s="21">
        <v>2212</v>
      </c>
      <c r="I2227" s="102">
        <v>0.66771094866488279</v>
      </c>
      <c r="J2227" s="103">
        <v>1.332846457464683E-3</v>
      </c>
      <c r="K2227" s="103"/>
      <c r="L2227" s="103">
        <v>4.0800000000000003E-2</v>
      </c>
      <c r="O2227" s="100"/>
    </row>
    <row r="2228" spans="2:15" x14ac:dyDescent="0.2">
      <c r="B2228" s="1">
        <v>2213</v>
      </c>
      <c r="C2228" s="101">
        <f t="shared" ca="1" si="136"/>
        <v>-1.2466320717454766</v>
      </c>
      <c r="D2228" s="101">
        <f t="shared" ca="1" si="137"/>
        <v>0.58761307511579997</v>
      </c>
      <c r="E2228" s="101">
        <f t="shared" ca="1" si="138"/>
        <v>0</v>
      </c>
      <c r="F2228" s="21">
        <f t="shared" ca="1" si="139"/>
        <v>0</v>
      </c>
      <c r="H2228" s="21">
        <v>2213</v>
      </c>
      <c r="I2228" s="102">
        <v>0.66762870056908574</v>
      </c>
      <c r="J2228" s="103">
        <v>1.2188785860930871E-3</v>
      </c>
      <c r="K2228" s="103"/>
      <c r="L2228" s="103">
        <v>3.9399999999999998E-2</v>
      </c>
      <c r="O2228" s="100"/>
    </row>
    <row r="2229" spans="2:15" x14ac:dyDescent="0.2">
      <c r="B2229" s="1">
        <v>2214</v>
      </c>
      <c r="C2229" s="101">
        <f t="shared" ca="1" si="136"/>
        <v>-1.7367540607871381</v>
      </c>
      <c r="D2229" s="101">
        <f t="shared" ca="1" si="137"/>
        <v>0.55987996525507511</v>
      </c>
      <c r="E2229" s="101">
        <f t="shared" ca="1" si="138"/>
        <v>0</v>
      </c>
      <c r="F2229" s="21">
        <f t="shared" ca="1" si="139"/>
        <v>0</v>
      </c>
      <c r="H2229" s="21">
        <v>2214</v>
      </c>
      <c r="I2229" s="102">
        <v>0.66783400159160822</v>
      </c>
      <c r="J2229" s="103">
        <v>1.4403671750640153E-3</v>
      </c>
      <c r="K2229" s="103"/>
      <c r="L2229" s="103">
        <v>4.36E-2</v>
      </c>
      <c r="O2229" s="100"/>
    </row>
    <row r="2230" spans="2:15" x14ac:dyDescent="0.2">
      <c r="B2230" s="1">
        <v>2215</v>
      </c>
      <c r="C2230" s="101">
        <f t="shared" ca="1" si="136"/>
        <v>0.30827902857747358</v>
      </c>
      <c r="D2230" s="101">
        <f t="shared" ca="1" si="137"/>
        <v>0.6850194199589178</v>
      </c>
      <c r="E2230" s="101">
        <f t="shared" ca="1" si="138"/>
        <v>0</v>
      </c>
      <c r="F2230" s="21">
        <f t="shared" ca="1" si="139"/>
        <v>0</v>
      </c>
      <c r="H2230" s="21">
        <v>2215</v>
      </c>
      <c r="I2230" s="102">
        <v>0.66772292923354648</v>
      </c>
      <c r="J2230" s="103">
        <v>1.2483198860895074E-3</v>
      </c>
      <c r="K2230" s="103"/>
      <c r="L2230" s="103">
        <v>3.9800000000000002E-2</v>
      </c>
      <c r="O2230" s="100"/>
    </row>
    <row r="2231" spans="2:15" x14ac:dyDescent="0.2">
      <c r="B2231" s="1">
        <v>2216</v>
      </c>
      <c r="C2231" s="101">
        <f t="shared" ca="1" si="136"/>
        <v>0.97174208109674642</v>
      </c>
      <c r="D2231" s="101">
        <f t="shared" ca="1" si="137"/>
        <v>0.73134994290325928</v>
      </c>
      <c r="E2231" s="101">
        <f t="shared" ca="1" si="138"/>
        <v>0</v>
      </c>
      <c r="F2231" s="21">
        <f t="shared" ca="1" si="139"/>
        <v>0</v>
      </c>
      <c r="H2231" s="21">
        <v>2216</v>
      </c>
      <c r="I2231" s="102">
        <v>0.66778708984528512</v>
      </c>
      <c r="J2231" s="103">
        <v>1.278183107822703E-3</v>
      </c>
      <c r="K2231" s="103"/>
      <c r="L2231" s="103">
        <v>4.4600000000000001E-2</v>
      </c>
      <c r="O2231" s="100"/>
    </row>
    <row r="2232" spans="2:15" x14ac:dyDescent="0.2">
      <c r="B2232" s="1">
        <v>2217</v>
      </c>
      <c r="C2232" s="101">
        <f t="shared" ca="1" si="136"/>
        <v>-2.3251189883841366</v>
      </c>
      <c r="D2232" s="101">
        <f t="shared" ca="1" si="137"/>
        <v>0.52831110093154499</v>
      </c>
      <c r="E2232" s="101">
        <f t="shared" ca="1" si="138"/>
        <v>0</v>
      </c>
      <c r="F2232" s="21">
        <f t="shared" ca="1" si="139"/>
        <v>0</v>
      </c>
      <c r="H2232" s="21">
        <v>2217</v>
      </c>
      <c r="I2232" s="102">
        <v>0.66766103711272007</v>
      </c>
      <c r="J2232" s="103">
        <v>1.3269266886506649E-3</v>
      </c>
      <c r="K2232" s="103"/>
      <c r="L2232" s="103">
        <v>0.04</v>
      </c>
      <c r="O2232" s="100"/>
    </row>
    <row r="2233" spans="2:15" x14ac:dyDescent="0.2">
      <c r="B2233" s="1">
        <v>2218</v>
      </c>
      <c r="C2233" s="101">
        <f t="shared" ca="1" si="136"/>
        <v>1.608844011270492</v>
      </c>
      <c r="D2233" s="101">
        <f t="shared" ca="1" si="137"/>
        <v>0.77878626894659175</v>
      </c>
      <c r="E2233" s="101">
        <f t="shared" ca="1" si="138"/>
        <v>0</v>
      </c>
      <c r="F2233" s="21">
        <f t="shared" ca="1" si="139"/>
        <v>0</v>
      </c>
      <c r="H2233" s="21">
        <v>2218</v>
      </c>
      <c r="I2233" s="102">
        <v>0.66757814590566511</v>
      </c>
      <c r="J2233" s="103">
        <v>1.1672875816575374E-3</v>
      </c>
      <c r="K2233" s="103"/>
      <c r="L2233" s="103">
        <v>3.7600000000000001E-2</v>
      </c>
      <c r="O2233" s="100"/>
    </row>
    <row r="2234" spans="2:15" x14ac:dyDescent="0.2">
      <c r="B2234" s="1">
        <v>2219</v>
      </c>
      <c r="C2234" s="101">
        <f t="shared" ca="1" si="136"/>
        <v>0.31364063268843717</v>
      </c>
      <c r="D2234" s="101">
        <f t="shared" ca="1" si="137"/>
        <v>0.6853818059301412</v>
      </c>
      <c r="E2234" s="101">
        <f t="shared" ca="1" si="138"/>
        <v>0</v>
      </c>
      <c r="F2234" s="21">
        <f t="shared" ca="1" si="139"/>
        <v>0</v>
      </c>
      <c r="H2234" s="21">
        <v>2219</v>
      </c>
      <c r="I2234" s="102">
        <v>0.66772547400207027</v>
      </c>
      <c r="J2234" s="103">
        <v>1.3126096863665363E-3</v>
      </c>
      <c r="K2234" s="103"/>
      <c r="L2234" s="103">
        <v>4.1000000000000002E-2</v>
      </c>
      <c r="O2234" s="100"/>
    </row>
    <row r="2235" spans="2:15" x14ac:dyDescent="0.2">
      <c r="B2235" s="1">
        <v>2220</v>
      </c>
      <c r="C2235" s="101">
        <f t="shared" ca="1" si="136"/>
        <v>0.57939259104470886</v>
      </c>
      <c r="D2235" s="101">
        <f t="shared" ca="1" si="137"/>
        <v>0.70358605234962324</v>
      </c>
      <c r="E2235" s="101">
        <f t="shared" ca="1" si="138"/>
        <v>0</v>
      </c>
      <c r="F2235" s="21">
        <f t="shared" ca="1" si="139"/>
        <v>0</v>
      </c>
      <c r="H2235" s="21">
        <v>2220</v>
      </c>
      <c r="I2235" s="102">
        <v>0.66784102834793679</v>
      </c>
      <c r="J2235" s="103">
        <v>1.450477447920504E-3</v>
      </c>
      <c r="K2235" s="103"/>
      <c r="L2235" s="103">
        <v>4.2000000000000003E-2</v>
      </c>
      <c r="O2235" s="100"/>
    </row>
    <row r="2236" spans="2:15" x14ac:dyDescent="0.2">
      <c r="B2236" s="1">
        <v>2221</v>
      </c>
      <c r="C2236" s="101">
        <f t="shared" ca="1" si="136"/>
        <v>0.31524922368478242</v>
      </c>
      <c r="D2236" s="101">
        <f t="shared" ca="1" si="137"/>
        <v>0.68549056652184859</v>
      </c>
      <c r="E2236" s="101">
        <f t="shared" ca="1" si="138"/>
        <v>0</v>
      </c>
      <c r="F2236" s="21">
        <f t="shared" ca="1" si="139"/>
        <v>0</v>
      </c>
      <c r="H2236" s="21">
        <v>2221</v>
      </c>
      <c r="I2236" s="102">
        <v>0.66782169513655598</v>
      </c>
      <c r="J2236" s="103">
        <v>1.4028223098930086E-3</v>
      </c>
      <c r="K2236" s="103"/>
      <c r="L2236" s="103">
        <v>4.2599999999999999E-2</v>
      </c>
      <c r="O2236" s="100"/>
    </row>
    <row r="2237" spans="2:15" x14ac:dyDescent="0.2">
      <c r="B2237" s="1">
        <v>2222</v>
      </c>
      <c r="C2237" s="101">
        <f t="shared" ca="1" si="136"/>
        <v>-1.1460127723070319</v>
      </c>
      <c r="D2237" s="101">
        <f t="shared" ca="1" si="137"/>
        <v>0.59347430368318987</v>
      </c>
      <c r="E2237" s="101">
        <f t="shared" ca="1" si="138"/>
        <v>0</v>
      </c>
      <c r="F2237" s="21">
        <f t="shared" ca="1" si="139"/>
        <v>0</v>
      </c>
      <c r="H2237" s="21">
        <v>2222</v>
      </c>
      <c r="I2237" s="102">
        <v>0.66780677877201167</v>
      </c>
      <c r="J2237" s="103">
        <v>1.3917089159717429E-3</v>
      </c>
      <c r="K2237" s="103"/>
      <c r="L2237" s="103">
        <v>4.2200000000000001E-2</v>
      </c>
      <c r="O2237" s="100"/>
    </row>
    <row r="2238" spans="2:15" x14ac:dyDescent="0.2">
      <c r="B2238" s="1">
        <v>2223</v>
      </c>
      <c r="C2238" s="101">
        <f t="shared" ca="1" si="136"/>
        <v>1.2100280487917421</v>
      </c>
      <c r="D2238" s="101">
        <f t="shared" ca="1" si="137"/>
        <v>0.74874382852695132</v>
      </c>
      <c r="E2238" s="101">
        <f t="shared" ca="1" si="138"/>
        <v>0</v>
      </c>
      <c r="F2238" s="21">
        <f t="shared" ca="1" si="139"/>
        <v>0</v>
      </c>
      <c r="H2238" s="21">
        <v>2223</v>
      </c>
      <c r="I2238" s="102">
        <v>0.66777581334414904</v>
      </c>
      <c r="J2238" s="103">
        <v>1.3874245238706777E-3</v>
      </c>
      <c r="K2238" s="103"/>
      <c r="L2238" s="103">
        <v>4.3799999999999999E-2</v>
      </c>
      <c r="O2238" s="100"/>
    </row>
    <row r="2239" spans="2:15" x14ac:dyDescent="0.2">
      <c r="B2239" s="1">
        <v>2224</v>
      </c>
      <c r="C2239" s="101">
        <f t="shared" ca="1" si="136"/>
        <v>0.74452293967530991</v>
      </c>
      <c r="D2239" s="101">
        <f t="shared" ca="1" si="137"/>
        <v>0.71514038488188114</v>
      </c>
      <c r="E2239" s="101">
        <f t="shared" ca="1" si="138"/>
        <v>0</v>
      </c>
      <c r="F2239" s="21">
        <f t="shared" ca="1" si="139"/>
        <v>0</v>
      </c>
      <c r="H2239" s="21">
        <v>2224</v>
      </c>
      <c r="I2239" s="102">
        <v>0.66783490094415776</v>
      </c>
      <c r="J2239" s="103">
        <v>1.3945223662121533E-3</v>
      </c>
      <c r="K2239" s="103"/>
      <c r="L2239" s="103">
        <v>4.6199999999999998E-2</v>
      </c>
      <c r="O2239" s="100"/>
    </row>
    <row r="2240" spans="2:15" x14ac:dyDescent="0.2">
      <c r="B2240" s="1">
        <v>2225</v>
      </c>
      <c r="C2240" s="101">
        <f t="shared" ca="1" si="136"/>
        <v>-0.57534814111609967</v>
      </c>
      <c r="D2240" s="101">
        <f t="shared" ca="1" si="137"/>
        <v>0.62783979640833532</v>
      </c>
      <c r="E2240" s="101">
        <f t="shared" ca="1" si="138"/>
        <v>0</v>
      </c>
      <c r="F2240" s="21">
        <f t="shared" ca="1" si="139"/>
        <v>0</v>
      </c>
      <c r="H2240" s="21">
        <v>2225</v>
      </c>
      <c r="I2240" s="102">
        <v>0.66779186713106631</v>
      </c>
      <c r="J2240" s="103">
        <v>1.5288661220511867E-3</v>
      </c>
      <c r="K2240" s="103"/>
      <c r="L2240" s="103">
        <v>4.3200000000000002E-2</v>
      </c>
      <c r="O2240" s="100"/>
    </row>
    <row r="2241" spans="2:15" x14ac:dyDescent="0.2">
      <c r="B2241" s="1">
        <v>2226</v>
      </c>
      <c r="C2241" s="101">
        <f t="shared" ca="1" si="136"/>
        <v>-0.40912067784482004</v>
      </c>
      <c r="D2241" s="101">
        <f t="shared" ca="1" si="137"/>
        <v>0.63821928425449759</v>
      </c>
      <c r="E2241" s="101">
        <f t="shared" ca="1" si="138"/>
        <v>0</v>
      </c>
      <c r="F2241" s="21">
        <f t="shared" ca="1" si="139"/>
        <v>0</v>
      </c>
      <c r="H2241" s="21">
        <v>2226</v>
      </c>
      <c r="I2241" s="102">
        <v>0.66759929240369298</v>
      </c>
      <c r="J2241" s="103">
        <v>1.2970458313176158E-3</v>
      </c>
      <c r="K2241" s="103"/>
      <c r="L2241" s="103">
        <v>3.7199999999999997E-2</v>
      </c>
      <c r="O2241" s="100"/>
    </row>
    <row r="2242" spans="2:15" x14ac:dyDescent="0.2">
      <c r="B2242" s="1">
        <v>2227</v>
      </c>
      <c r="C2242" s="101">
        <f t="shared" ca="1" si="136"/>
        <v>1.1942641259937188</v>
      </c>
      <c r="D2242" s="101">
        <f t="shared" ca="1" si="137"/>
        <v>0.7475804558998328</v>
      </c>
      <c r="E2242" s="101">
        <f t="shared" ca="1" si="138"/>
        <v>0</v>
      </c>
      <c r="F2242" s="21">
        <f t="shared" ca="1" si="139"/>
        <v>0</v>
      </c>
      <c r="H2242" s="21">
        <v>2227</v>
      </c>
      <c r="I2242" s="102">
        <v>0.66758720542143324</v>
      </c>
      <c r="J2242" s="103">
        <v>1.2356410852559488E-3</v>
      </c>
      <c r="K2242" s="103"/>
      <c r="L2242" s="103">
        <v>3.5999999999999997E-2</v>
      </c>
      <c r="O2242" s="100"/>
    </row>
    <row r="2243" spans="2:15" x14ac:dyDescent="0.2">
      <c r="B2243" s="1">
        <v>2228</v>
      </c>
      <c r="C2243" s="101">
        <f t="shared" ca="1" si="136"/>
        <v>-2.6968709568073568E-2</v>
      </c>
      <c r="D2243" s="101">
        <f t="shared" ca="1" si="137"/>
        <v>0.6627367859872314</v>
      </c>
      <c r="E2243" s="101">
        <f t="shared" ca="1" si="138"/>
        <v>0</v>
      </c>
      <c r="F2243" s="21">
        <f t="shared" ca="1" si="139"/>
        <v>0</v>
      </c>
      <c r="H2243" s="21">
        <v>2228</v>
      </c>
      <c r="I2243" s="102">
        <v>0.6677863235516156</v>
      </c>
      <c r="J2243" s="103">
        <v>1.4818768624762163E-3</v>
      </c>
      <c r="K2243" s="103"/>
      <c r="L2243" s="103">
        <v>4.24E-2</v>
      </c>
      <c r="O2243" s="100"/>
    </row>
    <row r="2244" spans="2:15" x14ac:dyDescent="0.2">
      <c r="B2244" s="1">
        <v>2229</v>
      </c>
      <c r="C2244" s="101">
        <f t="shared" ca="1" si="136"/>
        <v>-4.0594617531081012E-2</v>
      </c>
      <c r="D2244" s="101">
        <f t="shared" ca="1" si="137"/>
        <v>0.66184661466479022</v>
      </c>
      <c r="E2244" s="101">
        <f t="shared" ca="1" si="138"/>
        <v>0</v>
      </c>
      <c r="F2244" s="21">
        <f t="shared" ca="1" si="139"/>
        <v>0</v>
      </c>
      <c r="H2244" s="21">
        <v>2229</v>
      </c>
      <c r="I2244" s="102">
        <v>0.66758543513599444</v>
      </c>
      <c r="J2244" s="103">
        <v>1.1021594754381902E-3</v>
      </c>
      <c r="K2244" s="103"/>
      <c r="L2244" s="103">
        <v>3.4799999999999998E-2</v>
      </c>
      <c r="O2244" s="100"/>
    </row>
    <row r="2245" spans="2:15" x14ac:dyDescent="0.2">
      <c r="B2245" s="1">
        <v>2230</v>
      </c>
      <c r="C2245" s="101">
        <f t="shared" ca="1" si="136"/>
        <v>2.4999218310724385</v>
      </c>
      <c r="D2245" s="101">
        <f t="shared" ca="1" si="137"/>
        <v>0.85033784890082276</v>
      </c>
      <c r="E2245" s="101">
        <f t="shared" ca="1" si="138"/>
        <v>6.2137848900822745E-2</v>
      </c>
      <c r="F2245" s="21">
        <f t="shared" ca="1" si="139"/>
        <v>1</v>
      </c>
      <c r="H2245" s="21">
        <v>2230</v>
      </c>
      <c r="I2245" s="102">
        <v>0.66767307924388875</v>
      </c>
      <c r="J2245" s="103">
        <v>1.3083523432948401E-3</v>
      </c>
      <c r="K2245" s="103"/>
      <c r="L2245" s="103">
        <v>4.1200000000000001E-2</v>
      </c>
      <c r="O2245" s="100"/>
    </row>
    <row r="2246" spans="2:15" x14ac:dyDescent="0.2">
      <c r="B2246" s="1">
        <v>2231</v>
      </c>
      <c r="C2246" s="101">
        <f t="shared" ca="1" si="136"/>
        <v>-1.5835548343094077</v>
      </c>
      <c r="D2246" s="101">
        <f t="shared" ca="1" si="137"/>
        <v>0.56840499715479564</v>
      </c>
      <c r="E2246" s="101">
        <f t="shared" ca="1" si="138"/>
        <v>0</v>
      </c>
      <c r="F2246" s="21">
        <f t="shared" ca="1" si="139"/>
        <v>0</v>
      </c>
      <c r="H2246" s="21">
        <v>2231</v>
      </c>
      <c r="I2246" s="102">
        <v>0.66770840189595038</v>
      </c>
      <c r="J2246" s="103">
        <v>1.2807901426880037E-3</v>
      </c>
      <c r="K2246" s="103"/>
      <c r="L2246" s="103">
        <v>4.02E-2</v>
      </c>
      <c r="O2246" s="100"/>
    </row>
    <row r="2247" spans="2:15" x14ac:dyDescent="0.2">
      <c r="B2247" s="1">
        <v>2232</v>
      </c>
      <c r="C2247" s="101">
        <f t="shared" ca="1" si="136"/>
        <v>4.8750005646607024E-2</v>
      </c>
      <c r="D2247" s="101">
        <f t="shared" ca="1" si="137"/>
        <v>0.66770529515229249</v>
      </c>
      <c r="E2247" s="101">
        <f t="shared" ca="1" si="138"/>
        <v>0</v>
      </c>
      <c r="F2247" s="21">
        <f t="shared" ca="1" si="139"/>
        <v>0</v>
      </c>
      <c r="H2247" s="21">
        <v>2232</v>
      </c>
      <c r="I2247" s="102">
        <v>0.66777107560535665</v>
      </c>
      <c r="J2247" s="103">
        <v>1.4306303327131884E-3</v>
      </c>
      <c r="K2247" s="103"/>
      <c r="L2247" s="103">
        <v>4.3400000000000001E-2</v>
      </c>
      <c r="O2247" s="100"/>
    </row>
    <row r="2248" spans="2:15" x14ac:dyDescent="0.2">
      <c r="B2248" s="1">
        <v>2233</v>
      </c>
      <c r="C2248" s="101">
        <f t="shared" ca="1" si="136"/>
        <v>-2.6077061391291512</v>
      </c>
      <c r="D2248" s="101">
        <f t="shared" ca="1" si="137"/>
        <v>0.51378790561524978</v>
      </c>
      <c r="E2248" s="101">
        <f t="shared" ca="1" si="138"/>
        <v>0</v>
      </c>
      <c r="F2248" s="21">
        <f t="shared" ca="1" si="139"/>
        <v>0</v>
      </c>
      <c r="H2248" s="21">
        <v>2233</v>
      </c>
      <c r="I2248" s="102">
        <v>0.66777434999262553</v>
      </c>
      <c r="J2248" s="103">
        <v>1.447381619567539E-3</v>
      </c>
      <c r="K2248" s="103"/>
      <c r="L2248" s="103">
        <v>4.2999999999999997E-2</v>
      </c>
      <c r="O2248" s="100"/>
    </row>
    <row r="2249" spans="2:15" x14ac:dyDescent="0.2">
      <c r="B2249" s="1">
        <v>2234</v>
      </c>
      <c r="C2249" s="101">
        <f t="shared" ca="1" si="136"/>
        <v>-1.6103470544842158</v>
      </c>
      <c r="D2249" s="101">
        <f t="shared" ca="1" si="137"/>
        <v>0.56690478825730517</v>
      </c>
      <c r="E2249" s="101">
        <f t="shared" ca="1" si="138"/>
        <v>0</v>
      </c>
      <c r="F2249" s="21">
        <f t="shared" ca="1" si="139"/>
        <v>0</v>
      </c>
      <c r="H2249" s="21">
        <v>2234</v>
      </c>
      <c r="I2249" s="102">
        <v>0.66768551042824542</v>
      </c>
      <c r="J2249" s="103">
        <v>1.2915351094503731E-3</v>
      </c>
      <c r="K2249" s="103"/>
      <c r="L2249" s="103">
        <v>3.9800000000000002E-2</v>
      </c>
      <c r="O2249" s="100"/>
    </row>
    <row r="2250" spans="2:15" x14ac:dyDescent="0.2">
      <c r="B2250" s="1">
        <v>2235</v>
      </c>
      <c r="C2250" s="101">
        <f t="shared" ca="1" si="136"/>
        <v>-1.628581293220456</v>
      </c>
      <c r="D2250" s="101">
        <f t="shared" ca="1" si="137"/>
        <v>0.56588604171145995</v>
      </c>
      <c r="E2250" s="101">
        <f t="shared" ca="1" si="138"/>
        <v>0</v>
      </c>
      <c r="F2250" s="21">
        <f t="shared" ca="1" si="139"/>
        <v>0</v>
      </c>
      <c r="H2250" s="21">
        <v>2235</v>
      </c>
      <c r="I2250" s="102">
        <v>0.66765467635755116</v>
      </c>
      <c r="J2250" s="103">
        <v>1.2838990057888443E-3</v>
      </c>
      <c r="K2250" s="103"/>
      <c r="L2250" s="103">
        <v>4.02E-2</v>
      </c>
      <c r="O2250" s="100"/>
    </row>
    <row r="2251" spans="2:15" x14ac:dyDescent="0.2">
      <c r="B2251" s="1">
        <v>2236</v>
      </c>
      <c r="C2251" s="101">
        <f t="shared" ca="1" si="136"/>
        <v>0.83061098935083888</v>
      </c>
      <c r="D2251" s="101">
        <f t="shared" ca="1" si="137"/>
        <v>0.72123910015120163</v>
      </c>
      <c r="E2251" s="101">
        <f t="shared" ca="1" si="138"/>
        <v>0</v>
      </c>
      <c r="F2251" s="21">
        <f t="shared" ca="1" si="139"/>
        <v>0</v>
      </c>
      <c r="H2251" s="21">
        <v>2236</v>
      </c>
      <c r="I2251" s="102">
        <v>0.66771195317548293</v>
      </c>
      <c r="J2251" s="103">
        <v>1.4060755185217255E-3</v>
      </c>
      <c r="K2251" s="103"/>
      <c r="L2251" s="103">
        <v>4.3799999999999999E-2</v>
      </c>
      <c r="O2251" s="100"/>
    </row>
    <row r="2252" spans="2:15" x14ac:dyDescent="0.2">
      <c r="B2252" s="1">
        <v>2237</v>
      </c>
      <c r="C2252" s="101">
        <f t="shared" ca="1" si="136"/>
        <v>0.64421286537900235</v>
      </c>
      <c r="D2252" s="101">
        <f t="shared" ca="1" si="137"/>
        <v>0.70809916482448454</v>
      </c>
      <c r="E2252" s="101">
        <f t="shared" ca="1" si="138"/>
        <v>0</v>
      </c>
      <c r="F2252" s="21">
        <f t="shared" ca="1" si="139"/>
        <v>0</v>
      </c>
      <c r="H2252" s="21">
        <v>2237</v>
      </c>
      <c r="I2252" s="102">
        <v>0.66771506894583832</v>
      </c>
      <c r="J2252" s="103">
        <v>1.4117264845599832E-3</v>
      </c>
      <c r="K2252" s="103"/>
      <c r="L2252" s="103">
        <v>4.02E-2</v>
      </c>
      <c r="O2252" s="100"/>
    </row>
    <row r="2253" spans="2:15" x14ac:dyDescent="0.2">
      <c r="B2253" s="1">
        <v>2238</v>
      </c>
      <c r="C2253" s="101">
        <f t="shared" ca="1" si="136"/>
        <v>0.22200828020717725</v>
      </c>
      <c r="D2253" s="101">
        <f t="shared" ca="1" si="137"/>
        <v>0.67921473348446582</v>
      </c>
      <c r="E2253" s="101">
        <f t="shared" ca="1" si="138"/>
        <v>0</v>
      </c>
      <c r="F2253" s="21">
        <f t="shared" ca="1" si="139"/>
        <v>0</v>
      </c>
      <c r="H2253" s="21">
        <v>2238</v>
      </c>
      <c r="I2253" s="102">
        <v>0.66765193900805708</v>
      </c>
      <c r="J2253" s="103">
        <v>1.2674611486401118E-3</v>
      </c>
      <c r="K2253" s="103"/>
      <c r="L2253" s="103">
        <v>0.04</v>
      </c>
      <c r="O2253" s="100"/>
    </row>
    <row r="2254" spans="2:15" x14ac:dyDescent="0.2">
      <c r="B2254" s="1">
        <v>2239</v>
      </c>
      <c r="C2254" s="101">
        <f t="shared" ca="1" si="136"/>
        <v>1.3803191588140604</v>
      </c>
      <c r="D2254" s="101">
        <f t="shared" ca="1" si="137"/>
        <v>0.76142726160649132</v>
      </c>
      <c r="E2254" s="101">
        <f t="shared" ca="1" si="138"/>
        <v>0</v>
      </c>
      <c r="F2254" s="21">
        <f t="shared" ca="1" si="139"/>
        <v>0</v>
      </c>
      <c r="H2254" s="21">
        <v>2239</v>
      </c>
      <c r="I2254" s="102">
        <v>0.66777251926983838</v>
      </c>
      <c r="J2254" s="103">
        <v>1.3971226237181095E-3</v>
      </c>
      <c r="K2254" s="103"/>
      <c r="L2254" s="103">
        <v>4.24E-2</v>
      </c>
      <c r="O2254" s="100"/>
    </row>
    <row r="2255" spans="2:15" x14ac:dyDescent="0.2">
      <c r="B2255" s="1">
        <v>2240</v>
      </c>
      <c r="C2255" s="101">
        <f t="shared" ca="1" si="136"/>
        <v>-1.5573124296433567</v>
      </c>
      <c r="D2255" s="101">
        <f t="shared" ca="1" si="137"/>
        <v>0.56987826815969711</v>
      </c>
      <c r="E2255" s="101">
        <f t="shared" ca="1" si="138"/>
        <v>0</v>
      </c>
      <c r="F2255" s="21">
        <f t="shared" ca="1" si="139"/>
        <v>0</v>
      </c>
      <c r="H2255" s="21">
        <v>2240</v>
      </c>
      <c r="I2255" s="102">
        <v>0.66763738717191268</v>
      </c>
      <c r="J2255" s="103">
        <v>1.3349093032372231E-3</v>
      </c>
      <c r="K2255" s="103"/>
      <c r="L2255" s="103">
        <v>3.9E-2</v>
      </c>
      <c r="O2255" s="100"/>
    </row>
    <row r="2256" spans="2:15" x14ac:dyDescent="0.2">
      <c r="B2256" s="1">
        <v>2241</v>
      </c>
      <c r="C2256" s="101">
        <f t="shared" ref="C2256:C2319" ca="1" si="140">_xlfn.NORM.S.INV(RAND())</f>
        <v>0.28817408319173243</v>
      </c>
      <c r="D2256" s="101">
        <f t="shared" ref="D2256:D2319" ca="1" si="141">S0*EXP((μ-0.5*σ*σ)*T+σ*SQRT(T)*$C2256)</f>
        <v>0.68366225039510786</v>
      </c>
      <c r="E2256" s="101">
        <f t="shared" ref="E2256:E2319" ca="1" si="142">MAX(0,CP*(D2256-K))</f>
        <v>0</v>
      </c>
      <c r="F2256" s="21">
        <f t="shared" ref="F2256:F2319" ca="1" si="143">(CP*(D2256-K)&gt;0)*1</f>
        <v>0</v>
      </c>
      <c r="H2256" s="21">
        <v>2241</v>
      </c>
      <c r="I2256" s="102">
        <v>0.66764369948358993</v>
      </c>
      <c r="J2256" s="103">
        <v>1.3326646058916447E-3</v>
      </c>
      <c r="K2256" s="103"/>
      <c r="L2256" s="103">
        <v>4.0399999999999998E-2</v>
      </c>
      <c r="O2256" s="100"/>
    </row>
    <row r="2257" spans="2:15" x14ac:dyDescent="0.2">
      <c r="B2257" s="1">
        <v>2242</v>
      </c>
      <c r="C2257" s="101">
        <f t="shared" ca="1" si="140"/>
        <v>0.11322309502858505</v>
      </c>
      <c r="D2257" s="101">
        <f t="shared" ca="1" si="141"/>
        <v>0.67196523952068354</v>
      </c>
      <c r="E2257" s="101">
        <f t="shared" ca="1" si="142"/>
        <v>0</v>
      </c>
      <c r="F2257" s="21">
        <f t="shared" ca="1" si="143"/>
        <v>0</v>
      </c>
      <c r="H2257" s="21">
        <v>2242</v>
      </c>
      <c r="I2257" s="102">
        <v>0.6676860479197817</v>
      </c>
      <c r="J2257" s="103">
        <v>1.1609041884404355E-3</v>
      </c>
      <c r="K2257" s="103"/>
      <c r="L2257" s="103">
        <v>3.7999999999999999E-2</v>
      </c>
      <c r="O2257" s="100"/>
    </row>
    <row r="2258" spans="2:15" x14ac:dyDescent="0.2">
      <c r="B2258" s="1">
        <v>2243</v>
      </c>
      <c r="C2258" s="101">
        <f t="shared" ca="1" si="140"/>
        <v>-0.97902239316124118</v>
      </c>
      <c r="D2258" s="101">
        <f t="shared" ca="1" si="141"/>
        <v>0.6033310609867133</v>
      </c>
      <c r="E2258" s="101">
        <f t="shared" ca="1" si="142"/>
        <v>0</v>
      </c>
      <c r="F2258" s="21">
        <f t="shared" ca="1" si="143"/>
        <v>0</v>
      </c>
      <c r="H2258" s="21">
        <v>2243</v>
      </c>
      <c r="I2258" s="102">
        <v>0.66773636059246577</v>
      </c>
      <c r="J2258" s="103">
        <v>1.3997690221257241E-3</v>
      </c>
      <c r="K2258" s="103"/>
      <c r="L2258" s="103">
        <v>4.24E-2</v>
      </c>
      <c r="O2258" s="100"/>
    </row>
    <row r="2259" spans="2:15" x14ac:dyDescent="0.2">
      <c r="B2259" s="1">
        <v>2244</v>
      </c>
      <c r="C2259" s="101">
        <f t="shared" ca="1" si="140"/>
        <v>1.9580299135175878</v>
      </c>
      <c r="D2259" s="101">
        <f t="shared" ca="1" si="141"/>
        <v>0.8060782342640227</v>
      </c>
      <c r="E2259" s="101">
        <f t="shared" ca="1" si="142"/>
        <v>1.7878234264022685E-2</v>
      </c>
      <c r="F2259" s="21">
        <f t="shared" ca="1" si="143"/>
        <v>1</v>
      </c>
      <c r="H2259" s="21">
        <v>2244</v>
      </c>
      <c r="I2259" s="102">
        <v>0.66776549893190362</v>
      </c>
      <c r="J2259" s="103">
        <v>1.4230617239258405E-3</v>
      </c>
      <c r="K2259" s="103"/>
      <c r="L2259" s="103">
        <v>4.2599999999999999E-2</v>
      </c>
      <c r="O2259" s="100"/>
    </row>
    <row r="2260" spans="2:15" x14ac:dyDescent="0.2">
      <c r="B2260" s="1">
        <v>2245</v>
      </c>
      <c r="C2260" s="101">
        <f t="shared" ca="1" si="140"/>
        <v>8.6141937108891911E-2</v>
      </c>
      <c r="D2260" s="101">
        <f t="shared" ca="1" si="141"/>
        <v>0.67017259987399902</v>
      </c>
      <c r="E2260" s="101">
        <f t="shared" ca="1" si="142"/>
        <v>0</v>
      </c>
      <c r="F2260" s="21">
        <f t="shared" ca="1" si="143"/>
        <v>0</v>
      </c>
      <c r="H2260" s="21">
        <v>2245</v>
      </c>
      <c r="I2260" s="102">
        <v>0.66793358144505355</v>
      </c>
      <c r="J2260" s="103">
        <v>1.7166162407223841E-3</v>
      </c>
      <c r="K2260" s="103"/>
      <c r="L2260" s="103">
        <v>4.6399999999999997E-2</v>
      </c>
      <c r="O2260" s="100"/>
    </row>
    <row r="2261" spans="2:15" x14ac:dyDescent="0.2">
      <c r="B2261" s="1">
        <v>2246</v>
      </c>
      <c r="C2261" s="101">
        <f t="shared" ca="1" si="140"/>
        <v>-2.5687599301822992</v>
      </c>
      <c r="D2261" s="101">
        <f t="shared" ca="1" si="141"/>
        <v>0.51576552381394791</v>
      </c>
      <c r="E2261" s="101">
        <f t="shared" ca="1" si="142"/>
        <v>0</v>
      </c>
      <c r="F2261" s="21">
        <f t="shared" ca="1" si="143"/>
        <v>0</v>
      </c>
      <c r="H2261" s="21">
        <v>2246</v>
      </c>
      <c r="I2261" s="102">
        <v>0.66762269504681915</v>
      </c>
      <c r="J2261" s="103">
        <v>1.3103887481544269E-3</v>
      </c>
      <c r="K2261" s="103"/>
      <c r="L2261" s="103">
        <v>3.6200000000000003E-2</v>
      </c>
      <c r="O2261" s="100"/>
    </row>
    <row r="2262" spans="2:15" x14ac:dyDescent="0.2">
      <c r="B2262" s="1">
        <v>2247</v>
      </c>
      <c r="C2262" s="101">
        <f t="shared" ca="1" si="140"/>
        <v>-0.78589365476684769</v>
      </c>
      <c r="D2262" s="101">
        <f t="shared" ca="1" si="141"/>
        <v>0.61493498333475194</v>
      </c>
      <c r="E2262" s="101">
        <f t="shared" ca="1" si="142"/>
        <v>0</v>
      </c>
      <c r="F2262" s="21">
        <f t="shared" ca="1" si="143"/>
        <v>0</v>
      </c>
      <c r="H2262" s="21">
        <v>2247</v>
      </c>
      <c r="I2262" s="102">
        <v>0.66780441661637602</v>
      </c>
      <c r="J2262" s="103">
        <v>1.5282604161300419E-3</v>
      </c>
      <c r="K2262" s="103"/>
      <c r="L2262" s="103">
        <v>4.3400000000000001E-2</v>
      </c>
      <c r="O2262" s="100"/>
    </row>
    <row r="2263" spans="2:15" x14ac:dyDescent="0.2">
      <c r="B2263" s="1">
        <v>2248</v>
      </c>
      <c r="C2263" s="101">
        <f t="shared" ca="1" si="140"/>
        <v>2.6726342321183962E-2</v>
      </c>
      <c r="D2263" s="101">
        <f t="shared" ca="1" si="141"/>
        <v>0.66625631770556148</v>
      </c>
      <c r="E2263" s="101">
        <f t="shared" ca="1" si="142"/>
        <v>0</v>
      </c>
      <c r="F2263" s="21">
        <f t="shared" ca="1" si="143"/>
        <v>0</v>
      </c>
      <c r="H2263" s="21">
        <v>2248</v>
      </c>
      <c r="I2263" s="102">
        <v>0.66769561657088694</v>
      </c>
      <c r="J2263" s="103">
        <v>1.3362975154631866E-3</v>
      </c>
      <c r="K2263" s="103"/>
      <c r="L2263" s="103">
        <v>4.1599999999999998E-2</v>
      </c>
      <c r="O2263" s="100"/>
    </row>
    <row r="2264" spans="2:15" x14ac:dyDescent="0.2">
      <c r="B2264" s="1">
        <v>2249</v>
      </c>
      <c r="C2264" s="101">
        <f t="shared" ca="1" si="140"/>
        <v>-1.3892690359707829</v>
      </c>
      <c r="D2264" s="101">
        <f t="shared" ca="1" si="141"/>
        <v>0.57940330907361892</v>
      </c>
      <c r="E2264" s="101">
        <f t="shared" ca="1" si="142"/>
        <v>0</v>
      </c>
      <c r="F2264" s="21">
        <f t="shared" ca="1" si="143"/>
        <v>0</v>
      </c>
      <c r="H2264" s="21">
        <v>2249</v>
      </c>
      <c r="I2264" s="102">
        <v>0.66788852923270337</v>
      </c>
      <c r="J2264" s="103">
        <v>1.6070425671018424E-3</v>
      </c>
      <c r="K2264" s="103"/>
      <c r="L2264" s="103">
        <v>4.2999999999999997E-2</v>
      </c>
      <c r="O2264" s="100"/>
    </row>
    <row r="2265" spans="2:15" x14ac:dyDescent="0.2">
      <c r="B2265" s="1">
        <v>2250</v>
      </c>
      <c r="C2265" s="101">
        <f t="shared" ca="1" si="140"/>
        <v>2.4689870689285676E-2</v>
      </c>
      <c r="D2265" s="101">
        <f t="shared" ca="1" si="141"/>
        <v>0.66612249340391139</v>
      </c>
      <c r="E2265" s="101">
        <f t="shared" ca="1" si="142"/>
        <v>0</v>
      </c>
      <c r="F2265" s="21">
        <f t="shared" ca="1" si="143"/>
        <v>0</v>
      </c>
      <c r="H2265" s="21">
        <v>2250</v>
      </c>
      <c r="I2265" s="102">
        <v>0.66756119942414038</v>
      </c>
      <c r="J2265" s="103">
        <v>1.1686446447431893E-3</v>
      </c>
      <c r="K2265" s="103"/>
      <c r="L2265" s="103">
        <v>3.5400000000000001E-2</v>
      </c>
      <c r="O2265" s="100"/>
    </row>
    <row r="2266" spans="2:15" x14ac:dyDescent="0.2">
      <c r="B2266" s="1">
        <v>2251</v>
      </c>
      <c r="C2266" s="101">
        <f t="shared" ca="1" si="140"/>
        <v>-0.57104731429231714</v>
      </c>
      <c r="D2266" s="101">
        <f t="shared" ca="1" si="141"/>
        <v>0.62810620720579369</v>
      </c>
      <c r="E2266" s="101">
        <f t="shared" ca="1" si="142"/>
        <v>0</v>
      </c>
      <c r="F2266" s="21">
        <f t="shared" ca="1" si="143"/>
        <v>0</v>
      </c>
      <c r="H2266" s="21">
        <v>2251</v>
      </c>
      <c r="I2266" s="102">
        <v>0.66766923235458864</v>
      </c>
      <c r="J2266" s="103">
        <v>1.2682019956103869E-3</v>
      </c>
      <c r="K2266" s="103"/>
      <c r="L2266" s="103">
        <v>3.9800000000000002E-2</v>
      </c>
      <c r="O2266" s="100"/>
    </row>
    <row r="2267" spans="2:15" x14ac:dyDescent="0.2">
      <c r="B2267" s="1">
        <v>2252</v>
      </c>
      <c r="C2267" s="101">
        <f t="shared" ca="1" si="140"/>
        <v>1.0520205449003572</v>
      </c>
      <c r="D2267" s="101">
        <f t="shared" ca="1" si="141"/>
        <v>0.73716432891034633</v>
      </c>
      <c r="E2267" s="101">
        <f t="shared" ca="1" si="142"/>
        <v>0</v>
      </c>
      <c r="F2267" s="21">
        <f t="shared" ca="1" si="143"/>
        <v>0</v>
      </c>
      <c r="H2267" s="21">
        <v>2252</v>
      </c>
      <c r="I2267" s="102">
        <v>0.66749639995552545</v>
      </c>
      <c r="J2267" s="103">
        <v>1.1390233193339097E-3</v>
      </c>
      <c r="K2267" s="103"/>
      <c r="L2267" s="103">
        <v>3.7400000000000003E-2</v>
      </c>
      <c r="O2267" s="100"/>
    </row>
    <row r="2268" spans="2:15" x14ac:dyDescent="0.2">
      <c r="B2268" s="1">
        <v>2253</v>
      </c>
      <c r="C2268" s="101">
        <f t="shared" ca="1" si="140"/>
        <v>1.8793549087063148</v>
      </c>
      <c r="D2268" s="101">
        <f t="shared" ca="1" si="141"/>
        <v>0.79984678922696995</v>
      </c>
      <c r="E2268" s="101">
        <f t="shared" ca="1" si="142"/>
        <v>1.1646789226969934E-2</v>
      </c>
      <c r="F2268" s="21">
        <f t="shared" ca="1" si="143"/>
        <v>1</v>
      </c>
      <c r="H2268" s="21">
        <v>2253</v>
      </c>
      <c r="I2268" s="102">
        <v>0.66767605519420237</v>
      </c>
      <c r="J2268" s="103">
        <v>1.3187447285810381E-3</v>
      </c>
      <c r="K2268" s="103"/>
      <c r="L2268" s="103">
        <v>4.24E-2</v>
      </c>
      <c r="O2268" s="100"/>
    </row>
    <row r="2269" spans="2:15" x14ac:dyDescent="0.2">
      <c r="B2269" s="1">
        <v>2254</v>
      </c>
      <c r="C2269" s="101">
        <f t="shared" ca="1" si="140"/>
        <v>0.27495270264058547</v>
      </c>
      <c r="D2269" s="101">
        <f t="shared" ca="1" si="141"/>
        <v>0.68277121667543594</v>
      </c>
      <c r="E2269" s="101">
        <f t="shared" ca="1" si="142"/>
        <v>0</v>
      </c>
      <c r="F2269" s="21">
        <f t="shared" ca="1" si="143"/>
        <v>0</v>
      </c>
      <c r="H2269" s="21">
        <v>2254</v>
      </c>
      <c r="I2269" s="102">
        <v>0.66776102667325132</v>
      </c>
      <c r="J2269" s="103">
        <v>1.3701048232055988E-3</v>
      </c>
      <c r="K2269" s="103"/>
      <c r="L2269" s="103">
        <v>4.2200000000000001E-2</v>
      </c>
      <c r="O2269" s="100"/>
    </row>
    <row r="2270" spans="2:15" x14ac:dyDescent="0.2">
      <c r="B2270" s="1">
        <v>2255</v>
      </c>
      <c r="C2270" s="101">
        <f t="shared" ca="1" si="140"/>
        <v>1.0089035696317195</v>
      </c>
      <c r="D2270" s="101">
        <f t="shared" ca="1" si="141"/>
        <v>0.73403574163844643</v>
      </c>
      <c r="E2270" s="101">
        <f t="shared" ca="1" si="142"/>
        <v>0</v>
      </c>
      <c r="F2270" s="21">
        <f t="shared" ca="1" si="143"/>
        <v>0</v>
      </c>
      <c r="H2270" s="21">
        <v>2255</v>
      </c>
      <c r="I2270" s="102">
        <v>0.66783528256744562</v>
      </c>
      <c r="J2270" s="103">
        <v>1.4149769610813166E-3</v>
      </c>
      <c r="K2270" s="103"/>
      <c r="L2270" s="103">
        <v>4.3200000000000002E-2</v>
      </c>
      <c r="O2270" s="100"/>
    </row>
    <row r="2271" spans="2:15" x14ac:dyDescent="0.2">
      <c r="B2271" s="1">
        <v>2256</v>
      </c>
      <c r="C2271" s="101">
        <f t="shared" ca="1" si="140"/>
        <v>-1.4133411755480484E-2</v>
      </c>
      <c r="D2271" s="101">
        <f t="shared" ca="1" si="141"/>
        <v>0.66357640233314996</v>
      </c>
      <c r="E2271" s="101">
        <f t="shared" ca="1" si="142"/>
        <v>0</v>
      </c>
      <c r="F2271" s="21">
        <f t="shared" ca="1" si="143"/>
        <v>0</v>
      </c>
      <c r="H2271" s="21">
        <v>2256</v>
      </c>
      <c r="I2271" s="102">
        <v>0.66790531510618345</v>
      </c>
      <c r="J2271" s="103">
        <v>1.4735767323092158E-3</v>
      </c>
      <c r="K2271" s="103"/>
      <c r="L2271" s="103">
        <v>4.5400000000000003E-2</v>
      </c>
      <c r="O2271" s="100"/>
    </row>
    <row r="2272" spans="2:15" x14ac:dyDescent="0.2">
      <c r="B2272" s="1">
        <v>2257</v>
      </c>
      <c r="C2272" s="101">
        <f t="shared" ca="1" si="140"/>
        <v>0.97083130786524086</v>
      </c>
      <c r="D2272" s="101">
        <f t="shared" ca="1" si="141"/>
        <v>0.73128424146421045</v>
      </c>
      <c r="E2272" s="101">
        <f t="shared" ca="1" si="142"/>
        <v>0</v>
      </c>
      <c r="F2272" s="21">
        <f t="shared" ca="1" si="143"/>
        <v>0</v>
      </c>
      <c r="H2272" s="21">
        <v>2257</v>
      </c>
      <c r="I2272" s="102">
        <v>0.66775259042659829</v>
      </c>
      <c r="J2272" s="103">
        <v>1.3977705213972704E-3</v>
      </c>
      <c r="K2272" s="103"/>
      <c r="L2272" s="103">
        <v>4.2999999999999997E-2</v>
      </c>
      <c r="O2272" s="100"/>
    </row>
    <row r="2273" spans="2:15" x14ac:dyDescent="0.2">
      <c r="B2273" s="1">
        <v>2258</v>
      </c>
      <c r="C2273" s="101">
        <f t="shared" ca="1" si="140"/>
        <v>-1.6495931500304488</v>
      </c>
      <c r="D2273" s="101">
        <f t="shared" ca="1" si="141"/>
        <v>0.56471437976480099</v>
      </c>
      <c r="E2273" s="101">
        <f t="shared" ca="1" si="142"/>
        <v>0</v>
      </c>
      <c r="F2273" s="21">
        <f t="shared" ca="1" si="143"/>
        <v>0</v>
      </c>
      <c r="H2273" s="21">
        <v>2258</v>
      </c>
      <c r="I2273" s="102">
        <v>0.66778110757032505</v>
      </c>
      <c r="J2273" s="103">
        <v>1.4347716845892224E-3</v>
      </c>
      <c r="K2273" s="103"/>
      <c r="L2273" s="103">
        <v>4.2999999999999997E-2</v>
      </c>
      <c r="O2273" s="100"/>
    </row>
    <row r="2274" spans="2:15" x14ac:dyDescent="0.2">
      <c r="B2274" s="1">
        <v>2259</v>
      </c>
      <c r="C2274" s="101">
        <f t="shared" ca="1" si="140"/>
        <v>1.5655660940558109E-2</v>
      </c>
      <c r="D2274" s="101">
        <f t="shared" ca="1" si="141"/>
        <v>0.66552914514341843</v>
      </c>
      <c r="E2274" s="101">
        <f t="shared" ca="1" si="142"/>
        <v>0</v>
      </c>
      <c r="F2274" s="21">
        <f t="shared" ca="1" si="143"/>
        <v>0</v>
      </c>
      <c r="H2274" s="21">
        <v>2259</v>
      </c>
      <c r="I2274" s="102">
        <v>0.66773455318433184</v>
      </c>
      <c r="J2274" s="103">
        <v>1.3603376651992369E-3</v>
      </c>
      <c r="K2274" s="103"/>
      <c r="L2274" s="103">
        <v>4.24E-2</v>
      </c>
      <c r="O2274" s="100"/>
    </row>
    <row r="2275" spans="2:15" x14ac:dyDescent="0.2">
      <c r="B2275" s="1">
        <v>2260</v>
      </c>
      <c r="C2275" s="101">
        <f t="shared" ca="1" si="140"/>
        <v>-0.16081356408480324</v>
      </c>
      <c r="D2275" s="101">
        <f t="shared" ca="1" si="141"/>
        <v>0.65404442214397607</v>
      </c>
      <c r="E2275" s="101">
        <f t="shared" ca="1" si="142"/>
        <v>0</v>
      </c>
      <c r="F2275" s="21">
        <f t="shared" ca="1" si="143"/>
        <v>0</v>
      </c>
      <c r="H2275" s="21">
        <v>2260</v>
      </c>
      <c r="I2275" s="102">
        <v>0.66777576263195171</v>
      </c>
      <c r="J2275" s="103">
        <v>1.4636638720180717E-3</v>
      </c>
      <c r="K2275" s="103"/>
      <c r="L2275" s="103">
        <v>4.36E-2</v>
      </c>
      <c r="O2275" s="100"/>
    </row>
    <row r="2276" spans="2:15" x14ac:dyDescent="0.2">
      <c r="B2276" s="1">
        <v>2261</v>
      </c>
      <c r="C2276" s="101">
        <f t="shared" ca="1" si="140"/>
        <v>-0.47628040277551881</v>
      </c>
      <c r="D2276" s="101">
        <f t="shared" ca="1" si="141"/>
        <v>0.63400523133124809</v>
      </c>
      <c r="E2276" s="101">
        <f t="shared" ca="1" si="142"/>
        <v>0</v>
      </c>
      <c r="F2276" s="21">
        <f t="shared" ca="1" si="143"/>
        <v>0</v>
      </c>
      <c r="H2276" s="21">
        <v>2261</v>
      </c>
      <c r="I2276" s="102">
        <v>0.6678530178699652</v>
      </c>
      <c r="J2276" s="103">
        <v>1.4848279818221396E-3</v>
      </c>
      <c r="K2276" s="103"/>
      <c r="L2276" s="103">
        <v>4.5999999999999999E-2</v>
      </c>
      <c r="O2276" s="100"/>
    </row>
    <row r="2277" spans="2:15" x14ac:dyDescent="0.2">
      <c r="B2277" s="1">
        <v>2262</v>
      </c>
      <c r="C2277" s="101">
        <f t="shared" ca="1" si="140"/>
        <v>1.4270809293575693</v>
      </c>
      <c r="D2277" s="101">
        <f t="shared" ca="1" si="141"/>
        <v>0.76494756647966644</v>
      </c>
      <c r="E2277" s="101">
        <f t="shared" ca="1" si="142"/>
        <v>0</v>
      </c>
      <c r="F2277" s="21">
        <f t="shared" ca="1" si="143"/>
        <v>0</v>
      </c>
      <c r="H2277" s="21">
        <v>2262</v>
      </c>
      <c r="I2277" s="102">
        <v>0.66767456203005038</v>
      </c>
      <c r="J2277" s="103">
        <v>1.238737408536781E-3</v>
      </c>
      <c r="K2277" s="103"/>
      <c r="L2277" s="103">
        <v>3.9199999999999999E-2</v>
      </c>
      <c r="O2277" s="100"/>
    </row>
    <row r="2278" spans="2:15" x14ac:dyDescent="0.2">
      <c r="B2278" s="1">
        <v>2263</v>
      </c>
      <c r="C2278" s="101">
        <f t="shared" ca="1" si="140"/>
        <v>5.6530175252812571E-2</v>
      </c>
      <c r="D2278" s="101">
        <f t="shared" ca="1" si="141"/>
        <v>0.66821791975433742</v>
      </c>
      <c r="E2278" s="101">
        <f t="shared" ca="1" si="142"/>
        <v>0</v>
      </c>
      <c r="F2278" s="21">
        <f t="shared" ca="1" si="143"/>
        <v>0</v>
      </c>
      <c r="H2278" s="21">
        <v>2263</v>
      </c>
      <c r="I2278" s="102">
        <v>0.66763076445811032</v>
      </c>
      <c r="J2278" s="103">
        <v>1.229262076854363E-3</v>
      </c>
      <c r="K2278" s="103"/>
      <c r="L2278" s="103">
        <v>0.04</v>
      </c>
      <c r="O2278" s="100"/>
    </row>
    <row r="2279" spans="2:15" x14ac:dyDescent="0.2">
      <c r="B2279" s="1">
        <v>2264</v>
      </c>
      <c r="C2279" s="101">
        <f t="shared" ca="1" si="140"/>
        <v>0.68066693139623369</v>
      </c>
      <c r="D2279" s="101">
        <f t="shared" ca="1" si="141"/>
        <v>0.71064998608097973</v>
      </c>
      <c r="E2279" s="101">
        <f t="shared" ca="1" si="142"/>
        <v>0</v>
      </c>
      <c r="F2279" s="21">
        <f t="shared" ca="1" si="143"/>
        <v>0</v>
      </c>
      <c r="H2279" s="21">
        <v>2264</v>
      </c>
      <c r="I2279" s="102">
        <v>0.66771606873122002</v>
      </c>
      <c r="J2279" s="103">
        <v>1.410909096062041E-3</v>
      </c>
      <c r="K2279" s="103"/>
      <c r="L2279" s="103">
        <v>4.2599999999999999E-2</v>
      </c>
      <c r="O2279" s="100"/>
    </row>
    <row r="2280" spans="2:15" x14ac:dyDescent="0.2">
      <c r="B2280" s="1">
        <v>2265</v>
      </c>
      <c r="C2280" s="101">
        <f t="shared" ca="1" si="140"/>
        <v>-1.1840836497364986</v>
      </c>
      <c r="D2280" s="101">
        <f t="shared" ca="1" si="141"/>
        <v>0.59124977251441335</v>
      </c>
      <c r="E2280" s="101">
        <f t="shared" ca="1" si="142"/>
        <v>0</v>
      </c>
      <c r="F2280" s="21">
        <f t="shared" ca="1" si="143"/>
        <v>0</v>
      </c>
      <c r="H2280" s="21">
        <v>2265</v>
      </c>
      <c r="I2280" s="102">
        <v>0.6679032084931853</v>
      </c>
      <c r="J2280" s="103">
        <v>1.4760459212483472E-3</v>
      </c>
      <c r="K2280" s="103"/>
      <c r="L2280" s="103">
        <v>4.6199999999999998E-2</v>
      </c>
      <c r="O2280" s="100"/>
    </row>
    <row r="2281" spans="2:15" x14ac:dyDescent="0.2">
      <c r="B2281" s="1">
        <v>2266</v>
      </c>
      <c r="C2281" s="101">
        <f t="shared" ca="1" si="140"/>
        <v>0.44793927704507003</v>
      </c>
      <c r="D2281" s="101">
        <f t="shared" ca="1" si="141"/>
        <v>0.69452173682660312</v>
      </c>
      <c r="E2281" s="101">
        <f t="shared" ca="1" si="142"/>
        <v>0</v>
      </c>
      <c r="F2281" s="21">
        <f t="shared" ca="1" si="143"/>
        <v>0</v>
      </c>
      <c r="H2281" s="21">
        <v>2266</v>
      </c>
      <c r="I2281" s="102">
        <v>0.66772125428407147</v>
      </c>
      <c r="J2281" s="103">
        <v>1.3598245490684714E-3</v>
      </c>
      <c r="K2281" s="103"/>
      <c r="L2281" s="103">
        <v>4.2000000000000003E-2</v>
      </c>
      <c r="O2281" s="100"/>
    </row>
    <row r="2282" spans="2:15" x14ac:dyDescent="0.2">
      <c r="B2282" s="1">
        <v>2267</v>
      </c>
      <c r="C2282" s="101">
        <f t="shared" ca="1" si="140"/>
        <v>-1.6539948236914703</v>
      </c>
      <c r="D2282" s="101">
        <f t="shared" ca="1" si="141"/>
        <v>0.56446924138624821</v>
      </c>
      <c r="E2282" s="101">
        <f t="shared" ca="1" si="142"/>
        <v>0</v>
      </c>
      <c r="F2282" s="21">
        <f t="shared" ca="1" si="143"/>
        <v>0</v>
      </c>
      <c r="H2282" s="21">
        <v>2267</v>
      </c>
      <c r="I2282" s="102">
        <v>0.66774606455012531</v>
      </c>
      <c r="J2282" s="103">
        <v>1.3354275594901462E-3</v>
      </c>
      <c r="K2282" s="103"/>
      <c r="L2282" s="103">
        <v>4.1799999999999997E-2</v>
      </c>
      <c r="O2282" s="100"/>
    </row>
    <row r="2283" spans="2:15" x14ac:dyDescent="0.2">
      <c r="B2283" s="1">
        <v>2268</v>
      </c>
      <c r="C2283" s="101">
        <f t="shared" ca="1" si="140"/>
        <v>-0.42008466291294083</v>
      </c>
      <c r="D2283" s="101">
        <f t="shared" ca="1" si="141"/>
        <v>0.63752942191858319</v>
      </c>
      <c r="E2283" s="101">
        <f t="shared" ca="1" si="142"/>
        <v>0</v>
      </c>
      <c r="F2283" s="21">
        <f t="shared" ca="1" si="143"/>
        <v>0</v>
      </c>
      <c r="H2283" s="21">
        <v>2268</v>
      </c>
      <c r="I2283" s="102">
        <v>0.66774866773743902</v>
      </c>
      <c r="J2283" s="103">
        <v>1.427342087433639E-3</v>
      </c>
      <c r="K2283" s="103"/>
      <c r="L2283" s="103">
        <v>4.2999999999999997E-2</v>
      </c>
      <c r="O2283" s="100"/>
    </row>
    <row r="2284" spans="2:15" x14ac:dyDescent="0.2">
      <c r="B2284" s="1">
        <v>2269</v>
      </c>
      <c r="C2284" s="101">
        <f t="shared" ca="1" si="140"/>
        <v>-0.82906698900254638</v>
      </c>
      <c r="D2284" s="101">
        <f t="shared" ca="1" si="141"/>
        <v>0.61232174355853763</v>
      </c>
      <c r="E2284" s="101">
        <f t="shared" ca="1" si="142"/>
        <v>0</v>
      </c>
      <c r="F2284" s="21">
        <f t="shared" ca="1" si="143"/>
        <v>0</v>
      </c>
      <c r="H2284" s="21">
        <v>2269</v>
      </c>
      <c r="I2284" s="102">
        <v>0.66771497594949825</v>
      </c>
      <c r="J2284" s="103">
        <v>1.3546034782377641E-3</v>
      </c>
      <c r="K2284" s="103"/>
      <c r="L2284" s="103">
        <v>3.9E-2</v>
      </c>
      <c r="O2284" s="100"/>
    </row>
    <row r="2285" spans="2:15" x14ac:dyDescent="0.2">
      <c r="B2285" s="1">
        <v>2270</v>
      </c>
      <c r="C2285" s="101">
        <f t="shared" ca="1" si="140"/>
        <v>1.2620100348090573</v>
      </c>
      <c r="D2285" s="101">
        <f t="shared" ca="1" si="141"/>
        <v>0.75259292625933305</v>
      </c>
      <c r="E2285" s="101">
        <f t="shared" ca="1" si="142"/>
        <v>0</v>
      </c>
      <c r="F2285" s="21">
        <f t="shared" ca="1" si="143"/>
        <v>0</v>
      </c>
      <c r="H2285" s="21">
        <v>2270</v>
      </c>
      <c r="I2285" s="102">
        <v>0.66769925661697882</v>
      </c>
      <c r="J2285" s="103">
        <v>1.3154489231273574E-3</v>
      </c>
      <c r="K2285" s="103"/>
      <c r="L2285" s="103">
        <v>4.1599999999999998E-2</v>
      </c>
      <c r="O2285" s="100"/>
    </row>
    <row r="2286" spans="2:15" x14ac:dyDescent="0.2">
      <c r="B2286" s="1">
        <v>2271</v>
      </c>
      <c r="C2286" s="101">
        <f t="shared" ca="1" si="140"/>
        <v>-0.23202159659340157</v>
      </c>
      <c r="D2286" s="101">
        <f t="shared" ca="1" si="141"/>
        <v>0.6494664750233059</v>
      </c>
      <c r="E2286" s="101">
        <f t="shared" ca="1" si="142"/>
        <v>0</v>
      </c>
      <c r="F2286" s="21">
        <f t="shared" ca="1" si="143"/>
        <v>0</v>
      </c>
      <c r="H2286" s="21">
        <v>2271</v>
      </c>
      <c r="I2286" s="102">
        <v>0.66767110644914274</v>
      </c>
      <c r="J2286" s="103">
        <v>1.2154767004909032E-3</v>
      </c>
      <c r="K2286" s="103"/>
      <c r="L2286" s="103">
        <v>3.6400000000000002E-2</v>
      </c>
      <c r="O2286" s="100"/>
    </row>
    <row r="2287" spans="2:15" x14ac:dyDescent="0.2">
      <c r="B2287" s="1">
        <v>2272</v>
      </c>
      <c r="C2287" s="101">
        <f t="shared" ca="1" si="140"/>
        <v>9.1113822673879796E-2</v>
      </c>
      <c r="D2287" s="101">
        <f t="shared" ca="1" si="141"/>
        <v>0.67050135549958789</v>
      </c>
      <c r="E2287" s="101">
        <f t="shared" ca="1" si="142"/>
        <v>0</v>
      </c>
      <c r="F2287" s="21">
        <f t="shared" ca="1" si="143"/>
        <v>0</v>
      </c>
      <c r="H2287" s="21">
        <v>2272</v>
      </c>
      <c r="I2287" s="102">
        <v>0.66770604433380032</v>
      </c>
      <c r="J2287" s="103">
        <v>1.3824419321821766E-3</v>
      </c>
      <c r="K2287" s="103"/>
      <c r="L2287" s="103">
        <v>4.1399999999999999E-2</v>
      </c>
      <c r="O2287" s="100"/>
    </row>
    <row r="2288" spans="2:15" x14ac:dyDescent="0.2">
      <c r="B2288" s="1">
        <v>2273</v>
      </c>
      <c r="C2288" s="101">
        <f t="shared" ca="1" si="140"/>
        <v>-1.0198827056311017</v>
      </c>
      <c r="D2288" s="101">
        <f t="shared" ca="1" si="141"/>
        <v>0.60090421985379883</v>
      </c>
      <c r="E2288" s="101">
        <f t="shared" ca="1" si="142"/>
        <v>0</v>
      </c>
      <c r="F2288" s="21">
        <f t="shared" ca="1" si="143"/>
        <v>0</v>
      </c>
      <c r="H2288" s="21">
        <v>2273</v>
      </c>
      <c r="I2288" s="102">
        <v>0.6675895987511502</v>
      </c>
      <c r="J2288" s="103">
        <v>1.1356220430650732E-3</v>
      </c>
      <c r="K2288" s="103"/>
      <c r="L2288" s="103">
        <v>4.0599999999999997E-2</v>
      </c>
      <c r="O2288" s="100"/>
    </row>
    <row r="2289" spans="2:15" x14ac:dyDescent="0.2">
      <c r="B2289" s="1">
        <v>2274</v>
      </c>
      <c r="C2289" s="101">
        <f t="shared" ca="1" si="140"/>
        <v>0.83097339278310545</v>
      </c>
      <c r="D2289" s="101">
        <f t="shared" ca="1" si="141"/>
        <v>0.72126488343496031</v>
      </c>
      <c r="E2289" s="101">
        <f t="shared" ca="1" si="142"/>
        <v>0</v>
      </c>
      <c r="F2289" s="21">
        <f t="shared" ca="1" si="143"/>
        <v>0</v>
      </c>
      <c r="H2289" s="21">
        <v>2274</v>
      </c>
      <c r="I2289" s="102">
        <v>0.66769516821545594</v>
      </c>
      <c r="J2289" s="103">
        <v>1.2119570120317838E-3</v>
      </c>
      <c r="K2289" s="103"/>
      <c r="L2289" s="103">
        <v>3.8399999999999997E-2</v>
      </c>
      <c r="O2289" s="100"/>
    </row>
    <row r="2290" spans="2:15" x14ac:dyDescent="0.2">
      <c r="B2290" s="1">
        <v>2275</v>
      </c>
      <c r="C2290" s="101">
        <f t="shared" ca="1" si="140"/>
        <v>-1.418547921192892</v>
      </c>
      <c r="D2290" s="101">
        <f t="shared" ca="1" si="141"/>
        <v>0.57773234383500194</v>
      </c>
      <c r="E2290" s="101">
        <f t="shared" ca="1" si="142"/>
        <v>0</v>
      </c>
      <c r="F2290" s="21">
        <f t="shared" ca="1" si="143"/>
        <v>0</v>
      </c>
      <c r="H2290" s="21">
        <v>2275</v>
      </c>
      <c r="I2290" s="102">
        <v>0.66762705615887696</v>
      </c>
      <c r="J2290" s="103">
        <v>1.3117641952372378E-3</v>
      </c>
      <c r="K2290" s="103"/>
      <c r="L2290" s="103">
        <v>3.8800000000000001E-2</v>
      </c>
      <c r="O2290" s="100"/>
    </row>
    <row r="2291" spans="2:15" x14ac:dyDescent="0.2">
      <c r="B2291" s="1">
        <v>2276</v>
      </c>
      <c r="C2291" s="101">
        <f t="shared" ca="1" si="140"/>
        <v>-2.4939493155795411E-2</v>
      </c>
      <c r="D2291" s="101">
        <f t="shared" ca="1" si="141"/>
        <v>0.66286945570647815</v>
      </c>
      <c r="E2291" s="101">
        <f t="shared" ca="1" si="142"/>
        <v>0</v>
      </c>
      <c r="F2291" s="21">
        <f t="shared" ca="1" si="143"/>
        <v>0</v>
      </c>
      <c r="H2291" s="21">
        <v>2276</v>
      </c>
      <c r="I2291" s="102">
        <v>0.6678707504145488</v>
      </c>
      <c r="J2291" s="103">
        <v>1.5101690063178176E-3</v>
      </c>
      <c r="K2291" s="103"/>
      <c r="L2291" s="103">
        <v>4.5400000000000003E-2</v>
      </c>
      <c r="O2291" s="100"/>
    </row>
    <row r="2292" spans="2:15" x14ac:dyDescent="0.2">
      <c r="B2292" s="1">
        <v>2277</v>
      </c>
      <c r="C2292" s="101">
        <f t="shared" ca="1" si="140"/>
        <v>0.51482980988282179</v>
      </c>
      <c r="D2292" s="101">
        <f t="shared" ca="1" si="141"/>
        <v>0.69911946150447601</v>
      </c>
      <c r="E2292" s="101">
        <f t="shared" ca="1" si="142"/>
        <v>0</v>
      </c>
      <c r="F2292" s="21">
        <f t="shared" ca="1" si="143"/>
        <v>0</v>
      </c>
      <c r="H2292" s="21">
        <v>2277</v>
      </c>
      <c r="I2292" s="102">
        <v>0.66787698485161473</v>
      </c>
      <c r="J2292" s="103">
        <v>1.5353855289127782E-3</v>
      </c>
      <c r="K2292" s="103"/>
      <c r="L2292" s="103">
        <v>0.04</v>
      </c>
      <c r="O2292" s="100"/>
    </row>
    <row r="2293" spans="2:15" x14ac:dyDescent="0.2">
      <c r="B2293" s="1">
        <v>2278</v>
      </c>
      <c r="C2293" s="101">
        <f t="shared" ca="1" si="140"/>
        <v>-0.81647804359535692</v>
      </c>
      <c r="D2293" s="101">
        <f t="shared" ca="1" si="141"/>
        <v>0.61308259104744511</v>
      </c>
      <c r="E2293" s="101">
        <f t="shared" ca="1" si="142"/>
        <v>0</v>
      </c>
      <c r="F2293" s="21">
        <f t="shared" ca="1" si="143"/>
        <v>0</v>
      </c>
      <c r="H2293" s="21">
        <v>2278</v>
      </c>
      <c r="I2293" s="102">
        <v>0.66778313067083483</v>
      </c>
      <c r="J2293" s="103">
        <v>1.4428937751980377E-3</v>
      </c>
      <c r="K2293" s="103"/>
      <c r="L2293" s="103">
        <v>4.6399999999999997E-2</v>
      </c>
      <c r="O2293" s="100"/>
    </row>
    <row r="2294" spans="2:15" x14ac:dyDescent="0.2">
      <c r="B2294" s="1">
        <v>2279</v>
      </c>
      <c r="C2294" s="101">
        <f t="shared" ca="1" si="140"/>
        <v>-0.14201755491048873</v>
      </c>
      <c r="D2294" s="101">
        <f t="shared" ca="1" si="141"/>
        <v>0.65525818673060965</v>
      </c>
      <c r="E2294" s="101">
        <f t="shared" ca="1" si="142"/>
        <v>0</v>
      </c>
      <c r="F2294" s="21">
        <f t="shared" ca="1" si="143"/>
        <v>0</v>
      </c>
      <c r="H2294" s="21">
        <v>2279</v>
      </c>
      <c r="I2294" s="102">
        <v>0.66773145435158665</v>
      </c>
      <c r="J2294" s="103">
        <v>1.382285765421584E-3</v>
      </c>
      <c r="K2294" s="103"/>
      <c r="L2294" s="103">
        <v>4.0399999999999998E-2</v>
      </c>
      <c r="O2294" s="100"/>
    </row>
    <row r="2295" spans="2:15" x14ac:dyDescent="0.2">
      <c r="B2295" s="1">
        <v>2280</v>
      </c>
      <c r="C2295" s="101">
        <f t="shared" ca="1" si="140"/>
        <v>-0.44718642768461886</v>
      </c>
      <c r="D2295" s="101">
        <f t="shared" ca="1" si="141"/>
        <v>0.63582735620927089</v>
      </c>
      <c r="E2295" s="101">
        <f t="shared" ca="1" si="142"/>
        <v>0</v>
      </c>
      <c r="F2295" s="21">
        <f t="shared" ca="1" si="143"/>
        <v>0</v>
      </c>
      <c r="H2295" s="21">
        <v>2280</v>
      </c>
      <c r="I2295" s="102">
        <v>0.66765677568294501</v>
      </c>
      <c r="J2295" s="103">
        <v>1.2766205858284559E-3</v>
      </c>
      <c r="K2295" s="103"/>
      <c r="L2295" s="103">
        <v>4.1000000000000002E-2</v>
      </c>
      <c r="O2295" s="100"/>
    </row>
    <row r="2296" spans="2:15" x14ac:dyDescent="0.2">
      <c r="B2296" s="1">
        <v>2281</v>
      </c>
      <c r="C2296" s="101">
        <f t="shared" ca="1" si="140"/>
        <v>1.0349003064643167</v>
      </c>
      <c r="D2296" s="101">
        <f t="shared" ca="1" si="141"/>
        <v>0.73592048362997065</v>
      </c>
      <c r="E2296" s="101">
        <f t="shared" ca="1" si="142"/>
        <v>0</v>
      </c>
      <c r="F2296" s="21">
        <f t="shared" ca="1" si="143"/>
        <v>0</v>
      </c>
      <c r="H2296" s="21">
        <v>2281</v>
      </c>
      <c r="I2296" s="102">
        <v>0.66772662963431118</v>
      </c>
      <c r="J2296" s="103">
        <v>1.2689159570473364E-3</v>
      </c>
      <c r="K2296" s="103"/>
      <c r="L2296" s="103">
        <v>4.2200000000000001E-2</v>
      </c>
      <c r="O2296" s="100"/>
    </row>
    <row r="2297" spans="2:15" x14ac:dyDescent="0.2">
      <c r="B2297" s="1">
        <v>2282</v>
      </c>
      <c r="C2297" s="101">
        <f t="shared" ca="1" si="140"/>
        <v>-0.49386735233461965</v>
      </c>
      <c r="D2297" s="101">
        <f t="shared" ca="1" si="141"/>
        <v>0.63290631252060514</v>
      </c>
      <c r="E2297" s="101">
        <f t="shared" ca="1" si="142"/>
        <v>0</v>
      </c>
      <c r="F2297" s="21">
        <f t="shared" ca="1" si="143"/>
        <v>0</v>
      </c>
      <c r="H2297" s="21">
        <v>2282</v>
      </c>
      <c r="I2297" s="102">
        <v>0.66784617087292253</v>
      </c>
      <c r="J2297" s="103">
        <v>1.4083473796530097E-3</v>
      </c>
      <c r="K2297" s="103"/>
      <c r="L2297" s="103">
        <v>4.1200000000000001E-2</v>
      </c>
      <c r="O2297" s="100"/>
    </row>
    <row r="2298" spans="2:15" x14ac:dyDescent="0.2">
      <c r="B2298" s="1">
        <v>2283</v>
      </c>
      <c r="C2298" s="101">
        <f t="shared" ca="1" si="140"/>
        <v>-1.1701456777070589</v>
      </c>
      <c r="D2298" s="101">
        <f t="shared" ca="1" si="141"/>
        <v>0.59206321725819533</v>
      </c>
      <c r="E2298" s="101">
        <f t="shared" ca="1" si="142"/>
        <v>0</v>
      </c>
      <c r="F2298" s="21">
        <f t="shared" ca="1" si="143"/>
        <v>0</v>
      </c>
      <c r="H2298" s="21">
        <v>2283</v>
      </c>
      <c r="I2298" s="102">
        <v>0.66769224723940279</v>
      </c>
      <c r="J2298" s="103">
        <v>1.343823286879605E-3</v>
      </c>
      <c r="K2298" s="103"/>
      <c r="L2298" s="103">
        <v>4.0399999999999998E-2</v>
      </c>
      <c r="O2298" s="100"/>
    </row>
    <row r="2299" spans="2:15" x14ac:dyDescent="0.2">
      <c r="B2299" s="1">
        <v>2284</v>
      </c>
      <c r="C2299" s="101">
        <f t="shared" ca="1" si="140"/>
        <v>-1.7049361915314456</v>
      </c>
      <c r="D2299" s="101">
        <f t="shared" ca="1" si="141"/>
        <v>0.56163994077766699</v>
      </c>
      <c r="E2299" s="101">
        <f t="shared" ca="1" si="142"/>
        <v>0</v>
      </c>
      <c r="F2299" s="21">
        <f t="shared" ca="1" si="143"/>
        <v>0</v>
      </c>
      <c r="H2299" s="21">
        <v>2284</v>
      </c>
      <c r="I2299" s="102">
        <v>0.66782725469186399</v>
      </c>
      <c r="J2299" s="103">
        <v>1.5984428943746705E-3</v>
      </c>
      <c r="K2299" s="103"/>
      <c r="L2299" s="103">
        <v>4.2799999999999998E-2</v>
      </c>
      <c r="O2299" s="100"/>
    </row>
    <row r="2300" spans="2:15" x14ac:dyDescent="0.2">
      <c r="B2300" s="1">
        <v>2285</v>
      </c>
      <c r="C2300" s="101">
        <f t="shared" ca="1" si="140"/>
        <v>-0.19842259623847186</v>
      </c>
      <c r="D2300" s="101">
        <f t="shared" ca="1" si="141"/>
        <v>0.65162254014459919</v>
      </c>
      <c r="E2300" s="101">
        <f t="shared" ca="1" si="142"/>
        <v>0</v>
      </c>
      <c r="F2300" s="21">
        <f t="shared" ca="1" si="143"/>
        <v>0</v>
      </c>
      <c r="H2300" s="21">
        <v>2285</v>
      </c>
      <c r="I2300" s="102">
        <v>0.66784725602405193</v>
      </c>
      <c r="J2300" s="103">
        <v>1.4467504665499089E-3</v>
      </c>
      <c r="K2300" s="103"/>
      <c r="L2300" s="103">
        <v>4.4400000000000002E-2</v>
      </c>
      <c r="O2300" s="100"/>
    </row>
    <row r="2301" spans="2:15" x14ac:dyDescent="0.2">
      <c r="B2301" s="1">
        <v>2286</v>
      </c>
      <c r="C2301" s="101">
        <f t="shared" ca="1" si="140"/>
        <v>-0.25101155922148138</v>
      </c>
      <c r="D2301" s="101">
        <f t="shared" ca="1" si="141"/>
        <v>0.64825103634353121</v>
      </c>
      <c r="E2301" s="101">
        <f t="shared" ca="1" si="142"/>
        <v>0</v>
      </c>
      <c r="F2301" s="21">
        <f t="shared" ca="1" si="143"/>
        <v>0</v>
      </c>
      <c r="H2301" s="21">
        <v>2286</v>
      </c>
      <c r="I2301" s="102">
        <v>0.66768762889236055</v>
      </c>
      <c r="J2301" s="103">
        <v>1.2960860228934091E-3</v>
      </c>
      <c r="K2301" s="103"/>
      <c r="L2301" s="103">
        <v>4.0800000000000003E-2</v>
      </c>
      <c r="O2301" s="100"/>
    </row>
    <row r="2302" spans="2:15" x14ac:dyDescent="0.2">
      <c r="B2302" s="1">
        <v>2287</v>
      </c>
      <c r="C2302" s="101">
        <f t="shared" ca="1" si="140"/>
        <v>-0.52787056709382629</v>
      </c>
      <c r="D2302" s="101">
        <f t="shared" ca="1" si="141"/>
        <v>0.63078702358116401</v>
      </c>
      <c r="E2302" s="101">
        <f t="shared" ca="1" si="142"/>
        <v>0</v>
      </c>
      <c r="F2302" s="21">
        <f t="shared" ca="1" si="143"/>
        <v>0</v>
      </c>
      <c r="H2302" s="21">
        <v>2287</v>
      </c>
      <c r="I2302" s="102">
        <v>0.66769495983108385</v>
      </c>
      <c r="J2302" s="103">
        <v>1.3277908191638844E-3</v>
      </c>
      <c r="K2302" s="103"/>
      <c r="L2302" s="103">
        <v>4.0599999999999997E-2</v>
      </c>
      <c r="O2302" s="100"/>
    </row>
    <row r="2303" spans="2:15" x14ac:dyDescent="0.2">
      <c r="B2303" s="1">
        <v>2288</v>
      </c>
      <c r="C2303" s="101">
        <f t="shared" ca="1" si="140"/>
        <v>0.28107455626042799</v>
      </c>
      <c r="D2303" s="101">
        <f t="shared" ca="1" si="141"/>
        <v>0.68318364471219994</v>
      </c>
      <c r="E2303" s="101">
        <f t="shared" ca="1" si="142"/>
        <v>0</v>
      </c>
      <c r="F2303" s="21">
        <f t="shared" ca="1" si="143"/>
        <v>0</v>
      </c>
      <c r="H2303" s="21">
        <v>2288</v>
      </c>
      <c r="I2303" s="102">
        <v>0.66776017252016906</v>
      </c>
      <c r="J2303" s="103">
        <v>1.2163891977552532E-3</v>
      </c>
      <c r="K2303" s="103"/>
      <c r="L2303" s="103">
        <v>3.9600000000000003E-2</v>
      </c>
      <c r="O2303" s="100"/>
    </row>
    <row r="2304" spans="2:15" x14ac:dyDescent="0.2">
      <c r="B2304" s="1">
        <v>2289</v>
      </c>
      <c r="C2304" s="101">
        <f t="shared" ca="1" si="140"/>
        <v>-1.0920950528150659</v>
      </c>
      <c r="D2304" s="101">
        <f t="shared" ca="1" si="141"/>
        <v>0.59663911445422102</v>
      </c>
      <c r="E2304" s="101">
        <f t="shared" ca="1" si="142"/>
        <v>0</v>
      </c>
      <c r="F2304" s="21">
        <f t="shared" ca="1" si="143"/>
        <v>0</v>
      </c>
      <c r="H2304" s="21">
        <v>2289</v>
      </c>
      <c r="I2304" s="102">
        <v>0.66762104919420717</v>
      </c>
      <c r="J2304" s="103">
        <v>1.2014641335522799E-3</v>
      </c>
      <c r="K2304" s="103"/>
      <c r="L2304" s="103">
        <v>3.9199999999999999E-2</v>
      </c>
      <c r="O2304" s="100"/>
    </row>
    <row r="2305" spans="2:15" x14ac:dyDescent="0.2">
      <c r="B2305" s="1">
        <v>2290</v>
      </c>
      <c r="C2305" s="101">
        <f t="shared" ca="1" si="140"/>
        <v>-0.42284836455249519</v>
      </c>
      <c r="D2305" s="101">
        <f t="shared" ca="1" si="141"/>
        <v>0.6373556453998428</v>
      </c>
      <c r="E2305" s="101">
        <f t="shared" ca="1" si="142"/>
        <v>0</v>
      </c>
      <c r="F2305" s="21">
        <f t="shared" ca="1" si="143"/>
        <v>0</v>
      </c>
      <c r="H2305" s="21">
        <v>2290</v>
      </c>
      <c r="I2305" s="102">
        <v>0.66761793755461762</v>
      </c>
      <c r="J2305" s="103">
        <v>1.2284471961446078E-3</v>
      </c>
      <c r="K2305" s="103"/>
      <c r="L2305" s="103">
        <v>3.7999999999999999E-2</v>
      </c>
      <c r="O2305" s="100"/>
    </row>
    <row r="2306" spans="2:15" x14ac:dyDescent="0.2">
      <c r="B2306" s="1">
        <v>2291</v>
      </c>
      <c r="C2306" s="101">
        <f t="shared" ca="1" si="140"/>
        <v>1.0956672303839574</v>
      </c>
      <c r="D2306" s="101">
        <f t="shared" ca="1" si="141"/>
        <v>0.74034493375008759</v>
      </c>
      <c r="E2306" s="101">
        <f t="shared" ca="1" si="142"/>
        <v>0</v>
      </c>
      <c r="F2306" s="21">
        <f t="shared" ca="1" si="143"/>
        <v>0</v>
      </c>
      <c r="H2306" s="21">
        <v>2291</v>
      </c>
      <c r="I2306" s="102">
        <v>0.66776618708440805</v>
      </c>
      <c r="J2306" s="103">
        <v>1.3500596396362472E-3</v>
      </c>
      <c r="K2306" s="103"/>
      <c r="L2306" s="103">
        <v>4.1399999999999999E-2</v>
      </c>
      <c r="O2306" s="100"/>
    </row>
    <row r="2307" spans="2:15" x14ac:dyDescent="0.2">
      <c r="B2307" s="1">
        <v>2292</v>
      </c>
      <c r="C2307" s="101">
        <f t="shared" ca="1" si="140"/>
        <v>0.34056960266592978</v>
      </c>
      <c r="D2307" s="101">
        <f t="shared" ca="1" si="141"/>
        <v>0.68720481215762563</v>
      </c>
      <c r="E2307" s="101">
        <f t="shared" ca="1" si="142"/>
        <v>0</v>
      </c>
      <c r="F2307" s="21">
        <f t="shared" ca="1" si="143"/>
        <v>0</v>
      </c>
      <c r="H2307" s="21">
        <v>2292</v>
      </c>
      <c r="I2307" s="102">
        <v>0.66774715988118427</v>
      </c>
      <c r="J2307" s="103">
        <v>1.4618816119139257E-3</v>
      </c>
      <c r="K2307" s="103"/>
      <c r="L2307" s="103">
        <v>4.1000000000000002E-2</v>
      </c>
      <c r="O2307" s="100"/>
    </row>
    <row r="2308" spans="2:15" x14ac:dyDescent="0.2">
      <c r="B2308" s="1">
        <v>2293</v>
      </c>
      <c r="C2308" s="101">
        <f t="shared" ca="1" si="140"/>
        <v>0.7016814910975645</v>
      </c>
      <c r="D2308" s="101">
        <f t="shared" ca="1" si="141"/>
        <v>0.71212462316311231</v>
      </c>
      <c r="E2308" s="101">
        <f t="shared" ca="1" si="142"/>
        <v>0</v>
      </c>
      <c r="F2308" s="21">
        <f t="shared" ca="1" si="143"/>
        <v>0</v>
      </c>
      <c r="H2308" s="21">
        <v>2293</v>
      </c>
      <c r="I2308" s="102">
        <v>0.66783159398124403</v>
      </c>
      <c r="J2308" s="103">
        <v>1.4719584355265222E-3</v>
      </c>
      <c r="K2308" s="103"/>
      <c r="L2308" s="103">
        <v>4.6600000000000003E-2</v>
      </c>
      <c r="O2308" s="100"/>
    </row>
    <row r="2309" spans="2:15" x14ac:dyDescent="0.2">
      <c r="B2309" s="1">
        <v>2294</v>
      </c>
      <c r="C2309" s="101">
        <f t="shared" ca="1" si="140"/>
        <v>-1.5272602369605937</v>
      </c>
      <c r="D2309" s="101">
        <f t="shared" ca="1" si="141"/>
        <v>0.57157011493878318</v>
      </c>
      <c r="E2309" s="101">
        <f t="shared" ca="1" si="142"/>
        <v>0</v>
      </c>
      <c r="F2309" s="21">
        <f t="shared" ca="1" si="143"/>
        <v>0</v>
      </c>
      <c r="H2309" s="21">
        <v>2294</v>
      </c>
      <c r="I2309" s="102">
        <v>0.66782986683290746</v>
      </c>
      <c r="J2309" s="103">
        <v>1.494936533742475E-3</v>
      </c>
      <c r="K2309" s="103"/>
      <c r="L2309" s="103">
        <v>4.3400000000000001E-2</v>
      </c>
      <c r="O2309" s="100"/>
    </row>
    <row r="2310" spans="2:15" x14ac:dyDescent="0.2">
      <c r="B2310" s="1">
        <v>2295</v>
      </c>
      <c r="C2310" s="101">
        <f t="shared" ca="1" si="140"/>
        <v>0.56419793700762133</v>
      </c>
      <c r="D2310" s="101">
        <f t="shared" ca="1" si="141"/>
        <v>0.70253229282218843</v>
      </c>
      <c r="E2310" s="101">
        <f t="shared" ca="1" si="142"/>
        <v>0</v>
      </c>
      <c r="F2310" s="21">
        <f t="shared" ca="1" si="143"/>
        <v>0</v>
      </c>
      <c r="H2310" s="21">
        <v>2295</v>
      </c>
      <c r="I2310" s="102">
        <v>0.66781469206756106</v>
      </c>
      <c r="J2310" s="103">
        <v>1.3306022947680101E-3</v>
      </c>
      <c r="K2310" s="103"/>
      <c r="L2310" s="103">
        <v>4.2599999999999999E-2</v>
      </c>
      <c r="O2310" s="100"/>
    </row>
    <row r="2311" spans="2:15" x14ac:dyDescent="0.2">
      <c r="B2311" s="1">
        <v>2296</v>
      </c>
      <c r="C2311" s="101">
        <f t="shared" ca="1" si="140"/>
        <v>-1.3369654090321361</v>
      </c>
      <c r="D2311" s="101">
        <f t="shared" ca="1" si="141"/>
        <v>0.58240034871068536</v>
      </c>
      <c r="E2311" s="101">
        <f t="shared" ca="1" si="142"/>
        <v>0</v>
      </c>
      <c r="F2311" s="21">
        <f t="shared" ca="1" si="143"/>
        <v>0</v>
      </c>
      <c r="H2311" s="21">
        <v>2296</v>
      </c>
      <c r="I2311" s="102">
        <v>0.66778716456566012</v>
      </c>
      <c r="J2311" s="103">
        <v>1.2531858932346314E-3</v>
      </c>
      <c r="K2311" s="103"/>
      <c r="L2311" s="103">
        <v>4.2000000000000003E-2</v>
      </c>
      <c r="O2311" s="100"/>
    </row>
    <row r="2312" spans="2:15" x14ac:dyDescent="0.2">
      <c r="B2312" s="1">
        <v>2297</v>
      </c>
      <c r="C2312" s="101">
        <f t="shared" ca="1" si="140"/>
        <v>-8.6160256965652882E-2</v>
      </c>
      <c r="D2312" s="101">
        <f t="shared" ca="1" si="141"/>
        <v>0.65887851769671391</v>
      </c>
      <c r="E2312" s="101">
        <f t="shared" ca="1" si="142"/>
        <v>0</v>
      </c>
      <c r="F2312" s="21">
        <f t="shared" ca="1" si="143"/>
        <v>0</v>
      </c>
      <c r="H2312" s="21">
        <v>2297</v>
      </c>
      <c r="I2312" s="102">
        <v>0.66789109826758708</v>
      </c>
      <c r="J2312" s="103">
        <v>1.4977792597457083E-3</v>
      </c>
      <c r="K2312" s="103"/>
      <c r="L2312" s="103">
        <v>4.6199999999999998E-2</v>
      </c>
      <c r="O2312" s="100"/>
    </row>
    <row r="2313" spans="2:15" x14ac:dyDescent="0.2">
      <c r="B2313" s="1">
        <v>2298</v>
      </c>
      <c r="C2313" s="101">
        <f t="shared" ca="1" si="140"/>
        <v>0.41104851341966481</v>
      </c>
      <c r="D2313" s="101">
        <f t="shared" ca="1" si="141"/>
        <v>0.69199899714105984</v>
      </c>
      <c r="E2313" s="101">
        <f t="shared" ca="1" si="142"/>
        <v>0</v>
      </c>
      <c r="F2313" s="21">
        <f t="shared" ca="1" si="143"/>
        <v>0</v>
      </c>
      <c r="H2313" s="21">
        <v>2298</v>
      </c>
      <c r="I2313" s="102">
        <v>0.6677887036740302</v>
      </c>
      <c r="J2313" s="103">
        <v>1.2558117521259608E-3</v>
      </c>
      <c r="K2313" s="103"/>
      <c r="L2313" s="103">
        <v>4.24E-2</v>
      </c>
      <c r="O2313" s="100"/>
    </row>
    <row r="2314" spans="2:15" x14ac:dyDescent="0.2">
      <c r="B2314" s="1">
        <v>2299</v>
      </c>
      <c r="C2314" s="101">
        <f t="shared" ca="1" si="140"/>
        <v>-1.0658464915901071</v>
      </c>
      <c r="D2314" s="101">
        <f t="shared" ca="1" si="141"/>
        <v>0.59818592983805574</v>
      </c>
      <c r="E2314" s="101">
        <f t="shared" ca="1" si="142"/>
        <v>0</v>
      </c>
      <c r="F2314" s="21">
        <f t="shared" ca="1" si="143"/>
        <v>0</v>
      </c>
      <c r="H2314" s="21">
        <v>2299</v>
      </c>
      <c r="I2314" s="102">
        <v>0.66766407226974689</v>
      </c>
      <c r="J2314" s="103">
        <v>1.3596575996204909E-3</v>
      </c>
      <c r="K2314" s="103"/>
      <c r="L2314" s="103">
        <v>4.1799999999999997E-2</v>
      </c>
      <c r="O2314" s="100"/>
    </row>
    <row r="2315" spans="2:15" x14ac:dyDescent="0.2">
      <c r="B2315" s="1">
        <v>2300</v>
      </c>
      <c r="C2315" s="101">
        <f t="shared" ca="1" si="140"/>
        <v>0.50678337022525</v>
      </c>
      <c r="D2315" s="101">
        <f t="shared" ca="1" si="141"/>
        <v>0.69856478252177645</v>
      </c>
      <c r="E2315" s="101">
        <f t="shared" ca="1" si="142"/>
        <v>0</v>
      </c>
      <c r="F2315" s="21">
        <f t="shared" ca="1" si="143"/>
        <v>0</v>
      </c>
      <c r="H2315" s="21">
        <v>2300</v>
      </c>
      <c r="I2315" s="102">
        <v>0.66776120432365238</v>
      </c>
      <c r="J2315" s="103">
        <v>1.3358880374100737E-3</v>
      </c>
      <c r="K2315" s="103"/>
      <c r="L2315" s="103">
        <v>4.2000000000000003E-2</v>
      </c>
      <c r="O2315" s="100"/>
    </row>
    <row r="2316" spans="2:15" x14ac:dyDescent="0.2">
      <c r="B2316" s="1">
        <v>2301</v>
      </c>
      <c r="C2316" s="101">
        <f t="shared" ca="1" si="140"/>
        <v>0.57182782267087551</v>
      </c>
      <c r="D2316" s="101">
        <f t="shared" ca="1" si="141"/>
        <v>0.70306123312875679</v>
      </c>
      <c r="E2316" s="101">
        <f t="shared" ca="1" si="142"/>
        <v>0</v>
      </c>
      <c r="F2316" s="21">
        <f t="shared" ca="1" si="143"/>
        <v>0</v>
      </c>
      <c r="H2316" s="21">
        <v>2301</v>
      </c>
      <c r="I2316" s="102">
        <v>0.6676815165969282</v>
      </c>
      <c r="J2316" s="103">
        <v>1.2167953456595564E-3</v>
      </c>
      <c r="K2316" s="103"/>
      <c r="L2316" s="103">
        <v>4.0399999999999998E-2</v>
      </c>
      <c r="O2316" s="100"/>
    </row>
    <row r="2317" spans="2:15" x14ac:dyDescent="0.2">
      <c r="B2317" s="1">
        <v>2302</v>
      </c>
      <c r="C2317" s="101">
        <f t="shared" ca="1" si="140"/>
        <v>8.1275601259579902E-2</v>
      </c>
      <c r="D2317" s="101">
        <f t="shared" ca="1" si="141"/>
        <v>0.66985097960157747</v>
      </c>
      <c r="E2317" s="101">
        <f t="shared" ca="1" si="142"/>
        <v>0</v>
      </c>
      <c r="F2317" s="21">
        <f t="shared" ca="1" si="143"/>
        <v>0</v>
      </c>
      <c r="H2317" s="21">
        <v>2302</v>
      </c>
      <c r="I2317" s="102">
        <v>0.66784100808998592</v>
      </c>
      <c r="J2317" s="103">
        <v>1.5412286458898099E-3</v>
      </c>
      <c r="K2317" s="103"/>
      <c r="L2317" s="103">
        <v>4.4999999999999998E-2</v>
      </c>
      <c r="O2317" s="100"/>
    </row>
    <row r="2318" spans="2:15" x14ac:dyDescent="0.2">
      <c r="B2318" s="1">
        <v>2303</v>
      </c>
      <c r="C2318" s="101">
        <f t="shared" ca="1" si="140"/>
        <v>0.31687595687043935</v>
      </c>
      <c r="D2318" s="101">
        <f t="shared" ca="1" si="141"/>
        <v>0.68560057130120033</v>
      </c>
      <c r="E2318" s="101">
        <f t="shared" ca="1" si="142"/>
        <v>0</v>
      </c>
      <c r="F2318" s="21">
        <f t="shared" ca="1" si="143"/>
        <v>0</v>
      </c>
      <c r="H2318" s="21">
        <v>2303</v>
      </c>
      <c r="I2318" s="102">
        <v>0.66767350087686539</v>
      </c>
      <c r="J2318" s="103">
        <v>1.2129487347980164E-3</v>
      </c>
      <c r="K2318" s="103"/>
      <c r="L2318" s="103">
        <v>4.1200000000000001E-2</v>
      </c>
      <c r="O2318" s="100"/>
    </row>
    <row r="2319" spans="2:15" x14ac:dyDescent="0.2">
      <c r="B2319" s="1">
        <v>2304</v>
      </c>
      <c r="C2319" s="101">
        <f t="shared" ca="1" si="140"/>
        <v>-1.79927092400832</v>
      </c>
      <c r="D2319" s="101">
        <f t="shared" ca="1" si="141"/>
        <v>0.5564379514879304</v>
      </c>
      <c r="E2319" s="101">
        <f t="shared" ca="1" si="142"/>
        <v>0</v>
      </c>
      <c r="F2319" s="21">
        <f t="shared" ca="1" si="143"/>
        <v>0</v>
      </c>
      <c r="H2319" s="21">
        <v>2304</v>
      </c>
      <c r="I2319" s="102">
        <v>0.66769869279821581</v>
      </c>
      <c r="J2319" s="103">
        <v>1.3864878065208094E-3</v>
      </c>
      <c r="K2319" s="103"/>
      <c r="L2319" s="103">
        <v>4.0599999999999997E-2</v>
      </c>
      <c r="O2319" s="100"/>
    </row>
    <row r="2320" spans="2:15" x14ac:dyDescent="0.2">
      <c r="B2320" s="1">
        <v>2305</v>
      </c>
      <c r="C2320" s="101">
        <f t="shared" ref="C2320:C2383" ca="1" si="144">_xlfn.NORM.S.INV(RAND())</f>
        <v>-6.0708858484207193E-2</v>
      </c>
      <c r="D2320" s="101">
        <f t="shared" ref="D2320:D2383" ca="1" si="145">S0*EXP((μ-0.5*σ*σ)*T+σ*SQRT(T)*$C2320)</f>
        <v>0.66053474970780679</v>
      </c>
      <c r="E2320" s="101">
        <f t="shared" ref="E2320:E2383" ca="1" si="146">MAX(0,CP*(D2320-K))</f>
        <v>0</v>
      </c>
      <c r="F2320" s="21">
        <f t="shared" ref="F2320:F2383" ca="1" si="147">(CP*(D2320-K)&gt;0)*1</f>
        <v>0</v>
      </c>
      <c r="H2320" s="21">
        <v>2305</v>
      </c>
      <c r="I2320" s="102">
        <v>0.66775876347249519</v>
      </c>
      <c r="J2320" s="103">
        <v>1.3161956846172755E-3</v>
      </c>
      <c r="K2320" s="103"/>
      <c r="L2320" s="103">
        <v>4.4400000000000002E-2</v>
      </c>
      <c r="O2320" s="100"/>
    </row>
    <row r="2321" spans="2:15" x14ac:dyDescent="0.2">
      <c r="B2321" s="1">
        <v>2306</v>
      </c>
      <c r="C2321" s="101">
        <f t="shared" ca="1" si="144"/>
        <v>-0.32527703362562599</v>
      </c>
      <c r="D2321" s="101">
        <f t="shared" ca="1" si="145"/>
        <v>0.64351953129760731</v>
      </c>
      <c r="E2321" s="101">
        <f t="shared" ca="1" si="146"/>
        <v>0</v>
      </c>
      <c r="F2321" s="21">
        <f t="shared" ca="1" si="147"/>
        <v>0</v>
      </c>
      <c r="H2321" s="21">
        <v>2306</v>
      </c>
      <c r="I2321" s="102">
        <v>0.6677494182089494</v>
      </c>
      <c r="J2321" s="103">
        <v>1.4622706875920071E-3</v>
      </c>
      <c r="K2321" s="103"/>
      <c r="L2321" s="103">
        <v>4.24E-2</v>
      </c>
      <c r="O2321" s="100"/>
    </row>
    <row r="2322" spans="2:15" x14ac:dyDescent="0.2">
      <c r="B2322" s="1">
        <v>2307</v>
      </c>
      <c r="C2322" s="101">
        <f t="shared" ca="1" si="144"/>
        <v>0.99391178780556511</v>
      </c>
      <c r="D2322" s="101">
        <f t="shared" ca="1" si="145"/>
        <v>0.7329510450322968</v>
      </c>
      <c r="E2322" s="101">
        <f t="shared" ca="1" si="146"/>
        <v>0</v>
      </c>
      <c r="F2322" s="21">
        <f t="shared" ca="1" si="147"/>
        <v>0</v>
      </c>
      <c r="H2322" s="21">
        <v>2307</v>
      </c>
      <c r="I2322" s="102">
        <v>0.66758116827318936</v>
      </c>
      <c r="J2322" s="103">
        <v>1.2083197990974612E-3</v>
      </c>
      <c r="K2322" s="103"/>
      <c r="L2322" s="103">
        <v>3.7999999999999999E-2</v>
      </c>
      <c r="O2322" s="100"/>
    </row>
    <row r="2323" spans="2:15" x14ac:dyDescent="0.2">
      <c r="B2323" s="1">
        <v>2308</v>
      </c>
      <c r="C2323" s="101">
        <f t="shared" ca="1" si="144"/>
        <v>-1.4695025221579261</v>
      </c>
      <c r="D2323" s="101">
        <f t="shared" ca="1" si="145"/>
        <v>0.57483581395680405</v>
      </c>
      <c r="E2323" s="101">
        <f t="shared" ca="1" si="146"/>
        <v>0</v>
      </c>
      <c r="F2323" s="21">
        <f t="shared" ca="1" si="147"/>
        <v>0</v>
      </c>
      <c r="H2323" s="21">
        <v>2308</v>
      </c>
      <c r="I2323" s="102">
        <v>0.66795749812460459</v>
      </c>
      <c r="J2323" s="103">
        <v>1.6072065868676893E-3</v>
      </c>
      <c r="K2323" s="103"/>
      <c r="L2323" s="103">
        <v>4.3799999999999999E-2</v>
      </c>
      <c r="O2323" s="100"/>
    </row>
    <row r="2324" spans="2:15" x14ac:dyDescent="0.2">
      <c r="B2324" s="1">
        <v>2309</v>
      </c>
      <c r="C2324" s="101">
        <f t="shared" ca="1" si="144"/>
        <v>-0.23982323177014717</v>
      </c>
      <c r="D2324" s="101">
        <f t="shared" ca="1" si="145"/>
        <v>0.64896686150754546</v>
      </c>
      <c r="E2324" s="101">
        <f t="shared" ca="1" si="146"/>
        <v>0</v>
      </c>
      <c r="F2324" s="21">
        <f t="shared" ca="1" si="147"/>
        <v>0</v>
      </c>
      <c r="H2324" s="21">
        <v>2309</v>
      </c>
      <c r="I2324" s="102">
        <v>0.66757821363640168</v>
      </c>
      <c r="J2324" s="103">
        <v>1.244733310767723E-3</v>
      </c>
      <c r="K2324" s="103"/>
      <c r="L2324" s="103">
        <v>3.5400000000000001E-2</v>
      </c>
      <c r="O2324" s="100"/>
    </row>
    <row r="2325" spans="2:15" x14ac:dyDescent="0.2">
      <c r="B2325" s="1">
        <v>2310</v>
      </c>
      <c r="C2325" s="101">
        <f t="shared" ca="1" si="144"/>
        <v>5.7439873843119368E-2</v>
      </c>
      <c r="D2325" s="101">
        <f t="shared" ca="1" si="145"/>
        <v>0.6682778842280005</v>
      </c>
      <c r="E2325" s="101">
        <f t="shared" ca="1" si="146"/>
        <v>0</v>
      </c>
      <c r="F2325" s="21">
        <f t="shared" ca="1" si="147"/>
        <v>0</v>
      </c>
      <c r="H2325" s="21">
        <v>2310</v>
      </c>
      <c r="I2325" s="102">
        <v>0.6678195126444908</v>
      </c>
      <c r="J2325" s="103">
        <v>1.3760135274908957E-3</v>
      </c>
      <c r="K2325" s="103"/>
      <c r="L2325" s="103">
        <v>4.2599999999999999E-2</v>
      </c>
      <c r="O2325" s="100"/>
    </row>
    <row r="2326" spans="2:15" x14ac:dyDescent="0.2">
      <c r="B2326" s="1">
        <v>2311</v>
      </c>
      <c r="C2326" s="101">
        <f t="shared" ca="1" si="144"/>
        <v>-0.51864061061843092</v>
      </c>
      <c r="D2326" s="101">
        <f t="shared" ca="1" si="145"/>
        <v>0.63136158838928791</v>
      </c>
      <c r="E2326" s="101">
        <f t="shared" ca="1" si="146"/>
        <v>0</v>
      </c>
      <c r="F2326" s="21">
        <f t="shared" ca="1" si="147"/>
        <v>0</v>
      </c>
      <c r="H2326" s="21">
        <v>2311</v>
      </c>
      <c r="I2326" s="102">
        <v>0.66776282613309046</v>
      </c>
      <c r="J2326" s="103">
        <v>1.2754388953525027E-3</v>
      </c>
      <c r="K2326" s="103"/>
      <c r="L2326" s="103">
        <v>4.2200000000000001E-2</v>
      </c>
      <c r="O2326" s="100"/>
    </row>
    <row r="2327" spans="2:15" x14ac:dyDescent="0.2">
      <c r="B2327" s="1">
        <v>2312</v>
      </c>
      <c r="C2327" s="101">
        <f t="shared" ca="1" si="144"/>
        <v>-0.23373965489937562</v>
      </c>
      <c r="D2327" s="101">
        <f t="shared" ca="1" si="145"/>
        <v>0.64935641825973944</v>
      </c>
      <c r="E2327" s="101">
        <f t="shared" ca="1" si="146"/>
        <v>0</v>
      </c>
      <c r="F2327" s="21">
        <f t="shared" ca="1" si="147"/>
        <v>0</v>
      </c>
      <c r="H2327" s="21">
        <v>2312</v>
      </c>
      <c r="I2327" s="102">
        <v>0.66787454415612979</v>
      </c>
      <c r="J2327" s="103">
        <v>1.4920757717271835E-3</v>
      </c>
      <c r="K2327" s="103"/>
      <c r="L2327" s="103">
        <v>4.5400000000000003E-2</v>
      </c>
      <c r="O2327" s="100"/>
    </row>
    <row r="2328" spans="2:15" x14ac:dyDescent="0.2">
      <c r="B2328" s="1">
        <v>2313</v>
      </c>
      <c r="C2328" s="101">
        <f t="shared" ca="1" si="144"/>
        <v>0.43713445366815651</v>
      </c>
      <c r="D2328" s="101">
        <f t="shared" ca="1" si="145"/>
        <v>0.69378190842457987</v>
      </c>
      <c r="E2328" s="101">
        <f t="shared" ca="1" si="146"/>
        <v>0</v>
      </c>
      <c r="F2328" s="21">
        <f t="shared" ca="1" si="147"/>
        <v>0</v>
      </c>
      <c r="H2328" s="21">
        <v>2313</v>
      </c>
      <c r="I2328" s="102">
        <v>0.6677453274343671</v>
      </c>
      <c r="J2328" s="103">
        <v>1.3699507806558594E-3</v>
      </c>
      <c r="K2328" s="103"/>
      <c r="L2328" s="103">
        <v>4.1799999999999997E-2</v>
      </c>
      <c r="O2328" s="100"/>
    </row>
    <row r="2329" spans="2:15" x14ac:dyDescent="0.2">
      <c r="B2329" s="1">
        <v>2314</v>
      </c>
      <c r="C2329" s="101">
        <f t="shared" ca="1" si="144"/>
        <v>0.41250005212673896</v>
      </c>
      <c r="D2329" s="101">
        <f t="shared" ca="1" si="145"/>
        <v>0.69209808582925003</v>
      </c>
      <c r="E2329" s="101">
        <f t="shared" ca="1" si="146"/>
        <v>0</v>
      </c>
      <c r="F2329" s="21">
        <f t="shared" ca="1" si="147"/>
        <v>0</v>
      </c>
      <c r="H2329" s="21">
        <v>2314</v>
      </c>
      <c r="I2329" s="102">
        <v>0.66766992327889785</v>
      </c>
      <c r="J2329" s="103">
        <v>1.3550016028057096E-3</v>
      </c>
      <c r="K2329" s="103"/>
      <c r="L2329" s="103">
        <v>4.24E-2</v>
      </c>
      <c r="O2329" s="100"/>
    </row>
    <row r="2330" spans="2:15" x14ac:dyDescent="0.2">
      <c r="B2330" s="1">
        <v>2315</v>
      </c>
      <c r="C2330" s="101">
        <f t="shared" ca="1" si="144"/>
        <v>-0.54596067084988886</v>
      </c>
      <c r="D2330" s="101">
        <f t="shared" ca="1" si="145"/>
        <v>0.6296624308240234</v>
      </c>
      <c r="E2330" s="101">
        <f t="shared" ca="1" si="146"/>
        <v>0</v>
      </c>
      <c r="F2330" s="21">
        <f t="shared" ca="1" si="147"/>
        <v>0</v>
      </c>
      <c r="H2330" s="21">
        <v>2315</v>
      </c>
      <c r="I2330" s="102">
        <v>0.66772261894747953</v>
      </c>
      <c r="J2330" s="103">
        <v>1.4372596758575292E-3</v>
      </c>
      <c r="K2330" s="103"/>
      <c r="L2330" s="103">
        <v>4.02E-2</v>
      </c>
      <c r="O2330" s="100"/>
    </row>
    <row r="2331" spans="2:15" x14ac:dyDescent="0.2">
      <c r="B2331" s="1">
        <v>2316</v>
      </c>
      <c r="C2331" s="101">
        <f t="shared" ca="1" si="144"/>
        <v>-1.5842477985547361</v>
      </c>
      <c r="D2331" s="101">
        <f t="shared" ca="1" si="145"/>
        <v>0.56836614520918571</v>
      </c>
      <c r="E2331" s="101">
        <f t="shared" ca="1" si="146"/>
        <v>0</v>
      </c>
      <c r="F2331" s="21">
        <f t="shared" ca="1" si="147"/>
        <v>0</v>
      </c>
      <c r="H2331" s="21">
        <v>2316</v>
      </c>
      <c r="I2331" s="102">
        <v>0.66789778342297368</v>
      </c>
      <c r="J2331" s="103">
        <v>1.5243593479511467E-3</v>
      </c>
      <c r="K2331" s="103"/>
      <c r="L2331" s="103">
        <v>4.4600000000000001E-2</v>
      </c>
      <c r="O2331" s="100"/>
    </row>
    <row r="2332" spans="2:15" x14ac:dyDescent="0.2">
      <c r="B2332" s="1">
        <v>2317</v>
      </c>
      <c r="C2332" s="101">
        <f t="shared" ca="1" si="144"/>
        <v>0.24253993059831747</v>
      </c>
      <c r="D2332" s="101">
        <f t="shared" ca="1" si="145"/>
        <v>0.68059172008801827</v>
      </c>
      <c r="E2332" s="101">
        <f t="shared" ca="1" si="146"/>
        <v>0</v>
      </c>
      <c r="F2332" s="21">
        <f t="shared" ca="1" si="147"/>
        <v>0</v>
      </c>
      <c r="H2332" s="21">
        <v>2317</v>
      </c>
      <c r="I2332" s="102">
        <v>0.66772623235555462</v>
      </c>
      <c r="J2332" s="103">
        <v>1.2674811098777529E-3</v>
      </c>
      <c r="K2332" s="103"/>
      <c r="L2332" s="103">
        <v>4.2000000000000003E-2</v>
      </c>
      <c r="O2332" s="100"/>
    </row>
    <row r="2333" spans="2:15" x14ac:dyDescent="0.2">
      <c r="B2333" s="1">
        <v>2318</v>
      </c>
      <c r="C2333" s="101">
        <f t="shared" ca="1" si="144"/>
        <v>0.42692583840073661</v>
      </c>
      <c r="D2333" s="101">
        <f t="shared" ca="1" si="145"/>
        <v>0.69308362768835807</v>
      </c>
      <c r="E2333" s="101">
        <f t="shared" ca="1" si="146"/>
        <v>0</v>
      </c>
      <c r="F2333" s="21">
        <f t="shared" ca="1" si="147"/>
        <v>0</v>
      </c>
      <c r="H2333" s="21">
        <v>2318</v>
      </c>
      <c r="I2333" s="102">
        <v>0.66772829264482036</v>
      </c>
      <c r="J2333" s="103">
        <v>1.404666817138543E-3</v>
      </c>
      <c r="K2333" s="103"/>
      <c r="L2333" s="103">
        <v>4.2200000000000001E-2</v>
      </c>
      <c r="O2333" s="100"/>
    </row>
    <row r="2334" spans="2:15" x14ac:dyDescent="0.2">
      <c r="B2334" s="1">
        <v>2319</v>
      </c>
      <c r="C2334" s="101">
        <f t="shared" ca="1" si="144"/>
        <v>0.66363840979743449</v>
      </c>
      <c r="D2334" s="101">
        <f t="shared" ca="1" si="145"/>
        <v>0.70945729793616341</v>
      </c>
      <c r="E2334" s="101">
        <f t="shared" ca="1" si="146"/>
        <v>0</v>
      </c>
      <c r="F2334" s="21">
        <f t="shared" ca="1" si="147"/>
        <v>0</v>
      </c>
      <c r="H2334" s="21">
        <v>2319</v>
      </c>
      <c r="I2334" s="102">
        <v>0.66777216222064539</v>
      </c>
      <c r="J2334" s="103">
        <v>1.4084634213015412E-3</v>
      </c>
      <c r="K2334" s="103"/>
      <c r="L2334" s="103">
        <v>4.36E-2</v>
      </c>
      <c r="O2334" s="100"/>
    </row>
    <row r="2335" spans="2:15" x14ac:dyDescent="0.2">
      <c r="B2335" s="1">
        <v>2320</v>
      </c>
      <c r="C2335" s="101">
        <f t="shared" ca="1" si="144"/>
        <v>-0.80349537815162986</v>
      </c>
      <c r="D2335" s="101">
        <f t="shared" ca="1" si="145"/>
        <v>0.61386822431426113</v>
      </c>
      <c r="E2335" s="101">
        <f t="shared" ca="1" si="146"/>
        <v>0</v>
      </c>
      <c r="F2335" s="21">
        <f t="shared" ca="1" si="147"/>
        <v>0</v>
      </c>
      <c r="H2335" s="21">
        <v>2320</v>
      </c>
      <c r="I2335" s="102">
        <v>0.66765203277597018</v>
      </c>
      <c r="J2335" s="103">
        <v>1.2868502896298711E-3</v>
      </c>
      <c r="K2335" s="103"/>
      <c r="L2335" s="103">
        <v>3.6600000000000001E-2</v>
      </c>
      <c r="O2335" s="100"/>
    </row>
    <row r="2336" spans="2:15" x14ac:dyDescent="0.2">
      <c r="B2336" s="1">
        <v>2321</v>
      </c>
      <c r="C2336" s="101">
        <f t="shared" ca="1" si="144"/>
        <v>-1.0797738551374449</v>
      </c>
      <c r="D2336" s="101">
        <f t="shared" ca="1" si="145"/>
        <v>0.59736469810830672</v>
      </c>
      <c r="E2336" s="101">
        <f t="shared" ca="1" si="146"/>
        <v>0</v>
      </c>
      <c r="F2336" s="21">
        <f t="shared" ca="1" si="147"/>
        <v>0</v>
      </c>
      <c r="H2336" s="21">
        <v>2321</v>
      </c>
      <c r="I2336" s="102">
        <v>0.66776833970711891</v>
      </c>
      <c r="J2336" s="103">
        <v>1.4217611852161112E-3</v>
      </c>
      <c r="K2336" s="103"/>
      <c r="L2336" s="103">
        <v>4.0800000000000003E-2</v>
      </c>
      <c r="O2336" s="100"/>
    </row>
    <row r="2337" spans="2:15" x14ac:dyDescent="0.2">
      <c r="B2337" s="1">
        <v>2322</v>
      </c>
      <c r="C2337" s="101">
        <f t="shared" ca="1" si="144"/>
        <v>0.64403261909720122</v>
      </c>
      <c r="D2337" s="101">
        <f t="shared" ca="1" si="145"/>
        <v>0.70808657512288298</v>
      </c>
      <c r="E2337" s="101">
        <f t="shared" ca="1" si="146"/>
        <v>0</v>
      </c>
      <c r="F2337" s="21">
        <f t="shared" ca="1" si="147"/>
        <v>0</v>
      </c>
      <c r="H2337" s="21">
        <v>2322</v>
      </c>
      <c r="I2337" s="102">
        <v>0.66768861818088621</v>
      </c>
      <c r="J2337" s="103">
        <v>1.3468126240610736E-3</v>
      </c>
      <c r="K2337" s="103"/>
      <c r="L2337" s="103">
        <v>3.9E-2</v>
      </c>
      <c r="O2337" s="100"/>
    </row>
    <row r="2338" spans="2:15" x14ac:dyDescent="0.2">
      <c r="B2338" s="1">
        <v>2323</v>
      </c>
      <c r="C2338" s="101">
        <f t="shared" ca="1" si="144"/>
        <v>0.92816435640351636</v>
      </c>
      <c r="D2338" s="101">
        <f t="shared" ca="1" si="145"/>
        <v>0.72821293511969243</v>
      </c>
      <c r="E2338" s="101">
        <f t="shared" ca="1" si="146"/>
        <v>0</v>
      </c>
      <c r="F2338" s="21">
        <f t="shared" ca="1" si="147"/>
        <v>0</v>
      </c>
      <c r="H2338" s="21">
        <v>2323</v>
      </c>
      <c r="I2338" s="102">
        <v>0.66775828766229095</v>
      </c>
      <c r="J2338" s="103">
        <v>1.3283647349026555E-3</v>
      </c>
      <c r="K2338" s="103"/>
      <c r="L2338" s="103">
        <v>4.2599999999999999E-2</v>
      </c>
      <c r="O2338" s="100"/>
    </row>
    <row r="2339" spans="2:15" x14ac:dyDescent="0.2">
      <c r="B2339" s="1">
        <v>2324</v>
      </c>
      <c r="C2339" s="101">
        <f t="shared" ca="1" si="144"/>
        <v>-1.1900621310397907</v>
      </c>
      <c r="D2339" s="101">
        <f t="shared" ca="1" si="145"/>
        <v>0.59090120034305815</v>
      </c>
      <c r="E2339" s="101">
        <f t="shared" ca="1" si="146"/>
        <v>0</v>
      </c>
      <c r="F2339" s="21">
        <f t="shared" ca="1" si="147"/>
        <v>0</v>
      </c>
      <c r="H2339" s="21">
        <v>2324</v>
      </c>
      <c r="I2339" s="102">
        <v>0.66777897095990513</v>
      </c>
      <c r="J2339" s="103">
        <v>1.4487924913000254E-3</v>
      </c>
      <c r="K2339" s="103"/>
      <c r="L2339" s="103">
        <v>4.1000000000000002E-2</v>
      </c>
      <c r="O2339" s="100"/>
    </row>
    <row r="2340" spans="2:15" x14ac:dyDescent="0.2">
      <c r="B2340" s="1">
        <v>2325</v>
      </c>
      <c r="C2340" s="101">
        <f t="shared" ca="1" si="144"/>
        <v>-0.66858327987449617</v>
      </c>
      <c r="D2340" s="101">
        <f t="shared" ca="1" si="145"/>
        <v>0.62209212640859379</v>
      </c>
      <c r="E2340" s="101">
        <f t="shared" ca="1" si="146"/>
        <v>0</v>
      </c>
      <c r="F2340" s="21">
        <f t="shared" ca="1" si="147"/>
        <v>0</v>
      </c>
      <c r="H2340" s="21">
        <v>2325</v>
      </c>
      <c r="I2340" s="102">
        <v>0.6677174756641332</v>
      </c>
      <c r="J2340" s="103">
        <v>1.3514779257890581E-3</v>
      </c>
      <c r="K2340" s="103"/>
      <c r="L2340" s="103">
        <v>4.2000000000000003E-2</v>
      </c>
      <c r="O2340" s="100"/>
    </row>
    <row r="2341" spans="2:15" x14ac:dyDescent="0.2">
      <c r="B2341" s="1">
        <v>2326</v>
      </c>
      <c r="C2341" s="101">
        <f t="shared" ca="1" si="144"/>
        <v>-0.67635763610005639</v>
      </c>
      <c r="D2341" s="101">
        <f t="shared" ca="1" si="145"/>
        <v>0.62161524375214527</v>
      </c>
      <c r="E2341" s="101">
        <f t="shared" ca="1" si="146"/>
        <v>0</v>
      </c>
      <c r="F2341" s="21">
        <f t="shared" ca="1" si="147"/>
        <v>0</v>
      </c>
      <c r="H2341" s="21">
        <v>2326</v>
      </c>
      <c r="I2341" s="102">
        <v>0.66774486300634694</v>
      </c>
      <c r="J2341" s="103">
        <v>1.4125372483593261E-3</v>
      </c>
      <c r="K2341" s="103"/>
      <c r="L2341" s="103">
        <v>4.0399999999999998E-2</v>
      </c>
      <c r="O2341" s="100"/>
    </row>
    <row r="2342" spans="2:15" x14ac:dyDescent="0.2">
      <c r="B2342" s="1">
        <v>2327</v>
      </c>
      <c r="C2342" s="101">
        <f t="shared" ca="1" si="144"/>
        <v>3.3922570092820634</v>
      </c>
      <c r="D2342" s="101">
        <f t="shared" ca="1" si="145"/>
        <v>0.92857844672917367</v>
      </c>
      <c r="E2342" s="101">
        <f t="shared" ca="1" si="146"/>
        <v>0.14037844672917366</v>
      </c>
      <c r="F2342" s="21">
        <f t="shared" ca="1" si="147"/>
        <v>1</v>
      </c>
      <c r="H2342" s="21">
        <v>2327</v>
      </c>
      <c r="I2342" s="102">
        <v>0.66789498252783708</v>
      </c>
      <c r="J2342" s="103">
        <v>1.4945186947231135E-3</v>
      </c>
      <c r="K2342" s="103"/>
      <c r="L2342" s="103">
        <v>4.7399999999999998E-2</v>
      </c>
      <c r="O2342" s="100"/>
    </row>
    <row r="2343" spans="2:15" x14ac:dyDescent="0.2">
      <c r="B2343" s="1">
        <v>2328</v>
      </c>
      <c r="C2343" s="101">
        <f t="shared" ca="1" si="144"/>
        <v>-1.3547697479895808</v>
      </c>
      <c r="D2343" s="101">
        <f t="shared" ca="1" si="145"/>
        <v>0.58137840947590913</v>
      </c>
      <c r="E2343" s="101">
        <f t="shared" ca="1" si="146"/>
        <v>0</v>
      </c>
      <c r="F2343" s="21">
        <f t="shared" ca="1" si="147"/>
        <v>0</v>
      </c>
      <c r="H2343" s="21">
        <v>2328</v>
      </c>
      <c r="I2343" s="102">
        <v>0.66764214460125959</v>
      </c>
      <c r="J2343" s="103">
        <v>1.2316741914643612E-3</v>
      </c>
      <c r="K2343" s="103"/>
      <c r="L2343" s="103">
        <v>4.0599999999999997E-2</v>
      </c>
      <c r="O2343" s="100"/>
    </row>
    <row r="2344" spans="2:15" x14ac:dyDescent="0.2">
      <c r="B2344" s="1">
        <v>2329</v>
      </c>
      <c r="C2344" s="101">
        <f t="shared" ca="1" si="144"/>
        <v>-1.9143063710309052</v>
      </c>
      <c r="D2344" s="101">
        <f t="shared" ca="1" si="145"/>
        <v>0.55015959987304408</v>
      </c>
      <c r="E2344" s="101">
        <f t="shared" ca="1" si="146"/>
        <v>0</v>
      </c>
      <c r="F2344" s="21">
        <f t="shared" ca="1" si="147"/>
        <v>0</v>
      </c>
      <c r="H2344" s="21">
        <v>2329</v>
      </c>
      <c r="I2344" s="102">
        <v>0.66776318092401221</v>
      </c>
      <c r="J2344" s="103">
        <v>1.2444332356333801E-3</v>
      </c>
      <c r="K2344" s="103"/>
      <c r="L2344" s="103">
        <v>4.2799999999999998E-2</v>
      </c>
      <c r="O2344" s="100"/>
    </row>
    <row r="2345" spans="2:15" x14ac:dyDescent="0.2">
      <c r="B2345" s="1">
        <v>2330</v>
      </c>
      <c r="C2345" s="101">
        <f t="shared" ca="1" si="144"/>
        <v>0.12203093021113692</v>
      </c>
      <c r="D2345" s="101">
        <f t="shared" ca="1" si="145"/>
        <v>0.67254930772208998</v>
      </c>
      <c r="E2345" s="101">
        <f t="shared" ca="1" si="146"/>
        <v>0</v>
      </c>
      <c r="F2345" s="21">
        <f t="shared" ca="1" si="147"/>
        <v>0</v>
      </c>
      <c r="H2345" s="21">
        <v>2330</v>
      </c>
      <c r="I2345" s="102">
        <v>0.66783048229456798</v>
      </c>
      <c r="J2345" s="103">
        <v>1.4911622897261058E-3</v>
      </c>
      <c r="K2345" s="103"/>
      <c r="L2345" s="103">
        <v>4.4200000000000003E-2</v>
      </c>
      <c r="O2345" s="100"/>
    </row>
    <row r="2346" spans="2:15" x14ac:dyDescent="0.2">
      <c r="B2346" s="1">
        <v>2331</v>
      </c>
      <c r="C2346" s="101">
        <f t="shared" ca="1" si="144"/>
        <v>-0.37523498131777039</v>
      </c>
      <c r="D2346" s="101">
        <f t="shared" ca="1" si="145"/>
        <v>0.64035612060816105</v>
      </c>
      <c r="E2346" s="101">
        <f t="shared" ca="1" si="146"/>
        <v>0</v>
      </c>
      <c r="F2346" s="21">
        <f t="shared" ca="1" si="147"/>
        <v>0</v>
      </c>
      <c r="H2346" s="21">
        <v>2331</v>
      </c>
      <c r="I2346" s="102">
        <v>0.66772642512356317</v>
      </c>
      <c r="J2346" s="103">
        <v>1.2991999316687691E-3</v>
      </c>
      <c r="K2346" s="103"/>
      <c r="L2346" s="103">
        <v>3.9E-2</v>
      </c>
      <c r="O2346" s="100"/>
    </row>
    <row r="2347" spans="2:15" x14ac:dyDescent="0.2">
      <c r="B2347" s="1">
        <v>2332</v>
      </c>
      <c r="C2347" s="101">
        <f t="shared" ca="1" si="144"/>
        <v>0.39398893264233931</v>
      </c>
      <c r="D2347" s="101">
        <f t="shared" ca="1" si="145"/>
        <v>0.6908354945343711</v>
      </c>
      <c r="E2347" s="101">
        <f t="shared" ca="1" si="146"/>
        <v>0</v>
      </c>
      <c r="F2347" s="21">
        <f t="shared" ca="1" si="147"/>
        <v>0</v>
      </c>
      <c r="H2347" s="21">
        <v>2332</v>
      </c>
      <c r="I2347" s="102">
        <v>0.66776767233381629</v>
      </c>
      <c r="J2347" s="103">
        <v>1.318889241765297E-3</v>
      </c>
      <c r="K2347" s="103"/>
      <c r="L2347" s="103">
        <v>3.9800000000000002E-2</v>
      </c>
      <c r="O2347" s="100"/>
    </row>
    <row r="2348" spans="2:15" x14ac:dyDescent="0.2">
      <c r="B2348" s="1">
        <v>2333</v>
      </c>
      <c r="C2348" s="101">
        <f t="shared" ca="1" si="144"/>
        <v>-0.20988299668118784</v>
      </c>
      <c r="D2348" s="101">
        <f t="shared" ca="1" si="145"/>
        <v>0.65088631721938661</v>
      </c>
      <c r="E2348" s="101">
        <f t="shared" ca="1" si="146"/>
        <v>0</v>
      </c>
      <c r="F2348" s="21">
        <f t="shared" ca="1" si="147"/>
        <v>0</v>
      </c>
      <c r="H2348" s="21">
        <v>2333</v>
      </c>
      <c r="I2348" s="102">
        <v>0.66784394319125362</v>
      </c>
      <c r="J2348" s="103">
        <v>1.5559200611063933E-3</v>
      </c>
      <c r="K2348" s="103"/>
      <c r="L2348" s="103">
        <v>4.36E-2</v>
      </c>
      <c r="O2348" s="100"/>
    </row>
    <row r="2349" spans="2:15" x14ac:dyDescent="0.2">
      <c r="B2349" s="1">
        <v>2334</v>
      </c>
      <c r="C2349" s="101">
        <f t="shared" ca="1" si="144"/>
        <v>0.73602741657340165</v>
      </c>
      <c r="D2349" s="101">
        <f t="shared" ca="1" si="145"/>
        <v>0.71454134136695491</v>
      </c>
      <c r="E2349" s="101">
        <f t="shared" ca="1" si="146"/>
        <v>0</v>
      </c>
      <c r="F2349" s="21">
        <f t="shared" ca="1" si="147"/>
        <v>0</v>
      </c>
      <c r="H2349" s="21">
        <v>2334</v>
      </c>
      <c r="I2349" s="102">
        <v>0.66776420861833896</v>
      </c>
      <c r="J2349" s="103">
        <v>1.288625551358233E-3</v>
      </c>
      <c r="K2349" s="103"/>
      <c r="L2349" s="103">
        <v>3.9E-2</v>
      </c>
      <c r="O2349" s="100"/>
    </row>
    <row r="2350" spans="2:15" x14ac:dyDescent="0.2">
      <c r="B2350" s="1">
        <v>2335</v>
      </c>
      <c r="C2350" s="101">
        <f t="shared" ca="1" si="144"/>
        <v>-0.48824865497481845</v>
      </c>
      <c r="D2350" s="101">
        <f t="shared" ca="1" si="145"/>
        <v>0.63325718905479245</v>
      </c>
      <c r="E2350" s="101">
        <f t="shared" ca="1" si="146"/>
        <v>0</v>
      </c>
      <c r="F2350" s="21">
        <f t="shared" ca="1" si="147"/>
        <v>0</v>
      </c>
      <c r="H2350" s="21">
        <v>2335</v>
      </c>
      <c r="I2350" s="102">
        <v>0.66779906903601038</v>
      </c>
      <c r="J2350" s="103">
        <v>1.4627860800770101E-3</v>
      </c>
      <c r="K2350" s="103"/>
      <c r="L2350" s="103">
        <v>4.5600000000000002E-2</v>
      </c>
      <c r="O2350" s="100"/>
    </row>
    <row r="2351" spans="2:15" x14ac:dyDescent="0.2">
      <c r="B2351" s="1">
        <v>2336</v>
      </c>
      <c r="C2351" s="101">
        <f t="shared" ca="1" si="144"/>
        <v>1.066273017177835</v>
      </c>
      <c r="D2351" s="101">
        <f t="shared" ca="1" si="145"/>
        <v>0.73820142437881087</v>
      </c>
      <c r="E2351" s="101">
        <f t="shared" ca="1" si="146"/>
        <v>0</v>
      </c>
      <c r="F2351" s="21">
        <f t="shared" ca="1" si="147"/>
        <v>0</v>
      </c>
      <c r="H2351" s="21">
        <v>2336</v>
      </c>
      <c r="I2351" s="102">
        <v>0.66783168957513794</v>
      </c>
      <c r="J2351" s="103">
        <v>1.4327871823281687E-3</v>
      </c>
      <c r="K2351" s="103"/>
      <c r="L2351" s="103">
        <v>4.1799999999999997E-2</v>
      </c>
      <c r="O2351" s="100"/>
    </row>
    <row r="2352" spans="2:15" x14ac:dyDescent="0.2">
      <c r="B2352" s="1">
        <v>2337</v>
      </c>
      <c r="C2352" s="101">
        <f t="shared" ca="1" si="144"/>
        <v>-0.60115062297620037</v>
      </c>
      <c r="D2352" s="101">
        <f t="shared" ca="1" si="145"/>
        <v>0.62624385604539035</v>
      </c>
      <c r="E2352" s="101">
        <f t="shared" ca="1" si="146"/>
        <v>0</v>
      </c>
      <c r="F2352" s="21">
        <f t="shared" ca="1" si="147"/>
        <v>0</v>
      </c>
      <c r="H2352" s="21">
        <v>2337</v>
      </c>
      <c r="I2352" s="102">
        <v>0.66783738628507794</v>
      </c>
      <c r="J2352" s="103">
        <v>1.6553748425886636E-3</v>
      </c>
      <c r="K2352" s="103"/>
      <c r="L2352" s="103">
        <v>4.6399999999999997E-2</v>
      </c>
      <c r="O2352" s="100"/>
    </row>
    <row r="2353" spans="2:15" x14ac:dyDescent="0.2">
      <c r="B2353" s="1">
        <v>2338</v>
      </c>
      <c r="C2353" s="101">
        <f t="shared" ca="1" si="144"/>
        <v>0.3940949012017021</v>
      </c>
      <c r="D2353" s="101">
        <f t="shared" ca="1" si="145"/>
        <v>0.69084271579207368</v>
      </c>
      <c r="E2353" s="101">
        <f t="shared" ca="1" si="146"/>
        <v>0</v>
      </c>
      <c r="F2353" s="21">
        <f t="shared" ca="1" si="147"/>
        <v>0</v>
      </c>
      <c r="H2353" s="21">
        <v>2338</v>
      </c>
      <c r="I2353" s="102">
        <v>0.66779886429445445</v>
      </c>
      <c r="J2353" s="103">
        <v>1.3639393821316091E-3</v>
      </c>
      <c r="K2353" s="103"/>
      <c r="L2353" s="103">
        <v>4.2000000000000003E-2</v>
      </c>
      <c r="O2353" s="100"/>
    </row>
    <row r="2354" spans="2:15" x14ac:dyDescent="0.2">
      <c r="B2354" s="1">
        <v>2339</v>
      </c>
      <c r="C2354" s="101">
        <f t="shared" ca="1" si="144"/>
        <v>-0.9290840023002962</v>
      </c>
      <c r="D2354" s="101">
        <f t="shared" ca="1" si="145"/>
        <v>0.60631039526496633</v>
      </c>
      <c r="E2354" s="101">
        <f t="shared" ca="1" si="146"/>
        <v>0</v>
      </c>
      <c r="F2354" s="21">
        <f t="shared" ca="1" si="147"/>
        <v>0</v>
      </c>
      <c r="H2354" s="21">
        <v>2339</v>
      </c>
      <c r="I2354" s="102">
        <v>0.66771808278901135</v>
      </c>
      <c r="J2354" s="103">
        <v>1.2413557495263761E-3</v>
      </c>
      <c r="K2354" s="103"/>
      <c r="L2354" s="103">
        <v>4.4200000000000003E-2</v>
      </c>
      <c r="O2354" s="100"/>
    </row>
    <row r="2355" spans="2:15" x14ac:dyDescent="0.2">
      <c r="B2355" s="1">
        <v>2340</v>
      </c>
      <c r="C2355" s="101">
        <f t="shared" ca="1" si="144"/>
        <v>1.2405612481037787</v>
      </c>
      <c r="D2355" s="101">
        <f t="shared" ca="1" si="145"/>
        <v>0.75100232098678599</v>
      </c>
      <c r="E2355" s="101">
        <f t="shared" ca="1" si="146"/>
        <v>0</v>
      </c>
      <c r="F2355" s="21">
        <f t="shared" ca="1" si="147"/>
        <v>0</v>
      </c>
      <c r="H2355" s="21">
        <v>2340</v>
      </c>
      <c r="I2355" s="102">
        <v>0.66779353355687121</v>
      </c>
      <c r="J2355" s="103">
        <v>1.5048625443479801E-3</v>
      </c>
      <c r="K2355" s="103"/>
      <c r="L2355" s="103">
        <v>4.5199999999999997E-2</v>
      </c>
      <c r="O2355" s="100"/>
    </row>
    <row r="2356" spans="2:15" x14ac:dyDescent="0.2">
      <c r="B2356" s="1">
        <v>2341</v>
      </c>
      <c r="C2356" s="101">
        <f t="shared" ca="1" si="144"/>
        <v>0.70965968938311208</v>
      </c>
      <c r="D2356" s="101">
        <f t="shared" ca="1" si="145"/>
        <v>0.71268527161964912</v>
      </c>
      <c r="E2356" s="101">
        <f t="shared" ca="1" si="146"/>
        <v>0</v>
      </c>
      <c r="F2356" s="21">
        <f t="shared" ca="1" si="147"/>
        <v>0</v>
      </c>
      <c r="H2356" s="21">
        <v>2341</v>
      </c>
      <c r="I2356" s="102">
        <v>0.66771509881681324</v>
      </c>
      <c r="J2356" s="103">
        <v>1.3730439019562855E-3</v>
      </c>
      <c r="K2356" s="103"/>
      <c r="L2356" s="103">
        <v>4.4600000000000001E-2</v>
      </c>
      <c r="O2356" s="100"/>
    </row>
    <row r="2357" spans="2:15" x14ac:dyDescent="0.2">
      <c r="B2357" s="1">
        <v>2342</v>
      </c>
      <c r="C2357" s="101">
        <f t="shared" ca="1" si="144"/>
        <v>-1.8978979698404566</v>
      </c>
      <c r="D2357" s="101">
        <f t="shared" ca="1" si="145"/>
        <v>0.55105077975223515</v>
      </c>
      <c r="E2357" s="101">
        <f t="shared" ca="1" si="146"/>
        <v>0</v>
      </c>
      <c r="F2357" s="21">
        <f t="shared" ca="1" si="147"/>
        <v>0</v>
      </c>
      <c r="H2357" s="21">
        <v>2342</v>
      </c>
      <c r="I2357" s="102">
        <v>0.66764967431868605</v>
      </c>
      <c r="J2357" s="103">
        <v>1.253971288604604E-3</v>
      </c>
      <c r="K2357" s="103"/>
      <c r="L2357" s="103">
        <v>3.8199999999999998E-2</v>
      </c>
      <c r="O2357" s="100"/>
    </row>
    <row r="2358" spans="2:15" x14ac:dyDescent="0.2">
      <c r="B2358" s="1">
        <v>2343</v>
      </c>
      <c r="C2358" s="101">
        <f t="shared" ca="1" si="144"/>
        <v>-1.0651973241724992</v>
      </c>
      <c r="D2358" s="101">
        <f t="shared" ca="1" si="145"/>
        <v>0.59822423574182548</v>
      </c>
      <c r="E2358" s="101">
        <f t="shared" ca="1" si="146"/>
        <v>0</v>
      </c>
      <c r="F2358" s="21">
        <f t="shared" ca="1" si="147"/>
        <v>0</v>
      </c>
      <c r="H2358" s="21">
        <v>2343</v>
      </c>
      <c r="I2358" s="102">
        <v>0.66763641664384477</v>
      </c>
      <c r="J2358" s="103">
        <v>1.2386967307828605E-3</v>
      </c>
      <c r="K2358" s="103"/>
      <c r="L2358" s="103">
        <v>4.1799999999999997E-2</v>
      </c>
      <c r="O2358" s="100"/>
    </row>
    <row r="2359" spans="2:15" x14ac:dyDescent="0.2">
      <c r="B2359" s="1">
        <v>2344</v>
      </c>
      <c r="C2359" s="101">
        <f t="shared" ca="1" si="144"/>
        <v>0.18587012328862809</v>
      </c>
      <c r="D2359" s="101">
        <f t="shared" ca="1" si="145"/>
        <v>0.67679783638895197</v>
      </c>
      <c r="E2359" s="101">
        <f t="shared" ca="1" si="146"/>
        <v>0</v>
      </c>
      <c r="F2359" s="21">
        <f t="shared" ca="1" si="147"/>
        <v>0</v>
      </c>
      <c r="H2359" s="21">
        <v>2344</v>
      </c>
      <c r="I2359" s="102">
        <v>0.66791094906280257</v>
      </c>
      <c r="J2359" s="103">
        <v>1.5439814605627104E-3</v>
      </c>
      <c r="K2359" s="103"/>
      <c r="L2359" s="103">
        <v>4.4999999999999998E-2</v>
      </c>
      <c r="O2359" s="100"/>
    </row>
    <row r="2360" spans="2:15" x14ac:dyDescent="0.2">
      <c r="B2360" s="1">
        <v>2345</v>
      </c>
      <c r="C2360" s="101">
        <f t="shared" ca="1" si="144"/>
        <v>-1.0141125728423783</v>
      </c>
      <c r="D2360" s="101">
        <f t="shared" ca="1" si="145"/>
        <v>0.60124633599319</v>
      </c>
      <c r="E2360" s="101">
        <f t="shared" ca="1" si="146"/>
        <v>0</v>
      </c>
      <c r="F2360" s="21">
        <f t="shared" ca="1" si="147"/>
        <v>0</v>
      </c>
      <c r="H2360" s="21">
        <v>2345</v>
      </c>
      <c r="I2360" s="102">
        <v>0.66777940428219851</v>
      </c>
      <c r="J2360" s="103">
        <v>1.437271135525844E-3</v>
      </c>
      <c r="K2360" s="103"/>
      <c r="L2360" s="103">
        <v>4.1200000000000001E-2</v>
      </c>
      <c r="O2360" s="100"/>
    </row>
    <row r="2361" spans="2:15" x14ac:dyDescent="0.2">
      <c r="B2361" s="1">
        <v>2346</v>
      </c>
      <c r="C2361" s="101">
        <f t="shared" ca="1" si="144"/>
        <v>1.1159254323800187</v>
      </c>
      <c r="D2361" s="101">
        <f t="shared" ca="1" si="145"/>
        <v>0.74182584115046035</v>
      </c>
      <c r="E2361" s="101">
        <f t="shared" ca="1" si="146"/>
        <v>0</v>
      </c>
      <c r="F2361" s="21">
        <f t="shared" ca="1" si="147"/>
        <v>0</v>
      </c>
      <c r="H2361" s="21">
        <v>2346</v>
      </c>
      <c r="I2361" s="102">
        <v>0.6679146860943237</v>
      </c>
      <c r="J2361" s="103">
        <v>1.5778416227571067E-3</v>
      </c>
      <c r="K2361" s="103"/>
      <c r="L2361" s="103">
        <v>4.8599999999999997E-2</v>
      </c>
      <c r="O2361" s="100"/>
    </row>
    <row r="2362" spans="2:15" x14ac:dyDescent="0.2">
      <c r="B2362" s="1">
        <v>2347</v>
      </c>
      <c r="C2362" s="101">
        <f t="shared" ca="1" si="144"/>
        <v>0.87175667760416764</v>
      </c>
      <c r="D2362" s="101">
        <f t="shared" ca="1" si="145"/>
        <v>0.72417231666133042</v>
      </c>
      <c r="E2362" s="101">
        <f t="shared" ca="1" si="146"/>
        <v>0</v>
      </c>
      <c r="F2362" s="21">
        <f t="shared" ca="1" si="147"/>
        <v>0</v>
      </c>
      <c r="H2362" s="21">
        <v>2347</v>
      </c>
      <c r="I2362" s="102">
        <v>0.6677715739727248</v>
      </c>
      <c r="J2362" s="103">
        <v>1.3676353259264261E-3</v>
      </c>
      <c r="K2362" s="103"/>
      <c r="L2362" s="103">
        <v>4.24E-2</v>
      </c>
      <c r="O2362" s="100"/>
    </row>
    <row r="2363" spans="2:15" x14ac:dyDescent="0.2">
      <c r="B2363" s="1">
        <v>2348</v>
      </c>
      <c r="C2363" s="101">
        <f t="shared" ca="1" si="144"/>
        <v>0.58352206735627199</v>
      </c>
      <c r="D2363" s="101">
        <f t="shared" ca="1" si="145"/>
        <v>0.70387270737279672</v>
      </c>
      <c r="E2363" s="101">
        <f t="shared" ca="1" si="146"/>
        <v>0</v>
      </c>
      <c r="F2363" s="21">
        <f t="shared" ca="1" si="147"/>
        <v>0</v>
      </c>
      <c r="H2363" s="21">
        <v>2348</v>
      </c>
      <c r="I2363" s="102">
        <v>0.66761715887563489</v>
      </c>
      <c r="J2363" s="103">
        <v>1.129210221351568E-3</v>
      </c>
      <c r="K2363" s="103"/>
      <c r="L2363" s="103">
        <v>3.9399999999999998E-2</v>
      </c>
      <c r="O2363" s="100"/>
    </row>
    <row r="2364" spans="2:15" x14ac:dyDescent="0.2">
      <c r="B2364" s="1">
        <v>2349</v>
      </c>
      <c r="C2364" s="101">
        <f t="shared" ca="1" si="144"/>
        <v>1.4025644329113198</v>
      </c>
      <c r="D2364" s="101">
        <f t="shared" ca="1" si="145"/>
        <v>0.763099898446568</v>
      </c>
      <c r="E2364" s="101">
        <f t="shared" ca="1" si="146"/>
        <v>0</v>
      </c>
      <c r="F2364" s="21">
        <f t="shared" ca="1" si="147"/>
        <v>0</v>
      </c>
      <c r="H2364" s="21">
        <v>2349</v>
      </c>
      <c r="I2364" s="102">
        <v>0.66767007507328913</v>
      </c>
      <c r="J2364" s="103">
        <v>1.3233905109811164E-3</v>
      </c>
      <c r="K2364" s="103"/>
      <c r="L2364" s="103">
        <v>3.9600000000000003E-2</v>
      </c>
      <c r="O2364" s="100"/>
    </row>
    <row r="2365" spans="2:15" x14ac:dyDescent="0.2">
      <c r="B2365" s="1">
        <v>2350</v>
      </c>
      <c r="C2365" s="101">
        <f t="shared" ca="1" si="144"/>
        <v>2.2798042902097837</v>
      </c>
      <c r="D2365" s="101">
        <f t="shared" ca="1" si="145"/>
        <v>0.83207372922701484</v>
      </c>
      <c r="E2365" s="101">
        <f t="shared" ca="1" si="146"/>
        <v>4.3873729227014824E-2</v>
      </c>
      <c r="F2365" s="21">
        <f t="shared" ca="1" si="147"/>
        <v>1</v>
      </c>
      <c r="H2365" s="21">
        <v>2350</v>
      </c>
      <c r="I2365" s="102">
        <v>0.66766619217478895</v>
      </c>
      <c r="J2365" s="103">
        <v>1.3966178157874057E-3</v>
      </c>
      <c r="K2365" s="103"/>
      <c r="L2365" s="103">
        <v>3.7400000000000003E-2</v>
      </c>
      <c r="O2365" s="100"/>
    </row>
    <row r="2366" spans="2:15" x14ac:dyDescent="0.2">
      <c r="B2366" s="1">
        <v>2351</v>
      </c>
      <c r="C2366" s="101">
        <f t="shared" ca="1" si="144"/>
        <v>-0.46497321587375279</v>
      </c>
      <c r="D2366" s="101">
        <f t="shared" ca="1" si="145"/>
        <v>0.63471276731474746</v>
      </c>
      <c r="E2366" s="101">
        <f t="shared" ca="1" si="146"/>
        <v>0</v>
      </c>
      <c r="F2366" s="21">
        <f t="shared" ca="1" si="147"/>
        <v>0</v>
      </c>
      <c r="H2366" s="21">
        <v>2351</v>
      </c>
      <c r="I2366" s="102">
        <v>0.66775040631876204</v>
      </c>
      <c r="J2366" s="103">
        <v>1.3867965281109055E-3</v>
      </c>
      <c r="K2366" s="103"/>
      <c r="L2366" s="103">
        <v>3.9399999999999998E-2</v>
      </c>
      <c r="O2366" s="100"/>
    </row>
    <row r="2367" spans="2:15" x14ac:dyDescent="0.2">
      <c r="B2367" s="1">
        <v>2352</v>
      </c>
      <c r="C2367" s="101">
        <f t="shared" ca="1" si="144"/>
        <v>-0.18028935355334311</v>
      </c>
      <c r="D2367" s="101">
        <f t="shared" ca="1" si="145"/>
        <v>0.65278913199837563</v>
      </c>
      <c r="E2367" s="101">
        <f t="shared" ca="1" si="146"/>
        <v>0</v>
      </c>
      <c r="F2367" s="21">
        <f t="shared" ca="1" si="147"/>
        <v>0</v>
      </c>
      <c r="H2367" s="21">
        <v>2352</v>
      </c>
      <c r="I2367" s="102">
        <v>0.66788539603969854</v>
      </c>
      <c r="J2367" s="103">
        <v>1.5652890974016331E-3</v>
      </c>
      <c r="K2367" s="103"/>
      <c r="L2367" s="103">
        <v>4.7800000000000002E-2</v>
      </c>
      <c r="O2367" s="100"/>
    </row>
    <row r="2368" spans="2:15" x14ac:dyDescent="0.2">
      <c r="B2368" s="1">
        <v>2353</v>
      </c>
      <c r="C2368" s="101">
        <f t="shared" ca="1" si="144"/>
        <v>-0.8503872537243411</v>
      </c>
      <c r="D2368" s="101">
        <f t="shared" ca="1" si="145"/>
        <v>0.61103534785322899</v>
      </c>
      <c r="E2368" s="101">
        <f t="shared" ca="1" si="146"/>
        <v>0</v>
      </c>
      <c r="F2368" s="21">
        <f t="shared" ca="1" si="147"/>
        <v>0</v>
      </c>
      <c r="H2368" s="21">
        <v>2353</v>
      </c>
      <c r="I2368" s="102">
        <v>0.66780453492622227</v>
      </c>
      <c r="J2368" s="103">
        <v>1.4774667535673337E-3</v>
      </c>
      <c r="K2368" s="103"/>
      <c r="L2368" s="103">
        <v>4.4200000000000003E-2</v>
      </c>
      <c r="O2368" s="100"/>
    </row>
    <row r="2369" spans="2:15" x14ac:dyDescent="0.2">
      <c r="B2369" s="1">
        <v>2354</v>
      </c>
      <c r="C2369" s="101">
        <f t="shared" ca="1" si="144"/>
        <v>0.48473603814631161</v>
      </c>
      <c r="D2369" s="101">
        <f t="shared" ca="1" si="145"/>
        <v>0.69704720994506564</v>
      </c>
      <c r="E2369" s="101">
        <f t="shared" ca="1" si="146"/>
        <v>0</v>
      </c>
      <c r="F2369" s="21">
        <f t="shared" ca="1" si="147"/>
        <v>0</v>
      </c>
      <c r="H2369" s="21">
        <v>2354</v>
      </c>
      <c r="I2369" s="102">
        <v>0.66760829744263239</v>
      </c>
      <c r="J2369" s="103">
        <v>1.1243269851437491E-3</v>
      </c>
      <c r="K2369" s="103"/>
      <c r="L2369" s="103">
        <v>3.56E-2</v>
      </c>
      <c r="O2369" s="100"/>
    </row>
    <row r="2370" spans="2:15" x14ac:dyDescent="0.2">
      <c r="B2370" s="1">
        <v>2355</v>
      </c>
      <c r="C2370" s="101">
        <f t="shared" ca="1" si="144"/>
        <v>-1.3440149325654815</v>
      </c>
      <c r="D2370" s="101">
        <f t="shared" ca="1" si="145"/>
        <v>0.58199550322420113</v>
      </c>
      <c r="E2370" s="101">
        <f t="shared" ca="1" si="146"/>
        <v>0</v>
      </c>
      <c r="F2370" s="21">
        <f t="shared" ca="1" si="147"/>
        <v>0</v>
      </c>
      <c r="H2370" s="21">
        <v>2355</v>
      </c>
      <c r="I2370" s="102">
        <v>0.66753170076406099</v>
      </c>
      <c r="J2370" s="103">
        <v>1.1005161141379742E-3</v>
      </c>
      <c r="K2370" s="103"/>
      <c r="L2370" s="103">
        <v>3.4599999999999999E-2</v>
      </c>
      <c r="O2370" s="100"/>
    </row>
    <row r="2371" spans="2:15" x14ac:dyDescent="0.2">
      <c r="B2371" s="1">
        <v>2356</v>
      </c>
      <c r="C2371" s="101">
        <f t="shared" ca="1" si="144"/>
        <v>1.6242933406088673</v>
      </c>
      <c r="D2371" s="101">
        <f t="shared" ca="1" si="145"/>
        <v>0.77997399909266751</v>
      </c>
      <c r="E2371" s="101">
        <f t="shared" ca="1" si="146"/>
        <v>0</v>
      </c>
      <c r="F2371" s="21">
        <f t="shared" ca="1" si="147"/>
        <v>0</v>
      </c>
      <c r="H2371" s="21">
        <v>2356</v>
      </c>
      <c r="I2371" s="102">
        <v>0.66777227229162239</v>
      </c>
      <c r="J2371" s="103">
        <v>1.3542930507951351E-3</v>
      </c>
      <c r="K2371" s="103"/>
      <c r="L2371" s="103">
        <v>4.02E-2</v>
      </c>
      <c r="O2371" s="100"/>
    </row>
    <row r="2372" spans="2:15" x14ac:dyDescent="0.2">
      <c r="B2372" s="1">
        <v>2357</v>
      </c>
      <c r="C2372" s="101">
        <f t="shared" ca="1" si="144"/>
        <v>2.3573396879310367</v>
      </c>
      <c r="D2372" s="101">
        <f t="shared" ca="1" si="145"/>
        <v>0.83846198907075931</v>
      </c>
      <c r="E2372" s="101">
        <f t="shared" ca="1" si="146"/>
        <v>5.0261989070759294E-2</v>
      </c>
      <c r="F2372" s="21">
        <f t="shared" ca="1" si="147"/>
        <v>1</v>
      </c>
      <c r="H2372" s="21">
        <v>2357</v>
      </c>
      <c r="I2372" s="102">
        <v>0.66790761198088744</v>
      </c>
      <c r="J2372" s="103">
        <v>1.7534231163599716E-3</v>
      </c>
      <c r="K2372" s="103"/>
      <c r="L2372" s="103">
        <v>4.5600000000000002E-2</v>
      </c>
      <c r="O2372" s="100"/>
    </row>
    <row r="2373" spans="2:15" x14ac:dyDescent="0.2">
      <c r="B2373" s="1">
        <v>2358</v>
      </c>
      <c r="C2373" s="101">
        <f t="shared" ca="1" si="144"/>
        <v>0.29158297557988833</v>
      </c>
      <c r="D2373" s="101">
        <f t="shared" ca="1" si="145"/>
        <v>0.68389217572168515</v>
      </c>
      <c r="E2373" s="101">
        <f t="shared" ca="1" si="146"/>
        <v>0</v>
      </c>
      <c r="F2373" s="21">
        <f t="shared" ca="1" si="147"/>
        <v>0</v>
      </c>
      <c r="H2373" s="21">
        <v>2358</v>
      </c>
      <c r="I2373" s="102">
        <v>0.66775537229993043</v>
      </c>
      <c r="J2373" s="103">
        <v>1.3309790442240729E-3</v>
      </c>
      <c r="K2373" s="103"/>
      <c r="L2373" s="103">
        <v>4.3200000000000002E-2</v>
      </c>
      <c r="O2373" s="100"/>
    </row>
    <row r="2374" spans="2:15" x14ac:dyDescent="0.2">
      <c r="B2374" s="1">
        <v>2359</v>
      </c>
      <c r="C2374" s="101">
        <f t="shared" ca="1" si="144"/>
        <v>0.65797966157521548</v>
      </c>
      <c r="D2374" s="101">
        <f t="shared" ca="1" si="145"/>
        <v>0.7090613990050334</v>
      </c>
      <c r="E2374" s="101">
        <f t="shared" ca="1" si="146"/>
        <v>0</v>
      </c>
      <c r="F2374" s="21">
        <f t="shared" ca="1" si="147"/>
        <v>0</v>
      </c>
      <c r="H2374" s="21">
        <v>2359</v>
      </c>
      <c r="I2374" s="102">
        <v>0.66781164859260722</v>
      </c>
      <c r="J2374" s="103">
        <v>1.4429780157557501E-3</v>
      </c>
      <c r="K2374" s="103"/>
      <c r="L2374" s="103">
        <v>4.24E-2</v>
      </c>
      <c r="O2374" s="100"/>
    </row>
    <row r="2375" spans="2:15" x14ac:dyDescent="0.2">
      <c r="B2375" s="1">
        <v>2360</v>
      </c>
      <c r="C2375" s="101">
        <f t="shared" ca="1" si="144"/>
        <v>1.0422981263464772</v>
      </c>
      <c r="D2375" s="101">
        <f t="shared" ca="1" si="145"/>
        <v>0.73645770343356165</v>
      </c>
      <c r="E2375" s="101">
        <f t="shared" ca="1" si="146"/>
        <v>0</v>
      </c>
      <c r="F2375" s="21">
        <f t="shared" ca="1" si="147"/>
        <v>0</v>
      </c>
      <c r="H2375" s="21">
        <v>2360</v>
      </c>
      <c r="I2375" s="102">
        <v>0.66768609653984434</v>
      </c>
      <c r="J2375" s="103">
        <v>1.2544603920496033E-3</v>
      </c>
      <c r="K2375" s="103"/>
      <c r="L2375" s="103">
        <v>4.1599999999999998E-2</v>
      </c>
      <c r="O2375" s="100"/>
    </row>
    <row r="2376" spans="2:15" x14ac:dyDescent="0.2">
      <c r="B2376" s="1">
        <v>2361</v>
      </c>
      <c r="C2376" s="101">
        <f t="shared" ca="1" si="144"/>
        <v>-0.44861482282925769</v>
      </c>
      <c r="D2376" s="101">
        <f t="shared" ca="1" si="145"/>
        <v>0.63573777521470787</v>
      </c>
      <c r="E2376" s="101">
        <f t="shared" ca="1" si="146"/>
        <v>0</v>
      </c>
      <c r="F2376" s="21">
        <f t="shared" ca="1" si="147"/>
        <v>0</v>
      </c>
      <c r="H2376" s="21">
        <v>2361</v>
      </c>
      <c r="I2376" s="102">
        <v>0.66767166639279119</v>
      </c>
      <c r="J2376" s="103">
        <v>1.309433184042902E-3</v>
      </c>
      <c r="K2376" s="103"/>
      <c r="L2376" s="103">
        <v>0.04</v>
      </c>
      <c r="O2376" s="100"/>
    </row>
    <row r="2377" spans="2:15" x14ac:dyDescent="0.2">
      <c r="B2377" s="1">
        <v>2362</v>
      </c>
      <c r="C2377" s="101">
        <f t="shared" ca="1" si="144"/>
        <v>0.42000474949811667</v>
      </c>
      <c r="D2377" s="101">
        <f t="shared" ca="1" si="145"/>
        <v>0.69261061724517081</v>
      </c>
      <c r="E2377" s="101">
        <f t="shared" ca="1" si="146"/>
        <v>0</v>
      </c>
      <c r="F2377" s="21">
        <f t="shared" ca="1" si="147"/>
        <v>0</v>
      </c>
      <c r="H2377" s="21">
        <v>2362</v>
      </c>
      <c r="I2377" s="102">
        <v>0.66779010294692587</v>
      </c>
      <c r="J2377" s="103">
        <v>1.3539651985316032E-3</v>
      </c>
      <c r="K2377" s="103"/>
      <c r="L2377" s="103">
        <v>3.9E-2</v>
      </c>
      <c r="O2377" s="100"/>
    </row>
    <row r="2378" spans="2:15" x14ac:dyDescent="0.2">
      <c r="B2378" s="1">
        <v>2363</v>
      </c>
      <c r="C2378" s="101">
        <f t="shared" ca="1" si="144"/>
        <v>-7.8361719979638575E-2</v>
      </c>
      <c r="D2378" s="101">
        <f t="shared" ca="1" si="145"/>
        <v>0.65938556028377859</v>
      </c>
      <c r="E2378" s="101">
        <f t="shared" ca="1" si="146"/>
        <v>0</v>
      </c>
      <c r="F2378" s="21">
        <f t="shared" ca="1" si="147"/>
        <v>0</v>
      </c>
      <c r="H2378" s="21">
        <v>2363</v>
      </c>
      <c r="I2378" s="102">
        <v>0.66777014117535838</v>
      </c>
      <c r="J2378" s="103">
        <v>1.4516885898842777E-3</v>
      </c>
      <c r="K2378" s="103"/>
      <c r="L2378" s="103">
        <v>4.4400000000000002E-2</v>
      </c>
      <c r="O2378" s="100"/>
    </row>
    <row r="2379" spans="2:15" x14ac:dyDescent="0.2">
      <c r="B2379" s="1">
        <v>2364</v>
      </c>
      <c r="C2379" s="101">
        <f t="shared" ca="1" si="144"/>
        <v>4.6170498618443058E-2</v>
      </c>
      <c r="D2379" s="101">
        <f t="shared" ca="1" si="145"/>
        <v>0.66753542182809156</v>
      </c>
      <c r="E2379" s="101">
        <f t="shared" ca="1" si="146"/>
        <v>0</v>
      </c>
      <c r="F2379" s="21">
        <f t="shared" ca="1" si="147"/>
        <v>0</v>
      </c>
      <c r="H2379" s="21">
        <v>2364</v>
      </c>
      <c r="I2379" s="102">
        <v>0.6675372317736572</v>
      </c>
      <c r="J2379" s="103">
        <v>1.0542979038638313E-3</v>
      </c>
      <c r="K2379" s="103"/>
      <c r="L2379" s="103">
        <v>3.6600000000000001E-2</v>
      </c>
      <c r="O2379" s="100"/>
    </row>
    <row r="2380" spans="2:15" x14ac:dyDescent="0.2">
      <c r="B2380" s="1">
        <v>2365</v>
      </c>
      <c r="C2380" s="101">
        <f t="shared" ca="1" si="144"/>
        <v>0.44881087456733376</v>
      </c>
      <c r="D2380" s="101">
        <f t="shared" ca="1" si="145"/>
        <v>0.69458145127154047</v>
      </c>
      <c r="E2380" s="101">
        <f t="shared" ca="1" si="146"/>
        <v>0</v>
      </c>
      <c r="F2380" s="21">
        <f t="shared" ca="1" si="147"/>
        <v>0</v>
      </c>
      <c r="H2380" s="21">
        <v>2365</v>
      </c>
      <c r="I2380" s="102">
        <v>0.66784948586406501</v>
      </c>
      <c r="J2380" s="103">
        <v>1.359163061644298E-3</v>
      </c>
      <c r="K2380" s="103"/>
      <c r="L2380" s="103">
        <v>4.3200000000000002E-2</v>
      </c>
      <c r="O2380" s="100"/>
    </row>
    <row r="2381" spans="2:15" x14ac:dyDescent="0.2">
      <c r="B2381" s="1">
        <v>2366</v>
      </c>
      <c r="C2381" s="101">
        <f t="shared" ca="1" si="144"/>
        <v>0.84059088213850885</v>
      </c>
      <c r="D2381" s="101">
        <f t="shared" ca="1" si="145"/>
        <v>0.72194945904628716</v>
      </c>
      <c r="E2381" s="101">
        <f t="shared" ca="1" si="146"/>
        <v>0</v>
      </c>
      <c r="F2381" s="21">
        <f t="shared" ca="1" si="147"/>
        <v>0</v>
      </c>
      <c r="H2381" s="21">
        <v>2366</v>
      </c>
      <c r="I2381" s="102">
        <v>0.66773544785763617</v>
      </c>
      <c r="J2381" s="103">
        <v>1.3417559121299361E-3</v>
      </c>
      <c r="K2381" s="103"/>
      <c r="L2381" s="103">
        <v>4.58E-2</v>
      </c>
      <c r="O2381" s="100"/>
    </row>
    <row r="2382" spans="2:15" x14ac:dyDescent="0.2">
      <c r="B2382" s="1">
        <v>2367</v>
      </c>
      <c r="C2382" s="101">
        <f t="shared" ca="1" si="144"/>
        <v>4.8466301366425657E-2</v>
      </c>
      <c r="D2382" s="101">
        <f t="shared" ca="1" si="145"/>
        <v>0.6676866097035512</v>
      </c>
      <c r="E2382" s="101">
        <f t="shared" ca="1" si="146"/>
        <v>0</v>
      </c>
      <c r="F2382" s="21">
        <f t="shared" ca="1" si="147"/>
        <v>0</v>
      </c>
      <c r="H2382" s="21">
        <v>2367</v>
      </c>
      <c r="I2382" s="102">
        <v>0.66775097219129143</v>
      </c>
      <c r="J2382" s="103">
        <v>1.3180850289807619E-3</v>
      </c>
      <c r="K2382" s="103"/>
      <c r="L2382" s="103">
        <v>4.1000000000000002E-2</v>
      </c>
      <c r="O2382" s="100"/>
    </row>
    <row r="2383" spans="2:15" x14ac:dyDescent="0.2">
      <c r="B2383" s="1">
        <v>2368</v>
      </c>
      <c r="C2383" s="101">
        <f t="shared" ca="1" si="144"/>
        <v>1.1245817134351981</v>
      </c>
      <c r="D2383" s="101">
        <f t="shared" ca="1" si="145"/>
        <v>0.74245953229074668</v>
      </c>
      <c r="E2383" s="101">
        <f t="shared" ca="1" si="146"/>
        <v>0</v>
      </c>
      <c r="F2383" s="21">
        <f t="shared" ca="1" si="147"/>
        <v>0</v>
      </c>
      <c r="H2383" s="21">
        <v>2368</v>
      </c>
      <c r="I2383" s="102">
        <v>0.66778756757837232</v>
      </c>
      <c r="J2383" s="103">
        <v>1.3333618341166038E-3</v>
      </c>
      <c r="K2383" s="103"/>
      <c r="L2383" s="103">
        <v>4.1200000000000001E-2</v>
      </c>
      <c r="O2383" s="100"/>
    </row>
    <row r="2384" spans="2:15" x14ac:dyDescent="0.2">
      <c r="B2384" s="1">
        <v>2369</v>
      </c>
      <c r="C2384" s="101">
        <f t="shared" ref="C2384:C2447" ca="1" si="148">_xlfn.NORM.S.INV(RAND())</f>
        <v>0.88023105479772268</v>
      </c>
      <c r="D2384" s="101">
        <f t="shared" ref="D2384:D2447" ca="1" si="149">S0*EXP((μ-0.5*σ*σ)*T+σ*SQRT(T)*$C2384)</f>
        <v>0.72477792262210727</v>
      </c>
      <c r="E2384" s="101">
        <f t="shared" ref="E2384:E2447" ca="1" si="150">MAX(0,CP*(D2384-K))</f>
        <v>0</v>
      </c>
      <c r="F2384" s="21">
        <f t="shared" ref="F2384:F2447" ca="1" si="151">(CP*(D2384-K)&gt;0)*1</f>
        <v>0</v>
      </c>
      <c r="H2384" s="21">
        <v>2369</v>
      </c>
      <c r="I2384" s="102">
        <v>0.66781534141958987</v>
      </c>
      <c r="J2384" s="103">
        <v>1.5254840237743806E-3</v>
      </c>
      <c r="K2384" s="103"/>
      <c r="L2384" s="103">
        <v>4.3999999999999997E-2</v>
      </c>
      <c r="O2384" s="100"/>
    </row>
    <row r="2385" spans="2:15" x14ac:dyDescent="0.2">
      <c r="B2385" s="1">
        <v>2370</v>
      </c>
      <c r="C2385" s="101">
        <f t="shared" ca="1" si="148"/>
        <v>1.4080201464948743</v>
      </c>
      <c r="D2385" s="101">
        <f t="shared" ca="1" si="149"/>
        <v>0.76351067791051352</v>
      </c>
      <c r="E2385" s="101">
        <f t="shared" ca="1" si="150"/>
        <v>0</v>
      </c>
      <c r="F2385" s="21">
        <f t="shared" ca="1" si="151"/>
        <v>0</v>
      </c>
      <c r="H2385" s="21">
        <v>2370</v>
      </c>
      <c r="I2385" s="102">
        <v>0.66785962652021169</v>
      </c>
      <c r="J2385" s="103">
        <v>1.5280230522935706E-3</v>
      </c>
      <c r="K2385" s="103"/>
      <c r="L2385" s="103">
        <v>4.3799999999999999E-2</v>
      </c>
      <c r="O2385" s="100"/>
    </row>
    <row r="2386" spans="2:15" x14ac:dyDescent="0.2">
      <c r="B2386" s="1">
        <v>2371</v>
      </c>
      <c r="C2386" s="101">
        <f t="shared" ca="1" si="148"/>
        <v>0.13483985816363281</v>
      </c>
      <c r="D2386" s="101">
        <f t="shared" ca="1" si="149"/>
        <v>0.6733996038584007</v>
      </c>
      <c r="E2386" s="101">
        <f t="shared" ca="1" si="150"/>
        <v>0</v>
      </c>
      <c r="F2386" s="21">
        <f t="shared" ca="1" si="151"/>
        <v>0</v>
      </c>
      <c r="H2386" s="21">
        <v>2371</v>
      </c>
      <c r="I2386" s="102">
        <v>0.66769564433441564</v>
      </c>
      <c r="J2386" s="103">
        <v>1.3126282001790788E-3</v>
      </c>
      <c r="K2386" s="103"/>
      <c r="L2386" s="103">
        <v>0.04</v>
      </c>
      <c r="O2386" s="100"/>
    </row>
    <row r="2387" spans="2:15" x14ac:dyDescent="0.2">
      <c r="B2387" s="1">
        <v>2372</v>
      </c>
      <c r="C2387" s="101">
        <f t="shared" ca="1" si="148"/>
        <v>0.53231979577632593</v>
      </c>
      <c r="D2387" s="101">
        <f t="shared" ca="1" si="149"/>
        <v>0.70032664818678403</v>
      </c>
      <c r="E2387" s="101">
        <f t="shared" ca="1" si="150"/>
        <v>0</v>
      </c>
      <c r="F2387" s="21">
        <f t="shared" ca="1" si="151"/>
        <v>0</v>
      </c>
      <c r="H2387" s="21">
        <v>2372</v>
      </c>
      <c r="I2387" s="102">
        <v>0.66768816910220907</v>
      </c>
      <c r="J2387" s="103">
        <v>1.2274750853308544E-3</v>
      </c>
      <c r="K2387" s="103"/>
      <c r="L2387" s="103">
        <v>4.0800000000000003E-2</v>
      </c>
      <c r="O2387" s="100"/>
    </row>
    <row r="2388" spans="2:15" x14ac:dyDescent="0.2">
      <c r="B2388" s="1">
        <v>2373</v>
      </c>
      <c r="C2388" s="101">
        <f t="shared" ca="1" si="148"/>
        <v>0.48272612480789207</v>
      </c>
      <c r="D2388" s="101">
        <f t="shared" ca="1" si="149"/>
        <v>0.696909026703876</v>
      </c>
      <c r="E2388" s="101">
        <f t="shared" ca="1" si="150"/>
        <v>0</v>
      </c>
      <c r="F2388" s="21">
        <f t="shared" ca="1" si="151"/>
        <v>0</v>
      </c>
      <c r="H2388" s="21">
        <v>2373</v>
      </c>
      <c r="I2388" s="102">
        <v>0.66767391085689143</v>
      </c>
      <c r="J2388" s="103">
        <v>1.3190511006754338E-3</v>
      </c>
      <c r="K2388" s="103"/>
      <c r="L2388" s="103">
        <v>3.7400000000000003E-2</v>
      </c>
      <c r="O2388" s="100"/>
    </row>
    <row r="2389" spans="2:15" x14ac:dyDescent="0.2">
      <c r="B2389" s="1">
        <v>2374</v>
      </c>
      <c r="C2389" s="101">
        <f t="shared" ca="1" si="148"/>
        <v>-1.026263396421343</v>
      </c>
      <c r="D2389" s="101">
        <f t="shared" ca="1" si="149"/>
        <v>0.60052612985605835</v>
      </c>
      <c r="E2389" s="101">
        <f t="shared" ca="1" si="150"/>
        <v>0</v>
      </c>
      <c r="F2389" s="21">
        <f t="shared" ca="1" si="151"/>
        <v>0</v>
      </c>
      <c r="H2389" s="21">
        <v>2374</v>
      </c>
      <c r="I2389" s="102">
        <v>0.66773898271029342</v>
      </c>
      <c r="J2389" s="103">
        <v>1.3338765402516584E-3</v>
      </c>
      <c r="K2389" s="103"/>
      <c r="L2389" s="103">
        <v>4.36E-2</v>
      </c>
      <c r="O2389" s="100"/>
    </row>
    <row r="2390" spans="2:15" x14ac:dyDescent="0.2">
      <c r="B2390" s="1">
        <v>2375</v>
      </c>
      <c r="C2390" s="101">
        <f t="shared" ca="1" si="148"/>
        <v>-0.31083003605612591</v>
      </c>
      <c r="D2390" s="101">
        <f t="shared" ca="1" si="149"/>
        <v>0.64443724606451003</v>
      </c>
      <c r="E2390" s="101">
        <f t="shared" ca="1" si="150"/>
        <v>0</v>
      </c>
      <c r="F2390" s="21">
        <f t="shared" ca="1" si="151"/>
        <v>0</v>
      </c>
      <c r="H2390" s="21">
        <v>2375</v>
      </c>
      <c r="I2390" s="102">
        <v>0.66768335768697862</v>
      </c>
      <c r="J2390" s="103">
        <v>1.2851442041531857E-3</v>
      </c>
      <c r="K2390" s="103"/>
      <c r="L2390" s="103">
        <v>3.9600000000000003E-2</v>
      </c>
      <c r="O2390" s="100"/>
    </row>
    <row r="2391" spans="2:15" x14ac:dyDescent="0.2">
      <c r="B2391" s="1">
        <v>2376</v>
      </c>
      <c r="C2391" s="101">
        <f t="shared" ca="1" si="148"/>
        <v>-0.67819373130459215</v>
      </c>
      <c r="D2391" s="101">
        <f t="shared" ca="1" si="149"/>
        <v>0.62150267018574246</v>
      </c>
      <c r="E2391" s="101">
        <f t="shared" ca="1" si="150"/>
        <v>0</v>
      </c>
      <c r="F2391" s="21">
        <f t="shared" ca="1" si="151"/>
        <v>0</v>
      </c>
      <c r="H2391" s="21">
        <v>2376</v>
      </c>
      <c r="I2391" s="102">
        <v>0.66777789409269739</v>
      </c>
      <c r="J2391" s="103">
        <v>1.4252065952817309E-3</v>
      </c>
      <c r="K2391" s="103"/>
      <c r="L2391" s="103">
        <v>4.36E-2</v>
      </c>
      <c r="O2391" s="100"/>
    </row>
    <row r="2392" spans="2:15" x14ac:dyDescent="0.2">
      <c r="B2392" s="1">
        <v>2377</v>
      </c>
      <c r="C2392" s="101">
        <f t="shared" ca="1" si="148"/>
        <v>-0.36085456663371773</v>
      </c>
      <c r="D2392" s="101">
        <f t="shared" ca="1" si="149"/>
        <v>0.64126511234626615</v>
      </c>
      <c r="E2392" s="101">
        <f t="shared" ca="1" si="150"/>
        <v>0</v>
      </c>
      <c r="F2392" s="21">
        <f t="shared" ca="1" si="151"/>
        <v>0</v>
      </c>
      <c r="H2392" s="21">
        <v>2377</v>
      </c>
      <c r="I2392" s="102">
        <v>0.6678756635183758</v>
      </c>
      <c r="J2392" s="103">
        <v>1.5204091048586889E-3</v>
      </c>
      <c r="K2392" s="103"/>
      <c r="L2392" s="103">
        <v>4.5999999999999999E-2</v>
      </c>
      <c r="O2392" s="100"/>
    </row>
    <row r="2393" spans="2:15" x14ac:dyDescent="0.2">
      <c r="B2393" s="1">
        <v>2378</v>
      </c>
      <c r="C2393" s="101">
        <f t="shared" ca="1" si="148"/>
        <v>0.70951581485037074</v>
      </c>
      <c r="D2393" s="101">
        <f t="shared" ca="1" si="149"/>
        <v>0.71267515728010977</v>
      </c>
      <c r="E2393" s="101">
        <f t="shared" ca="1" si="150"/>
        <v>0</v>
      </c>
      <c r="F2393" s="21">
        <f t="shared" ca="1" si="151"/>
        <v>0</v>
      </c>
      <c r="H2393" s="21">
        <v>2378</v>
      </c>
      <c r="I2393" s="102">
        <v>0.6676132339425771</v>
      </c>
      <c r="J2393" s="103">
        <v>1.2907284094545775E-3</v>
      </c>
      <c r="K2393" s="103"/>
      <c r="L2393" s="103">
        <v>3.6200000000000003E-2</v>
      </c>
      <c r="O2393" s="100"/>
    </row>
    <row r="2394" spans="2:15" x14ac:dyDescent="0.2">
      <c r="B2394" s="1">
        <v>2379</v>
      </c>
      <c r="C2394" s="101">
        <f t="shared" ca="1" si="148"/>
        <v>-2.1244153351424817</v>
      </c>
      <c r="D2394" s="101">
        <f t="shared" ca="1" si="149"/>
        <v>0.53887465397591983</v>
      </c>
      <c r="E2394" s="101">
        <f t="shared" ca="1" si="150"/>
        <v>0</v>
      </c>
      <c r="F2394" s="21">
        <f t="shared" ca="1" si="151"/>
        <v>0</v>
      </c>
      <c r="H2394" s="21">
        <v>2379</v>
      </c>
      <c r="I2394" s="102">
        <v>0.6677160868578782</v>
      </c>
      <c r="J2394" s="103">
        <v>1.3461092514403105E-3</v>
      </c>
      <c r="K2394" s="103"/>
      <c r="L2394" s="103">
        <v>3.6799999999999999E-2</v>
      </c>
      <c r="O2394" s="100"/>
    </row>
    <row r="2395" spans="2:15" x14ac:dyDescent="0.2">
      <c r="B2395" s="1">
        <v>2380</v>
      </c>
      <c r="C2395" s="101">
        <f t="shared" ca="1" si="148"/>
        <v>-0.70043195423380977</v>
      </c>
      <c r="D2395" s="101">
        <f t="shared" ca="1" si="149"/>
        <v>0.62014083130169317</v>
      </c>
      <c r="E2395" s="101">
        <f t="shared" ca="1" si="150"/>
        <v>0</v>
      </c>
      <c r="F2395" s="21">
        <f t="shared" ca="1" si="151"/>
        <v>0</v>
      </c>
      <c r="H2395" s="21">
        <v>2380</v>
      </c>
      <c r="I2395" s="102">
        <v>0.66787230345486115</v>
      </c>
      <c r="J2395" s="103">
        <v>1.4963031985838484E-3</v>
      </c>
      <c r="K2395" s="103"/>
      <c r="L2395" s="103">
        <v>4.24E-2</v>
      </c>
      <c r="O2395" s="100"/>
    </row>
    <row r="2396" spans="2:15" x14ac:dyDescent="0.2">
      <c r="B2396" s="1">
        <v>2381</v>
      </c>
      <c r="C2396" s="101">
        <f t="shared" ca="1" si="148"/>
        <v>1.9724759494184734</v>
      </c>
      <c r="D2396" s="101">
        <f t="shared" ca="1" si="149"/>
        <v>0.8072276952922075</v>
      </c>
      <c r="E2396" s="101">
        <f t="shared" ca="1" si="150"/>
        <v>1.9027695292207492E-2</v>
      </c>
      <c r="F2396" s="21">
        <f t="shared" ca="1" si="151"/>
        <v>1</v>
      </c>
      <c r="H2396" s="21">
        <v>2381</v>
      </c>
      <c r="I2396" s="102">
        <v>0.66769969045596922</v>
      </c>
      <c r="J2396" s="103">
        <v>1.2987793459961021E-3</v>
      </c>
      <c r="K2396" s="103"/>
      <c r="L2396" s="103">
        <v>4.3200000000000002E-2</v>
      </c>
      <c r="O2396" s="100"/>
    </row>
    <row r="2397" spans="2:15" x14ac:dyDescent="0.2">
      <c r="B2397" s="1">
        <v>2382</v>
      </c>
      <c r="C2397" s="101">
        <f t="shared" ca="1" si="148"/>
        <v>-0.24599384893862944</v>
      </c>
      <c r="D2397" s="101">
        <f t="shared" ca="1" si="149"/>
        <v>0.648571969941247</v>
      </c>
      <c r="E2397" s="101">
        <f t="shared" ca="1" si="150"/>
        <v>0</v>
      </c>
      <c r="F2397" s="21">
        <f t="shared" ca="1" si="151"/>
        <v>0</v>
      </c>
      <c r="H2397" s="21">
        <v>2382</v>
      </c>
      <c r="I2397" s="102">
        <v>0.66784136475084099</v>
      </c>
      <c r="J2397" s="103">
        <v>1.4302083866924191E-3</v>
      </c>
      <c r="K2397" s="103"/>
      <c r="L2397" s="103">
        <v>4.5199999999999997E-2</v>
      </c>
      <c r="O2397" s="100"/>
    </row>
    <row r="2398" spans="2:15" x14ac:dyDescent="0.2">
      <c r="B2398" s="1">
        <v>2383</v>
      </c>
      <c r="C2398" s="101">
        <f t="shared" ca="1" si="148"/>
        <v>-1.2109987297712609E-2</v>
      </c>
      <c r="D2398" s="101">
        <f t="shared" ca="1" si="149"/>
        <v>0.66370886093640091</v>
      </c>
      <c r="E2398" s="101">
        <f t="shared" ca="1" si="150"/>
        <v>0</v>
      </c>
      <c r="F2398" s="21">
        <f t="shared" ca="1" si="151"/>
        <v>0</v>
      </c>
      <c r="H2398" s="21">
        <v>2383</v>
      </c>
      <c r="I2398" s="102">
        <v>0.66769434692781426</v>
      </c>
      <c r="J2398" s="103">
        <v>1.2203769547036219E-3</v>
      </c>
      <c r="K2398" s="103"/>
      <c r="L2398" s="103">
        <v>4.2799999999999998E-2</v>
      </c>
      <c r="O2398" s="100"/>
    </row>
    <row r="2399" spans="2:15" x14ac:dyDescent="0.2">
      <c r="B2399" s="1">
        <v>2384</v>
      </c>
      <c r="C2399" s="101">
        <f t="shared" ca="1" si="148"/>
        <v>-0.86133626536896035</v>
      </c>
      <c r="D2399" s="101">
        <f t="shared" ca="1" si="149"/>
        <v>0.61037577063078774</v>
      </c>
      <c r="E2399" s="101">
        <f t="shared" ca="1" si="150"/>
        <v>0</v>
      </c>
      <c r="F2399" s="21">
        <f t="shared" ca="1" si="151"/>
        <v>0</v>
      </c>
      <c r="H2399" s="21">
        <v>2384</v>
      </c>
      <c r="I2399" s="102">
        <v>0.66772123919701476</v>
      </c>
      <c r="J2399" s="103">
        <v>1.4341387381587634E-3</v>
      </c>
      <c r="K2399" s="103"/>
      <c r="L2399" s="103">
        <v>4.4999999999999998E-2</v>
      </c>
      <c r="O2399" s="100"/>
    </row>
    <row r="2400" spans="2:15" x14ac:dyDescent="0.2">
      <c r="B2400" s="1">
        <v>2385</v>
      </c>
      <c r="C2400" s="101">
        <f t="shared" ca="1" si="148"/>
        <v>-9.9852955143725469E-2</v>
      </c>
      <c r="D2400" s="101">
        <f t="shared" ca="1" si="149"/>
        <v>0.65798919367457853</v>
      </c>
      <c r="E2400" s="101">
        <f t="shared" ca="1" si="150"/>
        <v>0</v>
      </c>
      <c r="F2400" s="21">
        <f t="shared" ca="1" si="151"/>
        <v>0</v>
      </c>
      <c r="H2400" s="21">
        <v>2385</v>
      </c>
      <c r="I2400" s="102">
        <v>0.66760049483417283</v>
      </c>
      <c r="J2400" s="103">
        <v>1.3040287704076715E-3</v>
      </c>
      <c r="K2400" s="103"/>
      <c r="L2400" s="103">
        <v>3.6799999999999999E-2</v>
      </c>
      <c r="O2400" s="100"/>
    </row>
    <row r="2401" spans="2:15" x14ac:dyDescent="0.2">
      <c r="B2401" s="1">
        <v>2386</v>
      </c>
      <c r="C2401" s="101">
        <f t="shared" ca="1" si="148"/>
        <v>-1.3795786729611774</v>
      </c>
      <c r="D2401" s="101">
        <f t="shared" ca="1" si="149"/>
        <v>0.57995740824334463</v>
      </c>
      <c r="E2401" s="101">
        <f t="shared" ca="1" si="150"/>
        <v>0</v>
      </c>
      <c r="F2401" s="21">
        <f t="shared" ca="1" si="151"/>
        <v>0</v>
      </c>
      <c r="H2401" s="21">
        <v>2386</v>
      </c>
      <c r="I2401" s="102">
        <v>0.66770765975684809</v>
      </c>
      <c r="J2401" s="103">
        <v>1.5052479428105863E-3</v>
      </c>
      <c r="K2401" s="103"/>
      <c r="L2401" s="103">
        <v>4.24E-2</v>
      </c>
      <c r="O2401" s="100"/>
    </row>
    <row r="2402" spans="2:15" x14ac:dyDescent="0.2">
      <c r="B2402" s="1">
        <v>2387</v>
      </c>
      <c r="C2402" s="101">
        <f t="shared" ca="1" si="148"/>
        <v>0.38843911056659236</v>
      </c>
      <c r="D2402" s="101">
        <f t="shared" ca="1" si="149"/>
        <v>0.69045740580291537</v>
      </c>
      <c r="E2402" s="101">
        <f t="shared" ca="1" si="150"/>
        <v>0</v>
      </c>
      <c r="F2402" s="21">
        <f t="shared" ca="1" si="151"/>
        <v>0</v>
      </c>
      <c r="H2402" s="21">
        <v>2387</v>
      </c>
      <c r="I2402" s="102">
        <v>0.66781308367505199</v>
      </c>
      <c r="J2402" s="103">
        <v>1.519343220415514E-3</v>
      </c>
      <c r="K2402" s="103"/>
      <c r="L2402" s="103">
        <v>4.2999999999999997E-2</v>
      </c>
      <c r="O2402" s="100"/>
    </row>
    <row r="2403" spans="2:15" x14ac:dyDescent="0.2">
      <c r="B2403" s="1">
        <v>2388</v>
      </c>
      <c r="C2403" s="101">
        <f t="shared" ca="1" si="148"/>
        <v>-8.5321660246133066E-2</v>
      </c>
      <c r="D2403" s="101">
        <f t="shared" ca="1" si="149"/>
        <v>0.65893302257451847</v>
      </c>
      <c r="E2403" s="101">
        <f t="shared" ca="1" si="150"/>
        <v>0</v>
      </c>
      <c r="F2403" s="21">
        <f t="shared" ca="1" si="151"/>
        <v>0</v>
      </c>
      <c r="H2403" s="21">
        <v>2388</v>
      </c>
      <c r="I2403" s="102">
        <v>0.66775692515021712</v>
      </c>
      <c r="J2403" s="103">
        <v>1.3419874086089169E-3</v>
      </c>
      <c r="K2403" s="103"/>
      <c r="L2403" s="103">
        <v>3.9800000000000002E-2</v>
      </c>
      <c r="O2403" s="100"/>
    </row>
    <row r="2404" spans="2:15" x14ac:dyDescent="0.2">
      <c r="B2404" s="1">
        <v>2389</v>
      </c>
      <c r="C2404" s="101">
        <f t="shared" ca="1" si="148"/>
        <v>-0.42353045875463152</v>
      </c>
      <c r="D2404" s="101">
        <f t="shared" ca="1" si="149"/>
        <v>0.63731276384881297</v>
      </c>
      <c r="E2404" s="101">
        <f t="shared" ca="1" si="150"/>
        <v>0</v>
      </c>
      <c r="F2404" s="21">
        <f t="shared" ca="1" si="151"/>
        <v>0</v>
      </c>
      <c r="H2404" s="21">
        <v>2389</v>
      </c>
      <c r="I2404" s="102">
        <v>0.66791123896454774</v>
      </c>
      <c r="J2404" s="103">
        <v>1.5265420512200238E-3</v>
      </c>
      <c r="K2404" s="103"/>
      <c r="L2404" s="103">
        <v>4.24E-2</v>
      </c>
      <c r="O2404" s="100"/>
    </row>
    <row r="2405" spans="2:15" x14ac:dyDescent="0.2">
      <c r="B2405" s="1">
        <v>2390</v>
      </c>
      <c r="C2405" s="101">
        <f t="shared" ca="1" si="148"/>
        <v>-0.8798864981377269</v>
      </c>
      <c r="D2405" s="101">
        <f t="shared" ca="1" si="149"/>
        <v>0.6092599143298395</v>
      </c>
      <c r="E2405" s="101">
        <f t="shared" ca="1" si="150"/>
        <v>0</v>
      </c>
      <c r="F2405" s="21">
        <f t="shared" ca="1" si="151"/>
        <v>0</v>
      </c>
      <c r="H2405" s="21">
        <v>2390</v>
      </c>
      <c r="I2405" s="102">
        <v>0.6678215081148503</v>
      </c>
      <c r="J2405" s="103">
        <v>1.3762496128044443E-3</v>
      </c>
      <c r="K2405" s="103"/>
      <c r="L2405" s="103">
        <v>4.7199999999999999E-2</v>
      </c>
      <c r="O2405" s="100"/>
    </row>
    <row r="2406" spans="2:15" x14ac:dyDescent="0.2">
      <c r="B2406" s="1">
        <v>2391</v>
      </c>
      <c r="C2406" s="101">
        <f t="shared" ca="1" si="148"/>
        <v>1.5063860204259261</v>
      </c>
      <c r="D2406" s="101">
        <f t="shared" ca="1" si="149"/>
        <v>0.77095503403753718</v>
      </c>
      <c r="E2406" s="101">
        <f t="shared" ca="1" si="150"/>
        <v>0</v>
      </c>
      <c r="F2406" s="21">
        <f t="shared" ca="1" si="151"/>
        <v>0</v>
      </c>
      <c r="H2406" s="21">
        <v>2391</v>
      </c>
      <c r="I2406" s="102">
        <v>0.66775876856731697</v>
      </c>
      <c r="J2406" s="103">
        <v>1.3183090759071989E-3</v>
      </c>
      <c r="K2406" s="103"/>
      <c r="L2406" s="103">
        <v>4.2999999999999997E-2</v>
      </c>
      <c r="O2406" s="100"/>
    </row>
    <row r="2407" spans="2:15" x14ac:dyDescent="0.2">
      <c r="B2407" s="1">
        <v>2392</v>
      </c>
      <c r="C2407" s="101">
        <f t="shared" ca="1" si="148"/>
        <v>0.77465526440504739</v>
      </c>
      <c r="D2407" s="101">
        <f t="shared" ca="1" si="149"/>
        <v>0.71726915334954677</v>
      </c>
      <c r="E2407" s="101">
        <f t="shared" ca="1" si="150"/>
        <v>0</v>
      </c>
      <c r="F2407" s="21">
        <f t="shared" ca="1" si="151"/>
        <v>0</v>
      </c>
      <c r="H2407" s="21">
        <v>2392</v>
      </c>
      <c r="I2407" s="102">
        <v>0.66767482143922563</v>
      </c>
      <c r="J2407" s="103">
        <v>1.2543817535677242E-3</v>
      </c>
      <c r="K2407" s="103"/>
      <c r="L2407" s="103">
        <v>4.02E-2</v>
      </c>
      <c r="O2407" s="100"/>
    </row>
    <row r="2408" spans="2:15" x14ac:dyDescent="0.2">
      <c r="B2408" s="1">
        <v>2393</v>
      </c>
      <c r="C2408" s="101">
        <f t="shared" ca="1" si="148"/>
        <v>1.4840246931710959</v>
      </c>
      <c r="D2408" s="101">
        <f t="shared" ca="1" si="149"/>
        <v>0.76925637332619412</v>
      </c>
      <c r="E2408" s="101">
        <f t="shared" ca="1" si="150"/>
        <v>0</v>
      </c>
      <c r="F2408" s="21">
        <f t="shared" ca="1" si="151"/>
        <v>0</v>
      </c>
      <c r="H2408" s="21">
        <v>2393</v>
      </c>
      <c r="I2408" s="102">
        <v>0.66777959947388965</v>
      </c>
      <c r="J2408" s="103">
        <v>1.4152120650525613E-3</v>
      </c>
      <c r="K2408" s="103"/>
      <c r="L2408" s="103">
        <v>4.2200000000000001E-2</v>
      </c>
      <c r="O2408" s="100"/>
    </row>
    <row r="2409" spans="2:15" x14ac:dyDescent="0.2">
      <c r="B2409" s="1">
        <v>2394</v>
      </c>
      <c r="C2409" s="101">
        <f t="shared" ca="1" si="148"/>
        <v>-1.2384218651404062</v>
      </c>
      <c r="D2409" s="101">
        <f t="shared" ca="1" si="149"/>
        <v>0.58808915552381957</v>
      </c>
      <c r="E2409" s="101">
        <f t="shared" ca="1" si="150"/>
        <v>0</v>
      </c>
      <c r="F2409" s="21">
        <f t="shared" ca="1" si="151"/>
        <v>0</v>
      </c>
      <c r="H2409" s="21">
        <v>2394</v>
      </c>
      <c r="I2409" s="102">
        <v>0.66780105586781424</v>
      </c>
      <c r="J2409" s="103">
        <v>1.5532073367521314E-3</v>
      </c>
      <c r="K2409" s="103"/>
      <c r="L2409" s="103">
        <v>3.9199999999999999E-2</v>
      </c>
      <c r="O2409" s="100"/>
    </row>
    <row r="2410" spans="2:15" x14ac:dyDescent="0.2">
      <c r="B2410" s="1">
        <v>2395</v>
      </c>
      <c r="C2410" s="101">
        <f t="shared" ca="1" si="148"/>
        <v>1.9302313339761499</v>
      </c>
      <c r="D2410" s="101">
        <f t="shared" ca="1" si="149"/>
        <v>0.80387092391747483</v>
      </c>
      <c r="E2410" s="101">
        <f t="shared" ca="1" si="150"/>
        <v>1.5670923917474822E-2</v>
      </c>
      <c r="F2410" s="21">
        <f t="shared" ca="1" si="151"/>
        <v>1</v>
      </c>
      <c r="H2410" s="21">
        <v>2395</v>
      </c>
      <c r="I2410" s="102">
        <v>0.66769578795200424</v>
      </c>
      <c r="J2410" s="103">
        <v>1.241934238392819E-3</v>
      </c>
      <c r="K2410" s="103"/>
      <c r="L2410" s="103">
        <v>3.8199999999999998E-2</v>
      </c>
      <c r="O2410" s="100"/>
    </row>
    <row r="2411" spans="2:15" x14ac:dyDescent="0.2">
      <c r="B2411" s="1">
        <v>2396</v>
      </c>
      <c r="C2411" s="101">
        <f t="shared" ca="1" si="148"/>
        <v>-1.0237675846874266</v>
      </c>
      <c r="D2411" s="101">
        <f t="shared" ca="1" si="149"/>
        <v>0.60067399169135827</v>
      </c>
      <c r="E2411" s="101">
        <f t="shared" ca="1" si="150"/>
        <v>0</v>
      </c>
      <c r="F2411" s="21">
        <f t="shared" ca="1" si="151"/>
        <v>0</v>
      </c>
      <c r="H2411" s="21">
        <v>2396</v>
      </c>
      <c r="I2411" s="102">
        <v>0.66751661096133363</v>
      </c>
      <c r="J2411" s="103">
        <v>9.8565587769679566E-4</v>
      </c>
      <c r="K2411" s="103"/>
      <c r="L2411" s="103">
        <v>3.4799999999999998E-2</v>
      </c>
      <c r="O2411" s="100"/>
    </row>
    <row r="2412" spans="2:15" x14ac:dyDescent="0.2">
      <c r="B2412" s="1">
        <v>2397</v>
      </c>
      <c r="C2412" s="101">
        <f t="shared" ca="1" si="148"/>
        <v>-0.13294978174712957</v>
      </c>
      <c r="D2412" s="101">
        <f t="shared" ca="1" si="149"/>
        <v>0.65584454931070435</v>
      </c>
      <c r="E2412" s="101">
        <f t="shared" ca="1" si="150"/>
        <v>0</v>
      </c>
      <c r="F2412" s="21">
        <f t="shared" ca="1" si="151"/>
        <v>0</v>
      </c>
      <c r="H2412" s="21">
        <v>2397</v>
      </c>
      <c r="I2412" s="102">
        <v>0.66778081137622902</v>
      </c>
      <c r="J2412" s="103">
        <v>1.5120456183994365E-3</v>
      </c>
      <c r="K2412" s="103"/>
      <c r="L2412" s="103">
        <v>4.58E-2</v>
      </c>
      <c r="O2412" s="100"/>
    </row>
    <row r="2413" spans="2:15" x14ac:dyDescent="0.2">
      <c r="B2413" s="1">
        <v>2398</v>
      </c>
      <c r="C2413" s="101">
        <f t="shared" ca="1" si="148"/>
        <v>0.4631818631346723</v>
      </c>
      <c r="D2413" s="101">
        <f t="shared" ca="1" si="149"/>
        <v>0.69556676965212949</v>
      </c>
      <c r="E2413" s="101">
        <f t="shared" ca="1" si="150"/>
        <v>0</v>
      </c>
      <c r="F2413" s="21">
        <f t="shared" ca="1" si="151"/>
        <v>0</v>
      </c>
      <c r="H2413" s="21">
        <v>2398</v>
      </c>
      <c r="I2413" s="102">
        <v>0.66772500768439991</v>
      </c>
      <c r="J2413" s="103">
        <v>1.3983821126690619E-3</v>
      </c>
      <c r="K2413" s="103"/>
      <c r="L2413" s="103">
        <v>4.0399999999999998E-2</v>
      </c>
      <c r="O2413" s="100"/>
    </row>
    <row r="2414" spans="2:15" x14ac:dyDescent="0.2">
      <c r="B2414" s="1">
        <v>2399</v>
      </c>
      <c r="C2414" s="101">
        <f t="shared" ca="1" si="148"/>
        <v>-0.2966119553970174</v>
      </c>
      <c r="D2414" s="101">
        <f t="shared" ca="1" si="149"/>
        <v>0.64534169716157574</v>
      </c>
      <c r="E2414" s="101">
        <f t="shared" ca="1" si="150"/>
        <v>0</v>
      </c>
      <c r="F2414" s="21">
        <f t="shared" ca="1" si="151"/>
        <v>0</v>
      </c>
      <c r="H2414" s="21">
        <v>2399</v>
      </c>
      <c r="I2414" s="102">
        <v>0.66774901398427067</v>
      </c>
      <c r="J2414" s="103">
        <v>1.2670325505791888E-3</v>
      </c>
      <c r="K2414" s="103"/>
      <c r="L2414" s="103">
        <v>4.2799999999999998E-2</v>
      </c>
      <c r="O2414" s="100"/>
    </row>
    <row r="2415" spans="2:15" x14ac:dyDescent="0.2">
      <c r="B2415" s="1">
        <v>2400</v>
      </c>
      <c r="C2415" s="101">
        <f t="shared" ca="1" si="148"/>
        <v>0.91866913110309345</v>
      </c>
      <c r="D2415" s="101">
        <f t="shared" ca="1" si="149"/>
        <v>0.72753119446281644</v>
      </c>
      <c r="E2415" s="101">
        <f t="shared" ca="1" si="150"/>
        <v>0</v>
      </c>
      <c r="F2415" s="21">
        <f t="shared" ca="1" si="151"/>
        <v>0</v>
      </c>
      <c r="H2415" s="21">
        <v>2400</v>
      </c>
      <c r="I2415" s="102">
        <v>0.66767094938091753</v>
      </c>
      <c r="J2415" s="103">
        <v>1.2737189193380918E-3</v>
      </c>
      <c r="K2415" s="103"/>
      <c r="L2415" s="103">
        <v>4.02E-2</v>
      </c>
      <c r="O2415" s="100"/>
    </row>
    <row r="2416" spans="2:15" x14ac:dyDescent="0.2">
      <c r="B2416" s="1">
        <v>2401</v>
      </c>
      <c r="C2416" s="101">
        <f t="shared" ca="1" si="148"/>
        <v>-0.94227306529058064</v>
      </c>
      <c r="D2416" s="101">
        <f t="shared" ca="1" si="149"/>
        <v>0.60552210641735127</v>
      </c>
      <c r="E2416" s="101">
        <f t="shared" ca="1" si="150"/>
        <v>0</v>
      </c>
      <c r="F2416" s="21">
        <f t="shared" ca="1" si="151"/>
        <v>0</v>
      </c>
      <c r="H2416" s="21">
        <v>2401</v>
      </c>
      <c r="I2416" s="102">
        <v>0.66770008536972669</v>
      </c>
      <c r="J2416" s="103">
        <v>1.1803843116018793E-3</v>
      </c>
      <c r="K2416" s="103"/>
      <c r="L2416" s="103">
        <v>3.7999999999999999E-2</v>
      </c>
      <c r="O2416" s="100"/>
    </row>
    <row r="2417" spans="2:15" x14ac:dyDescent="0.2">
      <c r="B2417" s="1">
        <v>2402</v>
      </c>
      <c r="C2417" s="101">
        <f t="shared" ca="1" si="148"/>
        <v>0.29653622834822885</v>
      </c>
      <c r="D2417" s="101">
        <f t="shared" ca="1" si="149"/>
        <v>0.68422640395100676</v>
      </c>
      <c r="E2417" s="101">
        <f t="shared" ca="1" si="150"/>
        <v>0</v>
      </c>
      <c r="F2417" s="21">
        <f t="shared" ca="1" si="151"/>
        <v>0</v>
      </c>
      <c r="H2417" s="21">
        <v>2402</v>
      </c>
      <c r="I2417" s="102">
        <v>0.66771034399731721</v>
      </c>
      <c r="J2417" s="103">
        <v>1.2558026674638813E-3</v>
      </c>
      <c r="K2417" s="103"/>
      <c r="L2417" s="103">
        <v>4.2000000000000003E-2</v>
      </c>
      <c r="O2417" s="100"/>
    </row>
    <row r="2418" spans="2:15" x14ac:dyDescent="0.2">
      <c r="B2418" s="1">
        <v>2403</v>
      </c>
      <c r="C2418" s="101">
        <f t="shared" ca="1" si="148"/>
        <v>-0.35561943775598148</v>
      </c>
      <c r="D2418" s="101">
        <f t="shared" ca="1" si="149"/>
        <v>0.64159634720179293</v>
      </c>
      <c r="E2418" s="101">
        <f t="shared" ca="1" si="150"/>
        <v>0</v>
      </c>
      <c r="F2418" s="21">
        <f t="shared" ca="1" si="151"/>
        <v>0</v>
      </c>
      <c r="H2418" s="21">
        <v>2403</v>
      </c>
      <c r="I2418" s="102">
        <v>0.66778495465495513</v>
      </c>
      <c r="J2418" s="103">
        <v>1.472389482788339E-3</v>
      </c>
      <c r="K2418" s="103"/>
      <c r="L2418" s="103">
        <v>4.4200000000000003E-2</v>
      </c>
      <c r="O2418" s="100"/>
    </row>
    <row r="2419" spans="2:15" x14ac:dyDescent="0.2">
      <c r="B2419" s="1">
        <v>2404</v>
      </c>
      <c r="C2419" s="101">
        <f t="shared" ca="1" si="148"/>
        <v>-0.72888668160642278</v>
      </c>
      <c r="D2419" s="101">
        <f t="shared" ca="1" si="149"/>
        <v>0.61840265306557918</v>
      </c>
      <c r="E2419" s="101">
        <f t="shared" ca="1" si="150"/>
        <v>0</v>
      </c>
      <c r="F2419" s="21">
        <f t="shared" ca="1" si="151"/>
        <v>0</v>
      </c>
      <c r="H2419" s="21">
        <v>2404</v>
      </c>
      <c r="I2419" s="102">
        <v>0.66775254232804548</v>
      </c>
      <c r="J2419" s="103">
        <v>1.364302259533581E-3</v>
      </c>
      <c r="K2419" s="103"/>
      <c r="L2419" s="103">
        <v>4.3200000000000002E-2</v>
      </c>
      <c r="O2419" s="100"/>
    </row>
    <row r="2420" spans="2:15" x14ac:dyDescent="0.2">
      <c r="B2420" s="1">
        <v>2405</v>
      </c>
      <c r="C2420" s="101">
        <f t="shared" ca="1" si="148"/>
        <v>-0.67801827001189741</v>
      </c>
      <c r="D2420" s="101">
        <f t="shared" ca="1" si="149"/>
        <v>0.62151342708205759</v>
      </c>
      <c r="E2420" s="101">
        <f t="shared" ca="1" si="150"/>
        <v>0</v>
      </c>
      <c r="F2420" s="21">
        <f t="shared" ca="1" si="151"/>
        <v>0</v>
      </c>
      <c r="H2420" s="21">
        <v>2405</v>
      </c>
      <c r="I2420" s="102">
        <v>0.66794774782093214</v>
      </c>
      <c r="J2420" s="103">
        <v>1.5647471854435121E-3</v>
      </c>
      <c r="K2420" s="103"/>
      <c r="L2420" s="103">
        <v>4.6199999999999998E-2</v>
      </c>
      <c r="O2420" s="100"/>
    </row>
    <row r="2421" spans="2:15" x14ac:dyDescent="0.2">
      <c r="B2421" s="1">
        <v>2406</v>
      </c>
      <c r="C2421" s="101">
        <f t="shared" ca="1" si="148"/>
        <v>-0.47686641674308811</v>
      </c>
      <c r="D2421" s="101">
        <f t="shared" ca="1" si="149"/>
        <v>0.63396858359464869</v>
      </c>
      <c r="E2421" s="101">
        <f t="shared" ca="1" si="150"/>
        <v>0</v>
      </c>
      <c r="F2421" s="21">
        <f t="shared" ca="1" si="151"/>
        <v>0</v>
      </c>
      <c r="H2421" s="21">
        <v>2406</v>
      </c>
      <c r="I2421" s="102">
        <v>0.66772953864120377</v>
      </c>
      <c r="J2421" s="103">
        <v>1.3609704122578129E-3</v>
      </c>
      <c r="K2421" s="103"/>
      <c r="L2421" s="103">
        <v>4.1200000000000001E-2</v>
      </c>
      <c r="O2421" s="100"/>
    </row>
    <row r="2422" spans="2:15" x14ac:dyDescent="0.2">
      <c r="B2422" s="1">
        <v>2407</v>
      </c>
      <c r="C2422" s="101">
        <f t="shared" ca="1" si="148"/>
        <v>-0.19028240791547696</v>
      </c>
      <c r="D2422" s="101">
        <f t="shared" ca="1" si="149"/>
        <v>0.65214597642787353</v>
      </c>
      <c r="E2422" s="101">
        <f t="shared" ca="1" si="150"/>
        <v>0</v>
      </c>
      <c r="F2422" s="21">
        <f t="shared" ca="1" si="151"/>
        <v>0</v>
      </c>
      <c r="H2422" s="21">
        <v>2407</v>
      </c>
      <c r="I2422" s="102">
        <v>0.66792028918465685</v>
      </c>
      <c r="J2422" s="103">
        <v>1.5551899159751863E-3</v>
      </c>
      <c r="K2422" s="103"/>
      <c r="L2422" s="103">
        <v>4.9000000000000002E-2</v>
      </c>
      <c r="O2422" s="100"/>
    </row>
    <row r="2423" spans="2:15" x14ac:dyDescent="0.2">
      <c r="B2423" s="1">
        <v>2408</v>
      </c>
      <c r="C2423" s="101">
        <f t="shared" ca="1" si="148"/>
        <v>0.82990504179127811</v>
      </c>
      <c r="D2423" s="101">
        <f t="shared" ca="1" si="149"/>
        <v>0.72118887798005959</v>
      </c>
      <c r="E2423" s="101">
        <f t="shared" ca="1" si="150"/>
        <v>0</v>
      </c>
      <c r="F2423" s="21">
        <f t="shared" ca="1" si="151"/>
        <v>0</v>
      </c>
      <c r="H2423" s="21">
        <v>2408</v>
      </c>
      <c r="I2423" s="102">
        <v>0.667705627214635</v>
      </c>
      <c r="J2423" s="103">
        <v>1.3143034321035478E-3</v>
      </c>
      <c r="K2423" s="103"/>
      <c r="L2423" s="103">
        <v>4.2200000000000001E-2</v>
      </c>
      <c r="O2423" s="100"/>
    </row>
    <row r="2424" spans="2:15" x14ac:dyDescent="0.2">
      <c r="B2424" s="1">
        <v>2409</v>
      </c>
      <c r="C2424" s="101">
        <f t="shared" ca="1" si="148"/>
        <v>-0.78795983905062272</v>
      </c>
      <c r="D2424" s="101">
        <f t="shared" ca="1" si="149"/>
        <v>0.61480966549532168</v>
      </c>
      <c r="E2424" s="101">
        <f t="shared" ca="1" si="150"/>
        <v>0</v>
      </c>
      <c r="F2424" s="21">
        <f t="shared" ca="1" si="151"/>
        <v>0</v>
      </c>
      <c r="H2424" s="21">
        <v>2409</v>
      </c>
      <c r="I2424" s="102">
        <v>0.6679572711175934</v>
      </c>
      <c r="J2424" s="103">
        <v>1.6896505845838256E-3</v>
      </c>
      <c r="K2424" s="103"/>
      <c r="L2424" s="103">
        <v>4.58E-2</v>
      </c>
      <c r="O2424" s="100"/>
    </row>
    <row r="2425" spans="2:15" x14ac:dyDescent="0.2">
      <c r="B2425" s="1">
        <v>2410</v>
      </c>
      <c r="C2425" s="101">
        <f t="shared" ca="1" si="148"/>
        <v>1.7242459158757697</v>
      </c>
      <c r="D2425" s="101">
        <f t="shared" ca="1" si="149"/>
        <v>0.78770215236187735</v>
      </c>
      <c r="E2425" s="101">
        <f t="shared" ca="1" si="150"/>
        <v>0</v>
      </c>
      <c r="F2425" s="21">
        <f t="shared" ca="1" si="151"/>
        <v>0</v>
      </c>
      <c r="H2425" s="21">
        <v>2410</v>
      </c>
      <c r="I2425" s="102">
        <v>0.66780689982780261</v>
      </c>
      <c r="J2425" s="103">
        <v>1.5206741487197475E-3</v>
      </c>
      <c r="K2425" s="103"/>
      <c r="L2425" s="103">
        <v>4.2799999999999998E-2</v>
      </c>
      <c r="O2425" s="100"/>
    </row>
    <row r="2426" spans="2:15" x14ac:dyDescent="0.2">
      <c r="B2426" s="1">
        <v>2411</v>
      </c>
      <c r="C2426" s="101">
        <f t="shared" ca="1" si="148"/>
        <v>1.0033560004114348</v>
      </c>
      <c r="D2426" s="101">
        <f t="shared" ca="1" si="149"/>
        <v>0.73363417278943277</v>
      </c>
      <c r="E2426" s="101">
        <f t="shared" ca="1" si="150"/>
        <v>0</v>
      </c>
      <c r="F2426" s="21">
        <f t="shared" ca="1" si="151"/>
        <v>0</v>
      </c>
      <c r="H2426" s="21">
        <v>2411</v>
      </c>
      <c r="I2426" s="102">
        <v>0.66793322595163596</v>
      </c>
      <c r="J2426" s="103">
        <v>1.6158087851931941E-3</v>
      </c>
      <c r="K2426" s="103"/>
      <c r="L2426" s="103">
        <v>4.7399999999999998E-2</v>
      </c>
      <c r="O2426" s="100"/>
    </row>
    <row r="2427" spans="2:15" x14ac:dyDescent="0.2">
      <c r="B2427" s="1">
        <v>2412</v>
      </c>
      <c r="C2427" s="101">
        <f t="shared" ca="1" si="148"/>
        <v>-0.21237241012102984</v>
      </c>
      <c r="D2427" s="101">
        <f t="shared" ca="1" si="149"/>
        <v>0.65072650582119318</v>
      </c>
      <c r="E2427" s="101">
        <f t="shared" ca="1" si="150"/>
        <v>0</v>
      </c>
      <c r="F2427" s="21">
        <f t="shared" ca="1" si="151"/>
        <v>0</v>
      </c>
      <c r="H2427" s="21">
        <v>2412</v>
      </c>
      <c r="I2427" s="102">
        <v>0.66776769234659783</v>
      </c>
      <c r="J2427" s="103">
        <v>1.308851070640308E-3</v>
      </c>
      <c r="K2427" s="103"/>
      <c r="L2427" s="103">
        <v>4.2799999999999998E-2</v>
      </c>
      <c r="O2427" s="100"/>
    </row>
    <row r="2428" spans="2:15" x14ac:dyDescent="0.2">
      <c r="B2428" s="1">
        <v>2413</v>
      </c>
      <c r="C2428" s="101">
        <f t="shared" ca="1" si="148"/>
        <v>1.3719726216228303</v>
      </c>
      <c r="D2428" s="101">
        <f t="shared" ca="1" si="149"/>
        <v>0.76080062626129963</v>
      </c>
      <c r="E2428" s="101">
        <f t="shared" ca="1" si="150"/>
        <v>0</v>
      </c>
      <c r="F2428" s="21">
        <f t="shared" ca="1" si="151"/>
        <v>0</v>
      </c>
      <c r="H2428" s="21">
        <v>2413</v>
      </c>
      <c r="I2428" s="102">
        <v>0.66787263365266158</v>
      </c>
      <c r="J2428" s="103">
        <v>1.5952793547385072E-3</v>
      </c>
      <c r="K2428" s="103"/>
      <c r="L2428" s="103">
        <v>4.7600000000000003E-2</v>
      </c>
      <c r="O2428" s="100"/>
    </row>
    <row r="2429" spans="2:15" x14ac:dyDescent="0.2">
      <c r="B2429" s="1">
        <v>2414</v>
      </c>
      <c r="C2429" s="101">
        <f t="shared" ca="1" si="148"/>
        <v>0.59256937330108927</v>
      </c>
      <c r="D2429" s="101">
        <f t="shared" ca="1" si="149"/>
        <v>0.70450115068382058</v>
      </c>
      <c r="E2429" s="101">
        <f t="shared" ca="1" si="150"/>
        <v>0</v>
      </c>
      <c r="F2429" s="21">
        <f t="shared" ca="1" si="151"/>
        <v>0</v>
      </c>
      <c r="H2429" s="21">
        <v>2414</v>
      </c>
      <c r="I2429" s="102">
        <v>0.6677651481328043</v>
      </c>
      <c r="J2429" s="103">
        <v>1.4143341459005353E-3</v>
      </c>
      <c r="K2429" s="103"/>
      <c r="L2429" s="103">
        <v>4.1399999999999999E-2</v>
      </c>
      <c r="O2429" s="100"/>
    </row>
    <row r="2430" spans="2:15" x14ac:dyDescent="0.2">
      <c r="B2430" s="1">
        <v>2415</v>
      </c>
      <c r="C2430" s="101">
        <f t="shared" ca="1" si="148"/>
        <v>-1.0374826936637669</v>
      </c>
      <c r="D2430" s="101">
        <f t="shared" ca="1" si="149"/>
        <v>0.59986190339580403</v>
      </c>
      <c r="E2430" s="101">
        <f t="shared" ca="1" si="150"/>
        <v>0</v>
      </c>
      <c r="F2430" s="21">
        <f t="shared" ca="1" si="151"/>
        <v>0</v>
      </c>
      <c r="H2430" s="21">
        <v>2415</v>
      </c>
      <c r="I2430" s="102">
        <v>0.66758387007445996</v>
      </c>
      <c r="J2430" s="103">
        <v>1.2598929722758259E-3</v>
      </c>
      <c r="K2430" s="103"/>
      <c r="L2430" s="103">
        <v>3.7400000000000003E-2</v>
      </c>
      <c r="O2430" s="100"/>
    </row>
    <row r="2431" spans="2:15" x14ac:dyDescent="0.2">
      <c r="B2431" s="1">
        <v>2416</v>
      </c>
      <c r="C2431" s="101">
        <f t="shared" ca="1" si="148"/>
        <v>0.11065589418580324</v>
      </c>
      <c r="D2431" s="101">
        <f t="shared" ca="1" si="149"/>
        <v>0.67179509789912306</v>
      </c>
      <c r="E2431" s="101">
        <f t="shared" ca="1" si="150"/>
        <v>0</v>
      </c>
      <c r="F2431" s="21">
        <f t="shared" ca="1" si="151"/>
        <v>0</v>
      </c>
      <c r="H2431" s="21">
        <v>2416</v>
      </c>
      <c r="I2431" s="102">
        <v>0.66762269933642115</v>
      </c>
      <c r="J2431" s="103">
        <v>1.2557645922518081E-3</v>
      </c>
      <c r="K2431" s="103"/>
      <c r="L2431" s="103">
        <v>4.0800000000000003E-2</v>
      </c>
      <c r="O2431" s="100"/>
    </row>
    <row r="2432" spans="2:15" x14ac:dyDescent="0.2">
      <c r="B2432" s="1">
        <v>2417</v>
      </c>
      <c r="C2432" s="101">
        <f t="shared" ca="1" si="148"/>
        <v>0.27973454342108545</v>
      </c>
      <c r="D2432" s="101">
        <f t="shared" ca="1" si="149"/>
        <v>0.68309334702667812</v>
      </c>
      <c r="E2432" s="101">
        <f t="shared" ca="1" si="150"/>
        <v>0</v>
      </c>
      <c r="F2432" s="21">
        <f t="shared" ca="1" si="151"/>
        <v>0</v>
      </c>
      <c r="H2432" s="21">
        <v>2417</v>
      </c>
      <c r="I2432" s="102">
        <v>0.66789565677132456</v>
      </c>
      <c r="J2432" s="103">
        <v>1.6698093874632405E-3</v>
      </c>
      <c r="K2432" s="103"/>
      <c r="L2432" s="103">
        <v>4.36E-2</v>
      </c>
      <c r="O2432" s="100"/>
    </row>
    <row r="2433" spans="2:15" x14ac:dyDescent="0.2">
      <c r="B2433" s="1">
        <v>2418</v>
      </c>
      <c r="C2433" s="101">
        <f t="shared" ca="1" si="148"/>
        <v>-0.71726221861074624</v>
      </c>
      <c r="D2433" s="101">
        <f t="shared" ca="1" si="149"/>
        <v>0.61911215267436104</v>
      </c>
      <c r="E2433" s="101">
        <f t="shared" ca="1" si="150"/>
        <v>0</v>
      </c>
      <c r="F2433" s="21">
        <f t="shared" ca="1" si="151"/>
        <v>0</v>
      </c>
      <c r="H2433" s="21">
        <v>2418</v>
      </c>
      <c r="I2433" s="102">
        <v>0.66758536974775629</v>
      </c>
      <c r="J2433" s="103">
        <v>1.2409609660161657E-3</v>
      </c>
      <c r="K2433" s="103"/>
      <c r="L2433" s="103">
        <v>4.1399999999999999E-2</v>
      </c>
      <c r="O2433" s="100"/>
    </row>
    <row r="2434" spans="2:15" x14ac:dyDescent="0.2">
      <c r="B2434" s="1">
        <v>2419</v>
      </c>
      <c r="C2434" s="101">
        <f t="shared" ca="1" si="148"/>
        <v>-0.29032827286252338</v>
      </c>
      <c r="D2434" s="101">
        <f t="shared" ca="1" si="149"/>
        <v>0.64574182379903755</v>
      </c>
      <c r="E2434" s="101">
        <f t="shared" ca="1" si="150"/>
        <v>0</v>
      </c>
      <c r="F2434" s="21">
        <f t="shared" ca="1" si="151"/>
        <v>0</v>
      </c>
      <c r="H2434" s="21">
        <v>2419</v>
      </c>
      <c r="I2434" s="102">
        <v>0.6676747437400643</v>
      </c>
      <c r="J2434" s="103">
        <v>1.3143714673691216E-3</v>
      </c>
      <c r="K2434" s="103"/>
      <c r="L2434" s="103">
        <v>4.1599999999999998E-2</v>
      </c>
      <c r="O2434" s="100"/>
    </row>
    <row r="2435" spans="2:15" x14ac:dyDescent="0.2">
      <c r="B2435" s="1">
        <v>2420</v>
      </c>
      <c r="C2435" s="101">
        <f t="shared" ca="1" si="148"/>
        <v>-1.6960360879978604</v>
      </c>
      <c r="D2435" s="101">
        <f t="shared" ca="1" si="149"/>
        <v>0.56213323110048619</v>
      </c>
      <c r="E2435" s="101">
        <f t="shared" ca="1" si="150"/>
        <v>0</v>
      </c>
      <c r="F2435" s="21">
        <f t="shared" ca="1" si="151"/>
        <v>0</v>
      </c>
      <c r="H2435" s="21">
        <v>2420</v>
      </c>
      <c r="I2435" s="102">
        <v>0.66781222986527955</v>
      </c>
      <c r="J2435" s="103">
        <v>1.4186403609457183E-3</v>
      </c>
      <c r="K2435" s="103"/>
      <c r="L2435" s="103">
        <v>4.2799999999999998E-2</v>
      </c>
      <c r="O2435" s="100"/>
    </row>
    <row r="2436" spans="2:15" x14ac:dyDescent="0.2">
      <c r="B2436" s="1">
        <v>2421</v>
      </c>
      <c r="C2436" s="101">
        <f t="shared" ca="1" si="148"/>
        <v>-0.6037764017974081</v>
      </c>
      <c r="D2436" s="101">
        <f t="shared" ca="1" si="149"/>
        <v>0.62608167343818966</v>
      </c>
      <c r="E2436" s="101">
        <f t="shared" ca="1" si="150"/>
        <v>0</v>
      </c>
      <c r="F2436" s="21">
        <f t="shared" ca="1" si="151"/>
        <v>0</v>
      </c>
      <c r="H2436" s="21">
        <v>2421</v>
      </c>
      <c r="I2436" s="102">
        <v>0.66760359300107641</v>
      </c>
      <c r="J2436" s="103">
        <v>1.2499423469055674E-3</v>
      </c>
      <c r="K2436" s="103"/>
      <c r="L2436" s="103">
        <v>3.6400000000000002E-2</v>
      </c>
      <c r="O2436" s="100"/>
    </row>
    <row r="2437" spans="2:15" x14ac:dyDescent="0.2">
      <c r="B2437" s="1">
        <v>2422</v>
      </c>
      <c r="C2437" s="101">
        <f t="shared" ca="1" si="148"/>
        <v>-0.52251496318330037</v>
      </c>
      <c r="D2437" s="101">
        <f t="shared" ca="1" si="149"/>
        <v>0.63112034622787228</v>
      </c>
      <c r="E2437" s="101">
        <f t="shared" ca="1" si="150"/>
        <v>0</v>
      </c>
      <c r="F2437" s="21">
        <f t="shared" ca="1" si="151"/>
        <v>0</v>
      </c>
      <c r="H2437" s="21">
        <v>2422</v>
      </c>
      <c r="I2437" s="102">
        <v>0.66788300494849484</v>
      </c>
      <c r="J2437" s="103">
        <v>1.4589935647864041E-3</v>
      </c>
      <c r="K2437" s="103"/>
      <c r="L2437" s="103">
        <v>4.36E-2</v>
      </c>
      <c r="O2437" s="100"/>
    </row>
    <row r="2438" spans="2:15" x14ac:dyDescent="0.2">
      <c r="B2438" s="1">
        <v>2423</v>
      </c>
      <c r="C2438" s="101">
        <f t="shared" ca="1" si="148"/>
        <v>0.38980050532841781</v>
      </c>
      <c r="D2438" s="101">
        <f t="shared" ca="1" si="149"/>
        <v>0.69055013340498372</v>
      </c>
      <c r="E2438" s="101">
        <f t="shared" ca="1" si="150"/>
        <v>0</v>
      </c>
      <c r="F2438" s="21">
        <f t="shared" ca="1" si="151"/>
        <v>0</v>
      </c>
      <c r="H2438" s="21">
        <v>2423</v>
      </c>
      <c r="I2438" s="102">
        <v>0.66786015231005802</v>
      </c>
      <c r="J2438" s="103">
        <v>1.6120444823550749E-3</v>
      </c>
      <c r="K2438" s="103"/>
      <c r="L2438" s="103">
        <v>4.5600000000000002E-2</v>
      </c>
      <c r="O2438" s="100"/>
    </row>
    <row r="2439" spans="2:15" x14ac:dyDescent="0.2">
      <c r="B2439" s="1">
        <v>2424</v>
      </c>
      <c r="C2439" s="101">
        <f t="shared" ca="1" si="148"/>
        <v>-1.7011151652549257</v>
      </c>
      <c r="D2439" s="101">
        <f t="shared" ca="1" si="149"/>
        <v>0.56185166900311201</v>
      </c>
      <c r="E2439" s="101">
        <f t="shared" ca="1" si="150"/>
        <v>0</v>
      </c>
      <c r="F2439" s="21">
        <f t="shared" ca="1" si="151"/>
        <v>0</v>
      </c>
      <c r="H2439" s="21">
        <v>2424</v>
      </c>
      <c r="I2439" s="102">
        <v>0.66777319581287753</v>
      </c>
      <c r="J2439" s="103">
        <v>1.4792713339469151E-3</v>
      </c>
      <c r="K2439" s="103"/>
      <c r="L2439" s="103">
        <v>4.1599999999999998E-2</v>
      </c>
      <c r="O2439" s="100"/>
    </row>
    <row r="2440" spans="2:15" x14ac:dyDescent="0.2">
      <c r="B2440" s="1">
        <v>2425</v>
      </c>
      <c r="C2440" s="101">
        <f t="shared" ca="1" si="148"/>
        <v>0.13134217782825866</v>
      </c>
      <c r="D2440" s="101">
        <f t="shared" ca="1" si="149"/>
        <v>0.67316731041302125</v>
      </c>
      <c r="E2440" s="101">
        <f t="shared" ca="1" si="150"/>
        <v>0</v>
      </c>
      <c r="F2440" s="21">
        <f t="shared" ca="1" si="151"/>
        <v>0</v>
      </c>
      <c r="H2440" s="21">
        <v>2425</v>
      </c>
      <c r="I2440" s="102">
        <v>0.66786476517925353</v>
      </c>
      <c r="J2440" s="103">
        <v>1.4172269023454021E-3</v>
      </c>
      <c r="K2440" s="103"/>
      <c r="L2440" s="103">
        <v>4.2799999999999998E-2</v>
      </c>
      <c r="O2440" s="100"/>
    </row>
    <row r="2441" spans="2:15" x14ac:dyDescent="0.2">
      <c r="B2441" s="1">
        <v>2426</v>
      </c>
      <c r="C2441" s="101">
        <f t="shared" ca="1" si="148"/>
        <v>-0.15916783486215977</v>
      </c>
      <c r="D2441" s="101">
        <f t="shared" ca="1" si="149"/>
        <v>0.65415060631459432</v>
      </c>
      <c r="E2441" s="101">
        <f t="shared" ca="1" si="150"/>
        <v>0</v>
      </c>
      <c r="F2441" s="21">
        <f t="shared" ca="1" si="151"/>
        <v>0</v>
      </c>
      <c r="H2441" s="21">
        <v>2426</v>
      </c>
      <c r="I2441" s="102">
        <v>0.66767543548019781</v>
      </c>
      <c r="J2441" s="103">
        <v>1.3227891309017248E-3</v>
      </c>
      <c r="K2441" s="103"/>
      <c r="L2441" s="103">
        <v>4.1200000000000001E-2</v>
      </c>
      <c r="O2441" s="100"/>
    </row>
    <row r="2442" spans="2:15" x14ac:dyDescent="0.2">
      <c r="B2442" s="1">
        <v>2427</v>
      </c>
      <c r="C2442" s="101">
        <f t="shared" ca="1" si="148"/>
        <v>0.98800227493326831</v>
      </c>
      <c r="D2442" s="101">
        <f t="shared" ca="1" si="149"/>
        <v>0.73252391611165724</v>
      </c>
      <c r="E2442" s="101">
        <f t="shared" ca="1" si="150"/>
        <v>0</v>
      </c>
      <c r="F2442" s="21">
        <f t="shared" ca="1" si="151"/>
        <v>0</v>
      </c>
      <c r="H2442" s="21">
        <v>2427</v>
      </c>
      <c r="I2442" s="102">
        <v>0.6678403899406492</v>
      </c>
      <c r="J2442" s="103">
        <v>1.4431883559108095E-3</v>
      </c>
      <c r="K2442" s="103"/>
      <c r="L2442" s="103">
        <v>4.3200000000000002E-2</v>
      </c>
      <c r="O2442" s="100"/>
    </row>
    <row r="2443" spans="2:15" x14ac:dyDescent="0.2">
      <c r="B2443" s="1">
        <v>2428</v>
      </c>
      <c r="C2443" s="101">
        <f t="shared" ca="1" si="148"/>
        <v>0.84211325101451084</v>
      </c>
      <c r="D2443" s="101">
        <f t="shared" ca="1" si="149"/>
        <v>0.72205788124284054</v>
      </c>
      <c r="E2443" s="101">
        <f t="shared" ca="1" si="150"/>
        <v>0</v>
      </c>
      <c r="F2443" s="21">
        <f t="shared" ca="1" si="151"/>
        <v>0</v>
      </c>
      <c r="H2443" s="21">
        <v>2428</v>
      </c>
      <c r="I2443" s="102">
        <v>0.66786540790930737</v>
      </c>
      <c r="J2443" s="103">
        <v>1.385376078044831E-3</v>
      </c>
      <c r="K2443" s="103"/>
      <c r="L2443" s="103">
        <v>4.3400000000000001E-2</v>
      </c>
      <c r="O2443" s="100"/>
    </row>
    <row r="2444" spans="2:15" x14ac:dyDescent="0.2">
      <c r="B2444" s="1">
        <v>2429</v>
      </c>
      <c r="C2444" s="101">
        <f t="shared" ca="1" si="148"/>
        <v>-1.5510336911383646</v>
      </c>
      <c r="D2444" s="101">
        <f t="shared" ca="1" si="149"/>
        <v>0.57023132764856976</v>
      </c>
      <c r="E2444" s="101">
        <f t="shared" ca="1" si="150"/>
        <v>0</v>
      </c>
      <c r="F2444" s="21">
        <f t="shared" ca="1" si="151"/>
        <v>0</v>
      </c>
      <c r="H2444" s="21">
        <v>2429</v>
      </c>
      <c r="I2444" s="102">
        <v>0.66772101909425019</v>
      </c>
      <c r="J2444" s="103">
        <v>1.383473139521815E-3</v>
      </c>
      <c r="K2444" s="103"/>
      <c r="L2444" s="103">
        <v>4.0399999999999998E-2</v>
      </c>
      <c r="O2444" s="100"/>
    </row>
    <row r="2445" spans="2:15" x14ac:dyDescent="0.2">
      <c r="B2445" s="1">
        <v>2430</v>
      </c>
      <c r="C2445" s="101">
        <f t="shared" ca="1" si="148"/>
        <v>-0.42344066072435677</v>
      </c>
      <c r="D2445" s="101">
        <f t="shared" ca="1" si="149"/>
        <v>0.63731840906074821</v>
      </c>
      <c r="E2445" s="101">
        <f t="shared" ca="1" si="150"/>
        <v>0</v>
      </c>
      <c r="F2445" s="21">
        <f t="shared" ca="1" si="151"/>
        <v>0</v>
      </c>
      <c r="H2445" s="21">
        <v>2430</v>
      </c>
      <c r="I2445" s="102">
        <v>0.66771868164020975</v>
      </c>
      <c r="J2445" s="103">
        <v>1.3629076113632155E-3</v>
      </c>
      <c r="K2445" s="103"/>
      <c r="L2445" s="103">
        <v>4.5199999999999997E-2</v>
      </c>
      <c r="O2445" s="100"/>
    </row>
    <row r="2446" spans="2:15" x14ac:dyDescent="0.2">
      <c r="B2446" s="1">
        <v>2431</v>
      </c>
      <c r="C2446" s="101">
        <f t="shared" ca="1" si="148"/>
        <v>0.42931737927074892</v>
      </c>
      <c r="D2446" s="101">
        <f t="shared" ca="1" si="149"/>
        <v>0.69324714870355808</v>
      </c>
      <c r="E2446" s="101">
        <f t="shared" ca="1" si="150"/>
        <v>0</v>
      </c>
      <c r="F2446" s="21">
        <f t="shared" ca="1" si="151"/>
        <v>0</v>
      </c>
      <c r="H2446" s="21">
        <v>2431</v>
      </c>
      <c r="I2446" s="102">
        <v>0.66776216616439055</v>
      </c>
      <c r="J2446" s="103">
        <v>1.3384091817884134E-3</v>
      </c>
      <c r="K2446" s="103"/>
      <c r="L2446" s="103">
        <v>4.2999999999999997E-2</v>
      </c>
      <c r="O2446" s="100"/>
    </row>
    <row r="2447" spans="2:15" x14ac:dyDescent="0.2">
      <c r="B2447" s="1">
        <v>2432</v>
      </c>
      <c r="C2447" s="101">
        <f t="shared" ca="1" si="148"/>
        <v>-1.2070568308176779</v>
      </c>
      <c r="D2447" s="101">
        <f t="shared" ca="1" si="149"/>
        <v>0.58991145538197387</v>
      </c>
      <c r="E2447" s="101">
        <f t="shared" ca="1" si="150"/>
        <v>0</v>
      </c>
      <c r="F2447" s="21">
        <f t="shared" ca="1" si="151"/>
        <v>0</v>
      </c>
      <c r="H2447" s="21">
        <v>2432</v>
      </c>
      <c r="I2447" s="102">
        <v>0.66783391432148054</v>
      </c>
      <c r="J2447" s="103">
        <v>1.3435909061168315E-3</v>
      </c>
      <c r="K2447" s="103"/>
      <c r="L2447" s="103">
        <v>4.2599999999999999E-2</v>
      </c>
      <c r="O2447" s="100"/>
    </row>
    <row r="2448" spans="2:15" x14ac:dyDescent="0.2">
      <c r="B2448" s="1">
        <v>2433</v>
      </c>
      <c r="C2448" s="101">
        <f t="shared" ref="C2448:C2515" ca="1" si="152">_xlfn.NORM.S.INV(RAND())</f>
        <v>0.28214689074458921</v>
      </c>
      <c r="D2448" s="101">
        <f t="shared" ref="D2448:D2511" ca="1" si="153">S0*EXP((μ-0.5*σ*σ)*T+σ*SQRT(T)*$C2448)</f>
        <v>0.68325591330579549</v>
      </c>
      <c r="E2448" s="101">
        <f t="shared" ref="E2448:E2511" ca="1" si="154">MAX(0,CP*(D2448-K))</f>
        <v>0</v>
      </c>
      <c r="F2448" s="21">
        <f t="shared" ref="F2448:F2511" ca="1" si="155">(CP*(D2448-K)&gt;0)*1</f>
        <v>0</v>
      </c>
      <c r="H2448" s="21">
        <v>2433</v>
      </c>
      <c r="I2448" s="102">
        <v>0.66769567692793119</v>
      </c>
      <c r="J2448" s="103">
        <v>1.3019860068519823E-3</v>
      </c>
      <c r="K2448" s="103"/>
      <c r="L2448" s="103">
        <v>4.1799999999999997E-2</v>
      </c>
      <c r="O2448" s="100"/>
    </row>
    <row r="2449" spans="2:15" x14ac:dyDescent="0.2">
      <c r="B2449" s="1">
        <v>2434</v>
      </c>
      <c r="C2449" s="101">
        <f t="shared" ca="1" si="152"/>
        <v>0.9056014753019912</v>
      </c>
      <c r="D2449" s="101">
        <f t="shared" ca="1" si="153"/>
        <v>0.72659400298302468</v>
      </c>
      <c r="E2449" s="101">
        <f t="shared" ca="1" si="154"/>
        <v>0</v>
      </c>
      <c r="F2449" s="21">
        <f t="shared" ca="1" si="155"/>
        <v>0</v>
      </c>
      <c r="H2449" s="21">
        <v>2434</v>
      </c>
      <c r="I2449" s="102">
        <v>0.66784356119971444</v>
      </c>
      <c r="J2449" s="103">
        <v>1.3854961908561483E-3</v>
      </c>
      <c r="K2449" s="103"/>
      <c r="L2449" s="103">
        <v>4.2999999999999997E-2</v>
      </c>
      <c r="O2449" s="100"/>
    </row>
    <row r="2450" spans="2:15" x14ac:dyDescent="0.2">
      <c r="B2450" s="1">
        <v>2435</v>
      </c>
      <c r="C2450" s="101">
        <f t="shared" ca="1" si="152"/>
        <v>0.15696646522647992</v>
      </c>
      <c r="D2450" s="101">
        <f t="shared" ca="1" si="153"/>
        <v>0.67487096950525394</v>
      </c>
      <c r="E2450" s="101">
        <f t="shared" ca="1" si="154"/>
        <v>0</v>
      </c>
      <c r="F2450" s="21">
        <f t="shared" ca="1" si="155"/>
        <v>0</v>
      </c>
      <c r="H2450" s="21">
        <v>2435</v>
      </c>
      <c r="I2450" s="102">
        <v>0.6677041202959495</v>
      </c>
      <c r="J2450" s="103">
        <v>1.3159359764304266E-3</v>
      </c>
      <c r="K2450" s="103"/>
      <c r="L2450" s="103">
        <v>0.04</v>
      </c>
      <c r="O2450" s="100"/>
    </row>
    <row r="2451" spans="2:15" x14ac:dyDescent="0.2">
      <c r="B2451" s="1">
        <v>2436</v>
      </c>
      <c r="C2451" s="101">
        <f t="shared" ca="1" si="152"/>
        <v>0.6805139766496805</v>
      </c>
      <c r="D2451" s="101">
        <f t="shared" ca="1" si="153"/>
        <v>0.71063926411721878</v>
      </c>
      <c r="E2451" s="101">
        <f t="shared" ca="1" si="154"/>
        <v>0</v>
      </c>
      <c r="F2451" s="21">
        <f t="shared" ca="1" si="155"/>
        <v>0</v>
      </c>
      <c r="H2451" s="21">
        <v>2436</v>
      </c>
      <c r="I2451" s="102">
        <v>0.66761569183948088</v>
      </c>
      <c r="J2451" s="103">
        <v>1.2461121435392575E-3</v>
      </c>
      <c r="K2451" s="103"/>
      <c r="L2451" s="103">
        <v>3.5799999999999998E-2</v>
      </c>
      <c r="O2451" s="100"/>
    </row>
    <row r="2452" spans="2:15" x14ac:dyDescent="0.2">
      <c r="B2452" s="1">
        <v>2437</v>
      </c>
      <c r="C2452" s="101">
        <f t="shared" ca="1" si="152"/>
        <v>0.49300225529356256</v>
      </c>
      <c r="D2452" s="101">
        <f t="shared" ca="1" si="153"/>
        <v>0.69761580748373619</v>
      </c>
      <c r="E2452" s="101">
        <f t="shared" ca="1" si="154"/>
        <v>0</v>
      </c>
      <c r="F2452" s="21">
        <f t="shared" ca="1" si="155"/>
        <v>0</v>
      </c>
      <c r="H2452" s="21">
        <v>2437</v>
      </c>
      <c r="I2452" s="102">
        <v>0.66789007893182317</v>
      </c>
      <c r="J2452" s="103">
        <v>1.5240951727694837E-3</v>
      </c>
      <c r="K2452" s="103"/>
      <c r="L2452" s="103">
        <v>4.3799999999999999E-2</v>
      </c>
      <c r="O2452" s="100"/>
    </row>
    <row r="2453" spans="2:15" x14ac:dyDescent="0.2">
      <c r="B2453" s="1">
        <v>2438</v>
      </c>
      <c r="C2453" s="101">
        <f t="shared" ca="1" si="152"/>
        <v>-1.2879106718464215</v>
      </c>
      <c r="D2453" s="101">
        <f t="shared" ca="1" si="153"/>
        <v>0.5852253109126957</v>
      </c>
      <c r="E2453" s="101">
        <f t="shared" ca="1" si="154"/>
        <v>0</v>
      </c>
      <c r="F2453" s="21">
        <f t="shared" ca="1" si="155"/>
        <v>0</v>
      </c>
      <c r="H2453" s="21">
        <v>2438</v>
      </c>
      <c r="I2453" s="102">
        <v>0.66773920943869103</v>
      </c>
      <c r="J2453" s="103">
        <v>1.4016094484495542E-3</v>
      </c>
      <c r="K2453" s="103"/>
      <c r="L2453" s="103">
        <v>3.9800000000000002E-2</v>
      </c>
      <c r="O2453" s="100"/>
    </row>
    <row r="2454" spans="2:15" x14ac:dyDescent="0.2">
      <c r="B2454" s="1">
        <v>2439</v>
      </c>
      <c r="C2454" s="101">
        <f t="shared" ca="1" si="152"/>
        <v>-0.31186370929794666</v>
      </c>
      <c r="D2454" s="101">
        <f t="shared" ca="1" si="153"/>
        <v>0.64437154072449954</v>
      </c>
      <c r="E2454" s="101">
        <f t="shared" ca="1" si="154"/>
        <v>0</v>
      </c>
      <c r="F2454" s="21">
        <f t="shared" ca="1" si="155"/>
        <v>0</v>
      </c>
      <c r="H2454" s="21">
        <v>2439</v>
      </c>
      <c r="I2454" s="102">
        <v>0.66774373038420876</v>
      </c>
      <c r="J2454" s="103">
        <v>1.2252557328758563E-3</v>
      </c>
      <c r="K2454" s="103"/>
      <c r="L2454" s="103">
        <v>4.48E-2</v>
      </c>
      <c r="O2454" s="100"/>
    </row>
    <row r="2455" spans="2:15" x14ac:dyDescent="0.2">
      <c r="B2455" s="1">
        <v>2440</v>
      </c>
      <c r="C2455" s="101">
        <f t="shared" ca="1" si="152"/>
        <v>0.51501546581848057</v>
      </c>
      <c r="D2455" s="101">
        <f t="shared" ca="1" si="153"/>
        <v>0.69913226483944491</v>
      </c>
      <c r="E2455" s="101">
        <f t="shared" ca="1" si="154"/>
        <v>0</v>
      </c>
      <c r="F2455" s="21">
        <f t="shared" ca="1" si="155"/>
        <v>0</v>
      </c>
      <c r="H2455" s="21">
        <v>2440</v>
      </c>
      <c r="I2455" s="102">
        <v>0.66779609388570937</v>
      </c>
      <c r="J2455" s="103">
        <v>1.3649693951719498E-3</v>
      </c>
      <c r="K2455" s="103"/>
      <c r="L2455" s="103">
        <v>4.1200000000000001E-2</v>
      </c>
      <c r="O2455" s="100"/>
    </row>
    <row r="2456" spans="2:15" x14ac:dyDescent="0.2">
      <c r="B2456" s="1">
        <v>2441</v>
      </c>
      <c r="C2456" s="101">
        <f t="shared" ca="1" si="152"/>
        <v>0.65036090077889341</v>
      </c>
      <c r="D2456" s="101">
        <f t="shared" ca="1" si="153"/>
        <v>0.70852872205922712</v>
      </c>
      <c r="E2456" s="101">
        <f t="shared" ca="1" si="154"/>
        <v>0</v>
      </c>
      <c r="F2456" s="21">
        <f t="shared" ca="1" si="155"/>
        <v>0</v>
      </c>
      <c r="H2456" s="21">
        <v>2441</v>
      </c>
      <c r="I2456" s="102">
        <v>0.66783377872632854</v>
      </c>
      <c r="J2456" s="103">
        <v>1.5414972359545E-3</v>
      </c>
      <c r="K2456" s="103"/>
      <c r="L2456" s="103">
        <v>4.6600000000000003E-2</v>
      </c>
      <c r="O2456" s="100"/>
    </row>
    <row r="2457" spans="2:15" x14ac:dyDescent="0.2">
      <c r="B2457" s="1">
        <v>2442</v>
      </c>
      <c r="C2457" s="101">
        <f t="shared" ca="1" si="152"/>
        <v>0.42163102376754269</v>
      </c>
      <c r="D2457" s="101">
        <f t="shared" ca="1" si="153"/>
        <v>0.69272173326353148</v>
      </c>
      <c r="E2457" s="101">
        <f t="shared" ca="1" si="154"/>
        <v>0</v>
      </c>
      <c r="F2457" s="21">
        <f t="shared" ca="1" si="155"/>
        <v>0</v>
      </c>
      <c r="H2457" s="21">
        <v>2442</v>
      </c>
      <c r="I2457" s="102">
        <v>0.6676739491520165</v>
      </c>
      <c r="J2457" s="103">
        <v>1.2306161732086017E-3</v>
      </c>
      <c r="K2457" s="103"/>
      <c r="L2457" s="103">
        <v>3.9199999999999999E-2</v>
      </c>
      <c r="O2457" s="100"/>
    </row>
    <row r="2458" spans="2:15" x14ac:dyDescent="0.2">
      <c r="B2458" s="1">
        <v>2443</v>
      </c>
      <c r="C2458" s="101">
        <f t="shared" ca="1" si="152"/>
        <v>0.91851246293668831</v>
      </c>
      <c r="D2458" s="101">
        <f t="shared" ca="1" si="153"/>
        <v>0.72751995131488656</v>
      </c>
      <c r="E2458" s="101">
        <f t="shared" ca="1" si="154"/>
        <v>0</v>
      </c>
      <c r="F2458" s="21">
        <f t="shared" ca="1" si="155"/>
        <v>0</v>
      </c>
      <c r="H2458" s="21">
        <v>2443</v>
      </c>
      <c r="I2458" s="102">
        <v>0.66778934766635556</v>
      </c>
      <c r="J2458" s="103">
        <v>1.4233670767003328E-3</v>
      </c>
      <c r="K2458" s="103"/>
      <c r="L2458" s="103">
        <v>4.3799999999999999E-2</v>
      </c>
      <c r="O2458" s="100"/>
    </row>
    <row r="2459" spans="2:15" x14ac:dyDescent="0.2">
      <c r="B2459" s="1">
        <v>2444</v>
      </c>
      <c r="C2459" s="101">
        <f t="shared" ca="1" si="152"/>
        <v>1.1383485480544568</v>
      </c>
      <c r="D2459" s="101">
        <f t="shared" ca="1" si="153"/>
        <v>0.7434684615063567</v>
      </c>
      <c r="E2459" s="101">
        <f t="shared" ca="1" si="154"/>
        <v>0</v>
      </c>
      <c r="F2459" s="21">
        <f t="shared" ca="1" si="155"/>
        <v>0</v>
      </c>
      <c r="H2459" s="21">
        <v>2444</v>
      </c>
      <c r="I2459" s="102">
        <v>0.6677635214227059</v>
      </c>
      <c r="J2459" s="103">
        <v>1.3380383290797796E-3</v>
      </c>
      <c r="K2459" s="103"/>
      <c r="L2459" s="103">
        <v>3.7400000000000003E-2</v>
      </c>
      <c r="O2459" s="100"/>
    </row>
    <row r="2460" spans="2:15" x14ac:dyDescent="0.2">
      <c r="B2460" s="1">
        <v>2445</v>
      </c>
      <c r="C2460" s="101">
        <f t="shared" ca="1" si="152"/>
        <v>-0.69899916370251447</v>
      </c>
      <c r="D2460" s="101">
        <f t="shared" ca="1" si="153"/>
        <v>0.62022848346129278</v>
      </c>
      <c r="E2460" s="101">
        <f t="shared" ca="1" si="154"/>
        <v>0</v>
      </c>
      <c r="F2460" s="21">
        <f t="shared" ca="1" si="155"/>
        <v>0</v>
      </c>
      <c r="H2460" s="21">
        <v>2445</v>
      </c>
      <c r="I2460" s="102">
        <v>0.66783607182297344</v>
      </c>
      <c r="J2460" s="103">
        <v>1.5293334639711407E-3</v>
      </c>
      <c r="K2460" s="103"/>
      <c r="L2460" s="103">
        <v>4.5400000000000003E-2</v>
      </c>
      <c r="O2460" s="100"/>
    </row>
    <row r="2461" spans="2:15" x14ac:dyDescent="0.2">
      <c r="B2461" s="1">
        <v>2446</v>
      </c>
      <c r="C2461" s="101">
        <f t="shared" ca="1" si="152"/>
        <v>-0.67385942433609858</v>
      </c>
      <c r="D2461" s="101">
        <f t="shared" ca="1" si="153"/>
        <v>0.6217684453580874</v>
      </c>
      <c r="E2461" s="101">
        <f t="shared" ca="1" si="154"/>
        <v>0</v>
      </c>
      <c r="F2461" s="21">
        <f t="shared" ca="1" si="155"/>
        <v>0</v>
      </c>
      <c r="H2461" s="21">
        <v>2446</v>
      </c>
      <c r="I2461" s="102">
        <v>0.66793822136080061</v>
      </c>
      <c r="J2461" s="103">
        <v>1.711514033434321E-3</v>
      </c>
      <c r="K2461" s="103"/>
      <c r="L2461" s="103">
        <v>4.7399999999999998E-2</v>
      </c>
      <c r="O2461" s="100"/>
    </row>
    <row r="2462" spans="2:15" x14ac:dyDescent="0.2">
      <c r="B2462" s="1">
        <v>2447</v>
      </c>
      <c r="C2462" s="101">
        <f t="shared" ca="1" si="152"/>
        <v>1.3966620928599514</v>
      </c>
      <c r="D2462" s="101">
        <f t="shared" ca="1" si="153"/>
        <v>0.76265573981834134</v>
      </c>
      <c r="E2462" s="101">
        <f t="shared" ca="1" si="154"/>
        <v>0</v>
      </c>
      <c r="F2462" s="21">
        <f t="shared" ca="1" si="155"/>
        <v>0</v>
      </c>
      <c r="H2462" s="21">
        <v>2447</v>
      </c>
      <c r="I2462" s="102">
        <v>0.66771091216627987</v>
      </c>
      <c r="J2462" s="103">
        <v>1.3384615507140141E-3</v>
      </c>
      <c r="K2462" s="103"/>
      <c r="L2462" s="103">
        <v>3.8800000000000001E-2</v>
      </c>
      <c r="O2462" s="100"/>
    </row>
    <row r="2463" spans="2:15" x14ac:dyDescent="0.2">
      <c r="B2463" s="1">
        <v>2448</v>
      </c>
      <c r="C2463" s="101">
        <f t="shared" ca="1" si="152"/>
        <v>-0.29116571187841783</v>
      </c>
      <c r="D2463" s="101">
        <f t="shared" ca="1" si="153"/>
        <v>0.64568848379187505</v>
      </c>
      <c r="E2463" s="101">
        <f t="shared" ca="1" si="154"/>
        <v>0</v>
      </c>
      <c r="F2463" s="21">
        <f t="shared" ca="1" si="155"/>
        <v>0</v>
      </c>
      <c r="H2463" s="21">
        <v>2448</v>
      </c>
      <c r="I2463" s="102">
        <v>0.66749705101891066</v>
      </c>
      <c r="J2463" s="103">
        <v>1.1141425923518091E-3</v>
      </c>
      <c r="K2463" s="103"/>
      <c r="L2463" s="103">
        <v>3.78E-2</v>
      </c>
      <c r="O2463" s="100"/>
    </row>
    <row r="2464" spans="2:15" x14ac:dyDescent="0.2">
      <c r="B2464" s="1">
        <v>2449</v>
      </c>
      <c r="C2464" s="101">
        <f t="shared" ca="1" si="152"/>
        <v>0.40802249596730172</v>
      </c>
      <c r="D2464" s="101">
        <f t="shared" ca="1" si="153"/>
        <v>0.69179247292636326</v>
      </c>
      <c r="E2464" s="101">
        <f t="shared" ca="1" si="154"/>
        <v>0</v>
      </c>
      <c r="F2464" s="21">
        <f t="shared" ca="1" si="155"/>
        <v>0</v>
      </c>
      <c r="H2464" s="21">
        <v>2449</v>
      </c>
      <c r="I2464" s="102">
        <v>0.6679310284283928</v>
      </c>
      <c r="J2464" s="103">
        <v>1.579654661535482E-3</v>
      </c>
      <c r="K2464" s="103"/>
      <c r="L2464" s="103">
        <v>4.58E-2</v>
      </c>
      <c r="O2464" s="100"/>
    </row>
    <row r="2465" spans="2:15" x14ac:dyDescent="0.2">
      <c r="B2465" s="1">
        <v>2450</v>
      </c>
      <c r="C2465" s="101">
        <f t="shared" ca="1" si="152"/>
        <v>-0.78607136919724363</v>
      </c>
      <c r="D2465" s="101">
        <f t="shared" ca="1" si="153"/>
        <v>0.6149242036269591</v>
      </c>
      <c r="E2465" s="101">
        <f t="shared" ca="1" si="154"/>
        <v>0</v>
      </c>
      <c r="F2465" s="21">
        <f t="shared" ca="1" si="155"/>
        <v>0</v>
      </c>
      <c r="H2465" s="21">
        <v>2450</v>
      </c>
      <c r="I2465" s="102">
        <v>0.66778779527943466</v>
      </c>
      <c r="J2465" s="103">
        <v>1.4907093137536841E-3</v>
      </c>
      <c r="K2465" s="103"/>
      <c r="L2465" s="103">
        <v>4.3799999999999999E-2</v>
      </c>
      <c r="O2465" s="100"/>
    </row>
    <row r="2466" spans="2:15" x14ac:dyDescent="0.2">
      <c r="B2466" s="1">
        <v>2451</v>
      </c>
      <c r="C2466" s="101">
        <f t="shared" ca="1" si="152"/>
        <v>-0.51264180618241018</v>
      </c>
      <c r="D2466" s="101">
        <f t="shared" ca="1" si="153"/>
        <v>0.63173529455191635</v>
      </c>
      <c r="E2466" s="101">
        <f t="shared" ca="1" si="154"/>
        <v>0</v>
      </c>
      <c r="F2466" s="21">
        <f t="shared" ca="1" si="155"/>
        <v>0</v>
      </c>
      <c r="H2466" s="21">
        <v>2451</v>
      </c>
      <c r="I2466" s="102">
        <v>0.66772145021470231</v>
      </c>
      <c r="J2466" s="103">
        <v>1.4150835161635877E-3</v>
      </c>
      <c r="K2466" s="103"/>
      <c r="L2466" s="103">
        <v>4.36E-2</v>
      </c>
      <c r="O2466" s="100"/>
    </row>
    <row r="2467" spans="2:15" x14ac:dyDescent="0.2">
      <c r="B2467" s="1">
        <v>2452</v>
      </c>
      <c r="C2467" s="101">
        <f t="shared" ca="1" si="152"/>
        <v>9.935745797539015E-3</v>
      </c>
      <c r="D2467" s="101">
        <f t="shared" ca="1" si="153"/>
        <v>0.66515374619426748</v>
      </c>
      <c r="E2467" s="101">
        <f t="shared" ca="1" si="154"/>
        <v>0</v>
      </c>
      <c r="F2467" s="21">
        <f t="shared" ca="1" si="155"/>
        <v>0</v>
      </c>
      <c r="H2467" s="21">
        <v>2452</v>
      </c>
      <c r="I2467" s="102">
        <v>0.66765380034684663</v>
      </c>
      <c r="J2467" s="103">
        <v>1.3158925138743228E-3</v>
      </c>
      <c r="K2467" s="103"/>
      <c r="L2467" s="103">
        <v>3.9E-2</v>
      </c>
      <c r="O2467" s="100"/>
    </row>
    <row r="2468" spans="2:15" x14ac:dyDescent="0.2">
      <c r="B2468" s="1">
        <v>2453</v>
      </c>
      <c r="C2468" s="101">
        <f t="shared" ca="1" si="152"/>
        <v>0.32144098717355718</v>
      </c>
      <c r="D2468" s="101">
        <f t="shared" ca="1" si="153"/>
        <v>0.68590936719838469</v>
      </c>
      <c r="E2468" s="101">
        <f t="shared" ca="1" si="154"/>
        <v>0</v>
      </c>
      <c r="F2468" s="21">
        <f t="shared" ca="1" si="155"/>
        <v>0</v>
      </c>
      <c r="H2468" s="21">
        <v>2453</v>
      </c>
      <c r="I2468" s="102">
        <v>0.66777213156754978</v>
      </c>
      <c r="J2468" s="103">
        <v>1.3504870121023337E-3</v>
      </c>
      <c r="K2468" s="103"/>
      <c r="L2468" s="103">
        <v>4.2799999999999998E-2</v>
      </c>
      <c r="O2468" s="100"/>
    </row>
    <row r="2469" spans="2:15" x14ac:dyDescent="0.2">
      <c r="B2469" s="1">
        <v>2454</v>
      </c>
      <c r="C2469" s="101">
        <f t="shared" ca="1" si="152"/>
        <v>0.36757475118222732</v>
      </c>
      <c r="D2469" s="101">
        <f t="shared" ca="1" si="153"/>
        <v>0.68903784494424969</v>
      </c>
      <c r="E2469" s="101">
        <f t="shared" ca="1" si="154"/>
        <v>0</v>
      </c>
      <c r="F2469" s="21">
        <f t="shared" ca="1" si="155"/>
        <v>0</v>
      </c>
      <c r="H2469" s="21">
        <v>2454</v>
      </c>
      <c r="I2469" s="102">
        <v>0.6677381186607001</v>
      </c>
      <c r="J2469" s="103">
        <v>1.2782496283955109E-3</v>
      </c>
      <c r="K2469" s="103"/>
      <c r="L2469" s="103">
        <v>3.9600000000000003E-2</v>
      </c>
      <c r="O2469" s="100"/>
    </row>
    <row r="2470" spans="2:15" x14ac:dyDescent="0.2">
      <c r="B2470" s="1">
        <v>2455</v>
      </c>
      <c r="C2470" s="101">
        <f t="shared" ca="1" si="152"/>
        <v>-1.8048402058032906</v>
      </c>
      <c r="D2470" s="101">
        <f t="shared" ca="1" si="153"/>
        <v>0.55613234993989713</v>
      </c>
      <c r="E2470" s="101">
        <f t="shared" ca="1" si="154"/>
        <v>0</v>
      </c>
      <c r="F2470" s="21">
        <f t="shared" ca="1" si="155"/>
        <v>0</v>
      </c>
      <c r="H2470" s="21">
        <v>2455</v>
      </c>
      <c r="I2470" s="102">
        <v>0.66779630248601918</v>
      </c>
      <c r="J2470" s="103">
        <v>1.410366420786176E-3</v>
      </c>
      <c r="K2470" s="103"/>
      <c r="L2470" s="103">
        <v>4.1799999999999997E-2</v>
      </c>
      <c r="O2470" s="100"/>
    </row>
    <row r="2471" spans="2:15" x14ac:dyDescent="0.2">
      <c r="B2471" s="1">
        <v>2456</v>
      </c>
      <c r="C2471" s="101">
        <f t="shared" ca="1" si="152"/>
        <v>1.1063112153227064</v>
      </c>
      <c r="D2471" s="101">
        <f t="shared" ca="1" si="153"/>
        <v>0.74112265733906568</v>
      </c>
      <c r="E2471" s="101">
        <f t="shared" ca="1" si="154"/>
        <v>0</v>
      </c>
      <c r="F2471" s="21">
        <f t="shared" ca="1" si="155"/>
        <v>0</v>
      </c>
      <c r="H2471" s="21">
        <v>2456</v>
      </c>
      <c r="I2471" s="102">
        <v>0.66772945559637775</v>
      </c>
      <c r="J2471" s="103">
        <v>1.3211843855447959E-3</v>
      </c>
      <c r="K2471" s="103"/>
      <c r="L2471" s="103">
        <v>4.1399999999999999E-2</v>
      </c>
      <c r="O2471" s="100"/>
    </row>
    <row r="2472" spans="2:15" x14ac:dyDescent="0.2">
      <c r="B2472" s="1">
        <v>2457</v>
      </c>
      <c r="C2472" s="101">
        <f t="shared" ca="1" si="152"/>
        <v>0.22505992092543836</v>
      </c>
      <c r="D2472" s="101">
        <f t="shared" ca="1" si="153"/>
        <v>0.67941922004333466</v>
      </c>
      <c r="E2472" s="101">
        <f t="shared" ca="1" si="154"/>
        <v>0</v>
      </c>
      <c r="F2472" s="21">
        <f t="shared" ca="1" si="155"/>
        <v>0</v>
      </c>
      <c r="H2472" s="21">
        <v>2457</v>
      </c>
      <c r="I2472" s="102">
        <v>0.66765551970656223</v>
      </c>
      <c r="J2472" s="103">
        <v>1.2895026937395563E-3</v>
      </c>
      <c r="K2472" s="103"/>
      <c r="L2472" s="103">
        <v>4.1000000000000002E-2</v>
      </c>
      <c r="O2472" s="100"/>
    </row>
    <row r="2473" spans="2:15" x14ac:dyDescent="0.2">
      <c r="B2473" s="1">
        <v>2458</v>
      </c>
      <c r="C2473" s="101">
        <f t="shared" ca="1" si="152"/>
        <v>0.38262122623613298</v>
      </c>
      <c r="D2473" s="101">
        <f t="shared" ca="1" si="153"/>
        <v>0.69006127714368826</v>
      </c>
      <c r="E2473" s="101">
        <f t="shared" ca="1" si="154"/>
        <v>0</v>
      </c>
      <c r="F2473" s="21">
        <f t="shared" ca="1" si="155"/>
        <v>0</v>
      </c>
      <c r="H2473" s="21">
        <v>2458</v>
      </c>
      <c r="I2473" s="102">
        <v>0.66763827400454834</v>
      </c>
      <c r="J2473" s="103">
        <v>1.2130326276764895E-3</v>
      </c>
      <c r="K2473" s="103"/>
      <c r="L2473" s="103">
        <v>3.9199999999999999E-2</v>
      </c>
      <c r="O2473" s="100"/>
    </row>
    <row r="2474" spans="2:15" x14ac:dyDescent="0.2">
      <c r="B2474" s="1">
        <v>2459</v>
      </c>
      <c r="C2474" s="101">
        <f t="shared" ca="1" si="152"/>
        <v>-1.0689136628790532</v>
      </c>
      <c r="D2474" s="101">
        <f t="shared" ca="1" si="153"/>
        <v>0.59800497615445547</v>
      </c>
      <c r="E2474" s="101">
        <f t="shared" ca="1" si="154"/>
        <v>0</v>
      </c>
      <c r="F2474" s="21">
        <f t="shared" ca="1" si="155"/>
        <v>0</v>
      </c>
      <c r="H2474" s="21">
        <v>2459</v>
      </c>
      <c r="I2474" s="102">
        <v>0.66775225536594018</v>
      </c>
      <c r="J2474" s="103">
        <v>1.4619673119180127E-3</v>
      </c>
      <c r="K2474" s="103"/>
      <c r="L2474" s="103">
        <v>4.02E-2</v>
      </c>
      <c r="O2474" s="100"/>
    </row>
    <row r="2475" spans="2:15" x14ac:dyDescent="0.2">
      <c r="B2475" s="1">
        <v>2460</v>
      </c>
      <c r="C2475" s="101">
        <f t="shared" ca="1" si="152"/>
        <v>-0.84650334728449395</v>
      </c>
      <c r="D2475" s="101">
        <f t="shared" ca="1" si="153"/>
        <v>0.61126948870260389</v>
      </c>
      <c r="E2475" s="101">
        <f t="shared" ca="1" si="154"/>
        <v>0</v>
      </c>
      <c r="F2475" s="21">
        <f t="shared" ca="1" si="155"/>
        <v>0</v>
      </c>
      <c r="H2475" s="21">
        <v>2460</v>
      </c>
      <c r="I2475" s="102">
        <v>0.66780599936547091</v>
      </c>
      <c r="J2475" s="103">
        <v>1.5291286037142826E-3</v>
      </c>
      <c r="K2475" s="103"/>
      <c r="L2475" s="103">
        <v>4.3999999999999997E-2</v>
      </c>
      <c r="O2475" s="100"/>
    </row>
    <row r="2476" spans="2:15" x14ac:dyDescent="0.2">
      <c r="B2476" s="1">
        <v>2461</v>
      </c>
      <c r="C2476" s="101">
        <f t="shared" ca="1" si="152"/>
        <v>-0.31553360646829565</v>
      </c>
      <c r="D2476" s="101">
        <f t="shared" ca="1" si="153"/>
        <v>0.64413831817332101</v>
      </c>
      <c r="E2476" s="101">
        <f t="shared" ca="1" si="154"/>
        <v>0</v>
      </c>
      <c r="F2476" s="21">
        <f t="shared" ca="1" si="155"/>
        <v>0</v>
      </c>
      <c r="H2476" s="21">
        <v>2461</v>
      </c>
      <c r="I2476" s="102">
        <v>0.66761717591754166</v>
      </c>
      <c r="J2476" s="103">
        <v>1.1182385776154439E-3</v>
      </c>
      <c r="K2476" s="103"/>
      <c r="L2476" s="103">
        <v>3.9800000000000002E-2</v>
      </c>
      <c r="O2476" s="100"/>
    </row>
    <row r="2477" spans="2:15" x14ac:dyDescent="0.2">
      <c r="B2477" s="1">
        <v>2462</v>
      </c>
      <c r="C2477" s="101">
        <f t="shared" ca="1" si="152"/>
        <v>1.4163219071135165</v>
      </c>
      <c r="D2477" s="101">
        <f t="shared" ca="1" si="153"/>
        <v>0.7641361703368047</v>
      </c>
      <c r="E2477" s="101">
        <f t="shared" ca="1" si="154"/>
        <v>0</v>
      </c>
      <c r="F2477" s="21">
        <f t="shared" ca="1" si="155"/>
        <v>0</v>
      </c>
      <c r="H2477" s="21">
        <v>2462</v>
      </c>
      <c r="I2477" s="102">
        <v>0.66772153590502903</v>
      </c>
      <c r="J2477" s="103">
        <v>1.4304396533427227E-3</v>
      </c>
      <c r="K2477" s="103"/>
      <c r="L2477" s="103">
        <v>4.24E-2</v>
      </c>
      <c r="O2477" s="100"/>
    </row>
    <row r="2478" spans="2:15" x14ac:dyDescent="0.2">
      <c r="B2478" s="1">
        <v>2463</v>
      </c>
      <c r="C2478" s="101">
        <f t="shared" ca="1" si="152"/>
        <v>-0.54544602331300029</v>
      </c>
      <c r="D2478" s="101">
        <f t="shared" ca="1" si="153"/>
        <v>0.62969439677319217</v>
      </c>
      <c r="E2478" s="101">
        <f t="shared" ca="1" si="154"/>
        <v>0</v>
      </c>
      <c r="F2478" s="21">
        <f t="shared" ca="1" si="155"/>
        <v>0</v>
      </c>
      <c r="H2478" s="21">
        <v>2463</v>
      </c>
      <c r="I2478" s="102">
        <v>0.66777091655567988</v>
      </c>
      <c r="J2478" s="103">
        <v>1.3240652129902937E-3</v>
      </c>
      <c r="K2478" s="103"/>
      <c r="L2478" s="103">
        <v>4.1599999999999998E-2</v>
      </c>
      <c r="O2478" s="100"/>
    </row>
    <row r="2479" spans="2:15" x14ac:dyDescent="0.2">
      <c r="B2479" s="1">
        <v>2464</v>
      </c>
      <c r="C2479" s="101">
        <f t="shared" ca="1" si="152"/>
        <v>0.29706954809346819</v>
      </c>
      <c r="D2479" s="101">
        <f t="shared" ca="1" si="153"/>
        <v>0.6842624002471912</v>
      </c>
      <c r="E2479" s="101">
        <f t="shared" ca="1" si="154"/>
        <v>0</v>
      </c>
      <c r="F2479" s="21">
        <f t="shared" ca="1" si="155"/>
        <v>0</v>
      </c>
      <c r="H2479" s="21">
        <v>2464</v>
      </c>
      <c r="I2479" s="102">
        <v>0.66771221569017736</v>
      </c>
      <c r="J2479" s="103">
        <v>1.364421098756473E-3</v>
      </c>
      <c r="K2479" s="103"/>
      <c r="L2479" s="103">
        <v>4.1599999999999998E-2</v>
      </c>
      <c r="O2479" s="100"/>
    </row>
    <row r="2480" spans="2:15" x14ac:dyDescent="0.2">
      <c r="B2480" s="1">
        <v>2465</v>
      </c>
      <c r="C2480" s="101">
        <f t="shared" ca="1" si="152"/>
        <v>-0.51879683638627816</v>
      </c>
      <c r="D2480" s="101">
        <f t="shared" ca="1" si="153"/>
        <v>0.63135185898212487</v>
      </c>
      <c r="E2480" s="101">
        <f t="shared" ca="1" si="154"/>
        <v>0</v>
      </c>
      <c r="F2480" s="21">
        <f t="shared" ca="1" si="155"/>
        <v>0</v>
      </c>
      <c r="H2480" s="21">
        <v>2465</v>
      </c>
      <c r="I2480" s="102">
        <v>0.66768691923218648</v>
      </c>
      <c r="J2480" s="103">
        <v>1.3000999517159117E-3</v>
      </c>
      <c r="K2480" s="103"/>
      <c r="L2480" s="103">
        <v>4.0399999999999998E-2</v>
      </c>
      <c r="O2480" s="100"/>
    </row>
    <row r="2481" spans="2:15" x14ac:dyDescent="0.2">
      <c r="B2481" s="1">
        <v>2466</v>
      </c>
      <c r="C2481" s="101">
        <f t="shared" ca="1" si="152"/>
        <v>1.0167071158331911</v>
      </c>
      <c r="D2481" s="101">
        <f t="shared" ca="1" si="153"/>
        <v>0.73460098474424085</v>
      </c>
      <c r="E2481" s="101">
        <f t="shared" ca="1" si="154"/>
        <v>0</v>
      </c>
      <c r="F2481" s="21">
        <f t="shared" ca="1" si="155"/>
        <v>0</v>
      </c>
      <c r="H2481" s="21">
        <v>2466</v>
      </c>
      <c r="I2481" s="102">
        <v>0.66778480236699056</v>
      </c>
      <c r="J2481" s="103">
        <v>1.4370444597394106E-3</v>
      </c>
      <c r="K2481" s="103"/>
      <c r="L2481" s="103">
        <v>4.1399999999999999E-2</v>
      </c>
      <c r="O2481" s="100"/>
    </row>
    <row r="2482" spans="2:15" x14ac:dyDescent="0.2">
      <c r="B2482" s="1">
        <v>2467</v>
      </c>
      <c r="C2482" s="101">
        <f t="shared" ca="1" si="152"/>
        <v>-1.8712234140851394</v>
      </c>
      <c r="D2482" s="101">
        <f t="shared" ca="1" si="153"/>
        <v>0.55250262124218219</v>
      </c>
      <c r="E2482" s="101">
        <f t="shared" ca="1" si="154"/>
        <v>0</v>
      </c>
      <c r="F2482" s="21">
        <f t="shared" ca="1" si="155"/>
        <v>0</v>
      </c>
      <c r="H2482" s="21">
        <v>2467</v>
      </c>
      <c r="I2482" s="102">
        <v>0.66779779340179957</v>
      </c>
      <c r="J2482" s="103">
        <v>1.3018011018087045E-3</v>
      </c>
      <c r="K2482" s="103"/>
      <c r="L2482" s="103">
        <v>3.9199999999999999E-2</v>
      </c>
      <c r="O2482" s="100"/>
    </row>
    <row r="2483" spans="2:15" x14ac:dyDescent="0.2">
      <c r="B2483" s="1">
        <v>2468</v>
      </c>
      <c r="C2483" s="101">
        <f t="shared" ca="1" si="152"/>
        <v>-1.3340246142558441</v>
      </c>
      <c r="D2483" s="101">
        <f t="shared" ca="1" si="153"/>
        <v>0.58256931817907909</v>
      </c>
      <c r="E2483" s="101">
        <f t="shared" ca="1" si="154"/>
        <v>0</v>
      </c>
      <c r="F2483" s="21">
        <f t="shared" ca="1" si="155"/>
        <v>0</v>
      </c>
      <c r="H2483" s="21">
        <v>2468</v>
      </c>
      <c r="I2483" s="102">
        <v>0.66769838835101725</v>
      </c>
      <c r="J2483" s="103">
        <v>1.410880624683855E-3</v>
      </c>
      <c r="K2483" s="103"/>
      <c r="L2483" s="103">
        <v>3.7999999999999999E-2</v>
      </c>
      <c r="O2483" s="100"/>
    </row>
    <row r="2484" spans="2:15" x14ac:dyDescent="0.2">
      <c r="B2484" s="1">
        <v>2469</v>
      </c>
      <c r="C2484" s="101">
        <f t="shared" ca="1" si="152"/>
        <v>-1.0158445707797732</v>
      </c>
      <c r="D2484" s="101">
        <f t="shared" ca="1" si="153"/>
        <v>0.60114362389155074</v>
      </c>
      <c r="E2484" s="101">
        <f t="shared" ca="1" si="154"/>
        <v>0</v>
      </c>
      <c r="F2484" s="21">
        <f t="shared" ca="1" si="155"/>
        <v>0</v>
      </c>
      <c r="H2484" s="21">
        <v>2469</v>
      </c>
      <c r="I2484" s="102">
        <v>0.66793986619926904</v>
      </c>
      <c r="J2484" s="103">
        <v>1.6024119203727587E-3</v>
      </c>
      <c r="K2484" s="103"/>
      <c r="L2484" s="103">
        <v>4.5400000000000003E-2</v>
      </c>
      <c r="O2484" s="100"/>
    </row>
    <row r="2485" spans="2:15" x14ac:dyDescent="0.2">
      <c r="B2485" s="1">
        <v>2470</v>
      </c>
      <c r="C2485" s="101">
        <f t="shared" ca="1" si="152"/>
        <v>-2.4118615289034349</v>
      </c>
      <c r="D2485" s="101">
        <f t="shared" ca="1" si="153"/>
        <v>0.5238099445585841</v>
      </c>
      <c r="E2485" s="101">
        <f t="shared" ca="1" si="154"/>
        <v>0</v>
      </c>
      <c r="F2485" s="21">
        <f t="shared" ca="1" si="155"/>
        <v>0</v>
      </c>
      <c r="H2485" s="21">
        <v>2470</v>
      </c>
      <c r="I2485" s="102">
        <v>0.66760089225409924</v>
      </c>
      <c r="J2485" s="103">
        <v>1.2309492746310951E-3</v>
      </c>
      <c r="K2485" s="103"/>
      <c r="L2485" s="103">
        <v>3.8800000000000001E-2</v>
      </c>
      <c r="O2485" s="100"/>
    </row>
    <row r="2486" spans="2:15" x14ac:dyDescent="0.2">
      <c r="B2486" s="1">
        <v>2471</v>
      </c>
      <c r="C2486" s="101">
        <f t="shared" ca="1" si="152"/>
        <v>2.595679375815545</v>
      </c>
      <c r="D2486" s="101">
        <f t="shared" ca="1" si="153"/>
        <v>0.85840789702321707</v>
      </c>
      <c r="E2486" s="101">
        <f t="shared" ca="1" si="154"/>
        <v>7.0207897023217058E-2</v>
      </c>
      <c r="F2486" s="21">
        <f t="shared" ca="1" si="155"/>
        <v>1</v>
      </c>
      <c r="H2486" s="21">
        <v>2471</v>
      </c>
      <c r="I2486" s="102">
        <v>0.66788355115795528</v>
      </c>
      <c r="J2486" s="103">
        <v>1.7014557340522642E-3</v>
      </c>
      <c r="K2486" s="103"/>
      <c r="L2486" s="103">
        <v>4.5999999999999999E-2</v>
      </c>
      <c r="O2486" s="100"/>
    </row>
    <row r="2487" spans="2:15" x14ac:dyDescent="0.2">
      <c r="B2487" s="1">
        <v>2472</v>
      </c>
      <c r="C2487" s="101">
        <f t="shared" ca="1" si="152"/>
        <v>0.89455932536960259</v>
      </c>
      <c r="D2487" s="101">
        <f t="shared" ca="1" si="153"/>
        <v>0.7258030187046981</v>
      </c>
      <c r="E2487" s="101">
        <f t="shared" ca="1" si="154"/>
        <v>0</v>
      </c>
      <c r="F2487" s="21">
        <f t="shared" ca="1" si="155"/>
        <v>0</v>
      </c>
      <c r="H2487" s="21">
        <v>2472</v>
      </c>
      <c r="I2487" s="102">
        <v>0.66772779157050577</v>
      </c>
      <c r="J2487" s="103">
        <v>1.3897431719877985E-3</v>
      </c>
      <c r="K2487" s="103"/>
      <c r="L2487" s="103">
        <v>4.1000000000000002E-2</v>
      </c>
      <c r="O2487" s="100"/>
    </row>
    <row r="2488" spans="2:15" x14ac:dyDescent="0.2">
      <c r="B2488" s="1">
        <v>2473</v>
      </c>
      <c r="C2488" s="101">
        <f t="shared" ca="1" si="152"/>
        <v>0.91297276264444138</v>
      </c>
      <c r="D2488" s="101">
        <f t="shared" ca="1" si="153"/>
        <v>0.72712251145189877</v>
      </c>
      <c r="E2488" s="101">
        <f t="shared" ca="1" si="154"/>
        <v>0</v>
      </c>
      <c r="F2488" s="21">
        <f t="shared" ca="1" si="155"/>
        <v>0</v>
      </c>
      <c r="H2488" s="21">
        <v>2473</v>
      </c>
      <c r="I2488" s="102">
        <v>0.66780578982123018</v>
      </c>
      <c r="J2488" s="103">
        <v>1.4863204056539956E-3</v>
      </c>
      <c r="K2488" s="103"/>
      <c r="L2488" s="103">
        <v>4.2999999999999997E-2</v>
      </c>
      <c r="O2488" s="100"/>
    </row>
    <row r="2489" spans="2:15" x14ac:dyDescent="0.2">
      <c r="B2489" s="1">
        <v>2474</v>
      </c>
      <c r="C2489" s="101">
        <f t="shared" ca="1" si="152"/>
        <v>-0.16917166941270334</v>
      </c>
      <c r="D2489" s="101">
        <f t="shared" ca="1" si="153"/>
        <v>0.65350541444200783</v>
      </c>
      <c r="E2489" s="101">
        <f t="shared" ca="1" si="154"/>
        <v>0</v>
      </c>
      <c r="F2489" s="21">
        <f t="shared" ca="1" si="155"/>
        <v>0</v>
      </c>
      <c r="H2489" s="21">
        <v>2474</v>
      </c>
      <c r="I2489" s="102">
        <v>0.66767837946797992</v>
      </c>
      <c r="J2489" s="103">
        <v>1.172243445456903E-3</v>
      </c>
      <c r="K2489" s="103"/>
      <c r="L2489" s="103">
        <v>3.9600000000000003E-2</v>
      </c>
      <c r="O2489" s="100"/>
    </row>
    <row r="2490" spans="2:15" x14ac:dyDescent="0.2">
      <c r="B2490" s="1">
        <v>2475</v>
      </c>
      <c r="C2490" s="101">
        <f t="shared" ca="1" si="152"/>
        <v>1.6681380788003057</v>
      </c>
      <c r="D2490" s="101">
        <f t="shared" ca="1" si="153"/>
        <v>0.78335461621292379</v>
      </c>
      <c r="E2490" s="101">
        <f t="shared" ca="1" si="154"/>
        <v>0</v>
      </c>
      <c r="F2490" s="21">
        <f t="shared" ca="1" si="155"/>
        <v>0</v>
      </c>
      <c r="H2490" s="21">
        <v>2475</v>
      </c>
      <c r="I2490" s="102">
        <v>0.6676332263679321</v>
      </c>
      <c r="J2490" s="103">
        <v>1.3045921501202663E-3</v>
      </c>
      <c r="K2490" s="103"/>
      <c r="L2490" s="103">
        <v>3.9E-2</v>
      </c>
      <c r="O2490" s="100"/>
    </row>
    <row r="2491" spans="2:15" x14ac:dyDescent="0.2">
      <c r="B2491" s="1">
        <v>2476</v>
      </c>
      <c r="C2491" s="101">
        <f t="shared" ca="1" si="152"/>
        <v>-1.2046026952646707</v>
      </c>
      <c r="D2491" s="101">
        <f t="shared" ca="1" si="153"/>
        <v>0.59005427795254273</v>
      </c>
      <c r="E2491" s="101">
        <f t="shared" ca="1" si="154"/>
        <v>0</v>
      </c>
      <c r="F2491" s="21">
        <f t="shared" ca="1" si="155"/>
        <v>0</v>
      </c>
      <c r="H2491" s="21">
        <v>2476</v>
      </c>
      <c r="I2491" s="102">
        <v>0.66764523138130949</v>
      </c>
      <c r="J2491" s="103">
        <v>1.2625338126016671E-3</v>
      </c>
      <c r="K2491" s="103"/>
      <c r="L2491" s="103">
        <v>4.1200000000000001E-2</v>
      </c>
      <c r="O2491" s="100"/>
    </row>
    <row r="2492" spans="2:15" x14ac:dyDescent="0.2">
      <c r="B2492" s="1">
        <v>2477</v>
      </c>
      <c r="C2492" s="101">
        <f t="shared" ca="1" si="152"/>
        <v>-1.0957119213078461</v>
      </c>
      <c r="D2492" s="101">
        <f t="shared" ca="1" si="153"/>
        <v>0.59642628787210761</v>
      </c>
      <c r="E2492" s="101">
        <f t="shared" ca="1" si="154"/>
        <v>0</v>
      </c>
      <c r="F2492" s="21">
        <f t="shared" ca="1" si="155"/>
        <v>0</v>
      </c>
      <c r="H2492" s="21">
        <v>2477</v>
      </c>
      <c r="I2492" s="102">
        <v>0.6679183772491829</v>
      </c>
      <c r="J2492" s="103">
        <v>1.6734010608077271E-3</v>
      </c>
      <c r="K2492" s="103"/>
      <c r="L2492" s="103">
        <v>4.5199999999999997E-2</v>
      </c>
      <c r="O2492" s="100"/>
    </row>
    <row r="2493" spans="2:15" x14ac:dyDescent="0.2">
      <c r="B2493" s="1">
        <v>2478</v>
      </c>
      <c r="C2493" s="101">
        <f t="shared" ca="1" si="152"/>
        <v>0.18828829765890609</v>
      </c>
      <c r="D2493" s="101">
        <f t="shared" ca="1" si="153"/>
        <v>0.67695929353583184</v>
      </c>
      <c r="E2493" s="101">
        <f t="shared" ca="1" si="154"/>
        <v>0</v>
      </c>
      <c r="F2493" s="21">
        <f t="shared" ca="1" si="155"/>
        <v>0</v>
      </c>
      <c r="H2493" s="21">
        <v>2478</v>
      </c>
      <c r="I2493" s="102">
        <v>0.66764067731907473</v>
      </c>
      <c r="J2493" s="103">
        <v>1.3168165610945614E-3</v>
      </c>
      <c r="K2493" s="103"/>
      <c r="L2493" s="103">
        <v>4.1799999999999997E-2</v>
      </c>
      <c r="O2493" s="100"/>
    </row>
    <row r="2494" spans="2:15" x14ac:dyDescent="0.2">
      <c r="B2494" s="1">
        <v>2479</v>
      </c>
      <c r="C2494" s="101">
        <f t="shared" ca="1" si="152"/>
        <v>0.81209120968463833</v>
      </c>
      <c r="D2494" s="101">
        <f t="shared" ca="1" si="153"/>
        <v>0.71992273204488433</v>
      </c>
      <c r="E2494" s="101">
        <f t="shared" ca="1" si="154"/>
        <v>0</v>
      </c>
      <c r="F2494" s="21">
        <f t="shared" ca="1" si="155"/>
        <v>0</v>
      </c>
      <c r="H2494" s="21">
        <v>2479</v>
      </c>
      <c r="I2494" s="102">
        <v>0.66774736443049343</v>
      </c>
      <c r="J2494" s="103">
        <v>1.1918343095310259E-3</v>
      </c>
      <c r="K2494" s="103"/>
      <c r="L2494" s="103">
        <v>4.0599999999999997E-2</v>
      </c>
      <c r="O2494" s="100"/>
    </row>
    <row r="2495" spans="2:15" x14ac:dyDescent="0.2">
      <c r="B2495" s="1">
        <v>2480</v>
      </c>
      <c r="C2495" s="101">
        <f t="shared" ca="1" si="152"/>
        <v>-0.21574094987627904</v>
      </c>
      <c r="D2495" s="101">
        <f t="shared" ca="1" si="153"/>
        <v>0.65051032014085142</v>
      </c>
      <c r="E2495" s="101">
        <f t="shared" ca="1" si="154"/>
        <v>0</v>
      </c>
      <c r="F2495" s="21">
        <f t="shared" ca="1" si="155"/>
        <v>0</v>
      </c>
      <c r="H2495" s="21">
        <v>2480</v>
      </c>
      <c r="I2495" s="102">
        <v>0.66759794327278055</v>
      </c>
      <c r="J2495" s="103">
        <v>1.2399309054718509E-3</v>
      </c>
      <c r="K2495" s="103"/>
      <c r="L2495" s="103">
        <v>3.7999999999999999E-2</v>
      </c>
      <c r="O2495" s="100"/>
    </row>
    <row r="2496" spans="2:15" x14ac:dyDescent="0.2">
      <c r="B2496" s="1">
        <v>2481</v>
      </c>
      <c r="C2496" s="101">
        <f t="shared" ca="1" si="152"/>
        <v>-1.7823276138603048</v>
      </c>
      <c r="D2496" s="101">
        <f t="shared" ca="1" si="153"/>
        <v>0.55736870969743069</v>
      </c>
      <c r="E2496" s="101">
        <f t="shared" ca="1" si="154"/>
        <v>0</v>
      </c>
      <c r="F2496" s="21">
        <f t="shared" ca="1" si="155"/>
        <v>0</v>
      </c>
      <c r="H2496" s="21">
        <v>2481</v>
      </c>
      <c r="I2496" s="102">
        <v>0.6677430877731132</v>
      </c>
      <c r="J2496" s="103">
        <v>1.209441004515502E-3</v>
      </c>
      <c r="K2496" s="103"/>
      <c r="L2496" s="103">
        <v>4.2799999999999998E-2</v>
      </c>
      <c r="O2496" s="100"/>
    </row>
    <row r="2497" spans="2:15" x14ac:dyDescent="0.2">
      <c r="B2497" s="1">
        <v>2482</v>
      </c>
      <c r="C2497" s="101">
        <f t="shared" ca="1" si="152"/>
        <v>4.6937525170001146E-2</v>
      </c>
      <c r="D2497" s="101">
        <f t="shared" ca="1" si="153"/>
        <v>0.66758592981322373</v>
      </c>
      <c r="E2497" s="101">
        <f t="shared" ca="1" si="154"/>
        <v>0</v>
      </c>
      <c r="F2497" s="21">
        <f t="shared" ca="1" si="155"/>
        <v>0</v>
      </c>
      <c r="H2497" s="21">
        <v>2482</v>
      </c>
      <c r="I2497" s="102">
        <v>0.66765542012774104</v>
      </c>
      <c r="J2497" s="103">
        <v>1.413223280253958E-3</v>
      </c>
      <c r="K2497" s="103"/>
      <c r="L2497" s="103">
        <v>0.04</v>
      </c>
      <c r="O2497" s="100"/>
    </row>
    <row r="2498" spans="2:15" x14ac:dyDescent="0.2">
      <c r="B2498" s="1">
        <v>2483</v>
      </c>
      <c r="C2498" s="101">
        <f t="shared" ca="1" si="152"/>
        <v>-0.21659385130952541</v>
      </c>
      <c r="D2498" s="101">
        <f t="shared" ca="1" si="153"/>
        <v>0.65045559414577769</v>
      </c>
      <c r="E2498" s="101">
        <f t="shared" ca="1" si="154"/>
        <v>0</v>
      </c>
      <c r="F2498" s="21">
        <f t="shared" ca="1" si="155"/>
        <v>0</v>
      </c>
      <c r="H2498" s="21">
        <v>2483</v>
      </c>
      <c r="I2498" s="102">
        <v>0.66793087225407888</v>
      </c>
      <c r="J2498" s="103">
        <v>1.737285699351779E-3</v>
      </c>
      <c r="K2498" s="103"/>
      <c r="L2498" s="103">
        <v>4.7399999999999998E-2</v>
      </c>
      <c r="O2498" s="100"/>
    </row>
    <row r="2499" spans="2:15" x14ac:dyDescent="0.2">
      <c r="B2499" s="1">
        <v>2484</v>
      </c>
      <c r="C2499" s="101">
        <f t="shared" ca="1" si="152"/>
        <v>9.520824191254372E-2</v>
      </c>
      <c r="D2499" s="101">
        <f t="shared" ca="1" si="153"/>
        <v>0.67077221157046929</v>
      </c>
      <c r="E2499" s="101">
        <f t="shared" ca="1" si="154"/>
        <v>0</v>
      </c>
      <c r="F2499" s="21">
        <f t="shared" ca="1" si="155"/>
        <v>0</v>
      </c>
      <c r="H2499" s="21">
        <v>2484</v>
      </c>
      <c r="I2499" s="102">
        <v>0.66774848138264664</v>
      </c>
      <c r="J2499" s="103">
        <v>1.4680666820618897E-3</v>
      </c>
      <c r="K2499" s="103"/>
      <c r="L2499" s="103">
        <v>4.1799999999999997E-2</v>
      </c>
      <c r="O2499" s="100"/>
    </row>
    <row r="2500" spans="2:15" x14ac:dyDescent="0.2">
      <c r="B2500" s="1">
        <v>2485</v>
      </c>
      <c r="C2500" s="101">
        <f t="shared" ca="1" si="152"/>
        <v>0.37765681057145295</v>
      </c>
      <c r="D2500" s="101">
        <f t="shared" ca="1" si="153"/>
        <v>0.68972343924771395</v>
      </c>
      <c r="E2500" s="101">
        <f t="shared" ca="1" si="154"/>
        <v>0</v>
      </c>
      <c r="F2500" s="21">
        <f t="shared" ca="1" si="155"/>
        <v>0</v>
      </c>
      <c r="H2500" s="21">
        <v>2485</v>
      </c>
      <c r="I2500" s="102">
        <v>0.66761000935134862</v>
      </c>
      <c r="J2500" s="103">
        <v>1.3174754214957847E-3</v>
      </c>
      <c r="K2500" s="103"/>
      <c r="L2500" s="103">
        <v>3.9399999999999998E-2</v>
      </c>
      <c r="O2500" s="100"/>
    </row>
    <row r="2501" spans="2:15" x14ac:dyDescent="0.2">
      <c r="B2501" s="1">
        <v>2486</v>
      </c>
      <c r="C2501" s="101">
        <f t="shared" ca="1" si="152"/>
        <v>-6.9847381371261174E-4</v>
      </c>
      <c r="D2501" s="101">
        <f t="shared" ca="1" si="153"/>
        <v>0.66445638334867829</v>
      </c>
      <c r="E2501" s="101">
        <f t="shared" ca="1" si="154"/>
        <v>0</v>
      </c>
      <c r="F2501" s="21">
        <f t="shared" ca="1" si="155"/>
        <v>0</v>
      </c>
      <c r="H2501" s="21">
        <v>2486</v>
      </c>
      <c r="I2501" s="102">
        <v>0.66776253779217576</v>
      </c>
      <c r="J2501" s="103">
        <v>1.2568262300310285E-3</v>
      </c>
      <c r="K2501" s="103"/>
      <c r="L2501" s="103">
        <v>4.2200000000000001E-2</v>
      </c>
      <c r="O2501" s="100"/>
    </row>
    <row r="2502" spans="2:15" x14ac:dyDescent="0.2">
      <c r="B2502" s="1">
        <v>2487</v>
      </c>
      <c r="C2502" s="101">
        <f t="shared" ca="1" si="152"/>
        <v>0.30477862130326777</v>
      </c>
      <c r="D2502" s="101">
        <f t="shared" ca="1" si="153"/>
        <v>0.68478293398559731</v>
      </c>
      <c r="E2502" s="101">
        <f t="shared" ca="1" si="154"/>
        <v>0</v>
      </c>
      <c r="F2502" s="21">
        <f t="shared" ca="1" si="155"/>
        <v>0</v>
      </c>
      <c r="H2502" s="21">
        <v>2487</v>
      </c>
      <c r="I2502" s="102">
        <v>0.66779936839594045</v>
      </c>
      <c r="J2502" s="103">
        <v>1.4717941578047229E-3</v>
      </c>
      <c r="K2502" s="103"/>
      <c r="L2502" s="103">
        <v>4.4200000000000003E-2</v>
      </c>
      <c r="O2502" s="100"/>
    </row>
    <row r="2503" spans="2:15" x14ac:dyDescent="0.2">
      <c r="B2503" s="1">
        <v>2488</v>
      </c>
      <c r="C2503" s="101">
        <f t="shared" ca="1" si="152"/>
        <v>-2.2904020521189827</v>
      </c>
      <c r="D2503" s="101">
        <f t="shared" ca="1" si="153"/>
        <v>0.53012341669239493</v>
      </c>
      <c r="E2503" s="101">
        <f t="shared" ca="1" si="154"/>
        <v>0</v>
      </c>
      <c r="F2503" s="21">
        <f t="shared" ca="1" si="155"/>
        <v>0</v>
      </c>
      <c r="H2503" s="21">
        <v>2488</v>
      </c>
      <c r="I2503" s="102">
        <v>0.66778274898564915</v>
      </c>
      <c r="J2503" s="103">
        <v>1.4993110053436859E-3</v>
      </c>
      <c r="K2503" s="103"/>
      <c r="L2503" s="103">
        <v>4.3200000000000002E-2</v>
      </c>
      <c r="O2503" s="100"/>
    </row>
    <row r="2504" spans="2:15" x14ac:dyDescent="0.2">
      <c r="B2504" s="1">
        <v>2489</v>
      </c>
      <c r="C2504" s="101">
        <f t="shared" ca="1" si="152"/>
        <v>0.57837776522678774</v>
      </c>
      <c r="D2504" s="101">
        <f t="shared" ca="1" si="153"/>
        <v>0.70351562426253078</v>
      </c>
      <c r="E2504" s="101">
        <f t="shared" ca="1" si="154"/>
        <v>0</v>
      </c>
      <c r="F2504" s="21">
        <f t="shared" ca="1" si="155"/>
        <v>0</v>
      </c>
      <c r="H2504" s="21">
        <v>2489</v>
      </c>
      <c r="I2504" s="102">
        <v>0.66785258319423735</v>
      </c>
      <c r="J2504" s="103">
        <v>1.4537783542129359E-3</v>
      </c>
      <c r="K2504" s="103"/>
      <c r="L2504" s="103">
        <v>4.6399999999999997E-2</v>
      </c>
      <c r="O2504" s="100"/>
    </row>
    <row r="2505" spans="2:15" x14ac:dyDescent="0.2">
      <c r="B2505" s="1">
        <v>2490</v>
      </c>
      <c r="C2505" s="101">
        <f t="shared" ca="1" si="152"/>
        <v>-0.75523326370108301</v>
      </c>
      <c r="D2505" s="101">
        <f t="shared" ca="1" si="153"/>
        <v>0.61679759660474942</v>
      </c>
      <c r="E2505" s="101">
        <f t="shared" ca="1" si="154"/>
        <v>0</v>
      </c>
      <c r="F2505" s="21">
        <f t="shared" ca="1" si="155"/>
        <v>0</v>
      </c>
      <c r="H2505" s="21">
        <v>2490</v>
      </c>
      <c r="I2505" s="102">
        <v>0.66790932617264565</v>
      </c>
      <c r="J2505" s="103">
        <v>1.5393582368724464E-3</v>
      </c>
      <c r="K2505" s="103"/>
      <c r="L2505" s="103">
        <v>4.3200000000000002E-2</v>
      </c>
      <c r="O2505" s="100"/>
    </row>
    <row r="2506" spans="2:15" x14ac:dyDescent="0.2">
      <c r="B2506" s="1">
        <v>2491</v>
      </c>
      <c r="C2506" s="101">
        <f t="shared" ca="1" si="152"/>
        <v>-0.52300111362586121</v>
      </c>
      <c r="D2506" s="101">
        <f t="shared" ca="1" si="153"/>
        <v>0.63109008187763316</v>
      </c>
      <c r="E2506" s="101">
        <f t="shared" ca="1" si="154"/>
        <v>0</v>
      </c>
      <c r="F2506" s="21">
        <f t="shared" ca="1" si="155"/>
        <v>0</v>
      </c>
      <c r="H2506" s="21">
        <v>2491</v>
      </c>
      <c r="I2506" s="102">
        <v>0.66785879472682619</v>
      </c>
      <c r="J2506" s="103">
        <v>1.4939439349601668E-3</v>
      </c>
      <c r="K2506" s="103"/>
      <c r="L2506" s="103">
        <v>4.2799999999999998E-2</v>
      </c>
      <c r="O2506" s="100"/>
    </row>
    <row r="2507" spans="2:15" x14ac:dyDescent="0.2">
      <c r="B2507" s="1">
        <v>2492</v>
      </c>
      <c r="C2507" s="101">
        <f t="shared" ca="1" si="152"/>
        <v>-0.61708190416184006</v>
      </c>
      <c r="D2507" s="101">
        <f t="shared" ca="1" si="153"/>
        <v>0.62526049752913926</v>
      </c>
      <c r="E2507" s="101">
        <f t="shared" ca="1" si="154"/>
        <v>0</v>
      </c>
      <c r="F2507" s="21">
        <f t="shared" ca="1" si="155"/>
        <v>0</v>
      </c>
      <c r="H2507" s="21">
        <v>2492</v>
      </c>
      <c r="I2507" s="102">
        <v>0.66775460110922813</v>
      </c>
      <c r="J2507" s="103">
        <v>1.3599745282302002E-3</v>
      </c>
      <c r="K2507" s="103"/>
      <c r="L2507" s="103">
        <v>3.7600000000000001E-2</v>
      </c>
      <c r="O2507" s="100"/>
    </row>
    <row r="2508" spans="2:15" x14ac:dyDescent="0.2">
      <c r="B2508" s="1">
        <v>2493</v>
      </c>
      <c r="C2508" s="101">
        <f t="shared" ca="1" si="152"/>
        <v>-0.43149981614876126</v>
      </c>
      <c r="D2508" s="101">
        <f t="shared" ca="1" si="153"/>
        <v>0.63681196406726281</v>
      </c>
      <c r="E2508" s="101">
        <f t="shared" ca="1" si="154"/>
        <v>0</v>
      </c>
      <c r="F2508" s="21">
        <f t="shared" ca="1" si="155"/>
        <v>0</v>
      </c>
      <c r="H2508" s="21">
        <v>2493</v>
      </c>
      <c r="I2508" s="102">
        <v>0.66783022448630047</v>
      </c>
      <c r="J2508" s="103">
        <v>1.4761243396592351E-3</v>
      </c>
      <c r="K2508" s="103"/>
      <c r="L2508" s="103">
        <v>4.4400000000000002E-2</v>
      </c>
      <c r="O2508" s="100"/>
    </row>
    <row r="2509" spans="2:15" x14ac:dyDescent="0.2">
      <c r="B2509" s="1">
        <v>2494</v>
      </c>
      <c r="C2509" s="101">
        <f t="shared" ca="1" si="152"/>
        <v>-0.88773522547109196</v>
      </c>
      <c r="D2509" s="101">
        <f t="shared" ca="1" si="153"/>
        <v>0.60878840244808041</v>
      </c>
      <c r="E2509" s="101">
        <f t="shared" ca="1" si="154"/>
        <v>0</v>
      </c>
      <c r="F2509" s="21">
        <f t="shared" ca="1" si="155"/>
        <v>0</v>
      </c>
      <c r="H2509" s="21">
        <v>2494</v>
      </c>
      <c r="I2509" s="102">
        <v>0.66773142176306388</v>
      </c>
      <c r="J2509" s="103">
        <v>1.3657743673768186E-3</v>
      </c>
      <c r="K2509" s="103"/>
      <c r="L2509" s="103">
        <v>4.1599999999999998E-2</v>
      </c>
      <c r="O2509" s="100"/>
    </row>
    <row r="2510" spans="2:15" x14ac:dyDescent="0.2">
      <c r="B2510" s="1">
        <v>2495</v>
      </c>
      <c r="C2510" s="101">
        <f t="shared" ca="1" si="152"/>
        <v>0.51600491898878087</v>
      </c>
      <c r="D2510" s="101">
        <f t="shared" ca="1" si="153"/>
        <v>0.69920050415845847</v>
      </c>
      <c r="E2510" s="101">
        <f t="shared" ca="1" si="154"/>
        <v>0</v>
      </c>
      <c r="F2510" s="21">
        <f t="shared" ca="1" si="155"/>
        <v>0</v>
      </c>
      <c r="H2510" s="21">
        <v>2495</v>
      </c>
      <c r="I2510" s="102">
        <v>0.66790550247947877</v>
      </c>
      <c r="J2510" s="103">
        <v>1.4856246570986616E-3</v>
      </c>
      <c r="K2510" s="103"/>
      <c r="L2510" s="103">
        <v>4.8000000000000001E-2</v>
      </c>
      <c r="O2510" s="100"/>
    </row>
    <row r="2511" spans="2:15" x14ac:dyDescent="0.2">
      <c r="B2511" s="1">
        <v>2496</v>
      </c>
      <c r="C2511" s="101">
        <f t="shared" ca="1" si="152"/>
        <v>-0.85446187106421401</v>
      </c>
      <c r="D2511" s="101">
        <f t="shared" ca="1" si="153"/>
        <v>0.61078980641796932</v>
      </c>
      <c r="E2511" s="101">
        <f t="shared" ca="1" si="154"/>
        <v>0</v>
      </c>
      <c r="F2511" s="21">
        <f t="shared" ca="1" si="155"/>
        <v>0</v>
      </c>
      <c r="H2511" s="21">
        <v>2496</v>
      </c>
      <c r="I2511" s="102">
        <v>0.66778798317788679</v>
      </c>
      <c r="J2511" s="103">
        <v>1.4050905082572613E-3</v>
      </c>
      <c r="K2511" s="103"/>
      <c r="L2511" s="103">
        <v>4.0399999999999998E-2</v>
      </c>
      <c r="O2511" s="100"/>
    </row>
    <row r="2512" spans="2:15" x14ac:dyDescent="0.2">
      <c r="B2512" s="1">
        <v>2497</v>
      </c>
      <c r="C2512" s="101">
        <f t="shared" ca="1" si="152"/>
        <v>7.4453883395397796E-2</v>
      </c>
      <c r="D2512" s="101">
        <f t="shared" ref="D2512:D2575" ca="1" si="156">S0*EXP((μ-0.5*σ*σ)*T+σ*SQRT(T)*$C2512)</f>
        <v>0.66940038629069398</v>
      </c>
      <c r="E2512" s="101">
        <f t="shared" ref="E2512:E2575" ca="1" si="157">MAX(0,CP*(D2512-K))</f>
        <v>0</v>
      </c>
      <c r="F2512" s="21">
        <f t="shared" ref="F2512:F2575" ca="1" si="158">(CP*(D2512-K)&gt;0)*1</f>
        <v>0</v>
      </c>
      <c r="H2512" s="21">
        <v>2497</v>
      </c>
      <c r="I2512" s="102">
        <v>0.66780726769074905</v>
      </c>
      <c r="J2512" s="103">
        <v>1.4090898962741971E-3</v>
      </c>
      <c r="K2512" s="103"/>
      <c r="L2512" s="103">
        <v>4.24E-2</v>
      </c>
      <c r="O2512" s="100"/>
    </row>
    <row r="2513" spans="1:15" x14ac:dyDescent="0.2">
      <c r="B2513" s="1">
        <v>2498</v>
      </c>
      <c r="C2513" s="101">
        <f t="shared" ca="1" si="152"/>
        <v>8.3473359942394826E-2</v>
      </c>
      <c r="D2513" s="101">
        <f t="shared" ca="1" si="156"/>
        <v>0.66999621222360495</v>
      </c>
      <c r="E2513" s="101">
        <f t="shared" ca="1" si="157"/>
        <v>0</v>
      </c>
      <c r="F2513" s="21">
        <f t="shared" ca="1" si="158"/>
        <v>0</v>
      </c>
      <c r="H2513" s="21">
        <v>2498</v>
      </c>
      <c r="I2513" s="102">
        <v>0.66766400038320306</v>
      </c>
      <c r="J2513" s="103">
        <v>1.4059137248354349E-3</v>
      </c>
      <c r="K2513" s="103"/>
      <c r="L2513" s="103">
        <v>4.0399999999999998E-2</v>
      </c>
      <c r="O2513" s="100"/>
    </row>
    <row r="2514" spans="1:15" x14ac:dyDescent="0.2">
      <c r="B2514" s="1">
        <v>2499</v>
      </c>
      <c r="C2514" s="101">
        <f t="shared" ca="1" si="152"/>
        <v>-0.37997573952544317</v>
      </c>
      <c r="D2514" s="101">
        <f t="shared" ca="1" si="156"/>
        <v>0.64005673788830775</v>
      </c>
      <c r="E2514" s="101">
        <f t="shared" ca="1" si="157"/>
        <v>0</v>
      </c>
      <c r="F2514" s="21">
        <f t="shared" ca="1" si="158"/>
        <v>0</v>
      </c>
      <c r="H2514" s="21">
        <v>2499</v>
      </c>
      <c r="I2514" s="102">
        <v>0.66775833186952582</v>
      </c>
      <c r="J2514" s="103">
        <v>1.4052481823814817E-3</v>
      </c>
      <c r="K2514" s="103"/>
      <c r="L2514" s="103">
        <v>0.04</v>
      </c>
      <c r="O2514" s="100"/>
    </row>
    <row r="2515" spans="1:15" x14ac:dyDescent="0.2">
      <c r="B2515" s="1">
        <v>2500</v>
      </c>
      <c r="C2515" s="105">
        <f t="shared" ca="1" si="152"/>
        <v>0.50593372557323946</v>
      </c>
      <c r="D2515" s="101">
        <f t="shared" ca="1" si="156"/>
        <v>0.69850623820836355</v>
      </c>
      <c r="E2515" s="101">
        <f t="shared" ca="1" si="157"/>
        <v>0</v>
      </c>
      <c r="F2515" s="21">
        <f t="shared" ca="1" si="158"/>
        <v>0</v>
      </c>
      <c r="H2515" s="21">
        <v>2500</v>
      </c>
      <c r="I2515" s="102">
        <v>0.66774469804073078</v>
      </c>
      <c r="J2515" s="103">
        <v>1.3174060627492614E-3</v>
      </c>
      <c r="K2515" s="103"/>
      <c r="L2515" s="103">
        <v>4.2000000000000003E-2</v>
      </c>
      <c r="O2515" s="100"/>
    </row>
    <row r="2516" spans="1:15" x14ac:dyDescent="0.2">
      <c r="A2516" s="1" t="s">
        <v>12</v>
      </c>
      <c r="B2516" s="1">
        <v>2501</v>
      </c>
      <c r="C2516" s="101" cm="1">
        <f t="array" aca="1" ref="C2516:C5015" ca="1">-1*C16:C2515</f>
        <v>-0.15936539874184319</v>
      </c>
      <c r="D2516" s="101">
        <f t="shared" ca="1" si="156"/>
        <v>0.65413785837598792</v>
      </c>
      <c r="E2516" s="101">
        <f t="shared" ca="1" si="157"/>
        <v>0</v>
      </c>
      <c r="F2516" s="21">
        <f t="shared" ca="1" si="158"/>
        <v>0</v>
      </c>
      <c r="H2516" s="21">
        <v>2501</v>
      </c>
      <c r="I2516" s="102">
        <v>0.66790943579406137</v>
      </c>
      <c r="J2516" s="103">
        <v>1.4336620901041698E-3</v>
      </c>
      <c r="K2516" s="103"/>
      <c r="L2516" s="103">
        <v>4.82E-2</v>
      </c>
      <c r="O2516" s="100"/>
    </row>
    <row r="2517" spans="1:15" x14ac:dyDescent="0.2">
      <c r="B2517" s="1">
        <v>2502</v>
      </c>
      <c r="C2517" s="101">
        <f ca="1"/>
        <v>2.6243599518840535</v>
      </c>
      <c r="D2517" s="101">
        <f t="shared" ca="1" si="156"/>
        <v>0.86083984874421249</v>
      </c>
      <c r="E2517" s="101">
        <f t="shared" ca="1" si="157"/>
        <v>7.2639848744212476E-2</v>
      </c>
      <c r="F2517" s="21">
        <f t="shared" ca="1" si="158"/>
        <v>1</v>
      </c>
      <c r="H2517" s="21">
        <v>2502</v>
      </c>
      <c r="I2517" s="102">
        <v>0.66774863711429011</v>
      </c>
      <c r="J2517" s="103">
        <v>1.4030547737045502E-3</v>
      </c>
      <c r="K2517" s="103"/>
      <c r="L2517" s="103">
        <v>4.3400000000000001E-2</v>
      </c>
      <c r="O2517" s="100"/>
    </row>
    <row r="2518" spans="1:15" x14ac:dyDescent="0.2">
      <c r="B2518" s="1">
        <v>2503</v>
      </c>
      <c r="C2518" s="101">
        <f ca="1"/>
        <v>0.85526705841221329</v>
      </c>
      <c r="D2518" s="101">
        <f t="shared" ca="1" si="156"/>
        <v>0.72299536590856717</v>
      </c>
      <c r="E2518" s="101">
        <f t="shared" ca="1" si="157"/>
        <v>0</v>
      </c>
      <c r="F2518" s="21">
        <f t="shared" ca="1" si="158"/>
        <v>0</v>
      </c>
      <c r="H2518" s="21">
        <v>2503</v>
      </c>
      <c r="I2518" s="102">
        <v>0.66769319560718543</v>
      </c>
      <c r="J2518" s="103">
        <v>1.2747715460572399E-3</v>
      </c>
      <c r="K2518" s="103"/>
      <c r="L2518" s="103">
        <v>3.8600000000000002E-2</v>
      </c>
      <c r="O2518" s="100"/>
    </row>
    <row r="2519" spans="1:15" x14ac:dyDescent="0.2">
      <c r="B2519" s="1">
        <v>2504</v>
      </c>
      <c r="C2519" s="101">
        <f ca="1"/>
        <v>-1.6126673633815416</v>
      </c>
      <c r="D2519" s="101">
        <f t="shared" ca="1" si="156"/>
        <v>0.5667750508747369</v>
      </c>
      <c r="E2519" s="101">
        <f t="shared" ca="1" si="157"/>
        <v>0</v>
      </c>
      <c r="F2519" s="21">
        <f t="shared" ca="1" si="158"/>
        <v>0</v>
      </c>
      <c r="H2519" s="21">
        <v>2504</v>
      </c>
      <c r="I2519" s="102">
        <v>0.66770838921839659</v>
      </c>
      <c r="J2519" s="103">
        <v>1.1967152523386958E-3</v>
      </c>
      <c r="K2519" s="103"/>
      <c r="L2519" s="103">
        <v>4.2000000000000003E-2</v>
      </c>
      <c r="O2519" s="100"/>
    </row>
    <row r="2520" spans="1:15" x14ac:dyDescent="0.2">
      <c r="B2520" s="1">
        <v>2505</v>
      </c>
      <c r="C2520" s="101">
        <f ca="1"/>
        <v>0.75633634961733487</v>
      </c>
      <c r="D2520" s="101">
        <f t="shared" ca="1" si="156"/>
        <v>0.715974216854116</v>
      </c>
      <c r="E2520" s="101">
        <f t="shared" ca="1" si="157"/>
        <v>0</v>
      </c>
      <c r="F2520" s="21">
        <f t="shared" ca="1" si="158"/>
        <v>0</v>
      </c>
      <c r="H2520" s="21">
        <v>2505</v>
      </c>
      <c r="I2520" s="102">
        <v>0.66770347541987751</v>
      </c>
      <c r="J2520" s="103">
        <v>1.3310655745167566E-3</v>
      </c>
      <c r="K2520" s="103"/>
      <c r="L2520" s="103">
        <v>4.0599999999999997E-2</v>
      </c>
      <c r="O2520" s="100"/>
    </row>
    <row r="2521" spans="1:15" x14ac:dyDescent="0.2">
      <c r="B2521" s="1">
        <v>2506</v>
      </c>
      <c r="C2521" s="101">
        <f ca="1"/>
        <v>0.36269616245200348</v>
      </c>
      <c r="D2521" s="101">
        <f t="shared" ca="1" si="156"/>
        <v>0.6887063387168646</v>
      </c>
      <c r="E2521" s="101">
        <f t="shared" ca="1" si="157"/>
        <v>0</v>
      </c>
      <c r="F2521" s="21">
        <f t="shared" ca="1" si="158"/>
        <v>0</v>
      </c>
      <c r="H2521" s="21">
        <v>2506</v>
      </c>
      <c r="I2521" s="102">
        <v>0.66770402294549291</v>
      </c>
      <c r="J2521" s="103">
        <v>1.4705844115372321E-3</v>
      </c>
      <c r="K2521" s="103"/>
      <c r="L2521" s="103">
        <v>4.2599999999999999E-2</v>
      </c>
      <c r="O2521" s="100"/>
    </row>
    <row r="2522" spans="1:15" x14ac:dyDescent="0.2">
      <c r="B2522" s="1">
        <v>2507</v>
      </c>
      <c r="C2522" s="101">
        <f ca="1"/>
        <v>1.707903158235919</v>
      </c>
      <c r="D2522" s="101">
        <f t="shared" ca="1" si="156"/>
        <v>0.78643334332473058</v>
      </c>
      <c r="E2522" s="101">
        <f t="shared" ca="1" si="157"/>
        <v>0</v>
      </c>
      <c r="F2522" s="21">
        <f t="shared" ca="1" si="158"/>
        <v>0</v>
      </c>
      <c r="H2522" s="21">
        <v>2507</v>
      </c>
      <c r="I2522" s="102">
        <v>0.6679441075904814</v>
      </c>
      <c r="J2522" s="103">
        <v>1.6275087447646481E-3</v>
      </c>
      <c r="K2522" s="103"/>
      <c r="L2522" s="103">
        <v>4.6399999999999997E-2</v>
      </c>
      <c r="O2522" s="100"/>
    </row>
    <row r="2523" spans="1:15" x14ac:dyDescent="0.2">
      <c r="B2523" s="1">
        <v>2508</v>
      </c>
      <c r="C2523" s="101">
        <f ca="1"/>
        <v>0.72618992918937419</v>
      </c>
      <c r="D2523" s="101">
        <f t="shared" ca="1" si="156"/>
        <v>0.71384829905355029</v>
      </c>
      <c r="E2523" s="101">
        <f t="shared" ca="1" si="157"/>
        <v>0</v>
      </c>
      <c r="F2523" s="21">
        <f t="shared" ca="1" si="158"/>
        <v>0</v>
      </c>
      <c r="H2523" s="21">
        <v>2508</v>
      </c>
      <c r="I2523" s="102">
        <v>0.66772285084293592</v>
      </c>
      <c r="J2523" s="103">
        <v>1.3731030071539399E-3</v>
      </c>
      <c r="K2523" s="103"/>
      <c r="L2523" s="103">
        <v>3.8199999999999998E-2</v>
      </c>
      <c r="O2523" s="100"/>
    </row>
    <row r="2524" spans="1:15" x14ac:dyDescent="0.2">
      <c r="B2524" s="1">
        <v>2509</v>
      </c>
      <c r="C2524" s="101">
        <f ca="1"/>
        <v>-0.55264422039357153</v>
      </c>
      <c r="D2524" s="101">
        <f t="shared" ca="1" si="156"/>
        <v>0.62924744744529126</v>
      </c>
      <c r="E2524" s="101">
        <f t="shared" ca="1" si="157"/>
        <v>0</v>
      </c>
      <c r="F2524" s="21">
        <f t="shared" ca="1" si="158"/>
        <v>0</v>
      </c>
      <c r="H2524" s="21">
        <v>2509</v>
      </c>
      <c r="I2524" s="102">
        <v>0.66780133150321164</v>
      </c>
      <c r="J2524" s="103">
        <v>1.4189655643161211E-3</v>
      </c>
      <c r="K2524" s="103"/>
      <c r="L2524" s="103">
        <v>4.4600000000000001E-2</v>
      </c>
      <c r="O2524" s="100"/>
    </row>
    <row r="2525" spans="1:15" x14ac:dyDescent="0.2">
      <c r="B2525" s="1">
        <v>2510</v>
      </c>
      <c r="C2525" s="101">
        <f ca="1"/>
        <v>-1.4143773157153738</v>
      </c>
      <c r="D2525" s="101">
        <f t="shared" ca="1" si="156"/>
        <v>0.57797006838167897</v>
      </c>
      <c r="E2525" s="101">
        <f t="shared" ca="1" si="157"/>
        <v>0</v>
      </c>
      <c r="F2525" s="21">
        <f t="shared" ca="1" si="158"/>
        <v>0</v>
      </c>
      <c r="H2525" s="21">
        <v>2510</v>
      </c>
      <c r="I2525" s="102">
        <v>0.66761032479125904</v>
      </c>
      <c r="J2525" s="103">
        <v>1.3090893286979274E-3</v>
      </c>
      <c r="K2525" s="103"/>
      <c r="L2525" s="103">
        <v>4.1000000000000002E-2</v>
      </c>
      <c r="O2525" s="100"/>
    </row>
    <row r="2526" spans="1:15" x14ac:dyDescent="0.2">
      <c r="B2526" s="1">
        <v>2511</v>
      </c>
      <c r="C2526" s="101">
        <f ca="1"/>
        <v>0.38799404671146315</v>
      </c>
      <c r="D2526" s="101">
        <f t="shared" ca="1" si="156"/>
        <v>0.69042709422218063</v>
      </c>
      <c r="E2526" s="101">
        <f t="shared" ca="1" si="157"/>
        <v>0</v>
      </c>
      <c r="F2526" s="21">
        <f t="shared" ca="1" si="158"/>
        <v>0</v>
      </c>
      <c r="H2526" s="21">
        <v>2511</v>
      </c>
      <c r="I2526" s="102">
        <v>0.66777757320027609</v>
      </c>
      <c r="J2526" s="103">
        <v>1.3473422054657827E-3</v>
      </c>
      <c r="K2526" s="103"/>
      <c r="L2526" s="103">
        <v>3.9600000000000003E-2</v>
      </c>
      <c r="O2526" s="100"/>
    </row>
    <row r="2527" spans="1:15" x14ac:dyDescent="0.2">
      <c r="B2527" s="1">
        <v>2512</v>
      </c>
      <c r="C2527" s="101">
        <f ca="1"/>
        <v>3.1222083153567774E-2</v>
      </c>
      <c r="D2527" s="101">
        <f t="shared" ca="1" si="156"/>
        <v>0.66655184514380628</v>
      </c>
      <c r="E2527" s="101">
        <f t="shared" ca="1" si="157"/>
        <v>0</v>
      </c>
      <c r="F2527" s="21">
        <f t="shared" ca="1" si="158"/>
        <v>0</v>
      </c>
      <c r="H2527" s="21">
        <v>2512</v>
      </c>
      <c r="I2527" s="102">
        <v>0.6677388387182922</v>
      </c>
      <c r="J2527" s="103">
        <v>1.3293301307524489E-3</v>
      </c>
      <c r="K2527" s="103"/>
      <c r="L2527" s="103">
        <v>4.24E-2</v>
      </c>
      <c r="O2527" s="100"/>
    </row>
    <row r="2528" spans="1:15" x14ac:dyDescent="0.2">
      <c r="B2528" s="1">
        <v>2513</v>
      </c>
      <c r="C2528" s="101">
        <f ca="1"/>
        <v>1.3323895591465635</v>
      </c>
      <c r="D2528" s="101">
        <f t="shared" ca="1" si="156"/>
        <v>0.7578358524019535</v>
      </c>
      <c r="E2528" s="101">
        <f t="shared" ca="1" si="157"/>
        <v>0</v>
      </c>
      <c r="F2528" s="21">
        <f t="shared" ca="1" si="158"/>
        <v>0</v>
      </c>
      <c r="H2528" s="21">
        <v>2513</v>
      </c>
      <c r="I2528" s="102">
        <v>0.66783935605608213</v>
      </c>
      <c r="J2528" s="103">
        <v>1.3027886276529197E-3</v>
      </c>
      <c r="K2528" s="103"/>
      <c r="L2528" s="103">
        <v>4.1399999999999999E-2</v>
      </c>
      <c r="O2528" s="100"/>
    </row>
    <row r="2529" spans="2:15" x14ac:dyDescent="0.2">
      <c r="B2529" s="1">
        <v>2514</v>
      </c>
      <c r="C2529" s="101">
        <f ca="1"/>
        <v>-1.0511352752225445</v>
      </c>
      <c r="D2529" s="101">
        <f t="shared" ca="1" si="156"/>
        <v>0.59905460784265652</v>
      </c>
      <c r="E2529" s="101">
        <f t="shared" ca="1" si="157"/>
        <v>0</v>
      </c>
      <c r="F2529" s="21">
        <f t="shared" ca="1" si="158"/>
        <v>0</v>
      </c>
      <c r="H2529" s="21">
        <v>2514</v>
      </c>
      <c r="I2529" s="102">
        <v>0.66784438493991938</v>
      </c>
      <c r="J2529" s="103">
        <v>1.4288240464102263E-3</v>
      </c>
      <c r="K2529" s="103"/>
      <c r="L2529" s="103">
        <v>4.1799999999999997E-2</v>
      </c>
      <c r="O2529" s="100"/>
    </row>
    <row r="2530" spans="2:15" x14ac:dyDescent="0.2">
      <c r="B2530" s="1">
        <v>2515</v>
      </c>
      <c r="C2530" s="101">
        <f ca="1"/>
        <v>-3.3875324946743186</v>
      </c>
      <c r="D2530" s="101">
        <f t="shared" ca="1" si="156"/>
        <v>0.47574758964416447</v>
      </c>
      <c r="E2530" s="101">
        <f t="shared" ca="1" si="157"/>
        <v>0</v>
      </c>
      <c r="F2530" s="21">
        <f t="shared" ca="1" si="158"/>
        <v>0</v>
      </c>
      <c r="H2530" s="21">
        <v>2515</v>
      </c>
      <c r="I2530" s="102">
        <v>0.66782002387476702</v>
      </c>
      <c r="J2530" s="103">
        <v>1.3910614216008513E-3</v>
      </c>
      <c r="K2530" s="103"/>
      <c r="L2530" s="103">
        <v>4.4600000000000001E-2</v>
      </c>
      <c r="O2530" s="100"/>
    </row>
    <row r="2531" spans="2:15" x14ac:dyDescent="0.2">
      <c r="B2531" s="1">
        <v>2516</v>
      </c>
      <c r="C2531" s="101">
        <f ca="1"/>
        <v>-1.7822387919558214</v>
      </c>
      <c r="D2531" s="101">
        <f t="shared" ca="1" si="156"/>
        <v>0.55737359311057888</v>
      </c>
      <c r="E2531" s="101">
        <f t="shared" ca="1" si="157"/>
        <v>0</v>
      </c>
      <c r="F2531" s="21">
        <f t="shared" ca="1" si="158"/>
        <v>0</v>
      </c>
      <c r="H2531" s="21">
        <v>2516</v>
      </c>
      <c r="I2531" s="102">
        <v>0.66791400628908748</v>
      </c>
      <c r="J2531" s="103">
        <v>1.5518778555119741E-3</v>
      </c>
      <c r="K2531" s="103"/>
      <c r="L2531" s="103">
        <v>4.7800000000000002E-2</v>
      </c>
      <c r="O2531" s="100"/>
    </row>
    <row r="2532" spans="2:15" x14ac:dyDescent="0.2">
      <c r="B2532" s="1">
        <v>2517</v>
      </c>
      <c r="C2532" s="101">
        <f ca="1"/>
        <v>-1.7066080425976344</v>
      </c>
      <c r="D2532" s="101">
        <f t="shared" ca="1" si="156"/>
        <v>0.56154732634685467</v>
      </c>
      <c r="E2532" s="101">
        <f t="shared" ca="1" si="157"/>
        <v>0</v>
      </c>
      <c r="F2532" s="21">
        <f t="shared" ca="1" si="158"/>
        <v>0</v>
      </c>
      <c r="H2532" s="21">
        <v>2517</v>
      </c>
      <c r="I2532" s="102">
        <v>0.66767916895966528</v>
      </c>
      <c r="J2532" s="103">
        <v>1.3219799144810274E-3</v>
      </c>
      <c r="K2532" s="103"/>
      <c r="L2532" s="103">
        <v>3.8600000000000002E-2</v>
      </c>
      <c r="O2532" s="100"/>
    </row>
    <row r="2533" spans="2:15" x14ac:dyDescent="0.2">
      <c r="B2533" s="1">
        <v>2518</v>
      </c>
      <c r="C2533" s="101">
        <f ca="1"/>
        <v>0.51413886019914878</v>
      </c>
      <c r="D2533" s="101">
        <f t="shared" ca="1" si="156"/>
        <v>0.69907181380740402</v>
      </c>
      <c r="E2533" s="101">
        <f t="shared" ca="1" si="157"/>
        <v>0</v>
      </c>
      <c r="F2533" s="21">
        <f t="shared" ca="1" si="158"/>
        <v>0</v>
      </c>
      <c r="H2533" s="21">
        <v>2518</v>
      </c>
      <c r="I2533" s="102">
        <v>0.66779295336441913</v>
      </c>
      <c r="J2533" s="103">
        <v>1.4831119054796889E-3</v>
      </c>
      <c r="K2533" s="103"/>
      <c r="L2533" s="103">
        <v>4.2599999999999999E-2</v>
      </c>
      <c r="O2533" s="100"/>
    </row>
    <row r="2534" spans="2:15" x14ac:dyDescent="0.2">
      <c r="B2534" s="1">
        <v>2519</v>
      </c>
      <c r="C2534" s="101">
        <f ca="1"/>
        <v>-0.8494635794874571</v>
      </c>
      <c r="D2534" s="101">
        <f t="shared" ca="1" si="156"/>
        <v>0.61109102331792986</v>
      </c>
      <c r="E2534" s="101">
        <f t="shared" ca="1" si="157"/>
        <v>0</v>
      </c>
      <c r="F2534" s="21">
        <f t="shared" ca="1" si="158"/>
        <v>0</v>
      </c>
      <c r="H2534" s="21">
        <v>2519</v>
      </c>
      <c r="I2534" s="102">
        <v>0.66770161325720734</v>
      </c>
      <c r="J2534" s="103">
        <v>1.2905487367557171E-3</v>
      </c>
      <c r="K2534" s="103"/>
      <c r="L2534" s="103">
        <v>3.9600000000000003E-2</v>
      </c>
      <c r="O2534" s="100"/>
    </row>
    <row r="2535" spans="2:15" x14ac:dyDescent="0.2">
      <c r="B2535" s="1">
        <v>2520</v>
      </c>
      <c r="C2535" s="101">
        <f ca="1"/>
        <v>-0.21685174459406262</v>
      </c>
      <c r="D2535" s="101">
        <f t="shared" ca="1" si="156"/>
        <v>0.65043904745834313</v>
      </c>
      <c r="E2535" s="101">
        <f t="shared" ca="1" si="157"/>
        <v>0</v>
      </c>
      <c r="F2535" s="21">
        <f t="shared" ca="1" si="158"/>
        <v>0</v>
      </c>
      <c r="H2535" s="21">
        <v>2520</v>
      </c>
      <c r="I2535" s="102">
        <v>0.66777180381414514</v>
      </c>
      <c r="J2535" s="103">
        <v>1.3543239312611424E-3</v>
      </c>
      <c r="K2535" s="103"/>
      <c r="L2535" s="103">
        <v>4.1399999999999999E-2</v>
      </c>
      <c r="O2535" s="100"/>
    </row>
    <row r="2536" spans="2:15" x14ac:dyDescent="0.2">
      <c r="B2536" s="1">
        <v>2521</v>
      </c>
      <c r="C2536" s="101">
        <f ca="1"/>
        <v>-2.4275208040567842</v>
      </c>
      <c r="D2536" s="101">
        <f t="shared" ca="1" si="156"/>
        <v>0.52300146522754554</v>
      </c>
      <c r="E2536" s="101">
        <f t="shared" ca="1" si="157"/>
        <v>0</v>
      </c>
      <c r="F2536" s="21">
        <f t="shared" ca="1" si="158"/>
        <v>0</v>
      </c>
      <c r="H2536" s="21">
        <v>2521</v>
      </c>
      <c r="I2536" s="102">
        <v>0.66782428193586874</v>
      </c>
      <c r="J2536" s="103">
        <v>1.3557496428293311E-3</v>
      </c>
      <c r="K2536" s="103"/>
      <c r="L2536" s="103">
        <v>4.6600000000000003E-2</v>
      </c>
      <c r="O2536" s="100"/>
    </row>
    <row r="2537" spans="2:15" x14ac:dyDescent="0.2">
      <c r="B2537" s="1">
        <v>2522</v>
      </c>
      <c r="C2537" s="101">
        <f ca="1"/>
        <v>0.68963017483341316</v>
      </c>
      <c r="D2537" s="101">
        <f t="shared" ca="1" si="156"/>
        <v>0.71127858242152697</v>
      </c>
      <c r="E2537" s="101">
        <f t="shared" ca="1" si="157"/>
        <v>0</v>
      </c>
      <c r="F2537" s="21">
        <f t="shared" ca="1" si="158"/>
        <v>0</v>
      </c>
      <c r="H2537" s="21">
        <v>2522</v>
      </c>
      <c r="I2537" s="102">
        <v>0.66778862114844972</v>
      </c>
      <c r="J2537" s="103">
        <v>1.5003278216895093E-3</v>
      </c>
      <c r="K2537" s="103"/>
      <c r="L2537" s="103">
        <v>4.3799999999999999E-2</v>
      </c>
      <c r="O2537" s="100"/>
    </row>
    <row r="2538" spans="2:15" x14ac:dyDescent="0.2">
      <c r="B2538" s="1">
        <v>2523</v>
      </c>
      <c r="C2538" s="101">
        <f ca="1"/>
        <v>0.5701450048213943</v>
      </c>
      <c r="D2538" s="101">
        <f t="shared" ca="1" si="156"/>
        <v>0.70294453789530476</v>
      </c>
      <c r="E2538" s="101">
        <f t="shared" ca="1" si="157"/>
        <v>0</v>
      </c>
      <c r="F2538" s="21">
        <f t="shared" ca="1" si="158"/>
        <v>0</v>
      </c>
      <c r="H2538" s="21">
        <v>2523</v>
      </c>
      <c r="I2538" s="102">
        <v>0.66760221668880326</v>
      </c>
      <c r="J2538" s="103">
        <v>1.2094404665301496E-3</v>
      </c>
      <c r="K2538" s="103"/>
      <c r="L2538" s="103">
        <v>3.8600000000000002E-2</v>
      </c>
      <c r="O2538" s="100"/>
    </row>
    <row r="2539" spans="2:15" x14ac:dyDescent="0.2">
      <c r="B2539" s="1">
        <v>2524</v>
      </c>
      <c r="C2539" s="101">
        <f ca="1"/>
        <v>-0.47122483926335035</v>
      </c>
      <c r="D2539" s="101">
        <f t="shared" ca="1" si="156"/>
        <v>0.63432148065525462</v>
      </c>
      <c r="E2539" s="101">
        <f t="shared" ca="1" si="157"/>
        <v>0</v>
      </c>
      <c r="F2539" s="21">
        <f t="shared" ca="1" si="158"/>
        <v>0</v>
      </c>
      <c r="H2539" s="21">
        <v>2524</v>
      </c>
      <c r="I2539" s="102">
        <v>0.66789852827180562</v>
      </c>
      <c r="J2539" s="103">
        <v>1.580413181057278E-3</v>
      </c>
      <c r="K2539" s="103"/>
      <c r="L2539" s="103">
        <v>4.5400000000000003E-2</v>
      </c>
      <c r="O2539" s="100"/>
    </row>
    <row r="2540" spans="2:15" x14ac:dyDescent="0.2">
      <c r="B2540" s="1">
        <v>2525</v>
      </c>
      <c r="C2540" s="101">
        <f ca="1"/>
        <v>-0.13786862879367739</v>
      </c>
      <c r="D2540" s="101">
        <f t="shared" ca="1" si="156"/>
        <v>0.65552640967718989</v>
      </c>
      <c r="E2540" s="101">
        <f t="shared" ca="1" si="157"/>
        <v>0</v>
      </c>
      <c r="F2540" s="21">
        <f t="shared" ca="1" si="158"/>
        <v>0</v>
      </c>
      <c r="H2540" s="21">
        <v>2525</v>
      </c>
      <c r="I2540" s="102">
        <v>0.66776377525570252</v>
      </c>
      <c r="J2540" s="103">
        <v>1.486336855488424E-3</v>
      </c>
      <c r="K2540" s="103"/>
      <c r="L2540" s="103">
        <v>4.2200000000000001E-2</v>
      </c>
      <c r="O2540" s="100"/>
    </row>
    <row r="2541" spans="2:15" x14ac:dyDescent="0.2">
      <c r="B2541" s="1">
        <v>2526</v>
      </c>
      <c r="C2541" s="101">
        <f ca="1"/>
        <v>-0.79729220809686785</v>
      </c>
      <c r="D2541" s="101">
        <f t="shared" ca="1" si="156"/>
        <v>0.61424395841997104</v>
      </c>
      <c r="E2541" s="101">
        <f t="shared" ca="1" si="157"/>
        <v>0</v>
      </c>
      <c r="F2541" s="21">
        <f t="shared" ca="1" si="158"/>
        <v>0</v>
      </c>
      <c r="H2541" s="21">
        <v>2526</v>
      </c>
      <c r="I2541" s="102">
        <v>0.66764389563344617</v>
      </c>
      <c r="J2541" s="103">
        <v>1.2228029304577361E-3</v>
      </c>
      <c r="K2541" s="103"/>
      <c r="L2541" s="103">
        <v>4.0800000000000003E-2</v>
      </c>
      <c r="O2541" s="100"/>
    </row>
    <row r="2542" spans="2:15" x14ac:dyDescent="0.2">
      <c r="B2542" s="1">
        <v>2527</v>
      </c>
      <c r="C2542" s="101">
        <f ca="1"/>
        <v>-1.5589569752989008</v>
      </c>
      <c r="D2542" s="101">
        <f t="shared" ca="1" si="156"/>
        <v>0.56978582991159765</v>
      </c>
      <c r="E2542" s="101">
        <f t="shared" ca="1" si="157"/>
        <v>0</v>
      </c>
      <c r="F2542" s="21">
        <f t="shared" ca="1" si="158"/>
        <v>0</v>
      </c>
      <c r="H2542" s="21">
        <v>2527</v>
      </c>
      <c r="I2542" s="102">
        <v>0.66771060503195168</v>
      </c>
      <c r="J2542" s="103">
        <v>1.3579550504465119E-3</v>
      </c>
      <c r="K2542" s="103"/>
      <c r="L2542" s="103">
        <v>4.2599999999999999E-2</v>
      </c>
      <c r="O2542" s="100"/>
    </row>
    <row r="2543" spans="2:15" x14ac:dyDescent="0.2">
      <c r="B2543" s="1">
        <v>2528</v>
      </c>
      <c r="C2543" s="101">
        <f ca="1"/>
        <v>2.2477937639293599</v>
      </c>
      <c r="D2543" s="101">
        <f t="shared" ca="1" si="156"/>
        <v>0.82945054948202523</v>
      </c>
      <c r="E2543" s="101">
        <f t="shared" ca="1" si="157"/>
        <v>4.1250549482025223E-2</v>
      </c>
      <c r="F2543" s="21">
        <f t="shared" ca="1" si="158"/>
        <v>1</v>
      </c>
      <c r="H2543" s="21">
        <v>2528</v>
      </c>
      <c r="I2543" s="102">
        <v>0.66761621472372434</v>
      </c>
      <c r="J2543" s="103">
        <v>1.1250421042490479E-3</v>
      </c>
      <c r="K2543" s="103"/>
      <c r="L2543" s="103">
        <v>3.5400000000000001E-2</v>
      </c>
      <c r="O2543" s="100"/>
    </row>
    <row r="2544" spans="2:15" x14ac:dyDescent="0.2">
      <c r="B2544" s="1">
        <v>2529</v>
      </c>
      <c r="C2544" s="101">
        <f ca="1"/>
        <v>-0.63279480478834649</v>
      </c>
      <c r="D2544" s="101">
        <f t="shared" ca="1" si="156"/>
        <v>0.62429213107931414</v>
      </c>
      <c r="E2544" s="101">
        <f t="shared" ca="1" si="157"/>
        <v>0</v>
      </c>
      <c r="F2544" s="21">
        <f t="shared" ca="1" si="158"/>
        <v>0</v>
      </c>
      <c r="H2544" s="21">
        <v>2529</v>
      </c>
      <c r="I2544" s="102">
        <v>0.66766996087994712</v>
      </c>
      <c r="J2544" s="103">
        <v>1.320693162813834E-3</v>
      </c>
      <c r="K2544" s="103"/>
      <c r="L2544" s="103">
        <v>4.1599999999999998E-2</v>
      </c>
      <c r="O2544" s="100"/>
    </row>
    <row r="2545" spans="2:15" x14ac:dyDescent="0.2">
      <c r="B2545" s="1">
        <v>2530</v>
      </c>
      <c r="C2545" s="101">
        <f ca="1"/>
        <v>-1.640904466838623</v>
      </c>
      <c r="D2545" s="101">
        <f t="shared" ca="1" si="156"/>
        <v>0.56519858316152416</v>
      </c>
      <c r="E2545" s="101">
        <f t="shared" ca="1" si="157"/>
        <v>0</v>
      </c>
      <c r="F2545" s="21">
        <f t="shared" ca="1" si="158"/>
        <v>0</v>
      </c>
      <c r="H2545" s="21">
        <v>2530</v>
      </c>
      <c r="I2545" s="102">
        <v>0.66765002444797039</v>
      </c>
      <c r="J2545" s="103">
        <v>1.32164001579462E-3</v>
      </c>
      <c r="K2545" s="103"/>
      <c r="L2545" s="103">
        <v>3.7199999999999997E-2</v>
      </c>
      <c r="O2545" s="100"/>
    </row>
    <row r="2546" spans="2:15" x14ac:dyDescent="0.2">
      <c r="B2546" s="1">
        <v>2531</v>
      </c>
      <c r="C2546" s="101">
        <f ca="1"/>
        <v>2.4248366375105954</v>
      </c>
      <c r="D2546" s="101">
        <f t="shared" ca="1" si="156"/>
        <v>0.84406308475333591</v>
      </c>
      <c r="E2546" s="101">
        <f t="shared" ca="1" si="157"/>
        <v>5.5863084753335901E-2</v>
      </c>
      <c r="F2546" s="21">
        <f t="shared" ca="1" si="158"/>
        <v>1</v>
      </c>
      <c r="H2546" s="21">
        <v>2531</v>
      </c>
      <c r="I2546" s="102">
        <v>0.66779526382976517</v>
      </c>
      <c r="J2546" s="103">
        <v>1.4590269249746307E-3</v>
      </c>
      <c r="K2546" s="103"/>
      <c r="L2546" s="103">
        <v>4.7199999999999999E-2</v>
      </c>
      <c r="O2546" s="100"/>
    </row>
    <row r="2547" spans="2:15" x14ac:dyDescent="0.2">
      <c r="B2547" s="1">
        <v>2532</v>
      </c>
      <c r="C2547" s="101">
        <f ca="1"/>
        <v>-1.3647543216237941</v>
      </c>
      <c r="D2547" s="101">
        <f t="shared" ca="1" si="156"/>
        <v>0.58080609665464011</v>
      </c>
      <c r="E2547" s="101">
        <f t="shared" ca="1" si="157"/>
        <v>0</v>
      </c>
      <c r="F2547" s="21">
        <f t="shared" ca="1" si="158"/>
        <v>0</v>
      </c>
      <c r="H2547" s="21">
        <v>2532</v>
      </c>
      <c r="I2547" s="102">
        <v>0.6677078286508088</v>
      </c>
      <c r="J2547" s="103">
        <v>1.2225566813261425E-3</v>
      </c>
      <c r="K2547" s="103"/>
      <c r="L2547" s="103">
        <v>4.1000000000000002E-2</v>
      </c>
      <c r="O2547" s="100"/>
    </row>
    <row r="2548" spans="2:15" x14ac:dyDescent="0.2">
      <c r="B2548" s="1">
        <v>2533</v>
      </c>
      <c r="C2548" s="101">
        <f ca="1"/>
        <v>-0.2977141099296497</v>
      </c>
      <c r="D2548" s="101">
        <f t="shared" ca="1" si="156"/>
        <v>0.64527154072677895</v>
      </c>
      <c r="E2548" s="101">
        <f t="shared" ca="1" si="157"/>
        <v>0</v>
      </c>
      <c r="F2548" s="21">
        <f t="shared" ca="1" si="158"/>
        <v>0</v>
      </c>
      <c r="H2548" s="21">
        <v>2533</v>
      </c>
      <c r="I2548" s="102">
        <v>0.66772688243342726</v>
      </c>
      <c r="J2548" s="103">
        <v>1.2114710903255198E-3</v>
      </c>
      <c r="K2548" s="103"/>
      <c r="L2548" s="103">
        <v>3.9E-2</v>
      </c>
      <c r="O2548" s="100"/>
    </row>
    <row r="2549" spans="2:15" x14ac:dyDescent="0.2">
      <c r="B2549" s="1">
        <v>2534</v>
      </c>
      <c r="C2549" s="101">
        <f ca="1"/>
        <v>0.87889574094781941</v>
      </c>
      <c r="D2549" s="101">
        <f t="shared" ca="1" si="156"/>
        <v>0.72468246324231789</v>
      </c>
      <c r="E2549" s="101">
        <f t="shared" ca="1" si="157"/>
        <v>0</v>
      </c>
      <c r="F2549" s="21">
        <f t="shared" ca="1" si="158"/>
        <v>0</v>
      </c>
      <c r="H2549" s="21">
        <v>2534</v>
      </c>
      <c r="I2549" s="102">
        <v>0.6677399960463285</v>
      </c>
      <c r="J2549" s="103">
        <v>1.4563795807368209E-3</v>
      </c>
      <c r="K2549" s="103"/>
      <c r="L2549" s="103">
        <v>4.1599999999999998E-2</v>
      </c>
      <c r="O2549" s="100"/>
    </row>
    <row r="2550" spans="2:15" x14ac:dyDescent="0.2">
      <c r="B2550" s="1">
        <v>2535</v>
      </c>
      <c r="C2550" s="101">
        <f ca="1"/>
        <v>0.69483395056724551</v>
      </c>
      <c r="D2550" s="101">
        <f t="shared" ca="1" si="156"/>
        <v>0.71164378065825051</v>
      </c>
      <c r="E2550" s="101">
        <f t="shared" ca="1" si="157"/>
        <v>0</v>
      </c>
      <c r="F2550" s="21">
        <f t="shared" ca="1" si="158"/>
        <v>0</v>
      </c>
      <c r="H2550" s="21">
        <v>2535</v>
      </c>
      <c r="I2550" s="102">
        <v>0.66763812852780213</v>
      </c>
      <c r="J2550" s="103">
        <v>1.2542694973812158E-3</v>
      </c>
      <c r="K2550" s="103"/>
      <c r="L2550" s="103">
        <v>3.9399999999999998E-2</v>
      </c>
      <c r="O2550" s="100"/>
    </row>
    <row r="2551" spans="2:15" x14ac:dyDescent="0.2">
      <c r="B2551" s="1">
        <v>2536</v>
      </c>
      <c r="C2551" s="101">
        <f ca="1"/>
        <v>-0.76316195334516024</v>
      </c>
      <c r="D2551" s="101">
        <f t="shared" ca="1" si="156"/>
        <v>0.61631538997971835</v>
      </c>
      <c r="E2551" s="101">
        <f t="shared" ca="1" si="157"/>
        <v>0</v>
      </c>
      <c r="F2551" s="21">
        <f t="shared" ca="1" si="158"/>
        <v>0</v>
      </c>
      <c r="H2551" s="21">
        <v>2536</v>
      </c>
      <c r="I2551" s="102">
        <v>0.66781220255675477</v>
      </c>
      <c r="J2551" s="103">
        <v>1.2783478891334346E-3</v>
      </c>
      <c r="K2551" s="103"/>
      <c r="L2551" s="103">
        <v>4.3999999999999997E-2</v>
      </c>
      <c r="O2551" s="100"/>
    </row>
    <row r="2552" spans="2:15" x14ac:dyDescent="0.2">
      <c r="B2552" s="1">
        <v>2537</v>
      </c>
      <c r="C2552" s="101">
        <f ca="1"/>
        <v>-0.8809712797007645</v>
      </c>
      <c r="D2552" s="101">
        <f t="shared" ca="1" si="156"/>
        <v>0.60919472439220379</v>
      </c>
      <c r="E2552" s="101">
        <f t="shared" ca="1" si="157"/>
        <v>0</v>
      </c>
      <c r="F2552" s="21">
        <f t="shared" ca="1" si="158"/>
        <v>0</v>
      </c>
      <c r="H2552" s="21">
        <v>2537</v>
      </c>
      <c r="I2552" s="102">
        <v>0.66788464493290489</v>
      </c>
      <c r="J2552" s="103">
        <v>1.6318442348186898E-3</v>
      </c>
      <c r="K2552" s="103"/>
      <c r="L2552" s="103">
        <v>4.4999999999999998E-2</v>
      </c>
      <c r="O2552" s="100"/>
    </row>
    <row r="2553" spans="2:15" x14ac:dyDescent="0.2">
      <c r="B2553" s="1">
        <v>2538</v>
      </c>
      <c r="C2553" s="101">
        <f ca="1"/>
        <v>-1.6559885405523818</v>
      </c>
      <c r="D2553" s="101">
        <f t="shared" ca="1" si="156"/>
        <v>0.56435824215781927</v>
      </c>
      <c r="E2553" s="101">
        <f t="shared" ca="1" si="157"/>
        <v>0</v>
      </c>
      <c r="F2553" s="21">
        <f t="shared" ca="1" si="158"/>
        <v>0</v>
      </c>
      <c r="H2553" s="21">
        <v>2538</v>
      </c>
      <c r="I2553" s="102">
        <v>0.66788013403723567</v>
      </c>
      <c r="J2553" s="103">
        <v>1.5343875009283358E-3</v>
      </c>
      <c r="K2553" s="103"/>
      <c r="L2553" s="103">
        <v>4.4200000000000003E-2</v>
      </c>
      <c r="O2553" s="100"/>
    </row>
    <row r="2554" spans="2:15" x14ac:dyDescent="0.2">
      <c r="B2554" s="1">
        <v>2539</v>
      </c>
      <c r="C2554" s="101">
        <f ca="1"/>
        <v>0.51848364501424138</v>
      </c>
      <c r="D2554" s="101">
        <f t="shared" ca="1" si="156"/>
        <v>0.69937148295454266</v>
      </c>
      <c r="E2554" s="101">
        <f t="shared" ca="1" si="157"/>
        <v>0</v>
      </c>
      <c r="F2554" s="21">
        <f t="shared" ca="1" si="158"/>
        <v>0</v>
      </c>
      <c r="H2554" s="21">
        <v>2539</v>
      </c>
      <c r="I2554" s="102">
        <v>0.66785581221154766</v>
      </c>
      <c r="J2554" s="103">
        <v>1.4051248085624095E-3</v>
      </c>
      <c r="K2554" s="103"/>
      <c r="L2554" s="103">
        <v>4.1599999999999998E-2</v>
      </c>
      <c r="O2554" s="100"/>
    </row>
    <row r="2555" spans="2:15" x14ac:dyDescent="0.2">
      <c r="B2555" s="1">
        <v>2540</v>
      </c>
      <c r="C2555" s="101">
        <f ca="1"/>
        <v>0.8432842129953223</v>
      </c>
      <c r="D2555" s="101">
        <f t="shared" ca="1" si="156"/>
        <v>0.72214128753014151</v>
      </c>
      <c r="E2555" s="101">
        <f t="shared" ca="1" si="157"/>
        <v>0</v>
      </c>
      <c r="F2555" s="21">
        <f t="shared" ca="1" si="158"/>
        <v>0</v>
      </c>
      <c r="H2555" s="21">
        <v>2540</v>
      </c>
      <c r="I2555" s="102">
        <v>0.66778709539634573</v>
      </c>
      <c r="J2555" s="103">
        <v>1.4904832015657545E-3</v>
      </c>
      <c r="K2555" s="103"/>
      <c r="L2555" s="103">
        <v>3.9399999999999998E-2</v>
      </c>
      <c r="O2555" s="100"/>
    </row>
    <row r="2556" spans="2:15" x14ac:dyDescent="0.2">
      <c r="B2556" s="1">
        <v>2541</v>
      </c>
      <c r="C2556" s="101">
        <f ca="1"/>
        <v>1.3037186317791953</v>
      </c>
      <c r="D2556" s="101">
        <f t="shared" ca="1" si="156"/>
        <v>0.75569561568215782</v>
      </c>
      <c r="E2556" s="101">
        <f t="shared" ca="1" si="157"/>
        <v>0</v>
      </c>
      <c r="F2556" s="21">
        <f t="shared" ca="1" si="158"/>
        <v>0</v>
      </c>
      <c r="H2556" s="21">
        <v>2541</v>
      </c>
      <c r="I2556" s="102">
        <v>0.66779586023366044</v>
      </c>
      <c r="J2556" s="103">
        <v>1.5013340794595583E-3</v>
      </c>
      <c r="K2556" s="103"/>
      <c r="L2556" s="103">
        <v>4.2200000000000001E-2</v>
      </c>
      <c r="O2556" s="100"/>
    </row>
    <row r="2557" spans="2:15" x14ac:dyDescent="0.2">
      <c r="B2557" s="1">
        <v>2542</v>
      </c>
      <c r="C2557" s="101">
        <f ca="1"/>
        <v>0.63784558867757324</v>
      </c>
      <c r="D2557" s="101">
        <f t="shared" ca="1" si="156"/>
        <v>0.70765456393403658</v>
      </c>
      <c r="E2557" s="101">
        <f t="shared" ca="1" si="157"/>
        <v>0</v>
      </c>
      <c r="F2557" s="21">
        <f t="shared" ca="1" si="158"/>
        <v>0</v>
      </c>
      <c r="H2557" s="21">
        <v>2542</v>
      </c>
      <c r="I2557" s="102">
        <v>0.66772803685633408</v>
      </c>
      <c r="J2557" s="103">
        <v>1.3190250684169201E-3</v>
      </c>
      <c r="K2557" s="103"/>
      <c r="L2557" s="103">
        <v>4.2999999999999997E-2</v>
      </c>
      <c r="O2557" s="100"/>
    </row>
    <row r="2558" spans="2:15" x14ac:dyDescent="0.2">
      <c r="B2558" s="1">
        <v>2543</v>
      </c>
      <c r="C2558" s="101">
        <f ca="1"/>
        <v>0.2279482077615787</v>
      </c>
      <c r="D2558" s="101">
        <f t="shared" ca="1" si="156"/>
        <v>0.67961281717461941</v>
      </c>
      <c r="E2558" s="101">
        <f t="shared" ca="1" si="157"/>
        <v>0</v>
      </c>
      <c r="F2558" s="21">
        <f t="shared" ca="1" si="158"/>
        <v>0</v>
      </c>
      <c r="H2558" s="21">
        <v>2543</v>
      </c>
      <c r="I2558" s="102">
        <v>0.66768117094975343</v>
      </c>
      <c r="J2558" s="103">
        <v>1.3893061095535809E-3</v>
      </c>
      <c r="K2558" s="103"/>
      <c r="L2558" s="103">
        <v>3.9199999999999999E-2</v>
      </c>
      <c r="O2558" s="100"/>
    </row>
    <row r="2559" spans="2:15" x14ac:dyDescent="0.2">
      <c r="B2559" s="1">
        <v>2544</v>
      </c>
      <c r="C2559" s="101">
        <f ca="1"/>
        <v>0.67914714481395955</v>
      </c>
      <c r="D2559" s="101">
        <f t="shared" ca="1" si="156"/>
        <v>0.71054345785235984</v>
      </c>
      <c r="E2559" s="101">
        <f t="shared" ca="1" si="157"/>
        <v>0</v>
      </c>
      <c r="F2559" s="21">
        <f t="shared" ca="1" si="158"/>
        <v>0</v>
      </c>
      <c r="H2559" s="21">
        <v>2544</v>
      </c>
      <c r="I2559" s="102">
        <v>0.66777113580726022</v>
      </c>
      <c r="J2559" s="103">
        <v>1.3546736727326691E-3</v>
      </c>
      <c r="K2559" s="103"/>
      <c r="L2559" s="103">
        <v>4.1399999999999999E-2</v>
      </c>
      <c r="O2559" s="100"/>
    </row>
    <row r="2560" spans="2:15" x14ac:dyDescent="0.2">
      <c r="B2560" s="1">
        <v>2545</v>
      </c>
      <c r="C2560" s="101">
        <f ca="1"/>
        <v>-0.19121214551758872</v>
      </c>
      <c r="D2560" s="101">
        <f t="shared" ca="1" si="156"/>
        <v>0.65208617050435802</v>
      </c>
      <c r="E2560" s="101">
        <f t="shared" ca="1" si="157"/>
        <v>0</v>
      </c>
      <c r="F2560" s="21">
        <f t="shared" ca="1" si="158"/>
        <v>0</v>
      </c>
      <c r="H2560" s="21">
        <v>2545</v>
      </c>
      <c r="I2560" s="102">
        <v>0.66773867139256959</v>
      </c>
      <c r="J2560" s="103">
        <v>1.2591974317308742E-3</v>
      </c>
      <c r="K2560" s="103"/>
      <c r="L2560" s="103">
        <v>4.3999999999999997E-2</v>
      </c>
      <c r="O2560" s="100"/>
    </row>
    <row r="2561" spans="2:15" x14ac:dyDescent="0.2">
      <c r="B2561" s="1">
        <v>2546</v>
      </c>
      <c r="C2561" s="101">
        <f ca="1"/>
        <v>-0.76890430527026643</v>
      </c>
      <c r="D2561" s="101">
        <f t="shared" ca="1" si="156"/>
        <v>0.61596638732958153</v>
      </c>
      <c r="E2561" s="101">
        <f t="shared" ca="1" si="157"/>
        <v>0</v>
      </c>
      <c r="F2561" s="21">
        <f t="shared" ca="1" si="158"/>
        <v>0</v>
      </c>
      <c r="H2561" s="21">
        <v>2546</v>
      </c>
      <c r="I2561" s="102">
        <v>0.66763228792625928</v>
      </c>
      <c r="J2561" s="103">
        <v>1.1459590435963121E-3</v>
      </c>
      <c r="K2561" s="103"/>
      <c r="L2561" s="103">
        <v>3.7199999999999997E-2</v>
      </c>
      <c r="O2561" s="100"/>
    </row>
    <row r="2562" spans="2:15" x14ac:dyDescent="0.2">
      <c r="B2562" s="1">
        <v>2547</v>
      </c>
      <c r="C2562" s="101">
        <f ca="1"/>
        <v>0.61361959716643044</v>
      </c>
      <c r="D2562" s="101">
        <f t="shared" ca="1" si="156"/>
        <v>0.70596551215495029</v>
      </c>
      <c r="E2562" s="101">
        <f t="shared" ca="1" si="157"/>
        <v>0</v>
      </c>
      <c r="F2562" s="21">
        <f t="shared" ca="1" si="158"/>
        <v>0</v>
      </c>
      <c r="H2562" s="21">
        <v>2547</v>
      </c>
      <c r="I2562" s="102">
        <v>0.66763254226306767</v>
      </c>
      <c r="J2562" s="103">
        <v>1.3566295288096406E-3</v>
      </c>
      <c r="K2562" s="103"/>
      <c r="L2562" s="103">
        <v>4.0399999999999998E-2</v>
      </c>
      <c r="O2562" s="100"/>
    </row>
    <row r="2563" spans="2:15" x14ac:dyDescent="0.2">
      <c r="B2563" s="1">
        <v>2548</v>
      </c>
      <c r="C2563" s="101">
        <f ca="1"/>
        <v>0.55995287977485675</v>
      </c>
      <c r="D2563" s="101">
        <f t="shared" ca="1" si="156"/>
        <v>0.70223817738635852</v>
      </c>
      <c r="E2563" s="101">
        <f t="shared" ca="1" si="157"/>
        <v>0</v>
      </c>
      <c r="F2563" s="21">
        <f t="shared" ca="1" si="158"/>
        <v>0</v>
      </c>
      <c r="H2563" s="21">
        <v>2548</v>
      </c>
      <c r="I2563" s="102">
        <v>0.6676886128315298</v>
      </c>
      <c r="J2563" s="103">
        <v>1.4089560930270831E-3</v>
      </c>
      <c r="K2563" s="103"/>
      <c r="L2563" s="103">
        <v>4.1399999999999999E-2</v>
      </c>
      <c r="O2563" s="100"/>
    </row>
    <row r="2564" spans="2:15" x14ac:dyDescent="0.2">
      <c r="B2564" s="1">
        <v>2549</v>
      </c>
      <c r="C2564" s="101">
        <f ca="1"/>
        <v>-0.62750002975303665</v>
      </c>
      <c r="D2564" s="101">
        <f t="shared" ca="1" si="156"/>
        <v>0.62461827380125179</v>
      </c>
      <c r="E2564" s="101">
        <f t="shared" ca="1" si="157"/>
        <v>0</v>
      </c>
      <c r="F2564" s="21">
        <f t="shared" ca="1" si="158"/>
        <v>0</v>
      </c>
      <c r="H2564" s="21">
        <v>2549</v>
      </c>
      <c r="I2564" s="102">
        <v>0.66778877777243995</v>
      </c>
      <c r="J2564" s="103">
        <v>1.476222241193923E-3</v>
      </c>
      <c r="K2564" s="103"/>
      <c r="L2564" s="103">
        <v>4.48E-2</v>
      </c>
      <c r="O2564" s="100"/>
    </row>
    <row r="2565" spans="2:15" x14ac:dyDescent="0.2">
      <c r="B2565" s="1">
        <v>2550</v>
      </c>
      <c r="C2565" s="101">
        <f ca="1"/>
        <v>-1.6835017746153307</v>
      </c>
      <c r="D2565" s="101">
        <f t="shared" ca="1" si="156"/>
        <v>0.56282868319269597</v>
      </c>
      <c r="E2565" s="101">
        <f t="shared" ca="1" si="157"/>
        <v>0</v>
      </c>
      <c r="F2565" s="21">
        <f t="shared" ca="1" si="158"/>
        <v>0</v>
      </c>
      <c r="H2565" s="21">
        <v>2550</v>
      </c>
      <c r="I2565" s="102">
        <v>0.66761477396683788</v>
      </c>
      <c r="J2565" s="103">
        <v>1.183140022959533E-3</v>
      </c>
      <c r="K2565" s="103"/>
      <c r="L2565" s="103">
        <v>3.78E-2</v>
      </c>
      <c r="O2565" s="100"/>
    </row>
    <row r="2566" spans="2:15" x14ac:dyDescent="0.2">
      <c r="B2566" s="1">
        <v>2551</v>
      </c>
      <c r="C2566" s="101">
        <f ca="1"/>
        <v>1.0490111606942469</v>
      </c>
      <c r="D2566" s="101">
        <f t="shared" ca="1" si="156"/>
        <v>0.73694553441505717</v>
      </c>
      <c r="E2566" s="101">
        <f t="shared" ca="1" si="157"/>
        <v>0</v>
      </c>
      <c r="F2566" s="21">
        <f t="shared" ca="1" si="158"/>
        <v>0</v>
      </c>
      <c r="H2566" s="21">
        <v>2551</v>
      </c>
      <c r="I2566" s="102">
        <v>0.66775546292485954</v>
      </c>
      <c r="J2566" s="103">
        <v>1.2530540506306275E-3</v>
      </c>
      <c r="K2566" s="103"/>
      <c r="L2566" s="103">
        <v>4.02E-2</v>
      </c>
      <c r="O2566" s="100"/>
    </row>
    <row r="2567" spans="2:15" x14ac:dyDescent="0.2">
      <c r="B2567" s="1">
        <v>2552</v>
      </c>
      <c r="C2567" s="101">
        <f ca="1"/>
        <v>-1.1817937938038645</v>
      </c>
      <c r="D2567" s="101">
        <f t="shared" ca="1" si="156"/>
        <v>0.59138333580051394</v>
      </c>
      <c r="E2567" s="101">
        <f t="shared" ca="1" si="157"/>
        <v>0</v>
      </c>
      <c r="F2567" s="21">
        <f t="shared" ca="1" si="158"/>
        <v>0</v>
      </c>
      <c r="H2567" s="21">
        <v>2552</v>
      </c>
      <c r="I2567" s="102">
        <v>0.66773438210706071</v>
      </c>
      <c r="J2567" s="103">
        <v>1.3110181425904437E-3</v>
      </c>
      <c r="K2567" s="103"/>
      <c r="L2567" s="103">
        <v>4.3999999999999997E-2</v>
      </c>
      <c r="O2567" s="100"/>
    </row>
    <row r="2568" spans="2:15" x14ac:dyDescent="0.2">
      <c r="B2568" s="1">
        <v>2553</v>
      </c>
      <c r="C2568" s="101">
        <f ca="1"/>
        <v>0.36859054680516035</v>
      </c>
      <c r="D2568" s="101">
        <f t="shared" ca="1" si="156"/>
        <v>0.68910688960052213</v>
      </c>
      <c r="E2568" s="101">
        <f t="shared" ca="1" si="157"/>
        <v>0</v>
      </c>
      <c r="F2568" s="21">
        <f t="shared" ca="1" si="158"/>
        <v>0</v>
      </c>
      <c r="H2568" s="21">
        <v>2553</v>
      </c>
      <c r="I2568" s="102">
        <v>0.6677800751771974</v>
      </c>
      <c r="J2568" s="103">
        <v>1.5155543255291916E-3</v>
      </c>
      <c r="K2568" s="103"/>
      <c r="L2568" s="103">
        <v>4.3200000000000002E-2</v>
      </c>
      <c r="O2568" s="100"/>
    </row>
    <row r="2569" spans="2:15" x14ac:dyDescent="0.2">
      <c r="B2569" s="1">
        <v>2554</v>
      </c>
      <c r="C2569" s="101">
        <f ca="1"/>
        <v>0.84648530848172743</v>
      </c>
      <c r="D2569" s="101">
        <f t="shared" ca="1" si="156"/>
        <v>0.72236934708585432</v>
      </c>
      <c r="E2569" s="101">
        <f t="shared" ca="1" si="157"/>
        <v>0</v>
      </c>
      <c r="F2569" s="21">
        <f t="shared" ca="1" si="158"/>
        <v>0</v>
      </c>
      <c r="H2569" s="21">
        <v>2554</v>
      </c>
      <c r="I2569" s="102">
        <v>0.6677578805291905</v>
      </c>
      <c r="J2569" s="103">
        <v>1.3669028240415593E-3</v>
      </c>
      <c r="K2569" s="103"/>
      <c r="L2569" s="103">
        <v>4.1200000000000001E-2</v>
      </c>
      <c r="O2569" s="100"/>
    </row>
    <row r="2570" spans="2:15" x14ac:dyDescent="0.2">
      <c r="B2570" s="1">
        <v>2555</v>
      </c>
      <c r="C2570" s="101">
        <f ca="1"/>
        <v>1.0931583373047842</v>
      </c>
      <c r="D2570" s="101">
        <f t="shared" ca="1" si="156"/>
        <v>0.74016173545638209</v>
      </c>
      <c r="E2570" s="101">
        <f t="shared" ca="1" si="157"/>
        <v>0</v>
      </c>
      <c r="F2570" s="21">
        <f t="shared" ca="1" si="158"/>
        <v>0</v>
      </c>
      <c r="H2570" s="21">
        <v>2555</v>
      </c>
      <c r="I2570" s="102">
        <v>0.66798262763899385</v>
      </c>
      <c r="J2570" s="103">
        <v>1.6381104800184179E-3</v>
      </c>
      <c r="K2570" s="103"/>
      <c r="L2570" s="103">
        <v>4.7399999999999998E-2</v>
      </c>
      <c r="O2570" s="100"/>
    </row>
    <row r="2571" spans="2:15" x14ac:dyDescent="0.2">
      <c r="B2571" s="1">
        <v>2556</v>
      </c>
      <c r="C2571" s="101">
        <f ca="1"/>
        <v>1.0817031170450666</v>
      </c>
      <c r="D2571" s="101">
        <f t="shared" ca="1" si="156"/>
        <v>0.73932585604150391</v>
      </c>
      <c r="E2571" s="101">
        <f t="shared" ca="1" si="157"/>
        <v>0</v>
      </c>
      <c r="F2571" s="21">
        <f t="shared" ca="1" si="158"/>
        <v>0</v>
      </c>
      <c r="H2571" s="21">
        <v>2556</v>
      </c>
      <c r="I2571" s="102">
        <v>0.66758169548912805</v>
      </c>
      <c r="J2571" s="103">
        <v>1.1946161458922988E-3</v>
      </c>
      <c r="K2571" s="103"/>
      <c r="L2571" s="103">
        <v>3.7400000000000003E-2</v>
      </c>
      <c r="O2571" s="100"/>
    </row>
    <row r="2572" spans="2:15" x14ac:dyDescent="0.2">
      <c r="B2572" s="1">
        <v>2557</v>
      </c>
      <c r="C2572" s="101">
        <f ca="1"/>
        <v>-2.0859253389993526</v>
      </c>
      <c r="D2572" s="101">
        <f t="shared" ca="1" si="156"/>
        <v>0.54092449051315405</v>
      </c>
      <c r="E2572" s="101">
        <f t="shared" ca="1" si="157"/>
        <v>0</v>
      </c>
      <c r="F2572" s="21">
        <f t="shared" ca="1" si="158"/>
        <v>0</v>
      </c>
      <c r="H2572" s="21">
        <v>2557</v>
      </c>
      <c r="I2572" s="102">
        <v>0.66770353472813782</v>
      </c>
      <c r="J2572" s="103">
        <v>1.3779919752277038E-3</v>
      </c>
      <c r="K2572" s="103"/>
      <c r="L2572" s="103">
        <v>4.0399999999999998E-2</v>
      </c>
      <c r="O2572" s="100"/>
    </row>
    <row r="2573" spans="2:15" x14ac:dyDescent="0.2">
      <c r="B2573" s="1">
        <v>2558</v>
      </c>
      <c r="C2573" s="101">
        <f ca="1"/>
        <v>0.63548838621279791</v>
      </c>
      <c r="D2573" s="101">
        <f t="shared" ca="1" si="156"/>
        <v>0.70749004093801149</v>
      </c>
      <c r="E2573" s="101">
        <f t="shared" ca="1" si="157"/>
        <v>0</v>
      </c>
      <c r="F2573" s="21">
        <f t="shared" ca="1" si="158"/>
        <v>0</v>
      </c>
      <c r="H2573" s="21">
        <v>2558</v>
      </c>
      <c r="I2573" s="102">
        <v>0.66785409715860689</v>
      </c>
      <c r="J2573" s="103">
        <v>1.4229123140999951E-3</v>
      </c>
      <c r="K2573" s="103"/>
      <c r="L2573" s="103">
        <v>4.6199999999999998E-2</v>
      </c>
      <c r="O2573" s="100"/>
    </row>
    <row r="2574" spans="2:15" x14ac:dyDescent="0.2">
      <c r="B2574" s="1">
        <v>2559</v>
      </c>
      <c r="C2574" s="101">
        <f ca="1"/>
        <v>0.29882410738033988</v>
      </c>
      <c r="D2574" s="101">
        <f t="shared" ca="1" si="156"/>
        <v>0.68438083719517584</v>
      </c>
      <c r="E2574" s="101">
        <f t="shared" ca="1" si="157"/>
        <v>0</v>
      </c>
      <c r="F2574" s="21">
        <f t="shared" ca="1" si="158"/>
        <v>0</v>
      </c>
      <c r="H2574" s="21">
        <v>2559</v>
      </c>
      <c r="I2574" s="102">
        <v>0.66763194565919903</v>
      </c>
      <c r="J2574" s="103">
        <v>1.339855013347404E-3</v>
      </c>
      <c r="K2574" s="103"/>
      <c r="L2574" s="103">
        <v>3.8399999999999997E-2</v>
      </c>
      <c r="O2574" s="100"/>
    </row>
    <row r="2575" spans="2:15" x14ac:dyDescent="0.2">
      <c r="B2575" s="1">
        <v>2560</v>
      </c>
      <c r="C2575" s="101">
        <f ca="1"/>
        <v>0.94199132705342525</v>
      </c>
      <c r="D2575" s="101">
        <f t="shared" ca="1" si="156"/>
        <v>0.72920683018359467</v>
      </c>
      <c r="E2575" s="101">
        <f t="shared" ca="1" si="157"/>
        <v>0</v>
      </c>
      <c r="F2575" s="21">
        <f t="shared" ca="1" si="158"/>
        <v>0</v>
      </c>
      <c r="H2575" s="21">
        <v>2560</v>
      </c>
      <c r="I2575" s="102">
        <v>0.66778984045756518</v>
      </c>
      <c r="J2575" s="103">
        <v>1.3387361846437071E-3</v>
      </c>
      <c r="K2575" s="103"/>
      <c r="L2575" s="103">
        <v>0.04</v>
      </c>
      <c r="O2575" s="100"/>
    </row>
    <row r="2576" spans="2:15" x14ac:dyDescent="0.2">
      <c r="B2576" s="1">
        <v>2561</v>
      </c>
      <c r="C2576" s="101">
        <f ca="1"/>
        <v>-0.84817664658746672</v>
      </c>
      <c r="D2576" s="101">
        <f t="shared" ref="D2576:D2639" ca="1" si="159">S0*EXP((μ-0.5*σ*σ)*T+σ*SQRT(T)*$C2576)</f>
        <v>0.61116860304982812</v>
      </c>
      <c r="E2576" s="101">
        <f t="shared" ref="E2576:E2639" ca="1" si="160">MAX(0,CP*(D2576-K))</f>
        <v>0</v>
      </c>
      <c r="F2576" s="21">
        <f t="shared" ref="F2576:F2639" ca="1" si="161">(CP*(D2576-K)&gt;0)*1</f>
        <v>0</v>
      </c>
      <c r="H2576" s="21">
        <v>2561</v>
      </c>
      <c r="I2576" s="102">
        <v>0.66787383057852012</v>
      </c>
      <c r="J2576" s="103">
        <v>1.5152670276406108E-3</v>
      </c>
      <c r="K2576" s="103"/>
      <c r="L2576" s="103">
        <v>4.6399999999999997E-2</v>
      </c>
      <c r="O2576" s="100"/>
    </row>
    <row r="2577" spans="2:15" x14ac:dyDescent="0.2">
      <c r="B2577" s="1">
        <v>2562</v>
      </c>
      <c r="C2577" s="101">
        <f ca="1"/>
        <v>-0.50546102135214011</v>
      </c>
      <c r="D2577" s="101">
        <f t="shared" ca="1" si="159"/>
        <v>0.63218292515956886</v>
      </c>
      <c r="E2577" s="101">
        <f t="shared" ca="1" si="160"/>
        <v>0</v>
      </c>
      <c r="F2577" s="21">
        <f t="shared" ca="1" si="161"/>
        <v>0</v>
      </c>
      <c r="H2577" s="21">
        <v>2562</v>
      </c>
      <c r="I2577" s="102">
        <v>0.66753781319759553</v>
      </c>
      <c r="J2577" s="103">
        <v>1.087706534852591E-3</v>
      </c>
      <c r="K2577" s="103"/>
      <c r="L2577" s="103">
        <v>3.5799999999999998E-2</v>
      </c>
      <c r="O2577" s="100"/>
    </row>
    <row r="2578" spans="2:15" x14ac:dyDescent="0.2">
      <c r="B2578" s="1">
        <v>2563</v>
      </c>
      <c r="C2578" s="101">
        <f ca="1"/>
        <v>0.51473081993740977</v>
      </c>
      <c r="D2578" s="101">
        <f t="shared" ca="1" si="159"/>
        <v>0.69911263498620546</v>
      </c>
      <c r="E2578" s="101">
        <f t="shared" ca="1" si="160"/>
        <v>0</v>
      </c>
      <c r="F2578" s="21">
        <f t="shared" ca="1" si="161"/>
        <v>0</v>
      </c>
      <c r="H2578" s="21">
        <v>2563</v>
      </c>
      <c r="I2578" s="102">
        <v>0.66761170421443183</v>
      </c>
      <c r="J2578" s="103">
        <v>1.1656094055723192E-3</v>
      </c>
      <c r="K2578" s="103"/>
      <c r="L2578" s="103">
        <v>3.5999999999999997E-2</v>
      </c>
      <c r="O2578" s="100"/>
    </row>
    <row r="2579" spans="2:15" x14ac:dyDescent="0.2">
      <c r="B2579" s="1">
        <v>2564</v>
      </c>
      <c r="C2579" s="101">
        <f ca="1"/>
        <v>-1.3071828462661903</v>
      </c>
      <c r="D2579" s="101">
        <f t="shared" ca="1" si="159"/>
        <v>0.5841138351913352</v>
      </c>
      <c r="E2579" s="101">
        <f t="shared" ca="1" si="160"/>
        <v>0</v>
      </c>
      <c r="F2579" s="21">
        <f t="shared" ca="1" si="161"/>
        <v>0</v>
      </c>
      <c r="H2579" s="21">
        <v>2564</v>
      </c>
      <c r="I2579" s="102">
        <v>0.66783965282712054</v>
      </c>
      <c r="J2579" s="103">
        <v>1.4800120430863953E-3</v>
      </c>
      <c r="K2579" s="103"/>
      <c r="L2579" s="103">
        <v>4.4999999999999998E-2</v>
      </c>
      <c r="O2579" s="100"/>
    </row>
    <row r="2580" spans="2:15" x14ac:dyDescent="0.2">
      <c r="B2580" s="1">
        <v>2565</v>
      </c>
      <c r="C2580" s="101">
        <f ca="1"/>
        <v>0.40516533786841524</v>
      </c>
      <c r="D2580" s="101">
        <f t="shared" ca="1" si="159"/>
        <v>0.69159752985353395</v>
      </c>
      <c r="E2580" s="101">
        <f t="shared" ca="1" si="160"/>
        <v>0</v>
      </c>
      <c r="F2580" s="21">
        <f t="shared" ca="1" si="161"/>
        <v>0</v>
      </c>
      <c r="H2580" s="21">
        <v>2565</v>
      </c>
      <c r="I2580" s="102">
        <v>0.66768270589711054</v>
      </c>
      <c r="J2580" s="103">
        <v>1.2691262981957734E-3</v>
      </c>
      <c r="K2580" s="103"/>
      <c r="L2580" s="103">
        <v>3.9199999999999999E-2</v>
      </c>
      <c r="O2580" s="100"/>
    </row>
    <row r="2581" spans="2:15" x14ac:dyDescent="0.2">
      <c r="B2581" s="1">
        <v>2566</v>
      </c>
      <c r="C2581" s="101">
        <f ca="1"/>
        <v>-0.27071764953879363</v>
      </c>
      <c r="D2581" s="101">
        <f t="shared" ca="1" si="159"/>
        <v>0.64699216728478659</v>
      </c>
      <c r="E2581" s="101">
        <f t="shared" ca="1" si="160"/>
        <v>0</v>
      </c>
      <c r="F2581" s="21">
        <f t="shared" ca="1" si="161"/>
        <v>0</v>
      </c>
      <c r="H2581" s="21">
        <v>2566</v>
      </c>
      <c r="I2581" s="102">
        <v>0.6676490431981712</v>
      </c>
      <c r="J2581" s="103">
        <v>1.2151995337020866E-3</v>
      </c>
      <c r="K2581" s="103"/>
      <c r="L2581" s="103">
        <v>3.9E-2</v>
      </c>
      <c r="O2581" s="100"/>
    </row>
    <row r="2582" spans="2:15" x14ac:dyDescent="0.2">
      <c r="B2582" s="1">
        <v>2567</v>
      </c>
      <c r="C2582" s="101">
        <f ca="1"/>
        <v>0.63252775369505965</v>
      </c>
      <c r="D2582" s="101">
        <f t="shared" ca="1" si="159"/>
        <v>0.70728345520661962</v>
      </c>
      <c r="E2582" s="101">
        <f t="shared" ca="1" si="160"/>
        <v>0</v>
      </c>
      <c r="F2582" s="21">
        <f t="shared" ca="1" si="161"/>
        <v>0</v>
      </c>
      <c r="H2582" s="21">
        <v>2567</v>
      </c>
      <c r="I2582" s="102">
        <v>0.66775340014587781</v>
      </c>
      <c r="J2582" s="103">
        <v>1.3762176603030975E-3</v>
      </c>
      <c r="K2582" s="103"/>
      <c r="L2582" s="103">
        <v>4.3200000000000002E-2</v>
      </c>
      <c r="O2582" s="100"/>
    </row>
    <row r="2583" spans="2:15" x14ac:dyDescent="0.2">
      <c r="B2583" s="1">
        <v>2568</v>
      </c>
      <c r="C2583" s="101">
        <f ca="1"/>
        <v>-0.77499968120570861</v>
      </c>
      <c r="D2583" s="101">
        <f t="shared" ca="1" si="159"/>
        <v>0.61559614518230088</v>
      </c>
      <c r="E2583" s="101">
        <f t="shared" ca="1" si="160"/>
        <v>0</v>
      </c>
      <c r="F2583" s="21">
        <f t="shared" ca="1" si="161"/>
        <v>0</v>
      </c>
      <c r="H2583" s="21">
        <v>2568</v>
      </c>
      <c r="I2583" s="102">
        <v>0.66780104633374993</v>
      </c>
      <c r="J2583" s="103">
        <v>1.3808866386459248E-3</v>
      </c>
      <c r="K2583" s="103"/>
      <c r="L2583" s="103">
        <v>3.9199999999999999E-2</v>
      </c>
      <c r="O2583" s="100"/>
    </row>
    <row r="2584" spans="2:15" x14ac:dyDescent="0.2">
      <c r="B2584" s="1">
        <v>2569</v>
      </c>
      <c r="C2584" s="101">
        <f ca="1"/>
        <v>8.2434268526505511E-2</v>
      </c>
      <c r="D2584" s="101">
        <f t="shared" ca="1" si="159"/>
        <v>0.66992754290336065</v>
      </c>
      <c r="E2584" s="101">
        <f t="shared" ca="1" si="160"/>
        <v>0</v>
      </c>
      <c r="F2584" s="21">
        <f t="shared" ca="1" si="161"/>
        <v>0</v>
      </c>
      <c r="H2584" s="21">
        <v>2569</v>
      </c>
      <c r="I2584" s="102">
        <v>0.66772470660199301</v>
      </c>
      <c r="J2584" s="103">
        <v>1.3309190275057937E-3</v>
      </c>
      <c r="K2584" s="103"/>
      <c r="L2584" s="103">
        <v>4.2599999999999999E-2</v>
      </c>
      <c r="O2584" s="100"/>
    </row>
    <row r="2585" spans="2:15" x14ac:dyDescent="0.2">
      <c r="B2585" s="1">
        <v>2570</v>
      </c>
      <c r="C2585" s="101">
        <f ca="1"/>
        <v>-2.3207742678113608</v>
      </c>
      <c r="D2585" s="101">
        <f t="shared" ca="1" si="159"/>
        <v>0.52853756721512501</v>
      </c>
      <c r="E2585" s="101">
        <f t="shared" ca="1" si="160"/>
        <v>0</v>
      </c>
      <c r="F2585" s="21">
        <f t="shared" ca="1" si="161"/>
        <v>0</v>
      </c>
      <c r="H2585" s="21">
        <v>2570</v>
      </c>
      <c r="I2585" s="102">
        <v>0.66766770117790519</v>
      </c>
      <c r="J2585" s="103">
        <v>1.2362090773127183E-3</v>
      </c>
      <c r="K2585" s="103"/>
      <c r="L2585" s="103">
        <v>4.1200000000000001E-2</v>
      </c>
      <c r="O2585" s="100"/>
    </row>
    <row r="2586" spans="2:15" x14ac:dyDescent="0.2">
      <c r="B2586" s="1">
        <v>2571</v>
      </c>
      <c r="C2586" s="101">
        <f ca="1"/>
        <v>-1.0397544253022788</v>
      </c>
      <c r="D2586" s="101">
        <f t="shared" ca="1" si="159"/>
        <v>0.59972749742889253</v>
      </c>
      <c r="E2586" s="101">
        <f t="shared" ca="1" si="160"/>
        <v>0</v>
      </c>
      <c r="F2586" s="21">
        <f t="shared" ca="1" si="161"/>
        <v>0</v>
      </c>
      <c r="H2586" s="21">
        <v>2571</v>
      </c>
      <c r="I2586" s="102">
        <v>0.66779546235791509</v>
      </c>
      <c r="J2586" s="103">
        <v>1.320141414031657E-3</v>
      </c>
      <c r="K2586" s="103"/>
      <c r="L2586" s="103">
        <v>4.2999999999999997E-2</v>
      </c>
      <c r="O2586" s="100"/>
    </row>
    <row r="2587" spans="2:15" x14ac:dyDescent="0.2">
      <c r="B2587" s="1">
        <v>2572</v>
      </c>
      <c r="C2587" s="101">
        <f ca="1"/>
        <v>2.1047556428142071</v>
      </c>
      <c r="D2587" s="101">
        <f t="shared" ca="1" si="159"/>
        <v>0.8178296173032481</v>
      </c>
      <c r="E2587" s="101">
        <f t="shared" ca="1" si="160"/>
        <v>2.962961730324809E-2</v>
      </c>
      <c r="F2587" s="21">
        <f t="shared" ca="1" si="161"/>
        <v>1</v>
      </c>
      <c r="H2587" s="21">
        <v>2572</v>
      </c>
      <c r="I2587" s="102">
        <v>0.66768064107162961</v>
      </c>
      <c r="J2587" s="103">
        <v>1.2032754793121336E-3</v>
      </c>
      <c r="K2587" s="103"/>
      <c r="L2587" s="103">
        <v>3.9399999999999998E-2</v>
      </c>
      <c r="O2587" s="100"/>
    </row>
    <row r="2588" spans="2:15" x14ac:dyDescent="0.2">
      <c r="B2588" s="1">
        <v>2573</v>
      </c>
      <c r="C2588" s="101">
        <f ca="1"/>
        <v>-0.97537653666449831</v>
      </c>
      <c r="D2588" s="101">
        <f t="shared" ca="1" si="159"/>
        <v>0.60354807723493531</v>
      </c>
      <c r="E2588" s="101">
        <f t="shared" ca="1" si="160"/>
        <v>0</v>
      </c>
      <c r="F2588" s="21">
        <f t="shared" ca="1" si="161"/>
        <v>0</v>
      </c>
      <c r="H2588" s="21">
        <v>2573</v>
      </c>
      <c r="I2588" s="102">
        <v>0.66778309207140096</v>
      </c>
      <c r="J2588" s="103">
        <v>1.3844155044359162E-3</v>
      </c>
      <c r="K2588" s="103"/>
      <c r="L2588" s="103">
        <v>4.2999999999999997E-2</v>
      </c>
      <c r="O2588" s="100"/>
    </row>
    <row r="2589" spans="2:15" x14ac:dyDescent="0.2">
      <c r="B2589" s="1">
        <v>2574</v>
      </c>
      <c r="C2589" s="101">
        <f ca="1"/>
        <v>-0.17979248875164502</v>
      </c>
      <c r="D2589" s="101">
        <f t="shared" ca="1" si="159"/>
        <v>0.65282112689349636</v>
      </c>
      <c r="E2589" s="101">
        <f t="shared" ca="1" si="160"/>
        <v>0</v>
      </c>
      <c r="F2589" s="21">
        <f t="shared" ca="1" si="161"/>
        <v>0</v>
      </c>
      <c r="H2589" s="21">
        <v>2574</v>
      </c>
      <c r="I2589" s="102">
        <v>0.66769675219144098</v>
      </c>
      <c r="J2589" s="103">
        <v>1.402794313926114E-3</v>
      </c>
      <c r="K2589" s="103"/>
      <c r="L2589" s="103">
        <v>4.1799999999999997E-2</v>
      </c>
      <c r="O2589" s="100"/>
    </row>
    <row r="2590" spans="2:15" x14ac:dyDescent="0.2">
      <c r="B2590" s="1">
        <v>2575</v>
      </c>
      <c r="C2590" s="101">
        <f ca="1"/>
        <v>1.4303395727181218</v>
      </c>
      <c r="D2590" s="101">
        <f t="shared" ca="1" si="159"/>
        <v>0.76519348837714951</v>
      </c>
      <c r="E2590" s="101">
        <f t="shared" ca="1" si="160"/>
        <v>0</v>
      </c>
      <c r="F2590" s="21">
        <f t="shared" ca="1" si="161"/>
        <v>0</v>
      </c>
      <c r="H2590" s="21">
        <v>2575</v>
      </c>
      <c r="I2590" s="102">
        <v>0.66780552029286833</v>
      </c>
      <c r="J2590" s="103">
        <v>1.4383288574517557E-3</v>
      </c>
      <c r="K2590" s="103"/>
      <c r="L2590" s="103">
        <v>4.3999999999999997E-2</v>
      </c>
      <c r="O2590" s="100"/>
    </row>
    <row r="2591" spans="2:15" x14ac:dyDescent="0.2">
      <c r="B2591" s="1">
        <v>2576</v>
      </c>
      <c r="C2591" s="101">
        <f ca="1"/>
        <v>0.86546859572621027</v>
      </c>
      <c r="D2591" s="101">
        <f t="shared" ca="1" si="159"/>
        <v>0.72372327738872222</v>
      </c>
      <c r="E2591" s="101">
        <f t="shared" ca="1" si="160"/>
        <v>0</v>
      </c>
      <c r="F2591" s="21">
        <f t="shared" ca="1" si="161"/>
        <v>0</v>
      </c>
      <c r="H2591" s="21">
        <v>2576</v>
      </c>
      <c r="I2591" s="102">
        <v>0.66759233334345525</v>
      </c>
      <c r="J2591" s="103">
        <v>1.199229908621661E-3</v>
      </c>
      <c r="K2591" s="103"/>
      <c r="L2591" s="103">
        <v>4.0399999999999998E-2</v>
      </c>
      <c r="O2591" s="100"/>
    </row>
    <row r="2592" spans="2:15" x14ac:dyDescent="0.2">
      <c r="B2592" s="1">
        <v>2577</v>
      </c>
      <c r="C2592" s="101">
        <f ca="1"/>
        <v>-0.66762174303514832</v>
      </c>
      <c r="D2592" s="101">
        <f t="shared" ca="1" si="159"/>
        <v>0.62215113294586544</v>
      </c>
      <c r="E2592" s="101">
        <f t="shared" ca="1" si="160"/>
        <v>0</v>
      </c>
      <c r="F2592" s="21">
        <f t="shared" ca="1" si="161"/>
        <v>0</v>
      </c>
      <c r="H2592" s="21">
        <v>2577</v>
      </c>
      <c r="I2592" s="102">
        <v>0.66781666592311439</v>
      </c>
      <c r="J2592" s="103">
        <v>1.5503210480181959E-3</v>
      </c>
      <c r="K2592" s="103"/>
      <c r="L2592" s="103">
        <v>4.4999999999999998E-2</v>
      </c>
      <c r="O2592" s="100"/>
    </row>
    <row r="2593" spans="2:15" x14ac:dyDescent="0.2">
      <c r="B2593" s="1">
        <v>2578</v>
      </c>
      <c r="C2593" s="101">
        <f ca="1"/>
        <v>-0.79005055082889042</v>
      </c>
      <c r="D2593" s="101">
        <f t="shared" ca="1" si="159"/>
        <v>0.61468288601378374</v>
      </c>
      <c r="E2593" s="101">
        <f t="shared" ca="1" si="160"/>
        <v>0</v>
      </c>
      <c r="F2593" s="21">
        <f t="shared" ca="1" si="161"/>
        <v>0</v>
      </c>
      <c r="H2593" s="21">
        <v>2578</v>
      </c>
      <c r="I2593" s="102">
        <v>0.66756312551520858</v>
      </c>
      <c r="J2593" s="103">
        <v>1.1025009368261934E-3</v>
      </c>
      <c r="K2593" s="103"/>
      <c r="L2593" s="103">
        <v>3.7400000000000003E-2</v>
      </c>
      <c r="O2593" s="100"/>
    </row>
    <row r="2594" spans="2:15" x14ac:dyDescent="0.2">
      <c r="B2594" s="1">
        <v>2579</v>
      </c>
      <c r="C2594" s="101">
        <f ca="1"/>
        <v>0.33429390929386665</v>
      </c>
      <c r="D2594" s="101">
        <f t="shared" ca="1" si="159"/>
        <v>0.68677953467145769</v>
      </c>
      <c r="E2594" s="101">
        <f t="shared" ca="1" si="160"/>
        <v>0</v>
      </c>
      <c r="F2594" s="21">
        <f t="shared" ca="1" si="161"/>
        <v>0</v>
      </c>
      <c r="H2594" s="21">
        <v>2579</v>
      </c>
      <c r="I2594" s="102">
        <v>0.66763856432103097</v>
      </c>
      <c r="J2594" s="103">
        <v>1.1885746622792349E-3</v>
      </c>
      <c r="K2594" s="103"/>
      <c r="L2594" s="103">
        <v>3.8199999999999998E-2</v>
      </c>
      <c r="O2594" s="100"/>
    </row>
    <row r="2595" spans="2:15" x14ac:dyDescent="0.2">
      <c r="B2595" s="1">
        <v>2580</v>
      </c>
      <c r="C2595" s="101">
        <f ca="1"/>
        <v>-1.3904206408086863</v>
      </c>
      <c r="D2595" s="101">
        <f t="shared" ca="1" si="159"/>
        <v>0.57933749501316856</v>
      </c>
      <c r="E2595" s="101">
        <f t="shared" ca="1" si="160"/>
        <v>0</v>
      </c>
      <c r="F2595" s="21">
        <f t="shared" ca="1" si="161"/>
        <v>0</v>
      </c>
      <c r="H2595" s="21">
        <v>2580</v>
      </c>
      <c r="I2595" s="102">
        <v>0.66783142077889845</v>
      </c>
      <c r="J2595" s="103">
        <v>1.4328182177503297E-3</v>
      </c>
      <c r="K2595" s="103"/>
      <c r="L2595" s="103">
        <v>4.2599999999999999E-2</v>
      </c>
      <c r="O2595" s="100"/>
    </row>
    <row r="2596" spans="2:15" x14ac:dyDescent="0.2">
      <c r="B2596" s="1">
        <v>2581</v>
      </c>
      <c r="C2596" s="101">
        <f ca="1"/>
        <v>0.2403963198400004</v>
      </c>
      <c r="D2596" s="101">
        <f t="shared" ca="1" si="159"/>
        <v>0.68044782513051372</v>
      </c>
      <c r="E2596" s="101">
        <f t="shared" ca="1" si="160"/>
        <v>0</v>
      </c>
      <c r="F2596" s="21">
        <f t="shared" ca="1" si="161"/>
        <v>0</v>
      </c>
      <c r="H2596" s="21">
        <v>2581</v>
      </c>
      <c r="I2596" s="102">
        <v>0.6677567570740206</v>
      </c>
      <c r="J2596" s="103">
        <v>1.3486152719591736E-3</v>
      </c>
      <c r="K2596" s="103"/>
      <c r="L2596" s="103">
        <v>4.1799999999999997E-2</v>
      </c>
      <c r="O2596" s="100"/>
    </row>
    <row r="2597" spans="2:15" x14ac:dyDescent="0.2">
      <c r="B2597" s="1">
        <v>2582</v>
      </c>
      <c r="C2597" s="101">
        <f ca="1"/>
        <v>1.499784991000688</v>
      </c>
      <c r="D2597" s="101">
        <f t="shared" ca="1" si="159"/>
        <v>0.77045320217349811</v>
      </c>
      <c r="E2597" s="101">
        <f t="shared" ca="1" si="160"/>
        <v>0</v>
      </c>
      <c r="F2597" s="21">
        <f t="shared" ca="1" si="161"/>
        <v>0</v>
      </c>
      <c r="H2597" s="21">
        <v>2582</v>
      </c>
      <c r="I2597" s="102">
        <v>0.66793679695184172</v>
      </c>
      <c r="J2597" s="103">
        <v>1.4966253824675918E-3</v>
      </c>
      <c r="K2597" s="103"/>
      <c r="L2597" s="103">
        <v>4.9399999999999999E-2</v>
      </c>
      <c r="O2597" s="100"/>
    </row>
    <row r="2598" spans="2:15" x14ac:dyDescent="0.2">
      <c r="B2598" s="1">
        <v>2583</v>
      </c>
      <c r="C2598" s="101">
        <f ca="1"/>
        <v>1.1261735612144232</v>
      </c>
      <c r="D2598" s="101">
        <f t="shared" ca="1" si="159"/>
        <v>0.74257612390661576</v>
      </c>
      <c r="E2598" s="101">
        <f t="shared" ca="1" si="160"/>
        <v>0</v>
      </c>
      <c r="F2598" s="21">
        <f t="shared" ca="1" si="161"/>
        <v>0</v>
      </c>
      <c r="H2598" s="21">
        <v>2583</v>
      </c>
      <c r="I2598" s="102">
        <v>0.66767725126014332</v>
      </c>
      <c r="J2598" s="103">
        <v>1.1478490651003449E-3</v>
      </c>
      <c r="K2598" s="103"/>
      <c r="L2598" s="103">
        <v>3.9399999999999998E-2</v>
      </c>
      <c r="O2598" s="100"/>
    </row>
    <row r="2599" spans="2:15" x14ac:dyDescent="0.2">
      <c r="B2599" s="1">
        <v>2584</v>
      </c>
      <c r="C2599" s="101">
        <f ca="1"/>
        <v>-0.59330743625620497</v>
      </c>
      <c r="D2599" s="101">
        <f t="shared" ca="1" si="159"/>
        <v>0.62672854479868778</v>
      </c>
      <c r="E2599" s="101">
        <f t="shared" ca="1" si="160"/>
        <v>0</v>
      </c>
      <c r="F2599" s="21">
        <f t="shared" ca="1" si="161"/>
        <v>0</v>
      </c>
      <c r="H2599" s="21">
        <v>2584</v>
      </c>
      <c r="I2599" s="102">
        <v>0.66773438080937952</v>
      </c>
      <c r="J2599" s="103">
        <v>1.2772349285083281E-3</v>
      </c>
      <c r="K2599" s="103"/>
      <c r="L2599" s="103">
        <v>3.9E-2</v>
      </c>
      <c r="O2599" s="100"/>
    </row>
    <row r="2600" spans="2:15" x14ac:dyDescent="0.2">
      <c r="B2600" s="1">
        <v>2585</v>
      </c>
      <c r="C2600" s="101">
        <f ca="1"/>
        <v>0.10657078678450339</v>
      </c>
      <c r="D2600" s="101">
        <f t="shared" ca="1" si="159"/>
        <v>0.67152444560580538</v>
      </c>
      <c r="E2600" s="101">
        <f t="shared" ca="1" si="160"/>
        <v>0</v>
      </c>
      <c r="F2600" s="21">
        <f t="shared" ca="1" si="161"/>
        <v>0</v>
      </c>
      <c r="H2600" s="21">
        <v>2585</v>
      </c>
      <c r="I2600" s="102">
        <v>0.66783083077733607</v>
      </c>
      <c r="J2600" s="103">
        <v>1.4588878150615149E-3</v>
      </c>
      <c r="K2600" s="103"/>
      <c r="L2600" s="103">
        <v>4.4200000000000003E-2</v>
      </c>
      <c r="O2600" s="100"/>
    </row>
    <row r="2601" spans="2:15" x14ac:dyDescent="0.2">
      <c r="B2601" s="1">
        <v>2586</v>
      </c>
      <c r="C2601" s="101">
        <f ca="1"/>
        <v>-0.91738358089771377</v>
      </c>
      <c r="D2601" s="101">
        <f t="shared" ca="1" si="159"/>
        <v>0.60701056939765619</v>
      </c>
      <c r="E2601" s="101">
        <f t="shared" ca="1" si="160"/>
        <v>0</v>
      </c>
      <c r="F2601" s="21">
        <f t="shared" ca="1" si="161"/>
        <v>0</v>
      </c>
      <c r="H2601" s="21">
        <v>2586</v>
      </c>
      <c r="I2601" s="102">
        <v>0.66782719809190294</v>
      </c>
      <c r="J2601" s="103">
        <v>1.6163861518579544E-3</v>
      </c>
      <c r="K2601" s="103"/>
      <c r="L2601" s="103">
        <v>4.4999999999999998E-2</v>
      </c>
      <c r="O2601" s="100"/>
    </row>
    <row r="2602" spans="2:15" x14ac:dyDescent="0.2">
      <c r="B2602" s="1">
        <v>2587</v>
      </c>
      <c r="C2602" s="101">
        <f ca="1"/>
        <v>-0.83059136420051161</v>
      </c>
      <c r="D2602" s="101">
        <f t="shared" ca="1" si="159"/>
        <v>0.61222967787010485</v>
      </c>
      <c r="E2602" s="101">
        <f t="shared" ca="1" si="160"/>
        <v>0</v>
      </c>
      <c r="F2602" s="21">
        <f t="shared" ca="1" si="161"/>
        <v>0</v>
      </c>
      <c r="H2602" s="21">
        <v>2587</v>
      </c>
      <c r="I2602" s="102">
        <v>0.66764852770736638</v>
      </c>
      <c r="J2602" s="103">
        <v>1.265277036026035E-3</v>
      </c>
      <c r="K2602" s="103"/>
      <c r="L2602" s="103">
        <v>3.44E-2</v>
      </c>
      <c r="O2602" s="100"/>
    </row>
    <row r="2603" spans="2:15" x14ac:dyDescent="0.2">
      <c r="B2603" s="1">
        <v>2588</v>
      </c>
      <c r="C2603" s="101">
        <f ca="1"/>
        <v>0.13377058821542404</v>
      </c>
      <c r="D2603" s="101">
        <f t="shared" ca="1" si="159"/>
        <v>0.67332858131592777</v>
      </c>
      <c r="E2603" s="101">
        <f t="shared" ca="1" si="160"/>
        <v>0</v>
      </c>
      <c r="F2603" s="21">
        <f t="shared" ca="1" si="161"/>
        <v>0</v>
      </c>
      <c r="H2603" s="21">
        <v>2588</v>
      </c>
      <c r="I2603" s="102">
        <v>0.6674802385904488</v>
      </c>
      <c r="J2603" s="103">
        <v>1.0669300696927817E-3</v>
      </c>
      <c r="K2603" s="103"/>
      <c r="L2603" s="103">
        <v>3.32E-2</v>
      </c>
      <c r="O2603" s="100"/>
    </row>
    <row r="2604" spans="2:15" x14ac:dyDescent="0.2">
      <c r="B2604" s="1">
        <v>2589</v>
      </c>
      <c r="C2604" s="101">
        <f ca="1"/>
        <v>0.16050036068026655</v>
      </c>
      <c r="D2604" s="101">
        <f t="shared" ca="1" si="159"/>
        <v>0.67510626252410866</v>
      </c>
      <c r="E2604" s="101">
        <f t="shared" ca="1" si="160"/>
        <v>0</v>
      </c>
      <c r="F2604" s="21">
        <f t="shared" ca="1" si="161"/>
        <v>0</v>
      </c>
      <c r="H2604" s="21">
        <v>2589</v>
      </c>
      <c r="I2604" s="102">
        <v>0.66763955737729297</v>
      </c>
      <c r="J2604" s="103">
        <v>1.3005268404807351E-3</v>
      </c>
      <c r="K2604" s="103"/>
      <c r="L2604" s="103">
        <v>3.7999999999999999E-2</v>
      </c>
      <c r="O2604" s="100"/>
    </row>
    <row r="2605" spans="2:15" x14ac:dyDescent="0.2">
      <c r="B2605" s="1">
        <v>2590</v>
      </c>
      <c r="C2605" s="101">
        <f ca="1"/>
        <v>0.88185378609819476</v>
      </c>
      <c r="D2605" s="101">
        <f t="shared" ca="1" si="159"/>
        <v>0.72489394592608647</v>
      </c>
      <c r="E2605" s="101">
        <f t="shared" ca="1" si="160"/>
        <v>0</v>
      </c>
      <c r="F2605" s="21">
        <f t="shared" ca="1" si="161"/>
        <v>0</v>
      </c>
      <c r="H2605" s="21">
        <v>2590</v>
      </c>
      <c r="I2605" s="102">
        <v>0.6678147659074809</v>
      </c>
      <c r="J2605" s="103">
        <v>1.4147033163894771E-3</v>
      </c>
      <c r="K2605" s="103"/>
      <c r="L2605" s="103">
        <v>4.36E-2</v>
      </c>
      <c r="O2605" s="100"/>
    </row>
    <row r="2606" spans="2:15" x14ac:dyDescent="0.2">
      <c r="B2606" s="1">
        <v>2591</v>
      </c>
      <c r="C2606" s="101">
        <f ca="1"/>
        <v>0.74127433329866577</v>
      </c>
      <c r="D2606" s="101">
        <f t="shared" ca="1" si="159"/>
        <v>0.71491125711906611</v>
      </c>
      <c r="E2606" s="101">
        <f t="shared" ca="1" si="160"/>
        <v>0</v>
      </c>
      <c r="F2606" s="21">
        <f t="shared" ca="1" si="161"/>
        <v>0</v>
      </c>
      <c r="H2606" s="21">
        <v>2591</v>
      </c>
      <c r="I2606" s="102">
        <v>0.66769770134880813</v>
      </c>
      <c r="J2606" s="103">
        <v>1.2591714611923223E-3</v>
      </c>
      <c r="K2606" s="103"/>
      <c r="L2606" s="103">
        <v>4.0800000000000003E-2</v>
      </c>
      <c r="O2606" s="100"/>
    </row>
    <row r="2607" spans="2:15" x14ac:dyDescent="0.2">
      <c r="B2607" s="1">
        <v>2592</v>
      </c>
      <c r="C2607" s="101">
        <f ca="1"/>
        <v>-0.2219442306370534</v>
      </c>
      <c r="D2607" s="101">
        <f t="shared" ca="1" si="159"/>
        <v>0.65011239473877747</v>
      </c>
      <c r="E2607" s="101">
        <f t="shared" ca="1" si="160"/>
        <v>0</v>
      </c>
      <c r="F2607" s="21">
        <f t="shared" ca="1" si="161"/>
        <v>0</v>
      </c>
      <c r="H2607" s="21">
        <v>2592</v>
      </c>
      <c r="I2607" s="102">
        <v>0.66774613088689549</v>
      </c>
      <c r="J2607" s="103">
        <v>1.2826319597151873E-3</v>
      </c>
      <c r="K2607" s="103"/>
      <c r="L2607" s="103">
        <v>4.2000000000000003E-2</v>
      </c>
      <c r="O2607" s="100"/>
    </row>
    <row r="2608" spans="2:15" x14ac:dyDescent="0.2">
      <c r="B2608" s="1">
        <v>2593</v>
      </c>
      <c r="C2608" s="101">
        <f ca="1"/>
        <v>0.54004107899601494</v>
      </c>
      <c r="D2608" s="101">
        <f t="shared" ca="1" si="159"/>
        <v>0.70086024648218559</v>
      </c>
      <c r="E2608" s="101">
        <f t="shared" ca="1" si="160"/>
        <v>0</v>
      </c>
      <c r="F2608" s="21">
        <f t="shared" ca="1" si="161"/>
        <v>0</v>
      </c>
      <c r="H2608" s="21">
        <v>2593</v>
      </c>
      <c r="I2608" s="102">
        <v>0.66772047083752162</v>
      </c>
      <c r="J2608" s="103">
        <v>1.351908507376336E-3</v>
      </c>
      <c r="K2608" s="103"/>
      <c r="L2608" s="103">
        <v>3.8800000000000001E-2</v>
      </c>
      <c r="O2608" s="100"/>
    </row>
    <row r="2609" spans="2:15" x14ac:dyDescent="0.2">
      <c r="B2609" s="1">
        <v>2594</v>
      </c>
      <c r="C2609" s="101">
        <f ca="1"/>
        <v>1.0923306271101949</v>
      </c>
      <c r="D2609" s="101">
        <f t="shared" ca="1" si="159"/>
        <v>0.74010130635930405</v>
      </c>
      <c r="E2609" s="101">
        <f t="shared" ca="1" si="160"/>
        <v>0</v>
      </c>
      <c r="F2609" s="21">
        <f t="shared" ca="1" si="161"/>
        <v>0</v>
      </c>
      <c r="H2609" s="21">
        <v>2594</v>
      </c>
      <c r="I2609" s="102">
        <v>0.66779711823451771</v>
      </c>
      <c r="J2609" s="103">
        <v>1.4168204854130683E-3</v>
      </c>
      <c r="K2609" s="103"/>
      <c r="L2609" s="103">
        <v>4.1200000000000001E-2</v>
      </c>
      <c r="O2609" s="100"/>
    </row>
    <row r="2610" spans="2:15" x14ac:dyDescent="0.2">
      <c r="B2610" s="1">
        <v>2595</v>
      </c>
      <c r="C2610" s="101">
        <f ca="1"/>
        <v>-0.83804126931667122</v>
      </c>
      <c r="D2610" s="101">
        <f t="shared" ca="1" si="159"/>
        <v>0.61177993482560655</v>
      </c>
      <c r="E2610" s="101">
        <f t="shared" ca="1" si="160"/>
        <v>0</v>
      </c>
      <c r="F2610" s="21">
        <f t="shared" ca="1" si="161"/>
        <v>0</v>
      </c>
      <c r="H2610" s="21">
        <v>2595</v>
      </c>
      <c r="I2610" s="102">
        <v>0.66771022770436261</v>
      </c>
      <c r="J2610" s="103">
        <v>1.2504150070467609E-3</v>
      </c>
      <c r="K2610" s="103"/>
      <c r="L2610" s="103">
        <v>4.2799999999999998E-2</v>
      </c>
      <c r="O2610" s="100"/>
    </row>
    <row r="2611" spans="2:15" x14ac:dyDescent="0.2">
      <c r="B2611" s="1">
        <v>2596</v>
      </c>
      <c r="C2611" s="101">
        <f ca="1"/>
        <v>0.24260091699711969</v>
      </c>
      <c r="D2611" s="101">
        <f t="shared" ca="1" si="159"/>
        <v>0.68059581438986827</v>
      </c>
      <c r="E2611" s="101">
        <f t="shared" ca="1" si="160"/>
        <v>0</v>
      </c>
      <c r="F2611" s="21">
        <f t="shared" ca="1" si="161"/>
        <v>0</v>
      </c>
      <c r="H2611" s="21">
        <v>2596</v>
      </c>
      <c r="I2611" s="102">
        <v>0.6676528295176507</v>
      </c>
      <c r="J2611" s="103">
        <v>1.222094191170822E-3</v>
      </c>
      <c r="K2611" s="103"/>
      <c r="L2611" s="103">
        <v>4.2000000000000003E-2</v>
      </c>
      <c r="O2611" s="100"/>
    </row>
    <row r="2612" spans="2:15" x14ac:dyDescent="0.2">
      <c r="B2612" s="1">
        <v>2597</v>
      </c>
      <c r="C2612" s="101">
        <f ca="1"/>
        <v>2.0631953217823238</v>
      </c>
      <c r="D2612" s="101">
        <f t="shared" ca="1" si="159"/>
        <v>0.81448373451084854</v>
      </c>
      <c r="E2612" s="101">
        <f t="shared" ca="1" si="160"/>
        <v>2.6283734510848533E-2</v>
      </c>
      <c r="F2612" s="21">
        <f t="shared" ca="1" si="161"/>
        <v>1</v>
      </c>
      <c r="H2612" s="21">
        <v>2597</v>
      </c>
      <c r="I2612" s="102">
        <v>0.66771158190923419</v>
      </c>
      <c r="J2612" s="103">
        <v>1.3514261532545395E-3</v>
      </c>
      <c r="K2612" s="103"/>
      <c r="L2612" s="103">
        <v>3.8199999999999998E-2</v>
      </c>
      <c r="O2612" s="100"/>
    </row>
    <row r="2613" spans="2:15" x14ac:dyDescent="0.2">
      <c r="B2613" s="1">
        <v>2598</v>
      </c>
      <c r="C2613" s="101">
        <f ca="1"/>
        <v>-1.866148552912426</v>
      </c>
      <c r="D2613" s="101">
        <f t="shared" ca="1" si="159"/>
        <v>0.55277926833847457</v>
      </c>
      <c r="E2613" s="101">
        <f t="shared" ca="1" si="160"/>
        <v>0</v>
      </c>
      <c r="F2613" s="21">
        <f t="shared" ca="1" si="161"/>
        <v>0</v>
      </c>
      <c r="H2613" s="21">
        <v>2598</v>
      </c>
      <c r="I2613" s="102">
        <v>0.66775376096604278</v>
      </c>
      <c r="J2613" s="103">
        <v>1.3449952769673563E-3</v>
      </c>
      <c r="K2613" s="103"/>
      <c r="L2613" s="103">
        <v>4.3200000000000002E-2</v>
      </c>
      <c r="O2613" s="100"/>
    </row>
    <row r="2614" spans="2:15" x14ac:dyDescent="0.2">
      <c r="B2614" s="1">
        <v>2599</v>
      </c>
      <c r="C2614" s="101">
        <f ca="1"/>
        <v>0.70979917070891385</v>
      </c>
      <c r="D2614" s="101">
        <f t="shared" ca="1" si="159"/>
        <v>0.71269507725500125</v>
      </c>
      <c r="E2614" s="101">
        <f t="shared" ca="1" si="160"/>
        <v>0</v>
      </c>
      <c r="F2614" s="21">
        <f t="shared" ca="1" si="161"/>
        <v>0</v>
      </c>
      <c r="H2614" s="21">
        <v>2599</v>
      </c>
      <c r="I2614" s="102">
        <v>0.66765689106756054</v>
      </c>
      <c r="J2614" s="103">
        <v>1.1286114345421012E-3</v>
      </c>
      <c r="K2614" s="103"/>
      <c r="L2614" s="103">
        <v>3.7999999999999999E-2</v>
      </c>
      <c r="O2614" s="100"/>
    </row>
    <row r="2615" spans="2:15" x14ac:dyDescent="0.2">
      <c r="B2615" s="1">
        <v>2600</v>
      </c>
      <c r="C2615" s="101">
        <f ca="1"/>
        <v>1.7700201650911758</v>
      </c>
      <c r="D2615" s="101">
        <f t="shared" ca="1" si="159"/>
        <v>0.79126685249075279</v>
      </c>
      <c r="E2615" s="101">
        <f t="shared" ca="1" si="160"/>
        <v>3.0668524907527805E-3</v>
      </c>
      <c r="F2615" s="21">
        <f t="shared" ca="1" si="161"/>
        <v>1</v>
      </c>
      <c r="H2615" s="21">
        <v>2600</v>
      </c>
      <c r="I2615" s="102">
        <v>0.66766826921510325</v>
      </c>
      <c r="J2615" s="103">
        <v>1.178483755372805E-3</v>
      </c>
      <c r="K2615" s="103"/>
      <c r="L2615" s="103">
        <v>0.04</v>
      </c>
      <c r="O2615" s="100"/>
    </row>
    <row r="2616" spans="2:15" x14ac:dyDescent="0.2">
      <c r="B2616" s="1">
        <v>2601</v>
      </c>
      <c r="C2616" s="101">
        <f ca="1"/>
        <v>-0.67306196942609031</v>
      </c>
      <c r="D2616" s="101">
        <f t="shared" ca="1" si="159"/>
        <v>0.62181735683719386</v>
      </c>
      <c r="E2616" s="101">
        <f t="shared" ca="1" si="160"/>
        <v>0</v>
      </c>
      <c r="F2616" s="21">
        <f t="shared" ca="1" si="161"/>
        <v>0</v>
      </c>
      <c r="H2616" s="21">
        <v>2601</v>
      </c>
      <c r="I2616" s="102">
        <v>0.66764924829753325</v>
      </c>
      <c r="J2616" s="103">
        <v>1.2230329277744026E-3</v>
      </c>
      <c r="K2616" s="103"/>
      <c r="L2616" s="103">
        <v>3.9800000000000002E-2</v>
      </c>
      <c r="O2616" s="100"/>
    </row>
    <row r="2617" spans="2:15" x14ac:dyDescent="0.2">
      <c r="B2617" s="1">
        <v>2602</v>
      </c>
      <c r="C2617" s="101">
        <f ca="1"/>
        <v>0.40656899435005867</v>
      </c>
      <c r="D2617" s="101">
        <f t="shared" ca="1" si="159"/>
        <v>0.69169329406473845</v>
      </c>
      <c r="E2617" s="101">
        <f t="shared" ca="1" si="160"/>
        <v>0</v>
      </c>
      <c r="F2617" s="21">
        <f t="shared" ca="1" si="161"/>
        <v>0</v>
      </c>
      <c r="H2617" s="21">
        <v>2602</v>
      </c>
      <c r="I2617" s="102">
        <v>0.66764782029758407</v>
      </c>
      <c r="J2617" s="103">
        <v>1.2866409042370562E-3</v>
      </c>
      <c r="K2617" s="103"/>
      <c r="L2617" s="103">
        <v>4.24E-2</v>
      </c>
      <c r="O2617" s="100"/>
    </row>
    <row r="2618" spans="2:15" x14ac:dyDescent="0.2">
      <c r="B2618" s="1">
        <v>2603</v>
      </c>
      <c r="C2618" s="101">
        <f ca="1"/>
        <v>-0.65497834990405035</v>
      </c>
      <c r="D2618" s="101">
        <f t="shared" ca="1" si="159"/>
        <v>0.62292753966418268</v>
      </c>
      <c r="E2618" s="101">
        <f t="shared" ca="1" si="160"/>
        <v>0</v>
      </c>
      <c r="F2618" s="21">
        <f t="shared" ca="1" si="161"/>
        <v>0</v>
      </c>
      <c r="H2618" s="21">
        <v>2603</v>
      </c>
      <c r="I2618" s="102">
        <v>0.66765518274062885</v>
      </c>
      <c r="J2618" s="103">
        <v>1.3230105764391671E-3</v>
      </c>
      <c r="K2618" s="103"/>
      <c r="L2618" s="103">
        <v>3.9600000000000003E-2</v>
      </c>
      <c r="O2618" s="100"/>
    </row>
    <row r="2619" spans="2:15" x14ac:dyDescent="0.2">
      <c r="B2619" s="1">
        <v>2604</v>
      </c>
      <c r="C2619" s="101">
        <f ca="1"/>
        <v>-0.14560432074872343</v>
      </c>
      <c r="D2619" s="101">
        <f t="shared" ca="1" si="159"/>
        <v>0.65502639520394834</v>
      </c>
      <c r="E2619" s="101">
        <f t="shared" ca="1" si="160"/>
        <v>0</v>
      </c>
      <c r="F2619" s="21">
        <f t="shared" ca="1" si="161"/>
        <v>0</v>
      </c>
      <c r="H2619" s="21">
        <v>2604</v>
      </c>
      <c r="I2619" s="102">
        <v>0.66780930001163086</v>
      </c>
      <c r="J2619" s="103">
        <v>1.4347108887620475E-3</v>
      </c>
      <c r="K2619" s="103"/>
      <c r="L2619" s="103">
        <v>4.2000000000000003E-2</v>
      </c>
      <c r="O2619" s="100"/>
    </row>
    <row r="2620" spans="2:15" x14ac:dyDescent="0.2">
      <c r="B2620" s="1">
        <v>2605</v>
      </c>
      <c r="C2620" s="101">
        <f ca="1"/>
        <v>1.9086558311239166</v>
      </c>
      <c r="D2620" s="101">
        <f t="shared" ca="1" si="159"/>
        <v>0.80216191594409714</v>
      </c>
      <c r="E2620" s="101">
        <f t="shared" ca="1" si="160"/>
        <v>1.3961915944097125E-2</v>
      </c>
      <c r="F2620" s="21">
        <f t="shared" ca="1" si="161"/>
        <v>1</v>
      </c>
      <c r="H2620" s="21">
        <v>2605</v>
      </c>
      <c r="I2620" s="102">
        <v>0.6677883301508093</v>
      </c>
      <c r="J2620" s="103">
        <v>1.4429072163102187E-3</v>
      </c>
      <c r="K2620" s="103"/>
      <c r="L2620" s="103">
        <v>4.1200000000000001E-2</v>
      </c>
      <c r="O2620" s="100"/>
    </row>
    <row r="2621" spans="2:15" x14ac:dyDescent="0.2">
      <c r="B2621" s="1">
        <v>2606</v>
      </c>
      <c r="C2621" s="101">
        <f ca="1"/>
        <v>-1.3814599311500602</v>
      </c>
      <c r="D2621" s="101">
        <f t="shared" ca="1" si="159"/>
        <v>0.57984979564714267</v>
      </c>
      <c r="E2621" s="101">
        <f t="shared" ca="1" si="160"/>
        <v>0</v>
      </c>
      <c r="F2621" s="21">
        <f t="shared" ca="1" si="161"/>
        <v>0</v>
      </c>
      <c r="H2621" s="21">
        <v>2606</v>
      </c>
      <c r="I2621" s="102">
        <v>0.66772568388801923</v>
      </c>
      <c r="J2621" s="103">
        <v>1.4005693042491124E-3</v>
      </c>
      <c r="K2621" s="103"/>
      <c r="L2621" s="103">
        <v>4.4200000000000003E-2</v>
      </c>
      <c r="O2621" s="100"/>
    </row>
    <row r="2622" spans="2:15" x14ac:dyDescent="0.2">
      <c r="B2622" s="1">
        <v>2607</v>
      </c>
      <c r="C2622" s="101">
        <f ca="1"/>
        <v>-0.52173560211173553</v>
      </c>
      <c r="D2622" s="101">
        <f t="shared" ca="1" si="159"/>
        <v>0.63116886686389573</v>
      </c>
      <c r="E2622" s="101">
        <f t="shared" ca="1" si="160"/>
        <v>0</v>
      </c>
      <c r="F2622" s="21">
        <f t="shared" ca="1" si="161"/>
        <v>0</v>
      </c>
      <c r="H2622" s="21">
        <v>2607</v>
      </c>
      <c r="I2622" s="102">
        <v>0.66755283610769456</v>
      </c>
      <c r="J2622" s="103">
        <v>1.2262179923603546E-3</v>
      </c>
      <c r="K2622" s="103"/>
      <c r="L2622" s="103">
        <v>3.8199999999999998E-2</v>
      </c>
      <c r="O2622" s="100"/>
    </row>
    <row r="2623" spans="2:15" x14ac:dyDescent="0.2">
      <c r="B2623" s="1">
        <v>2608</v>
      </c>
      <c r="C2623" s="101">
        <f ca="1"/>
        <v>-0.45837474207736828</v>
      </c>
      <c r="D2623" s="101">
        <f t="shared" ca="1" si="159"/>
        <v>0.63512602503566395</v>
      </c>
      <c r="E2623" s="101">
        <f t="shared" ca="1" si="160"/>
        <v>0</v>
      </c>
      <c r="F2623" s="21">
        <f t="shared" ca="1" si="161"/>
        <v>0</v>
      </c>
      <c r="H2623" s="21">
        <v>2608</v>
      </c>
      <c r="I2623" s="102">
        <v>0.66767146294188728</v>
      </c>
      <c r="J2623" s="103">
        <v>1.4018086683145422E-3</v>
      </c>
      <c r="K2623" s="103"/>
      <c r="L2623" s="103">
        <v>4.1000000000000002E-2</v>
      </c>
      <c r="O2623" s="100"/>
    </row>
    <row r="2624" spans="2:15" x14ac:dyDescent="0.2">
      <c r="B2624" s="1">
        <v>2609</v>
      </c>
      <c r="C2624" s="101">
        <f ca="1"/>
        <v>0.73231060332875875</v>
      </c>
      <c r="D2624" s="101">
        <f t="shared" ca="1" si="159"/>
        <v>0.71427941610250545</v>
      </c>
      <c r="E2624" s="101">
        <f t="shared" ca="1" si="160"/>
        <v>0</v>
      </c>
      <c r="F2624" s="21">
        <f t="shared" ca="1" si="161"/>
        <v>0</v>
      </c>
      <c r="H2624" s="21">
        <v>2609</v>
      </c>
      <c r="I2624" s="102">
        <v>0.66775486498040382</v>
      </c>
      <c r="J2624" s="103">
        <v>1.2478701744185691E-3</v>
      </c>
      <c r="K2624" s="103"/>
      <c r="L2624" s="103">
        <v>4.2000000000000003E-2</v>
      </c>
      <c r="O2624" s="100"/>
    </row>
    <row r="2625" spans="2:15" x14ac:dyDescent="0.2">
      <c r="B2625" s="1">
        <v>2610</v>
      </c>
      <c r="C2625" s="101">
        <f ca="1"/>
        <v>0.44162585052333886</v>
      </c>
      <c r="D2625" s="101">
        <f t="shared" ca="1" si="159"/>
        <v>0.69408934781459874</v>
      </c>
      <c r="E2625" s="101">
        <f t="shared" ca="1" si="160"/>
        <v>0</v>
      </c>
      <c r="F2625" s="21">
        <f t="shared" ca="1" si="161"/>
        <v>0</v>
      </c>
      <c r="H2625" s="21">
        <v>2610</v>
      </c>
      <c r="I2625" s="102">
        <v>0.66767129427406613</v>
      </c>
      <c r="J2625" s="103">
        <v>1.2637196053546657E-3</v>
      </c>
      <c r="K2625" s="103"/>
      <c r="L2625" s="103">
        <v>3.9399999999999998E-2</v>
      </c>
      <c r="O2625" s="100"/>
    </row>
    <row r="2626" spans="2:15" x14ac:dyDescent="0.2">
      <c r="B2626" s="1">
        <v>2611</v>
      </c>
      <c r="C2626" s="101">
        <f ca="1"/>
        <v>-1.0740902884599235</v>
      </c>
      <c r="D2626" s="101">
        <f t="shared" ca="1" si="159"/>
        <v>0.59769969529502609</v>
      </c>
      <c r="E2626" s="101">
        <f t="shared" ca="1" si="160"/>
        <v>0</v>
      </c>
      <c r="F2626" s="21">
        <f t="shared" ca="1" si="161"/>
        <v>0</v>
      </c>
      <c r="H2626" s="21">
        <v>2611</v>
      </c>
      <c r="I2626" s="102">
        <v>0.667779418510417</v>
      </c>
      <c r="J2626" s="103">
        <v>1.5531295161061E-3</v>
      </c>
      <c r="K2626" s="103"/>
      <c r="L2626" s="103">
        <v>4.3799999999999999E-2</v>
      </c>
      <c r="O2626" s="100"/>
    </row>
    <row r="2627" spans="2:15" x14ac:dyDescent="0.2">
      <c r="B2627" s="1">
        <v>2612</v>
      </c>
      <c r="C2627" s="101">
        <f ca="1"/>
        <v>0.62729908832443315</v>
      </c>
      <c r="D2627" s="101">
        <f t="shared" ca="1" si="159"/>
        <v>0.70691875899116408</v>
      </c>
      <c r="E2627" s="101">
        <f t="shared" ca="1" si="160"/>
        <v>0</v>
      </c>
      <c r="F2627" s="21">
        <f t="shared" ca="1" si="161"/>
        <v>0</v>
      </c>
      <c r="H2627" s="21">
        <v>2612</v>
      </c>
      <c r="I2627" s="102">
        <v>0.66766187344991634</v>
      </c>
      <c r="J2627" s="103">
        <v>1.3713165878841466E-3</v>
      </c>
      <c r="K2627" s="103"/>
      <c r="L2627" s="103">
        <v>3.7199999999999997E-2</v>
      </c>
      <c r="O2627" s="100"/>
    </row>
    <row r="2628" spans="2:15" x14ac:dyDescent="0.2">
      <c r="B2628" s="1">
        <v>2613</v>
      </c>
      <c r="C2628" s="101">
        <f ca="1"/>
        <v>0.41521291556838341</v>
      </c>
      <c r="D2628" s="101">
        <f t="shared" ca="1" si="159"/>
        <v>0.69228331636882656</v>
      </c>
      <c r="E2628" s="101">
        <f t="shared" ca="1" si="160"/>
        <v>0</v>
      </c>
      <c r="F2628" s="21">
        <f t="shared" ca="1" si="161"/>
        <v>0</v>
      </c>
      <c r="H2628" s="21">
        <v>2613</v>
      </c>
      <c r="I2628" s="102">
        <v>0.66766201140069548</v>
      </c>
      <c r="J2628" s="103">
        <v>1.4182817372766533E-3</v>
      </c>
      <c r="K2628" s="103"/>
      <c r="L2628" s="103">
        <v>4.0599999999999997E-2</v>
      </c>
      <c r="O2628" s="100"/>
    </row>
    <row r="2629" spans="2:15" x14ac:dyDescent="0.2">
      <c r="B2629" s="1">
        <v>2614</v>
      </c>
      <c r="C2629" s="101">
        <f ca="1"/>
        <v>-0.80263565803506587</v>
      </c>
      <c r="D2629" s="101">
        <f t="shared" ca="1" si="159"/>
        <v>0.613920284960908</v>
      </c>
      <c r="E2629" s="101">
        <f t="shared" ca="1" si="160"/>
        <v>0</v>
      </c>
      <c r="F2629" s="21">
        <f t="shared" ca="1" si="161"/>
        <v>0</v>
      </c>
      <c r="H2629" s="21">
        <v>2614</v>
      </c>
      <c r="I2629" s="102">
        <v>0.66764866274741086</v>
      </c>
      <c r="J2629" s="103">
        <v>1.3264011547675771E-3</v>
      </c>
      <c r="K2629" s="103"/>
      <c r="L2629" s="103">
        <v>3.7600000000000001E-2</v>
      </c>
      <c r="O2629" s="100"/>
    </row>
    <row r="2630" spans="2:15" x14ac:dyDescent="0.2">
      <c r="B2630" s="1">
        <v>2615</v>
      </c>
      <c r="C2630" s="101">
        <f ca="1"/>
        <v>1.1576884301016579</v>
      </c>
      <c r="D2630" s="101">
        <f t="shared" ca="1" si="159"/>
        <v>0.74488813865527181</v>
      </c>
      <c r="E2630" s="101">
        <f t="shared" ca="1" si="160"/>
        <v>0</v>
      </c>
      <c r="F2630" s="21">
        <f t="shared" ca="1" si="161"/>
        <v>0</v>
      </c>
      <c r="H2630" s="21">
        <v>2615</v>
      </c>
      <c r="I2630" s="102">
        <v>0.66776013271954027</v>
      </c>
      <c r="J2630" s="103">
        <v>1.3439553771252999E-3</v>
      </c>
      <c r="K2630" s="103"/>
      <c r="L2630" s="103">
        <v>4.2000000000000003E-2</v>
      </c>
      <c r="O2630" s="100"/>
    </row>
    <row r="2631" spans="2:15" x14ac:dyDescent="0.2">
      <c r="B2631" s="1">
        <v>2616</v>
      </c>
      <c r="C2631" s="101">
        <f ca="1"/>
        <v>-1.1211604491024325</v>
      </c>
      <c r="D2631" s="101">
        <f t="shared" ca="1" si="159"/>
        <v>0.5949309705806497</v>
      </c>
      <c r="E2631" s="101">
        <f t="shared" ca="1" si="160"/>
        <v>0</v>
      </c>
      <c r="F2631" s="21">
        <f t="shared" ca="1" si="161"/>
        <v>0</v>
      </c>
      <c r="H2631" s="21">
        <v>2616</v>
      </c>
      <c r="I2631" s="102">
        <v>0.66760815930944173</v>
      </c>
      <c r="J2631" s="103">
        <v>1.1675888838354916E-3</v>
      </c>
      <c r="K2631" s="103"/>
      <c r="L2631" s="103">
        <v>3.9600000000000003E-2</v>
      </c>
      <c r="O2631" s="100"/>
    </row>
    <row r="2632" spans="2:15" x14ac:dyDescent="0.2">
      <c r="B2632" s="1">
        <v>2617</v>
      </c>
      <c r="C2632" s="101">
        <f ca="1"/>
        <v>-1.2680970786237531</v>
      </c>
      <c r="D2632" s="101">
        <f t="shared" ca="1" si="159"/>
        <v>0.58637021660458633</v>
      </c>
      <c r="E2632" s="101">
        <f t="shared" ca="1" si="160"/>
        <v>0</v>
      </c>
      <c r="F2632" s="21">
        <f t="shared" ca="1" si="161"/>
        <v>0</v>
      </c>
      <c r="H2632" s="21">
        <v>2617</v>
      </c>
      <c r="I2632" s="102">
        <v>0.66763062050794353</v>
      </c>
      <c r="J2632" s="103">
        <v>1.4662423383802945E-3</v>
      </c>
      <c r="K2632" s="103"/>
      <c r="L2632" s="103">
        <v>3.9E-2</v>
      </c>
      <c r="O2632" s="100"/>
    </row>
    <row r="2633" spans="2:15" x14ac:dyDescent="0.2">
      <c r="B2633" s="1">
        <v>2618</v>
      </c>
      <c r="C2633" s="101">
        <f ca="1"/>
        <v>0.43060954968553095</v>
      </c>
      <c r="D2633" s="101">
        <f t="shared" ca="1" si="159"/>
        <v>0.6933355165892674</v>
      </c>
      <c r="E2633" s="101">
        <f t="shared" ca="1" si="160"/>
        <v>0</v>
      </c>
      <c r="F2633" s="21">
        <f t="shared" ca="1" si="161"/>
        <v>0</v>
      </c>
      <c r="H2633" s="21">
        <v>2618</v>
      </c>
      <c r="I2633" s="102">
        <v>0.66766400302397577</v>
      </c>
      <c r="J2633" s="103">
        <v>1.2558054592536998E-3</v>
      </c>
      <c r="K2633" s="103"/>
      <c r="L2633" s="103">
        <v>3.9600000000000003E-2</v>
      </c>
      <c r="O2633" s="100"/>
    </row>
    <row r="2634" spans="2:15" x14ac:dyDescent="0.2">
      <c r="B2634" s="1">
        <v>2619</v>
      </c>
      <c r="C2634" s="101">
        <f ca="1"/>
        <v>-0.46546705626201001</v>
      </c>
      <c r="D2634" s="101">
        <f t="shared" ca="1" si="159"/>
        <v>0.63468184925995608</v>
      </c>
      <c r="E2634" s="101">
        <f t="shared" ca="1" si="160"/>
        <v>0</v>
      </c>
      <c r="F2634" s="21">
        <f t="shared" ca="1" si="161"/>
        <v>0</v>
      </c>
      <c r="H2634" s="21">
        <v>2619</v>
      </c>
      <c r="I2634" s="102">
        <v>0.66781845078025703</v>
      </c>
      <c r="J2634" s="103">
        <v>1.361431051807174E-3</v>
      </c>
      <c r="K2634" s="103"/>
      <c r="L2634" s="103">
        <v>4.3200000000000002E-2</v>
      </c>
      <c r="O2634" s="100"/>
    </row>
    <row r="2635" spans="2:15" x14ac:dyDescent="0.2">
      <c r="B2635" s="1">
        <v>2620</v>
      </c>
      <c r="C2635" s="101">
        <f ca="1"/>
        <v>-1.7355840539005549</v>
      </c>
      <c r="D2635" s="101">
        <f t="shared" ca="1" si="159"/>
        <v>0.55994458530765423</v>
      </c>
      <c r="E2635" s="101">
        <f t="shared" ca="1" si="160"/>
        <v>0</v>
      </c>
      <c r="F2635" s="21">
        <f t="shared" ca="1" si="161"/>
        <v>0</v>
      </c>
      <c r="H2635" s="21">
        <v>2620</v>
      </c>
      <c r="I2635" s="102">
        <v>0.66765075305538835</v>
      </c>
      <c r="J2635" s="103">
        <v>1.1543500365598155E-3</v>
      </c>
      <c r="K2635" s="103"/>
      <c r="L2635" s="103">
        <v>4.0599999999999997E-2</v>
      </c>
      <c r="O2635" s="100"/>
    </row>
    <row r="2636" spans="2:15" x14ac:dyDescent="0.2">
      <c r="B2636" s="1">
        <v>2621</v>
      </c>
      <c r="C2636" s="101">
        <f ca="1"/>
        <v>0.2364227100668938</v>
      </c>
      <c r="D2636" s="101">
        <f t="shared" ca="1" si="159"/>
        <v>0.68018116761071257</v>
      </c>
      <c r="E2636" s="101">
        <f t="shared" ca="1" si="160"/>
        <v>0</v>
      </c>
      <c r="F2636" s="21">
        <f t="shared" ca="1" si="161"/>
        <v>0</v>
      </c>
      <c r="H2636" s="21">
        <v>2621</v>
      </c>
      <c r="I2636" s="102">
        <v>0.66768348214531759</v>
      </c>
      <c r="J2636" s="103">
        <v>1.252451697504427E-3</v>
      </c>
      <c r="K2636" s="103"/>
      <c r="L2636" s="103">
        <v>4.1399999999999999E-2</v>
      </c>
      <c r="O2636" s="100"/>
    </row>
    <row r="2637" spans="2:15" x14ac:dyDescent="0.2">
      <c r="B2637" s="1">
        <v>2622</v>
      </c>
      <c r="C2637" s="101">
        <f ca="1"/>
        <v>-2.1486425815029211</v>
      </c>
      <c r="D2637" s="101">
        <f t="shared" ca="1" si="159"/>
        <v>0.53758838475837534</v>
      </c>
      <c r="E2637" s="101">
        <f t="shared" ca="1" si="160"/>
        <v>0</v>
      </c>
      <c r="F2637" s="21">
        <f t="shared" ca="1" si="161"/>
        <v>0</v>
      </c>
      <c r="H2637" s="21">
        <v>2622</v>
      </c>
      <c r="I2637" s="102">
        <v>0.66782414389812739</v>
      </c>
      <c r="J2637" s="103">
        <v>1.4446767903702265E-3</v>
      </c>
      <c r="K2637" s="103"/>
      <c r="L2637" s="103">
        <v>4.8000000000000001E-2</v>
      </c>
      <c r="O2637" s="100"/>
    </row>
    <row r="2638" spans="2:15" x14ac:dyDescent="0.2">
      <c r="B2638" s="1">
        <v>2623</v>
      </c>
      <c r="C2638" s="101">
        <f ca="1"/>
        <v>0.34848042735105306</v>
      </c>
      <c r="D2638" s="101">
        <f t="shared" ca="1" si="159"/>
        <v>0.68774127088023396</v>
      </c>
      <c r="E2638" s="101">
        <f t="shared" ca="1" si="160"/>
        <v>0</v>
      </c>
      <c r="F2638" s="21">
        <f t="shared" ca="1" si="161"/>
        <v>0</v>
      </c>
      <c r="H2638" s="21">
        <v>2623</v>
      </c>
      <c r="I2638" s="102">
        <v>0.66774819813007047</v>
      </c>
      <c r="J2638" s="103">
        <v>1.2963126249028987E-3</v>
      </c>
      <c r="K2638" s="103"/>
      <c r="L2638" s="103">
        <v>4.0800000000000003E-2</v>
      </c>
      <c r="O2638" s="100"/>
    </row>
    <row r="2639" spans="2:15" x14ac:dyDescent="0.2">
      <c r="B2639" s="1">
        <v>2624</v>
      </c>
      <c r="C2639" s="101">
        <f ca="1"/>
        <v>-1.225528465745791</v>
      </c>
      <c r="D2639" s="101">
        <f t="shared" ca="1" si="159"/>
        <v>0.58883757608359655</v>
      </c>
      <c r="E2639" s="101">
        <f t="shared" ca="1" si="160"/>
        <v>0</v>
      </c>
      <c r="F2639" s="21">
        <f t="shared" ca="1" si="161"/>
        <v>0</v>
      </c>
      <c r="H2639" s="21">
        <v>2624</v>
      </c>
      <c r="I2639" s="102">
        <v>0.66761060741960443</v>
      </c>
      <c r="J2639" s="103">
        <v>1.3589522544512913E-3</v>
      </c>
      <c r="K2639" s="103"/>
      <c r="L2639" s="103">
        <v>4.1000000000000002E-2</v>
      </c>
      <c r="O2639" s="100"/>
    </row>
    <row r="2640" spans="2:15" x14ac:dyDescent="0.2">
      <c r="B2640" s="1">
        <v>2625</v>
      </c>
      <c r="C2640" s="101">
        <f ca="1"/>
        <v>-0.98130300568551443</v>
      </c>
      <c r="D2640" s="101">
        <f t="shared" ref="D2640:D2703" ca="1" si="162">S0*EXP((μ-0.5*σ*σ)*T+σ*SQRT(T)*$C2640)</f>
        <v>0.60319534930225982</v>
      </c>
      <c r="E2640" s="101">
        <f t="shared" ref="E2640:E2703" ca="1" si="163">MAX(0,CP*(D2640-K))</f>
        <v>0</v>
      </c>
      <c r="F2640" s="21">
        <f t="shared" ref="F2640:F2703" ca="1" si="164">(CP*(D2640-K)&gt;0)*1</f>
        <v>0</v>
      </c>
      <c r="H2640" s="21">
        <v>2625</v>
      </c>
      <c r="I2640" s="102">
        <v>0.66763317338185391</v>
      </c>
      <c r="J2640" s="103">
        <v>1.2750400702131227E-3</v>
      </c>
      <c r="K2640" s="103"/>
      <c r="L2640" s="103">
        <v>3.7999999999999999E-2</v>
      </c>
      <c r="O2640" s="100"/>
    </row>
    <row r="2641" spans="2:15" x14ac:dyDescent="0.2">
      <c r="B2641" s="1">
        <v>2626</v>
      </c>
      <c r="C2641" s="101">
        <f ca="1"/>
        <v>0.32272726613829239</v>
      </c>
      <c r="D2641" s="101">
        <f t="shared" ca="1" si="162"/>
        <v>0.68599640108019244</v>
      </c>
      <c r="E2641" s="101">
        <f t="shared" ca="1" si="163"/>
        <v>0</v>
      </c>
      <c r="F2641" s="21">
        <f t="shared" ca="1" si="164"/>
        <v>0</v>
      </c>
      <c r="H2641" s="21">
        <v>2626</v>
      </c>
      <c r="I2641" s="102">
        <v>0.66757478836890494</v>
      </c>
      <c r="J2641" s="103">
        <v>1.2412641312476793E-3</v>
      </c>
      <c r="K2641" s="103"/>
      <c r="L2641" s="103">
        <v>3.9800000000000002E-2</v>
      </c>
      <c r="O2641" s="100"/>
    </row>
    <row r="2642" spans="2:15" x14ac:dyDescent="0.2">
      <c r="B2642" s="1">
        <v>2627</v>
      </c>
      <c r="C2642" s="101">
        <f ca="1"/>
        <v>-0.19503577499497396</v>
      </c>
      <c r="D2642" s="101">
        <f t="shared" ca="1" si="162"/>
        <v>0.65184027092089991</v>
      </c>
      <c r="E2642" s="101">
        <f t="shared" ca="1" si="163"/>
        <v>0</v>
      </c>
      <c r="F2642" s="21">
        <f t="shared" ca="1" si="164"/>
        <v>0</v>
      </c>
      <c r="H2642" s="21">
        <v>2627</v>
      </c>
      <c r="I2642" s="102">
        <v>0.66765828493383983</v>
      </c>
      <c r="J2642" s="103">
        <v>1.4024312227912971E-3</v>
      </c>
      <c r="K2642" s="103"/>
      <c r="L2642" s="103">
        <v>4.0399999999999998E-2</v>
      </c>
      <c r="O2642" s="100"/>
    </row>
    <row r="2643" spans="2:15" x14ac:dyDescent="0.2">
      <c r="B2643" s="1">
        <v>2628</v>
      </c>
      <c r="C2643" s="101">
        <f ca="1"/>
        <v>-0.61304441792349884</v>
      </c>
      <c r="D2643" s="101">
        <f t="shared" ca="1" si="162"/>
        <v>0.62550956524167056</v>
      </c>
      <c r="E2643" s="101">
        <f t="shared" ca="1" si="163"/>
        <v>0</v>
      </c>
      <c r="F2643" s="21">
        <f t="shared" ca="1" si="164"/>
        <v>0</v>
      </c>
      <c r="H2643" s="21">
        <v>2628</v>
      </c>
      <c r="I2643" s="102">
        <v>0.66774278115551644</v>
      </c>
      <c r="J2643" s="103">
        <v>1.3638469421017828E-3</v>
      </c>
      <c r="K2643" s="103"/>
      <c r="L2643" s="103">
        <v>4.4200000000000003E-2</v>
      </c>
      <c r="O2643" s="100"/>
    </row>
    <row r="2644" spans="2:15" x14ac:dyDescent="0.2">
      <c r="B2644" s="1">
        <v>2629</v>
      </c>
      <c r="C2644" s="101">
        <f ca="1"/>
        <v>-0.47336050892173703</v>
      </c>
      <c r="D2644" s="101">
        <f t="shared" ca="1" si="162"/>
        <v>0.6341878652133599</v>
      </c>
      <c r="E2644" s="101">
        <f t="shared" ca="1" si="163"/>
        <v>0</v>
      </c>
      <c r="F2644" s="21">
        <f t="shared" ca="1" si="164"/>
        <v>0</v>
      </c>
      <c r="H2644" s="21">
        <v>2629</v>
      </c>
      <c r="I2644" s="102">
        <v>0.66794580181328533</v>
      </c>
      <c r="J2644" s="103">
        <v>1.6019159081234991E-3</v>
      </c>
      <c r="K2644" s="103"/>
      <c r="L2644" s="103">
        <v>4.4200000000000003E-2</v>
      </c>
      <c r="O2644" s="100"/>
    </row>
    <row r="2645" spans="2:15" x14ac:dyDescent="0.2">
      <c r="B2645" s="1">
        <v>2630</v>
      </c>
      <c r="C2645" s="101">
        <f ca="1"/>
        <v>0.40889258207028845</v>
      </c>
      <c r="D2645" s="101">
        <f t="shared" ca="1" si="162"/>
        <v>0.69185184956419521</v>
      </c>
      <c r="E2645" s="101">
        <f t="shared" ca="1" si="163"/>
        <v>0</v>
      </c>
      <c r="F2645" s="21">
        <f t="shared" ca="1" si="164"/>
        <v>0</v>
      </c>
      <c r="H2645" s="21">
        <v>2630</v>
      </c>
      <c r="I2645" s="102">
        <v>0.66762785594145369</v>
      </c>
      <c r="J2645" s="103">
        <v>1.2140889378197961E-3</v>
      </c>
      <c r="K2645" s="103"/>
      <c r="L2645" s="103">
        <v>3.9199999999999999E-2</v>
      </c>
      <c r="O2645" s="100"/>
    </row>
    <row r="2646" spans="2:15" x14ac:dyDescent="0.2">
      <c r="B2646" s="1">
        <v>2631</v>
      </c>
      <c r="C2646" s="101">
        <f ca="1"/>
        <v>-0.2010096501332759</v>
      </c>
      <c r="D2646" s="101">
        <f t="shared" ca="1" si="162"/>
        <v>0.65145627352670743</v>
      </c>
      <c r="E2646" s="101">
        <f t="shared" ca="1" si="163"/>
        <v>0</v>
      </c>
      <c r="F2646" s="21">
        <f t="shared" ca="1" si="164"/>
        <v>0</v>
      </c>
      <c r="H2646" s="21">
        <v>2631</v>
      </c>
      <c r="I2646" s="102">
        <v>0.66772849476936891</v>
      </c>
      <c r="J2646" s="103">
        <v>1.2422487176777873E-3</v>
      </c>
      <c r="K2646" s="103"/>
      <c r="L2646" s="103">
        <v>4.1000000000000002E-2</v>
      </c>
      <c r="O2646" s="100"/>
    </row>
    <row r="2647" spans="2:15" x14ac:dyDescent="0.2">
      <c r="B2647" s="1">
        <v>2632</v>
      </c>
      <c r="C2647" s="101">
        <f ca="1"/>
        <v>1.3694031380984441E-2</v>
      </c>
      <c r="D2647" s="101">
        <f t="shared" ca="1" si="162"/>
        <v>0.66540037921601025</v>
      </c>
      <c r="E2647" s="101">
        <f t="shared" ca="1" si="163"/>
        <v>0</v>
      </c>
      <c r="F2647" s="21">
        <f t="shared" ca="1" si="164"/>
        <v>0</v>
      </c>
      <c r="H2647" s="21">
        <v>2632</v>
      </c>
      <c r="I2647" s="102">
        <v>0.66780304323164985</v>
      </c>
      <c r="J2647" s="103">
        <v>1.5761823824640222E-3</v>
      </c>
      <c r="K2647" s="103"/>
      <c r="L2647" s="103">
        <v>4.6199999999999998E-2</v>
      </c>
      <c r="O2647" s="100"/>
    </row>
    <row r="2648" spans="2:15" x14ac:dyDescent="0.2">
      <c r="B2648" s="1">
        <v>2633</v>
      </c>
      <c r="C2648" s="101">
        <f ca="1"/>
        <v>0.99824448966541746</v>
      </c>
      <c r="D2648" s="101">
        <f t="shared" ca="1" si="162"/>
        <v>0.73326436313142929</v>
      </c>
      <c r="E2648" s="101">
        <f t="shared" ca="1" si="163"/>
        <v>0</v>
      </c>
      <c r="F2648" s="21">
        <f t="shared" ca="1" si="164"/>
        <v>0</v>
      </c>
      <c r="H2648" s="21">
        <v>2633</v>
      </c>
      <c r="I2648" s="102">
        <v>0.66789578278245532</v>
      </c>
      <c r="J2648" s="103">
        <v>1.3512265288972529E-3</v>
      </c>
      <c r="K2648" s="103"/>
      <c r="L2648" s="103">
        <v>4.4400000000000002E-2</v>
      </c>
      <c r="O2648" s="100"/>
    </row>
    <row r="2649" spans="2:15" x14ac:dyDescent="0.2">
      <c r="B2649" s="1">
        <v>2634</v>
      </c>
      <c r="C2649" s="101">
        <f ca="1"/>
        <v>0.61758798067074661</v>
      </c>
      <c r="D2649" s="101">
        <f t="shared" ca="1" si="162"/>
        <v>0.70624191405623471</v>
      </c>
      <c r="E2649" s="101">
        <f t="shared" ca="1" si="163"/>
        <v>0</v>
      </c>
      <c r="F2649" s="21">
        <f t="shared" ca="1" si="164"/>
        <v>0</v>
      </c>
      <c r="H2649" s="21">
        <v>2634</v>
      </c>
      <c r="I2649" s="102">
        <v>0.66778520649201178</v>
      </c>
      <c r="J2649" s="103">
        <v>1.268155088610364E-3</v>
      </c>
      <c r="K2649" s="103"/>
      <c r="L2649" s="103">
        <v>4.1000000000000002E-2</v>
      </c>
      <c r="O2649" s="100"/>
    </row>
    <row r="2650" spans="2:15" x14ac:dyDescent="0.2">
      <c r="B2650" s="1">
        <v>2635</v>
      </c>
      <c r="C2650" s="101">
        <f ca="1"/>
        <v>1.325675084629991</v>
      </c>
      <c r="D2650" s="101">
        <f t="shared" ca="1" si="162"/>
        <v>0.75733408520724599</v>
      </c>
      <c r="E2650" s="101">
        <f t="shared" ca="1" si="163"/>
        <v>0</v>
      </c>
      <c r="F2650" s="21">
        <f t="shared" ca="1" si="164"/>
        <v>0</v>
      </c>
      <c r="H2650" s="21">
        <v>2635</v>
      </c>
      <c r="I2650" s="102">
        <v>0.66771228811324013</v>
      </c>
      <c r="J2650" s="103">
        <v>1.3538851593257832E-3</v>
      </c>
      <c r="K2650" s="103"/>
      <c r="L2650" s="103">
        <v>4.3200000000000002E-2</v>
      </c>
      <c r="O2650" s="100"/>
    </row>
    <row r="2651" spans="2:15" x14ac:dyDescent="0.2">
      <c r="B2651" s="1">
        <v>2636</v>
      </c>
      <c r="C2651" s="101">
        <f ca="1"/>
        <v>2.0104460652626792</v>
      </c>
      <c r="D2651" s="101">
        <f t="shared" ca="1" si="162"/>
        <v>0.81025677316562528</v>
      </c>
      <c r="E2651" s="101">
        <f t="shared" ca="1" si="163"/>
        <v>2.2056773165625265E-2</v>
      </c>
      <c r="F2651" s="21">
        <f t="shared" ca="1" si="164"/>
        <v>1</v>
      </c>
      <c r="H2651" s="21">
        <v>2636</v>
      </c>
      <c r="I2651" s="102">
        <v>0.66774323766204502</v>
      </c>
      <c r="J2651" s="103">
        <v>1.1749252882111933E-3</v>
      </c>
      <c r="K2651" s="103"/>
      <c r="L2651" s="103">
        <v>4.1000000000000002E-2</v>
      </c>
      <c r="O2651" s="100"/>
    </row>
    <row r="2652" spans="2:15" x14ac:dyDescent="0.2">
      <c r="B2652" s="1">
        <v>2637</v>
      </c>
      <c r="C2652" s="101">
        <f ca="1"/>
        <v>-1.0475050032326112</v>
      </c>
      <c r="D2652" s="101">
        <f t="shared" ca="1" si="162"/>
        <v>0.59926916462133384</v>
      </c>
      <c r="E2652" s="101">
        <f t="shared" ca="1" si="163"/>
        <v>0</v>
      </c>
      <c r="F2652" s="21">
        <f t="shared" ca="1" si="164"/>
        <v>0</v>
      </c>
      <c r="H2652" s="21">
        <v>2637</v>
      </c>
      <c r="I2652" s="102">
        <v>0.66765309431770581</v>
      </c>
      <c r="J2652" s="103">
        <v>1.1649777361623706E-3</v>
      </c>
      <c r="K2652" s="103"/>
      <c r="L2652" s="103">
        <v>3.8800000000000001E-2</v>
      </c>
      <c r="O2652" s="100"/>
    </row>
    <row r="2653" spans="2:15" x14ac:dyDescent="0.2">
      <c r="B2653" s="1">
        <v>2638</v>
      </c>
      <c r="C2653" s="101">
        <f ca="1"/>
        <v>-0.31354569028831347</v>
      </c>
      <c r="D2653" s="101">
        <f t="shared" ca="1" si="162"/>
        <v>0.64426464008385076</v>
      </c>
      <c r="E2653" s="101">
        <f t="shared" ca="1" si="163"/>
        <v>0</v>
      </c>
      <c r="F2653" s="21">
        <f t="shared" ca="1" si="164"/>
        <v>0</v>
      </c>
      <c r="H2653" s="21">
        <v>2638</v>
      </c>
      <c r="I2653" s="102">
        <v>0.66783725655045323</v>
      </c>
      <c r="J2653" s="103">
        <v>1.4603132023510187E-3</v>
      </c>
      <c r="K2653" s="103"/>
      <c r="L2653" s="103">
        <v>4.5999999999999999E-2</v>
      </c>
      <c r="O2653" s="100"/>
    </row>
    <row r="2654" spans="2:15" x14ac:dyDescent="0.2">
      <c r="B2654" s="1">
        <v>2639</v>
      </c>
      <c r="C2654" s="101">
        <f ca="1"/>
        <v>-0.88558573976800414</v>
      </c>
      <c r="D2654" s="101">
        <f t="shared" ca="1" si="162"/>
        <v>0.60891749639349513</v>
      </c>
      <c r="E2654" s="101">
        <f t="shared" ca="1" si="163"/>
        <v>0</v>
      </c>
      <c r="F2654" s="21">
        <f t="shared" ca="1" si="164"/>
        <v>0</v>
      </c>
      <c r="H2654" s="21">
        <v>2639</v>
      </c>
      <c r="I2654" s="102">
        <v>0.66777472118290349</v>
      </c>
      <c r="J2654" s="103">
        <v>1.379703406577066E-3</v>
      </c>
      <c r="K2654" s="103"/>
      <c r="L2654" s="103">
        <v>4.1599999999999998E-2</v>
      </c>
      <c r="O2654" s="100"/>
    </row>
    <row r="2655" spans="2:15" x14ac:dyDescent="0.2">
      <c r="B2655" s="1">
        <v>2640</v>
      </c>
      <c r="C2655" s="101">
        <f ca="1"/>
        <v>-2.0435488656529786</v>
      </c>
      <c r="D2655" s="101">
        <f t="shared" ca="1" si="162"/>
        <v>0.54319032594401451</v>
      </c>
      <c r="E2655" s="101">
        <f t="shared" ca="1" si="163"/>
        <v>0</v>
      </c>
      <c r="F2655" s="21">
        <f t="shared" ca="1" si="164"/>
        <v>0</v>
      </c>
      <c r="H2655" s="21">
        <v>2640</v>
      </c>
      <c r="I2655" s="102">
        <v>0.66780015292951489</v>
      </c>
      <c r="J2655" s="103">
        <v>1.4290628852088819E-3</v>
      </c>
      <c r="K2655" s="103"/>
      <c r="L2655" s="103">
        <v>4.3400000000000001E-2</v>
      </c>
      <c r="O2655" s="100"/>
    </row>
    <row r="2656" spans="2:15" x14ac:dyDescent="0.2">
      <c r="B2656" s="1">
        <v>2641</v>
      </c>
      <c r="C2656" s="101">
        <f ca="1"/>
        <v>0.19804403948187849</v>
      </c>
      <c r="D2656" s="101">
        <f t="shared" ca="1" si="162"/>
        <v>0.67761105808673228</v>
      </c>
      <c r="E2656" s="101">
        <f t="shared" ca="1" si="163"/>
        <v>0</v>
      </c>
      <c r="F2656" s="21">
        <f t="shared" ca="1" si="164"/>
        <v>0</v>
      </c>
      <c r="H2656" s="21">
        <v>2641</v>
      </c>
      <c r="I2656" s="102">
        <v>0.66774952232396156</v>
      </c>
      <c r="J2656" s="103">
        <v>1.3349452472602166E-3</v>
      </c>
      <c r="K2656" s="103"/>
      <c r="L2656" s="103">
        <v>4.2000000000000003E-2</v>
      </c>
      <c r="O2656" s="100"/>
    </row>
    <row r="2657" spans="2:15" x14ac:dyDescent="0.2">
      <c r="B2657" s="1">
        <v>2642</v>
      </c>
      <c r="C2657" s="101">
        <f ca="1"/>
        <v>-0.18117321112635329</v>
      </c>
      <c r="D2657" s="101">
        <f t="shared" ca="1" si="162"/>
        <v>0.65273222113533524</v>
      </c>
      <c r="E2657" s="101">
        <f t="shared" ca="1" si="163"/>
        <v>0</v>
      </c>
      <c r="F2657" s="21">
        <f t="shared" ca="1" si="164"/>
        <v>0</v>
      </c>
      <c r="H2657" s="21">
        <v>2642</v>
      </c>
      <c r="I2657" s="102">
        <v>0.66767942170204475</v>
      </c>
      <c r="J2657" s="103">
        <v>1.2729440161354879E-3</v>
      </c>
      <c r="K2657" s="103"/>
      <c r="L2657" s="103">
        <v>3.9199999999999999E-2</v>
      </c>
      <c r="O2657" s="100"/>
    </row>
    <row r="2658" spans="2:15" x14ac:dyDescent="0.2">
      <c r="B2658" s="1">
        <v>2643</v>
      </c>
      <c r="C2658" s="101">
        <f ca="1"/>
        <v>0.81391365263924742</v>
      </c>
      <c r="D2658" s="101">
        <f t="shared" ca="1" si="162"/>
        <v>0.72005216288419593</v>
      </c>
      <c r="E2658" s="101">
        <f t="shared" ca="1" si="163"/>
        <v>0</v>
      </c>
      <c r="F2658" s="21">
        <f t="shared" ca="1" si="164"/>
        <v>0</v>
      </c>
      <c r="H2658" s="21">
        <v>2643</v>
      </c>
      <c r="I2658" s="102">
        <v>0.66780486928363503</v>
      </c>
      <c r="J2658" s="103">
        <v>1.435398217665577E-3</v>
      </c>
      <c r="K2658" s="103"/>
      <c r="L2658" s="103">
        <v>4.3799999999999999E-2</v>
      </c>
      <c r="O2658" s="100"/>
    </row>
    <row r="2659" spans="2:15" x14ac:dyDescent="0.2">
      <c r="B2659" s="1">
        <v>2644</v>
      </c>
      <c r="C2659" s="101">
        <f ca="1"/>
        <v>-0.61999750015520283</v>
      </c>
      <c r="D2659" s="101">
        <f t="shared" ca="1" si="162"/>
        <v>0.62508069955767032</v>
      </c>
      <c r="E2659" s="101">
        <f t="shared" ca="1" si="163"/>
        <v>0</v>
      </c>
      <c r="F2659" s="21">
        <f t="shared" ca="1" si="164"/>
        <v>0</v>
      </c>
      <c r="H2659" s="21">
        <v>2644</v>
      </c>
      <c r="I2659" s="102">
        <v>0.66768624447465941</v>
      </c>
      <c r="J2659" s="103">
        <v>1.4114088940117254E-3</v>
      </c>
      <c r="K2659" s="103"/>
      <c r="L2659" s="103">
        <v>3.9600000000000003E-2</v>
      </c>
      <c r="O2659" s="100"/>
    </row>
    <row r="2660" spans="2:15" x14ac:dyDescent="0.2">
      <c r="B2660" s="1">
        <v>2645</v>
      </c>
      <c r="C2660" s="101">
        <f ca="1"/>
        <v>-9.7245144913087792E-2</v>
      </c>
      <c r="D2660" s="101">
        <f t="shared" ca="1" si="162"/>
        <v>0.65815847517754567</v>
      </c>
      <c r="E2660" s="101">
        <f t="shared" ca="1" si="163"/>
        <v>0</v>
      </c>
      <c r="F2660" s="21">
        <f t="shared" ca="1" si="164"/>
        <v>0</v>
      </c>
      <c r="H2660" s="21">
        <v>2645</v>
      </c>
      <c r="I2660" s="102">
        <v>0.66760710508548748</v>
      </c>
      <c r="J2660" s="103">
        <v>1.28977540737662E-3</v>
      </c>
      <c r="K2660" s="103"/>
      <c r="L2660" s="103">
        <v>4.1599999999999998E-2</v>
      </c>
      <c r="O2660" s="100"/>
    </row>
    <row r="2661" spans="2:15" x14ac:dyDescent="0.2">
      <c r="B2661" s="1">
        <v>2646</v>
      </c>
      <c r="C2661" s="101">
        <f ca="1"/>
        <v>0.47117959921573738</v>
      </c>
      <c r="D2661" s="101">
        <f t="shared" ca="1" si="162"/>
        <v>0.69611572385601983</v>
      </c>
      <c r="E2661" s="101">
        <f t="shared" ca="1" si="163"/>
        <v>0</v>
      </c>
      <c r="F2661" s="21">
        <f t="shared" ca="1" si="164"/>
        <v>0</v>
      </c>
      <c r="H2661" s="21">
        <v>2646</v>
      </c>
      <c r="I2661" s="102">
        <v>0.66768906226396352</v>
      </c>
      <c r="J2661" s="103">
        <v>1.3307631513009492E-3</v>
      </c>
      <c r="K2661" s="103"/>
      <c r="L2661" s="103">
        <v>4.0800000000000003E-2</v>
      </c>
      <c r="O2661" s="100"/>
    </row>
    <row r="2662" spans="2:15" x14ac:dyDescent="0.2">
      <c r="B2662" s="1">
        <v>2647</v>
      </c>
      <c r="C2662" s="101">
        <f ca="1"/>
        <v>-0.42388356855302151</v>
      </c>
      <c r="D2662" s="101">
        <f t="shared" ca="1" si="162"/>
        <v>0.63729056585517807</v>
      </c>
      <c r="E2662" s="101">
        <f t="shared" ca="1" si="163"/>
        <v>0</v>
      </c>
      <c r="F2662" s="21">
        <f t="shared" ca="1" si="164"/>
        <v>0</v>
      </c>
      <c r="H2662" s="21">
        <v>2647</v>
      </c>
      <c r="I2662" s="102">
        <v>0.66756819167472337</v>
      </c>
      <c r="J2662" s="103">
        <v>1.1642924509004705E-3</v>
      </c>
      <c r="K2662" s="103"/>
      <c r="L2662" s="103">
        <v>3.56E-2</v>
      </c>
      <c r="O2662" s="100"/>
    </row>
    <row r="2663" spans="2:15" x14ac:dyDescent="0.2">
      <c r="B2663" s="1">
        <v>2648</v>
      </c>
      <c r="C2663" s="101">
        <f ca="1"/>
        <v>0.90222738365765465</v>
      </c>
      <c r="D2663" s="101">
        <f t="shared" ca="1" si="162"/>
        <v>0.72635221466503508</v>
      </c>
      <c r="E2663" s="101">
        <f t="shared" ca="1" si="163"/>
        <v>0</v>
      </c>
      <c r="F2663" s="21">
        <f t="shared" ca="1" si="164"/>
        <v>0</v>
      </c>
      <c r="H2663" s="21">
        <v>2648</v>
      </c>
      <c r="I2663" s="102">
        <v>0.66784814388410518</v>
      </c>
      <c r="J2663" s="103">
        <v>1.5082682339294087E-3</v>
      </c>
      <c r="K2663" s="103"/>
      <c r="L2663" s="103">
        <v>4.3799999999999999E-2</v>
      </c>
      <c r="O2663" s="100"/>
    </row>
    <row r="2664" spans="2:15" x14ac:dyDescent="0.2">
      <c r="B2664" s="1">
        <v>2649</v>
      </c>
      <c r="C2664" s="101">
        <f ca="1"/>
        <v>-1.0932522241933211</v>
      </c>
      <c r="D2664" s="101">
        <f t="shared" ca="1" si="162"/>
        <v>0.59657101501757137</v>
      </c>
      <c r="E2664" s="101">
        <f t="shared" ca="1" si="163"/>
        <v>0</v>
      </c>
      <c r="F2664" s="21">
        <f t="shared" ca="1" si="164"/>
        <v>0</v>
      </c>
      <c r="H2664" s="21">
        <v>2649</v>
      </c>
      <c r="I2664" s="102">
        <v>0.66773142187220547</v>
      </c>
      <c r="J2664" s="103">
        <v>1.2219047655492798E-3</v>
      </c>
      <c r="K2664" s="103"/>
      <c r="L2664" s="103">
        <v>4.0599999999999997E-2</v>
      </c>
      <c r="O2664" s="100"/>
    </row>
    <row r="2665" spans="2:15" x14ac:dyDescent="0.2">
      <c r="B2665" s="1">
        <v>2650</v>
      </c>
      <c r="C2665" s="101">
        <f ca="1"/>
        <v>-0.53485064346130007</v>
      </c>
      <c r="D2665" s="101">
        <f t="shared" ca="1" si="162"/>
        <v>0.63035286106764699</v>
      </c>
      <c r="E2665" s="101">
        <f t="shared" ca="1" si="163"/>
        <v>0</v>
      </c>
      <c r="F2665" s="21">
        <f t="shared" ca="1" si="164"/>
        <v>0</v>
      </c>
      <c r="H2665" s="21">
        <v>2650</v>
      </c>
      <c r="I2665" s="102">
        <v>0.66762166574317228</v>
      </c>
      <c r="J2665" s="103">
        <v>1.195105252866186E-3</v>
      </c>
      <c r="K2665" s="103"/>
      <c r="L2665" s="103">
        <v>3.8800000000000001E-2</v>
      </c>
      <c r="O2665" s="100"/>
    </row>
    <row r="2666" spans="2:15" x14ac:dyDescent="0.2">
      <c r="B2666" s="1">
        <v>2651</v>
      </c>
      <c r="C2666" s="101">
        <f ca="1"/>
        <v>2.4117690798985616</v>
      </c>
      <c r="D2666" s="101">
        <f t="shared" ca="1" si="162"/>
        <v>0.84297578733237788</v>
      </c>
      <c r="E2666" s="101">
        <f t="shared" ca="1" si="163"/>
        <v>5.4775787332377868E-2</v>
      </c>
      <c r="F2666" s="21">
        <f t="shared" ca="1" si="164"/>
        <v>1</v>
      </c>
      <c r="H2666" s="21">
        <v>2651</v>
      </c>
      <c r="I2666" s="102">
        <v>0.66768534659144985</v>
      </c>
      <c r="J2666" s="103">
        <v>1.3407133273357118E-3</v>
      </c>
      <c r="K2666" s="103"/>
      <c r="L2666" s="103">
        <v>3.9800000000000002E-2</v>
      </c>
      <c r="O2666" s="100"/>
    </row>
    <row r="2667" spans="2:15" x14ac:dyDescent="0.2">
      <c r="B2667" s="1">
        <v>2652</v>
      </c>
      <c r="C2667" s="101">
        <f ca="1"/>
        <v>-1.282279953469651</v>
      </c>
      <c r="D2667" s="101">
        <f t="shared" ca="1" si="162"/>
        <v>0.58555044793345312</v>
      </c>
      <c r="E2667" s="101">
        <f t="shared" ca="1" si="163"/>
        <v>0</v>
      </c>
      <c r="F2667" s="21">
        <f t="shared" ca="1" si="164"/>
        <v>0</v>
      </c>
      <c r="H2667" s="21">
        <v>2652</v>
      </c>
      <c r="I2667" s="102">
        <v>0.66773389899532709</v>
      </c>
      <c r="J2667" s="103">
        <v>1.4581996705240617E-3</v>
      </c>
      <c r="K2667" s="103"/>
      <c r="L2667" s="103">
        <v>4.3200000000000002E-2</v>
      </c>
      <c r="O2667" s="100"/>
    </row>
    <row r="2668" spans="2:15" x14ac:dyDescent="0.2">
      <c r="B2668" s="1">
        <v>2653</v>
      </c>
      <c r="C2668" s="101">
        <f ca="1"/>
        <v>1.5389307726598589</v>
      </c>
      <c r="D2668" s="101">
        <f t="shared" ca="1" si="162"/>
        <v>0.77343397511383782</v>
      </c>
      <c r="E2668" s="101">
        <f t="shared" ca="1" si="163"/>
        <v>0</v>
      </c>
      <c r="F2668" s="21">
        <f t="shared" ca="1" si="164"/>
        <v>0</v>
      </c>
      <c r="H2668" s="21">
        <v>2653</v>
      </c>
      <c r="I2668" s="102">
        <v>0.66767651228012659</v>
      </c>
      <c r="J2668" s="103">
        <v>1.262658958039482E-3</v>
      </c>
      <c r="K2668" s="103"/>
      <c r="L2668" s="103">
        <v>3.9600000000000003E-2</v>
      </c>
      <c r="O2668" s="100"/>
    </row>
    <row r="2669" spans="2:15" x14ac:dyDescent="0.2">
      <c r="B2669" s="1">
        <v>2654</v>
      </c>
      <c r="C2669" s="101">
        <f ca="1"/>
        <v>0.84052610183488963</v>
      </c>
      <c r="D2669" s="101">
        <f t="shared" ca="1" si="162"/>
        <v>0.72194484579313056</v>
      </c>
      <c r="E2669" s="101">
        <f t="shared" ca="1" si="163"/>
        <v>0</v>
      </c>
      <c r="F2669" s="21">
        <f t="shared" ca="1" si="164"/>
        <v>0</v>
      </c>
      <c r="H2669" s="21">
        <v>2654</v>
      </c>
      <c r="I2669" s="102">
        <v>0.66781611803687224</v>
      </c>
      <c r="J2669" s="103">
        <v>1.4495221840147277E-3</v>
      </c>
      <c r="K2669" s="103"/>
      <c r="L2669" s="103">
        <v>4.1000000000000002E-2</v>
      </c>
      <c r="O2669" s="100"/>
    </row>
    <row r="2670" spans="2:15" x14ac:dyDescent="0.2">
      <c r="B2670" s="1">
        <v>2655</v>
      </c>
      <c r="C2670" s="101">
        <f ca="1"/>
        <v>-7.4031073278206988E-2</v>
      </c>
      <c r="D2670" s="101">
        <f t="shared" ca="1" si="162"/>
        <v>0.65966729726214657</v>
      </c>
      <c r="E2670" s="101">
        <f t="shared" ca="1" si="163"/>
        <v>0</v>
      </c>
      <c r="F2670" s="21">
        <f t="shared" ca="1" si="164"/>
        <v>0</v>
      </c>
      <c r="H2670" s="21">
        <v>2655</v>
      </c>
      <c r="I2670" s="102">
        <v>0.66770450260209069</v>
      </c>
      <c r="J2670" s="103">
        <v>1.3605752410663021E-3</v>
      </c>
      <c r="K2670" s="103"/>
      <c r="L2670" s="103">
        <v>4.1200000000000001E-2</v>
      </c>
      <c r="O2670" s="100"/>
    </row>
    <row r="2671" spans="2:15" x14ac:dyDescent="0.2">
      <c r="B2671" s="1">
        <v>2656</v>
      </c>
      <c r="C2671" s="101">
        <f ca="1"/>
        <v>-0.39528363764298013</v>
      </c>
      <c r="D2671" s="101">
        <f t="shared" ca="1" si="162"/>
        <v>0.63909098706218381</v>
      </c>
      <c r="E2671" s="101">
        <f t="shared" ca="1" si="163"/>
        <v>0</v>
      </c>
      <c r="F2671" s="21">
        <f t="shared" ca="1" si="164"/>
        <v>0</v>
      </c>
      <c r="H2671" s="21">
        <v>2656</v>
      </c>
      <c r="I2671" s="102">
        <v>0.66783931585382794</v>
      </c>
      <c r="J2671" s="103">
        <v>1.5871364078296703E-3</v>
      </c>
      <c r="K2671" s="103"/>
      <c r="L2671" s="103">
        <v>4.3999999999999997E-2</v>
      </c>
      <c r="O2671" s="100"/>
    </row>
    <row r="2672" spans="2:15" x14ac:dyDescent="0.2">
      <c r="B2672" s="1">
        <v>2657</v>
      </c>
      <c r="C2672" s="101">
        <f ca="1"/>
        <v>0.48743241659206282</v>
      </c>
      <c r="D2672" s="101">
        <f t="shared" ca="1" si="162"/>
        <v>0.69723263127749102</v>
      </c>
      <c r="E2672" s="101">
        <f t="shared" ca="1" si="163"/>
        <v>0</v>
      </c>
      <c r="F2672" s="21">
        <f t="shared" ca="1" si="164"/>
        <v>0</v>
      </c>
      <c r="H2672" s="21">
        <v>2657</v>
      </c>
      <c r="I2672" s="102">
        <v>0.66769355316658519</v>
      </c>
      <c r="J2672" s="103">
        <v>1.2837196517319551E-3</v>
      </c>
      <c r="K2672" s="103"/>
      <c r="L2672" s="103">
        <v>4.3400000000000001E-2</v>
      </c>
      <c r="O2672" s="100"/>
    </row>
    <row r="2673" spans="2:15" x14ac:dyDescent="0.2">
      <c r="B2673" s="1">
        <v>2658</v>
      </c>
      <c r="C2673" s="101">
        <f ca="1"/>
        <v>0.90473806618491226</v>
      </c>
      <c r="D2673" s="101">
        <f t="shared" ca="1" si="162"/>
        <v>0.72653212319089566</v>
      </c>
      <c r="E2673" s="101">
        <f t="shared" ca="1" si="163"/>
        <v>0</v>
      </c>
      <c r="F2673" s="21">
        <f t="shared" ca="1" si="164"/>
        <v>0</v>
      </c>
      <c r="H2673" s="21">
        <v>2658</v>
      </c>
      <c r="I2673" s="102">
        <v>0.66781508245909094</v>
      </c>
      <c r="J2673" s="103">
        <v>1.5446693947963562E-3</v>
      </c>
      <c r="K2673" s="103"/>
      <c r="L2673" s="103">
        <v>4.3400000000000001E-2</v>
      </c>
      <c r="O2673" s="100"/>
    </row>
    <row r="2674" spans="2:15" x14ac:dyDescent="0.2">
      <c r="B2674" s="1">
        <v>2659</v>
      </c>
      <c r="C2674" s="101">
        <f ca="1"/>
        <v>9.3914830922753989E-2</v>
      </c>
      <c r="D2674" s="101">
        <f t="shared" ca="1" si="162"/>
        <v>0.6706866373787459</v>
      </c>
      <c r="E2674" s="101">
        <f t="shared" ca="1" si="163"/>
        <v>0</v>
      </c>
      <c r="F2674" s="21">
        <f t="shared" ca="1" si="164"/>
        <v>0</v>
      </c>
      <c r="H2674" s="21">
        <v>2659</v>
      </c>
      <c r="I2674" s="102">
        <v>0.66766102060602972</v>
      </c>
      <c r="J2674" s="103">
        <v>1.2713707615860481E-3</v>
      </c>
      <c r="K2674" s="103"/>
      <c r="L2674" s="103">
        <v>3.7600000000000001E-2</v>
      </c>
      <c r="O2674" s="100"/>
    </row>
    <row r="2675" spans="2:15" x14ac:dyDescent="0.2">
      <c r="B2675" s="1">
        <v>2660</v>
      </c>
      <c r="C2675" s="101">
        <f ca="1"/>
        <v>-0.53391906335240435</v>
      </c>
      <c r="D2675" s="101">
        <f t="shared" ca="1" si="162"/>
        <v>0.6304107883014628</v>
      </c>
      <c r="E2675" s="101">
        <f t="shared" ca="1" si="163"/>
        <v>0</v>
      </c>
      <c r="F2675" s="21">
        <f t="shared" ca="1" si="164"/>
        <v>0</v>
      </c>
      <c r="H2675" s="21">
        <v>2660</v>
      </c>
      <c r="I2675" s="102">
        <v>0.66773781448710945</v>
      </c>
      <c r="J2675" s="103">
        <v>1.378994932059482E-3</v>
      </c>
      <c r="K2675" s="103"/>
      <c r="L2675" s="103">
        <v>0.04</v>
      </c>
      <c r="O2675" s="100"/>
    </row>
    <row r="2676" spans="2:15" x14ac:dyDescent="0.2">
      <c r="B2676" s="1">
        <v>2661</v>
      </c>
      <c r="C2676" s="101">
        <f ca="1"/>
        <v>-1.1865214939715527</v>
      </c>
      <c r="D2676" s="101">
        <f t="shared" ca="1" si="162"/>
        <v>0.59110761048203486</v>
      </c>
      <c r="E2676" s="101">
        <f t="shared" ca="1" si="163"/>
        <v>0</v>
      </c>
      <c r="F2676" s="21">
        <f t="shared" ca="1" si="164"/>
        <v>0</v>
      </c>
      <c r="H2676" s="21">
        <v>2661</v>
      </c>
      <c r="I2676" s="102">
        <v>0.66775036968219825</v>
      </c>
      <c r="J2676" s="103">
        <v>1.3113920315168343E-3</v>
      </c>
      <c r="K2676" s="103"/>
      <c r="L2676" s="103">
        <v>4.1399999999999999E-2</v>
      </c>
      <c r="O2676" s="100"/>
    </row>
    <row r="2677" spans="2:15" x14ac:dyDescent="0.2">
      <c r="B2677" s="1">
        <v>2662</v>
      </c>
      <c r="C2677" s="101">
        <f ca="1"/>
        <v>-2.0227809582943905</v>
      </c>
      <c r="D2677" s="101">
        <f t="shared" ca="1" si="162"/>
        <v>0.54430423204669109</v>
      </c>
      <c r="E2677" s="101">
        <f t="shared" ca="1" si="163"/>
        <v>0</v>
      </c>
      <c r="F2677" s="21">
        <f t="shared" ca="1" si="164"/>
        <v>0</v>
      </c>
      <c r="H2677" s="21">
        <v>2662</v>
      </c>
      <c r="I2677" s="102">
        <v>0.6677695527371883</v>
      </c>
      <c r="J2677" s="103">
        <v>1.3220163252907094E-3</v>
      </c>
      <c r="K2677" s="103"/>
      <c r="L2677" s="103">
        <v>4.1799999999999997E-2</v>
      </c>
      <c r="O2677" s="100"/>
    </row>
    <row r="2678" spans="2:15" x14ac:dyDescent="0.2">
      <c r="B2678" s="1">
        <v>2663</v>
      </c>
      <c r="C2678" s="101">
        <f ca="1"/>
        <v>1.2596753315735962</v>
      </c>
      <c r="D2678" s="101">
        <f t="shared" ca="1" si="162"/>
        <v>0.7524196254024178</v>
      </c>
      <c r="E2678" s="101">
        <f t="shared" ca="1" si="163"/>
        <v>0</v>
      </c>
      <c r="F2678" s="21">
        <f t="shared" ca="1" si="164"/>
        <v>0</v>
      </c>
      <c r="H2678" s="21">
        <v>2663</v>
      </c>
      <c r="I2678" s="102">
        <v>0.66777462893005879</v>
      </c>
      <c r="J2678" s="103">
        <v>1.2972491790517525E-3</v>
      </c>
      <c r="K2678" s="103"/>
      <c r="L2678" s="103">
        <v>4.24E-2</v>
      </c>
      <c r="O2678" s="100"/>
    </row>
    <row r="2679" spans="2:15" x14ac:dyDescent="0.2">
      <c r="B2679" s="1">
        <v>2664</v>
      </c>
      <c r="C2679" s="101">
        <f ca="1"/>
        <v>1.1390678540116599</v>
      </c>
      <c r="D2679" s="101">
        <f t="shared" ca="1" si="162"/>
        <v>0.74352121491361989</v>
      </c>
      <c r="E2679" s="101">
        <f t="shared" ca="1" si="163"/>
        <v>0</v>
      </c>
      <c r="F2679" s="21">
        <f t="shared" ca="1" si="164"/>
        <v>0</v>
      </c>
      <c r="H2679" s="21">
        <v>2664</v>
      </c>
      <c r="I2679" s="102">
        <v>0.66768564888185988</v>
      </c>
      <c r="J2679" s="103">
        <v>1.2460419987292458E-3</v>
      </c>
      <c r="K2679" s="103"/>
      <c r="L2679" s="103">
        <v>3.9600000000000003E-2</v>
      </c>
      <c r="O2679" s="100"/>
    </row>
    <row r="2680" spans="2:15" x14ac:dyDescent="0.2">
      <c r="B2680" s="1">
        <v>2665</v>
      </c>
      <c r="C2680" s="101">
        <f ca="1"/>
        <v>0.55472178765117819</v>
      </c>
      <c r="D2680" s="101">
        <f t="shared" ca="1" si="162"/>
        <v>0.70187591465122046</v>
      </c>
      <c r="E2680" s="101">
        <f t="shared" ca="1" si="163"/>
        <v>0</v>
      </c>
      <c r="F2680" s="21">
        <f t="shared" ca="1" si="164"/>
        <v>0</v>
      </c>
      <c r="H2680" s="21">
        <v>2665</v>
      </c>
      <c r="I2680" s="102">
        <v>0.66766305768081247</v>
      </c>
      <c r="J2680" s="103">
        <v>1.2767546799674248E-3</v>
      </c>
      <c r="K2680" s="103"/>
      <c r="L2680" s="103">
        <v>3.9199999999999999E-2</v>
      </c>
      <c r="O2680" s="100"/>
    </row>
    <row r="2681" spans="2:15" x14ac:dyDescent="0.2">
      <c r="B2681" s="1">
        <v>2666</v>
      </c>
      <c r="C2681" s="101">
        <f ca="1"/>
        <v>2.6133250373954491</v>
      </c>
      <c r="D2681" s="101">
        <f t="shared" ca="1" si="162"/>
        <v>0.85990333556754961</v>
      </c>
      <c r="E2681" s="101">
        <f t="shared" ca="1" si="163"/>
        <v>7.1703335567549598E-2</v>
      </c>
      <c r="F2681" s="21">
        <f t="shared" ca="1" si="164"/>
        <v>1</v>
      </c>
      <c r="H2681" s="21">
        <v>2666</v>
      </c>
      <c r="I2681" s="102">
        <v>0.66780879008777028</v>
      </c>
      <c r="J2681" s="103">
        <v>1.4480038366567474E-3</v>
      </c>
      <c r="K2681" s="103"/>
      <c r="L2681" s="103">
        <v>4.3200000000000002E-2</v>
      </c>
      <c r="O2681" s="100"/>
    </row>
    <row r="2682" spans="2:15" x14ac:dyDescent="0.2">
      <c r="B2682" s="1">
        <v>2667</v>
      </c>
      <c r="C2682" s="101">
        <f ca="1"/>
        <v>-0.84104986237265533</v>
      </c>
      <c r="D2682" s="101">
        <f t="shared" ca="1" si="162"/>
        <v>0.61159840284887002</v>
      </c>
      <c r="E2682" s="101">
        <f t="shared" ca="1" si="163"/>
        <v>0</v>
      </c>
      <c r="F2682" s="21">
        <f t="shared" ca="1" si="164"/>
        <v>0</v>
      </c>
      <c r="H2682" s="21">
        <v>2667</v>
      </c>
      <c r="I2682" s="102">
        <v>0.66769617574074913</v>
      </c>
      <c r="J2682" s="103">
        <v>1.4766855216996183E-3</v>
      </c>
      <c r="K2682" s="103"/>
      <c r="L2682" s="103">
        <v>4.0800000000000003E-2</v>
      </c>
      <c r="O2682" s="100"/>
    </row>
    <row r="2683" spans="2:15" x14ac:dyDescent="0.2">
      <c r="B2683" s="1">
        <v>2668</v>
      </c>
      <c r="C2683" s="101">
        <f ca="1"/>
        <v>-0.42025084544771291</v>
      </c>
      <c r="D2683" s="101">
        <f t="shared" ca="1" si="162"/>
        <v>0.63751897132515356</v>
      </c>
      <c r="E2683" s="101">
        <f t="shared" ca="1" si="163"/>
        <v>0</v>
      </c>
      <c r="F2683" s="21">
        <f t="shared" ca="1" si="164"/>
        <v>0</v>
      </c>
      <c r="H2683" s="21">
        <v>2668</v>
      </c>
      <c r="I2683" s="102">
        <v>0.66784161153601063</v>
      </c>
      <c r="J2683" s="103">
        <v>1.6796096794811683E-3</v>
      </c>
      <c r="K2683" s="103"/>
      <c r="L2683" s="103">
        <v>4.9000000000000002E-2</v>
      </c>
      <c r="O2683" s="100"/>
    </row>
    <row r="2684" spans="2:15" x14ac:dyDescent="0.2">
      <c r="B2684" s="1">
        <v>2669</v>
      </c>
      <c r="C2684" s="101">
        <f ca="1"/>
        <v>-8.8466840740711858E-2</v>
      </c>
      <c r="D2684" s="101">
        <f t="shared" ca="1" si="162"/>
        <v>0.65872862375647934</v>
      </c>
      <c r="E2684" s="101">
        <f t="shared" ca="1" si="163"/>
        <v>0</v>
      </c>
      <c r="F2684" s="21">
        <f t="shared" ca="1" si="164"/>
        <v>0</v>
      </c>
      <c r="H2684" s="21">
        <v>2669</v>
      </c>
      <c r="I2684" s="102">
        <v>0.66778634407800086</v>
      </c>
      <c r="J2684" s="103">
        <v>1.3729049610955734E-3</v>
      </c>
      <c r="K2684" s="103"/>
      <c r="L2684" s="103">
        <v>4.4600000000000001E-2</v>
      </c>
      <c r="O2684" s="100"/>
    </row>
    <row r="2685" spans="2:15" x14ac:dyDescent="0.2">
      <c r="B2685" s="1">
        <v>2670</v>
      </c>
      <c r="C2685" s="101">
        <f ca="1"/>
        <v>-0.37036381090537729</v>
      </c>
      <c r="D2685" s="101">
        <f t="shared" ca="1" si="162"/>
        <v>0.6406638848306947</v>
      </c>
      <c r="E2685" s="101">
        <f t="shared" ca="1" si="163"/>
        <v>0</v>
      </c>
      <c r="F2685" s="21">
        <f t="shared" ca="1" si="164"/>
        <v>0</v>
      </c>
      <c r="H2685" s="21">
        <v>2670</v>
      </c>
      <c r="I2685" s="102">
        <v>0.6677338751945997</v>
      </c>
      <c r="J2685" s="103">
        <v>1.4623075931405249E-3</v>
      </c>
      <c r="K2685" s="103"/>
      <c r="L2685" s="103">
        <v>4.2200000000000001E-2</v>
      </c>
      <c r="O2685" s="100"/>
    </row>
    <row r="2686" spans="2:15" x14ac:dyDescent="0.2">
      <c r="B2686" s="1">
        <v>2671</v>
      </c>
      <c r="C2686" s="101">
        <f ca="1"/>
        <v>-1.8554159983877005</v>
      </c>
      <c r="D2686" s="101">
        <f t="shared" ca="1" si="162"/>
        <v>0.55336479093381663</v>
      </c>
      <c r="E2686" s="101">
        <f t="shared" ca="1" si="163"/>
        <v>0</v>
      </c>
      <c r="F2686" s="21">
        <f t="shared" ca="1" si="164"/>
        <v>0</v>
      </c>
      <c r="H2686" s="21">
        <v>2671</v>
      </c>
      <c r="I2686" s="102">
        <v>0.66778043180915425</v>
      </c>
      <c r="J2686" s="103">
        <v>1.454995711008749E-3</v>
      </c>
      <c r="K2686" s="103"/>
      <c r="L2686" s="103">
        <v>4.1799999999999997E-2</v>
      </c>
      <c r="O2686" s="100"/>
    </row>
    <row r="2687" spans="2:15" x14ac:dyDescent="0.2">
      <c r="B2687" s="1">
        <v>2672</v>
      </c>
      <c r="C2687" s="101">
        <f ca="1"/>
        <v>0.12311712847525905</v>
      </c>
      <c r="D2687" s="101">
        <f t="shared" ca="1" si="162"/>
        <v>0.67262137123039711</v>
      </c>
      <c r="E2687" s="101">
        <f t="shared" ca="1" si="163"/>
        <v>0</v>
      </c>
      <c r="F2687" s="21">
        <f t="shared" ca="1" si="164"/>
        <v>0</v>
      </c>
      <c r="H2687" s="21">
        <v>2672</v>
      </c>
      <c r="I2687" s="102">
        <v>0.66774543071289671</v>
      </c>
      <c r="J2687" s="103">
        <v>1.479602269491821E-3</v>
      </c>
      <c r="K2687" s="103"/>
      <c r="L2687" s="103">
        <v>4.2200000000000001E-2</v>
      </c>
      <c r="O2687" s="100"/>
    </row>
    <row r="2688" spans="2:15" x14ac:dyDescent="0.2">
      <c r="B2688" s="1">
        <v>2673</v>
      </c>
      <c r="C2688" s="101">
        <f ca="1"/>
        <v>-2.281026796852377E-2</v>
      </c>
      <c r="D2688" s="101">
        <f t="shared" ca="1" si="162"/>
        <v>0.66300869253143024</v>
      </c>
      <c r="E2688" s="101">
        <f t="shared" ca="1" si="163"/>
        <v>0</v>
      </c>
      <c r="F2688" s="21">
        <f t="shared" ca="1" si="164"/>
        <v>0</v>
      </c>
      <c r="H2688" s="21">
        <v>2673</v>
      </c>
      <c r="I2688" s="102">
        <v>0.667576236777638</v>
      </c>
      <c r="J2688" s="103">
        <v>1.07540862605042E-3</v>
      </c>
      <c r="K2688" s="103"/>
      <c r="L2688" s="103">
        <v>3.6200000000000003E-2</v>
      </c>
      <c r="O2688" s="100"/>
    </row>
    <row r="2689" spans="2:15" x14ac:dyDescent="0.2">
      <c r="B2689" s="1">
        <v>2674</v>
      </c>
      <c r="C2689" s="101">
        <f ca="1"/>
        <v>1.40427757124438</v>
      </c>
      <c r="D2689" s="101">
        <f t="shared" ca="1" si="162"/>
        <v>0.76322886272268597</v>
      </c>
      <c r="E2689" s="101">
        <f t="shared" ca="1" si="163"/>
        <v>0</v>
      </c>
      <c r="F2689" s="21">
        <f t="shared" ca="1" si="164"/>
        <v>0</v>
      </c>
      <c r="H2689" s="21">
        <v>2674</v>
      </c>
      <c r="I2689" s="102">
        <v>0.66770896249797129</v>
      </c>
      <c r="J2689" s="103">
        <v>1.258981573184427E-3</v>
      </c>
      <c r="K2689" s="103"/>
      <c r="L2689" s="103">
        <v>4.1799999999999997E-2</v>
      </c>
      <c r="O2689" s="100"/>
    </row>
    <row r="2690" spans="2:15" x14ac:dyDescent="0.2">
      <c r="B2690" s="1">
        <v>2675</v>
      </c>
      <c r="C2690" s="101">
        <f ca="1"/>
        <v>-0.28349908680396646</v>
      </c>
      <c r="D2690" s="101">
        <f t="shared" ca="1" si="162"/>
        <v>0.64617696784848744</v>
      </c>
      <c r="E2690" s="101">
        <f t="shared" ca="1" si="163"/>
        <v>0</v>
      </c>
      <c r="F2690" s="21">
        <f t="shared" ca="1" si="164"/>
        <v>0</v>
      </c>
      <c r="H2690" s="21">
        <v>2675</v>
      </c>
      <c r="I2690" s="102">
        <v>0.66774055998993687</v>
      </c>
      <c r="J2690" s="103">
        <v>1.3985502711181955E-3</v>
      </c>
      <c r="K2690" s="103"/>
      <c r="L2690" s="103">
        <v>4.2200000000000001E-2</v>
      </c>
      <c r="O2690" s="100"/>
    </row>
    <row r="2691" spans="2:15" x14ac:dyDescent="0.2">
      <c r="B2691" s="1">
        <v>2676</v>
      </c>
      <c r="C2691" s="101">
        <f ca="1"/>
        <v>-6.9149519347019045E-2</v>
      </c>
      <c r="D2691" s="101">
        <f t="shared" ca="1" si="162"/>
        <v>0.65998501869512161</v>
      </c>
      <c r="E2691" s="101">
        <f t="shared" ca="1" si="163"/>
        <v>0</v>
      </c>
      <c r="F2691" s="21">
        <f t="shared" ca="1" si="164"/>
        <v>0</v>
      </c>
      <c r="H2691" s="21">
        <v>2676</v>
      </c>
      <c r="I2691" s="102">
        <v>0.66769479520021291</v>
      </c>
      <c r="J2691" s="103">
        <v>1.3958287804061403E-3</v>
      </c>
      <c r="K2691" s="103"/>
      <c r="L2691" s="103">
        <v>4.2200000000000001E-2</v>
      </c>
      <c r="O2691" s="100"/>
    </row>
    <row r="2692" spans="2:15" x14ac:dyDescent="0.2">
      <c r="B2692" s="1">
        <v>2677</v>
      </c>
      <c r="C2692" s="101">
        <f ca="1"/>
        <v>0.27200966756510259</v>
      </c>
      <c r="D2692" s="101">
        <f t="shared" ca="1" si="162"/>
        <v>0.68257303362634925</v>
      </c>
      <c r="E2692" s="101">
        <f t="shared" ca="1" si="163"/>
        <v>0</v>
      </c>
      <c r="F2692" s="21">
        <f t="shared" ca="1" si="164"/>
        <v>0</v>
      </c>
      <c r="H2692" s="21">
        <v>2677</v>
      </c>
      <c r="I2692" s="102">
        <v>0.66769964813785754</v>
      </c>
      <c r="J2692" s="103">
        <v>1.3917162406566672E-3</v>
      </c>
      <c r="K2692" s="103"/>
      <c r="L2692" s="103">
        <v>4.02E-2</v>
      </c>
      <c r="O2692" s="100"/>
    </row>
    <row r="2693" spans="2:15" x14ac:dyDescent="0.2">
      <c r="B2693" s="1">
        <v>2678</v>
      </c>
      <c r="C2693" s="101">
        <f ca="1"/>
        <v>-0.54501692625431608</v>
      </c>
      <c r="D2693" s="101">
        <f t="shared" ca="1" si="162"/>
        <v>0.62972105022482072</v>
      </c>
      <c r="E2693" s="101">
        <f t="shared" ca="1" si="163"/>
        <v>0</v>
      </c>
      <c r="F2693" s="21">
        <f t="shared" ca="1" si="164"/>
        <v>0</v>
      </c>
      <c r="H2693" s="21">
        <v>2678</v>
      </c>
      <c r="I2693" s="102">
        <v>0.66783737799189735</v>
      </c>
      <c r="J2693" s="103">
        <v>1.507077998202068E-3</v>
      </c>
      <c r="K2693" s="103"/>
      <c r="L2693" s="103">
        <v>4.3999999999999997E-2</v>
      </c>
      <c r="O2693" s="100"/>
    </row>
    <row r="2694" spans="2:15" x14ac:dyDescent="0.2">
      <c r="B2694" s="1">
        <v>2679</v>
      </c>
      <c r="C2694" s="101">
        <f ca="1"/>
        <v>0.14652181265011377</v>
      </c>
      <c r="D2694" s="101">
        <f t="shared" ca="1" si="162"/>
        <v>0.67417602529046949</v>
      </c>
      <c r="E2694" s="101">
        <f t="shared" ca="1" si="163"/>
        <v>0</v>
      </c>
      <c r="F2694" s="21">
        <f t="shared" ca="1" si="164"/>
        <v>0</v>
      </c>
      <c r="H2694" s="21">
        <v>2679</v>
      </c>
      <c r="I2694" s="102">
        <v>0.66769173096996359</v>
      </c>
      <c r="J2694" s="103">
        <v>1.3205781687727666E-3</v>
      </c>
      <c r="K2694" s="103"/>
      <c r="L2694" s="103">
        <v>3.9E-2</v>
      </c>
      <c r="O2694" s="100"/>
    </row>
    <row r="2695" spans="2:15" x14ac:dyDescent="0.2">
      <c r="B2695" s="1">
        <v>2680</v>
      </c>
      <c r="C2695" s="101">
        <f ca="1"/>
        <v>-1.2340212531435701</v>
      </c>
      <c r="D2695" s="101">
        <f t="shared" ca="1" si="162"/>
        <v>0.58834448997321809</v>
      </c>
      <c r="E2695" s="101">
        <f t="shared" ca="1" si="163"/>
        <v>0</v>
      </c>
      <c r="F2695" s="21">
        <f t="shared" ca="1" si="164"/>
        <v>0</v>
      </c>
      <c r="H2695" s="21">
        <v>2680</v>
      </c>
      <c r="I2695" s="102">
        <v>0.66782284596410579</v>
      </c>
      <c r="J2695" s="103">
        <v>1.4968715730774493E-3</v>
      </c>
      <c r="K2695" s="103"/>
      <c r="L2695" s="103">
        <v>4.4400000000000002E-2</v>
      </c>
      <c r="O2695" s="100"/>
    </row>
    <row r="2696" spans="2:15" x14ac:dyDescent="0.2">
      <c r="B2696" s="1">
        <v>2681</v>
      </c>
      <c r="C2696" s="101">
        <f ca="1"/>
        <v>2.0437437550935091</v>
      </c>
      <c r="D2696" s="101">
        <f t="shared" ca="1" si="162"/>
        <v>0.81292245980802569</v>
      </c>
      <c r="E2696" s="101">
        <f t="shared" ca="1" si="163"/>
        <v>2.4722459808025676E-2</v>
      </c>
      <c r="F2696" s="21">
        <f t="shared" ca="1" si="164"/>
        <v>1</v>
      </c>
      <c r="H2696" s="21">
        <v>2681</v>
      </c>
      <c r="I2696" s="102">
        <v>0.6675660940015552</v>
      </c>
      <c r="J2696" s="103">
        <v>1.13589574527276E-3</v>
      </c>
      <c r="K2696" s="103"/>
      <c r="L2696" s="103">
        <v>3.6799999999999999E-2</v>
      </c>
      <c r="O2696" s="100"/>
    </row>
    <row r="2697" spans="2:15" x14ac:dyDescent="0.2">
      <c r="B2697" s="1">
        <v>2682</v>
      </c>
      <c r="C2697" s="101">
        <f ca="1"/>
        <v>-1.0807726872114198</v>
      </c>
      <c r="D2697" s="101">
        <f t="shared" ca="1" si="162"/>
        <v>0.59730584498171302</v>
      </c>
      <c r="E2697" s="101">
        <f t="shared" ca="1" si="163"/>
        <v>0</v>
      </c>
      <c r="F2697" s="21">
        <f t="shared" ca="1" si="164"/>
        <v>0</v>
      </c>
      <c r="H2697" s="21">
        <v>2682</v>
      </c>
      <c r="I2697" s="102">
        <v>0.6676585508884596</v>
      </c>
      <c r="J2697" s="103">
        <v>1.4523996799448674E-3</v>
      </c>
      <c r="K2697" s="103"/>
      <c r="L2697" s="103">
        <v>3.8199999999999998E-2</v>
      </c>
      <c r="O2697" s="100"/>
    </row>
    <row r="2698" spans="2:15" x14ac:dyDescent="0.2">
      <c r="B2698" s="1">
        <v>2683</v>
      </c>
      <c r="C2698" s="101">
        <f ca="1"/>
        <v>1.6613381645675951</v>
      </c>
      <c r="D2698" s="101">
        <f t="shared" ca="1" si="162"/>
        <v>0.78282935528236819</v>
      </c>
      <c r="E2698" s="101">
        <f t="shared" ca="1" si="163"/>
        <v>0</v>
      </c>
      <c r="F2698" s="21">
        <f t="shared" ca="1" si="164"/>
        <v>0</v>
      </c>
      <c r="H2698" s="21">
        <v>2683</v>
      </c>
      <c r="I2698" s="102">
        <v>0.66769305598136375</v>
      </c>
      <c r="J2698" s="103">
        <v>1.3485605348733951E-3</v>
      </c>
      <c r="K2698" s="103"/>
      <c r="L2698" s="103">
        <v>4.1200000000000001E-2</v>
      </c>
      <c r="O2698" s="100"/>
    </row>
    <row r="2699" spans="2:15" x14ac:dyDescent="0.2">
      <c r="B2699" s="1">
        <v>2684</v>
      </c>
      <c r="C2699" s="101">
        <f ca="1"/>
        <v>1.3875576993983898</v>
      </c>
      <c r="D2699" s="101">
        <f t="shared" ca="1" si="162"/>
        <v>0.76197112946397605</v>
      </c>
      <c r="E2699" s="101">
        <f t="shared" ca="1" si="163"/>
        <v>0</v>
      </c>
      <c r="F2699" s="21">
        <f t="shared" ca="1" si="164"/>
        <v>0</v>
      </c>
      <c r="H2699" s="21">
        <v>2684</v>
      </c>
      <c r="I2699" s="102">
        <v>0.66779344353221359</v>
      </c>
      <c r="J2699" s="103">
        <v>1.354224499074541E-3</v>
      </c>
      <c r="K2699" s="103"/>
      <c r="L2699" s="103">
        <v>4.3400000000000001E-2</v>
      </c>
      <c r="O2699" s="100"/>
    </row>
    <row r="2700" spans="2:15" x14ac:dyDescent="0.2">
      <c r="B2700" s="1">
        <v>2685</v>
      </c>
      <c r="C2700" s="101">
        <f ca="1"/>
        <v>0.2127299811694992</v>
      </c>
      <c r="D2700" s="101">
        <f t="shared" ca="1" si="162"/>
        <v>0.67859338443087935</v>
      </c>
      <c r="E2700" s="101">
        <f t="shared" ca="1" si="163"/>
        <v>0</v>
      </c>
      <c r="F2700" s="21">
        <f t="shared" ca="1" si="164"/>
        <v>0</v>
      </c>
      <c r="H2700" s="21">
        <v>2685</v>
      </c>
      <c r="I2700" s="102">
        <v>0.6677571104632799</v>
      </c>
      <c r="J2700" s="103">
        <v>1.2604816645953453E-3</v>
      </c>
      <c r="K2700" s="103"/>
      <c r="L2700" s="103">
        <v>4.2599999999999999E-2</v>
      </c>
      <c r="O2700" s="100"/>
    </row>
    <row r="2701" spans="2:15" x14ac:dyDescent="0.2">
      <c r="B2701" s="1">
        <v>2686</v>
      </c>
      <c r="C2701" s="101">
        <f ca="1"/>
        <v>-0.46982051490328297</v>
      </c>
      <c r="D2701" s="101">
        <f t="shared" ca="1" si="162"/>
        <v>0.63440935575463475</v>
      </c>
      <c r="E2701" s="101">
        <f t="shared" ca="1" si="163"/>
        <v>0</v>
      </c>
      <c r="F2701" s="21">
        <f t="shared" ca="1" si="164"/>
        <v>0</v>
      </c>
      <c r="H2701" s="21">
        <v>2686</v>
      </c>
      <c r="I2701" s="102">
        <v>0.66767435852794377</v>
      </c>
      <c r="J2701" s="103">
        <v>1.3617890319235445E-3</v>
      </c>
      <c r="K2701" s="103"/>
      <c r="L2701" s="103">
        <v>3.8800000000000001E-2</v>
      </c>
      <c r="O2701" s="100"/>
    </row>
    <row r="2702" spans="2:15" x14ac:dyDescent="0.2">
      <c r="B2702" s="1">
        <v>2687</v>
      </c>
      <c r="C2702" s="101">
        <f ca="1"/>
        <v>-0.56551654212055691</v>
      </c>
      <c r="D2702" s="101">
        <f t="shared" ca="1" si="162"/>
        <v>0.62844897201513616</v>
      </c>
      <c r="E2702" s="101">
        <f t="shared" ca="1" si="163"/>
        <v>0</v>
      </c>
      <c r="F2702" s="21">
        <f t="shared" ca="1" si="164"/>
        <v>0</v>
      </c>
      <c r="H2702" s="21">
        <v>2687</v>
      </c>
      <c r="I2702" s="102">
        <v>0.667666694143772</v>
      </c>
      <c r="J2702" s="103">
        <v>1.3345341286705925E-3</v>
      </c>
      <c r="K2702" s="103"/>
      <c r="L2702" s="103">
        <v>3.9800000000000002E-2</v>
      </c>
      <c r="O2702" s="100"/>
    </row>
    <row r="2703" spans="2:15" x14ac:dyDescent="0.2">
      <c r="B2703" s="1">
        <v>2688</v>
      </c>
      <c r="C2703" s="101">
        <f ca="1"/>
        <v>-0.54950385142833136</v>
      </c>
      <c r="D2703" s="101">
        <f t="shared" ca="1" si="162"/>
        <v>0.62944239972022664</v>
      </c>
      <c r="E2703" s="101">
        <f t="shared" ca="1" si="163"/>
        <v>0</v>
      </c>
      <c r="F2703" s="21">
        <f t="shared" ca="1" si="164"/>
        <v>0</v>
      </c>
      <c r="H2703" s="21">
        <v>2688</v>
      </c>
      <c r="I2703" s="102">
        <v>0.6679175800160847</v>
      </c>
      <c r="J2703" s="103">
        <v>1.5386223697361108E-3</v>
      </c>
      <c r="K2703" s="103"/>
      <c r="L2703" s="103">
        <v>4.5999999999999999E-2</v>
      </c>
      <c r="O2703" s="100"/>
    </row>
    <row r="2704" spans="2:15" x14ac:dyDescent="0.2">
      <c r="B2704" s="1">
        <v>2689</v>
      </c>
      <c r="C2704" s="101">
        <f ca="1"/>
        <v>-0.51576032452522869</v>
      </c>
      <c r="D2704" s="101">
        <f t="shared" ref="D2704:D2767" ca="1" si="165">S0*EXP((μ-0.5*σ*σ)*T+σ*SQRT(T)*$C2704)</f>
        <v>0.63154099332238556</v>
      </c>
      <c r="E2704" s="101">
        <f t="shared" ref="E2704:E2767" ca="1" si="166">MAX(0,CP*(D2704-K))</f>
        <v>0</v>
      </c>
      <c r="F2704" s="21">
        <f t="shared" ref="F2704:F2767" ca="1" si="167">(CP*(D2704-K)&gt;0)*1</f>
        <v>0</v>
      </c>
      <c r="H2704" s="21">
        <v>2689</v>
      </c>
      <c r="I2704" s="102">
        <v>0.66781524205868059</v>
      </c>
      <c r="J2704" s="103">
        <v>1.4600885758175191E-3</v>
      </c>
      <c r="K2704" s="103"/>
      <c r="L2704" s="103">
        <v>4.3999999999999997E-2</v>
      </c>
      <c r="O2704" s="100"/>
    </row>
    <row r="2705" spans="2:15" x14ac:dyDescent="0.2">
      <c r="B2705" s="1">
        <v>2690</v>
      </c>
      <c r="C2705" s="101">
        <f ca="1"/>
        <v>-2.1167658260961622</v>
      </c>
      <c r="D2705" s="101">
        <f t="shared" ca="1" si="165"/>
        <v>0.5392814194475557</v>
      </c>
      <c r="E2705" s="101">
        <f t="shared" ca="1" si="166"/>
        <v>0</v>
      </c>
      <c r="F2705" s="21">
        <f t="shared" ca="1" si="167"/>
        <v>0</v>
      </c>
      <c r="H2705" s="21">
        <v>2690</v>
      </c>
      <c r="I2705" s="102">
        <v>0.66778713410346091</v>
      </c>
      <c r="J2705" s="103">
        <v>1.2325822123271089E-3</v>
      </c>
      <c r="K2705" s="103"/>
      <c r="L2705" s="103">
        <v>4.2000000000000003E-2</v>
      </c>
      <c r="O2705" s="100"/>
    </row>
    <row r="2706" spans="2:15" x14ac:dyDescent="0.2">
      <c r="B2706" s="1">
        <v>2691</v>
      </c>
      <c r="C2706" s="101">
        <f ca="1"/>
        <v>0.18968950347031155</v>
      </c>
      <c r="D2706" s="101">
        <f t="shared" ca="1" si="165"/>
        <v>0.6770528671489493</v>
      </c>
      <c r="E2706" s="101">
        <f t="shared" ca="1" si="166"/>
        <v>0</v>
      </c>
      <c r="F2706" s="21">
        <f t="shared" ca="1" si="167"/>
        <v>0</v>
      </c>
      <c r="H2706" s="21">
        <v>2691</v>
      </c>
      <c r="I2706" s="102">
        <v>0.66766079289759739</v>
      </c>
      <c r="J2706" s="103">
        <v>1.3977078040979959E-3</v>
      </c>
      <c r="K2706" s="103"/>
      <c r="L2706" s="103">
        <v>4.2200000000000001E-2</v>
      </c>
      <c r="O2706" s="100"/>
    </row>
    <row r="2707" spans="2:15" x14ac:dyDescent="0.2">
      <c r="B2707" s="1">
        <v>2692</v>
      </c>
      <c r="C2707" s="101">
        <f ca="1"/>
        <v>0.55911260765531257</v>
      </c>
      <c r="D2707" s="101">
        <f t="shared" ca="1" si="165"/>
        <v>0.70217997439679514</v>
      </c>
      <c r="E2707" s="101">
        <f t="shared" ca="1" si="166"/>
        <v>0</v>
      </c>
      <c r="F2707" s="21">
        <f t="shared" ca="1" si="167"/>
        <v>0</v>
      </c>
      <c r="H2707" s="21">
        <v>2692</v>
      </c>
      <c r="I2707" s="102">
        <v>0.66759577807985437</v>
      </c>
      <c r="J2707" s="103">
        <v>1.2035318945381693E-3</v>
      </c>
      <c r="K2707" s="103"/>
      <c r="L2707" s="103">
        <v>3.9199999999999999E-2</v>
      </c>
      <c r="O2707" s="100"/>
    </row>
    <row r="2708" spans="2:15" x14ac:dyDescent="0.2">
      <c r="B2708" s="1">
        <v>2693</v>
      </c>
      <c r="C2708" s="101">
        <f ca="1"/>
        <v>1.5558888257254821</v>
      </c>
      <c r="D2708" s="101">
        <f t="shared" ca="1" si="165"/>
        <v>0.77472883096373468</v>
      </c>
      <c r="E2708" s="101">
        <f t="shared" ca="1" si="166"/>
        <v>0</v>
      </c>
      <c r="F2708" s="21">
        <f t="shared" ca="1" si="167"/>
        <v>0</v>
      </c>
      <c r="H2708" s="21">
        <v>2693</v>
      </c>
      <c r="I2708" s="102">
        <v>0.66786756262849534</v>
      </c>
      <c r="J2708" s="103">
        <v>1.7146991070720872E-3</v>
      </c>
      <c r="K2708" s="103"/>
      <c r="L2708" s="103">
        <v>4.5400000000000003E-2</v>
      </c>
      <c r="O2708" s="100"/>
    </row>
    <row r="2709" spans="2:15" x14ac:dyDescent="0.2">
      <c r="B2709" s="1">
        <v>2694</v>
      </c>
      <c r="C2709" s="101">
        <f ca="1"/>
        <v>-1.2416461209826111</v>
      </c>
      <c r="D2709" s="101">
        <f t="shared" ca="1" si="165"/>
        <v>0.58790214652448525</v>
      </c>
      <c r="E2709" s="101">
        <f t="shared" ca="1" si="166"/>
        <v>0</v>
      </c>
      <c r="F2709" s="21">
        <f t="shared" ca="1" si="167"/>
        <v>0</v>
      </c>
      <c r="H2709" s="21">
        <v>2694</v>
      </c>
      <c r="I2709" s="102">
        <v>0.66771055426268389</v>
      </c>
      <c r="J2709" s="103">
        <v>1.306871560903511E-3</v>
      </c>
      <c r="K2709" s="103"/>
      <c r="L2709" s="103">
        <v>3.9800000000000002E-2</v>
      </c>
      <c r="O2709" s="100"/>
    </row>
    <row r="2710" spans="2:15" x14ac:dyDescent="0.2">
      <c r="B2710" s="1">
        <v>2695</v>
      </c>
      <c r="C2710" s="101">
        <f ca="1"/>
        <v>0.69866807844781031</v>
      </c>
      <c r="D2710" s="101">
        <f t="shared" ca="1" si="165"/>
        <v>0.71191297769887563</v>
      </c>
      <c r="E2710" s="101">
        <f t="shared" ca="1" si="166"/>
        <v>0</v>
      </c>
      <c r="F2710" s="21">
        <f t="shared" ca="1" si="167"/>
        <v>0</v>
      </c>
      <c r="H2710" s="21">
        <v>2695</v>
      </c>
      <c r="I2710" s="102">
        <v>0.66760268360081532</v>
      </c>
      <c r="J2710" s="103">
        <v>1.2203338808833711E-3</v>
      </c>
      <c r="K2710" s="103"/>
      <c r="L2710" s="103">
        <v>3.5400000000000001E-2</v>
      </c>
      <c r="O2710" s="100"/>
    </row>
    <row r="2711" spans="2:15" x14ac:dyDescent="0.2">
      <c r="B2711" s="1">
        <v>2696</v>
      </c>
      <c r="C2711" s="101">
        <f ca="1"/>
        <v>-0.16155320426212877</v>
      </c>
      <c r="D2711" s="101">
        <f t="shared" ca="1" si="165"/>
        <v>0.65399670540033961</v>
      </c>
      <c r="E2711" s="101">
        <f t="shared" ca="1" si="166"/>
        <v>0</v>
      </c>
      <c r="F2711" s="21">
        <f t="shared" ca="1" si="167"/>
        <v>0</v>
      </c>
      <c r="H2711" s="21">
        <v>2696</v>
      </c>
      <c r="I2711" s="102">
        <v>0.66771254330781205</v>
      </c>
      <c r="J2711" s="103">
        <v>1.2949281712387023E-3</v>
      </c>
      <c r="K2711" s="103"/>
      <c r="L2711" s="103">
        <v>3.9199999999999999E-2</v>
      </c>
      <c r="O2711" s="100"/>
    </row>
    <row r="2712" spans="2:15" x14ac:dyDescent="0.2">
      <c r="B2712" s="1">
        <v>2697</v>
      </c>
      <c r="C2712" s="101">
        <f ca="1"/>
        <v>1.3584794547432182</v>
      </c>
      <c r="D2712" s="101">
        <f t="shared" ca="1" si="165"/>
        <v>0.75978868648676767</v>
      </c>
      <c r="E2712" s="101">
        <f t="shared" ca="1" si="166"/>
        <v>0</v>
      </c>
      <c r="F2712" s="21">
        <f t="shared" ca="1" si="167"/>
        <v>0</v>
      </c>
      <c r="H2712" s="21">
        <v>2697</v>
      </c>
      <c r="I2712" s="102">
        <v>0.6677692275680277</v>
      </c>
      <c r="J2712" s="103">
        <v>1.4680704614650332E-3</v>
      </c>
      <c r="K2712" s="103"/>
      <c r="L2712" s="103">
        <v>4.36E-2</v>
      </c>
      <c r="O2712" s="100"/>
    </row>
    <row r="2713" spans="2:15" x14ac:dyDescent="0.2">
      <c r="B2713" s="1">
        <v>2698</v>
      </c>
      <c r="C2713" s="101">
        <f ca="1"/>
        <v>-0.17664585719817877</v>
      </c>
      <c r="D2713" s="101">
        <f t="shared" ca="1" si="165"/>
        <v>0.65302378612731782</v>
      </c>
      <c r="E2713" s="101">
        <f t="shared" ca="1" si="166"/>
        <v>0</v>
      </c>
      <c r="F2713" s="21">
        <f t="shared" ca="1" si="167"/>
        <v>0</v>
      </c>
      <c r="H2713" s="21">
        <v>2698</v>
      </c>
      <c r="I2713" s="102">
        <v>0.66774283489660846</v>
      </c>
      <c r="J2713" s="103">
        <v>1.4679155608277291E-3</v>
      </c>
      <c r="K2713" s="103"/>
      <c r="L2713" s="103">
        <v>4.3400000000000001E-2</v>
      </c>
      <c r="O2713" s="100"/>
    </row>
    <row r="2714" spans="2:15" x14ac:dyDescent="0.2">
      <c r="B2714" s="1">
        <v>2699</v>
      </c>
      <c r="C2714" s="101">
        <f ca="1"/>
        <v>-1.0575868629433267</v>
      </c>
      <c r="D2714" s="101">
        <f t="shared" ca="1" si="165"/>
        <v>0.5986734948658291</v>
      </c>
      <c r="E2714" s="101">
        <f t="shared" ca="1" si="166"/>
        <v>0</v>
      </c>
      <c r="F2714" s="21">
        <f t="shared" ca="1" si="167"/>
        <v>0</v>
      </c>
      <c r="H2714" s="21">
        <v>2699</v>
      </c>
      <c r="I2714" s="102">
        <v>0.66779679289836857</v>
      </c>
      <c r="J2714" s="103">
        <v>1.3043998460905643E-3</v>
      </c>
      <c r="K2714" s="103"/>
      <c r="L2714" s="103">
        <v>4.3200000000000002E-2</v>
      </c>
      <c r="O2714" s="100"/>
    </row>
    <row r="2715" spans="2:15" x14ac:dyDescent="0.2">
      <c r="B2715" s="1">
        <v>2700</v>
      </c>
      <c r="C2715" s="101">
        <f ca="1"/>
        <v>0.88190688344362345</v>
      </c>
      <c r="D2715" s="101">
        <f t="shared" ca="1" si="165"/>
        <v>0.72489774263515827</v>
      </c>
      <c r="E2715" s="101">
        <f t="shared" ca="1" si="166"/>
        <v>0</v>
      </c>
      <c r="F2715" s="21">
        <f t="shared" ca="1" si="167"/>
        <v>0</v>
      </c>
      <c r="H2715" s="21">
        <v>2700</v>
      </c>
      <c r="I2715" s="102">
        <v>0.66775345053841628</v>
      </c>
      <c r="J2715" s="103">
        <v>1.3775150274945151E-3</v>
      </c>
      <c r="K2715" s="103"/>
      <c r="L2715" s="103">
        <v>4.1200000000000001E-2</v>
      </c>
      <c r="O2715" s="100"/>
    </row>
    <row r="2716" spans="2:15" x14ac:dyDescent="0.2">
      <c r="B2716" s="1">
        <v>2701</v>
      </c>
      <c r="C2716" s="101">
        <f ca="1"/>
        <v>-1.2407015166975044</v>
      </c>
      <c r="D2716" s="101">
        <f t="shared" ca="1" si="165"/>
        <v>0.58795692804611632</v>
      </c>
      <c r="E2716" s="101">
        <f t="shared" ca="1" si="166"/>
        <v>0</v>
      </c>
      <c r="F2716" s="21">
        <f t="shared" ca="1" si="167"/>
        <v>0</v>
      </c>
      <c r="H2716" s="21">
        <v>2701</v>
      </c>
      <c r="I2716" s="102">
        <v>0.66793335391908082</v>
      </c>
      <c r="J2716" s="103">
        <v>1.6551189554732456E-3</v>
      </c>
      <c r="K2716" s="103"/>
      <c r="L2716" s="103">
        <v>4.9399999999999999E-2</v>
      </c>
      <c r="O2716" s="100"/>
    </row>
    <row r="2717" spans="2:15" x14ac:dyDescent="0.2">
      <c r="B2717" s="1">
        <v>2702</v>
      </c>
      <c r="C2717" s="101">
        <f ca="1"/>
        <v>-0.41204503201749337</v>
      </c>
      <c r="D2717" s="101">
        <f t="shared" ca="1" si="165"/>
        <v>0.63803520868386066</v>
      </c>
      <c r="E2717" s="101">
        <f t="shared" ca="1" si="166"/>
        <v>0</v>
      </c>
      <c r="F2717" s="21">
        <f t="shared" ca="1" si="167"/>
        <v>0</v>
      </c>
      <c r="H2717" s="21">
        <v>2702</v>
      </c>
      <c r="I2717" s="102">
        <v>0.66780111142819765</v>
      </c>
      <c r="J2717" s="103">
        <v>1.5517632877530441E-3</v>
      </c>
      <c r="K2717" s="103"/>
      <c r="L2717" s="103">
        <v>4.48E-2</v>
      </c>
      <c r="O2717" s="100"/>
    </row>
    <row r="2718" spans="2:15" x14ac:dyDescent="0.2">
      <c r="B2718" s="1">
        <v>2703</v>
      </c>
      <c r="C2718" s="101">
        <f ca="1"/>
        <v>0.27732681636525658</v>
      </c>
      <c r="D2718" s="101">
        <f t="shared" ca="1" si="165"/>
        <v>0.68293113067209854</v>
      </c>
      <c r="E2718" s="101">
        <f t="shared" ca="1" si="166"/>
        <v>0</v>
      </c>
      <c r="F2718" s="21">
        <f t="shared" ca="1" si="167"/>
        <v>0</v>
      </c>
      <c r="H2718" s="21">
        <v>2703</v>
      </c>
      <c r="I2718" s="102">
        <v>0.66780065818885515</v>
      </c>
      <c r="J2718" s="103">
        <v>1.4155054554551856E-3</v>
      </c>
      <c r="K2718" s="103"/>
      <c r="L2718" s="103">
        <v>4.1399999999999999E-2</v>
      </c>
      <c r="O2718" s="100"/>
    </row>
    <row r="2719" spans="2:15" x14ac:dyDescent="0.2">
      <c r="B2719" s="1">
        <v>2704</v>
      </c>
      <c r="C2719" s="101">
        <f ca="1"/>
        <v>3.1984753142049236</v>
      </c>
      <c r="D2719" s="101">
        <f t="shared" ca="1" si="165"/>
        <v>0.91099734375042407</v>
      </c>
      <c r="E2719" s="101">
        <f t="shared" ca="1" si="166"/>
        <v>0.12279734375042406</v>
      </c>
      <c r="F2719" s="21">
        <f t="shared" ca="1" si="167"/>
        <v>1</v>
      </c>
      <c r="H2719" s="21">
        <v>2704</v>
      </c>
      <c r="I2719" s="102">
        <v>0.66768669395381763</v>
      </c>
      <c r="J2719" s="103">
        <v>1.3521309148040572E-3</v>
      </c>
      <c r="K2719" s="103"/>
      <c r="L2719" s="103">
        <v>3.8399999999999997E-2</v>
      </c>
      <c r="O2719" s="100"/>
    </row>
    <row r="2720" spans="2:15" x14ac:dyDescent="0.2">
      <c r="B2720" s="1">
        <v>2705</v>
      </c>
      <c r="C2720" s="101">
        <f ca="1"/>
        <v>-0.29205180686778531</v>
      </c>
      <c r="D2720" s="101">
        <f t="shared" ca="1" si="165"/>
        <v>0.64563204947891328</v>
      </c>
      <c r="E2720" s="101">
        <f t="shared" ca="1" si="166"/>
        <v>0</v>
      </c>
      <c r="F2720" s="21">
        <f t="shared" ca="1" si="167"/>
        <v>0</v>
      </c>
      <c r="H2720" s="21">
        <v>2705</v>
      </c>
      <c r="I2720" s="102">
        <v>0.66773844780850777</v>
      </c>
      <c r="J2720" s="103">
        <v>1.3940180284565766E-3</v>
      </c>
      <c r="K2720" s="103"/>
      <c r="L2720" s="103">
        <v>4.0599999999999997E-2</v>
      </c>
      <c r="O2720" s="100"/>
    </row>
    <row r="2721" spans="2:15" x14ac:dyDescent="0.2">
      <c r="B2721" s="1">
        <v>2706</v>
      </c>
      <c r="C2721" s="101">
        <f ca="1"/>
        <v>-1.8555475515664885</v>
      </c>
      <c r="D2721" s="101">
        <f t="shared" ca="1" si="165"/>
        <v>0.55335761019794838</v>
      </c>
      <c r="E2721" s="101">
        <f t="shared" ca="1" si="166"/>
        <v>0</v>
      </c>
      <c r="F2721" s="21">
        <f t="shared" ca="1" si="167"/>
        <v>0</v>
      </c>
      <c r="H2721" s="21">
        <v>2706</v>
      </c>
      <c r="I2721" s="102">
        <v>0.66759680759507123</v>
      </c>
      <c r="J2721" s="103">
        <v>1.1520587665427447E-3</v>
      </c>
      <c r="K2721" s="103"/>
      <c r="L2721" s="103">
        <v>3.6799999999999999E-2</v>
      </c>
      <c r="O2721" s="100"/>
    </row>
    <row r="2722" spans="2:15" x14ac:dyDescent="0.2">
      <c r="B2722" s="1">
        <v>2707</v>
      </c>
      <c r="C2722" s="101">
        <f ca="1"/>
        <v>-1.9885666413885392</v>
      </c>
      <c r="D2722" s="101">
        <f t="shared" ca="1" si="165"/>
        <v>0.54614433258167416</v>
      </c>
      <c r="E2722" s="101">
        <f t="shared" ca="1" si="166"/>
        <v>0</v>
      </c>
      <c r="F2722" s="21">
        <f t="shared" ca="1" si="167"/>
        <v>0</v>
      </c>
      <c r="H2722" s="21">
        <v>2707</v>
      </c>
      <c r="I2722" s="102">
        <v>0.6677446004142793</v>
      </c>
      <c r="J2722" s="103">
        <v>1.3668101886229265E-3</v>
      </c>
      <c r="K2722" s="103"/>
      <c r="L2722" s="103">
        <v>3.9399999999999998E-2</v>
      </c>
      <c r="O2722" s="100"/>
    </row>
    <row r="2723" spans="2:15" x14ac:dyDescent="0.2">
      <c r="B2723" s="1">
        <v>2708</v>
      </c>
      <c r="C2723" s="101">
        <f ca="1"/>
        <v>1.3484010050862392</v>
      </c>
      <c r="D2723" s="101">
        <f t="shared" ca="1" si="165"/>
        <v>0.75903371666063391</v>
      </c>
      <c r="E2723" s="101">
        <f t="shared" ca="1" si="166"/>
        <v>0</v>
      </c>
      <c r="F2723" s="21">
        <f t="shared" ca="1" si="167"/>
        <v>0</v>
      </c>
      <c r="H2723" s="21">
        <v>2708</v>
      </c>
      <c r="I2723" s="102">
        <v>0.66772346895607249</v>
      </c>
      <c r="J2723" s="103">
        <v>1.2704601899355854E-3</v>
      </c>
      <c r="K2723" s="103"/>
      <c r="L2723" s="103">
        <v>4.1799999999999997E-2</v>
      </c>
      <c r="O2723" s="100"/>
    </row>
    <row r="2724" spans="2:15" x14ac:dyDescent="0.2">
      <c r="B2724" s="1">
        <v>2709</v>
      </c>
      <c r="C2724" s="101">
        <f ca="1"/>
        <v>0.64088205272791399</v>
      </c>
      <c r="D2724" s="101">
        <f t="shared" ca="1" si="165"/>
        <v>0.70786655296913159</v>
      </c>
      <c r="E2724" s="101">
        <f t="shared" ca="1" si="166"/>
        <v>0</v>
      </c>
      <c r="F2724" s="21">
        <f t="shared" ca="1" si="167"/>
        <v>0</v>
      </c>
      <c r="H2724" s="21">
        <v>2709</v>
      </c>
      <c r="I2724" s="102">
        <v>0.66770096043334548</v>
      </c>
      <c r="J2724" s="103">
        <v>1.3048783250983332E-3</v>
      </c>
      <c r="K2724" s="103"/>
      <c r="L2724" s="103">
        <v>4.0399999999999998E-2</v>
      </c>
      <c r="O2724" s="100"/>
    </row>
    <row r="2725" spans="2:15" x14ac:dyDescent="0.2">
      <c r="B2725" s="1">
        <v>2710</v>
      </c>
      <c r="C2725" s="101">
        <f ca="1"/>
        <v>1.6223780350712327</v>
      </c>
      <c r="D2725" s="101">
        <f t="shared" ca="1" si="165"/>
        <v>0.77982665386781802</v>
      </c>
      <c r="E2725" s="101">
        <f t="shared" ca="1" si="166"/>
        <v>0</v>
      </c>
      <c r="F2725" s="21">
        <f t="shared" ca="1" si="167"/>
        <v>0</v>
      </c>
      <c r="H2725" s="21">
        <v>2710</v>
      </c>
      <c r="I2725" s="102">
        <v>0.66776553747851508</v>
      </c>
      <c r="J2725" s="103">
        <v>1.4526544701771789E-3</v>
      </c>
      <c r="K2725" s="103"/>
      <c r="L2725" s="103">
        <v>4.3200000000000002E-2</v>
      </c>
      <c r="O2725" s="100"/>
    </row>
    <row r="2726" spans="2:15" x14ac:dyDescent="0.2">
      <c r="B2726" s="1">
        <v>2711</v>
      </c>
      <c r="C2726" s="101">
        <f ca="1"/>
        <v>-0.6809986387992859</v>
      </c>
      <c r="D2726" s="101">
        <f t="shared" ca="1" si="165"/>
        <v>0.62133073674138151</v>
      </c>
      <c r="E2726" s="101">
        <f t="shared" ca="1" si="166"/>
        <v>0</v>
      </c>
      <c r="F2726" s="21">
        <f t="shared" ca="1" si="167"/>
        <v>0</v>
      </c>
      <c r="H2726" s="21">
        <v>2711</v>
      </c>
      <c r="I2726" s="102">
        <v>0.6676481473503042</v>
      </c>
      <c r="J2726" s="103">
        <v>1.3165417188206031E-3</v>
      </c>
      <c r="K2726" s="103"/>
      <c r="L2726" s="103">
        <v>0.04</v>
      </c>
      <c r="O2726" s="100"/>
    </row>
    <row r="2727" spans="2:15" x14ac:dyDescent="0.2">
      <c r="B2727" s="1">
        <v>2712</v>
      </c>
      <c r="C2727" s="101">
        <f ca="1"/>
        <v>0.51660187513408484</v>
      </c>
      <c r="D2727" s="101">
        <f t="shared" ca="1" si="165"/>
        <v>0.69924167747465127</v>
      </c>
      <c r="E2727" s="101">
        <f t="shared" ca="1" si="166"/>
        <v>0</v>
      </c>
      <c r="F2727" s="21">
        <f t="shared" ca="1" si="167"/>
        <v>0</v>
      </c>
      <c r="H2727" s="21">
        <v>2712</v>
      </c>
      <c r="I2727" s="102">
        <v>0.66772516181725539</v>
      </c>
      <c r="J2727" s="103">
        <v>1.3416194780203755E-3</v>
      </c>
      <c r="K2727" s="103"/>
      <c r="L2727" s="103">
        <v>4.1000000000000002E-2</v>
      </c>
      <c r="O2727" s="100"/>
    </row>
    <row r="2728" spans="2:15" x14ac:dyDescent="0.2">
      <c r="B2728" s="1">
        <v>2713</v>
      </c>
      <c r="C2728" s="101">
        <f ca="1"/>
        <v>-1.659025294711842</v>
      </c>
      <c r="D2728" s="101">
        <f t="shared" ca="1" si="165"/>
        <v>0.56418921427058366</v>
      </c>
      <c r="E2728" s="101">
        <f t="shared" ca="1" si="166"/>
        <v>0</v>
      </c>
      <c r="F2728" s="21">
        <f t="shared" ca="1" si="167"/>
        <v>0</v>
      </c>
      <c r="H2728" s="21">
        <v>2713</v>
      </c>
      <c r="I2728" s="102">
        <v>0.66768720844700535</v>
      </c>
      <c r="J2728" s="103">
        <v>1.1821796565550514E-3</v>
      </c>
      <c r="K2728" s="103"/>
      <c r="L2728" s="103">
        <v>3.8399999999999997E-2</v>
      </c>
      <c r="O2728" s="100"/>
    </row>
    <row r="2729" spans="2:15" x14ac:dyDescent="0.2">
      <c r="B2729" s="1">
        <v>2714</v>
      </c>
      <c r="C2729" s="101">
        <f ca="1"/>
        <v>-0.6771703798609704</v>
      </c>
      <c r="D2729" s="101">
        <f t="shared" ca="1" si="165"/>
        <v>0.62156541077974836</v>
      </c>
      <c r="E2729" s="101">
        <f t="shared" ca="1" si="166"/>
        <v>0</v>
      </c>
      <c r="F2729" s="21">
        <f t="shared" ca="1" si="167"/>
        <v>0</v>
      </c>
      <c r="H2729" s="21">
        <v>2714</v>
      </c>
      <c r="I2729" s="102">
        <v>0.66765494468575926</v>
      </c>
      <c r="J2729" s="103">
        <v>1.3645010379340374E-3</v>
      </c>
      <c r="K2729" s="103"/>
      <c r="L2729" s="103">
        <v>3.9800000000000002E-2</v>
      </c>
      <c r="O2729" s="100"/>
    </row>
    <row r="2730" spans="2:15" x14ac:dyDescent="0.2">
      <c r="B2730" s="1">
        <v>2715</v>
      </c>
      <c r="C2730" s="101">
        <f ca="1"/>
        <v>1.7698247211329119</v>
      </c>
      <c r="D2730" s="101">
        <f t="shared" ca="1" si="165"/>
        <v>0.79125159792192457</v>
      </c>
      <c r="E2730" s="101">
        <f t="shared" ca="1" si="166"/>
        <v>3.0515979219245537E-3</v>
      </c>
      <c r="F2730" s="21">
        <f t="shared" ca="1" si="167"/>
        <v>1</v>
      </c>
      <c r="H2730" s="21">
        <v>2715</v>
      </c>
      <c r="I2730" s="102">
        <v>0.66766911910198101</v>
      </c>
      <c r="J2730" s="103">
        <v>1.2415807987580846E-3</v>
      </c>
      <c r="K2730" s="103"/>
      <c r="L2730" s="103">
        <v>3.9399999999999998E-2</v>
      </c>
      <c r="O2730" s="100"/>
    </row>
    <row r="2731" spans="2:15" x14ac:dyDescent="0.2">
      <c r="B2731" s="1">
        <v>2716</v>
      </c>
      <c r="C2731" s="101">
        <f ca="1"/>
        <v>-1.2384402067744396</v>
      </c>
      <c r="D2731" s="101">
        <f t="shared" ca="1" si="165"/>
        <v>0.58808809152853658</v>
      </c>
      <c r="E2731" s="101">
        <f t="shared" ca="1" si="166"/>
        <v>0</v>
      </c>
      <c r="F2731" s="21">
        <f t="shared" ca="1" si="167"/>
        <v>0</v>
      </c>
      <c r="H2731" s="21">
        <v>2716</v>
      </c>
      <c r="I2731" s="102">
        <v>0.66758679485793504</v>
      </c>
      <c r="J2731" s="103">
        <v>1.1945633609986878E-3</v>
      </c>
      <c r="K2731" s="103"/>
      <c r="L2731" s="103">
        <v>3.7400000000000003E-2</v>
      </c>
      <c r="O2731" s="100"/>
    </row>
    <row r="2732" spans="2:15" x14ac:dyDescent="0.2">
      <c r="B2732" s="1">
        <v>2717</v>
      </c>
      <c r="C2732" s="101">
        <f ca="1"/>
        <v>2.6971384512045087</v>
      </c>
      <c r="D2732" s="101">
        <f t="shared" ca="1" si="165"/>
        <v>0.86704202615745785</v>
      </c>
      <c r="E2732" s="101">
        <f t="shared" ca="1" si="166"/>
        <v>7.8842026157457834E-2</v>
      </c>
      <c r="F2732" s="21">
        <f t="shared" ca="1" si="167"/>
        <v>1</v>
      </c>
      <c r="H2732" s="21">
        <v>2717</v>
      </c>
      <c r="I2732" s="102">
        <v>0.66767390893481704</v>
      </c>
      <c r="J2732" s="103">
        <v>1.2679388162053662E-3</v>
      </c>
      <c r="K2732" s="103"/>
      <c r="L2732" s="103">
        <v>3.9199999999999999E-2</v>
      </c>
      <c r="O2732" s="100"/>
    </row>
    <row r="2733" spans="2:15" x14ac:dyDescent="0.2">
      <c r="B2733" s="1">
        <v>2718</v>
      </c>
      <c r="C2733" s="101">
        <f ca="1"/>
        <v>0.44228832274835039</v>
      </c>
      <c r="D2733" s="101">
        <f t="shared" ca="1" si="165"/>
        <v>0.69413470604938154</v>
      </c>
      <c r="E2733" s="101">
        <f t="shared" ca="1" si="166"/>
        <v>0</v>
      </c>
      <c r="F2733" s="21">
        <f t="shared" ca="1" si="167"/>
        <v>0</v>
      </c>
      <c r="H2733" s="21">
        <v>2718</v>
      </c>
      <c r="I2733" s="102">
        <v>0.66777771469082359</v>
      </c>
      <c r="J2733" s="103">
        <v>1.3725234985823823E-3</v>
      </c>
      <c r="K2733" s="103"/>
      <c r="L2733" s="103">
        <v>4.3400000000000001E-2</v>
      </c>
      <c r="O2733" s="100"/>
    </row>
    <row r="2734" spans="2:15" x14ac:dyDescent="0.2">
      <c r="B2734" s="1">
        <v>2719</v>
      </c>
      <c r="C2734" s="101">
        <f ca="1"/>
        <v>0.31685521781856835</v>
      </c>
      <c r="D2734" s="101">
        <f t="shared" ca="1" si="165"/>
        <v>0.6855991687506432</v>
      </c>
      <c r="E2734" s="101">
        <f t="shared" ca="1" si="166"/>
        <v>0</v>
      </c>
      <c r="F2734" s="21">
        <f t="shared" ca="1" si="167"/>
        <v>0</v>
      </c>
      <c r="H2734" s="21">
        <v>2719</v>
      </c>
      <c r="I2734" s="102">
        <v>0.66778468314210704</v>
      </c>
      <c r="J2734" s="103">
        <v>1.4192187757711546E-3</v>
      </c>
      <c r="K2734" s="103"/>
      <c r="L2734" s="103">
        <v>4.1799999999999997E-2</v>
      </c>
      <c r="O2734" s="100"/>
    </row>
    <row r="2735" spans="2:15" x14ac:dyDescent="0.2">
      <c r="B2735" s="1">
        <v>2720</v>
      </c>
      <c r="C2735" s="101">
        <f ca="1"/>
        <v>0.14543781899585007</v>
      </c>
      <c r="D2735" s="101">
        <f t="shared" ca="1" si="165"/>
        <v>0.67410394181360245</v>
      </c>
      <c r="E2735" s="101">
        <f t="shared" ca="1" si="166"/>
        <v>0</v>
      </c>
      <c r="F2735" s="21">
        <f t="shared" ca="1" si="167"/>
        <v>0</v>
      </c>
      <c r="H2735" s="21">
        <v>2720</v>
      </c>
      <c r="I2735" s="102">
        <v>0.66753252879830915</v>
      </c>
      <c r="J2735" s="103">
        <v>1.0029614812657242E-3</v>
      </c>
      <c r="K2735" s="103"/>
      <c r="L2735" s="103">
        <v>3.9199999999999999E-2</v>
      </c>
      <c r="O2735" s="100"/>
    </row>
    <row r="2736" spans="2:15" x14ac:dyDescent="0.2">
      <c r="B2736" s="1">
        <v>2721</v>
      </c>
      <c r="C2736" s="101">
        <f ca="1"/>
        <v>0.8366202741948231</v>
      </c>
      <c r="D2736" s="101">
        <f t="shared" ca="1" si="165"/>
        <v>0.72166675133371916</v>
      </c>
      <c r="E2736" s="101">
        <f t="shared" ca="1" si="166"/>
        <v>0</v>
      </c>
      <c r="F2736" s="21">
        <f t="shared" ca="1" si="167"/>
        <v>0</v>
      </c>
      <c r="H2736" s="21">
        <v>2721</v>
      </c>
      <c r="I2736" s="102">
        <v>0.66773979327135891</v>
      </c>
      <c r="J2736" s="103">
        <v>1.2357279971621231E-3</v>
      </c>
      <c r="K2736" s="103"/>
      <c r="L2736" s="103">
        <v>4.0800000000000003E-2</v>
      </c>
      <c r="O2736" s="100"/>
    </row>
    <row r="2737" spans="2:15" x14ac:dyDescent="0.2">
      <c r="B2737" s="1">
        <v>2722</v>
      </c>
      <c r="C2737" s="101">
        <f ca="1"/>
        <v>0.65334985123143763</v>
      </c>
      <c r="D2737" s="101">
        <f t="shared" ca="1" si="165"/>
        <v>0.70873765123967281</v>
      </c>
      <c r="E2737" s="101">
        <f t="shared" ca="1" si="166"/>
        <v>0</v>
      </c>
      <c r="F2737" s="21">
        <f t="shared" ca="1" si="167"/>
        <v>0</v>
      </c>
      <c r="H2737" s="21">
        <v>2722</v>
      </c>
      <c r="I2737" s="102">
        <v>0.66769013647907227</v>
      </c>
      <c r="J2737" s="103">
        <v>1.3448337038903836E-3</v>
      </c>
      <c r="K2737" s="103"/>
      <c r="L2737" s="103">
        <v>3.8199999999999998E-2</v>
      </c>
      <c r="O2737" s="100"/>
    </row>
    <row r="2738" spans="2:15" x14ac:dyDescent="0.2">
      <c r="B2738" s="1">
        <v>2723</v>
      </c>
      <c r="C2738" s="101">
        <f ca="1"/>
        <v>-0.88058357848686686</v>
      </c>
      <c r="D2738" s="101">
        <f t="shared" ca="1" si="165"/>
        <v>0.60921802249191481</v>
      </c>
      <c r="E2738" s="101">
        <f t="shared" ca="1" si="166"/>
        <v>0</v>
      </c>
      <c r="F2738" s="21">
        <f t="shared" ca="1" si="167"/>
        <v>0</v>
      </c>
      <c r="H2738" s="21">
        <v>2723</v>
      </c>
      <c r="I2738" s="102">
        <v>0.66782136102391976</v>
      </c>
      <c r="J2738" s="103">
        <v>1.4399525823031928E-3</v>
      </c>
      <c r="K2738" s="103"/>
      <c r="L2738" s="103">
        <v>4.4999999999999998E-2</v>
      </c>
      <c r="O2738" s="100"/>
    </row>
    <row r="2739" spans="2:15" x14ac:dyDescent="0.2">
      <c r="B2739" s="1">
        <v>2724</v>
      </c>
      <c r="C2739" s="101">
        <f ca="1"/>
        <v>0.35480422008451079</v>
      </c>
      <c r="D2739" s="101">
        <f t="shared" ca="1" si="165"/>
        <v>0.68817040898160864</v>
      </c>
      <c r="E2739" s="101">
        <f t="shared" ca="1" si="166"/>
        <v>0</v>
      </c>
      <c r="F2739" s="21">
        <f t="shared" ca="1" si="167"/>
        <v>0</v>
      </c>
      <c r="H2739" s="21">
        <v>2724</v>
      </c>
      <c r="I2739" s="102">
        <v>0.66779445799109594</v>
      </c>
      <c r="J2739" s="103">
        <v>1.546879625828749E-3</v>
      </c>
      <c r="K2739" s="103"/>
      <c r="L2739" s="103">
        <v>4.5600000000000002E-2</v>
      </c>
      <c r="O2739" s="100"/>
    </row>
    <row r="2740" spans="2:15" x14ac:dyDescent="0.2">
      <c r="B2740" s="1">
        <v>2725</v>
      </c>
      <c r="C2740" s="101">
        <f ca="1"/>
        <v>-0.32957136754842642</v>
      </c>
      <c r="D2740" s="101">
        <f t="shared" ca="1" si="165"/>
        <v>0.64324699492900295</v>
      </c>
      <c r="E2740" s="101">
        <f t="shared" ca="1" si="166"/>
        <v>0</v>
      </c>
      <c r="F2740" s="21">
        <f t="shared" ca="1" si="167"/>
        <v>0</v>
      </c>
      <c r="H2740" s="21">
        <v>2725</v>
      </c>
      <c r="I2740" s="102">
        <v>0.66775743833619639</v>
      </c>
      <c r="J2740" s="103">
        <v>1.6056226705943178E-3</v>
      </c>
      <c r="K2740" s="103"/>
      <c r="L2740" s="103">
        <v>4.5199999999999997E-2</v>
      </c>
      <c r="O2740" s="100"/>
    </row>
    <row r="2741" spans="2:15" x14ac:dyDescent="0.2">
      <c r="B2741" s="1">
        <v>2726</v>
      </c>
      <c r="C2741" s="101">
        <f ca="1"/>
        <v>0.71708516249661247</v>
      </c>
      <c r="D2741" s="101">
        <f t="shared" ca="1" si="165"/>
        <v>0.71320747523637396</v>
      </c>
      <c r="E2741" s="101">
        <f t="shared" ca="1" si="166"/>
        <v>0</v>
      </c>
      <c r="F2741" s="21">
        <f t="shared" ca="1" si="167"/>
        <v>0</v>
      </c>
      <c r="H2741" s="21">
        <v>2726</v>
      </c>
      <c r="I2741" s="102">
        <v>0.66783533233284342</v>
      </c>
      <c r="J2741" s="103">
        <v>1.3933456379866382E-3</v>
      </c>
      <c r="K2741" s="103"/>
      <c r="L2741" s="103">
        <v>4.6199999999999998E-2</v>
      </c>
      <c r="O2741" s="100"/>
    </row>
    <row r="2742" spans="2:15" x14ac:dyDescent="0.2">
      <c r="B2742" s="1">
        <v>2727</v>
      </c>
      <c r="C2742" s="101">
        <f ca="1"/>
        <v>1.3598762074963129</v>
      </c>
      <c r="D2742" s="101">
        <f t="shared" ca="1" si="165"/>
        <v>0.75989337551717695</v>
      </c>
      <c r="E2742" s="101">
        <f t="shared" ca="1" si="166"/>
        <v>0</v>
      </c>
      <c r="F2742" s="21">
        <f t="shared" ca="1" si="167"/>
        <v>0</v>
      </c>
      <c r="H2742" s="21">
        <v>2727</v>
      </c>
      <c r="I2742" s="102">
        <v>0.66780058595411629</v>
      </c>
      <c r="J2742" s="103">
        <v>1.390819624215626E-3</v>
      </c>
      <c r="K2742" s="103"/>
      <c r="L2742" s="103">
        <v>4.2999999999999997E-2</v>
      </c>
      <c r="O2742" s="100"/>
    </row>
    <row r="2743" spans="2:15" x14ac:dyDescent="0.2">
      <c r="B2743" s="1">
        <v>2728</v>
      </c>
      <c r="C2743" s="101">
        <f ca="1"/>
        <v>0.67898306482819426</v>
      </c>
      <c r="D2743" s="101">
        <f t="shared" ca="1" si="165"/>
        <v>0.71053195775172051</v>
      </c>
      <c r="E2743" s="101">
        <f t="shared" ca="1" si="166"/>
        <v>0</v>
      </c>
      <c r="F2743" s="21">
        <f t="shared" ca="1" si="167"/>
        <v>0</v>
      </c>
      <c r="H2743" s="21">
        <v>2728</v>
      </c>
      <c r="I2743" s="102">
        <v>0.66782662968579976</v>
      </c>
      <c r="J2743" s="103">
        <v>1.4445237082862461E-3</v>
      </c>
      <c r="K2743" s="103"/>
      <c r="L2743" s="103">
        <v>4.3400000000000001E-2</v>
      </c>
      <c r="O2743" s="100"/>
    </row>
    <row r="2744" spans="2:15" x14ac:dyDescent="0.2">
      <c r="B2744" s="1">
        <v>2729</v>
      </c>
      <c r="C2744" s="101">
        <f ca="1"/>
        <v>-2.2230786512144425</v>
      </c>
      <c r="D2744" s="101">
        <f t="shared" ca="1" si="165"/>
        <v>0.53365561257715977</v>
      </c>
      <c r="E2744" s="101">
        <f t="shared" ca="1" si="166"/>
        <v>0</v>
      </c>
      <c r="F2744" s="21">
        <f t="shared" ca="1" si="167"/>
        <v>0</v>
      </c>
      <c r="H2744" s="21">
        <v>2729</v>
      </c>
      <c r="I2744" s="102">
        <v>0.66763194405146009</v>
      </c>
      <c r="J2744" s="103">
        <v>1.3324599833414465E-3</v>
      </c>
      <c r="K2744" s="103"/>
      <c r="L2744" s="103">
        <v>3.9600000000000003E-2</v>
      </c>
      <c r="O2744" s="100"/>
    </row>
    <row r="2745" spans="2:15" x14ac:dyDescent="0.2">
      <c r="B2745" s="1">
        <v>2730</v>
      </c>
      <c r="C2745" s="101">
        <f ca="1"/>
        <v>0.22627156578586841</v>
      </c>
      <c r="D2745" s="101">
        <f t="shared" ca="1" si="165"/>
        <v>0.67950042789600684</v>
      </c>
      <c r="E2745" s="101">
        <f t="shared" ca="1" si="166"/>
        <v>0</v>
      </c>
      <c r="F2745" s="21">
        <f t="shared" ca="1" si="167"/>
        <v>0</v>
      </c>
      <c r="H2745" s="21">
        <v>2730</v>
      </c>
      <c r="I2745" s="102">
        <v>0.66768926684425911</v>
      </c>
      <c r="J2745" s="103">
        <v>1.2194615195423105E-3</v>
      </c>
      <c r="K2745" s="103"/>
      <c r="L2745" s="103">
        <v>3.8199999999999998E-2</v>
      </c>
      <c r="O2745" s="100"/>
    </row>
    <row r="2746" spans="2:15" x14ac:dyDescent="0.2">
      <c r="B2746" s="1">
        <v>2731</v>
      </c>
      <c r="C2746" s="101">
        <f ca="1"/>
        <v>1.0682751753363426</v>
      </c>
      <c r="D2746" s="101">
        <f t="shared" ca="1" si="165"/>
        <v>0.73834723026169768</v>
      </c>
      <c r="E2746" s="101">
        <f t="shared" ca="1" si="166"/>
        <v>0</v>
      </c>
      <c r="F2746" s="21">
        <f t="shared" ca="1" si="167"/>
        <v>0</v>
      </c>
      <c r="H2746" s="21">
        <v>2731</v>
      </c>
      <c r="I2746" s="102">
        <v>0.66771493295614648</v>
      </c>
      <c r="J2746" s="103">
        <v>1.2350266299553975E-3</v>
      </c>
      <c r="K2746" s="103"/>
      <c r="L2746" s="103">
        <v>4.02E-2</v>
      </c>
      <c r="O2746" s="100"/>
    </row>
    <row r="2747" spans="2:15" x14ac:dyDescent="0.2">
      <c r="B2747" s="1">
        <v>2732</v>
      </c>
      <c r="C2747" s="101">
        <f ca="1"/>
        <v>-0.54087562728510019</v>
      </c>
      <c r="D2747" s="101">
        <f t="shared" ca="1" si="165"/>
        <v>0.6299783458514594</v>
      </c>
      <c r="E2747" s="101">
        <f t="shared" ca="1" si="166"/>
        <v>0</v>
      </c>
      <c r="F2747" s="21">
        <f t="shared" ca="1" si="167"/>
        <v>0</v>
      </c>
      <c r="H2747" s="21">
        <v>2732</v>
      </c>
      <c r="I2747" s="102">
        <v>0.66786995288052065</v>
      </c>
      <c r="J2747" s="103">
        <v>1.6369242585224911E-3</v>
      </c>
      <c r="K2747" s="103"/>
      <c r="L2747" s="103">
        <v>4.3799999999999999E-2</v>
      </c>
      <c r="O2747" s="100"/>
    </row>
    <row r="2748" spans="2:15" x14ac:dyDescent="0.2">
      <c r="B2748" s="1">
        <v>2733</v>
      </c>
      <c r="C2748" s="101">
        <f ca="1"/>
        <v>0.86603872392756986</v>
      </c>
      <c r="D2748" s="101">
        <f t="shared" ca="1" si="165"/>
        <v>0.72376397942882076</v>
      </c>
      <c r="E2748" s="101">
        <f t="shared" ca="1" si="166"/>
        <v>0</v>
      </c>
      <c r="F2748" s="21">
        <f t="shared" ca="1" si="167"/>
        <v>0</v>
      </c>
      <c r="H2748" s="21">
        <v>2733</v>
      </c>
      <c r="I2748" s="102">
        <v>0.66780292931383012</v>
      </c>
      <c r="J2748" s="103">
        <v>1.3908965653930106E-3</v>
      </c>
      <c r="K2748" s="103"/>
      <c r="L2748" s="103">
        <v>4.3400000000000001E-2</v>
      </c>
      <c r="O2748" s="100"/>
    </row>
    <row r="2749" spans="2:15" x14ac:dyDescent="0.2">
      <c r="B2749" s="1">
        <v>2734</v>
      </c>
      <c r="C2749" s="101">
        <f ca="1"/>
        <v>1.7036532916904876</v>
      </c>
      <c r="D2749" s="101">
        <f t="shared" ca="1" si="165"/>
        <v>0.78610372975398024</v>
      </c>
      <c r="E2749" s="101">
        <f t="shared" ca="1" si="166"/>
        <v>0</v>
      </c>
      <c r="F2749" s="21">
        <f t="shared" ca="1" si="167"/>
        <v>0</v>
      </c>
      <c r="H2749" s="21">
        <v>2734</v>
      </c>
      <c r="I2749" s="102">
        <v>0.66778116427890899</v>
      </c>
      <c r="J2749" s="103">
        <v>1.5294689218698875E-3</v>
      </c>
      <c r="K2749" s="103"/>
      <c r="L2749" s="103">
        <v>4.48E-2</v>
      </c>
      <c r="O2749" s="100"/>
    </row>
    <row r="2750" spans="2:15" x14ac:dyDescent="0.2">
      <c r="B2750" s="1">
        <v>2735</v>
      </c>
      <c r="C2750" s="101">
        <f ca="1"/>
        <v>-9.2207160896614473E-2</v>
      </c>
      <c r="D2750" s="101">
        <f t="shared" ca="1" si="165"/>
        <v>0.65848563056814369</v>
      </c>
      <c r="E2750" s="101">
        <f t="shared" ca="1" si="166"/>
        <v>0</v>
      </c>
      <c r="F2750" s="21">
        <f t="shared" ca="1" si="167"/>
        <v>0</v>
      </c>
      <c r="H2750" s="21">
        <v>2735</v>
      </c>
      <c r="I2750" s="102">
        <v>0.66789377519782955</v>
      </c>
      <c r="J2750" s="103">
        <v>1.5577251600054512E-3</v>
      </c>
      <c r="K2750" s="103"/>
      <c r="L2750" s="103">
        <v>4.4400000000000002E-2</v>
      </c>
      <c r="O2750" s="100"/>
    </row>
    <row r="2751" spans="2:15" x14ac:dyDescent="0.2">
      <c r="B2751" s="1">
        <v>2736</v>
      </c>
      <c r="C2751" s="101">
        <f ca="1"/>
        <v>-1.1605354821632565</v>
      </c>
      <c r="D2751" s="101">
        <f t="shared" ca="1" si="165"/>
        <v>0.59262473705171825</v>
      </c>
      <c r="E2751" s="101">
        <f t="shared" ca="1" si="166"/>
        <v>0</v>
      </c>
      <c r="F2751" s="21">
        <f t="shared" ca="1" si="167"/>
        <v>0</v>
      </c>
      <c r="H2751" s="21">
        <v>2736</v>
      </c>
      <c r="I2751" s="102">
        <v>0.66785806885077659</v>
      </c>
      <c r="J2751" s="103">
        <v>1.6064278801086822E-3</v>
      </c>
      <c r="K2751" s="103"/>
      <c r="L2751" s="103">
        <v>4.4600000000000001E-2</v>
      </c>
      <c r="O2751" s="100"/>
    </row>
    <row r="2752" spans="2:15" x14ac:dyDescent="0.2">
      <c r="B2752" s="1">
        <v>2737</v>
      </c>
      <c r="C2752" s="101">
        <f ca="1"/>
        <v>0.13046470850998518</v>
      </c>
      <c r="D2752" s="101">
        <f t="shared" ca="1" si="165"/>
        <v>0.67310904711511521</v>
      </c>
      <c r="E2752" s="101">
        <f t="shared" ca="1" si="166"/>
        <v>0</v>
      </c>
      <c r="F2752" s="21">
        <f t="shared" ca="1" si="167"/>
        <v>0</v>
      </c>
      <c r="H2752" s="21">
        <v>2737</v>
      </c>
      <c r="I2752" s="102">
        <v>0.66781584797950644</v>
      </c>
      <c r="J2752" s="103">
        <v>1.2826605104921088E-3</v>
      </c>
      <c r="K2752" s="103"/>
      <c r="L2752" s="103">
        <v>4.0399999999999998E-2</v>
      </c>
      <c r="O2752" s="100"/>
    </row>
    <row r="2753" spans="2:15" x14ac:dyDescent="0.2">
      <c r="B2753" s="1">
        <v>2738</v>
      </c>
      <c r="C2753" s="101">
        <f ca="1"/>
        <v>1.082126770145764</v>
      </c>
      <c r="D2753" s="101">
        <f t="shared" ca="1" si="165"/>
        <v>0.73935675289541147</v>
      </c>
      <c r="E2753" s="101">
        <f t="shared" ca="1" si="166"/>
        <v>0</v>
      </c>
      <c r="F2753" s="21">
        <f t="shared" ca="1" si="167"/>
        <v>0</v>
      </c>
      <c r="H2753" s="21">
        <v>2738</v>
      </c>
      <c r="I2753" s="102">
        <v>0.6676400049379454</v>
      </c>
      <c r="J2753" s="103">
        <v>1.3628324446753914E-3</v>
      </c>
      <c r="K2753" s="103"/>
      <c r="L2753" s="103">
        <v>3.9800000000000002E-2</v>
      </c>
      <c r="O2753" s="100"/>
    </row>
    <row r="2754" spans="2:15" x14ac:dyDescent="0.2">
      <c r="B2754" s="1">
        <v>2739</v>
      </c>
      <c r="C2754" s="101">
        <f ca="1"/>
        <v>5.0108786348424614E-3</v>
      </c>
      <c r="D2754" s="101">
        <f t="shared" ca="1" si="165"/>
        <v>0.66483069602118061</v>
      </c>
      <c r="E2754" s="101">
        <f t="shared" ca="1" si="166"/>
        <v>0</v>
      </c>
      <c r="F2754" s="21">
        <f t="shared" ca="1" si="167"/>
        <v>0</v>
      </c>
      <c r="H2754" s="21">
        <v>2739</v>
      </c>
      <c r="I2754" s="102">
        <v>0.66770349936921669</v>
      </c>
      <c r="J2754" s="103">
        <v>1.1910845747305364E-3</v>
      </c>
      <c r="K2754" s="103"/>
      <c r="L2754" s="103">
        <v>3.9399999999999998E-2</v>
      </c>
      <c r="O2754" s="100"/>
    </row>
    <row r="2755" spans="2:15" x14ac:dyDescent="0.2">
      <c r="B2755" s="1">
        <v>2740</v>
      </c>
      <c r="C2755" s="101">
        <f ca="1"/>
        <v>0.98991066895151214</v>
      </c>
      <c r="D2755" s="101">
        <f t="shared" ca="1" si="165"/>
        <v>0.7326618241667322</v>
      </c>
      <c r="E2755" s="101">
        <f t="shared" ca="1" si="166"/>
        <v>0</v>
      </c>
      <c r="F2755" s="21">
        <f t="shared" ca="1" si="167"/>
        <v>0</v>
      </c>
      <c r="H2755" s="21">
        <v>2740</v>
      </c>
      <c r="I2755" s="102">
        <v>0.66776730127308226</v>
      </c>
      <c r="J2755" s="103">
        <v>1.4362698265445724E-3</v>
      </c>
      <c r="K2755" s="103"/>
      <c r="L2755" s="103">
        <v>4.2200000000000001E-2</v>
      </c>
      <c r="O2755" s="100"/>
    </row>
    <row r="2756" spans="2:15" x14ac:dyDescent="0.2">
      <c r="B2756" s="1">
        <v>2741</v>
      </c>
      <c r="C2756" s="101">
        <f ca="1"/>
        <v>0.54352886226415509</v>
      </c>
      <c r="D2756" s="101">
        <f t="shared" ca="1" si="165"/>
        <v>0.70110141161969552</v>
      </c>
      <c r="E2756" s="101">
        <f t="shared" ca="1" si="166"/>
        <v>0</v>
      </c>
      <c r="F2756" s="21">
        <f t="shared" ca="1" si="167"/>
        <v>0</v>
      </c>
      <c r="H2756" s="21">
        <v>2741</v>
      </c>
      <c r="I2756" s="102">
        <v>0.66773386332887052</v>
      </c>
      <c r="J2756" s="103">
        <v>1.3933216865310658E-3</v>
      </c>
      <c r="K2756" s="103"/>
      <c r="L2756" s="103">
        <v>4.3799999999999999E-2</v>
      </c>
      <c r="O2756" s="100"/>
    </row>
    <row r="2757" spans="2:15" x14ac:dyDescent="0.2">
      <c r="B2757" s="1">
        <v>2742</v>
      </c>
      <c r="C2757" s="101">
        <f ca="1"/>
        <v>0.6208037920871472</v>
      </c>
      <c r="D2757" s="101">
        <f t="shared" ca="1" si="165"/>
        <v>0.70646597793271659</v>
      </c>
      <c r="E2757" s="101">
        <f t="shared" ca="1" si="166"/>
        <v>0</v>
      </c>
      <c r="F2757" s="21">
        <f t="shared" ca="1" si="167"/>
        <v>0</v>
      </c>
      <c r="H2757" s="21">
        <v>2742</v>
      </c>
      <c r="I2757" s="102">
        <v>0.66776195298519447</v>
      </c>
      <c r="J2757" s="103">
        <v>1.4863872703594924E-3</v>
      </c>
      <c r="K2757" s="103"/>
      <c r="L2757" s="103">
        <v>4.4200000000000003E-2</v>
      </c>
      <c r="O2757" s="100"/>
    </row>
    <row r="2758" spans="2:15" x14ac:dyDescent="0.2">
      <c r="B2758" s="1">
        <v>2743</v>
      </c>
      <c r="C2758" s="101">
        <f ca="1"/>
        <v>0.2696748518509719</v>
      </c>
      <c r="D2758" s="101">
        <f t="shared" ca="1" si="165"/>
        <v>0.68241584879811701</v>
      </c>
      <c r="E2758" s="101">
        <f t="shared" ca="1" si="166"/>
        <v>0</v>
      </c>
      <c r="F2758" s="21">
        <f t="shared" ca="1" si="167"/>
        <v>0</v>
      </c>
      <c r="H2758" s="21">
        <v>2743</v>
      </c>
      <c r="I2758" s="102">
        <v>0.66764976784451813</v>
      </c>
      <c r="J2758" s="103">
        <v>1.3166112772643483E-3</v>
      </c>
      <c r="K2758" s="103"/>
      <c r="L2758" s="103">
        <v>3.9800000000000002E-2</v>
      </c>
      <c r="O2758" s="100"/>
    </row>
    <row r="2759" spans="2:15" x14ac:dyDescent="0.2">
      <c r="B2759" s="1">
        <v>2744</v>
      </c>
      <c r="C2759" s="101">
        <f ca="1"/>
        <v>-1.7402618930548799E-2</v>
      </c>
      <c r="D2759" s="101">
        <f t="shared" ca="1" si="165"/>
        <v>0.66336244742481254</v>
      </c>
      <c r="E2759" s="101">
        <f t="shared" ca="1" si="166"/>
        <v>0</v>
      </c>
      <c r="F2759" s="21">
        <f t="shared" ca="1" si="167"/>
        <v>0</v>
      </c>
      <c r="H2759" s="21">
        <v>2744</v>
      </c>
      <c r="I2759" s="102">
        <v>0.66788347956960481</v>
      </c>
      <c r="J2759" s="103">
        <v>1.4582578598264053E-3</v>
      </c>
      <c r="K2759" s="103"/>
      <c r="L2759" s="103">
        <v>4.4600000000000001E-2</v>
      </c>
      <c r="O2759" s="100"/>
    </row>
    <row r="2760" spans="2:15" x14ac:dyDescent="0.2">
      <c r="B2760" s="1">
        <v>2745</v>
      </c>
      <c r="C2760" s="101">
        <f ca="1"/>
        <v>-0.63305108709776436</v>
      </c>
      <c r="D2760" s="101">
        <f t="shared" ca="1" si="165"/>
        <v>0.6242763491570118</v>
      </c>
      <c r="E2760" s="101">
        <f t="shared" ca="1" si="166"/>
        <v>0</v>
      </c>
      <c r="F2760" s="21">
        <f t="shared" ca="1" si="167"/>
        <v>0</v>
      </c>
      <c r="H2760" s="21">
        <v>2745</v>
      </c>
      <c r="I2760" s="102">
        <v>0.66779702221373693</v>
      </c>
      <c r="J2760" s="103">
        <v>1.3191731191827291E-3</v>
      </c>
      <c r="K2760" s="103"/>
      <c r="L2760" s="103">
        <v>4.2200000000000001E-2</v>
      </c>
      <c r="O2760" s="100"/>
    </row>
    <row r="2761" spans="2:15" x14ac:dyDescent="0.2">
      <c r="B2761" s="1">
        <v>2746</v>
      </c>
      <c r="C2761" s="101">
        <f ca="1"/>
        <v>0.24835908626211292</v>
      </c>
      <c r="D2761" s="101">
        <f t="shared" ca="1" si="165"/>
        <v>0.68098249816126211</v>
      </c>
      <c r="E2761" s="101">
        <f t="shared" ca="1" si="166"/>
        <v>0</v>
      </c>
      <c r="F2761" s="21">
        <f t="shared" ca="1" si="167"/>
        <v>0</v>
      </c>
      <c r="H2761" s="21">
        <v>2746</v>
      </c>
      <c r="I2761" s="102">
        <v>0.66776393128568456</v>
      </c>
      <c r="J2761" s="103">
        <v>1.3768600262105317E-3</v>
      </c>
      <c r="K2761" s="103"/>
      <c r="L2761" s="103">
        <v>4.2599999999999999E-2</v>
      </c>
      <c r="O2761" s="100"/>
    </row>
    <row r="2762" spans="2:15" x14ac:dyDescent="0.2">
      <c r="B2762" s="1">
        <v>2747</v>
      </c>
      <c r="C2762" s="101">
        <f ca="1"/>
        <v>-0.64507435717216044</v>
      </c>
      <c r="D2762" s="101">
        <f t="shared" ca="1" si="165"/>
        <v>0.62353640171035096</v>
      </c>
      <c r="E2762" s="101">
        <f t="shared" ca="1" si="166"/>
        <v>0</v>
      </c>
      <c r="F2762" s="21">
        <f t="shared" ca="1" si="167"/>
        <v>0</v>
      </c>
      <c r="H2762" s="21">
        <v>2747</v>
      </c>
      <c r="I2762" s="102">
        <v>0.66776322556991619</v>
      </c>
      <c r="J2762" s="103">
        <v>1.4689540804919416E-3</v>
      </c>
      <c r="K2762" s="103"/>
      <c r="L2762" s="103">
        <v>4.0599999999999997E-2</v>
      </c>
      <c r="O2762" s="100"/>
    </row>
    <row r="2763" spans="2:15" x14ac:dyDescent="0.2">
      <c r="B2763" s="1">
        <v>2748</v>
      </c>
      <c r="C2763" s="101">
        <f ca="1"/>
        <v>0.67958996150354789</v>
      </c>
      <c r="D2763" s="101">
        <f t="shared" ca="1" si="165"/>
        <v>0.71057449508644721</v>
      </c>
      <c r="E2763" s="101">
        <f t="shared" ca="1" si="166"/>
        <v>0</v>
      </c>
      <c r="F2763" s="21">
        <f t="shared" ca="1" si="167"/>
        <v>0</v>
      </c>
      <c r="H2763" s="21">
        <v>2748</v>
      </c>
      <c r="I2763" s="102">
        <v>0.66793996366238406</v>
      </c>
      <c r="J2763" s="103">
        <v>1.5919798340087948E-3</v>
      </c>
      <c r="K2763" s="103"/>
      <c r="L2763" s="103">
        <v>4.7199999999999999E-2</v>
      </c>
      <c r="O2763" s="100"/>
    </row>
    <row r="2764" spans="2:15" x14ac:dyDescent="0.2">
      <c r="B2764" s="1">
        <v>2749</v>
      </c>
      <c r="C2764" s="101">
        <f ca="1"/>
        <v>0.32813373213891284</v>
      </c>
      <c r="D2764" s="101">
        <f t="shared" ca="1" si="165"/>
        <v>0.68636234119849426</v>
      </c>
      <c r="E2764" s="101">
        <f t="shared" ca="1" si="166"/>
        <v>0</v>
      </c>
      <c r="F2764" s="21">
        <f t="shared" ca="1" si="167"/>
        <v>0</v>
      </c>
      <c r="H2764" s="21">
        <v>2749</v>
      </c>
      <c r="I2764" s="102">
        <v>0.66764720287157797</v>
      </c>
      <c r="J2764" s="103">
        <v>1.2952614534232304E-3</v>
      </c>
      <c r="K2764" s="103"/>
      <c r="L2764" s="103">
        <v>4.02E-2</v>
      </c>
      <c r="O2764" s="100"/>
    </row>
    <row r="2765" spans="2:15" x14ac:dyDescent="0.2">
      <c r="B2765" s="1">
        <v>2750</v>
      </c>
      <c r="C2765" s="101">
        <f ca="1"/>
        <v>0.13284722738696927</v>
      </c>
      <c r="D2765" s="101">
        <f t="shared" ca="1" si="165"/>
        <v>0.67326725630715123</v>
      </c>
      <c r="E2765" s="101">
        <f t="shared" ca="1" si="166"/>
        <v>0</v>
      </c>
      <c r="F2765" s="21">
        <f t="shared" ca="1" si="167"/>
        <v>0</v>
      </c>
      <c r="H2765" s="21">
        <v>2750</v>
      </c>
      <c r="I2765" s="102">
        <v>0.66783505767692519</v>
      </c>
      <c r="J2765" s="103">
        <v>1.401423381384834E-3</v>
      </c>
      <c r="K2765" s="103"/>
      <c r="L2765" s="103">
        <v>4.4600000000000001E-2</v>
      </c>
      <c r="O2765" s="100"/>
    </row>
    <row r="2766" spans="2:15" x14ac:dyDescent="0.2">
      <c r="B2766" s="1">
        <v>2751</v>
      </c>
      <c r="C2766" s="101">
        <f ca="1"/>
        <v>-1.4272946674910357E-2</v>
      </c>
      <c r="D2766" s="101">
        <f t="shared" ca="1" si="165"/>
        <v>0.66356726899049501</v>
      </c>
      <c r="E2766" s="101">
        <f t="shared" ca="1" si="166"/>
        <v>0</v>
      </c>
      <c r="F2766" s="21">
        <f t="shared" ca="1" si="167"/>
        <v>0</v>
      </c>
      <c r="H2766" s="21">
        <v>2751</v>
      </c>
      <c r="I2766" s="102">
        <v>0.66771536869482784</v>
      </c>
      <c r="J2766" s="103">
        <v>1.4868661038395601E-3</v>
      </c>
      <c r="K2766" s="103"/>
      <c r="L2766" s="103">
        <v>4.5199999999999997E-2</v>
      </c>
      <c r="O2766" s="100"/>
    </row>
    <row r="2767" spans="2:15" x14ac:dyDescent="0.2">
      <c r="B2767" s="1">
        <v>2752</v>
      </c>
      <c r="C2767" s="101">
        <f ca="1"/>
        <v>-0.94402560954948833</v>
      </c>
      <c r="D2767" s="101">
        <f t="shared" ca="1" si="165"/>
        <v>0.60541743686669958</v>
      </c>
      <c r="E2767" s="101">
        <f t="shared" ca="1" si="166"/>
        <v>0</v>
      </c>
      <c r="F2767" s="21">
        <f t="shared" ca="1" si="167"/>
        <v>0</v>
      </c>
      <c r="H2767" s="21">
        <v>2752</v>
      </c>
      <c r="I2767" s="102">
        <v>0.66767447198990737</v>
      </c>
      <c r="J2767" s="103">
        <v>1.2409360046042148E-3</v>
      </c>
      <c r="K2767" s="103"/>
      <c r="L2767" s="103">
        <v>4.1200000000000001E-2</v>
      </c>
      <c r="O2767" s="100"/>
    </row>
    <row r="2768" spans="2:15" x14ac:dyDescent="0.2">
      <c r="B2768" s="1">
        <v>2753</v>
      </c>
      <c r="C2768" s="101">
        <f ca="1"/>
        <v>-1.2331848363775741</v>
      </c>
      <c r="D2768" s="101">
        <f t="shared" ref="D2768:D2831" ca="1" si="168">S0*EXP((μ-0.5*σ*σ)*T+σ*SQRT(T)*$C2768)</f>
        <v>0.58839303349008287</v>
      </c>
      <c r="E2768" s="101">
        <f t="shared" ref="E2768:E2831" ca="1" si="169">MAX(0,CP*(D2768-K))</f>
        <v>0</v>
      </c>
      <c r="F2768" s="21">
        <f t="shared" ref="F2768:F2831" ca="1" si="170">(CP*(D2768-K)&gt;0)*1</f>
        <v>0</v>
      </c>
      <c r="H2768" s="21">
        <v>2753</v>
      </c>
      <c r="I2768" s="102">
        <v>0.66768831858266287</v>
      </c>
      <c r="J2768" s="103">
        <v>1.2267345189745243E-3</v>
      </c>
      <c r="K2768" s="103"/>
      <c r="L2768" s="103">
        <v>4.1000000000000002E-2</v>
      </c>
      <c r="O2768" s="100"/>
    </row>
    <row r="2769" spans="2:15" x14ac:dyDescent="0.2">
      <c r="B2769" s="1">
        <v>2754</v>
      </c>
      <c r="C2769" s="101">
        <f ca="1"/>
        <v>-0.77219741690465393</v>
      </c>
      <c r="D2769" s="101">
        <f t="shared" ca="1" si="168"/>
        <v>0.61576633121391278</v>
      </c>
      <c r="E2769" s="101">
        <f t="shared" ca="1" si="169"/>
        <v>0</v>
      </c>
      <c r="F2769" s="21">
        <f t="shared" ca="1" si="170"/>
        <v>0</v>
      </c>
      <c r="H2769" s="21">
        <v>2754</v>
      </c>
      <c r="I2769" s="102">
        <v>0.66769421384296845</v>
      </c>
      <c r="J2769" s="103">
        <v>1.3941336006520761E-3</v>
      </c>
      <c r="K2769" s="103"/>
      <c r="L2769" s="103">
        <v>4.2200000000000001E-2</v>
      </c>
      <c r="O2769" s="100"/>
    </row>
    <row r="2770" spans="2:15" x14ac:dyDescent="0.2">
      <c r="B2770" s="1">
        <v>2755</v>
      </c>
      <c r="C2770" s="101">
        <f ca="1"/>
        <v>-0.76361903664332564</v>
      </c>
      <c r="D2770" s="101">
        <f t="shared" ca="1" si="168"/>
        <v>0.6162876026077182</v>
      </c>
      <c r="E2770" s="101">
        <f t="shared" ca="1" si="169"/>
        <v>0</v>
      </c>
      <c r="F2770" s="21">
        <f t="shared" ca="1" si="170"/>
        <v>0</v>
      </c>
      <c r="H2770" s="21">
        <v>2755</v>
      </c>
      <c r="I2770" s="102">
        <v>0.66775034164464608</v>
      </c>
      <c r="J2770" s="103">
        <v>1.4824496991486305E-3</v>
      </c>
      <c r="K2770" s="103"/>
      <c r="L2770" s="103">
        <v>4.1000000000000002E-2</v>
      </c>
      <c r="O2770" s="100"/>
    </row>
    <row r="2771" spans="2:15" x14ac:dyDescent="0.2">
      <c r="B2771" s="1">
        <v>2756</v>
      </c>
      <c r="C2771" s="101">
        <f ca="1"/>
        <v>-0.53908970069895279</v>
      </c>
      <c r="D2771" s="101">
        <f t="shared" ca="1" si="168"/>
        <v>0.63008933649753496</v>
      </c>
      <c r="E2771" s="101">
        <f t="shared" ca="1" si="169"/>
        <v>0</v>
      </c>
      <c r="F2771" s="21">
        <f t="shared" ca="1" si="170"/>
        <v>0</v>
      </c>
      <c r="H2771" s="21">
        <v>2756</v>
      </c>
      <c r="I2771" s="102">
        <v>0.66791914952259046</v>
      </c>
      <c r="J2771" s="103">
        <v>1.584267671716865E-3</v>
      </c>
      <c r="K2771" s="103"/>
      <c r="L2771" s="103">
        <v>4.5999999999999999E-2</v>
      </c>
      <c r="O2771" s="100"/>
    </row>
    <row r="2772" spans="2:15" x14ac:dyDescent="0.2">
      <c r="B2772" s="1">
        <v>2757</v>
      </c>
      <c r="C2772" s="101">
        <f ca="1"/>
        <v>1.3691709923634696</v>
      </c>
      <c r="D2772" s="101">
        <f t="shared" ca="1" si="168"/>
        <v>0.76059040317009663</v>
      </c>
      <c r="E2772" s="101">
        <f t="shared" ca="1" si="169"/>
        <v>0</v>
      </c>
      <c r="F2772" s="21">
        <f t="shared" ca="1" si="170"/>
        <v>0</v>
      </c>
      <c r="H2772" s="21">
        <v>2757</v>
      </c>
      <c r="I2772" s="102">
        <v>0.66761387695742558</v>
      </c>
      <c r="J2772" s="103">
        <v>1.2728445954880712E-3</v>
      </c>
      <c r="K2772" s="103"/>
      <c r="L2772" s="103">
        <v>3.7999999999999999E-2</v>
      </c>
      <c r="O2772" s="100"/>
    </row>
    <row r="2773" spans="2:15" x14ac:dyDescent="0.2">
      <c r="B2773" s="1">
        <v>2758</v>
      </c>
      <c r="C2773" s="101">
        <f ca="1"/>
        <v>1.4210587794567355</v>
      </c>
      <c r="D2773" s="101">
        <f t="shared" ca="1" si="168"/>
        <v>0.76449329743523731</v>
      </c>
      <c r="E2773" s="101">
        <f t="shared" ca="1" si="169"/>
        <v>0</v>
      </c>
      <c r="F2773" s="21">
        <f t="shared" ca="1" si="170"/>
        <v>0</v>
      </c>
      <c r="H2773" s="21">
        <v>2758</v>
      </c>
      <c r="I2773" s="102">
        <v>0.66785904001727447</v>
      </c>
      <c r="J2773" s="103">
        <v>1.3931667518543339E-3</v>
      </c>
      <c r="K2773" s="103"/>
      <c r="L2773" s="103">
        <v>4.5999999999999999E-2</v>
      </c>
      <c r="O2773" s="100"/>
    </row>
    <row r="2774" spans="2:15" x14ac:dyDescent="0.2">
      <c r="B2774" s="1">
        <v>2759</v>
      </c>
      <c r="C2774" s="101">
        <f ca="1"/>
        <v>0.95400594870826572</v>
      </c>
      <c r="D2774" s="101">
        <f t="shared" ca="1" si="168"/>
        <v>0.73007155336705676</v>
      </c>
      <c r="E2774" s="101">
        <f t="shared" ca="1" si="169"/>
        <v>0</v>
      </c>
      <c r="F2774" s="21">
        <f t="shared" ca="1" si="170"/>
        <v>0</v>
      </c>
      <c r="H2774" s="21">
        <v>2759</v>
      </c>
      <c r="I2774" s="102">
        <v>0.66768288768832484</v>
      </c>
      <c r="J2774" s="103">
        <v>1.4282279282897025E-3</v>
      </c>
      <c r="K2774" s="103"/>
      <c r="L2774" s="103">
        <v>3.9199999999999999E-2</v>
      </c>
      <c r="O2774" s="100"/>
    </row>
    <row r="2775" spans="2:15" x14ac:dyDescent="0.2">
      <c r="B2775" s="1">
        <v>2760</v>
      </c>
      <c r="C2775" s="101">
        <f ca="1"/>
        <v>-0.63454362492526617</v>
      </c>
      <c r="D2775" s="101">
        <f t="shared" ca="1" si="168"/>
        <v>0.62418444626878677</v>
      </c>
      <c r="E2775" s="101">
        <f t="shared" ca="1" si="169"/>
        <v>0</v>
      </c>
      <c r="F2775" s="21">
        <f t="shared" ca="1" si="170"/>
        <v>0</v>
      </c>
      <c r="H2775" s="21">
        <v>2760</v>
      </c>
      <c r="I2775" s="102">
        <v>0.66759325570704398</v>
      </c>
      <c r="J2775" s="103">
        <v>1.2296549142022722E-3</v>
      </c>
      <c r="K2775" s="103"/>
      <c r="L2775" s="103">
        <v>3.7600000000000001E-2</v>
      </c>
      <c r="O2775" s="100"/>
    </row>
    <row r="2776" spans="2:15" x14ac:dyDescent="0.2">
      <c r="B2776" s="1">
        <v>2761</v>
      </c>
      <c r="C2776" s="101">
        <f ca="1"/>
        <v>0.22258970761274935</v>
      </c>
      <c r="D2776" s="101">
        <f t="shared" ca="1" si="168"/>
        <v>0.67925368944804465</v>
      </c>
      <c r="E2776" s="101">
        <f t="shared" ca="1" si="169"/>
        <v>0</v>
      </c>
      <c r="F2776" s="21">
        <f t="shared" ca="1" si="170"/>
        <v>0</v>
      </c>
      <c r="H2776" s="21">
        <v>2761</v>
      </c>
      <c r="I2776" s="102">
        <v>0.66763054956900691</v>
      </c>
      <c r="J2776" s="103">
        <v>1.0628567107373486E-3</v>
      </c>
      <c r="K2776" s="103"/>
      <c r="L2776" s="103">
        <v>3.8600000000000002E-2</v>
      </c>
      <c r="O2776" s="100"/>
    </row>
    <row r="2777" spans="2:15" x14ac:dyDescent="0.2">
      <c r="B2777" s="1">
        <v>2762</v>
      </c>
      <c r="C2777" s="101">
        <f ca="1"/>
        <v>-0.31355987938032454</v>
      </c>
      <c r="D2777" s="101">
        <f t="shared" ca="1" si="168"/>
        <v>0.64426373835181749</v>
      </c>
      <c r="E2777" s="101">
        <f t="shared" ca="1" si="169"/>
        <v>0</v>
      </c>
      <c r="F2777" s="21">
        <f t="shared" ca="1" si="170"/>
        <v>0</v>
      </c>
      <c r="H2777" s="21">
        <v>2762</v>
      </c>
      <c r="I2777" s="102">
        <v>0.66785512380295775</v>
      </c>
      <c r="J2777" s="103">
        <v>1.5726937148199673E-3</v>
      </c>
      <c r="K2777" s="103"/>
      <c r="L2777" s="103">
        <v>4.6399999999999997E-2</v>
      </c>
      <c r="O2777" s="100"/>
    </row>
    <row r="2778" spans="2:15" x14ac:dyDescent="0.2">
      <c r="B2778" s="1">
        <v>2763</v>
      </c>
      <c r="C2778" s="101">
        <f ca="1"/>
        <v>0.71707551593973029</v>
      </c>
      <c r="D2778" s="101">
        <f t="shared" ca="1" si="168"/>
        <v>0.71320679658472286</v>
      </c>
      <c r="E2778" s="101">
        <f t="shared" ca="1" si="169"/>
        <v>0</v>
      </c>
      <c r="F2778" s="21">
        <f t="shared" ca="1" si="170"/>
        <v>0</v>
      </c>
      <c r="H2778" s="21">
        <v>2763</v>
      </c>
      <c r="I2778" s="102">
        <v>0.66774993256684412</v>
      </c>
      <c r="J2778" s="103">
        <v>1.4110306589933336E-3</v>
      </c>
      <c r="K2778" s="103"/>
      <c r="L2778" s="103">
        <v>4.3999999999999997E-2</v>
      </c>
      <c r="O2778" s="100"/>
    </row>
    <row r="2779" spans="2:15" x14ac:dyDescent="0.2">
      <c r="B2779" s="1">
        <v>2764</v>
      </c>
      <c r="C2779" s="101">
        <f ca="1"/>
        <v>-9.7895870813322211E-3</v>
      </c>
      <c r="D2779" s="101">
        <f t="shared" ca="1" si="168"/>
        <v>0.66386079288816391</v>
      </c>
      <c r="E2779" s="101">
        <f t="shared" ca="1" si="169"/>
        <v>0</v>
      </c>
      <c r="F2779" s="21">
        <f t="shared" ca="1" si="170"/>
        <v>0</v>
      </c>
      <c r="H2779" s="21">
        <v>2764</v>
      </c>
      <c r="I2779" s="102">
        <v>0.66778545359950914</v>
      </c>
      <c r="J2779" s="103">
        <v>1.3193326814168931E-3</v>
      </c>
      <c r="K2779" s="103"/>
      <c r="L2779" s="103">
        <v>3.9800000000000002E-2</v>
      </c>
      <c r="O2779" s="100"/>
    </row>
    <row r="2780" spans="2:15" x14ac:dyDescent="0.2">
      <c r="B2780" s="1">
        <v>2765</v>
      </c>
      <c r="C2780" s="101">
        <f ca="1"/>
        <v>0.58517581249913986</v>
      </c>
      <c r="D2780" s="101">
        <f t="shared" ca="1" si="168"/>
        <v>0.70398753781342116</v>
      </c>
      <c r="E2780" s="101">
        <f t="shared" ca="1" si="169"/>
        <v>0</v>
      </c>
      <c r="F2780" s="21">
        <f t="shared" ca="1" si="170"/>
        <v>0</v>
      </c>
      <c r="H2780" s="21">
        <v>2765</v>
      </c>
      <c r="I2780" s="102">
        <v>0.66766568446619323</v>
      </c>
      <c r="J2780" s="103">
        <v>1.1880238785088896E-3</v>
      </c>
      <c r="K2780" s="103"/>
      <c r="L2780" s="103">
        <v>3.8800000000000001E-2</v>
      </c>
      <c r="O2780" s="100"/>
    </row>
    <row r="2781" spans="2:15" x14ac:dyDescent="0.2">
      <c r="B2781" s="1">
        <v>2766</v>
      </c>
      <c r="C2781" s="101">
        <f ca="1"/>
        <v>0.6067136901412844</v>
      </c>
      <c r="D2781" s="101">
        <f t="shared" ca="1" si="168"/>
        <v>0.70548476668656568</v>
      </c>
      <c r="E2781" s="101">
        <f t="shared" ca="1" si="169"/>
        <v>0</v>
      </c>
      <c r="F2781" s="21">
        <f t="shared" ca="1" si="170"/>
        <v>0</v>
      </c>
      <c r="H2781" s="21">
        <v>2766</v>
      </c>
      <c r="I2781" s="102">
        <v>0.66797390158095127</v>
      </c>
      <c r="J2781" s="103">
        <v>1.6505340636647362E-3</v>
      </c>
      <c r="K2781" s="103"/>
      <c r="L2781" s="103">
        <v>4.58E-2</v>
      </c>
      <c r="O2781" s="100"/>
    </row>
    <row r="2782" spans="2:15" x14ac:dyDescent="0.2">
      <c r="B2782" s="1">
        <v>2767</v>
      </c>
      <c r="C2782" s="101">
        <f ca="1"/>
        <v>-0.41989398766390928</v>
      </c>
      <c r="D2782" s="101">
        <f t="shared" ca="1" si="168"/>
        <v>0.6375414129775695</v>
      </c>
      <c r="E2782" s="101">
        <f t="shared" ca="1" si="169"/>
        <v>0</v>
      </c>
      <c r="F2782" s="21">
        <f t="shared" ca="1" si="170"/>
        <v>0</v>
      </c>
      <c r="H2782" s="21">
        <v>2767</v>
      </c>
      <c r="I2782" s="102">
        <v>0.66785683401496543</v>
      </c>
      <c r="J2782" s="103">
        <v>1.4371516407658169E-3</v>
      </c>
      <c r="K2782" s="103"/>
      <c r="L2782" s="103">
        <v>4.36E-2</v>
      </c>
      <c r="O2782" s="100"/>
    </row>
    <row r="2783" spans="2:15" x14ac:dyDescent="0.2">
      <c r="B2783" s="1">
        <v>2768</v>
      </c>
      <c r="C2783" s="101">
        <f ca="1"/>
        <v>-0.60670412964786347</v>
      </c>
      <c r="D2783" s="101">
        <f t="shared" ca="1" si="168"/>
        <v>0.62590089031433238</v>
      </c>
      <c r="E2783" s="101">
        <f t="shared" ca="1" si="169"/>
        <v>0</v>
      </c>
      <c r="F2783" s="21">
        <f t="shared" ca="1" si="170"/>
        <v>0</v>
      </c>
      <c r="H2783" s="21">
        <v>2768</v>
      </c>
      <c r="I2783" s="102">
        <v>0.66769192338438232</v>
      </c>
      <c r="J2783" s="103">
        <v>1.345463107136569E-3</v>
      </c>
      <c r="K2783" s="103"/>
      <c r="L2783" s="103">
        <v>4.0599999999999997E-2</v>
      </c>
      <c r="O2783" s="100"/>
    </row>
    <row r="2784" spans="2:15" x14ac:dyDescent="0.2">
      <c r="B2784" s="1">
        <v>2769</v>
      </c>
      <c r="C2784" s="101">
        <f ca="1"/>
        <v>-2.4306424925768009</v>
      </c>
      <c r="D2784" s="101">
        <f t="shared" ca="1" si="168"/>
        <v>0.52284044348965475</v>
      </c>
      <c r="E2784" s="101">
        <f t="shared" ca="1" si="169"/>
        <v>0</v>
      </c>
      <c r="F2784" s="21">
        <f t="shared" ca="1" si="170"/>
        <v>0</v>
      </c>
      <c r="H2784" s="21">
        <v>2769</v>
      </c>
      <c r="I2784" s="102">
        <v>0.66784784061793689</v>
      </c>
      <c r="J2784" s="103">
        <v>1.3882456951672148E-3</v>
      </c>
      <c r="K2784" s="103"/>
      <c r="L2784" s="103">
        <v>4.2599999999999999E-2</v>
      </c>
      <c r="O2784" s="100"/>
    </row>
    <row r="2785" spans="2:15" x14ac:dyDescent="0.2">
      <c r="B2785" s="1">
        <v>2770</v>
      </c>
      <c r="C2785" s="101">
        <f ca="1"/>
        <v>2.1265255844429314</v>
      </c>
      <c r="D2785" s="101">
        <f t="shared" ca="1" si="168"/>
        <v>0.81958772464852447</v>
      </c>
      <c r="E2785" s="101">
        <f t="shared" ca="1" si="169"/>
        <v>3.1387724648524462E-2</v>
      </c>
      <c r="F2785" s="21">
        <f t="shared" ca="1" si="170"/>
        <v>1</v>
      </c>
      <c r="H2785" s="21">
        <v>2770</v>
      </c>
      <c r="I2785" s="102">
        <v>0.66783695101136797</v>
      </c>
      <c r="J2785" s="103">
        <v>1.525109430795217E-3</v>
      </c>
      <c r="K2785" s="103"/>
      <c r="L2785" s="103">
        <v>4.6600000000000003E-2</v>
      </c>
      <c r="O2785" s="100"/>
    </row>
    <row r="2786" spans="2:15" x14ac:dyDescent="0.2">
      <c r="B2786" s="1">
        <v>2771</v>
      </c>
      <c r="C2786" s="101">
        <f ca="1"/>
        <v>-0.30152004461616477</v>
      </c>
      <c r="D2786" s="101">
        <f t="shared" ca="1" si="168"/>
        <v>0.64502933677563912</v>
      </c>
      <c r="E2786" s="101">
        <f t="shared" ca="1" si="169"/>
        <v>0</v>
      </c>
      <c r="F2786" s="21">
        <f t="shared" ca="1" si="170"/>
        <v>0</v>
      </c>
      <c r="H2786" s="21">
        <v>2771</v>
      </c>
      <c r="I2786" s="102">
        <v>0.6677066021897915</v>
      </c>
      <c r="J2786" s="103">
        <v>1.1902296811704045E-3</v>
      </c>
      <c r="K2786" s="103"/>
      <c r="L2786" s="103">
        <v>4.0800000000000003E-2</v>
      </c>
      <c r="O2786" s="100"/>
    </row>
    <row r="2787" spans="2:15" x14ac:dyDescent="0.2">
      <c r="B2787" s="1">
        <v>2772</v>
      </c>
      <c r="C2787" s="101">
        <f ca="1"/>
        <v>2.4344529664934558</v>
      </c>
      <c r="D2787" s="101">
        <f t="shared" ca="1" si="168"/>
        <v>0.84486411536844952</v>
      </c>
      <c r="E2787" s="101">
        <f t="shared" ca="1" si="169"/>
        <v>5.6664115368449508E-2</v>
      </c>
      <c r="F2787" s="21">
        <f t="shared" ca="1" si="170"/>
        <v>1</v>
      </c>
      <c r="H2787" s="21">
        <v>2772</v>
      </c>
      <c r="I2787" s="102">
        <v>0.66777097024303345</v>
      </c>
      <c r="J2787" s="103">
        <v>1.4390844547546844E-3</v>
      </c>
      <c r="K2787" s="103"/>
      <c r="L2787" s="103">
        <v>4.2200000000000001E-2</v>
      </c>
      <c r="O2787" s="100"/>
    </row>
    <row r="2788" spans="2:15" x14ac:dyDescent="0.2">
      <c r="B2788" s="1">
        <v>2773</v>
      </c>
      <c r="C2788" s="101">
        <f ca="1"/>
        <v>-3.6858554225152958E-3</v>
      </c>
      <c r="D2788" s="101">
        <f t="shared" ca="1" si="168"/>
        <v>0.6642606106648995</v>
      </c>
      <c r="E2788" s="101">
        <f t="shared" ca="1" si="169"/>
        <v>0</v>
      </c>
      <c r="F2788" s="21">
        <f t="shared" ca="1" si="170"/>
        <v>0</v>
      </c>
      <c r="H2788" s="21">
        <v>2773</v>
      </c>
      <c r="I2788" s="102">
        <v>0.66777276527514573</v>
      </c>
      <c r="J2788" s="103">
        <v>1.4710454173930082E-3</v>
      </c>
      <c r="K2788" s="103"/>
      <c r="L2788" s="103">
        <v>4.2799999999999998E-2</v>
      </c>
      <c r="O2788" s="100"/>
    </row>
    <row r="2789" spans="2:15" x14ac:dyDescent="0.2">
      <c r="B2789" s="1">
        <v>2774</v>
      </c>
      <c r="C2789" s="101">
        <f ca="1"/>
        <v>-0.22540097475219054</v>
      </c>
      <c r="D2789" s="101">
        <f t="shared" ca="1" si="168"/>
        <v>0.64989075861878376</v>
      </c>
      <c r="E2789" s="101">
        <f t="shared" ca="1" si="169"/>
        <v>0</v>
      </c>
      <c r="F2789" s="21">
        <f t="shared" ca="1" si="170"/>
        <v>0</v>
      </c>
      <c r="H2789" s="21">
        <v>2774</v>
      </c>
      <c r="I2789" s="102">
        <v>0.66772971807425796</v>
      </c>
      <c r="J2789" s="103">
        <v>1.1855333350526481E-3</v>
      </c>
      <c r="K2789" s="103"/>
      <c r="L2789" s="103">
        <v>4.1000000000000002E-2</v>
      </c>
      <c r="O2789" s="100"/>
    </row>
    <row r="2790" spans="2:15" x14ac:dyDescent="0.2">
      <c r="B2790" s="1">
        <v>2775</v>
      </c>
      <c r="C2790" s="101">
        <f ca="1"/>
        <v>-0.53089516468669051</v>
      </c>
      <c r="D2790" s="101">
        <f t="shared" ca="1" si="168"/>
        <v>0.63059885614435662</v>
      </c>
      <c r="E2790" s="101">
        <f t="shared" ca="1" si="169"/>
        <v>0</v>
      </c>
      <c r="F2790" s="21">
        <f t="shared" ca="1" si="170"/>
        <v>0</v>
      </c>
      <c r="H2790" s="21">
        <v>2775</v>
      </c>
      <c r="I2790" s="102">
        <v>0.66769959634067444</v>
      </c>
      <c r="J2790" s="103">
        <v>1.3740075517008571E-3</v>
      </c>
      <c r="K2790" s="103"/>
      <c r="L2790" s="103">
        <v>3.8199999999999998E-2</v>
      </c>
      <c r="O2790" s="100"/>
    </row>
    <row r="2791" spans="2:15" x14ac:dyDescent="0.2">
      <c r="B2791" s="1">
        <v>2776</v>
      </c>
      <c r="C2791" s="101">
        <f ca="1"/>
        <v>-0.37066847926417934</v>
      </c>
      <c r="D2791" s="101">
        <f t="shared" ca="1" si="168"/>
        <v>0.64064463131821769</v>
      </c>
      <c r="E2791" s="101">
        <f t="shared" ca="1" si="169"/>
        <v>0</v>
      </c>
      <c r="F2791" s="21">
        <f t="shared" ca="1" si="170"/>
        <v>0</v>
      </c>
      <c r="H2791" s="21">
        <v>2776</v>
      </c>
      <c r="I2791" s="102">
        <v>0.66786323635192335</v>
      </c>
      <c r="J2791" s="103">
        <v>1.375801064912346E-3</v>
      </c>
      <c r="K2791" s="103"/>
      <c r="L2791" s="103">
        <v>4.48E-2</v>
      </c>
      <c r="O2791" s="100"/>
    </row>
    <row r="2792" spans="2:15" x14ac:dyDescent="0.2">
      <c r="B2792" s="1">
        <v>2777</v>
      </c>
      <c r="C2792" s="101">
        <f ca="1"/>
        <v>0.34121553110463665</v>
      </c>
      <c r="D2792" s="101">
        <f t="shared" ca="1" si="168"/>
        <v>0.68724859897040247</v>
      </c>
      <c r="E2792" s="101">
        <f t="shared" ca="1" si="169"/>
        <v>0</v>
      </c>
      <c r="F2792" s="21">
        <f t="shared" ca="1" si="170"/>
        <v>0</v>
      </c>
      <c r="H2792" s="21">
        <v>2777</v>
      </c>
      <c r="I2792" s="102">
        <v>0.66787148936051666</v>
      </c>
      <c r="J2792" s="103">
        <v>1.5869548352098715E-3</v>
      </c>
      <c r="K2792" s="103"/>
      <c r="L2792" s="103">
        <v>4.58E-2</v>
      </c>
      <c r="O2792" s="100"/>
    </row>
    <row r="2793" spans="2:15" x14ac:dyDescent="0.2">
      <c r="B2793" s="1">
        <v>2778</v>
      </c>
      <c r="C2793" s="101">
        <f ca="1"/>
        <v>0.86925284352715881</v>
      </c>
      <c r="D2793" s="101">
        <f t="shared" ca="1" si="168"/>
        <v>0.72399348157238341</v>
      </c>
      <c r="E2793" s="101">
        <f t="shared" ca="1" si="169"/>
        <v>0</v>
      </c>
      <c r="F2793" s="21">
        <f t="shared" ca="1" si="170"/>
        <v>0</v>
      </c>
      <c r="H2793" s="21">
        <v>2778</v>
      </c>
      <c r="I2793" s="102">
        <v>0.66778597426048558</v>
      </c>
      <c r="J2793" s="103">
        <v>1.548393858020814E-3</v>
      </c>
      <c r="K2793" s="103"/>
      <c r="L2793" s="103">
        <v>4.58E-2</v>
      </c>
      <c r="O2793" s="100"/>
    </row>
    <row r="2794" spans="2:15" x14ac:dyDescent="0.2">
      <c r="B2794" s="1">
        <v>2779</v>
      </c>
      <c r="C2794" s="101">
        <f ca="1"/>
        <v>-0.38167057147090094</v>
      </c>
      <c r="D2794" s="101">
        <f t="shared" ca="1" si="168"/>
        <v>0.63994974184608189</v>
      </c>
      <c r="E2794" s="101">
        <f t="shared" ca="1" si="169"/>
        <v>0</v>
      </c>
      <c r="F2794" s="21">
        <f t="shared" ca="1" si="170"/>
        <v>0</v>
      </c>
      <c r="H2794" s="21">
        <v>2779</v>
      </c>
      <c r="I2794" s="102">
        <v>0.66803810786651263</v>
      </c>
      <c r="J2794" s="103">
        <v>1.7755445528748637E-3</v>
      </c>
      <c r="K2794" s="103"/>
      <c r="L2794" s="103">
        <v>4.5999999999999999E-2</v>
      </c>
      <c r="O2794" s="100"/>
    </row>
    <row r="2795" spans="2:15" x14ac:dyDescent="0.2">
      <c r="B2795" s="1">
        <v>2780</v>
      </c>
      <c r="C2795" s="101">
        <f ca="1"/>
        <v>0.90506157049073377</v>
      </c>
      <c r="D2795" s="101">
        <f t="shared" ca="1" si="168"/>
        <v>0.72655530785010791</v>
      </c>
      <c r="E2795" s="101">
        <f t="shared" ca="1" si="169"/>
        <v>0</v>
      </c>
      <c r="F2795" s="21">
        <f t="shared" ca="1" si="170"/>
        <v>0</v>
      </c>
      <c r="H2795" s="21">
        <v>2780</v>
      </c>
      <c r="I2795" s="102">
        <v>0.66786443514861971</v>
      </c>
      <c r="J2795" s="103">
        <v>1.5277487103387808E-3</v>
      </c>
      <c r="K2795" s="103"/>
      <c r="L2795" s="103">
        <v>4.48E-2</v>
      </c>
      <c r="O2795" s="100"/>
    </row>
    <row r="2796" spans="2:15" x14ac:dyDescent="0.2">
      <c r="B2796" s="1">
        <v>2781</v>
      </c>
      <c r="C2796" s="101">
        <f ca="1"/>
        <v>-1.2381899289626328</v>
      </c>
      <c r="D2796" s="101">
        <f t="shared" ca="1" si="168"/>
        <v>0.58810261027081157</v>
      </c>
      <c r="E2796" s="101">
        <f t="shared" ca="1" si="169"/>
        <v>0</v>
      </c>
      <c r="F2796" s="21">
        <f t="shared" ca="1" si="170"/>
        <v>0</v>
      </c>
      <c r="H2796" s="21">
        <v>2781</v>
      </c>
      <c r="I2796" s="102">
        <v>0.66773071777528115</v>
      </c>
      <c r="J2796" s="103">
        <v>1.3608355214652359E-3</v>
      </c>
      <c r="K2796" s="103"/>
      <c r="L2796" s="103">
        <v>3.9199999999999999E-2</v>
      </c>
      <c r="O2796" s="100"/>
    </row>
    <row r="2797" spans="2:15" x14ac:dyDescent="0.2">
      <c r="B2797" s="1">
        <v>2782</v>
      </c>
      <c r="C2797" s="101">
        <f ca="1"/>
        <v>-1.7753535024514184</v>
      </c>
      <c r="D2797" s="101">
        <f t="shared" ca="1" si="168"/>
        <v>0.55775227539172156</v>
      </c>
      <c r="E2797" s="101">
        <f t="shared" ca="1" si="169"/>
        <v>0</v>
      </c>
      <c r="F2797" s="21">
        <f t="shared" ca="1" si="170"/>
        <v>0</v>
      </c>
      <c r="H2797" s="21">
        <v>2782</v>
      </c>
      <c r="I2797" s="102">
        <v>0.66771035511625065</v>
      </c>
      <c r="J2797" s="103">
        <v>1.3422250912990936E-3</v>
      </c>
      <c r="K2797" s="103"/>
      <c r="L2797" s="103">
        <v>4.1399999999999999E-2</v>
      </c>
      <c r="O2797" s="100"/>
    </row>
    <row r="2798" spans="2:15" x14ac:dyDescent="0.2">
      <c r="B2798" s="1">
        <v>2783</v>
      </c>
      <c r="C2798" s="101">
        <f ca="1"/>
        <v>0.39045193065964623</v>
      </c>
      <c r="D2798" s="101">
        <f t="shared" ca="1" si="168"/>
        <v>0.69059450782707055</v>
      </c>
      <c r="E2798" s="101">
        <f t="shared" ca="1" si="169"/>
        <v>0</v>
      </c>
      <c r="F2798" s="21">
        <f t="shared" ca="1" si="170"/>
        <v>0</v>
      </c>
      <c r="H2798" s="21">
        <v>2783</v>
      </c>
      <c r="I2798" s="102">
        <v>0.66777078133168499</v>
      </c>
      <c r="J2798" s="103">
        <v>1.4518746014083579E-3</v>
      </c>
      <c r="K2798" s="103"/>
      <c r="L2798" s="103">
        <v>4.3400000000000001E-2</v>
      </c>
      <c r="O2798" s="100"/>
    </row>
    <row r="2799" spans="2:15" x14ac:dyDescent="0.2">
      <c r="B2799" s="1">
        <v>2784</v>
      </c>
      <c r="C2799" s="101">
        <f ca="1"/>
        <v>-1.3485682901649665</v>
      </c>
      <c r="D2799" s="101">
        <f t="shared" ca="1" si="168"/>
        <v>0.58173415908754178</v>
      </c>
      <c r="E2799" s="101">
        <f t="shared" ca="1" si="169"/>
        <v>0</v>
      </c>
      <c r="F2799" s="21">
        <f t="shared" ca="1" si="170"/>
        <v>0</v>
      </c>
      <c r="H2799" s="21">
        <v>2784</v>
      </c>
      <c r="I2799" s="102">
        <v>0.66777169481359311</v>
      </c>
      <c r="J2799" s="103">
        <v>1.4398500785459934E-3</v>
      </c>
      <c r="K2799" s="103"/>
      <c r="L2799" s="103">
        <v>4.1399999999999999E-2</v>
      </c>
      <c r="O2799" s="100"/>
    </row>
    <row r="2800" spans="2:15" x14ac:dyDescent="0.2">
      <c r="B2800" s="1">
        <v>2785</v>
      </c>
      <c r="C2800" s="101">
        <f ca="1"/>
        <v>-0.4337132552116551</v>
      </c>
      <c r="D2800" s="101">
        <f t="shared" ca="1" si="168"/>
        <v>0.63667293990890739</v>
      </c>
      <c r="E2800" s="101">
        <f t="shared" ca="1" si="169"/>
        <v>0</v>
      </c>
      <c r="F2800" s="21">
        <f t="shared" ca="1" si="170"/>
        <v>0</v>
      </c>
      <c r="H2800" s="21">
        <v>2785</v>
      </c>
      <c r="I2800" s="102">
        <v>0.66775459729529185</v>
      </c>
      <c r="J2800" s="103">
        <v>1.4871225796731524E-3</v>
      </c>
      <c r="K2800" s="103"/>
      <c r="L2800" s="103">
        <v>4.2599999999999999E-2</v>
      </c>
      <c r="O2800" s="100"/>
    </row>
    <row r="2801" spans="2:15" x14ac:dyDescent="0.2">
      <c r="B2801" s="1">
        <v>2786</v>
      </c>
      <c r="C2801" s="101">
        <f ca="1"/>
        <v>-1.8780059107871176</v>
      </c>
      <c r="D2801" s="101">
        <f t="shared" ca="1" si="168"/>
        <v>0.5521331015701173</v>
      </c>
      <c r="E2801" s="101">
        <f t="shared" ca="1" si="169"/>
        <v>0</v>
      </c>
      <c r="F2801" s="21">
        <f t="shared" ca="1" si="170"/>
        <v>0</v>
      </c>
      <c r="H2801" s="21">
        <v>2786</v>
      </c>
      <c r="I2801" s="102">
        <v>0.66765577304292834</v>
      </c>
      <c r="J2801" s="103">
        <v>1.4167751741074105E-3</v>
      </c>
      <c r="K2801" s="103"/>
      <c r="L2801" s="103">
        <v>4.2200000000000001E-2</v>
      </c>
      <c r="O2801" s="100"/>
    </row>
    <row r="2802" spans="2:15" x14ac:dyDescent="0.2">
      <c r="B2802" s="1">
        <v>2787</v>
      </c>
      <c r="C2802" s="101">
        <f ca="1"/>
        <v>0.43108328673724894</v>
      </c>
      <c r="D2802" s="101">
        <f t="shared" ca="1" si="168"/>
        <v>0.69336791695024025</v>
      </c>
      <c r="E2802" s="101">
        <f t="shared" ca="1" si="169"/>
        <v>0</v>
      </c>
      <c r="F2802" s="21">
        <f t="shared" ca="1" si="170"/>
        <v>0</v>
      </c>
      <c r="H2802" s="21">
        <v>2787</v>
      </c>
      <c r="I2802" s="102">
        <v>0.66763942858516279</v>
      </c>
      <c r="J2802" s="103">
        <v>1.2451110555747715E-3</v>
      </c>
      <c r="K2802" s="103"/>
      <c r="L2802" s="103">
        <v>3.4200000000000001E-2</v>
      </c>
      <c r="O2802" s="100"/>
    </row>
    <row r="2803" spans="2:15" x14ac:dyDescent="0.2">
      <c r="B2803" s="1">
        <v>2788</v>
      </c>
      <c r="C2803" s="101">
        <f ca="1"/>
        <v>-0.46845646910291044</v>
      </c>
      <c r="D2803" s="101">
        <f t="shared" ca="1" si="168"/>
        <v>0.63449472209234647</v>
      </c>
      <c r="E2803" s="101">
        <f t="shared" ca="1" si="169"/>
        <v>0</v>
      </c>
      <c r="F2803" s="21">
        <f t="shared" ca="1" si="170"/>
        <v>0</v>
      </c>
      <c r="H2803" s="21">
        <v>2788</v>
      </c>
      <c r="I2803" s="102">
        <v>0.66776223095237208</v>
      </c>
      <c r="J2803" s="103">
        <v>1.2758562433403638E-3</v>
      </c>
      <c r="K2803" s="103"/>
      <c r="L2803" s="103">
        <v>4.2999999999999997E-2</v>
      </c>
      <c r="O2803" s="100"/>
    </row>
    <row r="2804" spans="2:15" x14ac:dyDescent="0.2">
      <c r="B2804" s="1">
        <v>2789</v>
      </c>
      <c r="C2804" s="101">
        <f ca="1"/>
        <v>0.4372505445743749</v>
      </c>
      <c r="D2804" s="101">
        <f t="shared" ca="1" si="168"/>
        <v>0.69378985321708764</v>
      </c>
      <c r="E2804" s="101">
        <f t="shared" ca="1" si="169"/>
        <v>0</v>
      </c>
      <c r="F2804" s="21">
        <f t="shared" ca="1" si="170"/>
        <v>0</v>
      </c>
      <c r="H2804" s="21">
        <v>2789</v>
      </c>
      <c r="I2804" s="102">
        <v>0.66766930599793772</v>
      </c>
      <c r="J2804" s="103">
        <v>1.365628407878981E-3</v>
      </c>
      <c r="K2804" s="103"/>
      <c r="L2804" s="103">
        <v>4.0599999999999997E-2</v>
      </c>
      <c r="O2804" s="100"/>
    </row>
    <row r="2805" spans="2:15" x14ac:dyDescent="0.2">
      <c r="B2805" s="1">
        <v>2790</v>
      </c>
      <c r="C2805" s="101">
        <f ca="1"/>
        <v>0.75716379320451965</v>
      </c>
      <c r="D2805" s="101">
        <f t="shared" ca="1" si="168"/>
        <v>0.71603265714943676</v>
      </c>
      <c r="E2805" s="101">
        <f t="shared" ca="1" si="169"/>
        <v>0</v>
      </c>
      <c r="F2805" s="21">
        <f t="shared" ca="1" si="170"/>
        <v>0</v>
      </c>
      <c r="H2805" s="21">
        <v>2790</v>
      </c>
      <c r="I2805" s="102">
        <v>0.66756373714765982</v>
      </c>
      <c r="J2805" s="103">
        <v>1.2702458006419049E-3</v>
      </c>
      <c r="K2805" s="103"/>
      <c r="L2805" s="103">
        <v>3.9E-2</v>
      </c>
      <c r="O2805" s="100"/>
    </row>
    <row r="2806" spans="2:15" x14ac:dyDescent="0.2">
      <c r="B2806" s="1">
        <v>2791</v>
      </c>
      <c r="C2806" s="101">
        <f ca="1"/>
        <v>0.25944809643491357</v>
      </c>
      <c r="D2806" s="101">
        <f t="shared" ca="1" si="168"/>
        <v>0.68172778796152711</v>
      </c>
      <c r="E2806" s="101">
        <f t="shared" ca="1" si="169"/>
        <v>0</v>
      </c>
      <c r="F2806" s="21">
        <f t="shared" ca="1" si="170"/>
        <v>0</v>
      </c>
      <c r="H2806" s="21">
        <v>2791</v>
      </c>
      <c r="I2806" s="102">
        <v>0.66766830223915319</v>
      </c>
      <c r="J2806" s="103">
        <v>1.2233753734712291E-3</v>
      </c>
      <c r="K2806" s="103"/>
      <c r="L2806" s="103">
        <v>4.0599999999999997E-2</v>
      </c>
      <c r="O2806" s="100"/>
    </row>
    <row r="2807" spans="2:15" x14ac:dyDescent="0.2">
      <c r="B2807" s="1">
        <v>2792</v>
      </c>
      <c r="C2807" s="101">
        <f ca="1"/>
        <v>0.3377819186017279</v>
      </c>
      <c r="D2807" s="101">
        <f t="shared" ca="1" si="168"/>
        <v>0.6870158699718738</v>
      </c>
      <c r="E2807" s="101">
        <f t="shared" ca="1" si="169"/>
        <v>0</v>
      </c>
      <c r="F2807" s="21">
        <f t="shared" ca="1" si="170"/>
        <v>0</v>
      </c>
      <c r="H2807" s="21">
        <v>2792</v>
      </c>
      <c r="I2807" s="102">
        <v>0.66759380873404417</v>
      </c>
      <c r="J2807" s="103">
        <v>1.234693735695346E-3</v>
      </c>
      <c r="K2807" s="103"/>
      <c r="L2807" s="103">
        <v>4.2200000000000001E-2</v>
      </c>
      <c r="O2807" s="100"/>
    </row>
    <row r="2808" spans="2:15" x14ac:dyDescent="0.2">
      <c r="B2808" s="1">
        <v>2793</v>
      </c>
      <c r="C2808" s="101">
        <f ca="1"/>
        <v>0.2040482433281727</v>
      </c>
      <c r="D2808" s="101">
        <f t="shared" ca="1" si="168"/>
        <v>0.67801250066044672</v>
      </c>
      <c r="E2808" s="101">
        <f t="shared" ca="1" si="169"/>
        <v>0</v>
      </c>
      <c r="F2808" s="21">
        <f t="shared" ca="1" si="170"/>
        <v>0</v>
      </c>
      <c r="H2808" s="21">
        <v>2793</v>
      </c>
      <c r="I2808" s="102">
        <v>0.66781077563265867</v>
      </c>
      <c r="J2808" s="103">
        <v>1.3758252779164971E-3</v>
      </c>
      <c r="K2808" s="103"/>
      <c r="L2808" s="103">
        <v>4.2200000000000001E-2</v>
      </c>
      <c r="O2808" s="100"/>
    </row>
    <row r="2809" spans="2:15" x14ac:dyDescent="0.2">
      <c r="B2809" s="1">
        <v>2794</v>
      </c>
      <c r="C2809" s="101">
        <f ca="1"/>
        <v>0.70810444847963594</v>
      </c>
      <c r="D2809" s="101">
        <f t="shared" ca="1" si="168"/>
        <v>0.71257594622798393</v>
      </c>
      <c r="E2809" s="101">
        <f t="shared" ca="1" si="169"/>
        <v>0</v>
      </c>
      <c r="F2809" s="21">
        <f t="shared" ca="1" si="170"/>
        <v>0</v>
      </c>
      <c r="H2809" s="21">
        <v>2794</v>
      </c>
      <c r="I2809" s="102">
        <v>0.6678654743967497</v>
      </c>
      <c r="J2809" s="103">
        <v>1.523989916724286E-3</v>
      </c>
      <c r="K2809" s="103"/>
      <c r="L2809" s="103">
        <v>4.7399999999999998E-2</v>
      </c>
      <c r="O2809" s="100"/>
    </row>
    <row r="2810" spans="2:15" x14ac:dyDescent="0.2">
      <c r="B2810" s="1">
        <v>2795</v>
      </c>
      <c r="C2810" s="101">
        <f ca="1"/>
        <v>-0.9102860697477031</v>
      </c>
      <c r="D2810" s="101">
        <f t="shared" ca="1" si="168"/>
        <v>0.60743569109659545</v>
      </c>
      <c r="E2810" s="101">
        <f t="shared" ca="1" si="169"/>
        <v>0</v>
      </c>
      <c r="F2810" s="21">
        <f t="shared" ca="1" si="170"/>
        <v>0</v>
      </c>
      <c r="H2810" s="21">
        <v>2795</v>
      </c>
      <c r="I2810" s="102">
        <v>0.66770161936884398</v>
      </c>
      <c r="J2810" s="103">
        <v>1.2887819635525445E-3</v>
      </c>
      <c r="K2810" s="103"/>
      <c r="L2810" s="103">
        <v>4.0599999999999997E-2</v>
      </c>
      <c r="O2810" s="100"/>
    </row>
    <row r="2811" spans="2:15" x14ac:dyDescent="0.2">
      <c r="B2811" s="1">
        <v>2796</v>
      </c>
      <c r="C2811" s="101">
        <f ca="1"/>
        <v>-1.1208677775636369</v>
      </c>
      <c r="D2811" s="101">
        <f t="shared" ca="1" si="168"/>
        <v>0.59494814619334646</v>
      </c>
      <c r="E2811" s="101">
        <f t="shared" ca="1" si="169"/>
        <v>0</v>
      </c>
      <c r="F2811" s="21">
        <f t="shared" ca="1" si="170"/>
        <v>0</v>
      </c>
      <c r="H2811" s="21">
        <v>2796</v>
      </c>
      <c r="I2811" s="102">
        <v>0.66790765527039853</v>
      </c>
      <c r="J2811" s="103">
        <v>1.5785750540634187E-3</v>
      </c>
      <c r="K2811" s="103"/>
      <c r="L2811" s="103">
        <v>4.5199999999999997E-2</v>
      </c>
      <c r="O2811" s="100"/>
    </row>
    <row r="2812" spans="2:15" x14ac:dyDescent="0.2">
      <c r="B2812" s="1">
        <v>2797</v>
      </c>
      <c r="C2812" s="101">
        <f ca="1"/>
        <v>0.67395045093209405</v>
      </c>
      <c r="D2812" s="101">
        <f t="shared" ca="1" si="168"/>
        <v>0.71017932037948484</v>
      </c>
      <c r="E2812" s="101">
        <f t="shared" ca="1" si="169"/>
        <v>0</v>
      </c>
      <c r="F2812" s="21">
        <f t="shared" ca="1" si="170"/>
        <v>0</v>
      </c>
      <c r="H2812" s="21">
        <v>2797</v>
      </c>
      <c r="I2812" s="102">
        <v>0.66778856837369915</v>
      </c>
      <c r="J2812" s="103">
        <v>1.4469696872085457E-3</v>
      </c>
      <c r="K2812" s="103"/>
      <c r="L2812" s="103">
        <v>4.2000000000000003E-2</v>
      </c>
      <c r="O2812" s="100"/>
    </row>
    <row r="2813" spans="2:15" x14ac:dyDescent="0.2">
      <c r="B2813" s="1">
        <v>2798</v>
      </c>
      <c r="C2813" s="101">
        <f ca="1"/>
        <v>-0.6379139084291966</v>
      </c>
      <c r="D2813" s="101">
        <f t="shared" ca="1" si="168"/>
        <v>0.6239769711177402</v>
      </c>
      <c r="E2813" s="101">
        <f t="shared" ca="1" si="169"/>
        <v>0</v>
      </c>
      <c r="F2813" s="21">
        <f t="shared" ca="1" si="170"/>
        <v>0</v>
      </c>
      <c r="H2813" s="21">
        <v>2798</v>
      </c>
      <c r="I2813" s="102">
        <v>0.66774218922031892</v>
      </c>
      <c r="J2813" s="103">
        <v>1.37427998146618E-3</v>
      </c>
      <c r="K2813" s="103"/>
      <c r="L2813" s="103">
        <v>4.1399999999999999E-2</v>
      </c>
      <c r="O2813" s="100"/>
    </row>
    <row r="2814" spans="2:15" x14ac:dyDescent="0.2">
      <c r="B2814" s="1">
        <v>2799</v>
      </c>
      <c r="C2814" s="101">
        <f ca="1"/>
        <v>-1.9931713678510197</v>
      </c>
      <c r="D2814" s="101">
        <f t="shared" ca="1" si="168"/>
        <v>0.54589632124073806</v>
      </c>
      <c r="E2814" s="101">
        <f t="shared" ca="1" si="169"/>
        <v>0</v>
      </c>
      <c r="F2814" s="21">
        <f t="shared" ca="1" si="170"/>
        <v>0</v>
      </c>
      <c r="H2814" s="21">
        <v>2799</v>
      </c>
      <c r="I2814" s="102">
        <v>0.66784908695062339</v>
      </c>
      <c r="J2814" s="103">
        <v>1.4057681888994178E-3</v>
      </c>
      <c r="K2814" s="103"/>
      <c r="L2814" s="103">
        <v>4.5999999999999999E-2</v>
      </c>
      <c r="O2814" s="100"/>
    </row>
    <row r="2815" spans="2:15" x14ac:dyDescent="0.2">
      <c r="B2815" s="1">
        <v>2800</v>
      </c>
      <c r="C2815" s="101">
        <f ca="1"/>
        <v>-1.4294343207682509</v>
      </c>
      <c r="D2815" s="101">
        <f t="shared" ca="1" si="168"/>
        <v>0.57711227958786526</v>
      </c>
      <c r="E2815" s="101">
        <f t="shared" ca="1" si="169"/>
        <v>0</v>
      </c>
      <c r="F2815" s="21">
        <f t="shared" ca="1" si="170"/>
        <v>0</v>
      </c>
      <c r="H2815" s="21">
        <v>2800</v>
      </c>
      <c r="I2815" s="102">
        <v>0.66768762653050484</v>
      </c>
      <c r="J2815" s="103">
        <v>1.2769195842485279E-3</v>
      </c>
      <c r="K2815" s="103"/>
      <c r="L2815" s="103">
        <v>4.1799999999999997E-2</v>
      </c>
      <c r="O2815" s="100"/>
    </row>
    <row r="2816" spans="2:15" x14ac:dyDescent="0.2">
      <c r="B2816" s="1">
        <v>2801</v>
      </c>
      <c r="C2816" s="101">
        <f ca="1"/>
        <v>-0.34286308279399402</v>
      </c>
      <c r="D2816" s="101">
        <f t="shared" ca="1" si="168"/>
        <v>0.64240417844329867</v>
      </c>
      <c r="E2816" s="101">
        <f t="shared" ca="1" si="169"/>
        <v>0</v>
      </c>
      <c r="F2816" s="21">
        <f t="shared" ca="1" si="170"/>
        <v>0</v>
      </c>
      <c r="H2816" s="21">
        <v>2801</v>
      </c>
      <c r="I2816" s="102">
        <v>0.66763739590815385</v>
      </c>
      <c r="J2816" s="103">
        <v>1.2365942946097963E-3</v>
      </c>
      <c r="K2816" s="103"/>
      <c r="L2816" s="103">
        <v>3.6600000000000001E-2</v>
      </c>
      <c r="O2816" s="100"/>
    </row>
    <row r="2817" spans="2:15" x14ac:dyDescent="0.2">
      <c r="B2817" s="1">
        <v>2802</v>
      </c>
      <c r="C2817" s="101">
        <f ca="1"/>
        <v>-0.50398030219186984</v>
      </c>
      <c r="D2817" s="101">
        <f t="shared" ca="1" si="168"/>
        <v>0.63227526860518612</v>
      </c>
      <c r="E2817" s="101">
        <f t="shared" ca="1" si="169"/>
        <v>0</v>
      </c>
      <c r="F2817" s="21">
        <f t="shared" ca="1" si="170"/>
        <v>0</v>
      </c>
      <c r="H2817" s="21">
        <v>2802</v>
      </c>
      <c r="I2817" s="102">
        <v>0.66773457521105306</v>
      </c>
      <c r="J2817" s="103">
        <v>1.2808950257578524E-3</v>
      </c>
      <c r="K2817" s="103"/>
      <c r="L2817" s="103">
        <v>3.7999999999999999E-2</v>
      </c>
      <c r="O2817" s="100"/>
    </row>
    <row r="2818" spans="2:15" x14ac:dyDescent="0.2">
      <c r="B2818" s="1">
        <v>2803</v>
      </c>
      <c r="C2818" s="101">
        <f ca="1"/>
        <v>0.29421742391517303</v>
      </c>
      <c r="D2818" s="101">
        <f t="shared" ca="1" si="168"/>
        <v>0.68406991878141532</v>
      </c>
      <c r="E2818" s="101">
        <f t="shared" ca="1" si="169"/>
        <v>0</v>
      </c>
      <c r="F2818" s="21">
        <f t="shared" ca="1" si="170"/>
        <v>0</v>
      </c>
      <c r="H2818" s="21">
        <v>2803</v>
      </c>
      <c r="I2818" s="102">
        <v>0.66768079996138918</v>
      </c>
      <c r="J2818" s="103">
        <v>1.3229796888539988E-3</v>
      </c>
      <c r="K2818" s="103"/>
      <c r="L2818" s="103">
        <v>4.02E-2</v>
      </c>
      <c r="O2818" s="100"/>
    </row>
    <row r="2819" spans="2:15" x14ac:dyDescent="0.2">
      <c r="B2819" s="1">
        <v>2804</v>
      </c>
      <c r="C2819" s="101">
        <f ca="1"/>
        <v>-2.6045255369551705E-2</v>
      </c>
      <c r="D2819" s="101">
        <f t="shared" ca="1" si="168"/>
        <v>0.66279715792537197</v>
      </c>
      <c r="E2819" s="101">
        <f t="shared" ca="1" si="169"/>
        <v>0</v>
      </c>
      <c r="F2819" s="21">
        <f t="shared" ca="1" si="170"/>
        <v>0</v>
      </c>
      <c r="H2819" s="21">
        <v>2804</v>
      </c>
      <c r="I2819" s="102">
        <v>0.66772762067613445</v>
      </c>
      <c r="J2819" s="103">
        <v>1.2773477868105914E-3</v>
      </c>
      <c r="K2819" s="103"/>
      <c r="L2819" s="103">
        <v>4.2000000000000003E-2</v>
      </c>
      <c r="O2819" s="100"/>
    </row>
    <row r="2820" spans="2:15" x14ac:dyDescent="0.2">
      <c r="B2820" s="1">
        <v>2805</v>
      </c>
      <c r="C2820" s="101">
        <f ca="1"/>
        <v>-0.33517667586292893</v>
      </c>
      <c r="D2820" s="101">
        <f t="shared" ca="1" si="168"/>
        <v>0.64289143229586199</v>
      </c>
      <c r="E2820" s="101">
        <f t="shared" ca="1" si="169"/>
        <v>0</v>
      </c>
      <c r="F2820" s="21">
        <f t="shared" ca="1" si="170"/>
        <v>0</v>
      </c>
      <c r="H2820" s="21">
        <v>2805</v>
      </c>
      <c r="I2820" s="102">
        <v>0.66795957311263043</v>
      </c>
      <c r="J2820" s="103">
        <v>1.5661015571580583E-3</v>
      </c>
      <c r="K2820" s="103"/>
      <c r="L2820" s="103">
        <v>4.9200000000000001E-2</v>
      </c>
      <c r="O2820" s="100"/>
    </row>
    <row r="2821" spans="2:15" x14ac:dyDescent="0.2">
      <c r="B2821" s="1">
        <v>2806</v>
      </c>
      <c r="C2821" s="101">
        <f ca="1"/>
        <v>0.16716337160501923</v>
      </c>
      <c r="D2821" s="101">
        <f t="shared" ca="1" si="168"/>
        <v>0.67555012076757781</v>
      </c>
      <c r="E2821" s="101">
        <f t="shared" ca="1" si="169"/>
        <v>0</v>
      </c>
      <c r="F2821" s="21">
        <f t="shared" ca="1" si="170"/>
        <v>0</v>
      </c>
      <c r="H2821" s="21">
        <v>2806</v>
      </c>
      <c r="I2821" s="102">
        <v>0.66768131958011134</v>
      </c>
      <c r="J2821" s="103">
        <v>1.3894902458884543E-3</v>
      </c>
      <c r="K2821" s="103"/>
      <c r="L2821" s="103">
        <v>4.48E-2</v>
      </c>
      <c r="O2821" s="100"/>
    </row>
    <row r="2822" spans="2:15" x14ac:dyDescent="0.2">
      <c r="B2822" s="1">
        <v>2807</v>
      </c>
      <c r="C2822" s="101">
        <f ca="1"/>
        <v>0.85404195379435455</v>
      </c>
      <c r="D2822" s="101">
        <f t="shared" ca="1" si="168"/>
        <v>0.72290800013028378</v>
      </c>
      <c r="E2822" s="101">
        <f t="shared" ca="1" si="169"/>
        <v>0</v>
      </c>
      <c r="F2822" s="21">
        <f t="shared" ca="1" si="170"/>
        <v>0</v>
      </c>
      <c r="H2822" s="21">
        <v>2807</v>
      </c>
      <c r="I2822" s="102">
        <v>0.66765182026171255</v>
      </c>
      <c r="J2822" s="103">
        <v>1.1567747774254081E-3</v>
      </c>
      <c r="K2822" s="103"/>
      <c r="L2822" s="103">
        <v>3.8800000000000001E-2</v>
      </c>
      <c r="O2822" s="100"/>
    </row>
    <row r="2823" spans="2:15" x14ac:dyDescent="0.2">
      <c r="B2823" s="1">
        <v>2808</v>
      </c>
      <c r="C2823" s="101">
        <f ca="1"/>
        <v>0.14037266990583999</v>
      </c>
      <c r="D2823" s="101">
        <f t="shared" ca="1" si="168"/>
        <v>0.67376722134972411</v>
      </c>
      <c r="E2823" s="101">
        <f t="shared" ca="1" si="169"/>
        <v>0</v>
      </c>
      <c r="F2823" s="21">
        <f t="shared" ca="1" si="170"/>
        <v>0</v>
      </c>
      <c r="H2823" s="21">
        <v>2808</v>
      </c>
      <c r="I2823" s="102">
        <v>0.66769500899381429</v>
      </c>
      <c r="J2823" s="103">
        <v>1.2609570849659449E-3</v>
      </c>
      <c r="K2823" s="103"/>
      <c r="L2823" s="103">
        <v>4.3799999999999999E-2</v>
      </c>
      <c r="O2823" s="100"/>
    </row>
    <row r="2824" spans="2:15" x14ac:dyDescent="0.2">
      <c r="B2824" s="1">
        <v>2809</v>
      </c>
      <c r="C2824" s="101">
        <f ca="1"/>
        <v>-2.6173186129614594</v>
      </c>
      <c r="D2824" s="101">
        <f t="shared" ca="1" si="168"/>
        <v>0.51330096940860082</v>
      </c>
      <c r="E2824" s="101">
        <f t="shared" ca="1" si="169"/>
        <v>0</v>
      </c>
      <c r="F2824" s="21">
        <f t="shared" ca="1" si="170"/>
        <v>0</v>
      </c>
      <c r="H2824" s="21">
        <v>2809</v>
      </c>
      <c r="I2824" s="102">
        <v>0.66776879636138864</v>
      </c>
      <c r="J2824" s="103">
        <v>1.378392596341322E-3</v>
      </c>
      <c r="K2824" s="103"/>
      <c r="L2824" s="103">
        <v>4.1399999999999999E-2</v>
      </c>
      <c r="O2824" s="100"/>
    </row>
    <row r="2825" spans="2:15" x14ac:dyDescent="0.2">
      <c r="B2825" s="1">
        <v>2810</v>
      </c>
      <c r="C2825" s="101">
        <f ca="1"/>
        <v>1.35478130154013</v>
      </c>
      <c r="D2825" s="101">
        <f t="shared" ca="1" si="168"/>
        <v>0.75951157316076157</v>
      </c>
      <c r="E2825" s="101">
        <f t="shared" ca="1" si="169"/>
        <v>0</v>
      </c>
      <c r="F2825" s="21">
        <f t="shared" ca="1" si="170"/>
        <v>0</v>
      </c>
      <c r="H2825" s="21">
        <v>2810</v>
      </c>
      <c r="I2825" s="102">
        <v>0.66782313528581649</v>
      </c>
      <c r="J2825" s="103">
        <v>1.3821497786582551E-3</v>
      </c>
      <c r="K2825" s="103"/>
      <c r="L2825" s="103">
        <v>4.4999999999999998E-2</v>
      </c>
      <c r="O2825" s="100"/>
    </row>
    <row r="2826" spans="2:15" x14ac:dyDescent="0.2">
      <c r="B2826" s="1">
        <v>2811</v>
      </c>
      <c r="C2826" s="101">
        <f ca="1"/>
        <v>0.56313455227292908</v>
      </c>
      <c r="D2826" s="101">
        <f t="shared" ca="1" si="168"/>
        <v>0.7024586054893901</v>
      </c>
      <c r="E2826" s="101">
        <f t="shared" ca="1" si="169"/>
        <v>0</v>
      </c>
      <c r="F2826" s="21">
        <f t="shared" ca="1" si="170"/>
        <v>0</v>
      </c>
      <c r="H2826" s="21">
        <v>2811</v>
      </c>
      <c r="I2826" s="102">
        <v>0.66776381481561053</v>
      </c>
      <c r="J2826" s="103">
        <v>1.4523650776555291E-3</v>
      </c>
      <c r="K2826" s="103"/>
      <c r="L2826" s="103">
        <v>4.48E-2</v>
      </c>
      <c r="O2826" s="100"/>
    </row>
    <row r="2827" spans="2:15" x14ac:dyDescent="0.2">
      <c r="B2827" s="1">
        <v>2812</v>
      </c>
      <c r="C2827" s="101">
        <f ca="1"/>
        <v>0.49483433108692665</v>
      </c>
      <c r="D2827" s="101">
        <f t="shared" ca="1" si="168"/>
        <v>0.69774189087837835</v>
      </c>
      <c r="E2827" s="101">
        <f t="shared" ca="1" si="169"/>
        <v>0</v>
      </c>
      <c r="F2827" s="21">
        <f t="shared" ca="1" si="170"/>
        <v>0</v>
      </c>
      <c r="H2827" s="21">
        <v>2812</v>
      </c>
      <c r="I2827" s="102">
        <v>0.66754289490422347</v>
      </c>
      <c r="J2827" s="103">
        <v>1.1475518885309401E-3</v>
      </c>
      <c r="K2827" s="103"/>
      <c r="L2827" s="103">
        <v>3.8800000000000001E-2</v>
      </c>
      <c r="O2827" s="100"/>
    </row>
    <row r="2828" spans="2:15" x14ac:dyDescent="0.2">
      <c r="B2828" s="1">
        <v>2813</v>
      </c>
      <c r="C2828" s="101">
        <f ca="1"/>
        <v>-0.77150460449310032</v>
      </c>
      <c r="D2828" s="101">
        <f t="shared" ca="1" si="168"/>
        <v>0.61580841408278331</v>
      </c>
      <c r="E2828" s="101">
        <f t="shared" ca="1" si="169"/>
        <v>0</v>
      </c>
      <c r="F2828" s="21">
        <f t="shared" ca="1" si="170"/>
        <v>0</v>
      </c>
      <c r="H2828" s="21">
        <v>2813</v>
      </c>
      <c r="I2828" s="102">
        <v>0.66777735293409768</v>
      </c>
      <c r="J2828" s="103">
        <v>1.4468646644704257E-3</v>
      </c>
      <c r="K2828" s="103"/>
      <c r="L2828" s="103">
        <v>4.3200000000000002E-2</v>
      </c>
      <c r="O2828" s="100"/>
    </row>
    <row r="2829" spans="2:15" x14ac:dyDescent="0.2">
      <c r="B2829" s="1">
        <v>2814</v>
      </c>
      <c r="C2829" s="101">
        <f ca="1"/>
        <v>-0.32555788641041411</v>
      </c>
      <c r="D2829" s="101">
        <f t="shared" ca="1" si="168"/>
        <v>0.64350170367828285</v>
      </c>
      <c r="E2829" s="101">
        <f t="shared" ca="1" si="169"/>
        <v>0</v>
      </c>
      <c r="F2829" s="21">
        <f t="shared" ca="1" si="170"/>
        <v>0</v>
      </c>
      <c r="H2829" s="21">
        <v>2814</v>
      </c>
      <c r="I2829" s="102">
        <v>0.66779924021691639</v>
      </c>
      <c r="J2829" s="103">
        <v>1.5875643234221095E-3</v>
      </c>
      <c r="K2829" s="103"/>
      <c r="L2829" s="103">
        <v>4.2000000000000003E-2</v>
      </c>
      <c r="O2829" s="100"/>
    </row>
    <row r="2830" spans="2:15" x14ac:dyDescent="0.2">
      <c r="B2830" s="1">
        <v>2815</v>
      </c>
      <c r="C2830" s="101">
        <f ca="1"/>
        <v>4.1013156813628777E-2</v>
      </c>
      <c r="D2830" s="101">
        <f t="shared" ca="1" si="168"/>
        <v>0.66719591487898855</v>
      </c>
      <c r="E2830" s="101">
        <f t="shared" ca="1" si="169"/>
        <v>0</v>
      </c>
      <c r="F2830" s="21">
        <f t="shared" ca="1" si="170"/>
        <v>0</v>
      </c>
      <c r="H2830" s="21">
        <v>2815</v>
      </c>
      <c r="I2830" s="102">
        <v>0.66763307563851582</v>
      </c>
      <c r="J2830" s="103">
        <v>1.335470672563876E-3</v>
      </c>
      <c r="K2830" s="103"/>
      <c r="L2830" s="103">
        <v>4.0599999999999997E-2</v>
      </c>
      <c r="O2830" s="100"/>
    </row>
    <row r="2831" spans="2:15" x14ac:dyDescent="0.2">
      <c r="B2831" s="1">
        <v>2816</v>
      </c>
      <c r="C2831" s="101">
        <f ca="1"/>
        <v>-2.1244200446238355</v>
      </c>
      <c r="D2831" s="101">
        <f t="shared" ca="1" si="168"/>
        <v>0.53887440364203532</v>
      </c>
      <c r="E2831" s="101">
        <f t="shared" ca="1" si="169"/>
        <v>0</v>
      </c>
      <c r="F2831" s="21">
        <f t="shared" ca="1" si="170"/>
        <v>0</v>
      </c>
      <c r="H2831" s="21">
        <v>2816</v>
      </c>
      <c r="I2831" s="102">
        <v>0.66759411854433837</v>
      </c>
      <c r="J2831" s="103">
        <v>1.2363193545451986E-3</v>
      </c>
      <c r="K2831" s="103"/>
      <c r="L2831" s="103">
        <v>3.8800000000000001E-2</v>
      </c>
      <c r="O2831" s="100"/>
    </row>
    <row r="2832" spans="2:15" x14ac:dyDescent="0.2">
      <c r="B2832" s="1">
        <v>2817</v>
      </c>
      <c r="C2832" s="101">
        <f ca="1"/>
        <v>0.42523581144806283</v>
      </c>
      <c r="D2832" s="101">
        <f t="shared" ref="D2832:D2895" ca="1" si="171">S0*EXP((μ-0.5*σ*σ)*T+σ*SQRT(T)*$C2832)</f>
        <v>0.69296809577336671</v>
      </c>
      <c r="E2832" s="101">
        <f t="shared" ref="E2832:E2895" ca="1" si="172">MAX(0,CP*(D2832-K))</f>
        <v>0</v>
      </c>
      <c r="F2832" s="21">
        <f t="shared" ref="F2832:F2895" ca="1" si="173">(CP*(D2832-K)&gt;0)*1</f>
        <v>0</v>
      </c>
      <c r="H2832" s="21">
        <v>2817</v>
      </c>
      <c r="I2832" s="102">
        <v>0.66777611887139687</v>
      </c>
      <c r="J2832" s="103">
        <v>1.5305806020190003E-3</v>
      </c>
      <c r="K2832" s="103"/>
      <c r="L2832" s="103">
        <v>4.3799999999999999E-2</v>
      </c>
      <c r="O2832" s="100"/>
    </row>
    <row r="2833" spans="2:15" x14ac:dyDescent="0.2">
      <c r="B2833" s="1">
        <v>2818</v>
      </c>
      <c r="C2833" s="101">
        <f ca="1"/>
        <v>-0.27554162418031097</v>
      </c>
      <c r="D2833" s="101">
        <f t="shared" ca="1" si="171"/>
        <v>0.64668437366309439</v>
      </c>
      <c r="E2833" s="101">
        <f t="shared" ca="1" si="172"/>
        <v>0</v>
      </c>
      <c r="F2833" s="21">
        <f t="shared" ca="1" si="173"/>
        <v>0</v>
      </c>
      <c r="H2833" s="21">
        <v>2818</v>
      </c>
      <c r="I2833" s="102">
        <v>0.66793400739170294</v>
      </c>
      <c r="J2833" s="103">
        <v>1.6362395641032262E-3</v>
      </c>
      <c r="K2833" s="103"/>
      <c r="L2833" s="103">
        <v>4.7800000000000002E-2</v>
      </c>
      <c r="O2833" s="100"/>
    </row>
    <row r="2834" spans="2:15" x14ac:dyDescent="0.2">
      <c r="B2834" s="1">
        <v>2819</v>
      </c>
      <c r="C2834" s="101">
        <f ca="1"/>
        <v>0.95050124156668525</v>
      </c>
      <c r="D2834" s="101">
        <f t="shared" ca="1" si="171"/>
        <v>0.72981920471255179</v>
      </c>
      <c r="E2834" s="101">
        <f t="shared" ca="1" si="172"/>
        <v>0</v>
      </c>
      <c r="F2834" s="21">
        <f t="shared" ca="1" si="173"/>
        <v>0</v>
      </c>
      <c r="H2834" s="21">
        <v>2819</v>
      </c>
      <c r="I2834" s="102">
        <v>0.66784581988160929</v>
      </c>
      <c r="J2834" s="103">
        <v>1.4974988475085786E-3</v>
      </c>
      <c r="K2834" s="103"/>
      <c r="L2834" s="103">
        <v>4.5999999999999999E-2</v>
      </c>
      <c r="O2834" s="100"/>
    </row>
    <row r="2835" spans="2:15" x14ac:dyDescent="0.2">
      <c r="B2835" s="1">
        <v>2820</v>
      </c>
      <c r="C2835" s="101">
        <f ca="1"/>
        <v>1.7753916806656669</v>
      </c>
      <c r="D2835" s="101">
        <f t="shared" ca="1" si="171"/>
        <v>0.79168621902839698</v>
      </c>
      <c r="E2835" s="101">
        <f t="shared" ca="1" si="172"/>
        <v>3.4862190283969641E-3</v>
      </c>
      <c r="F2835" s="21">
        <f t="shared" ca="1" si="173"/>
        <v>1</v>
      </c>
      <c r="H2835" s="21">
        <v>2820</v>
      </c>
      <c r="I2835" s="102">
        <v>0.66770516788360579</v>
      </c>
      <c r="J2835" s="103">
        <v>1.2787127914868214E-3</v>
      </c>
      <c r="K2835" s="103"/>
      <c r="L2835" s="103">
        <v>4.24E-2</v>
      </c>
      <c r="O2835" s="100"/>
    </row>
    <row r="2836" spans="2:15" x14ac:dyDescent="0.2">
      <c r="B2836" s="1">
        <v>2821</v>
      </c>
      <c r="C2836" s="101">
        <f ca="1"/>
        <v>0.97781427496084716</v>
      </c>
      <c r="D2836" s="101">
        <f t="shared" ca="1" si="171"/>
        <v>0.73178813024956202</v>
      </c>
      <c r="E2836" s="101">
        <f t="shared" ca="1" si="172"/>
        <v>0</v>
      </c>
      <c r="F2836" s="21">
        <f t="shared" ca="1" si="173"/>
        <v>0</v>
      </c>
      <c r="H2836" s="21">
        <v>2821</v>
      </c>
      <c r="I2836" s="102">
        <v>0.6676647205389169</v>
      </c>
      <c r="J2836" s="103">
        <v>1.1450599082292992E-3</v>
      </c>
      <c r="K2836" s="103"/>
      <c r="L2836" s="103">
        <v>3.6600000000000001E-2</v>
      </c>
      <c r="O2836" s="100"/>
    </row>
    <row r="2837" spans="2:15" x14ac:dyDescent="0.2">
      <c r="B2837" s="1">
        <v>2822</v>
      </c>
      <c r="C2837" s="101">
        <f ca="1"/>
        <v>-1.1613331178640702</v>
      </c>
      <c r="D2837" s="101">
        <f t="shared" ca="1" si="171"/>
        <v>0.59257811126472404</v>
      </c>
      <c r="E2837" s="101">
        <f t="shared" ca="1" si="172"/>
        <v>0</v>
      </c>
      <c r="F2837" s="21">
        <f t="shared" ca="1" si="173"/>
        <v>0</v>
      </c>
      <c r="H2837" s="21">
        <v>2822</v>
      </c>
      <c r="I2837" s="102">
        <v>0.66784021616221168</v>
      </c>
      <c r="J2837" s="103">
        <v>1.5772457633387231E-3</v>
      </c>
      <c r="K2837" s="103"/>
      <c r="L2837" s="103">
        <v>4.5400000000000003E-2</v>
      </c>
      <c r="O2837" s="100"/>
    </row>
    <row r="2838" spans="2:15" x14ac:dyDescent="0.2">
      <c r="B2838" s="1">
        <v>2823</v>
      </c>
      <c r="C2838" s="101">
        <f ca="1"/>
        <v>-0.94078380244878834</v>
      </c>
      <c r="D2838" s="101">
        <f t="shared" ca="1" si="171"/>
        <v>0.60561106588130065</v>
      </c>
      <c r="E2838" s="101">
        <f t="shared" ca="1" si="172"/>
        <v>0</v>
      </c>
      <c r="F2838" s="21">
        <f t="shared" ca="1" si="173"/>
        <v>0</v>
      </c>
      <c r="H2838" s="21">
        <v>2823</v>
      </c>
      <c r="I2838" s="102">
        <v>0.66778396411408725</v>
      </c>
      <c r="J2838" s="103">
        <v>1.4039985105366362E-3</v>
      </c>
      <c r="K2838" s="103"/>
      <c r="L2838" s="103">
        <v>3.8199999999999998E-2</v>
      </c>
      <c r="O2838" s="100"/>
    </row>
    <row r="2839" spans="2:15" x14ac:dyDescent="0.2">
      <c r="B2839" s="1">
        <v>2824</v>
      </c>
      <c r="C2839" s="101">
        <f ca="1"/>
        <v>2.2568884033625545</v>
      </c>
      <c r="D2839" s="101">
        <f t="shared" ca="1" si="171"/>
        <v>0.83019498948888759</v>
      </c>
      <c r="E2839" s="101">
        <f t="shared" ca="1" si="172"/>
        <v>4.199498948888758E-2</v>
      </c>
      <c r="F2839" s="21">
        <f t="shared" ca="1" si="173"/>
        <v>1</v>
      </c>
      <c r="H2839" s="21">
        <v>2824</v>
      </c>
      <c r="I2839" s="102">
        <v>0.66765094181489593</v>
      </c>
      <c r="J2839" s="103">
        <v>1.1965747260680758E-3</v>
      </c>
      <c r="K2839" s="103"/>
      <c r="L2839" s="103">
        <v>3.9199999999999999E-2</v>
      </c>
      <c r="O2839" s="100"/>
    </row>
    <row r="2840" spans="2:15" x14ac:dyDescent="0.2">
      <c r="B2840" s="1">
        <v>2825</v>
      </c>
      <c r="C2840" s="101">
        <f ca="1"/>
        <v>-1.4647936971081961</v>
      </c>
      <c r="D2840" s="101">
        <f t="shared" ca="1" si="171"/>
        <v>0.57510287844256125</v>
      </c>
      <c r="E2840" s="101">
        <f t="shared" ca="1" si="172"/>
        <v>0</v>
      </c>
      <c r="F2840" s="21">
        <f t="shared" ca="1" si="173"/>
        <v>0</v>
      </c>
      <c r="H2840" s="21">
        <v>2825</v>
      </c>
      <c r="I2840" s="102">
        <v>0.66766818064434341</v>
      </c>
      <c r="J2840" s="103">
        <v>1.3045575475217968E-3</v>
      </c>
      <c r="K2840" s="103"/>
      <c r="L2840" s="103">
        <v>4.1599999999999998E-2</v>
      </c>
      <c r="O2840" s="100"/>
    </row>
    <row r="2841" spans="2:15" x14ac:dyDescent="0.2">
      <c r="B2841" s="1">
        <v>2826</v>
      </c>
      <c r="C2841" s="101">
        <f ca="1"/>
        <v>1.3977299010540567</v>
      </c>
      <c r="D2841" s="101">
        <f t="shared" ca="1" si="171"/>
        <v>0.76273607459032322</v>
      </c>
      <c r="E2841" s="101">
        <f t="shared" ca="1" si="172"/>
        <v>0</v>
      </c>
      <c r="F2841" s="21">
        <f t="shared" ca="1" si="173"/>
        <v>0</v>
      </c>
      <c r="H2841" s="21">
        <v>2826</v>
      </c>
      <c r="I2841" s="102">
        <v>0.66787063558279958</v>
      </c>
      <c r="J2841" s="103">
        <v>1.5530284402884471E-3</v>
      </c>
      <c r="K2841" s="103"/>
      <c r="L2841" s="103">
        <v>4.3999999999999997E-2</v>
      </c>
      <c r="O2841" s="100"/>
    </row>
    <row r="2842" spans="2:15" x14ac:dyDescent="0.2">
      <c r="B2842" s="1">
        <v>2827</v>
      </c>
      <c r="C2842" s="101">
        <f ca="1"/>
        <v>0.26756017769566753</v>
      </c>
      <c r="D2842" s="101">
        <f t="shared" ca="1" si="171"/>
        <v>0.68227351561305316</v>
      </c>
      <c r="E2842" s="101">
        <f t="shared" ca="1" si="172"/>
        <v>0</v>
      </c>
      <c r="F2842" s="21">
        <f t="shared" ca="1" si="173"/>
        <v>0</v>
      </c>
      <c r="H2842" s="21">
        <v>2827</v>
      </c>
      <c r="I2842" s="102">
        <v>0.66769644187977317</v>
      </c>
      <c r="J2842" s="103">
        <v>1.273772547741778E-3</v>
      </c>
      <c r="K2842" s="103"/>
      <c r="L2842" s="103">
        <v>4.1000000000000002E-2</v>
      </c>
      <c r="O2842" s="100"/>
    </row>
    <row r="2843" spans="2:15" x14ac:dyDescent="0.2">
      <c r="B2843" s="1">
        <v>2828</v>
      </c>
      <c r="C2843" s="101">
        <f ca="1"/>
        <v>0.72723238277770175</v>
      </c>
      <c r="D2843" s="101">
        <f t="shared" ca="1" si="171"/>
        <v>0.71392170713732617</v>
      </c>
      <c r="E2843" s="101">
        <f t="shared" ca="1" si="172"/>
        <v>0</v>
      </c>
      <c r="F2843" s="21">
        <f t="shared" ca="1" si="173"/>
        <v>0</v>
      </c>
      <c r="H2843" s="21">
        <v>2828</v>
      </c>
      <c r="I2843" s="102">
        <v>0.66770226690507894</v>
      </c>
      <c r="J2843" s="103">
        <v>1.460641040868915E-3</v>
      </c>
      <c r="K2843" s="103"/>
      <c r="L2843" s="103">
        <v>4.1200000000000001E-2</v>
      </c>
      <c r="O2843" s="100"/>
    </row>
    <row r="2844" spans="2:15" x14ac:dyDescent="0.2">
      <c r="B2844" s="1">
        <v>2829</v>
      </c>
      <c r="C2844" s="101">
        <f ca="1"/>
        <v>0.83686037410553127</v>
      </c>
      <c r="D2844" s="101">
        <f t="shared" ca="1" si="171"/>
        <v>0.72168384332800717</v>
      </c>
      <c r="E2844" s="101">
        <f t="shared" ca="1" si="172"/>
        <v>0</v>
      </c>
      <c r="F2844" s="21">
        <f t="shared" ca="1" si="173"/>
        <v>0</v>
      </c>
      <c r="H2844" s="21">
        <v>2829</v>
      </c>
      <c r="I2844" s="102">
        <v>0.66767572087847937</v>
      </c>
      <c r="J2844" s="103">
        <v>1.3698035972307635E-3</v>
      </c>
      <c r="K2844" s="103"/>
      <c r="L2844" s="103">
        <v>4.1000000000000002E-2</v>
      </c>
      <c r="O2844" s="100"/>
    </row>
    <row r="2845" spans="2:15" x14ac:dyDescent="0.2">
      <c r="B2845" s="1">
        <v>2830</v>
      </c>
      <c r="C2845" s="101">
        <f ca="1"/>
        <v>-0.73626768503764639</v>
      </c>
      <c r="D2845" s="101">
        <f t="shared" ca="1" si="171"/>
        <v>0.61795257529584013</v>
      </c>
      <c r="E2845" s="101">
        <f t="shared" ca="1" si="172"/>
        <v>0</v>
      </c>
      <c r="F2845" s="21">
        <f t="shared" ca="1" si="173"/>
        <v>0</v>
      </c>
      <c r="H2845" s="21">
        <v>2830</v>
      </c>
      <c r="I2845" s="102">
        <v>0.66777423210785158</v>
      </c>
      <c r="J2845" s="103">
        <v>1.4045365037038515E-3</v>
      </c>
      <c r="K2845" s="103"/>
      <c r="L2845" s="103">
        <v>4.1799999999999997E-2</v>
      </c>
      <c r="O2845" s="100"/>
    </row>
    <row r="2846" spans="2:15" x14ac:dyDescent="0.2">
      <c r="B2846" s="1">
        <v>2831</v>
      </c>
      <c r="C2846" s="101">
        <f ca="1"/>
        <v>-1.2412781278873233</v>
      </c>
      <c r="D2846" s="101">
        <f t="shared" ca="1" si="171"/>
        <v>0.5879234873639505</v>
      </c>
      <c r="E2846" s="101">
        <f t="shared" ca="1" si="172"/>
        <v>0</v>
      </c>
      <c r="F2846" s="21">
        <f t="shared" ca="1" si="173"/>
        <v>0</v>
      </c>
      <c r="H2846" s="21">
        <v>2831</v>
      </c>
      <c r="I2846" s="102">
        <v>0.66763585427705296</v>
      </c>
      <c r="J2846" s="103">
        <v>1.3658780338735776E-3</v>
      </c>
      <c r="K2846" s="103"/>
      <c r="L2846" s="103">
        <v>3.8199999999999998E-2</v>
      </c>
      <c r="O2846" s="100"/>
    </row>
    <row r="2847" spans="2:15" x14ac:dyDescent="0.2">
      <c r="B2847" s="1">
        <v>2832</v>
      </c>
      <c r="C2847" s="101">
        <f ca="1"/>
        <v>-0.68159531923899086</v>
      </c>
      <c r="D2847" s="101">
        <f t="shared" ca="1" si="171"/>
        <v>0.62129416793715453</v>
      </c>
      <c r="E2847" s="101">
        <f t="shared" ca="1" si="172"/>
        <v>0</v>
      </c>
      <c r="F2847" s="21">
        <f t="shared" ca="1" si="173"/>
        <v>0</v>
      </c>
      <c r="H2847" s="21">
        <v>2832</v>
      </c>
      <c r="I2847" s="102">
        <v>0.66758304025116577</v>
      </c>
      <c r="J2847" s="103">
        <v>1.1274385917465701E-3</v>
      </c>
      <c r="K2847" s="103"/>
      <c r="L2847" s="103">
        <v>3.7400000000000003E-2</v>
      </c>
      <c r="O2847" s="100"/>
    </row>
    <row r="2848" spans="2:15" x14ac:dyDescent="0.2">
      <c r="B2848" s="1">
        <v>2833</v>
      </c>
      <c r="C2848" s="101">
        <f ca="1"/>
        <v>-0.17574731080586525</v>
      </c>
      <c r="D2848" s="101">
        <f t="shared" ca="1" si="171"/>
        <v>0.65308166867694262</v>
      </c>
      <c r="E2848" s="101">
        <f t="shared" ca="1" si="172"/>
        <v>0</v>
      </c>
      <c r="F2848" s="21">
        <f t="shared" ca="1" si="173"/>
        <v>0</v>
      </c>
      <c r="H2848" s="21">
        <v>2833</v>
      </c>
      <c r="I2848" s="102">
        <v>0.66782897038568134</v>
      </c>
      <c r="J2848" s="103">
        <v>1.5643400160237125E-3</v>
      </c>
      <c r="K2848" s="103"/>
      <c r="L2848" s="103">
        <v>0.04</v>
      </c>
      <c r="O2848" s="100"/>
    </row>
    <row r="2849" spans="2:15" x14ac:dyDescent="0.2">
      <c r="B2849" s="1">
        <v>2834</v>
      </c>
      <c r="C2849" s="101">
        <f ca="1"/>
        <v>-7.3841364066123003E-2</v>
      </c>
      <c r="D2849" s="101">
        <f t="shared" ca="1" si="171"/>
        <v>0.65967964184273253</v>
      </c>
      <c r="E2849" s="101">
        <f t="shared" ca="1" si="172"/>
        <v>0</v>
      </c>
      <c r="F2849" s="21">
        <f t="shared" ca="1" si="173"/>
        <v>0</v>
      </c>
      <c r="H2849" s="21">
        <v>2834</v>
      </c>
      <c r="I2849" s="102">
        <v>0.66779044928447595</v>
      </c>
      <c r="J2849" s="103">
        <v>1.4173298178551095E-3</v>
      </c>
      <c r="K2849" s="103"/>
      <c r="L2849" s="103">
        <v>4.2000000000000003E-2</v>
      </c>
      <c r="O2849" s="100"/>
    </row>
    <row r="2850" spans="2:15" x14ac:dyDescent="0.2">
      <c r="B2850" s="1">
        <v>2835</v>
      </c>
      <c r="C2850" s="101">
        <f ca="1"/>
        <v>9.9742432520268223E-2</v>
      </c>
      <c r="D2850" s="101">
        <f t="shared" ca="1" si="171"/>
        <v>0.67107228729322299</v>
      </c>
      <c r="E2850" s="101">
        <f t="shared" ca="1" si="172"/>
        <v>0</v>
      </c>
      <c r="F2850" s="21">
        <f t="shared" ca="1" si="173"/>
        <v>0</v>
      </c>
      <c r="H2850" s="21">
        <v>2835</v>
      </c>
      <c r="I2850" s="102">
        <v>0.66775844339807955</v>
      </c>
      <c r="J2850" s="103">
        <v>1.3512586722311431E-3</v>
      </c>
      <c r="K2850" s="103"/>
      <c r="L2850" s="103">
        <v>4.2599999999999999E-2</v>
      </c>
      <c r="O2850" s="100"/>
    </row>
    <row r="2851" spans="2:15" x14ac:dyDescent="0.2">
      <c r="B2851" s="1">
        <v>2836</v>
      </c>
      <c r="C2851" s="101">
        <f ca="1"/>
        <v>0.93649379382096443</v>
      </c>
      <c r="D2851" s="101">
        <f t="shared" ca="1" si="171"/>
        <v>0.72881150021156893</v>
      </c>
      <c r="E2851" s="101">
        <f t="shared" ca="1" si="172"/>
        <v>0</v>
      </c>
      <c r="F2851" s="21">
        <f t="shared" ca="1" si="173"/>
        <v>0</v>
      </c>
      <c r="H2851" s="21">
        <v>2836</v>
      </c>
      <c r="I2851" s="102">
        <v>0.66756674854398734</v>
      </c>
      <c r="J2851" s="103">
        <v>1.1155537835557975E-3</v>
      </c>
      <c r="K2851" s="103"/>
      <c r="L2851" s="103">
        <v>3.78E-2</v>
      </c>
      <c r="O2851" s="100"/>
    </row>
    <row r="2852" spans="2:15" x14ac:dyDescent="0.2">
      <c r="B2852" s="1">
        <v>2837</v>
      </c>
      <c r="C2852" s="101">
        <f ca="1"/>
        <v>0.71918577304466247</v>
      </c>
      <c r="D2852" s="101">
        <f t="shared" ca="1" si="171"/>
        <v>0.71335527213613181</v>
      </c>
      <c r="E2852" s="101">
        <f t="shared" ca="1" si="172"/>
        <v>0</v>
      </c>
      <c r="F2852" s="21">
        <f t="shared" ca="1" si="173"/>
        <v>0</v>
      </c>
      <c r="H2852" s="21">
        <v>2837</v>
      </c>
      <c r="I2852" s="102">
        <v>0.66780827534257814</v>
      </c>
      <c r="J2852" s="103">
        <v>1.3885511962647404E-3</v>
      </c>
      <c r="K2852" s="103"/>
      <c r="L2852" s="103">
        <v>4.4400000000000002E-2</v>
      </c>
      <c r="O2852" s="100"/>
    </row>
    <row r="2853" spans="2:15" x14ac:dyDescent="0.2">
      <c r="B2853" s="1">
        <v>2838</v>
      </c>
      <c r="C2853" s="101">
        <f ca="1"/>
        <v>1.6234861994277094</v>
      </c>
      <c r="D2853" s="101">
        <f t="shared" ca="1" si="171"/>
        <v>0.77991190200340554</v>
      </c>
      <c r="E2853" s="101">
        <f t="shared" ca="1" si="172"/>
        <v>0</v>
      </c>
      <c r="F2853" s="21">
        <f t="shared" ca="1" si="173"/>
        <v>0</v>
      </c>
      <c r="H2853" s="21">
        <v>2838</v>
      </c>
      <c r="I2853" s="102">
        <v>0.66780603784746351</v>
      </c>
      <c r="J2853" s="103">
        <v>1.4886160408811785E-3</v>
      </c>
      <c r="K2853" s="103"/>
      <c r="L2853" s="103">
        <v>4.5400000000000003E-2</v>
      </c>
      <c r="O2853" s="100"/>
    </row>
    <row r="2854" spans="2:15" x14ac:dyDescent="0.2">
      <c r="B2854" s="1">
        <v>2839</v>
      </c>
      <c r="C2854" s="101">
        <f ca="1"/>
        <v>1.794773754770284</v>
      </c>
      <c r="D2854" s="101">
        <f t="shared" ca="1" si="171"/>
        <v>0.79320127075173108</v>
      </c>
      <c r="E2854" s="101">
        <f t="shared" ca="1" si="172"/>
        <v>5.0012707517310684E-3</v>
      </c>
      <c r="F2854" s="21">
        <f t="shared" ca="1" si="173"/>
        <v>1</v>
      </c>
      <c r="H2854" s="21">
        <v>2839</v>
      </c>
      <c r="I2854" s="102">
        <v>0.66780390336085149</v>
      </c>
      <c r="J2854" s="103">
        <v>1.5644378673692178E-3</v>
      </c>
      <c r="K2854" s="103"/>
      <c r="L2854" s="103">
        <v>4.24E-2</v>
      </c>
      <c r="O2854" s="100"/>
    </row>
    <row r="2855" spans="2:15" x14ac:dyDescent="0.2">
      <c r="B2855" s="1">
        <v>2840</v>
      </c>
      <c r="C2855" s="101">
        <f ca="1"/>
        <v>-0.91943072324737063</v>
      </c>
      <c r="D2855" s="101">
        <f t="shared" ca="1" si="171"/>
        <v>0.60688800640742113</v>
      </c>
      <c r="E2855" s="101">
        <f t="shared" ca="1" si="172"/>
        <v>0</v>
      </c>
      <c r="F2855" s="21">
        <f t="shared" ca="1" si="173"/>
        <v>0</v>
      </c>
      <c r="H2855" s="21">
        <v>2840</v>
      </c>
      <c r="I2855" s="102">
        <v>0.66789819167147524</v>
      </c>
      <c r="J2855" s="103">
        <v>1.5269751403729505E-3</v>
      </c>
      <c r="K2855" s="103"/>
      <c r="L2855" s="103">
        <v>4.2200000000000001E-2</v>
      </c>
      <c r="O2855" s="100"/>
    </row>
    <row r="2856" spans="2:15" x14ac:dyDescent="0.2">
      <c r="B2856" s="1">
        <v>2841</v>
      </c>
      <c r="C2856" s="101">
        <f ca="1"/>
        <v>0.10833609056289888</v>
      </c>
      <c r="D2856" s="101">
        <f t="shared" ca="1" si="171"/>
        <v>0.6716413896183735</v>
      </c>
      <c r="E2856" s="101">
        <f t="shared" ca="1" si="172"/>
        <v>0</v>
      </c>
      <c r="F2856" s="21">
        <f t="shared" ca="1" si="173"/>
        <v>0</v>
      </c>
      <c r="H2856" s="21">
        <v>2841</v>
      </c>
      <c r="I2856" s="102">
        <v>0.66779316804103817</v>
      </c>
      <c r="J2856" s="103">
        <v>1.5655101918800459E-3</v>
      </c>
      <c r="K2856" s="103"/>
      <c r="L2856" s="103">
        <v>4.3999999999999997E-2</v>
      </c>
      <c r="O2856" s="100"/>
    </row>
    <row r="2857" spans="2:15" x14ac:dyDescent="0.2">
      <c r="B2857" s="1">
        <v>2842</v>
      </c>
      <c r="C2857" s="101">
        <f ca="1"/>
        <v>1.0529231152895799</v>
      </c>
      <c r="D2857" s="101">
        <f t="shared" ca="1" si="171"/>
        <v>0.73722996211753933</v>
      </c>
      <c r="E2857" s="101">
        <f t="shared" ca="1" si="172"/>
        <v>0</v>
      </c>
      <c r="F2857" s="21">
        <f t="shared" ca="1" si="173"/>
        <v>0</v>
      </c>
      <c r="H2857" s="21">
        <v>2842</v>
      </c>
      <c r="I2857" s="102">
        <v>0.66784447246987688</v>
      </c>
      <c r="J2857" s="103">
        <v>1.4993365218627561E-3</v>
      </c>
      <c r="K2857" s="103"/>
      <c r="L2857" s="103">
        <v>4.58E-2</v>
      </c>
      <c r="O2857" s="100"/>
    </row>
    <row r="2858" spans="2:15" x14ac:dyDescent="0.2">
      <c r="B2858" s="1">
        <v>2843</v>
      </c>
      <c r="C2858" s="101">
        <f ca="1"/>
        <v>-0.62848110562289927</v>
      </c>
      <c r="D2858" s="101">
        <f t="shared" ca="1" si="171"/>
        <v>0.62455782952714411</v>
      </c>
      <c r="E2858" s="101">
        <f t="shared" ca="1" si="172"/>
        <v>0</v>
      </c>
      <c r="F2858" s="21">
        <f t="shared" ca="1" si="173"/>
        <v>0</v>
      </c>
      <c r="H2858" s="21">
        <v>2843</v>
      </c>
      <c r="I2858" s="102">
        <v>0.6678021423334054</v>
      </c>
      <c r="J2858" s="103">
        <v>1.3571067549814622E-3</v>
      </c>
      <c r="K2858" s="103"/>
      <c r="L2858" s="103">
        <v>4.3400000000000001E-2</v>
      </c>
      <c r="O2858" s="100"/>
    </row>
    <row r="2859" spans="2:15" x14ac:dyDescent="0.2">
      <c r="B2859" s="1">
        <v>2844</v>
      </c>
      <c r="C2859" s="101">
        <f ca="1"/>
        <v>-0.24543552914389224</v>
      </c>
      <c r="D2859" s="101">
        <f t="shared" ca="1" si="171"/>
        <v>0.64860768999146334</v>
      </c>
      <c r="E2859" s="101">
        <f t="shared" ca="1" si="172"/>
        <v>0</v>
      </c>
      <c r="F2859" s="21">
        <f t="shared" ca="1" si="173"/>
        <v>0</v>
      </c>
      <c r="H2859" s="21">
        <v>2844</v>
      </c>
      <c r="I2859" s="102">
        <v>0.66769323411292458</v>
      </c>
      <c r="J2859" s="103">
        <v>1.3769803943153242E-3</v>
      </c>
      <c r="K2859" s="103"/>
      <c r="L2859" s="103">
        <v>4.2000000000000003E-2</v>
      </c>
      <c r="O2859" s="100"/>
    </row>
    <row r="2860" spans="2:15" x14ac:dyDescent="0.2">
      <c r="B2860" s="1">
        <v>2845</v>
      </c>
      <c r="C2860" s="101">
        <f ca="1"/>
        <v>-2.1974639026720197</v>
      </c>
      <c r="D2860" s="101">
        <f t="shared" ca="1" si="171"/>
        <v>0.53500569055859781</v>
      </c>
      <c r="E2860" s="101">
        <f t="shared" ca="1" si="172"/>
        <v>0</v>
      </c>
      <c r="F2860" s="21">
        <f t="shared" ca="1" si="173"/>
        <v>0</v>
      </c>
      <c r="H2860" s="21">
        <v>2845</v>
      </c>
      <c r="I2860" s="102">
        <v>0.66780948993980527</v>
      </c>
      <c r="J2860" s="103">
        <v>1.4260759576236095E-3</v>
      </c>
      <c r="K2860" s="103"/>
      <c r="L2860" s="103">
        <v>4.2599999999999999E-2</v>
      </c>
      <c r="O2860" s="100"/>
    </row>
    <row r="2861" spans="2:15" x14ac:dyDescent="0.2">
      <c r="B2861" s="1">
        <v>2846</v>
      </c>
      <c r="C2861" s="101">
        <f ca="1"/>
        <v>-0.90285227994408901</v>
      </c>
      <c r="D2861" s="101">
        <f t="shared" ca="1" si="171"/>
        <v>0.60788127420924254</v>
      </c>
      <c r="E2861" s="101">
        <f t="shared" ca="1" si="172"/>
        <v>0</v>
      </c>
      <c r="F2861" s="21">
        <f t="shared" ca="1" si="173"/>
        <v>0</v>
      </c>
      <c r="H2861" s="21">
        <v>2846</v>
      </c>
      <c r="I2861" s="102">
        <v>0.6677277431433879</v>
      </c>
      <c r="J2861" s="103">
        <v>1.2127148639667156E-3</v>
      </c>
      <c r="K2861" s="103"/>
      <c r="L2861" s="103">
        <v>4.1799999999999997E-2</v>
      </c>
      <c r="O2861" s="100"/>
    </row>
    <row r="2862" spans="2:15" x14ac:dyDescent="0.2">
      <c r="B2862" s="1">
        <v>2847</v>
      </c>
      <c r="C2862" s="101">
        <f ca="1"/>
        <v>0.22479632903790678</v>
      </c>
      <c r="D2862" s="101">
        <f t="shared" ca="1" si="171"/>
        <v>0.67940155465767738</v>
      </c>
      <c r="E2862" s="101">
        <f t="shared" ca="1" si="172"/>
        <v>0</v>
      </c>
      <c r="F2862" s="21">
        <f t="shared" ca="1" si="173"/>
        <v>0</v>
      </c>
      <c r="H2862" s="21">
        <v>2847</v>
      </c>
      <c r="I2862" s="102">
        <v>0.66785177817869568</v>
      </c>
      <c r="J2862" s="103">
        <v>1.4512349268725002E-3</v>
      </c>
      <c r="K2862" s="103"/>
      <c r="L2862" s="103">
        <v>4.5199999999999997E-2</v>
      </c>
      <c r="O2862" s="100"/>
    </row>
    <row r="2863" spans="2:15" x14ac:dyDescent="0.2">
      <c r="B2863" s="1">
        <v>2848</v>
      </c>
      <c r="C2863" s="101">
        <f ca="1"/>
        <v>0.24456805012002941</v>
      </c>
      <c r="D2863" s="101">
        <f t="shared" ca="1" si="171"/>
        <v>0.68072789043676374</v>
      </c>
      <c r="E2863" s="101">
        <f t="shared" ca="1" si="172"/>
        <v>0</v>
      </c>
      <c r="F2863" s="21">
        <f t="shared" ca="1" si="173"/>
        <v>0</v>
      </c>
      <c r="H2863" s="21">
        <v>2848</v>
      </c>
      <c r="I2863" s="102">
        <v>0.66772403039529593</v>
      </c>
      <c r="J2863" s="103">
        <v>1.3985684830678821E-3</v>
      </c>
      <c r="K2863" s="103"/>
      <c r="L2863" s="103">
        <v>4.24E-2</v>
      </c>
      <c r="O2863" s="100"/>
    </row>
    <row r="2864" spans="2:15" x14ac:dyDescent="0.2">
      <c r="B2864" s="1">
        <v>2849</v>
      </c>
      <c r="C2864" s="101">
        <f ca="1"/>
        <v>0.12363882890992088</v>
      </c>
      <c r="D2864" s="101">
        <f t="shared" ca="1" si="171"/>
        <v>0.67265598603911159</v>
      </c>
      <c r="E2864" s="101">
        <f t="shared" ca="1" si="172"/>
        <v>0</v>
      </c>
      <c r="F2864" s="21">
        <f t="shared" ca="1" si="173"/>
        <v>0</v>
      </c>
      <c r="H2864" s="21">
        <v>2849</v>
      </c>
      <c r="I2864" s="102">
        <v>0.66773156638589981</v>
      </c>
      <c r="J2864" s="103">
        <v>1.2798938728184332E-3</v>
      </c>
      <c r="K2864" s="103"/>
      <c r="L2864" s="103">
        <v>4.0800000000000003E-2</v>
      </c>
      <c r="O2864" s="100"/>
    </row>
    <row r="2865" spans="2:15" x14ac:dyDescent="0.2">
      <c r="B2865" s="1">
        <v>2850</v>
      </c>
      <c r="C2865" s="101">
        <f ca="1"/>
        <v>0.89353433535068472</v>
      </c>
      <c r="D2865" s="101">
        <f t="shared" ca="1" si="171"/>
        <v>0.72572963910261046</v>
      </c>
      <c r="E2865" s="101">
        <f t="shared" ca="1" si="172"/>
        <v>0</v>
      </c>
      <c r="F2865" s="21">
        <f t="shared" ca="1" si="173"/>
        <v>0</v>
      </c>
      <c r="H2865" s="21">
        <v>2850</v>
      </c>
      <c r="I2865" s="102">
        <v>0.66753791099379445</v>
      </c>
      <c r="J2865" s="103">
        <v>1.1439323920777807E-3</v>
      </c>
      <c r="K2865" s="103"/>
      <c r="L2865" s="103">
        <v>3.7400000000000003E-2</v>
      </c>
      <c r="O2865" s="100"/>
    </row>
    <row r="2866" spans="2:15" x14ac:dyDescent="0.2">
      <c r="B2866" s="1">
        <v>2851</v>
      </c>
      <c r="C2866" s="101">
        <f ca="1"/>
        <v>0.40637345095601757</v>
      </c>
      <c r="D2866" s="101">
        <f t="shared" ca="1" si="171"/>
        <v>0.69167995235689117</v>
      </c>
      <c r="E2866" s="101">
        <f t="shared" ca="1" si="172"/>
        <v>0</v>
      </c>
      <c r="F2866" s="21">
        <f t="shared" ca="1" si="173"/>
        <v>0</v>
      </c>
      <c r="H2866" s="21">
        <v>2851</v>
      </c>
      <c r="I2866" s="102">
        <v>0.66770833599269719</v>
      </c>
      <c r="J2866" s="103">
        <v>1.2915237130686989E-3</v>
      </c>
      <c r="K2866" s="103"/>
      <c r="L2866" s="103">
        <v>4.2200000000000001E-2</v>
      </c>
      <c r="O2866" s="100"/>
    </row>
    <row r="2867" spans="2:15" x14ac:dyDescent="0.2">
      <c r="B2867" s="1">
        <v>2852</v>
      </c>
      <c r="C2867" s="101">
        <f ca="1"/>
        <v>2.1090961332040772</v>
      </c>
      <c r="D2867" s="101">
        <f t="shared" ca="1" si="171"/>
        <v>0.81817984743637373</v>
      </c>
      <c r="E2867" s="101">
        <f t="shared" ca="1" si="172"/>
        <v>2.9979847436373719E-2</v>
      </c>
      <c r="F2867" s="21">
        <f t="shared" ca="1" si="173"/>
        <v>1</v>
      </c>
      <c r="H2867" s="21">
        <v>2852</v>
      </c>
      <c r="I2867" s="102">
        <v>0.66780136022884973</v>
      </c>
      <c r="J2867" s="103">
        <v>1.4832243564845695E-3</v>
      </c>
      <c r="K2867" s="103"/>
      <c r="L2867" s="103">
        <v>4.2000000000000003E-2</v>
      </c>
      <c r="O2867" s="100"/>
    </row>
    <row r="2868" spans="2:15" x14ac:dyDescent="0.2">
      <c r="B2868" s="1">
        <v>2853</v>
      </c>
      <c r="C2868" s="101">
        <f ca="1"/>
        <v>-0.84367996677276413</v>
      </c>
      <c r="D2868" s="101">
        <f t="shared" ca="1" si="171"/>
        <v>0.61143975218406166</v>
      </c>
      <c r="E2868" s="101">
        <f t="shared" ca="1" si="172"/>
        <v>0</v>
      </c>
      <c r="F2868" s="21">
        <f t="shared" ca="1" si="173"/>
        <v>0</v>
      </c>
      <c r="H2868" s="21">
        <v>2853</v>
      </c>
      <c r="I2868" s="102">
        <v>0.66771408962674661</v>
      </c>
      <c r="J2868" s="103">
        <v>1.3107944091455864E-3</v>
      </c>
      <c r="K2868" s="103"/>
      <c r="L2868" s="103">
        <v>4.2000000000000003E-2</v>
      </c>
      <c r="O2868" s="100"/>
    </row>
    <row r="2869" spans="2:15" x14ac:dyDescent="0.2">
      <c r="B2869" s="1">
        <v>2854</v>
      </c>
      <c r="C2869" s="101">
        <f ca="1"/>
        <v>0.53373795691338921</v>
      </c>
      <c r="D2869" s="101">
        <f t="shared" ca="1" si="171"/>
        <v>0.70042462324033639</v>
      </c>
      <c r="E2869" s="101">
        <f t="shared" ca="1" si="172"/>
        <v>0</v>
      </c>
      <c r="F2869" s="21">
        <f t="shared" ca="1" si="173"/>
        <v>0</v>
      </c>
      <c r="H2869" s="21">
        <v>2854</v>
      </c>
      <c r="I2869" s="102">
        <v>0.66775403485073126</v>
      </c>
      <c r="J2869" s="103">
        <v>1.3520551094133235E-3</v>
      </c>
      <c r="K2869" s="103"/>
      <c r="L2869" s="103">
        <v>4.2599999999999999E-2</v>
      </c>
      <c r="O2869" s="100"/>
    </row>
    <row r="2870" spans="2:15" x14ac:dyDescent="0.2">
      <c r="B2870" s="1">
        <v>2855</v>
      </c>
      <c r="C2870" s="101">
        <f ca="1"/>
        <v>1.3254288283716611</v>
      </c>
      <c r="D2870" s="101">
        <f t="shared" ca="1" si="171"/>
        <v>0.7573156889952436</v>
      </c>
      <c r="E2870" s="101">
        <f t="shared" ca="1" si="172"/>
        <v>0</v>
      </c>
      <c r="F2870" s="21">
        <f t="shared" ca="1" si="173"/>
        <v>0</v>
      </c>
      <c r="H2870" s="21">
        <v>2855</v>
      </c>
      <c r="I2870" s="102">
        <v>0.66781909423851504</v>
      </c>
      <c r="J2870" s="103">
        <v>1.4326423289584974E-3</v>
      </c>
      <c r="K2870" s="103"/>
      <c r="L2870" s="103">
        <v>4.4600000000000001E-2</v>
      </c>
      <c r="O2870" s="100"/>
    </row>
    <row r="2871" spans="2:15" x14ac:dyDescent="0.2">
      <c r="B2871" s="1">
        <v>2856</v>
      </c>
      <c r="C2871" s="101">
        <f ca="1"/>
        <v>0.96988930241203442</v>
      </c>
      <c r="D2871" s="101">
        <f t="shared" ca="1" si="171"/>
        <v>0.73121629320183334</v>
      </c>
      <c r="E2871" s="101">
        <f t="shared" ca="1" si="172"/>
        <v>0</v>
      </c>
      <c r="F2871" s="21">
        <f t="shared" ca="1" si="173"/>
        <v>0</v>
      </c>
      <c r="H2871" s="21">
        <v>2856</v>
      </c>
      <c r="I2871" s="102">
        <v>0.66774812869674782</v>
      </c>
      <c r="J2871" s="103">
        <v>1.3834516521411427E-3</v>
      </c>
      <c r="K2871" s="103"/>
      <c r="L2871" s="103">
        <v>4.1000000000000002E-2</v>
      </c>
      <c r="O2871" s="100"/>
    </row>
    <row r="2872" spans="2:15" x14ac:dyDescent="0.2">
      <c r="B2872" s="1">
        <v>2857</v>
      </c>
      <c r="C2872" s="101">
        <f ca="1"/>
        <v>0.4097009465448182</v>
      </c>
      <c r="D2872" s="101">
        <f t="shared" ca="1" si="171"/>
        <v>0.69190701874575045</v>
      </c>
      <c r="E2872" s="101">
        <f t="shared" ca="1" si="172"/>
        <v>0</v>
      </c>
      <c r="F2872" s="21">
        <f t="shared" ca="1" si="173"/>
        <v>0</v>
      </c>
      <c r="H2872" s="21">
        <v>2857</v>
      </c>
      <c r="I2872" s="102">
        <v>0.66770262105572742</v>
      </c>
      <c r="J2872" s="103">
        <v>1.3052774675599847E-3</v>
      </c>
      <c r="K2872" s="103"/>
      <c r="L2872" s="103">
        <v>4.2999999999999997E-2</v>
      </c>
      <c r="O2872" s="100"/>
    </row>
    <row r="2873" spans="2:15" x14ac:dyDescent="0.2">
      <c r="B2873" s="1">
        <v>2858</v>
      </c>
      <c r="C2873" s="101">
        <f ca="1"/>
        <v>-0.11045878927465339</v>
      </c>
      <c r="D2873" s="101">
        <f t="shared" ca="1" si="171"/>
        <v>0.6573011827430254</v>
      </c>
      <c r="E2873" s="101">
        <f t="shared" ca="1" si="172"/>
        <v>0</v>
      </c>
      <c r="F2873" s="21">
        <f t="shared" ca="1" si="173"/>
        <v>0</v>
      </c>
      <c r="H2873" s="21">
        <v>2858</v>
      </c>
      <c r="I2873" s="102">
        <v>0.66771203087709696</v>
      </c>
      <c r="J2873" s="103">
        <v>1.3671493371709355E-3</v>
      </c>
      <c r="K2873" s="103"/>
      <c r="L2873" s="103">
        <v>0.04</v>
      </c>
      <c r="O2873" s="100"/>
    </row>
    <row r="2874" spans="2:15" x14ac:dyDescent="0.2">
      <c r="B2874" s="1">
        <v>2859</v>
      </c>
      <c r="C2874" s="101">
        <f ca="1"/>
        <v>3.0716479599419741E-2</v>
      </c>
      <c r="D2874" s="101">
        <f t="shared" ca="1" si="171"/>
        <v>0.66651860276271335</v>
      </c>
      <c r="E2874" s="101">
        <f t="shared" ca="1" si="172"/>
        <v>0</v>
      </c>
      <c r="F2874" s="21">
        <f t="shared" ca="1" si="173"/>
        <v>0</v>
      </c>
      <c r="H2874" s="21">
        <v>2859</v>
      </c>
      <c r="I2874" s="102">
        <v>0.66769335456232781</v>
      </c>
      <c r="J2874" s="103">
        <v>1.3594725394394341E-3</v>
      </c>
      <c r="K2874" s="103"/>
      <c r="L2874" s="103">
        <v>4.3200000000000002E-2</v>
      </c>
      <c r="O2874" s="100"/>
    </row>
    <row r="2875" spans="2:15" x14ac:dyDescent="0.2">
      <c r="B2875" s="1">
        <v>2860</v>
      </c>
      <c r="C2875" s="101">
        <f ca="1"/>
        <v>0.23314657010893713</v>
      </c>
      <c r="D2875" s="101">
        <f t="shared" ca="1" si="171"/>
        <v>0.67996139388092358</v>
      </c>
      <c r="E2875" s="101">
        <f t="shared" ca="1" si="172"/>
        <v>0</v>
      </c>
      <c r="F2875" s="21">
        <f t="shared" ca="1" si="173"/>
        <v>0</v>
      </c>
      <c r="H2875" s="21">
        <v>2860</v>
      </c>
      <c r="I2875" s="102">
        <v>0.66762245562802258</v>
      </c>
      <c r="J2875" s="103">
        <v>1.2656661037903953E-3</v>
      </c>
      <c r="K2875" s="103"/>
      <c r="L2875" s="103">
        <v>0.04</v>
      </c>
      <c r="O2875" s="100"/>
    </row>
    <row r="2876" spans="2:15" x14ac:dyDescent="0.2">
      <c r="B2876" s="1">
        <v>2861</v>
      </c>
      <c r="C2876" s="101">
        <f ca="1"/>
        <v>0.447726624538827</v>
      </c>
      <c r="D2876" s="101">
        <f t="shared" ca="1" si="171"/>
        <v>0.6945071684656281</v>
      </c>
      <c r="E2876" s="101">
        <f t="shared" ca="1" si="172"/>
        <v>0</v>
      </c>
      <c r="F2876" s="21">
        <f t="shared" ca="1" si="173"/>
        <v>0</v>
      </c>
      <c r="H2876" s="21">
        <v>2861</v>
      </c>
      <c r="I2876" s="102">
        <v>0.6678543227259206</v>
      </c>
      <c r="J2876" s="103">
        <v>1.5820885070968488E-3</v>
      </c>
      <c r="K2876" s="103"/>
      <c r="L2876" s="103">
        <v>4.6800000000000001E-2</v>
      </c>
      <c r="O2876" s="100"/>
    </row>
    <row r="2877" spans="2:15" x14ac:dyDescent="0.2">
      <c r="B2877" s="1">
        <v>2862</v>
      </c>
      <c r="C2877" s="101">
        <f ca="1"/>
        <v>1.3652011065423595</v>
      </c>
      <c r="D2877" s="101">
        <f t="shared" ca="1" si="171"/>
        <v>0.7602926182322004</v>
      </c>
      <c r="E2877" s="101">
        <f t="shared" ca="1" si="172"/>
        <v>0</v>
      </c>
      <c r="F2877" s="21">
        <f t="shared" ca="1" si="173"/>
        <v>0</v>
      </c>
      <c r="H2877" s="21">
        <v>2862</v>
      </c>
      <c r="I2877" s="102">
        <v>0.66782815899819159</v>
      </c>
      <c r="J2877" s="103">
        <v>1.6210108911942623E-3</v>
      </c>
      <c r="K2877" s="103"/>
      <c r="L2877" s="103">
        <v>4.3999999999999997E-2</v>
      </c>
      <c r="O2877" s="100"/>
    </row>
    <row r="2878" spans="2:15" x14ac:dyDescent="0.2">
      <c r="B2878" s="1">
        <v>2863</v>
      </c>
      <c r="C2878" s="101">
        <f ca="1"/>
        <v>-0.71951398016005197</v>
      </c>
      <c r="D2878" s="101">
        <f t="shared" ca="1" si="171"/>
        <v>0.61897465276958918</v>
      </c>
      <c r="E2878" s="101">
        <f t="shared" ca="1" si="172"/>
        <v>0</v>
      </c>
      <c r="F2878" s="21">
        <f t="shared" ca="1" si="173"/>
        <v>0</v>
      </c>
      <c r="H2878" s="21">
        <v>2863</v>
      </c>
      <c r="I2878" s="102">
        <v>0.66774126236720321</v>
      </c>
      <c r="J2878" s="103">
        <v>1.2934070004968746E-3</v>
      </c>
      <c r="K2878" s="103"/>
      <c r="L2878" s="103">
        <v>4.2999999999999997E-2</v>
      </c>
      <c r="O2878" s="100"/>
    </row>
    <row r="2879" spans="2:15" x14ac:dyDescent="0.2">
      <c r="B2879" s="1">
        <v>2864</v>
      </c>
      <c r="C2879" s="101">
        <f ca="1"/>
        <v>-1.805044773177825</v>
      </c>
      <c r="D2879" s="101">
        <f t="shared" ca="1" si="171"/>
        <v>0.55612112797130775</v>
      </c>
      <c r="E2879" s="101">
        <f t="shared" ca="1" si="172"/>
        <v>0</v>
      </c>
      <c r="F2879" s="21">
        <f t="shared" ca="1" si="173"/>
        <v>0</v>
      </c>
      <c r="H2879" s="21">
        <v>2864</v>
      </c>
      <c r="I2879" s="102">
        <v>0.66764211457409162</v>
      </c>
      <c r="J2879" s="103">
        <v>1.2514904461481595E-3</v>
      </c>
      <c r="K2879" s="103"/>
      <c r="L2879" s="103">
        <v>3.8399999999999997E-2</v>
      </c>
      <c r="O2879" s="100"/>
    </row>
    <row r="2880" spans="2:15" x14ac:dyDescent="0.2">
      <c r="B2880" s="1">
        <v>2865</v>
      </c>
      <c r="C2880" s="101">
        <f ca="1"/>
        <v>-1.1288486062030598</v>
      </c>
      <c r="D2880" s="101">
        <f t="shared" ca="1" si="171"/>
        <v>0.59447996381169299</v>
      </c>
      <c r="E2880" s="101">
        <f t="shared" ca="1" si="172"/>
        <v>0</v>
      </c>
      <c r="F2880" s="21">
        <f t="shared" ca="1" si="173"/>
        <v>0</v>
      </c>
      <c r="H2880" s="21">
        <v>2865</v>
      </c>
      <c r="I2880" s="102">
        <v>0.66775749241167892</v>
      </c>
      <c r="J2880" s="103">
        <v>1.3161786868902642E-3</v>
      </c>
      <c r="K2880" s="103"/>
      <c r="L2880" s="103">
        <v>4.2799999999999998E-2</v>
      </c>
      <c r="O2880" s="100"/>
    </row>
    <row r="2881" spans="2:15" x14ac:dyDescent="0.2">
      <c r="B2881" s="1">
        <v>2866</v>
      </c>
      <c r="C2881" s="101">
        <f ca="1"/>
        <v>-1.2677582124378737</v>
      </c>
      <c r="D2881" s="101">
        <f t="shared" ca="1" si="171"/>
        <v>0.58638981706606874</v>
      </c>
      <c r="E2881" s="101">
        <f t="shared" ca="1" si="172"/>
        <v>0</v>
      </c>
      <c r="F2881" s="21">
        <f t="shared" ca="1" si="173"/>
        <v>0</v>
      </c>
      <c r="H2881" s="21">
        <v>2866</v>
      </c>
      <c r="I2881" s="102">
        <v>0.66778583077745102</v>
      </c>
      <c r="J2881" s="103">
        <v>1.4224749942850458E-3</v>
      </c>
      <c r="K2881" s="103"/>
      <c r="L2881" s="103">
        <v>4.1399999999999999E-2</v>
      </c>
      <c r="O2881" s="100"/>
    </row>
    <row r="2882" spans="2:15" x14ac:dyDescent="0.2">
      <c r="B2882" s="1">
        <v>2867</v>
      </c>
      <c r="C2882" s="101">
        <f ca="1"/>
        <v>0.57734484072789127</v>
      </c>
      <c r="D2882" s="101">
        <f t="shared" ca="1" si="171"/>
        <v>0.70344394738115779</v>
      </c>
      <c r="E2882" s="101">
        <f t="shared" ca="1" si="172"/>
        <v>0</v>
      </c>
      <c r="F2882" s="21">
        <f t="shared" ca="1" si="173"/>
        <v>0</v>
      </c>
      <c r="H2882" s="21">
        <v>2867</v>
      </c>
      <c r="I2882" s="102">
        <v>0.66778132248165245</v>
      </c>
      <c r="J2882" s="103">
        <v>1.3635941745282964E-3</v>
      </c>
      <c r="K2882" s="103"/>
      <c r="L2882" s="103">
        <v>4.36E-2</v>
      </c>
      <c r="O2882" s="100"/>
    </row>
    <row r="2883" spans="2:15" x14ac:dyDescent="0.2">
      <c r="B2883" s="1">
        <v>2868</v>
      </c>
      <c r="C2883" s="101">
        <f ca="1"/>
        <v>9.7607480614254283E-2</v>
      </c>
      <c r="D2883" s="101">
        <f t="shared" ca="1" si="171"/>
        <v>0.67093097804950141</v>
      </c>
      <c r="E2883" s="101">
        <f t="shared" ca="1" si="172"/>
        <v>0</v>
      </c>
      <c r="F2883" s="21">
        <f t="shared" ca="1" si="173"/>
        <v>0</v>
      </c>
      <c r="H2883" s="21">
        <v>2868</v>
      </c>
      <c r="I2883" s="102">
        <v>0.66771949986348356</v>
      </c>
      <c r="J2883" s="103">
        <v>1.3265004123947438E-3</v>
      </c>
      <c r="K2883" s="103"/>
      <c r="L2883" s="103">
        <v>4.0800000000000003E-2</v>
      </c>
      <c r="O2883" s="100"/>
    </row>
    <row r="2884" spans="2:15" x14ac:dyDescent="0.2">
      <c r="B2884" s="1">
        <v>2869</v>
      </c>
      <c r="C2884" s="101">
        <f ca="1"/>
        <v>-1.1742390101167224</v>
      </c>
      <c r="D2884" s="101">
        <f t="shared" ca="1" si="171"/>
        <v>0.59182420712134032</v>
      </c>
      <c r="E2884" s="101">
        <f t="shared" ca="1" si="172"/>
        <v>0</v>
      </c>
      <c r="F2884" s="21">
        <f t="shared" ca="1" si="173"/>
        <v>0</v>
      </c>
      <c r="H2884" s="21">
        <v>2869</v>
      </c>
      <c r="I2884" s="102">
        <v>0.66768485485881979</v>
      </c>
      <c r="J2884" s="103">
        <v>1.3853809066776718E-3</v>
      </c>
      <c r="K2884" s="103"/>
      <c r="L2884" s="103">
        <v>3.8600000000000002E-2</v>
      </c>
      <c r="O2884" s="100"/>
    </row>
    <row r="2885" spans="2:15" x14ac:dyDescent="0.2">
      <c r="B2885" s="1">
        <v>2870</v>
      </c>
      <c r="C2885" s="101">
        <f ca="1"/>
        <v>0.54967955604432506</v>
      </c>
      <c r="D2885" s="101">
        <f t="shared" ca="1" si="171"/>
        <v>0.70152690773606441</v>
      </c>
      <c r="E2885" s="101">
        <f t="shared" ca="1" si="172"/>
        <v>0</v>
      </c>
      <c r="F2885" s="21">
        <f t="shared" ca="1" si="173"/>
        <v>0</v>
      </c>
      <c r="H2885" s="21">
        <v>2870</v>
      </c>
      <c r="I2885" s="102">
        <v>0.66795269887882891</v>
      </c>
      <c r="J2885" s="103">
        <v>1.6109044160072783E-3</v>
      </c>
      <c r="K2885" s="103"/>
      <c r="L2885" s="103">
        <v>5.0999999999999997E-2</v>
      </c>
      <c r="O2885" s="100"/>
    </row>
    <row r="2886" spans="2:15" x14ac:dyDescent="0.2">
      <c r="B2886" s="1">
        <v>2871</v>
      </c>
      <c r="C2886" s="101">
        <f ca="1"/>
        <v>-1.9898609158362253</v>
      </c>
      <c r="D2886" s="101">
        <f t="shared" ca="1" si="171"/>
        <v>0.54607461136030344</v>
      </c>
      <c r="E2886" s="101">
        <f t="shared" ca="1" si="172"/>
        <v>0</v>
      </c>
      <c r="F2886" s="21">
        <f t="shared" ca="1" si="173"/>
        <v>0</v>
      </c>
      <c r="H2886" s="21">
        <v>2871</v>
      </c>
      <c r="I2886" s="102">
        <v>0.66783587740644568</v>
      </c>
      <c r="J2886" s="103">
        <v>1.5246393284828953E-3</v>
      </c>
      <c r="K2886" s="103"/>
      <c r="L2886" s="103">
        <v>4.7E-2</v>
      </c>
      <c r="O2886" s="100"/>
    </row>
    <row r="2887" spans="2:15" x14ac:dyDescent="0.2">
      <c r="B2887" s="1">
        <v>2872</v>
      </c>
      <c r="C2887" s="101">
        <f ca="1"/>
        <v>-1.5176922856165975</v>
      </c>
      <c r="D2887" s="101">
        <f t="shared" ca="1" si="171"/>
        <v>0.57210981483022583</v>
      </c>
      <c r="E2887" s="101">
        <f t="shared" ca="1" si="172"/>
        <v>0</v>
      </c>
      <c r="F2887" s="21">
        <f t="shared" ca="1" si="173"/>
        <v>0</v>
      </c>
      <c r="H2887" s="21">
        <v>2872</v>
      </c>
      <c r="I2887" s="102">
        <v>0.66772979584056824</v>
      </c>
      <c r="J2887" s="103">
        <v>1.3855557396766779E-3</v>
      </c>
      <c r="K2887" s="103"/>
      <c r="L2887" s="103">
        <v>4.2999999999999997E-2</v>
      </c>
      <c r="O2887" s="100"/>
    </row>
    <row r="2888" spans="2:15" x14ac:dyDescent="0.2">
      <c r="B2888" s="1">
        <v>2873</v>
      </c>
      <c r="C2888" s="101">
        <f ca="1"/>
        <v>0.61263326555909747</v>
      </c>
      <c r="D2888" s="101">
        <f t="shared" ca="1" si="171"/>
        <v>0.70589682995306391</v>
      </c>
      <c r="E2888" s="101">
        <f t="shared" ca="1" si="172"/>
        <v>0</v>
      </c>
      <c r="F2888" s="21">
        <f t="shared" ca="1" si="173"/>
        <v>0</v>
      </c>
      <c r="H2888" s="21">
        <v>2873</v>
      </c>
      <c r="I2888" s="102">
        <v>0.66772522755813002</v>
      </c>
      <c r="J2888" s="103">
        <v>1.2941879409972524E-3</v>
      </c>
      <c r="K2888" s="103"/>
      <c r="L2888" s="103">
        <v>4.4600000000000001E-2</v>
      </c>
      <c r="O2888" s="100"/>
    </row>
    <row r="2889" spans="2:15" x14ac:dyDescent="0.2">
      <c r="B2889" s="1">
        <v>2874</v>
      </c>
      <c r="C2889" s="101">
        <f ca="1"/>
        <v>0.59892357527686391</v>
      </c>
      <c r="D2889" s="101">
        <f t="shared" ca="1" si="171"/>
        <v>0.70494286119581173</v>
      </c>
      <c r="E2889" s="101">
        <f t="shared" ca="1" si="172"/>
        <v>0</v>
      </c>
      <c r="F2889" s="21">
        <f t="shared" ca="1" si="173"/>
        <v>0</v>
      </c>
      <c r="H2889" s="21">
        <v>2874</v>
      </c>
      <c r="I2889" s="102">
        <v>0.66780077550978856</v>
      </c>
      <c r="J2889" s="103">
        <v>1.3875514276966768E-3</v>
      </c>
      <c r="K2889" s="103"/>
      <c r="L2889" s="103">
        <v>4.02E-2</v>
      </c>
      <c r="O2889" s="100"/>
    </row>
    <row r="2890" spans="2:15" x14ac:dyDescent="0.2">
      <c r="B2890" s="1">
        <v>2875</v>
      </c>
      <c r="C2890" s="101">
        <f ca="1"/>
        <v>-1.1259501411874264</v>
      </c>
      <c r="D2890" s="101">
        <f t="shared" ca="1" si="171"/>
        <v>0.59464995494569139</v>
      </c>
      <c r="E2890" s="101">
        <f t="shared" ca="1" si="172"/>
        <v>0</v>
      </c>
      <c r="F2890" s="21">
        <f t="shared" ca="1" si="173"/>
        <v>0</v>
      </c>
      <c r="H2890" s="21">
        <v>2875</v>
      </c>
      <c r="I2890" s="102">
        <v>0.66774394478309984</v>
      </c>
      <c r="J2890" s="103">
        <v>1.2850852182126581E-3</v>
      </c>
      <c r="K2890" s="103"/>
      <c r="L2890" s="103">
        <v>4.0800000000000003E-2</v>
      </c>
      <c r="O2890" s="100"/>
    </row>
    <row r="2891" spans="2:15" x14ac:dyDescent="0.2">
      <c r="B2891" s="1">
        <v>2876</v>
      </c>
      <c r="C2891" s="101">
        <f ca="1"/>
        <v>-0.36745018867494345</v>
      </c>
      <c r="D2891" s="101">
        <f t="shared" ca="1" si="171"/>
        <v>0.64084804037390874</v>
      </c>
      <c r="E2891" s="101">
        <f t="shared" ca="1" si="172"/>
        <v>0</v>
      </c>
      <c r="F2891" s="21">
        <f t="shared" ca="1" si="173"/>
        <v>0</v>
      </c>
      <c r="H2891" s="21">
        <v>2876</v>
      </c>
      <c r="I2891" s="102">
        <v>0.66790508893114542</v>
      </c>
      <c r="J2891" s="103">
        <v>1.6384858809465263E-3</v>
      </c>
      <c r="K2891" s="103"/>
      <c r="L2891" s="103">
        <v>4.3999999999999997E-2</v>
      </c>
      <c r="O2891" s="100"/>
    </row>
    <row r="2892" spans="2:15" x14ac:dyDescent="0.2">
      <c r="B2892" s="1">
        <v>2877</v>
      </c>
      <c r="C2892" s="101">
        <f ca="1"/>
        <v>-0.35080333668749064</v>
      </c>
      <c r="D2892" s="101">
        <f t="shared" ca="1" si="171"/>
        <v>0.64190122060530141</v>
      </c>
      <c r="E2892" s="101">
        <f t="shared" ca="1" si="172"/>
        <v>0</v>
      </c>
      <c r="F2892" s="21">
        <f t="shared" ca="1" si="173"/>
        <v>0</v>
      </c>
      <c r="H2892" s="21">
        <v>2877</v>
      </c>
      <c r="I2892" s="102">
        <v>0.6678035091593042</v>
      </c>
      <c r="J2892" s="103">
        <v>1.4038623255043581E-3</v>
      </c>
      <c r="K2892" s="103"/>
      <c r="L2892" s="103">
        <v>4.24E-2</v>
      </c>
      <c r="O2892" s="100"/>
    </row>
    <row r="2893" spans="2:15" x14ac:dyDescent="0.2">
      <c r="B2893" s="1">
        <v>2878</v>
      </c>
      <c r="C2893" s="101">
        <f ca="1"/>
        <v>-0.2744909296112451</v>
      </c>
      <c r="D2893" s="101">
        <f t="shared" ca="1" si="171"/>
        <v>0.64675140073703474</v>
      </c>
      <c r="E2893" s="101">
        <f t="shared" ca="1" si="172"/>
        <v>0</v>
      </c>
      <c r="F2893" s="21">
        <f t="shared" ca="1" si="173"/>
        <v>0</v>
      </c>
      <c r="H2893" s="21">
        <v>2878</v>
      </c>
      <c r="I2893" s="102">
        <v>0.66773099096199751</v>
      </c>
      <c r="J2893" s="103">
        <v>1.3448861253447281E-3</v>
      </c>
      <c r="K2893" s="103"/>
      <c r="L2893" s="103">
        <v>0.04</v>
      </c>
      <c r="O2893" s="100"/>
    </row>
    <row r="2894" spans="2:15" x14ac:dyDescent="0.2">
      <c r="B2894" s="1">
        <v>2879</v>
      </c>
      <c r="C2894" s="101">
        <f ca="1"/>
        <v>0.33549991801619589</v>
      </c>
      <c r="D2894" s="101">
        <f t="shared" ca="1" si="171"/>
        <v>0.68686124040383878</v>
      </c>
      <c r="E2894" s="101">
        <f t="shared" ca="1" si="172"/>
        <v>0</v>
      </c>
      <c r="F2894" s="21">
        <f t="shared" ca="1" si="173"/>
        <v>0</v>
      </c>
      <c r="H2894" s="21">
        <v>2879</v>
      </c>
      <c r="I2894" s="102">
        <v>0.66777173215538699</v>
      </c>
      <c r="J2894" s="103">
        <v>1.4448762888744483E-3</v>
      </c>
      <c r="K2894" s="103"/>
      <c r="L2894" s="103">
        <v>4.3799999999999999E-2</v>
      </c>
      <c r="O2894" s="100"/>
    </row>
    <row r="2895" spans="2:15" x14ac:dyDescent="0.2">
      <c r="B2895" s="1">
        <v>2880</v>
      </c>
      <c r="C2895" s="101">
        <f ca="1"/>
        <v>-1.7771629026418836</v>
      </c>
      <c r="D2895" s="101">
        <f t="shared" ca="1" si="171"/>
        <v>0.55765273573771357</v>
      </c>
      <c r="E2895" s="101">
        <f t="shared" ca="1" si="172"/>
        <v>0</v>
      </c>
      <c r="F2895" s="21">
        <f t="shared" ca="1" si="173"/>
        <v>0</v>
      </c>
      <c r="H2895" s="21">
        <v>2880</v>
      </c>
      <c r="I2895" s="102">
        <v>0.6678758545772816</v>
      </c>
      <c r="J2895" s="103">
        <v>1.5168160036343292E-3</v>
      </c>
      <c r="K2895" s="103"/>
      <c r="L2895" s="103">
        <v>4.2000000000000003E-2</v>
      </c>
      <c r="O2895" s="100"/>
    </row>
    <row r="2896" spans="2:15" x14ac:dyDescent="0.2">
      <c r="B2896" s="1">
        <v>2881</v>
      </c>
      <c r="C2896" s="101">
        <f ca="1"/>
        <v>2.1076726047278935</v>
      </c>
      <c r="D2896" s="101">
        <f t="shared" ref="D2896:D2959" ca="1" si="174">S0*EXP((μ-0.5*σ*σ)*T+σ*SQRT(T)*$C2896)</f>
        <v>0.81806496772206871</v>
      </c>
      <c r="E2896" s="101">
        <f t="shared" ref="E2896:E2959" ca="1" si="175">MAX(0,CP*(D2896-K))</f>
        <v>2.9864967722068703E-2</v>
      </c>
      <c r="F2896" s="21">
        <f t="shared" ref="F2896:F2959" ca="1" si="176">(CP*(D2896-K)&gt;0)*1</f>
        <v>1</v>
      </c>
      <c r="H2896" s="21">
        <v>2881</v>
      </c>
      <c r="I2896" s="102">
        <v>0.66786719849700982</v>
      </c>
      <c r="J2896" s="103">
        <v>1.5264495130004746E-3</v>
      </c>
      <c r="K2896" s="103"/>
      <c r="L2896" s="103">
        <v>4.6199999999999998E-2</v>
      </c>
      <c r="O2896" s="100"/>
    </row>
    <row r="2897" spans="2:15" x14ac:dyDescent="0.2">
      <c r="B2897" s="1">
        <v>2882</v>
      </c>
      <c r="C2897" s="101">
        <f ca="1"/>
        <v>1.0659575135061645</v>
      </c>
      <c r="D2897" s="101">
        <f t="shared" ca="1" si="174"/>
        <v>0.73817845065269638</v>
      </c>
      <c r="E2897" s="101">
        <f t="shared" ca="1" si="175"/>
        <v>0</v>
      </c>
      <c r="F2897" s="21">
        <f t="shared" ca="1" si="176"/>
        <v>0</v>
      </c>
      <c r="H2897" s="21">
        <v>2882</v>
      </c>
      <c r="I2897" s="102">
        <v>0.66775127678197244</v>
      </c>
      <c r="J2897" s="103">
        <v>1.4060640611805891E-3</v>
      </c>
      <c r="K2897" s="103"/>
      <c r="L2897" s="103">
        <v>4.2799999999999998E-2</v>
      </c>
      <c r="O2897" s="100"/>
    </row>
    <row r="2898" spans="2:15" x14ac:dyDescent="0.2">
      <c r="B2898" s="1">
        <v>2883</v>
      </c>
      <c r="C2898" s="101">
        <f ca="1"/>
        <v>1.8048897764666949</v>
      </c>
      <c r="D2898" s="101">
        <f t="shared" ca="1" si="174"/>
        <v>0.79399316785470686</v>
      </c>
      <c r="E2898" s="101">
        <f t="shared" ca="1" si="175"/>
        <v>5.7931678547068488E-3</v>
      </c>
      <c r="F2898" s="21">
        <f t="shared" ca="1" si="176"/>
        <v>1</v>
      </c>
      <c r="H2898" s="21">
        <v>2883</v>
      </c>
      <c r="I2898" s="102">
        <v>0.66768154494385756</v>
      </c>
      <c r="J2898" s="103">
        <v>1.2466129819408644E-3</v>
      </c>
      <c r="K2898" s="103"/>
      <c r="L2898" s="103">
        <v>4.02E-2</v>
      </c>
      <c r="O2898" s="100"/>
    </row>
    <row r="2899" spans="2:15" x14ac:dyDescent="0.2">
      <c r="B2899" s="1">
        <v>2884</v>
      </c>
      <c r="C2899" s="101">
        <f ca="1"/>
        <v>-1.9329923040364971</v>
      </c>
      <c r="D2899" s="101">
        <f t="shared" ca="1" si="174"/>
        <v>0.54914647681873552</v>
      </c>
      <c r="E2899" s="101">
        <f t="shared" ca="1" si="175"/>
        <v>0</v>
      </c>
      <c r="F2899" s="21">
        <f t="shared" ca="1" si="176"/>
        <v>0</v>
      </c>
      <c r="H2899" s="21">
        <v>2884</v>
      </c>
      <c r="I2899" s="102">
        <v>0.66773095546305394</v>
      </c>
      <c r="J2899" s="103">
        <v>1.3699661579320412E-3</v>
      </c>
      <c r="K2899" s="103"/>
      <c r="L2899" s="103">
        <v>3.9E-2</v>
      </c>
      <c r="O2899" s="100"/>
    </row>
    <row r="2900" spans="2:15" x14ac:dyDescent="0.2">
      <c r="B2900" s="1">
        <v>2885</v>
      </c>
      <c r="C2900" s="101">
        <f ca="1"/>
        <v>-0.96317033576366873</v>
      </c>
      <c r="D2900" s="101">
        <f t="shared" ca="1" si="174"/>
        <v>0.60427520840889626</v>
      </c>
      <c r="E2900" s="101">
        <f t="shared" ca="1" si="175"/>
        <v>0</v>
      </c>
      <c r="F2900" s="21">
        <f t="shared" ca="1" si="176"/>
        <v>0</v>
      </c>
      <c r="H2900" s="21">
        <v>2885</v>
      </c>
      <c r="I2900" s="102">
        <v>0.66781369331791618</v>
      </c>
      <c r="J2900" s="103">
        <v>1.3583563583686481E-3</v>
      </c>
      <c r="K2900" s="103"/>
      <c r="L2900" s="103">
        <v>4.3799999999999999E-2</v>
      </c>
      <c r="O2900" s="100"/>
    </row>
    <row r="2901" spans="2:15" x14ac:dyDescent="0.2">
      <c r="B2901" s="1">
        <v>2886</v>
      </c>
      <c r="C2901" s="101">
        <f ca="1"/>
        <v>2.4388500844313508E-2</v>
      </c>
      <c r="D2901" s="101">
        <f t="shared" ca="1" si="174"/>
        <v>0.66610269152779611</v>
      </c>
      <c r="E2901" s="101">
        <f t="shared" ca="1" si="175"/>
        <v>0</v>
      </c>
      <c r="F2901" s="21">
        <f t="shared" ca="1" si="176"/>
        <v>0</v>
      </c>
      <c r="H2901" s="21">
        <v>2886</v>
      </c>
      <c r="I2901" s="102">
        <v>0.66777318585399703</v>
      </c>
      <c r="J2901" s="103">
        <v>1.3706396142150964E-3</v>
      </c>
      <c r="K2901" s="103"/>
      <c r="L2901" s="103">
        <v>4.0599999999999997E-2</v>
      </c>
      <c r="O2901" s="100"/>
    </row>
    <row r="2902" spans="2:15" x14ac:dyDescent="0.2">
      <c r="B2902" s="1">
        <v>2887</v>
      </c>
      <c r="C2902" s="101">
        <f ca="1"/>
        <v>0.29764100972877461</v>
      </c>
      <c r="D2902" s="101">
        <f t="shared" ca="1" si="174"/>
        <v>0.68430097302338</v>
      </c>
      <c r="E2902" s="101">
        <f t="shared" ca="1" si="175"/>
        <v>0</v>
      </c>
      <c r="F2902" s="21">
        <f t="shared" ca="1" si="176"/>
        <v>0</v>
      </c>
      <c r="H2902" s="21">
        <v>2887</v>
      </c>
      <c r="I2902" s="102">
        <v>0.66772765597331685</v>
      </c>
      <c r="J2902" s="103">
        <v>1.4424905109295637E-3</v>
      </c>
      <c r="K2902" s="103"/>
      <c r="L2902" s="103">
        <v>4.1000000000000002E-2</v>
      </c>
      <c r="O2902" s="100"/>
    </row>
    <row r="2903" spans="2:15" x14ac:dyDescent="0.2">
      <c r="B2903" s="1">
        <v>2888</v>
      </c>
      <c r="C2903" s="101">
        <f ca="1"/>
        <v>0.62175704452350944</v>
      </c>
      <c r="D2903" s="101">
        <f t="shared" ca="1" si="174"/>
        <v>0.70653241011130707</v>
      </c>
      <c r="E2903" s="101">
        <f t="shared" ca="1" si="175"/>
        <v>0</v>
      </c>
      <c r="F2903" s="21">
        <f t="shared" ca="1" si="176"/>
        <v>0</v>
      </c>
      <c r="H2903" s="21">
        <v>2888</v>
      </c>
      <c r="I2903" s="102">
        <v>0.6677124674605166</v>
      </c>
      <c r="J2903" s="103">
        <v>1.4451513848213434E-3</v>
      </c>
      <c r="K2903" s="103"/>
      <c r="L2903" s="103">
        <v>4.1399999999999999E-2</v>
      </c>
      <c r="O2903" s="100"/>
    </row>
    <row r="2904" spans="2:15" x14ac:dyDescent="0.2">
      <c r="B2904" s="1">
        <v>2889</v>
      </c>
      <c r="C2904" s="101">
        <f ca="1"/>
        <v>0.34838815071661206</v>
      </c>
      <c r="D2904" s="101">
        <f t="shared" ca="1" si="174"/>
        <v>0.68773501088853517</v>
      </c>
      <c r="E2904" s="101">
        <f t="shared" ca="1" si="175"/>
        <v>0</v>
      </c>
      <c r="F2904" s="21">
        <f t="shared" ca="1" si="176"/>
        <v>0</v>
      </c>
      <c r="H2904" s="21">
        <v>2889</v>
      </c>
      <c r="I2904" s="102">
        <v>0.66776745306055507</v>
      </c>
      <c r="J2904" s="103">
        <v>1.4089932564242396E-3</v>
      </c>
      <c r="K2904" s="103"/>
      <c r="L2904" s="103">
        <v>4.3200000000000002E-2</v>
      </c>
      <c r="O2904" s="100"/>
    </row>
    <row r="2905" spans="2:15" x14ac:dyDescent="0.2">
      <c r="B2905" s="1">
        <v>2890</v>
      </c>
      <c r="C2905" s="101">
        <f ca="1"/>
        <v>0.14822397869215756</v>
      </c>
      <c r="D2905" s="101">
        <f t="shared" ca="1" si="174"/>
        <v>0.67428923158818066</v>
      </c>
      <c r="E2905" s="101">
        <f t="shared" ca="1" si="175"/>
        <v>0</v>
      </c>
      <c r="F2905" s="21">
        <f t="shared" ca="1" si="176"/>
        <v>0</v>
      </c>
      <c r="H2905" s="21">
        <v>2890</v>
      </c>
      <c r="I2905" s="102">
        <v>0.66784007221503838</v>
      </c>
      <c r="J2905" s="103">
        <v>1.4524360970124763E-3</v>
      </c>
      <c r="K2905" s="103"/>
      <c r="L2905" s="103">
        <v>4.2000000000000003E-2</v>
      </c>
      <c r="O2905" s="100"/>
    </row>
    <row r="2906" spans="2:15" x14ac:dyDescent="0.2">
      <c r="B2906" s="1">
        <v>2891</v>
      </c>
      <c r="C2906" s="101">
        <f ca="1"/>
        <v>0.11648235035441923</v>
      </c>
      <c r="D2906" s="101">
        <f t="shared" ca="1" si="174"/>
        <v>0.67218130923932295</v>
      </c>
      <c r="E2906" s="101">
        <f t="shared" ca="1" si="175"/>
        <v>0</v>
      </c>
      <c r="F2906" s="21">
        <f t="shared" ca="1" si="176"/>
        <v>0</v>
      </c>
      <c r="H2906" s="21">
        <v>2891</v>
      </c>
      <c r="I2906" s="102">
        <v>0.66764124942969527</v>
      </c>
      <c r="J2906" s="103">
        <v>1.1871271849459794E-3</v>
      </c>
      <c r="K2906" s="103"/>
      <c r="L2906" s="103">
        <v>4.0599999999999997E-2</v>
      </c>
      <c r="O2906" s="100"/>
    </row>
    <row r="2907" spans="2:15" x14ac:dyDescent="0.2">
      <c r="B2907" s="1">
        <v>2892</v>
      </c>
      <c r="C2907" s="101">
        <f ca="1"/>
        <v>1.8650838034249022</v>
      </c>
      <c r="D2907" s="101">
        <f t="shared" ca="1" si="174"/>
        <v>0.79872162045638739</v>
      </c>
      <c r="E2907" s="101">
        <f t="shared" ca="1" si="175"/>
        <v>1.0521620456387382E-2</v>
      </c>
      <c r="F2907" s="21">
        <f t="shared" ca="1" si="176"/>
        <v>1</v>
      </c>
      <c r="H2907" s="21">
        <v>2892</v>
      </c>
      <c r="I2907" s="102">
        <v>0.6679497914477851</v>
      </c>
      <c r="J2907" s="103">
        <v>1.6527043401653922E-3</v>
      </c>
      <c r="K2907" s="103"/>
      <c r="L2907" s="103">
        <v>5.0799999999999998E-2</v>
      </c>
      <c r="O2907" s="100"/>
    </row>
    <row r="2908" spans="2:15" x14ac:dyDescent="0.2">
      <c r="B2908" s="1">
        <v>2893</v>
      </c>
      <c r="C2908" s="101">
        <f ca="1"/>
        <v>0.7658379892505971</v>
      </c>
      <c r="D2908" s="101">
        <f t="shared" ca="1" si="174"/>
        <v>0.71664558135980017</v>
      </c>
      <c r="E2908" s="101">
        <f t="shared" ca="1" si="175"/>
        <v>0</v>
      </c>
      <c r="F2908" s="21">
        <f t="shared" ca="1" si="176"/>
        <v>0</v>
      </c>
      <c r="H2908" s="21">
        <v>2893</v>
      </c>
      <c r="I2908" s="102">
        <v>0.66781304598502977</v>
      </c>
      <c r="J2908" s="103">
        <v>1.5891941396921033E-3</v>
      </c>
      <c r="K2908" s="103"/>
      <c r="L2908" s="103">
        <v>4.3200000000000002E-2</v>
      </c>
      <c r="O2908" s="100"/>
    </row>
    <row r="2909" spans="2:15" x14ac:dyDescent="0.2">
      <c r="B2909" s="1">
        <v>2894</v>
      </c>
      <c r="C2909" s="101">
        <f ca="1"/>
        <v>0.70413150200807706</v>
      </c>
      <c r="D2909" s="101">
        <f t="shared" ca="1" si="174"/>
        <v>0.71229674477369953</v>
      </c>
      <c r="E2909" s="101">
        <f t="shared" ca="1" si="175"/>
        <v>0</v>
      </c>
      <c r="F2909" s="21">
        <f t="shared" ca="1" si="176"/>
        <v>0</v>
      </c>
      <c r="H2909" s="21">
        <v>2894</v>
      </c>
      <c r="I2909" s="102">
        <v>0.66762376622867703</v>
      </c>
      <c r="J2909" s="103">
        <v>1.3287825227043094E-3</v>
      </c>
      <c r="K2909" s="103"/>
      <c r="L2909" s="103">
        <v>3.9600000000000003E-2</v>
      </c>
      <c r="O2909" s="100"/>
    </row>
    <row r="2910" spans="2:15" x14ac:dyDescent="0.2">
      <c r="B2910" s="1">
        <v>2895</v>
      </c>
      <c r="C2910" s="101">
        <f ca="1"/>
        <v>0.51516566827915744</v>
      </c>
      <c r="D2910" s="101">
        <f t="shared" ca="1" si="174"/>
        <v>0.69914262337856825</v>
      </c>
      <c r="E2910" s="101">
        <f t="shared" ca="1" si="175"/>
        <v>0</v>
      </c>
      <c r="F2910" s="21">
        <f t="shared" ca="1" si="176"/>
        <v>0</v>
      </c>
      <c r="H2910" s="21">
        <v>2895</v>
      </c>
      <c r="I2910" s="102">
        <v>0.66772860134536272</v>
      </c>
      <c r="J2910" s="103">
        <v>1.3605567251147922E-3</v>
      </c>
      <c r="K2910" s="103"/>
      <c r="L2910" s="103">
        <v>4.1399999999999999E-2</v>
      </c>
      <c r="O2910" s="100"/>
    </row>
    <row r="2911" spans="2:15" x14ac:dyDescent="0.2">
      <c r="B2911" s="1">
        <v>2896</v>
      </c>
      <c r="C2911" s="101">
        <f ca="1"/>
        <v>6.0564978400200392E-2</v>
      </c>
      <c r="D2911" s="101">
        <f t="shared" ca="1" si="174"/>
        <v>0.66848392230236164</v>
      </c>
      <c r="E2911" s="101">
        <f t="shared" ca="1" si="175"/>
        <v>0</v>
      </c>
      <c r="F2911" s="21">
        <f t="shared" ca="1" si="176"/>
        <v>0</v>
      </c>
      <c r="H2911" s="21">
        <v>2896</v>
      </c>
      <c r="I2911" s="102">
        <v>0.66767887152136696</v>
      </c>
      <c r="J2911" s="103">
        <v>1.4669107285463494E-3</v>
      </c>
      <c r="K2911" s="103"/>
      <c r="L2911" s="103">
        <v>4.2799999999999998E-2</v>
      </c>
      <c r="O2911" s="100"/>
    </row>
    <row r="2912" spans="2:15" x14ac:dyDescent="0.2">
      <c r="B2912" s="1">
        <v>2897</v>
      </c>
      <c r="C2912" s="101">
        <f ca="1"/>
        <v>0.12975641819541564</v>
      </c>
      <c r="D2912" s="101">
        <f t="shared" ca="1" si="174"/>
        <v>0.67306202085298061</v>
      </c>
      <c r="E2912" s="101">
        <f t="shared" ca="1" si="175"/>
        <v>0</v>
      </c>
      <c r="F2912" s="21">
        <f t="shared" ca="1" si="176"/>
        <v>0</v>
      </c>
      <c r="H2912" s="21">
        <v>2897</v>
      </c>
      <c r="I2912" s="102">
        <v>0.66786066389155563</v>
      </c>
      <c r="J2912" s="103">
        <v>1.4838743341979159E-3</v>
      </c>
      <c r="K2912" s="103"/>
      <c r="L2912" s="103">
        <v>4.4999999999999998E-2</v>
      </c>
      <c r="O2912" s="100"/>
    </row>
    <row r="2913" spans="2:15" x14ac:dyDescent="0.2">
      <c r="B2913" s="1">
        <v>2898</v>
      </c>
      <c r="C2913" s="101">
        <f ca="1"/>
        <v>0.90413032449408826</v>
      </c>
      <c r="D2913" s="101">
        <f t="shared" ca="1" si="174"/>
        <v>0.72648857002454936</v>
      </c>
      <c r="E2913" s="101">
        <f t="shared" ca="1" si="175"/>
        <v>0</v>
      </c>
      <c r="F2913" s="21">
        <f t="shared" ca="1" si="176"/>
        <v>0</v>
      </c>
      <c r="H2913" s="21">
        <v>2898</v>
      </c>
      <c r="I2913" s="102">
        <v>0.66778532481065078</v>
      </c>
      <c r="J2913" s="103">
        <v>1.4854497864653115E-3</v>
      </c>
      <c r="K2913" s="103"/>
      <c r="L2913" s="103">
        <v>4.1599999999999998E-2</v>
      </c>
      <c r="O2913" s="100"/>
    </row>
    <row r="2914" spans="2:15" x14ac:dyDescent="0.2">
      <c r="B2914" s="1">
        <v>2899</v>
      </c>
      <c r="C2914" s="101">
        <f ca="1"/>
        <v>2.0597809635910038E-2</v>
      </c>
      <c r="D2914" s="101">
        <f t="shared" ca="1" si="174"/>
        <v>0.66585366976432359</v>
      </c>
      <c r="E2914" s="101">
        <f t="shared" ca="1" si="175"/>
        <v>0</v>
      </c>
      <c r="F2914" s="21">
        <f t="shared" ca="1" si="176"/>
        <v>0</v>
      </c>
      <c r="H2914" s="21">
        <v>2899</v>
      </c>
      <c r="I2914" s="102">
        <v>0.66762737957909712</v>
      </c>
      <c r="J2914" s="103">
        <v>1.2749724436103851E-3</v>
      </c>
      <c r="K2914" s="103"/>
      <c r="L2914" s="103">
        <v>4.1000000000000002E-2</v>
      </c>
      <c r="O2914" s="100"/>
    </row>
    <row r="2915" spans="2:15" x14ac:dyDescent="0.2">
      <c r="B2915" s="1">
        <v>2900</v>
      </c>
      <c r="C2915" s="101">
        <f ca="1"/>
        <v>-0.8474727457009098</v>
      </c>
      <c r="D2915" s="101">
        <f t="shared" ca="1" si="174"/>
        <v>0.61121104023071104</v>
      </c>
      <c r="E2915" s="101">
        <f t="shared" ca="1" si="175"/>
        <v>0</v>
      </c>
      <c r="F2915" s="21">
        <f t="shared" ca="1" si="176"/>
        <v>0</v>
      </c>
      <c r="H2915" s="21">
        <v>2900</v>
      </c>
      <c r="I2915" s="102">
        <v>0.66758010963967584</v>
      </c>
      <c r="J2915" s="103">
        <v>1.1445625343991734E-3</v>
      </c>
      <c r="K2915" s="103"/>
      <c r="L2915" s="103">
        <v>3.9399999999999998E-2</v>
      </c>
      <c r="O2915" s="100"/>
    </row>
    <row r="2916" spans="2:15" x14ac:dyDescent="0.2">
      <c r="B2916" s="1">
        <v>2901</v>
      </c>
      <c r="C2916" s="101">
        <f ca="1"/>
        <v>7.5881219285776874E-2</v>
      </c>
      <c r="D2916" s="101">
        <f t="shared" ca="1" si="174"/>
        <v>0.66949464068762643</v>
      </c>
      <c r="E2916" s="101">
        <f t="shared" ca="1" si="175"/>
        <v>0</v>
      </c>
      <c r="F2916" s="21">
        <f t="shared" ca="1" si="176"/>
        <v>0</v>
      </c>
      <c r="H2916" s="21">
        <v>2901</v>
      </c>
      <c r="I2916" s="102">
        <v>0.66769866330832151</v>
      </c>
      <c r="J2916" s="103">
        <v>1.3223089761863227E-3</v>
      </c>
      <c r="K2916" s="103"/>
      <c r="L2916" s="103">
        <v>4.2000000000000003E-2</v>
      </c>
      <c r="O2916" s="100"/>
    </row>
    <row r="2917" spans="2:15" x14ac:dyDescent="0.2">
      <c r="B2917" s="1">
        <v>2902</v>
      </c>
      <c r="C2917" s="101">
        <f ca="1"/>
        <v>-0.89196452770364143</v>
      </c>
      <c r="D2917" s="101">
        <f t="shared" ca="1" si="174"/>
        <v>0.6085344786499578</v>
      </c>
      <c r="E2917" s="101">
        <f t="shared" ca="1" si="175"/>
        <v>0</v>
      </c>
      <c r="F2917" s="21">
        <f t="shared" ca="1" si="176"/>
        <v>0</v>
      </c>
      <c r="H2917" s="21">
        <v>2902</v>
      </c>
      <c r="I2917" s="102">
        <v>0.66765558296438854</v>
      </c>
      <c r="J2917" s="103">
        <v>1.2558199876555936E-3</v>
      </c>
      <c r="K2917" s="103"/>
      <c r="L2917" s="103">
        <v>3.9199999999999999E-2</v>
      </c>
      <c r="O2917" s="100"/>
    </row>
    <row r="2918" spans="2:15" x14ac:dyDescent="0.2">
      <c r="B2918" s="1">
        <v>2903</v>
      </c>
      <c r="C2918" s="101">
        <f ca="1"/>
        <v>-0.4613346827366378</v>
      </c>
      <c r="D2918" s="101">
        <f t="shared" ca="1" si="174"/>
        <v>0.63494061278980529</v>
      </c>
      <c r="E2918" s="101">
        <f t="shared" ca="1" si="175"/>
        <v>0</v>
      </c>
      <c r="F2918" s="21">
        <f t="shared" ca="1" si="176"/>
        <v>0</v>
      </c>
      <c r="H2918" s="21">
        <v>2903</v>
      </c>
      <c r="I2918" s="102">
        <v>0.66760077707161192</v>
      </c>
      <c r="J2918" s="103">
        <v>1.1864361845451905E-3</v>
      </c>
      <c r="K2918" s="103"/>
      <c r="L2918" s="103">
        <v>3.4799999999999998E-2</v>
      </c>
      <c r="O2918" s="100"/>
    </row>
    <row r="2919" spans="2:15" x14ac:dyDescent="0.2">
      <c r="B2919" s="1">
        <v>2904</v>
      </c>
      <c r="C2919" s="101">
        <f ca="1"/>
        <v>0.79821213388995838</v>
      </c>
      <c r="D2919" s="101">
        <f t="shared" ca="1" si="174"/>
        <v>0.71893779588159901</v>
      </c>
      <c r="E2919" s="101">
        <f t="shared" ca="1" si="175"/>
        <v>0</v>
      </c>
      <c r="F2919" s="21">
        <f t="shared" ca="1" si="176"/>
        <v>0</v>
      </c>
      <c r="H2919" s="21">
        <v>2904</v>
      </c>
      <c r="I2919" s="102">
        <v>0.66771730279627428</v>
      </c>
      <c r="J2919" s="103">
        <v>1.2927840247163953E-3</v>
      </c>
      <c r="K2919" s="103"/>
      <c r="L2919" s="103">
        <v>4.0399999999999998E-2</v>
      </c>
      <c r="O2919" s="100"/>
    </row>
    <row r="2920" spans="2:15" x14ac:dyDescent="0.2">
      <c r="B2920" s="1">
        <v>2905</v>
      </c>
      <c r="C2920" s="101">
        <f ca="1"/>
        <v>0.42449022891050364</v>
      </c>
      <c r="D2920" s="101">
        <f t="shared" ca="1" si="174"/>
        <v>0.69291713313559278</v>
      </c>
      <c r="E2920" s="101">
        <f t="shared" ca="1" si="175"/>
        <v>0</v>
      </c>
      <c r="F2920" s="21">
        <f t="shared" ca="1" si="176"/>
        <v>0</v>
      </c>
      <c r="H2920" s="21">
        <v>2905</v>
      </c>
      <c r="I2920" s="102">
        <v>0.66770255195116701</v>
      </c>
      <c r="J2920" s="103">
        <v>1.3340645830941362E-3</v>
      </c>
      <c r="K2920" s="103"/>
      <c r="L2920" s="103">
        <v>4.1000000000000002E-2</v>
      </c>
      <c r="O2920" s="100"/>
    </row>
    <row r="2921" spans="2:15" x14ac:dyDescent="0.2">
      <c r="B2921" s="1">
        <v>2906</v>
      </c>
      <c r="C2921" s="101">
        <f ca="1"/>
        <v>1.0033887900433884</v>
      </c>
      <c r="D2921" s="101">
        <f t="shared" ca="1" si="174"/>
        <v>0.73363654566900516</v>
      </c>
      <c r="E2921" s="101">
        <f t="shared" ca="1" si="175"/>
        <v>0</v>
      </c>
      <c r="F2921" s="21">
        <f t="shared" ca="1" si="176"/>
        <v>0</v>
      </c>
      <c r="H2921" s="21">
        <v>2906</v>
      </c>
      <c r="I2921" s="102">
        <v>0.66768058606203973</v>
      </c>
      <c r="J2921" s="103">
        <v>1.24477168083444E-3</v>
      </c>
      <c r="K2921" s="103"/>
      <c r="L2921" s="103">
        <v>3.9E-2</v>
      </c>
      <c r="O2921" s="100"/>
    </row>
    <row r="2922" spans="2:15" x14ac:dyDescent="0.2">
      <c r="B2922" s="1">
        <v>2907</v>
      </c>
      <c r="C2922" s="101">
        <f ca="1"/>
        <v>-0.65036564901518001</v>
      </c>
      <c r="D2922" s="101">
        <f t="shared" ca="1" si="174"/>
        <v>0.62321103801195477</v>
      </c>
      <c r="E2922" s="101">
        <f t="shared" ca="1" si="175"/>
        <v>0</v>
      </c>
      <c r="F2922" s="21">
        <f t="shared" ca="1" si="176"/>
        <v>0</v>
      </c>
      <c r="H2922" s="21">
        <v>2907</v>
      </c>
      <c r="I2922" s="102">
        <v>0.66779609512476268</v>
      </c>
      <c r="J2922" s="103">
        <v>1.3589766880347199E-3</v>
      </c>
      <c r="K2922" s="103"/>
      <c r="L2922" s="103">
        <v>4.1399999999999999E-2</v>
      </c>
      <c r="O2922" s="100"/>
    </row>
    <row r="2923" spans="2:15" x14ac:dyDescent="0.2">
      <c r="B2923" s="1">
        <v>2908</v>
      </c>
      <c r="C2923" s="101">
        <f ca="1"/>
        <v>-1.1887296444697366</v>
      </c>
      <c r="D2923" s="101">
        <f t="shared" ca="1" si="174"/>
        <v>0.59097887246236158</v>
      </c>
      <c r="E2923" s="101">
        <f t="shared" ca="1" si="175"/>
        <v>0</v>
      </c>
      <c r="F2923" s="21">
        <f t="shared" ca="1" si="176"/>
        <v>0</v>
      </c>
      <c r="H2923" s="21">
        <v>2908</v>
      </c>
      <c r="I2923" s="102">
        <v>0.66779971414088468</v>
      </c>
      <c r="J2923" s="103">
        <v>1.5091148731012022E-3</v>
      </c>
      <c r="K2923" s="103"/>
      <c r="L2923" s="103">
        <v>4.4200000000000003E-2</v>
      </c>
      <c r="O2923" s="100"/>
    </row>
    <row r="2924" spans="2:15" x14ac:dyDescent="0.2">
      <c r="B2924" s="1">
        <v>2909</v>
      </c>
      <c r="C2924" s="101">
        <f ca="1"/>
        <v>-0.60019103271232799</v>
      </c>
      <c r="D2924" s="101">
        <f t="shared" ca="1" si="174"/>
        <v>0.62630313612333166</v>
      </c>
      <c r="E2924" s="101">
        <f t="shared" ca="1" si="175"/>
        <v>0</v>
      </c>
      <c r="F2924" s="21">
        <f t="shared" ca="1" si="176"/>
        <v>0</v>
      </c>
      <c r="H2924" s="21">
        <v>2909</v>
      </c>
      <c r="I2924" s="102">
        <v>0.66770557880219128</v>
      </c>
      <c r="J2924" s="103">
        <v>1.2236826637183511E-3</v>
      </c>
      <c r="K2924" s="103"/>
      <c r="L2924" s="103">
        <v>3.8800000000000001E-2</v>
      </c>
      <c r="O2924" s="100"/>
    </row>
    <row r="2925" spans="2:15" x14ac:dyDescent="0.2">
      <c r="B2925" s="1">
        <v>2910</v>
      </c>
      <c r="C2925" s="101">
        <f ca="1"/>
        <v>0.23837271624971246</v>
      </c>
      <c r="D2925" s="101">
        <f t="shared" ca="1" si="174"/>
        <v>0.68031201385501683</v>
      </c>
      <c r="E2925" s="101">
        <f t="shared" ca="1" si="175"/>
        <v>0</v>
      </c>
      <c r="F2925" s="21">
        <f t="shared" ca="1" si="176"/>
        <v>0</v>
      </c>
      <c r="H2925" s="21">
        <v>2910</v>
      </c>
      <c r="I2925" s="102">
        <v>0.6678500218468838</v>
      </c>
      <c r="J2925" s="103">
        <v>1.5211946999605054E-3</v>
      </c>
      <c r="K2925" s="103"/>
      <c r="L2925" s="103">
        <v>4.7399999999999998E-2</v>
      </c>
      <c r="O2925" s="100"/>
    </row>
    <row r="2926" spans="2:15" x14ac:dyDescent="0.2">
      <c r="B2926" s="1">
        <v>2911</v>
      </c>
      <c r="C2926" s="101">
        <f ca="1"/>
        <v>0.86338922689961572</v>
      </c>
      <c r="D2926" s="101">
        <f t="shared" ca="1" si="174"/>
        <v>0.72357484850132181</v>
      </c>
      <c r="E2926" s="101">
        <f t="shared" ca="1" si="175"/>
        <v>0</v>
      </c>
      <c r="F2926" s="21">
        <f t="shared" ca="1" si="176"/>
        <v>0</v>
      </c>
      <c r="H2926" s="21">
        <v>2911</v>
      </c>
      <c r="I2926" s="102">
        <v>0.66787029683276911</v>
      </c>
      <c r="J2926" s="103">
        <v>1.4521140756174656E-3</v>
      </c>
      <c r="K2926" s="103"/>
      <c r="L2926" s="103">
        <v>4.7600000000000003E-2</v>
      </c>
      <c r="O2926" s="100"/>
    </row>
    <row r="2927" spans="2:15" x14ac:dyDescent="0.2">
      <c r="B2927" s="1">
        <v>2912</v>
      </c>
      <c r="C2927" s="101">
        <f ca="1"/>
        <v>-1.741498285366472</v>
      </c>
      <c r="D2927" s="101">
        <f t="shared" ca="1" si="174"/>
        <v>0.5596180158291556</v>
      </c>
      <c r="E2927" s="101">
        <f t="shared" ca="1" si="175"/>
        <v>0</v>
      </c>
      <c r="F2927" s="21">
        <f t="shared" ca="1" si="176"/>
        <v>0</v>
      </c>
      <c r="H2927" s="21">
        <v>2912</v>
      </c>
      <c r="I2927" s="102">
        <v>0.66782675309130135</v>
      </c>
      <c r="J2927" s="103">
        <v>1.3691922692632183E-3</v>
      </c>
      <c r="K2927" s="103"/>
      <c r="L2927" s="103">
        <v>4.4200000000000003E-2</v>
      </c>
      <c r="O2927" s="100"/>
    </row>
    <row r="2928" spans="2:15" x14ac:dyDescent="0.2">
      <c r="B2928" s="1">
        <v>2913</v>
      </c>
      <c r="C2928" s="101">
        <f ca="1"/>
        <v>-0.68824090335019517</v>
      </c>
      <c r="D2928" s="101">
        <f t="shared" ca="1" si="174"/>
        <v>0.62088702491302594</v>
      </c>
      <c r="E2928" s="101">
        <f t="shared" ca="1" si="175"/>
        <v>0</v>
      </c>
      <c r="F2928" s="21">
        <f t="shared" ca="1" si="176"/>
        <v>0</v>
      </c>
      <c r="H2928" s="21">
        <v>2913</v>
      </c>
      <c r="I2928" s="102">
        <v>0.66778207743156581</v>
      </c>
      <c r="J2928" s="103">
        <v>1.4662030984691492E-3</v>
      </c>
      <c r="K2928" s="103"/>
      <c r="L2928" s="103">
        <v>4.3799999999999999E-2</v>
      </c>
      <c r="O2928" s="100"/>
    </row>
    <row r="2929" spans="2:15" x14ac:dyDescent="0.2">
      <c r="B2929" s="1">
        <v>2914</v>
      </c>
      <c r="C2929" s="101">
        <f ca="1"/>
        <v>1.7442668957739564</v>
      </c>
      <c r="D2929" s="101">
        <f t="shared" ca="1" si="174"/>
        <v>0.78925931930728044</v>
      </c>
      <c r="E2929" s="101">
        <f t="shared" ca="1" si="175"/>
        <v>1.0593193072804263E-3</v>
      </c>
      <c r="F2929" s="21">
        <f t="shared" ca="1" si="176"/>
        <v>1</v>
      </c>
      <c r="H2929" s="21">
        <v>2914</v>
      </c>
      <c r="I2929" s="102">
        <v>0.66781570305423932</v>
      </c>
      <c r="J2929" s="103">
        <v>1.5799135544777155E-3</v>
      </c>
      <c r="K2929" s="103"/>
      <c r="L2929" s="103">
        <v>4.3400000000000001E-2</v>
      </c>
      <c r="O2929" s="100"/>
    </row>
    <row r="2930" spans="2:15" x14ac:dyDescent="0.2">
      <c r="B2930" s="1">
        <v>2915</v>
      </c>
      <c r="C2930" s="101">
        <f ca="1"/>
        <v>-0.65998206367099277</v>
      </c>
      <c r="D2930" s="101">
        <f t="shared" ca="1" si="174"/>
        <v>0.62262015533927162</v>
      </c>
      <c r="E2930" s="101">
        <f t="shared" ca="1" si="175"/>
        <v>0</v>
      </c>
      <c r="F2930" s="21">
        <f t="shared" ca="1" si="176"/>
        <v>0</v>
      </c>
      <c r="H2930" s="21">
        <v>2915</v>
      </c>
      <c r="I2930" s="102">
        <v>0.66786841844620171</v>
      </c>
      <c r="J2930" s="103">
        <v>1.4615915204448347E-3</v>
      </c>
      <c r="K2930" s="103"/>
      <c r="L2930" s="103">
        <v>4.6800000000000001E-2</v>
      </c>
      <c r="O2930" s="100"/>
    </row>
    <row r="2931" spans="2:15" x14ac:dyDescent="0.2">
      <c r="B2931" s="1">
        <v>2916</v>
      </c>
      <c r="C2931" s="101">
        <f ca="1"/>
        <v>1.2426012531145625</v>
      </c>
      <c r="D2931" s="101">
        <f t="shared" ca="1" si="174"/>
        <v>0.75115345948795864</v>
      </c>
      <c r="E2931" s="101">
        <f t="shared" ca="1" si="175"/>
        <v>0</v>
      </c>
      <c r="F2931" s="21">
        <f t="shared" ca="1" si="176"/>
        <v>0</v>
      </c>
      <c r="H2931" s="21">
        <v>2916</v>
      </c>
      <c r="I2931" s="102">
        <v>0.66781987396554054</v>
      </c>
      <c r="J2931" s="103">
        <v>1.3800815539689313E-3</v>
      </c>
      <c r="K2931" s="103"/>
      <c r="L2931" s="103">
        <v>4.5400000000000003E-2</v>
      </c>
      <c r="O2931" s="100"/>
    </row>
    <row r="2932" spans="2:15" x14ac:dyDescent="0.2">
      <c r="B2932" s="1">
        <v>2917</v>
      </c>
      <c r="C2932" s="101">
        <f ca="1"/>
        <v>-1.739516742457127</v>
      </c>
      <c r="D2932" s="101">
        <f t="shared" ca="1" si="174"/>
        <v>0.55972741058766873</v>
      </c>
      <c r="E2932" s="101">
        <f t="shared" ca="1" si="175"/>
        <v>0</v>
      </c>
      <c r="F2932" s="21">
        <f t="shared" ca="1" si="176"/>
        <v>0</v>
      </c>
      <c r="H2932" s="21">
        <v>2917</v>
      </c>
      <c r="I2932" s="102">
        <v>0.66778752461844304</v>
      </c>
      <c r="J2932" s="103">
        <v>1.4165776172628689E-3</v>
      </c>
      <c r="K2932" s="103"/>
      <c r="L2932" s="103">
        <v>4.3799999999999999E-2</v>
      </c>
      <c r="O2932" s="100"/>
    </row>
    <row r="2933" spans="2:15" x14ac:dyDescent="0.2">
      <c r="B2933" s="1">
        <v>2918</v>
      </c>
      <c r="C2933" s="101">
        <f ca="1"/>
        <v>0.16363028753899564</v>
      </c>
      <c r="D2933" s="101">
        <f t="shared" ca="1" si="174"/>
        <v>0.6753147271017047</v>
      </c>
      <c r="E2933" s="101">
        <f t="shared" ca="1" si="175"/>
        <v>0</v>
      </c>
      <c r="F2933" s="21">
        <f t="shared" ca="1" si="176"/>
        <v>0</v>
      </c>
      <c r="H2933" s="21">
        <v>2918</v>
      </c>
      <c r="I2933" s="102">
        <v>0.66781007696028849</v>
      </c>
      <c r="J2933" s="103">
        <v>1.536658050363062E-3</v>
      </c>
      <c r="K2933" s="103"/>
      <c r="L2933" s="103">
        <v>4.4600000000000001E-2</v>
      </c>
      <c r="O2933" s="100"/>
    </row>
    <row r="2934" spans="2:15" x14ac:dyDescent="0.2">
      <c r="B2934" s="1">
        <v>2919</v>
      </c>
      <c r="C2934" s="101">
        <f ca="1"/>
        <v>9.4973285184562536E-2</v>
      </c>
      <c r="D2934" s="101">
        <f t="shared" ca="1" si="174"/>
        <v>0.67075666563659453</v>
      </c>
      <c r="E2934" s="101">
        <f t="shared" ca="1" si="175"/>
        <v>0</v>
      </c>
      <c r="F2934" s="21">
        <f t="shared" ca="1" si="176"/>
        <v>0</v>
      </c>
      <c r="H2934" s="21">
        <v>2919</v>
      </c>
      <c r="I2934" s="102">
        <v>0.66766299857910594</v>
      </c>
      <c r="J2934" s="103">
        <v>1.2647019476335053E-3</v>
      </c>
      <c r="K2934" s="103"/>
      <c r="L2934" s="103">
        <v>4.2799999999999998E-2</v>
      </c>
      <c r="O2934" s="100"/>
    </row>
    <row r="2935" spans="2:15" x14ac:dyDescent="0.2">
      <c r="B2935" s="1">
        <v>2920</v>
      </c>
      <c r="C2935" s="101">
        <f ca="1"/>
        <v>0.47307759548290734</v>
      </c>
      <c r="D2935" s="101">
        <f t="shared" ca="1" si="174"/>
        <v>0.69624606344689821</v>
      </c>
      <c r="E2935" s="101">
        <f t="shared" ca="1" si="175"/>
        <v>0</v>
      </c>
      <c r="F2935" s="21">
        <f t="shared" ca="1" si="176"/>
        <v>0</v>
      </c>
      <c r="H2935" s="21">
        <v>2920</v>
      </c>
      <c r="I2935" s="102">
        <v>0.66777742868476708</v>
      </c>
      <c r="J2935" s="103">
        <v>1.3334125530586713E-3</v>
      </c>
      <c r="K2935" s="103"/>
      <c r="L2935" s="103">
        <v>4.2599999999999999E-2</v>
      </c>
      <c r="O2935" s="100"/>
    </row>
    <row r="2936" spans="2:15" x14ac:dyDescent="0.2">
      <c r="B2936" s="1">
        <v>2921</v>
      </c>
      <c r="C2936" s="101">
        <f ca="1"/>
        <v>-0.17695207871470964</v>
      </c>
      <c r="D2936" s="101">
        <f t="shared" ca="1" si="174"/>
        <v>0.65300406112581211</v>
      </c>
      <c r="E2936" s="101">
        <f t="shared" ca="1" si="175"/>
        <v>0</v>
      </c>
      <c r="F2936" s="21">
        <f t="shared" ca="1" si="176"/>
        <v>0</v>
      </c>
      <c r="H2936" s="21">
        <v>2921</v>
      </c>
      <c r="I2936" s="102">
        <v>0.6677199309503915</v>
      </c>
      <c r="J2936" s="103">
        <v>1.3629215736408412E-3</v>
      </c>
      <c r="K2936" s="103"/>
      <c r="L2936" s="103">
        <v>4.1000000000000002E-2</v>
      </c>
      <c r="O2936" s="100"/>
    </row>
    <row r="2937" spans="2:15" x14ac:dyDescent="0.2">
      <c r="B2937" s="1">
        <v>2922</v>
      </c>
      <c r="C2937" s="101">
        <f ca="1"/>
        <v>1.2693631571001813</v>
      </c>
      <c r="D2937" s="101">
        <f t="shared" ca="1" si="174"/>
        <v>0.75313899627787029</v>
      </c>
      <c r="E2937" s="101">
        <f t="shared" ca="1" si="175"/>
        <v>0</v>
      </c>
      <c r="F2937" s="21">
        <f t="shared" ca="1" si="176"/>
        <v>0</v>
      </c>
      <c r="H2937" s="21">
        <v>2922</v>
      </c>
      <c r="I2937" s="102">
        <v>0.66788310701580744</v>
      </c>
      <c r="J2937" s="103">
        <v>1.417834012379385E-3</v>
      </c>
      <c r="K2937" s="103"/>
      <c r="L2937" s="103">
        <v>4.8599999999999997E-2</v>
      </c>
      <c r="O2937" s="100"/>
    </row>
    <row r="2938" spans="2:15" x14ac:dyDescent="0.2">
      <c r="B2938" s="1">
        <v>2923</v>
      </c>
      <c r="C2938" s="101">
        <f ca="1"/>
        <v>0.27725443414927253</v>
      </c>
      <c r="D2938" s="101">
        <f t="shared" ca="1" si="174"/>
        <v>0.68292625464472334</v>
      </c>
      <c r="E2938" s="101">
        <f t="shared" ca="1" si="175"/>
        <v>0</v>
      </c>
      <c r="F2938" s="21">
        <f t="shared" ca="1" si="176"/>
        <v>0</v>
      </c>
      <c r="H2938" s="21">
        <v>2923</v>
      </c>
      <c r="I2938" s="102">
        <v>0.66781351027193936</v>
      </c>
      <c r="J2938" s="103">
        <v>1.4049109587996539E-3</v>
      </c>
      <c r="K2938" s="103"/>
      <c r="L2938" s="103">
        <v>4.2999999999999997E-2</v>
      </c>
      <c r="O2938" s="100"/>
    </row>
    <row r="2939" spans="2:15" x14ac:dyDescent="0.2">
      <c r="B2939" s="1">
        <v>2924</v>
      </c>
      <c r="C2939" s="101">
        <f ca="1"/>
        <v>-0.59788957408056431</v>
      </c>
      <c r="D2939" s="101">
        <f t="shared" ca="1" si="174"/>
        <v>0.62644533493184662</v>
      </c>
      <c r="E2939" s="101">
        <f t="shared" ca="1" si="175"/>
        <v>0</v>
      </c>
      <c r="F2939" s="21">
        <f t="shared" ca="1" si="176"/>
        <v>0</v>
      </c>
      <c r="H2939" s="21">
        <v>2924</v>
      </c>
      <c r="I2939" s="102">
        <v>0.66775162040540703</v>
      </c>
      <c r="J2939" s="103">
        <v>1.4067495417521302E-3</v>
      </c>
      <c r="K2939" s="103"/>
      <c r="L2939" s="103">
        <v>4.3200000000000002E-2</v>
      </c>
      <c r="O2939" s="100"/>
    </row>
    <row r="2940" spans="2:15" x14ac:dyDescent="0.2">
      <c r="B2940" s="1">
        <v>2925</v>
      </c>
      <c r="C2940" s="101">
        <f ca="1"/>
        <v>-3.8684475410129884E-2</v>
      </c>
      <c r="D2940" s="101">
        <f t="shared" ca="1" si="174"/>
        <v>0.66197133085886717</v>
      </c>
      <c r="E2940" s="101">
        <f t="shared" ca="1" si="175"/>
        <v>0</v>
      </c>
      <c r="F2940" s="21">
        <f t="shared" ca="1" si="176"/>
        <v>0</v>
      </c>
      <c r="H2940" s="21">
        <v>2925</v>
      </c>
      <c r="I2940" s="102">
        <v>0.66787075324403289</v>
      </c>
      <c r="J2940" s="103">
        <v>1.5002201188398592E-3</v>
      </c>
      <c r="K2940" s="103"/>
      <c r="L2940" s="103">
        <v>4.5400000000000003E-2</v>
      </c>
      <c r="O2940" s="100"/>
    </row>
    <row r="2941" spans="2:15" x14ac:dyDescent="0.2">
      <c r="B2941" s="1">
        <v>2926</v>
      </c>
      <c r="C2941" s="101">
        <f ca="1"/>
        <v>-0.75920209677008643</v>
      </c>
      <c r="D2941" s="101">
        <f t="shared" ca="1" si="174"/>
        <v>0.61655617318482503</v>
      </c>
      <c r="E2941" s="101">
        <f t="shared" ca="1" si="175"/>
        <v>0</v>
      </c>
      <c r="F2941" s="21">
        <f t="shared" ca="1" si="176"/>
        <v>0</v>
      </c>
      <c r="H2941" s="21">
        <v>2926</v>
      </c>
      <c r="I2941" s="102">
        <v>0.66789274882899829</v>
      </c>
      <c r="J2941" s="103">
        <v>1.4479244378798465E-3</v>
      </c>
      <c r="K2941" s="103"/>
      <c r="L2941" s="103">
        <v>4.3200000000000002E-2</v>
      </c>
      <c r="O2941" s="100"/>
    </row>
    <row r="2942" spans="2:15" x14ac:dyDescent="0.2">
      <c r="B2942" s="1">
        <v>2927</v>
      </c>
      <c r="C2942" s="101">
        <f ca="1"/>
        <v>0.21231012356363491</v>
      </c>
      <c r="D2942" s="101">
        <f t="shared" ca="1" si="174"/>
        <v>0.67856528085686807</v>
      </c>
      <c r="E2942" s="101">
        <f t="shared" ca="1" si="175"/>
        <v>0</v>
      </c>
      <c r="F2942" s="21">
        <f t="shared" ca="1" si="176"/>
        <v>0</v>
      </c>
      <c r="H2942" s="21">
        <v>2927</v>
      </c>
      <c r="I2942" s="102">
        <v>0.66776964994770349</v>
      </c>
      <c r="J2942" s="103">
        <v>1.3877224734444641E-3</v>
      </c>
      <c r="K2942" s="103"/>
      <c r="L2942" s="103">
        <v>4.36E-2</v>
      </c>
      <c r="O2942" s="100"/>
    </row>
    <row r="2943" spans="2:15" x14ac:dyDescent="0.2">
      <c r="B2943" s="1">
        <v>2928</v>
      </c>
      <c r="C2943" s="101">
        <f ca="1"/>
        <v>-2.1206824065481968</v>
      </c>
      <c r="D2943" s="101">
        <f t="shared" ca="1" si="174"/>
        <v>0.53907311549024817</v>
      </c>
      <c r="E2943" s="101">
        <f t="shared" ca="1" si="175"/>
        <v>0</v>
      </c>
      <c r="F2943" s="21">
        <f t="shared" ca="1" si="176"/>
        <v>0</v>
      </c>
      <c r="H2943" s="21">
        <v>2928</v>
      </c>
      <c r="I2943" s="102">
        <v>0.66780815759903145</v>
      </c>
      <c r="J2943" s="103">
        <v>1.4610422538080519E-3</v>
      </c>
      <c r="K2943" s="103"/>
      <c r="L2943" s="103">
        <v>4.36E-2</v>
      </c>
      <c r="O2943" s="100"/>
    </row>
    <row r="2944" spans="2:15" x14ac:dyDescent="0.2">
      <c r="B2944" s="1">
        <v>2929</v>
      </c>
      <c r="C2944" s="101">
        <f ca="1"/>
        <v>1.6055539796535663</v>
      </c>
      <c r="D2944" s="101">
        <f t="shared" ca="1" si="174"/>
        <v>0.77853356804679308</v>
      </c>
      <c r="E2944" s="101">
        <f t="shared" ca="1" si="175"/>
        <v>0</v>
      </c>
      <c r="F2944" s="21">
        <f t="shared" ca="1" si="176"/>
        <v>0</v>
      </c>
      <c r="H2944" s="21">
        <v>2929</v>
      </c>
      <c r="I2944" s="102">
        <v>0.66778982742217763</v>
      </c>
      <c r="J2944" s="103">
        <v>1.3392902101374031E-3</v>
      </c>
      <c r="K2944" s="103"/>
      <c r="L2944" s="103">
        <v>4.2599999999999999E-2</v>
      </c>
      <c r="O2944" s="100"/>
    </row>
    <row r="2945" spans="2:15" x14ac:dyDescent="0.2">
      <c r="B2945" s="1">
        <v>2930</v>
      </c>
      <c r="C2945" s="101">
        <f ca="1"/>
        <v>-1.0288960904559432</v>
      </c>
      <c r="D2945" s="101">
        <f t="shared" ca="1" si="174"/>
        <v>0.60037019801420755</v>
      </c>
      <c r="E2945" s="101">
        <f t="shared" ca="1" si="175"/>
        <v>0</v>
      </c>
      <c r="F2945" s="21">
        <f t="shared" ca="1" si="176"/>
        <v>0</v>
      </c>
      <c r="H2945" s="21">
        <v>2930</v>
      </c>
      <c r="I2945" s="102">
        <v>0.66773449099263493</v>
      </c>
      <c r="J2945" s="103">
        <v>1.2434704697351312E-3</v>
      </c>
      <c r="K2945" s="103"/>
      <c r="L2945" s="103">
        <v>4.1799999999999997E-2</v>
      </c>
      <c r="O2945" s="100"/>
    </row>
    <row r="2946" spans="2:15" x14ac:dyDescent="0.2">
      <c r="B2946" s="1">
        <v>2931</v>
      </c>
      <c r="C2946" s="101">
        <f ca="1"/>
        <v>0.8663842578977422</v>
      </c>
      <c r="D2946" s="101">
        <f t="shared" ca="1" si="174"/>
        <v>0.72378864856925518</v>
      </c>
      <c r="E2946" s="101">
        <f t="shared" ca="1" si="175"/>
        <v>0</v>
      </c>
      <c r="F2946" s="21">
        <f t="shared" ca="1" si="176"/>
        <v>0</v>
      </c>
      <c r="H2946" s="21">
        <v>2931</v>
      </c>
      <c r="I2946" s="102">
        <v>0.66770077946390582</v>
      </c>
      <c r="J2946" s="103">
        <v>1.2954271054549879E-3</v>
      </c>
      <c r="K2946" s="103"/>
      <c r="L2946" s="103">
        <v>4.1399999999999999E-2</v>
      </c>
      <c r="O2946" s="100"/>
    </row>
    <row r="2947" spans="2:15" x14ac:dyDescent="0.2">
      <c r="B2947" s="1">
        <v>2932</v>
      </c>
      <c r="C2947" s="101">
        <f ca="1"/>
        <v>0.5016688504120097</v>
      </c>
      <c r="D2947" s="101">
        <f t="shared" ca="1" si="174"/>
        <v>0.69821244336835231</v>
      </c>
      <c r="E2947" s="101">
        <f t="shared" ca="1" si="175"/>
        <v>0</v>
      </c>
      <c r="F2947" s="21">
        <f t="shared" ca="1" si="176"/>
        <v>0</v>
      </c>
      <c r="H2947" s="21">
        <v>2932</v>
      </c>
      <c r="I2947" s="102">
        <v>0.66777260772199631</v>
      </c>
      <c r="J2947" s="103">
        <v>1.4409145744326396E-3</v>
      </c>
      <c r="K2947" s="103"/>
      <c r="L2947" s="103">
        <v>4.2999999999999997E-2</v>
      </c>
      <c r="O2947" s="100"/>
    </row>
    <row r="2948" spans="2:15" x14ac:dyDescent="0.2">
      <c r="B2948" s="1">
        <v>2933</v>
      </c>
      <c r="C2948" s="101">
        <f ca="1"/>
        <v>0.165003503286242</v>
      </c>
      <c r="D2948" s="101">
        <f t="shared" ca="1" si="174"/>
        <v>0.67540620860879763</v>
      </c>
      <c r="E2948" s="101">
        <f t="shared" ca="1" si="175"/>
        <v>0</v>
      </c>
      <c r="F2948" s="21">
        <f t="shared" ca="1" si="176"/>
        <v>0</v>
      </c>
      <c r="H2948" s="21">
        <v>2933</v>
      </c>
      <c r="I2948" s="102">
        <v>0.66778648685802755</v>
      </c>
      <c r="J2948" s="103">
        <v>1.478111284422864E-3</v>
      </c>
      <c r="K2948" s="103"/>
      <c r="L2948" s="103">
        <v>4.1799999999999997E-2</v>
      </c>
      <c r="O2948" s="100"/>
    </row>
    <row r="2949" spans="2:15" x14ac:dyDescent="0.2">
      <c r="B2949" s="1">
        <v>2934</v>
      </c>
      <c r="C2949" s="101">
        <f ca="1"/>
        <v>1.8665008650135295</v>
      </c>
      <c r="D2949" s="101">
        <f t="shared" ca="1" si="174"/>
        <v>0.79883327423381179</v>
      </c>
      <c r="E2949" s="101">
        <f t="shared" ca="1" si="175"/>
        <v>1.0633274233811774E-2</v>
      </c>
      <c r="F2949" s="21">
        <f t="shared" ca="1" si="176"/>
        <v>1</v>
      </c>
      <c r="H2949" s="21">
        <v>2934</v>
      </c>
      <c r="I2949" s="102">
        <v>0.66770788197883035</v>
      </c>
      <c r="J2949" s="103">
        <v>1.4492716516123253E-3</v>
      </c>
      <c r="K2949" s="103"/>
      <c r="L2949" s="103">
        <v>3.9399999999999998E-2</v>
      </c>
      <c r="O2949" s="100"/>
    </row>
    <row r="2950" spans="2:15" x14ac:dyDescent="0.2">
      <c r="B2950" s="1">
        <v>2935</v>
      </c>
      <c r="C2950" s="101">
        <f ca="1"/>
        <v>1.2692834903080457</v>
      </c>
      <c r="D2950" s="101">
        <f t="shared" ca="1" si="174"/>
        <v>0.7531330778050207</v>
      </c>
      <c r="E2950" s="101">
        <f t="shared" ca="1" si="175"/>
        <v>0</v>
      </c>
      <c r="F2950" s="21">
        <f t="shared" ca="1" si="176"/>
        <v>0</v>
      </c>
      <c r="H2950" s="21">
        <v>2935</v>
      </c>
      <c r="I2950" s="102">
        <v>0.66778701910919958</v>
      </c>
      <c r="J2950" s="103">
        <v>1.4378322597793987E-3</v>
      </c>
      <c r="K2950" s="103"/>
      <c r="L2950" s="103">
        <v>4.1200000000000001E-2</v>
      </c>
      <c r="O2950" s="100"/>
    </row>
    <row r="2951" spans="2:15" x14ac:dyDescent="0.2">
      <c r="B2951" s="1">
        <v>2936</v>
      </c>
      <c r="C2951" s="101">
        <f ca="1"/>
        <v>0.65058080274944652</v>
      </c>
      <c r="D2951" s="101">
        <f t="shared" ca="1" si="174"/>
        <v>0.70854409122136419</v>
      </c>
      <c r="E2951" s="101">
        <f t="shared" ca="1" si="175"/>
        <v>0</v>
      </c>
      <c r="F2951" s="21">
        <f t="shared" ca="1" si="176"/>
        <v>0</v>
      </c>
      <c r="H2951" s="21">
        <v>2936</v>
      </c>
      <c r="I2951" s="102">
        <v>0.66774844944076006</v>
      </c>
      <c r="J2951" s="103">
        <v>1.4040927417426146E-3</v>
      </c>
      <c r="K2951" s="103"/>
      <c r="L2951" s="103">
        <v>4.3799999999999999E-2</v>
      </c>
      <c r="O2951" s="100"/>
    </row>
    <row r="2952" spans="2:15" x14ac:dyDescent="0.2">
      <c r="B2952" s="1">
        <v>2937</v>
      </c>
      <c r="C2952" s="101">
        <f ca="1"/>
        <v>1.7003666021604369</v>
      </c>
      <c r="D2952" s="101">
        <f t="shared" ca="1" si="174"/>
        <v>0.78584891355048914</v>
      </c>
      <c r="E2952" s="101">
        <f t="shared" ca="1" si="175"/>
        <v>0</v>
      </c>
      <c r="F2952" s="21">
        <f t="shared" ca="1" si="176"/>
        <v>0</v>
      </c>
      <c r="H2952" s="21">
        <v>2937</v>
      </c>
      <c r="I2952" s="102">
        <v>0.66756285377788971</v>
      </c>
      <c r="J2952" s="103">
        <v>1.2210136773842305E-3</v>
      </c>
      <c r="K2952" s="103"/>
      <c r="L2952" s="103">
        <v>3.8199999999999998E-2</v>
      </c>
      <c r="O2952" s="100"/>
    </row>
    <row r="2953" spans="2:15" x14ac:dyDescent="0.2">
      <c r="B2953" s="1">
        <v>2938</v>
      </c>
      <c r="C2953" s="101">
        <f ca="1"/>
        <v>0.52042134270357421</v>
      </c>
      <c r="D2953" s="101">
        <f t="shared" ca="1" si="174"/>
        <v>0.69950517154595937</v>
      </c>
      <c r="E2953" s="101">
        <f t="shared" ca="1" si="175"/>
        <v>0</v>
      </c>
      <c r="F2953" s="21">
        <f t="shared" ca="1" si="176"/>
        <v>0</v>
      </c>
      <c r="H2953" s="21">
        <v>2938</v>
      </c>
      <c r="I2953" s="102">
        <v>0.66771294458921404</v>
      </c>
      <c r="J2953" s="103">
        <v>1.3502681380850022E-3</v>
      </c>
      <c r="K2953" s="103"/>
      <c r="L2953" s="103">
        <v>3.7999999999999999E-2</v>
      </c>
      <c r="O2953" s="100"/>
    </row>
    <row r="2954" spans="2:15" x14ac:dyDescent="0.2">
      <c r="B2954" s="1">
        <v>2939</v>
      </c>
      <c r="C2954" s="101">
        <f ca="1"/>
        <v>0.85165519942458889</v>
      </c>
      <c r="D2954" s="101">
        <f t="shared" ca="1" si="174"/>
        <v>0.72273782404247</v>
      </c>
      <c r="E2954" s="101">
        <f t="shared" ca="1" si="175"/>
        <v>0</v>
      </c>
      <c r="F2954" s="21">
        <f t="shared" ca="1" si="176"/>
        <v>0</v>
      </c>
      <c r="H2954" s="21">
        <v>2939</v>
      </c>
      <c r="I2954" s="102">
        <v>0.66782781591205953</v>
      </c>
      <c r="J2954" s="103">
        <v>1.4611574375754564E-3</v>
      </c>
      <c r="K2954" s="103"/>
      <c r="L2954" s="103">
        <v>4.36E-2</v>
      </c>
      <c r="O2954" s="100"/>
    </row>
    <row r="2955" spans="2:15" x14ac:dyDescent="0.2">
      <c r="B2955" s="1">
        <v>2940</v>
      </c>
      <c r="C2955" s="101">
        <f ca="1"/>
        <v>-1.3044397790282674</v>
      </c>
      <c r="D2955" s="101">
        <f t="shared" ca="1" si="174"/>
        <v>0.58427190597403689</v>
      </c>
      <c r="E2955" s="101">
        <f t="shared" ca="1" si="175"/>
        <v>0</v>
      </c>
      <c r="F2955" s="21">
        <f t="shared" ca="1" si="176"/>
        <v>0</v>
      </c>
      <c r="H2955" s="21">
        <v>2940</v>
      </c>
      <c r="I2955" s="102">
        <v>0.66764274159987425</v>
      </c>
      <c r="J2955" s="103">
        <v>1.3491689909784289E-3</v>
      </c>
      <c r="K2955" s="103"/>
      <c r="L2955" s="103">
        <v>3.9600000000000003E-2</v>
      </c>
      <c r="O2955" s="100"/>
    </row>
    <row r="2956" spans="2:15" x14ac:dyDescent="0.2">
      <c r="B2956" s="1">
        <v>2941</v>
      </c>
      <c r="C2956" s="101">
        <f ca="1"/>
        <v>0.27477321622417172</v>
      </c>
      <c r="D2956" s="101">
        <f t="shared" ca="1" si="174"/>
        <v>0.68275912846958065</v>
      </c>
      <c r="E2956" s="101">
        <f t="shared" ca="1" si="175"/>
        <v>0</v>
      </c>
      <c r="F2956" s="21">
        <f t="shared" ca="1" si="176"/>
        <v>0</v>
      </c>
      <c r="H2956" s="21">
        <v>2941</v>
      </c>
      <c r="I2956" s="102">
        <v>0.66752010454792976</v>
      </c>
      <c r="J2956" s="103">
        <v>1.0793967713682013E-3</v>
      </c>
      <c r="K2956" s="103"/>
      <c r="L2956" s="103">
        <v>3.8199999999999998E-2</v>
      </c>
      <c r="O2956" s="100"/>
    </row>
    <row r="2957" spans="2:15" x14ac:dyDescent="0.2">
      <c r="B2957" s="1">
        <v>2942</v>
      </c>
      <c r="C2957" s="101">
        <f ca="1"/>
        <v>0.11208456560566323</v>
      </c>
      <c r="D2957" s="101">
        <f t="shared" ca="1" si="174"/>
        <v>0.67188977799522487</v>
      </c>
      <c r="E2957" s="101">
        <f t="shared" ca="1" si="175"/>
        <v>0</v>
      </c>
      <c r="F2957" s="21">
        <f t="shared" ca="1" si="176"/>
        <v>0</v>
      </c>
      <c r="H2957" s="21">
        <v>2942</v>
      </c>
      <c r="I2957" s="102">
        <v>0.66779350656697378</v>
      </c>
      <c r="J2957" s="103">
        <v>1.3620108789501202E-3</v>
      </c>
      <c r="K2957" s="103"/>
      <c r="L2957" s="103">
        <v>3.9399999999999998E-2</v>
      </c>
      <c r="O2957" s="100"/>
    </row>
    <row r="2958" spans="2:15" x14ac:dyDescent="0.2">
      <c r="B2958" s="1">
        <v>2943</v>
      </c>
      <c r="C2958" s="101">
        <f ca="1"/>
        <v>1.2829934528293954</v>
      </c>
      <c r="D2958" s="101">
        <f t="shared" ca="1" si="174"/>
        <v>0.75415228055512951</v>
      </c>
      <c r="E2958" s="101">
        <f t="shared" ca="1" si="175"/>
        <v>0</v>
      </c>
      <c r="F2958" s="21">
        <f t="shared" ca="1" si="176"/>
        <v>0</v>
      </c>
      <c r="H2958" s="21">
        <v>2943</v>
      </c>
      <c r="I2958" s="102">
        <v>0.66769422586727301</v>
      </c>
      <c r="J2958" s="103">
        <v>1.319211490347505E-3</v>
      </c>
      <c r="K2958" s="103"/>
      <c r="L2958" s="103">
        <v>3.9E-2</v>
      </c>
      <c r="O2958" s="100"/>
    </row>
    <row r="2959" spans="2:15" x14ac:dyDescent="0.2">
      <c r="B2959" s="1">
        <v>2944</v>
      </c>
      <c r="C2959" s="101">
        <f ca="1"/>
        <v>0.32212084305112931</v>
      </c>
      <c r="D2959" s="101">
        <f t="shared" ca="1" si="174"/>
        <v>0.68595536711595584</v>
      </c>
      <c r="E2959" s="101">
        <f t="shared" ca="1" si="175"/>
        <v>0</v>
      </c>
      <c r="F2959" s="21">
        <f t="shared" ca="1" si="176"/>
        <v>0</v>
      </c>
      <c r="H2959" s="21">
        <v>2944</v>
      </c>
      <c r="I2959" s="102">
        <v>0.66776868884954421</v>
      </c>
      <c r="J2959" s="103">
        <v>1.5391983860829584E-3</v>
      </c>
      <c r="K2959" s="103"/>
      <c r="L2959" s="103">
        <v>4.4999999999999998E-2</v>
      </c>
      <c r="O2959" s="100"/>
    </row>
    <row r="2960" spans="2:15" x14ac:dyDescent="0.2">
      <c r="B2960" s="1">
        <v>2945</v>
      </c>
      <c r="C2960" s="101">
        <f ca="1"/>
        <v>-0.54527904651148762</v>
      </c>
      <c r="D2960" s="101">
        <f t="shared" ref="D2960:D3023" ca="1" si="177">S0*EXP((μ-0.5*σ*σ)*T+σ*SQRT(T)*$C2960)</f>
        <v>0.62970476843730938</v>
      </c>
      <c r="E2960" s="101">
        <f t="shared" ref="E2960:E3023" ca="1" si="178">MAX(0,CP*(D2960-K))</f>
        <v>0</v>
      </c>
      <c r="F2960" s="21">
        <f t="shared" ref="F2960:F3023" ca="1" si="179">(CP*(D2960-K)&gt;0)*1</f>
        <v>0</v>
      </c>
      <c r="H2960" s="21">
        <v>2945</v>
      </c>
      <c r="I2960" s="102">
        <v>0.66771689032672243</v>
      </c>
      <c r="J2960" s="103">
        <v>1.3074323877826008E-3</v>
      </c>
      <c r="K2960" s="103"/>
      <c r="L2960" s="103">
        <v>4.1399999999999999E-2</v>
      </c>
      <c r="O2960" s="100"/>
    </row>
    <row r="2961" spans="2:15" x14ac:dyDescent="0.2">
      <c r="B2961" s="1">
        <v>2946</v>
      </c>
      <c r="C2961" s="101">
        <f ca="1"/>
        <v>0.46525599246961236</v>
      </c>
      <c r="D2961" s="101">
        <f t="shared" ca="1" si="177"/>
        <v>0.69570909360201894</v>
      </c>
      <c r="E2961" s="101">
        <f t="shared" ca="1" si="178"/>
        <v>0</v>
      </c>
      <c r="F2961" s="21">
        <f t="shared" ca="1" si="179"/>
        <v>0</v>
      </c>
      <c r="H2961" s="21">
        <v>2946</v>
      </c>
      <c r="I2961" s="102">
        <v>0.66770115108478312</v>
      </c>
      <c r="J2961" s="103">
        <v>1.1921427278258627E-3</v>
      </c>
      <c r="K2961" s="103"/>
      <c r="L2961" s="103">
        <v>3.9E-2</v>
      </c>
      <c r="O2961" s="100"/>
    </row>
    <row r="2962" spans="2:15" x14ac:dyDescent="0.2">
      <c r="B2962" s="1">
        <v>2947</v>
      </c>
      <c r="C2962" s="101">
        <f ca="1"/>
        <v>0.95577224030817232</v>
      </c>
      <c r="D2962" s="101">
        <f t="shared" ca="1" si="177"/>
        <v>0.73019876433729947</v>
      </c>
      <c r="E2962" s="101">
        <f t="shared" ca="1" si="178"/>
        <v>0</v>
      </c>
      <c r="F2962" s="21">
        <f t="shared" ca="1" si="179"/>
        <v>0</v>
      </c>
      <c r="H2962" s="21">
        <v>2947</v>
      </c>
      <c r="I2962" s="102">
        <v>0.66768130284202842</v>
      </c>
      <c r="J2962" s="103">
        <v>1.2837082382782796E-3</v>
      </c>
      <c r="K2962" s="103"/>
      <c r="L2962" s="103">
        <v>3.8399999999999997E-2</v>
      </c>
      <c r="O2962" s="100"/>
    </row>
    <row r="2963" spans="2:15" x14ac:dyDescent="0.2">
      <c r="B2963" s="1">
        <v>2948</v>
      </c>
      <c r="C2963" s="101">
        <f ca="1"/>
        <v>2.5157601253362323</v>
      </c>
      <c r="D2963" s="101">
        <f t="shared" ca="1" si="177"/>
        <v>0.8516673788168454</v>
      </c>
      <c r="E2963" s="101">
        <f t="shared" ca="1" si="178"/>
        <v>6.3467378816845388E-2</v>
      </c>
      <c r="F2963" s="21">
        <f t="shared" ca="1" si="179"/>
        <v>1</v>
      </c>
      <c r="H2963" s="21">
        <v>2948</v>
      </c>
      <c r="I2963" s="102">
        <v>0.6676772097300574</v>
      </c>
      <c r="J2963" s="103">
        <v>1.3037967859206778E-3</v>
      </c>
      <c r="K2963" s="103"/>
      <c r="L2963" s="103">
        <v>4.0800000000000003E-2</v>
      </c>
      <c r="O2963" s="100"/>
    </row>
    <row r="2964" spans="2:15" x14ac:dyDescent="0.2">
      <c r="B2964" s="1">
        <v>2949</v>
      </c>
      <c r="C2964" s="101">
        <f ca="1"/>
        <v>-0.50319057432045311</v>
      </c>
      <c r="D2964" s="101">
        <f t="shared" ca="1" si="177"/>
        <v>0.63232452464332356</v>
      </c>
      <c r="E2964" s="101">
        <f t="shared" ca="1" si="178"/>
        <v>0</v>
      </c>
      <c r="F2964" s="21">
        <f t="shared" ca="1" si="179"/>
        <v>0</v>
      </c>
      <c r="H2964" s="21">
        <v>2949</v>
      </c>
      <c r="I2964" s="102">
        <v>0.66769819119363538</v>
      </c>
      <c r="J2964" s="103">
        <v>1.2749084441150576E-3</v>
      </c>
      <c r="K2964" s="103"/>
      <c r="L2964" s="103">
        <v>3.8800000000000001E-2</v>
      </c>
      <c r="O2964" s="100"/>
    </row>
    <row r="2965" spans="2:15" x14ac:dyDescent="0.2">
      <c r="B2965" s="1">
        <v>2950</v>
      </c>
      <c r="C2965" s="101">
        <f ca="1"/>
        <v>-0.49699691793431394</v>
      </c>
      <c r="D2965" s="101">
        <f t="shared" ca="1" si="177"/>
        <v>0.6327109616483596</v>
      </c>
      <c r="E2965" s="101">
        <f t="shared" ca="1" si="178"/>
        <v>0</v>
      </c>
      <c r="F2965" s="21">
        <f t="shared" ca="1" si="179"/>
        <v>0</v>
      </c>
      <c r="H2965" s="21">
        <v>2950</v>
      </c>
      <c r="I2965" s="102">
        <v>0.66768187972477677</v>
      </c>
      <c r="J2965" s="103">
        <v>1.4164656464219505E-3</v>
      </c>
      <c r="K2965" s="103"/>
      <c r="L2965" s="103">
        <v>4.24E-2</v>
      </c>
      <c r="O2965" s="100"/>
    </row>
    <row r="2966" spans="2:15" x14ac:dyDescent="0.2">
      <c r="B2966" s="1">
        <v>2951</v>
      </c>
      <c r="C2966" s="101">
        <f ca="1"/>
        <v>0.86166770458659359</v>
      </c>
      <c r="D2966" s="101">
        <f t="shared" ca="1" si="177"/>
        <v>0.72345198634163899</v>
      </c>
      <c r="E2966" s="101">
        <f t="shared" ca="1" si="178"/>
        <v>0</v>
      </c>
      <c r="F2966" s="21">
        <f t="shared" ca="1" si="179"/>
        <v>0</v>
      </c>
      <c r="H2966" s="21">
        <v>2951</v>
      </c>
      <c r="I2966" s="102">
        <v>0.66786411386008349</v>
      </c>
      <c r="J2966" s="103">
        <v>1.4925144007198569E-3</v>
      </c>
      <c r="K2966" s="103"/>
      <c r="L2966" s="103">
        <v>4.4600000000000001E-2</v>
      </c>
      <c r="O2966" s="100"/>
    </row>
    <row r="2967" spans="2:15" x14ac:dyDescent="0.2">
      <c r="B2967" s="1">
        <v>2952</v>
      </c>
      <c r="C2967" s="101">
        <f ca="1"/>
        <v>-1.0011951422292955</v>
      </c>
      <c r="D2967" s="101">
        <f t="shared" ca="1" si="177"/>
        <v>0.60201292784290994</v>
      </c>
      <c r="E2967" s="101">
        <f t="shared" ca="1" si="178"/>
        <v>0</v>
      </c>
      <c r="F2967" s="21">
        <f t="shared" ca="1" si="179"/>
        <v>0</v>
      </c>
      <c r="H2967" s="21">
        <v>2952</v>
      </c>
      <c r="I2967" s="102">
        <v>0.66777115700554868</v>
      </c>
      <c r="J2967" s="103">
        <v>1.3830151427203421E-3</v>
      </c>
      <c r="K2967" s="103"/>
      <c r="L2967" s="103">
        <v>4.6399999999999997E-2</v>
      </c>
      <c r="O2967" s="100"/>
    </row>
    <row r="2968" spans="2:15" x14ac:dyDescent="0.2">
      <c r="B2968" s="1">
        <v>2953</v>
      </c>
      <c r="C2968" s="101">
        <f ca="1"/>
        <v>0.49329540374310282</v>
      </c>
      <c r="D2968" s="101">
        <f t="shared" ca="1" si="177"/>
        <v>0.69763598041897079</v>
      </c>
      <c r="E2968" s="101">
        <f t="shared" ca="1" si="178"/>
        <v>0</v>
      </c>
      <c r="F2968" s="21">
        <f t="shared" ca="1" si="179"/>
        <v>0</v>
      </c>
      <c r="H2968" s="21">
        <v>2953</v>
      </c>
      <c r="I2968" s="102">
        <v>0.66776527270364605</v>
      </c>
      <c r="J2968" s="103">
        <v>1.449222759453465E-3</v>
      </c>
      <c r="K2968" s="103"/>
      <c r="L2968" s="103">
        <v>4.0800000000000003E-2</v>
      </c>
      <c r="O2968" s="100"/>
    </row>
    <row r="2969" spans="2:15" x14ac:dyDescent="0.2">
      <c r="B2969" s="1">
        <v>2954</v>
      </c>
      <c r="C2969" s="101">
        <f ca="1"/>
        <v>-0.63107581323065542</v>
      </c>
      <c r="D2969" s="101">
        <f t="shared" ca="1" si="177"/>
        <v>0.6243979972796756</v>
      </c>
      <c r="E2969" s="101">
        <f t="shared" ca="1" si="178"/>
        <v>0</v>
      </c>
      <c r="F2969" s="21">
        <f t="shared" ca="1" si="179"/>
        <v>0</v>
      </c>
      <c r="H2969" s="21">
        <v>2954</v>
      </c>
      <c r="I2969" s="102">
        <v>0.66782864691256605</v>
      </c>
      <c r="J2969" s="103">
        <v>1.4688231547275367E-3</v>
      </c>
      <c r="K2969" s="103"/>
      <c r="L2969" s="103">
        <v>4.4400000000000002E-2</v>
      </c>
      <c r="O2969" s="100"/>
    </row>
    <row r="2970" spans="2:15" x14ac:dyDescent="0.2">
      <c r="B2970" s="1">
        <v>2955</v>
      </c>
      <c r="C2970" s="101">
        <f ca="1"/>
        <v>1.5127456794201106</v>
      </c>
      <c r="D2970" s="101">
        <f t="shared" ca="1" si="177"/>
        <v>0.771438825285652</v>
      </c>
      <c r="E2970" s="101">
        <f t="shared" ca="1" si="178"/>
        <v>0</v>
      </c>
      <c r="F2970" s="21">
        <f t="shared" ca="1" si="179"/>
        <v>0</v>
      </c>
      <c r="H2970" s="21">
        <v>2955</v>
      </c>
      <c r="I2970" s="102">
        <v>0.66764435266120226</v>
      </c>
      <c r="J2970" s="103">
        <v>1.2536555238670075E-3</v>
      </c>
      <c r="K2970" s="103"/>
      <c r="L2970" s="103">
        <v>4.02E-2</v>
      </c>
      <c r="O2970" s="100"/>
    </row>
    <row r="2971" spans="2:15" x14ac:dyDescent="0.2">
      <c r="B2971" s="1">
        <v>2956</v>
      </c>
      <c r="C2971" s="101">
        <f ca="1"/>
        <v>-0.38655009148129144</v>
      </c>
      <c r="D2971" s="101">
        <f t="shared" ca="1" si="177"/>
        <v>0.63964179386684306</v>
      </c>
      <c r="E2971" s="101">
        <f t="shared" ca="1" si="178"/>
        <v>0</v>
      </c>
      <c r="F2971" s="21">
        <f t="shared" ca="1" si="179"/>
        <v>0</v>
      </c>
      <c r="H2971" s="21">
        <v>2956</v>
      </c>
      <c r="I2971" s="102">
        <v>0.66765927054130003</v>
      </c>
      <c r="J2971" s="103">
        <v>1.3846867066799162E-3</v>
      </c>
      <c r="K2971" s="103"/>
      <c r="L2971" s="103">
        <v>3.8800000000000001E-2</v>
      </c>
      <c r="O2971" s="100"/>
    </row>
    <row r="2972" spans="2:15" x14ac:dyDescent="0.2">
      <c r="B2972" s="1">
        <v>2957</v>
      </c>
      <c r="C2972" s="101">
        <f ca="1"/>
        <v>-0.23434574540597694</v>
      </c>
      <c r="D2972" s="101">
        <f t="shared" ca="1" si="177"/>
        <v>0.64931759727590166</v>
      </c>
      <c r="E2972" s="101">
        <f t="shared" ca="1" si="178"/>
        <v>0</v>
      </c>
      <c r="F2972" s="21">
        <f t="shared" ca="1" si="179"/>
        <v>0</v>
      </c>
      <c r="H2972" s="21">
        <v>2957</v>
      </c>
      <c r="I2972" s="102">
        <v>0.66779002342572191</v>
      </c>
      <c r="J2972" s="103">
        <v>1.3444943668176116E-3</v>
      </c>
      <c r="K2972" s="103"/>
      <c r="L2972" s="103">
        <v>4.48E-2</v>
      </c>
      <c r="O2972" s="100"/>
    </row>
    <row r="2973" spans="2:15" x14ac:dyDescent="0.2">
      <c r="B2973" s="1">
        <v>2958</v>
      </c>
      <c r="C2973" s="101">
        <f ca="1"/>
        <v>1.1534071994928572</v>
      </c>
      <c r="D2973" s="101">
        <f t="shared" ca="1" si="177"/>
        <v>0.74457363414224886</v>
      </c>
      <c r="E2973" s="101">
        <f t="shared" ca="1" si="178"/>
        <v>0</v>
      </c>
      <c r="F2973" s="21">
        <f t="shared" ca="1" si="179"/>
        <v>0</v>
      </c>
      <c r="H2973" s="21">
        <v>2958</v>
      </c>
      <c r="I2973" s="102">
        <v>0.66790349497948398</v>
      </c>
      <c r="J2973" s="103">
        <v>1.5493925939695148E-3</v>
      </c>
      <c r="K2973" s="103"/>
      <c r="L2973" s="103">
        <v>4.3799999999999999E-2</v>
      </c>
      <c r="O2973" s="100"/>
    </row>
    <row r="2974" spans="2:15" x14ac:dyDescent="0.2">
      <c r="B2974" s="1">
        <v>2959</v>
      </c>
      <c r="C2974" s="101">
        <f ca="1"/>
        <v>1.9887727863612938</v>
      </c>
      <c r="D2974" s="101">
        <f t="shared" ca="1" si="177"/>
        <v>0.80852639096853451</v>
      </c>
      <c r="E2974" s="101">
        <f t="shared" ca="1" si="178"/>
        <v>2.0326390968534502E-2</v>
      </c>
      <c r="F2974" s="21">
        <f t="shared" ca="1" si="179"/>
        <v>1</v>
      </c>
      <c r="H2974" s="21">
        <v>2959</v>
      </c>
      <c r="I2974" s="102">
        <v>0.66776841103057172</v>
      </c>
      <c r="J2974" s="103">
        <v>1.3479149841714938E-3</v>
      </c>
      <c r="K2974" s="103"/>
      <c r="L2974" s="103">
        <v>3.9800000000000002E-2</v>
      </c>
      <c r="O2974" s="100"/>
    </row>
    <row r="2975" spans="2:15" x14ac:dyDescent="0.2">
      <c r="B2975" s="1">
        <v>2960</v>
      </c>
      <c r="C2975" s="101">
        <f ca="1"/>
        <v>0.36273464147762008</v>
      </c>
      <c r="D2975" s="101">
        <f t="shared" ca="1" si="177"/>
        <v>0.68870895279082611</v>
      </c>
      <c r="E2975" s="101">
        <f t="shared" ca="1" si="178"/>
        <v>0</v>
      </c>
      <c r="F2975" s="21">
        <f t="shared" ca="1" si="179"/>
        <v>0</v>
      </c>
      <c r="H2975" s="21">
        <v>2960</v>
      </c>
      <c r="I2975" s="102">
        <v>0.66769148186660721</v>
      </c>
      <c r="J2975" s="103">
        <v>1.2801882568201184E-3</v>
      </c>
      <c r="K2975" s="103"/>
      <c r="L2975" s="103">
        <v>4.2200000000000001E-2</v>
      </c>
      <c r="O2975" s="100"/>
    </row>
    <row r="2976" spans="2:15" x14ac:dyDescent="0.2">
      <c r="B2976" s="1">
        <v>2961</v>
      </c>
      <c r="C2976" s="101">
        <f ca="1"/>
        <v>-0.27047427036349209</v>
      </c>
      <c r="D2976" s="101">
        <f t="shared" ca="1" si="177"/>
        <v>0.64700769997039409</v>
      </c>
      <c r="E2976" s="101">
        <f t="shared" ca="1" si="178"/>
        <v>0</v>
      </c>
      <c r="F2976" s="21">
        <f t="shared" ca="1" si="179"/>
        <v>0</v>
      </c>
      <c r="H2976" s="21">
        <v>2961</v>
      </c>
      <c r="I2976" s="102">
        <v>0.66775409494108606</v>
      </c>
      <c r="J2976" s="103">
        <v>1.3865118846597782E-3</v>
      </c>
      <c r="K2976" s="103"/>
      <c r="L2976" s="103">
        <v>4.1399999999999999E-2</v>
      </c>
      <c r="O2976" s="100"/>
    </row>
    <row r="2977" spans="2:15" x14ac:dyDescent="0.2">
      <c r="B2977" s="1">
        <v>2962</v>
      </c>
      <c r="C2977" s="101">
        <f ca="1"/>
        <v>1.450105524351039</v>
      </c>
      <c r="D2977" s="101">
        <f t="shared" ca="1" si="177"/>
        <v>0.76668687186122708</v>
      </c>
      <c r="E2977" s="101">
        <f t="shared" ca="1" si="178"/>
        <v>0</v>
      </c>
      <c r="F2977" s="21">
        <f t="shared" ca="1" si="179"/>
        <v>0</v>
      </c>
      <c r="H2977" s="21">
        <v>2962</v>
      </c>
      <c r="I2977" s="102">
        <v>0.66763890566196593</v>
      </c>
      <c r="J2977" s="103">
        <v>1.0881793389640915E-3</v>
      </c>
      <c r="K2977" s="103"/>
      <c r="L2977" s="103">
        <v>3.8600000000000002E-2</v>
      </c>
      <c r="O2977" s="100"/>
    </row>
    <row r="2978" spans="2:15" x14ac:dyDescent="0.2">
      <c r="B2978" s="1">
        <v>2963</v>
      </c>
      <c r="C2978" s="101">
        <f ca="1"/>
        <v>-0.23243904884506028</v>
      </c>
      <c r="D2978" s="101">
        <f t="shared" ca="1" si="177"/>
        <v>0.64943973181513481</v>
      </c>
      <c r="E2978" s="101">
        <f t="shared" ca="1" si="178"/>
        <v>0</v>
      </c>
      <c r="F2978" s="21">
        <f t="shared" ca="1" si="179"/>
        <v>0</v>
      </c>
      <c r="H2978" s="21">
        <v>2963</v>
      </c>
      <c r="I2978" s="102">
        <v>0.66781078509818459</v>
      </c>
      <c r="J2978" s="103">
        <v>1.4849106245461816E-3</v>
      </c>
      <c r="K2978" s="103"/>
      <c r="L2978" s="103">
        <v>4.3200000000000002E-2</v>
      </c>
      <c r="O2978" s="100"/>
    </row>
    <row r="2979" spans="2:15" x14ac:dyDescent="0.2">
      <c r="B2979" s="1">
        <v>2964</v>
      </c>
      <c r="C2979" s="101">
        <f ca="1"/>
        <v>1.1097108158014075</v>
      </c>
      <c r="D2979" s="101">
        <f t="shared" ca="1" si="177"/>
        <v>0.74137122790058207</v>
      </c>
      <c r="E2979" s="101">
        <f t="shared" ca="1" si="178"/>
        <v>0</v>
      </c>
      <c r="F2979" s="21">
        <f t="shared" ca="1" si="179"/>
        <v>0</v>
      </c>
      <c r="H2979" s="21">
        <v>2964</v>
      </c>
      <c r="I2979" s="102">
        <v>0.6677876710909062</v>
      </c>
      <c r="J2979" s="103">
        <v>1.4636681082992817E-3</v>
      </c>
      <c r="K2979" s="103"/>
      <c r="L2979" s="103">
        <v>4.1000000000000002E-2</v>
      </c>
      <c r="O2979" s="100"/>
    </row>
    <row r="2980" spans="2:15" x14ac:dyDescent="0.2">
      <c r="B2980" s="1">
        <v>2965</v>
      </c>
      <c r="C2980" s="101">
        <f ca="1"/>
        <v>-0.49733831413735635</v>
      </c>
      <c r="D2980" s="101">
        <f t="shared" ca="1" si="177"/>
        <v>0.63268965497571883</v>
      </c>
      <c r="E2980" s="101">
        <f t="shared" ca="1" si="178"/>
        <v>0</v>
      </c>
      <c r="F2980" s="21">
        <f t="shared" ca="1" si="179"/>
        <v>0</v>
      </c>
      <c r="H2980" s="21">
        <v>2965</v>
      </c>
      <c r="I2980" s="102">
        <v>0.66764248940981441</v>
      </c>
      <c r="J2980" s="103">
        <v>1.2706156325845044E-3</v>
      </c>
      <c r="K2980" s="103"/>
      <c r="L2980" s="103">
        <v>3.6600000000000001E-2</v>
      </c>
      <c r="O2980" s="100"/>
    </row>
    <row r="2981" spans="2:15" x14ac:dyDescent="0.2">
      <c r="B2981" s="1">
        <v>2966</v>
      </c>
      <c r="C2981" s="101">
        <f ca="1"/>
        <v>-1.2541751189383805</v>
      </c>
      <c r="D2981" s="101">
        <f t="shared" ca="1" si="177"/>
        <v>0.58717602059522045</v>
      </c>
      <c r="E2981" s="101">
        <f t="shared" ca="1" si="178"/>
        <v>0</v>
      </c>
      <c r="F2981" s="21">
        <f t="shared" ca="1" si="179"/>
        <v>0</v>
      </c>
      <c r="H2981" s="21">
        <v>2966</v>
      </c>
      <c r="I2981" s="102">
        <v>0.66777751272463082</v>
      </c>
      <c r="J2981" s="103">
        <v>1.2937037899184896E-3</v>
      </c>
      <c r="K2981" s="103"/>
      <c r="L2981" s="103">
        <v>4.0800000000000003E-2</v>
      </c>
      <c r="O2981" s="100"/>
    </row>
    <row r="2982" spans="2:15" x14ac:dyDescent="0.2">
      <c r="B2982" s="1">
        <v>2967</v>
      </c>
      <c r="C2982" s="101">
        <f ca="1"/>
        <v>-1.3511029882720915</v>
      </c>
      <c r="D2982" s="101">
        <f t="shared" ca="1" si="177"/>
        <v>0.58158872861478117</v>
      </c>
      <c r="E2982" s="101">
        <f t="shared" ca="1" si="178"/>
        <v>0</v>
      </c>
      <c r="F2982" s="21">
        <f t="shared" ca="1" si="179"/>
        <v>0</v>
      </c>
      <c r="H2982" s="21">
        <v>2967</v>
      </c>
      <c r="I2982" s="102">
        <v>0.66770986507156149</v>
      </c>
      <c r="J2982" s="103">
        <v>1.4491628647579039E-3</v>
      </c>
      <c r="K2982" s="103"/>
      <c r="L2982" s="103">
        <v>4.4999999999999998E-2</v>
      </c>
      <c r="O2982" s="100"/>
    </row>
    <row r="2983" spans="2:15" x14ac:dyDescent="0.2">
      <c r="B2983" s="1">
        <v>2968</v>
      </c>
      <c r="C2983" s="101">
        <f ca="1"/>
        <v>-0.43778788150499304</v>
      </c>
      <c r="D2983" s="101">
        <f t="shared" ca="1" si="177"/>
        <v>0.6364170955760855</v>
      </c>
      <c r="E2983" s="101">
        <f t="shared" ca="1" si="178"/>
        <v>0</v>
      </c>
      <c r="F2983" s="21">
        <f t="shared" ca="1" si="179"/>
        <v>0</v>
      </c>
      <c r="H2983" s="21">
        <v>2968</v>
      </c>
      <c r="I2983" s="102">
        <v>0.66786481355398608</v>
      </c>
      <c r="J2983" s="103">
        <v>1.5183817007759749E-3</v>
      </c>
      <c r="K2983" s="103"/>
      <c r="L2983" s="103">
        <v>4.6600000000000003E-2</v>
      </c>
      <c r="O2983" s="100"/>
    </row>
    <row r="2984" spans="2:15" x14ac:dyDescent="0.2">
      <c r="B2984" s="1">
        <v>2969</v>
      </c>
      <c r="C2984" s="101">
        <f ca="1"/>
        <v>0.71978326659841252</v>
      </c>
      <c r="D2984" s="101">
        <f t="shared" ca="1" si="177"/>
        <v>0.71339731679162255</v>
      </c>
      <c r="E2984" s="101">
        <f t="shared" ca="1" si="178"/>
        <v>0</v>
      </c>
      <c r="F2984" s="21">
        <f t="shared" ca="1" si="179"/>
        <v>0</v>
      </c>
      <c r="H2984" s="21">
        <v>2969</v>
      </c>
      <c r="I2984" s="102">
        <v>0.66782728906530453</v>
      </c>
      <c r="J2984" s="103">
        <v>1.4274867805429273E-3</v>
      </c>
      <c r="K2984" s="103"/>
      <c r="L2984" s="103">
        <v>4.3200000000000002E-2</v>
      </c>
      <c r="O2984" s="100"/>
    </row>
    <row r="2985" spans="2:15" x14ac:dyDescent="0.2">
      <c r="B2985" s="1">
        <v>2970</v>
      </c>
      <c r="C2985" s="101">
        <f ca="1"/>
        <v>-0.40800750565700011</v>
      </c>
      <c r="D2985" s="101">
        <f t="shared" ca="1" si="177"/>
        <v>0.63828936763053468</v>
      </c>
      <c r="E2985" s="101">
        <f t="shared" ca="1" si="178"/>
        <v>0</v>
      </c>
      <c r="F2985" s="21">
        <f t="shared" ca="1" si="179"/>
        <v>0</v>
      </c>
      <c r="H2985" s="21">
        <v>2970</v>
      </c>
      <c r="I2985" s="102">
        <v>0.66758421839908011</v>
      </c>
      <c r="J2985" s="103">
        <v>1.3109325522956043E-3</v>
      </c>
      <c r="K2985" s="103"/>
      <c r="L2985" s="103">
        <v>4.1000000000000002E-2</v>
      </c>
      <c r="O2985" s="100"/>
    </row>
    <row r="2986" spans="2:15" x14ac:dyDescent="0.2">
      <c r="B2986" s="1">
        <v>2971</v>
      </c>
      <c r="C2986" s="101">
        <f ca="1"/>
        <v>1.453778691261896</v>
      </c>
      <c r="D2986" s="101">
        <f t="shared" ca="1" si="177"/>
        <v>0.76696471282151502</v>
      </c>
      <c r="E2986" s="101">
        <f t="shared" ca="1" si="178"/>
        <v>0</v>
      </c>
      <c r="F2986" s="21">
        <f t="shared" ca="1" si="179"/>
        <v>0</v>
      </c>
      <c r="H2986" s="21">
        <v>2971</v>
      </c>
      <c r="I2986" s="102">
        <v>0.66769935707833561</v>
      </c>
      <c r="J2986" s="103">
        <v>1.3050773635582046E-3</v>
      </c>
      <c r="K2986" s="103"/>
      <c r="L2986" s="103">
        <v>3.9600000000000003E-2</v>
      </c>
      <c r="O2986" s="100"/>
    </row>
    <row r="2987" spans="2:15" x14ac:dyDescent="0.2">
      <c r="B2987" s="1">
        <v>2972</v>
      </c>
      <c r="C2987" s="101">
        <f ca="1"/>
        <v>0.29981872223022615</v>
      </c>
      <c r="D2987" s="101">
        <f t="shared" ca="1" si="177"/>
        <v>0.68444798518021144</v>
      </c>
      <c r="E2987" s="101">
        <f t="shared" ca="1" si="178"/>
        <v>0</v>
      </c>
      <c r="F2987" s="21">
        <f t="shared" ca="1" si="179"/>
        <v>0</v>
      </c>
      <c r="H2987" s="21">
        <v>2972</v>
      </c>
      <c r="I2987" s="102">
        <v>0.66764490269470411</v>
      </c>
      <c r="J2987" s="103">
        <v>1.1504319016292037E-3</v>
      </c>
      <c r="K2987" s="103"/>
      <c r="L2987" s="103">
        <v>3.8600000000000002E-2</v>
      </c>
      <c r="O2987" s="100"/>
    </row>
    <row r="2988" spans="2:15" x14ac:dyDescent="0.2">
      <c r="B2988" s="1">
        <v>2973</v>
      </c>
      <c r="C2988" s="101">
        <f ca="1"/>
        <v>0.89866839631965589</v>
      </c>
      <c r="D2988" s="101">
        <f t="shared" ca="1" si="177"/>
        <v>0.72609726386541285</v>
      </c>
      <c r="E2988" s="101">
        <f t="shared" ca="1" si="178"/>
        <v>0</v>
      </c>
      <c r="F2988" s="21">
        <f t="shared" ca="1" si="179"/>
        <v>0</v>
      </c>
      <c r="H2988" s="21">
        <v>2973</v>
      </c>
      <c r="I2988" s="102">
        <v>0.66791570270799794</v>
      </c>
      <c r="J2988" s="103">
        <v>1.4125460066623048E-3</v>
      </c>
      <c r="K2988" s="103"/>
      <c r="L2988" s="103">
        <v>4.5400000000000003E-2</v>
      </c>
      <c r="O2988" s="100"/>
    </row>
    <row r="2989" spans="2:15" x14ac:dyDescent="0.2">
      <c r="B2989" s="1">
        <v>2974</v>
      </c>
      <c r="C2989" s="101">
        <f ca="1"/>
        <v>-2.5774619407952399</v>
      </c>
      <c r="D2989" s="101">
        <f t="shared" ca="1" si="177"/>
        <v>0.51532299206235199</v>
      </c>
      <c r="E2989" s="101">
        <f t="shared" ca="1" si="178"/>
        <v>0</v>
      </c>
      <c r="F2989" s="21">
        <f t="shared" ca="1" si="179"/>
        <v>0</v>
      </c>
      <c r="H2989" s="21">
        <v>2974</v>
      </c>
      <c r="I2989" s="102">
        <v>0.66767495395236598</v>
      </c>
      <c r="J2989" s="103">
        <v>1.2605095469003309E-3</v>
      </c>
      <c r="K2989" s="103"/>
      <c r="L2989" s="103">
        <v>4.0399999999999998E-2</v>
      </c>
      <c r="O2989" s="100"/>
    </row>
    <row r="2990" spans="2:15" x14ac:dyDescent="0.2">
      <c r="B2990" s="1">
        <v>2975</v>
      </c>
      <c r="C2990" s="101">
        <f ca="1"/>
        <v>-0.55702855681344543</v>
      </c>
      <c r="D2990" s="101">
        <f t="shared" ca="1" si="177"/>
        <v>0.62897537138735726</v>
      </c>
      <c r="E2990" s="101">
        <f t="shared" ca="1" si="178"/>
        <v>0</v>
      </c>
      <c r="F2990" s="21">
        <f t="shared" ca="1" si="179"/>
        <v>0</v>
      </c>
      <c r="H2990" s="21">
        <v>2975</v>
      </c>
      <c r="I2990" s="102">
        <v>0.66757256222773986</v>
      </c>
      <c r="J2990" s="103">
        <v>1.2506053181647757E-3</v>
      </c>
      <c r="K2990" s="103"/>
      <c r="L2990" s="103">
        <v>3.5999999999999997E-2</v>
      </c>
      <c r="O2990" s="100"/>
    </row>
    <row r="2991" spans="2:15" x14ac:dyDescent="0.2">
      <c r="B2991" s="1">
        <v>2976</v>
      </c>
      <c r="C2991" s="101">
        <f ca="1"/>
        <v>0.75837641473205386</v>
      </c>
      <c r="D2991" s="101">
        <f t="shared" ca="1" si="177"/>
        <v>0.71611831022839756</v>
      </c>
      <c r="E2991" s="101">
        <f t="shared" ca="1" si="178"/>
        <v>0</v>
      </c>
      <c r="F2991" s="21">
        <f t="shared" ca="1" si="179"/>
        <v>0</v>
      </c>
      <c r="H2991" s="21">
        <v>2976</v>
      </c>
      <c r="I2991" s="102">
        <v>0.66782175443180902</v>
      </c>
      <c r="J2991" s="103">
        <v>1.4935380043209687E-3</v>
      </c>
      <c r="K2991" s="103"/>
      <c r="L2991" s="103">
        <v>4.4400000000000002E-2</v>
      </c>
      <c r="O2991" s="100"/>
    </row>
    <row r="2992" spans="2:15" x14ac:dyDescent="0.2">
      <c r="B2992" s="1">
        <v>2977</v>
      </c>
      <c r="C2992" s="101">
        <f ca="1"/>
        <v>1.4754462400731267</v>
      </c>
      <c r="D2992" s="101">
        <f t="shared" ca="1" si="177"/>
        <v>0.76860571161648839</v>
      </c>
      <c r="E2992" s="101">
        <f t="shared" ca="1" si="178"/>
        <v>0</v>
      </c>
      <c r="F2992" s="21">
        <f t="shared" ca="1" si="179"/>
        <v>0</v>
      </c>
      <c r="H2992" s="21">
        <v>2977</v>
      </c>
      <c r="I2992" s="102">
        <v>0.66782116908202604</v>
      </c>
      <c r="J2992" s="103">
        <v>1.4523342264805826E-3</v>
      </c>
      <c r="K2992" s="103"/>
      <c r="L2992" s="103">
        <v>4.2200000000000001E-2</v>
      </c>
      <c r="O2992" s="100"/>
    </row>
    <row r="2993" spans="2:15" x14ac:dyDescent="0.2">
      <c r="B2993" s="1">
        <v>2978</v>
      </c>
      <c r="C2993" s="101">
        <f ca="1"/>
        <v>-1.1068254620054798</v>
      </c>
      <c r="D2993" s="101">
        <f t="shared" ca="1" si="177"/>
        <v>0.59577281119047187</v>
      </c>
      <c r="E2993" s="101">
        <f t="shared" ca="1" si="178"/>
        <v>0</v>
      </c>
      <c r="F2993" s="21">
        <f t="shared" ca="1" si="179"/>
        <v>0</v>
      </c>
      <c r="H2993" s="21">
        <v>2978</v>
      </c>
      <c r="I2993" s="102">
        <v>0.66759709027889769</v>
      </c>
      <c r="J2993" s="103">
        <v>1.1788917562529609E-3</v>
      </c>
      <c r="K2993" s="103"/>
      <c r="L2993" s="103">
        <v>3.9399999999999998E-2</v>
      </c>
      <c r="O2993" s="100"/>
    </row>
    <row r="2994" spans="2:15" x14ac:dyDescent="0.2">
      <c r="B2994" s="1">
        <v>2979</v>
      </c>
      <c r="C2994" s="101">
        <f ca="1"/>
        <v>0.92623585642683037</v>
      </c>
      <c r="D2994" s="101">
        <f t="shared" ca="1" si="177"/>
        <v>0.72807442049795745</v>
      </c>
      <c r="E2994" s="101">
        <f t="shared" ca="1" si="178"/>
        <v>0</v>
      </c>
      <c r="F2994" s="21">
        <f t="shared" ca="1" si="179"/>
        <v>0</v>
      </c>
      <c r="H2994" s="21">
        <v>2979</v>
      </c>
      <c r="I2994" s="102">
        <v>0.66786480917140323</v>
      </c>
      <c r="J2994" s="103">
        <v>1.5337087955707655E-3</v>
      </c>
      <c r="K2994" s="103"/>
      <c r="L2994" s="103">
        <v>4.58E-2</v>
      </c>
      <c r="O2994" s="100"/>
    </row>
    <row r="2995" spans="2:15" x14ac:dyDescent="0.2">
      <c r="B2995" s="1">
        <v>2980</v>
      </c>
      <c r="C2995" s="101">
        <f ca="1"/>
        <v>0.75122803999142762</v>
      </c>
      <c r="D2995" s="101">
        <f t="shared" ca="1" si="177"/>
        <v>0.71561353517496262</v>
      </c>
      <c r="E2995" s="101">
        <f t="shared" ca="1" si="178"/>
        <v>0</v>
      </c>
      <c r="F2995" s="21">
        <f t="shared" ca="1" si="179"/>
        <v>0</v>
      </c>
      <c r="H2995" s="21">
        <v>2980</v>
      </c>
      <c r="I2995" s="102">
        <v>0.6677634885405721</v>
      </c>
      <c r="J2995" s="103">
        <v>1.2792834675595041E-3</v>
      </c>
      <c r="K2995" s="103"/>
      <c r="L2995" s="103">
        <v>4.2799999999999998E-2</v>
      </c>
      <c r="O2995" s="100"/>
    </row>
    <row r="2996" spans="2:15" x14ac:dyDescent="0.2">
      <c r="B2996" s="1">
        <v>2981</v>
      </c>
      <c r="C2996" s="101">
        <f ca="1"/>
        <v>-0.61458094921002604</v>
      </c>
      <c r="D2996" s="101">
        <f t="shared" ca="1" si="177"/>
        <v>0.62541476676644803</v>
      </c>
      <c r="E2996" s="101">
        <f t="shared" ca="1" si="178"/>
        <v>0</v>
      </c>
      <c r="F2996" s="21">
        <f t="shared" ca="1" si="179"/>
        <v>0</v>
      </c>
      <c r="H2996" s="21">
        <v>2981</v>
      </c>
      <c r="I2996" s="102">
        <v>0.66777752328340556</v>
      </c>
      <c r="J2996" s="103">
        <v>1.387847249270133E-3</v>
      </c>
      <c r="K2996" s="103"/>
      <c r="L2996" s="103">
        <v>4.0800000000000003E-2</v>
      </c>
      <c r="O2996" s="100"/>
    </row>
    <row r="2997" spans="2:15" x14ac:dyDescent="0.2">
      <c r="B2997" s="1">
        <v>2982</v>
      </c>
      <c r="C2997" s="101">
        <f ca="1"/>
        <v>2.0630247800397905</v>
      </c>
      <c r="D2997" s="101">
        <f t="shared" ca="1" si="177"/>
        <v>0.81447003300313348</v>
      </c>
      <c r="E2997" s="101">
        <f t="shared" ca="1" si="178"/>
        <v>2.6270033003133464E-2</v>
      </c>
      <c r="F2997" s="21">
        <f t="shared" ca="1" si="179"/>
        <v>1</v>
      </c>
      <c r="H2997" s="21">
        <v>2982</v>
      </c>
      <c r="I2997" s="102">
        <v>0.66783019345543759</v>
      </c>
      <c r="J2997" s="103">
        <v>1.5204462652980081E-3</v>
      </c>
      <c r="K2997" s="103"/>
      <c r="L2997" s="103">
        <v>4.7E-2</v>
      </c>
      <c r="O2997" s="100"/>
    </row>
    <row r="2998" spans="2:15" x14ac:dyDescent="0.2">
      <c r="B2998" s="1">
        <v>2983</v>
      </c>
      <c r="C2998" s="101">
        <f ca="1"/>
        <v>-0.30327862167978142</v>
      </c>
      <c r="D2998" s="101">
        <f t="shared" ca="1" si="177"/>
        <v>0.64491745429035718</v>
      </c>
      <c r="E2998" s="101">
        <f t="shared" ca="1" si="178"/>
        <v>0</v>
      </c>
      <c r="F2998" s="21">
        <f t="shared" ca="1" si="179"/>
        <v>0</v>
      </c>
      <c r="H2998" s="21">
        <v>2983</v>
      </c>
      <c r="I2998" s="102">
        <v>0.66768117738472033</v>
      </c>
      <c r="J2998" s="103">
        <v>1.3576069199386228E-3</v>
      </c>
      <c r="K2998" s="103"/>
      <c r="L2998" s="103">
        <v>4.2000000000000003E-2</v>
      </c>
      <c r="O2998" s="100"/>
    </row>
    <row r="2999" spans="2:15" x14ac:dyDescent="0.2">
      <c r="B2999" s="1">
        <v>2984</v>
      </c>
      <c r="C2999" s="101">
        <f ca="1"/>
        <v>-1.0861799860706065</v>
      </c>
      <c r="D2999" s="101">
        <f t="shared" ca="1" si="177"/>
        <v>0.59698733707249785</v>
      </c>
      <c r="E2999" s="101">
        <f t="shared" ca="1" si="178"/>
        <v>0</v>
      </c>
      <c r="F2999" s="21">
        <f t="shared" ca="1" si="179"/>
        <v>0</v>
      </c>
      <c r="H2999" s="21">
        <v>2984</v>
      </c>
      <c r="I2999" s="102">
        <v>0.66766061605646432</v>
      </c>
      <c r="J2999" s="103">
        <v>1.3954367865992023E-3</v>
      </c>
      <c r="K2999" s="103"/>
      <c r="L2999" s="103">
        <v>3.9199999999999999E-2</v>
      </c>
      <c r="O2999" s="100"/>
    </row>
    <row r="3000" spans="2:15" x14ac:dyDescent="0.2">
      <c r="B3000" s="1">
        <v>2985</v>
      </c>
      <c r="C3000" s="101">
        <f ca="1"/>
        <v>0.37081772801641288</v>
      </c>
      <c r="D3000" s="101">
        <f t="shared" ca="1" si="177"/>
        <v>0.68925829757628176</v>
      </c>
      <c r="E3000" s="101">
        <f t="shared" ca="1" si="178"/>
        <v>0</v>
      </c>
      <c r="F3000" s="21">
        <f t="shared" ca="1" si="179"/>
        <v>0</v>
      </c>
      <c r="H3000" s="21">
        <v>2985</v>
      </c>
      <c r="I3000" s="102">
        <v>0.66767179079407113</v>
      </c>
      <c r="J3000" s="103">
        <v>1.2527352112587889E-3</v>
      </c>
      <c r="K3000" s="103"/>
      <c r="L3000" s="103">
        <v>4.1000000000000002E-2</v>
      </c>
      <c r="O3000" s="100"/>
    </row>
    <row r="3001" spans="2:15" x14ac:dyDescent="0.2">
      <c r="B3001" s="1">
        <v>2986</v>
      </c>
      <c r="C3001" s="101">
        <f ca="1"/>
        <v>1.5549507921142414</v>
      </c>
      <c r="D3001" s="101">
        <f t="shared" ca="1" si="177"/>
        <v>0.77465714948981079</v>
      </c>
      <c r="E3001" s="101">
        <f t="shared" ca="1" si="178"/>
        <v>0</v>
      </c>
      <c r="F3001" s="21">
        <f t="shared" ca="1" si="179"/>
        <v>0</v>
      </c>
      <c r="H3001" s="21">
        <v>2986</v>
      </c>
      <c r="I3001" s="102">
        <v>0.66783872321850002</v>
      </c>
      <c r="J3001" s="103">
        <v>1.4030835218140803E-3</v>
      </c>
      <c r="K3001" s="103"/>
      <c r="L3001" s="103">
        <v>4.5400000000000003E-2</v>
      </c>
      <c r="O3001" s="100"/>
    </row>
    <row r="3002" spans="2:15" x14ac:dyDescent="0.2">
      <c r="B3002" s="1">
        <v>2987</v>
      </c>
      <c r="C3002" s="101">
        <f ca="1"/>
        <v>-1.1864107327408548</v>
      </c>
      <c r="D3002" s="101">
        <f t="shared" ca="1" si="177"/>
        <v>0.5911140687430998</v>
      </c>
      <c r="E3002" s="101">
        <f t="shared" ca="1" si="178"/>
        <v>0</v>
      </c>
      <c r="F3002" s="21">
        <f t="shared" ca="1" si="179"/>
        <v>0</v>
      </c>
      <c r="H3002" s="21">
        <v>2987</v>
      </c>
      <c r="I3002" s="102">
        <v>0.6677402902928411</v>
      </c>
      <c r="J3002" s="103">
        <v>1.2545916157463521E-3</v>
      </c>
      <c r="K3002" s="103"/>
      <c r="L3002" s="103">
        <v>4.2999999999999997E-2</v>
      </c>
      <c r="O3002" s="100"/>
    </row>
    <row r="3003" spans="2:15" x14ac:dyDescent="0.2">
      <c r="B3003" s="1">
        <v>2988</v>
      </c>
      <c r="C3003" s="101">
        <f ca="1"/>
        <v>0.23109526120803586</v>
      </c>
      <c r="D3003" s="101">
        <f t="shared" ca="1" si="177"/>
        <v>0.67982382180744527</v>
      </c>
      <c r="E3003" s="101">
        <f t="shared" ca="1" si="178"/>
        <v>0</v>
      </c>
      <c r="F3003" s="21">
        <f t="shared" ca="1" si="179"/>
        <v>0</v>
      </c>
      <c r="H3003" s="21">
        <v>2988</v>
      </c>
      <c r="I3003" s="102">
        <v>0.66776190342074238</v>
      </c>
      <c r="J3003" s="103">
        <v>1.4019653794584228E-3</v>
      </c>
      <c r="K3003" s="103"/>
      <c r="L3003" s="103">
        <v>4.3200000000000002E-2</v>
      </c>
      <c r="O3003" s="100"/>
    </row>
    <row r="3004" spans="2:15" x14ac:dyDescent="0.2">
      <c r="B3004" s="1">
        <v>2989</v>
      </c>
      <c r="C3004" s="101">
        <f ca="1"/>
        <v>1.0645277086514204</v>
      </c>
      <c r="D3004" s="101">
        <f t="shared" ca="1" si="177"/>
        <v>0.73807434689517148</v>
      </c>
      <c r="E3004" s="101">
        <f t="shared" ca="1" si="178"/>
        <v>0</v>
      </c>
      <c r="F3004" s="21">
        <f t="shared" ca="1" si="179"/>
        <v>0</v>
      </c>
      <c r="H3004" s="21">
        <v>2989</v>
      </c>
      <c r="I3004" s="102">
        <v>0.66760101595105958</v>
      </c>
      <c r="J3004" s="103">
        <v>1.2672571528264357E-3</v>
      </c>
      <c r="K3004" s="103"/>
      <c r="L3004" s="103">
        <v>3.9199999999999999E-2</v>
      </c>
      <c r="O3004" s="100"/>
    </row>
    <row r="3005" spans="2:15" x14ac:dyDescent="0.2">
      <c r="B3005" s="1">
        <v>2990</v>
      </c>
      <c r="C3005" s="101">
        <f ca="1"/>
        <v>1.220840995236977</v>
      </c>
      <c r="D3005" s="101">
        <f t="shared" ca="1" si="177"/>
        <v>0.74954286727277808</v>
      </c>
      <c r="E3005" s="101">
        <f t="shared" ca="1" si="178"/>
        <v>0</v>
      </c>
      <c r="F3005" s="21">
        <f t="shared" ca="1" si="179"/>
        <v>0</v>
      </c>
      <c r="H3005" s="21">
        <v>2990</v>
      </c>
      <c r="I3005" s="102">
        <v>0.66771232979025585</v>
      </c>
      <c r="J3005" s="103">
        <v>1.3390579853717649E-3</v>
      </c>
      <c r="K3005" s="103"/>
      <c r="L3005" s="103">
        <v>4.1799999999999997E-2</v>
      </c>
      <c r="O3005" s="100"/>
    </row>
    <row r="3006" spans="2:15" x14ac:dyDescent="0.2">
      <c r="B3006" s="1">
        <v>2991</v>
      </c>
      <c r="C3006" s="101">
        <f ca="1"/>
        <v>-0.99552164864830905</v>
      </c>
      <c r="D3006" s="101">
        <f t="shared" ca="1" si="177"/>
        <v>0.60234993320905206</v>
      </c>
      <c r="E3006" s="101">
        <f t="shared" ca="1" si="178"/>
        <v>0</v>
      </c>
      <c r="F3006" s="21">
        <f t="shared" ca="1" si="179"/>
        <v>0</v>
      </c>
      <c r="H3006" s="21">
        <v>2991</v>
      </c>
      <c r="I3006" s="102">
        <v>0.66790266370290563</v>
      </c>
      <c r="J3006" s="103">
        <v>1.5806485674899563E-3</v>
      </c>
      <c r="K3006" s="103"/>
      <c r="L3006" s="103">
        <v>4.5999999999999999E-2</v>
      </c>
      <c r="O3006" s="100"/>
    </row>
    <row r="3007" spans="2:15" x14ac:dyDescent="0.2">
      <c r="B3007" s="1">
        <v>2992</v>
      </c>
      <c r="C3007" s="101">
        <f ca="1"/>
        <v>-1.1559791056010913</v>
      </c>
      <c r="D3007" s="101">
        <f t="shared" ca="1" si="177"/>
        <v>0.59289115034144402</v>
      </c>
      <c r="E3007" s="101">
        <f t="shared" ca="1" si="178"/>
        <v>0</v>
      </c>
      <c r="F3007" s="21">
        <f t="shared" ca="1" si="179"/>
        <v>0</v>
      </c>
      <c r="H3007" s="21">
        <v>2992</v>
      </c>
      <c r="I3007" s="102">
        <v>0.66766272098609303</v>
      </c>
      <c r="J3007" s="103">
        <v>1.345008365322455E-3</v>
      </c>
      <c r="K3007" s="103"/>
      <c r="L3007" s="103">
        <v>0.04</v>
      </c>
      <c r="O3007" s="100"/>
    </row>
    <row r="3008" spans="2:15" x14ac:dyDescent="0.2">
      <c r="B3008" s="1">
        <v>2993</v>
      </c>
      <c r="C3008" s="101">
        <f ca="1"/>
        <v>0.14335159126656791</v>
      </c>
      <c r="D3008" s="101">
        <f t="shared" ca="1" si="177"/>
        <v>0.67396523340301706</v>
      </c>
      <c r="E3008" s="101">
        <f t="shared" ca="1" si="178"/>
        <v>0</v>
      </c>
      <c r="F3008" s="21">
        <f t="shared" ca="1" si="179"/>
        <v>0</v>
      </c>
      <c r="H3008" s="21">
        <v>2993</v>
      </c>
      <c r="I3008" s="102">
        <v>0.66763999925062401</v>
      </c>
      <c r="J3008" s="103">
        <v>1.2598564673235205E-3</v>
      </c>
      <c r="K3008" s="103"/>
      <c r="L3008" s="103">
        <v>3.8399999999999997E-2</v>
      </c>
      <c r="O3008" s="100"/>
    </row>
    <row r="3009" spans="2:15" x14ac:dyDescent="0.2">
      <c r="B3009" s="1">
        <v>2994</v>
      </c>
      <c r="C3009" s="101">
        <f ca="1"/>
        <v>-0.772470973658266</v>
      </c>
      <c r="D3009" s="101">
        <f t="shared" ca="1" si="177"/>
        <v>0.61574971559888758</v>
      </c>
      <c r="E3009" s="101">
        <f t="shared" ca="1" si="178"/>
        <v>0</v>
      </c>
      <c r="F3009" s="21">
        <f t="shared" ca="1" si="179"/>
        <v>0</v>
      </c>
      <c r="H3009" s="21">
        <v>2994</v>
      </c>
      <c r="I3009" s="102">
        <v>0.66789665417474509</v>
      </c>
      <c r="J3009" s="103">
        <v>1.5116207671214427E-3</v>
      </c>
      <c r="K3009" s="103"/>
      <c r="L3009" s="103">
        <v>4.2999999999999997E-2</v>
      </c>
      <c r="O3009" s="100"/>
    </row>
    <row r="3010" spans="2:15" x14ac:dyDescent="0.2">
      <c r="B3010" s="1">
        <v>2995</v>
      </c>
      <c r="C3010" s="101">
        <f ca="1"/>
        <v>-0.10802640944887738</v>
      </c>
      <c r="D3010" s="101">
        <f t="shared" ca="1" si="177"/>
        <v>0.65745891002120571</v>
      </c>
      <c r="E3010" s="101">
        <f t="shared" ca="1" si="178"/>
        <v>0</v>
      </c>
      <c r="F3010" s="21">
        <f t="shared" ca="1" si="179"/>
        <v>0</v>
      </c>
      <c r="H3010" s="21">
        <v>2995</v>
      </c>
      <c r="I3010" s="102">
        <v>0.66768175048283473</v>
      </c>
      <c r="J3010" s="103">
        <v>1.2625234151584952E-3</v>
      </c>
      <c r="K3010" s="103"/>
      <c r="L3010" s="103">
        <v>4.2200000000000001E-2</v>
      </c>
      <c r="O3010" s="100"/>
    </row>
    <row r="3011" spans="2:15" x14ac:dyDescent="0.2">
      <c r="B3011" s="1">
        <v>2996</v>
      </c>
      <c r="C3011" s="101">
        <f ca="1"/>
        <v>0.62461552162380618</v>
      </c>
      <c r="D3011" s="101">
        <f t="shared" ca="1" si="177"/>
        <v>0.70673165488379674</v>
      </c>
      <c r="E3011" s="101">
        <f t="shared" ca="1" si="178"/>
        <v>0</v>
      </c>
      <c r="F3011" s="21">
        <f t="shared" ca="1" si="179"/>
        <v>0</v>
      </c>
      <c r="H3011" s="21">
        <v>2996</v>
      </c>
      <c r="I3011" s="102">
        <v>0.66778399167133695</v>
      </c>
      <c r="J3011" s="103">
        <v>1.4234563301333723E-3</v>
      </c>
      <c r="K3011" s="103"/>
      <c r="L3011" s="103">
        <v>4.2599999999999999E-2</v>
      </c>
      <c r="O3011" s="100"/>
    </row>
    <row r="3012" spans="2:15" x14ac:dyDescent="0.2">
      <c r="B3012" s="1">
        <v>2997</v>
      </c>
      <c r="C3012" s="101">
        <f ca="1"/>
        <v>0.99725310191718797</v>
      </c>
      <c r="D3012" s="101">
        <f t="shared" ca="1" si="177"/>
        <v>0.73319265939421419</v>
      </c>
      <c r="E3012" s="101">
        <f t="shared" ca="1" si="178"/>
        <v>0</v>
      </c>
      <c r="F3012" s="21">
        <f t="shared" ca="1" si="179"/>
        <v>0</v>
      </c>
      <c r="H3012" s="21">
        <v>2997</v>
      </c>
      <c r="I3012" s="102">
        <v>0.6677319776387256</v>
      </c>
      <c r="J3012" s="103">
        <v>1.4918638047695231E-3</v>
      </c>
      <c r="K3012" s="103"/>
      <c r="L3012" s="103">
        <v>4.0800000000000003E-2</v>
      </c>
      <c r="O3012" s="100"/>
    </row>
    <row r="3013" spans="2:15" x14ac:dyDescent="0.2">
      <c r="B3013" s="1">
        <v>2998</v>
      </c>
      <c r="C3013" s="101">
        <f ca="1"/>
        <v>0.54308907687358587</v>
      </c>
      <c r="D3013" s="101">
        <f t="shared" ca="1" si="177"/>
        <v>0.70107099778925397</v>
      </c>
      <c r="E3013" s="101">
        <f t="shared" ca="1" si="178"/>
        <v>0</v>
      </c>
      <c r="F3013" s="21">
        <f t="shared" ca="1" si="179"/>
        <v>0</v>
      </c>
      <c r="H3013" s="21">
        <v>2998</v>
      </c>
      <c r="I3013" s="102">
        <v>0.66777099380654836</v>
      </c>
      <c r="J3013" s="103">
        <v>1.3400184592032513E-3</v>
      </c>
      <c r="K3013" s="103"/>
      <c r="L3013" s="103">
        <v>4.2200000000000001E-2</v>
      </c>
      <c r="O3013" s="100"/>
    </row>
    <row r="3014" spans="2:15" x14ac:dyDescent="0.2">
      <c r="B3014" s="1">
        <v>2999</v>
      </c>
      <c r="C3014" s="101">
        <f ca="1"/>
        <v>-1.8855819806725826</v>
      </c>
      <c r="D3014" s="101">
        <f t="shared" ca="1" si="177"/>
        <v>0.55172063914525271</v>
      </c>
      <c r="E3014" s="101">
        <f t="shared" ca="1" si="178"/>
        <v>0</v>
      </c>
      <c r="F3014" s="21">
        <f t="shared" ca="1" si="179"/>
        <v>0</v>
      </c>
      <c r="H3014" s="21">
        <v>2999</v>
      </c>
      <c r="I3014" s="102">
        <v>0.6676552921776211</v>
      </c>
      <c r="J3014" s="103">
        <v>1.1702673842136681E-3</v>
      </c>
      <c r="K3014" s="103"/>
      <c r="L3014" s="103">
        <v>4.0800000000000003E-2</v>
      </c>
      <c r="O3014" s="100"/>
    </row>
    <row r="3015" spans="2:15" x14ac:dyDescent="0.2">
      <c r="B3015" s="1">
        <v>3000</v>
      </c>
      <c r="C3015" s="101">
        <f ca="1"/>
        <v>0.72478668482982567</v>
      </c>
      <c r="D3015" s="101">
        <f t="shared" ca="1" si="177"/>
        <v>0.71374949652067499</v>
      </c>
      <c r="E3015" s="101">
        <f t="shared" ca="1" si="178"/>
        <v>0</v>
      </c>
      <c r="F3015" s="21">
        <f t="shared" ca="1" si="179"/>
        <v>0</v>
      </c>
      <c r="H3015" s="21">
        <v>3000</v>
      </c>
      <c r="I3015" s="102">
        <v>0.66767155256672439</v>
      </c>
      <c r="J3015" s="103">
        <v>1.2888135903219582E-3</v>
      </c>
      <c r="K3015" s="103"/>
      <c r="L3015" s="103">
        <v>4.2200000000000001E-2</v>
      </c>
      <c r="O3015" s="100"/>
    </row>
    <row r="3016" spans="2:15" x14ac:dyDescent="0.2">
      <c r="B3016" s="1">
        <v>3001</v>
      </c>
      <c r="C3016" s="101">
        <f ca="1"/>
        <v>0.74572629733838891</v>
      </c>
      <c r="D3016" s="101">
        <f t="shared" ca="1" si="177"/>
        <v>0.71522527765260702</v>
      </c>
      <c r="E3016" s="101">
        <f t="shared" ca="1" si="178"/>
        <v>0</v>
      </c>
      <c r="F3016" s="21">
        <f t="shared" ca="1" si="179"/>
        <v>0</v>
      </c>
      <c r="H3016" s="21">
        <v>3001</v>
      </c>
      <c r="I3016" s="102">
        <v>0.66766310711457721</v>
      </c>
      <c r="J3016" s="103">
        <v>1.45437135889431E-3</v>
      </c>
      <c r="K3016" s="103"/>
      <c r="L3016" s="103">
        <v>4.1000000000000002E-2</v>
      </c>
      <c r="O3016" s="100"/>
    </row>
    <row r="3017" spans="2:15" x14ac:dyDescent="0.2">
      <c r="B3017" s="1">
        <v>3002</v>
      </c>
      <c r="C3017" s="101">
        <f ca="1"/>
        <v>0.26063845450443285</v>
      </c>
      <c r="D3017" s="101">
        <f t="shared" ca="1" si="177"/>
        <v>0.68180784011422191</v>
      </c>
      <c r="E3017" s="101">
        <f t="shared" ca="1" si="178"/>
        <v>0</v>
      </c>
      <c r="F3017" s="21">
        <f t="shared" ca="1" si="179"/>
        <v>0</v>
      </c>
      <c r="H3017" s="21">
        <v>3002</v>
      </c>
      <c r="I3017" s="102">
        <v>0.66759144852498831</v>
      </c>
      <c r="J3017" s="103">
        <v>1.1819457475838334E-3</v>
      </c>
      <c r="K3017" s="103"/>
      <c r="L3017" s="103">
        <v>3.4599999999999999E-2</v>
      </c>
      <c r="O3017" s="100"/>
    </row>
    <row r="3018" spans="2:15" x14ac:dyDescent="0.2">
      <c r="B3018" s="1">
        <v>3003</v>
      </c>
      <c r="C3018" s="101">
        <f ca="1"/>
        <v>-0.41126873456663021</v>
      </c>
      <c r="D3018" s="101">
        <f t="shared" ca="1" si="177"/>
        <v>0.63808406810686302</v>
      </c>
      <c r="E3018" s="101">
        <f t="shared" ca="1" si="178"/>
        <v>0</v>
      </c>
      <c r="F3018" s="21">
        <f t="shared" ca="1" si="179"/>
        <v>0</v>
      </c>
      <c r="H3018" s="21">
        <v>3003</v>
      </c>
      <c r="I3018" s="102">
        <v>0.66785566659568407</v>
      </c>
      <c r="J3018" s="103">
        <v>1.5339793989977515E-3</v>
      </c>
      <c r="K3018" s="103"/>
      <c r="L3018" s="103">
        <v>4.5199999999999997E-2</v>
      </c>
      <c r="O3018" s="100"/>
    </row>
    <row r="3019" spans="2:15" x14ac:dyDescent="0.2">
      <c r="B3019" s="1">
        <v>3004</v>
      </c>
      <c r="C3019" s="101">
        <f ca="1"/>
        <v>-0.52054372258841231</v>
      </c>
      <c r="D3019" s="101">
        <f t="shared" ca="1" si="177"/>
        <v>0.63124307685129522</v>
      </c>
      <c r="E3019" s="101">
        <f t="shared" ca="1" si="178"/>
        <v>0</v>
      </c>
      <c r="F3019" s="21">
        <f t="shared" ca="1" si="179"/>
        <v>0</v>
      </c>
      <c r="H3019" s="21">
        <v>3004</v>
      </c>
      <c r="I3019" s="102">
        <v>0.66780638209686072</v>
      </c>
      <c r="J3019" s="103">
        <v>1.4193178895501389E-3</v>
      </c>
      <c r="K3019" s="103"/>
      <c r="L3019" s="103">
        <v>4.1799999999999997E-2</v>
      </c>
      <c r="O3019" s="100"/>
    </row>
    <row r="3020" spans="2:15" x14ac:dyDescent="0.2">
      <c r="B3020" s="1">
        <v>3005</v>
      </c>
      <c r="C3020" s="101">
        <f ca="1"/>
        <v>-0.19876695925141374</v>
      </c>
      <c r="D3020" s="101">
        <f t="shared" ca="1" si="177"/>
        <v>0.6516004059297098</v>
      </c>
      <c r="E3020" s="101">
        <f t="shared" ca="1" si="178"/>
        <v>0</v>
      </c>
      <c r="F3020" s="21">
        <f t="shared" ca="1" si="179"/>
        <v>0</v>
      </c>
      <c r="H3020" s="21">
        <v>3005</v>
      </c>
      <c r="I3020" s="102">
        <v>0.66786251933859919</v>
      </c>
      <c r="J3020" s="103">
        <v>1.5554613452126104E-3</v>
      </c>
      <c r="K3020" s="103"/>
      <c r="L3020" s="103">
        <v>4.36E-2</v>
      </c>
      <c r="O3020" s="100"/>
    </row>
    <row r="3021" spans="2:15" x14ac:dyDescent="0.2">
      <c r="B3021" s="1">
        <v>3006</v>
      </c>
      <c r="C3021" s="101">
        <f ca="1"/>
        <v>-0.71324572237011796</v>
      </c>
      <c r="D3021" s="101">
        <f t="shared" ca="1" si="177"/>
        <v>0.61935748887161879</v>
      </c>
      <c r="E3021" s="101">
        <f t="shared" ca="1" si="178"/>
        <v>0</v>
      </c>
      <c r="F3021" s="21">
        <f t="shared" ca="1" si="179"/>
        <v>0</v>
      </c>
      <c r="H3021" s="21">
        <v>3006</v>
      </c>
      <c r="I3021" s="102">
        <v>0.66776154339900973</v>
      </c>
      <c r="J3021" s="103">
        <v>1.4298951369868624E-3</v>
      </c>
      <c r="K3021" s="103"/>
      <c r="L3021" s="103">
        <v>4.4400000000000002E-2</v>
      </c>
      <c r="O3021" s="100"/>
    </row>
    <row r="3022" spans="2:15" x14ac:dyDescent="0.2">
      <c r="B3022" s="1">
        <v>3007</v>
      </c>
      <c r="C3022" s="101">
        <f ca="1"/>
        <v>-0.37242258932842531</v>
      </c>
      <c r="D3022" s="101">
        <f t="shared" ca="1" si="177"/>
        <v>0.64053379161350721</v>
      </c>
      <c r="E3022" s="101">
        <f t="shared" ca="1" si="178"/>
        <v>0</v>
      </c>
      <c r="F3022" s="21">
        <f t="shared" ca="1" si="179"/>
        <v>0</v>
      </c>
      <c r="H3022" s="21">
        <v>3007</v>
      </c>
      <c r="I3022" s="102">
        <v>0.66756047134398155</v>
      </c>
      <c r="J3022" s="103">
        <v>1.1211948534239965E-3</v>
      </c>
      <c r="K3022" s="103"/>
      <c r="L3022" s="103">
        <v>3.5999999999999997E-2</v>
      </c>
      <c r="O3022" s="100"/>
    </row>
    <row r="3023" spans="2:15" x14ac:dyDescent="0.2">
      <c r="B3023" s="1">
        <v>3008</v>
      </c>
      <c r="C3023" s="101">
        <f ca="1"/>
        <v>0.94797694285460654</v>
      </c>
      <c r="D3023" s="101">
        <f t="shared" ca="1" si="177"/>
        <v>0.72963750222826285</v>
      </c>
      <c r="E3023" s="101">
        <f t="shared" ca="1" si="178"/>
        <v>0</v>
      </c>
      <c r="F3023" s="21">
        <f t="shared" ca="1" si="179"/>
        <v>0</v>
      </c>
      <c r="H3023" s="21">
        <v>3008</v>
      </c>
      <c r="I3023" s="102">
        <v>0.66766012403395703</v>
      </c>
      <c r="J3023" s="103">
        <v>1.3144611320188642E-3</v>
      </c>
      <c r="K3023" s="103"/>
      <c r="L3023" s="103">
        <v>4.02E-2</v>
      </c>
      <c r="O3023" s="100"/>
    </row>
    <row r="3024" spans="2:15" x14ac:dyDescent="0.2">
      <c r="B3024" s="1">
        <v>3009</v>
      </c>
      <c r="C3024" s="101">
        <f ca="1"/>
        <v>0.17811263178921602</v>
      </c>
      <c r="D3024" s="101">
        <f t="shared" ref="D3024:D3087" ca="1" si="180">S0*EXP((μ-0.5*σ*σ)*T+σ*SQRT(T)*$C3024)</f>
        <v>0.67628014252411872</v>
      </c>
      <c r="E3024" s="101">
        <f t="shared" ref="E3024:E3087" ca="1" si="181">MAX(0,CP*(D3024-K))</f>
        <v>0</v>
      </c>
      <c r="F3024" s="21">
        <f t="shared" ref="F3024:F3087" ca="1" si="182">(CP*(D3024-K)&gt;0)*1</f>
        <v>0</v>
      </c>
      <c r="H3024" s="21">
        <v>3009</v>
      </c>
      <c r="I3024" s="102">
        <v>0.66779090398212293</v>
      </c>
      <c r="J3024" s="103">
        <v>1.3556447338577146E-3</v>
      </c>
      <c r="K3024" s="103"/>
      <c r="L3024" s="103">
        <v>4.2200000000000001E-2</v>
      </c>
      <c r="O3024" s="100"/>
    </row>
    <row r="3025" spans="2:15" x14ac:dyDescent="0.2">
      <c r="B3025" s="1">
        <v>3010</v>
      </c>
      <c r="C3025" s="101">
        <f ca="1"/>
        <v>0.11380526462157114</v>
      </c>
      <c r="D3025" s="101">
        <f t="shared" ca="1" si="180"/>
        <v>0.67200382889141219</v>
      </c>
      <c r="E3025" s="101">
        <f t="shared" ca="1" si="181"/>
        <v>0</v>
      </c>
      <c r="F3025" s="21">
        <f t="shared" ca="1" si="182"/>
        <v>0</v>
      </c>
      <c r="H3025" s="21">
        <v>3010</v>
      </c>
      <c r="I3025" s="102">
        <v>0.66767290309232297</v>
      </c>
      <c r="J3025" s="103">
        <v>1.3527108894593035E-3</v>
      </c>
      <c r="K3025" s="103"/>
      <c r="L3025" s="103">
        <v>4.2000000000000003E-2</v>
      </c>
      <c r="O3025" s="100"/>
    </row>
    <row r="3026" spans="2:15" x14ac:dyDescent="0.2">
      <c r="B3026" s="1">
        <v>3011</v>
      </c>
      <c r="C3026" s="101">
        <f ca="1"/>
        <v>0.5034401004451966</v>
      </c>
      <c r="D3026" s="101">
        <f t="shared" ca="1" si="180"/>
        <v>0.69833444462292638</v>
      </c>
      <c r="E3026" s="101">
        <f t="shared" ca="1" si="181"/>
        <v>0</v>
      </c>
      <c r="F3026" s="21">
        <f t="shared" ca="1" si="182"/>
        <v>0</v>
      </c>
      <c r="H3026" s="21">
        <v>3011</v>
      </c>
      <c r="I3026" s="102">
        <v>0.66775716143118757</v>
      </c>
      <c r="J3026" s="103">
        <v>1.378854187784672E-3</v>
      </c>
      <c r="K3026" s="103"/>
      <c r="L3026" s="103">
        <v>4.0800000000000003E-2</v>
      </c>
      <c r="O3026" s="100"/>
    </row>
    <row r="3027" spans="2:15" x14ac:dyDescent="0.2">
      <c r="B3027" s="1">
        <v>3012</v>
      </c>
      <c r="C3027" s="101">
        <f ca="1"/>
        <v>-1.5074878773360727</v>
      </c>
      <c r="D3027" s="101">
        <f t="shared" ca="1" si="180"/>
        <v>0.57268597697293733</v>
      </c>
      <c r="E3027" s="101">
        <f t="shared" ca="1" si="181"/>
        <v>0</v>
      </c>
      <c r="F3027" s="21">
        <f t="shared" ca="1" si="182"/>
        <v>0</v>
      </c>
      <c r="H3027" s="21">
        <v>3012</v>
      </c>
      <c r="I3027" s="102">
        <v>0.66774503476813696</v>
      </c>
      <c r="J3027" s="103">
        <v>1.3602795572018182E-3</v>
      </c>
      <c r="K3027" s="103"/>
      <c r="L3027" s="103">
        <v>0.04</v>
      </c>
      <c r="O3027" s="100"/>
    </row>
    <row r="3028" spans="2:15" x14ac:dyDescent="0.2">
      <c r="B3028" s="1">
        <v>3013</v>
      </c>
      <c r="C3028" s="101">
        <f ca="1"/>
        <v>0.67700266513064977</v>
      </c>
      <c r="D3028" s="101">
        <f t="shared" ca="1" si="180"/>
        <v>0.71039316942199515</v>
      </c>
      <c r="E3028" s="101">
        <f t="shared" ca="1" si="181"/>
        <v>0</v>
      </c>
      <c r="F3028" s="21">
        <f t="shared" ca="1" si="182"/>
        <v>0</v>
      </c>
      <c r="H3028" s="21">
        <v>3013</v>
      </c>
      <c r="I3028" s="102">
        <v>0.66779094144490281</v>
      </c>
      <c r="J3028" s="103">
        <v>1.4186635128979833E-3</v>
      </c>
      <c r="K3028" s="103"/>
      <c r="L3028" s="103">
        <v>4.02E-2</v>
      </c>
      <c r="O3028" s="100"/>
    </row>
    <row r="3029" spans="2:15" x14ac:dyDescent="0.2">
      <c r="B3029" s="1">
        <v>3014</v>
      </c>
      <c r="C3029" s="101">
        <f ca="1"/>
        <v>-0.9736369238985858</v>
      </c>
      <c r="D3029" s="101">
        <f t="shared" ca="1" si="180"/>
        <v>0.60365165358907014</v>
      </c>
      <c r="E3029" s="101">
        <f t="shared" ca="1" si="181"/>
        <v>0</v>
      </c>
      <c r="F3029" s="21">
        <f t="shared" ca="1" si="182"/>
        <v>0</v>
      </c>
      <c r="H3029" s="21">
        <v>3014</v>
      </c>
      <c r="I3029" s="102">
        <v>0.66779682734651102</v>
      </c>
      <c r="J3029" s="103">
        <v>1.4759579242006196E-3</v>
      </c>
      <c r="K3029" s="103"/>
      <c r="L3029" s="103">
        <v>4.4200000000000003E-2</v>
      </c>
      <c r="O3029" s="100"/>
    </row>
    <row r="3030" spans="2:15" x14ac:dyDescent="0.2">
      <c r="B3030" s="1">
        <v>3015</v>
      </c>
      <c r="C3030" s="101">
        <f ca="1"/>
        <v>-0.70929645766903993</v>
      </c>
      <c r="D3030" s="101">
        <f t="shared" ca="1" si="180"/>
        <v>0.6195988132143867</v>
      </c>
      <c r="E3030" s="101">
        <f t="shared" ca="1" si="181"/>
        <v>0</v>
      </c>
      <c r="F3030" s="21">
        <f t="shared" ca="1" si="182"/>
        <v>0</v>
      </c>
      <c r="H3030" s="21">
        <v>3015</v>
      </c>
      <c r="I3030" s="102">
        <v>0.66798074270491081</v>
      </c>
      <c r="J3030" s="103">
        <v>1.7111541161585124E-3</v>
      </c>
      <c r="K3030" s="103"/>
      <c r="L3030" s="103">
        <v>4.8800000000000003E-2</v>
      </c>
      <c r="O3030" s="100"/>
    </row>
    <row r="3031" spans="2:15" x14ac:dyDescent="0.2">
      <c r="B3031" s="1">
        <v>3016</v>
      </c>
      <c r="C3031" s="101">
        <f ca="1"/>
        <v>1.0379262270032541</v>
      </c>
      <c r="D3031" s="101">
        <f t="shared" ca="1" si="180"/>
        <v>0.73614017455981973</v>
      </c>
      <c r="E3031" s="101">
        <f t="shared" ca="1" si="181"/>
        <v>0</v>
      </c>
      <c r="F3031" s="21">
        <f t="shared" ca="1" si="182"/>
        <v>0</v>
      </c>
      <c r="H3031" s="21">
        <v>3016</v>
      </c>
      <c r="I3031" s="102">
        <v>0.66782197775704322</v>
      </c>
      <c r="J3031" s="103">
        <v>1.5791578448010901E-3</v>
      </c>
      <c r="K3031" s="103"/>
      <c r="L3031" s="103">
        <v>4.6800000000000001E-2</v>
      </c>
      <c r="O3031" s="100"/>
    </row>
    <row r="3032" spans="2:15" x14ac:dyDescent="0.2">
      <c r="B3032" s="1">
        <v>3017</v>
      </c>
      <c r="C3032" s="101">
        <f ca="1"/>
        <v>-1.2678474063279119</v>
      </c>
      <c r="D3032" s="101">
        <f t="shared" ca="1" si="180"/>
        <v>0.58638465791178629</v>
      </c>
      <c r="E3032" s="101">
        <f t="shared" ca="1" si="181"/>
        <v>0</v>
      </c>
      <c r="F3032" s="21">
        <f t="shared" ca="1" si="182"/>
        <v>0</v>
      </c>
      <c r="H3032" s="21">
        <v>3017</v>
      </c>
      <c r="I3032" s="102">
        <v>0.66780949953022195</v>
      </c>
      <c r="J3032" s="103">
        <v>1.3548753339082862E-3</v>
      </c>
      <c r="K3032" s="103"/>
      <c r="L3032" s="103">
        <v>4.4400000000000002E-2</v>
      </c>
      <c r="O3032" s="100"/>
    </row>
    <row r="3033" spans="2:15" x14ac:dyDescent="0.2">
      <c r="B3033" s="1">
        <v>3018</v>
      </c>
      <c r="C3033" s="101">
        <f ca="1"/>
        <v>0.34562165449202292</v>
      </c>
      <c r="D3033" s="101">
        <f t="shared" ca="1" si="180"/>
        <v>0.68754735989846383</v>
      </c>
      <c r="E3033" s="101">
        <f t="shared" ca="1" si="181"/>
        <v>0</v>
      </c>
      <c r="F3033" s="21">
        <f t="shared" ca="1" si="182"/>
        <v>0</v>
      </c>
      <c r="H3033" s="21">
        <v>3018</v>
      </c>
      <c r="I3033" s="102">
        <v>0.66777913922331344</v>
      </c>
      <c r="J3033" s="103">
        <v>1.2656112642657931E-3</v>
      </c>
      <c r="K3033" s="103"/>
      <c r="L3033" s="103">
        <v>3.9600000000000003E-2</v>
      </c>
      <c r="O3033" s="100"/>
    </row>
    <row r="3034" spans="2:15" x14ac:dyDescent="0.2">
      <c r="B3034" s="1">
        <v>3019</v>
      </c>
      <c r="C3034" s="101">
        <f ca="1"/>
        <v>-0.67550756450735849</v>
      </c>
      <c r="D3034" s="101">
        <f t="shared" ca="1" si="180"/>
        <v>0.6216673697363958</v>
      </c>
      <c r="E3034" s="101">
        <f t="shared" ca="1" si="181"/>
        <v>0</v>
      </c>
      <c r="F3034" s="21">
        <f t="shared" ca="1" si="182"/>
        <v>0</v>
      </c>
      <c r="H3034" s="21">
        <v>3019</v>
      </c>
      <c r="I3034" s="102">
        <v>0.66777564167900461</v>
      </c>
      <c r="J3034" s="103">
        <v>1.4160411001444115E-3</v>
      </c>
      <c r="K3034" s="103"/>
      <c r="L3034" s="103">
        <v>4.24E-2</v>
      </c>
      <c r="O3034" s="100"/>
    </row>
    <row r="3035" spans="2:15" x14ac:dyDescent="0.2">
      <c r="B3035" s="1">
        <v>3020</v>
      </c>
      <c r="C3035" s="101">
        <f ca="1"/>
        <v>-1.1853693551277282</v>
      </c>
      <c r="D3035" s="101">
        <f t="shared" ca="1" si="180"/>
        <v>0.59117479279460305</v>
      </c>
      <c r="E3035" s="101">
        <f t="shared" ca="1" si="181"/>
        <v>0</v>
      </c>
      <c r="F3035" s="21">
        <f t="shared" ca="1" si="182"/>
        <v>0</v>
      </c>
      <c r="H3035" s="21">
        <v>3020</v>
      </c>
      <c r="I3035" s="102">
        <v>0.66776422595560803</v>
      </c>
      <c r="J3035" s="103">
        <v>1.3145898536927338E-3</v>
      </c>
      <c r="K3035" s="103"/>
      <c r="L3035" s="103">
        <v>4.3200000000000002E-2</v>
      </c>
      <c r="O3035" s="100"/>
    </row>
    <row r="3036" spans="2:15" x14ac:dyDescent="0.2">
      <c r="B3036" s="1">
        <v>3021</v>
      </c>
      <c r="C3036" s="101">
        <f ca="1"/>
        <v>6.8926752152030299E-2</v>
      </c>
      <c r="D3036" s="101">
        <f t="shared" ca="1" si="180"/>
        <v>0.6690355262918759</v>
      </c>
      <c r="E3036" s="101">
        <f t="shared" ca="1" si="181"/>
        <v>0</v>
      </c>
      <c r="F3036" s="21">
        <f t="shared" ca="1" si="182"/>
        <v>0</v>
      </c>
      <c r="H3036" s="21">
        <v>3021</v>
      </c>
      <c r="I3036" s="102">
        <v>0.66777173005052171</v>
      </c>
      <c r="J3036" s="103">
        <v>1.3459495590435471E-3</v>
      </c>
      <c r="K3036" s="103"/>
      <c r="L3036" s="103">
        <v>4.3200000000000002E-2</v>
      </c>
      <c r="O3036" s="100"/>
    </row>
    <row r="3037" spans="2:15" x14ac:dyDescent="0.2">
      <c r="B3037" s="1">
        <v>3022</v>
      </c>
      <c r="C3037" s="101">
        <f ca="1"/>
        <v>-1.6447798024588047</v>
      </c>
      <c r="D3037" s="101">
        <f t="shared" ca="1" si="180"/>
        <v>0.56498256698268046</v>
      </c>
      <c r="E3037" s="101">
        <f t="shared" ca="1" si="181"/>
        <v>0</v>
      </c>
      <c r="F3037" s="21">
        <f t="shared" ca="1" si="182"/>
        <v>0</v>
      </c>
      <c r="H3037" s="21">
        <v>3022</v>
      </c>
      <c r="I3037" s="102">
        <v>0.66782195733970107</v>
      </c>
      <c r="J3037" s="103">
        <v>1.4199646893581625E-3</v>
      </c>
      <c r="K3037" s="103"/>
      <c r="L3037" s="103">
        <v>4.3400000000000001E-2</v>
      </c>
      <c r="O3037" s="100"/>
    </row>
    <row r="3038" spans="2:15" x14ac:dyDescent="0.2">
      <c r="B3038" s="1">
        <v>3023</v>
      </c>
      <c r="C3038" s="101">
        <f ca="1"/>
        <v>-0.35367784531835894</v>
      </c>
      <c r="D3038" s="101">
        <f t="shared" ca="1" si="180"/>
        <v>0.64171923830533384</v>
      </c>
      <c r="E3038" s="101">
        <f t="shared" ca="1" si="181"/>
        <v>0</v>
      </c>
      <c r="F3038" s="21">
        <f t="shared" ca="1" si="182"/>
        <v>0</v>
      </c>
      <c r="H3038" s="21">
        <v>3023</v>
      </c>
      <c r="I3038" s="102">
        <v>0.66757490824816501</v>
      </c>
      <c r="J3038" s="103">
        <v>1.3039445908782526E-3</v>
      </c>
      <c r="K3038" s="103"/>
      <c r="L3038" s="103">
        <v>3.8199999999999998E-2</v>
      </c>
      <c r="O3038" s="100"/>
    </row>
    <row r="3039" spans="2:15" x14ac:dyDescent="0.2">
      <c r="B3039" s="1">
        <v>3024</v>
      </c>
      <c r="C3039" s="101">
        <f ca="1"/>
        <v>0.33495957037876345</v>
      </c>
      <c r="D3039" s="101">
        <f t="shared" ca="1" si="180"/>
        <v>0.68682463125822679</v>
      </c>
      <c r="E3039" s="101">
        <f t="shared" ca="1" si="181"/>
        <v>0</v>
      </c>
      <c r="F3039" s="21">
        <f t="shared" ca="1" si="182"/>
        <v>0</v>
      </c>
      <c r="H3039" s="21">
        <v>3024</v>
      </c>
      <c r="I3039" s="102">
        <v>0.66755536056687637</v>
      </c>
      <c r="J3039" s="103">
        <v>1.209696943187883E-3</v>
      </c>
      <c r="K3039" s="103"/>
      <c r="L3039" s="103">
        <v>3.6799999999999999E-2</v>
      </c>
      <c r="O3039" s="100"/>
    </row>
    <row r="3040" spans="2:15" x14ac:dyDescent="0.2">
      <c r="B3040" s="1">
        <v>3025</v>
      </c>
      <c r="C3040" s="101">
        <f ca="1"/>
        <v>8.1324707894106826E-2</v>
      </c>
      <c r="D3040" s="101">
        <f t="shared" ca="1" si="180"/>
        <v>0.66985422432975728</v>
      </c>
      <c r="E3040" s="101">
        <f t="shared" ca="1" si="181"/>
        <v>0</v>
      </c>
      <c r="F3040" s="21">
        <f t="shared" ca="1" si="182"/>
        <v>0</v>
      </c>
      <c r="H3040" s="21">
        <v>3025</v>
      </c>
      <c r="I3040" s="102">
        <v>0.66764470598426373</v>
      </c>
      <c r="J3040" s="103">
        <v>1.3289714625275546E-3</v>
      </c>
      <c r="K3040" s="103"/>
      <c r="L3040" s="103">
        <v>0.04</v>
      </c>
      <c r="O3040" s="100"/>
    </row>
    <row r="3041" spans="2:15" x14ac:dyDescent="0.2">
      <c r="B3041" s="1">
        <v>3026</v>
      </c>
      <c r="C3041" s="101">
        <f ca="1"/>
        <v>-1.0202232932445179</v>
      </c>
      <c r="D3041" s="101">
        <f t="shared" ca="1" si="180"/>
        <v>0.60088403220649433</v>
      </c>
      <c r="E3041" s="101">
        <f t="shared" ca="1" si="181"/>
        <v>0</v>
      </c>
      <c r="F3041" s="21">
        <f t="shared" ca="1" si="182"/>
        <v>0</v>
      </c>
      <c r="H3041" s="21">
        <v>3026</v>
      </c>
      <c r="I3041" s="102">
        <v>0.66773263152196405</v>
      </c>
      <c r="J3041" s="103">
        <v>1.3366877149315836E-3</v>
      </c>
      <c r="K3041" s="103"/>
      <c r="L3041" s="103">
        <v>4.2599999999999999E-2</v>
      </c>
      <c r="O3041" s="100"/>
    </row>
    <row r="3042" spans="2:15" x14ac:dyDescent="0.2">
      <c r="B3042" s="1">
        <v>3027</v>
      </c>
      <c r="C3042" s="101">
        <f ca="1"/>
        <v>-0.14791847550368298</v>
      </c>
      <c r="D3042" s="101">
        <f t="shared" ca="1" si="180"/>
        <v>0.65487688854641657</v>
      </c>
      <c r="E3042" s="101">
        <f t="shared" ca="1" si="181"/>
        <v>0</v>
      </c>
      <c r="F3042" s="21">
        <f t="shared" ca="1" si="182"/>
        <v>0</v>
      </c>
      <c r="H3042" s="21">
        <v>3027</v>
      </c>
      <c r="I3042" s="102">
        <v>0.66785462666783368</v>
      </c>
      <c r="J3042" s="103">
        <v>1.3684918937395759E-3</v>
      </c>
      <c r="K3042" s="103"/>
      <c r="L3042" s="103">
        <v>4.7E-2</v>
      </c>
      <c r="O3042" s="100"/>
    </row>
    <row r="3043" spans="2:15" x14ac:dyDescent="0.2">
      <c r="B3043" s="1">
        <v>3028</v>
      </c>
      <c r="C3043" s="101">
        <f ca="1"/>
        <v>-0.35077840139515659</v>
      </c>
      <c r="D3043" s="101">
        <f t="shared" ca="1" si="180"/>
        <v>0.64190279945976925</v>
      </c>
      <c r="E3043" s="101">
        <f t="shared" ca="1" si="181"/>
        <v>0</v>
      </c>
      <c r="F3043" s="21">
        <f t="shared" ca="1" si="182"/>
        <v>0</v>
      </c>
      <c r="H3043" s="21">
        <v>3028</v>
      </c>
      <c r="I3043" s="102">
        <v>0.66757354292967108</v>
      </c>
      <c r="J3043" s="103">
        <v>1.2242568072050419E-3</v>
      </c>
      <c r="K3043" s="103"/>
      <c r="L3043" s="103">
        <v>3.8600000000000002E-2</v>
      </c>
      <c r="O3043" s="100"/>
    </row>
    <row r="3044" spans="2:15" x14ac:dyDescent="0.2">
      <c r="B3044" s="1">
        <v>3029</v>
      </c>
      <c r="C3044" s="101">
        <f ca="1"/>
        <v>0.50750008712131056</v>
      </c>
      <c r="D3044" s="101">
        <f t="shared" ca="1" si="180"/>
        <v>0.69861417133410852</v>
      </c>
      <c r="E3044" s="101">
        <f t="shared" ca="1" si="181"/>
        <v>0</v>
      </c>
      <c r="F3044" s="21">
        <f t="shared" ca="1" si="182"/>
        <v>0</v>
      </c>
      <c r="H3044" s="21">
        <v>3029</v>
      </c>
      <c r="I3044" s="102">
        <v>0.66781773099530162</v>
      </c>
      <c r="J3044" s="103">
        <v>1.4897637432947464E-3</v>
      </c>
      <c r="K3044" s="103"/>
      <c r="L3044" s="103">
        <v>4.4999999999999998E-2</v>
      </c>
      <c r="O3044" s="100"/>
    </row>
    <row r="3045" spans="2:15" x14ac:dyDescent="0.2">
      <c r="B3045" s="1">
        <v>3030</v>
      </c>
      <c r="C3045" s="101">
        <f ca="1"/>
        <v>-0.88688479574376522</v>
      </c>
      <c r="D3045" s="101">
        <f t="shared" ca="1" si="180"/>
        <v>0.6088394743369111</v>
      </c>
      <c r="E3045" s="101">
        <f t="shared" ca="1" si="181"/>
        <v>0</v>
      </c>
      <c r="F3045" s="21">
        <f t="shared" ca="1" si="182"/>
        <v>0</v>
      </c>
      <c r="H3045" s="21">
        <v>3030</v>
      </c>
      <c r="I3045" s="102">
        <v>0.66751765265624163</v>
      </c>
      <c r="J3045" s="103">
        <v>1.1495623104981528E-3</v>
      </c>
      <c r="K3045" s="103"/>
      <c r="L3045" s="103">
        <v>3.4599999999999999E-2</v>
      </c>
      <c r="O3045" s="100"/>
    </row>
    <row r="3046" spans="2:15" x14ac:dyDescent="0.2">
      <c r="B3046" s="1">
        <v>3031</v>
      </c>
      <c r="C3046" s="101">
        <f ca="1"/>
        <v>-8.4652263526406327E-2</v>
      </c>
      <c r="D3046" s="101">
        <f t="shared" ca="1" si="180"/>
        <v>0.65897653347703999</v>
      </c>
      <c r="E3046" s="101">
        <f t="shared" ca="1" si="181"/>
        <v>0</v>
      </c>
      <c r="F3046" s="21">
        <f t="shared" ca="1" si="182"/>
        <v>0</v>
      </c>
      <c r="H3046" s="21">
        <v>3031</v>
      </c>
      <c r="I3046" s="102">
        <v>0.66789284791579762</v>
      </c>
      <c r="J3046" s="103">
        <v>1.6796240017932934E-3</v>
      </c>
      <c r="K3046" s="103"/>
      <c r="L3046" s="103">
        <v>4.48E-2</v>
      </c>
      <c r="O3046" s="100"/>
    </row>
    <row r="3047" spans="2:15" x14ac:dyDescent="0.2">
      <c r="B3047" s="1">
        <v>3032</v>
      </c>
      <c r="C3047" s="101">
        <f ca="1"/>
        <v>0.59747459698627881</v>
      </c>
      <c r="D3047" s="101">
        <f t="shared" ca="1" si="180"/>
        <v>0.70484211151940479</v>
      </c>
      <c r="E3047" s="101">
        <f t="shared" ca="1" si="181"/>
        <v>0</v>
      </c>
      <c r="F3047" s="21">
        <f t="shared" ca="1" si="182"/>
        <v>0</v>
      </c>
      <c r="H3047" s="21">
        <v>3032</v>
      </c>
      <c r="I3047" s="102">
        <v>0.66783992321048768</v>
      </c>
      <c r="J3047" s="103">
        <v>1.5022723332133797E-3</v>
      </c>
      <c r="K3047" s="103"/>
      <c r="L3047" s="103">
        <v>4.5199999999999997E-2</v>
      </c>
      <c r="O3047" s="100"/>
    </row>
    <row r="3048" spans="2:15" x14ac:dyDescent="0.2">
      <c r="B3048" s="1">
        <v>3033</v>
      </c>
      <c r="C3048" s="101">
        <f ca="1"/>
        <v>-1.1650127921540578</v>
      </c>
      <c r="D3048" s="101">
        <f t="shared" ca="1" si="180"/>
        <v>0.59236306343235112</v>
      </c>
      <c r="E3048" s="101">
        <f t="shared" ca="1" si="181"/>
        <v>0</v>
      </c>
      <c r="F3048" s="21">
        <f t="shared" ca="1" si="182"/>
        <v>0</v>
      </c>
      <c r="H3048" s="21">
        <v>3033</v>
      </c>
      <c r="I3048" s="102">
        <v>0.66779420824909541</v>
      </c>
      <c r="J3048" s="103">
        <v>1.5452226022476089E-3</v>
      </c>
      <c r="K3048" s="103"/>
      <c r="L3048" s="103">
        <v>4.24E-2</v>
      </c>
      <c r="O3048" s="100"/>
    </row>
    <row r="3049" spans="2:15" x14ac:dyDescent="0.2">
      <c r="B3049" s="1">
        <v>3034</v>
      </c>
      <c r="C3049" s="101">
        <f ca="1"/>
        <v>-0.93779976585948932</v>
      </c>
      <c r="D3049" s="101">
        <f t="shared" ca="1" si="180"/>
        <v>0.60578935332804662</v>
      </c>
      <c r="E3049" s="101">
        <f t="shared" ca="1" si="181"/>
        <v>0</v>
      </c>
      <c r="F3049" s="21">
        <f t="shared" ca="1" si="182"/>
        <v>0</v>
      </c>
      <c r="H3049" s="21">
        <v>3034</v>
      </c>
      <c r="I3049" s="102">
        <v>0.66785454610298578</v>
      </c>
      <c r="J3049" s="103">
        <v>1.487494943128812E-3</v>
      </c>
      <c r="K3049" s="103"/>
      <c r="L3049" s="103">
        <v>4.2999999999999997E-2</v>
      </c>
      <c r="O3049" s="100"/>
    </row>
    <row r="3050" spans="2:15" x14ac:dyDescent="0.2">
      <c r="B3050" s="1">
        <v>3035</v>
      </c>
      <c r="C3050" s="101">
        <f ca="1"/>
        <v>1.4217574307381957</v>
      </c>
      <c r="D3050" s="101">
        <f t="shared" ca="1" si="180"/>
        <v>0.76454598498568194</v>
      </c>
      <c r="E3050" s="101">
        <f t="shared" ca="1" si="181"/>
        <v>0</v>
      </c>
      <c r="F3050" s="21">
        <f t="shared" ca="1" si="182"/>
        <v>0</v>
      </c>
      <c r="H3050" s="21">
        <v>3035</v>
      </c>
      <c r="I3050" s="102">
        <v>0.66776742123587252</v>
      </c>
      <c r="J3050" s="103">
        <v>1.3809694587871024E-3</v>
      </c>
      <c r="K3050" s="103"/>
      <c r="L3050" s="103">
        <v>4.2000000000000003E-2</v>
      </c>
      <c r="O3050" s="100"/>
    </row>
    <row r="3051" spans="2:15" x14ac:dyDescent="0.2">
      <c r="B3051" s="1">
        <v>3036</v>
      </c>
      <c r="C3051" s="101">
        <f ca="1"/>
        <v>1.4337697408470085</v>
      </c>
      <c r="D3051" s="101">
        <f t="shared" ca="1" si="180"/>
        <v>0.76545244024555192</v>
      </c>
      <c r="E3051" s="101">
        <f t="shared" ca="1" si="181"/>
        <v>0</v>
      </c>
      <c r="F3051" s="21">
        <f t="shared" ca="1" si="182"/>
        <v>0</v>
      </c>
      <c r="H3051" s="21">
        <v>3036</v>
      </c>
      <c r="I3051" s="102">
        <v>0.66771365260138149</v>
      </c>
      <c r="J3051" s="103">
        <v>1.2261293941415038E-3</v>
      </c>
      <c r="K3051" s="103"/>
      <c r="L3051" s="103">
        <v>3.9E-2</v>
      </c>
      <c r="O3051" s="100"/>
    </row>
    <row r="3052" spans="2:15" x14ac:dyDescent="0.2">
      <c r="B3052" s="1">
        <v>3037</v>
      </c>
      <c r="C3052" s="101">
        <f ca="1"/>
        <v>-0.67450733420399778</v>
      </c>
      <c r="D3052" s="101">
        <f t="shared" ca="1" si="180"/>
        <v>0.62172870897855548</v>
      </c>
      <c r="E3052" s="101">
        <f t="shared" ca="1" si="181"/>
        <v>0</v>
      </c>
      <c r="F3052" s="21">
        <f t="shared" ca="1" si="182"/>
        <v>0</v>
      </c>
      <c r="H3052" s="21">
        <v>3037</v>
      </c>
      <c r="I3052" s="102">
        <v>0.66762599018342716</v>
      </c>
      <c r="J3052" s="103">
        <v>1.3245830909775537E-3</v>
      </c>
      <c r="K3052" s="103"/>
      <c r="L3052" s="103">
        <v>4.0599999999999997E-2</v>
      </c>
      <c r="O3052" s="100"/>
    </row>
    <row r="3053" spans="2:15" x14ac:dyDescent="0.2">
      <c r="B3053" s="1">
        <v>3038</v>
      </c>
      <c r="C3053" s="101">
        <f ca="1"/>
        <v>-0.43881521321135414</v>
      </c>
      <c r="D3053" s="101">
        <f t="shared" ca="1" si="180"/>
        <v>0.63635260601445154</v>
      </c>
      <c r="E3053" s="101">
        <f t="shared" ca="1" si="181"/>
        <v>0</v>
      </c>
      <c r="F3053" s="21">
        <f t="shared" ca="1" si="182"/>
        <v>0</v>
      </c>
      <c r="H3053" s="21">
        <v>3038</v>
      </c>
      <c r="I3053" s="102">
        <v>0.66789734941082468</v>
      </c>
      <c r="J3053" s="103">
        <v>1.5127430530603809E-3</v>
      </c>
      <c r="K3053" s="103"/>
      <c r="L3053" s="103">
        <v>4.5999999999999999E-2</v>
      </c>
      <c r="O3053" s="100"/>
    </row>
    <row r="3054" spans="2:15" x14ac:dyDescent="0.2">
      <c r="B3054" s="1">
        <v>3039</v>
      </c>
      <c r="C3054" s="101">
        <f ca="1"/>
        <v>4.356619566519486E-2</v>
      </c>
      <c r="D3054" s="101">
        <f t="shared" ca="1" si="180"/>
        <v>0.66736395941252291</v>
      </c>
      <c r="E3054" s="101">
        <f t="shared" ca="1" si="181"/>
        <v>0</v>
      </c>
      <c r="F3054" s="21">
        <f t="shared" ca="1" si="182"/>
        <v>0</v>
      </c>
      <c r="H3054" s="21">
        <v>3039</v>
      </c>
      <c r="I3054" s="102">
        <v>0.66771387113741443</v>
      </c>
      <c r="J3054" s="103">
        <v>1.2135902054994053E-3</v>
      </c>
      <c r="K3054" s="103"/>
      <c r="L3054" s="103">
        <v>4.2200000000000001E-2</v>
      </c>
      <c r="O3054" s="100"/>
    </row>
    <row r="3055" spans="2:15" x14ac:dyDescent="0.2">
      <c r="B3055" s="1">
        <v>3040</v>
      </c>
      <c r="C3055" s="101">
        <f ca="1"/>
        <v>-1.2878803855906367</v>
      </c>
      <c r="D3055" s="101">
        <f t="shared" ca="1" si="180"/>
        <v>0.58522705926212581</v>
      </c>
      <c r="E3055" s="101">
        <f t="shared" ca="1" si="181"/>
        <v>0</v>
      </c>
      <c r="F3055" s="21">
        <f t="shared" ca="1" si="182"/>
        <v>0</v>
      </c>
      <c r="H3055" s="21">
        <v>3040</v>
      </c>
      <c r="I3055" s="102">
        <v>0.66785871930327034</v>
      </c>
      <c r="J3055" s="103">
        <v>1.5092623484273232E-3</v>
      </c>
      <c r="K3055" s="103"/>
      <c r="L3055" s="103">
        <v>4.48E-2</v>
      </c>
      <c r="O3055" s="100"/>
    </row>
    <row r="3056" spans="2:15" x14ac:dyDescent="0.2">
      <c r="B3056" s="1">
        <v>3041</v>
      </c>
      <c r="C3056" s="101">
        <f ca="1"/>
        <v>2.6136069300488705E-2</v>
      </c>
      <c r="D3056" s="101">
        <f t="shared" ca="1" si="180"/>
        <v>0.66621752585205296</v>
      </c>
      <c r="E3056" s="101">
        <f t="shared" ca="1" si="181"/>
        <v>0</v>
      </c>
      <c r="F3056" s="21">
        <f t="shared" ca="1" si="182"/>
        <v>0</v>
      </c>
      <c r="H3056" s="21">
        <v>3041</v>
      </c>
      <c r="I3056" s="102">
        <v>0.66773416669534702</v>
      </c>
      <c r="J3056" s="103">
        <v>1.252831025573812E-3</v>
      </c>
      <c r="K3056" s="103"/>
      <c r="L3056" s="103">
        <v>4.1399999999999999E-2</v>
      </c>
      <c r="O3056" s="100"/>
    </row>
    <row r="3057" spans="2:15" x14ac:dyDescent="0.2">
      <c r="B3057" s="1">
        <v>3042</v>
      </c>
      <c r="C3057" s="101">
        <f ca="1"/>
        <v>0.61225604323553784</v>
      </c>
      <c r="D3057" s="101">
        <f t="shared" ca="1" si="180"/>
        <v>0.70587056422533079</v>
      </c>
      <c r="E3057" s="101">
        <f t="shared" ca="1" si="181"/>
        <v>0</v>
      </c>
      <c r="F3057" s="21">
        <f t="shared" ca="1" si="182"/>
        <v>0</v>
      </c>
      <c r="H3057" s="21">
        <v>3042</v>
      </c>
      <c r="I3057" s="102">
        <v>0.66771668395083605</v>
      </c>
      <c r="J3057" s="103">
        <v>1.3389363788288819E-3</v>
      </c>
      <c r="K3057" s="103"/>
      <c r="L3057" s="103">
        <v>4.2999999999999997E-2</v>
      </c>
      <c r="O3057" s="100"/>
    </row>
    <row r="3058" spans="2:15" x14ac:dyDescent="0.2">
      <c r="B3058" s="1">
        <v>3043</v>
      </c>
      <c r="C3058" s="101">
        <f ca="1"/>
        <v>0.24422843709035555</v>
      </c>
      <c r="D3058" s="101">
        <f t="shared" ca="1" si="180"/>
        <v>0.68070508651643191</v>
      </c>
      <c r="E3058" s="101">
        <f t="shared" ca="1" si="181"/>
        <v>0</v>
      </c>
      <c r="F3058" s="21">
        <f t="shared" ca="1" si="182"/>
        <v>0</v>
      </c>
      <c r="H3058" s="21">
        <v>3043</v>
      </c>
      <c r="I3058" s="102">
        <v>0.66769152332922999</v>
      </c>
      <c r="J3058" s="103">
        <v>1.4194298929463575E-3</v>
      </c>
      <c r="K3058" s="103"/>
      <c r="L3058" s="103">
        <v>3.9800000000000002E-2</v>
      </c>
      <c r="O3058" s="100"/>
    </row>
    <row r="3059" spans="2:15" x14ac:dyDescent="0.2">
      <c r="B3059" s="1">
        <v>3044</v>
      </c>
      <c r="C3059" s="101">
        <f ca="1"/>
        <v>-0.3663114815783336</v>
      </c>
      <c r="D3059" s="101">
        <f t="shared" ca="1" si="180"/>
        <v>0.64092002676135429</v>
      </c>
      <c r="E3059" s="101">
        <f t="shared" ca="1" si="181"/>
        <v>0</v>
      </c>
      <c r="F3059" s="21">
        <f t="shared" ca="1" si="182"/>
        <v>0</v>
      </c>
      <c r="H3059" s="21">
        <v>3044</v>
      </c>
      <c r="I3059" s="102">
        <v>0.6676717180371412</v>
      </c>
      <c r="J3059" s="103">
        <v>1.3297512122697913E-3</v>
      </c>
      <c r="K3059" s="103"/>
      <c r="L3059" s="103">
        <v>4.1399999999999999E-2</v>
      </c>
      <c r="O3059" s="100"/>
    </row>
    <row r="3060" spans="2:15" x14ac:dyDescent="0.2">
      <c r="B3060" s="1">
        <v>3045</v>
      </c>
      <c r="C3060" s="101">
        <f ca="1"/>
        <v>7.9412067500096467E-2</v>
      </c>
      <c r="D3060" s="101">
        <f t="shared" ca="1" si="180"/>
        <v>0.66972785794603595</v>
      </c>
      <c r="E3060" s="101">
        <f t="shared" ca="1" si="181"/>
        <v>0</v>
      </c>
      <c r="F3060" s="21">
        <f t="shared" ca="1" si="182"/>
        <v>0</v>
      </c>
      <c r="H3060" s="21">
        <v>3045</v>
      </c>
      <c r="I3060" s="102">
        <v>0.66776514836414891</v>
      </c>
      <c r="J3060" s="103">
        <v>1.3690236334637598E-3</v>
      </c>
      <c r="K3060" s="103"/>
      <c r="L3060" s="103">
        <v>4.0599999999999997E-2</v>
      </c>
      <c r="O3060" s="100"/>
    </row>
    <row r="3061" spans="2:15" x14ac:dyDescent="0.2">
      <c r="B3061" s="1">
        <v>3046</v>
      </c>
      <c r="C3061" s="101">
        <f ca="1"/>
        <v>0.13378079762195133</v>
      </c>
      <c r="D3061" s="101">
        <f t="shared" ca="1" si="180"/>
        <v>0.67332925940487631</v>
      </c>
      <c r="E3061" s="101">
        <f t="shared" ca="1" si="181"/>
        <v>0</v>
      </c>
      <c r="F3061" s="21">
        <f t="shared" ca="1" si="182"/>
        <v>0</v>
      </c>
      <c r="H3061" s="21">
        <v>3046</v>
      </c>
      <c r="I3061" s="102">
        <v>0.6678233159249668</v>
      </c>
      <c r="J3061" s="103">
        <v>1.4785437353395988E-3</v>
      </c>
      <c r="K3061" s="103"/>
      <c r="L3061" s="103">
        <v>4.3799999999999999E-2</v>
      </c>
      <c r="O3061" s="100"/>
    </row>
    <row r="3062" spans="2:15" x14ac:dyDescent="0.2">
      <c r="B3062" s="1">
        <v>3047</v>
      </c>
      <c r="C3062" s="101">
        <f ca="1"/>
        <v>-0.78169847427044348</v>
      </c>
      <c r="D3062" s="101">
        <f t="shared" ca="1" si="180"/>
        <v>0.61518950726144117</v>
      </c>
      <c r="E3062" s="101">
        <f t="shared" ca="1" si="181"/>
        <v>0</v>
      </c>
      <c r="F3062" s="21">
        <f t="shared" ca="1" si="182"/>
        <v>0</v>
      </c>
      <c r="H3062" s="21">
        <v>3047</v>
      </c>
      <c r="I3062" s="102">
        <v>0.66761680819184144</v>
      </c>
      <c r="J3062" s="103">
        <v>1.1685614109650288E-3</v>
      </c>
      <c r="K3062" s="103"/>
      <c r="L3062" s="103">
        <v>3.8600000000000002E-2</v>
      </c>
      <c r="O3062" s="100"/>
    </row>
    <row r="3063" spans="2:15" x14ac:dyDescent="0.2">
      <c r="B3063" s="1">
        <v>3048</v>
      </c>
      <c r="C3063" s="101">
        <f ca="1"/>
        <v>1.3369399445203505</v>
      </c>
      <c r="D3063" s="101">
        <f t="shared" ca="1" si="180"/>
        <v>0.75817608795887392</v>
      </c>
      <c r="E3063" s="101">
        <f t="shared" ca="1" si="181"/>
        <v>0</v>
      </c>
      <c r="F3063" s="21">
        <f t="shared" ca="1" si="182"/>
        <v>0</v>
      </c>
      <c r="H3063" s="21">
        <v>3048</v>
      </c>
      <c r="I3063" s="102">
        <v>0.6677774214979546</v>
      </c>
      <c r="J3063" s="103">
        <v>1.367887148948016E-3</v>
      </c>
      <c r="K3063" s="103"/>
      <c r="L3063" s="103">
        <v>4.48E-2</v>
      </c>
      <c r="O3063" s="100"/>
    </row>
    <row r="3064" spans="2:15" x14ac:dyDescent="0.2">
      <c r="B3064" s="1">
        <v>3049</v>
      </c>
      <c r="C3064" s="101">
        <f ca="1"/>
        <v>0.81070561078268089</v>
      </c>
      <c r="D3064" s="101">
        <f t="shared" ca="1" si="180"/>
        <v>0.71982434166455833</v>
      </c>
      <c r="E3064" s="101">
        <f t="shared" ca="1" si="181"/>
        <v>0</v>
      </c>
      <c r="F3064" s="21">
        <f t="shared" ca="1" si="182"/>
        <v>0</v>
      </c>
      <c r="H3064" s="21">
        <v>3049</v>
      </c>
      <c r="I3064" s="102">
        <v>0.66777062835613565</v>
      </c>
      <c r="J3064" s="103">
        <v>1.3817828288853816E-3</v>
      </c>
      <c r="K3064" s="103"/>
      <c r="L3064" s="103">
        <v>3.9199999999999999E-2</v>
      </c>
      <c r="O3064" s="100"/>
    </row>
    <row r="3065" spans="2:15" x14ac:dyDescent="0.2">
      <c r="B3065" s="1">
        <v>3050</v>
      </c>
      <c r="C3065" s="101">
        <f ca="1"/>
        <v>-0.51745416133813693</v>
      </c>
      <c r="D3065" s="101">
        <f t="shared" ca="1" si="180"/>
        <v>0.63143548280979889</v>
      </c>
      <c r="E3065" s="101">
        <f t="shared" ca="1" si="181"/>
        <v>0</v>
      </c>
      <c r="F3065" s="21">
        <f t="shared" ca="1" si="182"/>
        <v>0</v>
      </c>
      <c r="H3065" s="21">
        <v>3050</v>
      </c>
      <c r="I3065" s="102">
        <v>0.66763940670780153</v>
      </c>
      <c r="J3065" s="103">
        <v>1.2760830200168483E-3</v>
      </c>
      <c r="K3065" s="103"/>
      <c r="L3065" s="103">
        <v>3.9199999999999999E-2</v>
      </c>
      <c r="O3065" s="100"/>
    </row>
    <row r="3066" spans="2:15" x14ac:dyDescent="0.2">
      <c r="B3066" s="1">
        <v>3051</v>
      </c>
      <c r="C3066" s="101">
        <f ca="1"/>
        <v>-0.13828746289416152</v>
      </c>
      <c r="D3066" s="101">
        <f t="shared" ca="1" si="180"/>
        <v>0.65549932758848817</v>
      </c>
      <c r="E3066" s="101">
        <f t="shared" ca="1" si="181"/>
        <v>0</v>
      </c>
      <c r="F3066" s="21">
        <f t="shared" ca="1" si="182"/>
        <v>0</v>
      </c>
      <c r="H3066" s="21">
        <v>3051</v>
      </c>
      <c r="I3066" s="102">
        <v>0.66781114655248319</v>
      </c>
      <c r="J3066" s="103">
        <v>1.5338279446053622E-3</v>
      </c>
      <c r="K3066" s="103"/>
      <c r="L3066" s="103">
        <v>4.2200000000000001E-2</v>
      </c>
      <c r="O3066" s="100"/>
    </row>
    <row r="3067" spans="2:15" x14ac:dyDescent="0.2">
      <c r="B3067" s="1">
        <v>3052</v>
      </c>
      <c r="C3067" s="101">
        <f ca="1"/>
        <v>-0.22619374643701334</v>
      </c>
      <c r="D3067" s="101">
        <f t="shared" ca="1" si="180"/>
        <v>0.64983993911602134</v>
      </c>
      <c r="E3067" s="101">
        <f t="shared" ca="1" si="181"/>
        <v>0</v>
      </c>
      <c r="F3067" s="21">
        <f t="shared" ca="1" si="182"/>
        <v>0</v>
      </c>
      <c r="H3067" s="21">
        <v>3052</v>
      </c>
      <c r="I3067" s="102">
        <v>0.66789762864194202</v>
      </c>
      <c r="J3067" s="103">
        <v>1.6096774317357254E-3</v>
      </c>
      <c r="K3067" s="103"/>
      <c r="L3067" s="103">
        <v>4.5999999999999999E-2</v>
      </c>
      <c r="O3067" s="100"/>
    </row>
    <row r="3068" spans="2:15" x14ac:dyDescent="0.2">
      <c r="B3068" s="1">
        <v>3053</v>
      </c>
      <c r="C3068" s="101">
        <f ca="1"/>
        <v>-0.97779424830315886</v>
      </c>
      <c r="D3068" s="101">
        <f t="shared" ca="1" si="180"/>
        <v>0.60340415646062207</v>
      </c>
      <c r="E3068" s="101">
        <f t="shared" ca="1" si="181"/>
        <v>0</v>
      </c>
      <c r="F3068" s="21">
        <f t="shared" ca="1" si="182"/>
        <v>0</v>
      </c>
      <c r="H3068" s="21">
        <v>3053</v>
      </c>
      <c r="I3068" s="102">
        <v>0.66778915186020826</v>
      </c>
      <c r="J3068" s="103">
        <v>1.3168449333667109E-3</v>
      </c>
      <c r="K3068" s="103"/>
      <c r="L3068" s="103">
        <v>4.4600000000000001E-2</v>
      </c>
      <c r="O3068" s="100"/>
    </row>
    <row r="3069" spans="2:15" x14ac:dyDescent="0.2">
      <c r="B3069" s="1">
        <v>3054</v>
      </c>
      <c r="C3069" s="101">
        <f ca="1"/>
        <v>-1.0453280804008087</v>
      </c>
      <c r="D3069" s="101">
        <f t="shared" ca="1" si="180"/>
        <v>0.59939786223567437</v>
      </c>
      <c r="E3069" s="101">
        <f t="shared" ca="1" si="181"/>
        <v>0</v>
      </c>
      <c r="F3069" s="21">
        <f t="shared" ca="1" si="182"/>
        <v>0</v>
      </c>
      <c r="H3069" s="21">
        <v>3054</v>
      </c>
      <c r="I3069" s="102">
        <v>0.66777025921788258</v>
      </c>
      <c r="J3069" s="103">
        <v>1.4394249943283049E-3</v>
      </c>
      <c r="K3069" s="103"/>
      <c r="L3069" s="103">
        <v>4.24E-2</v>
      </c>
      <c r="O3069" s="100"/>
    </row>
    <row r="3070" spans="2:15" x14ac:dyDescent="0.2">
      <c r="B3070" s="1">
        <v>3055</v>
      </c>
      <c r="C3070" s="101">
        <f ca="1"/>
        <v>0.94523954007738331</v>
      </c>
      <c r="D3070" s="101">
        <f t="shared" ca="1" si="180"/>
        <v>0.72944051134878163</v>
      </c>
      <c r="E3070" s="101">
        <f t="shared" ca="1" si="181"/>
        <v>0</v>
      </c>
      <c r="F3070" s="21">
        <f t="shared" ca="1" si="182"/>
        <v>0</v>
      </c>
      <c r="H3070" s="21">
        <v>3055</v>
      </c>
      <c r="I3070" s="102">
        <v>0.66772966609111839</v>
      </c>
      <c r="J3070" s="103">
        <v>1.4865051227112972E-3</v>
      </c>
      <c r="K3070" s="103"/>
      <c r="L3070" s="103">
        <v>4.36E-2</v>
      </c>
      <c r="O3070" s="100"/>
    </row>
    <row r="3071" spans="2:15" x14ac:dyDescent="0.2">
      <c r="B3071" s="1">
        <v>3056</v>
      </c>
      <c r="C3071" s="101">
        <f ca="1"/>
        <v>-0.39078253653465861</v>
      </c>
      <c r="D3071" s="101">
        <f t="shared" ca="1" si="180"/>
        <v>0.63937480299874105</v>
      </c>
      <c r="E3071" s="101">
        <f t="shared" ca="1" si="181"/>
        <v>0</v>
      </c>
      <c r="F3071" s="21">
        <f t="shared" ca="1" si="182"/>
        <v>0</v>
      </c>
      <c r="H3071" s="21">
        <v>3056</v>
      </c>
      <c r="I3071" s="102">
        <v>0.66787995659715615</v>
      </c>
      <c r="J3071" s="103">
        <v>1.4279660584590229E-3</v>
      </c>
      <c r="K3071" s="103"/>
      <c r="L3071" s="103">
        <v>4.4200000000000003E-2</v>
      </c>
      <c r="O3071" s="100"/>
    </row>
    <row r="3072" spans="2:15" x14ac:dyDescent="0.2">
      <c r="B3072" s="1">
        <v>3057</v>
      </c>
      <c r="C3072" s="101">
        <f ca="1"/>
        <v>-0.51051123022431277</v>
      </c>
      <c r="D3072" s="101">
        <f t="shared" ca="1" si="180"/>
        <v>0.63186807578610027</v>
      </c>
      <c r="E3072" s="101">
        <f t="shared" ca="1" si="181"/>
        <v>0</v>
      </c>
      <c r="F3072" s="21">
        <f t="shared" ca="1" si="182"/>
        <v>0</v>
      </c>
      <c r="H3072" s="21">
        <v>3057</v>
      </c>
      <c r="I3072" s="102">
        <v>0.66784518794965597</v>
      </c>
      <c r="J3072" s="103">
        <v>1.5096447748436776E-3</v>
      </c>
      <c r="K3072" s="103"/>
      <c r="L3072" s="103">
        <v>4.3999999999999997E-2</v>
      </c>
      <c r="O3072" s="100"/>
    </row>
    <row r="3073" spans="2:15" x14ac:dyDescent="0.2">
      <c r="B3073" s="1">
        <v>3058</v>
      </c>
      <c r="C3073" s="101">
        <f ca="1"/>
        <v>2.107354685845487</v>
      </c>
      <c r="D3073" s="101">
        <f t="shared" ca="1" si="180"/>
        <v>0.8180393136559837</v>
      </c>
      <c r="E3073" s="101">
        <f t="shared" ca="1" si="181"/>
        <v>2.983931365598369E-2</v>
      </c>
      <c r="F3073" s="21">
        <f t="shared" ca="1" si="182"/>
        <v>1</v>
      </c>
      <c r="H3073" s="21">
        <v>3058</v>
      </c>
      <c r="I3073" s="102">
        <v>0.66778637968048693</v>
      </c>
      <c r="J3073" s="103">
        <v>1.4895969108893222E-3</v>
      </c>
      <c r="K3073" s="103"/>
      <c r="L3073" s="103">
        <v>4.3400000000000001E-2</v>
      </c>
      <c r="O3073" s="100"/>
    </row>
    <row r="3074" spans="2:15" x14ac:dyDescent="0.2">
      <c r="B3074" s="1">
        <v>3059</v>
      </c>
      <c r="C3074" s="101">
        <f ca="1"/>
        <v>-0.69385649630380219</v>
      </c>
      <c r="D3074" s="101">
        <f t="shared" ca="1" si="180"/>
        <v>0.62054319249096523</v>
      </c>
      <c r="E3074" s="101">
        <f t="shared" ca="1" si="181"/>
        <v>0</v>
      </c>
      <c r="F3074" s="21">
        <f t="shared" ca="1" si="182"/>
        <v>0</v>
      </c>
      <c r="H3074" s="21">
        <v>3059</v>
      </c>
      <c r="I3074" s="102">
        <v>0.66787686331320939</v>
      </c>
      <c r="J3074" s="103">
        <v>1.3609420621409046E-3</v>
      </c>
      <c r="K3074" s="103"/>
      <c r="L3074" s="103">
        <v>4.6399999999999997E-2</v>
      </c>
      <c r="O3074" s="100"/>
    </row>
    <row r="3075" spans="2:15" x14ac:dyDescent="0.2">
      <c r="B3075" s="1">
        <v>3060</v>
      </c>
      <c r="C3075" s="101">
        <f ca="1"/>
        <v>2.0647493957957295</v>
      </c>
      <c r="D3075" s="101">
        <f t="shared" ca="1" si="180"/>
        <v>0.81460860111561317</v>
      </c>
      <c r="E3075" s="101">
        <f t="shared" ca="1" si="181"/>
        <v>2.6408601115613162E-2</v>
      </c>
      <c r="F3075" s="21">
        <f t="shared" ca="1" si="182"/>
        <v>1</v>
      </c>
      <c r="H3075" s="21">
        <v>3060</v>
      </c>
      <c r="I3075" s="102">
        <v>0.66758978950242331</v>
      </c>
      <c r="J3075" s="103">
        <v>1.1808678646860393E-3</v>
      </c>
      <c r="K3075" s="103"/>
      <c r="L3075" s="103">
        <v>3.9399999999999998E-2</v>
      </c>
      <c r="O3075" s="100"/>
    </row>
    <row r="3076" spans="2:15" x14ac:dyDescent="0.2">
      <c r="B3076" s="1">
        <v>3061</v>
      </c>
      <c r="C3076" s="101">
        <f ca="1"/>
        <v>5.9207657384104689E-2</v>
      </c>
      <c r="D3076" s="101">
        <f t="shared" ca="1" si="180"/>
        <v>0.66839442635540902</v>
      </c>
      <c r="E3076" s="101">
        <f t="shared" ca="1" si="181"/>
        <v>0</v>
      </c>
      <c r="F3076" s="21">
        <f t="shared" ca="1" si="182"/>
        <v>0</v>
      </c>
      <c r="H3076" s="21">
        <v>3061</v>
      </c>
      <c r="I3076" s="102">
        <v>0.66775403788360199</v>
      </c>
      <c r="J3076" s="103">
        <v>1.3234573589567433E-3</v>
      </c>
      <c r="K3076" s="103"/>
      <c r="L3076" s="103">
        <v>4.1599999999999998E-2</v>
      </c>
      <c r="O3076" s="100"/>
    </row>
    <row r="3077" spans="2:15" x14ac:dyDescent="0.2">
      <c r="B3077" s="1">
        <v>3062</v>
      </c>
      <c r="C3077" s="101">
        <f ca="1"/>
        <v>0.48504807939947991</v>
      </c>
      <c r="D3077" s="101">
        <f t="shared" ca="1" si="180"/>
        <v>0.69706866550194224</v>
      </c>
      <c r="E3077" s="101">
        <f t="shared" ca="1" si="181"/>
        <v>0</v>
      </c>
      <c r="F3077" s="21">
        <f t="shared" ca="1" si="182"/>
        <v>0</v>
      </c>
      <c r="H3077" s="21">
        <v>3062</v>
      </c>
      <c r="I3077" s="102">
        <v>0.66770017844975704</v>
      </c>
      <c r="J3077" s="103">
        <v>1.3264269024192976E-3</v>
      </c>
      <c r="K3077" s="103"/>
      <c r="L3077" s="103">
        <v>4.0800000000000003E-2</v>
      </c>
      <c r="O3077" s="100"/>
    </row>
    <row r="3078" spans="2:15" x14ac:dyDescent="0.2">
      <c r="B3078" s="1">
        <v>3063</v>
      </c>
      <c r="C3078" s="101">
        <f ca="1"/>
        <v>-0.69726945486973413</v>
      </c>
      <c r="D3078" s="101">
        <f t="shared" ca="1" si="180"/>
        <v>0.62033431635262759</v>
      </c>
      <c r="E3078" s="101">
        <f t="shared" ca="1" si="181"/>
        <v>0</v>
      </c>
      <c r="F3078" s="21">
        <f t="shared" ca="1" si="182"/>
        <v>0</v>
      </c>
      <c r="H3078" s="21">
        <v>3063</v>
      </c>
      <c r="I3078" s="102">
        <v>0.6677348650103736</v>
      </c>
      <c r="J3078" s="103">
        <v>1.390866771699732E-3</v>
      </c>
      <c r="K3078" s="103"/>
      <c r="L3078" s="103">
        <v>4.1799999999999997E-2</v>
      </c>
      <c r="O3078" s="100"/>
    </row>
    <row r="3079" spans="2:15" x14ac:dyDescent="0.2">
      <c r="B3079" s="1">
        <v>3064</v>
      </c>
      <c r="C3079" s="101">
        <f ca="1"/>
        <v>0.12491773767076574</v>
      </c>
      <c r="D3079" s="101">
        <f t="shared" ca="1" si="180"/>
        <v>0.67274084913448429</v>
      </c>
      <c r="E3079" s="101">
        <f t="shared" ca="1" si="181"/>
        <v>0</v>
      </c>
      <c r="F3079" s="21">
        <f t="shared" ca="1" si="182"/>
        <v>0</v>
      </c>
      <c r="H3079" s="21">
        <v>3064</v>
      </c>
      <c r="I3079" s="102">
        <v>0.66774863424117192</v>
      </c>
      <c r="J3079" s="103">
        <v>1.4109630745977124E-3</v>
      </c>
      <c r="K3079" s="103"/>
      <c r="L3079" s="103">
        <v>4.3400000000000001E-2</v>
      </c>
      <c r="O3079" s="100"/>
    </row>
    <row r="3080" spans="2:15" x14ac:dyDescent="0.2">
      <c r="B3080" s="1">
        <v>3065</v>
      </c>
      <c r="C3080" s="101">
        <f ca="1"/>
        <v>-0.78923845237866241</v>
      </c>
      <c r="D3080" s="101">
        <f t="shared" ca="1" si="180"/>
        <v>0.61473212806086597</v>
      </c>
      <c r="E3080" s="101">
        <f t="shared" ca="1" si="181"/>
        <v>0</v>
      </c>
      <c r="F3080" s="21">
        <f t="shared" ca="1" si="182"/>
        <v>0</v>
      </c>
      <c r="H3080" s="21">
        <v>3065</v>
      </c>
      <c r="I3080" s="102">
        <v>0.66768767941595597</v>
      </c>
      <c r="J3080" s="103">
        <v>1.2711425455230712E-3</v>
      </c>
      <c r="K3080" s="103"/>
      <c r="L3080" s="103">
        <v>4.0800000000000003E-2</v>
      </c>
      <c r="O3080" s="100"/>
    </row>
    <row r="3081" spans="2:15" x14ac:dyDescent="0.2">
      <c r="B3081" s="1">
        <v>3066</v>
      </c>
      <c r="C3081" s="101">
        <f ca="1"/>
        <v>7.0202115804099352E-2</v>
      </c>
      <c r="D3081" s="101">
        <f t="shared" ca="1" si="180"/>
        <v>0.66911969863831555</v>
      </c>
      <c r="E3081" s="101">
        <f t="shared" ca="1" si="181"/>
        <v>0</v>
      </c>
      <c r="F3081" s="21">
        <f t="shared" ca="1" si="182"/>
        <v>0</v>
      </c>
      <c r="H3081" s="21">
        <v>3066</v>
      </c>
      <c r="I3081" s="102">
        <v>0.66771216513445875</v>
      </c>
      <c r="J3081" s="103">
        <v>1.2611127527863651E-3</v>
      </c>
      <c r="K3081" s="103"/>
      <c r="L3081" s="103">
        <v>3.9800000000000002E-2</v>
      </c>
      <c r="O3081" s="100"/>
    </row>
    <row r="3082" spans="2:15" x14ac:dyDescent="0.2">
      <c r="B3082" s="1">
        <v>3067</v>
      </c>
      <c r="C3082" s="101">
        <f ca="1"/>
        <v>-0.55774023036585563</v>
      </c>
      <c r="D3082" s="101">
        <f t="shared" ca="1" si="180"/>
        <v>0.62893121860019408</v>
      </c>
      <c r="E3082" s="101">
        <f t="shared" ca="1" si="181"/>
        <v>0</v>
      </c>
      <c r="F3082" s="21">
        <f t="shared" ca="1" si="182"/>
        <v>0</v>
      </c>
      <c r="H3082" s="21">
        <v>3067</v>
      </c>
      <c r="I3082" s="102">
        <v>0.66770989294868399</v>
      </c>
      <c r="J3082" s="103">
        <v>1.4163816841887423E-3</v>
      </c>
      <c r="K3082" s="103"/>
      <c r="L3082" s="103">
        <v>4.36E-2</v>
      </c>
      <c r="O3082" s="100"/>
    </row>
    <row r="3083" spans="2:15" x14ac:dyDescent="0.2">
      <c r="B3083" s="1">
        <v>3068</v>
      </c>
      <c r="C3083" s="101">
        <f ca="1"/>
        <v>-0.9655174172085409</v>
      </c>
      <c r="D3083" s="101">
        <f t="shared" ca="1" si="180"/>
        <v>0.60413532327438868</v>
      </c>
      <c r="E3083" s="101">
        <f t="shared" ca="1" si="181"/>
        <v>0</v>
      </c>
      <c r="F3083" s="21">
        <f t="shared" ca="1" si="182"/>
        <v>0</v>
      </c>
      <c r="H3083" s="21">
        <v>3068</v>
      </c>
      <c r="I3083" s="102">
        <v>0.6677362400564304</v>
      </c>
      <c r="J3083" s="103">
        <v>1.3867034691872598E-3</v>
      </c>
      <c r="K3083" s="103"/>
      <c r="L3083" s="103">
        <v>3.9600000000000003E-2</v>
      </c>
      <c r="O3083" s="100"/>
    </row>
    <row r="3084" spans="2:15" x14ac:dyDescent="0.2">
      <c r="B3084" s="1">
        <v>3069</v>
      </c>
      <c r="C3084" s="101">
        <f ca="1"/>
        <v>2.6408755602132468E-2</v>
      </c>
      <c r="D3084" s="101">
        <f t="shared" ca="1" si="180"/>
        <v>0.66623544610421914</v>
      </c>
      <c r="E3084" s="101">
        <f t="shared" ca="1" si="181"/>
        <v>0</v>
      </c>
      <c r="F3084" s="21">
        <f t="shared" ca="1" si="182"/>
        <v>0</v>
      </c>
      <c r="H3084" s="21">
        <v>3069</v>
      </c>
      <c r="I3084" s="102">
        <v>0.66766734212390966</v>
      </c>
      <c r="J3084" s="103">
        <v>1.2946960339326947E-3</v>
      </c>
      <c r="K3084" s="103"/>
      <c r="L3084" s="103">
        <v>4.2599999999999999E-2</v>
      </c>
      <c r="O3084" s="100"/>
    </row>
    <row r="3085" spans="2:15" x14ac:dyDescent="0.2">
      <c r="B3085" s="1">
        <v>3070</v>
      </c>
      <c r="C3085" s="101">
        <f ca="1"/>
        <v>0.61130271337543929</v>
      </c>
      <c r="D3085" s="101">
        <f t="shared" ca="1" si="180"/>
        <v>0.70580418888688523</v>
      </c>
      <c r="E3085" s="101">
        <f t="shared" ca="1" si="181"/>
        <v>0</v>
      </c>
      <c r="F3085" s="21">
        <f t="shared" ca="1" si="182"/>
        <v>0</v>
      </c>
      <c r="H3085" s="21">
        <v>3070</v>
      </c>
      <c r="I3085" s="102">
        <v>0.66768109131893805</v>
      </c>
      <c r="J3085" s="103">
        <v>1.3236529718801831E-3</v>
      </c>
      <c r="K3085" s="103"/>
      <c r="L3085" s="103">
        <v>3.8800000000000001E-2</v>
      </c>
      <c r="O3085" s="100"/>
    </row>
    <row r="3086" spans="2:15" x14ac:dyDescent="0.2">
      <c r="B3086" s="1">
        <v>3071</v>
      </c>
      <c r="C3086" s="101">
        <f ca="1"/>
        <v>8.6164527508544614E-2</v>
      </c>
      <c r="D3086" s="101">
        <f t="shared" ca="1" si="180"/>
        <v>0.67017409325274624</v>
      </c>
      <c r="E3086" s="101">
        <f t="shared" ca="1" si="181"/>
        <v>0</v>
      </c>
      <c r="F3086" s="21">
        <f t="shared" ca="1" si="182"/>
        <v>0</v>
      </c>
      <c r="H3086" s="21">
        <v>3071</v>
      </c>
      <c r="I3086" s="102">
        <v>0.66789101761775149</v>
      </c>
      <c r="J3086" s="103">
        <v>1.6411840942336254E-3</v>
      </c>
      <c r="K3086" s="103"/>
      <c r="L3086" s="103">
        <v>4.4600000000000001E-2</v>
      </c>
      <c r="O3086" s="100"/>
    </row>
    <row r="3087" spans="2:15" x14ac:dyDescent="0.2">
      <c r="B3087" s="1">
        <v>3072</v>
      </c>
      <c r="C3087" s="101">
        <f ca="1"/>
        <v>0.13377415899320774</v>
      </c>
      <c r="D3087" s="101">
        <f t="shared" ca="1" si="180"/>
        <v>0.67332881847997383</v>
      </c>
      <c r="E3087" s="101">
        <f t="shared" ca="1" si="181"/>
        <v>0</v>
      </c>
      <c r="F3087" s="21">
        <f t="shared" ca="1" si="182"/>
        <v>0</v>
      </c>
      <c r="H3087" s="21">
        <v>3072</v>
      </c>
      <c r="I3087" s="102">
        <v>0.66781097941685408</v>
      </c>
      <c r="J3087" s="103">
        <v>1.4550220908795075E-3</v>
      </c>
      <c r="K3087" s="103"/>
      <c r="L3087" s="103">
        <v>4.6199999999999998E-2</v>
      </c>
      <c r="O3087" s="100"/>
    </row>
    <row r="3088" spans="2:15" x14ac:dyDescent="0.2">
      <c r="B3088" s="1">
        <v>3073</v>
      </c>
      <c r="C3088" s="101">
        <f ca="1"/>
        <v>-0.14742645010312166</v>
      </c>
      <c r="D3088" s="101">
        <f t="shared" ref="D3088:D3151" ca="1" si="183">S0*EXP((μ-0.5*σ*σ)*T+σ*SQRT(T)*$C3088)</f>
        <v>0.6549086731374052</v>
      </c>
      <c r="E3088" s="101">
        <f t="shared" ref="E3088:E3151" ca="1" si="184">MAX(0,CP*(D3088-K))</f>
        <v>0</v>
      </c>
      <c r="F3088" s="21">
        <f t="shared" ref="F3088:F3151" ca="1" si="185">(CP*(D3088-K)&gt;0)*1</f>
        <v>0</v>
      </c>
      <c r="H3088" s="21">
        <v>3073</v>
      </c>
      <c r="I3088" s="102">
        <v>0.66784901252268769</v>
      </c>
      <c r="J3088" s="103">
        <v>1.5174180610656922E-3</v>
      </c>
      <c r="K3088" s="103"/>
      <c r="L3088" s="103">
        <v>4.2999999999999997E-2</v>
      </c>
      <c r="O3088" s="100"/>
    </row>
    <row r="3089" spans="2:15" x14ac:dyDescent="0.2">
      <c r="B3089" s="1">
        <v>3074</v>
      </c>
      <c r="C3089" s="101">
        <f ca="1"/>
        <v>0.48719684228352605</v>
      </c>
      <c r="D3089" s="101">
        <f t="shared" ca="1" si="183"/>
        <v>0.69721642961860542</v>
      </c>
      <c r="E3089" s="101">
        <f t="shared" ca="1" si="184"/>
        <v>0</v>
      </c>
      <c r="F3089" s="21">
        <f t="shared" ca="1" si="185"/>
        <v>0</v>
      </c>
      <c r="H3089" s="21">
        <v>3074</v>
      </c>
      <c r="I3089" s="102">
        <v>0.66786436977072694</v>
      </c>
      <c r="J3089" s="103">
        <v>1.4486949340772601E-3</v>
      </c>
      <c r="K3089" s="103"/>
      <c r="L3089" s="103">
        <v>4.4600000000000001E-2</v>
      </c>
      <c r="O3089" s="100"/>
    </row>
    <row r="3090" spans="2:15" x14ac:dyDescent="0.2">
      <c r="B3090" s="1">
        <v>3075</v>
      </c>
      <c r="C3090" s="101">
        <f ca="1"/>
        <v>0.35375506436130655</v>
      </c>
      <c r="D3090" s="101">
        <f t="shared" ca="1" si="183"/>
        <v>0.68809919383436668</v>
      </c>
      <c r="E3090" s="101">
        <f t="shared" ca="1" si="184"/>
        <v>0</v>
      </c>
      <c r="F3090" s="21">
        <f t="shared" ca="1" si="185"/>
        <v>0</v>
      </c>
      <c r="H3090" s="21">
        <v>3075</v>
      </c>
      <c r="I3090" s="102">
        <v>0.66770365056496173</v>
      </c>
      <c r="J3090" s="103">
        <v>1.2456499072493747E-3</v>
      </c>
      <c r="K3090" s="103"/>
      <c r="L3090" s="103">
        <v>4.3799999999999999E-2</v>
      </c>
      <c r="O3090" s="100"/>
    </row>
    <row r="3091" spans="2:15" x14ac:dyDescent="0.2">
      <c r="B3091" s="1">
        <v>3076</v>
      </c>
      <c r="C3091" s="101">
        <f ca="1"/>
        <v>-0.18295086018030693</v>
      </c>
      <c r="D3091" s="101">
        <f t="shared" ca="1" si="183"/>
        <v>0.65261777479701721</v>
      </c>
      <c r="E3091" s="101">
        <f t="shared" ca="1" si="184"/>
        <v>0</v>
      </c>
      <c r="F3091" s="21">
        <f t="shared" ca="1" si="185"/>
        <v>0</v>
      </c>
      <c r="H3091" s="21">
        <v>3076</v>
      </c>
      <c r="I3091" s="102">
        <v>0.66776166147071925</v>
      </c>
      <c r="J3091" s="103">
        <v>1.3151393595221895E-3</v>
      </c>
      <c r="K3091" s="103"/>
      <c r="L3091" s="103">
        <v>4.2999999999999997E-2</v>
      </c>
      <c r="O3091" s="100"/>
    </row>
    <row r="3092" spans="2:15" x14ac:dyDescent="0.2">
      <c r="B3092" s="1">
        <v>3077</v>
      </c>
      <c r="C3092" s="101">
        <f ca="1"/>
        <v>-1.0595615982655262</v>
      </c>
      <c r="D3092" s="101">
        <f t="shared" ca="1" si="183"/>
        <v>0.598556890307409</v>
      </c>
      <c r="E3092" s="101">
        <f t="shared" ca="1" si="184"/>
        <v>0</v>
      </c>
      <c r="F3092" s="21">
        <f t="shared" ca="1" si="185"/>
        <v>0</v>
      </c>
      <c r="H3092" s="21">
        <v>3077</v>
      </c>
      <c r="I3092" s="102">
        <v>0.66775801535529045</v>
      </c>
      <c r="J3092" s="103">
        <v>1.3615413939250924E-3</v>
      </c>
      <c r="K3092" s="103"/>
      <c r="L3092" s="103">
        <v>4.2200000000000001E-2</v>
      </c>
      <c r="O3092" s="100"/>
    </row>
    <row r="3093" spans="2:15" x14ac:dyDescent="0.2">
      <c r="B3093" s="1">
        <v>3078</v>
      </c>
      <c r="C3093" s="101">
        <f ca="1"/>
        <v>0.25192503874537153</v>
      </c>
      <c r="D3093" s="101">
        <f t="shared" ca="1" si="183"/>
        <v>0.68122207607938201</v>
      </c>
      <c r="E3093" s="101">
        <f t="shared" ca="1" si="184"/>
        <v>0</v>
      </c>
      <c r="F3093" s="21">
        <f t="shared" ca="1" si="185"/>
        <v>0</v>
      </c>
      <c r="H3093" s="21">
        <v>3078</v>
      </c>
      <c r="I3093" s="102">
        <v>0.66776993348190739</v>
      </c>
      <c r="J3093" s="103">
        <v>1.3698896139416128E-3</v>
      </c>
      <c r="K3093" s="103"/>
      <c r="L3093" s="103">
        <v>4.4400000000000002E-2</v>
      </c>
      <c r="O3093" s="100"/>
    </row>
    <row r="3094" spans="2:15" x14ac:dyDescent="0.2">
      <c r="B3094" s="1">
        <v>3079</v>
      </c>
      <c r="C3094" s="101">
        <f ca="1"/>
        <v>-0.71859149355412444</v>
      </c>
      <c r="D3094" s="101">
        <f t="shared" ca="1" si="183"/>
        <v>0.61903097911760852</v>
      </c>
      <c r="E3094" s="101">
        <f t="shared" ca="1" si="184"/>
        <v>0</v>
      </c>
      <c r="F3094" s="21">
        <f t="shared" ca="1" si="185"/>
        <v>0</v>
      </c>
      <c r="H3094" s="21">
        <v>3079</v>
      </c>
      <c r="I3094" s="102">
        <v>0.66763397959172399</v>
      </c>
      <c r="J3094" s="103">
        <v>1.0369212848900431E-3</v>
      </c>
      <c r="K3094" s="103"/>
      <c r="L3094" s="103">
        <v>3.3599999999999998E-2</v>
      </c>
      <c r="O3094" s="100"/>
    </row>
    <row r="3095" spans="2:15" x14ac:dyDescent="0.2">
      <c r="B3095" s="1">
        <v>3080</v>
      </c>
      <c r="C3095" s="101">
        <f ca="1"/>
        <v>-0.99056915722085925</v>
      </c>
      <c r="D3095" s="101">
        <f t="shared" ca="1" si="183"/>
        <v>0.60264426527907056</v>
      </c>
      <c r="E3095" s="101">
        <f t="shared" ca="1" si="184"/>
        <v>0</v>
      </c>
      <c r="F3095" s="21">
        <f t="shared" ca="1" si="185"/>
        <v>0</v>
      </c>
      <c r="H3095" s="21">
        <v>3080</v>
      </c>
      <c r="I3095" s="102">
        <v>0.66771594809595292</v>
      </c>
      <c r="J3095" s="103">
        <v>1.4477620845233868E-3</v>
      </c>
      <c r="K3095" s="103"/>
      <c r="L3095" s="103">
        <v>4.1399999999999999E-2</v>
      </c>
      <c r="O3095" s="100"/>
    </row>
    <row r="3096" spans="2:15" x14ac:dyDescent="0.2">
      <c r="B3096" s="1">
        <v>3081</v>
      </c>
      <c r="C3096" s="101">
        <f ca="1"/>
        <v>0.85978156699562758</v>
      </c>
      <c r="D3096" s="101">
        <f t="shared" ca="1" si="183"/>
        <v>0.72331739981507792</v>
      </c>
      <c r="E3096" s="101">
        <f t="shared" ca="1" si="184"/>
        <v>0</v>
      </c>
      <c r="F3096" s="21">
        <f t="shared" ca="1" si="185"/>
        <v>0</v>
      </c>
      <c r="H3096" s="21">
        <v>3081</v>
      </c>
      <c r="I3096" s="102">
        <v>0.66762829634123022</v>
      </c>
      <c r="J3096" s="103">
        <v>1.0895933236642411E-3</v>
      </c>
      <c r="K3096" s="103"/>
      <c r="L3096" s="103">
        <v>3.5999999999999997E-2</v>
      </c>
      <c r="O3096" s="100"/>
    </row>
    <row r="3097" spans="2:15" x14ac:dyDescent="0.2">
      <c r="B3097" s="1">
        <v>3082</v>
      </c>
      <c r="C3097" s="101">
        <f ca="1"/>
        <v>2.9389748416397432</v>
      </c>
      <c r="D3097" s="101">
        <f t="shared" ca="1" si="183"/>
        <v>0.88797404224022936</v>
      </c>
      <c r="E3097" s="101">
        <f t="shared" ca="1" si="184"/>
        <v>9.9774042240229344E-2</v>
      </c>
      <c r="F3097" s="21">
        <f t="shared" ca="1" si="185"/>
        <v>1</v>
      </c>
      <c r="H3097" s="21">
        <v>3082</v>
      </c>
      <c r="I3097" s="102">
        <v>0.66769696365526787</v>
      </c>
      <c r="J3097" s="103">
        <v>1.2249239200555551E-3</v>
      </c>
      <c r="K3097" s="103"/>
      <c r="L3097" s="103">
        <v>4.0800000000000003E-2</v>
      </c>
      <c r="O3097" s="100"/>
    </row>
    <row r="3098" spans="2:15" x14ac:dyDescent="0.2">
      <c r="B3098" s="1">
        <v>3083</v>
      </c>
      <c r="C3098" s="101">
        <f ca="1"/>
        <v>0.51243137765597213</v>
      </c>
      <c r="D3098" s="101">
        <f t="shared" ca="1" si="183"/>
        <v>0.69895408021613326</v>
      </c>
      <c r="E3098" s="101">
        <f t="shared" ca="1" si="184"/>
        <v>0</v>
      </c>
      <c r="F3098" s="21">
        <f t="shared" ca="1" si="185"/>
        <v>0</v>
      </c>
      <c r="H3098" s="21">
        <v>3083</v>
      </c>
      <c r="I3098" s="102">
        <v>0.6676297212841098</v>
      </c>
      <c r="J3098" s="103">
        <v>1.2564002645561385E-3</v>
      </c>
      <c r="K3098" s="103"/>
      <c r="L3098" s="103">
        <v>4.1000000000000002E-2</v>
      </c>
      <c r="O3098" s="100"/>
    </row>
    <row r="3099" spans="2:15" x14ac:dyDescent="0.2">
      <c r="B3099" s="1">
        <v>3084</v>
      </c>
      <c r="C3099" s="101">
        <f ca="1"/>
        <v>1.4442213648755158</v>
      </c>
      <c r="D3099" s="101">
        <f t="shared" ca="1" si="183"/>
        <v>0.7662419995959</v>
      </c>
      <c r="E3099" s="101">
        <f t="shared" ca="1" si="184"/>
        <v>0</v>
      </c>
      <c r="F3099" s="21">
        <f t="shared" ca="1" si="185"/>
        <v>0</v>
      </c>
      <c r="H3099" s="21">
        <v>3084</v>
      </c>
      <c r="I3099" s="102">
        <v>0.66779316714837722</v>
      </c>
      <c r="J3099" s="103">
        <v>1.4729030796914919E-3</v>
      </c>
      <c r="K3099" s="103"/>
      <c r="L3099" s="103">
        <v>4.2000000000000003E-2</v>
      </c>
      <c r="O3099" s="100"/>
    </row>
    <row r="3100" spans="2:15" x14ac:dyDescent="0.2">
      <c r="B3100" s="1">
        <v>3085</v>
      </c>
      <c r="C3100" s="101">
        <f ca="1"/>
        <v>-1.0779429647231715</v>
      </c>
      <c r="D3100" s="101">
        <f t="shared" ca="1" si="183"/>
        <v>0.59747259278629605</v>
      </c>
      <c r="E3100" s="101">
        <f t="shared" ca="1" si="184"/>
        <v>0</v>
      </c>
      <c r="F3100" s="21">
        <f t="shared" ca="1" si="185"/>
        <v>0</v>
      </c>
      <c r="H3100" s="21">
        <v>3085</v>
      </c>
      <c r="I3100" s="102">
        <v>0.66787998773805113</v>
      </c>
      <c r="J3100" s="103">
        <v>1.477168731083114E-3</v>
      </c>
      <c r="K3100" s="103"/>
      <c r="L3100" s="103">
        <v>4.4600000000000001E-2</v>
      </c>
      <c r="O3100" s="100"/>
    </row>
    <row r="3101" spans="2:15" x14ac:dyDescent="0.2">
      <c r="B3101" s="1">
        <v>3086</v>
      </c>
      <c r="C3101" s="101">
        <f ca="1"/>
        <v>0.68552096029495768</v>
      </c>
      <c r="D3101" s="101">
        <f t="shared" ca="1" si="183"/>
        <v>0.71099033234371634</v>
      </c>
      <c r="E3101" s="101">
        <f t="shared" ca="1" si="184"/>
        <v>0</v>
      </c>
      <c r="F3101" s="21">
        <f t="shared" ca="1" si="185"/>
        <v>0</v>
      </c>
      <c r="H3101" s="21">
        <v>3086</v>
      </c>
      <c r="I3101" s="102">
        <v>0.66780907981638715</v>
      </c>
      <c r="J3101" s="103">
        <v>1.407797156406752E-3</v>
      </c>
      <c r="K3101" s="103"/>
      <c r="L3101" s="103">
        <v>4.2599999999999999E-2</v>
      </c>
      <c r="O3101" s="100"/>
    </row>
    <row r="3102" spans="2:15" x14ac:dyDescent="0.2">
      <c r="B3102" s="1">
        <v>3087</v>
      </c>
      <c r="C3102" s="101">
        <f ca="1"/>
        <v>-0.53865060679155452</v>
      </c>
      <c r="D3102" s="101">
        <f t="shared" ca="1" si="183"/>
        <v>0.63011662802523305</v>
      </c>
      <c r="E3102" s="101">
        <f t="shared" ca="1" si="184"/>
        <v>0</v>
      </c>
      <c r="F3102" s="21">
        <f t="shared" ca="1" si="185"/>
        <v>0</v>
      </c>
      <c r="H3102" s="21">
        <v>3087</v>
      </c>
      <c r="I3102" s="102">
        <v>0.66766854396885511</v>
      </c>
      <c r="J3102" s="103">
        <v>1.3881408039066565E-3</v>
      </c>
      <c r="K3102" s="103"/>
      <c r="L3102" s="103">
        <v>4.2999999999999997E-2</v>
      </c>
      <c r="O3102" s="100"/>
    </row>
    <row r="3103" spans="2:15" x14ac:dyDescent="0.2">
      <c r="B3103" s="1">
        <v>3088</v>
      </c>
      <c r="C3103" s="101">
        <f ca="1"/>
        <v>-0.45070898426737238</v>
      </c>
      <c r="D3103" s="101">
        <f t="shared" ca="1" si="183"/>
        <v>0.63560646387836528</v>
      </c>
      <c r="E3103" s="101">
        <f t="shared" ca="1" si="184"/>
        <v>0</v>
      </c>
      <c r="F3103" s="21">
        <f t="shared" ca="1" si="185"/>
        <v>0</v>
      </c>
      <c r="H3103" s="21">
        <v>3088</v>
      </c>
      <c r="I3103" s="102">
        <v>0.66793226911638981</v>
      </c>
      <c r="J3103" s="103">
        <v>1.6018635211138665E-3</v>
      </c>
      <c r="K3103" s="103"/>
      <c r="L3103" s="103">
        <v>4.8599999999999997E-2</v>
      </c>
      <c r="O3103" s="100"/>
    </row>
    <row r="3104" spans="2:15" x14ac:dyDescent="0.2">
      <c r="B3104" s="1">
        <v>3089</v>
      </c>
      <c r="C3104" s="101">
        <f ca="1"/>
        <v>-8.2786240852177392E-3</v>
      </c>
      <c r="D3104" s="101">
        <f t="shared" ca="1" si="183"/>
        <v>0.66395974432714155</v>
      </c>
      <c r="E3104" s="101">
        <f t="shared" ca="1" si="184"/>
        <v>0</v>
      </c>
      <c r="F3104" s="21">
        <f t="shared" ca="1" si="185"/>
        <v>0</v>
      </c>
      <c r="H3104" s="21">
        <v>3089</v>
      </c>
      <c r="I3104" s="102">
        <v>0.66765826080736557</v>
      </c>
      <c r="J3104" s="103">
        <v>1.3232226678712611E-3</v>
      </c>
      <c r="K3104" s="103"/>
      <c r="L3104" s="103">
        <v>3.9600000000000003E-2</v>
      </c>
      <c r="O3104" s="100"/>
    </row>
    <row r="3105" spans="2:15" x14ac:dyDescent="0.2">
      <c r="B3105" s="1">
        <v>3090</v>
      </c>
      <c r="C3105" s="101">
        <f ca="1"/>
        <v>-1.3159304709085597</v>
      </c>
      <c r="D3105" s="101">
        <f t="shared" ca="1" si="183"/>
        <v>0.58361003401754419</v>
      </c>
      <c r="E3105" s="101">
        <f t="shared" ca="1" si="184"/>
        <v>0</v>
      </c>
      <c r="F3105" s="21">
        <f t="shared" ca="1" si="185"/>
        <v>0</v>
      </c>
      <c r="H3105" s="21">
        <v>3090</v>
      </c>
      <c r="I3105" s="102">
        <v>0.66782300224592628</v>
      </c>
      <c r="J3105" s="103">
        <v>1.3262322630844762E-3</v>
      </c>
      <c r="K3105" s="103"/>
      <c r="L3105" s="103">
        <v>4.4200000000000003E-2</v>
      </c>
      <c r="O3105" s="100"/>
    </row>
    <row r="3106" spans="2:15" x14ac:dyDescent="0.2">
      <c r="B3106" s="1">
        <v>3091</v>
      </c>
      <c r="C3106" s="101">
        <f ca="1"/>
        <v>1.2716674142503581</v>
      </c>
      <c r="D3106" s="101">
        <f t="shared" ca="1" si="183"/>
        <v>0.7533102004473039</v>
      </c>
      <c r="E3106" s="101">
        <f t="shared" ca="1" si="184"/>
        <v>0</v>
      </c>
      <c r="F3106" s="21">
        <f t="shared" ca="1" si="185"/>
        <v>0</v>
      </c>
      <c r="H3106" s="21">
        <v>3091</v>
      </c>
      <c r="I3106" s="102">
        <v>0.66777379101849954</v>
      </c>
      <c r="J3106" s="103">
        <v>1.4180475968260588E-3</v>
      </c>
      <c r="K3106" s="103"/>
      <c r="L3106" s="103">
        <v>4.3400000000000001E-2</v>
      </c>
      <c r="O3106" s="100"/>
    </row>
    <row r="3107" spans="2:15" x14ac:dyDescent="0.2">
      <c r="B3107" s="1">
        <v>3092</v>
      </c>
      <c r="C3107" s="101">
        <f ca="1"/>
        <v>-0.68095212569475361</v>
      </c>
      <c r="D3107" s="101">
        <f t="shared" ca="1" si="183"/>
        <v>0.62133358748435741</v>
      </c>
      <c r="E3107" s="101">
        <f t="shared" ca="1" si="184"/>
        <v>0</v>
      </c>
      <c r="F3107" s="21">
        <f t="shared" ca="1" si="185"/>
        <v>0</v>
      </c>
      <c r="H3107" s="21">
        <v>3092</v>
      </c>
      <c r="I3107" s="102">
        <v>0.66767542669871371</v>
      </c>
      <c r="J3107" s="103">
        <v>1.2323797002855145E-3</v>
      </c>
      <c r="K3107" s="103"/>
      <c r="L3107" s="103">
        <v>3.9800000000000002E-2</v>
      </c>
      <c r="O3107" s="100"/>
    </row>
    <row r="3108" spans="2:15" x14ac:dyDescent="0.2">
      <c r="B3108" s="1">
        <v>3093</v>
      </c>
      <c r="C3108" s="101">
        <f ca="1"/>
        <v>0.59233171246052929</v>
      </c>
      <c r="D3108" s="101">
        <f t="shared" ca="1" si="183"/>
        <v>0.7044846351298456</v>
      </c>
      <c r="E3108" s="101">
        <f t="shared" ca="1" si="184"/>
        <v>0</v>
      </c>
      <c r="F3108" s="21">
        <f t="shared" ca="1" si="185"/>
        <v>0</v>
      </c>
      <c r="H3108" s="21">
        <v>3093</v>
      </c>
      <c r="I3108" s="102">
        <v>0.66773294869292033</v>
      </c>
      <c r="J3108" s="103">
        <v>1.3068505447020506E-3</v>
      </c>
      <c r="K3108" s="103"/>
      <c r="L3108" s="103">
        <v>4.0800000000000003E-2</v>
      </c>
      <c r="O3108" s="100"/>
    </row>
    <row r="3109" spans="2:15" x14ac:dyDescent="0.2">
      <c r="B3109" s="1">
        <v>3094</v>
      </c>
      <c r="C3109" s="101">
        <f ca="1"/>
        <v>-2.5278999315636921</v>
      </c>
      <c r="D3109" s="101">
        <f t="shared" ca="1" si="183"/>
        <v>0.51784850361859591</v>
      </c>
      <c r="E3109" s="101">
        <f t="shared" ca="1" si="184"/>
        <v>0</v>
      </c>
      <c r="F3109" s="21">
        <f t="shared" ca="1" si="185"/>
        <v>0</v>
      </c>
      <c r="H3109" s="21">
        <v>3094</v>
      </c>
      <c r="I3109" s="102">
        <v>0.66775434343539708</v>
      </c>
      <c r="J3109" s="103">
        <v>1.3827199461474784E-3</v>
      </c>
      <c r="K3109" s="103"/>
      <c r="L3109" s="103">
        <v>4.1200000000000001E-2</v>
      </c>
      <c r="O3109" s="100"/>
    </row>
    <row r="3110" spans="2:15" x14ac:dyDescent="0.2">
      <c r="B3110" s="1">
        <v>3095</v>
      </c>
      <c r="C3110" s="101">
        <f ca="1"/>
        <v>0.36193175854001663</v>
      </c>
      <c r="D3110" s="101">
        <f t="shared" ca="1" si="183"/>
        <v>0.68865441096646518</v>
      </c>
      <c r="E3110" s="101">
        <f t="shared" ca="1" si="184"/>
        <v>0</v>
      </c>
      <c r="F3110" s="21">
        <f t="shared" ca="1" si="185"/>
        <v>0</v>
      </c>
      <c r="H3110" s="21">
        <v>3095</v>
      </c>
      <c r="I3110" s="102">
        <v>0.6677589765113715</v>
      </c>
      <c r="J3110" s="103">
        <v>1.3116106951729441E-3</v>
      </c>
      <c r="K3110" s="103"/>
      <c r="L3110" s="103">
        <v>3.8800000000000001E-2</v>
      </c>
      <c r="O3110" s="100"/>
    </row>
    <row r="3111" spans="2:15" x14ac:dyDescent="0.2">
      <c r="B3111" s="1">
        <v>3096</v>
      </c>
      <c r="C3111" s="101">
        <f ca="1"/>
        <v>-0.49473726531047352</v>
      </c>
      <c r="D3111" s="101">
        <f t="shared" ca="1" si="183"/>
        <v>0.63285200555919641</v>
      </c>
      <c r="E3111" s="101">
        <f t="shared" ca="1" si="184"/>
        <v>0</v>
      </c>
      <c r="F3111" s="21">
        <f t="shared" ca="1" si="185"/>
        <v>0</v>
      </c>
      <c r="H3111" s="21">
        <v>3096</v>
      </c>
      <c r="I3111" s="102">
        <v>0.66782554061401689</v>
      </c>
      <c r="J3111" s="103">
        <v>1.4005269747025147E-3</v>
      </c>
      <c r="K3111" s="103"/>
      <c r="L3111" s="103">
        <v>4.48E-2</v>
      </c>
      <c r="O3111" s="100"/>
    </row>
    <row r="3112" spans="2:15" x14ac:dyDescent="0.2">
      <c r="B3112" s="1">
        <v>3097</v>
      </c>
      <c r="C3112" s="101">
        <f ca="1"/>
        <v>-1.760796351408598</v>
      </c>
      <c r="D3112" s="101">
        <f t="shared" ca="1" si="183"/>
        <v>0.55855374763531163</v>
      </c>
      <c r="E3112" s="101">
        <f t="shared" ca="1" si="184"/>
        <v>0</v>
      </c>
      <c r="F3112" s="21">
        <f t="shared" ca="1" si="185"/>
        <v>0</v>
      </c>
      <c r="H3112" s="21">
        <v>3097</v>
      </c>
      <c r="I3112" s="102">
        <v>0.6677502126178011</v>
      </c>
      <c r="J3112" s="103">
        <v>1.4391831009667871E-3</v>
      </c>
      <c r="K3112" s="103"/>
      <c r="L3112" s="103">
        <v>4.3999999999999997E-2</v>
      </c>
      <c r="O3112" s="100"/>
    </row>
    <row r="3113" spans="2:15" x14ac:dyDescent="0.2">
      <c r="B3113" s="1">
        <v>3098</v>
      </c>
      <c r="C3113" s="101">
        <f ca="1"/>
        <v>-9.5401982085923417E-2</v>
      </c>
      <c r="D3113" s="101">
        <f t="shared" ca="1" si="183"/>
        <v>0.65827814718118094</v>
      </c>
      <c r="E3113" s="101">
        <f t="shared" ca="1" si="184"/>
        <v>0</v>
      </c>
      <c r="F3113" s="21">
        <f t="shared" ca="1" si="185"/>
        <v>0</v>
      </c>
      <c r="H3113" s="21">
        <v>3098</v>
      </c>
      <c r="I3113" s="102">
        <v>0.66772828496639891</v>
      </c>
      <c r="J3113" s="103">
        <v>1.359389285138948E-3</v>
      </c>
      <c r="K3113" s="103"/>
      <c r="L3113" s="103">
        <v>4.02E-2</v>
      </c>
      <c r="O3113" s="100"/>
    </row>
    <row r="3114" spans="2:15" x14ac:dyDescent="0.2">
      <c r="B3114" s="1">
        <v>3099</v>
      </c>
      <c r="C3114" s="101">
        <f ca="1"/>
        <v>-2.4197558829697581</v>
      </c>
      <c r="D3114" s="101">
        <f t="shared" ca="1" si="183"/>
        <v>0.52340220752672284</v>
      </c>
      <c r="E3114" s="101">
        <f t="shared" ca="1" si="184"/>
        <v>0</v>
      </c>
      <c r="F3114" s="21">
        <f t="shared" ca="1" si="185"/>
        <v>0</v>
      </c>
      <c r="H3114" s="21">
        <v>3099</v>
      </c>
      <c r="I3114" s="102">
        <v>0.66772566346481632</v>
      </c>
      <c r="J3114" s="103">
        <v>1.4935337032861539E-3</v>
      </c>
      <c r="K3114" s="103"/>
      <c r="L3114" s="103">
        <v>4.1200000000000001E-2</v>
      </c>
      <c r="O3114" s="100"/>
    </row>
    <row r="3115" spans="2:15" x14ac:dyDescent="0.2">
      <c r="B3115" s="1">
        <v>3100</v>
      </c>
      <c r="C3115" s="101">
        <f ca="1"/>
        <v>0.5101428691437313</v>
      </c>
      <c r="D3115" s="101">
        <f t="shared" ca="1" si="183"/>
        <v>0.69879631507181739</v>
      </c>
      <c r="E3115" s="101">
        <f t="shared" ca="1" si="184"/>
        <v>0</v>
      </c>
      <c r="F3115" s="21">
        <f t="shared" ca="1" si="185"/>
        <v>0</v>
      </c>
      <c r="H3115" s="21">
        <v>3100</v>
      </c>
      <c r="I3115" s="102">
        <v>0.6678312272338085</v>
      </c>
      <c r="J3115" s="103">
        <v>1.4008684567450244E-3</v>
      </c>
      <c r="K3115" s="103"/>
      <c r="L3115" s="103">
        <v>4.4400000000000002E-2</v>
      </c>
      <c r="O3115" s="100"/>
    </row>
    <row r="3116" spans="2:15" x14ac:dyDescent="0.2">
      <c r="B3116" s="1">
        <v>3101</v>
      </c>
      <c r="C3116" s="101">
        <f ca="1"/>
        <v>-2.5409723395558137</v>
      </c>
      <c r="D3116" s="101">
        <f t="shared" ca="1" si="183"/>
        <v>0.5171811788519739</v>
      </c>
      <c r="E3116" s="101">
        <f t="shared" ca="1" si="184"/>
        <v>0</v>
      </c>
      <c r="F3116" s="21">
        <f t="shared" ca="1" si="185"/>
        <v>0</v>
      </c>
      <c r="H3116" s="21">
        <v>3101</v>
      </c>
      <c r="I3116" s="102">
        <v>0.66787009034900502</v>
      </c>
      <c r="J3116" s="103">
        <v>1.4483273241231575E-3</v>
      </c>
      <c r="K3116" s="103"/>
      <c r="L3116" s="103">
        <v>4.48E-2</v>
      </c>
      <c r="O3116" s="100"/>
    </row>
    <row r="3117" spans="2:15" x14ac:dyDescent="0.2">
      <c r="B3117" s="1">
        <v>3102</v>
      </c>
      <c r="C3117" s="101">
        <f ca="1"/>
        <v>0.1766034403168624</v>
      </c>
      <c r="D3117" s="101">
        <f t="shared" ca="1" si="183"/>
        <v>0.67617947310730231</v>
      </c>
      <c r="E3117" s="101">
        <f t="shared" ca="1" si="184"/>
        <v>0</v>
      </c>
      <c r="F3117" s="21">
        <f t="shared" ca="1" si="185"/>
        <v>0</v>
      </c>
      <c r="H3117" s="21">
        <v>3102</v>
      </c>
      <c r="I3117" s="102">
        <v>0.66773054863284143</v>
      </c>
      <c r="J3117" s="103">
        <v>1.3811346592006383E-3</v>
      </c>
      <c r="K3117" s="103"/>
      <c r="L3117" s="103">
        <v>4.2799999999999998E-2</v>
      </c>
      <c r="O3117" s="100"/>
    </row>
    <row r="3118" spans="2:15" x14ac:dyDescent="0.2">
      <c r="B3118" s="1">
        <v>3103</v>
      </c>
      <c r="C3118" s="101">
        <f ca="1"/>
        <v>0.84139716066024783</v>
      </c>
      <c r="D3118" s="101">
        <f t="shared" ca="1" si="183"/>
        <v>0.72200687969005062</v>
      </c>
      <c r="E3118" s="101">
        <f t="shared" ca="1" si="184"/>
        <v>0</v>
      </c>
      <c r="F3118" s="21">
        <f t="shared" ca="1" si="185"/>
        <v>0</v>
      </c>
      <c r="H3118" s="21">
        <v>3103</v>
      </c>
      <c r="I3118" s="102">
        <v>0.66773871263135987</v>
      </c>
      <c r="J3118" s="103">
        <v>1.3336236180596459E-3</v>
      </c>
      <c r="K3118" s="103"/>
      <c r="L3118" s="103">
        <v>4.2200000000000001E-2</v>
      </c>
      <c r="O3118" s="100"/>
    </row>
    <row r="3119" spans="2:15" x14ac:dyDescent="0.2">
      <c r="B3119" s="1">
        <v>3104</v>
      </c>
      <c r="C3119" s="101">
        <f ca="1"/>
        <v>1.4163237098169079</v>
      </c>
      <c r="D3119" s="101">
        <f t="shared" ca="1" si="183"/>
        <v>0.7641363062163149</v>
      </c>
      <c r="E3119" s="101">
        <f t="shared" ca="1" si="184"/>
        <v>0</v>
      </c>
      <c r="F3119" s="21">
        <f t="shared" ca="1" si="185"/>
        <v>0</v>
      </c>
      <c r="H3119" s="21">
        <v>3104</v>
      </c>
      <c r="I3119" s="102">
        <v>0.66753152374091707</v>
      </c>
      <c r="J3119" s="103">
        <v>1.1907673393242956E-3</v>
      </c>
      <c r="K3119" s="103"/>
      <c r="L3119" s="103">
        <v>3.7600000000000001E-2</v>
      </c>
      <c r="O3119" s="100"/>
    </row>
    <row r="3120" spans="2:15" x14ac:dyDescent="0.2">
      <c r="B3120" s="1">
        <v>3105</v>
      </c>
      <c r="C3120" s="101">
        <f ca="1"/>
        <v>-0.46780608216526764</v>
      </c>
      <c r="D3120" s="101">
        <f t="shared" ca="1" si="183"/>
        <v>0.63453542942592012</v>
      </c>
      <c r="E3120" s="101">
        <f t="shared" ca="1" si="184"/>
        <v>0</v>
      </c>
      <c r="F3120" s="21">
        <f t="shared" ca="1" si="185"/>
        <v>0</v>
      </c>
      <c r="H3120" s="21">
        <v>3105</v>
      </c>
      <c r="I3120" s="102">
        <v>0.66788105322132518</v>
      </c>
      <c r="J3120" s="103">
        <v>1.5350865088346974E-3</v>
      </c>
      <c r="K3120" s="103"/>
      <c r="L3120" s="103">
        <v>4.7800000000000002E-2</v>
      </c>
      <c r="O3120" s="100"/>
    </row>
    <row r="3121" spans="2:15" x14ac:dyDescent="0.2">
      <c r="B3121" s="1">
        <v>3106</v>
      </c>
      <c r="C3121" s="101">
        <f ca="1"/>
        <v>-0.31118084052233108</v>
      </c>
      <c r="D3121" s="101">
        <f t="shared" ca="1" si="183"/>
        <v>0.6444149464614003</v>
      </c>
      <c r="E3121" s="101">
        <f t="shared" ca="1" si="184"/>
        <v>0</v>
      </c>
      <c r="F3121" s="21">
        <f t="shared" ca="1" si="185"/>
        <v>0</v>
      </c>
      <c r="H3121" s="21">
        <v>3106</v>
      </c>
      <c r="I3121" s="102">
        <v>0.66776064630426901</v>
      </c>
      <c r="J3121" s="103">
        <v>1.2953256765073126E-3</v>
      </c>
      <c r="K3121" s="103"/>
      <c r="L3121" s="103">
        <v>0.04</v>
      </c>
      <c r="O3121" s="100"/>
    </row>
    <row r="3122" spans="2:15" x14ac:dyDescent="0.2">
      <c r="B3122" s="1">
        <v>3107</v>
      </c>
      <c r="C3122" s="101">
        <f ca="1"/>
        <v>-0.55951371981784082</v>
      </c>
      <c r="D3122" s="101">
        <f t="shared" ca="1" si="183"/>
        <v>0.62882120340440328</v>
      </c>
      <c r="E3122" s="101">
        <f t="shared" ca="1" si="184"/>
        <v>0</v>
      </c>
      <c r="F3122" s="21">
        <f t="shared" ca="1" si="185"/>
        <v>0</v>
      </c>
      <c r="H3122" s="21">
        <v>3107</v>
      </c>
      <c r="I3122" s="102">
        <v>0.66778172756479115</v>
      </c>
      <c r="J3122" s="103">
        <v>1.4527602919526272E-3</v>
      </c>
      <c r="K3122" s="103"/>
      <c r="L3122" s="103">
        <v>4.2599999999999999E-2</v>
      </c>
      <c r="O3122" s="100"/>
    </row>
    <row r="3123" spans="2:15" x14ac:dyDescent="0.2">
      <c r="B3123" s="1">
        <v>3108</v>
      </c>
      <c r="C3123" s="101">
        <f ca="1"/>
        <v>-0.61494871054362021</v>
      </c>
      <c r="D3123" s="101">
        <f t="shared" ca="1" si="183"/>
        <v>0.62539207934074348</v>
      </c>
      <c r="E3123" s="101">
        <f t="shared" ca="1" si="184"/>
        <v>0</v>
      </c>
      <c r="F3123" s="21">
        <f t="shared" ca="1" si="185"/>
        <v>0</v>
      </c>
      <c r="H3123" s="21">
        <v>3108</v>
      </c>
      <c r="I3123" s="102">
        <v>0.66781613901223924</v>
      </c>
      <c r="J3123" s="103">
        <v>1.4020388563704311E-3</v>
      </c>
      <c r="K3123" s="103"/>
      <c r="L3123" s="103">
        <v>4.2999999999999997E-2</v>
      </c>
      <c r="O3123" s="100"/>
    </row>
    <row r="3124" spans="2:15" x14ac:dyDescent="0.2">
      <c r="B3124" s="1">
        <v>3109</v>
      </c>
      <c r="C3124" s="101">
        <f ca="1"/>
        <v>0.51277552575889018</v>
      </c>
      <c r="D3124" s="101">
        <f t="shared" ca="1" si="183"/>
        <v>0.69897780817039801</v>
      </c>
      <c r="E3124" s="101">
        <f t="shared" ca="1" si="184"/>
        <v>0</v>
      </c>
      <c r="F3124" s="21">
        <f t="shared" ca="1" si="185"/>
        <v>0</v>
      </c>
      <c r="H3124" s="21">
        <v>3109</v>
      </c>
      <c r="I3124" s="102">
        <v>0.66771200764575034</v>
      </c>
      <c r="J3124" s="103">
        <v>1.3373442449329544E-3</v>
      </c>
      <c r="K3124" s="103"/>
      <c r="L3124" s="103">
        <v>4.2000000000000003E-2</v>
      </c>
      <c r="O3124" s="100"/>
    </row>
    <row r="3125" spans="2:15" x14ac:dyDescent="0.2">
      <c r="B3125" s="1">
        <v>3110</v>
      </c>
      <c r="C3125" s="101">
        <f ca="1"/>
        <v>0.17795604224906025</v>
      </c>
      <c r="D3125" s="101">
        <f t="shared" ca="1" si="183"/>
        <v>0.67626969664656278</v>
      </c>
      <c r="E3125" s="101">
        <f t="shared" ca="1" si="184"/>
        <v>0</v>
      </c>
      <c r="F3125" s="21">
        <f t="shared" ca="1" si="185"/>
        <v>0</v>
      </c>
      <c r="H3125" s="21">
        <v>3110</v>
      </c>
      <c r="I3125" s="102">
        <v>0.66787282586942709</v>
      </c>
      <c r="J3125" s="103">
        <v>1.4889086859770978E-3</v>
      </c>
      <c r="K3125" s="103"/>
      <c r="L3125" s="103">
        <v>4.3999999999999997E-2</v>
      </c>
      <c r="O3125" s="100"/>
    </row>
    <row r="3126" spans="2:15" x14ac:dyDescent="0.2">
      <c r="B3126" s="1">
        <v>3111</v>
      </c>
      <c r="C3126" s="101">
        <f ca="1"/>
        <v>1.6728069916504578</v>
      </c>
      <c r="D3126" s="101">
        <f t="shared" ca="1" si="183"/>
        <v>0.78371547151072674</v>
      </c>
      <c r="E3126" s="101">
        <f t="shared" ca="1" si="184"/>
        <v>0</v>
      </c>
      <c r="F3126" s="21">
        <f t="shared" ca="1" si="185"/>
        <v>0</v>
      </c>
      <c r="H3126" s="21">
        <v>3111</v>
      </c>
      <c r="I3126" s="102">
        <v>0.66773870723135365</v>
      </c>
      <c r="J3126" s="103">
        <v>1.2903671367701737E-3</v>
      </c>
      <c r="K3126" s="103"/>
      <c r="L3126" s="103">
        <v>3.7600000000000001E-2</v>
      </c>
      <c r="O3126" s="100"/>
    </row>
    <row r="3127" spans="2:15" x14ac:dyDescent="0.2">
      <c r="B3127" s="1">
        <v>3112</v>
      </c>
      <c r="C3127" s="101">
        <f ca="1"/>
        <v>-1.1301172231777505</v>
      </c>
      <c r="D3127" s="101">
        <f t="shared" ca="1" si="183"/>
        <v>0.59440557639659586</v>
      </c>
      <c r="E3127" s="101">
        <f t="shared" ca="1" si="184"/>
        <v>0</v>
      </c>
      <c r="F3127" s="21">
        <f t="shared" ca="1" si="185"/>
        <v>0</v>
      </c>
      <c r="H3127" s="21">
        <v>3112</v>
      </c>
      <c r="I3127" s="102">
        <v>0.6675753163534579</v>
      </c>
      <c r="J3127" s="103">
        <v>1.1573393932989111E-3</v>
      </c>
      <c r="K3127" s="103"/>
      <c r="L3127" s="103">
        <v>3.7600000000000001E-2</v>
      </c>
      <c r="O3127" s="100"/>
    </row>
    <row r="3128" spans="2:15" x14ac:dyDescent="0.2">
      <c r="B3128" s="1">
        <v>3113</v>
      </c>
      <c r="C3128" s="101">
        <f ca="1"/>
        <v>-1.1358571242330333</v>
      </c>
      <c r="D3128" s="101">
        <f t="shared" ca="1" si="183"/>
        <v>0.59406912429862968</v>
      </c>
      <c r="E3128" s="101">
        <f t="shared" ca="1" si="184"/>
        <v>0</v>
      </c>
      <c r="F3128" s="21">
        <f t="shared" ca="1" si="185"/>
        <v>0</v>
      </c>
      <c r="H3128" s="21">
        <v>3113</v>
      </c>
      <c r="I3128" s="102">
        <v>0.66783101342469942</v>
      </c>
      <c r="J3128" s="103">
        <v>1.4775399961632057E-3</v>
      </c>
      <c r="K3128" s="103"/>
      <c r="L3128" s="103">
        <v>4.0800000000000003E-2</v>
      </c>
      <c r="O3128" s="100"/>
    </row>
    <row r="3129" spans="2:15" x14ac:dyDescent="0.2">
      <c r="B3129" s="1">
        <v>3114</v>
      </c>
      <c r="C3129" s="101">
        <f ca="1"/>
        <v>-0.26918369314620727</v>
      </c>
      <c r="D3129" s="101">
        <f t="shared" ca="1" si="183"/>
        <v>0.64709007204195179</v>
      </c>
      <c r="E3129" s="101">
        <f t="shared" ca="1" si="184"/>
        <v>0</v>
      </c>
      <c r="F3129" s="21">
        <f t="shared" ca="1" si="185"/>
        <v>0</v>
      </c>
      <c r="H3129" s="21">
        <v>3114</v>
      </c>
      <c r="I3129" s="102">
        <v>0.66769544824863469</v>
      </c>
      <c r="J3129" s="103">
        <v>1.3925468530548572E-3</v>
      </c>
      <c r="K3129" s="103"/>
      <c r="L3129" s="103">
        <v>4.1000000000000002E-2</v>
      </c>
      <c r="O3129" s="100"/>
    </row>
    <row r="3130" spans="2:15" x14ac:dyDescent="0.2">
      <c r="B3130" s="1">
        <v>3115</v>
      </c>
      <c r="C3130" s="101">
        <f ca="1"/>
        <v>0.86948113967946095</v>
      </c>
      <c r="D3130" s="101">
        <f t="shared" ca="1" si="183"/>
        <v>0.72400978568020535</v>
      </c>
      <c r="E3130" s="101">
        <f t="shared" ca="1" si="184"/>
        <v>0</v>
      </c>
      <c r="F3130" s="21">
        <f t="shared" ca="1" si="185"/>
        <v>0</v>
      </c>
      <c r="H3130" s="21">
        <v>3115</v>
      </c>
      <c r="I3130" s="102">
        <v>0.6678870555292209</v>
      </c>
      <c r="J3130" s="103">
        <v>1.5581121771874634E-3</v>
      </c>
      <c r="K3130" s="103"/>
      <c r="L3130" s="103">
        <v>4.6199999999999998E-2</v>
      </c>
      <c r="O3130" s="100"/>
    </row>
    <row r="3131" spans="2:15" x14ac:dyDescent="0.2">
      <c r="B3131" s="1">
        <v>3116</v>
      </c>
      <c r="C3131" s="101">
        <f ca="1"/>
        <v>1.0530286440384464</v>
      </c>
      <c r="D3131" s="101">
        <f t="shared" ca="1" si="183"/>
        <v>0.73723763634959838</v>
      </c>
      <c r="E3131" s="101">
        <f t="shared" ca="1" si="184"/>
        <v>0</v>
      </c>
      <c r="F3131" s="21">
        <f t="shared" ca="1" si="185"/>
        <v>0</v>
      </c>
      <c r="H3131" s="21">
        <v>3116</v>
      </c>
      <c r="I3131" s="102">
        <v>0.66775784814517469</v>
      </c>
      <c r="J3131" s="103">
        <v>1.2626689700892225E-3</v>
      </c>
      <c r="K3131" s="103"/>
      <c r="L3131" s="103">
        <v>3.78E-2</v>
      </c>
      <c r="O3131" s="100"/>
    </row>
    <row r="3132" spans="2:15" x14ac:dyDescent="0.2">
      <c r="B3132" s="1">
        <v>3117</v>
      </c>
      <c r="C3132" s="101">
        <f ca="1"/>
        <v>-0.99871197485893082</v>
      </c>
      <c r="D3132" s="101">
        <f t="shared" ca="1" si="183"/>
        <v>0.60216040470921373</v>
      </c>
      <c r="E3132" s="101">
        <f t="shared" ca="1" si="184"/>
        <v>0</v>
      </c>
      <c r="F3132" s="21">
        <f t="shared" ca="1" si="185"/>
        <v>0</v>
      </c>
      <c r="H3132" s="21">
        <v>3117</v>
      </c>
      <c r="I3132" s="102">
        <v>0.66768991977771908</v>
      </c>
      <c r="J3132" s="103">
        <v>1.1656950344946663E-3</v>
      </c>
      <c r="K3132" s="103"/>
      <c r="L3132" s="103">
        <v>3.9600000000000003E-2</v>
      </c>
      <c r="O3132" s="100"/>
    </row>
    <row r="3133" spans="2:15" x14ac:dyDescent="0.2">
      <c r="B3133" s="1">
        <v>3118</v>
      </c>
      <c r="C3133" s="101">
        <f ca="1"/>
        <v>0.36008223284709689</v>
      </c>
      <c r="D3133" s="101">
        <f t="shared" ca="1" si="183"/>
        <v>0.68852878454544131</v>
      </c>
      <c r="E3133" s="101">
        <f t="shared" ca="1" si="184"/>
        <v>0</v>
      </c>
      <c r="F3133" s="21">
        <f t="shared" ca="1" si="185"/>
        <v>0</v>
      </c>
      <c r="H3133" s="21">
        <v>3118</v>
      </c>
      <c r="I3133" s="102">
        <v>0.66791183284925948</v>
      </c>
      <c r="J3133" s="103">
        <v>1.5801929942171578E-3</v>
      </c>
      <c r="K3133" s="103"/>
      <c r="L3133" s="103">
        <v>4.3400000000000001E-2</v>
      </c>
      <c r="O3133" s="100"/>
    </row>
    <row r="3134" spans="2:15" x14ac:dyDescent="0.2">
      <c r="B3134" s="1">
        <v>3119</v>
      </c>
      <c r="C3134" s="101">
        <f ca="1"/>
        <v>0.31858571317626722</v>
      </c>
      <c r="D3134" s="101">
        <f t="shared" ca="1" si="183"/>
        <v>0.68571620939087863</v>
      </c>
      <c r="E3134" s="101">
        <f t="shared" ca="1" si="184"/>
        <v>0</v>
      </c>
      <c r="F3134" s="21">
        <f t="shared" ca="1" si="185"/>
        <v>0</v>
      </c>
      <c r="H3134" s="21">
        <v>3119</v>
      </c>
      <c r="I3134" s="102">
        <v>0.66776330716176857</v>
      </c>
      <c r="J3134" s="103">
        <v>1.5653173691511937E-3</v>
      </c>
      <c r="K3134" s="103"/>
      <c r="L3134" s="103">
        <v>4.5199999999999997E-2</v>
      </c>
      <c r="O3134" s="100"/>
    </row>
    <row r="3135" spans="2:15" x14ac:dyDescent="0.2">
      <c r="B3135" s="1">
        <v>3120</v>
      </c>
      <c r="C3135" s="101">
        <f ca="1"/>
        <v>1.3491824267357422</v>
      </c>
      <c r="D3135" s="101">
        <f t="shared" ca="1" si="183"/>
        <v>0.75909222558927314</v>
      </c>
      <c r="E3135" s="101">
        <f t="shared" ca="1" si="184"/>
        <v>0</v>
      </c>
      <c r="F3135" s="21">
        <f t="shared" ca="1" si="185"/>
        <v>0</v>
      </c>
      <c r="H3135" s="21">
        <v>3120</v>
      </c>
      <c r="I3135" s="102">
        <v>0.66766796216517699</v>
      </c>
      <c r="J3135" s="103">
        <v>1.3325856312284634E-3</v>
      </c>
      <c r="K3135" s="103"/>
      <c r="L3135" s="103">
        <v>3.6999999999999998E-2</v>
      </c>
      <c r="O3135" s="100"/>
    </row>
    <row r="3136" spans="2:15" x14ac:dyDescent="0.2">
      <c r="B3136" s="1">
        <v>3121</v>
      </c>
      <c r="C3136" s="101">
        <f ca="1"/>
        <v>5.3136843389705125E-2</v>
      </c>
      <c r="D3136" s="101">
        <f t="shared" ca="1" si="183"/>
        <v>0.6679942894413029</v>
      </c>
      <c r="E3136" s="101">
        <f t="shared" ca="1" si="184"/>
        <v>0</v>
      </c>
      <c r="F3136" s="21">
        <f t="shared" ca="1" si="185"/>
        <v>0</v>
      </c>
      <c r="H3136" s="21">
        <v>3121</v>
      </c>
      <c r="I3136" s="102">
        <v>0.66775313642127809</v>
      </c>
      <c r="J3136" s="103">
        <v>1.3467129083654591E-3</v>
      </c>
      <c r="K3136" s="103"/>
      <c r="L3136" s="103">
        <v>4.1399999999999999E-2</v>
      </c>
      <c r="O3136" s="100"/>
    </row>
    <row r="3137" spans="2:15" x14ac:dyDescent="0.2">
      <c r="B3137" s="1">
        <v>3122</v>
      </c>
      <c r="C3137" s="101">
        <f ca="1"/>
        <v>0.10495176046549751</v>
      </c>
      <c r="D3137" s="101">
        <f t="shared" ca="1" si="183"/>
        <v>0.67141720976586927</v>
      </c>
      <c r="E3137" s="101">
        <f t="shared" ca="1" si="184"/>
        <v>0</v>
      </c>
      <c r="F3137" s="21">
        <f t="shared" ca="1" si="185"/>
        <v>0</v>
      </c>
      <c r="H3137" s="21">
        <v>3122</v>
      </c>
      <c r="I3137" s="102">
        <v>0.66769364341479198</v>
      </c>
      <c r="J3137" s="103">
        <v>1.3844692936482077E-3</v>
      </c>
      <c r="K3137" s="103"/>
      <c r="L3137" s="103">
        <v>4.1399999999999999E-2</v>
      </c>
      <c r="O3137" s="100"/>
    </row>
    <row r="3138" spans="2:15" x14ac:dyDescent="0.2">
      <c r="B3138" s="1">
        <v>3123</v>
      </c>
      <c r="C3138" s="101">
        <f ca="1"/>
        <v>1.7309974560267829</v>
      </c>
      <c r="D3138" s="101">
        <f t="shared" ca="1" si="183"/>
        <v>0.78822692165151653</v>
      </c>
      <c r="E3138" s="101">
        <f t="shared" ca="1" si="184"/>
        <v>2.6921651516520484E-5</v>
      </c>
      <c r="F3138" s="21">
        <f t="shared" ca="1" si="185"/>
        <v>1</v>
      </c>
      <c r="H3138" s="21">
        <v>3123</v>
      </c>
      <c r="I3138" s="102">
        <v>0.66804020173355605</v>
      </c>
      <c r="J3138" s="103">
        <v>1.7406041337641807E-3</v>
      </c>
      <c r="K3138" s="103"/>
      <c r="L3138" s="103">
        <v>4.9200000000000001E-2</v>
      </c>
      <c r="O3138" s="100"/>
    </row>
    <row r="3139" spans="2:15" x14ac:dyDescent="0.2">
      <c r="B3139" s="1">
        <v>3124</v>
      </c>
      <c r="C3139" s="101">
        <f ca="1"/>
        <v>-1.148701810137444</v>
      </c>
      <c r="D3139" s="101">
        <f t="shared" ca="1" si="183"/>
        <v>0.5933169053477334</v>
      </c>
      <c r="E3139" s="101">
        <f t="shared" ca="1" si="184"/>
        <v>0</v>
      </c>
      <c r="F3139" s="21">
        <f t="shared" ca="1" si="185"/>
        <v>0</v>
      </c>
      <c r="H3139" s="21">
        <v>3124</v>
      </c>
      <c r="I3139" s="102">
        <v>0.6676746317480371</v>
      </c>
      <c r="J3139" s="103">
        <v>1.2893683364427033E-3</v>
      </c>
      <c r="K3139" s="103"/>
      <c r="L3139" s="103">
        <v>3.9600000000000003E-2</v>
      </c>
      <c r="O3139" s="100"/>
    </row>
    <row r="3140" spans="2:15" x14ac:dyDescent="0.2">
      <c r="B3140" s="1">
        <v>3125</v>
      </c>
      <c r="C3140" s="101">
        <f ca="1"/>
        <v>-0.77858101866337093</v>
      </c>
      <c r="D3140" s="101">
        <f t="shared" ca="1" si="183"/>
        <v>0.61537871324845261</v>
      </c>
      <c r="E3140" s="101">
        <f t="shared" ca="1" si="184"/>
        <v>0</v>
      </c>
      <c r="F3140" s="21">
        <f t="shared" ca="1" si="185"/>
        <v>0</v>
      </c>
      <c r="H3140" s="21">
        <v>3125</v>
      </c>
      <c r="I3140" s="102">
        <v>0.66780907650502397</v>
      </c>
      <c r="J3140" s="103">
        <v>1.4280973971471048E-3</v>
      </c>
      <c r="K3140" s="103"/>
      <c r="L3140" s="103">
        <v>4.2599999999999999E-2</v>
      </c>
      <c r="O3140" s="100"/>
    </row>
    <row r="3141" spans="2:15" x14ac:dyDescent="0.2">
      <c r="B3141" s="1">
        <v>3126</v>
      </c>
      <c r="C3141" s="101">
        <f ca="1"/>
        <v>0.26261289383912301</v>
      </c>
      <c r="D3141" s="101">
        <f t="shared" ca="1" si="183"/>
        <v>0.68194064283679479</v>
      </c>
      <c r="E3141" s="101">
        <f t="shared" ca="1" si="184"/>
        <v>0</v>
      </c>
      <c r="F3141" s="21">
        <f t="shared" ca="1" si="185"/>
        <v>0</v>
      </c>
      <c r="H3141" s="21">
        <v>3126</v>
      </c>
      <c r="I3141" s="102">
        <v>0.66770505531569957</v>
      </c>
      <c r="J3141" s="103">
        <v>1.3249174294419931E-3</v>
      </c>
      <c r="K3141" s="103"/>
      <c r="L3141" s="103">
        <v>4.2200000000000001E-2</v>
      </c>
      <c r="O3141" s="100"/>
    </row>
    <row r="3142" spans="2:15" x14ac:dyDescent="0.2">
      <c r="B3142" s="1">
        <v>3127</v>
      </c>
      <c r="C3142" s="101">
        <f ca="1"/>
        <v>0.11801532868514619</v>
      </c>
      <c r="D3142" s="101">
        <f t="shared" ca="1" si="183"/>
        <v>0.67228296083145422</v>
      </c>
      <c r="E3142" s="101">
        <f t="shared" ca="1" si="184"/>
        <v>0</v>
      </c>
      <c r="F3142" s="21">
        <f t="shared" ca="1" si="185"/>
        <v>0</v>
      </c>
      <c r="H3142" s="21">
        <v>3127</v>
      </c>
      <c r="I3142" s="102">
        <v>0.66785980826462732</v>
      </c>
      <c r="J3142" s="103">
        <v>1.3997635138282964E-3</v>
      </c>
      <c r="K3142" s="103"/>
      <c r="L3142" s="103">
        <v>4.8399999999999999E-2</v>
      </c>
      <c r="O3142" s="100"/>
    </row>
    <row r="3143" spans="2:15" x14ac:dyDescent="0.2">
      <c r="B3143" s="1">
        <v>3128</v>
      </c>
      <c r="C3143" s="101">
        <f ca="1"/>
        <v>-0.47608417601205683</v>
      </c>
      <c r="D3143" s="101">
        <f t="shared" ca="1" si="183"/>
        <v>0.63401750329844875</v>
      </c>
      <c r="E3143" s="101">
        <f t="shared" ca="1" si="184"/>
        <v>0</v>
      </c>
      <c r="F3143" s="21">
        <f t="shared" ca="1" si="185"/>
        <v>0</v>
      </c>
      <c r="H3143" s="21">
        <v>3128</v>
      </c>
      <c r="I3143" s="102">
        <v>0.6676429014208507</v>
      </c>
      <c r="J3143" s="103">
        <v>1.1859819097584619E-3</v>
      </c>
      <c r="K3143" s="103"/>
      <c r="L3143" s="103">
        <v>4.0800000000000003E-2</v>
      </c>
      <c r="O3143" s="100"/>
    </row>
    <row r="3144" spans="2:15" x14ac:dyDescent="0.2">
      <c r="B3144" s="1">
        <v>3129</v>
      </c>
      <c r="C3144" s="101">
        <f ca="1"/>
        <v>-0.93681944594602218</v>
      </c>
      <c r="D3144" s="101">
        <f t="shared" ca="1" si="183"/>
        <v>0.60584793602483034</v>
      </c>
      <c r="E3144" s="101">
        <f t="shared" ca="1" si="184"/>
        <v>0</v>
      </c>
      <c r="F3144" s="21">
        <f t="shared" ca="1" si="185"/>
        <v>0</v>
      </c>
      <c r="H3144" s="21">
        <v>3129</v>
      </c>
      <c r="I3144" s="102">
        <v>0.66766726157563816</v>
      </c>
      <c r="J3144" s="103">
        <v>1.4025339373061828E-3</v>
      </c>
      <c r="K3144" s="103"/>
      <c r="L3144" s="103">
        <v>4.0599999999999997E-2</v>
      </c>
      <c r="O3144" s="100"/>
    </row>
    <row r="3145" spans="2:15" x14ac:dyDescent="0.2">
      <c r="B3145" s="1">
        <v>3130</v>
      </c>
      <c r="C3145" s="101">
        <f ca="1"/>
        <v>2.3332790128150185</v>
      </c>
      <c r="D3145" s="101">
        <f t="shared" ca="1" si="183"/>
        <v>0.83647436238747985</v>
      </c>
      <c r="E3145" s="101">
        <f t="shared" ca="1" si="184"/>
        <v>4.8274362387479841E-2</v>
      </c>
      <c r="F3145" s="21">
        <f t="shared" ca="1" si="185"/>
        <v>1</v>
      </c>
      <c r="H3145" s="21">
        <v>3130</v>
      </c>
      <c r="I3145" s="102">
        <v>0.66780659633110062</v>
      </c>
      <c r="J3145" s="103">
        <v>1.5462197471915184E-3</v>
      </c>
      <c r="K3145" s="103"/>
      <c r="L3145" s="103">
        <v>4.3400000000000001E-2</v>
      </c>
      <c r="O3145" s="100"/>
    </row>
    <row r="3146" spans="2:15" x14ac:dyDescent="0.2">
      <c r="B3146" s="1">
        <v>3131</v>
      </c>
      <c r="C3146" s="101">
        <f ca="1"/>
        <v>0.43985780441058697</v>
      </c>
      <c r="D3146" s="101">
        <f t="shared" ca="1" si="183"/>
        <v>0.69396830751296235</v>
      </c>
      <c r="E3146" s="101">
        <f t="shared" ca="1" si="184"/>
        <v>0</v>
      </c>
      <c r="F3146" s="21">
        <f t="shared" ca="1" si="185"/>
        <v>0</v>
      </c>
      <c r="H3146" s="21">
        <v>3131</v>
      </c>
      <c r="I3146" s="102">
        <v>0.66766895813660321</v>
      </c>
      <c r="J3146" s="103">
        <v>1.3246002734591763E-3</v>
      </c>
      <c r="K3146" s="103"/>
      <c r="L3146" s="103">
        <v>3.9600000000000003E-2</v>
      </c>
      <c r="O3146" s="100"/>
    </row>
    <row r="3147" spans="2:15" x14ac:dyDescent="0.2">
      <c r="B3147" s="1">
        <v>3132</v>
      </c>
      <c r="C3147" s="101">
        <f ca="1"/>
        <v>0.76334597557898909</v>
      </c>
      <c r="D3147" s="101">
        <f t="shared" ca="1" si="183"/>
        <v>0.71646944039465921</v>
      </c>
      <c r="E3147" s="101">
        <f t="shared" ca="1" si="184"/>
        <v>0</v>
      </c>
      <c r="F3147" s="21">
        <f t="shared" ca="1" si="185"/>
        <v>0</v>
      </c>
      <c r="H3147" s="21">
        <v>3132</v>
      </c>
      <c r="I3147" s="102">
        <v>0.6677201037100946</v>
      </c>
      <c r="J3147" s="103">
        <v>1.2486971745286752E-3</v>
      </c>
      <c r="K3147" s="103"/>
      <c r="L3147" s="103">
        <v>4.2799999999999998E-2</v>
      </c>
      <c r="O3147" s="100"/>
    </row>
    <row r="3148" spans="2:15" x14ac:dyDescent="0.2">
      <c r="B3148" s="1">
        <v>3133</v>
      </c>
      <c r="C3148" s="101">
        <f ca="1"/>
        <v>-2.62164042762172</v>
      </c>
      <c r="D3148" s="101">
        <f t="shared" ca="1" si="183"/>
        <v>0.51308219095169461</v>
      </c>
      <c r="E3148" s="101">
        <f t="shared" ca="1" si="184"/>
        <v>0</v>
      </c>
      <c r="F3148" s="21">
        <f t="shared" ca="1" si="185"/>
        <v>0</v>
      </c>
      <c r="H3148" s="21">
        <v>3133</v>
      </c>
      <c r="I3148" s="102">
        <v>0.66788873721002306</v>
      </c>
      <c r="J3148" s="103">
        <v>1.5298935643742763E-3</v>
      </c>
      <c r="K3148" s="103"/>
      <c r="L3148" s="103">
        <v>4.6600000000000003E-2</v>
      </c>
      <c r="O3148" s="100"/>
    </row>
    <row r="3149" spans="2:15" x14ac:dyDescent="0.2">
      <c r="B3149" s="1">
        <v>3134</v>
      </c>
      <c r="C3149" s="101">
        <f ca="1"/>
        <v>-0.84916892887675199</v>
      </c>
      <c r="D3149" s="101">
        <f t="shared" ca="1" si="183"/>
        <v>0.61110878476973463</v>
      </c>
      <c r="E3149" s="101">
        <f t="shared" ca="1" si="184"/>
        <v>0</v>
      </c>
      <c r="F3149" s="21">
        <f t="shared" ca="1" si="185"/>
        <v>0</v>
      </c>
      <c r="H3149" s="21">
        <v>3134</v>
      </c>
      <c r="I3149" s="102">
        <v>0.66773969676311262</v>
      </c>
      <c r="J3149" s="103">
        <v>1.442135570488351E-3</v>
      </c>
      <c r="K3149" s="103"/>
      <c r="L3149" s="103">
        <v>4.24E-2</v>
      </c>
      <c r="O3149" s="100"/>
    </row>
    <row r="3150" spans="2:15" x14ac:dyDescent="0.2">
      <c r="B3150" s="1">
        <v>3135</v>
      </c>
      <c r="C3150" s="101">
        <f ca="1"/>
        <v>0.44902304173925944</v>
      </c>
      <c r="D3150" s="101">
        <f t="shared" ca="1" si="183"/>
        <v>0.69459598793760868</v>
      </c>
      <c r="E3150" s="101">
        <f t="shared" ca="1" si="184"/>
        <v>0</v>
      </c>
      <c r="F3150" s="21">
        <f t="shared" ca="1" si="185"/>
        <v>0</v>
      </c>
      <c r="H3150" s="21">
        <v>3135</v>
      </c>
      <c r="I3150" s="102">
        <v>0.66779087893680855</v>
      </c>
      <c r="J3150" s="103">
        <v>1.326287181300891E-3</v>
      </c>
      <c r="K3150" s="103"/>
      <c r="L3150" s="103">
        <v>4.4400000000000002E-2</v>
      </c>
      <c r="O3150" s="100"/>
    </row>
    <row r="3151" spans="2:15" x14ac:dyDescent="0.2">
      <c r="B3151" s="1">
        <v>3136</v>
      </c>
      <c r="C3151" s="101">
        <f ca="1"/>
        <v>-0.3850340593421534</v>
      </c>
      <c r="D3151" s="101">
        <f t="shared" ca="1" si="183"/>
        <v>0.63973745524092873</v>
      </c>
      <c r="E3151" s="101">
        <f t="shared" ca="1" si="184"/>
        <v>0</v>
      </c>
      <c r="F3151" s="21">
        <f t="shared" ca="1" si="185"/>
        <v>0</v>
      </c>
      <c r="H3151" s="21">
        <v>3136</v>
      </c>
      <c r="I3151" s="102">
        <v>0.66789995933971469</v>
      </c>
      <c r="J3151" s="103">
        <v>1.5592431396576948E-3</v>
      </c>
      <c r="K3151" s="103"/>
      <c r="L3151" s="103">
        <v>4.6199999999999998E-2</v>
      </c>
      <c r="O3151" s="100"/>
    </row>
    <row r="3152" spans="2:15" x14ac:dyDescent="0.2">
      <c r="B3152" s="1">
        <v>3137</v>
      </c>
      <c r="C3152" s="101">
        <f ca="1"/>
        <v>7.4954096968757891E-2</v>
      </c>
      <c r="D3152" s="101">
        <f t="shared" ref="D3152:D3215" ca="1" si="186">S0*EXP((μ-0.5*σ*σ)*T+σ*SQRT(T)*$C3152)</f>
        <v>0.66943341647872123</v>
      </c>
      <c r="E3152" s="101">
        <f t="shared" ref="E3152:E3215" ca="1" si="187">MAX(0,CP*(D3152-K))</f>
        <v>0</v>
      </c>
      <c r="F3152" s="21">
        <f t="shared" ref="F3152:F3215" ca="1" si="188">(CP*(D3152-K)&gt;0)*1</f>
        <v>0</v>
      </c>
      <c r="H3152" s="21">
        <v>3137</v>
      </c>
      <c r="I3152" s="102">
        <v>0.66776687449418237</v>
      </c>
      <c r="J3152" s="103">
        <v>1.3662838142072386E-3</v>
      </c>
      <c r="K3152" s="103"/>
      <c r="L3152" s="103">
        <v>4.0599999999999997E-2</v>
      </c>
      <c r="O3152" s="100"/>
    </row>
    <row r="3153" spans="2:15" x14ac:dyDescent="0.2">
      <c r="B3153" s="1">
        <v>3138</v>
      </c>
      <c r="C3153" s="101">
        <f ca="1"/>
        <v>0.92775965688703232</v>
      </c>
      <c r="D3153" s="101">
        <f t="shared" ca="1" si="186"/>
        <v>0.72818386536903779</v>
      </c>
      <c r="E3153" s="101">
        <f t="shared" ca="1" si="187"/>
        <v>0</v>
      </c>
      <c r="F3153" s="21">
        <f t="shared" ca="1" si="188"/>
        <v>0</v>
      </c>
      <c r="H3153" s="21">
        <v>3138</v>
      </c>
      <c r="I3153" s="102">
        <v>0.66778263817542516</v>
      </c>
      <c r="J3153" s="103">
        <v>1.4054677676610661E-3</v>
      </c>
      <c r="K3153" s="103"/>
      <c r="L3153" s="103">
        <v>4.5199999999999997E-2</v>
      </c>
      <c r="O3153" s="100"/>
    </row>
    <row r="3154" spans="2:15" x14ac:dyDescent="0.2">
      <c r="B3154" s="1">
        <v>3139</v>
      </c>
      <c r="C3154" s="101">
        <f ca="1"/>
        <v>-0.21888392676296628</v>
      </c>
      <c r="D3154" s="101">
        <f t="shared" ca="1" si="186"/>
        <v>0.65030867537241788</v>
      </c>
      <c r="E3154" s="101">
        <f t="shared" ca="1" si="187"/>
        <v>0</v>
      </c>
      <c r="F3154" s="21">
        <f t="shared" ca="1" si="188"/>
        <v>0</v>
      </c>
      <c r="H3154" s="21">
        <v>3139</v>
      </c>
      <c r="I3154" s="102">
        <v>0.66761245396842972</v>
      </c>
      <c r="J3154" s="103">
        <v>1.209464620473425E-3</v>
      </c>
      <c r="K3154" s="103"/>
      <c r="L3154" s="103">
        <v>3.8600000000000002E-2</v>
      </c>
      <c r="O3154" s="100"/>
    </row>
    <row r="3155" spans="2:15" x14ac:dyDescent="0.2">
      <c r="B3155" s="1">
        <v>3140</v>
      </c>
      <c r="C3155" s="101">
        <f ca="1"/>
        <v>-1.6499491945325688</v>
      </c>
      <c r="D3155" s="101">
        <f t="shared" ca="1" si="186"/>
        <v>0.56469454694778498</v>
      </c>
      <c r="E3155" s="101">
        <f t="shared" ca="1" si="187"/>
        <v>0</v>
      </c>
      <c r="F3155" s="21">
        <f t="shared" ca="1" si="188"/>
        <v>0</v>
      </c>
      <c r="H3155" s="21">
        <v>3140</v>
      </c>
      <c r="I3155" s="102">
        <v>0.66774555901050592</v>
      </c>
      <c r="J3155" s="103">
        <v>1.3871261384383919E-3</v>
      </c>
      <c r="K3155" s="103"/>
      <c r="L3155" s="103">
        <v>4.1599999999999998E-2</v>
      </c>
      <c r="O3155" s="100"/>
    </row>
    <row r="3156" spans="2:15" x14ac:dyDescent="0.2">
      <c r="B3156" s="1">
        <v>3141</v>
      </c>
      <c r="C3156" s="101">
        <f ca="1"/>
        <v>0.40306175093128477</v>
      </c>
      <c r="D3156" s="101">
        <f t="shared" ca="1" si="186"/>
        <v>0.69145403783598225</v>
      </c>
      <c r="E3156" s="101">
        <f t="shared" ca="1" si="187"/>
        <v>0</v>
      </c>
      <c r="F3156" s="21">
        <f t="shared" ca="1" si="188"/>
        <v>0</v>
      </c>
      <c r="H3156" s="21">
        <v>3141</v>
      </c>
      <c r="I3156" s="102">
        <v>0.66765360958382902</v>
      </c>
      <c r="J3156" s="103">
        <v>1.2461921307479632E-3</v>
      </c>
      <c r="K3156" s="103"/>
      <c r="L3156" s="103">
        <v>3.9199999999999999E-2</v>
      </c>
      <c r="O3156" s="100"/>
    </row>
    <row r="3157" spans="2:15" x14ac:dyDescent="0.2">
      <c r="B3157" s="1">
        <v>3142</v>
      </c>
      <c r="C3157" s="101">
        <f ca="1"/>
        <v>-9.6117140648056335E-3</v>
      </c>
      <c r="D3157" s="101">
        <f t="shared" ca="1" si="186"/>
        <v>0.66387244084630415</v>
      </c>
      <c r="E3157" s="101">
        <f t="shared" ca="1" si="187"/>
        <v>0</v>
      </c>
      <c r="F3157" s="21">
        <f t="shared" ca="1" si="188"/>
        <v>0</v>
      </c>
      <c r="H3157" s="21">
        <v>3142</v>
      </c>
      <c r="I3157" s="102">
        <v>0.66765807602327287</v>
      </c>
      <c r="J3157" s="103">
        <v>1.2812478187862841E-3</v>
      </c>
      <c r="K3157" s="103"/>
      <c r="L3157" s="103">
        <v>3.8600000000000002E-2</v>
      </c>
      <c r="O3157" s="100"/>
    </row>
    <row r="3158" spans="2:15" x14ac:dyDescent="0.2">
      <c r="B3158" s="1">
        <v>3143</v>
      </c>
      <c r="C3158" s="101">
        <f ca="1"/>
        <v>-0.74711957057241762</v>
      </c>
      <c r="D3158" s="101">
        <f t="shared" ca="1" si="186"/>
        <v>0.61729144535139346</v>
      </c>
      <c r="E3158" s="101">
        <f t="shared" ca="1" si="187"/>
        <v>0</v>
      </c>
      <c r="F3158" s="21">
        <f t="shared" ca="1" si="188"/>
        <v>0</v>
      </c>
      <c r="H3158" s="21">
        <v>3143</v>
      </c>
      <c r="I3158" s="102">
        <v>0.66774923652457896</v>
      </c>
      <c r="J3158" s="103">
        <v>1.3807836580623032E-3</v>
      </c>
      <c r="K3158" s="103"/>
      <c r="L3158" s="103">
        <v>4.24E-2</v>
      </c>
      <c r="O3158" s="100"/>
    </row>
    <row r="3159" spans="2:15" x14ac:dyDescent="0.2">
      <c r="B3159" s="1">
        <v>3144</v>
      </c>
      <c r="C3159" s="101">
        <f ca="1"/>
        <v>-0.42641683816297471</v>
      </c>
      <c r="D3159" s="101">
        <f t="shared" ca="1" si="186"/>
        <v>0.63713133635107</v>
      </c>
      <c r="E3159" s="101">
        <f t="shared" ca="1" si="187"/>
        <v>0</v>
      </c>
      <c r="F3159" s="21">
        <f t="shared" ca="1" si="188"/>
        <v>0</v>
      </c>
      <c r="H3159" s="21">
        <v>3144</v>
      </c>
      <c r="I3159" s="102">
        <v>0.66766230003257121</v>
      </c>
      <c r="J3159" s="103">
        <v>1.2303441910393176E-3</v>
      </c>
      <c r="K3159" s="103"/>
      <c r="L3159" s="103">
        <v>3.9E-2</v>
      </c>
      <c r="O3159" s="100"/>
    </row>
    <row r="3160" spans="2:15" x14ac:dyDescent="0.2">
      <c r="B3160" s="1">
        <v>3145</v>
      </c>
      <c r="C3160" s="101">
        <f ca="1"/>
        <v>0.18732373630141427</v>
      </c>
      <c r="D3160" s="101">
        <f t="shared" ca="1" si="186"/>
        <v>0.67689488689422139</v>
      </c>
      <c r="E3160" s="101">
        <f t="shared" ca="1" si="187"/>
        <v>0</v>
      </c>
      <c r="F3160" s="21">
        <f t="shared" ca="1" si="188"/>
        <v>0</v>
      </c>
      <c r="H3160" s="21">
        <v>3145</v>
      </c>
      <c r="I3160" s="102">
        <v>0.66777125205446741</v>
      </c>
      <c r="J3160" s="103">
        <v>1.427939863294236E-3</v>
      </c>
      <c r="K3160" s="103"/>
      <c r="L3160" s="103">
        <v>4.3400000000000001E-2</v>
      </c>
      <c r="O3160" s="100"/>
    </row>
    <row r="3161" spans="2:15" x14ac:dyDescent="0.2">
      <c r="B3161" s="1">
        <v>3146</v>
      </c>
      <c r="C3161" s="101">
        <f ca="1"/>
        <v>0.38375369759861211</v>
      </c>
      <c r="D3161" s="101">
        <f t="shared" ca="1" si="186"/>
        <v>0.69013836714343291</v>
      </c>
      <c r="E3161" s="101">
        <f t="shared" ca="1" si="187"/>
        <v>0</v>
      </c>
      <c r="F3161" s="21">
        <f t="shared" ca="1" si="188"/>
        <v>0</v>
      </c>
      <c r="H3161" s="21">
        <v>3146</v>
      </c>
      <c r="I3161" s="102">
        <v>0.66783330324190493</v>
      </c>
      <c r="J3161" s="103">
        <v>1.5339607188495079E-3</v>
      </c>
      <c r="K3161" s="103"/>
      <c r="L3161" s="103">
        <v>4.4999999999999998E-2</v>
      </c>
      <c r="O3161" s="100"/>
    </row>
    <row r="3162" spans="2:15" x14ac:dyDescent="0.2">
      <c r="B3162" s="1">
        <v>3147</v>
      </c>
      <c r="C3162" s="101">
        <f ca="1"/>
        <v>0.89109697543126987</v>
      </c>
      <c r="D3162" s="101">
        <f t="shared" ca="1" si="186"/>
        <v>0.72555517695285743</v>
      </c>
      <c r="E3162" s="101">
        <f t="shared" ca="1" si="187"/>
        <v>0</v>
      </c>
      <c r="F3162" s="21">
        <f t="shared" ca="1" si="188"/>
        <v>0</v>
      </c>
      <c r="H3162" s="21">
        <v>3147</v>
      </c>
      <c r="I3162" s="102">
        <v>0.66798982116858063</v>
      </c>
      <c r="J3162" s="103">
        <v>1.6367092219146337E-3</v>
      </c>
      <c r="K3162" s="103"/>
      <c r="L3162" s="103">
        <v>4.7E-2</v>
      </c>
      <c r="O3162" s="100"/>
    </row>
    <row r="3163" spans="2:15" x14ac:dyDescent="0.2">
      <c r="B3163" s="1">
        <v>3148</v>
      </c>
      <c r="C3163" s="101">
        <f ca="1"/>
        <v>-0.47028071691294232</v>
      </c>
      <c r="D3163" s="101">
        <f t="shared" ca="1" si="186"/>
        <v>0.63438055743596233</v>
      </c>
      <c r="E3163" s="101">
        <f t="shared" ca="1" si="187"/>
        <v>0</v>
      </c>
      <c r="F3163" s="21">
        <f t="shared" ca="1" si="188"/>
        <v>0</v>
      </c>
      <c r="H3163" s="21">
        <v>3148</v>
      </c>
      <c r="I3163" s="102">
        <v>0.66773168397335947</v>
      </c>
      <c r="J3163" s="103">
        <v>1.3571516218279552E-3</v>
      </c>
      <c r="K3163" s="103"/>
      <c r="L3163" s="103">
        <v>4.1000000000000002E-2</v>
      </c>
      <c r="O3163" s="100"/>
    </row>
    <row r="3164" spans="2:15" x14ac:dyDescent="0.2">
      <c r="B3164" s="1">
        <v>3149</v>
      </c>
      <c r="C3164" s="101">
        <f ca="1"/>
        <v>0.25565321252039264</v>
      </c>
      <c r="D3164" s="101">
        <f t="shared" ca="1" si="186"/>
        <v>0.68147264293333776</v>
      </c>
      <c r="E3164" s="101">
        <f t="shared" ca="1" si="187"/>
        <v>0</v>
      </c>
      <c r="F3164" s="21">
        <f t="shared" ca="1" si="188"/>
        <v>0</v>
      </c>
      <c r="H3164" s="21">
        <v>3149</v>
      </c>
      <c r="I3164" s="102">
        <v>0.66769824019821855</v>
      </c>
      <c r="J3164" s="103">
        <v>1.2909383874554617E-3</v>
      </c>
      <c r="K3164" s="103"/>
      <c r="L3164" s="103">
        <v>4.1000000000000002E-2</v>
      </c>
      <c r="O3164" s="100"/>
    </row>
    <row r="3165" spans="2:15" x14ac:dyDescent="0.2">
      <c r="B3165" s="1">
        <v>3150</v>
      </c>
      <c r="C3165" s="101">
        <f ca="1"/>
        <v>-0.49004809092803792</v>
      </c>
      <c r="D3165" s="101">
        <f t="shared" ca="1" si="186"/>
        <v>0.63314479667158596</v>
      </c>
      <c r="E3165" s="101">
        <f t="shared" ca="1" si="187"/>
        <v>0</v>
      </c>
      <c r="F3165" s="21">
        <f t="shared" ca="1" si="188"/>
        <v>0</v>
      </c>
      <c r="H3165" s="21">
        <v>3150</v>
      </c>
      <c r="I3165" s="102">
        <v>0.66796183291654265</v>
      </c>
      <c r="J3165" s="103">
        <v>1.5700604967967689E-3</v>
      </c>
      <c r="K3165" s="103"/>
      <c r="L3165" s="103">
        <v>4.5600000000000002E-2</v>
      </c>
      <c r="O3165" s="100"/>
    </row>
    <row r="3166" spans="2:15" x14ac:dyDescent="0.2">
      <c r="B3166" s="1">
        <v>3151</v>
      </c>
      <c r="C3166" s="101">
        <f ca="1"/>
        <v>2.588045147216476</v>
      </c>
      <c r="D3166" s="101">
        <f t="shared" ca="1" si="186"/>
        <v>0.8577617159210793</v>
      </c>
      <c r="E3166" s="101">
        <f t="shared" ca="1" si="187"/>
        <v>6.9561715921079292E-2</v>
      </c>
      <c r="F3166" s="21">
        <f t="shared" ca="1" si="188"/>
        <v>1</v>
      </c>
      <c r="H3166" s="21">
        <v>3151</v>
      </c>
      <c r="I3166" s="102">
        <v>0.66774395412472554</v>
      </c>
      <c r="J3166" s="103">
        <v>1.1801529748509917E-3</v>
      </c>
      <c r="K3166" s="103"/>
      <c r="L3166" s="103">
        <v>3.7999999999999999E-2</v>
      </c>
      <c r="O3166" s="100"/>
    </row>
    <row r="3167" spans="2:15" x14ac:dyDescent="0.2">
      <c r="B3167" s="1">
        <v>3152</v>
      </c>
      <c r="C3167" s="101">
        <f ca="1"/>
        <v>-1.4629584631896457</v>
      </c>
      <c r="D3167" s="101">
        <f t="shared" ca="1" si="186"/>
        <v>0.57520699868721048</v>
      </c>
      <c r="E3167" s="101">
        <f t="shared" ca="1" si="187"/>
        <v>0</v>
      </c>
      <c r="F3167" s="21">
        <f t="shared" ca="1" si="188"/>
        <v>0</v>
      </c>
      <c r="H3167" s="21">
        <v>3152</v>
      </c>
      <c r="I3167" s="102">
        <v>0.66781158467732671</v>
      </c>
      <c r="J3167" s="103">
        <v>1.4722475251940817E-3</v>
      </c>
      <c r="K3167" s="103"/>
      <c r="L3167" s="103">
        <v>4.2999999999999997E-2</v>
      </c>
      <c r="O3167" s="100"/>
    </row>
    <row r="3168" spans="2:15" x14ac:dyDescent="0.2">
      <c r="B3168" s="1">
        <v>3153</v>
      </c>
      <c r="C3168" s="101">
        <f ca="1"/>
        <v>-2.0705621596558824E-2</v>
      </c>
      <c r="D3168" s="101">
        <f t="shared" ca="1" si="186"/>
        <v>0.6631463508116997</v>
      </c>
      <c r="E3168" s="101">
        <f t="shared" ca="1" si="187"/>
        <v>0</v>
      </c>
      <c r="F3168" s="21">
        <f t="shared" ca="1" si="188"/>
        <v>0</v>
      </c>
      <c r="H3168" s="21">
        <v>3153</v>
      </c>
      <c r="I3168" s="102">
        <v>0.66762213708452822</v>
      </c>
      <c r="J3168" s="103">
        <v>1.2932266874344518E-3</v>
      </c>
      <c r="K3168" s="103"/>
      <c r="L3168" s="103">
        <v>3.7999999999999999E-2</v>
      </c>
      <c r="O3168" s="100"/>
    </row>
    <row r="3169" spans="2:15" x14ac:dyDescent="0.2">
      <c r="B3169" s="1">
        <v>3154</v>
      </c>
      <c r="C3169" s="101">
        <f ca="1"/>
        <v>-2.302414608302436E-2</v>
      </c>
      <c r="D3169" s="101">
        <f t="shared" ca="1" si="186"/>
        <v>0.66299470503822278</v>
      </c>
      <c r="E3169" s="101">
        <f t="shared" ca="1" si="187"/>
        <v>0</v>
      </c>
      <c r="F3169" s="21">
        <f t="shared" ca="1" si="188"/>
        <v>0</v>
      </c>
      <c r="H3169" s="21">
        <v>3154</v>
      </c>
      <c r="I3169" s="102">
        <v>0.66769324028471355</v>
      </c>
      <c r="J3169" s="103">
        <v>1.3509123130074335E-3</v>
      </c>
      <c r="K3169" s="103"/>
      <c r="L3169" s="103">
        <v>3.8800000000000001E-2</v>
      </c>
      <c r="O3169" s="100"/>
    </row>
    <row r="3170" spans="2:15" x14ac:dyDescent="0.2">
      <c r="B3170" s="1">
        <v>3155</v>
      </c>
      <c r="C3170" s="101">
        <f ca="1"/>
        <v>1.0890514894678445</v>
      </c>
      <c r="D3170" s="101">
        <f t="shared" ca="1" si="186"/>
        <v>0.7398619530249585</v>
      </c>
      <c r="E3170" s="101">
        <f t="shared" ca="1" si="187"/>
        <v>0</v>
      </c>
      <c r="F3170" s="21">
        <f t="shared" ca="1" si="188"/>
        <v>0</v>
      </c>
      <c r="H3170" s="21">
        <v>3155</v>
      </c>
      <c r="I3170" s="102">
        <v>0.66774534562944499</v>
      </c>
      <c r="J3170" s="103">
        <v>1.4197570681972692E-3</v>
      </c>
      <c r="K3170" s="103"/>
      <c r="L3170" s="103">
        <v>4.02E-2</v>
      </c>
      <c r="O3170" s="100"/>
    </row>
    <row r="3171" spans="2:15" x14ac:dyDescent="0.2">
      <c r="B3171" s="1">
        <v>3156</v>
      </c>
      <c r="C3171" s="101">
        <f ca="1"/>
        <v>0.31102594170444914</v>
      </c>
      <c r="D3171" s="101">
        <f t="shared" ca="1" si="186"/>
        <v>0.68520505738941562</v>
      </c>
      <c r="E3171" s="101">
        <f t="shared" ca="1" si="187"/>
        <v>0</v>
      </c>
      <c r="F3171" s="21">
        <f t="shared" ca="1" si="188"/>
        <v>0</v>
      </c>
      <c r="H3171" s="21">
        <v>3156</v>
      </c>
      <c r="I3171" s="102">
        <v>0.66772554794476158</v>
      </c>
      <c r="J3171" s="103">
        <v>1.2898760494111598E-3</v>
      </c>
      <c r="K3171" s="103"/>
      <c r="L3171" s="103">
        <v>3.9600000000000003E-2</v>
      </c>
      <c r="O3171" s="100"/>
    </row>
    <row r="3172" spans="2:15" x14ac:dyDescent="0.2">
      <c r="B3172" s="1">
        <v>3157</v>
      </c>
      <c r="C3172" s="101">
        <f ca="1"/>
        <v>-1.7443444934343482</v>
      </c>
      <c r="D3172" s="101">
        <f t="shared" ca="1" si="186"/>
        <v>0.55946092303302153</v>
      </c>
      <c r="E3172" s="101">
        <f t="shared" ca="1" si="187"/>
        <v>0</v>
      </c>
      <c r="F3172" s="21">
        <f t="shared" ca="1" si="188"/>
        <v>0</v>
      </c>
      <c r="H3172" s="21">
        <v>3157</v>
      </c>
      <c r="I3172" s="102">
        <v>0.66764550424521774</v>
      </c>
      <c r="J3172" s="103">
        <v>1.2407980210919153E-3</v>
      </c>
      <c r="K3172" s="103"/>
      <c r="L3172" s="103">
        <v>3.9399999999999998E-2</v>
      </c>
      <c r="O3172" s="100"/>
    </row>
    <row r="3173" spans="2:15" x14ac:dyDescent="0.2">
      <c r="B3173" s="1">
        <v>3158</v>
      </c>
      <c r="C3173" s="101">
        <f ca="1"/>
        <v>-1.4186597370932195</v>
      </c>
      <c r="D3173" s="101">
        <f t="shared" ca="1" si="186"/>
        <v>0.57772597167382256</v>
      </c>
      <c r="E3173" s="101">
        <f t="shared" ca="1" si="187"/>
        <v>0</v>
      </c>
      <c r="F3173" s="21">
        <f t="shared" ca="1" si="188"/>
        <v>0</v>
      </c>
      <c r="H3173" s="21">
        <v>3158</v>
      </c>
      <c r="I3173" s="102">
        <v>0.66791021448694088</v>
      </c>
      <c r="J3173" s="103">
        <v>1.6507934902443172E-3</v>
      </c>
      <c r="K3173" s="103"/>
      <c r="L3173" s="103">
        <v>4.5199999999999997E-2</v>
      </c>
      <c r="O3173" s="100"/>
    </row>
    <row r="3174" spans="2:15" x14ac:dyDescent="0.2">
      <c r="B3174" s="1">
        <v>3159</v>
      </c>
      <c r="C3174" s="101">
        <f ca="1"/>
        <v>0.28243560510452043</v>
      </c>
      <c r="D3174" s="101">
        <f t="shared" ca="1" si="186"/>
        <v>0.68327537214229672</v>
      </c>
      <c r="E3174" s="101">
        <f t="shared" ca="1" si="187"/>
        <v>0</v>
      </c>
      <c r="F3174" s="21">
        <f t="shared" ca="1" si="188"/>
        <v>0</v>
      </c>
      <c r="H3174" s="21">
        <v>3159</v>
      </c>
      <c r="I3174" s="102">
        <v>0.66761433849187768</v>
      </c>
      <c r="J3174" s="103">
        <v>1.2786181898965432E-3</v>
      </c>
      <c r="K3174" s="103"/>
      <c r="L3174" s="103">
        <v>3.9600000000000003E-2</v>
      </c>
      <c r="O3174" s="100"/>
    </row>
    <row r="3175" spans="2:15" x14ac:dyDescent="0.2">
      <c r="B3175" s="1">
        <v>3160</v>
      </c>
      <c r="C3175" s="101">
        <f ca="1"/>
        <v>-1.1741269768179632</v>
      </c>
      <c r="D3175" s="101">
        <f t="shared" ca="1" si="186"/>
        <v>0.59183074747373909</v>
      </c>
      <c r="E3175" s="101">
        <f t="shared" ca="1" si="187"/>
        <v>0</v>
      </c>
      <c r="F3175" s="21">
        <f t="shared" ca="1" si="188"/>
        <v>0</v>
      </c>
      <c r="H3175" s="21">
        <v>3160</v>
      </c>
      <c r="I3175" s="102">
        <v>0.66775837910072555</v>
      </c>
      <c r="J3175" s="103">
        <v>1.3646393249023986E-3</v>
      </c>
      <c r="K3175" s="103"/>
      <c r="L3175" s="103">
        <v>4.3799999999999999E-2</v>
      </c>
      <c r="O3175" s="100"/>
    </row>
    <row r="3176" spans="2:15" x14ac:dyDescent="0.2">
      <c r="B3176" s="1">
        <v>3161</v>
      </c>
      <c r="C3176" s="101">
        <f ca="1"/>
        <v>3.440563003615813</v>
      </c>
      <c r="D3176" s="101">
        <f t="shared" ca="1" si="186"/>
        <v>0.93301365109537659</v>
      </c>
      <c r="E3176" s="101">
        <f t="shared" ca="1" si="187"/>
        <v>0.14481365109537658</v>
      </c>
      <c r="F3176" s="21">
        <f t="shared" ca="1" si="188"/>
        <v>1</v>
      </c>
      <c r="H3176" s="21">
        <v>3161</v>
      </c>
      <c r="I3176" s="102">
        <v>0.66782020514375806</v>
      </c>
      <c r="J3176" s="103">
        <v>1.4773280954709638E-3</v>
      </c>
      <c r="K3176" s="103"/>
      <c r="L3176" s="103">
        <v>4.1599999999999998E-2</v>
      </c>
      <c r="O3176" s="100"/>
    </row>
    <row r="3177" spans="2:15" x14ac:dyDescent="0.2">
      <c r="B3177" s="1">
        <v>3162</v>
      </c>
      <c r="C3177" s="101">
        <f ca="1"/>
        <v>0.79176426687343204</v>
      </c>
      <c r="D3177" s="101">
        <f t="shared" ca="1" si="186"/>
        <v>0.71848067802743076</v>
      </c>
      <c r="E3177" s="101">
        <f t="shared" ca="1" si="187"/>
        <v>0</v>
      </c>
      <c r="F3177" s="21">
        <f t="shared" ca="1" si="188"/>
        <v>0</v>
      </c>
      <c r="H3177" s="21">
        <v>3162</v>
      </c>
      <c r="I3177" s="102">
        <v>0.66777248626945007</v>
      </c>
      <c r="J3177" s="103">
        <v>1.4270649090649709E-3</v>
      </c>
      <c r="K3177" s="103"/>
      <c r="L3177" s="103">
        <v>3.9800000000000002E-2</v>
      </c>
      <c r="O3177" s="100"/>
    </row>
    <row r="3178" spans="2:15" x14ac:dyDescent="0.2">
      <c r="B3178" s="1">
        <v>3163</v>
      </c>
      <c r="C3178" s="101">
        <f ca="1"/>
        <v>1.9052910638175682</v>
      </c>
      <c r="D3178" s="101">
        <f t="shared" ca="1" si="186"/>
        <v>0.80189571848534968</v>
      </c>
      <c r="E3178" s="101">
        <f t="shared" ca="1" si="187"/>
        <v>1.3695718485349673E-2</v>
      </c>
      <c r="F3178" s="21">
        <f t="shared" ca="1" si="188"/>
        <v>1</v>
      </c>
      <c r="H3178" s="21">
        <v>3163</v>
      </c>
      <c r="I3178" s="102">
        <v>0.66758870137294457</v>
      </c>
      <c r="J3178" s="103">
        <v>1.2224139635480548E-3</v>
      </c>
      <c r="K3178" s="103"/>
      <c r="L3178" s="103">
        <v>3.56E-2</v>
      </c>
      <c r="O3178" s="100"/>
    </row>
    <row r="3179" spans="2:15" x14ac:dyDescent="0.2">
      <c r="B3179" s="1">
        <v>3164</v>
      </c>
      <c r="C3179" s="101">
        <f ca="1"/>
        <v>0.67247829598376863</v>
      </c>
      <c r="D3179" s="101">
        <f t="shared" ca="1" si="186"/>
        <v>0.71007619895276208</v>
      </c>
      <c r="E3179" s="101">
        <f t="shared" ca="1" si="187"/>
        <v>0</v>
      </c>
      <c r="F3179" s="21">
        <f t="shared" ca="1" si="188"/>
        <v>0</v>
      </c>
      <c r="H3179" s="21">
        <v>3164</v>
      </c>
      <c r="I3179" s="102">
        <v>0.66778758701092145</v>
      </c>
      <c r="J3179" s="103">
        <v>1.4230725633854774E-3</v>
      </c>
      <c r="K3179" s="103"/>
      <c r="L3179" s="103">
        <v>4.1399999999999999E-2</v>
      </c>
      <c r="O3179" s="100"/>
    </row>
    <row r="3180" spans="2:15" x14ac:dyDescent="0.2">
      <c r="B3180" s="1">
        <v>3165</v>
      </c>
      <c r="C3180" s="101">
        <f ca="1"/>
        <v>-0.45621529743031108</v>
      </c>
      <c r="D3180" s="101">
        <f t="shared" ca="1" si="186"/>
        <v>0.6352613279469197</v>
      </c>
      <c r="E3180" s="101">
        <f t="shared" ca="1" si="187"/>
        <v>0</v>
      </c>
      <c r="F3180" s="21">
        <f t="shared" ca="1" si="188"/>
        <v>0</v>
      </c>
      <c r="H3180" s="21">
        <v>3165</v>
      </c>
      <c r="I3180" s="102">
        <v>0.66775834855152105</v>
      </c>
      <c r="J3180" s="103">
        <v>1.3293750622942618E-3</v>
      </c>
      <c r="K3180" s="103"/>
      <c r="L3180" s="103">
        <v>4.4200000000000003E-2</v>
      </c>
      <c r="O3180" s="100"/>
    </row>
    <row r="3181" spans="2:15" x14ac:dyDescent="0.2">
      <c r="B3181" s="1">
        <v>3166</v>
      </c>
      <c r="C3181" s="101">
        <f ca="1"/>
        <v>0.16552304686835895</v>
      </c>
      <c r="D3181" s="101">
        <f t="shared" ca="1" si="186"/>
        <v>0.67544082302904684</v>
      </c>
      <c r="E3181" s="101">
        <f t="shared" ca="1" si="187"/>
        <v>0</v>
      </c>
      <c r="F3181" s="21">
        <f t="shared" ca="1" si="188"/>
        <v>0</v>
      </c>
      <c r="H3181" s="21">
        <v>3166</v>
      </c>
      <c r="I3181" s="102">
        <v>0.66769881099069794</v>
      </c>
      <c r="J3181" s="103">
        <v>1.2227613865431633E-3</v>
      </c>
      <c r="K3181" s="103"/>
      <c r="L3181" s="103">
        <v>3.9800000000000002E-2</v>
      </c>
      <c r="O3181" s="100"/>
    </row>
    <row r="3182" spans="2:15" x14ac:dyDescent="0.2">
      <c r="B3182" s="1">
        <v>3167</v>
      </c>
      <c r="C3182" s="101">
        <f ca="1"/>
        <v>1.3930941339136003</v>
      </c>
      <c r="D3182" s="101">
        <f t="shared" ca="1" si="186"/>
        <v>0.76238737173152538</v>
      </c>
      <c r="E3182" s="101">
        <f t="shared" ca="1" si="187"/>
        <v>0</v>
      </c>
      <c r="F3182" s="21">
        <f t="shared" ca="1" si="188"/>
        <v>0</v>
      </c>
      <c r="H3182" s="21">
        <v>3167</v>
      </c>
      <c r="I3182" s="102">
        <v>0.6679053273749429</v>
      </c>
      <c r="J3182" s="103">
        <v>1.5052558622530496E-3</v>
      </c>
      <c r="K3182" s="103"/>
      <c r="L3182" s="103">
        <v>4.5199999999999997E-2</v>
      </c>
      <c r="O3182" s="100"/>
    </row>
    <row r="3183" spans="2:15" x14ac:dyDescent="0.2">
      <c r="B3183" s="1">
        <v>3168</v>
      </c>
      <c r="C3183" s="101">
        <f ca="1"/>
        <v>0.10273702717336171</v>
      </c>
      <c r="D3183" s="101">
        <f t="shared" ca="1" si="186"/>
        <v>0.67127054514443785</v>
      </c>
      <c r="E3183" s="101">
        <f t="shared" ca="1" si="187"/>
        <v>0</v>
      </c>
      <c r="F3183" s="21">
        <f t="shared" ca="1" si="188"/>
        <v>0</v>
      </c>
      <c r="H3183" s="21">
        <v>3168</v>
      </c>
      <c r="I3183" s="102">
        <v>0.66788329441538374</v>
      </c>
      <c r="J3183" s="103">
        <v>1.5372800679405534E-3</v>
      </c>
      <c r="K3183" s="103"/>
      <c r="L3183" s="103">
        <v>4.5199999999999997E-2</v>
      </c>
      <c r="O3183" s="100"/>
    </row>
    <row r="3184" spans="2:15" x14ac:dyDescent="0.2">
      <c r="B3184" s="1">
        <v>3169</v>
      </c>
      <c r="C3184" s="101">
        <f ca="1"/>
        <v>0.2895259269434306</v>
      </c>
      <c r="D3184" s="101">
        <f t="shared" ca="1" si="186"/>
        <v>0.68375342123493144</v>
      </c>
      <c r="E3184" s="101">
        <f t="shared" ca="1" si="187"/>
        <v>0</v>
      </c>
      <c r="F3184" s="21">
        <f t="shared" ca="1" si="188"/>
        <v>0</v>
      </c>
      <c r="H3184" s="21">
        <v>3169</v>
      </c>
      <c r="I3184" s="102">
        <v>0.66787200416784431</v>
      </c>
      <c r="J3184" s="103">
        <v>1.3993543228860449E-3</v>
      </c>
      <c r="K3184" s="103"/>
      <c r="L3184" s="103">
        <v>4.3400000000000001E-2</v>
      </c>
      <c r="O3184" s="100"/>
    </row>
    <row r="3185" spans="2:15" x14ac:dyDescent="0.2">
      <c r="B3185" s="1">
        <v>3170</v>
      </c>
      <c r="C3185" s="101">
        <f ca="1"/>
        <v>-0.40739409280372119</v>
      </c>
      <c r="D3185" s="101">
        <f t="shared" ca="1" si="186"/>
        <v>0.6383279903208493</v>
      </c>
      <c r="E3185" s="101">
        <f t="shared" ca="1" si="187"/>
        <v>0</v>
      </c>
      <c r="F3185" s="21">
        <f t="shared" ca="1" si="188"/>
        <v>0</v>
      </c>
      <c r="H3185" s="21">
        <v>3170</v>
      </c>
      <c r="I3185" s="102">
        <v>0.66770284709648309</v>
      </c>
      <c r="J3185" s="103">
        <v>1.3503355679286956E-3</v>
      </c>
      <c r="K3185" s="103"/>
      <c r="L3185" s="103">
        <v>4.1000000000000002E-2</v>
      </c>
      <c r="O3185" s="100"/>
    </row>
    <row r="3186" spans="2:15" x14ac:dyDescent="0.2">
      <c r="B3186" s="1">
        <v>3171</v>
      </c>
      <c r="C3186" s="101">
        <f ca="1"/>
        <v>0.81799976515423845</v>
      </c>
      <c r="D3186" s="101">
        <f t="shared" ca="1" si="186"/>
        <v>0.72034244528567293</v>
      </c>
      <c r="E3186" s="101">
        <f t="shared" ca="1" si="187"/>
        <v>0</v>
      </c>
      <c r="F3186" s="21">
        <f t="shared" ca="1" si="188"/>
        <v>0</v>
      </c>
      <c r="H3186" s="21">
        <v>3171</v>
      </c>
      <c r="I3186" s="102">
        <v>0.66781074820153485</v>
      </c>
      <c r="J3186" s="103">
        <v>1.5016838857249098E-3</v>
      </c>
      <c r="K3186" s="103"/>
      <c r="L3186" s="103">
        <v>4.4400000000000002E-2</v>
      </c>
      <c r="O3186" s="100"/>
    </row>
    <row r="3187" spans="2:15" x14ac:dyDescent="0.2">
      <c r="B3187" s="1">
        <v>3172</v>
      </c>
      <c r="C3187" s="101">
        <f ca="1"/>
        <v>-0.87264107903412025</v>
      </c>
      <c r="D3187" s="101">
        <f t="shared" ca="1" si="186"/>
        <v>0.60969550665729311</v>
      </c>
      <c r="E3187" s="101">
        <f t="shared" ca="1" si="187"/>
        <v>0</v>
      </c>
      <c r="F3187" s="21">
        <f t="shared" ca="1" si="188"/>
        <v>0</v>
      </c>
      <c r="H3187" s="21">
        <v>3172</v>
      </c>
      <c r="I3187" s="102">
        <v>0.66763821887989816</v>
      </c>
      <c r="J3187" s="103">
        <v>1.3483875513241141E-3</v>
      </c>
      <c r="K3187" s="103"/>
      <c r="L3187" s="103">
        <v>4.1799999999999997E-2</v>
      </c>
      <c r="O3187" s="100"/>
    </row>
    <row r="3188" spans="2:15" x14ac:dyDescent="0.2">
      <c r="B3188" s="1">
        <v>3173</v>
      </c>
      <c r="C3188" s="101">
        <f ca="1"/>
        <v>-0.27013077773854194</v>
      </c>
      <c r="D3188" s="101">
        <f t="shared" ca="1" si="186"/>
        <v>0.64702962262412633</v>
      </c>
      <c r="E3188" s="101">
        <f t="shared" ca="1" si="187"/>
        <v>0</v>
      </c>
      <c r="F3188" s="21">
        <f t="shared" ca="1" si="188"/>
        <v>0</v>
      </c>
      <c r="H3188" s="21">
        <v>3173</v>
      </c>
      <c r="I3188" s="102">
        <v>0.66781417684712352</v>
      </c>
      <c r="J3188" s="103">
        <v>1.4145500038197354E-3</v>
      </c>
      <c r="K3188" s="103"/>
      <c r="L3188" s="103">
        <v>4.2200000000000001E-2</v>
      </c>
      <c r="O3188" s="100"/>
    </row>
    <row r="3189" spans="2:15" x14ac:dyDescent="0.2">
      <c r="B3189" s="1">
        <v>3174</v>
      </c>
      <c r="C3189" s="101">
        <f ca="1"/>
        <v>-0.45147298778012002</v>
      </c>
      <c r="D3189" s="101">
        <f t="shared" ca="1" si="186"/>
        <v>0.63555856490594131</v>
      </c>
      <c r="E3189" s="101">
        <f t="shared" ca="1" si="187"/>
        <v>0</v>
      </c>
      <c r="F3189" s="21">
        <f t="shared" ca="1" si="188"/>
        <v>0</v>
      </c>
      <c r="H3189" s="21">
        <v>3174</v>
      </c>
      <c r="I3189" s="102">
        <v>0.66772672823709933</v>
      </c>
      <c r="J3189" s="103">
        <v>1.2903901902981978E-3</v>
      </c>
      <c r="K3189" s="103"/>
      <c r="L3189" s="103">
        <v>4.1599999999999998E-2</v>
      </c>
      <c r="O3189" s="100"/>
    </row>
    <row r="3190" spans="2:15" x14ac:dyDescent="0.2">
      <c r="B3190" s="1">
        <v>3175</v>
      </c>
      <c r="C3190" s="101">
        <f ca="1"/>
        <v>-0.82091833549150639</v>
      </c>
      <c r="D3190" s="101">
        <f t="shared" ca="1" si="186"/>
        <v>0.61281412195211038</v>
      </c>
      <c r="E3190" s="101">
        <f t="shared" ca="1" si="187"/>
        <v>0</v>
      </c>
      <c r="F3190" s="21">
        <f t="shared" ca="1" si="188"/>
        <v>0</v>
      </c>
      <c r="H3190" s="21">
        <v>3175</v>
      </c>
      <c r="I3190" s="102">
        <v>0.66765968814074383</v>
      </c>
      <c r="J3190" s="103">
        <v>1.2293587030856193E-3</v>
      </c>
      <c r="K3190" s="103"/>
      <c r="L3190" s="103">
        <v>0.04</v>
      </c>
      <c r="O3190" s="100"/>
    </row>
    <row r="3191" spans="2:15" x14ac:dyDescent="0.2">
      <c r="B3191" s="1">
        <v>3176</v>
      </c>
      <c r="C3191" s="101">
        <f ca="1"/>
        <v>1.2469160073350751</v>
      </c>
      <c r="D3191" s="101">
        <f t="shared" ca="1" si="186"/>
        <v>0.75147322826696017</v>
      </c>
      <c r="E3191" s="101">
        <f t="shared" ca="1" si="187"/>
        <v>0</v>
      </c>
      <c r="F3191" s="21">
        <f t="shared" ca="1" si="188"/>
        <v>0</v>
      </c>
      <c r="H3191" s="21">
        <v>3176</v>
      </c>
      <c r="I3191" s="102">
        <v>0.66765544196646631</v>
      </c>
      <c r="J3191" s="103">
        <v>1.2280194606511324E-3</v>
      </c>
      <c r="K3191" s="103"/>
      <c r="L3191" s="103">
        <v>3.8600000000000002E-2</v>
      </c>
      <c r="O3191" s="100"/>
    </row>
    <row r="3192" spans="2:15" x14ac:dyDescent="0.2">
      <c r="B3192" s="1">
        <v>3177</v>
      </c>
      <c r="C3192" s="101">
        <f ca="1"/>
        <v>0.25968974613015589</v>
      </c>
      <c r="D3192" s="101">
        <f t="shared" ca="1" si="186"/>
        <v>0.6817440382593638</v>
      </c>
      <c r="E3192" s="101">
        <f t="shared" ca="1" si="187"/>
        <v>0</v>
      </c>
      <c r="F3192" s="21">
        <f t="shared" ca="1" si="188"/>
        <v>0</v>
      </c>
      <c r="H3192" s="21">
        <v>3177</v>
      </c>
      <c r="I3192" s="102">
        <v>0.66791394547457472</v>
      </c>
      <c r="J3192" s="103">
        <v>1.6660273134794785E-3</v>
      </c>
      <c r="K3192" s="103"/>
      <c r="L3192" s="103">
        <v>4.7800000000000002E-2</v>
      </c>
      <c r="O3192" s="100"/>
    </row>
    <row r="3193" spans="2:15" x14ac:dyDescent="0.2">
      <c r="B3193" s="1">
        <v>3178</v>
      </c>
      <c r="C3193" s="101">
        <f ca="1"/>
        <v>1.3984977520395814</v>
      </c>
      <c r="D3193" s="101">
        <f t="shared" ca="1" si="186"/>
        <v>0.76279384781133652</v>
      </c>
      <c r="E3193" s="101">
        <f t="shared" ca="1" si="187"/>
        <v>0</v>
      </c>
      <c r="F3193" s="21">
        <f t="shared" ca="1" si="188"/>
        <v>0</v>
      </c>
      <c r="H3193" s="21">
        <v>3178</v>
      </c>
      <c r="I3193" s="102">
        <v>0.66772752374502942</v>
      </c>
      <c r="J3193" s="103">
        <v>1.451643222524941E-3</v>
      </c>
      <c r="K3193" s="103"/>
      <c r="L3193" s="103">
        <v>4.2999999999999997E-2</v>
      </c>
      <c r="O3193" s="100"/>
    </row>
    <row r="3194" spans="2:15" x14ac:dyDescent="0.2">
      <c r="B3194" s="1">
        <v>3179</v>
      </c>
      <c r="C3194" s="101">
        <f ca="1"/>
        <v>1.0315061753040354E-2</v>
      </c>
      <c r="D3194" s="101">
        <f t="shared" ca="1" si="186"/>
        <v>0.66517863420458367</v>
      </c>
      <c r="E3194" s="101">
        <f t="shared" ca="1" si="187"/>
        <v>0</v>
      </c>
      <c r="F3194" s="21">
        <f t="shared" ca="1" si="188"/>
        <v>0</v>
      </c>
      <c r="H3194" s="21">
        <v>3179</v>
      </c>
      <c r="I3194" s="102">
        <v>0.66790796518151541</v>
      </c>
      <c r="J3194" s="103">
        <v>1.6056589902198005E-3</v>
      </c>
      <c r="K3194" s="103"/>
      <c r="L3194" s="103">
        <v>4.4600000000000001E-2</v>
      </c>
      <c r="O3194" s="100"/>
    </row>
    <row r="3195" spans="2:15" x14ac:dyDescent="0.2">
      <c r="B3195" s="1">
        <v>3180</v>
      </c>
      <c r="C3195" s="101">
        <f ca="1"/>
        <v>-3.4340762264679359E-2</v>
      </c>
      <c r="D3195" s="101">
        <f t="shared" ca="1" si="186"/>
        <v>0.66225502623879817</v>
      </c>
      <c r="E3195" s="101">
        <f t="shared" ca="1" si="187"/>
        <v>0</v>
      </c>
      <c r="F3195" s="21">
        <f t="shared" ca="1" si="188"/>
        <v>0</v>
      </c>
      <c r="H3195" s="21">
        <v>3180</v>
      </c>
      <c r="I3195" s="102">
        <v>0.66766293814846944</v>
      </c>
      <c r="J3195" s="103">
        <v>1.329679852534579E-3</v>
      </c>
      <c r="K3195" s="103"/>
      <c r="L3195" s="103">
        <v>3.9800000000000002E-2</v>
      </c>
      <c r="O3195" s="100"/>
    </row>
    <row r="3196" spans="2:15" x14ac:dyDescent="0.2">
      <c r="B3196" s="1">
        <v>3181</v>
      </c>
      <c r="C3196" s="101">
        <f ca="1"/>
        <v>-9.9002881129323572E-4</v>
      </c>
      <c r="D3196" s="101">
        <f t="shared" ca="1" si="186"/>
        <v>0.66443727427549104</v>
      </c>
      <c r="E3196" s="101">
        <f t="shared" ca="1" si="187"/>
        <v>0</v>
      </c>
      <c r="F3196" s="21">
        <f t="shared" ca="1" si="188"/>
        <v>0</v>
      </c>
      <c r="H3196" s="21">
        <v>3181</v>
      </c>
      <c r="I3196" s="102">
        <v>0.66759139936016787</v>
      </c>
      <c r="J3196" s="103">
        <v>1.2459408556706865E-3</v>
      </c>
      <c r="K3196" s="103"/>
      <c r="L3196" s="103">
        <v>3.8399999999999997E-2</v>
      </c>
      <c r="O3196" s="100"/>
    </row>
    <row r="3197" spans="2:15" x14ac:dyDescent="0.2">
      <c r="B3197" s="1">
        <v>3182</v>
      </c>
      <c r="C3197" s="101">
        <f ca="1"/>
        <v>0.77578589751260796</v>
      </c>
      <c r="D3197" s="101">
        <f t="shared" ca="1" si="186"/>
        <v>0.71734915279403166</v>
      </c>
      <c r="E3197" s="101">
        <f t="shared" ca="1" si="187"/>
        <v>0</v>
      </c>
      <c r="F3197" s="21">
        <f t="shared" ca="1" si="188"/>
        <v>0</v>
      </c>
      <c r="H3197" s="21">
        <v>3182</v>
      </c>
      <c r="I3197" s="102">
        <v>0.66768877143617578</v>
      </c>
      <c r="J3197" s="103">
        <v>1.2854985747227329E-3</v>
      </c>
      <c r="K3197" s="103"/>
      <c r="L3197" s="103">
        <v>4.0399999999999998E-2</v>
      </c>
      <c r="O3197" s="100"/>
    </row>
    <row r="3198" spans="2:15" x14ac:dyDescent="0.2">
      <c r="B3198" s="1">
        <v>3183</v>
      </c>
      <c r="C3198" s="101">
        <f ca="1"/>
        <v>-6.5853777619615889E-2</v>
      </c>
      <c r="D3198" s="101">
        <f t="shared" ca="1" si="186"/>
        <v>0.66019961228468582</v>
      </c>
      <c r="E3198" s="101">
        <f t="shared" ca="1" si="187"/>
        <v>0</v>
      </c>
      <c r="F3198" s="21">
        <f t="shared" ca="1" si="188"/>
        <v>0</v>
      </c>
      <c r="H3198" s="21">
        <v>3183</v>
      </c>
      <c r="I3198" s="102">
        <v>0.66774564976821627</v>
      </c>
      <c r="J3198" s="103">
        <v>1.3411116517795453E-3</v>
      </c>
      <c r="K3198" s="103"/>
      <c r="L3198" s="103">
        <v>4.0800000000000003E-2</v>
      </c>
      <c r="O3198" s="100"/>
    </row>
    <row r="3199" spans="2:15" x14ac:dyDescent="0.2">
      <c r="B3199" s="1">
        <v>3184</v>
      </c>
      <c r="C3199" s="101">
        <f ca="1"/>
        <v>1.0796802189080621</v>
      </c>
      <c r="D3199" s="101">
        <f t="shared" ca="1" si="186"/>
        <v>0.73917834467684851</v>
      </c>
      <c r="E3199" s="101">
        <f t="shared" ca="1" si="187"/>
        <v>0</v>
      </c>
      <c r="F3199" s="21">
        <f t="shared" ca="1" si="188"/>
        <v>0</v>
      </c>
      <c r="H3199" s="21">
        <v>3184</v>
      </c>
      <c r="I3199" s="102">
        <v>0.66771712970130526</v>
      </c>
      <c r="J3199" s="103">
        <v>1.2986127744994056E-3</v>
      </c>
      <c r="K3199" s="103"/>
      <c r="L3199" s="103">
        <v>3.8399999999999997E-2</v>
      </c>
      <c r="O3199" s="100"/>
    </row>
    <row r="3200" spans="2:15" x14ac:dyDescent="0.2">
      <c r="B3200" s="1">
        <v>3185</v>
      </c>
      <c r="C3200" s="101">
        <f ca="1"/>
        <v>1.0261652146783935</v>
      </c>
      <c r="D3200" s="101">
        <f t="shared" ca="1" si="186"/>
        <v>0.73528665744771815</v>
      </c>
      <c r="E3200" s="101">
        <f t="shared" ca="1" si="187"/>
        <v>0</v>
      </c>
      <c r="F3200" s="21">
        <f t="shared" ca="1" si="188"/>
        <v>0</v>
      </c>
      <c r="H3200" s="21">
        <v>3185</v>
      </c>
      <c r="I3200" s="102">
        <v>0.66768883367166842</v>
      </c>
      <c r="J3200" s="103">
        <v>1.2532969467811189E-3</v>
      </c>
      <c r="K3200" s="103"/>
      <c r="L3200" s="103">
        <v>3.9800000000000002E-2</v>
      </c>
      <c r="O3200" s="100"/>
    </row>
    <row r="3201" spans="2:15" x14ac:dyDescent="0.2">
      <c r="B3201" s="1">
        <v>3186</v>
      </c>
      <c r="C3201" s="101">
        <f ca="1"/>
        <v>0.39582725858156803</v>
      </c>
      <c r="D3201" s="101">
        <f t="shared" ca="1" si="186"/>
        <v>0.69096077848393578</v>
      </c>
      <c r="E3201" s="101">
        <f t="shared" ca="1" si="187"/>
        <v>0</v>
      </c>
      <c r="F3201" s="21">
        <f t="shared" ca="1" si="188"/>
        <v>0</v>
      </c>
      <c r="H3201" s="21">
        <v>3186</v>
      </c>
      <c r="I3201" s="102">
        <v>0.66779705041356241</v>
      </c>
      <c r="J3201" s="103">
        <v>1.40555332056203E-3</v>
      </c>
      <c r="K3201" s="103"/>
      <c r="L3201" s="103">
        <v>4.3999999999999997E-2</v>
      </c>
      <c r="O3201" s="100"/>
    </row>
    <row r="3202" spans="2:15" x14ac:dyDescent="0.2">
      <c r="B3202" s="1">
        <v>3187</v>
      </c>
      <c r="C3202" s="101">
        <f ca="1"/>
        <v>0.78382924249733743</v>
      </c>
      <c r="D3202" s="101">
        <f t="shared" ca="1" si="186"/>
        <v>0.71791852791167865</v>
      </c>
      <c r="E3202" s="101">
        <f t="shared" ca="1" si="187"/>
        <v>0</v>
      </c>
      <c r="F3202" s="21">
        <f t="shared" ca="1" si="188"/>
        <v>0</v>
      </c>
      <c r="H3202" s="21">
        <v>3187</v>
      </c>
      <c r="I3202" s="102">
        <v>0.66762634105008212</v>
      </c>
      <c r="J3202" s="103">
        <v>1.2759039347739094E-3</v>
      </c>
      <c r="K3202" s="103"/>
      <c r="L3202" s="103">
        <v>3.78E-2</v>
      </c>
      <c r="O3202" s="100"/>
    </row>
    <row r="3203" spans="2:15" x14ac:dyDescent="0.2">
      <c r="B3203" s="1">
        <v>3188</v>
      </c>
      <c r="C3203" s="101">
        <f ca="1"/>
        <v>-0.49287525912324398</v>
      </c>
      <c r="D3203" s="101">
        <f t="shared" ca="1" si="186"/>
        <v>0.63296825264259282</v>
      </c>
      <c r="E3203" s="101">
        <f t="shared" ca="1" si="187"/>
        <v>0</v>
      </c>
      <c r="F3203" s="21">
        <f t="shared" ca="1" si="188"/>
        <v>0</v>
      </c>
      <c r="H3203" s="21">
        <v>3188</v>
      </c>
      <c r="I3203" s="102">
        <v>0.66771975945495254</v>
      </c>
      <c r="J3203" s="103">
        <v>1.3364031934397205E-3</v>
      </c>
      <c r="K3203" s="103"/>
      <c r="L3203" s="103">
        <v>4.1799999999999997E-2</v>
      </c>
      <c r="O3203" s="100"/>
    </row>
    <row r="3204" spans="2:15" x14ac:dyDescent="0.2">
      <c r="B3204" s="1">
        <v>3189</v>
      </c>
      <c r="C3204" s="101">
        <f ca="1"/>
        <v>-0.17376340893463743</v>
      </c>
      <c r="D3204" s="101">
        <f t="shared" ca="1" si="186"/>
        <v>0.65320948581136296</v>
      </c>
      <c r="E3204" s="101">
        <f t="shared" ca="1" si="187"/>
        <v>0</v>
      </c>
      <c r="F3204" s="21">
        <f t="shared" ca="1" si="188"/>
        <v>0</v>
      </c>
      <c r="H3204" s="21">
        <v>3189</v>
      </c>
      <c r="I3204" s="102">
        <v>0.66769545013078768</v>
      </c>
      <c r="J3204" s="103">
        <v>1.3978687265755684E-3</v>
      </c>
      <c r="K3204" s="103"/>
      <c r="L3204" s="103">
        <v>3.8800000000000001E-2</v>
      </c>
      <c r="O3204" s="100"/>
    </row>
    <row r="3205" spans="2:15" x14ac:dyDescent="0.2">
      <c r="B3205" s="1">
        <v>3190</v>
      </c>
      <c r="C3205" s="101">
        <f ca="1"/>
        <v>-1.3359988476376523</v>
      </c>
      <c r="D3205" s="101">
        <f t="shared" ca="1" si="186"/>
        <v>0.58245587909454211</v>
      </c>
      <c r="E3205" s="101">
        <f t="shared" ca="1" si="187"/>
        <v>0</v>
      </c>
      <c r="F3205" s="21">
        <f t="shared" ca="1" si="188"/>
        <v>0</v>
      </c>
      <c r="H3205" s="21">
        <v>3190</v>
      </c>
      <c r="I3205" s="102">
        <v>0.66788680957723878</v>
      </c>
      <c r="J3205" s="103">
        <v>1.5101099479721987E-3</v>
      </c>
      <c r="K3205" s="103"/>
      <c r="L3205" s="103">
        <v>4.5999999999999999E-2</v>
      </c>
      <c r="O3205" s="100"/>
    </row>
    <row r="3206" spans="2:15" x14ac:dyDescent="0.2">
      <c r="B3206" s="1">
        <v>3191</v>
      </c>
      <c r="C3206" s="101">
        <f ca="1"/>
        <v>0.46818587717395999</v>
      </c>
      <c r="D3206" s="101">
        <f t="shared" ca="1" si="186"/>
        <v>0.69591018795259496</v>
      </c>
      <c r="E3206" s="101">
        <f t="shared" ca="1" si="187"/>
        <v>0</v>
      </c>
      <c r="F3206" s="21">
        <f t="shared" ca="1" si="188"/>
        <v>0</v>
      </c>
      <c r="H3206" s="21">
        <v>3191</v>
      </c>
      <c r="I3206" s="102">
        <v>0.66766539066984343</v>
      </c>
      <c r="J3206" s="103">
        <v>1.4010941658634348E-3</v>
      </c>
      <c r="K3206" s="103"/>
      <c r="L3206" s="103">
        <v>3.8600000000000002E-2</v>
      </c>
      <c r="O3206" s="100"/>
    </row>
    <row r="3207" spans="2:15" x14ac:dyDescent="0.2">
      <c r="B3207" s="1">
        <v>3192</v>
      </c>
      <c r="C3207" s="101">
        <f ca="1"/>
        <v>-0.56866957033655841</v>
      </c>
      <c r="D3207" s="101">
        <f t="shared" ca="1" si="186"/>
        <v>0.62825354291022961</v>
      </c>
      <c r="E3207" s="101">
        <f t="shared" ca="1" si="187"/>
        <v>0</v>
      </c>
      <c r="F3207" s="21">
        <f t="shared" ca="1" si="188"/>
        <v>0</v>
      </c>
      <c r="H3207" s="21">
        <v>3192</v>
      </c>
      <c r="I3207" s="102">
        <v>0.66754287439731597</v>
      </c>
      <c r="J3207" s="103">
        <v>1.1222056389683713E-3</v>
      </c>
      <c r="K3207" s="103"/>
      <c r="L3207" s="103">
        <v>3.5200000000000002E-2</v>
      </c>
      <c r="O3207" s="100"/>
    </row>
    <row r="3208" spans="2:15" x14ac:dyDescent="0.2">
      <c r="B3208" s="1">
        <v>3193</v>
      </c>
      <c r="C3208" s="101">
        <f ca="1"/>
        <v>0.43160961733275205</v>
      </c>
      <c r="D3208" s="101">
        <f t="shared" ca="1" si="186"/>
        <v>0.69340391612400487</v>
      </c>
      <c r="E3208" s="101">
        <f t="shared" ca="1" si="187"/>
        <v>0</v>
      </c>
      <c r="F3208" s="21">
        <f t="shared" ca="1" si="188"/>
        <v>0</v>
      </c>
      <c r="H3208" s="21">
        <v>3193</v>
      </c>
      <c r="I3208" s="102">
        <v>0.66791330673761407</v>
      </c>
      <c r="J3208" s="103">
        <v>1.5604238947610775E-3</v>
      </c>
      <c r="K3208" s="103"/>
      <c r="L3208" s="103">
        <v>4.6600000000000003E-2</v>
      </c>
      <c r="O3208" s="100"/>
    </row>
    <row r="3209" spans="2:15" x14ac:dyDescent="0.2">
      <c r="B3209" s="1">
        <v>3194</v>
      </c>
      <c r="C3209" s="101">
        <f ca="1"/>
        <v>-1.0031480520614653E-2</v>
      </c>
      <c r="D3209" s="101">
        <f t="shared" ca="1" si="186"/>
        <v>0.66384495290086099</v>
      </c>
      <c r="E3209" s="101">
        <f t="shared" ca="1" si="187"/>
        <v>0</v>
      </c>
      <c r="F3209" s="21">
        <f t="shared" ca="1" si="188"/>
        <v>0</v>
      </c>
      <c r="H3209" s="21">
        <v>3194</v>
      </c>
      <c r="I3209" s="102">
        <v>0.66779974935560737</v>
      </c>
      <c r="J3209" s="103">
        <v>1.3666678323606951E-3</v>
      </c>
      <c r="K3209" s="103"/>
      <c r="L3209" s="103">
        <v>3.8800000000000001E-2</v>
      </c>
      <c r="O3209" s="100"/>
    </row>
    <row r="3210" spans="2:15" x14ac:dyDescent="0.2">
      <c r="B3210" s="1">
        <v>3195</v>
      </c>
      <c r="C3210" s="101">
        <f ca="1"/>
        <v>-0.68213308267490536</v>
      </c>
      <c r="D3210" s="101">
        <f t="shared" ca="1" si="186"/>
        <v>0.62126121182828453</v>
      </c>
      <c r="E3210" s="101">
        <f t="shared" ca="1" si="187"/>
        <v>0</v>
      </c>
      <c r="F3210" s="21">
        <f t="shared" ca="1" si="188"/>
        <v>0</v>
      </c>
      <c r="H3210" s="21">
        <v>3195</v>
      </c>
      <c r="I3210" s="102">
        <v>0.66777937700224244</v>
      </c>
      <c r="J3210" s="103">
        <v>1.3848438292871812E-3</v>
      </c>
      <c r="K3210" s="103"/>
      <c r="L3210" s="103">
        <v>4.36E-2</v>
      </c>
      <c r="O3210" s="100"/>
    </row>
    <row r="3211" spans="2:15" x14ac:dyDescent="0.2">
      <c r="B3211" s="1">
        <v>3196</v>
      </c>
      <c r="C3211" s="101">
        <f ca="1"/>
        <v>0.86200539510126362</v>
      </c>
      <c r="D3211" s="101">
        <f t="shared" ca="1" si="186"/>
        <v>0.72347608510234551</v>
      </c>
      <c r="E3211" s="101">
        <f t="shared" ca="1" si="187"/>
        <v>0</v>
      </c>
      <c r="F3211" s="21">
        <f t="shared" ca="1" si="188"/>
        <v>0</v>
      </c>
      <c r="H3211" s="21">
        <v>3196</v>
      </c>
      <c r="I3211" s="102">
        <v>0.66769114026369225</v>
      </c>
      <c r="J3211" s="103">
        <v>1.3208704368199043E-3</v>
      </c>
      <c r="K3211" s="103"/>
      <c r="L3211" s="103">
        <v>4.02E-2</v>
      </c>
      <c r="O3211" s="100"/>
    </row>
    <row r="3212" spans="2:15" x14ac:dyDescent="0.2">
      <c r="B3212" s="1">
        <v>3197</v>
      </c>
      <c r="C3212" s="101">
        <f ca="1"/>
        <v>1.1603122553536891</v>
      </c>
      <c r="D3212" s="101">
        <f t="shared" ca="1" si="186"/>
        <v>0.74508095376755534</v>
      </c>
      <c r="E3212" s="101">
        <f t="shared" ca="1" si="187"/>
        <v>0</v>
      </c>
      <c r="F3212" s="21">
        <f t="shared" ca="1" si="188"/>
        <v>0</v>
      </c>
      <c r="H3212" s="21">
        <v>3197</v>
      </c>
      <c r="I3212" s="102">
        <v>0.66768625357779765</v>
      </c>
      <c r="J3212" s="103">
        <v>1.3199571615776708E-3</v>
      </c>
      <c r="K3212" s="103"/>
      <c r="L3212" s="103">
        <v>4.0399999999999998E-2</v>
      </c>
      <c r="O3212" s="100"/>
    </row>
    <row r="3213" spans="2:15" x14ac:dyDescent="0.2">
      <c r="B3213" s="1">
        <v>3198</v>
      </c>
      <c r="C3213" s="101">
        <f ca="1"/>
        <v>1.0826047633429905</v>
      </c>
      <c r="D3213" s="101">
        <f t="shared" ca="1" si="186"/>
        <v>0.73939161430141953</v>
      </c>
      <c r="E3213" s="101">
        <f t="shared" ca="1" si="187"/>
        <v>0</v>
      </c>
      <c r="F3213" s="21">
        <f t="shared" ca="1" si="188"/>
        <v>0</v>
      </c>
      <c r="H3213" s="21">
        <v>3198</v>
      </c>
      <c r="I3213" s="102">
        <v>0.66769201181791893</v>
      </c>
      <c r="J3213" s="103">
        <v>1.2985339389966545E-3</v>
      </c>
      <c r="K3213" s="103"/>
      <c r="L3213" s="103">
        <v>4.0599999999999997E-2</v>
      </c>
      <c r="O3213" s="100"/>
    </row>
    <row r="3214" spans="2:15" x14ac:dyDescent="0.2">
      <c r="B3214" s="1">
        <v>3199</v>
      </c>
      <c r="C3214" s="101">
        <f ca="1"/>
        <v>-0.99708851547045085</v>
      </c>
      <c r="D3214" s="101">
        <f t="shared" ca="1" si="186"/>
        <v>0.60225684251024858</v>
      </c>
      <c r="E3214" s="101">
        <f t="shared" ca="1" si="187"/>
        <v>0</v>
      </c>
      <c r="F3214" s="21">
        <f t="shared" ca="1" si="188"/>
        <v>0</v>
      </c>
      <c r="H3214" s="21">
        <v>3199</v>
      </c>
      <c r="I3214" s="102">
        <v>0.66773707782257175</v>
      </c>
      <c r="J3214" s="103">
        <v>1.3504597347669637E-3</v>
      </c>
      <c r="K3214" s="103"/>
      <c r="L3214" s="103">
        <v>3.9399999999999998E-2</v>
      </c>
      <c r="O3214" s="100"/>
    </row>
    <row r="3215" spans="2:15" x14ac:dyDescent="0.2">
      <c r="B3215" s="1">
        <v>3200</v>
      </c>
      <c r="C3215" s="101">
        <f ca="1"/>
        <v>0.54451090967532234</v>
      </c>
      <c r="D3215" s="101">
        <f t="shared" ca="1" si="186"/>
        <v>0.70116933092460021</v>
      </c>
      <c r="E3215" s="101">
        <f t="shared" ca="1" si="187"/>
        <v>0</v>
      </c>
      <c r="F3215" s="21">
        <f t="shared" ca="1" si="188"/>
        <v>0</v>
      </c>
      <c r="H3215" s="21">
        <v>3200</v>
      </c>
      <c r="I3215" s="102">
        <v>0.66766614518365963</v>
      </c>
      <c r="J3215" s="103">
        <v>1.3206920730293749E-3</v>
      </c>
      <c r="K3215" s="103"/>
      <c r="L3215" s="103">
        <v>4.0800000000000003E-2</v>
      </c>
      <c r="O3215" s="100"/>
    </row>
    <row r="3216" spans="2:15" x14ac:dyDescent="0.2">
      <c r="B3216" s="1">
        <v>3201</v>
      </c>
      <c r="C3216" s="101">
        <f ca="1"/>
        <v>-1.7214879998192336</v>
      </c>
      <c r="D3216" s="101">
        <f t="shared" ref="D3216:D3279" ca="1" si="189">S0*EXP((μ-0.5*σ*σ)*T+σ*SQRT(T)*$C3216)</f>
        <v>0.56072370373361968</v>
      </c>
      <c r="E3216" s="101">
        <f t="shared" ref="E3216:E3279" ca="1" si="190">MAX(0,CP*(D3216-K))</f>
        <v>0</v>
      </c>
      <c r="F3216" s="21">
        <f t="shared" ref="F3216:F3279" ca="1" si="191">(CP*(D3216-K)&gt;0)*1</f>
        <v>0</v>
      </c>
      <c r="H3216" s="21">
        <v>3201</v>
      </c>
      <c r="I3216" s="102">
        <v>0.66782627020865071</v>
      </c>
      <c r="J3216" s="103">
        <v>1.5847544218763792E-3</v>
      </c>
      <c r="K3216" s="103"/>
      <c r="L3216" s="103">
        <v>4.5600000000000002E-2</v>
      </c>
      <c r="O3216" s="100"/>
    </row>
    <row r="3217" spans="2:15" x14ac:dyDescent="0.2">
      <c r="B3217" s="1">
        <v>3202</v>
      </c>
      <c r="C3217" s="101">
        <f ca="1"/>
        <v>0.25929834398982127</v>
      </c>
      <c r="D3217" s="101">
        <f t="shared" ca="1" si="189"/>
        <v>0.68171771770319189</v>
      </c>
      <c r="E3217" s="101">
        <f t="shared" ca="1" si="190"/>
        <v>0</v>
      </c>
      <c r="F3217" s="21">
        <f t="shared" ca="1" si="191"/>
        <v>0</v>
      </c>
      <c r="H3217" s="21">
        <v>3202</v>
      </c>
      <c r="I3217" s="102">
        <v>0.66759676213845165</v>
      </c>
      <c r="J3217" s="103">
        <v>1.2721000178700622E-3</v>
      </c>
      <c r="K3217" s="103"/>
      <c r="L3217" s="103">
        <v>3.6799999999999999E-2</v>
      </c>
      <c r="O3217" s="100"/>
    </row>
    <row r="3218" spans="2:15" x14ac:dyDescent="0.2">
      <c r="B3218" s="1">
        <v>3203</v>
      </c>
      <c r="C3218" s="101">
        <f ca="1"/>
        <v>0.99682599460401888</v>
      </c>
      <c r="D3218" s="101">
        <f t="shared" ca="1" si="189"/>
        <v>0.73316177032170615</v>
      </c>
      <c r="E3218" s="101">
        <f t="shared" ca="1" si="190"/>
        <v>0</v>
      </c>
      <c r="F3218" s="21">
        <f t="shared" ca="1" si="191"/>
        <v>0</v>
      </c>
      <c r="H3218" s="21">
        <v>3203</v>
      </c>
      <c r="I3218" s="102">
        <v>0.66765260456689424</v>
      </c>
      <c r="J3218" s="103">
        <v>1.2000390551321865E-3</v>
      </c>
      <c r="K3218" s="103"/>
      <c r="L3218" s="103">
        <v>3.9800000000000002E-2</v>
      </c>
      <c r="O3218" s="100"/>
    </row>
    <row r="3219" spans="2:15" x14ac:dyDescent="0.2">
      <c r="B3219" s="1">
        <v>3204</v>
      </c>
      <c r="C3219" s="101">
        <f ca="1"/>
        <v>1.0127254107939405</v>
      </c>
      <c r="D3219" s="101">
        <f t="shared" ca="1" si="189"/>
        <v>0.7343125190264862</v>
      </c>
      <c r="E3219" s="101">
        <f t="shared" ca="1" si="190"/>
        <v>0</v>
      </c>
      <c r="F3219" s="21">
        <f t="shared" ca="1" si="191"/>
        <v>0</v>
      </c>
      <c r="H3219" s="21">
        <v>3204</v>
      </c>
      <c r="I3219" s="102">
        <v>0.66784363026735571</v>
      </c>
      <c r="J3219" s="103">
        <v>1.4631100116083229E-3</v>
      </c>
      <c r="K3219" s="103"/>
      <c r="L3219" s="103">
        <v>4.3400000000000001E-2</v>
      </c>
      <c r="O3219" s="100"/>
    </row>
    <row r="3220" spans="2:15" x14ac:dyDescent="0.2">
      <c r="B3220" s="1">
        <v>3205</v>
      </c>
      <c r="C3220" s="101">
        <f ca="1"/>
        <v>0.77734340288461279</v>
      </c>
      <c r="D3220" s="101">
        <f t="shared" ca="1" si="189"/>
        <v>0.71745937076338762</v>
      </c>
      <c r="E3220" s="101">
        <f t="shared" ca="1" si="190"/>
        <v>0</v>
      </c>
      <c r="F3220" s="21">
        <f t="shared" ca="1" si="191"/>
        <v>0</v>
      </c>
      <c r="H3220" s="21">
        <v>3205</v>
      </c>
      <c r="I3220" s="102">
        <v>0.66771315223751704</v>
      </c>
      <c r="J3220" s="103">
        <v>1.2405261536872999E-3</v>
      </c>
      <c r="K3220" s="103"/>
      <c r="L3220" s="103">
        <v>3.9399999999999998E-2</v>
      </c>
      <c r="O3220" s="100"/>
    </row>
    <row r="3221" spans="2:15" x14ac:dyDescent="0.2">
      <c r="B3221" s="1">
        <v>3206</v>
      </c>
      <c r="C3221" s="101">
        <f ca="1"/>
        <v>1.8947055909440351</v>
      </c>
      <c r="D3221" s="101">
        <f t="shared" ca="1" si="189"/>
        <v>0.80105884397342897</v>
      </c>
      <c r="E3221" s="101">
        <f t="shared" ca="1" si="190"/>
        <v>1.2858843973428957E-2</v>
      </c>
      <c r="F3221" s="21">
        <f t="shared" ca="1" si="191"/>
        <v>1</v>
      </c>
      <c r="H3221" s="21">
        <v>3206</v>
      </c>
      <c r="I3221" s="102">
        <v>0.66782512005797789</v>
      </c>
      <c r="J3221" s="103">
        <v>1.4814647142852415E-3</v>
      </c>
      <c r="K3221" s="103"/>
      <c r="L3221" s="103">
        <v>4.4200000000000003E-2</v>
      </c>
      <c r="O3221" s="100"/>
    </row>
    <row r="3222" spans="2:15" x14ac:dyDescent="0.2">
      <c r="B3222" s="1">
        <v>3207</v>
      </c>
      <c r="C3222" s="101">
        <f ca="1"/>
        <v>0.36264701587637055</v>
      </c>
      <c r="D3222" s="101">
        <f t="shared" ca="1" si="189"/>
        <v>0.68870299995694639</v>
      </c>
      <c r="E3222" s="101">
        <f t="shared" ca="1" si="190"/>
        <v>0</v>
      </c>
      <c r="F3222" s="21">
        <f t="shared" ca="1" si="191"/>
        <v>0</v>
      </c>
      <c r="H3222" s="21">
        <v>3207</v>
      </c>
      <c r="I3222" s="102">
        <v>0.66767430552573137</v>
      </c>
      <c r="J3222" s="103">
        <v>1.2120692162623623E-3</v>
      </c>
      <c r="K3222" s="103"/>
      <c r="L3222" s="103">
        <v>3.9399999999999998E-2</v>
      </c>
      <c r="O3222" s="100"/>
    </row>
    <row r="3223" spans="2:15" x14ac:dyDescent="0.2">
      <c r="B3223" s="1">
        <v>3208</v>
      </c>
      <c r="C3223" s="101">
        <f ca="1"/>
        <v>1.4317206982647306</v>
      </c>
      <c r="D3223" s="101">
        <f t="shared" ca="1" si="189"/>
        <v>0.76529774242071102</v>
      </c>
      <c r="E3223" s="101">
        <f t="shared" ca="1" si="190"/>
        <v>0</v>
      </c>
      <c r="F3223" s="21">
        <f t="shared" ca="1" si="191"/>
        <v>0</v>
      </c>
      <c r="H3223" s="21">
        <v>3208</v>
      </c>
      <c r="I3223" s="102">
        <v>0.66767904641281572</v>
      </c>
      <c r="J3223" s="103">
        <v>1.1623803338243841E-3</v>
      </c>
      <c r="K3223" s="103"/>
      <c r="L3223" s="103">
        <v>4.0800000000000003E-2</v>
      </c>
      <c r="O3223" s="100"/>
    </row>
    <row r="3224" spans="2:15" x14ac:dyDescent="0.2">
      <c r="B3224" s="1">
        <v>3209</v>
      </c>
      <c r="C3224" s="101">
        <f ca="1"/>
        <v>-2.0106430578668402</v>
      </c>
      <c r="D3224" s="101">
        <f t="shared" ca="1" si="189"/>
        <v>0.54495631702867264</v>
      </c>
      <c r="E3224" s="101">
        <f t="shared" ca="1" si="190"/>
        <v>0</v>
      </c>
      <c r="F3224" s="21">
        <f t="shared" ca="1" si="191"/>
        <v>0</v>
      </c>
      <c r="H3224" s="21">
        <v>3209</v>
      </c>
      <c r="I3224" s="102">
        <v>0.66767785887517417</v>
      </c>
      <c r="J3224" s="103">
        <v>1.2210177863943373E-3</v>
      </c>
      <c r="K3224" s="103"/>
      <c r="L3224" s="103">
        <v>3.7600000000000001E-2</v>
      </c>
      <c r="O3224" s="100"/>
    </row>
    <row r="3225" spans="2:15" x14ac:dyDescent="0.2">
      <c r="B3225" s="1">
        <v>3210</v>
      </c>
      <c r="C3225" s="101">
        <f ca="1"/>
        <v>0.10555021229496687</v>
      </c>
      <c r="D3225" s="101">
        <f t="shared" ca="1" si="189"/>
        <v>0.67145684609145839</v>
      </c>
      <c r="E3225" s="101">
        <f t="shared" ca="1" si="190"/>
        <v>0</v>
      </c>
      <c r="F3225" s="21">
        <f t="shared" ca="1" si="191"/>
        <v>0</v>
      </c>
      <c r="H3225" s="21">
        <v>3210</v>
      </c>
      <c r="I3225" s="102">
        <v>0.66769698913414821</v>
      </c>
      <c r="J3225" s="103">
        <v>1.4045860677039087E-3</v>
      </c>
      <c r="K3225" s="103"/>
      <c r="L3225" s="103">
        <v>4.0800000000000003E-2</v>
      </c>
      <c r="O3225" s="100"/>
    </row>
    <row r="3226" spans="2:15" x14ac:dyDescent="0.2">
      <c r="B3226" s="1">
        <v>3211</v>
      </c>
      <c r="C3226" s="101">
        <f ca="1"/>
        <v>0.31169441778572304</v>
      </c>
      <c r="D3226" s="101">
        <f t="shared" ca="1" si="189"/>
        <v>0.685250240866765</v>
      </c>
      <c r="E3226" s="101">
        <f t="shared" ca="1" si="190"/>
        <v>0</v>
      </c>
      <c r="F3226" s="21">
        <f t="shared" ca="1" si="191"/>
        <v>0</v>
      </c>
      <c r="H3226" s="21">
        <v>3211</v>
      </c>
      <c r="I3226" s="102">
        <v>0.6677559012421852</v>
      </c>
      <c r="J3226" s="103">
        <v>1.4476852098158426E-3</v>
      </c>
      <c r="K3226" s="103"/>
      <c r="L3226" s="103">
        <v>4.3200000000000002E-2</v>
      </c>
      <c r="O3226" s="100"/>
    </row>
    <row r="3227" spans="2:15" x14ac:dyDescent="0.2">
      <c r="B3227" s="1">
        <v>3212</v>
      </c>
      <c r="C3227" s="101">
        <f ca="1"/>
        <v>-1.0186436562539378</v>
      </c>
      <c r="D3227" s="101">
        <f t="shared" ca="1" si="189"/>
        <v>0.60097766774119665</v>
      </c>
      <c r="E3227" s="101">
        <f t="shared" ca="1" si="190"/>
        <v>0</v>
      </c>
      <c r="F3227" s="21">
        <f t="shared" ca="1" si="191"/>
        <v>0</v>
      </c>
      <c r="H3227" s="21">
        <v>3212</v>
      </c>
      <c r="I3227" s="102">
        <v>0.66781506689983361</v>
      </c>
      <c r="J3227" s="103">
        <v>1.4198459309047592E-3</v>
      </c>
      <c r="K3227" s="103"/>
      <c r="L3227" s="103">
        <v>4.1799999999999997E-2</v>
      </c>
      <c r="O3227" s="100"/>
    </row>
    <row r="3228" spans="2:15" x14ac:dyDescent="0.2">
      <c r="B3228" s="1">
        <v>3213</v>
      </c>
      <c r="C3228" s="101">
        <f ca="1"/>
        <v>-0.6598421120297846</v>
      </c>
      <c r="D3228" s="101">
        <f t="shared" ca="1" si="189"/>
        <v>0.62262875067945356</v>
      </c>
      <c r="E3228" s="101">
        <f t="shared" ca="1" si="190"/>
        <v>0</v>
      </c>
      <c r="F3228" s="21">
        <f t="shared" ca="1" si="191"/>
        <v>0</v>
      </c>
      <c r="H3228" s="21">
        <v>3213</v>
      </c>
      <c r="I3228" s="102">
        <v>0.66767863175244446</v>
      </c>
      <c r="J3228" s="103">
        <v>1.367734487567674E-3</v>
      </c>
      <c r="K3228" s="103"/>
      <c r="L3228" s="103">
        <v>3.9E-2</v>
      </c>
      <c r="O3228" s="100"/>
    </row>
    <row r="3229" spans="2:15" x14ac:dyDescent="0.2">
      <c r="B3229" s="1">
        <v>3214</v>
      </c>
      <c r="C3229" s="101">
        <f ca="1"/>
        <v>-0.49944529994980102</v>
      </c>
      <c r="D3229" s="101">
        <f t="shared" ca="1" si="189"/>
        <v>0.63255817303216866</v>
      </c>
      <c r="E3229" s="101">
        <f t="shared" ca="1" si="190"/>
        <v>0</v>
      </c>
      <c r="F3229" s="21">
        <f t="shared" ca="1" si="191"/>
        <v>0</v>
      </c>
      <c r="H3229" s="21">
        <v>3214</v>
      </c>
      <c r="I3229" s="102">
        <v>0.66763048839345063</v>
      </c>
      <c r="J3229" s="103">
        <v>1.303729010412837E-3</v>
      </c>
      <c r="K3229" s="103"/>
      <c r="L3229" s="103">
        <v>3.7400000000000003E-2</v>
      </c>
      <c r="O3229" s="100"/>
    </row>
    <row r="3230" spans="2:15" x14ac:dyDescent="0.2">
      <c r="B3230" s="1">
        <v>3215</v>
      </c>
      <c r="C3230" s="101">
        <f ca="1"/>
        <v>-0.28599568395803515</v>
      </c>
      <c r="D3230" s="101">
        <f t="shared" ca="1" si="189"/>
        <v>0.6460178549560589</v>
      </c>
      <c r="E3230" s="101">
        <f t="shared" ca="1" si="190"/>
        <v>0</v>
      </c>
      <c r="F3230" s="21">
        <f t="shared" ca="1" si="191"/>
        <v>0</v>
      </c>
      <c r="H3230" s="21">
        <v>3215</v>
      </c>
      <c r="I3230" s="102">
        <v>0.66765936819460892</v>
      </c>
      <c r="J3230" s="103">
        <v>1.2724481599623359E-3</v>
      </c>
      <c r="K3230" s="103"/>
      <c r="L3230" s="103">
        <v>4.1399999999999999E-2</v>
      </c>
      <c r="O3230" s="100"/>
    </row>
    <row r="3231" spans="2:15" x14ac:dyDescent="0.2">
      <c r="B3231" s="1">
        <v>3216</v>
      </c>
      <c r="C3231" s="101">
        <f ca="1"/>
        <v>-2.7925975618483947</v>
      </c>
      <c r="D3231" s="101">
        <f t="shared" ca="1" si="189"/>
        <v>0.50450240670010738</v>
      </c>
      <c r="E3231" s="101">
        <f t="shared" ca="1" si="190"/>
        <v>0</v>
      </c>
      <c r="F3231" s="21">
        <f t="shared" ca="1" si="191"/>
        <v>0</v>
      </c>
      <c r="H3231" s="21">
        <v>3216</v>
      </c>
      <c r="I3231" s="102">
        <v>0.66766253946672616</v>
      </c>
      <c r="J3231" s="103">
        <v>1.241077162420514E-3</v>
      </c>
      <c r="K3231" s="103"/>
      <c r="L3231" s="103">
        <v>4.1200000000000001E-2</v>
      </c>
      <c r="O3231" s="100"/>
    </row>
    <row r="3232" spans="2:15" x14ac:dyDescent="0.2">
      <c r="B3232" s="1">
        <v>3217</v>
      </c>
      <c r="C3232" s="101">
        <f ca="1"/>
        <v>-1.5932396255307464</v>
      </c>
      <c r="D3232" s="101">
        <f t="shared" ca="1" si="189"/>
        <v>0.56786224741710678</v>
      </c>
      <c r="E3232" s="101">
        <f t="shared" ca="1" si="190"/>
        <v>0</v>
      </c>
      <c r="F3232" s="21">
        <f t="shared" ca="1" si="191"/>
        <v>0</v>
      </c>
      <c r="H3232" s="21">
        <v>3217</v>
      </c>
      <c r="I3232" s="102">
        <v>0.66772514633993907</v>
      </c>
      <c r="J3232" s="103">
        <v>1.3233878060305521E-3</v>
      </c>
      <c r="K3232" s="103"/>
      <c r="L3232" s="103">
        <v>4.0599999999999997E-2</v>
      </c>
      <c r="O3232" s="100"/>
    </row>
    <row r="3233" spans="2:15" x14ac:dyDescent="0.2">
      <c r="B3233" s="1">
        <v>3218</v>
      </c>
      <c r="C3233" s="101">
        <f ca="1"/>
        <v>-0.32714002600539688</v>
      </c>
      <c r="D3233" s="101">
        <f t="shared" ca="1" si="189"/>
        <v>0.64340128384116058</v>
      </c>
      <c r="E3233" s="101">
        <f t="shared" ca="1" si="190"/>
        <v>0</v>
      </c>
      <c r="F3233" s="21">
        <f t="shared" ca="1" si="191"/>
        <v>0</v>
      </c>
      <c r="H3233" s="21">
        <v>3218</v>
      </c>
      <c r="I3233" s="102">
        <v>0.66768489725336244</v>
      </c>
      <c r="J3233" s="103">
        <v>1.3094041906464226E-3</v>
      </c>
      <c r="K3233" s="103"/>
      <c r="L3233" s="103">
        <v>0.04</v>
      </c>
      <c r="O3233" s="100"/>
    </row>
    <row r="3234" spans="2:15" x14ac:dyDescent="0.2">
      <c r="B3234" s="1">
        <v>3219</v>
      </c>
      <c r="C3234" s="101">
        <f ca="1"/>
        <v>-7.6845562354325936E-2</v>
      </c>
      <c r="D3234" s="101">
        <f t="shared" ca="1" si="189"/>
        <v>0.65948418259217423</v>
      </c>
      <c r="E3234" s="101">
        <f t="shared" ca="1" si="190"/>
        <v>0</v>
      </c>
      <c r="F3234" s="21">
        <f t="shared" ca="1" si="191"/>
        <v>0</v>
      </c>
      <c r="H3234" s="21">
        <v>3219</v>
      </c>
      <c r="I3234" s="102">
        <v>0.66794548314830837</v>
      </c>
      <c r="J3234" s="103">
        <v>1.5115511516553392E-3</v>
      </c>
      <c r="K3234" s="103"/>
      <c r="L3234" s="103">
        <v>4.5400000000000003E-2</v>
      </c>
      <c r="O3234" s="100"/>
    </row>
    <row r="3235" spans="2:15" x14ac:dyDescent="0.2">
      <c r="B3235" s="1">
        <v>3220</v>
      </c>
      <c r="C3235" s="101">
        <f ca="1"/>
        <v>-0.13045797136226334</v>
      </c>
      <c r="D3235" s="101">
        <f t="shared" ca="1" si="189"/>
        <v>0.65600577274964045</v>
      </c>
      <c r="E3235" s="101">
        <f t="shared" ca="1" si="190"/>
        <v>0</v>
      </c>
      <c r="F3235" s="21">
        <f t="shared" ca="1" si="191"/>
        <v>0</v>
      </c>
      <c r="H3235" s="21">
        <v>3220</v>
      </c>
      <c r="I3235" s="102">
        <v>0.66771918049970935</v>
      </c>
      <c r="J3235" s="103">
        <v>1.3449337356987851E-3</v>
      </c>
      <c r="K3235" s="103"/>
      <c r="L3235" s="103">
        <v>4.2200000000000001E-2</v>
      </c>
      <c r="O3235" s="100"/>
    </row>
    <row r="3236" spans="2:15" x14ac:dyDescent="0.2">
      <c r="B3236" s="1">
        <v>3221</v>
      </c>
      <c r="C3236" s="101">
        <f ca="1"/>
        <v>-0.53580612282050166</v>
      </c>
      <c r="D3236" s="101">
        <f t="shared" ca="1" si="189"/>
        <v>0.63029345326724606</v>
      </c>
      <c r="E3236" s="101">
        <f t="shared" ca="1" si="190"/>
        <v>0</v>
      </c>
      <c r="F3236" s="21">
        <f t="shared" ca="1" si="191"/>
        <v>0</v>
      </c>
      <c r="H3236" s="21">
        <v>3221</v>
      </c>
      <c r="I3236" s="102">
        <v>0.6678246552420054</v>
      </c>
      <c r="J3236" s="103">
        <v>1.3759668164830094E-3</v>
      </c>
      <c r="K3236" s="103"/>
      <c r="L3236" s="103">
        <v>4.3400000000000001E-2</v>
      </c>
      <c r="O3236" s="100"/>
    </row>
    <row r="3237" spans="2:15" x14ac:dyDescent="0.2">
      <c r="B3237" s="1">
        <v>3222</v>
      </c>
      <c r="C3237" s="101">
        <f ca="1"/>
        <v>-0.99507952921515908</v>
      </c>
      <c r="D3237" s="101">
        <f t="shared" ca="1" si="189"/>
        <v>0.60237620301361472</v>
      </c>
      <c r="E3237" s="101">
        <f t="shared" ca="1" si="190"/>
        <v>0</v>
      </c>
      <c r="F3237" s="21">
        <f t="shared" ca="1" si="191"/>
        <v>0</v>
      </c>
      <c r="H3237" s="21">
        <v>3222</v>
      </c>
      <c r="I3237" s="102">
        <v>0.66785647989880403</v>
      </c>
      <c r="J3237" s="103">
        <v>1.6198605051790836E-3</v>
      </c>
      <c r="K3237" s="103"/>
      <c r="L3237" s="103">
        <v>4.2799999999999998E-2</v>
      </c>
      <c r="O3237" s="100"/>
    </row>
    <row r="3238" spans="2:15" x14ac:dyDescent="0.2">
      <c r="B3238" s="1">
        <v>3223</v>
      </c>
      <c r="C3238" s="101">
        <f ca="1"/>
        <v>0.90272305197042013</v>
      </c>
      <c r="D3238" s="101">
        <f t="shared" ca="1" si="189"/>
        <v>0.72638772934773499</v>
      </c>
      <c r="E3238" s="101">
        <f t="shared" ca="1" si="190"/>
        <v>0</v>
      </c>
      <c r="F3238" s="21">
        <f t="shared" ca="1" si="191"/>
        <v>0</v>
      </c>
      <c r="H3238" s="21">
        <v>3223</v>
      </c>
      <c r="I3238" s="102">
        <v>0.66770719458844019</v>
      </c>
      <c r="J3238" s="103">
        <v>1.3008190435043307E-3</v>
      </c>
      <c r="K3238" s="103"/>
      <c r="L3238" s="103">
        <v>3.7199999999999997E-2</v>
      </c>
      <c r="O3238" s="100"/>
    </row>
    <row r="3239" spans="2:15" x14ac:dyDescent="0.2">
      <c r="B3239" s="1">
        <v>3224</v>
      </c>
      <c r="C3239" s="101">
        <f ca="1"/>
        <v>-0.61364234367500436</v>
      </c>
      <c r="D3239" s="101">
        <f t="shared" ca="1" si="189"/>
        <v>0.62547267365733938</v>
      </c>
      <c r="E3239" s="101">
        <f t="shared" ca="1" si="190"/>
        <v>0</v>
      </c>
      <c r="F3239" s="21">
        <f t="shared" ca="1" si="191"/>
        <v>0</v>
      </c>
      <c r="H3239" s="21">
        <v>3224</v>
      </c>
      <c r="I3239" s="102">
        <v>0.66785819717795525</v>
      </c>
      <c r="J3239" s="103">
        <v>1.5943194957789711E-3</v>
      </c>
      <c r="K3239" s="103"/>
      <c r="L3239" s="103">
        <v>4.5199999999999997E-2</v>
      </c>
      <c r="O3239" s="100"/>
    </row>
    <row r="3240" spans="2:15" x14ac:dyDescent="0.2">
      <c r="B3240" s="1">
        <v>3225</v>
      </c>
      <c r="C3240" s="101">
        <f ca="1"/>
        <v>-1.3731489488149937</v>
      </c>
      <c r="D3240" s="101">
        <f t="shared" ca="1" si="189"/>
        <v>0.58032535507859495</v>
      </c>
      <c r="E3240" s="101">
        <f t="shared" ca="1" si="190"/>
        <v>0</v>
      </c>
      <c r="F3240" s="21">
        <f t="shared" ca="1" si="191"/>
        <v>0</v>
      </c>
      <c r="H3240" s="21">
        <v>3225</v>
      </c>
      <c r="I3240" s="102">
        <v>0.66770506740549751</v>
      </c>
      <c r="J3240" s="103">
        <v>1.2722141943583829E-3</v>
      </c>
      <c r="K3240" s="103"/>
      <c r="L3240" s="103">
        <v>3.8600000000000002E-2</v>
      </c>
      <c r="O3240" s="100"/>
    </row>
    <row r="3241" spans="2:15" x14ac:dyDescent="0.2">
      <c r="B3241" s="1">
        <v>3226</v>
      </c>
      <c r="C3241" s="101">
        <f ca="1"/>
        <v>0.61562708407158961</v>
      </c>
      <c r="D3241" s="101">
        <f t="shared" ca="1" si="189"/>
        <v>0.7061053221137028</v>
      </c>
      <c r="E3241" s="101">
        <f t="shared" ca="1" si="190"/>
        <v>0</v>
      </c>
      <c r="F3241" s="21">
        <f t="shared" ca="1" si="191"/>
        <v>0</v>
      </c>
      <c r="H3241" s="21">
        <v>3226</v>
      </c>
      <c r="I3241" s="102">
        <v>0.6677218432471852</v>
      </c>
      <c r="J3241" s="103">
        <v>1.2760782825162896E-3</v>
      </c>
      <c r="K3241" s="103"/>
      <c r="L3241" s="103">
        <v>4.1000000000000002E-2</v>
      </c>
      <c r="O3241" s="100"/>
    </row>
    <row r="3242" spans="2:15" x14ac:dyDescent="0.2">
      <c r="B3242" s="1">
        <v>3227</v>
      </c>
      <c r="C3242" s="101">
        <f ca="1"/>
        <v>-1.1624963352575866</v>
      </c>
      <c r="D3242" s="101">
        <f t="shared" ca="1" si="189"/>
        <v>0.59251012197908326</v>
      </c>
      <c r="E3242" s="101">
        <f t="shared" ca="1" si="190"/>
        <v>0</v>
      </c>
      <c r="F3242" s="21">
        <f t="shared" ca="1" si="191"/>
        <v>0</v>
      </c>
      <c r="H3242" s="21">
        <v>3227</v>
      </c>
      <c r="I3242" s="102">
        <v>0.66767384466059321</v>
      </c>
      <c r="J3242" s="103">
        <v>1.2800955318449151E-3</v>
      </c>
      <c r="K3242" s="103"/>
      <c r="L3242" s="103">
        <v>3.9600000000000003E-2</v>
      </c>
      <c r="O3242" s="100"/>
    </row>
    <row r="3243" spans="2:15" x14ac:dyDescent="0.2">
      <c r="B3243" s="1">
        <v>3228</v>
      </c>
      <c r="C3243" s="101">
        <f ca="1"/>
        <v>-1.3334141125249972</v>
      </c>
      <c r="D3243" s="101">
        <f t="shared" ca="1" si="189"/>
        <v>0.58260440196765895</v>
      </c>
      <c r="E3243" s="101">
        <f t="shared" ca="1" si="190"/>
        <v>0</v>
      </c>
      <c r="F3243" s="21">
        <f t="shared" ca="1" si="191"/>
        <v>0</v>
      </c>
      <c r="H3243" s="21">
        <v>3228</v>
      </c>
      <c r="I3243" s="102">
        <v>0.6677304118877101</v>
      </c>
      <c r="J3243" s="103">
        <v>1.296267989047336E-3</v>
      </c>
      <c r="K3243" s="103"/>
      <c r="L3243" s="103">
        <v>4.1200000000000001E-2</v>
      </c>
      <c r="O3243" s="100"/>
    </row>
    <row r="3244" spans="2:15" x14ac:dyDescent="0.2">
      <c r="B3244" s="1">
        <v>3229</v>
      </c>
      <c r="C3244" s="101">
        <f ca="1"/>
        <v>0.18842273321537975</v>
      </c>
      <c r="D3244" s="101">
        <f t="shared" ca="1" si="189"/>
        <v>0.67696827068587939</v>
      </c>
      <c r="E3244" s="101">
        <f t="shared" ca="1" si="190"/>
        <v>0</v>
      </c>
      <c r="F3244" s="21">
        <f t="shared" ca="1" si="191"/>
        <v>0</v>
      </c>
      <c r="H3244" s="21">
        <v>3229</v>
      </c>
      <c r="I3244" s="102">
        <v>0.66780140210929195</v>
      </c>
      <c r="J3244" s="103">
        <v>1.4559562016793705E-3</v>
      </c>
      <c r="K3244" s="103"/>
      <c r="L3244" s="103">
        <v>4.6600000000000003E-2</v>
      </c>
      <c r="O3244" s="100"/>
    </row>
    <row r="3245" spans="2:15" x14ac:dyDescent="0.2">
      <c r="B3245" s="1">
        <v>3230</v>
      </c>
      <c r="C3245" s="101">
        <f ca="1"/>
        <v>0.44626072503510811</v>
      </c>
      <c r="D3245" s="101">
        <f t="shared" ca="1" si="189"/>
        <v>0.69440675119048445</v>
      </c>
      <c r="E3245" s="101">
        <f t="shared" ca="1" si="190"/>
        <v>0</v>
      </c>
      <c r="F3245" s="21">
        <f t="shared" ca="1" si="191"/>
        <v>0</v>
      </c>
      <c r="H3245" s="21">
        <v>3230</v>
      </c>
      <c r="I3245" s="102">
        <v>0.66774836729929787</v>
      </c>
      <c r="J3245" s="103">
        <v>1.3381572812893106E-3</v>
      </c>
      <c r="K3245" s="103"/>
      <c r="L3245" s="103">
        <v>4.4200000000000003E-2</v>
      </c>
      <c r="O3245" s="100"/>
    </row>
    <row r="3246" spans="2:15" x14ac:dyDescent="0.2">
      <c r="B3246" s="1">
        <v>3231</v>
      </c>
      <c r="C3246" s="101">
        <f ca="1"/>
        <v>-0.96240005995931377</v>
      </c>
      <c r="D3246" s="101">
        <f t="shared" ca="1" si="189"/>
        <v>0.60432112360386792</v>
      </c>
      <c r="E3246" s="101">
        <f t="shared" ca="1" si="190"/>
        <v>0</v>
      </c>
      <c r="F3246" s="21">
        <f t="shared" ca="1" si="191"/>
        <v>0</v>
      </c>
      <c r="H3246" s="21">
        <v>3231</v>
      </c>
      <c r="I3246" s="102">
        <v>0.66766138440459166</v>
      </c>
      <c r="J3246" s="103">
        <v>1.2098650311735369E-3</v>
      </c>
      <c r="K3246" s="103"/>
      <c r="L3246" s="103">
        <v>3.9199999999999999E-2</v>
      </c>
      <c r="O3246" s="100"/>
    </row>
    <row r="3247" spans="2:15" x14ac:dyDescent="0.2">
      <c r="B3247" s="1">
        <v>3232</v>
      </c>
      <c r="C3247" s="101">
        <f ca="1"/>
        <v>-1.0764320279427073</v>
      </c>
      <c r="D3247" s="101">
        <f t="shared" ca="1" si="189"/>
        <v>0.59756164721999672</v>
      </c>
      <c r="E3247" s="101">
        <f t="shared" ca="1" si="190"/>
        <v>0</v>
      </c>
      <c r="F3247" s="21">
        <f t="shared" ca="1" si="191"/>
        <v>0</v>
      </c>
      <c r="H3247" s="21">
        <v>3232</v>
      </c>
      <c r="I3247" s="102">
        <v>0.66770691875372445</v>
      </c>
      <c r="J3247" s="103">
        <v>1.2799248672892426E-3</v>
      </c>
      <c r="K3247" s="103"/>
      <c r="L3247" s="103">
        <v>3.9600000000000003E-2</v>
      </c>
      <c r="O3247" s="100"/>
    </row>
    <row r="3248" spans="2:15" x14ac:dyDescent="0.2">
      <c r="B3248" s="1">
        <v>3233</v>
      </c>
      <c r="C3248" s="101">
        <f ca="1"/>
        <v>2.6906843900711372</v>
      </c>
      <c r="D3248" s="101">
        <f t="shared" ca="1" si="189"/>
        <v>0.86649021066755094</v>
      </c>
      <c r="E3248" s="101">
        <f t="shared" ca="1" si="190"/>
        <v>7.829021066755093E-2</v>
      </c>
      <c r="F3248" s="21">
        <f t="shared" ca="1" si="191"/>
        <v>1</v>
      </c>
      <c r="H3248" s="21">
        <v>3233</v>
      </c>
      <c r="I3248" s="102">
        <v>0.6678155975116179</v>
      </c>
      <c r="J3248" s="103">
        <v>1.4154649123330745E-3</v>
      </c>
      <c r="K3248" s="103"/>
      <c r="L3248" s="103">
        <v>4.1799999999999997E-2</v>
      </c>
      <c r="O3248" s="100"/>
    </row>
    <row r="3249" spans="2:15" x14ac:dyDescent="0.2">
      <c r="B3249" s="1">
        <v>3234</v>
      </c>
      <c r="C3249" s="101">
        <f ca="1"/>
        <v>-1.027631133053037</v>
      </c>
      <c r="D3249" s="101">
        <f t="shared" ca="1" si="189"/>
        <v>0.60044511512546106</v>
      </c>
      <c r="E3249" s="101">
        <f t="shared" ca="1" si="190"/>
        <v>0</v>
      </c>
      <c r="F3249" s="21">
        <f t="shared" ca="1" si="191"/>
        <v>0</v>
      </c>
      <c r="H3249" s="21">
        <v>3234</v>
      </c>
      <c r="I3249" s="102">
        <v>0.66764757559385723</v>
      </c>
      <c r="J3249" s="103">
        <v>1.3060288570604034E-3</v>
      </c>
      <c r="K3249" s="103"/>
      <c r="L3249" s="103">
        <v>3.8600000000000002E-2</v>
      </c>
      <c r="O3249" s="100"/>
    </row>
    <row r="3250" spans="2:15" x14ac:dyDescent="0.2">
      <c r="B3250" s="1">
        <v>3235</v>
      </c>
      <c r="C3250" s="101">
        <f ca="1"/>
        <v>0.10435887882457651</v>
      </c>
      <c r="D3250" s="101">
        <f t="shared" ca="1" si="189"/>
        <v>0.6713779446690622</v>
      </c>
      <c r="E3250" s="101">
        <f t="shared" ca="1" si="190"/>
        <v>0</v>
      </c>
      <c r="F3250" s="21">
        <f t="shared" ca="1" si="191"/>
        <v>0</v>
      </c>
      <c r="H3250" s="21">
        <v>3235</v>
      </c>
      <c r="I3250" s="102">
        <v>0.6676951416157253</v>
      </c>
      <c r="J3250" s="103">
        <v>1.3996863750451443E-3</v>
      </c>
      <c r="K3250" s="103"/>
      <c r="L3250" s="103">
        <v>4.2000000000000003E-2</v>
      </c>
      <c r="O3250" s="100"/>
    </row>
    <row r="3251" spans="2:15" x14ac:dyDescent="0.2">
      <c r="B3251" s="1">
        <v>3236</v>
      </c>
      <c r="C3251" s="101">
        <f ca="1"/>
        <v>0.94656940979572257</v>
      </c>
      <c r="D3251" s="101">
        <f t="shared" ca="1" si="189"/>
        <v>0.72953620571330191</v>
      </c>
      <c r="E3251" s="101">
        <f t="shared" ca="1" si="190"/>
        <v>0</v>
      </c>
      <c r="F3251" s="21">
        <f t="shared" ca="1" si="191"/>
        <v>0</v>
      </c>
      <c r="H3251" s="21">
        <v>3236</v>
      </c>
      <c r="I3251" s="102">
        <v>0.66773114495934693</v>
      </c>
      <c r="J3251" s="103">
        <v>1.3413752552461364E-3</v>
      </c>
      <c r="K3251" s="103"/>
      <c r="L3251" s="103">
        <v>4.1599999999999998E-2</v>
      </c>
      <c r="O3251" s="100"/>
    </row>
    <row r="3252" spans="2:15" x14ac:dyDescent="0.2">
      <c r="B3252" s="1">
        <v>3237</v>
      </c>
      <c r="C3252" s="101">
        <f ca="1"/>
        <v>-1.3273555524218323</v>
      </c>
      <c r="D3252" s="101">
        <f t="shared" ca="1" si="189"/>
        <v>0.5829526846350388</v>
      </c>
      <c r="E3252" s="101">
        <f t="shared" ca="1" si="190"/>
        <v>0</v>
      </c>
      <c r="F3252" s="21">
        <f t="shared" ca="1" si="191"/>
        <v>0</v>
      </c>
      <c r="H3252" s="21">
        <v>3237</v>
      </c>
      <c r="I3252" s="102">
        <v>0.66781464670837876</v>
      </c>
      <c r="J3252" s="103">
        <v>1.4451340463980506E-3</v>
      </c>
      <c r="K3252" s="103"/>
      <c r="L3252" s="103">
        <v>4.2599999999999999E-2</v>
      </c>
      <c r="O3252" s="100"/>
    </row>
    <row r="3253" spans="2:15" x14ac:dyDescent="0.2">
      <c r="B3253" s="1">
        <v>3238</v>
      </c>
      <c r="C3253" s="101">
        <f ca="1"/>
        <v>-0.13352675825098692</v>
      </c>
      <c r="D3253" s="101">
        <f t="shared" ca="1" si="189"/>
        <v>0.65580722381506573</v>
      </c>
      <c r="E3253" s="101">
        <f t="shared" ca="1" si="190"/>
        <v>0</v>
      </c>
      <c r="F3253" s="21">
        <f t="shared" ca="1" si="191"/>
        <v>0</v>
      </c>
      <c r="H3253" s="21">
        <v>3238</v>
      </c>
      <c r="I3253" s="102">
        <v>0.66774633863932042</v>
      </c>
      <c r="J3253" s="103">
        <v>1.2889976939301547E-3</v>
      </c>
      <c r="K3253" s="103"/>
      <c r="L3253" s="103">
        <v>4.48E-2</v>
      </c>
      <c r="O3253" s="100"/>
    </row>
    <row r="3254" spans="2:15" x14ac:dyDescent="0.2">
      <c r="B3254" s="1">
        <v>3239</v>
      </c>
      <c r="C3254" s="101">
        <f ca="1"/>
        <v>-0.3887885272020053</v>
      </c>
      <c r="D3254" s="101">
        <f t="shared" ca="1" si="189"/>
        <v>0.63950057509988945</v>
      </c>
      <c r="E3254" s="101">
        <f t="shared" ca="1" si="190"/>
        <v>0</v>
      </c>
      <c r="F3254" s="21">
        <f t="shared" ca="1" si="191"/>
        <v>0</v>
      </c>
      <c r="H3254" s="21">
        <v>3239</v>
      </c>
      <c r="I3254" s="102">
        <v>0.66770744029991258</v>
      </c>
      <c r="J3254" s="103">
        <v>1.282880772902699E-3</v>
      </c>
      <c r="K3254" s="103"/>
      <c r="L3254" s="103">
        <v>4.1200000000000001E-2</v>
      </c>
      <c r="O3254" s="100"/>
    </row>
    <row r="3255" spans="2:15" x14ac:dyDescent="0.2">
      <c r="B3255" s="1">
        <v>3240</v>
      </c>
      <c r="C3255" s="101">
        <f ca="1"/>
        <v>1.8881332434508451</v>
      </c>
      <c r="D3255" s="101">
        <f t="shared" ca="1" si="189"/>
        <v>0.80053968176934098</v>
      </c>
      <c r="E3255" s="101">
        <f t="shared" ca="1" si="190"/>
        <v>1.2339681769340971E-2</v>
      </c>
      <c r="F3255" s="21">
        <f t="shared" ca="1" si="191"/>
        <v>1</v>
      </c>
      <c r="H3255" s="21">
        <v>3240</v>
      </c>
      <c r="I3255" s="102">
        <v>0.66791663582318017</v>
      </c>
      <c r="J3255" s="103">
        <v>1.5099458657762425E-3</v>
      </c>
      <c r="K3255" s="103"/>
      <c r="L3255" s="103">
        <v>4.6600000000000003E-2</v>
      </c>
      <c r="O3255" s="100"/>
    </row>
    <row r="3256" spans="2:15" x14ac:dyDescent="0.2">
      <c r="B3256" s="1">
        <v>3241</v>
      </c>
      <c r="C3256" s="101">
        <f ca="1"/>
        <v>0.34241686984366132</v>
      </c>
      <c r="D3256" s="101">
        <f t="shared" ca="1" si="189"/>
        <v>0.68733004388611396</v>
      </c>
      <c r="E3256" s="101">
        <f t="shared" ca="1" si="190"/>
        <v>0</v>
      </c>
      <c r="F3256" s="21">
        <f t="shared" ca="1" si="191"/>
        <v>0</v>
      </c>
      <c r="H3256" s="21">
        <v>3241</v>
      </c>
      <c r="I3256" s="102">
        <v>0.66788230507575841</v>
      </c>
      <c r="J3256" s="103">
        <v>1.5189835005708671E-3</v>
      </c>
      <c r="K3256" s="103"/>
      <c r="L3256" s="103">
        <v>4.5999999999999999E-2</v>
      </c>
      <c r="O3256" s="100"/>
    </row>
    <row r="3257" spans="2:15" x14ac:dyDescent="0.2">
      <c r="B3257" s="1">
        <v>3242</v>
      </c>
      <c r="C3257" s="101">
        <f ca="1"/>
        <v>0.69369923356086272</v>
      </c>
      <c r="D3257" s="101">
        <f t="shared" ca="1" si="189"/>
        <v>0.71156413083476899</v>
      </c>
      <c r="E3257" s="101">
        <f t="shared" ca="1" si="190"/>
        <v>0</v>
      </c>
      <c r="F3257" s="21">
        <f t="shared" ca="1" si="191"/>
        <v>0</v>
      </c>
      <c r="H3257" s="21">
        <v>3242</v>
      </c>
      <c r="I3257" s="102">
        <v>0.66766357392195119</v>
      </c>
      <c r="J3257" s="103">
        <v>1.2802237411775337E-3</v>
      </c>
      <c r="K3257" s="103"/>
      <c r="L3257" s="103">
        <v>3.8399999999999997E-2</v>
      </c>
      <c r="O3257" s="100"/>
    </row>
    <row r="3258" spans="2:15" x14ac:dyDescent="0.2">
      <c r="B3258" s="1">
        <v>3243</v>
      </c>
      <c r="C3258" s="101">
        <f ca="1"/>
        <v>0.64786198975873766</v>
      </c>
      <c r="D3258" s="101">
        <f t="shared" ca="1" si="189"/>
        <v>0.70835409416045569</v>
      </c>
      <c r="E3258" s="101">
        <f t="shared" ca="1" si="190"/>
        <v>0</v>
      </c>
      <c r="F3258" s="21">
        <f t="shared" ca="1" si="191"/>
        <v>0</v>
      </c>
      <c r="H3258" s="21">
        <v>3243</v>
      </c>
      <c r="I3258" s="102">
        <v>0.66789698268628772</v>
      </c>
      <c r="J3258" s="103">
        <v>1.4774350248429461E-3</v>
      </c>
      <c r="K3258" s="103"/>
      <c r="L3258" s="103">
        <v>4.5600000000000002E-2</v>
      </c>
      <c r="O3258" s="100"/>
    </row>
    <row r="3259" spans="2:15" x14ac:dyDescent="0.2">
      <c r="B3259" s="1">
        <v>3244</v>
      </c>
      <c r="C3259" s="101">
        <f ca="1"/>
        <v>1.2708400299409039</v>
      </c>
      <c r="D3259" s="101">
        <f t="shared" ca="1" si="189"/>
        <v>0.753248722082549</v>
      </c>
      <c r="E3259" s="101">
        <f t="shared" ca="1" si="190"/>
        <v>0</v>
      </c>
      <c r="F3259" s="21">
        <f t="shared" ca="1" si="191"/>
        <v>0</v>
      </c>
      <c r="H3259" s="21">
        <v>3244</v>
      </c>
      <c r="I3259" s="102">
        <v>0.66775940347098739</v>
      </c>
      <c r="J3259" s="103">
        <v>1.3845827296790957E-3</v>
      </c>
      <c r="K3259" s="103"/>
      <c r="L3259" s="103">
        <v>4.0399999999999998E-2</v>
      </c>
      <c r="O3259" s="100"/>
    </row>
    <row r="3260" spans="2:15" x14ac:dyDescent="0.2">
      <c r="B3260" s="1">
        <v>3245</v>
      </c>
      <c r="C3260" s="101">
        <f ca="1"/>
        <v>-0.10391268170780837</v>
      </c>
      <c r="D3260" s="101">
        <f t="shared" ca="1" si="189"/>
        <v>0.65772575017310952</v>
      </c>
      <c r="E3260" s="101">
        <f t="shared" ca="1" si="190"/>
        <v>0</v>
      </c>
      <c r="F3260" s="21">
        <f t="shared" ca="1" si="191"/>
        <v>0</v>
      </c>
      <c r="H3260" s="21">
        <v>3245</v>
      </c>
      <c r="I3260" s="102">
        <v>0.66780681035156608</v>
      </c>
      <c r="J3260" s="103">
        <v>1.4058211250547257E-3</v>
      </c>
      <c r="K3260" s="103"/>
      <c r="L3260" s="103">
        <v>4.5999999999999999E-2</v>
      </c>
      <c r="O3260" s="100"/>
    </row>
    <row r="3261" spans="2:15" x14ac:dyDescent="0.2">
      <c r="B3261" s="1">
        <v>3246</v>
      </c>
      <c r="C3261" s="101">
        <f ca="1"/>
        <v>1.5425625893838795</v>
      </c>
      <c r="D3261" s="101">
        <f t="shared" ca="1" si="189"/>
        <v>0.77371110532024279</v>
      </c>
      <c r="E3261" s="101">
        <f t="shared" ca="1" si="190"/>
        <v>0</v>
      </c>
      <c r="F3261" s="21">
        <f t="shared" ca="1" si="191"/>
        <v>0</v>
      </c>
      <c r="H3261" s="21">
        <v>3246</v>
      </c>
      <c r="I3261" s="102">
        <v>0.66781761728040967</v>
      </c>
      <c r="J3261" s="103">
        <v>1.5694073729133329E-3</v>
      </c>
      <c r="K3261" s="103"/>
      <c r="L3261" s="103">
        <v>4.3400000000000001E-2</v>
      </c>
      <c r="O3261" s="100"/>
    </row>
    <row r="3262" spans="2:15" x14ac:dyDescent="0.2">
      <c r="B3262" s="1">
        <v>3247</v>
      </c>
      <c r="C3262" s="101">
        <f ca="1"/>
        <v>-0.94967310490009871</v>
      </c>
      <c r="D3262" s="101">
        <f t="shared" ca="1" si="189"/>
        <v>0.60508026700654227</v>
      </c>
      <c r="E3262" s="101">
        <f t="shared" ca="1" si="190"/>
        <v>0</v>
      </c>
      <c r="F3262" s="21">
        <f t="shared" ca="1" si="191"/>
        <v>0</v>
      </c>
      <c r="H3262" s="21">
        <v>3247</v>
      </c>
      <c r="I3262" s="102">
        <v>0.66772540248756573</v>
      </c>
      <c r="J3262" s="103">
        <v>1.3701393074189642E-3</v>
      </c>
      <c r="K3262" s="103"/>
      <c r="L3262" s="103">
        <v>4.0800000000000003E-2</v>
      </c>
      <c r="O3262" s="100"/>
    </row>
    <row r="3263" spans="2:15" x14ac:dyDescent="0.2">
      <c r="B3263" s="1">
        <v>3248</v>
      </c>
      <c r="C3263" s="101">
        <f ca="1"/>
        <v>8.745009446425743E-2</v>
      </c>
      <c r="D3263" s="101">
        <f t="shared" ca="1" si="189"/>
        <v>0.67025908343755125</v>
      </c>
      <c r="E3263" s="101">
        <f t="shared" ca="1" si="190"/>
        <v>0</v>
      </c>
      <c r="F3263" s="21">
        <f t="shared" ca="1" si="191"/>
        <v>0</v>
      </c>
      <c r="H3263" s="21">
        <v>3248</v>
      </c>
      <c r="I3263" s="102">
        <v>0.66780605512975078</v>
      </c>
      <c r="J3263" s="103">
        <v>1.5210185289949755E-3</v>
      </c>
      <c r="K3263" s="103"/>
      <c r="L3263" s="103">
        <v>4.0800000000000003E-2</v>
      </c>
      <c r="O3263" s="100"/>
    </row>
    <row r="3264" spans="2:15" x14ac:dyDescent="0.2">
      <c r="B3264" s="1">
        <v>3249</v>
      </c>
      <c r="C3264" s="101">
        <f ca="1"/>
        <v>-0.49675930958629538</v>
      </c>
      <c r="D3264" s="101">
        <f t="shared" ca="1" si="189"/>
        <v>0.63272579130322437</v>
      </c>
      <c r="E3264" s="101">
        <f t="shared" ca="1" si="190"/>
        <v>0</v>
      </c>
      <c r="F3264" s="21">
        <f t="shared" ca="1" si="191"/>
        <v>0</v>
      </c>
      <c r="H3264" s="21">
        <v>3249</v>
      </c>
      <c r="I3264" s="102">
        <v>0.66783286817644794</v>
      </c>
      <c r="J3264" s="103">
        <v>1.539896835720724E-3</v>
      </c>
      <c r="K3264" s="103"/>
      <c r="L3264" s="103">
        <v>4.48E-2</v>
      </c>
      <c r="O3264" s="100"/>
    </row>
    <row r="3265" spans="2:15" x14ac:dyDescent="0.2">
      <c r="B3265" s="1">
        <v>3250</v>
      </c>
      <c r="C3265" s="101">
        <f ca="1"/>
        <v>0.75447211758415067</v>
      </c>
      <c r="D3265" s="101">
        <f t="shared" ca="1" si="189"/>
        <v>0.71584256823160042</v>
      </c>
      <c r="E3265" s="101">
        <f t="shared" ca="1" si="190"/>
        <v>0</v>
      </c>
      <c r="F3265" s="21">
        <f t="shared" ca="1" si="191"/>
        <v>0</v>
      </c>
      <c r="H3265" s="21">
        <v>3250</v>
      </c>
      <c r="I3265" s="102">
        <v>0.66756405609999647</v>
      </c>
      <c r="J3265" s="103">
        <v>1.1912197334874757E-3</v>
      </c>
      <c r="K3265" s="103"/>
      <c r="L3265" s="103">
        <v>3.78E-2</v>
      </c>
      <c r="O3265" s="100"/>
    </row>
    <row r="3266" spans="2:15" x14ac:dyDescent="0.2">
      <c r="B3266" s="1">
        <v>3251</v>
      </c>
      <c r="C3266" s="101">
        <f ca="1"/>
        <v>5.4930882629152598E-2</v>
      </c>
      <c r="D3266" s="101">
        <f t="shared" ca="1" si="189"/>
        <v>0.66811251245241721</v>
      </c>
      <c r="E3266" s="101">
        <f t="shared" ca="1" si="190"/>
        <v>0</v>
      </c>
      <c r="F3266" s="21">
        <f t="shared" ca="1" si="191"/>
        <v>0</v>
      </c>
      <c r="H3266" s="21">
        <v>3251</v>
      </c>
      <c r="I3266" s="102">
        <v>0.66757588908475163</v>
      </c>
      <c r="J3266" s="103">
        <v>1.2058462817350559E-3</v>
      </c>
      <c r="K3266" s="103"/>
      <c r="L3266" s="103">
        <v>3.6799999999999999E-2</v>
      </c>
      <c r="O3266" s="100"/>
    </row>
    <row r="3267" spans="2:15" x14ac:dyDescent="0.2">
      <c r="B3267" s="1">
        <v>3252</v>
      </c>
      <c r="C3267" s="101">
        <f ca="1"/>
        <v>2.7665280311069522</v>
      </c>
      <c r="D3267" s="101">
        <f t="shared" ca="1" si="189"/>
        <v>0.87299700823303406</v>
      </c>
      <c r="E3267" s="101">
        <f t="shared" ca="1" si="190"/>
        <v>8.4797008233034044E-2</v>
      </c>
      <c r="F3267" s="21">
        <f t="shared" ca="1" si="191"/>
        <v>1</v>
      </c>
      <c r="H3267" s="21">
        <v>3252</v>
      </c>
      <c r="I3267" s="102">
        <v>0.66777790153001759</v>
      </c>
      <c r="J3267" s="103">
        <v>1.4771470106795816E-3</v>
      </c>
      <c r="K3267" s="103"/>
      <c r="L3267" s="103">
        <v>4.4200000000000003E-2</v>
      </c>
      <c r="O3267" s="100"/>
    </row>
    <row r="3268" spans="2:15" x14ac:dyDescent="0.2">
      <c r="B3268" s="1">
        <v>3253</v>
      </c>
      <c r="C3268" s="101">
        <f ca="1"/>
        <v>7.9121894805424905E-2</v>
      </c>
      <c r="D3268" s="101">
        <f t="shared" ca="1" si="189"/>
        <v>0.66970868858697374</v>
      </c>
      <c r="E3268" s="101">
        <f t="shared" ca="1" si="190"/>
        <v>0</v>
      </c>
      <c r="F3268" s="21">
        <f t="shared" ca="1" si="191"/>
        <v>0</v>
      </c>
      <c r="H3268" s="21">
        <v>3253</v>
      </c>
      <c r="I3268" s="102">
        <v>0.66779246200069142</v>
      </c>
      <c r="J3268" s="103">
        <v>1.446242928877731E-3</v>
      </c>
      <c r="K3268" s="103"/>
      <c r="L3268" s="103">
        <v>4.2599999999999999E-2</v>
      </c>
      <c r="O3268" s="100"/>
    </row>
    <row r="3269" spans="2:15" x14ac:dyDescent="0.2">
      <c r="B3269" s="1">
        <v>3254</v>
      </c>
      <c r="C3269" s="101">
        <f ca="1"/>
        <v>1.9031639831059053</v>
      </c>
      <c r="D3269" s="101">
        <f t="shared" ca="1" si="189"/>
        <v>0.80172748393018523</v>
      </c>
      <c r="E3269" s="101">
        <f t="shared" ca="1" si="190"/>
        <v>1.3527483930185213E-2</v>
      </c>
      <c r="F3269" s="21">
        <f t="shared" ca="1" si="191"/>
        <v>1</v>
      </c>
      <c r="H3269" s="21">
        <v>3254</v>
      </c>
      <c r="I3269" s="102">
        <v>0.66776594248395571</v>
      </c>
      <c r="J3269" s="103">
        <v>1.4274634197395434E-3</v>
      </c>
      <c r="K3269" s="103"/>
      <c r="L3269" s="103">
        <v>4.2200000000000001E-2</v>
      </c>
      <c r="O3269" s="100"/>
    </row>
    <row r="3270" spans="2:15" x14ac:dyDescent="0.2">
      <c r="B3270" s="1">
        <v>3255</v>
      </c>
      <c r="C3270" s="101">
        <f ca="1"/>
        <v>-0.74431797621821416</v>
      </c>
      <c r="D3270" s="101">
        <f t="shared" ca="1" si="189"/>
        <v>0.61746205925642783</v>
      </c>
      <c r="E3270" s="101">
        <f t="shared" ca="1" si="190"/>
        <v>0</v>
      </c>
      <c r="F3270" s="21">
        <f t="shared" ca="1" si="191"/>
        <v>0</v>
      </c>
      <c r="H3270" s="21">
        <v>3255</v>
      </c>
      <c r="I3270" s="102">
        <v>0.66784844752616157</v>
      </c>
      <c r="J3270" s="103">
        <v>1.3081909812690746E-3</v>
      </c>
      <c r="K3270" s="103"/>
      <c r="L3270" s="103">
        <v>4.1599999999999998E-2</v>
      </c>
      <c r="O3270" s="100"/>
    </row>
    <row r="3271" spans="2:15" x14ac:dyDescent="0.2">
      <c r="B3271" s="1">
        <v>3256</v>
      </c>
      <c r="C3271" s="101">
        <f ca="1"/>
        <v>-0.32332743953999249</v>
      </c>
      <c r="D3271" s="101">
        <f t="shared" ca="1" si="189"/>
        <v>0.64364329879010629</v>
      </c>
      <c r="E3271" s="101">
        <f t="shared" ca="1" si="190"/>
        <v>0</v>
      </c>
      <c r="F3271" s="21">
        <f t="shared" ca="1" si="191"/>
        <v>0</v>
      </c>
      <c r="H3271" s="21">
        <v>3256</v>
      </c>
      <c r="I3271" s="102">
        <v>0.66761564912816551</v>
      </c>
      <c r="J3271" s="103">
        <v>1.1981829827132739E-3</v>
      </c>
      <c r="K3271" s="103"/>
      <c r="L3271" s="103">
        <v>3.8600000000000002E-2</v>
      </c>
      <c r="O3271" s="100"/>
    </row>
    <row r="3272" spans="2:15" x14ac:dyDescent="0.2">
      <c r="B3272" s="1">
        <v>3257</v>
      </c>
      <c r="C3272" s="101">
        <f ca="1"/>
        <v>0.41085328850169106</v>
      </c>
      <c r="D3272" s="101">
        <f t="shared" ca="1" si="189"/>
        <v>0.69198567127532806</v>
      </c>
      <c r="E3272" s="101">
        <f t="shared" ca="1" si="190"/>
        <v>0</v>
      </c>
      <c r="F3272" s="21">
        <f t="shared" ca="1" si="191"/>
        <v>0</v>
      </c>
      <c r="H3272" s="21">
        <v>3257</v>
      </c>
      <c r="I3272" s="102">
        <v>0.66772570832825684</v>
      </c>
      <c r="J3272" s="103">
        <v>1.4788854041518499E-3</v>
      </c>
      <c r="K3272" s="103"/>
      <c r="L3272" s="103">
        <v>4.1200000000000001E-2</v>
      </c>
      <c r="O3272" s="100"/>
    </row>
    <row r="3273" spans="2:15" x14ac:dyDescent="0.2">
      <c r="B3273" s="1">
        <v>3258</v>
      </c>
      <c r="C3273" s="101">
        <f ca="1"/>
        <v>-1.0659604465206358</v>
      </c>
      <c r="D3273" s="101">
        <f t="shared" ca="1" si="189"/>
        <v>0.59817920586794748</v>
      </c>
      <c r="E3273" s="101">
        <f t="shared" ca="1" si="190"/>
        <v>0</v>
      </c>
      <c r="F3273" s="21">
        <f t="shared" ca="1" si="191"/>
        <v>0</v>
      </c>
      <c r="H3273" s="21">
        <v>3258</v>
      </c>
      <c r="I3273" s="102">
        <v>0.66775279377318886</v>
      </c>
      <c r="J3273" s="103">
        <v>1.2991644482436759E-3</v>
      </c>
      <c r="K3273" s="103"/>
      <c r="L3273" s="103">
        <v>4.48E-2</v>
      </c>
      <c r="O3273" s="100"/>
    </row>
    <row r="3274" spans="2:15" x14ac:dyDescent="0.2">
      <c r="B3274" s="1">
        <v>3259</v>
      </c>
      <c r="C3274" s="101">
        <f ca="1"/>
        <v>-1.4614699710477039</v>
      </c>
      <c r="D3274" s="101">
        <f t="shared" ca="1" si="189"/>
        <v>0.57529146071267501</v>
      </c>
      <c r="E3274" s="101">
        <f t="shared" ca="1" si="190"/>
        <v>0</v>
      </c>
      <c r="F3274" s="21">
        <f t="shared" ca="1" si="191"/>
        <v>0</v>
      </c>
      <c r="H3274" s="21">
        <v>3259</v>
      </c>
      <c r="I3274" s="102">
        <v>0.66772982175715501</v>
      </c>
      <c r="J3274" s="103">
        <v>1.4296092194566441E-3</v>
      </c>
      <c r="K3274" s="103"/>
      <c r="L3274" s="103">
        <v>4.2799999999999998E-2</v>
      </c>
      <c r="O3274" s="100"/>
    </row>
    <row r="3275" spans="2:15" x14ac:dyDescent="0.2">
      <c r="B3275" s="1">
        <v>3260</v>
      </c>
      <c r="C3275" s="101">
        <f ca="1"/>
        <v>-0.72272911047532995</v>
      </c>
      <c r="D3275" s="101">
        <f t="shared" ca="1" si="189"/>
        <v>0.61877837935380742</v>
      </c>
      <c r="E3275" s="101">
        <f t="shared" ca="1" si="190"/>
        <v>0</v>
      </c>
      <c r="F3275" s="21">
        <f t="shared" ca="1" si="191"/>
        <v>0</v>
      </c>
      <c r="H3275" s="21">
        <v>3260</v>
      </c>
      <c r="I3275" s="102">
        <v>0.66771581313540118</v>
      </c>
      <c r="J3275" s="103">
        <v>1.3801900400579954E-3</v>
      </c>
      <c r="K3275" s="103"/>
      <c r="L3275" s="103">
        <v>3.9600000000000003E-2</v>
      </c>
      <c r="O3275" s="100"/>
    </row>
    <row r="3276" spans="2:15" x14ac:dyDescent="0.2">
      <c r="B3276" s="1">
        <v>3261</v>
      </c>
      <c r="C3276" s="101">
        <f ca="1"/>
        <v>-0.98584295817905221</v>
      </c>
      <c r="D3276" s="101">
        <f t="shared" ca="1" si="189"/>
        <v>0.6029252826551279</v>
      </c>
      <c r="E3276" s="101">
        <f t="shared" ca="1" si="190"/>
        <v>0</v>
      </c>
      <c r="F3276" s="21">
        <f t="shared" ca="1" si="191"/>
        <v>0</v>
      </c>
      <c r="H3276" s="21">
        <v>3261</v>
      </c>
      <c r="I3276" s="102">
        <v>0.66774394583764163</v>
      </c>
      <c r="J3276" s="103">
        <v>1.3727192353128548E-3</v>
      </c>
      <c r="K3276" s="103"/>
      <c r="L3276" s="103">
        <v>4.2599999999999999E-2</v>
      </c>
      <c r="O3276" s="100"/>
    </row>
    <row r="3277" spans="2:15" x14ac:dyDescent="0.2">
      <c r="B3277" s="1">
        <v>3262</v>
      </c>
      <c r="C3277" s="101">
        <f ca="1"/>
        <v>0.79196013161557866</v>
      </c>
      <c r="D3277" s="101">
        <f t="shared" ca="1" si="189"/>
        <v>0.71849455946532537</v>
      </c>
      <c r="E3277" s="101">
        <f t="shared" ca="1" si="190"/>
        <v>0</v>
      </c>
      <c r="F3277" s="21">
        <f t="shared" ca="1" si="191"/>
        <v>0</v>
      </c>
      <c r="H3277" s="21">
        <v>3262</v>
      </c>
      <c r="I3277" s="102">
        <v>0.66780230837150745</v>
      </c>
      <c r="J3277" s="103">
        <v>1.4670694302769708E-3</v>
      </c>
      <c r="K3277" s="103"/>
      <c r="L3277" s="103">
        <v>4.2599999999999999E-2</v>
      </c>
      <c r="O3277" s="100"/>
    </row>
    <row r="3278" spans="2:15" x14ac:dyDescent="0.2">
      <c r="B3278" s="1">
        <v>3263</v>
      </c>
      <c r="C3278" s="101">
        <f ca="1"/>
        <v>-0.5066573827049996</v>
      </c>
      <c r="D3278" s="101">
        <f t="shared" ca="1" si="189"/>
        <v>0.63210832523092553</v>
      </c>
      <c r="E3278" s="101">
        <f t="shared" ca="1" si="190"/>
        <v>0</v>
      </c>
      <c r="F3278" s="21">
        <f t="shared" ca="1" si="191"/>
        <v>0</v>
      </c>
      <c r="H3278" s="21">
        <v>3263</v>
      </c>
      <c r="I3278" s="102">
        <v>0.66767977237583731</v>
      </c>
      <c r="J3278" s="103">
        <v>1.366108196679403E-3</v>
      </c>
      <c r="K3278" s="103"/>
      <c r="L3278" s="103">
        <v>4.1799999999999997E-2</v>
      </c>
      <c r="O3278" s="100"/>
    </row>
    <row r="3279" spans="2:15" x14ac:dyDescent="0.2">
      <c r="B3279" s="1">
        <v>3264</v>
      </c>
      <c r="C3279" s="101">
        <f ca="1"/>
        <v>1.630249041526987E-2</v>
      </c>
      <c r="D3279" s="101">
        <f t="shared" ca="1" si="189"/>
        <v>0.66557160999751752</v>
      </c>
      <c r="E3279" s="101">
        <f t="shared" ca="1" si="190"/>
        <v>0</v>
      </c>
      <c r="F3279" s="21">
        <f t="shared" ca="1" si="191"/>
        <v>0</v>
      </c>
      <c r="H3279" s="21">
        <v>3264</v>
      </c>
      <c r="I3279" s="102">
        <v>0.6677469173596241</v>
      </c>
      <c r="J3279" s="103">
        <v>1.1833617143861667E-3</v>
      </c>
      <c r="K3279" s="103"/>
      <c r="L3279" s="103">
        <v>4.1399999999999999E-2</v>
      </c>
      <c r="O3279" s="100"/>
    </row>
    <row r="3280" spans="2:15" x14ac:dyDescent="0.2">
      <c r="B3280" s="1">
        <v>3265</v>
      </c>
      <c r="C3280" s="101">
        <f ca="1"/>
        <v>0.44991192153090531</v>
      </c>
      <c r="D3280" s="101">
        <f t="shared" ref="D3280:D3343" ca="1" si="192">S0*EXP((μ-0.5*σ*σ)*T+σ*SQRT(T)*$C3280)</f>
        <v>0.69465689297912492</v>
      </c>
      <c r="E3280" s="101">
        <f t="shared" ref="E3280:E3343" ca="1" si="193">MAX(0,CP*(D3280-K))</f>
        <v>0</v>
      </c>
      <c r="F3280" s="21">
        <f t="shared" ref="F3280:F3343" ca="1" si="194">(CP*(D3280-K)&gt;0)*1</f>
        <v>0</v>
      </c>
      <c r="H3280" s="21">
        <v>3265</v>
      </c>
      <c r="I3280" s="102">
        <v>0.66767527934640447</v>
      </c>
      <c r="J3280" s="103">
        <v>1.2921828546103564E-3</v>
      </c>
      <c r="K3280" s="103"/>
      <c r="L3280" s="103">
        <v>4.02E-2</v>
      </c>
      <c r="O3280" s="100"/>
    </row>
    <row r="3281" spans="2:15" x14ac:dyDescent="0.2">
      <c r="B3281" s="1">
        <v>3266</v>
      </c>
      <c r="C3281" s="101">
        <f ca="1"/>
        <v>-0.38950070128432002</v>
      </c>
      <c r="D3281" s="101">
        <f t="shared" ca="1" si="192"/>
        <v>0.63945565189310838</v>
      </c>
      <c r="E3281" s="101">
        <f t="shared" ca="1" si="193"/>
        <v>0</v>
      </c>
      <c r="F3281" s="21">
        <f t="shared" ca="1" si="194"/>
        <v>0</v>
      </c>
      <c r="H3281" s="21">
        <v>3266</v>
      </c>
      <c r="I3281" s="102">
        <v>0.66759360559787706</v>
      </c>
      <c r="J3281" s="103">
        <v>1.3601065628720439E-3</v>
      </c>
      <c r="K3281" s="103"/>
      <c r="L3281" s="103">
        <v>4.0599999999999997E-2</v>
      </c>
      <c r="O3281" s="100"/>
    </row>
    <row r="3282" spans="2:15" x14ac:dyDescent="0.2">
      <c r="B3282" s="1">
        <v>3267</v>
      </c>
      <c r="C3282" s="101">
        <f ca="1"/>
        <v>0.84484815305993188</v>
      </c>
      <c r="D3282" s="101">
        <f t="shared" ca="1" si="192"/>
        <v>0.72225270022563792</v>
      </c>
      <c r="E3282" s="101">
        <f t="shared" ca="1" si="193"/>
        <v>0</v>
      </c>
      <c r="F3282" s="21">
        <f t="shared" ca="1" si="194"/>
        <v>0</v>
      </c>
      <c r="H3282" s="21">
        <v>3267</v>
      </c>
      <c r="I3282" s="102">
        <v>0.66779142233580424</v>
      </c>
      <c r="J3282" s="103">
        <v>1.4137406545700378E-3</v>
      </c>
      <c r="K3282" s="103"/>
      <c r="L3282" s="103">
        <v>4.4400000000000002E-2</v>
      </c>
      <c r="O3282" s="100"/>
    </row>
    <row r="3283" spans="2:15" x14ac:dyDescent="0.2">
      <c r="B3283" s="1">
        <v>3268</v>
      </c>
      <c r="C3283" s="101">
        <f ca="1"/>
        <v>-0.10128364096508025</v>
      </c>
      <c r="D3283" s="101">
        <f t="shared" ca="1" si="192"/>
        <v>0.6578963416686483</v>
      </c>
      <c r="E3283" s="101">
        <f t="shared" ca="1" si="193"/>
        <v>0</v>
      </c>
      <c r="F3283" s="21">
        <f t="shared" ca="1" si="194"/>
        <v>0</v>
      </c>
      <c r="H3283" s="21">
        <v>3268</v>
      </c>
      <c r="I3283" s="102">
        <v>0.66761957154297169</v>
      </c>
      <c r="J3283" s="103">
        <v>1.2334627265374791E-3</v>
      </c>
      <c r="K3283" s="103"/>
      <c r="L3283" s="103">
        <v>3.9399999999999998E-2</v>
      </c>
      <c r="O3283" s="100"/>
    </row>
    <row r="3284" spans="2:15" x14ac:dyDescent="0.2">
      <c r="B3284" s="1">
        <v>3269</v>
      </c>
      <c r="C3284" s="101">
        <f ca="1"/>
        <v>0.57486249443779436</v>
      </c>
      <c r="D3284" s="101">
        <f t="shared" ca="1" si="192"/>
        <v>0.70327172182581366</v>
      </c>
      <c r="E3284" s="101">
        <f t="shared" ca="1" si="193"/>
        <v>0</v>
      </c>
      <c r="F3284" s="21">
        <f t="shared" ca="1" si="194"/>
        <v>0</v>
      </c>
      <c r="H3284" s="21">
        <v>3269</v>
      </c>
      <c r="I3284" s="102">
        <v>0.66759116114201389</v>
      </c>
      <c r="J3284" s="103">
        <v>1.2123042324900491E-3</v>
      </c>
      <c r="K3284" s="103"/>
      <c r="L3284" s="103">
        <v>3.6999999999999998E-2</v>
      </c>
      <c r="O3284" s="100"/>
    </row>
    <row r="3285" spans="2:15" x14ac:dyDescent="0.2">
      <c r="B3285" s="1">
        <v>3270</v>
      </c>
      <c r="C3285" s="101">
        <f ca="1"/>
        <v>0.10952708150059026</v>
      </c>
      <c r="D3285" s="101">
        <f t="shared" ca="1" si="192"/>
        <v>0.67172029930524157</v>
      </c>
      <c r="E3285" s="101">
        <f t="shared" ca="1" si="193"/>
        <v>0</v>
      </c>
      <c r="F3285" s="21">
        <f t="shared" ca="1" si="194"/>
        <v>0</v>
      </c>
      <c r="H3285" s="21">
        <v>3270</v>
      </c>
      <c r="I3285" s="102">
        <v>0.66771695758521532</v>
      </c>
      <c r="J3285" s="103">
        <v>1.2121751531123785E-3</v>
      </c>
      <c r="K3285" s="103"/>
      <c r="L3285" s="103">
        <v>3.9199999999999999E-2</v>
      </c>
      <c r="O3285" s="100"/>
    </row>
    <row r="3286" spans="2:15" x14ac:dyDescent="0.2">
      <c r="B3286" s="1">
        <v>3271</v>
      </c>
      <c r="C3286" s="101">
        <f ca="1"/>
        <v>0.13327498506160212</v>
      </c>
      <c r="D3286" s="101">
        <f t="shared" ca="1" si="192"/>
        <v>0.67329566513838612</v>
      </c>
      <c r="E3286" s="101">
        <f t="shared" ca="1" si="193"/>
        <v>0</v>
      </c>
      <c r="F3286" s="21">
        <f t="shared" ca="1" si="194"/>
        <v>0</v>
      </c>
      <c r="H3286" s="21">
        <v>3271</v>
      </c>
      <c r="I3286" s="102">
        <v>0.6678994880920669</v>
      </c>
      <c r="J3286" s="103">
        <v>1.4728745044709608E-3</v>
      </c>
      <c r="K3286" s="103"/>
      <c r="L3286" s="103">
        <v>4.3999999999999997E-2</v>
      </c>
      <c r="O3286" s="100"/>
    </row>
    <row r="3287" spans="2:15" x14ac:dyDescent="0.2">
      <c r="B3287" s="1">
        <v>3272</v>
      </c>
      <c r="C3287" s="101">
        <f ca="1"/>
        <v>1.6187443085106938</v>
      </c>
      <c r="D3287" s="101">
        <f t="shared" ca="1" si="192"/>
        <v>0.77954718631758146</v>
      </c>
      <c r="E3287" s="101">
        <f t="shared" ca="1" si="193"/>
        <v>0</v>
      </c>
      <c r="F3287" s="21">
        <f t="shared" ca="1" si="194"/>
        <v>0</v>
      </c>
      <c r="H3287" s="21">
        <v>3272</v>
      </c>
      <c r="I3287" s="102">
        <v>0.66769944190829877</v>
      </c>
      <c r="J3287" s="103">
        <v>1.3942910140990288E-3</v>
      </c>
      <c r="K3287" s="103"/>
      <c r="L3287" s="103">
        <v>4.1000000000000002E-2</v>
      </c>
      <c r="O3287" s="100"/>
    </row>
    <row r="3288" spans="2:15" x14ac:dyDescent="0.2">
      <c r="B3288" s="1">
        <v>3273</v>
      </c>
      <c r="C3288" s="101">
        <f ca="1"/>
        <v>0.16959315041540599</v>
      </c>
      <c r="D3288" s="101">
        <f t="shared" ca="1" si="192"/>
        <v>0.67571205373079413</v>
      </c>
      <c r="E3288" s="101">
        <f t="shared" ca="1" si="193"/>
        <v>0</v>
      </c>
      <c r="F3288" s="21">
        <f t="shared" ca="1" si="194"/>
        <v>0</v>
      </c>
      <c r="H3288" s="21">
        <v>3273</v>
      </c>
      <c r="I3288" s="102">
        <v>0.66778050915405984</v>
      </c>
      <c r="J3288" s="103">
        <v>1.3818174921678714E-3</v>
      </c>
      <c r="K3288" s="103"/>
      <c r="L3288" s="103">
        <v>4.2999999999999997E-2</v>
      </c>
      <c r="O3288" s="100"/>
    </row>
    <row r="3289" spans="2:15" x14ac:dyDescent="0.2">
      <c r="B3289" s="1">
        <v>3274</v>
      </c>
      <c r="C3289" s="101">
        <f ca="1"/>
        <v>-2.006395706193646E-2</v>
      </c>
      <c r="D3289" s="101">
        <f t="shared" ca="1" si="192"/>
        <v>0.66318832574988218</v>
      </c>
      <c r="E3289" s="101">
        <f t="shared" ca="1" si="193"/>
        <v>0</v>
      </c>
      <c r="F3289" s="21">
        <f t="shared" ca="1" si="194"/>
        <v>0</v>
      </c>
      <c r="H3289" s="21">
        <v>3274</v>
      </c>
      <c r="I3289" s="102">
        <v>0.66765413861173639</v>
      </c>
      <c r="J3289" s="103">
        <v>1.343879180104832E-3</v>
      </c>
      <c r="K3289" s="103"/>
      <c r="L3289" s="103">
        <v>4.1200000000000001E-2</v>
      </c>
      <c r="O3289" s="100"/>
    </row>
    <row r="3290" spans="2:15" x14ac:dyDescent="0.2">
      <c r="B3290" s="1">
        <v>3275</v>
      </c>
      <c r="C3290" s="101">
        <f ca="1"/>
        <v>0.4700142661064724</v>
      </c>
      <c r="D3290" s="101">
        <f t="shared" ca="1" si="192"/>
        <v>0.69603570995046093</v>
      </c>
      <c r="E3290" s="101">
        <f t="shared" ca="1" si="193"/>
        <v>0</v>
      </c>
      <c r="F3290" s="21">
        <f t="shared" ca="1" si="194"/>
        <v>0</v>
      </c>
      <c r="H3290" s="21">
        <v>3275</v>
      </c>
      <c r="I3290" s="102">
        <v>0.66771906083125554</v>
      </c>
      <c r="J3290" s="103">
        <v>1.3609125155763448E-3</v>
      </c>
      <c r="K3290" s="103"/>
      <c r="L3290" s="103">
        <v>4.02E-2</v>
      </c>
      <c r="O3290" s="100"/>
    </row>
    <row r="3291" spans="2:15" x14ac:dyDescent="0.2">
      <c r="B3291" s="1">
        <v>3276</v>
      </c>
      <c r="C3291" s="101">
        <f ca="1"/>
        <v>-0.1845947625422156</v>
      </c>
      <c r="D3291" s="101">
        <f t="shared" ca="1" si="192"/>
        <v>0.6525119570265695</v>
      </c>
      <c r="E3291" s="101">
        <f t="shared" ca="1" si="193"/>
        <v>0</v>
      </c>
      <c r="F3291" s="21">
        <f t="shared" ca="1" si="194"/>
        <v>0</v>
      </c>
      <c r="H3291" s="21">
        <v>3276</v>
      </c>
      <c r="I3291" s="102">
        <v>0.66774372907622392</v>
      </c>
      <c r="J3291" s="103">
        <v>1.4180026738991886E-3</v>
      </c>
      <c r="K3291" s="103"/>
      <c r="L3291" s="103">
        <v>3.9800000000000002E-2</v>
      </c>
      <c r="O3291" s="100"/>
    </row>
    <row r="3292" spans="2:15" x14ac:dyDescent="0.2">
      <c r="B3292" s="1">
        <v>3277</v>
      </c>
      <c r="C3292" s="101">
        <f ca="1"/>
        <v>0.88068431002266823</v>
      </c>
      <c r="D3292" s="101">
        <f t="shared" ca="1" si="192"/>
        <v>0.72481032794732281</v>
      </c>
      <c r="E3292" s="101">
        <f t="shared" ca="1" si="193"/>
        <v>0</v>
      </c>
      <c r="F3292" s="21">
        <f t="shared" ca="1" si="194"/>
        <v>0</v>
      </c>
      <c r="H3292" s="21">
        <v>3277</v>
      </c>
      <c r="I3292" s="102">
        <v>0.66786336541180602</v>
      </c>
      <c r="J3292" s="103">
        <v>1.6088663695083922E-3</v>
      </c>
      <c r="K3292" s="103"/>
      <c r="L3292" s="103">
        <v>4.58E-2</v>
      </c>
      <c r="O3292" s="100"/>
    </row>
    <row r="3293" spans="2:15" x14ac:dyDescent="0.2">
      <c r="B3293" s="1">
        <v>3278</v>
      </c>
      <c r="C3293" s="101">
        <f ca="1"/>
        <v>0.798157464545179</v>
      </c>
      <c r="D3293" s="101">
        <f t="shared" ca="1" si="192"/>
        <v>0.71893391890736835</v>
      </c>
      <c r="E3293" s="101">
        <f t="shared" ca="1" si="193"/>
        <v>0</v>
      </c>
      <c r="F3293" s="21">
        <f t="shared" ca="1" si="194"/>
        <v>0</v>
      </c>
      <c r="H3293" s="21">
        <v>3278</v>
      </c>
      <c r="I3293" s="102">
        <v>0.66767970047215852</v>
      </c>
      <c r="J3293" s="103">
        <v>1.4527013320904765E-3</v>
      </c>
      <c r="K3293" s="103"/>
      <c r="L3293" s="103">
        <v>4.1399999999999999E-2</v>
      </c>
      <c r="O3293" s="100"/>
    </row>
    <row r="3294" spans="2:15" x14ac:dyDescent="0.2">
      <c r="B3294" s="1">
        <v>3279</v>
      </c>
      <c r="C3294" s="101">
        <f ca="1"/>
        <v>0.49776601192421666</v>
      </c>
      <c r="D3294" s="101">
        <f t="shared" ca="1" si="192"/>
        <v>0.69794369646466858</v>
      </c>
      <c r="E3294" s="101">
        <f t="shared" ca="1" si="193"/>
        <v>0</v>
      </c>
      <c r="F3294" s="21">
        <f t="shared" ca="1" si="194"/>
        <v>0</v>
      </c>
      <c r="H3294" s="21">
        <v>3279</v>
      </c>
      <c r="I3294" s="102">
        <v>0.66787842011027565</v>
      </c>
      <c r="J3294" s="103">
        <v>1.3999175846213659E-3</v>
      </c>
      <c r="K3294" s="103"/>
      <c r="L3294" s="103">
        <v>4.2200000000000001E-2</v>
      </c>
      <c r="O3294" s="100"/>
    </row>
    <row r="3295" spans="2:15" x14ac:dyDescent="0.2">
      <c r="B3295" s="1">
        <v>3280</v>
      </c>
      <c r="C3295" s="101">
        <f ca="1"/>
        <v>2.8433073310514811</v>
      </c>
      <c r="D3295" s="101">
        <f t="shared" ca="1" si="192"/>
        <v>0.879633849502652</v>
      </c>
      <c r="E3295" s="101">
        <f t="shared" ca="1" si="193"/>
        <v>9.1433849502651987E-2</v>
      </c>
      <c r="F3295" s="21">
        <f t="shared" ca="1" si="194"/>
        <v>1</v>
      </c>
      <c r="H3295" s="21">
        <v>3280</v>
      </c>
      <c r="I3295" s="102">
        <v>0.66760231707913509</v>
      </c>
      <c r="J3295" s="103">
        <v>1.24604862335491E-3</v>
      </c>
      <c r="K3295" s="103"/>
      <c r="L3295" s="103">
        <v>3.9800000000000002E-2</v>
      </c>
      <c r="O3295" s="100"/>
    </row>
    <row r="3296" spans="2:15" x14ac:dyDescent="0.2">
      <c r="B3296" s="1">
        <v>3281</v>
      </c>
      <c r="C3296" s="101">
        <f ca="1"/>
        <v>0.30083923458838824</v>
      </c>
      <c r="D3296" s="101">
        <f t="shared" ca="1" si="192"/>
        <v>0.68451688839381131</v>
      </c>
      <c r="E3296" s="101">
        <f t="shared" ca="1" si="193"/>
        <v>0</v>
      </c>
      <c r="F3296" s="21">
        <f t="shared" ca="1" si="194"/>
        <v>0</v>
      </c>
      <c r="H3296" s="21">
        <v>3281</v>
      </c>
      <c r="I3296" s="102">
        <v>0.66772074171496609</v>
      </c>
      <c r="J3296" s="103">
        <v>1.2972344431702286E-3</v>
      </c>
      <c r="K3296" s="103"/>
      <c r="L3296" s="103">
        <v>3.9800000000000002E-2</v>
      </c>
      <c r="O3296" s="100"/>
    </row>
    <row r="3297" spans="2:15" x14ac:dyDescent="0.2">
      <c r="B3297" s="1">
        <v>3282</v>
      </c>
      <c r="C3297" s="101">
        <f ca="1"/>
        <v>-0.28071641073123471</v>
      </c>
      <c r="D3297" s="101">
        <f t="shared" ca="1" si="192"/>
        <v>0.64635435927814711</v>
      </c>
      <c r="E3297" s="101">
        <f t="shared" ca="1" si="193"/>
        <v>0</v>
      </c>
      <c r="F3297" s="21">
        <f t="shared" ca="1" si="194"/>
        <v>0</v>
      </c>
      <c r="H3297" s="21">
        <v>3282</v>
      </c>
      <c r="I3297" s="102">
        <v>0.66782817257520144</v>
      </c>
      <c r="J3297" s="103">
        <v>1.4775051136874918E-3</v>
      </c>
      <c r="K3297" s="103"/>
      <c r="L3297" s="103">
        <v>4.48E-2</v>
      </c>
      <c r="O3297" s="100"/>
    </row>
    <row r="3298" spans="2:15" x14ac:dyDescent="0.2">
      <c r="B3298" s="1">
        <v>3283</v>
      </c>
      <c r="C3298" s="101">
        <f ca="1"/>
        <v>1.1779962390775238</v>
      </c>
      <c r="D3298" s="101">
        <f t="shared" ca="1" si="192"/>
        <v>0.74638178606012417</v>
      </c>
      <c r="E3298" s="101">
        <f t="shared" ca="1" si="193"/>
        <v>0</v>
      </c>
      <c r="F3298" s="21">
        <f t="shared" ca="1" si="194"/>
        <v>0</v>
      </c>
      <c r="H3298" s="21">
        <v>3283</v>
      </c>
      <c r="I3298" s="102">
        <v>0.66755250022228496</v>
      </c>
      <c r="J3298" s="103">
        <v>1.1654476094175427E-3</v>
      </c>
      <c r="K3298" s="103"/>
      <c r="L3298" s="103">
        <v>3.6999999999999998E-2</v>
      </c>
      <c r="O3298" s="100"/>
    </row>
    <row r="3299" spans="2:15" x14ac:dyDescent="0.2">
      <c r="B3299" s="1">
        <v>3284</v>
      </c>
      <c r="C3299" s="101">
        <f ca="1"/>
        <v>2.1046924230857917</v>
      </c>
      <c r="D3299" s="101">
        <f t="shared" ca="1" si="192"/>
        <v>0.81782451727000882</v>
      </c>
      <c r="E3299" s="101">
        <f t="shared" ca="1" si="193"/>
        <v>2.962451727000881E-2</v>
      </c>
      <c r="F3299" s="21">
        <f t="shared" ca="1" si="194"/>
        <v>1</v>
      </c>
      <c r="H3299" s="21">
        <v>3284</v>
      </c>
      <c r="I3299" s="102">
        <v>0.6678742474575291</v>
      </c>
      <c r="J3299" s="103">
        <v>1.5049157167515087E-3</v>
      </c>
      <c r="K3299" s="103"/>
      <c r="L3299" s="103">
        <v>4.7E-2</v>
      </c>
      <c r="O3299" s="100"/>
    </row>
    <row r="3300" spans="2:15" x14ac:dyDescent="0.2">
      <c r="B3300" s="1">
        <v>3285</v>
      </c>
      <c r="C3300" s="101">
        <f ca="1"/>
        <v>-0.14495523535006999</v>
      </c>
      <c r="D3300" s="101">
        <f t="shared" ca="1" si="192"/>
        <v>0.65506833568857403</v>
      </c>
      <c r="E3300" s="101">
        <f t="shared" ca="1" si="193"/>
        <v>0</v>
      </c>
      <c r="F3300" s="21">
        <f t="shared" ca="1" si="194"/>
        <v>0</v>
      </c>
      <c r="H3300" s="21">
        <v>3285</v>
      </c>
      <c r="I3300" s="102">
        <v>0.66771871042971043</v>
      </c>
      <c r="J3300" s="103">
        <v>1.3348888180915858E-3</v>
      </c>
      <c r="K3300" s="103"/>
      <c r="L3300" s="103">
        <v>4.1399999999999999E-2</v>
      </c>
      <c r="O3300" s="100"/>
    </row>
    <row r="3301" spans="2:15" x14ac:dyDescent="0.2">
      <c r="B3301" s="1">
        <v>3286</v>
      </c>
      <c r="C3301" s="101">
        <f ca="1"/>
        <v>0.99336810864378799</v>
      </c>
      <c r="D3301" s="101">
        <f t="shared" ca="1" si="192"/>
        <v>0.73291173848369806</v>
      </c>
      <c r="E3301" s="101">
        <f t="shared" ca="1" si="193"/>
        <v>0</v>
      </c>
      <c r="F3301" s="21">
        <f t="shared" ca="1" si="194"/>
        <v>0</v>
      </c>
      <c r="H3301" s="21">
        <v>3286</v>
      </c>
      <c r="I3301" s="102">
        <v>0.66777175948748291</v>
      </c>
      <c r="J3301" s="103">
        <v>1.3959957110870683E-3</v>
      </c>
      <c r="K3301" s="103"/>
      <c r="L3301" s="103">
        <v>4.0399999999999998E-2</v>
      </c>
      <c r="O3301" s="100"/>
    </row>
    <row r="3302" spans="2:15" x14ac:dyDescent="0.2">
      <c r="B3302" s="1">
        <v>3287</v>
      </c>
      <c r="C3302" s="101">
        <f ca="1"/>
        <v>0.10951274718054219</v>
      </c>
      <c r="D3302" s="101">
        <f t="shared" ca="1" si="192"/>
        <v>0.67171934952274148</v>
      </c>
      <c r="E3302" s="101">
        <f t="shared" ca="1" si="193"/>
        <v>0</v>
      </c>
      <c r="F3302" s="21">
        <f t="shared" ca="1" si="194"/>
        <v>0</v>
      </c>
      <c r="H3302" s="21">
        <v>3287</v>
      </c>
      <c r="I3302" s="102">
        <v>0.66769384009982069</v>
      </c>
      <c r="J3302" s="103">
        <v>1.3135912350768207E-3</v>
      </c>
      <c r="K3302" s="103"/>
      <c r="L3302" s="103">
        <v>4.1399999999999999E-2</v>
      </c>
      <c r="O3302" s="100"/>
    </row>
    <row r="3303" spans="2:15" x14ac:dyDescent="0.2">
      <c r="B3303" s="1">
        <v>3288</v>
      </c>
      <c r="C3303" s="101">
        <f ca="1"/>
        <v>0.70245506703338878</v>
      </c>
      <c r="D3303" s="101">
        <f t="shared" ca="1" si="192"/>
        <v>0.71217896501376421</v>
      </c>
      <c r="E3303" s="101">
        <f t="shared" ca="1" si="193"/>
        <v>0</v>
      </c>
      <c r="F3303" s="21">
        <f t="shared" ca="1" si="194"/>
        <v>0</v>
      </c>
      <c r="H3303" s="21">
        <v>3288</v>
      </c>
      <c r="I3303" s="102">
        <v>0.66756428824753089</v>
      </c>
      <c r="J3303" s="103">
        <v>1.0859488989138489E-3</v>
      </c>
      <c r="K3303" s="103"/>
      <c r="L3303" s="103">
        <v>3.4799999999999998E-2</v>
      </c>
      <c r="O3303" s="100"/>
    </row>
    <row r="3304" spans="2:15" x14ac:dyDescent="0.2">
      <c r="B3304" s="1">
        <v>3289</v>
      </c>
      <c r="C3304" s="101">
        <f ca="1"/>
        <v>-1.1295286734323113</v>
      </c>
      <c r="D3304" s="101">
        <f t="shared" ca="1" si="192"/>
        <v>0.59444008580852281</v>
      </c>
      <c r="E3304" s="101">
        <f t="shared" ca="1" si="193"/>
        <v>0</v>
      </c>
      <c r="F3304" s="21">
        <f t="shared" ca="1" si="194"/>
        <v>0</v>
      </c>
      <c r="H3304" s="21">
        <v>3289</v>
      </c>
      <c r="I3304" s="102">
        <v>0.66768864332570488</v>
      </c>
      <c r="J3304" s="103">
        <v>1.2583416764767002E-3</v>
      </c>
      <c r="K3304" s="103"/>
      <c r="L3304" s="103">
        <v>3.8800000000000001E-2</v>
      </c>
      <c r="O3304" s="100"/>
    </row>
    <row r="3305" spans="2:15" x14ac:dyDescent="0.2">
      <c r="B3305" s="1">
        <v>3290</v>
      </c>
      <c r="C3305" s="101">
        <f ca="1"/>
        <v>0.12662214422020357</v>
      </c>
      <c r="D3305" s="101">
        <f t="shared" ca="1" si="192"/>
        <v>0.67285396314543244</v>
      </c>
      <c r="E3305" s="101">
        <f t="shared" ca="1" si="193"/>
        <v>0</v>
      </c>
      <c r="F3305" s="21">
        <f t="shared" ca="1" si="194"/>
        <v>0</v>
      </c>
      <c r="H3305" s="21">
        <v>3290</v>
      </c>
      <c r="I3305" s="102">
        <v>0.66777750476156994</v>
      </c>
      <c r="J3305" s="103">
        <v>1.4140084481561838E-3</v>
      </c>
      <c r="K3305" s="103"/>
      <c r="L3305" s="103">
        <v>4.2999999999999997E-2</v>
      </c>
      <c r="O3305" s="100"/>
    </row>
    <row r="3306" spans="2:15" x14ac:dyDescent="0.2">
      <c r="B3306" s="1">
        <v>3291</v>
      </c>
      <c r="C3306" s="101">
        <f ca="1"/>
        <v>0.21812249504850281</v>
      </c>
      <c r="D3306" s="101">
        <f t="shared" ca="1" si="192"/>
        <v>0.6789544410446462</v>
      </c>
      <c r="E3306" s="101">
        <f t="shared" ca="1" si="193"/>
        <v>0</v>
      </c>
      <c r="F3306" s="21">
        <f t="shared" ca="1" si="194"/>
        <v>0</v>
      </c>
      <c r="H3306" s="21">
        <v>3291</v>
      </c>
      <c r="I3306" s="102">
        <v>0.66753514269959191</v>
      </c>
      <c r="J3306" s="103">
        <v>1.1391392548903395E-3</v>
      </c>
      <c r="K3306" s="103"/>
      <c r="L3306" s="103">
        <v>3.5799999999999998E-2</v>
      </c>
      <c r="O3306" s="100"/>
    </row>
    <row r="3307" spans="2:15" x14ac:dyDescent="0.2">
      <c r="B3307" s="1">
        <v>3292</v>
      </c>
      <c r="C3307" s="101">
        <f ca="1"/>
        <v>0.67822857961500804</v>
      </c>
      <c r="D3307" s="101">
        <f t="shared" ca="1" si="192"/>
        <v>0.71047907949991229</v>
      </c>
      <c r="E3307" s="101">
        <f t="shared" ca="1" si="193"/>
        <v>0</v>
      </c>
      <c r="F3307" s="21">
        <f t="shared" ca="1" si="194"/>
        <v>0</v>
      </c>
      <c r="H3307" s="21">
        <v>3292</v>
      </c>
      <c r="I3307" s="102">
        <v>0.66781318604173678</v>
      </c>
      <c r="J3307" s="103">
        <v>1.443507271094726E-3</v>
      </c>
      <c r="K3307" s="103"/>
      <c r="L3307" s="103">
        <v>4.6199999999999998E-2</v>
      </c>
      <c r="O3307" s="100"/>
    </row>
    <row r="3308" spans="2:15" x14ac:dyDescent="0.2">
      <c r="B3308" s="1">
        <v>3293</v>
      </c>
      <c r="C3308" s="101">
        <f ca="1"/>
        <v>0.4231502351581154</v>
      </c>
      <c r="D3308" s="101">
        <f t="shared" ca="1" si="192"/>
        <v>0.69282555026076487</v>
      </c>
      <c r="E3308" s="101">
        <f t="shared" ca="1" si="193"/>
        <v>0</v>
      </c>
      <c r="F3308" s="21">
        <f t="shared" ca="1" si="194"/>
        <v>0</v>
      </c>
      <c r="H3308" s="21">
        <v>3293</v>
      </c>
      <c r="I3308" s="102">
        <v>0.66771648990949373</v>
      </c>
      <c r="J3308" s="103">
        <v>1.3566345806492451E-3</v>
      </c>
      <c r="K3308" s="103"/>
      <c r="L3308" s="103">
        <v>4.1200000000000001E-2</v>
      </c>
      <c r="O3308" s="100"/>
    </row>
    <row r="3309" spans="2:15" x14ac:dyDescent="0.2">
      <c r="B3309" s="1">
        <v>3294</v>
      </c>
      <c r="C3309" s="101">
        <f ca="1"/>
        <v>-1.6877192380620121</v>
      </c>
      <c r="D3309" s="101">
        <f t="shared" ca="1" si="192"/>
        <v>0.5625945860481596</v>
      </c>
      <c r="E3309" s="101">
        <f t="shared" ca="1" si="193"/>
        <v>0</v>
      </c>
      <c r="F3309" s="21">
        <f t="shared" ca="1" si="194"/>
        <v>0</v>
      </c>
      <c r="H3309" s="21">
        <v>3294</v>
      </c>
      <c r="I3309" s="102">
        <v>0.66775608304692957</v>
      </c>
      <c r="J3309" s="103">
        <v>1.4488600006521437E-3</v>
      </c>
      <c r="K3309" s="103"/>
      <c r="L3309" s="103">
        <v>3.9800000000000002E-2</v>
      </c>
      <c r="O3309" s="100"/>
    </row>
    <row r="3310" spans="2:15" x14ac:dyDescent="0.2">
      <c r="B3310" s="1">
        <v>3295</v>
      </c>
      <c r="C3310" s="101">
        <f ca="1"/>
        <v>0.93291786425284362</v>
      </c>
      <c r="D3310" s="101">
        <f t="shared" ca="1" si="192"/>
        <v>0.72855446863456175</v>
      </c>
      <c r="E3310" s="101">
        <f t="shared" ca="1" si="193"/>
        <v>0</v>
      </c>
      <c r="F3310" s="21">
        <f t="shared" ca="1" si="194"/>
        <v>0</v>
      </c>
      <c r="H3310" s="21">
        <v>3295</v>
      </c>
      <c r="I3310" s="102">
        <v>0.66777838624331465</v>
      </c>
      <c r="J3310" s="103">
        <v>1.3629763725432414E-3</v>
      </c>
      <c r="K3310" s="103"/>
      <c r="L3310" s="103">
        <v>4.2599999999999999E-2</v>
      </c>
      <c r="O3310" s="100"/>
    </row>
    <row r="3311" spans="2:15" x14ac:dyDescent="0.2">
      <c r="B3311" s="1">
        <v>3296</v>
      </c>
      <c r="C3311" s="101">
        <f ca="1"/>
        <v>0.24453244747027339</v>
      </c>
      <c r="D3311" s="101">
        <f t="shared" ca="1" si="192"/>
        <v>0.68072549979773911</v>
      </c>
      <c r="E3311" s="101">
        <f t="shared" ca="1" si="193"/>
        <v>0</v>
      </c>
      <c r="F3311" s="21">
        <f t="shared" ca="1" si="194"/>
        <v>0</v>
      </c>
      <c r="H3311" s="21">
        <v>3296</v>
      </c>
      <c r="I3311" s="102">
        <v>0.66789135925290088</v>
      </c>
      <c r="J3311" s="103">
        <v>1.5633458319357153E-3</v>
      </c>
      <c r="K3311" s="103"/>
      <c r="L3311" s="103">
        <v>4.3799999999999999E-2</v>
      </c>
      <c r="O3311" s="100"/>
    </row>
    <row r="3312" spans="2:15" x14ac:dyDescent="0.2">
      <c r="B3312" s="1">
        <v>3297</v>
      </c>
      <c r="C3312" s="101">
        <f ca="1"/>
        <v>1.6589574399316211</v>
      </c>
      <c r="D3312" s="101">
        <f t="shared" ca="1" si="192"/>
        <v>0.78264553891625055</v>
      </c>
      <c r="E3312" s="101">
        <f t="shared" ca="1" si="193"/>
        <v>0</v>
      </c>
      <c r="F3312" s="21">
        <f t="shared" ca="1" si="194"/>
        <v>0</v>
      </c>
      <c r="H3312" s="21">
        <v>3297</v>
      </c>
      <c r="I3312" s="102">
        <v>0.66757952862073056</v>
      </c>
      <c r="J3312" s="103">
        <v>1.1723667871231297E-3</v>
      </c>
      <c r="K3312" s="103"/>
      <c r="L3312" s="103">
        <v>3.7600000000000001E-2</v>
      </c>
      <c r="O3312" s="100"/>
    </row>
    <row r="3313" spans="2:15" x14ac:dyDescent="0.2">
      <c r="B3313" s="1">
        <v>3298</v>
      </c>
      <c r="C3313" s="101">
        <f ca="1"/>
        <v>0.11655653112009409</v>
      </c>
      <c r="D3313" s="101">
        <f t="shared" ca="1" si="192"/>
        <v>0.67218622780226711</v>
      </c>
      <c r="E3313" s="101">
        <f t="shared" ca="1" si="193"/>
        <v>0</v>
      </c>
      <c r="F3313" s="21">
        <f t="shared" ca="1" si="194"/>
        <v>0</v>
      </c>
      <c r="H3313" s="21">
        <v>3298</v>
      </c>
      <c r="I3313" s="102">
        <v>0.66758850674207115</v>
      </c>
      <c r="J3313" s="103">
        <v>1.0827822873677386E-3</v>
      </c>
      <c r="K3313" s="103"/>
      <c r="L3313" s="103">
        <v>3.8600000000000002E-2</v>
      </c>
      <c r="O3313" s="100"/>
    </row>
    <row r="3314" spans="2:15" x14ac:dyDescent="0.2">
      <c r="B3314" s="1">
        <v>3299</v>
      </c>
      <c r="C3314" s="101">
        <f ca="1"/>
        <v>-3.7266126346043461E-2</v>
      </c>
      <c r="D3314" s="101">
        <f t="shared" ca="1" si="192"/>
        <v>0.66206395231174953</v>
      </c>
      <c r="E3314" s="101">
        <f t="shared" ca="1" si="193"/>
        <v>0</v>
      </c>
      <c r="F3314" s="21">
        <f t="shared" ca="1" si="194"/>
        <v>0</v>
      </c>
      <c r="H3314" s="21">
        <v>3299</v>
      </c>
      <c r="I3314" s="102">
        <v>0.66777667634971316</v>
      </c>
      <c r="J3314" s="103">
        <v>1.404519108964167E-3</v>
      </c>
      <c r="K3314" s="103"/>
      <c r="L3314" s="103">
        <v>4.2999999999999997E-2</v>
      </c>
      <c r="O3314" s="100"/>
    </row>
    <row r="3315" spans="2:15" x14ac:dyDescent="0.2">
      <c r="B3315" s="1">
        <v>3300</v>
      </c>
      <c r="C3315" s="101">
        <f ca="1"/>
        <v>-1.1820058001849494</v>
      </c>
      <c r="D3315" s="101">
        <f t="shared" ca="1" si="192"/>
        <v>0.59137096857229898</v>
      </c>
      <c r="E3315" s="101">
        <f t="shared" ca="1" si="193"/>
        <v>0</v>
      </c>
      <c r="F3315" s="21">
        <f t="shared" ca="1" si="194"/>
        <v>0</v>
      </c>
      <c r="H3315" s="21">
        <v>3300</v>
      </c>
      <c r="I3315" s="102">
        <v>0.66789215867011675</v>
      </c>
      <c r="J3315" s="103">
        <v>1.4227675476971078E-3</v>
      </c>
      <c r="K3315" s="103"/>
      <c r="L3315" s="103">
        <v>4.6399999999999997E-2</v>
      </c>
      <c r="O3315" s="100"/>
    </row>
    <row r="3316" spans="2:15" x14ac:dyDescent="0.2">
      <c r="B3316" s="1">
        <v>3301</v>
      </c>
      <c r="C3316" s="101">
        <f ca="1"/>
        <v>-0.38621339203217547</v>
      </c>
      <c r="D3316" s="101">
        <f t="shared" ca="1" si="192"/>
        <v>0.63966303830994653</v>
      </c>
      <c r="E3316" s="101">
        <f t="shared" ca="1" si="193"/>
        <v>0</v>
      </c>
      <c r="F3316" s="21">
        <f t="shared" ca="1" si="194"/>
        <v>0</v>
      </c>
      <c r="H3316" s="21">
        <v>3301</v>
      </c>
      <c r="I3316" s="102">
        <v>0.66768767527434381</v>
      </c>
      <c r="J3316" s="103">
        <v>1.2715098572230385E-3</v>
      </c>
      <c r="K3316" s="103"/>
      <c r="L3316" s="103">
        <v>3.9600000000000003E-2</v>
      </c>
      <c r="O3316" s="100"/>
    </row>
    <row r="3317" spans="2:15" x14ac:dyDescent="0.2">
      <c r="B3317" s="1">
        <v>3302</v>
      </c>
      <c r="C3317" s="101">
        <f ca="1"/>
        <v>-1.6668222483944515</v>
      </c>
      <c r="D3317" s="101">
        <f t="shared" ca="1" si="192"/>
        <v>0.5637554621243287</v>
      </c>
      <c r="E3317" s="101">
        <f t="shared" ca="1" si="193"/>
        <v>0</v>
      </c>
      <c r="F3317" s="21">
        <f t="shared" ca="1" si="194"/>
        <v>0</v>
      </c>
      <c r="H3317" s="21">
        <v>3302</v>
      </c>
      <c r="I3317" s="102">
        <v>0.66778933055563205</v>
      </c>
      <c r="J3317" s="103">
        <v>1.5189870957887715E-3</v>
      </c>
      <c r="K3317" s="103"/>
      <c r="L3317" s="103">
        <v>4.24E-2</v>
      </c>
      <c r="O3317" s="100"/>
    </row>
    <row r="3318" spans="2:15" x14ac:dyDescent="0.2">
      <c r="B3318" s="1">
        <v>3303</v>
      </c>
      <c r="C3318" s="101">
        <f ca="1"/>
        <v>-0.10897313593038761</v>
      </c>
      <c r="D3318" s="101">
        <f t="shared" ca="1" si="192"/>
        <v>0.65739751519662037</v>
      </c>
      <c r="E3318" s="101">
        <f t="shared" ca="1" si="193"/>
        <v>0</v>
      </c>
      <c r="F3318" s="21">
        <f t="shared" ca="1" si="194"/>
        <v>0</v>
      </c>
      <c r="H3318" s="21">
        <v>3303</v>
      </c>
      <c r="I3318" s="102">
        <v>0.66779977739549568</v>
      </c>
      <c r="J3318" s="103">
        <v>1.5018136647736683E-3</v>
      </c>
      <c r="K3318" s="103"/>
      <c r="L3318" s="103">
        <v>4.5199999999999997E-2</v>
      </c>
      <c r="O3318" s="100"/>
    </row>
    <row r="3319" spans="2:15" x14ac:dyDescent="0.2">
      <c r="B3319" s="1">
        <v>3304</v>
      </c>
      <c r="C3319" s="101">
        <f ca="1"/>
        <v>2.4225718372321721</v>
      </c>
      <c r="D3319" s="101">
        <f t="shared" ca="1" si="192"/>
        <v>0.84387453967222403</v>
      </c>
      <c r="E3319" s="101">
        <f t="shared" ca="1" si="193"/>
        <v>5.5674539672224022E-2</v>
      </c>
      <c r="F3319" s="21">
        <f t="shared" ca="1" si="194"/>
        <v>1</v>
      </c>
      <c r="H3319" s="21">
        <v>3304</v>
      </c>
      <c r="I3319" s="102">
        <v>0.66771465681672126</v>
      </c>
      <c r="J3319" s="103">
        <v>1.286972543073323E-3</v>
      </c>
      <c r="K3319" s="103"/>
      <c r="L3319" s="103">
        <v>3.7600000000000001E-2</v>
      </c>
      <c r="O3319" s="100"/>
    </row>
    <row r="3320" spans="2:15" x14ac:dyDescent="0.2">
      <c r="B3320" s="1">
        <v>3305</v>
      </c>
      <c r="C3320" s="101">
        <f ca="1"/>
        <v>-0.10007331892426082</v>
      </c>
      <c r="D3320" s="101">
        <f t="shared" ca="1" si="192"/>
        <v>0.65797489113506824</v>
      </c>
      <c r="E3320" s="101">
        <f t="shared" ca="1" si="193"/>
        <v>0</v>
      </c>
      <c r="F3320" s="21">
        <f t="shared" ca="1" si="194"/>
        <v>0</v>
      </c>
      <c r="H3320" s="21">
        <v>3305</v>
      </c>
      <c r="I3320" s="102">
        <v>0.66781702808818444</v>
      </c>
      <c r="J3320" s="103">
        <v>1.3744356840977726E-3</v>
      </c>
      <c r="K3320" s="103"/>
      <c r="L3320" s="103">
        <v>4.1000000000000002E-2</v>
      </c>
      <c r="O3320" s="100"/>
    </row>
    <row r="3321" spans="2:15" x14ac:dyDescent="0.2">
      <c r="B3321" s="1">
        <v>3306</v>
      </c>
      <c r="C3321" s="101">
        <f ca="1"/>
        <v>-0.71630454279475875</v>
      </c>
      <c r="D3321" s="101">
        <f t="shared" ca="1" si="192"/>
        <v>0.61917064074067385</v>
      </c>
      <c r="E3321" s="101">
        <f t="shared" ca="1" si="193"/>
        <v>0</v>
      </c>
      <c r="F3321" s="21">
        <f t="shared" ca="1" si="194"/>
        <v>0</v>
      </c>
      <c r="H3321" s="21">
        <v>3306</v>
      </c>
      <c r="I3321" s="102">
        <v>0.66770755351213895</v>
      </c>
      <c r="J3321" s="103">
        <v>1.3803066236709111E-3</v>
      </c>
      <c r="K3321" s="103"/>
      <c r="L3321" s="103">
        <v>3.8800000000000001E-2</v>
      </c>
      <c r="O3321" s="100"/>
    </row>
    <row r="3322" spans="2:15" x14ac:dyDescent="0.2">
      <c r="B3322" s="1">
        <v>3307</v>
      </c>
      <c r="C3322" s="101">
        <f ca="1"/>
        <v>-0.58363820232862196</v>
      </c>
      <c r="D3322" s="101">
        <f t="shared" ca="1" si="192"/>
        <v>0.62732659490479803</v>
      </c>
      <c r="E3322" s="101">
        <f t="shared" ca="1" si="193"/>
        <v>0</v>
      </c>
      <c r="F3322" s="21">
        <f t="shared" ca="1" si="194"/>
        <v>0</v>
      </c>
      <c r="H3322" s="21">
        <v>3307</v>
      </c>
      <c r="I3322" s="102">
        <v>0.66762891568398952</v>
      </c>
      <c r="J3322" s="103">
        <v>1.2605285011986188E-3</v>
      </c>
      <c r="K3322" s="103"/>
      <c r="L3322" s="103">
        <v>3.9199999999999999E-2</v>
      </c>
      <c r="O3322" s="100"/>
    </row>
    <row r="3323" spans="2:15" x14ac:dyDescent="0.2">
      <c r="B3323" s="1">
        <v>3308</v>
      </c>
      <c r="C3323" s="101">
        <f ca="1"/>
        <v>-0.39494470982759738</v>
      </c>
      <c r="D3323" s="101">
        <f t="shared" ca="1" si="192"/>
        <v>0.63911235369395725</v>
      </c>
      <c r="E3323" s="101">
        <f t="shared" ca="1" si="193"/>
        <v>0</v>
      </c>
      <c r="F3323" s="21">
        <f t="shared" ca="1" si="194"/>
        <v>0</v>
      </c>
      <c r="H3323" s="21">
        <v>3308</v>
      </c>
      <c r="I3323" s="102">
        <v>0.66780449758382321</v>
      </c>
      <c r="J3323" s="103">
        <v>1.4029418098855224E-3</v>
      </c>
      <c r="K3323" s="103"/>
      <c r="L3323" s="103">
        <v>4.1399999999999999E-2</v>
      </c>
      <c r="O3323" s="100"/>
    </row>
    <row r="3324" spans="2:15" x14ac:dyDescent="0.2">
      <c r="B3324" s="1">
        <v>3309</v>
      </c>
      <c r="C3324" s="101">
        <f ca="1"/>
        <v>0.39636298710435652</v>
      </c>
      <c r="D3324" s="101">
        <f t="shared" ca="1" si="192"/>
        <v>0.69099729325154957</v>
      </c>
      <c r="E3324" s="101">
        <f t="shared" ca="1" si="193"/>
        <v>0</v>
      </c>
      <c r="F3324" s="21">
        <f t="shared" ca="1" si="194"/>
        <v>0</v>
      </c>
      <c r="H3324" s="21">
        <v>3309</v>
      </c>
      <c r="I3324" s="102">
        <v>0.66772010385772507</v>
      </c>
      <c r="J3324" s="103">
        <v>1.2792718013948132E-3</v>
      </c>
      <c r="K3324" s="103"/>
      <c r="L3324" s="103">
        <v>3.9600000000000003E-2</v>
      </c>
      <c r="O3324" s="100"/>
    </row>
    <row r="3325" spans="2:15" x14ac:dyDescent="0.2">
      <c r="B3325" s="1">
        <v>3310</v>
      </c>
      <c r="C3325" s="101">
        <f ca="1"/>
        <v>-1.0899650729789891</v>
      </c>
      <c r="D3325" s="101">
        <f t="shared" ca="1" si="192"/>
        <v>0.59676448390939163</v>
      </c>
      <c r="E3325" s="101">
        <f t="shared" ca="1" si="193"/>
        <v>0</v>
      </c>
      <c r="F3325" s="21">
        <f t="shared" ca="1" si="194"/>
        <v>0</v>
      </c>
      <c r="H3325" s="21">
        <v>3310</v>
      </c>
      <c r="I3325" s="102">
        <v>0.6675238921263914</v>
      </c>
      <c r="J3325" s="103">
        <v>1.2129170990845092E-3</v>
      </c>
      <c r="K3325" s="103"/>
      <c r="L3325" s="103">
        <v>3.6999999999999998E-2</v>
      </c>
      <c r="O3325" s="100"/>
    </row>
    <row r="3326" spans="2:15" x14ac:dyDescent="0.2">
      <c r="B3326" s="1">
        <v>3311</v>
      </c>
      <c r="C3326" s="101">
        <f ca="1"/>
        <v>0.24292284576147297</v>
      </c>
      <c r="D3326" s="101">
        <f t="shared" ca="1" si="192"/>
        <v>0.68061742737988418</v>
      </c>
      <c r="E3326" s="101">
        <f t="shared" ca="1" si="193"/>
        <v>0</v>
      </c>
      <c r="F3326" s="21">
        <f t="shared" ca="1" si="194"/>
        <v>0</v>
      </c>
      <c r="H3326" s="21">
        <v>3311</v>
      </c>
      <c r="I3326" s="102">
        <v>0.66792400413627451</v>
      </c>
      <c r="J3326" s="103">
        <v>1.5204129795565291E-3</v>
      </c>
      <c r="K3326" s="103"/>
      <c r="L3326" s="103">
        <v>4.5999999999999999E-2</v>
      </c>
      <c r="O3326" s="100"/>
    </row>
    <row r="3327" spans="2:15" x14ac:dyDescent="0.2">
      <c r="B3327" s="1">
        <v>3312</v>
      </c>
      <c r="C3327" s="101">
        <f ca="1"/>
        <v>-1.5199418985716564</v>
      </c>
      <c r="D3327" s="101">
        <f t="shared" ca="1" si="192"/>
        <v>0.57198287499850053</v>
      </c>
      <c r="E3327" s="101">
        <f t="shared" ca="1" si="193"/>
        <v>0</v>
      </c>
      <c r="F3327" s="21">
        <f t="shared" ca="1" si="194"/>
        <v>0</v>
      </c>
      <c r="H3327" s="21">
        <v>3312</v>
      </c>
      <c r="I3327" s="102">
        <v>0.6676097232773297</v>
      </c>
      <c r="J3327" s="103">
        <v>1.2332220298203057E-3</v>
      </c>
      <c r="K3327" s="103"/>
      <c r="L3327" s="103">
        <v>3.6600000000000001E-2</v>
      </c>
      <c r="O3327" s="100"/>
    </row>
    <row r="3328" spans="2:15" x14ac:dyDescent="0.2">
      <c r="B3328" s="1">
        <v>3313</v>
      </c>
      <c r="C3328" s="101">
        <f ca="1"/>
        <v>-5.8872434413753852E-2</v>
      </c>
      <c r="D3328" s="101">
        <f t="shared" ca="1" si="192"/>
        <v>0.66065441463572339</v>
      </c>
      <c r="E3328" s="101">
        <f t="shared" ca="1" si="193"/>
        <v>0</v>
      </c>
      <c r="F3328" s="21">
        <f t="shared" ca="1" si="194"/>
        <v>0</v>
      </c>
      <c r="H3328" s="21">
        <v>3313</v>
      </c>
      <c r="I3328" s="102">
        <v>0.66764916662709761</v>
      </c>
      <c r="J3328" s="103">
        <v>1.1723042412091634E-3</v>
      </c>
      <c r="K3328" s="103"/>
      <c r="L3328" s="103">
        <v>3.8600000000000002E-2</v>
      </c>
      <c r="O3328" s="100"/>
    </row>
    <row r="3329" spans="2:15" x14ac:dyDescent="0.2">
      <c r="B3329" s="1">
        <v>3314</v>
      </c>
      <c r="C3329" s="101">
        <f ca="1"/>
        <v>0.1312673563831854</v>
      </c>
      <c r="D3329" s="101">
        <f t="shared" ca="1" si="192"/>
        <v>0.67316234212908332</v>
      </c>
      <c r="E3329" s="101">
        <f t="shared" ca="1" si="193"/>
        <v>0</v>
      </c>
      <c r="F3329" s="21">
        <f t="shared" ca="1" si="194"/>
        <v>0</v>
      </c>
      <c r="H3329" s="21">
        <v>3314</v>
      </c>
      <c r="I3329" s="102">
        <v>0.66768091776924499</v>
      </c>
      <c r="J3329" s="103">
        <v>1.2335277549171274E-3</v>
      </c>
      <c r="K3329" s="103"/>
      <c r="L3329" s="103">
        <v>3.6600000000000001E-2</v>
      </c>
      <c r="O3329" s="100"/>
    </row>
    <row r="3330" spans="2:15" x14ac:dyDescent="0.2">
      <c r="B3330" s="1">
        <v>3315</v>
      </c>
      <c r="C3330" s="101">
        <f ca="1"/>
        <v>1.5122768460844334</v>
      </c>
      <c r="D3330" s="101">
        <f t="shared" ca="1" si="192"/>
        <v>0.77140314988699898</v>
      </c>
      <c r="E3330" s="101">
        <f t="shared" ca="1" si="193"/>
        <v>0</v>
      </c>
      <c r="F3330" s="21">
        <f t="shared" ca="1" si="194"/>
        <v>0</v>
      </c>
      <c r="H3330" s="21">
        <v>3315</v>
      </c>
      <c r="I3330" s="102">
        <v>0.66779855146746581</v>
      </c>
      <c r="J3330" s="103">
        <v>1.4691429873315131E-3</v>
      </c>
      <c r="K3330" s="103"/>
      <c r="L3330" s="103">
        <v>4.4600000000000001E-2</v>
      </c>
      <c r="O3330" s="100"/>
    </row>
    <row r="3331" spans="2:15" x14ac:dyDescent="0.2">
      <c r="B3331" s="1">
        <v>3316</v>
      </c>
      <c r="C3331" s="101">
        <f ca="1"/>
        <v>-1.7116558305183383</v>
      </c>
      <c r="D3331" s="101">
        <f t="shared" ca="1" si="192"/>
        <v>0.5612677900246611</v>
      </c>
      <c r="E3331" s="101">
        <f t="shared" ca="1" si="193"/>
        <v>0</v>
      </c>
      <c r="F3331" s="21">
        <f t="shared" ca="1" si="194"/>
        <v>0</v>
      </c>
      <c r="H3331" s="21">
        <v>3316</v>
      </c>
      <c r="I3331" s="102">
        <v>0.66785460472852687</v>
      </c>
      <c r="J3331" s="103">
        <v>1.5036963363523285E-3</v>
      </c>
      <c r="K3331" s="103"/>
      <c r="L3331" s="103">
        <v>4.3999999999999997E-2</v>
      </c>
      <c r="O3331" s="100"/>
    </row>
    <row r="3332" spans="2:15" x14ac:dyDescent="0.2">
      <c r="B3332" s="1">
        <v>3317</v>
      </c>
      <c r="C3332" s="101">
        <f ca="1"/>
        <v>-0.93893749811899463</v>
      </c>
      <c r="D3332" s="101">
        <f t="shared" ca="1" si="192"/>
        <v>0.60572137096761514</v>
      </c>
      <c r="E3332" s="101">
        <f t="shared" ca="1" si="193"/>
        <v>0</v>
      </c>
      <c r="F3332" s="21">
        <f t="shared" ca="1" si="194"/>
        <v>0</v>
      </c>
      <c r="H3332" s="21">
        <v>3317</v>
      </c>
      <c r="I3332" s="102">
        <v>0.66781351868935812</v>
      </c>
      <c r="J3332" s="103">
        <v>1.4687495210423296E-3</v>
      </c>
      <c r="K3332" s="103"/>
      <c r="L3332" s="103">
        <v>4.5600000000000002E-2</v>
      </c>
      <c r="O3332" s="100"/>
    </row>
    <row r="3333" spans="2:15" x14ac:dyDescent="0.2">
      <c r="B3333" s="1">
        <v>3318</v>
      </c>
      <c r="C3333" s="101">
        <f ca="1"/>
        <v>-0.85684543451807305</v>
      </c>
      <c r="D3333" s="101">
        <f t="shared" ca="1" si="192"/>
        <v>0.61064621570733357</v>
      </c>
      <c r="E3333" s="101">
        <f t="shared" ca="1" si="193"/>
        <v>0</v>
      </c>
      <c r="F3333" s="21">
        <f t="shared" ca="1" si="194"/>
        <v>0</v>
      </c>
      <c r="H3333" s="21">
        <v>3318</v>
      </c>
      <c r="I3333" s="102">
        <v>0.66776016165014607</v>
      </c>
      <c r="J3333" s="103">
        <v>1.3444429295014697E-3</v>
      </c>
      <c r="K3333" s="103"/>
      <c r="L3333" s="103">
        <v>4.1799999999999997E-2</v>
      </c>
      <c r="O3333" s="100"/>
    </row>
    <row r="3334" spans="2:15" x14ac:dyDescent="0.2">
      <c r="B3334" s="1">
        <v>3319</v>
      </c>
      <c r="C3334" s="101">
        <f ca="1"/>
        <v>-6.5393349394772635E-2</v>
      </c>
      <c r="D3334" s="101">
        <f t="shared" ca="1" si="192"/>
        <v>0.66022959741678533</v>
      </c>
      <c r="E3334" s="101">
        <f t="shared" ca="1" si="193"/>
        <v>0</v>
      </c>
      <c r="F3334" s="21">
        <f t="shared" ca="1" si="194"/>
        <v>0</v>
      </c>
      <c r="H3334" s="21">
        <v>3319</v>
      </c>
      <c r="I3334" s="102">
        <v>0.66752174866474934</v>
      </c>
      <c r="J3334" s="103">
        <v>1.1984085398242081E-3</v>
      </c>
      <c r="K3334" s="103"/>
      <c r="L3334" s="103">
        <v>3.6799999999999999E-2</v>
      </c>
      <c r="O3334" s="100"/>
    </row>
    <row r="3335" spans="2:15" x14ac:dyDescent="0.2">
      <c r="B3335" s="1">
        <v>3320</v>
      </c>
      <c r="C3335" s="101">
        <f ca="1"/>
        <v>0.76820246569344863</v>
      </c>
      <c r="D3335" s="101">
        <f t="shared" ca="1" si="192"/>
        <v>0.71681274775100701</v>
      </c>
      <c r="E3335" s="101">
        <f t="shared" ca="1" si="193"/>
        <v>0</v>
      </c>
      <c r="F3335" s="21">
        <f t="shared" ca="1" si="194"/>
        <v>0</v>
      </c>
      <c r="H3335" s="21">
        <v>3320</v>
      </c>
      <c r="I3335" s="102">
        <v>0.66765057861255139</v>
      </c>
      <c r="J3335" s="103">
        <v>1.265406942469742E-3</v>
      </c>
      <c r="K3335" s="103"/>
      <c r="L3335" s="103">
        <v>3.9E-2</v>
      </c>
      <c r="O3335" s="100"/>
    </row>
    <row r="3336" spans="2:15" x14ac:dyDescent="0.2">
      <c r="B3336" s="1">
        <v>3321</v>
      </c>
      <c r="C3336" s="101">
        <f ca="1"/>
        <v>1.8645903381138071</v>
      </c>
      <c r="D3336" s="101">
        <f t="shared" ca="1" si="192"/>
        <v>0.79868274277109219</v>
      </c>
      <c r="E3336" s="101">
        <f t="shared" ca="1" si="193"/>
        <v>1.0482742771092179E-2</v>
      </c>
      <c r="F3336" s="21">
        <f t="shared" ca="1" si="194"/>
        <v>1</v>
      </c>
      <c r="H3336" s="21">
        <v>3321</v>
      </c>
      <c r="I3336" s="102">
        <v>0.66782886042766654</v>
      </c>
      <c r="J3336" s="103">
        <v>1.4539814231862747E-3</v>
      </c>
      <c r="K3336" s="103"/>
      <c r="L3336" s="103">
        <v>4.48E-2</v>
      </c>
      <c r="O3336" s="100"/>
    </row>
    <row r="3337" spans="2:15" x14ac:dyDescent="0.2">
      <c r="B3337" s="1">
        <v>3322</v>
      </c>
      <c r="C3337" s="101">
        <f ca="1"/>
        <v>-1.5992082511117025</v>
      </c>
      <c r="D3337" s="101">
        <f t="shared" ca="1" si="192"/>
        <v>0.56752801513548501</v>
      </c>
      <c r="E3337" s="101">
        <f t="shared" ca="1" si="193"/>
        <v>0</v>
      </c>
      <c r="F3337" s="21">
        <f t="shared" ca="1" si="194"/>
        <v>0</v>
      </c>
      <c r="H3337" s="21">
        <v>3322</v>
      </c>
      <c r="I3337" s="102">
        <v>0.66778169867208848</v>
      </c>
      <c r="J3337" s="103">
        <v>1.469359962259422E-3</v>
      </c>
      <c r="K3337" s="103"/>
      <c r="L3337" s="103">
        <v>4.4200000000000003E-2</v>
      </c>
      <c r="O3337" s="100"/>
    </row>
    <row r="3338" spans="2:15" x14ac:dyDescent="0.2">
      <c r="B3338" s="1">
        <v>3323</v>
      </c>
      <c r="C3338" s="101">
        <f ca="1"/>
        <v>-1.7678717621409512</v>
      </c>
      <c r="D3338" s="101">
        <f t="shared" ca="1" si="192"/>
        <v>0.55816405339904884</v>
      </c>
      <c r="E3338" s="101">
        <f t="shared" ca="1" si="193"/>
        <v>0</v>
      </c>
      <c r="F3338" s="21">
        <f t="shared" ca="1" si="194"/>
        <v>0</v>
      </c>
      <c r="H3338" s="21">
        <v>3323</v>
      </c>
      <c r="I3338" s="102">
        <v>0.6678483214347023</v>
      </c>
      <c r="J3338" s="103">
        <v>1.3816103847460661E-3</v>
      </c>
      <c r="K3338" s="103"/>
      <c r="L3338" s="103">
        <v>4.48E-2</v>
      </c>
      <c r="O3338" s="100"/>
    </row>
    <row r="3339" spans="2:15" x14ac:dyDescent="0.2">
      <c r="B3339" s="1">
        <v>3324</v>
      </c>
      <c r="C3339" s="101">
        <f ca="1"/>
        <v>-0.26933361317805071</v>
      </c>
      <c r="D3339" s="101">
        <f t="shared" ca="1" si="192"/>
        <v>0.64708050274367257</v>
      </c>
      <c r="E3339" s="101">
        <f t="shared" ca="1" si="193"/>
        <v>0</v>
      </c>
      <c r="F3339" s="21">
        <f t="shared" ca="1" si="194"/>
        <v>0</v>
      </c>
      <c r="H3339" s="21">
        <v>3324</v>
      </c>
      <c r="I3339" s="102">
        <v>0.66788102161437524</v>
      </c>
      <c r="J3339" s="103">
        <v>1.6830929103501375E-3</v>
      </c>
      <c r="K3339" s="103"/>
      <c r="L3339" s="103">
        <v>4.4999999999999998E-2</v>
      </c>
      <c r="O3339" s="100"/>
    </row>
    <row r="3340" spans="2:15" x14ac:dyDescent="0.2">
      <c r="B3340" s="1">
        <v>3325</v>
      </c>
      <c r="C3340" s="101">
        <f ca="1"/>
        <v>-1.1463638170556214</v>
      </c>
      <c r="D3340" s="101">
        <f t="shared" ca="1" si="192"/>
        <v>0.59345375349602625</v>
      </c>
      <c r="E3340" s="101">
        <f t="shared" ca="1" si="193"/>
        <v>0</v>
      </c>
      <c r="F3340" s="21">
        <f t="shared" ca="1" si="194"/>
        <v>0</v>
      </c>
      <c r="H3340" s="21">
        <v>3325</v>
      </c>
      <c r="I3340" s="102">
        <v>0.66769491897955169</v>
      </c>
      <c r="J3340" s="103">
        <v>1.2450470009096578E-3</v>
      </c>
      <c r="K3340" s="103"/>
      <c r="L3340" s="103">
        <v>4.2599999999999999E-2</v>
      </c>
      <c r="O3340" s="100"/>
    </row>
    <row r="3341" spans="2:15" x14ac:dyDescent="0.2">
      <c r="B3341" s="1">
        <v>3326</v>
      </c>
      <c r="C3341" s="101">
        <f ca="1"/>
        <v>1.8719763506892722</v>
      </c>
      <c r="D3341" s="101">
        <f t="shared" ca="1" si="192"/>
        <v>0.79926484794551367</v>
      </c>
      <c r="E3341" s="101">
        <f t="shared" ca="1" si="193"/>
        <v>1.1064847945513656E-2</v>
      </c>
      <c r="F3341" s="21">
        <f t="shared" ca="1" si="194"/>
        <v>1</v>
      </c>
      <c r="H3341" s="21">
        <v>3326</v>
      </c>
      <c r="I3341" s="102">
        <v>0.66782312052716875</v>
      </c>
      <c r="J3341" s="103">
        <v>1.4670393535039577E-3</v>
      </c>
      <c r="K3341" s="103"/>
      <c r="L3341" s="103">
        <v>4.2799999999999998E-2</v>
      </c>
      <c r="O3341" s="100"/>
    </row>
    <row r="3342" spans="2:15" x14ac:dyDescent="0.2">
      <c r="B3342" s="1">
        <v>3327</v>
      </c>
      <c r="C3342" s="101">
        <f ca="1"/>
        <v>1.0471920373445902</v>
      </c>
      <c r="D3342" s="101">
        <f t="shared" ca="1" si="192"/>
        <v>0.73681330822753854</v>
      </c>
      <c r="E3342" s="101">
        <f t="shared" ca="1" si="193"/>
        <v>0</v>
      </c>
      <c r="F3342" s="21">
        <f t="shared" ca="1" si="194"/>
        <v>0</v>
      </c>
      <c r="H3342" s="21">
        <v>3327</v>
      </c>
      <c r="I3342" s="102">
        <v>0.66764109506534008</v>
      </c>
      <c r="J3342" s="103">
        <v>1.1936122703174107E-3</v>
      </c>
      <c r="K3342" s="103"/>
      <c r="L3342" s="103">
        <v>4.1599999999999998E-2</v>
      </c>
      <c r="O3342" s="100"/>
    </row>
    <row r="3343" spans="2:15" x14ac:dyDescent="0.2">
      <c r="B3343" s="1">
        <v>3328</v>
      </c>
      <c r="C3343" s="101">
        <f ca="1"/>
        <v>-0.12946489632167929</v>
      </c>
      <c r="D3343" s="101">
        <f t="shared" ca="1" si="192"/>
        <v>0.65607003706720124</v>
      </c>
      <c r="E3343" s="101">
        <f t="shared" ca="1" si="193"/>
        <v>0</v>
      </c>
      <c r="F3343" s="21">
        <f t="shared" ca="1" si="194"/>
        <v>0</v>
      </c>
      <c r="H3343" s="21">
        <v>3328</v>
      </c>
      <c r="I3343" s="102">
        <v>0.66772690599817863</v>
      </c>
      <c r="J3343" s="103">
        <v>1.3850263819193858E-3</v>
      </c>
      <c r="K3343" s="103"/>
      <c r="L3343" s="103">
        <v>4.2599999999999999E-2</v>
      </c>
      <c r="O3343" s="100"/>
    </row>
    <row r="3344" spans="2:15" x14ac:dyDescent="0.2">
      <c r="B3344" s="1">
        <v>3329</v>
      </c>
      <c r="C3344" s="101">
        <f ca="1"/>
        <v>4.7633139098165737E-2</v>
      </c>
      <c r="D3344" s="101">
        <f t="shared" ref="D3344:D3407" ca="1" si="195">S0*EXP((μ-0.5*σ*σ)*T+σ*SQRT(T)*$C3344)</f>
        <v>0.66763173864796965</v>
      </c>
      <c r="E3344" s="101">
        <f t="shared" ref="E3344:E3407" ca="1" si="196">MAX(0,CP*(D3344-K))</f>
        <v>0</v>
      </c>
      <c r="F3344" s="21">
        <f t="shared" ref="F3344:F3407" ca="1" si="197">(CP*(D3344-K)&gt;0)*1</f>
        <v>0</v>
      </c>
      <c r="H3344" s="21">
        <v>3329</v>
      </c>
      <c r="I3344" s="102">
        <v>0.66768712002629504</v>
      </c>
      <c r="J3344" s="103">
        <v>1.3917593186579481E-3</v>
      </c>
      <c r="K3344" s="103"/>
      <c r="L3344" s="103">
        <v>4.1799999999999997E-2</v>
      </c>
      <c r="O3344" s="100"/>
    </row>
    <row r="3345" spans="2:15" x14ac:dyDescent="0.2">
      <c r="B3345" s="1">
        <v>3330</v>
      </c>
      <c r="C3345" s="101">
        <f ca="1"/>
        <v>-0.52845634083664772</v>
      </c>
      <c r="D3345" s="101">
        <f t="shared" ca="1" si="195"/>
        <v>0.63075057681463431</v>
      </c>
      <c r="E3345" s="101">
        <f t="shared" ca="1" si="196"/>
        <v>0</v>
      </c>
      <c r="F3345" s="21">
        <f t="shared" ca="1" si="197"/>
        <v>0</v>
      </c>
      <c r="H3345" s="21">
        <v>3330</v>
      </c>
      <c r="I3345" s="102">
        <v>0.66768842944880114</v>
      </c>
      <c r="J3345" s="103">
        <v>1.1940904445255686E-3</v>
      </c>
      <c r="K3345" s="103"/>
      <c r="L3345" s="103">
        <v>3.9199999999999999E-2</v>
      </c>
      <c r="O3345" s="100"/>
    </row>
    <row r="3346" spans="2:15" x14ac:dyDescent="0.2">
      <c r="B3346" s="1">
        <v>3331</v>
      </c>
      <c r="C3346" s="101">
        <f ca="1"/>
        <v>-0.9672949224521582</v>
      </c>
      <c r="D3346" s="101">
        <f t="shared" ca="1" si="195"/>
        <v>0.60402940620703194</v>
      </c>
      <c r="E3346" s="101">
        <f t="shared" ca="1" si="196"/>
        <v>0</v>
      </c>
      <c r="F3346" s="21">
        <f t="shared" ca="1" si="197"/>
        <v>0</v>
      </c>
      <c r="H3346" s="21">
        <v>3331</v>
      </c>
      <c r="I3346" s="102">
        <v>0.66782152583066889</v>
      </c>
      <c r="J3346" s="103">
        <v>1.3379985857917491E-3</v>
      </c>
      <c r="K3346" s="103"/>
      <c r="L3346" s="103">
        <v>4.1599999999999998E-2</v>
      </c>
      <c r="O3346" s="100"/>
    </row>
    <row r="3347" spans="2:15" x14ac:dyDescent="0.2">
      <c r="B3347" s="1">
        <v>3332</v>
      </c>
      <c r="C3347" s="101">
        <f ca="1"/>
        <v>0.67646668413169397</v>
      </c>
      <c r="D3347" s="101">
        <f t="shared" ca="1" si="195"/>
        <v>0.71035561201582398</v>
      </c>
      <c r="E3347" s="101">
        <f t="shared" ca="1" si="196"/>
        <v>0</v>
      </c>
      <c r="F3347" s="21">
        <f t="shared" ca="1" si="197"/>
        <v>0</v>
      </c>
      <c r="H3347" s="21">
        <v>3332</v>
      </c>
      <c r="I3347" s="102">
        <v>0.6677567373060771</v>
      </c>
      <c r="J3347" s="103">
        <v>1.4059335222775503E-3</v>
      </c>
      <c r="K3347" s="103"/>
      <c r="L3347" s="103">
        <v>3.7199999999999997E-2</v>
      </c>
      <c r="O3347" s="100"/>
    </row>
    <row r="3348" spans="2:15" x14ac:dyDescent="0.2">
      <c r="B3348" s="1">
        <v>3333</v>
      </c>
      <c r="C3348" s="101">
        <f ca="1"/>
        <v>-0.90432258682034661</v>
      </c>
      <c r="D3348" s="101">
        <f t="shared" ca="1" si="195"/>
        <v>0.60779311774546518</v>
      </c>
      <c r="E3348" s="101">
        <f t="shared" ca="1" si="196"/>
        <v>0</v>
      </c>
      <c r="F3348" s="21">
        <f t="shared" ca="1" si="197"/>
        <v>0</v>
      </c>
      <c r="H3348" s="21">
        <v>3333</v>
      </c>
      <c r="I3348" s="102">
        <v>0.66782416084506802</v>
      </c>
      <c r="J3348" s="103">
        <v>1.4480707028360657E-3</v>
      </c>
      <c r="K3348" s="103"/>
      <c r="L3348" s="103">
        <v>4.24E-2</v>
      </c>
      <c r="O3348" s="100"/>
    </row>
    <row r="3349" spans="2:15" x14ac:dyDescent="0.2">
      <c r="B3349" s="1">
        <v>3334</v>
      </c>
      <c r="C3349" s="101">
        <f ca="1"/>
        <v>1.0490549835554834</v>
      </c>
      <c r="D3349" s="101">
        <f t="shared" ca="1" si="195"/>
        <v>0.73694872004966339</v>
      </c>
      <c r="E3349" s="101">
        <f t="shared" ca="1" si="196"/>
        <v>0</v>
      </c>
      <c r="F3349" s="21">
        <f t="shared" ca="1" si="197"/>
        <v>0</v>
      </c>
      <c r="H3349" s="21">
        <v>3334</v>
      </c>
      <c r="I3349" s="102">
        <v>0.6678200488818925</v>
      </c>
      <c r="J3349" s="103">
        <v>1.3565841508585399E-3</v>
      </c>
      <c r="K3349" s="103"/>
      <c r="L3349" s="103">
        <v>4.2200000000000001E-2</v>
      </c>
      <c r="O3349" s="100"/>
    </row>
    <row r="3350" spans="2:15" x14ac:dyDescent="0.2">
      <c r="B3350" s="1">
        <v>3335</v>
      </c>
      <c r="C3350" s="101">
        <f ca="1"/>
        <v>0.2244717814251378</v>
      </c>
      <c r="D3350" s="101">
        <f t="shared" ca="1" si="195"/>
        <v>0.67937980477571847</v>
      </c>
      <c r="E3350" s="101">
        <f t="shared" ca="1" si="196"/>
        <v>0</v>
      </c>
      <c r="F3350" s="21">
        <f t="shared" ca="1" si="197"/>
        <v>0</v>
      </c>
      <c r="H3350" s="21">
        <v>3335</v>
      </c>
      <c r="I3350" s="102">
        <v>0.66772310934238333</v>
      </c>
      <c r="J3350" s="103">
        <v>1.2422984128514748E-3</v>
      </c>
      <c r="K3350" s="103"/>
      <c r="L3350" s="103">
        <v>4.2599999999999999E-2</v>
      </c>
      <c r="O3350" s="100"/>
    </row>
    <row r="3351" spans="2:15" x14ac:dyDescent="0.2">
      <c r="B3351" s="1">
        <v>3336</v>
      </c>
      <c r="C3351" s="101">
        <f ca="1"/>
        <v>0.34649773150939533</v>
      </c>
      <c r="D3351" s="101">
        <f t="shared" ca="1" si="195"/>
        <v>0.68760677851999341</v>
      </c>
      <c r="E3351" s="101">
        <f t="shared" ca="1" si="196"/>
        <v>0</v>
      </c>
      <c r="F3351" s="21">
        <f t="shared" ca="1" si="197"/>
        <v>0</v>
      </c>
      <c r="H3351" s="21">
        <v>3336</v>
      </c>
      <c r="I3351" s="102">
        <v>0.66770075008453955</v>
      </c>
      <c r="J3351" s="103">
        <v>1.3609781686955455E-3</v>
      </c>
      <c r="K3351" s="103"/>
      <c r="L3351" s="103">
        <v>4.1599999999999998E-2</v>
      </c>
      <c r="O3351" s="100"/>
    </row>
    <row r="3352" spans="2:15" x14ac:dyDescent="0.2">
      <c r="B3352" s="1">
        <v>3337</v>
      </c>
      <c r="C3352" s="101">
        <f ca="1"/>
        <v>-0.30752971646894622</v>
      </c>
      <c r="D3352" s="101">
        <f t="shared" ca="1" si="195"/>
        <v>0.64464707540924426</v>
      </c>
      <c r="E3352" s="101">
        <f t="shared" ca="1" si="196"/>
        <v>0</v>
      </c>
      <c r="F3352" s="21">
        <f t="shared" ca="1" si="197"/>
        <v>0</v>
      </c>
      <c r="H3352" s="21">
        <v>3337</v>
      </c>
      <c r="I3352" s="102">
        <v>0.6677244270038194</v>
      </c>
      <c r="J3352" s="103">
        <v>1.4947067102503433E-3</v>
      </c>
      <c r="K3352" s="103"/>
      <c r="L3352" s="103">
        <v>4.2599999999999999E-2</v>
      </c>
      <c r="O3352" s="100"/>
    </row>
    <row r="3353" spans="2:15" x14ac:dyDescent="0.2">
      <c r="B3353" s="1">
        <v>3338</v>
      </c>
      <c r="C3353" s="101">
        <f ca="1"/>
        <v>0.62191763139025447</v>
      </c>
      <c r="D3353" s="101">
        <f t="shared" ca="1" si="195"/>
        <v>0.70654360202760669</v>
      </c>
      <c r="E3353" s="101">
        <f t="shared" ca="1" si="196"/>
        <v>0</v>
      </c>
      <c r="F3353" s="21">
        <f t="shared" ca="1" si="197"/>
        <v>0</v>
      </c>
      <c r="H3353" s="21">
        <v>3338</v>
      </c>
      <c r="I3353" s="102">
        <v>0.66772816242896504</v>
      </c>
      <c r="J3353" s="103">
        <v>1.3249643197344194E-3</v>
      </c>
      <c r="K3353" s="103"/>
      <c r="L3353" s="103">
        <v>4.2200000000000001E-2</v>
      </c>
      <c r="O3353" s="100"/>
    </row>
    <row r="3354" spans="2:15" x14ac:dyDescent="0.2">
      <c r="B3354" s="1">
        <v>3339</v>
      </c>
      <c r="C3354" s="101">
        <f ca="1"/>
        <v>-0.20097405760368453</v>
      </c>
      <c r="D3354" s="101">
        <f t="shared" ca="1" si="195"/>
        <v>0.65145856072484398</v>
      </c>
      <c r="E3354" s="101">
        <f t="shared" ca="1" si="196"/>
        <v>0</v>
      </c>
      <c r="F3354" s="21">
        <f t="shared" ca="1" si="197"/>
        <v>0</v>
      </c>
      <c r="H3354" s="21">
        <v>3339</v>
      </c>
      <c r="I3354" s="102">
        <v>0.66771049355463896</v>
      </c>
      <c r="J3354" s="103">
        <v>1.4233133815889144E-3</v>
      </c>
      <c r="K3354" s="103"/>
      <c r="L3354" s="103">
        <v>4.2799999999999998E-2</v>
      </c>
      <c r="O3354" s="100"/>
    </row>
    <row r="3355" spans="2:15" x14ac:dyDescent="0.2">
      <c r="B3355" s="1">
        <v>3340</v>
      </c>
      <c r="C3355" s="101">
        <f ca="1"/>
        <v>-0.65836866634131397</v>
      </c>
      <c r="D3355" s="101">
        <f t="shared" ca="1" si="195"/>
        <v>0.6227192517600969</v>
      </c>
      <c r="E3355" s="101">
        <f t="shared" ca="1" si="196"/>
        <v>0</v>
      </c>
      <c r="F3355" s="21">
        <f t="shared" ca="1" si="197"/>
        <v>0</v>
      </c>
      <c r="H3355" s="21">
        <v>3340</v>
      </c>
      <c r="I3355" s="102">
        <v>0.66764997263207548</v>
      </c>
      <c r="J3355" s="103">
        <v>1.2144731124407182E-3</v>
      </c>
      <c r="K3355" s="103"/>
      <c r="L3355" s="103">
        <v>3.6999999999999998E-2</v>
      </c>
      <c r="O3355" s="100"/>
    </row>
    <row r="3356" spans="2:15" x14ac:dyDescent="0.2">
      <c r="B3356" s="1">
        <v>3341</v>
      </c>
      <c r="C3356" s="101">
        <f ca="1"/>
        <v>-0.19125997173640352</v>
      </c>
      <c r="D3356" s="101">
        <f t="shared" ca="1" si="195"/>
        <v>0.65208309420275001</v>
      </c>
      <c r="E3356" s="101">
        <f t="shared" ca="1" si="196"/>
        <v>0</v>
      </c>
      <c r="F3356" s="21">
        <f t="shared" ca="1" si="197"/>
        <v>0</v>
      </c>
      <c r="H3356" s="21">
        <v>3341</v>
      </c>
      <c r="I3356" s="102">
        <v>0.66773742862181551</v>
      </c>
      <c r="J3356" s="103">
        <v>1.3299302789604082E-3</v>
      </c>
      <c r="K3356" s="103"/>
      <c r="L3356" s="103">
        <v>4.1000000000000002E-2</v>
      </c>
      <c r="O3356" s="100"/>
    </row>
    <row r="3357" spans="2:15" x14ac:dyDescent="0.2">
      <c r="B3357" s="1">
        <v>3342</v>
      </c>
      <c r="C3357" s="101">
        <f ca="1"/>
        <v>0.72420996229632029</v>
      </c>
      <c r="D3357" s="101">
        <f t="shared" ca="1" si="195"/>
        <v>0.71370889341225829</v>
      </c>
      <c r="E3357" s="101">
        <f t="shared" ca="1" si="196"/>
        <v>0</v>
      </c>
      <c r="F3357" s="21">
        <f t="shared" ca="1" si="197"/>
        <v>0</v>
      </c>
      <c r="H3357" s="21">
        <v>3342</v>
      </c>
      <c r="I3357" s="102">
        <v>0.66786360582026461</v>
      </c>
      <c r="J3357" s="103">
        <v>1.3654988268706027E-3</v>
      </c>
      <c r="K3357" s="103"/>
      <c r="L3357" s="103">
        <v>4.36E-2</v>
      </c>
      <c r="O3357" s="100"/>
    </row>
    <row r="3358" spans="2:15" x14ac:dyDescent="0.2">
      <c r="B3358" s="1">
        <v>3343</v>
      </c>
      <c r="C3358" s="101">
        <f ca="1"/>
        <v>0.53644138527366647</v>
      </c>
      <c r="D3358" s="101">
        <f t="shared" ca="1" si="195"/>
        <v>0.700611430211591</v>
      </c>
      <c r="E3358" s="101">
        <f t="shared" ca="1" si="196"/>
        <v>0</v>
      </c>
      <c r="F3358" s="21">
        <f t="shared" ca="1" si="197"/>
        <v>0</v>
      </c>
      <c r="H3358" s="21">
        <v>3343</v>
      </c>
      <c r="I3358" s="102">
        <v>0.66771286009575403</v>
      </c>
      <c r="J3358" s="103">
        <v>1.4273228368306681E-3</v>
      </c>
      <c r="K3358" s="103"/>
      <c r="L3358" s="103">
        <v>4.2799999999999998E-2</v>
      </c>
      <c r="O3358" s="100"/>
    </row>
    <row r="3359" spans="2:15" x14ac:dyDescent="0.2">
      <c r="B3359" s="1">
        <v>3344</v>
      </c>
      <c r="C3359" s="101">
        <f ca="1"/>
        <v>-0.92530249940838283</v>
      </c>
      <c r="D3359" s="101">
        <f t="shared" ca="1" si="195"/>
        <v>0.60653659878194965</v>
      </c>
      <c r="E3359" s="101">
        <f t="shared" ca="1" si="196"/>
        <v>0</v>
      </c>
      <c r="F3359" s="21">
        <f t="shared" ca="1" si="197"/>
        <v>0</v>
      </c>
      <c r="H3359" s="21">
        <v>3344</v>
      </c>
      <c r="I3359" s="102">
        <v>0.66760964901820352</v>
      </c>
      <c r="J3359" s="103">
        <v>1.2696364737556009E-3</v>
      </c>
      <c r="K3359" s="103"/>
      <c r="L3359" s="103">
        <v>3.5999999999999997E-2</v>
      </c>
      <c r="O3359" s="100"/>
    </row>
    <row r="3360" spans="2:15" x14ac:dyDescent="0.2">
      <c r="B3360" s="1">
        <v>3345</v>
      </c>
      <c r="C3360" s="101">
        <f ca="1"/>
        <v>-1.2628746419245922</v>
      </c>
      <c r="D3360" s="101">
        <f t="shared" ca="1" si="195"/>
        <v>0.58667236191379024</v>
      </c>
      <c r="E3360" s="101">
        <f t="shared" ca="1" si="196"/>
        <v>0</v>
      </c>
      <c r="F3360" s="21">
        <f t="shared" ca="1" si="197"/>
        <v>0</v>
      </c>
      <c r="H3360" s="21">
        <v>3345</v>
      </c>
      <c r="I3360" s="102">
        <v>0.66765365991072689</v>
      </c>
      <c r="J3360" s="103">
        <v>1.2597903182747735E-3</v>
      </c>
      <c r="K3360" s="103"/>
      <c r="L3360" s="103">
        <v>0.04</v>
      </c>
      <c r="O3360" s="100"/>
    </row>
    <row r="3361" spans="2:15" x14ac:dyDescent="0.2">
      <c r="B3361" s="1">
        <v>3346</v>
      </c>
      <c r="C3361" s="101">
        <f ca="1"/>
        <v>0.11775805765249438</v>
      </c>
      <c r="D3361" s="101">
        <f t="shared" ca="1" si="195"/>
        <v>0.67226590014962151</v>
      </c>
      <c r="E3361" s="101">
        <f t="shared" ca="1" si="196"/>
        <v>0</v>
      </c>
      <c r="F3361" s="21">
        <f t="shared" ca="1" si="197"/>
        <v>0</v>
      </c>
      <c r="H3361" s="21">
        <v>3346</v>
      </c>
      <c r="I3361" s="102">
        <v>0.66774656267409704</v>
      </c>
      <c r="J3361" s="103">
        <v>1.2998231248167928E-3</v>
      </c>
      <c r="K3361" s="103"/>
      <c r="L3361" s="103">
        <v>4.3200000000000002E-2</v>
      </c>
      <c r="O3361" s="100"/>
    </row>
    <row r="3362" spans="2:15" x14ac:dyDescent="0.2">
      <c r="B3362" s="1">
        <v>3347</v>
      </c>
      <c r="C3362" s="101">
        <f ca="1"/>
        <v>1.5477440771663047</v>
      </c>
      <c r="D3362" s="101">
        <f t="shared" ca="1" si="195"/>
        <v>0.77410665696998915</v>
      </c>
      <c r="E3362" s="101">
        <f t="shared" ca="1" si="196"/>
        <v>0</v>
      </c>
      <c r="F3362" s="21">
        <f t="shared" ca="1" si="197"/>
        <v>0</v>
      </c>
      <c r="H3362" s="21">
        <v>3347</v>
      </c>
      <c r="I3362" s="102">
        <v>0.66781989532358066</v>
      </c>
      <c r="J3362" s="103">
        <v>1.5033261626762515E-3</v>
      </c>
      <c r="K3362" s="103"/>
      <c r="L3362" s="103">
        <v>4.4200000000000003E-2</v>
      </c>
      <c r="O3362" s="100"/>
    </row>
    <row r="3363" spans="2:15" x14ac:dyDescent="0.2">
      <c r="B3363" s="1">
        <v>3348</v>
      </c>
      <c r="C3363" s="101">
        <f ca="1"/>
        <v>-0.21435477541989817</v>
      </c>
      <c r="D3363" s="101">
        <f t="shared" ca="1" si="195"/>
        <v>0.65059927315630406</v>
      </c>
      <c r="E3363" s="101">
        <f t="shared" ca="1" si="196"/>
        <v>0</v>
      </c>
      <c r="F3363" s="21">
        <f t="shared" ca="1" si="197"/>
        <v>0</v>
      </c>
      <c r="H3363" s="21">
        <v>3348</v>
      </c>
      <c r="I3363" s="102">
        <v>0.66782187201074517</v>
      </c>
      <c r="J3363" s="103">
        <v>1.4561129810958919E-3</v>
      </c>
      <c r="K3363" s="103"/>
      <c r="L3363" s="103">
        <v>4.4400000000000002E-2</v>
      </c>
      <c r="O3363" s="100"/>
    </row>
    <row r="3364" spans="2:15" x14ac:dyDescent="0.2">
      <c r="B3364" s="1">
        <v>3349</v>
      </c>
      <c r="C3364" s="101">
        <f ca="1"/>
        <v>1.1762145407779707</v>
      </c>
      <c r="D3364" s="101">
        <f t="shared" ca="1" si="195"/>
        <v>0.74625062167246436</v>
      </c>
      <c r="E3364" s="101">
        <f t="shared" ca="1" si="196"/>
        <v>0</v>
      </c>
      <c r="F3364" s="21">
        <f t="shared" ca="1" si="197"/>
        <v>0</v>
      </c>
      <c r="H3364" s="21">
        <v>3349</v>
      </c>
      <c r="I3364" s="102">
        <v>0.66781861820133648</v>
      </c>
      <c r="J3364" s="103">
        <v>1.3643972678348485E-3</v>
      </c>
      <c r="K3364" s="103"/>
      <c r="L3364" s="103">
        <v>4.36E-2</v>
      </c>
      <c r="O3364" s="100"/>
    </row>
    <row r="3365" spans="2:15" x14ac:dyDescent="0.2">
      <c r="B3365" s="1">
        <v>3350</v>
      </c>
      <c r="C3365" s="101">
        <f ca="1"/>
        <v>-0.46943045678616369</v>
      </c>
      <c r="D3365" s="101">
        <f t="shared" ca="1" si="195"/>
        <v>0.63443376566331056</v>
      </c>
      <c r="E3365" s="101">
        <f t="shared" ca="1" si="196"/>
        <v>0</v>
      </c>
      <c r="F3365" s="21">
        <f t="shared" ca="1" si="197"/>
        <v>0</v>
      </c>
      <c r="H3365" s="21">
        <v>3350</v>
      </c>
      <c r="I3365" s="102">
        <v>0.66777728240355538</v>
      </c>
      <c r="J3365" s="103">
        <v>1.4298476834712795E-3</v>
      </c>
      <c r="K3365" s="103"/>
      <c r="L3365" s="103">
        <v>4.4600000000000001E-2</v>
      </c>
      <c r="O3365" s="100"/>
    </row>
    <row r="3366" spans="2:15" x14ac:dyDescent="0.2">
      <c r="B3366" s="1">
        <v>3351</v>
      </c>
      <c r="C3366" s="101">
        <f ca="1"/>
        <v>-1.7478415393412106</v>
      </c>
      <c r="D3366" s="101">
        <f t="shared" ca="1" si="195"/>
        <v>0.55926796845450744</v>
      </c>
      <c r="E3366" s="101">
        <f t="shared" ca="1" si="196"/>
        <v>0</v>
      </c>
      <c r="F3366" s="21">
        <f t="shared" ca="1" si="197"/>
        <v>0</v>
      </c>
      <c r="H3366" s="21">
        <v>3351</v>
      </c>
      <c r="I3366" s="102">
        <v>0.66772410554774109</v>
      </c>
      <c r="J3366" s="103">
        <v>1.4530437028909297E-3</v>
      </c>
      <c r="K3366" s="103"/>
      <c r="L3366" s="103">
        <v>4.1399999999999999E-2</v>
      </c>
      <c r="O3366" s="100"/>
    </row>
    <row r="3367" spans="2:15" x14ac:dyDescent="0.2">
      <c r="B3367" s="1">
        <v>3352</v>
      </c>
      <c r="C3367" s="101">
        <f ca="1"/>
        <v>-0.27239111372456498</v>
      </c>
      <c r="D3367" s="101">
        <f t="shared" ca="1" si="195"/>
        <v>0.64688537533855395</v>
      </c>
      <c r="E3367" s="101">
        <f t="shared" ca="1" si="196"/>
        <v>0</v>
      </c>
      <c r="F3367" s="21">
        <f t="shared" ca="1" si="197"/>
        <v>0</v>
      </c>
      <c r="H3367" s="21">
        <v>3352</v>
      </c>
      <c r="I3367" s="102">
        <v>0.66758598532361635</v>
      </c>
      <c r="J3367" s="103">
        <v>1.2367628415652693E-3</v>
      </c>
      <c r="K3367" s="103"/>
      <c r="L3367" s="103">
        <v>3.8800000000000001E-2</v>
      </c>
      <c r="O3367" s="100"/>
    </row>
    <row r="3368" spans="2:15" x14ac:dyDescent="0.2">
      <c r="B3368" s="1">
        <v>3353</v>
      </c>
      <c r="C3368" s="101">
        <f ca="1"/>
        <v>1.422414140519727</v>
      </c>
      <c r="D3368" s="101">
        <f t="shared" ca="1" si="195"/>
        <v>0.76459551290280203</v>
      </c>
      <c r="E3368" s="101">
        <f t="shared" ca="1" si="196"/>
        <v>0</v>
      </c>
      <c r="F3368" s="21">
        <f t="shared" ca="1" si="197"/>
        <v>0</v>
      </c>
      <c r="H3368" s="21">
        <v>3353</v>
      </c>
      <c r="I3368" s="102">
        <v>0.66794238866588407</v>
      </c>
      <c r="J3368" s="103">
        <v>1.5383627705413056E-3</v>
      </c>
      <c r="K3368" s="103"/>
      <c r="L3368" s="103">
        <v>4.82E-2</v>
      </c>
      <c r="O3368" s="100"/>
    </row>
    <row r="3369" spans="2:15" x14ac:dyDescent="0.2">
      <c r="B3369" s="1">
        <v>3354</v>
      </c>
      <c r="C3369" s="101">
        <f ca="1"/>
        <v>-1.4971167031811692</v>
      </c>
      <c r="D3369" s="101">
        <f t="shared" ca="1" si="195"/>
        <v>0.57327214961209905</v>
      </c>
      <c r="E3369" s="101">
        <f t="shared" ca="1" si="196"/>
        <v>0</v>
      </c>
      <c r="F3369" s="21">
        <f t="shared" ca="1" si="197"/>
        <v>0</v>
      </c>
      <c r="H3369" s="21">
        <v>3354</v>
      </c>
      <c r="I3369" s="102">
        <v>0.66770229102693046</v>
      </c>
      <c r="J3369" s="103">
        <v>1.299167486242822E-3</v>
      </c>
      <c r="K3369" s="103"/>
      <c r="L3369" s="103">
        <v>3.9800000000000002E-2</v>
      </c>
      <c r="O3369" s="100"/>
    </row>
    <row r="3370" spans="2:15" x14ac:dyDescent="0.2">
      <c r="B3370" s="1">
        <v>3355</v>
      </c>
      <c r="C3370" s="101">
        <f ca="1"/>
        <v>-0.95576756407719066</v>
      </c>
      <c r="D3370" s="101">
        <f t="shared" ca="1" si="195"/>
        <v>0.60471662292138229</v>
      </c>
      <c r="E3370" s="101">
        <f t="shared" ca="1" si="196"/>
        <v>0</v>
      </c>
      <c r="F3370" s="21">
        <f t="shared" ca="1" si="197"/>
        <v>0</v>
      </c>
      <c r="H3370" s="21">
        <v>3355</v>
      </c>
      <c r="I3370" s="102">
        <v>0.66774830823698061</v>
      </c>
      <c r="J3370" s="103">
        <v>1.5010997138564959E-3</v>
      </c>
      <c r="K3370" s="103"/>
      <c r="L3370" s="103">
        <v>4.4600000000000001E-2</v>
      </c>
      <c r="O3370" s="100"/>
    </row>
    <row r="3371" spans="2:15" x14ac:dyDescent="0.2">
      <c r="B3371" s="1">
        <v>3356</v>
      </c>
      <c r="C3371" s="101">
        <f ca="1"/>
        <v>1.6572499255860988</v>
      </c>
      <c r="D3371" s="101">
        <f t="shared" ca="1" si="195"/>
        <v>0.78251372787162521</v>
      </c>
      <c r="E3371" s="101">
        <f t="shared" ca="1" si="196"/>
        <v>0</v>
      </c>
      <c r="F3371" s="21">
        <f t="shared" ca="1" si="197"/>
        <v>0</v>
      </c>
      <c r="H3371" s="21">
        <v>3356</v>
      </c>
      <c r="I3371" s="102">
        <v>0.66754118324744216</v>
      </c>
      <c r="J3371" s="103">
        <v>1.0381637022620299E-3</v>
      </c>
      <c r="K3371" s="103"/>
      <c r="L3371" s="103">
        <v>3.78E-2</v>
      </c>
      <c r="O3371" s="100"/>
    </row>
    <row r="3372" spans="2:15" x14ac:dyDescent="0.2">
      <c r="B3372" s="1">
        <v>3357</v>
      </c>
      <c r="C3372" s="101">
        <f ca="1"/>
        <v>-0.45497481205615675</v>
      </c>
      <c r="D3372" s="101">
        <f t="shared" ca="1" si="195"/>
        <v>0.63533906526222295</v>
      </c>
      <c r="E3372" s="101">
        <f t="shared" ca="1" si="196"/>
        <v>0</v>
      </c>
      <c r="F3372" s="21">
        <f t="shared" ca="1" si="197"/>
        <v>0</v>
      </c>
      <c r="H3372" s="21">
        <v>3357</v>
      </c>
      <c r="I3372" s="102">
        <v>0.6676708585468325</v>
      </c>
      <c r="J3372" s="103">
        <v>1.2271700027935871E-3</v>
      </c>
      <c r="K3372" s="103"/>
      <c r="L3372" s="103">
        <v>4.02E-2</v>
      </c>
      <c r="O3372" s="100"/>
    </row>
    <row r="3373" spans="2:15" x14ac:dyDescent="0.2">
      <c r="B3373" s="1">
        <v>3358</v>
      </c>
      <c r="C3373" s="101">
        <f ca="1"/>
        <v>-0.88439494654244666</v>
      </c>
      <c r="D3373" s="101">
        <f t="shared" ca="1" si="195"/>
        <v>0.60898902490963436</v>
      </c>
      <c r="E3373" s="101">
        <f t="shared" ca="1" si="196"/>
        <v>0</v>
      </c>
      <c r="F3373" s="21">
        <f t="shared" ca="1" si="197"/>
        <v>0</v>
      </c>
      <c r="H3373" s="21">
        <v>3358</v>
      </c>
      <c r="I3373" s="102">
        <v>0.66766893406361838</v>
      </c>
      <c r="J3373" s="103">
        <v>1.3217771578938385E-3</v>
      </c>
      <c r="K3373" s="103"/>
      <c r="L3373" s="103">
        <v>3.8600000000000002E-2</v>
      </c>
      <c r="O3373" s="100"/>
    </row>
    <row r="3374" spans="2:15" x14ac:dyDescent="0.2">
      <c r="B3374" s="1">
        <v>3359</v>
      </c>
      <c r="C3374" s="101">
        <f ca="1"/>
        <v>-0.40939204631792397</v>
      </c>
      <c r="D3374" s="101">
        <f t="shared" ca="1" si="195"/>
        <v>0.63820220053619414</v>
      </c>
      <c r="E3374" s="101">
        <f t="shared" ca="1" si="196"/>
        <v>0</v>
      </c>
      <c r="F3374" s="21">
        <f t="shared" ca="1" si="197"/>
        <v>0</v>
      </c>
      <c r="H3374" s="21">
        <v>3359</v>
      </c>
      <c r="I3374" s="102">
        <v>0.66785749686152618</v>
      </c>
      <c r="J3374" s="103">
        <v>1.5768061060876574E-3</v>
      </c>
      <c r="K3374" s="103"/>
      <c r="L3374" s="103">
        <v>4.4400000000000002E-2</v>
      </c>
      <c r="O3374" s="100"/>
    </row>
    <row r="3375" spans="2:15" x14ac:dyDescent="0.2">
      <c r="B3375" s="1">
        <v>3360</v>
      </c>
      <c r="C3375" s="101">
        <f ca="1"/>
        <v>-5.4963642679903758E-2</v>
      </c>
      <c r="D3375" s="101">
        <f t="shared" ca="1" si="195"/>
        <v>0.66090919121425784</v>
      </c>
      <c r="E3375" s="101">
        <f t="shared" ca="1" si="196"/>
        <v>0</v>
      </c>
      <c r="F3375" s="21">
        <f t="shared" ca="1" si="197"/>
        <v>0</v>
      </c>
      <c r="H3375" s="21">
        <v>3360</v>
      </c>
      <c r="I3375" s="102">
        <v>0.66773332329104229</v>
      </c>
      <c r="J3375" s="103">
        <v>1.427904710519363E-3</v>
      </c>
      <c r="K3375" s="103"/>
      <c r="L3375" s="103">
        <v>4.1000000000000002E-2</v>
      </c>
      <c r="O3375" s="100"/>
    </row>
    <row r="3376" spans="2:15" x14ac:dyDescent="0.2">
      <c r="B3376" s="1">
        <v>3361</v>
      </c>
      <c r="C3376" s="101">
        <f ca="1"/>
        <v>0.31263321889023277</v>
      </c>
      <c r="D3376" s="101">
        <f t="shared" ca="1" si="195"/>
        <v>0.68531370111964873</v>
      </c>
      <c r="E3376" s="101">
        <f t="shared" ca="1" si="196"/>
        <v>0</v>
      </c>
      <c r="F3376" s="21">
        <f t="shared" ca="1" si="197"/>
        <v>0</v>
      </c>
      <c r="H3376" s="21">
        <v>3361</v>
      </c>
      <c r="I3376" s="102">
        <v>0.66778175035793252</v>
      </c>
      <c r="J3376" s="103">
        <v>1.5536538881314665E-3</v>
      </c>
      <c r="K3376" s="103"/>
      <c r="L3376" s="103">
        <v>4.4999999999999998E-2</v>
      </c>
      <c r="O3376" s="100"/>
    </row>
    <row r="3377" spans="2:15" x14ac:dyDescent="0.2">
      <c r="B3377" s="1">
        <v>3362</v>
      </c>
      <c r="C3377" s="101">
        <f ca="1"/>
        <v>0.35696243360429192</v>
      </c>
      <c r="D3377" s="101">
        <f t="shared" ca="1" si="195"/>
        <v>0.68831692851696202</v>
      </c>
      <c r="E3377" s="101">
        <f t="shared" ca="1" si="196"/>
        <v>0</v>
      </c>
      <c r="F3377" s="21">
        <f t="shared" ca="1" si="197"/>
        <v>0</v>
      </c>
      <c r="H3377" s="21">
        <v>3362</v>
      </c>
      <c r="I3377" s="102">
        <v>0.66803066470528949</v>
      </c>
      <c r="J3377" s="103">
        <v>1.6497309618792504E-3</v>
      </c>
      <c r="K3377" s="103"/>
      <c r="L3377" s="103">
        <v>4.5400000000000003E-2</v>
      </c>
      <c r="O3377" s="100"/>
    </row>
    <row r="3378" spans="2:15" x14ac:dyDescent="0.2">
      <c r="B3378" s="1">
        <v>3363</v>
      </c>
      <c r="C3378" s="101">
        <f ca="1"/>
        <v>0.29496392156633011</v>
      </c>
      <c r="D3378" s="101">
        <f t="shared" ca="1" si="195"/>
        <v>0.68412029247885098</v>
      </c>
      <c r="E3378" s="101">
        <f t="shared" ca="1" si="196"/>
        <v>0</v>
      </c>
      <c r="F3378" s="21">
        <f t="shared" ca="1" si="197"/>
        <v>0</v>
      </c>
      <c r="H3378" s="21">
        <v>3363</v>
      </c>
      <c r="I3378" s="102">
        <v>0.66778388458787452</v>
      </c>
      <c r="J3378" s="103">
        <v>1.5167525493280606E-3</v>
      </c>
      <c r="K3378" s="103"/>
      <c r="L3378" s="103">
        <v>4.2799999999999998E-2</v>
      </c>
      <c r="O3378" s="100"/>
    </row>
    <row r="3379" spans="2:15" x14ac:dyDescent="0.2">
      <c r="B3379" s="1">
        <v>3364</v>
      </c>
      <c r="C3379" s="101">
        <f ca="1"/>
        <v>-0.87623727756402692</v>
      </c>
      <c r="D3379" s="101">
        <f t="shared" ca="1" si="195"/>
        <v>0.60947926541534392</v>
      </c>
      <c r="E3379" s="101">
        <f t="shared" ca="1" si="196"/>
        <v>0</v>
      </c>
      <c r="F3379" s="21">
        <f t="shared" ca="1" si="197"/>
        <v>0</v>
      </c>
      <c r="H3379" s="21">
        <v>3364</v>
      </c>
      <c r="I3379" s="102">
        <v>0.6676220798434922</v>
      </c>
      <c r="J3379" s="103">
        <v>1.2758248688045032E-3</v>
      </c>
      <c r="K3379" s="103"/>
      <c r="L3379" s="103">
        <v>3.5400000000000001E-2</v>
      </c>
      <c r="O3379" s="100"/>
    </row>
    <row r="3380" spans="2:15" x14ac:dyDescent="0.2">
      <c r="B3380" s="1">
        <v>3365</v>
      </c>
      <c r="C3380" s="101">
        <f ca="1"/>
        <v>0.1420738950845104</v>
      </c>
      <c r="D3380" s="101">
        <f t="shared" ca="1" si="195"/>
        <v>0.67388029646039793</v>
      </c>
      <c r="E3380" s="101">
        <f t="shared" ca="1" si="196"/>
        <v>0</v>
      </c>
      <c r="F3380" s="21">
        <f t="shared" ca="1" si="197"/>
        <v>0</v>
      </c>
      <c r="H3380" s="21">
        <v>3365</v>
      </c>
      <c r="I3380" s="102">
        <v>0.66772472887354206</v>
      </c>
      <c r="J3380" s="103">
        <v>1.3822117724483431E-3</v>
      </c>
      <c r="K3380" s="103"/>
      <c r="L3380" s="103">
        <v>4.0399999999999998E-2</v>
      </c>
      <c r="O3380" s="100"/>
    </row>
    <row r="3381" spans="2:15" x14ac:dyDescent="0.2">
      <c r="B3381" s="1">
        <v>3366</v>
      </c>
      <c r="C3381" s="101">
        <f ca="1"/>
        <v>1.4700542392196263</v>
      </c>
      <c r="D3381" s="101">
        <f t="shared" ca="1" si="195"/>
        <v>0.76819701883178015</v>
      </c>
      <c r="E3381" s="101">
        <f t="shared" ca="1" si="196"/>
        <v>0</v>
      </c>
      <c r="F3381" s="21">
        <f t="shared" ca="1" si="197"/>
        <v>0</v>
      </c>
      <c r="H3381" s="21">
        <v>3366</v>
      </c>
      <c r="I3381" s="102">
        <v>0.66783890883407615</v>
      </c>
      <c r="J3381" s="103">
        <v>1.4779609683597753E-3</v>
      </c>
      <c r="K3381" s="103"/>
      <c r="L3381" s="103">
        <v>4.3999999999999997E-2</v>
      </c>
      <c r="O3381" s="100"/>
    </row>
    <row r="3382" spans="2:15" x14ac:dyDescent="0.2">
      <c r="B3382" s="1">
        <v>3367</v>
      </c>
      <c r="C3382" s="101">
        <f ca="1"/>
        <v>0.92144959819101546</v>
      </c>
      <c r="D3382" s="101">
        <f t="shared" ca="1" si="195"/>
        <v>0.72773076105295476</v>
      </c>
      <c r="E3382" s="101">
        <f t="shared" ca="1" si="196"/>
        <v>0</v>
      </c>
      <c r="F3382" s="21">
        <f t="shared" ca="1" si="197"/>
        <v>0</v>
      </c>
      <c r="H3382" s="21">
        <v>3367</v>
      </c>
      <c r="I3382" s="102">
        <v>0.66765263329224811</v>
      </c>
      <c r="J3382" s="103">
        <v>1.2908253257108435E-3</v>
      </c>
      <c r="K3382" s="103"/>
      <c r="L3382" s="103">
        <v>3.9600000000000003E-2</v>
      </c>
      <c r="O3382" s="100"/>
    </row>
    <row r="3383" spans="2:15" x14ac:dyDescent="0.2">
      <c r="B3383" s="1">
        <v>3368</v>
      </c>
      <c r="C3383" s="101">
        <f ca="1"/>
        <v>0.90353675364113883</v>
      </c>
      <c r="D3383" s="101">
        <f t="shared" ca="1" si="195"/>
        <v>0.72644603491659165</v>
      </c>
      <c r="E3383" s="101">
        <f t="shared" ca="1" si="196"/>
        <v>0</v>
      </c>
      <c r="F3383" s="21">
        <f t="shared" ca="1" si="197"/>
        <v>0</v>
      </c>
      <c r="H3383" s="21">
        <v>3368</v>
      </c>
      <c r="I3383" s="102">
        <v>0.66771678935017587</v>
      </c>
      <c r="J3383" s="103">
        <v>1.2015495344002624E-3</v>
      </c>
      <c r="K3383" s="103"/>
      <c r="L3383" s="103">
        <v>3.9399999999999998E-2</v>
      </c>
      <c r="O3383" s="100"/>
    </row>
    <row r="3384" spans="2:15" x14ac:dyDescent="0.2">
      <c r="B3384" s="1">
        <v>3369</v>
      </c>
      <c r="C3384" s="101">
        <f ca="1"/>
        <v>-6.2306384315621993E-2</v>
      </c>
      <c r="D3384" s="101">
        <f t="shared" ca="1" si="195"/>
        <v>0.66043066947811591</v>
      </c>
      <c r="E3384" s="101">
        <f t="shared" ca="1" si="196"/>
        <v>0</v>
      </c>
      <c r="F3384" s="21">
        <f t="shared" ca="1" si="197"/>
        <v>0</v>
      </c>
      <c r="H3384" s="21">
        <v>3369</v>
      </c>
      <c r="I3384" s="102">
        <v>0.66749367287619821</v>
      </c>
      <c r="J3384" s="103">
        <v>1.1858843386450743E-3</v>
      </c>
      <c r="K3384" s="103"/>
      <c r="L3384" s="103">
        <v>3.56E-2</v>
      </c>
      <c r="O3384" s="100"/>
    </row>
    <row r="3385" spans="2:15" x14ac:dyDescent="0.2">
      <c r="B3385" s="1">
        <v>3370</v>
      </c>
      <c r="C3385" s="101">
        <f ca="1"/>
        <v>-0.89347967811851525</v>
      </c>
      <c r="D3385" s="101">
        <f t="shared" ca="1" si="195"/>
        <v>0.60844353604586665</v>
      </c>
      <c r="E3385" s="101">
        <f t="shared" ca="1" si="196"/>
        <v>0</v>
      </c>
      <c r="F3385" s="21">
        <f t="shared" ca="1" si="197"/>
        <v>0</v>
      </c>
      <c r="H3385" s="21">
        <v>3370</v>
      </c>
      <c r="I3385" s="102">
        <v>0.66772641499173291</v>
      </c>
      <c r="J3385" s="103">
        <v>1.3160422787577544E-3</v>
      </c>
      <c r="K3385" s="103"/>
      <c r="L3385" s="103">
        <v>0.04</v>
      </c>
      <c r="O3385" s="100"/>
    </row>
    <row r="3386" spans="2:15" x14ac:dyDescent="0.2">
      <c r="B3386" s="1">
        <v>3371</v>
      </c>
      <c r="C3386" s="101">
        <f ca="1"/>
        <v>0.40439876611144804</v>
      </c>
      <c r="D3386" s="101">
        <f t="shared" ca="1" si="195"/>
        <v>0.69154523623086428</v>
      </c>
      <c r="E3386" s="101">
        <f t="shared" ca="1" si="196"/>
        <v>0</v>
      </c>
      <c r="F3386" s="21">
        <f t="shared" ca="1" si="197"/>
        <v>0</v>
      </c>
      <c r="H3386" s="21">
        <v>3371</v>
      </c>
      <c r="I3386" s="102">
        <v>0.66768016431358224</v>
      </c>
      <c r="J3386" s="103">
        <v>1.1590183916184286E-3</v>
      </c>
      <c r="K3386" s="103"/>
      <c r="L3386" s="103">
        <v>3.9E-2</v>
      </c>
      <c r="O3386" s="100"/>
    </row>
    <row r="3387" spans="2:15" x14ac:dyDescent="0.2">
      <c r="B3387" s="1">
        <v>3372</v>
      </c>
      <c r="C3387" s="101">
        <f ca="1"/>
        <v>0.6149484131247549</v>
      </c>
      <c r="D3387" s="101">
        <f t="shared" ca="1" si="195"/>
        <v>0.70605805347375084</v>
      </c>
      <c r="E3387" s="101">
        <f t="shared" ca="1" si="196"/>
        <v>0</v>
      </c>
      <c r="F3387" s="21">
        <f t="shared" ca="1" si="197"/>
        <v>0</v>
      </c>
      <c r="H3387" s="21">
        <v>3372</v>
      </c>
      <c r="I3387" s="102">
        <v>0.66776473307528017</v>
      </c>
      <c r="J3387" s="103">
        <v>1.4370279045748718E-3</v>
      </c>
      <c r="K3387" s="103"/>
      <c r="L3387" s="103">
        <v>4.3400000000000001E-2</v>
      </c>
      <c r="O3387" s="100"/>
    </row>
    <row r="3388" spans="2:15" x14ac:dyDescent="0.2">
      <c r="B3388" s="1">
        <v>3373</v>
      </c>
      <c r="C3388" s="101">
        <f ca="1"/>
        <v>0.31792466221133892</v>
      </c>
      <c r="D3388" s="101">
        <f t="shared" ca="1" si="195"/>
        <v>0.6856714973904835</v>
      </c>
      <c r="E3388" s="101">
        <f t="shared" ca="1" si="196"/>
        <v>0</v>
      </c>
      <c r="F3388" s="21">
        <f t="shared" ca="1" si="197"/>
        <v>0</v>
      </c>
      <c r="H3388" s="21">
        <v>3373</v>
      </c>
      <c r="I3388" s="102">
        <v>0.66770558940943925</v>
      </c>
      <c r="J3388" s="103">
        <v>1.5105426728343847E-3</v>
      </c>
      <c r="K3388" s="103"/>
      <c r="L3388" s="103">
        <v>4.1000000000000002E-2</v>
      </c>
      <c r="O3388" s="100"/>
    </row>
    <row r="3389" spans="2:15" x14ac:dyDescent="0.2">
      <c r="B3389" s="1">
        <v>3374</v>
      </c>
      <c r="C3389" s="101">
        <f ca="1"/>
        <v>1.3323690556091059</v>
      </c>
      <c r="D3389" s="101">
        <f t="shared" ca="1" si="195"/>
        <v>0.75783431968343407</v>
      </c>
      <c r="E3389" s="101">
        <f t="shared" ca="1" si="196"/>
        <v>0</v>
      </c>
      <c r="F3389" s="21">
        <f t="shared" ca="1" si="197"/>
        <v>0</v>
      </c>
      <c r="H3389" s="21">
        <v>3374</v>
      </c>
      <c r="I3389" s="102">
        <v>0.66779302747552183</v>
      </c>
      <c r="J3389" s="103">
        <v>1.3624281463767364E-3</v>
      </c>
      <c r="K3389" s="103"/>
      <c r="L3389" s="103">
        <v>4.1799999999999997E-2</v>
      </c>
      <c r="O3389" s="100"/>
    </row>
    <row r="3390" spans="2:15" x14ac:dyDescent="0.2">
      <c r="B3390" s="1">
        <v>3375</v>
      </c>
      <c r="C3390" s="101">
        <f ca="1"/>
        <v>0.49108194877120631</v>
      </c>
      <c r="D3390" s="101">
        <f t="shared" ca="1" si="195"/>
        <v>0.69748367650900678</v>
      </c>
      <c r="E3390" s="101">
        <f t="shared" ca="1" si="196"/>
        <v>0</v>
      </c>
      <c r="F3390" s="21">
        <f t="shared" ca="1" si="197"/>
        <v>0</v>
      </c>
      <c r="H3390" s="21">
        <v>3375</v>
      </c>
      <c r="I3390" s="102">
        <v>0.66770276751220314</v>
      </c>
      <c r="J3390" s="103">
        <v>1.2112516294329376E-3</v>
      </c>
      <c r="K3390" s="103"/>
      <c r="L3390" s="103">
        <v>4.3200000000000002E-2</v>
      </c>
      <c r="O3390" s="100"/>
    </row>
    <row r="3391" spans="2:15" x14ac:dyDescent="0.2">
      <c r="B3391" s="1">
        <v>3376</v>
      </c>
      <c r="C3391" s="101">
        <f ca="1"/>
        <v>-0.45651243489992216</v>
      </c>
      <c r="D3391" s="101">
        <f t="shared" ca="1" si="195"/>
        <v>0.63524270868870536</v>
      </c>
      <c r="E3391" s="101">
        <f t="shared" ca="1" si="196"/>
        <v>0</v>
      </c>
      <c r="F3391" s="21">
        <f t="shared" ca="1" si="197"/>
        <v>0</v>
      </c>
      <c r="H3391" s="21">
        <v>3376</v>
      </c>
      <c r="I3391" s="102">
        <v>0.66778360400272863</v>
      </c>
      <c r="J3391" s="103">
        <v>1.4741745952169172E-3</v>
      </c>
      <c r="K3391" s="103"/>
      <c r="L3391" s="103">
        <v>4.24E-2</v>
      </c>
      <c r="O3391" s="100"/>
    </row>
    <row r="3392" spans="2:15" x14ac:dyDescent="0.2">
      <c r="B3392" s="1">
        <v>3377</v>
      </c>
      <c r="C3392" s="101">
        <f ca="1"/>
        <v>-0.12610329570500597</v>
      </c>
      <c r="D3392" s="101">
        <f t="shared" ca="1" si="195"/>
        <v>0.65628762120209116</v>
      </c>
      <c r="E3392" s="101">
        <f t="shared" ca="1" si="196"/>
        <v>0</v>
      </c>
      <c r="F3392" s="21">
        <f t="shared" ca="1" si="197"/>
        <v>0</v>
      </c>
      <c r="H3392" s="21">
        <v>3377</v>
      </c>
      <c r="I3392" s="102">
        <v>0.66774857916836328</v>
      </c>
      <c r="J3392" s="103">
        <v>1.3594973065412263E-3</v>
      </c>
      <c r="K3392" s="103"/>
      <c r="L3392" s="103">
        <v>4.24E-2</v>
      </c>
      <c r="O3392" s="100"/>
    </row>
    <row r="3393" spans="2:15" x14ac:dyDescent="0.2">
      <c r="B3393" s="1">
        <v>3378</v>
      </c>
      <c r="C3393" s="101">
        <f ca="1"/>
        <v>0.95858333595357481</v>
      </c>
      <c r="D3393" s="101">
        <f t="shared" ca="1" si="195"/>
        <v>0.73040126937469863</v>
      </c>
      <c r="E3393" s="101">
        <f t="shared" ca="1" si="196"/>
        <v>0</v>
      </c>
      <c r="F3393" s="21">
        <f t="shared" ca="1" si="197"/>
        <v>0</v>
      </c>
      <c r="H3393" s="21">
        <v>3378</v>
      </c>
      <c r="I3393" s="102">
        <v>0.6678067318908425</v>
      </c>
      <c r="J3393" s="103">
        <v>1.4962640779267048E-3</v>
      </c>
      <c r="K3393" s="103"/>
      <c r="L3393" s="103">
        <v>4.3799999999999999E-2</v>
      </c>
      <c r="O3393" s="100"/>
    </row>
    <row r="3394" spans="2:15" x14ac:dyDescent="0.2">
      <c r="B3394" s="1">
        <v>3379</v>
      </c>
      <c r="C3394" s="101">
        <f ca="1"/>
        <v>-0.44688256802515497</v>
      </c>
      <c r="D3394" s="101">
        <f t="shared" ca="1" si="195"/>
        <v>0.63584641422431198</v>
      </c>
      <c r="E3394" s="101">
        <f t="shared" ca="1" si="196"/>
        <v>0</v>
      </c>
      <c r="F3394" s="21">
        <f t="shared" ca="1" si="197"/>
        <v>0</v>
      </c>
      <c r="H3394" s="21">
        <v>3379</v>
      </c>
      <c r="I3394" s="102">
        <v>0.66787880187746884</v>
      </c>
      <c r="J3394" s="103">
        <v>1.5617644514352323E-3</v>
      </c>
      <c r="K3394" s="103"/>
      <c r="L3394" s="103">
        <v>4.5600000000000002E-2</v>
      </c>
      <c r="O3394" s="100"/>
    </row>
    <row r="3395" spans="2:15" x14ac:dyDescent="0.2">
      <c r="B3395" s="1">
        <v>3380</v>
      </c>
      <c r="C3395" s="101">
        <f ca="1"/>
        <v>0.20149460679489115</v>
      </c>
      <c r="D3395" s="101">
        <f t="shared" ca="1" si="195"/>
        <v>0.67784173482479182</v>
      </c>
      <c r="E3395" s="101">
        <f t="shared" ca="1" si="196"/>
        <v>0</v>
      </c>
      <c r="F3395" s="21">
        <f t="shared" ca="1" si="197"/>
        <v>0</v>
      </c>
      <c r="H3395" s="21">
        <v>3380</v>
      </c>
      <c r="I3395" s="102">
        <v>0.66767659182628636</v>
      </c>
      <c r="J3395" s="103">
        <v>1.4148129579436214E-3</v>
      </c>
      <c r="K3395" s="103"/>
      <c r="L3395" s="103">
        <v>4.6600000000000003E-2</v>
      </c>
      <c r="O3395" s="100"/>
    </row>
    <row r="3396" spans="2:15" x14ac:dyDescent="0.2">
      <c r="B3396" s="1">
        <v>3381</v>
      </c>
      <c r="C3396" s="101">
        <f ca="1"/>
        <v>0.79228797322272204</v>
      </c>
      <c r="D3396" s="101">
        <f t="shared" ca="1" si="195"/>
        <v>0.71851779504314606</v>
      </c>
      <c r="E3396" s="101">
        <f t="shared" ca="1" si="196"/>
        <v>0</v>
      </c>
      <c r="F3396" s="21">
        <f t="shared" ca="1" si="197"/>
        <v>0</v>
      </c>
      <c r="H3396" s="21">
        <v>3381</v>
      </c>
      <c r="I3396" s="102">
        <v>0.66774190514370735</v>
      </c>
      <c r="J3396" s="103">
        <v>1.2847120235156811E-3</v>
      </c>
      <c r="K3396" s="103"/>
      <c r="L3396" s="103">
        <v>4.0800000000000003E-2</v>
      </c>
      <c r="O3396" s="100"/>
    </row>
    <row r="3397" spans="2:15" x14ac:dyDescent="0.2">
      <c r="B3397" s="1">
        <v>3382</v>
      </c>
      <c r="C3397" s="101">
        <f ca="1"/>
        <v>-1.9131052176642012</v>
      </c>
      <c r="D3397" s="101">
        <f t="shared" ca="1" si="195"/>
        <v>0.55022478849307754</v>
      </c>
      <c r="E3397" s="101">
        <f t="shared" ca="1" si="196"/>
        <v>0</v>
      </c>
      <c r="F3397" s="21">
        <f t="shared" ca="1" si="197"/>
        <v>0</v>
      </c>
      <c r="H3397" s="21">
        <v>3382</v>
      </c>
      <c r="I3397" s="102">
        <v>0.66783067931093998</v>
      </c>
      <c r="J3397" s="103">
        <v>1.4359416946340873E-3</v>
      </c>
      <c r="K3397" s="103"/>
      <c r="L3397" s="103">
        <v>4.3999999999999997E-2</v>
      </c>
      <c r="O3397" s="100"/>
    </row>
    <row r="3398" spans="2:15" x14ac:dyDescent="0.2">
      <c r="B3398" s="1">
        <v>3383</v>
      </c>
      <c r="C3398" s="101">
        <f ca="1"/>
        <v>-1.1144442459077617</v>
      </c>
      <c r="D3398" s="101">
        <f t="shared" ca="1" si="195"/>
        <v>0.59532524007179788</v>
      </c>
      <c r="E3398" s="101">
        <f t="shared" ca="1" si="196"/>
        <v>0</v>
      </c>
      <c r="F3398" s="21">
        <f t="shared" ca="1" si="197"/>
        <v>0</v>
      </c>
      <c r="H3398" s="21">
        <v>3383</v>
      </c>
      <c r="I3398" s="102">
        <v>0.66766976011449619</v>
      </c>
      <c r="J3398" s="103">
        <v>1.404455927006227E-3</v>
      </c>
      <c r="K3398" s="103"/>
      <c r="L3398" s="103">
        <v>3.9399999999999998E-2</v>
      </c>
      <c r="O3398" s="100"/>
    </row>
    <row r="3399" spans="2:15" x14ac:dyDescent="0.2">
      <c r="B3399" s="1">
        <v>3384</v>
      </c>
      <c r="C3399" s="101">
        <f ca="1"/>
        <v>0.46169278910736716</v>
      </c>
      <c r="D3399" s="101">
        <f t="shared" ca="1" si="195"/>
        <v>0.69546460936148269</v>
      </c>
      <c r="E3399" s="101">
        <f t="shared" ca="1" si="196"/>
        <v>0</v>
      </c>
      <c r="F3399" s="21">
        <f t="shared" ca="1" si="197"/>
        <v>0</v>
      </c>
      <c r="H3399" s="21">
        <v>3384</v>
      </c>
      <c r="I3399" s="102">
        <v>0.66782263301942568</v>
      </c>
      <c r="J3399" s="103">
        <v>1.5553962708644352E-3</v>
      </c>
      <c r="K3399" s="103"/>
      <c r="L3399" s="103">
        <v>4.5400000000000003E-2</v>
      </c>
      <c r="O3399" s="100"/>
    </row>
    <row r="3400" spans="2:15" x14ac:dyDescent="0.2">
      <c r="B3400" s="1">
        <v>3385</v>
      </c>
      <c r="C3400" s="101">
        <f ca="1"/>
        <v>-0.49821825650310581</v>
      </c>
      <c r="D3400" s="101">
        <f t="shared" ca="1" si="195"/>
        <v>0.6326347407311097</v>
      </c>
      <c r="E3400" s="101">
        <f t="shared" ca="1" si="196"/>
        <v>0</v>
      </c>
      <c r="F3400" s="21">
        <f t="shared" ca="1" si="197"/>
        <v>0</v>
      </c>
      <c r="H3400" s="21">
        <v>3385</v>
      </c>
      <c r="I3400" s="102">
        <v>0.66772112311929654</v>
      </c>
      <c r="J3400" s="103">
        <v>1.3683732349987943E-3</v>
      </c>
      <c r="K3400" s="103"/>
      <c r="L3400" s="103">
        <v>4.0399999999999998E-2</v>
      </c>
      <c r="O3400" s="100"/>
    </row>
    <row r="3401" spans="2:15" x14ac:dyDescent="0.2">
      <c r="B3401" s="1">
        <v>3386</v>
      </c>
      <c r="C3401" s="101">
        <f ca="1"/>
        <v>-0.16906400239323216</v>
      </c>
      <c r="D3401" s="101">
        <f t="shared" ca="1" si="195"/>
        <v>0.65351235497923077</v>
      </c>
      <c r="E3401" s="101">
        <f t="shared" ca="1" si="196"/>
        <v>0</v>
      </c>
      <c r="F3401" s="21">
        <f t="shared" ca="1" si="197"/>
        <v>0</v>
      </c>
      <c r="H3401" s="21">
        <v>3386</v>
      </c>
      <c r="I3401" s="102">
        <v>0.66779248099502997</v>
      </c>
      <c r="J3401" s="103">
        <v>1.3424363138044668E-3</v>
      </c>
      <c r="K3401" s="103"/>
      <c r="L3401" s="103">
        <v>3.9399999999999998E-2</v>
      </c>
      <c r="O3401" s="100"/>
    </row>
    <row r="3402" spans="2:15" x14ac:dyDescent="0.2">
      <c r="B3402" s="1">
        <v>3387</v>
      </c>
      <c r="C3402" s="101">
        <f ca="1"/>
        <v>1.0204763486122854</v>
      </c>
      <c r="D3402" s="101">
        <f t="shared" ca="1" si="195"/>
        <v>0.73487416172732889</v>
      </c>
      <c r="E3402" s="101">
        <f t="shared" ca="1" si="196"/>
        <v>0</v>
      </c>
      <c r="F3402" s="21">
        <f t="shared" ca="1" si="197"/>
        <v>0</v>
      </c>
      <c r="H3402" s="21">
        <v>3387</v>
      </c>
      <c r="I3402" s="102">
        <v>0.66782734803009436</v>
      </c>
      <c r="J3402" s="103">
        <v>1.5398942686552261E-3</v>
      </c>
      <c r="K3402" s="103"/>
      <c r="L3402" s="103">
        <v>4.4600000000000001E-2</v>
      </c>
      <c r="O3402" s="100"/>
    </row>
    <row r="3403" spans="2:15" x14ac:dyDescent="0.2">
      <c r="B3403" s="1">
        <v>3388</v>
      </c>
      <c r="C3403" s="101">
        <f ca="1"/>
        <v>-0.56036338410298159</v>
      </c>
      <c r="D3403" s="101">
        <f t="shared" ca="1" si="195"/>
        <v>0.62876850284294628</v>
      </c>
      <c r="E3403" s="101">
        <f t="shared" ca="1" si="196"/>
        <v>0</v>
      </c>
      <c r="F3403" s="21">
        <f t="shared" ca="1" si="197"/>
        <v>0</v>
      </c>
      <c r="H3403" s="21">
        <v>3388</v>
      </c>
      <c r="I3403" s="102">
        <v>0.66761716960559248</v>
      </c>
      <c r="J3403" s="103">
        <v>1.0330593312244496E-3</v>
      </c>
      <c r="K3403" s="103"/>
      <c r="L3403" s="103">
        <v>4.02E-2</v>
      </c>
      <c r="O3403" s="100"/>
    </row>
    <row r="3404" spans="2:15" x14ac:dyDescent="0.2">
      <c r="B3404" s="1">
        <v>3389</v>
      </c>
      <c r="C3404" s="101">
        <f ca="1"/>
        <v>0.40626903546108512</v>
      </c>
      <c r="D3404" s="101">
        <f t="shared" ca="1" si="195"/>
        <v>0.69167282830943544</v>
      </c>
      <c r="E3404" s="101">
        <f t="shared" ca="1" si="196"/>
        <v>0</v>
      </c>
      <c r="F3404" s="21">
        <f t="shared" ca="1" si="197"/>
        <v>0</v>
      </c>
      <c r="H3404" s="21">
        <v>3389</v>
      </c>
      <c r="I3404" s="102">
        <v>0.66775071960270049</v>
      </c>
      <c r="J3404" s="103">
        <v>1.3718061285462784E-3</v>
      </c>
      <c r="K3404" s="103"/>
      <c r="L3404" s="103">
        <v>4.1000000000000002E-2</v>
      </c>
      <c r="O3404" s="100"/>
    </row>
    <row r="3405" spans="2:15" x14ac:dyDescent="0.2">
      <c r="B3405" s="1">
        <v>3390</v>
      </c>
      <c r="C3405" s="101">
        <f ca="1"/>
        <v>2.0081671188041543</v>
      </c>
      <c r="D3405" s="101">
        <f t="shared" ca="1" si="195"/>
        <v>0.81007464929177431</v>
      </c>
      <c r="E3405" s="101">
        <f t="shared" ca="1" si="196"/>
        <v>2.1874649291774295E-2</v>
      </c>
      <c r="F3405" s="21">
        <f t="shared" ca="1" si="197"/>
        <v>1</v>
      </c>
      <c r="H3405" s="21">
        <v>3390</v>
      </c>
      <c r="I3405" s="102">
        <v>0.66775519163355401</v>
      </c>
      <c r="J3405" s="103">
        <v>1.4355150058795437E-3</v>
      </c>
      <c r="K3405" s="103"/>
      <c r="L3405" s="103">
        <v>4.1599999999999998E-2</v>
      </c>
      <c r="O3405" s="100"/>
    </row>
    <row r="3406" spans="2:15" x14ac:dyDescent="0.2">
      <c r="B3406" s="1">
        <v>3391</v>
      </c>
      <c r="C3406" s="101">
        <f ca="1"/>
        <v>0.18736696503544381</v>
      </c>
      <c r="D3406" s="101">
        <f t="shared" ca="1" si="195"/>
        <v>0.67689777327469181</v>
      </c>
      <c r="E3406" s="101">
        <f t="shared" ca="1" si="196"/>
        <v>0</v>
      </c>
      <c r="F3406" s="21">
        <f t="shared" ca="1" si="197"/>
        <v>0</v>
      </c>
      <c r="H3406" s="21">
        <v>3391</v>
      </c>
      <c r="I3406" s="102">
        <v>0.66773918212191685</v>
      </c>
      <c r="J3406" s="103">
        <v>1.292097515856578E-3</v>
      </c>
      <c r="K3406" s="103"/>
      <c r="L3406" s="103">
        <v>4.1599999999999998E-2</v>
      </c>
      <c r="O3406" s="100"/>
    </row>
    <row r="3407" spans="2:15" x14ac:dyDescent="0.2">
      <c r="B3407" s="1">
        <v>3392</v>
      </c>
      <c r="C3407" s="101">
        <f ca="1"/>
        <v>0.31921612883110612</v>
      </c>
      <c r="D3407" s="101">
        <f t="shared" ca="1" si="195"/>
        <v>0.68575885200388209</v>
      </c>
      <c r="E3407" s="101">
        <f t="shared" ca="1" si="196"/>
        <v>0</v>
      </c>
      <c r="F3407" s="21">
        <f t="shared" ca="1" si="197"/>
        <v>0</v>
      </c>
      <c r="H3407" s="21">
        <v>3392</v>
      </c>
      <c r="I3407" s="102">
        <v>0.66775522267712684</v>
      </c>
      <c r="J3407" s="103">
        <v>1.5063147514636369E-3</v>
      </c>
      <c r="K3407" s="103"/>
      <c r="L3407" s="103">
        <v>4.1599999999999998E-2</v>
      </c>
      <c r="O3407" s="100"/>
    </row>
    <row r="3408" spans="2:15" x14ac:dyDescent="0.2">
      <c r="B3408" s="1">
        <v>3393</v>
      </c>
      <c r="C3408" s="101">
        <f ca="1"/>
        <v>1.1495481372310723</v>
      </c>
      <c r="D3408" s="101">
        <f t="shared" ref="D3408:D3471" ca="1" si="198">S0*EXP((μ-0.5*σ*σ)*T+σ*SQRT(T)*$C3408)</f>
        <v>0.74429025643489244</v>
      </c>
      <c r="E3408" s="101">
        <f t="shared" ref="E3408:E3471" ca="1" si="199">MAX(0,CP*(D3408-K))</f>
        <v>0</v>
      </c>
      <c r="F3408" s="21">
        <f t="shared" ref="F3408:F3471" ca="1" si="200">(CP*(D3408-K)&gt;0)*1</f>
        <v>0</v>
      </c>
      <c r="H3408" s="21">
        <v>3393</v>
      </c>
      <c r="I3408" s="102">
        <v>0.66763081350115749</v>
      </c>
      <c r="J3408" s="103">
        <v>1.2004355087749442E-3</v>
      </c>
      <c r="K3408" s="103"/>
      <c r="L3408" s="103">
        <v>4.1000000000000002E-2</v>
      </c>
      <c r="O3408" s="100"/>
    </row>
    <row r="3409" spans="2:15" x14ac:dyDescent="0.2">
      <c r="B3409" s="1">
        <v>3394</v>
      </c>
      <c r="C3409" s="101">
        <f ca="1"/>
        <v>-2.287384024436768</v>
      </c>
      <c r="D3409" s="101">
        <f t="shared" ca="1" si="198"/>
        <v>0.53028125912111923</v>
      </c>
      <c r="E3409" s="101">
        <f t="shared" ca="1" si="199"/>
        <v>0</v>
      </c>
      <c r="F3409" s="21">
        <f t="shared" ca="1" si="200"/>
        <v>0</v>
      </c>
      <c r="H3409" s="21">
        <v>3394</v>
      </c>
      <c r="I3409" s="102">
        <v>0.66785719500681728</v>
      </c>
      <c r="J3409" s="103">
        <v>1.5442158224365824E-3</v>
      </c>
      <c r="K3409" s="103"/>
      <c r="L3409" s="103">
        <v>4.2999999999999997E-2</v>
      </c>
      <c r="O3409" s="100"/>
    </row>
    <row r="3410" spans="2:15" x14ac:dyDescent="0.2">
      <c r="B3410" s="1">
        <v>3395</v>
      </c>
      <c r="C3410" s="101">
        <f ca="1"/>
        <v>0.12583245187505271</v>
      </c>
      <c r="D3410" s="101">
        <f t="shared" ca="1" si="198"/>
        <v>0.67280155235267847</v>
      </c>
      <c r="E3410" s="101">
        <f t="shared" ca="1" si="199"/>
        <v>0</v>
      </c>
      <c r="F3410" s="21">
        <f t="shared" ca="1" si="200"/>
        <v>0</v>
      </c>
      <c r="H3410" s="21">
        <v>3395</v>
      </c>
      <c r="I3410" s="102">
        <v>0.66770633893917897</v>
      </c>
      <c r="J3410" s="103">
        <v>1.2528164765545618E-3</v>
      </c>
      <c r="K3410" s="103"/>
      <c r="L3410" s="103">
        <v>4.02E-2</v>
      </c>
      <c r="O3410" s="100"/>
    </row>
    <row r="3411" spans="2:15" x14ac:dyDescent="0.2">
      <c r="B3411" s="1">
        <v>3396</v>
      </c>
      <c r="C3411" s="101">
        <f ca="1"/>
        <v>1.0672103989515356</v>
      </c>
      <c r="D3411" s="101">
        <f t="shared" ca="1" si="198"/>
        <v>0.73826968501993795</v>
      </c>
      <c r="E3411" s="101">
        <f t="shared" ca="1" si="199"/>
        <v>0</v>
      </c>
      <c r="F3411" s="21">
        <f t="shared" ca="1" si="200"/>
        <v>0</v>
      </c>
      <c r="H3411" s="21">
        <v>3396</v>
      </c>
      <c r="I3411" s="102">
        <v>0.66760688785627775</v>
      </c>
      <c r="J3411" s="103">
        <v>1.1894106156263211E-3</v>
      </c>
      <c r="K3411" s="103"/>
      <c r="L3411" s="103">
        <v>3.56E-2</v>
      </c>
      <c r="O3411" s="100"/>
    </row>
    <row r="3412" spans="2:15" x14ac:dyDescent="0.2">
      <c r="B3412" s="1">
        <v>3397</v>
      </c>
      <c r="C3412" s="101">
        <f ca="1"/>
        <v>0.16865481150508968</v>
      </c>
      <c r="D3412" s="101">
        <f t="shared" ca="1" si="198"/>
        <v>0.67564951339715806</v>
      </c>
      <c r="E3412" s="101">
        <f t="shared" ca="1" si="199"/>
        <v>0</v>
      </c>
      <c r="F3412" s="21">
        <f t="shared" ca="1" si="200"/>
        <v>0</v>
      </c>
      <c r="H3412" s="21">
        <v>3397</v>
      </c>
      <c r="I3412" s="102">
        <v>0.66772097040731671</v>
      </c>
      <c r="J3412" s="103">
        <v>1.3498763904631211E-3</v>
      </c>
      <c r="K3412" s="103"/>
      <c r="L3412" s="103">
        <v>3.6999999999999998E-2</v>
      </c>
      <c r="O3412" s="100"/>
    </row>
    <row r="3413" spans="2:15" x14ac:dyDescent="0.2">
      <c r="B3413" s="1">
        <v>3398</v>
      </c>
      <c r="C3413" s="101">
        <f ca="1"/>
        <v>0.32873515587554569</v>
      </c>
      <c r="D3413" s="101">
        <f t="shared" ca="1" si="198"/>
        <v>0.68640306101333914</v>
      </c>
      <c r="E3413" s="101">
        <f t="shared" ca="1" si="199"/>
        <v>0</v>
      </c>
      <c r="F3413" s="21">
        <f t="shared" ca="1" si="200"/>
        <v>0</v>
      </c>
      <c r="H3413" s="21">
        <v>3398</v>
      </c>
      <c r="I3413" s="102">
        <v>0.66774279843681439</v>
      </c>
      <c r="J3413" s="103">
        <v>1.4177514275526461E-3</v>
      </c>
      <c r="K3413" s="103"/>
      <c r="L3413" s="103">
        <v>4.2000000000000003E-2</v>
      </c>
      <c r="O3413" s="100"/>
    </row>
    <row r="3414" spans="2:15" x14ac:dyDescent="0.2">
      <c r="B3414" s="1">
        <v>3399</v>
      </c>
      <c r="C3414" s="101">
        <f ca="1"/>
        <v>0.77920960911557513</v>
      </c>
      <c r="D3414" s="101">
        <f t="shared" ca="1" si="198"/>
        <v>0.71759145646951783</v>
      </c>
      <c r="E3414" s="101">
        <f t="shared" ca="1" si="199"/>
        <v>0</v>
      </c>
      <c r="F3414" s="21">
        <f t="shared" ca="1" si="200"/>
        <v>0</v>
      </c>
      <c r="H3414" s="21">
        <v>3399</v>
      </c>
      <c r="I3414" s="102">
        <v>0.66772550999700486</v>
      </c>
      <c r="J3414" s="103">
        <v>1.3723637890377101E-3</v>
      </c>
      <c r="K3414" s="103"/>
      <c r="L3414" s="103">
        <v>4.2799999999999998E-2</v>
      </c>
      <c r="O3414" s="100"/>
    </row>
    <row r="3415" spans="2:15" x14ac:dyDescent="0.2">
      <c r="B3415" s="1">
        <v>3400</v>
      </c>
      <c r="C3415" s="101">
        <f ca="1"/>
        <v>-3.0964818725780077E-2</v>
      </c>
      <c r="D3415" s="101">
        <f t="shared" ca="1" si="198"/>
        <v>0.66247559888430907</v>
      </c>
      <c r="E3415" s="101">
        <f t="shared" ca="1" si="199"/>
        <v>0</v>
      </c>
      <c r="F3415" s="21">
        <f t="shared" ca="1" si="200"/>
        <v>0</v>
      </c>
      <c r="H3415" s="21">
        <v>3400</v>
      </c>
      <c r="I3415" s="102">
        <v>0.66758840414383769</v>
      </c>
      <c r="J3415" s="103">
        <v>1.2260135533027402E-3</v>
      </c>
      <c r="K3415" s="103"/>
      <c r="L3415" s="103">
        <v>3.7199999999999997E-2</v>
      </c>
      <c r="O3415" s="100"/>
    </row>
    <row r="3416" spans="2:15" x14ac:dyDescent="0.2">
      <c r="B3416" s="1">
        <v>3401</v>
      </c>
      <c r="C3416" s="101">
        <f ca="1"/>
        <v>-0.43681549961589755</v>
      </c>
      <c r="D3416" s="101">
        <f t="shared" ca="1" si="198"/>
        <v>0.63647814174690287</v>
      </c>
      <c r="E3416" s="101">
        <f t="shared" ca="1" si="199"/>
        <v>0</v>
      </c>
      <c r="F3416" s="21">
        <f t="shared" ca="1" si="200"/>
        <v>0</v>
      </c>
      <c r="H3416" s="21">
        <v>3401</v>
      </c>
      <c r="I3416" s="102">
        <v>0.66782705417841082</v>
      </c>
      <c r="J3416" s="103">
        <v>1.3979585751037295E-3</v>
      </c>
      <c r="K3416" s="103"/>
      <c r="L3416" s="103">
        <v>4.2799999999999998E-2</v>
      </c>
      <c r="O3416" s="100"/>
    </row>
    <row r="3417" spans="2:15" x14ac:dyDescent="0.2">
      <c r="B3417" s="1">
        <v>3402</v>
      </c>
      <c r="C3417" s="101">
        <f ca="1"/>
        <v>0.73953534444467151</v>
      </c>
      <c r="D3417" s="101">
        <f t="shared" ca="1" si="198"/>
        <v>0.71478863450036112</v>
      </c>
      <c r="E3417" s="101">
        <f t="shared" ca="1" si="199"/>
        <v>0</v>
      </c>
      <c r="F3417" s="21">
        <f t="shared" ca="1" si="200"/>
        <v>0</v>
      </c>
      <c r="H3417" s="21">
        <v>3402</v>
      </c>
      <c r="I3417" s="102">
        <v>0.6676576208566849</v>
      </c>
      <c r="J3417" s="103">
        <v>1.305101452748576E-3</v>
      </c>
      <c r="K3417" s="103"/>
      <c r="L3417" s="103">
        <v>4.1599999999999998E-2</v>
      </c>
      <c r="O3417" s="100"/>
    </row>
    <row r="3418" spans="2:15" x14ac:dyDescent="0.2">
      <c r="B3418" s="1">
        <v>3403</v>
      </c>
      <c r="C3418" s="101">
        <f ca="1"/>
        <v>-0.96843144858288088</v>
      </c>
      <c r="D3418" s="101">
        <f t="shared" ca="1" si="198"/>
        <v>0.60396169320565973</v>
      </c>
      <c r="E3418" s="101">
        <f t="shared" ca="1" si="199"/>
        <v>0</v>
      </c>
      <c r="F3418" s="21">
        <f t="shared" ca="1" si="200"/>
        <v>0</v>
      </c>
      <c r="H3418" s="21">
        <v>3403</v>
      </c>
      <c r="I3418" s="102">
        <v>0.66780149573668546</v>
      </c>
      <c r="J3418" s="103">
        <v>1.4344573232903872E-3</v>
      </c>
      <c r="K3418" s="103"/>
      <c r="L3418" s="103">
        <v>0.04</v>
      </c>
      <c r="O3418" s="100"/>
    </row>
    <row r="3419" spans="2:15" x14ac:dyDescent="0.2">
      <c r="B3419" s="1">
        <v>3404</v>
      </c>
      <c r="C3419" s="101">
        <f ca="1"/>
        <v>0.71684305680850835</v>
      </c>
      <c r="D3419" s="101">
        <f t="shared" ca="1" si="198"/>
        <v>0.71319044288553524</v>
      </c>
      <c r="E3419" s="101">
        <f t="shared" ca="1" si="199"/>
        <v>0</v>
      </c>
      <c r="F3419" s="21">
        <f t="shared" ca="1" si="200"/>
        <v>0</v>
      </c>
      <c r="H3419" s="21">
        <v>3404</v>
      </c>
      <c r="I3419" s="102">
        <v>0.66763626174267121</v>
      </c>
      <c r="J3419" s="103">
        <v>1.2073064552476052E-3</v>
      </c>
      <c r="K3419" s="103"/>
      <c r="L3419" s="103">
        <v>4.0399999999999998E-2</v>
      </c>
      <c r="O3419" s="100"/>
    </row>
    <row r="3420" spans="2:15" x14ac:dyDescent="0.2">
      <c r="B3420" s="1">
        <v>3405</v>
      </c>
      <c r="C3420" s="101">
        <f ca="1"/>
        <v>1.5430105236602849</v>
      </c>
      <c r="D3420" s="101">
        <f t="shared" ca="1" si="198"/>
        <v>0.77374529236985079</v>
      </c>
      <c r="E3420" s="101">
        <f t="shared" ca="1" si="199"/>
        <v>0</v>
      </c>
      <c r="F3420" s="21">
        <f t="shared" ca="1" si="200"/>
        <v>0</v>
      </c>
      <c r="H3420" s="21">
        <v>3405</v>
      </c>
      <c r="I3420" s="102">
        <v>0.66769208737444985</v>
      </c>
      <c r="J3420" s="103">
        <v>1.2787419025276797E-3</v>
      </c>
      <c r="K3420" s="103"/>
      <c r="L3420" s="103">
        <v>4.1799999999999997E-2</v>
      </c>
      <c r="O3420" s="100"/>
    </row>
    <row r="3421" spans="2:15" x14ac:dyDescent="0.2">
      <c r="B3421" s="1">
        <v>3406</v>
      </c>
      <c r="C3421" s="101">
        <f ca="1"/>
        <v>0.49550823189274951</v>
      </c>
      <c r="D3421" s="101">
        <f t="shared" ca="1" si="198"/>
        <v>0.69778827444166303</v>
      </c>
      <c r="E3421" s="101">
        <f t="shared" ca="1" si="199"/>
        <v>0</v>
      </c>
      <c r="F3421" s="21">
        <f t="shared" ca="1" si="200"/>
        <v>0</v>
      </c>
      <c r="H3421" s="21">
        <v>3406</v>
      </c>
      <c r="I3421" s="102">
        <v>0.66764839862011105</v>
      </c>
      <c r="J3421" s="103">
        <v>1.2610777506700387E-3</v>
      </c>
      <c r="K3421" s="103"/>
      <c r="L3421" s="103">
        <v>4.02E-2</v>
      </c>
      <c r="O3421" s="100"/>
    </row>
    <row r="3422" spans="2:15" x14ac:dyDescent="0.2">
      <c r="B3422" s="1">
        <v>3407</v>
      </c>
      <c r="C3422" s="101">
        <f ca="1"/>
        <v>0.43347544528925469</v>
      </c>
      <c r="D3422" s="101">
        <f t="shared" ca="1" si="198"/>
        <v>0.69353154729470401</v>
      </c>
      <c r="E3422" s="101">
        <f t="shared" ca="1" si="199"/>
        <v>0</v>
      </c>
      <c r="F3422" s="21">
        <f t="shared" ca="1" si="200"/>
        <v>0</v>
      </c>
      <c r="H3422" s="21">
        <v>3407</v>
      </c>
      <c r="I3422" s="102">
        <v>0.66793981886712639</v>
      </c>
      <c r="J3422" s="103">
        <v>1.6357224256216547E-3</v>
      </c>
      <c r="K3422" s="103"/>
      <c r="L3422" s="103">
        <v>4.3799999999999999E-2</v>
      </c>
      <c r="O3422" s="100"/>
    </row>
    <row r="3423" spans="2:15" x14ac:dyDescent="0.2">
      <c r="B3423" s="1">
        <v>3408</v>
      </c>
      <c r="C3423" s="101">
        <f ca="1"/>
        <v>0.11622090831848285</v>
      </c>
      <c r="D3423" s="101">
        <f t="shared" ca="1" si="198"/>
        <v>0.67216397458643162</v>
      </c>
      <c r="E3423" s="101">
        <f t="shared" ca="1" si="199"/>
        <v>0</v>
      </c>
      <c r="F3423" s="21">
        <f t="shared" ca="1" si="200"/>
        <v>0</v>
      </c>
      <c r="H3423" s="21">
        <v>3408</v>
      </c>
      <c r="I3423" s="102">
        <v>0.66772099761468873</v>
      </c>
      <c r="J3423" s="103">
        <v>1.3898122060571794E-3</v>
      </c>
      <c r="K3423" s="103"/>
      <c r="L3423" s="103">
        <v>3.9800000000000002E-2</v>
      </c>
      <c r="O3423" s="100"/>
    </row>
    <row r="3424" spans="2:15" x14ac:dyDescent="0.2">
      <c r="B3424" s="1">
        <v>3409</v>
      </c>
      <c r="C3424" s="101">
        <f ca="1"/>
        <v>9.0867942839193402E-2</v>
      </c>
      <c r="D3424" s="101">
        <f t="shared" ca="1" si="198"/>
        <v>0.67048509341534102</v>
      </c>
      <c r="E3424" s="101">
        <f t="shared" ca="1" si="199"/>
        <v>0</v>
      </c>
      <c r="F3424" s="21">
        <f t="shared" ca="1" si="200"/>
        <v>0</v>
      </c>
      <c r="H3424" s="21">
        <v>3409</v>
      </c>
      <c r="I3424" s="102">
        <v>0.66767883220748758</v>
      </c>
      <c r="J3424" s="103">
        <v>1.2020245012903381E-3</v>
      </c>
      <c r="K3424" s="103"/>
      <c r="L3424" s="103">
        <v>4.0599999999999997E-2</v>
      </c>
      <c r="O3424" s="100"/>
    </row>
    <row r="3425" spans="2:15" x14ac:dyDescent="0.2">
      <c r="B3425" s="1">
        <v>3410</v>
      </c>
      <c r="C3425" s="101">
        <f ca="1"/>
        <v>-0.80250545017359642</v>
      </c>
      <c r="D3425" s="101">
        <f t="shared" ca="1" si="198"/>
        <v>0.61392817012760936</v>
      </c>
      <c r="E3425" s="101">
        <f t="shared" ca="1" si="199"/>
        <v>0</v>
      </c>
      <c r="F3425" s="21">
        <f t="shared" ca="1" si="200"/>
        <v>0</v>
      </c>
      <c r="H3425" s="21">
        <v>3410</v>
      </c>
      <c r="I3425" s="102">
        <v>0.66770160300981773</v>
      </c>
      <c r="J3425" s="103">
        <v>1.354483452113184E-3</v>
      </c>
      <c r="K3425" s="103"/>
      <c r="L3425" s="103">
        <v>4.1000000000000002E-2</v>
      </c>
      <c r="O3425" s="100"/>
    </row>
    <row r="3426" spans="2:15" x14ac:dyDescent="0.2">
      <c r="B3426" s="1">
        <v>3411</v>
      </c>
      <c r="C3426" s="101">
        <f ca="1"/>
        <v>-0.71165261668139468</v>
      </c>
      <c r="D3426" s="101">
        <f t="shared" ca="1" si="198"/>
        <v>0.61945482610688651</v>
      </c>
      <c r="E3426" s="101">
        <f t="shared" ca="1" si="199"/>
        <v>0</v>
      </c>
      <c r="F3426" s="21">
        <f t="shared" ca="1" si="200"/>
        <v>0</v>
      </c>
      <c r="H3426" s="21">
        <v>3411</v>
      </c>
      <c r="I3426" s="102">
        <v>0.66782280039002107</v>
      </c>
      <c r="J3426" s="103">
        <v>1.4212625785036664E-3</v>
      </c>
      <c r="K3426" s="103"/>
      <c r="L3426" s="103">
        <v>4.2000000000000003E-2</v>
      </c>
      <c r="O3426" s="100"/>
    </row>
    <row r="3427" spans="2:15" x14ac:dyDescent="0.2">
      <c r="B3427" s="1">
        <v>3412</v>
      </c>
      <c r="C3427" s="101">
        <f ca="1"/>
        <v>-0.93808781653927165</v>
      </c>
      <c r="D3427" s="101">
        <f t="shared" ca="1" si="198"/>
        <v>0.6057721408550637</v>
      </c>
      <c r="E3427" s="101">
        <f t="shared" ca="1" si="199"/>
        <v>0</v>
      </c>
      <c r="F3427" s="21">
        <f t="shared" ca="1" si="200"/>
        <v>0</v>
      </c>
      <c r="H3427" s="21">
        <v>3412</v>
      </c>
      <c r="I3427" s="102">
        <v>0.66771107371640237</v>
      </c>
      <c r="J3427" s="103">
        <v>1.2944222151186774E-3</v>
      </c>
      <c r="K3427" s="103"/>
      <c r="L3427" s="103">
        <v>4.2799999999999998E-2</v>
      </c>
      <c r="O3427" s="100"/>
    </row>
    <row r="3428" spans="2:15" x14ac:dyDescent="0.2">
      <c r="B3428" s="1">
        <v>3413</v>
      </c>
      <c r="C3428" s="101">
        <f ca="1"/>
        <v>0.78230890330176794</v>
      </c>
      <c r="D3428" s="101">
        <f t="shared" ca="1" si="198"/>
        <v>0.71781087098203544</v>
      </c>
      <c r="E3428" s="101">
        <f t="shared" ca="1" si="199"/>
        <v>0</v>
      </c>
      <c r="F3428" s="21">
        <f t="shared" ca="1" si="200"/>
        <v>0</v>
      </c>
      <c r="H3428" s="21">
        <v>3413</v>
      </c>
      <c r="I3428" s="102">
        <v>0.6676799645290068</v>
      </c>
      <c r="J3428" s="103">
        <v>1.3828584367029388E-3</v>
      </c>
      <c r="K3428" s="103"/>
      <c r="L3428" s="103">
        <v>3.8600000000000002E-2</v>
      </c>
      <c r="O3428" s="100"/>
    </row>
    <row r="3429" spans="2:15" x14ac:dyDescent="0.2">
      <c r="B3429" s="1">
        <v>3414</v>
      </c>
      <c r="C3429" s="101">
        <f ca="1"/>
        <v>1.165118449974232</v>
      </c>
      <c r="D3429" s="101">
        <f t="shared" ca="1" si="198"/>
        <v>0.74543427250249583</v>
      </c>
      <c r="E3429" s="101">
        <f t="shared" ca="1" si="199"/>
        <v>0</v>
      </c>
      <c r="F3429" s="21">
        <f t="shared" ca="1" si="200"/>
        <v>0</v>
      </c>
      <c r="H3429" s="21">
        <v>3414</v>
      </c>
      <c r="I3429" s="102">
        <v>0.66773904064496792</v>
      </c>
      <c r="J3429" s="103">
        <v>1.2703659867451212E-3</v>
      </c>
      <c r="K3429" s="103"/>
      <c r="L3429" s="103">
        <v>4.24E-2</v>
      </c>
      <c r="O3429" s="100"/>
    </row>
    <row r="3430" spans="2:15" x14ac:dyDescent="0.2">
      <c r="B3430" s="1">
        <v>3415</v>
      </c>
      <c r="C3430" s="101">
        <f ca="1"/>
        <v>0.68193705069733834</v>
      </c>
      <c r="D3430" s="101">
        <f t="shared" ca="1" si="198"/>
        <v>0.71073902633167951</v>
      </c>
      <c r="E3430" s="101">
        <f t="shared" ca="1" si="199"/>
        <v>0</v>
      </c>
      <c r="F3430" s="21">
        <f t="shared" ca="1" si="200"/>
        <v>0</v>
      </c>
      <c r="H3430" s="21">
        <v>3415</v>
      </c>
      <c r="I3430" s="102">
        <v>0.6676990072784551</v>
      </c>
      <c r="J3430" s="103">
        <v>1.337890493561263E-3</v>
      </c>
      <c r="K3430" s="103"/>
      <c r="L3430" s="103">
        <v>4.0599999999999997E-2</v>
      </c>
      <c r="O3430" s="100"/>
    </row>
    <row r="3431" spans="2:15" x14ac:dyDescent="0.2">
      <c r="B3431" s="1">
        <v>3416</v>
      </c>
      <c r="C3431" s="101">
        <f ca="1"/>
        <v>0.39378346504627876</v>
      </c>
      <c r="D3431" s="101">
        <f t="shared" ca="1" si="198"/>
        <v>0.69082149310150021</v>
      </c>
      <c r="E3431" s="101">
        <f t="shared" ca="1" si="199"/>
        <v>0</v>
      </c>
      <c r="F3431" s="21">
        <f t="shared" ca="1" si="200"/>
        <v>0</v>
      </c>
      <c r="H3431" s="21">
        <v>3416</v>
      </c>
      <c r="I3431" s="102">
        <v>0.66768957211697133</v>
      </c>
      <c r="J3431" s="103">
        <v>1.2967275968327123E-3</v>
      </c>
      <c r="K3431" s="103"/>
      <c r="L3431" s="103">
        <v>4.2000000000000003E-2</v>
      </c>
      <c r="O3431" s="100"/>
    </row>
    <row r="3432" spans="2:15" x14ac:dyDescent="0.2">
      <c r="B3432" s="1">
        <v>3417</v>
      </c>
      <c r="C3432" s="101">
        <f ca="1"/>
        <v>0.18468883854695689</v>
      </c>
      <c r="D3432" s="101">
        <f t="shared" ca="1" si="198"/>
        <v>0.67671897813549231</v>
      </c>
      <c r="E3432" s="101">
        <f t="shared" ca="1" si="199"/>
        <v>0</v>
      </c>
      <c r="F3432" s="21">
        <f t="shared" ca="1" si="200"/>
        <v>0</v>
      </c>
      <c r="H3432" s="21">
        <v>3417</v>
      </c>
      <c r="I3432" s="102">
        <v>0.66771587910688768</v>
      </c>
      <c r="J3432" s="103">
        <v>1.3345712394146902E-3</v>
      </c>
      <c r="K3432" s="103"/>
      <c r="L3432" s="103">
        <v>4.0599999999999997E-2</v>
      </c>
      <c r="O3432" s="100"/>
    </row>
    <row r="3433" spans="2:15" x14ac:dyDescent="0.2">
      <c r="B3433" s="1">
        <v>3418</v>
      </c>
      <c r="C3433" s="101">
        <f ca="1"/>
        <v>1.7202591720966378</v>
      </c>
      <c r="D3433" s="101">
        <f t="shared" ca="1" si="198"/>
        <v>0.78739244333328362</v>
      </c>
      <c r="E3433" s="101">
        <f t="shared" ca="1" si="199"/>
        <v>0</v>
      </c>
      <c r="F3433" s="21">
        <f t="shared" ca="1" si="200"/>
        <v>0</v>
      </c>
      <c r="H3433" s="21">
        <v>3418</v>
      </c>
      <c r="I3433" s="102">
        <v>0.66785104667870065</v>
      </c>
      <c r="J3433" s="103">
        <v>1.4758602648928163E-3</v>
      </c>
      <c r="K3433" s="103"/>
      <c r="L3433" s="103">
        <v>4.4600000000000001E-2</v>
      </c>
      <c r="O3433" s="100"/>
    </row>
    <row r="3434" spans="2:15" x14ac:dyDescent="0.2">
      <c r="B3434" s="1">
        <v>3419</v>
      </c>
      <c r="C3434" s="101">
        <f ca="1"/>
        <v>-6.4247670920306952E-3</v>
      </c>
      <c r="D3434" s="101">
        <f t="shared" ca="1" si="198"/>
        <v>0.66408117169719172</v>
      </c>
      <c r="E3434" s="101">
        <f t="shared" ca="1" si="199"/>
        <v>0</v>
      </c>
      <c r="F3434" s="21">
        <f t="shared" ca="1" si="200"/>
        <v>0</v>
      </c>
      <c r="H3434" s="21">
        <v>3419</v>
      </c>
      <c r="I3434" s="102">
        <v>0.66748238735552146</v>
      </c>
      <c r="J3434" s="103">
        <v>1.1426742684483081E-3</v>
      </c>
      <c r="K3434" s="103"/>
      <c r="L3434" s="103">
        <v>3.56E-2</v>
      </c>
      <c r="O3434" s="100"/>
    </row>
    <row r="3435" spans="2:15" x14ac:dyDescent="0.2">
      <c r="B3435" s="1">
        <v>3420</v>
      </c>
      <c r="C3435" s="101">
        <f ca="1"/>
        <v>0.61961529367699253</v>
      </c>
      <c r="D3435" s="101">
        <f t="shared" ca="1" si="198"/>
        <v>0.70638316020688441</v>
      </c>
      <c r="E3435" s="101">
        <f t="shared" ca="1" si="199"/>
        <v>0</v>
      </c>
      <c r="F3435" s="21">
        <f t="shared" ca="1" si="200"/>
        <v>0</v>
      </c>
      <c r="H3435" s="21">
        <v>3420</v>
      </c>
      <c r="I3435" s="102">
        <v>0.66762953694108329</v>
      </c>
      <c r="J3435" s="103">
        <v>1.1721528778106491E-3</v>
      </c>
      <c r="K3435" s="103"/>
      <c r="L3435" s="103">
        <v>3.7199999999999997E-2</v>
      </c>
      <c r="O3435" s="100"/>
    </row>
    <row r="3436" spans="2:15" x14ac:dyDescent="0.2">
      <c r="B3436" s="1">
        <v>3421</v>
      </c>
      <c r="C3436" s="101">
        <f ca="1"/>
        <v>9.1933743567312917E-2</v>
      </c>
      <c r="D3436" s="101">
        <f t="shared" ca="1" si="198"/>
        <v>0.67055558655753023</v>
      </c>
      <c r="E3436" s="101">
        <f t="shared" ca="1" si="199"/>
        <v>0</v>
      </c>
      <c r="F3436" s="21">
        <f t="shared" ca="1" si="200"/>
        <v>0</v>
      </c>
      <c r="H3436" s="21">
        <v>3421</v>
      </c>
      <c r="I3436" s="102">
        <v>0.66787534615586885</v>
      </c>
      <c r="J3436" s="103">
        <v>1.7202379896808675E-3</v>
      </c>
      <c r="K3436" s="103"/>
      <c r="L3436" s="103">
        <v>4.7199999999999999E-2</v>
      </c>
      <c r="O3436" s="100"/>
    </row>
    <row r="3437" spans="2:15" x14ac:dyDescent="0.2">
      <c r="B3437" s="1">
        <v>3422</v>
      </c>
      <c r="C3437" s="101">
        <f ca="1"/>
        <v>-2.2590397988004609</v>
      </c>
      <c r="D3437" s="101">
        <f t="shared" ca="1" si="198"/>
        <v>0.53176595342413335</v>
      </c>
      <c r="E3437" s="101">
        <f t="shared" ca="1" si="199"/>
        <v>0</v>
      </c>
      <c r="F3437" s="21">
        <f t="shared" ca="1" si="200"/>
        <v>0</v>
      </c>
      <c r="H3437" s="21">
        <v>3422</v>
      </c>
      <c r="I3437" s="102">
        <v>0.66769563541899213</v>
      </c>
      <c r="J3437" s="103">
        <v>1.3515469181369494E-3</v>
      </c>
      <c r="K3437" s="103"/>
      <c r="L3437" s="103">
        <v>4.3400000000000001E-2</v>
      </c>
      <c r="O3437" s="100"/>
    </row>
    <row r="3438" spans="2:15" x14ac:dyDescent="0.2">
      <c r="B3438" s="1">
        <v>3423</v>
      </c>
      <c r="C3438" s="101">
        <f ca="1"/>
        <v>-0.1543624786565049</v>
      </c>
      <c r="D3438" s="101">
        <f t="shared" ca="1" si="198"/>
        <v>0.65446075158897632</v>
      </c>
      <c r="E3438" s="101">
        <f t="shared" ca="1" si="199"/>
        <v>0</v>
      </c>
      <c r="F3438" s="21">
        <f t="shared" ca="1" si="200"/>
        <v>0</v>
      </c>
      <c r="H3438" s="21">
        <v>3423</v>
      </c>
      <c r="I3438" s="102">
        <v>0.66767332005927282</v>
      </c>
      <c r="J3438" s="103">
        <v>1.3482817370425134E-3</v>
      </c>
      <c r="K3438" s="103"/>
      <c r="L3438" s="103">
        <v>4.0800000000000003E-2</v>
      </c>
      <c r="O3438" s="100"/>
    </row>
    <row r="3439" spans="2:15" x14ac:dyDescent="0.2">
      <c r="B3439" s="1">
        <v>3424</v>
      </c>
      <c r="C3439" s="101">
        <f ca="1"/>
        <v>0.52740594792506346</v>
      </c>
      <c r="D3439" s="101">
        <f t="shared" ca="1" si="198"/>
        <v>0.69998727618586432</v>
      </c>
      <c r="E3439" s="101">
        <f t="shared" ca="1" si="199"/>
        <v>0</v>
      </c>
      <c r="F3439" s="21">
        <f t="shared" ca="1" si="200"/>
        <v>0</v>
      </c>
      <c r="H3439" s="21">
        <v>3424</v>
      </c>
      <c r="I3439" s="102">
        <v>0.66764466795095267</v>
      </c>
      <c r="J3439" s="103">
        <v>1.2102196526459755E-3</v>
      </c>
      <c r="K3439" s="103"/>
      <c r="L3439" s="103">
        <v>3.7600000000000001E-2</v>
      </c>
      <c r="O3439" s="100"/>
    </row>
    <row r="3440" spans="2:15" x14ac:dyDescent="0.2">
      <c r="B3440" s="1">
        <v>3425</v>
      </c>
      <c r="C3440" s="101">
        <f ca="1"/>
        <v>-1.1993572386937548</v>
      </c>
      <c r="D3440" s="101">
        <f t="shared" ca="1" si="198"/>
        <v>0.59035966212225455</v>
      </c>
      <c r="E3440" s="101">
        <f t="shared" ca="1" si="199"/>
        <v>0</v>
      </c>
      <c r="F3440" s="21">
        <f t="shared" ca="1" si="200"/>
        <v>0</v>
      </c>
      <c r="H3440" s="21">
        <v>3425</v>
      </c>
      <c r="I3440" s="102">
        <v>0.66780502851421286</v>
      </c>
      <c r="J3440" s="103">
        <v>1.3905325316072034E-3</v>
      </c>
      <c r="K3440" s="103"/>
      <c r="L3440" s="103">
        <v>4.2599999999999999E-2</v>
      </c>
      <c r="O3440" s="100"/>
    </row>
    <row r="3441" spans="2:15" x14ac:dyDescent="0.2">
      <c r="B3441" s="1">
        <v>3426</v>
      </c>
      <c r="C3441" s="101">
        <f ca="1"/>
        <v>0.36071834438924871</v>
      </c>
      <c r="D3441" s="101">
        <f t="shared" ca="1" si="198"/>
        <v>0.68857198893794813</v>
      </c>
      <c r="E3441" s="101">
        <f t="shared" ca="1" si="199"/>
        <v>0</v>
      </c>
      <c r="F3441" s="21">
        <f t="shared" ca="1" si="200"/>
        <v>0</v>
      </c>
      <c r="H3441" s="21">
        <v>3426</v>
      </c>
      <c r="I3441" s="102">
        <v>0.66777861770570923</v>
      </c>
      <c r="J3441" s="103">
        <v>1.3152750439689481E-3</v>
      </c>
      <c r="K3441" s="103"/>
      <c r="L3441" s="103">
        <v>4.2200000000000001E-2</v>
      </c>
      <c r="O3441" s="100"/>
    </row>
    <row r="3442" spans="2:15" x14ac:dyDescent="0.2">
      <c r="B3442" s="1">
        <v>3427</v>
      </c>
      <c r="C3442" s="101">
        <f ca="1"/>
        <v>-1.5004385211543576</v>
      </c>
      <c r="D3442" s="101">
        <f t="shared" ca="1" si="198"/>
        <v>0.57308433714201501</v>
      </c>
      <c r="E3442" s="101">
        <f t="shared" ca="1" si="199"/>
        <v>0</v>
      </c>
      <c r="F3442" s="21">
        <f t="shared" ca="1" si="200"/>
        <v>0</v>
      </c>
      <c r="H3442" s="21">
        <v>3427</v>
      </c>
      <c r="I3442" s="102">
        <v>0.66775297582721782</v>
      </c>
      <c r="J3442" s="103">
        <v>1.4146364917281946E-3</v>
      </c>
      <c r="K3442" s="103"/>
      <c r="L3442" s="103">
        <v>4.1599999999999998E-2</v>
      </c>
      <c r="O3442" s="100"/>
    </row>
    <row r="3443" spans="2:15" x14ac:dyDescent="0.2">
      <c r="B3443" s="1">
        <v>3428</v>
      </c>
      <c r="C3443" s="101">
        <f ca="1"/>
        <v>-0.60819553552842442</v>
      </c>
      <c r="D3443" s="101">
        <f t="shared" ca="1" si="198"/>
        <v>0.62580881814493539</v>
      </c>
      <c r="E3443" s="101">
        <f t="shared" ca="1" si="199"/>
        <v>0</v>
      </c>
      <c r="F3443" s="21">
        <f t="shared" ca="1" si="200"/>
        <v>0</v>
      </c>
      <c r="H3443" s="21">
        <v>3428</v>
      </c>
      <c r="I3443" s="102">
        <v>0.66769315173780786</v>
      </c>
      <c r="J3443" s="103">
        <v>1.3102831915154322E-3</v>
      </c>
      <c r="K3443" s="103"/>
      <c r="L3443" s="103">
        <v>4.0800000000000003E-2</v>
      </c>
      <c r="O3443" s="100"/>
    </row>
    <row r="3444" spans="2:15" x14ac:dyDescent="0.2">
      <c r="B3444" s="1">
        <v>3429</v>
      </c>
      <c r="C3444" s="101">
        <f ca="1"/>
        <v>1.3266471478786783</v>
      </c>
      <c r="D3444" s="101">
        <f t="shared" ca="1" si="198"/>
        <v>0.75740670612774152</v>
      </c>
      <c r="E3444" s="101">
        <f t="shared" ca="1" si="199"/>
        <v>0</v>
      </c>
      <c r="F3444" s="21">
        <f t="shared" ca="1" si="200"/>
        <v>0</v>
      </c>
      <c r="H3444" s="21">
        <v>3429</v>
      </c>
      <c r="I3444" s="102">
        <v>0.66772192037314182</v>
      </c>
      <c r="J3444" s="103">
        <v>1.3193161525108189E-3</v>
      </c>
      <c r="K3444" s="103"/>
      <c r="L3444" s="103">
        <v>4.0399999999999998E-2</v>
      </c>
      <c r="O3444" s="100"/>
    </row>
    <row r="3445" spans="2:15" x14ac:dyDescent="0.2">
      <c r="B3445" s="1">
        <v>3430</v>
      </c>
      <c r="C3445" s="101">
        <f ca="1"/>
        <v>-0.40236295201250738</v>
      </c>
      <c r="D3445" s="101">
        <f t="shared" ca="1" si="198"/>
        <v>0.63864485733375564</v>
      </c>
      <c r="E3445" s="101">
        <f t="shared" ca="1" si="199"/>
        <v>0</v>
      </c>
      <c r="F3445" s="21">
        <f t="shared" ca="1" si="200"/>
        <v>0</v>
      </c>
      <c r="H3445" s="21">
        <v>3430</v>
      </c>
      <c r="I3445" s="102">
        <v>0.6677722686153037</v>
      </c>
      <c r="J3445" s="103">
        <v>1.3587190523690637E-3</v>
      </c>
      <c r="K3445" s="103"/>
      <c r="L3445" s="103">
        <v>4.3400000000000001E-2</v>
      </c>
      <c r="O3445" s="100"/>
    </row>
    <row r="3446" spans="2:15" x14ac:dyDescent="0.2">
      <c r="B3446" s="1">
        <v>3431</v>
      </c>
      <c r="C3446" s="101">
        <f ca="1"/>
        <v>1.0676245005044682</v>
      </c>
      <c r="D3446" s="101">
        <f t="shared" ca="1" si="198"/>
        <v>0.73829984212614452</v>
      </c>
      <c r="E3446" s="101">
        <f t="shared" ca="1" si="199"/>
        <v>0</v>
      </c>
      <c r="F3446" s="21">
        <f t="shared" ca="1" si="200"/>
        <v>0</v>
      </c>
      <c r="H3446" s="21">
        <v>3431</v>
      </c>
      <c r="I3446" s="102">
        <v>0.66767668955213222</v>
      </c>
      <c r="J3446" s="103">
        <v>1.3264986964941371E-3</v>
      </c>
      <c r="K3446" s="103"/>
      <c r="L3446" s="103">
        <v>3.8600000000000002E-2</v>
      </c>
      <c r="O3446" s="100"/>
    </row>
    <row r="3447" spans="2:15" x14ac:dyDescent="0.2">
      <c r="B3447" s="1">
        <v>3432</v>
      </c>
      <c r="C3447" s="101">
        <f ca="1"/>
        <v>-0.46128959679526732</v>
      </c>
      <c r="D3447" s="101">
        <f t="shared" ca="1" si="198"/>
        <v>0.63494343659098385</v>
      </c>
      <c r="E3447" s="101">
        <f t="shared" ca="1" si="199"/>
        <v>0</v>
      </c>
      <c r="F3447" s="21">
        <f t="shared" ca="1" si="200"/>
        <v>0</v>
      </c>
      <c r="H3447" s="21">
        <v>3432</v>
      </c>
      <c r="I3447" s="102">
        <v>0.66790746376892507</v>
      </c>
      <c r="J3447" s="103">
        <v>1.5322951229832307E-3</v>
      </c>
      <c r="K3447" s="103"/>
      <c r="L3447" s="103">
        <v>4.6399999999999997E-2</v>
      </c>
      <c r="O3447" s="100"/>
    </row>
    <row r="3448" spans="2:15" x14ac:dyDescent="0.2">
      <c r="B3448" s="1">
        <v>3433</v>
      </c>
      <c r="C3448" s="101">
        <f ca="1"/>
        <v>-0.62645568926571893</v>
      </c>
      <c r="D3448" s="101">
        <f t="shared" ca="1" si="198"/>
        <v>0.62468262224844029</v>
      </c>
      <c r="E3448" s="101">
        <f t="shared" ca="1" si="199"/>
        <v>0</v>
      </c>
      <c r="F3448" s="21">
        <f t="shared" ca="1" si="200"/>
        <v>0</v>
      </c>
      <c r="H3448" s="21">
        <v>3433</v>
      </c>
      <c r="I3448" s="102">
        <v>0.66785253140482603</v>
      </c>
      <c r="J3448" s="103">
        <v>1.5920815011011766E-3</v>
      </c>
      <c r="K3448" s="103"/>
      <c r="L3448" s="103">
        <v>4.48E-2</v>
      </c>
      <c r="O3448" s="100"/>
    </row>
    <row r="3449" spans="2:15" x14ac:dyDescent="0.2">
      <c r="B3449" s="1">
        <v>3434</v>
      </c>
      <c r="C3449" s="101">
        <f ca="1"/>
        <v>-1.4405173845165657</v>
      </c>
      <c r="D3449" s="101">
        <f t="shared" ca="1" si="198"/>
        <v>0.57648169743792133</v>
      </c>
      <c r="E3449" s="101">
        <f t="shared" ca="1" si="199"/>
        <v>0</v>
      </c>
      <c r="F3449" s="21">
        <f t="shared" ca="1" si="200"/>
        <v>0</v>
      </c>
      <c r="H3449" s="21">
        <v>3434</v>
      </c>
      <c r="I3449" s="102">
        <v>0.66777169753132826</v>
      </c>
      <c r="J3449" s="103">
        <v>1.4752194961882058E-3</v>
      </c>
      <c r="K3449" s="103"/>
      <c r="L3449" s="103">
        <v>4.36E-2</v>
      </c>
      <c r="O3449" s="100"/>
    </row>
    <row r="3450" spans="2:15" x14ac:dyDescent="0.2">
      <c r="B3450" s="1">
        <v>3435</v>
      </c>
      <c r="C3450" s="101">
        <f ca="1"/>
        <v>0.17068741019547512</v>
      </c>
      <c r="D3450" s="101">
        <f t="shared" ca="1" si="198"/>
        <v>0.67578499350971166</v>
      </c>
      <c r="E3450" s="101">
        <f t="shared" ca="1" si="199"/>
        <v>0</v>
      </c>
      <c r="F3450" s="21">
        <f t="shared" ca="1" si="200"/>
        <v>0</v>
      </c>
      <c r="H3450" s="21">
        <v>3435</v>
      </c>
      <c r="I3450" s="102">
        <v>0.66778092473769513</v>
      </c>
      <c r="J3450" s="103">
        <v>1.3307111644191415E-3</v>
      </c>
      <c r="K3450" s="103"/>
      <c r="L3450" s="103">
        <v>4.3200000000000002E-2</v>
      </c>
      <c r="O3450" s="100"/>
    </row>
    <row r="3451" spans="2:15" x14ac:dyDescent="0.2">
      <c r="B3451" s="1">
        <v>3436</v>
      </c>
      <c r="C3451" s="101">
        <f ca="1"/>
        <v>0.19198032196549916</v>
      </c>
      <c r="D3451" s="101">
        <f t="shared" ca="1" si="198"/>
        <v>0.67720587764832718</v>
      </c>
      <c r="E3451" s="101">
        <f t="shared" ca="1" si="199"/>
        <v>0</v>
      </c>
      <c r="F3451" s="21">
        <f t="shared" ca="1" si="200"/>
        <v>0</v>
      </c>
      <c r="H3451" s="21">
        <v>3436</v>
      </c>
      <c r="I3451" s="102">
        <v>0.66776016800848048</v>
      </c>
      <c r="J3451" s="103">
        <v>1.3329968759918209E-3</v>
      </c>
      <c r="K3451" s="103"/>
      <c r="L3451" s="103">
        <v>4.2599999999999999E-2</v>
      </c>
      <c r="O3451" s="100"/>
    </row>
    <row r="3452" spans="2:15" x14ac:dyDescent="0.2">
      <c r="B3452" s="1">
        <v>3437</v>
      </c>
      <c r="C3452" s="101">
        <f ca="1"/>
        <v>-0.25035637093518365</v>
      </c>
      <c r="D3452" s="101">
        <f t="shared" ca="1" si="198"/>
        <v>0.64829293328101467</v>
      </c>
      <c r="E3452" s="101">
        <f t="shared" ca="1" si="199"/>
        <v>0</v>
      </c>
      <c r="F3452" s="21">
        <f t="shared" ca="1" si="200"/>
        <v>0</v>
      </c>
      <c r="H3452" s="21">
        <v>3437</v>
      </c>
      <c r="I3452" s="102">
        <v>0.66757895254900412</v>
      </c>
      <c r="J3452" s="103">
        <v>1.2058733801063991E-3</v>
      </c>
      <c r="K3452" s="103"/>
      <c r="L3452" s="103">
        <v>3.7199999999999997E-2</v>
      </c>
      <c r="O3452" s="100"/>
    </row>
    <row r="3453" spans="2:15" x14ac:dyDescent="0.2">
      <c r="B3453" s="1">
        <v>3438</v>
      </c>
      <c r="C3453" s="101">
        <f ca="1"/>
        <v>0.31695965404363752</v>
      </c>
      <c r="D3453" s="101">
        <f t="shared" ca="1" si="198"/>
        <v>0.68560623164297008</v>
      </c>
      <c r="E3453" s="101">
        <f t="shared" ca="1" si="199"/>
        <v>0</v>
      </c>
      <c r="F3453" s="21">
        <f t="shared" ca="1" si="200"/>
        <v>0</v>
      </c>
      <c r="H3453" s="21">
        <v>3438</v>
      </c>
      <c r="I3453" s="102">
        <v>0.6677353339805524</v>
      </c>
      <c r="J3453" s="103">
        <v>1.2115036925500367E-3</v>
      </c>
      <c r="K3453" s="103"/>
      <c r="L3453" s="103">
        <v>4.0399999999999998E-2</v>
      </c>
      <c r="O3453" s="100"/>
    </row>
    <row r="3454" spans="2:15" x14ac:dyDescent="0.2">
      <c r="B3454" s="1">
        <v>3439</v>
      </c>
      <c r="C3454" s="101">
        <f ca="1"/>
        <v>0.95567157190069218</v>
      </c>
      <c r="D3454" s="101">
        <f t="shared" ca="1" si="198"/>
        <v>0.73019151345197875</v>
      </c>
      <c r="E3454" s="101">
        <f t="shared" ca="1" si="199"/>
        <v>0</v>
      </c>
      <c r="F3454" s="21">
        <f t="shared" ca="1" si="200"/>
        <v>0</v>
      </c>
      <c r="H3454" s="21">
        <v>3439</v>
      </c>
      <c r="I3454" s="102">
        <v>0.66775515283026621</v>
      </c>
      <c r="J3454" s="103">
        <v>1.3909478106515142E-3</v>
      </c>
      <c r="K3454" s="103"/>
      <c r="L3454" s="103">
        <v>4.2599999999999999E-2</v>
      </c>
      <c r="O3454" s="100"/>
    </row>
    <row r="3455" spans="2:15" x14ac:dyDescent="0.2">
      <c r="B3455" s="1">
        <v>3440</v>
      </c>
      <c r="C3455" s="101">
        <f ca="1"/>
        <v>0.6138527570965252</v>
      </c>
      <c r="D3455" s="101">
        <f t="shared" ca="1" si="198"/>
        <v>0.70598174898693544</v>
      </c>
      <c r="E3455" s="101">
        <f t="shared" ca="1" si="199"/>
        <v>0</v>
      </c>
      <c r="F3455" s="21">
        <f t="shared" ca="1" si="200"/>
        <v>0</v>
      </c>
      <c r="H3455" s="21">
        <v>3440</v>
      </c>
      <c r="I3455" s="102">
        <v>0.66783212213395049</v>
      </c>
      <c r="J3455" s="103">
        <v>1.5565106598346831E-3</v>
      </c>
      <c r="K3455" s="103"/>
      <c r="L3455" s="103">
        <v>4.4999999999999998E-2</v>
      </c>
      <c r="O3455" s="100"/>
    </row>
    <row r="3456" spans="2:15" x14ac:dyDescent="0.2">
      <c r="B3456" s="1">
        <v>3441</v>
      </c>
      <c r="C3456" s="101">
        <f ca="1"/>
        <v>1.3586185977550087</v>
      </c>
      <c r="D3456" s="101">
        <f t="shared" ca="1" si="198"/>
        <v>0.75979911484887941</v>
      </c>
      <c r="E3456" s="101">
        <f t="shared" ca="1" si="199"/>
        <v>0</v>
      </c>
      <c r="F3456" s="21">
        <f t="shared" ca="1" si="200"/>
        <v>0</v>
      </c>
      <c r="H3456" s="21">
        <v>3441</v>
      </c>
      <c r="I3456" s="102">
        <v>0.66780049140996245</v>
      </c>
      <c r="J3456" s="103">
        <v>1.4159962853298371E-3</v>
      </c>
      <c r="K3456" s="103"/>
      <c r="L3456" s="103">
        <v>4.3400000000000001E-2</v>
      </c>
      <c r="O3456" s="100"/>
    </row>
    <row r="3457" spans="2:15" x14ac:dyDescent="0.2">
      <c r="B3457" s="1">
        <v>3442</v>
      </c>
      <c r="C3457" s="101">
        <f ca="1"/>
        <v>0.66824258030382588</v>
      </c>
      <c r="D3457" s="101">
        <f t="shared" ca="1" si="198"/>
        <v>0.70977957929293023</v>
      </c>
      <c r="E3457" s="101">
        <f t="shared" ca="1" si="199"/>
        <v>0</v>
      </c>
      <c r="F3457" s="21">
        <f t="shared" ca="1" si="200"/>
        <v>0</v>
      </c>
      <c r="H3457" s="21">
        <v>3442</v>
      </c>
      <c r="I3457" s="102">
        <v>0.66763923938479541</v>
      </c>
      <c r="J3457" s="103">
        <v>1.187841824182757E-3</v>
      </c>
      <c r="K3457" s="103"/>
      <c r="L3457" s="103">
        <v>4.1599999999999998E-2</v>
      </c>
      <c r="O3457" s="100"/>
    </row>
    <row r="3458" spans="2:15" x14ac:dyDescent="0.2">
      <c r="B3458" s="1">
        <v>3443</v>
      </c>
      <c r="C3458" s="101">
        <f ca="1"/>
        <v>-1.3700226160146776</v>
      </c>
      <c r="D3458" s="101">
        <f t="shared" ca="1" si="198"/>
        <v>0.58050434666629824</v>
      </c>
      <c r="E3458" s="101">
        <f t="shared" ca="1" si="199"/>
        <v>0</v>
      </c>
      <c r="F3458" s="21">
        <f t="shared" ca="1" si="200"/>
        <v>0</v>
      </c>
      <c r="H3458" s="21">
        <v>3443</v>
      </c>
      <c r="I3458" s="102">
        <v>0.66768354505315408</v>
      </c>
      <c r="J3458" s="103">
        <v>1.3149848641152791E-3</v>
      </c>
      <c r="K3458" s="103"/>
      <c r="L3458" s="103">
        <v>4.2599999999999999E-2</v>
      </c>
      <c r="O3458" s="100"/>
    </row>
    <row r="3459" spans="2:15" x14ac:dyDescent="0.2">
      <c r="B3459" s="1">
        <v>3444</v>
      </c>
      <c r="C3459" s="101">
        <f ca="1"/>
        <v>-0.69636501522233463</v>
      </c>
      <c r="D3459" s="101">
        <f t="shared" ca="1" si="198"/>
        <v>0.6203896620255569</v>
      </c>
      <c r="E3459" s="101">
        <f t="shared" ca="1" si="199"/>
        <v>0</v>
      </c>
      <c r="F3459" s="21">
        <f t="shared" ca="1" si="200"/>
        <v>0</v>
      </c>
      <c r="H3459" s="21">
        <v>3444</v>
      </c>
      <c r="I3459" s="102">
        <v>0.66766316994236041</v>
      </c>
      <c r="J3459" s="103">
        <v>1.2685463573211479E-3</v>
      </c>
      <c r="K3459" s="103"/>
      <c r="L3459" s="103">
        <v>3.8600000000000002E-2</v>
      </c>
      <c r="O3459" s="100"/>
    </row>
    <row r="3460" spans="2:15" x14ac:dyDescent="0.2">
      <c r="B3460" s="1">
        <v>3445</v>
      </c>
      <c r="C3460" s="101">
        <f ca="1"/>
        <v>1.7300935063035117</v>
      </c>
      <c r="D3460" s="101">
        <f t="shared" ca="1" si="198"/>
        <v>0.78815664111331718</v>
      </c>
      <c r="E3460" s="101">
        <f t="shared" ca="1" si="199"/>
        <v>0</v>
      </c>
      <c r="F3460" s="21">
        <f t="shared" ca="1" si="200"/>
        <v>0</v>
      </c>
      <c r="H3460" s="21">
        <v>3445</v>
      </c>
      <c r="I3460" s="102">
        <v>0.66769580442874799</v>
      </c>
      <c r="J3460" s="103">
        <v>1.4013592062481475E-3</v>
      </c>
      <c r="K3460" s="103"/>
      <c r="L3460" s="103">
        <v>4.2599999999999999E-2</v>
      </c>
      <c r="O3460" s="100"/>
    </row>
    <row r="3461" spans="2:15" x14ac:dyDescent="0.2">
      <c r="B3461" s="1">
        <v>3446</v>
      </c>
      <c r="C3461" s="101">
        <f ca="1"/>
        <v>1.1746823186684139</v>
      </c>
      <c r="D3461" s="101">
        <f t="shared" ca="1" si="198"/>
        <v>0.74613784156292062</v>
      </c>
      <c r="E3461" s="101">
        <f t="shared" ca="1" si="199"/>
        <v>0</v>
      </c>
      <c r="F3461" s="21">
        <f t="shared" ca="1" si="200"/>
        <v>0</v>
      </c>
      <c r="H3461" s="21">
        <v>3446</v>
      </c>
      <c r="I3461" s="102">
        <v>0.6678174063836444</v>
      </c>
      <c r="J3461" s="103">
        <v>1.5587045834669837E-3</v>
      </c>
      <c r="K3461" s="103"/>
      <c r="L3461" s="103">
        <v>4.4999999999999998E-2</v>
      </c>
      <c r="O3461" s="100"/>
    </row>
    <row r="3462" spans="2:15" x14ac:dyDescent="0.2">
      <c r="B3462" s="1">
        <v>3447</v>
      </c>
      <c r="C3462" s="101">
        <f ca="1"/>
        <v>0.61632306954427463</v>
      </c>
      <c r="D3462" s="101">
        <f t="shared" ca="1" si="198"/>
        <v>0.70615379997682537</v>
      </c>
      <c r="E3462" s="101">
        <f t="shared" ca="1" si="199"/>
        <v>0</v>
      </c>
      <c r="F3462" s="21">
        <f t="shared" ca="1" si="200"/>
        <v>0</v>
      </c>
      <c r="H3462" s="21">
        <v>3447</v>
      </c>
      <c r="I3462" s="102">
        <v>0.66755623302446321</v>
      </c>
      <c r="J3462" s="103">
        <v>1.2251674997956041E-3</v>
      </c>
      <c r="K3462" s="103"/>
      <c r="L3462" s="103">
        <v>3.6999999999999998E-2</v>
      </c>
      <c r="O3462" s="100"/>
    </row>
    <row r="3463" spans="2:15" x14ac:dyDescent="0.2">
      <c r="B3463" s="1">
        <v>3448</v>
      </c>
      <c r="C3463" s="101">
        <f ca="1"/>
        <v>0.18733518519235212</v>
      </c>
      <c r="D3463" s="101">
        <f t="shared" ca="1" si="198"/>
        <v>0.67689565133491469</v>
      </c>
      <c r="E3463" s="101">
        <f t="shared" ca="1" si="199"/>
        <v>0</v>
      </c>
      <c r="F3463" s="21">
        <f t="shared" ca="1" si="200"/>
        <v>0</v>
      </c>
      <c r="H3463" s="21">
        <v>3448</v>
      </c>
      <c r="I3463" s="102">
        <v>0.66778348481335625</v>
      </c>
      <c r="J3463" s="103">
        <v>1.4786120195852002E-3</v>
      </c>
      <c r="K3463" s="103"/>
      <c r="L3463" s="103">
        <v>4.5199999999999997E-2</v>
      </c>
      <c r="O3463" s="100"/>
    </row>
    <row r="3464" spans="2:15" x14ac:dyDescent="0.2">
      <c r="B3464" s="1">
        <v>3449</v>
      </c>
      <c r="C3464" s="101">
        <f ca="1"/>
        <v>0.61719013615492757</v>
      </c>
      <c r="D3464" s="101">
        <f t="shared" ca="1" si="198"/>
        <v>0.70621419890560477</v>
      </c>
      <c r="E3464" s="101">
        <f t="shared" ca="1" si="199"/>
        <v>0</v>
      </c>
      <c r="F3464" s="21">
        <f t="shared" ca="1" si="200"/>
        <v>0</v>
      </c>
      <c r="H3464" s="21">
        <v>3449</v>
      </c>
      <c r="I3464" s="102">
        <v>0.66769334461208785</v>
      </c>
      <c r="J3464" s="103">
        <v>1.208379984857022E-3</v>
      </c>
      <c r="K3464" s="103"/>
      <c r="L3464" s="103">
        <v>3.8399999999999997E-2</v>
      </c>
      <c r="O3464" s="100"/>
    </row>
    <row r="3465" spans="2:15" x14ac:dyDescent="0.2">
      <c r="B3465" s="1">
        <v>3450</v>
      </c>
      <c r="C3465" s="101">
        <f ca="1"/>
        <v>0.70445065220729697</v>
      </c>
      <c r="D3465" s="101">
        <f t="shared" ca="1" si="198"/>
        <v>0.71231916922453864</v>
      </c>
      <c r="E3465" s="101">
        <f t="shared" ca="1" si="199"/>
        <v>0</v>
      </c>
      <c r="F3465" s="21">
        <f t="shared" ca="1" si="200"/>
        <v>0</v>
      </c>
      <c r="H3465" s="21">
        <v>3450</v>
      </c>
      <c r="I3465" s="102">
        <v>0.66753622283347824</v>
      </c>
      <c r="J3465" s="103">
        <v>1.1322613876230008E-3</v>
      </c>
      <c r="K3465" s="103"/>
      <c r="L3465" s="103">
        <v>3.6999999999999998E-2</v>
      </c>
      <c r="O3465" s="100"/>
    </row>
    <row r="3466" spans="2:15" x14ac:dyDescent="0.2">
      <c r="B3466" s="1">
        <v>3451</v>
      </c>
      <c r="C3466" s="101">
        <f ca="1"/>
        <v>0.28409708329012923</v>
      </c>
      <c r="D3466" s="101">
        <f t="shared" ca="1" si="198"/>
        <v>0.68338736360074848</v>
      </c>
      <c r="E3466" s="101">
        <f t="shared" ca="1" si="199"/>
        <v>0</v>
      </c>
      <c r="F3466" s="21">
        <f t="shared" ca="1" si="200"/>
        <v>0</v>
      </c>
      <c r="H3466" s="21">
        <v>3451</v>
      </c>
      <c r="I3466" s="102">
        <v>0.66764001120556449</v>
      </c>
      <c r="J3466" s="103">
        <v>1.2835719110247292E-3</v>
      </c>
      <c r="K3466" s="103"/>
      <c r="L3466" s="103">
        <v>3.78E-2</v>
      </c>
      <c r="O3466" s="100"/>
    </row>
    <row r="3467" spans="2:15" x14ac:dyDescent="0.2">
      <c r="B3467" s="1">
        <v>3452</v>
      </c>
      <c r="C3467" s="101">
        <f ca="1"/>
        <v>-0.645458281722458</v>
      </c>
      <c r="D3467" s="101">
        <f t="shared" ca="1" si="198"/>
        <v>0.62351278831851298</v>
      </c>
      <c r="E3467" s="101">
        <f t="shared" ca="1" si="199"/>
        <v>0</v>
      </c>
      <c r="F3467" s="21">
        <f t="shared" ca="1" si="200"/>
        <v>0</v>
      </c>
      <c r="H3467" s="21">
        <v>3452</v>
      </c>
      <c r="I3467" s="102">
        <v>0.66773684012588819</v>
      </c>
      <c r="J3467" s="103">
        <v>1.4483524068126859E-3</v>
      </c>
      <c r="K3467" s="103"/>
      <c r="L3467" s="103">
        <v>0.04</v>
      </c>
      <c r="O3467" s="100"/>
    </row>
    <row r="3468" spans="2:15" x14ac:dyDescent="0.2">
      <c r="B3468" s="1">
        <v>3453</v>
      </c>
      <c r="C3468" s="101">
        <f ca="1"/>
        <v>0.19098297438641093</v>
      </c>
      <c r="D3468" s="101">
        <f t="shared" ca="1" si="198"/>
        <v>0.67713925762282645</v>
      </c>
      <c r="E3468" s="101">
        <f t="shared" ca="1" si="199"/>
        <v>0</v>
      </c>
      <c r="F3468" s="21">
        <f t="shared" ca="1" si="200"/>
        <v>0</v>
      </c>
      <c r="H3468" s="21">
        <v>3453</v>
      </c>
      <c r="I3468" s="102">
        <v>0.66769402490879937</v>
      </c>
      <c r="J3468" s="103">
        <v>1.3009973064074889E-3</v>
      </c>
      <c r="K3468" s="103"/>
      <c r="L3468" s="103">
        <v>0.04</v>
      </c>
      <c r="O3468" s="100"/>
    </row>
    <row r="3469" spans="2:15" x14ac:dyDescent="0.2">
      <c r="B3469" s="1">
        <v>3454</v>
      </c>
      <c r="C3469" s="101">
        <f ca="1"/>
        <v>1.2766023882083578E-2</v>
      </c>
      <c r="D3469" s="101">
        <f t="shared" ca="1" si="198"/>
        <v>0.6653394713262758</v>
      </c>
      <c r="E3469" s="101">
        <f t="shared" ca="1" si="199"/>
        <v>0</v>
      </c>
      <c r="F3469" s="21">
        <f t="shared" ca="1" si="200"/>
        <v>0</v>
      </c>
      <c r="H3469" s="21">
        <v>3454</v>
      </c>
      <c r="I3469" s="102">
        <v>0.66755834712000206</v>
      </c>
      <c r="J3469" s="103">
        <v>1.1910611226074121E-3</v>
      </c>
      <c r="K3469" s="103"/>
      <c r="L3469" s="103">
        <v>3.8199999999999998E-2</v>
      </c>
      <c r="O3469" s="100"/>
    </row>
    <row r="3470" spans="2:15" x14ac:dyDescent="0.2">
      <c r="B3470" s="1">
        <v>3455</v>
      </c>
      <c r="C3470" s="101">
        <f ca="1"/>
        <v>0.16317071867347582</v>
      </c>
      <c r="D3470" s="101">
        <f t="shared" ca="1" si="198"/>
        <v>0.67528411410276223</v>
      </c>
      <c r="E3470" s="101">
        <f t="shared" ca="1" si="199"/>
        <v>0</v>
      </c>
      <c r="F3470" s="21">
        <f t="shared" ca="1" si="200"/>
        <v>0</v>
      </c>
      <c r="H3470" s="21">
        <v>3455</v>
      </c>
      <c r="I3470" s="102">
        <v>0.66779902976767858</v>
      </c>
      <c r="J3470" s="103">
        <v>1.4274898663740928E-3</v>
      </c>
      <c r="K3470" s="103"/>
      <c r="L3470" s="103">
        <v>4.0599999999999997E-2</v>
      </c>
      <c r="O3470" s="100"/>
    </row>
    <row r="3471" spans="2:15" x14ac:dyDescent="0.2">
      <c r="B3471" s="1">
        <v>3456</v>
      </c>
      <c r="C3471" s="101">
        <f ca="1"/>
        <v>0.33642595022387906</v>
      </c>
      <c r="D3471" s="101">
        <f t="shared" ca="1" si="198"/>
        <v>0.68692398464016824</v>
      </c>
      <c r="E3471" s="101">
        <f t="shared" ca="1" si="199"/>
        <v>0</v>
      </c>
      <c r="F3471" s="21">
        <f t="shared" ca="1" si="200"/>
        <v>0</v>
      </c>
      <c r="H3471" s="21">
        <v>3456</v>
      </c>
      <c r="I3471" s="102">
        <v>0.66784133755439756</v>
      </c>
      <c r="J3471" s="103">
        <v>1.4304868686449384E-3</v>
      </c>
      <c r="K3471" s="103"/>
      <c r="L3471" s="103">
        <v>3.9199999999999999E-2</v>
      </c>
      <c r="O3471" s="100"/>
    </row>
    <row r="3472" spans="2:15" x14ac:dyDescent="0.2">
      <c r="B3472" s="1">
        <v>3457</v>
      </c>
      <c r="C3472" s="101">
        <f ca="1"/>
        <v>0.85538283180854835</v>
      </c>
      <c r="D3472" s="101">
        <f t="shared" ref="D3472:D3535" ca="1" si="201">S0*EXP((μ-0.5*σ*σ)*T+σ*SQRT(T)*$C3472)</f>
        <v>0.72300362259265349</v>
      </c>
      <c r="E3472" s="101">
        <f t="shared" ref="E3472:E3535" ca="1" si="202">MAX(0,CP*(D3472-K))</f>
        <v>0</v>
      </c>
      <c r="F3472" s="21">
        <f t="shared" ref="F3472:F3535" ca="1" si="203">(CP*(D3472-K)&gt;0)*1</f>
        <v>0</v>
      </c>
      <c r="H3472" s="21">
        <v>3457</v>
      </c>
      <c r="I3472" s="102">
        <v>0.66776026906073593</v>
      </c>
      <c r="J3472" s="103">
        <v>1.3993928361844485E-3</v>
      </c>
      <c r="K3472" s="103"/>
      <c r="L3472" s="103">
        <v>4.1200000000000001E-2</v>
      </c>
      <c r="O3472" s="100"/>
    </row>
    <row r="3473" spans="2:15" x14ac:dyDescent="0.2">
      <c r="B3473" s="1">
        <v>3458</v>
      </c>
      <c r="C3473" s="101">
        <f ca="1"/>
        <v>1.9481358283097689</v>
      </c>
      <c r="D3473" s="101">
        <f t="shared" ca="1" si="201"/>
        <v>0.80529191334378991</v>
      </c>
      <c r="E3473" s="101">
        <f t="shared" ca="1" si="202"/>
        <v>1.70919133437899E-2</v>
      </c>
      <c r="F3473" s="21">
        <f t="shared" ca="1" si="203"/>
        <v>1</v>
      </c>
      <c r="H3473" s="21">
        <v>3458</v>
      </c>
      <c r="I3473" s="102">
        <v>0.66793254498986743</v>
      </c>
      <c r="J3473" s="103">
        <v>1.6005921332389917E-3</v>
      </c>
      <c r="K3473" s="103"/>
      <c r="L3473" s="103">
        <v>4.2000000000000003E-2</v>
      </c>
      <c r="O3473" s="100"/>
    </row>
    <row r="3474" spans="2:15" x14ac:dyDescent="0.2">
      <c r="B3474" s="1">
        <v>3459</v>
      </c>
      <c r="C3474" s="101">
        <f ca="1"/>
        <v>0.40688505015576554</v>
      </c>
      <c r="D3474" s="101">
        <f t="shared" ca="1" si="201"/>
        <v>0.69171485874424854</v>
      </c>
      <c r="E3474" s="101">
        <f t="shared" ca="1" si="202"/>
        <v>0</v>
      </c>
      <c r="F3474" s="21">
        <f t="shared" ca="1" si="203"/>
        <v>0</v>
      </c>
      <c r="H3474" s="21">
        <v>3459</v>
      </c>
      <c r="I3474" s="102">
        <v>0.66793905869284187</v>
      </c>
      <c r="J3474" s="103">
        <v>1.5041450885899231E-3</v>
      </c>
      <c r="K3474" s="103"/>
      <c r="L3474" s="103">
        <v>4.6800000000000001E-2</v>
      </c>
      <c r="O3474" s="100"/>
    </row>
    <row r="3475" spans="2:15" x14ac:dyDescent="0.2">
      <c r="B3475" s="1">
        <v>3460</v>
      </c>
      <c r="C3475" s="101">
        <f ca="1"/>
        <v>-0.52845368859716513</v>
      </c>
      <c r="D3475" s="101">
        <f t="shared" ca="1" si="201"/>
        <v>0.63075074183188595</v>
      </c>
      <c r="E3475" s="101">
        <f t="shared" ca="1" si="202"/>
        <v>0</v>
      </c>
      <c r="F3475" s="21">
        <f t="shared" ca="1" si="203"/>
        <v>0</v>
      </c>
      <c r="H3475" s="21">
        <v>3460</v>
      </c>
      <c r="I3475" s="102">
        <v>0.66797620618592157</v>
      </c>
      <c r="J3475" s="103">
        <v>1.7303945974532138E-3</v>
      </c>
      <c r="K3475" s="103"/>
      <c r="L3475" s="103">
        <v>4.5999999999999999E-2</v>
      </c>
      <c r="O3475" s="100"/>
    </row>
    <row r="3476" spans="2:15" x14ac:dyDescent="0.2">
      <c r="B3476" s="1">
        <v>3461</v>
      </c>
      <c r="C3476" s="101">
        <f ca="1"/>
        <v>0.59528757847627856</v>
      </c>
      <c r="D3476" s="101">
        <f t="shared" ca="1" si="201"/>
        <v>0.70469007204537137</v>
      </c>
      <c r="E3476" s="101">
        <f t="shared" ca="1" si="202"/>
        <v>0</v>
      </c>
      <c r="F3476" s="21">
        <f t="shared" ca="1" si="203"/>
        <v>0</v>
      </c>
      <c r="H3476" s="21">
        <v>3461</v>
      </c>
      <c r="I3476" s="102">
        <v>0.66779598074971702</v>
      </c>
      <c r="J3476" s="103">
        <v>1.5712679171583858E-3</v>
      </c>
      <c r="K3476" s="103"/>
      <c r="L3476" s="103">
        <v>4.3799999999999999E-2</v>
      </c>
      <c r="O3476" s="100"/>
    </row>
    <row r="3477" spans="2:15" x14ac:dyDescent="0.2">
      <c r="B3477" s="1">
        <v>3462</v>
      </c>
      <c r="C3477" s="101">
        <f ca="1"/>
        <v>0.84594111929302174</v>
      </c>
      <c r="D3477" s="101">
        <f t="shared" ca="1" si="201"/>
        <v>0.72233057167012815</v>
      </c>
      <c r="E3477" s="101">
        <f t="shared" ca="1" si="202"/>
        <v>0</v>
      </c>
      <c r="F3477" s="21">
        <f t="shared" ca="1" si="203"/>
        <v>0</v>
      </c>
      <c r="H3477" s="21">
        <v>3462</v>
      </c>
      <c r="I3477" s="102">
        <v>0.66772102957207913</v>
      </c>
      <c r="J3477" s="103">
        <v>1.4061148573005849E-3</v>
      </c>
      <c r="K3477" s="103"/>
      <c r="L3477" s="103">
        <v>3.9800000000000002E-2</v>
      </c>
      <c r="O3477" s="100"/>
    </row>
    <row r="3478" spans="2:15" x14ac:dyDescent="0.2">
      <c r="B3478" s="1">
        <v>3463</v>
      </c>
      <c r="C3478" s="101">
        <f ca="1"/>
        <v>-1.5188375079111864</v>
      </c>
      <c r="D3478" s="101">
        <f t="shared" ca="1" si="201"/>
        <v>0.57204518938278348</v>
      </c>
      <c r="E3478" s="101">
        <f t="shared" ca="1" si="202"/>
        <v>0</v>
      </c>
      <c r="F3478" s="21">
        <f t="shared" ca="1" si="203"/>
        <v>0</v>
      </c>
      <c r="H3478" s="21">
        <v>3463</v>
      </c>
      <c r="I3478" s="102">
        <v>0.66770953304585634</v>
      </c>
      <c r="J3478" s="103">
        <v>1.3426390014616223E-3</v>
      </c>
      <c r="K3478" s="103"/>
      <c r="L3478" s="103">
        <v>4.4600000000000001E-2</v>
      </c>
      <c r="O3478" s="100"/>
    </row>
    <row r="3479" spans="2:15" x14ac:dyDescent="0.2">
      <c r="B3479" s="1">
        <v>3464</v>
      </c>
      <c r="C3479" s="101">
        <f ca="1"/>
        <v>1.042239034676046</v>
      </c>
      <c r="D3479" s="101">
        <f t="shared" ca="1" si="201"/>
        <v>0.73645341072196902</v>
      </c>
      <c r="E3479" s="101">
        <f t="shared" ca="1" si="202"/>
        <v>0</v>
      </c>
      <c r="F3479" s="21">
        <f t="shared" ca="1" si="203"/>
        <v>0</v>
      </c>
      <c r="H3479" s="21">
        <v>3464</v>
      </c>
      <c r="I3479" s="102">
        <v>0.66775721942174082</v>
      </c>
      <c r="J3479" s="103">
        <v>1.3335294218635621E-3</v>
      </c>
      <c r="K3479" s="103"/>
      <c r="L3479" s="103">
        <v>4.2999999999999997E-2</v>
      </c>
      <c r="O3479" s="100"/>
    </row>
    <row r="3480" spans="2:15" x14ac:dyDescent="0.2">
      <c r="B3480" s="1">
        <v>3465</v>
      </c>
      <c r="C3480" s="101">
        <f ca="1"/>
        <v>-1.1215853656194974</v>
      </c>
      <c r="D3480" s="101">
        <f t="shared" ca="1" si="201"/>
        <v>0.59490603497104777</v>
      </c>
      <c r="E3480" s="101">
        <f t="shared" ca="1" si="202"/>
        <v>0</v>
      </c>
      <c r="F3480" s="21">
        <f t="shared" ca="1" si="203"/>
        <v>0</v>
      </c>
      <c r="H3480" s="21">
        <v>3465</v>
      </c>
      <c r="I3480" s="102">
        <v>0.66792307788190597</v>
      </c>
      <c r="J3480" s="103">
        <v>1.5451286352418752E-3</v>
      </c>
      <c r="K3480" s="103"/>
      <c r="L3480" s="103">
        <v>4.4400000000000002E-2</v>
      </c>
      <c r="O3480" s="100"/>
    </row>
    <row r="3481" spans="2:15" x14ac:dyDescent="0.2">
      <c r="B3481" s="1">
        <v>3466</v>
      </c>
      <c r="C3481" s="101">
        <f ca="1"/>
        <v>-0.91106699322077023</v>
      </c>
      <c r="D3481" s="101">
        <f t="shared" ca="1" si="201"/>
        <v>0.60738890132158452</v>
      </c>
      <c r="E3481" s="101">
        <f t="shared" ca="1" si="202"/>
        <v>0</v>
      </c>
      <c r="F3481" s="21">
        <f t="shared" ca="1" si="203"/>
        <v>0</v>
      </c>
      <c r="H3481" s="21">
        <v>3466</v>
      </c>
      <c r="I3481" s="102">
        <v>0.66771666676143882</v>
      </c>
      <c r="J3481" s="103">
        <v>1.3244778926119504E-3</v>
      </c>
      <c r="K3481" s="103"/>
      <c r="L3481" s="103">
        <v>4.2000000000000003E-2</v>
      </c>
      <c r="O3481" s="100"/>
    </row>
    <row r="3482" spans="2:15" x14ac:dyDescent="0.2">
      <c r="B3482" s="1">
        <v>3467</v>
      </c>
      <c r="C3482" s="101">
        <f ca="1"/>
        <v>0.54622168598434973</v>
      </c>
      <c r="D3482" s="101">
        <f t="shared" ca="1" si="201"/>
        <v>0.701287665507626</v>
      </c>
      <c r="E3482" s="101">
        <f t="shared" ca="1" si="202"/>
        <v>0</v>
      </c>
      <c r="F3482" s="21">
        <f t="shared" ca="1" si="203"/>
        <v>0</v>
      </c>
      <c r="H3482" s="21">
        <v>3467</v>
      </c>
      <c r="I3482" s="102">
        <v>0.6676982807273083</v>
      </c>
      <c r="J3482" s="103">
        <v>1.2779806514172257E-3</v>
      </c>
      <c r="K3482" s="103"/>
      <c r="L3482" s="103">
        <v>3.9399999999999998E-2</v>
      </c>
      <c r="O3482" s="100"/>
    </row>
    <row r="3483" spans="2:15" x14ac:dyDescent="0.2">
      <c r="B3483" s="1">
        <v>3468</v>
      </c>
      <c r="C3483" s="101">
        <f ca="1"/>
        <v>1.1937633825602059</v>
      </c>
      <c r="D3483" s="101">
        <f t="shared" ca="1" si="201"/>
        <v>0.74754353082561797</v>
      </c>
      <c r="E3483" s="101">
        <f t="shared" ca="1" si="202"/>
        <v>0</v>
      </c>
      <c r="F3483" s="21">
        <f t="shared" ca="1" si="203"/>
        <v>0</v>
      </c>
      <c r="H3483" s="21">
        <v>3468</v>
      </c>
      <c r="I3483" s="102">
        <v>0.66762097252481689</v>
      </c>
      <c r="J3483" s="103">
        <v>1.1878108518102704E-3</v>
      </c>
      <c r="K3483" s="103"/>
      <c r="L3483" s="103">
        <v>3.6799999999999999E-2</v>
      </c>
      <c r="O3483" s="100"/>
    </row>
    <row r="3484" spans="2:15" x14ac:dyDescent="0.2">
      <c r="B3484" s="1">
        <v>3469</v>
      </c>
      <c r="C3484" s="101">
        <f ca="1"/>
        <v>6.3218612483471645E-2</v>
      </c>
      <c r="D3484" s="101">
        <f t="shared" ca="1" si="201"/>
        <v>0.66865892620958389</v>
      </c>
      <c r="E3484" s="101">
        <f t="shared" ca="1" si="202"/>
        <v>0</v>
      </c>
      <c r="F3484" s="21">
        <f t="shared" ca="1" si="203"/>
        <v>0</v>
      </c>
      <c r="H3484" s="21">
        <v>3469</v>
      </c>
      <c r="I3484" s="102">
        <v>0.66763914918985701</v>
      </c>
      <c r="J3484" s="103">
        <v>1.1382193564084676E-3</v>
      </c>
      <c r="K3484" s="103"/>
      <c r="L3484" s="103">
        <v>3.8399999999999997E-2</v>
      </c>
      <c r="O3484" s="100"/>
    </row>
    <row r="3485" spans="2:15" x14ac:dyDescent="0.2">
      <c r="B3485" s="1">
        <v>3470</v>
      </c>
      <c r="C3485" s="101">
        <f ca="1"/>
        <v>-0.26133351295991131</v>
      </c>
      <c r="D3485" s="101">
        <f t="shared" ca="1" si="201"/>
        <v>0.64759134170517352</v>
      </c>
      <c r="E3485" s="101">
        <f t="shared" ca="1" si="202"/>
        <v>0</v>
      </c>
      <c r="F3485" s="21">
        <f t="shared" ca="1" si="203"/>
        <v>0</v>
      </c>
      <c r="H3485" s="21">
        <v>3470</v>
      </c>
      <c r="I3485" s="102">
        <v>0.66781574577171499</v>
      </c>
      <c r="J3485" s="103">
        <v>1.4694002548345949E-3</v>
      </c>
      <c r="K3485" s="103"/>
      <c r="L3485" s="103">
        <v>4.4999999999999998E-2</v>
      </c>
      <c r="O3485" s="100"/>
    </row>
    <row r="3486" spans="2:15" x14ac:dyDescent="0.2">
      <c r="B3486" s="1">
        <v>3471</v>
      </c>
      <c r="C3486" s="101">
        <f ca="1"/>
        <v>-0.64738949537728541</v>
      </c>
      <c r="D3486" s="101">
        <f t="shared" ca="1" si="201"/>
        <v>0.62339402201925143</v>
      </c>
      <c r="E3486" s="101">
        <f t="shared" ca="1" si="202"/>
        <v>0</v>
      </c>
      <c r="F3486" s="21">
        <f t="shared" ca="1" si="203"/>
        <v>0</v>
      </c>
      <c r="H3486" s="21">
        <v>3471</v>
      </c>
      <c r="I3486" s="102">
        <v>0.66789106138289689</v>
      </c>
      <c r="J3486" s="103">
        <v>1.4849206270190717E-3</v>
      </c>
      <c r="K3486" s="103"/>
      <c r="L3486" s="103">
        <v>0.05</v>
      </c>
      <c r="O3486" s="100"/>
    </row>
    <row r="3487" spans="2:15" x14ac:dyDescent="0.2">
      <c r="B3487" s="1">
        <v>3472</v>
      </c>
      <c r="C3487" s="101">
        <f ca="1"/>
        <v>0.13003040227540555</v>
      </c>
      <c r="D3487" s="101">
        <f t="shared" ca="1" si="201"/>
        <v>0.67308021137586882</v>
      </c>
      <c r="E3487" s="101">
        <f t="shared" ca="1" si="202"/>
        <v>0</v>
      </c>
      <c r="F3487" s="21">
        <f t="shared" ca="1" si="203"/>
        <v>0</v>
      </c>
      <c r="H3487" s="21">
        <v>3472</v>
      </c>
      <c r="I3487" s="102">
        <v>0.66786483830548693</v>
      </c>
      <c r="J3487" s="103">
        <v>1.5452140232615915E-3</v>
      </c>
      <c r="K3487" s="103"/>
      <c r="L3487" s="103">
        <v>4.6600000000000003E-2</v>
      </c>
      <c r="O3487" s="100"/>
    </row>
    <row r="3488" spans="2:15" x14ac:dyDescent="0.2">
      <c r="B3488" s="1">
        <v>3473</v>
      </c>
      <c r="C3488" s="101">
        <f ca="1"/>
        <v>7.9888107142683351E-2</v>
      </c>
      <c r="D3488" s="101">
        <f t="shared" ca="1" si="201"/>
        <v>0.66975930721697063</v>
      </c>
      <c r="E3488" s="101">
        <f t="shared" ca="1" si="202"/>
        <v>0</v>
      </c>
      <c r="F3488" s="21">
        <f t="shared" ca="1" si="203"/>
        <v>0</v>
      </c>
      <c r="H3488" s="21">
        <v>3473</v>
      </c>
      <c r="I3488" s="102">
        <v>0.6677744368081121</v>
      </c>
      <c r="J3488" s="103">
        <v>1.5345870633322965E-3</v>
      </c>
      <c r="K3488" s="103"/>
      <c r="L3488" s="103">
        <v>4.3200000000000002E-2</v>
      </c>
      <c r="O3488" s="100"/>
    </row>
    <row r="3489" spans="2:15" x14ac:dyDescent="0.2">
      <c r="B3489" s="1">
        <v>3474</v>
      </c>
      <c r="C3489" s="101">
        <f ca="1"/>
        <v>0.742786263593049</v>
      </c>
      <c r="D3489" s="101">
        <f t="shared" ca="1" si="201"/>
        <v>0.71501788608334282</v>
      </c>
      <c r="E3489" s="101">
        <f t="shared" ca="1" si="202"/>
        <v>0</v>
      </c>
      <c r="F3489" s="21">
        <f t="shared" ca="1" si="203"/>
        <v>0</v>
      </c>
      <c r="H3489" s="21">
        <v>3474</v>
      </c>
      <c r="I3489" s="102">
        <v>0.66774594083261152</v>
      </c>
      <c r="J3489" s="103">
        <v>1.4187245896560546E-3</v>
      </c>
      <c r="K3489" s="103"/>
      <c r="L3489" s="103">
        <v>4.7E-2</v>
      </c>
      <c r="O3489" s="100"/>
    </row>
    <row r="3490" spans="2:15" x14ac:dyDescent="0.2">
      <c r="B3490" s="1">
        <v>3475</v>
      </c>
      <c r="C3490" s="101">
        <f ca="1"/>
        <v>-0.75938789560093722</v>
      </c>
      <c r="D3490" s="101">
        <f t="shared" ca="1" si="201"/>
        <v>0.61654487339025266</v>
      </c>
      <c r="E3490" s="101">
        <f t="shared" ca="1" si="202"/>
        <v>0</v>
      </c>
      <c r="F3490" s="21">
        <f t="shared" ca="1" si="203"/>
        <v>0</v>
      </c>
      <c r="H3490" s="21">
        <v>3475</v>
      </c>
      <c r="I3490" s="102">
        <v>0.66769784956654021</v>
      </c>
      <c r="J3490" s="103">
        <v>1.2721705938379306E-3</v>
      </c>
      <c r="K3490" s="103"/>
      <c r="L3490" s="103">
        <v>4.2799999999999998E-2</v>
      </c>
      <c r="O3490" s="100"/>
    </row>
    <row r="3491" spans="2:15" x14ac:dyDescent="0.2">
      <c r="B3491" s="1">
        <v>3476</v>
      </c>
      <c r="C3491" s="101">
        <f ca="1"/>
        <v>-0.29360885528942782</v>
      </c>
      <c r="D3491" s="101">
        <f t="shared" ca="1" si="201"/>
        <v>0.64553289490581744</v>
      </c>
      <c r="E3491" s="101">
        <f t="shared" ca="1" si="202"/>
        <v>0</v>
      </c>
      <c r="F3491" s="21">
        <f t="shared" ca="1" si="203"/>
        <v>0</v>
      </c>
      <c r="H3491" s="21">
        <v>3476</v>
      </c>
      <c r="I3491" s="102">
        <v>0.66768762985571373</v>
      </c>
      <c r="J3491" s="103">
        <v>1.2295561765563749E-3</v>
      </c>
      <c r="K3491" s="103"/>
      <c r="L3491" s="103">
        <v>4.1599999999999998E-2</v>
      </c>
      <c r="O3491" s="100"/>
    </row>
    <row r="3492" spans="2:15" x14ac:dyDescent="0.2">
      <c r="B3492" s="1">
        <v>3477</v>
      </c>
      <c r="C3492" s="101">
        <f ca="1"/>
        <v>0.29849015000860957</v>
      </c>
      <c r="D3492" s="101">
        <f t="shared" ca="1" si="201"/>
        <v>0.68435829269440884</v>
      </c>
      <c r="E3492" s="101">
        <f t="shared" ca="1" si="202"/>
        <v>0</v>
      </c>
      <c r="F3492" s="21">
        <f t="shared" ca="1" si="203"/>
        <v>0</v>
      </c>
      <c r="H3492" s="21">
        <v>3477</v>
      </c>
      <c r="I3492" s="102">
        <v>0.66777710878945939</v>
      </c>
      <c r="J3492" s="103">
        <v>1.3535454164300368E-3</v>
      </c>
      <c r="K3492" s="103"/>
      <c r="L3492" s="103">
        <v>4.2200000000000001E-2</v>
      </c>
      <c r="O3492" s="100"/>
    </row>
    <row r="3493" spans="2:15" x14ac:dyDescent="0.2">
      <c r="B3493" s="1">
        <v>3478</v>
      </c>
      <c r="C3493" s="101">
        <f ca="1"/>
        <v>-0.99007846632586027</v>
      </c>
      <c r="D3493" s="101">
        <f t="shared" ca="1" si="201"/>
        <v>0.60267343541405849</v>
      </c>
      <c r="E3493" s="101">
        <f t="shared" ca="1" si="202"/>
        <v>0</v>
      </c>
      <c r="F3493" s="21">
        <f t="shared" ca="1" si="203"/>
        <v>0</v>
      </c>
      <c r="H3493" s="21">
        <v>3478</v>
      </c>
      <c r="I3493" s="102">
        <v>0.66767668009819747</v>
      </c>
      <c r="J3493" s="103">
        <v>1.2627312509056632E-3</v>
      </c>
      <c r="K3493" s="103"/>
      <c r="L3493" s="103">
        <v>4.1399999999999999E-2</v>
      </c>
      <c r="O3493" s="100"/>
    </row>
    <row r="3494" spans="2:15" x14ac:dyDescent="0.2">
      <c r="B3494" s="1">
        <v>3479</v>
      </c>
      <c r="C3494" s="101">
        <f ca="1"/>
        <v>-0.24433991693024176</v>
      </c>
      <c r="D3494" s="101">
        <f t="shared" ca="1" si="201"/>
        <v>0.64867779052558205</v>
      </c>
      <c r="E3494" s="101">
        <f t="shared" ca="1" si="202"/>
        <v>0</v>
      </c>
      <c r="F3494" s="21">
        <f t="shared" ca="1" si="203"/>
        <v>0</v>
      </c>
      <c r="H3494" s="21">
        <v>3479</v>
      </c>
      <c r="I3494" s="102">
        <v>0.66760839857987453</v>
      </c>
      <c r="J3494" s="103">
        <v>1.2083393354799376E-3</v>
      </c>
      <c r="K3494" s="103"/>
      <c r="L3494" s="103">
        <v>3.6400000000000002E-2</v>
      </c>
      <c r="O3494" s="100"/>
    </row>
    <row r="3495" spans="2:15" x14ac:dyDescent="0.2">
      <c r="B3495" s="1">
        <v>3480</v>
      </c>
      <c r="C3495" s="101">
        <f ca="1"/>
        <v>4.8929115501732214E-2</v>
      </c>
      <c r="D3495" s="101">
        <f t="shared" ca="1" si="201"/>
        <v>0.66771709202898932</v>
      </c>
      <c r="E3495" s="101">
        <f t="shared" ca="1" si="202"/>
        <v>0</v>
      </c>
      <c r="F3495" s="21">
        <f t="shared" ca="1" si="203"/>
        <v>0</v>
      </c>
      <c r="H3495" s="21">
        <v>3480</v>
      </c>
      <c r="I3495" s="102">
        <v>0.66775468465310117</v>
      </c>
      <c r="J3495" s="103">
        <v>1.3830417277410976E-3</v>
      </c>
      <c r="K3495" s="103"/>
      <c r="L3495" s="103">
        <v>3.9800000000000002E-2</v>
      </c>
      <c r="O3495" s="100"/>
    </row>
    <row r="3496" spans="2:15" x14ac:dyDescent="0.2">
      <c r="B3496" s="1">
        <v>3481</v>
      </c>
      <c r="C3496" s="101">
        <f ca="1"/>
        <v>0.50546865345332281</v>
      </c>
      <c r="D3496" s="101">
        <f t="shared" ca="1" si="201"/>
        <v>0.69847419473884764</v>
      </c>
      <c r="E3496" s="101">
        <f t="shared" ca="1" si="202"/>
        <v>0</v>
      </c>
      <c r="F3496" s="21">
        <f t="shared" ca="1" si="203"/>
        <v>0</v>
      </c>
      <c r="H3496" s="21">
        <v>3481</v>
      </c>
      <c r="I3496" s="102">
        <v>0.66776383047290999</v>
      </c>
      <c r="J3496" s="103">
        <v>1.38028103369255E-3</v>
      </c>
      <c r="K3496" s="103"/>
      <c r="L3496" s="103">
        <v>4.2000000000000003E-2</v>
      </c>
      <c r="O3496" s="100"/>
    </row>
    <row r="3497" spans="2:15" x14ac:dyDescent="0.2">
      <c r="B3497" s="1">
        <v>3482</v>
      </c>
      <c r="C3497" s="101">
        <f ca="1"/>
        <v>-3.3093258726722731E-2</v>
      </c>
      <c r="D3497" s="101">
        <f t="shared" ca="1" si="201"/>
        <v>0.66233652531221043</v>
      </c>
      <c r="E3497" s="101">
        <f t="shared" ca="1" si="202"/>
        <v>0</v>
      </c>
      <c r="F3497" s="21">
        <f t="shared" ca="1" si="203"/>
        <v>0</v>
      </c>
      <c r="H3497" s="21">
        <v>3482</v>
      </c>
      <c r="I3497" s="102">
        <v>0.66774727271675316</v>
      </c>
      <c r="J3497" s="103">
        <v>1.3246322544559984E-3</v>
      </c>
      <c r="K3497" s="103"/>
      <c r="L3497" s="103">
        <v>4.36E-2</v>
      </c>
      <c r="O3497" s="100"/>
    </row>
    <row r="3498" spans="2:15" x14ac:dyDescent="0.2">
      <c r="B3498" s="1">
        <v>3483</v>
      </c>
      <c r="C3498" s="101">
        <f ca="1"/>
        <v>-0.31699456669696713</v>
      </c>
      <c r="D3498" s="101">
        <f t="shared" ca="1" si="201"/>
        <v>0.64404549740987493</v>
      </c>
      <c r="E3498" s="101">
        <f t="shared" ca="1" si="202"/>
        <v>0</v>
      </c>
      <c r="F3498" s="21">
        <f t="shared" ca="1" si="203"/>
        <v>0</v>
      </c>
      <c r="H3498" s="21">
        <v>3483</v>
      </c>
      <c r="I3498" s="102">
        <v>0.66789850620245217</v>
      </c>
      <c r="J3498" s="103">
        <v>1.5028777864268875E-3</v>
      </c>
      <c r="K3498" s="103"/>
      <c r="L3498" s="103">
        <v>4.4400000000000002E-2</v>
      </c>
      <c r="O3498" s="100"/>
    </row>
    <row r="3499" spans="2:15" x14ac:dyDescent="0.2">
      <c r="B3499" s="1">
        <v>3484</v>
      </c>
      <c r="C3499" s="101">
        <f ca="1"/>
        <v>-0.53460057499419</v>
      </c>
      <c r="D3499" s="101">
        <f t="shared" ca="1" si="201"/>
        <v>0.6303684102271071</v>
      </c>
      <c r="E3499" s="101">
        <f t="shared" ca="1" si="202"/>
        <v>0</v>
      </c>
      <c r="F3499" s="21">
        <f t="shared" ca="1" si="203"/>
        <v>0</v>
      </c>
      <c r="H3499" s="21">
        <v>3484</v>
      </c>
      <c r="I3499" s="102">
        <v>0.66775811668238705</v>
      </c>
      <c r="J3499" s="103">
        <v>1.2741538399154331E-3</v>
      </c>
      <c r="K3499" s="103"/>
      <c r="L3499" s="103">
        <v>3.8800000000000001E-2</v>
      </c>
      <c r="O3499" s="100"/>
    </row>
    <row r="3500" spans="2:15" x14ac:dyDescent="0.2">
      <c r="B3500" s="1">
        <v>3485</v>
      </c>
      <c r="C3500" s="101">
        <f ca="1"/>
        <v>-0.37109234188605905</v>
      </c>
      <c r="D3500" s="101">
        <f t="shared" ca="1" si="201"/>
        <v>0.6406178462884754</v>
      </c>
      <c r="E3500" s="101">
        <f t="shared" ca="1" si="202"/>
        <v>0</v>
      </c>
      <c r="F3500" s="21">
        <f t="shared" ca="1" si="203"/>
        <v>0</v>
      </c>
      <c r="H3500" s="21">
        <v>3485</v>
      </c>
      <c r="I3500" s="102">
        <v>0.66758680241555513</v>
      </c>
      <c r="J3500" s="103">
        <v>1.2394692932290586E-3</v>
      </c>
      <c r="K3500" s="103"/>
      <c r="L3500" s="103">
        <v>3.7400000000000003E-2</v>
      </c>
      <c r="O3500" s="100"/>
    </row>
    <row r="3501" spans="2:15" x14ac:dyDescent="0.2">
      <c r="B3501" s="1">
        <v>3486</v>
      </c>
      <c r="C3501" s="101">
        <f ca="1"/>
        <v>3.8161331194596797E-2</v>
      </c>
      <c r="D3501" s="101">
        <f t="shared" ca="1" si="201"/>
        <v>0.66700825382053253</v>
      </c>
      <c r="E3501" s="101">
        <f t="shared" ca="1" si="202"/>
        <v>0</v>
      </c>
      <c r="F3501" s="21">
        <f t="shared" ca="1" si="203"/>
        <v>0</v>
      </c>
      <c r="H3501" s="21">
        <v>3486</v>
      </c>
      <c r="I3501" s="102">
        <v>0.66769807632861777</v>
      </c>
      <c r="J3501" s="103">
        <v>1.3527772825725781E-3</v>
      </c>
      <c r="K3501" s="103"/>
      <c r="L3501" s="103">
        <v>3.7400000000000003E-2</v>
      </c>
      <c r="O3501" s="100"/>
    </row>
    <row r="3502" spans="2:15" x14ac:dyDescent="0.2">
      <c r="B3502" s="1">
        <v>3487</v>
      </c>
      <c r="C3502" s="101">
        <f ca="1"/>
        <v>0.64095795823712809</v>
      </c>
      <c r="D3502" s="101">
        <f t="shared" ca="1" si="201"/>
        <v>0.70787185308320355</v>
      </c>
      <c r="E3502" s="101">
        <f t="shared" ca="1" si="202"/>
        <v>0</v>
      </c>
      <c r="F3502" s="21">
        <f t="shared" ca="1" si="203"/>
        <v>0</v>
      </c>
      <c r="H3502" s="21">
        <v>3487</v>
      </c>
      <c r="I3502" s="102">
        <v>0.66779070389599371</v>
      </c>
      <c r="J3502" s="103">
        <v>1.3703814678155404E-3</v>
      </c>
      <c r="K3502" s="103"/>
      <c r="L3502" s="103">
        <v>4.1599999999999998E-2</v>
      </c>
      <c r="O3502" s="100"/>
    </row>
    <row r="3503" spans="2:15" x14ac:dyDescent="0.2">
      <c r="B3503" s="1">
        <v>3488</v>
      </c>
      <c r="C3503" s="101">
        <f ca="1"/>
        <v>0.1589154000708885</v>
      </c>
      <c r="D3503" s="101">
        <f t="shared" ca="1" si="201"/>
        <v>0.67500072289547097</v>
      </c>
      <c r="E3503" s="101">
        <f t="shared" ca="1" si="202"/>
        <v>0</v>
      </c>
      <c r="F3503" s="21">
        <f t="shared" ca="1" si="203"/>
        <v>0</v>
      </c>
      <c r="H3503" s="21">
        <v>3488</v>
      </c>
      <c r="I3503" s="102">
        <v>0.66761708087904859</v>
      </c>
      <c r="J3503" s="103">
        <v>1.2752791881907254E-3</v>
      </c>
      <c r="K3503" s="103"/>
      <c r="L3503" s="103">
        <v>3.6999999999999998E-2</v>
      </c>
      <c r="O3503" s="100"/>
    </row>
    <row r="3504" spans="2:15" x14ac:dyDescent="0.2">
      <c r="B3504" s="1">
        <v>3489</v>
      </c>
      <c r="C3504" s="101">
        <f ca="1"/>
        <v>1.1569690575976874</v>
      </c>
      <c r="D3504" s="101">
        <f t="shared" ca="1" si="201"/>
        <v>0.74483528337441474</v>
      </c>
      <c r="E3504" s="101">
        <f t="shared" ca="1" si="202"/>
        <v>0</v>
      </c>
      <c r="F3504" s="21">
        <f t="shared" ca="1" si="203"/>
        <v>0</v>
      </c>
      <c r="H3504" s="21">
        <v>3489</v>
      </c>
      <c r="I3504" s="102">
        <v>0.66793445236326154</v>
      </c>
      <c r="J3504" s="103">
        <v>1.4893865143402864E-3</v>
      </c>
      <c r="K3504" s="103"/>
      <c r="L3504" s="103">
        <v>4.3200000000000002E-2</v>
      </c>
      <c r="O3504" s="100"/>
    </row>
    <row r="3505" spans="2:15" x14ac:dyDescent="0.2">
      <c r="B3505" s="1">
        <v>3490</v>
      </c>
      <c r="C3505" s="101">
        <f ca="1"/>
        <v>0.33805939789440786</v>
      </c>
      <c r="D3505" s="101">
        <f t="shared" ca="1" si="201"/>
        <v>0.68703467448927991</v>
      </c>
      <c r="E3505" s="101">
        <f t="shared" ca="1" si="202"/>
        <v>0</v>
      </c>
      <c r="F3505" s="21">
        <f t="shared" ca="1" si="203"/>
        <v>0</v>
      </c>
      <c r="H3505" s="21">
        <v>3490</v>
      </c>
      <c r="I3505" s="102">
        <v>0.66782104703567891</v>
      </c>
      <c r="J3505" s="103">
        <v>1.5258871394555789E-3</v>
      </c>
      <c r="K3505" s="103"/>
      <c r="L3505" s="103">
        <v>4.4600000000000001E-2</v>
      </c>
      <c r="O3505" s="100"/>
    </row>
    <row r="3506" spans="2:15" x14ac:dyDescent="0.2">
      <c r="B3506" s="1">
        <v>3491</v>
      </c>
      <c r="C3506" s="101">
        <f ca="1"/>
        <v>-0.6877887188653069</v>
      </c>
      <c r="D3506" s="101">
        <f t="shared" ca="1" si="201"/>
        <v>0.62091471962338729</v>
      </c>
      <c r="E3506" s="101">
        <f t="shared" ca="1" si="202"/>
        <v>0</v>
      </c>
      <c r="F3506" s="21">
        <f t="shared" ca="1" si="203"/>
        <v>0</v>
      </c>
      <c r="H3506" s="21">
        <v>3491</v>
      </c>
      <c r="I3506" s="102">
        <v>0.66767533894396136</v>
      </c>
      <c r="J3506" s="103">
        <v>1.2669348075852959E-3</v>
      </c>
      <c r="K3506" s="103"/>
      <c r="L3506" s="103">
        <v>3.9199999999999999E-2</v>
      </c>
      <c r="O3506" s="100"/>
    </row>
    <row r="3507" spans="2:15" x14ac:dyDescent="0.2">
      <c r="B3507" s="1">
        <v>3492</v>
      </c>
      <c r="C3507" s="101">
        <f ca="1"/>
        <v>-0.61692505356467198</v>
      </c>
      <c r="D3507" s="101">
        <f t="shared" ca="1" si="201"/>
        <v>0.62527017160366494</v>
      </c>
      <c r="E3507" s="101">
        <f t="shared" ca="1" si="202"/>
        <v>0</v>
      </c>
      <c r="F3507" s="21">
        <f t="shared" ca="1" si="203"/>
        <v>0</v>
      </c>
      <c r="H3507" s="21">
        <v>3492</v>
      </c>
      <c r="I3507" s="102">
        <v>0.66763804694839235</v>
      </c>
      <c r="J3507" s="103">
        <v>1.1812201407307146E-3</v>
      </c>
      <c r="K3507" s="103"/>
      <c r="L3507" s="103">
        <v>3.8600000000000002E-2</v>
      </c>
      <c r="O3507" s="100"/>
    </row>
    <row r="3508" spans="2:15" x14ac:dyDescent="0.2">
      <c r="B3508" s="1">
        <v>3493</v>
      </c>
      <c r="C3508" s="101">
        <f ca="1"/>
        <v>0.49609206690222429</v>
      </c>
      <c r="D3508" s="101">
        <f t="shared" ca="1" si="201"/>
        <v>0.69782846140654642</v>
      </c>
      <c r="E3508" s="101">
        <f t="shared" ca="1" si="202"/>
        <v>0</v>
      </c>
      <c r="F3508" s="21">
        <f t="shared" ca="1" si="203"/>
        <v>0</v>
      </c>
      <c r="H3508" s="21">
        <v>3493</v>
      </c>
      <c r="I3508" s="102">
        <v>0.66759224229416236</v>
      </c>
      <c r="J3508" s="103">
        <v>1.2559051023667714E-3</v>
      </c>
      <c r="K3508" s="103"/>
      <c r="L3508" s="103">
        <v>4.0399999999999998E-2</v>
      </c>
      <c r="O3508" s="100"/>
    </row>
    <row r="3509" spans="2:15" x14ac:dyDescent="0.2">
      <c r="B3509" s="1">
        <v>3494</v>
      </c>
      <c r="C3509" s="101">
        <f ca="1"/>
        <v>-0.80244975906028315</v>
      </c>
      <c r="D3509" s="101">
        <f t="shared" ca="1" si="201"/>
        <v>0.61393154271766326</v>
      </c>
      <c r="E3509" s="101">
        <f t="shared" ca="1" si="202"/>
        <v>0</v>
      </c>
      <c r="F3509" s="21">
        <f t="shared" ca="1" si="203"/>
        <v>0</v>
      </c>
      <c r="H3509" s="21">
        <v>3494</v>
      </c>
      <c r="I3509" s="102">
        <v>0.66778178193407089</v>
      </c>
      <c r="J3509" s="103">
        <v>1.5360924463543985E-3</v>
      </c>
      <c r="K3509" s="103"/>
      <c r="L3509" s="103">
        <v>4.3400000000000001E-2</v>
      </c>
      <c r="O3509" s="100"/>
    </row>
    <row r="3510" spans="2:15" x14ac:dyDescent="0.2">
      <c r="B3510" s="1">
        <v>3495</v>
      </c>
      <c r="C3510" s="101">
        <f ca="1"/>
        <v>0.31062276734212579</v>
      </c>
      <c r="D3510" s="101">
        <f t="shared" ca="1" si="201"/>
        <v>0.68517780756349</v>
      </c>
      <c r="E3510" s="101">
        <f t="shared" ca="1" si="202"/>
        <v>0</v>
      </c>
      <c r="F3510" s="21">
        <f t="shared" ca="1" si="203"/>
        <v>0</v>
      </c>
      <c r="H3510" s="21">
        <v>3495</v>
      </c>
      <c r="I3510" s="102">
        <v>0.66766537437627149</v>
      </c>
      <c r="J3510" s="103">
        <v>1.2968088180364309E-3</v>
      </c>
      <c r="K3510" s="103"/>
      <c r="L3510" s="103">
        <v>3.8199999999999998E-2</v>
      </c>
      <c r="O3510" s="100"/>
    </row>
    <row r="3511" spans="2:15" x14ac:dyDescent="0.2">
      <c r="B3511" s="1">
        <v>3496</v>
      </c>
      <c r="C3511" s="101">
        <f ca="1"/>
        <v>0.29217035667266683</v>
      </c>
      <c r="D3511" s="101">
        <f t="shared" ca="1" si="201"/>
        <v>0.68393180161630285</v>
      </c>
      <c r="E3511" s="101">
        <f t="shared" ca="1" si="202"/>
        <v>0</v>
      </c>
      <c r="F3511" s="21">
        <f t="shared" ca="1" si="203"/>
        <v>0</v>
      </c>
      <c r="H3511" s="21">
        <v>3496</v>
      </c>
      <c r="I3511" s="102">
        <v>0.66773629598279149</v>
      </c>
      <c r="J3511" s="103">
        <v>1.3402038554228006E-3</v>
      </c>
      <c r="K3511" s="103"/>
      <c r="L3511" s="103">
        <v>3.9800000000000002E-2</v>
      </c>
      <c r="O3511" s="100"/>
    </row>
    <row r="3512" spans="2:15" x14ac:dyDescent="0.2">
      <c r="B3512" s="1">
        <v>3497</v>
      </c>
      <c r="C3512" s="101">
        <f ca="1"/>
        <v>1.8395632727780802</v>
      </c>
      <c r="D3512" s="101">
        <f t="shared" ca="1" si="201"/>
        <v>0.79671346414611344</v>
      </c>
      <c r="E3512" s="101">
        <f t="shared" ca="1" si="202"/>
        <v>8.5134641461134253E-3</v>
      </c>
      <c r="F3512" s="21">
        <f t="shared" ca="1" si="203"/>
        <v>1</v>
      </c>
      <c r="H3512" s="21">
        <v>3497</v>
      </c>
      <c r="I3512" s="102">
        <v>0.6676322726022359</v>
      </c>
      <c r="J3512" s="103">
        <v>1.2179065489739908E-3</v>
      </c>
      <c r="K3512" s="103"/>
      <c r="L3512" s="103">
        <v>4.0599999999999997E-2</v>
      </c>
      <c r="O3512" s="100"/>
    </row>
    <row r="3513" spans="2:15" x14ac:dyDescent="0.2">
      <c r="B3513" s="1">
        <v>3498</v>
      </c>
      <c r="C3513" s="101">
        <f ca="1"/>
        <v>-8.076309536180229E-2</v>
      </c>
      <c r="D3513" s="101">
        <f t="shared" ca="1" si="201"/>
        <v>0.6592293869246989</v>
      </c>
      <c r="E3513" s="101">
        <f t="shared" ca="1" si="202"/>
        <v>0</v>
      </c>
      <c r="F3513" s="21">
        <f t="shared" ca="1" si="203"/>
        <v>0</v>
      </c>
      <c r="H3513" s="21">
        <v>3498</v>
      </c>
      <c r="I3513" s="102">
        <v>0.66775219968133803</v>
      </c>
      <c r="J3513" s="103">
        <v>1.3641386336669748E-3</v>
      </c>
      <c r="K3513" s="103"/>
      <c r="L3513" s="103">
        <v>4.0399999999999998E-2</v>
      </c>
      <c r="O3513" s="100"/>
    </row>
    <row r="3514" spans="2:15" x14ac:dyDescent="0.2">
      <c r="B3514" s="1">
        <v>3499</v>
      </c>
      <c r="C3514" s="101">
        <f ca="1"/>
        <v>0.99656912935205033</v>
      </c>
      <c r="D3514" s="101">
        <f t="shared" ca="1" si="201"/>
        <v>0.73314319404943029</v>
      </c>
      <c r="E3514" s="101">
        <f t="shared" ca="1" si="202"/>
        <v>0</v>
      </c>
      <c r="F3514" s="21">
        <f t="shared" ca="1" si="203"/>
        <v>0</v>
      </c>
      <c r="H3514" s="21">
        <v>3499</v>
      </c>
      <c r="I3514" s="102">
        <v>0.66765629807281601</v>
      </c>
      <c r="J3514" s="103">
        <v>1.2180600175219951E-3</v>
      </c>
      <c r="K3514" s="103"/>
      <c r="L3514" s="103">
        <v>4.0599999999999997E-2</v>
      </c>
      <c r="O3514" s="100"/>
    </row>
    <row r="3515" spans="2:15" x14ac:dyDescent="0.2">
      <c r="B3515" s="1">
        <v>3500</v>
      </c>
      <c r="C3515" s="101">
        <f ca="1"/>
        <v>0.55482474487408218</v>
      </c>
      <c r="D3515" s="101">
        <f t="shared" ca="1" si="201"/>
        <v>0.70188304282477521</v>
      </c>
      <c r="E3515" s="101">
        <f t="shared" ca="1" si="202"/>
        <v>0</v>
      </c>
      <c r="F3515" s="21">
        <f t="shared" ca="1" si="203"/>
        <v>0</v>
      </c>
      <c r="H3515" s="21">
        <v>3500</v>
      </c>
      <c r="I3515" s="102">
        <v>0.66761213995136381</v>
      </c>
      <c r="J3515" s="103">
        <v>1.2006987849435885E-3</v>
      </c>
      <c r="K3515" s="103"/>
      <c r="L3515" s="103">
        <v>3.6400000000000002E-2</v>
      </c>
      <c r="O3515" s="100"/>
    </row>
    <row r="3516" spans="2:15" x14ac:dyDescent="0.2">
      <c r="B3516" s="1">
        <v>3501</v>
      </c>
      <c r="C3516" s="101">
        <f ca="1"/>
        <v>0.78440302144313667</v>
      </c>
      <c r="D3516" s="101">
        <f t="shared" ca="1" si="201"/>
        <v>0.71795916204122001</v>
      </c>
      <c r="E3516" s="101">
        <f t="shared" ca="1" si="202"/>
        <v>0</v>
      </c>
      <c r="F3516" s="21">
        <f t="shared" ca="1" si="203"/>
        <v>0</v>
      </c>
      <c r="H3516" s="21">
        <v>3501</v>
      </c>
      <c r="I3516" s="102">
        <v>0.66783067113120986</v>
      </c>
      <c r="J3516" s="103">
        <v>1.4330361618520868E-3</v>
      </c>
      <c r="K3516" s="103"/>
      <c r="L3516" s="103">
        <v>4.1599999999999998E-2</v>
      </c>
      <c r="O3516" s="100"/>
    </row>
    <row r="3517" spans="2:15" x14ac:dyDescent="0.2">
      <c r="B3517" s="1">
        <v>3502</v>
      </c>
      <c r="C3517" s="101">
        <f ca="1"/>
        <v>2.9868366693802493</v>
      </c>
      <c r="D3517" s="101">
        <f t="shared" ca="1" si="201"/>
        <v>0.89217621631815491</v>
      </c>
      <c r="E3517" s="101">
        <f t="shared" ca="1" si="202"/>
        <v>0.1039762163181549</v>
      </c>
      <c r="F3517" s="21">
        <f t="shared" ca="1" si="203"/>
        <v>1</v>
      </c>
      <c r="H3517" s="21">
        <v>3502</v>
      </c>
      <c r="I3517" s="102">
        <v>0.66753897180612698</v>
      </c>
      <c r="J3517" s="103">
        <v>1.2203154776546693E-3</v>
      </c>
      <c r="K3517" s="103"/>
      <c r="L3517" s="103">
        <v>3.8600000000000002E-2</v>
      </c>
      <c r="O3517" s="100"/>
    </row>
    <row r="3518" spans="2:15" x14ac:dyDescent="0.2">
      <c r="B3518" s="1">
        <v>3503</v>
      </c>
      <c r="C3518" s="101">
        <f ca="1"/>
        <v>0.1098072847967097</v>
      </c>
      <c r="D3518" s="101">
        <f t="shared" ca="1" si="201"/>
        <v>0.67173886565874175</v>
      </c>
      <c r="E3518" s="101">
        <f t="shared" ca="1" si="202"/>
        <v>0</v>
      </c>
      <c r="F3518" s="21">
        <f t="shared" ca="1" si="203"/>
        <v>0</v>
      </c>
      <c r="H3518" s="21">
        <v>3503</v>
      </c>
      <c r="I3518" s="102">
        <v>0.667726564059403</v>
      </c>
      <c r="J3518" s="103">
        <v>1.4456875127903683E-3</v>
      </c>
      <c r="K3518" s="103"/>
      <c r="L3518" s="103">
        <v>4.3999999999999997E-2</v>
      </c>
      <c r="O3518" s="100"/>
    </row>
    <row r="3519" spans="2:15" x14ac:dyDescent="0.2">
      <c r="B3519" s="1">
        <v>3504</v>
      </c>
      <c r="C3519" s="101">
        <f ca="1"/>
        <v>-0.3988395938732674</v>
      </c>
      <c r="D3519" s="101">
        <f t="shared" ca="1" si="201"/>
        <v>0.6388668561106422</v>
      </c>
      <c r="E3519" s="101">
        <f t="shared" ca="1" si="202"/>
        <v>0</v>
      </c>
      <c r="F3519" s="21">
        <f t="shared" ca="1" si="203"/>
        <v>0</v>
      </c>
      <c r="H3519" s="21">
        <v>3504</v>
      </c>
      <c r="I3519" s="102">
        <v>0.66776018636596968</v>
      </c>
      <c r="J3519" s="103">
        <v>1.3508387057801314E-3</v>
      </c>
      <c r="K3519" s="103"/>
      <c r="L3519" s="103">
        <v>4.5600000000000002E-2</v>
      </c>
      <c r="O3519" s="100"/>
    </row>
    <row r="3520" spans="2:15" x14ac:dyDescent="0.2">
      <c r="B3520" s="1">
        <v>3505</v>
      </c>
      <c r="C3520" s="101">
        <f ca="1"/>
        <v>0.68147744448283332</v>
      </c>
      <c r="D3520" s="101">
        <f t="shared" ca="1" si="201"/>
        <v>0.71070680487936921</v>
      </c>
      <c r="E3520" s="101">
        <f t="shared" ca="1" si="202"/>
        <v>0</v>
      </c>
      <c r="F3520" s="21">
        <f t="shared" ca="1" si="203"/>
        <v>0</v>
      </c>
      <c r="H3520" s="21">
        <v>3505</v>
      </c>
      <c r="I3520" s="102">
        <v>0.66799884159691469</v>
      </c>
      <c r="J3520" s="103">
        <v>1.5146951782413411E-3</v>
      </c>
      <c r="K3520" s="103"/>
      <c r="L3520" s="103">
        <v>4.6399999999999997E-2</v>
      </c>
      <c r="O3520" s="100"/>
    </row>
    <row r="3521" spans="2:15" x14ac:dyDescent="0.2">
      <c r="B3521" s="1">
        <v>3506</v>
      </c>
      <c r="C3521" s="101">
        <f ca="1"/>
        <v>-0.70922941004726769</v>
      </c>
      <c r="D3521" s="101">
        <f t="shared" ca="1" si="201"/>
        <v>0.6196029110477288</v>
      </c>
      <c r="E3521" s="101">
        <f t="shared" ca="1" si="202"/>
        <v>0</v>
      </c>
      <c r="F3521" s="21">
        <f t="shared" ca="1" si="203"/>
        <v>0</v>
      </c>
      <c r="H3521" s="21">
        <v>3506</v>
      </c>
      <c r="I3521" s="102">
        <v>0.66764502441842322</v>
      </c>
      <c r="J3521" s="103">
        <v>1.2120567541085894E-3</v>
      </c>
      <c r="K3521" s="103"/>
      <c r="L3521" s="103">
        <v>4.1599999999999998E-2</v>
      </c>
      <c r="O3521" s="100"/>
    </row>
    <row r="3522" spans="2:15" x14ac:dyDescent="0.2">
      <c r="B3522" s="1">
        <v>3507</v>
      </c>
      <c r="C3522" s="101">
        <f ca="1"/>
        <v>-0.69164952239865241</v>
      </c>
      <c r="D3522" s="101">
        <f t="shared" ca="1" si="201"/>
        <v>0.62067829872483704</v>
      </c>
      <c r="E3522" s="101">
        <f t="shared" ca="1" si="202"/>
        <v>0</v>
      </c>
      <c r="F3522" s="21">
        <f t="shared" ca="1" si="203"/>
        <v>0</v>
      </c>
      <c r="H3522" s="21">
        <v>3507</v>
      </c>
      <c r="I3522" s="102">
        <v>0.66760653417051186</v>
      </c>
      <c r="J3522" s="103">
        <v>1.3333137701003039E-3</v>
      </c>
      <c r="K3522" s="103"/>
      <c r="L3522" s="103">
        <v>3.6999999999999998E-2</v>
      </c>
      <c r="O3522" s="100"/>
    </row>
    <row r="3523" spans="2:15" x14ac:dyDescent="0.2">
      <c r="B3523" s="1">
        <v>3508</v>
      </c>
      <c r="C3523" s="101">
        <f ca="1"/>
        <v>-1.2391267513047457</v>
      </c>
      <c r="D3523" s="101">
        <f t="shared" ca="1" si="201"/>
        <v>0.58804826657370501</v>
      </c>
      <c r="E3523" s="101">
        <f t="shared" ca="1" si="202"/>
        <v>0</v>
      </c>
      <c r="F3523" s="21">
        <f t="shared" ca="1" si="203"/>
        <v>0</v>
      </c>
      <c r="H3523" s="21">
        <v>3508</v>
      </c>
      <c r="I3523" s="102">
        <v>0.66777961328114066</v>
      </c>
      <c r="J3523" s="103">
        <v>1.4267318479113647E-3</v>
      </c>
      <c r="K3523" s="103"/>
      <c r="L3523" s="103">
        <v>4.3200000000000002E-2</v>
      </c>
      <c r="O3523" s="100"/>
    </row>
    <row r="3524" spans="2:15" x14ac:dyDescent="0.2">
      <c r="B3524" s="1">
        <v>3509</v>
      </c>
      <c r="C3524" s="101">
        <f ca="1"/>
        <v>1.1958484442358013</v>
      </c>
      <c r="D3524" s="101">
        <f t="shared" ca="1" si="201"/>
        <v>0.74769729634379789</v>
      </c>
      <c r="E3524" s="101">
        <f t="shared" ca="1" si="202"/>
        <v>0</v>
      </c>
      <c r="F3524" s="21">
        <f t="shared" ca="1" si="203"/>
        <v>0</v>
      </c>
      <c r="H3524" s="21">
        <v>3509</v>
      </c>
      <c r="I3524" s="102">
        <v>0.66767309691469034</v>
      </c>
      <c r="J3524" s="103">
        <v>1.2811473023482014E-3</v>
      </c>
      <c r="K3524" s="103"/>
      <c r="L3524" s="103">
        <v>4.3200000000000002E-2</v>
      </c>
      <c r="O3524" s="100"/>
    </row>
    <row r="3525" spans="2:15" x14ac:dyDescent="0.2">
      <c r="B3525" s="1">
        <v>3510</v>
      </c>
      <c r="C3525" s="101">
        <f ca="1"/>
        <v>-7.0415010741722725E-2</v>
      </c>
      <c r="D3525" s="101">
        <f t="shared" ca="1" si="201"/>
        <v>0.65990263807283056</v>
      </c>
      <c r="E3525" s="101">
        <f t="shared" ca="1" si="202"/>
        <v>0</v>
      </c>
      <c r="F3525" s="21">
        <f t="shared" ca="1" si="203"/>
        <v>0</v>
      </c>
      <c r="H3525" s="21">
        <v>3510</v>
      </c>
      <c r="I3525" s="102">
        <v>0.66781628095731205</v>
      </c>
      <c r="J3525" s="103">
        <v>1.4205185143971442E-3</v>
      </c>
      <c r="K3525" s="103"/>
      <c r="L3525" s="103">
        <v>4.3200000000000002E-2</v>
      </c>
      <c r="O3525" s="100"/>
    </row>
    <row r="3526" spans="2:15" x14ac:dyDescent="0.2">
      <c r="B3526" s="1">
        <v>3511</v>
      </c>
      <c r="C3526" s="101">
        <f ca="1"/>
        <v>-1.8312417060006998</v>
      </c>
      <c r="D3526" s="101">
        <f t="shared" ca="1" si="201"/>
        <v>0.5546859104334253</v>
      </c>
      <c r="E3526" s="101">
        <f t="shared" ca="1" si="202"/>
        <v>0</v>
      </c>
      <c r="F3526" s="21">
        <f t="shared" ca="1" si="203"/>
        <v>0</v>
      </c>
      <c r="H3526" s="21">
        <v>3511</v>
      </c>
      <c r="I3526" s="102">
        <v>0.66766222778414763</v>
      </c>
      <c r="J3526" s="103">
        <v>1.230156850918752E-3</v>
      </c>
      <c r="K3526" s="103"/>
      <c r="L3526" s="103">
        <v>3.8199999999999998E-2</v>
      </c>
      <c r="O3526" s="100"/>
    </row>
    <row r="3527" spans="2:15" x14ac:dyDescent="0.2">
      <c r="B3527" s="1">
        <v>3512</v>
      </c>
      <c r="C3527" s="101">
        <f ca="1"/>
        <v>0.68340125192155821</v>
      </c>
      <c r="D3527" s="101">
        <f t="shared" ca="1" si="201"/>
        <v>0.71084168631571898</v>
      </c>
      <c r="E3527" s="101">
        <f t="shared" ca="1" si="202"/>
        <v>0</v>
      </c>
      <c r="F3527" s="21">
        <f t="shared" ca="1" si="203"/>
        <v>0</v>
      </c>
      <c r="H3527" s="21">
        <v>3512</v>
      </c>
      <c r="I3527" s="102">
        <v>0.66779611105527115</v>
      </c>
      <c r="J3527" s="103">
        <v>1.4564517905370092E-3</v>
      </c>
      <c r="K3527" s="103"/>
      <c r="L3527" s="103">
        <v>4.2999999999999997E-2</v>
      </c>
      <c r="O3527" s="100"/>
    </row>
    <row r="3528" spans="2:15" x14ac:dyDescent="0.2">
      <c r="B3528" s="1">
        <v>3513</v>
      </c>
      <c r="C3528" s="101">
        <f ca="1"/>
        <v>0.20894205807516744</v>
      </c>
      <c r="D3528" s="101">
        <f t="shared" ca="1" si="201"/>
        <v>0.67833987825649011</v>
      </c>
      <c r="E3528" s="101">
        <f t="shared" ca="1" si="202"/>
        <v>0</v>
      </c>
      <c r="F3528" s="21">
        <f t="shared" ca="1" si="203"/>
        <v>0</v>
      </c>
      <c r="H3528" s="21">
        <v>3513</v>
      </c>
      <c r="I3528" s="102">
        <v>0.66759126990646567</v>
      </c>
      <c r="J3528" s="103">
        <v>1.2254892654674175E-3</v>
      </c>
      <c r="K3528" s="103"/>
      <c r="L3528" s="103">
        <v>4.1399999999999999E-2</v>
      </c>
      <c r="O3528" s="100"/>
    </row>
    <row r="3529" spans="2:15" x14ac:dyDescent="0.2">
      <c r="B3529" s="1">
        <v>3514</v>
      </c>
      <c r="C3529" s="101">
        <f ca="1"/>
        <v>-0.50316601477363154</v>
      </c>
      <c r="D3529" s="101">
        <f t="shared" ca="1" si="201"/>
        <v>0.63232605650588358</v>
      </c>
      <c r="E3529" s="101">
        <f t="shared" ca="1" si="202"/>
        <v>0</v>
      </c>
      <c r="F3529" s="21">
        <f t="shared" ca="1" si="203"/>
        <v>0</v>
      </c>
      <c r="H3529" s="21">
        <v>3514</v>
      </c>
      <c r="I3529" s="102">
        <v>0.6676822252062341</v>
      </c>
      <c r="J3529" s="103">
        <v>1.2455635132317257E-3</v>
      </c>
      <c r="K3529" s="103"/>
      <c r="L3529" s="103">
        <v>3.9800000000000002E-2</v>
      </c>
      <c r="O3529" s="100"/>
    </row>
    <row r="3530" spans="2:15" x14ac:dyDescent="0.2">
      <c r="B3530" s="1">
        <v>3515</v>
      </c>
      <c r="C3530" s="101">
        <f ca="1"/>
        <v>0.42341575567665585</v>
      </c>
      <c r="D3530" s="101">
        <f t="shared" ca="1" si="201"/>
        <v>0.69284369649744104</v>
      </c>
      <c r="E3530" s="101">
        <f t="shared" ca="1" si="202"/>
        <v>0</v>
      </c>
      <c r="F3530" s="21">
        <f t="shared" ca="1" si="203"/>
        <v>0</v>
      </c>
      <c r="H3530" s="21">
        <v>3515</v>
      </c>
      <c r="I3530" s="102">
        <v>0.66781330027416486</v>
      </c>
      <c r="J3530" s="103">
        <v>1.572258198399856E-3</v>
      </c>
      <c r="K3530" s="103"/>
      <c r="L3530" s="103">
        <v>4.36E-2</v>
      </c>
      <c r="O3530" s="100"/>
    </row>
    <row r="3531" spans="2:15" x14ac:dyDescent="0.2">
      <c r="B3531" s="1">
        <v>3516</v>
      </c>
      <c r="C3531" s="101">
        <f ca="1"/>
        <v>0.55112097648518488</v>
      </c>
      <c r="D3531" s="101">
        <f t="shared" ca="1" si="201"/>
        <v>0.70162666046506394</v>
      </c>
      <c r="E3531" s="101">
        <f t="shared" ca="1" si="202"/>
        <v>0</v>
      </c>
      <c r="F3531" s="21">
        <f t="shared" ca="1" si="203"/>
        <v>0</v>
      </c>
      <c r="H3531" s="21">
        <v>3516</v>
      </c>
      <c r="I3531" s="102">
        <v>0.66779369139046896</v>
      </c>
      <c r="J3531" s="103">
        <v>1.4267398571862194E-3</v>
      </c>
      <c r="K3531" s="103"/>
      <c r="L3531" s="103">
        <v>4.4999999999999998E-2</v>
      </c>
      <c r="O3531" s="100"/>
    </row>
    <row r="3532" spans="2:15" x14ac:dyDescent="0.2">
      <c r="B3532" s="1">
        <v>3517</v>
      </c>
      <c r="C3532" s="101">
        <f ca="1"/>
        <v>0.75417046453965308</v>
      </c>
      <c r="D3532" s="101">
        <f t="shared" ca="1" si="201"/>
        <v>0.71582126832628912</v>
      </c>
      <c r="E3532" s="101">
        <f t="shared" ca="1" si="202"/>
        <v>0</v>
      </c>
      <c r="F3532" s="21">
        <f t="shared" ca="1" si="203"/>
        <v>0</v>
      </c>
      <c r="H3532" s="21">
        <v>3517</v>
      </c>
      <c r="I3532" s="102">
        <v>0.66777589694191042</v>
      </c>
      <c r="J3532" s="103">
        <v>1.4880241513427783E-3</v>
      </c>
      <c r="K3532" s="103"/>
      <c r="L3532" s="103">
        <v>4.1399999999999999E-2</v>
      </c>
      <c r="O3532" s="100"/>
    </row>
    <row r="3533" spans="2:15" x14ac:dyDescent="0.2">
      <c r="B3533" s="1">
        <v>3518</v>
      </c>
      <c r="C3533" s="101">
        <f ca="1"/>
        <v>-0.57879858481259905</v>
      </c>
      <c r="D3533" s="101">
        <f t="shared" ca="1" si="201"/>
        <v>0.62762614351380241</v>
      </c>
      <c r="E3533" s="101">
        <f t="shared" ca="1" si="202"/>
        <v>0</v>
      </c>
      <c r="F3533" s="21">
        <f t="shared" ca="1" si="203"/>
        <v>0</v>
      </c>
      <c r="H3533" s="21">
        <v>3518</v>
      </c>
      <c r="I3533" s="102">
        <v>0.66782642886961163</v>
      </c>
      <c r="J3533" s="103">
        <v>1.3977309442444565E-3</v>
      </c>
      <c r="K3533" s="103"/>
      <c r="L3533" s="103">
        <v>4.6199999999999998E-2</v>
      </c>
      <c r="O3533" s="100"/>
    </row>
    <row r="3534" spans="2:15" x14ac:dyDescent="0.2">
      <c r="B3534" s="1">
        <v>3519</v>
      </c>
      <c r="C3534" s="101">
        <f ca="1"/>
        <v>1.4130604477863509</v>
      </c>
      <c r="D3534" s="101">
        <f t="shared" ca="1" si="201"/>
        <v>0.76389037605936139</v>
      </c>
      <c r="E3534" s="101">
        <f t="shared" ca="1" si="202"/>
        <v>0</v>
      </c>
      <c r="F3534" s="21">
        <f t="shared" ca="1" si="203"/>
        <v>0</v>
      </c>
      <c r="H3534" s="21">
        <v>3519</v>
      </c>
      <c r="I3534" s="102">
        <v>0.66781587357892791</v>
      </c>
      <c r="J3534" s="103">
        <v>1.518924600989637E-3</v>
      </c>
      <c r="K3534" s="103"/>
      <c r="L3534" s="103">
        <v>4.4200000000000003E-2</v>
      </c>
      <c r="O3534" s="100"/>
    </row>
    <row r="3535" spans="2:15" x14ac:dyDescent="0.2">
      <c r="B3535" s="1">
        <v>3520</v>
      </c>
      <c r="C3535" s="101">
        <f ca="1"/>
        <v>-0.32047000628204042</v>
      </c>
      <c r="D3535" s="101">
        <f t="shared" ca="1" si="201"/>
        <v>0.64382474230679476</v>
      </c>
      <c r="E3535" s="101">
        <f t="shared" ca="1" si="202"/>
        <v>0</v>
      </c>
      <c r="F3535" s="21">
        <f t="shared" ca="1" si="203"/>
        <v>0</v>
      </c>
      <c r="H3535" s="21">
        <v>3520</v>
      </c>
      <c r="I3535" s="102">
        <v>0.66773596425587267</v>
      </c>
      <c r="J3535" s="103">
        <v>1.5283464188511774E-3</v>
      </c>
      <c r="K3535" s="103"/>
      <c r="L3535" s="103">
        <v>4.0599999999999997E-2</v>
      </c>
      <c r="O3535" s="100"/>
    </row>
    <row r="3536" spans="2:15" x14ac:dyDescent="0.2">
      <c r="B3536" s="1">
        <v>3521</v>
      </c>
      <c r="C3536" s="101">
        <f ca="1"/>
        <v>-0.25842558679971656</v>
      </c>
      <c r="D3536" s="101">
        <f t="shared" ref="D3536:D3599" ca="1" si="204">S0*EXP((μ-0.5*σ*σ)*T+σ*SQRT(T)*$C3536)</f>
        <v>0.64777712454499847</v>
      </c>
      <c r="E3536" s="101">
        <f t="shared" ref="E3536:E3599" ca="1" si="205">MAX(0,CP*(D3536-K))</f>
        <v>0</v>
      </c>
      <c r="F3536" s="21">
        <f t="shared" ref="F3536:F3599" ca="1" si="206">(CP*(D3536-K)&gt;0)*1</f>
        <v>0</v>
      </c>
      <c r="H3536" s="21">
        <v>3521</v>
      </c>
      <c r="I3536" s="102">
        <v>0.66769290405400172</v>
      </c>
      <c r="J3536" s="103">
        <v>1.3616779299234761E-3</v>
      </c>
      <c r="K3536" s="103"/>
      <c r="L3536" s="103">
        <v>4.2200000000000001E-2</v>
      </c>
      <c r="O3536" s="100"/>
    </row>
    <row r="3537" spans="2:15" x14ac:dyDescent="0.2">
      <c r="B3537" s="1">
        <v>3522</v>
      </c>
      <c r="C3537" s="101">
        <f ca="1"/>
        <v>-1.758047730808022</v>
      </c>
      <c r="D3537" s="101">
        <f t="shared" ca="1" si="204"/>
        <v>0.55870520749279107</v>
      </c>
      <c r="E3537" s="101">
        <f t="shared" ca="1" si="205"/>
        <v>0</v>
      </c>
      <c r="F3537" s="21">
        <f t="shared" ca="1" si="206"/>
        <v>0</v>
      </c>
      <c r="H3537" s="21">
        <v>3522</v>
      </c>
      <c r="I3537" s="102">
        <v>0.66762480293385362</v>
      </c>
      <c r="J3537" s="103">
        <v>1.1524673255365154E-3</v>
      </c>
      <c r="K3537" s="103"/>
      <c r="L3537" s="103">
        <v>3.78E-2</v>
      </c>
      <c r="O3537" s="100"/>
    </row>
    <row r="3538" spans="2:15" x14ac:dyDescent="0.2">
      <c r="B3538" s="1">
        <v>3523</v>
      </c>
      <c r="C3538" s="101">
        <f ca="1"/>
        <v>-0.18373901411530696</v>
      </c>
      <c r="D3538" s="101">
        <f t="shared" ca="1" si="204"/>
        <v>0.65256703929463944</v>
      </c>
      <c r="E3538" s="101">
        <f t="shared" ca="1" si="205"/>
        <v>0</v>
      </c>
      <c r="F3538" s="21">
        <f t="shared" ca="1" si="206"/>
        <v>0</v>
      </c>
      <c r="H3538" s="21">
        <v>3523</v>
      </c>
      <c r="I3538" s="102">
        <v>0.66763828407245229</v>
      </c>
      <c r="J3538" s="103">
        <v>1.2389640283652368E-3</v>
      </c>
      <c r="K3538" s="103"/>
      <c r="L3538" s="103">
        <v>4.1000000000000002E-2</v>
      </c>
      <c r="O3538" s="100"/>
    </row>
    <row r="3539" spans="2:15" x14ac:dyDescent="0.2">
      <c r="B3539" s="1">
        <v>3524</v>
      </c>
      <c r="C3539" s="101">
        <f ca="1"/>
        <v>-0.28632693874622045</v>
      </c>
      <c r="D3539" s="101">
        <f t="shared" ca="1" si="204"/>
        <v>0.64599674640169658</v>
      </c>
      <c r="E3539" s="101">
        <f t="shared" ca="1" si="205"/>
        <v>0</v>
      </c>
      <c r="F3539" s="21">
        <f t="shared" ca="1" si="206"/>
        <v>0</v>
      </c>
      <c r="H3539" s="21">
        <v>3524</v>
      </c>
      <c r="I3539" s="102">
        <v>0.66770261367567507</v>
      </c>
      <c r="J3539" s="103">
        <v>1.3715788227740536E-3</v>
      </c>
      <c r="K3539" s="103"/>
      <c r="L3539" s="103">
        <v>4.2200000000000001E-2</v>
      </c>
      <c r="O3539" s="100"/>
    </row>
    <row r="3540" spans="2:15" x14ac:dyDescent="0.2">
      <c r="B3540" s="1">
        <v>3525</v>
      </c>
      <c r="C3540" s="101">
        <f ca="1"/>
        <v>-0.78417305699761164</v>
      </c>
      <c r="D3540" s="101">
        <f t="shared" ca="1" si="204"/>
        <v>0.61503936021498551</v>
      </c>
      <c r="E3540" s="101">
        <f t="shared" ca="1" si="205"/>
        <v>0</v>
      </c>
      <c r="F3540" s="21">
        <f t="shared" ca="1" si="206"/>
        <v>0</v>
      </c>
      <c r="H3540" s="21">
        <v>3525</v>
      </c>
      <c r="I3540" s="102">
        <v>0.66787441855436847</v>
      </c>
      <c r="J3540" s="103">
        <v>1.4390611801971993E-3</v>
      </c>
      <c r="K3540" s="103"/>
      <c r="L3540" s="103">
        <v>4.7199999999999999E-2</v>
      </c>
      <c r="O3540" s="100"/>
    </row>
    <row r="3541" spans="2:15" x14ac:dyDescent="0.2">
      <c r="B3541" s="1">
        <v>3526</v>
      </c>
      <c r="C3541" s="101">
        <f ca="1"/>
        <v>-0.96721211759192594</v>
      </c>
      <c r="D3541" s="101">
        <f t="shared" ca="1" si="204"/>
        <v>0.60403433992801125</v>
      </c>
      <c r="E3541" s="101">
        <f t="shared" ca="1" si="205"/>
        <v>0</v>
      </c>
      <c r="F3541" s="21">
        <f t="shared" ca="1" si="206"/>
        <v>0</v>
      </c>
      <c r="H3541" s="21">
        <v>3526</v>
      </c>
      <c r="I3541" s="102">
        <v>0.66787951851499738</v>
      </c>
      <c r="J3541" s="103">
        <v>1.6129773615844944E-3</v>
      </c>
      <c r="K3541" s="103"/>
      <c r="L3541" s="103">
        <v>4.4999999999999998E-2</v>
      </c>
      <c r="O3541" s="100"/>
    </row>
    <row r="3542" spans="2:15" x14ac:dyDescent="0.2">
      <c r="B3542" s="1">
        <v>3527</v>
      </c>
      <c r="C3542" s="101">
        <f ca="1"/>
        <v>-2.1977974915804444</v>
      </c>
      <c r="D3542" s="101">
        <f t="shared" ca="1" si="204"/>
        <v>0.53498808613706983</v>
      </c>
      <c r="E3542" s="101">
        <f t="shared" ca="1" si="205"/>
        <v>0</v>
      </c>
      <c r="F3542" s="21">
        <f t="shared" ca="1" si="206"/>
        <v>0</v>
      </c>
      <c r="H3542" s="21">
        <v>3527</v>
      </c>
      <c r="I3542" s="102">
        <v>0.66770165232181622</v>
      </c>
      <c r="J3542" s="103">
        <v>1.40315826404417E-3</v>
      </c>
      <c r="K3542" s="103"/>
      <c r="L3542" s="103">
        <v>3.8600000000000002E-2</v>
      </c>
      <c r="O3542" s="100"/>
    </row>
    <row r="3543" spans="2:15" x14ac:dyDescent="0.2">
      <c r="B3543" s="1">
        <v>3528</v>
      </c>
      <c r="C3543" s="101">
        <f ca="1"/>
        <v>0.67915555303863917</v>
      </c>
      <c r="D3543" s="101">
        <f t="shared" ca="1" si="204"/>
        <v>0.71054404717623232</v>
      </c>
      <c r="E3543" s="101">
        <f t="shared" ca="1" si="205"/>
        <v>0</v>
      </c>
      <c r="F3543" s="21">
        <f t="shared" ca="1" si="206"/>
        <v>0</v>
      </c>
      <c r="H3543" s="21">
        <v>3528</v>
      </c>
      <c r="I3543" s="102">
        <v>0.6677466575824037</v>
      </c>
      <c r="J3543" s="103">
        <v>1.4048136194109993E-3</v>
      </c>
      <c r="K3543" s="103"/>
      <c r="L3543" s="103">
        <v>4.4999999999999998E-2</v>
      </c>
      <c r="O3543" s="100"/>
    </row>
    <row r="3544" spans="2:15" x14ac:dyDescent="0.2">
      <c r="B3544" s="1">
        <v>3529</v>
      </c>
      <c r="C3544" s="101">
        <f ca="1"/>
        <v>-1.0759708786938231</v>
      </c>
      <c r="D3544" s="101">
        <f t="shared" ca="1" si="204"/>
        <v>0.59758882994551121</v>
      </c>
      <c r="E3544" s="101">
        <f t="shared" ca="1" si="205"/>
        <v>0</v>
      </c>
      <c r="F3544" s="21">
        <f t="shared" ca="1" si="206"/>
        <v>0</v>
      </c>
      <c r="H3544" s="21">
        <v>3529</v>
      </c>
      <c r="I3544" s="102">
        <v>0.66776003857159216</v>
      </c>
      <c r="J3544" s="103">
        <v>1.3389606528344585E-3</v>
      </c>
      <c r="K3544" s="103"/>
      <c r="L3544" s="103">
        <v>4.24E-2</v>
      </c>
      <c r="O3544" s="100"/>
    </row>
    <row r="3545" spans="2:15" x14ac:dyDescent="0.2">
      <c r="B3545" s="1">
        <v>3530</v>
      </c>
      <c r="C3545" s="101">
        <f ca="1"/>
        <v>-1.7098903576760944</v>
      </c>
      <c r="D3545" s="101">
        <f t="shared" ca="1" si="204"/>
        <v>0.56136554252576587</v>
      </c>
      <c r="E3545" s="101">
        <f t="shared" ca="1" si="205"/>
        <v>0</v>
      </c>
      <c r="F3545" s="21">
        <f t="shared" ca="1" si="206"/>
        <v>0</v>
      </c>
      <c r="H3545" s="21">
        <v>3530</v>
      </c>
      <c r="I3545" s="102">
        <v>0.66778427647562255</v>
      </c>
      <c r="J3545" s="103">
        <v>1.5158613571328678E-3</v>
      </c>
      <c r="K3545" s="103"/>
      <c r="L3545" s="103">
        <v>4.0599999999999997E-2</v>
      </c>
      <c r="O3545" s="100"/>
    </row>
    <row r="3546" spans="2:15" x14ac:dyDescent="0.2">
      <c r="B3546" s="1">
        <v>3531</v>
      </c>
      <c r="C3546" s="101">
        <f ca="1"/>
        <v>0.45055780308191651</v>
      </c>
      <c r="D3546" s="101">
        <f t="shared" ca="1" si="204"/>
        <v>0.69470115140509059</v>
      </c>
      <c r="E3546" s="101">
        <f t="shared" ca="1" si="205"/>
        <v>0</v>
      </c>
      <c r="F3546" s="21">
        <f t="shared" ca="1" si="206"/>
        <v>0</v>
      </c>
      <c r="H3546" s="21">
        <v>3531</v>
      </c>
      <c r="I3546" s="102">
        <v>0.66773823102454843</v>
      </c>
      <c r="J3546" s="103">
        <v>1.3517791871594626E-3</v>
      </c>
      <c r="K3546" s="103"/>
      <c r="L3546" s="103">
        <v>3.7400000000000003E-2</v>
      </c>
      <c r="O3546" s="100"/>
    </row>
    <row r="3547" spans="2:15" x14ac:dyDescent="0.2">
      <c r="B3547" s="1">
        <v>3532</v>
      </c>
      <c r="C3547" s="101">
        <f ca="1"/>
        <v>0.51081777459922784</v>
      </c>
      <c r="D3547" s="101">
        <f t="shared" ca="1" si="204"/>
        <v>0.69884283798502489</v>
      </c>
      <c r="E3547" s="101">
        <f t="shared" ca="1" si="205"/>
        <v>0</v>
      </c>
      <c r="F3547" s="21">
        <f t="shared" ca="1" si="206"/>
        <v>0</v>
      </c>
      <c r="H3547" s="21">
        <v>3532</v>
      </c>
      <c r="I3547" s="102">
        <v>0.66768449700664956</v>
      </c>
      <c r="J3547" s="103">
        <v>1.2572744955023942E-3</v>
      </c>
      <c r="K3547" s="103"/>
      <c r="L3547" s="103">
        <v>3.6799999999999999E-2</v>
      </c>
      <c r="O3547" s="100"/>
    </row>
    <row r="3548" spans="2:15" x14ac:dyDescent="0.2">
      <c r="B3548" s="1">
        <v>3533</v>
      </c>
      <c r="C3548" s="101">
        <f ca="1"/>
        <v>-1.7747756422612015</v>
      </c>
      <c r="D3548" s="101">
        <f t="shared" ca="1" si="204"/>
        <v>0.55778406867687225</v>
      </c>
      <c r="E3548" s="101">
        <f t="shared" ca="1" si="205"/>
        <v>0</v>
      </c>
      <c r="F3548" s="21">
        <f t="shared" ca="1" si="206"/>
        <v>0</v>
      </c>
      <c r="H3548" s="21">
        <v>3533</v>
      </c>
      <c r="I3548" s="102">
        <v>0.66778380866965503</v>
      </c>
      <c r="J3548" s="103">
        <v>1.4938179769869199E-3</v>
      </c>
      <c r="K3548" s="103"/>
      <c r="L3548" s="103">
        <v>4.2200000000000001E-2</v>
      </c>
      <c r="O3548" s="100"/>
    </row>
    <row r="3549" spans="2:15" x14ac:dyDescent="0.2">
      <c r="B3549" s="1">
        <v>3534</v>
      </c>
      <c r="C3549" s="101">
        <f ca="1"/>
        <v>-0.21485191071594026</v>
      </c>
      <c r="D3549" s="101">
        <f t="shared" ca="1" si="204"/>
        <v>0.65056736979629604</v>
      </c>
      <c r="E3549" s="101">
        <f t="shared" ca="1" si="205"/>
        <v>0</v>
      </c>
      <c r="F3549" s="21">
        <f t="shared" ca="1" si="206"/>
        <v>0</v>
      </c>
      <c r="H3549" s="21">
        <v>3534</v>
      </c>
      <c r="I3549" s="102">
        <v>0.66763941034440999</v>
      </c>
      <c r="J3549" s="103">
        <v>1.2121917249440695E-3</v>
      </c>
      <c r="K3549" s="103"/>
      <c r="L3549" s="103">
        <v>0.04</v>
      </c>
      <c r="O3549" s="100"/>
    </row>
    <row r="3550" spans="2:15" x14ac:dyDescent="0.2">
      <c r="B3550" s="1">
        <v>3535</v>
      </c>
      <c r="C3550" s="101">
        <f ca="1"/>
        <v>0.44742347406315214</v>
      </c>
      <c r="D3550" s="101">
        <f t="shared" ca="1" si="204"/>
        <v>0.69448640081380675</v>
      </c>
      <c r="E3550" s="101">
        <f t="shared" ca="1" si="205"/>
        <v>0</v>
      </c>
      <c r="F3550" s="21">
        <f t="shared" ca="1" si="206"/>
        <v>0</v>
      </c>
      <c r="H3550" s="21">
        <v>3535</v>
      </c>
      <c r="I3550" s="102">
        <v>0.66774940413524586</v>
      </c>
      <c r="J3550" s="103">
        <v>1.3496928170341523E-3</v>
      </c>
      <c r="K3550" s="103"/>
      <c r="L3550" s="103">
        <v>4.3999999999999997E-2</v>
      </c>
      <c r="O3550" s="100"/>
    </row>
    <row r="3551" spans="2:15" x14ac:dyDescent="0.2">
      <c r="B3551" s="1">
        <v>3536</v>
      </c>
      <c r="C3551" s="101">
        <f ca="1"/>
        <v>-1.2383118486764892</v>
      </c>
      <c r="D3551" s="101">
        <f t="shared" ca="1" si="204"/>
        <v>0.58809553760185596</v>
      </c>
      <c r="E3551" s="101">
        <f t="shared" ca="1" si="205"/>
        <v>0</v>
      </c>
      <c r="F3551" s="21">
        <f t="shared" ca="1" si="206"/>
        <v>0</v>
      </c>
      <c r="H3551" s="21">
        <v>3536</v>
      </c>
      <c r="I3551" s="102">
        <v>0.66774938084614399</v>
      </c>
      <c r="J3551" s="103">
        <v>1.4067797151558598E-3</v>
      </c>
      <c r="K3551" s="103"/>
      <c r="L3551" s="103">
        <v>4.2200000000000001E-2</v>
      </c>
      <c r="O3551" s="100"/>
    </row>
    <row r="3552" spans="2:15" x14ac:dyDescent="0.2">
      <c r="B3552" s="1">
        <v>3537</v>
      </c>
      <c r="C3552" s="101">
        <f ca="1"/>
        <v>0.11418404876881133</v>
      </c>
      <c r="D3552" s="101">
        <f t="shared" ca="1" si="204"/>
        <v>0.672028937957307</v>
      </c>
      <c r="E3552" s="101">
        <f t="shared" ca="1" si="205"/>
        <v>0</v>
      </c>
      <c r="F3552" s="21">
        <f t="shared" ca="1" si="206"/>
        <v>0</v>
      </c>
      <c r="H3552" s="21">
        <v>3537</v>
      </c>
      <c r="I3552" s="102">
        <v>0.66772778284941892</v>
      </c>
      <c r="J3552" s="103">
        <v>1.2707349913223252E-3</v>
      </c>
      <c r="K3552" s="103"/>
      <c r="L3552" s="103">
        <v>4.3799999999999999E-2</v>
      </c>
      <c r="O3552" s="100"/>
    </row>
    <row r="3553" spans="2:15" x14ac:dyDescent="0.2">
      <c r="B3553" s="1">
        <v>3538</v>
      </c>
      <c r="C3553" s="101">
        <f ca="1"/>
        <v>-9.1940290733628735E-2</v>
      </c>
      <c r="D3553" s="101">
        <f t="shared" ca="1" si="204"/>
        <v>0.65850296505300754</v>
      </c>
      <c r="E3553" s="101">
        <f t="shared" ca="1" si="205"/>
        <v>0</v>
      </c>
      <c r="F3553" s="21">
        <f t="shared" ca="1" si="206"/>
        <v>0</v>
      </c>
      <c r="H3553" s="21">
        <v>3538</v>
      </c>
      <c r="I3553" s="102">
        <v>0.66774628296335314</v>
      </c>
      <c r="J3553" s="103">
        <v>1.3144971824326156E-3</v>
      </c>
      <c r="K3553" s="103"/>
      <c r="L3553" s="103">
        <v>4.3799999999999999E-2</v>
      </c>
      <c r="O3553" s="100"/>
    </row>
    <row r="3554" spans="2:15" x14ac:dyDescent="0.2">
      <c r="B3554" s="1">
        <v>3539</v>
      </c>
      <c r="C3554" s="101">
        <f ca="1"/>
        <v>-1.1856331738075914</v>
      </c>
      <c r="D3554" s="101">
        <f t="shared" ca="1" si="204"/>
        <v>0.59115940860228455</v>
      </c>
      <c r="E3554" s="101">
        <f t="shared" ca="1" si="205"/>
        <v>0</v>
      </c>
      <c r="F3554" s="21">
        <f t="shared" ca="1" si="206"/>
        <v>0</v>
      </c>
      <c r="H3554" s="21">
        <v>3539</v>
      </c>
      <c r="I3554" s="102">
        <v>0.66803336706368266</v>
      </c>
      <c r="J3554" s="103">
        <v>1.7563113669289998E-3</v>
      </c>
      <c r="K3554" s="103"/>
      <c r="L3554" s="103">
        <v>5.28E-2</v>
      </c>
      <c r="O3554" s="100"/>
    </row>
    <row r="3555" spans="2:15" x14ac:dyDescent="0.2">
      <c r="B3555" s="1">
        <v>3540</v>
      </c>
      <c r="C3555" s="101">
        <f ca="1"/>
        <v>-0.10508585909832649</v>
      </c>
      <c r="D3555" s="101">
        <f t="shared" ca="1" si="204"/>
        <v>0.65764964007155413</v>
      </c>
      <c r="E3555" s="101">
        <f t="shared" ca="1" si="205"/>
        <v>0</v>
      </c>
      <c r="F3555" s="21">
        <f t="shared" ca="1" si="206"/>
        <v>0</v>
      </c>
      <c r="H3555" s="21">
        <v>3540</v>
      </c>
      <c r="I3555" s="102">
        <v>0.66776868492354124</v>
      </c>
      <c r="J3555" s="103">
        <v>1.3653625122078067E-3</v>
      </c>
      <c r="K3555" s="103"/>
      <c r="L3555" s="103">
        <v>4.1399999999999999E-2</v>
      </c>
      <c r="O3555" s="100"/>
    </row>
    <row r="3556" spans="2:15" x14ac:dyDescent="0.2">
      <c r="B3556" s="1">
        <v>3541</v>
      </c>
      <c r="C3556" s="101">
        <f ca="1"/>
        <v>-0.54888004209413233</v>
      </c>
      <c r="D3556" s="101">
        <f t="shared" ca="1" si="204"/>
        <v>0.62948113263011107</v>
      </c>
      <c r="E3556" s="101">
        <f t="shared" ca="1" si="205"/>
        <v>0</v>
      </c>
      <c r="F3556" s="21">
        <f t="shared" ca="1" si="206"/>
        <v>0</v>
      </c>
      <c r="H3556" s="21">
        <v>3541</v>
      </c>
      <c r="I3556" s="102">
        <v>0.66765148282738462</v>
      </c>
      <c r="J3556" s="103">
        <v>1.2887383815870686E-3</v>
      </c>
      <c r="K3556" s="103"/>
      <c r="L3556" s="103">
        <v>3.9800000000000002E-2</v>
      </c>
      <c r="O3556" s="100"/>
    </row>
    <row r="3557" spans="2:15" x14ac:dyDescent="0.2">
      <c r="B3557" s="1">
        <v>3542</v>
      </c>
      <c r="C3557" s="101">
        <f ca="1"/>
        <v>0.68681874290259426</v>
      </c>
      <c r="D3557" s="101">
        <f t="shared" ca="1" si="204"/>
        <v>0.71108135559500585</v>
      </c>
      <c r="E3557" s="101">
        <f t="shared" ca="1" si="205"/>
        <v>0</v>
      </c>
      <c r="F3557" s="21">
        <f t="shared" ca="1" si="206"/>
        <v>0</v>
      </c>
      <c r="H3557" s="21">
        <v>3542</v>
      </c>
      <c r="I3557" s="102">
        <v>0.66767109760296561</v>
      </c>
      <c r="J3557" s="103">
        <v>1.270297944092538E-3</v>
      </c>
      <c r="K3557" s="103"/>
      <c r="L3557" s="103">
        <v>0.04</v>
      </c>
      <c r="O3557" s="100"/>
    </row>
    <row r="3558" spans="2:15" x14ac:dyDescent="0.2">
      <c r="B3558" s="1">
        <v>3543</v>
      </c>
      <c r="C3558" s="101">
        <f ca="1"/>
        <v>-1.2947318909090588</v>
      </c>
      <c r="D3558" s="101">
        <f t="shared" ca="1" si="204"/>
        <v>0.58483167211328269</v>
      </c>
      <c r="E3558" s="101">
        <f t="shared" ca="1" si="205"/>
        <v>0</v>
      </c>
      <c r="F3558" s="21">
        <f t="shared" ca="1" si="206"/>
        <v>0</v>
      </c>
      <c r="H3558" s="21">
        <v>3543</v>
      </c>
      <c r="I3558" s="102">
        <v>0.6678227305256641</v>
      </c>
      <c r="J3558" s="103">
        <v>1.4644642639381113E-3</v>
      </c>
      <c r="K3558" s="103"/>
      <c r="L3558" s="103">
        <v>4.5400000000000003E-2</v>
      </c>
      <c r="O3558" s="100"/>
    </row>
    <row r="3559" spans="2:15" x14ac:dyDescent="0.2">
      <c r="B3559" s="1">
        <v>3544</v>
      </c>
      <c r="C3559" s="101">
        <f ca="1"/>
        <v>-0.82823416822504869</v>
      </c>
      <c r="D3559" s="101">
        <f t="shared" ca="1" si="204"/>
        <v>0.61237204819011304</v>
      </c>
      <c r="E3559" s="101">
        <f t="shared" ca="1" si="205"/>
        <v>0</v>
      </c>
      <c r="F3559" s="21">
        <f t="shared" ca="1" si="206"/>
        <v>0</v>
      </c>
      <c r="H3559" s="21">
        <v>3544</v>
      </c>
      <c r="I3559" s="102">
        <v>0.66790052883677142</v>
      </c>
      <c r="J3559" s="103">
        <v>1.512373905496736E-3</v>
      </c>
      <c r="K3559" s="103"/>
      <c r="L3559" s="103">
        <v>4.4999999999999998E-2</v>
      </c>
      <c r="O3559" s="100"/>
    </row>
    <row r="3560" spans="2:15" x14ac:dyDescent="0.2">
      <c r="B3560" s="1">
        <v>3545</v>
      </c>
      <c r="C3560" s="101">
        <f ca="1"/>
        <v>-1.7785184034447772</v>
      </c>
      <c r="D3560" s="101">
        <f t="shared" ca="1" si="204"/>
        <v>0.55757817786935748</v>
      </c>
      <c r="E3560" s="101">
        <f t="shared" ca="1" si="205"/>
        <v>0</v>
      </c>
      <c r="F3560" s="21">
        <f t="shared" ca="1" si="206"/>
        <v>0</v>
      </c>
      <c r="H3560" s="21">
        <v>3545</v>
      </c>
      <c r="I3560" s="102">
        <v>0.6676886818803941</v>
      </c>
      <c r="J3560" s="103">
        <v>1.3262467612094591E-3</v>
      </c>
      <c r="K3560" s="103"/>
      <c r="L3560" s="103">
        <v>4.1599999999999998E-2</v>
      </c>
      <c r="O3560" s="100"/>
    </row>
    <row r="3561" spans="2:15" x14ac:dyDescent="0.2">
      <c r="B3561" s="1">
        <v>3546</v>
      </c>
      <c r="C3561" s="101">
        <f ca="1"/>
        <v>-1.2260053910477355</v>
      </c>
      <c r="D3561" s="101">
        <f t="shared" ca="1" si="204"/>
        <v>0.58880987513988958</v>
      </c>
      <c r="E3561" s="101">
        <f t="shared" ca="1" si="205"/>
        <v>0</v>
      </c>
      <c r="F3561" s="21">
        <f t="shared" ca="1" si="206"/>
        <v>0</v>
      </c>
      <c r="H3561" s="21">
        <v>3546</v>
      </c>
      <c r="I3561" s="102">
        <v>0.667950781864182</v>
      </c>
      <c r="J3561" s="103">
        <v>1.4850248389506281E-3</v>
      </c>
      <c r="K3561" s="103"/>
      <c r="L3561" s="103">
        <v>4.3999999999999997E-2</v>
      </c>
      <c r="O3561" s="100"/>
    </row>
    <row r="3562" spans="2:15" x14ac:dyDescent="0.2">
      <c r="B3562" s="1">
        <v>3547</v>
      </c>
      <c r="C3562" s="101">
        <f ca="1"/>
        <v>1.0540305198777569</v>
      </c>
      <c r="D3562" s="101">
        <f t="shared" ca="1" si="204"/>
        <v>0.73731049846271191</v>
      </c>
      <c r="E3562" s="101">
        <f t="shared" ca="1" si="205"/>
        <v>0</v>
      </c>
      <c r="F3562" s="21">
        <f t="shared" ca="1" si="206"/>
        <v>0</v>
      </c>
      <c r="H3562" s="21">
        <v>3547</v>
      </c>
      <c r="I3562" s="102">
        <v>0.66764888712826309</v>
      </c>
      <c r="J3562" s="103">
        <v>1.287248930163019E-3</v>
      </c>
      <c r="K3562" s="103"/>
      <c r="L3562" s="103">
        <v>4.2599999999999999E-2</v>
      </c>
      <c r="O3562" s="100"/>
    </row>
    <row r="3563" spans="2:15" x14ac:dyDescent="0.2">
      <c r="B3563" s="1">
        <v>3548</v>
      </c>
      <c r="C3563" s="101">
        <f ca="1"/>
        <v>0.9404837486508516</v>
      </c>
      <c r="D3563" s="101">
        <f t="shared" ca="1" si="204"/>
        <v>0.72909839823954059</v>
      </c>
      <c r="E3563" s="101">
        <f t="shared" ca="1" si="205"/>
        <v>0</v>
      </c>
      <c r="F3563" s="21">
        <f t="shared" ca="1" si="206"/>
        <v>0</v>
      </c>
      <c r="H3563" s="21">
        <v>3548</v>
      </c>
      <c r="I3563" s="102">
        <v>0.66758719646682552</v>
      </c>
      <c r="J3563" s="103">
        <v>1.2199071030803126E-3</v>
      </c>
      <c r="K3563" s="103"/>
      <c r="L3563" s="103">
        <v>3.7600000000000001E-2</v>
      </c>
      <c r="O3563" s="100"/>
    </row>
    <row r="3564" spans="2:15" x14ac:dyDescent="0.2">
      <c r="B3564" s="1">
        <v>3549</v>
      </c>
      <c r="C3564" s="101">
        <f ca="1"/>
        <v>-0.37758049029930402</v>
      </c>
      <c r="D3564" s="101">
        <f t="shared" ca="1" si="204"/>
        <v>0.64020798231829223</v>
      </c>
      <c r="E3564" s="101">
        <f t="shared" ca="1" si="205"/>
        <v>0</v>
      </c>
      <c r="F3564" s="21">
        <f t="shared" ca="1" si="206"/>
        <v>0</v>
      </c>
      <c r="H3564" s="21">
        <v>3549</v>
      </c>
      <c r="I3564" s="102">
        <v>0.66766289533431156</v>
      </c>
      <c r="J3564" s="103">
        <v>1.3355936986130309E-3</v>
      </c>
      <c r="K3564" s="103"/>
      <c r="L3564" s="103">
        <v>4.0399999999999998E-2</v>
      </c>
      <c r="O3564" s="100"/>
    </row>
    <row r="3565" spans="2:15" x14ac:dyDescent="0.2">
      <c r="B3565" s="1">
        <v>3550</v>
      </c>
      <c r="C3565" s="101">
        <f ca="1"/>
        <v>0.36196194558998218</v>
      </c>
      <c r="D3565" s="101">
        <f t="shared" ca="1" si="204"/>
        <v>0.68865646156930482</v>
      </c>
      <c r="E3565" s="101">
        <f t="shared" ca="1" si="205"/>
        <v>0</v>
      </c>
      <c r="F3565" s="21">
        <f t="shared" ca="1" si="206"/>
        <v>0</v>
      </c>
      <c r="H3565" s="21">
        <v>3550</v>
      </c>
      <c r="I3565" s="102">
        <v>0.66777537673590637</v>
      </c>
      <c r="J3565" s="103">
        <v>1.401829672425421E-3</v>
      </c>
      <c r="K3565" s="103"/>
      <c r="L3565" s="103">
        <v>4.1000000000000002E-2</v>
      </c>
      <c r="O3565" s="100"/>
    </row>
    <row r="3566" spans="2:15" x14ac:dyDescent="0.2">
      <c r="B3566" s="1">
        <v>3551</v>
      </c>
      <c r="C3566" s="101">
        <f ca="1"/>
        <v>0.15100168800016228</v>
      </c>
      <c r="D3566" s="101">
        <f t="shared" ca="1" si="204"/>
        <v>0.67447401007992847</v>
      </c>
      <c r="E3566" s="101">
        <f t="shared" ca="1" si="205"/>
        <v>0</v>
      </c>
      <c r="F3566" s="21">
        <f t="shared" ca="1" si="206"/>
        <v>0</v>
      </c>
      <c r="H3566" s="21">
        <v>3551</v>
      </c>
      <c r="I3566" s="102">
        <v>0.66770903218105027</v>
      </c>
      <c r="J3566" s="103">
        <v>1.2438157627467008E-3</v>
      </c>
      <c r="K3566" s="103"/>
      <c r="L3566" s="103">
        <v>4.1000000000000002E-2</v>
      </c>
      <c r="O3566" s="100"/>
    </row>
    <row r="3567" spans="2:15" x14ac:dyDescent="0.2">
      <c r="B3567" s="1">
        <v>3552</v>
      </c>
      <c r="C3567" s="101">
        <f ca="1"/>
        <v>0.13574189617454596</v>
      </c>
      <c r="D3567" s="101">
        <f t="shared" ca="1" si="204"/>
        <v>0.67345952442583501</v>
      </c>
      <c r="E3567" s="101">
        <f t="shared" ca="1" si="205"/>
        <v>0</v>
      </c>
      <c r="F3567" s="21">
        <f t="shared" ca="1" si="206"/>
        <v>0</v>
      </c>
      <c r="H3567" s="21">
        <v>3552</v>
      </c>
      <c r="I3567" s="102">
        <v>0.66783125558323131</v>
      </c>
      <c r="J3567" s="103">
        <v>1.3916116370401169E-3</v>
      </c>
      <c r="K3567" s="103"/>
      <c r="L3567" s="103">
        <v>4.58E-2</v>
      </c>
      <c r="O3567" s="100"/>
    </row>
    <row r="3568" spans="2:15" x14ac:dyDescent="0.2">
      <c r="B3568" s="1">
        <v>3553</v>
      </c>
      <c r="C3568" s="101">
        <f ca="1"/>
        <v>0.50161373291931899</v>
      </c>
      <c r="D3568" s="101">
        <f t="shared" ca="1" si="204"/>
        <v>0.69820864729358523</v>
      </c>
      <c r="E3568" s="101">
        <f t="shared" ca="1" si="205"/>
        <v>0</v>
      </c>
      <c r="F3568" s="21">
        <f t="shared" ca="1" si="206"/>
        <v>0</v>
      </c>
      <c r="H3568" s="21">
        <v>3553</v>
      </c>
      <c r="I3568" s="102">
        <v>0.66780245988190512</v>
      </c>
      <c r="J3568" s="103">
        <v>1.4226700124998803E-3</v>
      </c>
      <c r="K3568" s="103"/>
      <c r="L3568" s="103">
        <v>4.48E-2</v>
      </c>
      <c r="O3568" s="100"/>
    </row>
    <row r="3569" spans="2:15" x14ac:dyDescent="0.2">
      <c r="B3569" s="1">
        <v>3554</v>
      </c>
      <c r="C3569" s="101">
        <f ca="1"/>
        <v>-0.89375464406199945</v>
      </c>
      <c r="D3569" s="101">
        <f t="shared" ca="1" si="204"/>
        <v>0.60842703345247195</v>
      </c>
      <c r="E3569" s="101">
        <f t="shared" ca="1" si="205"/>
        <v>0</v>
      </c>
      <c r="F3569" s="21">
        <f t="shared" ca="1" si="206"/>
        <v>0</v>
      </c>
      <c r="H3569" s="21">
        <v>3554</v>
      </c>
      <c r="I3569" s="102">
        <v>0.66776788844590063</v>
      </c>
      <c r="J3569" s="103">
        <v>1.4635916975724072E-3</v>
      </c>
      <c r="K3569" s="103"/>
      <c r="L3569" s="103">
        <v>4.5600000000000002E-2</v>
      </c>
      <c r="O3569" s="100"/>
    </row>
    <row r="3570" spans="2:15" x14ac:dyDescent="0.2">
      <c r="B3570" s="1">
        <v>3555</v>
      </c>
      <c r="C3570" s="101">
        <f ca="1"/>
        <v>-1.4442265736550057</v>
      </c>
      <c r="D3570" s="101">
        <f t="shared" ca="1" si="204"/>
        <v>0.57627081327975282</v>
      </c>
      <c r="E3570" s="101">
        <f t="shared" ca="1" si="205"/>
        <v>0</v>
      </c>
      <c r="F3570" s="21">
        <f t="shared" ca="1" si="206"/>
        <v>0</v>
      </c>
      <c r="H3570" s="21">
        <v>3555</v>
      </c>
      <c r="I3570" s="102">
        <v>0.66769419271085995</v>
      </c>
      <c r="J3570" s="103">
        <v>1.2652228696833979E-3</v>
      </c>
      <c r="K3570" s="103"/>
      <c r="L3570" s="103">
        <v>4.1399999999999999E-2</v>
      </c>
      <c r="O3570" s="100"/>
    </row>
    <row r="3571" spans="2:15" x14ac:dyDescent="0.2">
      <c r="B3571" s="1">
        <v>3556</v>
      </c>
      <c r="C3571" s="101">
        <f ca="1"/>
        <v>8.5146686177350384E-2</v>
      </c>
      <c r="D3571" s="101">
        <f t="shared" ca="1" si="204"/>
        <v>0.67010681033499131</v>
      </c>
      <c r="E3571" s="101">
        <f t="shared" ca="1" si="205"/>
        <v>0</v>
      </c>
      <c r="F3571" s="21">
        <f t="shared" ca="1" si="206"/>
        <v>0</v>
      </c>
      <c r="H3571" s="21">
        <v>3556</v>
      </c>
      <c r="I3571" s="102">
        <v>0.66770743388753784</v>
      </c>
      <c r="J3571" s="103">
        <v>1.4745013671701496E-3</v>
      </c>
      <c r="K3571" s="103"/>
      <c r="L3571" s="103">
        <v>3.9800000000000002E-2</v>
      </c>
      <c r="O3571" s="100"/>
    </row>
    <row r="3572" spans="2:15" x14ac:dyDescent="0.2">
      <c r="B3572" s="1">
        <v>3557</v>
      </c>
      <c r="C3572" s="101">
        <f ca="1"/>
        <v>0.44249869836190386</v>
      </c>
      <c r="D3572" s="101">
        <f t="shared" ca="1" si="204"/>
        <v>0.69414911069444951</v>
      </c>
      <c r="E3572" s="101">
        <f t="shared" ca="1" si="205"/>
        <v>0</v>
      </c>
      <c r="F3572" s="21">
        <f t="shared" ca="1" si="206"/>
        <v>0</v>
      </c>
      <c r="H3572" s="21">
        <v>3557</v>
      </c>
      <c r="I3572" s="102">
        <v>0.66769692429678729</v>
      </c>
      <c r="J3572" s="103">
        <v>1.2425306652249048E-3</v>
      </c>
      <c r="K3572" s="103"/>
      <c r="L3572" s="103">
        <v>4.0399999999999998E-2</v>
      </c>
      <c r="O3572" s="100"/>
    </row>
    <row r="3573" spans="2:15" x14ac:dyDescent="0.2">
      <c r="B3573" s="1">
        <v>3558</v>
      </c>
      <c r="C3573" s="101">
        <f ca="1"/>
        <v>2.8113236707651876</v>
      </c>
      <c r="D3573" s="101">
        <f t="shared" ca="1" si="204"/>
        <v>0.87686305640026674</v>
      </c>
      <c r="E3573" s="101">
        <f t="shared" ca="1" si="205"/>
        <v>8.8663056400266727E-2</v>
      </c>
      <c r="F3573" s="21">
        <f t="shared" ca="1" si="206"/>
        <v>1</v>
      </c>
      <c r="H3573" s="21">
        <v>3558</v>
      </c>
      <c r="I3573" s="102">
        <v>0.66783235639414007</v>
      </c>
      <c r="J3573" s="103">
        <v>1.5328279494461867E-3</v>
      </c>
      <c r="K3573" s="103"/>
      <c r="L3573" s="103">
        <v>4.5600000000000002E-2</v>
      </c>
      <c r="O3573" s="100"/>
    </row>
    <row r="3574" spans="2:15" x14ac:dyDescent="0.2">
      <c r="B3574" s="1">
        <v>3559</v>
      </c>
      <c r="C3574" s="101">
        <f ca="1"/>
        <v>-5.3320934379996583E-2</v>
      </c>
      <c r="D3574" s="101">
        <f t="shared" ca="1" si="204"/>
        <v>0.66101629290591457</v>
      </c>
      <c r="E3574" s="101">
        <f t="shared" ca="1" si="205"/>
        <v>0</v>
      </c>
      <c r="F3574" s="21">
        <f t="shared" ca="1" si="206"/>
        <v>0</v>
      </c>
      <c r="H3574" s="21">
        <v>3559</v>
      </c>
      <c r="I3574" s="102">
        <v>0.6675827113317585</v>
      </c>
      <c r="J3574" s="103">
        <v>1.2897638612557045E-3</v>
      </c>
      <c r="K3574" s="103"/>
      <c r="L3574" s="103">
        <v>4.1200000000000001E-2</v>
      </c>
      <c r="O3574" s="100"/>
    </row>
    <row r="3575" spans="2:15" x14ac:dyDescent="0.2">
      <c r="B3575" s="1">
        <v>3560</v>
      </c>
      <c r="C3575" s="101">
        <f ca="1"/>
        <v>-7.5109421871774079E-2</v>
      </c>
      <c r="D3575" s="101">
        <f t="shared" ca="1" si="204"/>
        <v>0.65959713235838691</v>
      </c>
      <c r="E3575" s="101">
        <f t="shared" ca="1" si="205"/>
        <v>0</v>
      </c>
      <c r="F3575" s="21">
        <f t="shared" ca="1" si="206"/>
        <v>0</v>
      </c>
      <c r="H3575" s="21">
        <v>3560</v>
      </c>
      <c r="I3575" s="102">
        <v>0.66786141446945391</v>
      </c>
      <c r="J3575" s="103">
        <v>1.3541142122995217E-3</v>
      </c>
      <c r="K3575" s="103"/>
      <c r="L3575" s="103">
        <v>4.3799999999999999E-2</v>
      </c>
      <c r="O3575" s="100"/>
    </row>
    <row r="3576" spans="2:15" x14ac:dyDescent="0.2">
      <c r="B3576" s="1">
        <v>3561</v>
      </c>
      <c r="C3576" s="101">
        <f ca="1"/>
        <v>0.78185306026156476</v>
      </c>
      <c r="D3576" s="101">
        <f t="shared" ca="1" si="204"/>
        <v>0.71777859536926414</v>
      </c>
      <c r="E3576" s="101">
        <f t="shared" ca="1" si="205"/>
        <v>0</v>
      </c>
      <c r="F3576" s="21">
        <f t="shared" ca="1" si="206"/>
        <v>0</v>
      </c>
      <c r="H3576" s="21">
        <v>3561</v>
      </c>
      <c r="I3576" s="102">
        <v>0.66773510731555519</v>
      </c>
      <c r="J3576" s="103">
        <v>1.4058127650015703E-3</v>
      </c>
      <c r="K3576" s="103"/>
      <c r="L3576" s="103">
        <v>4.1799999999999997E-2</v>
      </c>
      <c r="O3576" s="100"/>
    </row>
    <row r="3577" spans="2:15" x14ac:dyDescent="0.2">
      <c r="B3577" s="1">
        <v>3562</v>
      </c>
      <c r="C3577" s="101">
        <f ca="1"/>
        <v>0.78433790487401167</v>
      </c>
      <c r="D3577" s="101">
        <f t="shared" ca="1" si="204"/>
        <v>0.71795455047172008</v>
      </c>
      <c r="E3577" s="101">
        <f t="shared" ca="1" si="205"/>
        <v>0</v>
      </c>
      <c r="F3577" s="21">
        <f t="shared" ca="1" si="206"/>
        <v>0</v>
      </c>
      <c r="H3577" s="21">
        <v>3562</v>
      </c>
      <c r="I3577" s="102">
        <v>0.66789558025288498</v>
      </c>
      <c r="J3577" s="103">
        <v>1.5004649684493476E-3</v>
      </c>
      <c r="K3577" s="103"/>
      <c r="L3577" s="103">
        <v>4.6399999999999997E-2</v>
      </c>
      <c r="O3577" s="100"/>
    </row>
    <row r="3578" spans="2:15" x14ac:dyDescent="0.2">
      <c r="B3578" s="1">
        <v>3563</v>
      </c>
      <c r="C3578" s="101">
        <f ca="1"/>
        <v>0.55330117917674271</v>
      </c>
      <c r="D3578" s="101">
        <f t="shared" ca="1" si="204"/>
        <v>0.70177756717657336</v>
      </c>
      <c r="E3578" s="101">
        <f t="shared" ca="1" si="205"/>
        <v>0</v>
      </c>
      <c r="F3578" s="21">
        <f t="shared" ca="1" si="206"/>
        <v>0</v>
      </c>
      <c r="H3578" s="21">
        <v>3563</v>
      </c>
      <c r="I3578" s="102">
        <v>0.66763064990718124</v>
      </c>
      <c r="J3578" s="103">
        <v>1.2528660658311745E-3</v>
      </c>
      <c r="K3578" s="103"/>
      <c r="L3578" s="103">
        <v>3.7600000000000001E-2</v>
      </c>
      <c r="O3578" s="100"/>
    </row>
    <row r="3579" spans="2:15" x14ac:dyDescent="0.2">
      <c r="B3579" s="1">
        <v>3564</v>
      </c>
      <c r="C3579" s="101">
        <f ca="1"/>
        <v>1.3966665488804528</v>
      </c>
      <c r="D3579" s="101">
        <f t="shared" ca="1" si="204"/>
        <v>0.76265607504204469</v>
      </c>
      <c r="E3579" s="101">
        <f t="shared" ca="1" si="205"/>
        <v>0</v>
      </c>
      <c r="F3579" s="21">
        <f t="shared" ca="1" si="206"/>
        <v>0</v>
      </c>
      <c r="H3579" s="21">
        <v>3564</v>
      </c>
      <c r="I3579" s="102">
        <v>0.6677686531119601</v>
      </c>
      <c r="J3579" s="103">
        <v>1.4241661133036058E-3</v>
      </c>
      <c r="K3579" s="103"/>
      <c r="L3579" s="103">
        <v>4.1599999999999998E-2</v>
      </c>
      <c r="O3579" s="100"/>
    </row>
    <row r="3580" spans="2:15" x14ac:dyDescent="0.2">
      <c r="B3580" s="1">
        <v>3565</v>
      </c>
      <c r="C3580" s="101">
        <f ca="1"/>
        <v>0.33743257204092075</v>
      </c>
      <c r="D3580" s="101">
        <f t="shared" ca="1" si="204"/>
        <v>0.68699219580746873</v>
      </c>
      <c r="E3580" s="101">
        <f t="shared" ca="1" si="205"/>
        <v>0</v>
      </c>
      <c r="F3580" s="21">
        <f t="shared" ca="1" si="206"/>
        <v>0</v>
      </c>
      <c r="H3580" s="21">
        <v>3565</v>
      </c>
      <c r="I3580" s="102">
        <v>0.66780711437788765</v>
      </c>
      <c r="J3580" s="103">
        <v>1.4499954643579294E-3</v>
      </c>
      <c r="K3580" s="103"/>
      <c r="L3580" s="103">
        <v>4.2799999999999998E-2</v>
      </c>
      <c r="O3580" s="100"/>
    </row>
    <row r="3581" spans="2:15" x14ac:dyDescent="0.2">
      <c r="B3581" s="1">
        <v>3566</v>
      </c>
      <c r="C3581" s="101">
        <f ca="1"/>
        <v>-0.47783646921022543</v>
      </c>
      <c r="D3581" s="101">
        <f t="shared" ca="1" si="204"/>
        <v>0.63390792377928951</v>
      </c>
      <c r="E3581" s="101">
        <f t="shared" ca="1" si="205"/>
        <v>0</v>
      </c>
      <c r="F3581" s="21">
        <f t="shared" ca="1" si="206"/>
        <v>0</v>
      </c>
      <c r="H3581" s="21">
        <v>3566</v>
      </c>
      <c r="I3581" s="102">
        <v>0.66788762850583494</v>
      </c>
      <c r="J3581" s="103">
        <v>1.5203640739351256E-3</v>
      </c>
      <c r="K3581" s="103"/>
      <c r="L3581" s="103">
        <v>4.6399999999999997E-2</v>
      </c>
      <c r="O3581" s="100"/>
    </row>
    <row r="3582" spans="2:15" x14ac:dyDescent="0.2">
      <c r="B3582" s="1">
        <v>3567</v>
      </c>
      <c r="C3582" s="101">
        <f ca="1"/>
        <v>-0.33186018557251362</v>
      </c>
      <c r="D3582" s="101">
        <f t="shared" ca="1" si="204"/>
        <v>0.64310178413283225</v>
      </c>
      <c r="E3582" s="101">
        <f t="shared" ca="1" si="205"/>
        <v>0</v>
      </c>
      <c r="F3582" s="21">
        <f t="shared" ca="1" si="206"/>
        <v>0</v>
      </c>
      <c r="H3582" s="21">
        <v>3567</v>
      </c>
      <c r="I3582" s="102">
        <v>0.66777369586523394</v>
      </c>
      <c r="J3582" s="103">
        <v>1.416087370479422E-3</v>
      </c>
      <c r="K3582" s="103"/>
      <c r="L3582" s="103">
        <v>4.48E-2</v>
      </c>
      <c r="O3582" s="100"/>
    </row>
    <row r="3583" spans="2:15" x14ac:dyDescent="0.2">
      <c r="B3583" s="1">
        <v>3568</v>
      </c>
      <c r="C3583" s="101">
        <f ca="1"/>
        <v>0.73131867551582097</v>
      </c>
      <c r="D3583" s="101">
        <f t="shared" ca="1" si="204"/>
        <v>0.71420953079882188</v>
      </c>
      <c r="E3583" s="101">
        <f t="shared" ca="1" si="205"/>
        <v>0</v>
      </c>
      <c r="F3583" s="21">
        <f t="shared" ca="1" si="206"/>
        <v>0</v>
      </c>
      <c r="H3583" s="21">
        <v>3568</v>
      </c>
      <c r="I3583" s="102">
        <v>0.66768541785201496</v>
      </c>
      <c r="J3583" s="103">
        <v>1.3211354297761198E-3</v>
      </c>
      <c r="K3583" s="103"/>
      <c r="L3583" s="103">
        <v>0.04</v>
      </c>
      <c r="O3583" s="100"/>
    </row>
    <row r="3584" spans="2:15" x14ac:dyDescent="0.2">
      <c r="B3584" s="1">
        <v>3569</v>
      </c>
      <c r="C3584" s="101">
        <f ca="1"/>
        <v>-1.8090318103936507</v>
      </c>
      <c r="D3584" s="101">
        <f t="shared" ca="1" si="204"/>
        <v>0.55590245596641485</v>
      </c>
      <c r="E3584" s="101">
        <f t="shared" ca="1" si="205"/>
        <v>0</v>
      </c>
      <c r="F3584" s="21">
        <f t="shared" ca="1" si="206"/>
        <v>0</v>
      </c>
      <c r="H3584" s="21">
        <v>3569</v>
      </c>
      <c r="I3584" s="102">
        <v>0.66783757346679995</v>
      </c>
      <c r="J3584" s="103">
        <v>1.5503021907270688E-3</v>
      </c>
      <c r="K3584" s="103"/>
      <c r="L3584" s="103">
        <v>4.5400000000000003E-2</v>
      </c>
      <c r="O3584" s="100"/>
    </row>
    <row r="3585" spans="2:15" x14ac:dyDescent="0.2">
      <c r="B3585" s="1">
        <v>3570</v>
      </c>
      <c r="C3585" s="101">
        <f ca="1"/>
        <v>-0.72852638336456543</v>
      </c>
      <c r="D3585" s="101">
        <f t="shared" ca="1" si="204"/>
        <v>0.61842463166963046</v>
      </c>
      <c r="E3585" s="101">
        <f t="shared" ca="1" si="205"/>
        <v>0</v>
      </c>
      <c r="F3585" s="21">
        <f t="shared" ca="1" si="206"/>
        <v>0</v>
      </c>
      <c r="H3585" s="21">
        <v>3570</v>
      </c>
      <c r="I3585" s="102">
        <v>0.66772680559805409</v>
      </c>
      <c r="J3585" s="103">
        <v>1.4223190056727323E-3</v>
      </c>
      <c r="K3585" s="103"/>
      <c r="L3585" s="103">
        <v>3.9399999999999998E-2</v>
      </c>
      <c r="O3585" s="100"/>
    </row>
    <row r="3586" spans="2:15" x14ac:dyDescent="0.2">
      <c r="B3586" s="1">
        <v>3571</v>
      </c>
      <c r="C3586" s="101">
        <f ca="1"/>
        <v>0.11889381030091592</v>
      </c>
      <c r="D3586" s="101">
        <f t="shared" ca="1" si="204"/>
        <v>0.67234121976078864</v>
      </c>
      <c r="E3586" s="101">
        <f t="shared" ca="1" si="205"/>
        <v>0</v>
      </c>
      <c r="F3586" s="21">
        <f t="shared" ca="1" si="206"/>
        <v>0</v>
      </c>
      <c r="H3586" s="21">
        <v>3571</v>
      </c>
      <c r="I3586" s="102">
        <v>0.66768493127729767</v>
      </c>
      <c r="J3586" s="103">
        <v>1.4005027781332478E-3</v>
      </c>
      <c r="K3586" s="103"/>
      <c r="L3586" s="103">
        <v>4.1399999999999999E-2</v>
      </c>
      <c r="O3586" s="100"/>
    </row>
    <row r="3587" spans="2:15" x14ac:dyDescent="0.2">
      <c r="B3587" s="1">
        <v>3572</v>
      </c>
      <c r="C3587" s="101">
        <f ca="1"/>
        <v>-0.28282479939262967</v>
      </c>
      <c r="D3587" s="101">
        <f t="shared" ca="1" si="204"/>
        <v>0.64621994819074569</v>
      </c>
      <c r="E3587" s="101">
        <f t="shared" ca="1" si="205"/>
        <v>0</v>
      </c>
      <c r="F3587" s="21">
        <f t="shared" ca="1" si="206"/>
        <v>0</v>
      </c>
      <c r="H3587" s="21">
        <v>3572</v>
      </c>
      <c r="I3587" s="102">
        <v>0.66764646520029791</v>
      </c>
      <c r="J3587" s="103">
        <v>1.2859810470053229E-3</v>
      </c>
      <c r="K3587" s="103"/>
      <c r="L3587" s="103">
        <v>3.78E-2</v>
      </c>
      <c r="O3587" s="100"/>
    </row>
    <row r="3588" spans="2:15" x14ac:dyDescent="0.2">
      <c r="B3588" s="1">
        <v>3573</v>
      </c>
      <c r="C3588" s="101">
        <f ca="1"/>
        <v>1.4320473237270186</v>
      </c>
      <c r="D3588" s="101">
        <f t="shared" ca="1" si="204"/>
        <v>0.765322399768819</v>
      </c>
      <c r="E3588" s="101">
        <f t="shared" ca="1" si="205"/>
        <v>0</v>
      </c>
      <c r="F3588" s="21">
        <f t="shared" ca="1" si="206"/>
        <v>0</v>
      </c>
      <c r="H3588" s="21">
        <v>3573</v>
      </c>
      <c r="I3588" s="102">
        <v>0.66780335854270256</v>
      </c>
      <c r="J3588" s="103">
        <v>1.5200594841528517E-3</v>
      </c>
      <c r="K3588" s="103"/>
      <c r="L3588" s="103">
        <v>4.24E-2</v>
      </c>
      <c r="O3588" s="100"/>
    </row>
    <row r="3589" spans="2:15" x14ac:dyDescent="0.2">
      <c r="B3589" s="1">
        <v>3574</v>
      </c>
      <c r="C3589" s="101">
        <f ca="1"/>
        <v>-0.14420863971020587</v>
      </c>
      <c r="D3589" s="101">
        <f t="shared" ca="1" si="204"/>
        <v>0.65511658009297202</v>
      </c>
      <c r="E3589" s="101">
        <f t="shared" ca="1" si="205"/>
        <v>0</v>
      </c>
      <c r="F3589" s="21">
        <f t="shared" ca="1" si="206"/>
        <v>0</v>
      </c>
      <c r="H3589" s="21">
        <v>3574</v>
      </c>
      <c r="I3589" s="102">
        <v>0.66776396304938734</v>
      </c>
      <c r="J3589" s="103">
        <v>1.4851904224692191E-3</v>
      </c>
      <c r="K3589" s="103"/>
      <c r="L3589" s="103">
        <v>4.2599999999999999E-2</v>
      </c>
      <c r="O3589" s="100"/>
    </row>
    <row r="3590" spans="2:15" x14ac:dyDescent="0.2">
      <c r="B3590" s="1">
        <v>3575</v>
      </c>
      <c r="C3590" s="101">
        <f ca="1"/>
        <v>-0.10193643583031978</v>
      </c>
      <c r="D3590" s="101">
        <f t="shared" ca="1" si="204"/>
        <v>0.65785397940886225</v>
      </c>
      <c r="E3590" s="101">
        <f t="shared" ca="1" si="205"/>
        <v>0</v>
      </c>
      <c r="F3590" s="21">
        <f t="shared" ca="1" si="206"/>
        <v>0</v>
      </c>
      <c r="H3590" s="21">
        <v>3575</v>
      </c>
      <c r="I3590" s="102">
        <v>0.66788891644986326</v>
      </c>
      <c r="J3590" s="103">
        <v>1.511731699351482E-3</v>
      </c>
      <c r="K3590" s="103"/>
      <c r="L3590" s="103">
        <v>4.7800000000000002E-2</v>
      </c>
      <c r="O3590" s="100"/>
    </row>
    <row r="3591" spans="2:15" x14ac:dyDescent="0.2">
      <c r="B3591" s="1">
        <v>3576</v>
      </c>
      <c r="C3591" s="101">
        <f ca="1"/>
        <v>1.3579217031428577</v>
      </c>
      <c r="D3591" s="101">
        <f t="shared" ca="1" si="204"/>
        <v>0.75974688607100949</v>
      </c>
      <c r="E3591" s="101">
        <f t="shared" ca="1" si="205"/>
        <v>0</v>
      </c>
      <c r="F3591" s="21">
        <f t="shared" ca="1" si="206"/>
        <v>0</v>
      </c>
      <c r="H3591" s="21">
        <v>3576</v>
      </c>
      <c r="I3591" s="102">
        <v>0.66762109309401119</v>
      </c>
      <c r="J3591" s="103">
        <v>1.2212789607541261E-3</v>
      </c>
      <c r="K3591" s="103"/>
      <c r="L3591" s="103">
        <v>3.8600000000000002E-2</v>
      </c>
      <c r="O3591" s="100"/>
    </row>
    <row r="3592" spans="2:15" x14ac:dyDescent="0.2">
      <c r="B3592" s="1">
        <v>3577</v>
      </c>
      <c r="C3592" s="101">
        <f ca="1"/>
        <v>1.3895673844541268</v>
      </c>
      <c r="D3592" s="101">
        <f t="shared" ca="1" si="204"/>
        <v>0.76212219606849685</v>
      </c>
      <c r="E3592" s="101">
        <f t="shared" ca="1" si="205"/>
        <v>0</v>
      </c>
      <c r="F3592" s="21">
        <f t="shared" ca="1" si="206"/>
        <v>0</v>
      </c>
      <c r="H3592" s="21">
        <v>3577</v>
      </c>
      <c r="I3592" s="102">
        <v>0.66780848861398945</v>
      </c>
      <c r="J3592" s="103">
        <v>1.5291964986752528E-3</v>
      </c>
      <c r="K3592" s="103"/>
      <c r="L3592" s="103">
        <v>4.0399999999999998E-2</v>
      </c>
      <c r="O3592" s="100"/>
    </row>
    <row r="3593" spans="2:15" x14ac:dyDescent="0.2">
      <c r="B3593" s="1">
        <v>3578</v>
      </c>
      <c r="C3593" s="101">
        <f ca="1"/>
        <v>-0.1370197662052316</v>
      </c>
      <c r="D3593" s="101">
        <f t="shared" ca="1" si="204"/>
        <v>0.65558130112297597</v>
      </c>
      <c r="E3593" s="101">
        <f t="shared" ca="1" si="205"/>
        <v>0</v>
      </c>
      <c r="F3593" s="21">
        <f t="shared" ca="1" si="206"/>
        <v>0</v>
      </c>
      <c r="H3593" s="21">
        <v>3578</v>
      </c>
      <c r="I3593" s="102">
        <v>0.6678007918857185</v>
      </c>
      <c r="J3593" s="103">
        <v>1.380605628011206E-3</v>
      </c>
      <c r="K3593" s="103"/>
      <c r="L3593" s="103">
        <v>4.2000000000000003E-2</v>
      </c>
      <c r="O3593" s="100"/>
    </row>
    <row r="3594" spans="2:15" x14ac:dyDescent="0.2">
      <c r="B3594" s="1">
        <v>3579</v>
      </c>
      <c r="C3594" s="101">
        <f ca="1"/>
        <v>-0.45288156567571963</v>
      </c>
      <c r="D3594" s="101">
        <f t="shared" ca="1" si="204"/>
        <v>0.63547026399695883</v>
      </c>
      <c r="E3594" s="101">
        <f t="shared" ca="1" si="205"/>
        <v>0</v>
      </c>
      <c r="F3594" s="21">
        <f t="shared" ca="1" si="206"/>
        <v>0</v>
      </c>
      <c r="H3594" s="21">
        <v>3579</v>
      </c>
      <c r="I3594" s="102">
        <v>0.66756383401882957</v>
      </c>
      <c r="J3594" s="103">
        <v>9.7769185898469624E-4</v>
      </c>
      <c r="K3594" s="103"/>
      <c r="L3594" s="103">
        <v>3.6999999999999998E-2</v>
      </c>
      <c r="O3594" s="100"/>
    </row>
    <row r="3595" spans="2:15" x14ac:dyDescent="0.2">
      <c r="B3595" s="1">
        <v>3580</v>
      </c>
      <c r="C3595" s="101">
        <f ca="1"/>
        <v>2.2523152326292668</v>
      </c>
      <c r="D3595" s="101">
        <f t="shared" ca="1" si="204"/>
        <v>0.82982056997777909</v>
      </c>
      <c r="E3595" s="101">
        <f t="shared" ca="1" si="205"/>
        <v>4.1620569977779076E-2</v>
      </c>
      <c r="F3595" s="21">
        <f t="shared" ca="1" si="206"/>
        <v>1</v>
      </c>
      <c r="H3595" s="21">
        <v>3580</v>
      </c>
      <c r="I3595" s="102">
        <v>0.66756243936655324</v>
      </c>
      <c r="J3595" s="103">
        <v>1.2021542992303295E-3</v>
      </c>
      <c r="K3595" s="103"/>
      <c r="L3595" s="103">
        <v>3.6400000000000002E-2</v>
      </c>
      <c r="O3595" s="100"/>
    </row>
    <row r="3596" spans="2:15" x14ac:dyDescent="0.2">
      <c r="B3596" s="1">
        <v>3581</v>
      </c>
      <c r="C3596" s="101">
        <f ca="1"/>
        <v>-0.11644206030446279</v>
      </c>
      <c r="D3596" s="101">
        <f t="shared" ca="1" si="204"/>
        <v>0.65691335949717844</v>
      </c>
      <c r="E3596" s="101">
        <f t="shared" ca="1" si="205"/>
        <v>0</v>
      </c>
      <c r="F3596" s="21">
        <f t="shared" ca="1" si="206"/>
        <v>0</v>
      </c>
      <c r="H3596" s="21">
        <v>3581</v>
      </c>
      <c r="I3596" s="102">
        <v>0.66769260804835806</v>
      </c>
      <c r="J3596" s="103">
        <v>1.3414690231841405E-3</v>
      </c>
      <c r="K3596" s="103"/>
      <c r="L3596" s="103">
        <v>3.8399999999999997E-2</v>
      </c>
      <c r="O3596" s="100"/>
    </row>
    <row r="3597" spans="2:15" x14ac:dyDescent="0.2">
      <c r="B3597" s="1">
        <v>3582</v>
      </c>
      <c r="C3597" s="101">
        <f ca="1"/>
        <v>-0.8649285364574294</v>
      </c>
      <c r="D3597" s="101">
        <f t="shared" ca="1" si="204"/>
        <v>0.61015952449967015</v>
      </c>
      <c r="E3597" s="101">
        <f t="shared" ca="1" si="205"/>
        <v>0</v>
      </c>
      <c r="F3597" s="21">
        <f t="shared" ca="1" si="206"/>
        <v>0</v>
      </c>
      <c r="H3597" s="21">
        <v>3582</v>
      </c>
      <c r="I3597" s="102">
        <v>0.66761101995528327</v>
      </c>
      <c r="J3597" s="103">
        <v>1.3127600675308466E-3</v>
      </c>
      <c r="K3597" s="103"/>
      <c r="L3597" s="103">
        <v>3.9399999999999998E-2</v>
      </c>
      <c r="O3597" s="100"/>
    </row>
    <row r="3598" spans="2:15" x14ac:dyDescent="0.2">
      <c r="B3598" s="1">
        <v>3583</v>
      </c>
      <c r="C3598" s="101">
        <f ca="1"/>
        <v>0.39767031256464275</v>
      </c>
      <c r="D3598" s="101">
        <f t="shared" ca="1" si="204"/>
        <v>0.69108640746307204</v>
      </c>
      <c r="E3598" s="101">
        <f t="shared" ca="1" si="205"/>
        <v>0</v>
      </c>
      <c r="F3598" s="21">
        <f t="shared" ca="1" si="206"/>
        <v>0</v>
      </c>
      <c r="H3598" s="21">
        <v>3583</v>
      </c>
      <c r="I3598" s="102">
        <v>0.66761625782902789</v>
      </c>
      <c r="J3598" s="103">
        <v>1.2353315960841309E-3</v>
      </c>
      <c r="K3598" s="103"/>
      <c r="L3598" s="103">
        <v>3.9600000000000003E-2</v>
      </c>
      <c r="O3598" s="100"/>
    </row>
    <row r="3599" spans="2:15" x14ac:dyDescent="0.2">
      <c r="B3599" s="1">
        <v>3584</v>
      </c>
      <c r="C3599" s="101">
        <f ca="1"/>
        <v>-0.27928280261086441</v>
      </c>
      <c r="D3599" s="101">
        <f t="shared" ca="1" si="204"/>
        <v>0.64644576865387493</v>
      </c>
      <c r="E3599" s="101">
        <f t="shared" ca="1" si="205"/>
        <v>0</v>
      </c>
      <c r="F3599" s="21">
        <f t="shared" ca="1" si="206"/>
        <v>0</v>
      </c>
      <c r="H3599" s="21">
        <v>3584</v>
      </c>
      <c r="I3599" s="102">
        <v>0.66780046683129035</v>
      </c>
      <c r="J3599" s="103">
        <v>1.5030713794666807E-3</v>
      </c>
      <c r="K3599" s="103"/>
      <c r="L3599" s="103">
        <v>4.5999999999999999E-2</v>
      </c>
      <c r="O3599" s="100"/>
    </row>
    <row r="3600" spans="2:15" x14ac:dyDescent="0.2">
      <c r="B3600" s="1">
        <v>3585</v>
      </c>
      <c r="C3600" s="101">
        <f ca="1"/>
        <v>0.24061417583539449</v>
      </c>
      <c r="D3600" s="101">
        <f t="shared" ref="D3600:D3663" ca="1" si="207">S0*EXP((μ-0.5*σ*σ)*T+σ*SQRT(T)*$C3600)</f>
        <v>0.68046244784208021</v>
      </c>
      <c r="E3600" s="101">
        <f t="shared" ref="E3600:E3663" ca="1" si="208">MAX(0,CP*(D3600-K))</f>
        <v>0</v>
      </c>
      <c r="F3600" s="21">
        <f t="shared" ref="F3600:F3663" ca="1" si="209">(CP*(D3600-K)&gt;0)*1</f>
        <v>0</v>
      </c>
      <c r="H3600" s="21">
        <v>3585</v>
      </c>
      <c r="I3600" s="102">
        <v>0.66764665085500452</v>
      </c>
      <c r="J3600" s="103">
        <v>1.2931136047934562E-3</v>
      </c>
      <c r="K3600" s="103"/>
      <c r="L3600" s="103">
        <v>3.9800000000000002E-2</v>
      </c>
      <c r="O3600" s="100"/>
    </row>
    <row r="3601" spans="2:15" x14ac:dyDescent="0.2">
      <c r="B3601" s="1">
        <v>3586</v>
      </c>
      <c r="C3601" s="101">
        <f ca="1"/>
        <v>-5.9612017797167564E-2</v>
      </c>
      <c r="D3601" s="101">
        <f t="shared" ca="1" si="207"/>
        <v>0.66060621935152308</v>
      </c>
      <c r="E3601" s="101">
        <f t="shared" ca="1" si="208"/>
        <v>0</v>
      </c>
      <c r="F3601" s="21">
        <f t="shared" ca="1" si="209"/>
        <v>0</v>
      </c>
      <c r="H3601" s="21">
        <v>3586</v>
      </c>
      <c r="I3601" s="102">
        <v>0.6676984992450562</v>
      </c>
      <c r="J3601" s="103">
        <v>1.3419054090689241E-3</v>
      </c>
      <c r="K3601" s="103"/>
      <c r="L3601" s="103">
        <v>4.0399999999999998E-2</v>
      </c>
      <c r="O3601" s="100"/>
    </row>
    <row r="3602" spans="2:15" x14ac:dyDescent="0.2">
      <c r="B3602" s="1">
        <v>3587</v>
      </c>
      <c r="C3602" s="101">
        <f ca="1"/>
        <v>-0.76135143000829142</v>
      </c>
      <c r="D3602" s="101">
        <f t="shared" ca="1" si="207"/>
        <v>0.61642546906745577</v>
      </c>
      <c r="E3602" s="101">
        <f t="shared" ca="1" si="208"/>
        <v>0</v>
      </c>
      <c r="F3602" s="21">
        <f t="shared" ca="1" si="209"/>
        <v>0</v>
      </c>
      <c r="H3602" s="21">
        <v>3587</v>
      </c>
      <c r="I3602" s="102">
        <v>0.66790841434880521</v>
      </c>
      <c r="J3602" s="103">
        <v>1.50210599770941E-3</v>
      </c>
      <c r="K3602" s="103"/>
      <c r="L3602" s="103">
        <v>4.7E-2</v>
      </c>
      <c r="O3602" s="100"/>
    </row>
    <row r="3603" spans="2:15" x14ac:dyDescent="0.2">
      <c r="B3603" s="1">
        <v>3588</v>
      </c>
      <c r="C3603" s="101">
        <f ca="1"/>
        <v>-0.37134708518757281</v>
      </c>
      <c r="D3603" s="101">
        <f t="shared" ca="1" si="207"/>
        <v>0.64060174890647548</v>
      </c>
      <c r="E3603" s="101">
        <f t="shared" ca="1" si="208"/>
        <v>0</v>
      </c>
      <c r="F3603" s="21">
        <f t="shared" ca="1" si="209"/>
        <v>0</v>
      </c>
      <c r="H3603" s="21">
        <v>3588</v>
      </c>
      <c r="I3603" s="102">
        <v>0.66781387490541144</v>
      </c>
      <c r="J3603" s="103">
        <v>1.5068363908887978E-3</v>
      </c>
      <c r="K3603" s="103"/>
      <c r="L3603" s="103">
        <v>4.5999999999999999E-2</v>
      </c>
      <c r="O3603" s="100"/>
    </row>
    <row r="3604" spans="2:15" x14ac:dyDescent="0.2">
      <c r="B3604" s="1">
        <v>3589</v>
      </c>
      <c r="C3604" s="101">
        <f ca="1"/>
        <v>-0.35317037385214289</v>
      </c>
      <c r="D3604" s="101">
        <f t="shared" ca="1" si="207"/>
        <v>0.64175136207164918</v>
      </c>
      <c r="E3604" s="101">
        <f t="shared" ca="1" si="208"/>
        <v>0</v>
      </c>
      <c r="F3604" s="21">
        <f t="shared" ca="1" si="209"/>
        <v>0</v>
      </c>
      <c r="H3604" s="21">
        <v>3589</v>
      </c>
      <c r="I3604" s="102">
        <v>0.66760907472524122</v>
      </c>
      <c r="J3604" s="103">
        <v>1.2527976208629634E-3</v>
      </c>
      <c r="K3604" s="103"/>
      <c r="L3604" s="103">
        <v>3.8199999999999998E-2</v>
      </c>
      <c r="O3604" s="100"/>
    </row>
    <row r="3605" spans="2:15" x14ac:dyDescent="0.2">
      <c r="B3605" s="1">
        <v>3590</v>
      </c>
      <c r="C3605" s="101">
        <f ca="1"/>
        <v>0.89486222390161929</v>
      </c>
      <c r="D3605" s="101">
        <f t="shared" ca="1" si="207"/>
        <v>0.72582470479827144</v>
      </c>
      <c r="E3605" s="101">
        <f t="shared" ca="1" si="208"/>
        <v>0</v>
      </c>
      <c r="F3605" s="21">
        <f t="shared" ca="1" si="209"/>
        <v>0</v>
      </c>
      <c r="H3605" s="21">
        <v>3590</v>
      </c>
      <c r="I3605" s="102">
        <v>0.66768230719908772</v>
      </c>
      <c r="J3605" s="103">
        <v>1.2132768376373248E-3</v>
      </c>
      <c r="K3605" s="103"/>
      <c r="L3605" s="103">
        <v>4.1000000000000002E-2</v>
      </c>
      <c r="O3605" s="100"/>
    </row>
    <row r="3606" spans="2:15" x14ac:dyDescent="0.2">
      <c r="B3606" s="1">
        <v>3591</v>
      </c>
      <c r="C3606" s="101">
        <f ca="1"/>
        <v>0.77438951031542791</v>
      </c>
      <c r="D3606" s="101">
        <f t="shared" ca="1" si="207"/>
        <v>0.71725035086160216</v>
      </c>
      <c r="E3606" s="101">
        <f t="shared" ca="1" si="208"/>
        <v>0</v>
      </c>
      <c r="F3606" s="21">
        <f t="shared" ca="1" si="209"/>
        <v>0</v>
      </c>
      <c r="H3606" s="21">
        <v>3591</v>
      </c>
      <c r="I3606" s="102">
        <v>0.66782418076137517</v>
      </c>
      <c r="J3606" s="103">
        <v>1.3308303821722134E-3</v>
      </c>
      <c r="K3606" s="103"/>
      <c r="L3606" s="103">
        <v>4.4600000000000001E-2</v>
      </c>
      <c r="O3606" s="100"/>
    </row>
    <row r="3607" spans="2:15" x14ac:dyDescent="0.2">
      <c r="B3607" s="1">
        <v>3592</v>
      </c>
      <c r="C3607" s="101">
        <f ca="1"/>
        <v>-0.29797281303292339</v>
      </c>
      <c r="D3607" s="101">
        <f t="shared" ca="1" si="207"/>
        <v>0.64525507437046181</v>
      </c>
      <c r="E3607" s="101">
        <f t="shared" ca="1" si="208"/>
        <v>0</v>
      </c>
      <c r="F3607" s="21">
        <f t="shared" ca="1" si="209"/>
        <v>0</v>
      </c>
      <c r="H3607" s="21">
        <v>3592</v>
      </c>
      <c r="I3607" s="102">
        <v>0.66776528766942989</v>
      </c>
      <c r="J3607" s="103">
        <v>1.4689656237910349E-3</v>
      </c>
      <c r="K3607" s="103"/>
      <c r="L3607" s="103">
        <v>4.3799999999999999E-2</v>
      </c>
      <c r="O3607" s="100"/>
    </row>
    <row r="3608" spans="2:15" x14ac:dyDescent="0.2">
      <c r="B3608" s="1">
        <v>3593</v>
      </c>
      <c r="C3608" s="101">
        <f ca="1"/>
        <v>1.1174850508520093</v>
      </c>
      <c r="D3608" s="101">
        <f t="shared" ca="1" si="207"/>
        <v>0.74193997451909965</v>
      </c>
      <c r="E3608" s="101">
        <f t="shared" ca="1" si="208"/>
        <v>0</v>
      </c>
      <c r="F3608" s="21">
        <f t="shared" ca="1" si="209"/>
        <v>0</v>
      </c>
      <c r="H3608" s="21">
        <v>3593</v>
      </c>
      <c r="I3608" s="102">
        <v>0.66781085678790297</v>
      </c>
      <c r="J3608" s="103">
        <v>1.4006814363695336E-3</v>
      </c>
      <c r="K3608" s="103"/>
      <c r="L3608" s="103">
        <v>4.5400000000000003E-2</v>
      </c>
      <c r="O3608" s="100"/>
    </row>
    <row r="3609" spans="2:15" x14ac:dyDescent="0.2">
      <c r="B3609" s="1">
        <v>3594</v>
      </c>
      <c r="C3609" s="101">
        <f ca="1"/>
        <v>-0.68896434728536293</v>
      </c>
      <c r="D3609" s="101">
        <f t="shared" ca="1" si="207"/>
        <v>0.6208427190838014</v>
      </c>
      <c r="E3609" s="101">
        <f t="shared" ca="1" si="208"/>
        <v>0</v>
      </c>
      <c r="F3609" s="21">
        <f t="shared" ca="1" si="209"/>
        <v>0</v>
      </c>
      <c r="H3609" s="21">
        <v>3594</v>
      </c>
      <c r="I3609" s="102">
        <v>0.66773492316010297</v>
      </c>
      <c r="J3609" s="103">
        <v>1.4121906107938031E-3</v>
      </c>
      <c r="K3609" s="103"/>
      <c r="L3609" s="103">
        <v>0.04</v>
      </c>
      <c r="O3609" s="100"/>
    </row>
    <row r="3610" spans="2:15" x14ac:dyDescent="0.2">
      <c r="B3610" s="1">
        <v>3595</v>
      </c>
      <c r="C3610" s="101">
        <f ca="1"/>
        <v>0.11682857897611125</v>
      </c>
      <c r="D3610" s="101">
        <f t="shared" ca="1" si="207"/>
        <v>0.67220426627007102</v>
      </c>
      <c r="E3610" s="101">
        <f t="shared" ca="1" si="208"/>
        <v>0</v>
      </c>
      <c r="F3610" s="21">
        <f t="shared" ca="1" si="209"/>
        <v>0</v>
      </c>
      <c r="H3610" s="21">
        <v>3595</v>
      </c>
      <c r="I3610" s="102">
        <v>0.66765790253927815</v>
      </c>
      <c r="J3610" s="103">
        <v>1.1836173309746566E-3</v>
      </c>
      <c r="K3610" s="103"/>
      <c r="L3610" s="103">
        <v>3.9199999999999999E-2</v>
      </c>
      <c r="O3610" s="100"/>
    </row>
    <row r="3611" spans="2:15" x14ac:dyDescent="0.2">
      <c r="B3611" s="1">
        <v>3596</v>
      </c>
      <c r="C3611" s="101">
        <f ca="1"/>
        <v>-0.20198568809384132</v>
      </c>
      <c r="D3611" s="101">
        <f t="shared" ca="1" si="207"/>
        <v>0.65139355584829939</v>
      </c>
      <c r="E3611" s="101">
        <f t="shared" ca="1" si="208"/>
        <v>0</v>
      </c>
      <c r="F3611" s="21">
        <f t="shared" ca="1" si="209"/>
        <v>0</v>
      </c>
      <c r="H3611" s="21">
        <v>3596</v>
      </c>
      <c r="I3611" s="102">
        <v>0.6678688809087393</v>
      </c>
      <c r="J3611" s="103">
        <v>1.4546187423582365E-3</v>
      </c>
      <c r="K3611" s="103"/>
      <c r="L3611" s="103">
        <v>4.36E-2</v>
      </c>
      <c r="O3611" s="100"/>
    </row>
    <row r="3612" spans="2:15" x14ac:dyDescent="0.2">
      <c r="B3612" s="1">
        <v>3597</v>
      </c>
      <c r="C3612" s="101">
        <f ca="1"/>
        <v>-0.27196533494788339</v>
      </c>
      <c r="D3612" s="101">
        <f t="shared" ca="1" si="207"/>
        <v>0.64691254469574377</v>
      </c>
      <c r="E3612" s="101">
        <f t="shared" ca="1" si="208"/>
        <v>0</v>
      </c>
      <c r="F3612" s="21">
        <f t="shared" ca="1" si="209"/>
        <v>0</v>
      </c>
      <c r="H3612" s="21">
        <v>3597</v>
      </c>
      <c r="I3612" s="102">
        <v>0.66783547929240317</v>
      </c>
      <c r="J3612" s="103">
        <v>1.5766663966386789E-3</v>
      </c>
      <c r="K3612" s="103"/>
      <c r="L3612" s="103">
        <v>4.1799999999999997E-2</v>
      </c>
      <c r="O3612" s="100"/>
    </row>
    <row r="3613" spans="2:15" x14ac:dyDescent="0.2">
      <c r="B3613" s="1">
        <v>3598</v>
      </c>
      <c r="C3613" s="101">
        <f ca="1"/>
        <v>4.8809121939085598E-2</v>
      </c>
      <c r="D3613" s="101">
        <f t="shared" ca="1" si="207"/>
        <v>0.66770918875985197</v>
      </c>
      <c r="E3613" s="101">
        <f t="shared" ca="1" si="208"/>
        <v>0</v>
      </c>
      <c r="F3613" s="21">
        <f t="shared" ca="1" si="209"/>
        <v>0</v>
      </c>
      <c r="H3613" s="21">
        <v>3598</v>
      </c>
      <c r="I3613" s="102">
        <v>0.66778868844315953</v>
      </c>
      <c r="J3613" s="103">
        <v>1.3937313784150162E-3</v>
      </c>
      <c r="K3613" s="103"/>
      <c r="L3613" s="103">
        <v>4.4600000000000001E-2</v>
      </c>
      <c r="O3613" s="100"/>
    </row>
    <row r="3614" spans="2:15" x14ac:dyDescent="0.2">
      <c r="B3614" s="1">
        <v>3599</v>
      </c>
      <c r="C3614" s="101">
        <f ca="1"/>
        <v>0.37313915227777994</v>
      </c>
      <c r="D3614" s="101">
        <f t="shared" ca="1" si="207"/>
        <v>0.68941614778039251</v>
      </c>
      <c r="E3614" s="101">
        <f t="shared" ca="1" si="208"/>
        <v>0</v>
      </c>
      <c r="F3614" s="21">
        <f t="shared" ca="1" si="209"/>
        <v>0</v>
      </c>
      <c r="H3614" s="21">
        <v>3599</v>
      </c>
      <c r="I3614" s="102">
        <v>0.66769245171788583</v>
      </c>
      <c r="J3614" s="103">
        <v>1.4403669053972749E-3</v>
      </c>
      <c r="K3614" s="103"/>
      <c r="L3614" s="103">
        <v>4.2999999999999997E-2</v>
      </c>
      <c r="O3614" s="100"/>
    </row>
    <row r="3615" spans="2:15" x14ac:dyDescent="0.2">
      <c r="B3615" s="1">
        <v>3600</v>
      </c>
      <c r="C3615" s="101">
        <f ca="1"/>
        <v>0.60760416928651939</v>
      </c>
      <c r="D3615" s="101">
        <f t="shared" ca="1" si="207"/>
        <v>0.70554673780982857</v>
      </c>
      <c r="E3615" s="101">
        <f t="shared" ca="1" si="208"/>
        <v>0</v>
      </c>
      <c r="F3615" s="21">
        <f t="shared" ca="1" si="209"/>
        <v>0</v>
      </c>
      <c r="H3615" s="21">
        <v>3600</v>
      </c>
      <c r="I3615" s="102">
        <v>0.66763670957714905</v>
      </c>
      <c r="J3615" s="103">
        <v>1.3616842184539216E-3</v>
      </c>
      <c r="K3615" s="103"/>
      <c r="L3615" s="103">
        <v>4.4200000000000003E-2</v>
      </c>
      <c r="O3615" s="100"/>
    </row>
    <row r="3616" spans="2:15" x14ac:dyDescent="0.2">
      <c r="B3616" s="1">
        <v>3601</v>
      </c>
      <c r="C3616" s="101">
        <f ca="1"/>
        <v>-1.8275219160015457</v>
      </c>
      <c r="D3616" s="101">
        <f t="shared" ca="1" si="207"/>
        <v>0.55488947591493976</v>
      </c>
      <c r="E3616" s="101">
        <f t="shared" ca="1" si="208"/>
        <v>0</v>
      </c>
      <c r="F3616" s="21">
        <f t="shared" ca="1" si="209"/>
        <v>0</v>
      </c>
      <c r="H3616" s="21">
        <v>3601</v>
      </c>
      <c r="I3616" s="102">
        <v>0.66775316696372289</v>
      </c>
      <c r="J3616" s="103">
        <v>1.321852994173112E-3</v>
      </c>
      <c r="K3616" s="103"/>
      <c r="L3616" s="103">
        <v>3.9600000000000003E-2</v>
      </c>
      <c r="O3616" s="100"/>
    </row>
    <row r="3617" spans="2:15" x14ac:dyDescent="0.2">
      <c r="B3617" s="1">
        <v>3602</v>
      </c>
      <c r="C3617" s="101">
        <f ca="1"/>
        <v>0.70099873925297174</v>
      </c>
      <c r="D3617" s="101">
        <f t="shared" ca="1" si="207"/>
        <v>0.71207666493145139</v>
      </c>
      <c r="E3617" s="101">
        <f t="shared" ca="1" si="208"/>
        <v>0</v>
      </c>
      <c r="F3617" s="21">
        <f t="shared" ca="1" si="209"/>
        <v>0</v>
      </c>
      <c r="H3617" s="21">
        <v>3602</v>
      </c>
      <c r="I3617" s="102">
        <v>0.66761457612706332</v>
      </c>
      <c r="J3617" s="103">
        <v>1.27135170395721E-3</v>
      </c>
      <c r="K3617" s="103"/>
      <c r="L3617" s="103">
        <v>3.5200000000000002E-2</v>
      </c>
      <c r="O3617" s="100"/>
    </row>
    <row r="3618" spans="2:15" x14ac:dyDescent="0.2">
      <c r="B3618" s="1">
        <v>3603</v>
      </c>
      <c r="C3618" s="101">
        <f ca="1"/>
        <v>-0.26284808592474196</v>
      </c>
      <c r="D3618" s="101">
        <f t="shared" ca="1" si="207"/>
        <v>0.6474945991189156</v>
      </c>
      <c r="E3618" s="101">
        <f t="shared" ca="1" si="208"/>
        <v>0</v>
      </c>
      <c r="F3618" s="21">
        <f t="shared" ca="1" si="209"/>
        <v>0</v>
      </c>
      <c r="H3618" s="21">
        <v>3603</v>
      </c>
      <c r="I3618" s="102">
        <v>0.66765996752685686</v>
      </c>
      <c r="J3618" s="103">
        <v>1.2993040035476878E-3</v>
      </c>
      <c r="K3618" s="103"/>
      <c r="L3618" s="103">
        <v>3.7199999999999997E-2</v>
      </c>
      <c r="O3618" s="100"/>
    </row>
    <row r="3619" spans="2:15" x14ac:dyDescent="0.2">
      <c r="B3619" s="1">
        <v>3604</v>
      </c>
      <c r="C3619" s="101">
        <f ca="1"/>
        <v>0.94590482994410097</v>
      </c>
      <c r="D3619" s="101">
        <f t="shared" ca="1" si="207"/>
        <v>0.72948838250741865</v>
      </c>
      <c r="E3619" s="101">
        <f t="shared" ca="1" si="208"/>
        <v>0</v>
      </c>
      <c r="F3619" s="21">
        <f t="shared" ca="1" si="209"/>
        <v>0</v>
      </c>
      <c r="H3619" s="21">
        <v>3604</v>
      </c>
      <c r="I3619" s="102">
        <v>0.66768412848943359</v>
      </c>
      <c r="J3619" s="103">
        <v>1.2944138153707348E-3</v>
      </c>
      <c r="K3619" s="103"/>
      <c r="L3619" s="103">
        <v>4.0599999999999997E-2</v>
      </c>
      <c r="O3619" s="100"/>
    </row>
    <row r="3620" spans="2:15" x14ac:dyDescent="0.2">
      <c r="B3620" s="1">
        <v>3605</v>
      </c>
      <c r="C3620" s="101">
        <f ca="1"/>
        <v>1.2917846034146996</v>
      </c>
      <c r="D3620" s="101">
        <f t="shared" ca="1" si="207"/>
        <v>0.75480654299054939</v>
      </c>
      <c r="E3620" s="101">
        <f t="shared" ca="1" si="208"/>
        <v>0</v>
      </c>
      <c r="F3620" s="21">
        <f t="shared" ca="1" si="209"/>
        <v>0</v>
      </c>
      <c r="H3620" s="21">
        <v>3605</v>
      </c>
      <c r="I3620" s="102">
        <v>0.66768573800474285</v>
      </c>
      <c r="J3620" s="103">
        <v>1.3678050750972125E-3</v>
      </c>
      <c r="K3620" s="103"/>
      <c r="L3620" s="103">
        <v>3.9600000000000003E-2</v>
      </c>
      <c r="O3620" s="100"/>
    </row>
    <row r="3621" spans="2:15" x14ac:dyDescent="0.2">
      <c r="B3621" s="1">
        <v>3606</v>
      </c>
      <c r="C3621" s="101">
        <f ca="1"/>
        <v>0.29118969217321711</v>
      </c>
      <c r="D3621" s="101">
        <f t="shared" ca="1" si="207"/>
        <v>0.68386564532553429</v>
      </c>
      <c r="E3621" s="101">
        <f t="shared" ca="1" si="208"/>
        <v>0</v>
      </c>
      <c r="F3621" s="21">
        <f t="shared" ca="1" si="209"/>
        <v>0</v>
      </c>
      <c r="H3621" s="21">
        <v>3606</v>
      </c>
      <c r="I3621" s="102">
        <v>0.6677945106969464</v>
      </c>
      <c r="J3621" s="103">
        <v>1.4894310702689084E-3</v>
      </c>
      <c r="K3621" s="103"/>
      <c r="L3621" s="103">
        <v>4.36E-2</v>
      </c>
      <c r="O3621" s="100"/>
    </row>
    <row r="3622" spans="2:15" x14ac:dyDescent="0.2">
      <c r="B3622" s="1">
        <v>3607</v>
      </c>
      <c r="C3622" s="101">
        <f ca="1"/>
        <v>-0.81706014348968392</v>
      </c>
      <c r="D3622" s="101">
        <f t="shared" ca="1" si="207"/>
        <v>0.61304738940422232</v>
      </c>
      <c r="E3622" s="101">
        <f t="shared" ca="1" si="208"/>
        <v>0</v>
      </c>
      <c r="F3622" s="21">
        <f t="shared" ca="1" si="209"/>
        <v>0</v>
      </c>
      <c r="H3622" s="21">
        <v>3607</v>
      </c>
      <c r="I3622" s="102">
        <v>0.66764212086497532</v>
      </c>
      <c r="J3622" s="103">
        <v>1.1586809784105408E-3</v>
      </c>
      <c r="K3622" s="103"/>
      <c r="L3622" s="103">
        <v>3.7999999999999999E-2</v>
      </c>
      <c r="O3622" s="100"/>
    </row>
    <row r="3623" spans="2:15" x14ac:dyDescent="0.2">
      <c r="B3623" s="1">
        <v>3608</v>
      </c>
      <c r="C3623" s="101">
        <f ca="1"/>
        <v>-0.15475186296067822</v>
      </c>
      <c r="D3623" s="101">
        <f t="shared" ca="1" si="207"/>
        <v>0.65443561463740851</v>
      </c>
      <c r="E3623" s="101">
        <f t="shared" ca="1" si="208"/>
        <v>0</v>
      </c>
      <c r="F3623" s="21">
        <f t="shared" ca="1" si="209"/>
        <v>0</v>
      </c>
      <c r="H3623" s="21">
        <v>3608</v>
      </c>
      <c r="I3623" s="102">
        <v>0.66776615291883135</v>
      </c>
      <c r="J3623" s="103">
        <v>1.432968309469787E-3</v>
      </c>
      <c r="K3623" s="103"/>
      <c r="L3623" s="103">
        <v>4.1200000000000001E-2</v>
      </c>
      <c r="O3623" s="100"/>
    </row>
    <row r="3624" spans="2:15" x14ac:dyDescent="0.2">
      <c r="B3624" s="1">
        <v>3609</v>
      </c>
      <c r="C3624" s="101">
        <f ca="1"/>
        <v>0.75222507029580543</v>
      </c>
      <c r="D3624" s="101">
        <f t="shared" ca="1" si="207"/>
        <v>0.71568391807572862</v>
      </c>
      <c r="E3624" s="101">
        <f t="shared" ca="1" si="208"/>
        <v>0</v>
      </c>
      <c r="F3624" s="21">
        <f t="shared" ca="1" si="209"/>
        <v>0</v>
      </c>
      <c r="H3624" s="21">
        <v>3609</v>
      </c>
      <c r="I3624" s="102">
        <v>0.66774786647443007</v>
      </c>
      <c r="J3624" s="103">
        <v>1.3985281256488982E-3</v>
      </c>
      <c r="K3624" s="103"/>
      <c r="L3624" s="103">
        <v>4.3799999999999999E-2</v>
      </c>
      <c r="O3624" s="100"/>
    </row>
    <row r="3625" spans="2:15" x14ac:dyDescent="0.2">
      <c r="B3625" s="1">
        <v>3610</v>
      </c>
      <c r="C3625" s="101">
        <f ca="1"/>
        <v>0.12983759465009953</v>
      </c>
      <c r="D3625" s="101">
        <f t="shared" ca="1" si="207"/>
        <v>0.67306741031982487</v>
      </c>
      <c r="E3625" s="101">
        <f t="shared" ca="1" si="208"/>
        <v>0</v>
      </c>
      <c r="F3625" s="21">
        <f t="shared" ca="1" si="209"/>
        <v>0</v>
      </c>
      <c r="H3625" s="21">
        <v>3610</v>
      </c>
      <c r="I3625" s="102">
        <v>0.66777217359616192</v>
      </c>
      <c r="J3625" s="103">
        <v>1.2473382461749812E-3</v>
      </c>
      <c r="K3625" s="103"/>
      <c r="L3625" s="103">
        <v>3.9199999999999999E-2</v>
      </c>
      <c r="O3625" s="100"/>
    </row>
    <row r="3626" spans="2:15" x14ac:dyDescent="0.2">
      <c r="B3626" s="1">
        <v>3611</v>
      </c>
      <c r="C3626" s="101">
        <f ca="1"/>
        <v>9.0012848208251735E-3</v>
      </c>
      <c r="D3626" s="101">
        <f t="shared" ca="1" si="207"/>
        <v>0.6650924374958419</v>
      </c>
      <c r="E3626" s="101">
        <f t="shared" ca="1" si="208"/>
        <v>0</v>
      </c>
      <c r="F3626" s="21">
        <f t="shared" ca="1" si="209"/>
        <v>0</v>
      </c>
      <c r="H3626" s="21">
        <v>3611</v>
      </c>
      <c r="I3626" s="102">
        <v>0.66790597925653794</v>
      </c>
      <c r="J3626" s="103">
        <v>1.4883843541103629E-3</v>
      </c>
      <c r="K3626" s="103"/>
      <c r="L3626" s="103">
        <v>4.2599999999999999E-2</v>
      </c>
      <c r="O3626" s="100"/>
    </row>
    <row r="3627" spans="2:15" x14ac:dyDescent="0.2">
      <c r="B3627" s="1">
        <v>3612</v>
      </c>
      <c r="C3627" s="101">
        <f ca="1"/>
        <v>3.0621193464068316E-2</v>
      </c>
      <c r="D3627" s="101">
        <f t="shared" ca="1" si="207"/>
        <v>0.66651233808335086</v>
      </c>
      <c r="E3627" s="101">
        <f t="shared" ca="1" si="208"/>
        <v>0</v>
      </c>
      <c r="F3627" s="21">
        <f t="shared" ca="1" si="209"/>
        <v>0</v>
      </c>
      <c r="H3627" s="21">
        <v>3612</v>
      </c>
      <c r="I3627" s="102">
        <v>0.66771824112521794</v>
      </c>
      <c r="J3627" s="103">
        <v>1.4327116504476451E-3</v>
      </c>
      <c r="K3627" s="103"/>
      <c r="L3627" s="103">
        <v>4.4400000000000002E-2</v>
      </c>
      <c r="O3627" s="100"/>
    </row>
    <row r="3628" spans="2:15" x14ac:dyDescent="0.2">
      <c r="B3628" s="1">
        <v>3613</v>
      </c>
      <c r="C3628" s="101">
        <f ca="1"/>
        <v>-0.64411988660241959</v>
      </c>
      <c r="D3628" s="101">
        <f t="shared" ca="1" si="207"/>
        <v>0.62359511057740336</v>
      </c>
      <c r="E3628" s="101">
        <f t="shared" ca="1" si="208"/>
        <v>0</v>
      </c>
      <c r="F3628" s="21">
        <f t="shared" ca="1" si="209"/>
        <v>0</v>
      </c>
      <c r="H3628" s="21">
        <v>3613</v>
      </c>
      <c r="I3628" s="102">
        <v>0.66772524474102124</v>
      </c>
      <c r="J3628" s="103">
        <v>1.2890955015988259E-3</v>
      </c>
      <c r="K3628" s="103"/>
      <c r="L3628" s="103">
        <v>4.2599999999999999E-2</v>
      </c>
      <c r="O3628" s="100"/>
    </row>
    <row r="3629" spans="2:15" x14ac:dyDescent="0.2">
      <c r="B3629" s="1">
        <v>3614</v>
      </c>
      <c r="C3629" s="101">
        <f ca="1"/>
        <v>0.64831292756091663</v>
      </c>
      <c r="D3629" s="101">
        <f t="shared" ca="1" si="207"/>
        <v>0.70838560323240107</v>
      </c>
      <c r="E3629" s="101">
        <f t="shared" ca="1" si="208"/>
        <v>0</v>
      </c>
      <c r="F3629" s="21">
        <f t="shared" ca="1" si="209"/>
        <v>0</v>
      </c>
      <c r="H3629" s="21">
        <v>3614</v>
      </c>
      <c r="I3629" s="102">
        <v>0.66783012845363954</v>
      </c>
      <c r="J3629" s="103">
        <v>1.2957108279619044E-3</v>
      </c>
      <c r="K3629" s="103"/>
      <c r="L3629" s="103">
        <v>4.36E-2</v>
      </c>
      <c r="O3629" s="100"/>
    </row>
    <row r="3630" spans="2:15" x14ac:dyDescent="0.2">
      <c r="B3630" s="1">
        <v>3615</v>
      </c>
      <c r="C3630" s="101">
        <f ca="1"/>
        <v>-1.7290418490531902E-2</v>
      </c>
      <c r="D3630" s="101">
        <f t="shared" ca="1" si="207"/>
        <v>0.66336978929576662</v>
      </c>
      <c r="E3630" s="101">
        <f t="shared" ca="1" si="208"/>
        <v>0</v>
      </c>
      <c r="F3630" s="21">
        <f t="shared" ca="1" si="209"/>
        <v>0</v>
      </c>
      <c r="H3630" s="21">
        <v>3615</v>
      </c>
      <c r="I3630" s="102">
        <v>0.66777658652805705</v>
      </c>
      <c r="J3630" s="103">
        <v>1.38133808861322E-3</v>
      </c>
      <c r="K3630" s="103"/>
      <c r="L3630" s="103">
        <v>4.24E-2</v>
      </c>
      <c r="O3630" s="100"/>
    </row>
    <row r="3631" spans="2:15" x14ac:dyDescent="0.2">
      <c r="B3631" s="1">
        <v>3616</v>
      </c>
      <c r="C3631" s="101">
        <f ca="1"/>
        <v>-0.40073497660681018</v>
      </c>
      <c r="D3631" s="101">
        <f t="shared" ca="1" si="207"/>
        <v>0.63874742276982777</v>
      </c>
      <c r="E3631" s="101">
        <f t="shared" ca="1" si="208"/>
        <v>0</v>
      </c>
      <c r="F3631" s="21">
        <f t="shared" ca="1" si="209"/>
        <v>0</v>
      </c>
      <c r="H3631" s="21">
        <v>3616</v>
      </c>
      <c r="I3631" s="102">
        <v>0.66768271000793133</v>
      </c>
      <c r="J3631" s="103">
        <v>1.3284474061591564E-3</v>
      </c>
      <c r="K3631" s="103"/>
      <c r="L3631" s="103">
        <v>4.2200000000000001E-2</v>
      </c>
      <c r="O3631" s="100"/>
    </row>
    <row r="3632" spans="2:15" x14ac:dyDescent="0.2">
      <c r="B3632" s="1">
        <v>3617</v>
      </c>
      <c r="C3632" s="101">
        <f ca="1"/>
        <v>-0.91117023843528222</v>
      </c>
      <c r="D3632" s="101">
        <f t="shared" ca="1" si="207"/>
        <v>0.60738271555580003</v>
      </c>
      <c r="E3632" s="101">
        <f t="shared" ca="1" si="208"/>
        <v>0</v>
      </c>
      <c r="F3632" s="21">
        <f t="shared" ca="1" si="209"/>
        <v>0</v>
      </c>
      <c r="H3632" s="21">
        <v>3617</v>
      </c>
      <c r="I3632" s="102">
        <v>0.6677999786889518</v>
      </c>
      <c r="J3632" s="103">
        <v>1.5013085473796371E-3</v>
      </c>
      <c r="K3632" s="103"/>
      <c r="L3632" s="103">
        <v>4.4999999999999998E-2</v>
      </c>
      <c r="O3632" s="100"/>
    </row>
    <row r="3633" spans="2:15" x14ac:dyDescent="0.2">
      <c r="B3633" s="1">
        <v>3618</v>
      </c>
      <c r="C3633" s="101">
        <f ca="1"/>
        <v>-0.29294518575783679</v>
      </c>
      <c r="D3633" s="101">
        <f t="shared" ca="1" si="207"/>
        <v>0.64557515625661244</v>
      </c>
      <c r="E3633" s="101">
        <f t="shared" ca="1" si="208"/>
        <v>0</v>
      </c>
      <c r="F3633" s="21">
        <f t="shared" ca="1" si="209"/>
        <v>0</v>
      </c>
      <c r="H3633" s="21">
        <v>3618</v>
      </c>
      <c r="I3633" s="102">
        <v>0.66776734942145133</v>
      </c>
      <c r="J3633" s="103">
        <v>1.3741394368879264E-3</v>
      </c>
      <c r="K3633" s="103"/>
      <c r="L3633" s="103">
        <v>4.2000000000000003E-2</v>
      </c>
      <c r="O3633" s="100"/>
    </row>
    <row r="3634" spans="2:15" x14ac:dyDescent="0.2">
      <c r="B3634" s="1">
        <v>3619</v>
      </c>
      <c r="C3634" s="101">
        <f ca="1"/>
        <v>0.66676729103684207</v>
      </c>
      <c r="D3634" s="101">
        <f t="shared" ca="1" si="207"/>
        <v>0.70967629649749076</v>
      </c>
      <c r="E3634" s="101">
        <f t="shared" ca="1" si="208"/>
        <v>0</v>
      </c>
      <c r="F3634" s="21">
        <f t="shared" ca="1" si="209"/>
        <v>0</v>
      </c>
      <c r="H3634" s="21">
        <v>3619</v>
      </c>
      <c r="I3634" s="102">
        <v>0.66786147352064795</v>
      </c>
      <c r="J3634" s="103">
        <v>1.518856658281723E-3</v>
      </c>
      <c r="K3634" s="103"/>
      <c r="L3634" s="103">
        <v>4.2999999999999997E-2</v>
      </c>
      <c r="O3634" s="100"/>
    </row>
    <row r="3635" spans="2:15" x14ac:dyDescent="0.2">
      <c r="B3635" s="1">
        <v>3620</v>
      </c>
      <c r="C3635" s="101">
        <f ca="1"/>
        <v>1.6745496085592262</v>
      </c>
      <c r="D3635" s="101">
        <f t="shared" ca="1" si="207"/>
        <v>0.78385019911015053</v>
      </c>
      <c r="E3635" s="101">
        <f t="shared" ca="1" si="208"/>
        <v>0</v>
      </c>
      <c r="F3635" s="21">
        <f t="shared" ca="1" si="209"/>
        <v>0</v>
      </c>
      <c r="H3635" s="21">
        <v>3620</v>
      </c>
      <c r="I3635" s="102">
        <v>0.6678062061982597</v>
      </c>
      <c r="J3635" s="103">
        <v>1.4827794034247906E-3</v>
      </c>
      <c r="K3635" s="103"/>
      <c r="L3635" s="103">
        <v>4.2000000000000003E-2</v>
      </c>
      <c r="O3635" s="100"/>
    </row>
    <row r="3636" spans="2:15" x14ac:dyDescent="0.2">
      <c r="B3636" s="1">
        <v>3621</v>
      </c>
      <c r="C3636" s="101">
        <f ca="1"/>
        <v>1.2749034811480149</v>
      </c>
      <c r="D3636" s="101">
        <f t="shared" ca="1" si="207"/>
        <v>0.75355070292629123</v>
      </c>
      <c r="E3636" s="101">
        <f t="shared" ca="1" si="208"/>
        <v>0</v>
      </c>
      <c r="F3636" s="21">
        <f t="shared" ca="1" si="209"/>
        <v>0</v>
      </c>
      <c r="H3636" s="21">
        <v>3621</v>
      </c>
      <c r="I3636" s="102">
        <v>0.66762353175993905</v>
      </c>
      <c r="J3636" s="103">
        <v>1.1310190986035711E-3</v>
      </c>
      <c r="K3636" s="103"/>
      <c r="L3636" s="103">
        <v>3.9E-2</v>
      </c>
      <c r="O3636" s="100"/>
    </row>
    <row r="3637" spans="2:15" x14ac:dyDescent="0.2">
      <c r="B3637" s="1">
        <v>3622</v>
      </c>
      <c r="C3637" s="101">
        <f ca="1"/>
        <v>0.74931785487811697</v>
      </c>
      <c r="D3637" s="101">
        <f t="shared" ca="1" si="207"/>
        <v>0.71547870969092375</v>
      </c>
      <c r="E3637" s="101">
        <f t="shared" ca="1" si="208"/>
        <v>0</v>
      </c>
      <c r="F3637" s="21">
        <f t="shared" ca="1" si="209"/>
        <v>0</v>
      </c>
      <c r="H3637" s="21">
        <v>3622</v>
      </c>
      <c r="I3637" s="102">
        <v>0.66762474903919167</v>
      </c>
      <c r="J3637" s="103">
        <v>1.1899388128350774E-3</v>
      </c>
      <c r="K3637" s="103"/>
      <c r="L3637" s="103">
        <v>3.6600000000000001E-2</v>
      </c>
      <c r="O3637" s="100"/>
    </row>
    <row r="3638" spans="2:15" x14ac:dyDescent="0.2">
      <c r="B3638" s="1">
        <v>3623</v>
      </c>
      <c r="C3638" s="101">
        <f ca="1"/>
        <v>0.32196720741386625</v>
      </c>
      <c r="D3638" s="101">
        <f t="shared" ca="1" si="207"/>
        <v>0.68594497166259005</v>
      </c>
      <c r="E3638" s="101">
        <f t="shared" ca="1" si="208"/>
        <v>0</v>
      </c>
      <c r="F3638" s="21">
        <f t="shared" ca="1" si="209"/>
        <v>0</v>
      </c>
      <c r="H3638" s="21">
        <v>3623</v>
      </c>
      <c r="I3638" s="102">
        <v>0.66769900176450858</v>
      </c>
      <c r="J3638" s="103">
        <v>1.3906352948787014E-3</v>
      </c>
      <c r="K3638" s="103"/>
      <c r="L3638" s="103">
        <v>4.3400000000000001E-2</v>
      </c>
      <c r="O3638" s="100"/>
    </row>
    <row r="3639" spans="2:15" x14ac:dyDescent="0.2">
      <c r="B3639" s="1">
        <v>3624</v>
      </c>
      <c r="C3639" s="101">
        <f ca="1"/>
        <v>0.76838482042107725</v>
      </c>
      <c r="D3639" s="101">
        <f t="shared" ca="1" si="207"/>
        <v>0.71682564168830387</v>
      </c>
      <c r="E3639" s="101">
        <f t="shared" ca="1" si="208"/>
        <v>0</v>
      </c>
      <c r="F3639" s="21">
        <f t="shared" ca="1" si="209"/>
        <v>0</v>
      </c>
      <c r="H3639" s="21">
        <v>3624</v>
      </c>
      <c r="I3639" s="102">
        <v>0.66781625133271105</v>
      </c>
      <c r="J3639" s="103">
        <v>1.5073276705832707E-3</v>
      </c>
      <c r="K3639" s="103"/>
      <c r="L3639" s="103">
        <v>4.6600000000000003E-2</v>
      </c>
      <c r="O3639" s="100"/>
    </row>
    <row r="3640" spans="2:15" x14ac:dyDescent="0.2">
      <c r="B3640" s="1">
        <v>3625</v>
      </c>
      <c r="C3640" s="101">
        <f ca="1"/>
        <v>0.1876386251392497</v>
      </c>
      <c r="D3640" s="101">
        <f t="shared" ca="1" si="207"/>
        <v>0.67691591228832859</v>
      </c>
      <c r="E3640" s="101">
        <f t="shared" ca="1" si="208"/>
        <v>0</v>
      </c>
      <c r="F3640" s="21">
        <f t="shared" ca="1" si="209"/>
        <v>0</v>
      </c>
      <c r="H3640" s="21">
        <v>3625</v>
      </c>
      <c r="I3640" s="102">
        <v>0.66785378049887634</v>
      </c>
      <c r="J3640" s="103">
        <v>1.4831173595123591E-3</v>
      </c>
      <c r="K3640" s="103"/>
      <c r="L3640" s="103">
        <v>4.6600000000000003E-2</v>
      </c>
      <c r="O3640" s="100"/>
    </row>
    <row r="3641" spans="2:15" x14ac:dyDescent="0.2">
      <c r="B3641" s="1">
        <v>3626</v>
      </c>
      <c r="C3641" s="101">
        <f ca="1"/>
        <v>-1.4764045720974137</v>
      </c>
      <c r="D3641" s="101">
        <f t="shared" ca="1" si="207"/>
        <v>0.57444458320455738</v>
      </c>
      <c r="E3641" s="101">
        <f t="shared" ca="1" si="208"/>
        <v>0</v>
      </c>
      <c r="F3641" s="21">
        <f t="shared" ca="1" si="209"/>
        <v>0</v>
      </c>
      <c r="H3641" s="21">
        <v>3626</v>
      </c>
      <c r="I3641" s="102">
        <v>0.66776322835868573</v>
      </c>
      <c r="J3641" s="103">
        <v>1.2653406361968524E-3</v>
      </c>
      <c r="K3641" s="103"/>
      <c r="L3641" s="103">
        <v>4.2200000000000001E-2</v>
      </c>
      <c r="O3641" s="100"/>
    </row>
    <row r="3642" spans="2:15" x14ac:dyDescent="0.2">
      <c r="B3642" s="1">
        <v>3627</v>
      </c>
      <c r="C3642" s="101">
        <f ca="1"/>
        <v>-0.36092886673807539</v>
      </c>
      <c r="D3642" s="101">
        <f t="shared" ca="1" si="207"/>
        <v>0.64126041249249266</v>
      </c>
      <c r="E3642" s="101">
        <f t="shared" ca="1" si="208"/>
        <v>0</v>
      </c>
      <c r="F3642" s="21">
        <f t="shared" ca="1" si="209"/>
        <v>0</v>
      </c>
      <c r="H3642" s="21">
        <v>3627</v>
      </c>
      <c r="I3642" s="102">
        <v>0.6678283953998736</v>
      </c>
      <c r="J3642" s="103">
        <v>1.3908401746274021E-3</v>
      </c>
      <c r="K3642" s="103"/>
      <c r="L3642" s="103">
        <v>4.3200000000000002E-2</v>
      </c>
      <c r="O3642" s="100"/>
    </row>
    <row r="3643" spans="2:15" x14ac:dyDescent="0.2">
      <c r="B3643" s="1">
        <v>3628</v>
      </c>
      <c r="C3643" s="101">
        <f ca="1"/>
        <v>0.18987671827520536</v>
      </c>
      <c r="D3643" s="101">
        <f t="shared" ca="1" si="207"/>
        <v>0.67706537047861259</v>
      </c>
      <c r="E3643" s="101">
        <f t="shared" ca="1" si="208"/>
        <v>0</v>
      </c>
      <c r="F3643" s="21">
        <f t="shared" ca="1" si="209"/>
        <v>0</v>
      </c>
      <c r="H3643" s="21">
        <v>3628</v>
      </c>
      <c r="I3643" s="102">
        <v>0.66784115887088014</v>
      </c>
      <c r="J3643" s="103">
        <v>1.4107267778278292E-3</v>
      </c>
      <c r="K3643" s="103"/>
      <c r="L3643" s="103">
        <v>4.6600000000000003E-2</v>
      </c>
      <c r="O3643" s="100"/>
    </row>
    <row r="3644" spans="2:15" x14ac:dyDescent="0.2">
      <c r="B3644" s="1">
        <v>3629</v>
      </c>
      <c r="C3644" s="101">
        <f ca="1"/>
        <v>1.386892500459741</v>
      </c>
      <c r="D3644" s="101">
        <f t="shared" ca="1" si="207"/>
        <v>0.76192113352646795</v>
      </c>
      <c r="E3644" s="101">
        <f t="shared" ca="1" si="208"/>
        <v>0</v>
      </c>
      <c r="F3644" s="21">
        <f t="shared" ca="1" si="209"/>
        <v>0</v>
      </c>
      <c r="H3644" s="21">
        <v>3629</v>
      </c>
      <c r="I3644" s="102">
        <v>0.66760777123393256</v>
      </c>
      <c r="J3644" s="103">
        <v>1.2273569077180212E-3</v>
      </c>
      <c r="K3644" s="103"/>
      <c r="L3644" s="103">
        <v>3.9399999999999998E-2</v>
      </c>
      <c r="O3644" s="100"/>
    </row>
    <row r="3645" spans="2:15" x14ac:dyDescent="0.2">
      <c r="B3645" s="1">
        <v>3630</v>
      </c>
      <c r="C3645" s="101">
        <f ca="1"/>
        <v>0.27797368076399609</v>
      </c>
      <c r="D3645" s="101">
        <f t="shared" ca="1" si="207"/>
        <v>0.68297470823275463</v>
      </c>
      <c r="E3645" s="101">
        <f t="shared" ca="1" si="208"/>
        <v>0</v>
      </c>
      <c r="F3645" s="21">
        <f t="shared" ca="1" si="209"/>
        <v>0</v>
      </c>
      <c r="H3645" s="21">
        <v>3630</v>
      </c>
      <c r="I3645" s="102">
        <v>0.66774383794185066</v>
      </c>
      <c r="J3645" s="103">
        <v>1.5608109122195132E-3</v>
      </c>
      <c r="K3645" s="103"/>
      <c r="L3645" s="103">
        <v>4.4200000000000003E-2</v>
      </c>
      <c r="O3645" s="100"/>
    </row>
    <row r="3646" spans="2:15" x14ac:dyDescent="0.2">
      <c r="B3646" s="1">
        <v>3631</v>
      </c>
      <c r="C3646" s="101">
        <f ca="1"/>
        <v>-0.50550045683248068</v>
      </c>
      <c r="D3646" s="101">
        <f t="shared" ca="1" si="207"/>
        <v>0.63218046599296307</v>
      </c>
      <c r="E3646" s="101">
        <f t="shared" ca="1" si="208"/>
        <v>0</v>
      </c>
      <c r="F3646" s="21">
        <f t="shared" ca="1" si="209"/>
        <v>0</v>
      </c>
      <c r="H3646" s="21">
        <v>3631</v>
      </c>
      <c r="I3646" s="102">
        <v>0.66765763806605105</v>
      </c>
      <c r="J3646" s="103">
        <v>1.2235372969658228E-3</v>
      </c>
      <c r="K3646" s="103"/>
      <c r="L3646" s="103">
        <v>3.9E-2</v>
      </c>
      <c r="O3646" s="100"/>
    </row>
    <row r="3647" spans="2:15" x14ac:dyDescent="0.2">
      <c r="B3647" s="1">
        <v>3632</v>
      </c>
      <c r="C3647" s="101">
        <f ca="1"/>
        <v>0.91264634769785757</v>
      </c>
      <c r="D3647" s="101">
        <f t="shared" ca="1" si="207"/>
        <v>0.72709909993593902</v>
      </c>
      <c r="E3647" s="101">
        <f t="shared" ca="1" si="208"/>
        <v>0</v>
      </c>
      <c r="F3647" s="21">
        <f t="shared" ca="1" si="209"/>
        <v>0</v>
      </c>
      <c r="H3647" s="21">
        <v>3632</v>
      </c>
      <c r="I3647" s="102">
        <v>0.66780401972794912</v>
      </c>
      <c r="J3647" s="103">
        <v>1.4593488978898745E-3</v>
      </c>
      <c r="K3647" s="103"/>
      <c r="L3647" s="103">
        <v>4.3200000000000002E-2</v>
      </c>
      <c r="O3647" s="100"/>
    </row>
    <row r="3648" spans="2:15" x14ac:dyDescent="0.2">
      <c r="B3648" s="1">
        <v>3633</v>
      </c>
      <c r="C3648" s="101">
        <f ca="1"/>
        <v>1.9126470072870532</v>
      </c>
      <c r="D3648" s="101">
        <f t="shared" ca="1" si="207"/>
        <v>0.80247778517984969</v>
      </c>
      <c r="E3648" s="101">
        <f t="shared" ca="1" si="208"/>
        <v>1.4277785179849678E-2</v>
      </c>
      <c r="F3648" s="21">
        <f t="shared" ca="1" si="209"/>
        <v>1</v>
      </c>
      <c r="H3648" s="21">
        <v>3633</v>
      </c>
      <c r="I3648" s="102">
        <v>0.66774178513628635</v>
      </c>
      <c r="J3648" s="103">
        <v>1.4677060265967557E-3</v>
      </c>
      <c r="K3648" s="103"/>
      <c r="L3648" s="103">
        <v>4.3200000000000002E-2</v>
      </c>
      <c r="O3648" s="100"/>
    </row>
    <row r="3649" spans="2:15" x14ac:dyDescent="0.2">
      <c r="B3649" s="1">
        <v>3634</v>
      </c>
      <c r="C3649" s="101">
        <f ca="1"/>
        <v>1.2407593056033888</v>
      </c>
      <c r="D3649" s="101">
        <f t="shared" ca="1" si="207"/>
        <v>0.75101699320286164</v>
      </c>
      <c r="E3649" s="101">
        <f t="shared" ca="1" si="208"/>
        <v>0</v>
      </c>
      <c r="F3649" s="21">
        <f t="shared" ca="1" si="209"/>
        <v>0</v>
      </c>
      <c r="H3649" s="21">
        <v>3634</v>
      </c>
      <c r="I3649" s="102">
        <v>0.66782790089615207</v>
      </c>
      <c r="J3649" s="103">
        <v>1.381269145486545E-3</v>
      </c>
      <c r="K3649" s="103"/>
      <c r="L3649" s="103">
        <v>4.3200000000000002E-2</v>
      </c>
      <c r="O3649" s="100"/>
    </row>
    <row r="3650" spans="2:15" x14ac:dyDescent="0.2">
      <c r="B3650" s="1">
        <v>3635</v>
      </c>
      <c r="C3650" s="101">
        <f ca="1"/>
        <v>-2.7313065475065752</v>
      </c>
      <c r="D3650" s="101">
        <f t="shared" ca="1" si="207"/>
        <v>0.50756177982916983</v>
      </c>
      <c r="E3650" s="101">
        <f t="shared" ca="1" si="208"/>
        <v>0</v>
      </c>
      <c r="F3650" s="21">
        <f t="shared" ca="1" si="209"/>
        <v>0</v>
      </c>
      <c r="H3650" s="21">
        <v>3635</v>
      </c>
      <c r="I3650" s="102">
        <v>0.66774531708522089</v>
      </c>
      <c r="J3650" s="103">
        <v>1.4789452271306213E-3</v>
      </c>
      <c r="K3650" s="103"/>
      <c r="L3650" s="103">
        <v>3.9199999999999999E-2</v>
      </c>
      <c r="O3650" s="100"/>
    </row>
    <row r="3651" spans="2:15" x14ac:dyDescent="0.2">
      <c r="B3651" s="1">
        <v>3636</v>
      </c>
      <c r="C3651" s="101">
        <f ca="1"/>
        <v>-0.29451144634684606</v>
      </c>
      <c r="D3651" s="101">
        <f t="shared" ca="1" si="207"/>
        <v>0.64547542387699308</v>
      </c>
      <c r="E3651" s="101">
        <f t="shared" ca="1" si="208"/>
        <v>0</v>
      </c>
      <c r="F3651" s="21">
        <f t="shared" ca="1" si="209"/>
        <v>0</v>
      </c>
      <c r="H3651" s="21">
        <v>3636</v>
      </c>
      <c r="I3651" s="102">
        <v>0.66764106793104139</v>
      </c>
      <c r="J3651" s="103">
        <v>1.2517435138966848E-3</v>
      </c>
      <c r="K3651" s="103"/>
      <c r="L3651" s="103">
        <v>0.04</v>
      </c>
      <c r="O3651" s="100"/>
    </row>
    <row r="3652" spans="2:15" x14ac:dyDescent="0.2">
      <c r="B3652" s="1">
        <v>3637</v>
      </c>
      <c r="C3652" s="101">
        <f ca="1"/>
        <v>0.37003935184582415</v>
      </c>
      <c r="D3652" s="101">
        <f t="shared" ca="1" si="207"/>
        <v>0.68920537831622031</v>
      </c>
      <c r="E3652" s="101">
        <f t="shared" ca="1" si="208"/>
        <v>0</v>
      </c>
      <c r="F3652" s="21">
        <f t="shared" ca="1" si="209"/>
        <v>0</v>
      </c>
      <c r="H3652" s="21">
        <v>3637</v>
      </c>
      <c r="I3652" s="102">
        <v>0.66771107365520921</v>
      </c>
      <c r="J3652" s="103">
        <v>1.3625001321761908E-3</v>
      </c>
      <c r="K3652" s="103"/>
      <c r="L3652" s="103">
        <v>4.24E-2</v>
      </c>
      <c r="O3652" s="100"/>
    </row>
    <row r="3653" spans="2:15" x14ac:dyDescent="0.2">
      <c r="B3653" s="1">
        <v>3638</v>
      </c>
      <c r="C3653" s="101">
        <f ca="1"/>
        <v>0.41292004390457504</v>
      </c>
      <c r="D3653" s="101">
        <f t="shared" ca="1" si="207"/>
        <v>0.69212675904042131</v>
      </c>
      <c r="E3653" s="101">
        <f t="shared" ca="1" si="208"/>
        <v>0</v>
      </c>
      <c r="F3653" s="21">
        <f t="shared" ca="1" si="209"/>
        <v>0</v>
      </c>
      <c r="H3653" s="21">
        <v>3638</v>
      </c>
      <c r="I3653" s="102">
        <v>0.66780512562463923</v>
      </c>
      <c r="J3653" s="103">
        <v>1.5043137213717568E-3</v>
      </c>
      <c r="K3653" s="103"/>
      <c r="L3653" s="103">
        <v>4.2999999999999997E-2</v>
      </c>
      <c r="O3653" s="100"/>
    </row>
    <row r="3654" spans="2:15" x14ac:dyDescent="0.2">
      <c r="B3654" s="1">
        <v>3639</v>
      </c>
      <c r="C3654" s="101">
        <f ca="1"/>
        <v>-0.8117044012342286</v>
      </c>
      <c r="D3654" s="101">
        <f t="shared" ca="1" si="207"/>
        <v>0.61337134638286506</v>
      </c>
      <c r="E3654" s="101">
        <f t="shared" ca="1" si="208"/>
        <v>0</v>
      </c>
      <c r="F3654" s="21">
        <f t="shared" ca="1" si="209"/>
        <v>0</v>
      </c>
      <c r="H3654" s="21">
        <v>3639</v>
      </c>
      <c r="I3654" s="102">
        <v>0.66765939326841306</v>
      </c>
      <c r="J3654" s="103">
        <v>1.1182218442876261E-3</v>
      </c>
      <c r="K3654" s="103"/>
      <c r="L3654" s="103">
        <v>3.6600000000000001E-2</v>
      </c>
      <c r="O3654" s="100"/>
    </row>
    <row r="3655" spans="2:15" x14ac:dyDescent="0.2">
      <c r="B3655" s="1">
        <v>3640</v>
      </c>
      <c r="C3655" s="101">
        <f ca="1"/>
        <v>5.3133324879728112E-2</v>
      </c>
      <c r="D3655" s="101">
        <f t="shared" ca="1" si="207"/>
        <v>0.66799405760023844</v>
      </c>
      <c r="E3655" s="101">
        <f t="shared" ca="1" si="208"/>
        <v>0</v>
      </c>
      <c r="F3655" s="21">
        <f t="shared" ca="1" si="209"/>
        <v>0</v>
      </c>
      <c r="H3655" s="21">
        <v>3640</v>
      </c>
      <c r="I3655" s="102">
        <v>0.66774844901383257</v>
      </c>
      <c r="J3655" s="103">
        <v>1.5007815071011725E-3</v>
      </c>
      <c r="K3655" s="103"/>
      <c r="L3655" s="103">
        <v>4.1200000000000001E-2</v>
      </c>
      <c r="O3655" s="100"/>
    </row>
    <row r="3656" spans="2:15" x14ac:dyDescent="0.2">
      <c r="B3656" s="1">
        <v>3641</v>
      </c>
      <c r="C3656" s="101">
        <f ca="1"/>
        <v>0.65545037840761533</v>
      </c>
      <c r="D3656" s="101">
        <f t="shared" ca="1" si="207"/>
        <v>0.70888451603480185</v>
      </c>
      <c r="E3656" s="101">
        <f t="shared" ca="1" si="208"/>
        <v>0</v>
      </c>
      <c r="F3656" s="21">
        <f t="shared" ca="1" si="209"/>
        <v>0</v>
      </c>
      <c r="H3656" s="21">
        <v>3641</v>
      </c>
      <c r="I3656" s="102">
        <v>0.66768198454147309</v>
      </c>
      <c r="J3656" s="103">
        <v>1.1497992423621195E-3</v>
      </c>
      <c r="K3656" s="103"/>
      <c r="L3656" s="103">
        <v>3.6400000000000002E-2</v>
      </c>
      <c r="O3656" s="100"/>
    </row>
    <row r="3657" spans="2:15" x14ac:dyDescent="0.2">
      <c r="B3657" s="1">
        <v>3642</v>
      </c>
      <c r="C3657" s="101">
        <f ca="1"/>
        <v>0.82712200804590608</v>
      </c>
      <c r="D3657" s="101">
        <f t="shared" ca="1" si="207"/>
        <v>0.72099092283993893</v>
      </c>
      <c r="E3657" s="101">
        <f t="shared" ca="1" si="208"/>
        <v>0</v>
      </c>
      <c r="F3657" s="21">
        <f t="shared" ca="1" si="209"/>
        <v>0</v>
      </c>
      <c r="H3657" s="21">
        <v>3642</v>
      </c>
      <c r="I3657" s="102">
        <v>0.66790579993093957</v>
      </c>
      <c r="J3657" s="103">
        <v>1.5659020259787095E-3</v>
      </c>
      <c r="K3657" s="103"/>
      <c r="L3657" s="103">
        <v>4.4999999999999998E-2</v>
      </c>
      <c r="O3657" s="100"/>
    </row>
    <row r="3658" spans="2:15" x14ac:dyDescent="0.2">
      <c r="B3658" s="1">
        <v>3643</v>
      </c>
      <c r="C3658" s="101">
        <f ca="1"/>
        <v>1.3744021433974405</v>
      </c>
      <c r="D3658" s="101">
        <f t="shared" ca="1" si="207"/>
        <v>0.76098297493066092</v>
      </c>
      <c r="E3658" s="101">
        <f t="shared" ca="1" si="208"/>
        <v>0</v>
      </c>
      <c r="F3658" s="21">
        <f t="shared" ca="1" si="209"/>
        <v>0</v>
      </c>
      <c r="H3658" s="21">
        <v>3643</v>
      </c>
      <c r="I3658" s="102">
        <v>0.66783515827334528</v>
      </c>
      <c r="J3658" s="103">
        <v>1.4783155796059865E-3</v>
      </c>
      <c r="K3658" s="103"/>
      <c r="L3658" s="103">
        <v>4.3400000000000001E-2</v>
      </c>
      <c r="O3658" s="100"/>
    </row>
    <row r="3659" spans="2:15" x14ac:dyDescent="0.2">
      <c r="B3659" s="1">
        <v>3644</v>
      </c>
      <c r="C3659" s="101">
        <f ca="1"/>
        <v>-0.15985777254889535</v>
      </c>
      <c r="D3659" s="101">
        <f t="shared" ca="1" si="207"/>
        <v>0.65410608871499809</v>
      </c>
      <c r="E3659" s="101">
        <f t="shared" ca="1" si="208"/>
        <v>0</v>
      </c>
      <c r="F3659" s="21">
        <f t="shared" ca="1" si="209"/>
        <v>0</v>
      </c>
      <c r="H3659" s="21">
        <v>3644</v>
      </c>
      <c r="I3659" s="102">
        <v>0.66771864533893233</v>
      </c>
      <c r="J3659" s="103">
        <v>1.4182769143326838E-3</v>
      </c>
      <c r="K3659" s="103"/>
      <c r="L3659" s="103">
        <v>4.1599999999999998E-2</v>
      </c>
      <c r="O3659" s="100"/>
    </row>
    <row r="3660" spans="2:15" x14ac:dyDescent="0.2">
      <c r="B3660" s="1">
        <v>3645</v>
      </c>
      <c r="C3660" s="101">
        <f ca="1"/>
        <v>-0.67952646352632884</v>
      </c>
      <c r="D3660" s="101">
        <f t="shared" ca="1" si="207"/>
        <v>0.62142097127788043</v>
      </c>
      <c r="E3660" s="101">
        <f t="shared" ca="1" si="208"/>
        <v>0</v>
      </c>
      <c r="F3660" s="21">
        <f t="shared" ca="1" si="209"/>
        <v>0</v>
      </c>
      <c r="H3660" s="21">
        <v>3645</v>
      </c>
      <c r="I3660" s="102">
        <v>0.66775111931751185</v>
      </c>
      <c r="J3660" s="103">
        <v>1.2544055514353166E-3</v>
      </c>
      <c r="K3660" s="103"/>
      <c r="L3660" s="103">
        <v>0.04</v>
      </c>
      <c r="O3660" s="100"/>
    </row>
    <row r="3661" spans="2:15" x14ac:dyDescent="0.2">
      <c r="B3661" s="1">
        <v>3646</v>
      </c>
      <c r="C3661" s="101">
        <f ca="1"/>
        <v>0.2003921457765088</v>
      </c>
      <c r="D3661" s="101">
        <f t="shared" ca="1" si="207"/>
        <v>0.6777680247530804</v>
      </c>
      <c r="E3661" s="101">
        <f t="shared" ca="1" si="208"/>
        <v>0</v>
      </c>
      <c r="F3661" s="21">
        <f t="shared" ca="1" si="209"/>
        <v>0</v>
      </c>
      <c r="H3661" s="21">
        <v>3646</v>
      </c>
      <c r="I3661" s="102">
        <v>0.66756963687630066</v>
      </c>
      <c r="J3661" s="103">
        <v>1.1832179560443167E-3</v>
      </c>
      <c r="K3661" s="103"/>
      <c r="L3661" s="103">
        <v>3.5999999999999997E-2</v>
      </c>
      <c r="O3661" s="100"/>
    </row>
    <row r="3662" spans="2:15" x14ac:dyDescent="0.2">
      <c r="B3662" s="1">
        <v>3647</v>
      </c>
      <c r="C3662" s="101">
        <f ca="1"/>
        <v>-0.41462481502047083</v>
      </c>
      <c r="D3662" s="101">
        <f t="shared" ca="1" si="207"/>
        <v>0.63787286646938779</v>
      </c>
      <c r="E3662" s="101">
        <f t="shared" ca="1" si="208"/>
        <v>0</v>
      </c>
      <c r="F3662" s="21">
        <f t="shared" ca="1" si="209"/>
        <v>0</v>
      </c>
      <c r="H3662" s="21">
        <v>3647</v>
      </c>
      <c r="I3662" s="102">
        <v>0.66768490424373705</v>
      </c>
      <c r="J3662" s="103">
        <v>1.3231119267913872E-3</v>
      </c>
      <c r="K3662" s="103"/>
      <c r="L3662" s="103">
        <v>0.04</v>
      </c>
      <c r="O3662" s="100"/>
    </row>
    <row r="3663" spans="2:15" x14ac:dyDescent="0.2">
      <c r="B3663" s="1">
        <v>3648</v>
      </c>
      <c r="C3663" s="101">
        <f ca="1"/>
        <v>-0.75124883280384092</v>
      </c>
      <c r="D3663" s="101">
        <f t="shared" ca="1" si="207"/>
        <v>0.61704006392948585</v>
      </c>
      <c r="E3663" s="101">
        <f t="shared" ca="1" si="208"/>
        <v>0</v>
      </c>
      <c r="F3663" s="21">
        <f t="shared" ca="1" si="209"/>
        <v>0</v>
      </c>
      <c r="H3663" s="21">
        <v>3648</v>
      </c>
      <c r="I3663" s="102">
        <v>0.66782308777769961</v>
      </c>
      <c r="J3663" s="103">
        <v>1.4205459593611665E-3</v>
      </c>
      <c r="K3663" s="103"/>
      <c r="L3663" s="103">
        <v>4.5400000000000003E-2</v>
      </c>
      <c r="O3663" s="100"/>
    </row>
    <row r="3664" spans="2:15" x14ac:dyDescent="0.2">
      <c r="B3664" s="1">
        <v>3649</v>
      </c>
      <c r="C3664" s="101">
        <f ca="1"/>
        <v>-0.82933151167724484</v>
      </c>
      <c r="D3664" s="101">
        <f t="shared" ref="D3664:D3727" ca="1" si="210">S0*EXP((μ-0.5*σ*σ)*T+σ*SQRT(T)*$C3664)</f>
        <v>0.61230576653696533</v>
      </c>
      <c r="E3664" s="101">
        <f t="shared" ref="E3664:E3727" ca="1" si="211">MAX(0,CP*(D3664-K))</f>
        <v>0</v>
      </c>
      <c r="F3664" s="21">
        <f t="shared" ref="F3664:F3727" ca="1" si="212">(CP*(D3664-K)&gt;0)*1</f>
        <v>0</v>
      </c>
      <c r="H3664" s="21">
        <v>3649</v>
      </c>
      <c r="I3664" s="102">
        <v>0.66775150020584551</v>
      </c>
      <c r="J3664" s="103">
        <v>1.4971171857542204E-3</v>
      </c>
      <c r="K3664" s="103"/>
      <c r="L3664" s="103">
        <v>4.2200000000000001E-2</v>
      </c>
      <c r="O3664" s="100"/>
    </row>
    <row r="3665" spans="2:15" x14ac:dyDescent="0.2">
      <c r="B3665" s="1">
        <v>3650</v>
      </c>
      <c r="C3665" s="101">
        <f ca="1"/>
        <v>-0.22568982383583622</v>
      </c>
      <c r="D3665" s="101">
        <f t="shared" ca="1" si="210"/>
        <v>0.64987224189837167</v>
      </c>
      <c r="E3665" s="101">
        <f t="shared" ca="1" si="211"/>
        <v>0</v>
      </c>
      <c r="F3665" s="21">
        <f t="shared" ca="1" si="212"/>
        <v>0</v>
      </c>
      <c r="H3665" s="21">
        <v>3650</v>
      </c>
      <c r="I3665" s="102">
        <v>0.66771360131869328</v>
      </c>
      <c r="J3665" s="103">
        <v>1.3555128566991592E-3</v>
      </c>
      <c r="K3665" s="103"/>
      <c r="L3665" s="103">
        <v>4.2799999999999998E-2</v>
      </c>
      <c r="O3665" s="100"/>
    </row>
    <row r="3666" spans="2:15" x14ac:dyDescent="0.2">
      <c r="B3666" s="1">
        <v>3651</v>
      </c>
      <c r="C3666" s="101">
        <f ca="1"/>
        <v>-0.62681728890603428</v>
      </c>
      <c r="D3666" s="101">
        <f t="shared" ca="1" si="210"/>
        <v>0.62466034104880641</v>
      </c>
      <c r="E3666" s="101">
        <f t="shared" ca="1" si="211"/>
        <v>0</v>
      </c>
      <c r="F3666" s="21">
        <f t="shared" ca="1" si="212"/>
        <v>0</v>
      </c>
      <c r="H3666" s="21">
        <v>3651</v>
      </c>
      <c r="I3666" s="102">
        <v>0.66777486366615435</v>
      </c>
      <c r="J3666" s="103">
        <v>1.4193084190648926E-3</v>
      </c>
      <c r="K3666" s="103"/>
      <c r="L3666" s="103">
        <v>4.4600000000000001E-2</v>
      </c>
      <c r="O3666" s="100"/>
    </row>
    <row r="3667" spans="2:15" x14ac:dyDescent="0.2">
      <c r="B3667" s="1">
        <v>3652</v>
      </c>
      <c r="C3667" s="101">
        <f ca="1"/>
        <v>-0.33904115430137549</v>
      </c>
      <c r="D3667" s="101">
        <f t="shared" ca="1" si="210"/>
        <v>0.64264641053652549</v>
      </c>
      <c r="E3667" s="101">
        <f t="shared" ca="1" si="211"/>
        <v>0</v>
      </c>
      <c r="F3667" s="21">
        <f t="shared" ca="1" si="212"/>
        <v>0</v>
      </c>
      <c r="H3667" s="21">
        <v>3652</v>
      </c>
      <c r="I3667" s="102">
        <v>0.66778327231894197</v>
      </c>
      <c r="J3667" s="103">
        <v>1.400687421231347E-3</v>
      </c>
      <c r="K3667" s="103"/>
      <c r="L3667" s="103">
        <v>4.2000000000000003E-2</v>
      </c>
      <c r="O3667" s="100"/>
    </row>
    <row r="3668" spans="2:15" x14ac:dyDescent="0.2">
      <c r="B3668" s="1">
        <v>3653</v>
      </c>
      <c r="C3668" s="101">
        <f ca="1"/>
        <v>-1.526313032723567</v>
      </c>
      <c r="D3668" s="101">
        <f t="shared" ca="1" si="210"/>
        <v>0.57162352121959281</v>
      </c>
      <c r="E3668" s="101">
        <f t="shared" ca="1" si="211"/>
        <v>0</v>
      </c>
      <c r="F3668" s="21">
        <f t="shared" ca="1" si="212"/>
        <v>0</v>
      </c>
      <c r="H3668" s="21">
        <v>3653</v>
      </c>
      <c r="I3668" s="102">
        <v>0.66779547036950115</v>
      </c>
      <c r="J3668" s="103">
        <v>1.4155080829314245E-3</v>
      </c>
      <c r="K3668" s="103"/>
      <c r="L3668" s="103">
        <v>4.1599999999999998E-2</v>
      </c>
      <c r="O3668" s="100"/>
    </row>
    <row r="3669" spans="2:15" x14ac:dyDescent="0.2">
      <c r="B3669" s="1">
        <v>3654</v>
      </c>
      <c r="C3669" s="101">
        <f ca="1"/>
        <v>1.378798247677764</v>
      </c>
      <c r="D3669" s="101">
        <f t="shared" ca="1" si="210"/>
        <v>0.76131303728540722</v>
      </c>
      <c r="E3669" s="101">
        <f t="shared" ca="1" si="211"/>
        <v>0</v>
      </c>
      <c r="F3669" s="21">
        <f t="shared" ca="1" si="212"/>
        <v>0</v>
      </c>
      <c r="H3669" s="21">
        <v>3654</v>
      </c>
      <c r="I3669" s="102">
        <v>0.66785076846093827</v>
      </c>
      <c r="J3669" s="103">
        <v>1.4825763870223178E-3</v>
      </c>
      <c r="K3669" s="103"/>
      <c r="L3669" s="103">
        <v>4.4600000000000001E-2</v>
      </c>
      <c r="O3669" s="100"/>
    </row>
    <row r="3670" spans="2:15" x14ac:dyDescent="0.2">
      <c r="B3670" s="1">
        <v>3655</v>
      </c>
      <c r="C3670" s="101">
        <f ca="1"/>
        <v>9.4268322166214794E-2</v>
      </c>
      <c r="D3670" s="101">
        <f t="shared" ca="1" si="210"/>
        <v>0.67071002385480971</v>
      </c>
      <c r="E3670" s="101">
        <f t="shared" ca="1" si="211"/>
        <v>0</v>
      </c>
      <c r="F3670" s="21">
        <f t="shared" ca="1" si="212"/>
        <v>0</v>
      </c>
      <c r="H3670" s="21">
        <v>3655</v>
      </c>
      <c r="I3670" s="102">
        <v>0.66779861563537368</v>
      </c>
      <c r="J3670" s="103">
        <v>1.4355828254410546E-3</v>
      </c>
      <c r="K3670" s="103"/>
      <c r="L3670" s="103">
        <v>4.2599999999999999E-2</v>
      </c>
      <c r="O3670" s="100"/>
    </row>
    <row r="3671" spans="2:15" x14ac:dyDescent="0.2">
      <c r="B3671" s="1">
        <v>3656</v>
      </c>
      <c r="C3671" s="101">
        <f ca="1"/>
        <v>0.20431329969694931</v>
      </c>
      <c r="D3671" s="101">
        <f t="shared" ca="1" si="210"/>
        <v>0.67803022787590295</v>
      </c>
      <c r="E3671" s="101">
        <f t="shared" ca="1" si="211"/>
        <v>0</v>
      </c>
      <c r="F3671" s="21">
        <f t="shared" ca="1" si="212"/>
        <v>0</v>
      </c>
      <c r="H3671" s="21">
        <v>3656</v>
      </c>
      <c r="I3671" s="102">
        <v>0.66762074885501899</v>
      </c>
      <c r="J3671" s="103">
        <v>1.1936066152278338E-3</v>
      </c>
      <c r="K3671" s="103"/>
      <c r="L3671" s="103">
        <v>3.9E-2</v>
      </c>
      <c r="O3671" s="100"/>
    </row>
    <row r="3672" spans="2:15" x14ac:dyDescent="0.2">
      <c r="B3672" s="1">
        <v>3657</v>
      </c>
      <c r="C3672" s="101">
        <f ca="1"/>
        <v>0.36873230506956184</v>
      </c>
      <c r="D3672" s="101">
        <f t="shared" ca="1" si="210"/>
        <v>0.68911652560329695</v>
      </c>
      <c r="E3672" s="101">
        <f t="shared" ca="1" si="211"/>
        <v>0</v>
      </c>
      <c r="F3672" s="21">
        <f t="shared" ca="1" si="212"/>
        <v>0</v>
      </c>
      <c r="H3672" s="21">
        <v>3657</v>
      </c>
      <c r="I3672" s="102">
        <v>0.66770909618140062</v>
      </c>
      <c r="J3672" s="103">
        <v>1.2961924079105385E-3</v>
      </c>
      <c r="K3672" s="103"/>
      <c r="L3672" s="103">
        <v>4.0399999999999998E-2</v>
      </c>
      <c r="O3672" s="100"/>
    </row>
    <row r="3673" spans="2:15" x14ac:dyDescent="0.2">
      <c r="B3673" s="1">
        <v>3658</v>
      </c>
      <c r="C3673" s="101">
        <f ca="1"/>
        <v>0.478791256414623</v>
      </c>
      <c r="D3673" s="101">
        <f t="shared" ca="1" si="210"/>
        <v>0.69663858048067429</v>
      </c>
      <c r="E3673" s="101">
        <f t="shared" ca="1" si="211"/>
        <v>0</v>
      </c>
      <c r="F3673" s="21">
        <f t="shared" ca="1" si="212"/>
        <v>0</v>
      </c>
      <c r="H3673" s="21">
        <v>3658</v>
      </c>
      <c r="I3673" s="102">
        <v>0.66767871620481423</v>
      </c>
      <c r="J3673" s="103">
        <v>1.3204244268483977E-3</v>
      </c>
      <c r="K3673" s="103"/>
      <c r="L3673" s="103">
        <v>3.9E-2</v>
      </c>
      <c r="O3673" s="100"/>
    </row>
    <row r="3674" spans="2:15" x14ac:dyDescent="0.2">
      <c r="B3674" s="1">
        <v>3659</v>
      </c>
      <c r="C3674" s="101">
        <f ca="1"/>
        <v>0.20318736275996871</v>
      </c>
      <c r="D3674" s="101">
        <f t="shared" ca="1" si="210"/>
        <v>0.67795492736787188</v>
      </c>
      <c r="E3674" s="101">
        <f t="shared" ca="1" si="211"/>
        <v>0</v>
      </c>
      <c r="F3674" s="21">
        <f t="shared" ca="1" si="212"/>
        <v>0</v>
      </c>
      <c r="H3674" s="21">
        <v>3659</v>
      </c>
      <c r="I3674" s="102">
        <v>0.66772176510746417</v>
      </c>
      <c r="J3674" s="103">
        <v>1.3579047111946943E-3</v>
      </c>
      <c r="K3674" s="103"/>
      <c r="L3674" s="103">
        <v>4.1399999999999999E-2</v>
      </c>
      <c r="O3674" s="100"/>
    </row>
    <row r="3675" spans="2:15" x14ac:dyDescent="0.2">
      <c r="B3675" s="1">
        <v>3660</v>
      </c>
      <c r="C3675" s="101">
        <f ca="1"/>
        <v>0.97734118054882724</v>
      </c>
      <c r="D3675" s="101">
        <f t="shared" ca="1" si="210"/>
        <v>0.73175398093850852</v>
      </c>
      <c r="E3675" s="101">
        <f t="shared" ca="1" si="211"/>
        <v>0</v>
      </c>
      <c r="F3675" s="21">
        <f t="shared" ca="1" si="212"/>
        <v>0</v>
      </c>
      <c r="H3675" s="21">
        <v>3660</v>
      </c>
      <c r="I3675" s="102">
        <v>0.66764501845116686</v>
      </c>
      <c r="J3675" s="103">
        <v>1.3316964751699104E-3</v>
      </c>
      <c r="K3675" s="103"/>
      <c r="L3675" s="103">
        <v>4.4200000000000003E-2</v>
      </c>
      <c r="O3675" s="100"/>
    </row>
    <row r="3676" spans="2:15" x14ac:dyDescent="0.2">
      <c r="B3676" s="1">
        <v>3661</v>
      </c>
      <c r="C3676" s="101">
        <f ca="1"/>
        <v>-0.42303177050356017</v>
      </c>
      <c r="D3676" s="101">
        <f t="shared" ca="1" si="210"/>
        <v>0.63734411484429165</v>
      </c>
      <c r="E3676" s="101">
        <f t="shared" ca="1" si="211"/>
        <v>0</v>
      </c>
      <c r="F3676" s="21">
        <f t="shared" ca="1" si="212"/>
        <v>0</v>
      </c>
      <c r="H3676" s="21">
        <v>3661</v>
      </c>
      <c r="I3676" s="102">
        <v>0.66762386610966251</v>
      </c>
      <c r="J3676" s="103">
        <v>1.4010120454891752E-3</v>
      </c>
      <c r="K3676" s="103"/>
      <c r="L3676" s="103">
        <v>3.9800000000000002E-2</v>
      </c>
      <c r="O3676" s="100"/>
    </row>
    <row r="3677" spans="2:15" x14ac:dyDescent="0.2">
      <c r="B3677" s="1">
        <v>3662</v>
      </c>
      <c r="C3677" s="101">
        <f ca="1"/>
        <v>0.49901723027043554</v>
      </c>
      <c r="D3677" s="101">
        <f t="shared" ca="1" si="210"/>
        <v>0.698029843273545</v>
      </c>
      <c r="E3677" s="101">
        <f t="shared" ca="1" si="211"/>
        <v>0</v>
      </c>
      <c r="F3677" s="21">
        <f t="shared" ca="1" si="212"/>
        <v>0</v>
      </c>
      <c r="H3677" s="21">
        <v>3662</v>
      </c>
      <c r="I3677" s="102">
        <v>0.66792866043216859</v>
      </c>
      <c r="J3677" s="103">
        <v>1.6846983923522799E-3</v>
      </c>
      <c r="K3677" s="103"/>
      <c r="L3677" s="103">
        <v>4.5600000000000002E-2</v>
      </c>
      <c r="O3677" s="100"/>
    </row>
    <row r="3678" spans="2:15" x14ac:dyDescent="0.2">
      <c r="B3678" s="1">
        <v>3663</v>
      </c>
      <c r="C3678" s="101">
        <f ca="1"/>
        <v>0.75139255963031226</v>
      </c>
      <c r="D3678" s="101">
        <f t="shared" ca="1" si="210"/>
        <v>0.71562514855714721</v>
      </c>
      <c r="E3678" s="101">
        <f t="shared" ca="1" si="211"/>
        <v>0</v>
      </c>
      <c r="F3678" s="21">
        <f t="shared" ca="1" si="212"/>
        <v>0</v>
      </c>
      <c r="H3678" s="21">
        <v>3663</v>
      </c>
      <c r="I3678" s="102">
        <v>0.66776103072958182</v>
      </c>
      <c r="J3678" s="103">
        <v>1.315164623137885E-3</v>
      </c>
      <c r="K3678" s="103"/>
      <c r="L3678" s="103">
        <v>4.1200000000000001E-2</v>
      </c>
      <c r="O3678" s="100"/>
    </row>
    <row r="3679" spans="2:15" x14ac:dyDescent="0.2">
      <c r="B3679" s="1">
        <v>3664</v>
      </c>
      <c r="C3679" s="101">
        <f ca="1"/>
        <v>1.3299550768462733</v>
      </c>
      <c r="D3679" s="101">
        <f t="shared" ca="1" si="210"/>
        <v>0.75765388712421178</v>
      </c>
      <c r="E3679" s="101">
        <f t="shared" ca="1" si="211"/>
        <v>0</v>
      </c>
      <c r="F3679" s="21">
        <f t="shared" ca="1" si="212"/>
        <v>0</v>
      </c>
      <c r="H3679" s="21">
        <v>3664</v>
      </c>
      <c r="I3679" s="102">
        <v>0.66773896117477538</v>
      </c>
      <c r="J3679" s="103">
        <v>1.337778190839752E-3</v>
      </c>
      <c r="K3679" s="103"/>
      <c r="L3679" s="103">
        <v>4.02E-2</v>
      </c>
      <c r="O3679" s="100"/>
    </row>
    <row r="3680" spans="2:15" x14ac:dyDescent="0.2">
      <c r="B3680" s="1">
        <v>3665</v>
      </c>
      <c r="C3680" s="101">
        <f ca="1"/>
        <v>1.1020717707934546</v>
      </c>
      <c r="D3680" s="101">
        <f t="shared" ca="1" si="210"/>
        <v>0.74081279617795015</v>
      </c>
      <c r="E3680" s="101">
        <f t="shared" ca="1" si="211"/>
        <v>0</v>
      </c>
      <c r="F3680" s="21">
        <f t="shared" ca="1" si="212"/>
        <v>0</v>
      </c>
      <c r="H3680" s="21">
        <v>3665</v>
      </c>
      <c r="I3680" s="102">
        <v>0.66781982725973954</v>
      </c>
      <c r="J3680" s="103">
        <v>1.5189363947862866E-3</v>
      </c>
      <c r="K3680" s="103"/>
      <c r="L3680" s="103">
        <v>4.24E-2</v>
      </c>
      <c r="O3680" s="100"/>
    </row>
    <row r="3681" spans="2:15" x14ac:dyDescent="0.2">
      <c r="B3681" s="1">
        <v>3666</v>
      </c>
      <c r="C3681" s="101">
        <f ca="1"/>
        <v>-0.56406204397190018</v>
      </c>
      <c r="D3681" s="101">
        <f t="shared" ca="1" si="210"/>
        <v>0.62853914433624392</v>
      </c>
      <c r="E3681" s="101">
        <f t="shared" ca="1" si="211"/>
        <v>0</v>
      </c>
      <c r="F3681" s="21">
        <f t="shared" ca="1" si="212"/>
        <v>0</v>
      </c>
      <c r="H3681" s="21">
        <v>3666</v>
      </c>
      <c r="I3681" s="102">
        <v>0.66769921309897029</v>
      </c>
      <c r="J3681" s="103">
        <v>1.3663385182688349E-3</v>
      </c>
      <c r="K3681" s="103"/>
      <c r="L3681" s="103">
        <v>0.04</v>
      </c>
      <c r="O3681" s="100"/>
    </row>
    <row r="3682" spans="2:15" x14ac:dyDescent="0.2">
      <c r="B3682" s="1">
        <v>3667</v>
      </c>
      <c r="C3682" s="101">
        <f ca="1"/>
        <v>1.0997277652141475</v>
      </c>
      <c r="D3682" s="101">
        <f t="shared" ca="1" si="210"/>
        <v>0.74064152834201613</v>
      </c>
      <c r="E3682" s="101">
        <f t="shared" ca="1" si="211"/>
        <v>0</v>
      </c>
      <c r="F3682" s="21">
        <f t="shared" ca="1" si="212"/>
        <v>0</v>
      </c>
      <c r="H3682" s="21">
        <v>3667</v>
      </c>
      <c r="I3682" s="102">
        <v>0.66760619612830463</v>
      </c>
      <c r="J3682" s="103">
        <v>1.2177202632083091E-3</v>
      </c>
      <c r="K3682" s="103"/>
      <c r="L3682" s="103">
        <v>4.02E-2</v>
      </c>
      <c r="O3682" s="100"/>
    </row>
    <row r="3683" spans="2:15" x14ac:dyDescent="0.2">
      <c r="B3683" s="1">
        <v>3668</v>
      </c>
      <c r="C3683" s="101">
        <f ca="1"/>
        <v>1.0914002633441193</v>
      </c>
      <c r="D3683" s="101">
        <f t="shared" ca="1" si="210"/>
        <v>0.74003338866537005</v>
      </c>
      <c r="E3683" s="101">
        <f t="shared" ca="1" si="211"/>
        <v>0</v>
      </c>
      <c r="F3683" s="21">
        <f t="shared" ca="1" si="212"/>
        <v>0</v>
      </c>
      <c r="H3683" s="21">
        <v>3668</v>
      </c>
      <c r="I3683" s="102">
        <v>0.66758037886708166</v>
      </c>
      <c r="J3683" s="103">
        <v>1.2860825346748177E-3</v>
      </c>
      <c r="K3683" s="103"/>
      <c r="L3683" s="103">
        <v>3.8800000000000001E-2</v>
      </c>
      <c r="O3683" s="100"/>
    </row>
    <row r="3684" spans="2:15" x14ac:dyDescent="0.2">
      <c r="B3684" s="1">
        <v>3669</v>
      </c>
      <c r="C3684" s="101">
        <f ca="1"/>
        <v>-2.3538440872645805</v>
      </c>
      <c r="D3684" s="101">
        <f t="shared" ca="1" si="210"/>
        <v>0.52681625982580893</v>
      </c>
      <c r="E3684" s="101">
        <f t="shared" ca="1" si="211"/>
        <v>0</v>
      </c>
      <c r="F3684" s="21">
        <f t="shared" ca="1" si="212"/>
        <v>0</v>
      </c>
      <c r="H3684" s="21">
        <v>3669</v>
      </c>
      <c r="I3684" s="102">
        <v>0.66772631049666209</v>
      </c>
      <c r="J3684" s="103">
        <v>1.3346314298484058E-3</v>
      </c>
      <c r="K3684" s="103"/>
      <c r="L3684" s="103">
        <v>4.0399999999999998E-2</v>
      </c>
      <c r="O3684" s="100"/>
    </row>
    <row r="3685" spans="2:15" x14ac:dyDescent="0.2">
      <c r="B3685" s="1">
        <v>3670</v>
      </c>
      <c r="C3685" s="101">
        <f ca="1"/>
        <v>-0.94554301615405256</v>
      </c>
      <c r="D3685" s="101">
        <f t="shared" ca="1" si="210"/>
        <v>0.60532682537213889</v>
      </c>
      <c r="E3685" s="101">
        <f t="shared" ca="1" si="211"/>
        <v>0</v>
      </c>
      <c r="F3685" s="21">
        <f t="shared" ca="1" si="212"/>
        <v>0</v>
      </c>
      <c r="H3685" s="21">
        <v>3670</v>
      </c>
      <c r="I3685" s="102">
        <v>0.66757451250377398</v>
      </c>
      <c r="J3685" s="103">
        <v>1.2691301808198719E-3</v>
      </c>
      <c r="K3685" s="103"/>
      <c r="L3685" s="103">
        <v>3.9E-2</v>
      </c>
      <c r="O3685" s="100"/>
    </row>
    <row r="3686" spans="2:15" x14ac:dyDescent="0.2">
      <c r="B3686" s="1">
        <v>3671</v>
      </c>
      <c r="C3686" s="101">
        <f ca="1"/>
        <v>0.75557181913002502</v>
      </c>
      <c r="D3686" s="101">
        <f t="shared" ca="1" si="210"/>
        <v>0.71592022419505519</v>
      </c>
      <c r="E3686" s="101">
        <f t="shared" ca="1" si="211"/>
        <v>0</v>
      </c>
      <c r="F3686" s="21">
        <f t="shared" ca="1" si="212"/>
        <v>0</v>
      </c>
      <c r="H3686" s="21">
        <v>3671</v>
      </c>
      <c r="I3686" s="102">
        <v>0.66779667577193669</v>
      </c>
      <c r="J3686" s="103">
        <v>1.3793244884451232E-3</v>
      </c>
      <c r="K3686" s="103"/>
      <c r="L3686" s="103">
        <v>4.24E-2</v>
      </c>
      <c r="O3686" s="100"/>
    </row>
    <row r="3687" spans="2:15" x14ac:dyDescent="0.2">
      <c r="B3687" s="1">
        <v>3672</v>
      </c>
      <c r="C3687" s="101">
        <f ca="1"/>
        <v>1.1110430919246308</v>
      </c>
      <c r="D3687" s="101">
        <f t="shared" ca="1" si="210"/>
        <v>0.74146866344360829</v>
      </c>
      <c r="E3687" s="101">
        <f t="shared" ca="1" si="211"/>
        <v>0</v>
      </c>
      <c r="F3687" s="21">
        <f t="shared" ca="1" si="212"/>
        <v>0</v>
      </c>
      <c r="H3687" s="21">
        <v>3672</v>
      </c>
      <c r="I3687" s="102">
        <v>0.66783515013984174</v>
      </c>
      <c r="J3687" s="103">
        <v>1.4754695572810651E-3</v>
      </c>
      <c r="K3687" s="103"/>
      <c r="L3687" s="103">
        <v>4.3200000000000002E-2</v>
      </c>
      <c r="O3687" s="100"/>
    </row>
    <row r="3688" spans="2:15" x14ac:dyDescent="0.2">
      <c r="B3688" s="1">
        <v>3673</v>
      </c>
      <c r="C3688" s="101">
        <f ca="1"/>
        <v>-9.8466955291192593E-2</v>
      </c>
      <c r="D3688" s="101">
        <f t="shared" ca="1" si="210"/>
        <v>0.65807915804268591</v>
      </c>
      <c r="E3688" s="101">
        <f t="shared" ca="1" si="211"/>
        <v>0</v>
      </c>
      <c r="F3688" s="21">
        <f t="shared" ca="1" si="212"/>
        <v>0</v>
      </c>
      <c r="H3688" s="21">
        <v>3673</v>
      </c>
      <c r="I3688" s="102">
        <v>0.66780284368236065</v>
      </c>
      <c r="J3688" s="103">
        <v>1.4936032022412587E-3</v>
      </c>
      <c r="K3688" s="103"/>
      <c r="L3688" s="103">
        <v>4.1399999999999999E-2</v>
      </c>
      <c r="O3688" s="100"/>
    </row>
    <row r="3689" spans="2:15" x14ac:dyDescent="0.2">
      <c r="B3689" s="1">
        <v>3674</v>
      </c>
      <c r="C3689" s="101">
        <f ca="1"/>
        <v>1.9614556247656236</v>
      </c>
      <c r="D3689" s="101">
        <f t="shared" ca="1" si="210"/>
        <v>0.80635066758753338</v>
      </c>
      <c r="E3689" s="101">
        <f t="shared" ca="1" si="211"/>
        <v>1.8150667587533365E-2</v>
      </c>
      <c r="F3689" s="21">
        <f t="shared" ca="1" si="212"/>
        <v>1</v>
      </c>
      <c r="H3689" s="21">
        <v>3674</v>
      </c>
      <c r="I3689" s="102">
        <v>0.66765684932836944</v>
      </c>
      <c r="J3689" s="103">
        <v>1.3480878863827285E-3</v>
      </c>
      <c r="K3689" s="103"/>
      <c r="L3689" s="103">
        <v>3.8399999999999997E-2</v>
      </c>
      <c r="O3689" s="100"/>
    </row>
    <row r="3690" spans="2:15" x14ac:dyDescent="0.2">
      <c r="B3690" s="1">
        <v>3675</v>
      </c>
      <c r="C3690" s="101">
        <f ca="1"/>
        <v>0.8604784775512776</v>
      </c>
      <c r="D3690" s="101">
        <f t="shared" ca="1" si="210"/>
        <v>0.72336712538659198</v>
      </c>
      <c r="E3690" s="101">
        <f t="shared" ca="1" si="211"/>
        <v>0</v>
      </c>
      <c r="F3690" s="21">
        <f t="shared" ca="1" si="212"/>
        <v>0</v>
      </c>
      <c r="H3690" s="21">
        <v>3675</v>
      </c>
      <c r="I3690" s="102">
        <v>0.66781655722496469</v>
      </c>
      <c r="J3690" s="103">
        <v>1.4521110803006137E-3</v>
      </c>
      <c r="K3690" s="103"/>
      <c r="L3690" s="103">
        <v>4.2999999999999997E-2</v>
      </c>
      <c r="O3690" s="100"/>
    </row>
    <row r="3691" spans="2:15" x14ac:dyDescent="0.2">
      <c r="B3691" s="1">
        <v>3676</v>
      </c>
      <c r="C3691" s="101">
        <f ca="1"/>
        <v>5.8677609787417109E-2</v>
      </c>
      <c r="D3691" s="101">
        <f t="shared" ca="1" si="210"/>
        <v>0.66835948053532324</v>
      </c>
      <c r="E3691" s="101">
        <f t="shared" ca="1" si="211"/>
        <v>0</v>
      </c>
      <c r="F3691" s="21">
        <f t="shared" ca="1" si="212"/>
        <v>0</v>
      </c>
      <c r="H3691" s="21">
        <v>3676</v>
      </c>
      <c r="I3691" s="102">
        <v>0.6677579858099032</v>
      </c>
      <c r="J3691" s="103">
        <v>1.4350921241147088E-3</v>
      </c>
      <c r="K3691" s="103"/>
      <c r="L3691" s="103">
        <v>4.36E-2</v>
      </c>
      <c r="O3691" s="100"/>
    </row>
    <row r="3692" spans="2:15" x14ac:dyDescent="0.2">
      <c r="B3692" s="1">
        <v>3677</v>
      </c>
      <c r="C3692" s="101">
        <f ca="1"/>
        <v>0.93709484902779783</v>
      </c>
      <c r="D3692" s="101">
        <f t="shared" ca="1" si="210"/>
        <v>0.7288547119119152</v>
      </c>
      <c r="E3692" s="101">
        <f t="shared" ca="1" si="211"/>
        <v>0</v>
      </c>
      <c r="F3692" s="21">
        <f t="shared" ca="1" si="212"/>
        <v>0</v>
      </c>
      <c r="H3692" s="21">
        <v>3677</v>
      </c>
      <c r="I3692" s="102">
        <v>0.66768890978884265</v>
      </c>
      <c r="J3692" s="103">
        <v>1.253823951384182E-3</v>
      </c>
      <c r="K3692" s="103"/>
      <c r="L3692" s="103">
        <v>3.9800000000000002E-2</v>
      </c>
      <c r="O3692" s="100"/>
    </row>
    <row r="3693" spans="2:15" x14ac:dyDescent="0.2">
      <c r="B3693" s="1">
        <v>3678</v>
      </c>
      <c r="C3693" s="101">
        <f ca="1"/>
        <v>-0.6654190454470803</v>
      </c>
      <c r="D3693" s="101">
        <f t="shared" ca="1" si="210"/>
        <v>0.62228632677074036</v>
      </c>
      <c r="E3693" s="101">
        <f t="shared" ca="1" si="211"/>
        <v>0</v>
      </c>
      <c r="F3693" s="21">
        <f t="shared" ca="1" si="212"/>
        <v>0</v>
      </c>
      <c r="H3693" s="21">
        <v>3678</v>
      </c>
      <c r="I3693" s="102">
        <v>0.66788074434198197</v>
      </c>
      <c r="J3693" s="103">
        <v>1.4595530201197532E-3</v>
      </c>
      <c r="K3693" s="103"/>
      <c r="L3693" s="103">
        <v>4.5600000000000002E-2</v>
      </c>
      <c r="O3693" s="100"/>
    </row>
    <row r="3694" spans="2:15" x14ac:dyDescent="0.2">
      <c r="B3694" s="1">
        <v>3679</v>
      </c>
      <c r="C3694" s="101">
        <f ca="1"/>
        <v>-1.1912036106797776E-2</v>
      </c>
      <c r="D3694" s="101">
        <f t="shared" ca="1" si="210"/>
        <v>0.66372182075358954</v>
      </c>
      <c r="E3694" s="101">
        <f t="shared" ca="1" si="211"/>
        <v>0</v>
      </c>
      <c r="F3694" s="21">
        <f t="shared" ca="1" si="212"/>
        <v>0</v>
      </c>
      <c r="H3694" s="21">
        <v>3679</v>
      </c>
      <c r="I3694" s="102">
        <v>0.66775271426927052</v>
      </c>
      <c r="J3694" s="103">
        <v>1.3145242342502601E-3</v>
      </c>
      <c r="K3694" s="103"/>
      <c r="L3694" s="103">
        <v>4.0800000000000003E-2</v>
      </c>
      <c r="O3694" s="100"/>
    </row>
    <row r="3695" spans="2:15" x14ac:dyDescent="0.2">
      <c r="B3695" s="1">
        <v>3680</v>
      </c>
      <c r="C3695" s="101">
        <f ca="1"/>
        <v>1.5250915738044044</v>
      </c>
      <c r="D3695" s="101">
        <f t="shared" ca="1" si="210"/>
        <v>0.77237886764224739</v>
      </c>
      <c r="E3695" s="101">
        <f t="shared" ca="1" si="211"/>
        <v>0</v>
      </c>
      <c r="F3695" s="21">
        <f t="shared" ca="1" si="212"/>
        <v>0</v>
      </c>
      <c r="H3695" s="21">
        <v>3680</v>
      </c>
      <c r="I3695" s="102">
        <v>0.66783864591327535</v>
      </c>
      <c r="J3695" s="103">
        <v>1.3250531476868676E-3</v>
      </c>
      <c r="K3695" s="103"/>
      <c r="L3695" s="103">
        <v>4.6399999999999997E-2</v>
      </c>
      <c r="O3695" s="100"/>
    </row>
    <row r="3696" spans="2:15" x14ac:dyDescent="0.2">
      <c r="B3696" s="1">
        <v>3681</v>
      </c>
      <c r="C3696" s="101">
        <f ca="1"/>
        <v>-0.22798806442315425</v>
      </c>
      <c r="D3696" s="101">
        <f t="shared" ca="1" si="210"/>
        <v>0.64972493158568911</v>
      </c>
      <c r="E3696" s="101">
        <f t="shared" ca="1" si="211"/>
        <v>0</v>
      </c>
      <c r="F3696" s="21">
        <f t="shared" ca="1" si="212"/>
        <v>0</v>
      </c>
      <c r="H3696" s="21">
        <v>3681</v>
      </c>
      <c r="I3696" s="102">
        <v>0.66764190779433552</v>
      </c>
      <c r="J3696" s="103">
        <v>1.2874264378521299E-3</v>
      </c>
      <c r="K3696" s="103"/>
      <c r="L3696" s="103">
        <v>4.0399999999999998E-2</v>
      </c>
      <c r="O3696" s="100"/>
    </row>
    <row r="3697" spans="2:15" x14ac:dyDescent="0.2">
      <c r="B3697" s="1">
        <v>3682</v>
      </c>
      <c r="C3697" s="101">
        <f ca="1"/>
        <v>-1.0709057408934852</v>
      </c>
      <c r="D3697" s="101">
        <f t="shared" ca="1" si="210"/>
        <v>0.59788747899378936</v>
      </c>
      <c r="E3697" s="101">
        <f t="shared" ca="1" si="211"/>
        <v>0</v>
      </c>
      <c r="F3697" s="21">
        <f t="shared" ca="1" si="212"/>
        <v>0</v>
      </c>
      <c r="H3697" s="21">
        <v>3682</v>
      </c>
      <c r="I3697" s="102">
        <v>0.66771874130582942</v>
      </c>
      <c r="J3697" s="103">
        <v>1.3123139775583503E-3</v>
      </c>
      <c r="K3697" s="103"/>
      <c r="L3697" s="103">
        <v>4.3400000000000001E-2</v>
      </c>
      <c r="O3697" s="100"/>
    </row>
    <row r="3698" spans="2:15" x14ac:dyDescent="0.2">
      <c r="B3698" s="1">
        <v>3683</v>
      </c>
      <c r="C3698" s="101">
        <f ca="1"/>
        <v>-0.71981737412817293</v>
      </c>
      <c r="D3698" s="101">
        <f t="shared" ca="1" si="210"/>
        <v>0.61895612887891704</v>
      </c>
      <c r="E3698" s="101">
        <f t="shared" ca="1" si="211"/>
        <v>0</v>
      </c>
      <c r="F3698" s="21">
        <f t="shared" ca="1" si="212"/>
        <v>0</v>
      </c>
      <c r="H3698" s="21">
        <v>3683</v>
      </c>
      <c r="I3698" s="102">
        <v>0.66784141376242179</v>
      </c>
      <c r="J3698" s="103">
        <v>1.5964329252823853E-3</v>
      </c>
      <c r="K3698" s="103"/>
      <c r="L3698" s="103">
        <v>4.4400000000000002E-2</v>
      </c>
      <c r="O3698" s="100"/>
    </row>
    <row r="3699" spans="2:15" x14ac:dyDescent="0.2">
      <c r="B3699" s="1">
        <v>3684</v>
      </c>
      <c r="C3699" s="101">
        <f ca="1"/>
        <v>-0.29950704888358948</v>
      </c>
      <c r="D3699" s="101">
        <f t="shared" ca="1" si="210"/>
        <v>0.64515742946404298</v>
      </c>
      <c r="E3699" s="101">
        <f t="shared" ca="1" si="211"/>
        <v>0</v>
      </c>
      <c r="F3699" s="21">
        <f t="shared" ca="1" si="212"/>
        <v>0</v>
      </c>
      <c r="H3699" s="21">
        <v>3684</v>
      </c>
      <c r="I3699" s="102">
        <v>0.66786055838435954</v>
      </c>
      <c r="J3699" s="103">
        <v>1.5636332722434245E-3</v>
      </c>
      <c r="K3699" s="103"/>
      <c r="L3699" s="103">
        <v>4.5600000000000002E-2</v>
      </c>
      <c r="O3699" s="100"/>
    </row>
    <row r="3700" spans="2:15" x14ac:dyDescent="0.2">
      <c r="B3700" s="1">
        <v>3685</v>
      </c>
      <c r="C3700" s="101">
        <f ca="1"/>
        <v>0.39697823361308088</v>
      </c>
      <c r="D3700" s="101">
        <f t="shared" ca="1" si="210"/>
        <v>0.69103923027314373</v>
      </c>
      <c r="E3700" s="101">
        <f t="shared" ca="1" si="211"/>
        <v>0</v>
      </c>
      <c r="F3700" s="21">
        <f t="shared" ca="1" si="212"/>
        <v>0</v>
      </c>
      <c r="H3700" s="21">
        <v>3685</v>
      </c>
      <c r="I3700" s="102">
        <v>0.66776941910958099</v>
      </c>
      <c r="J3700" s="103">
        <v>1.4173504783468291E-3</v>
      </c>
      <c r="K3700" s="103"/>
      <c r="L3700" s="103">
        <v>4.2200000000000001E-2</v>
      </c>
      <c r="O3700" s="100"/>
    </row>
    <row r="3701" spans="2:15" x14ac:dyDescent="0.2">
      <c r="B3701" s="1">
        <v>3686</v>
      </c>
      <c r="C3701" s="101">
        <f ca="1"/>
        <v>0.61143754846515908</v>
      </c>
      <c r="D3701" s="101">
        <f t="shared" ca="1" si="210"/>
        <v>0.70581357636524333</v>
      </c>
      <c r="E3701" s="101">
        <f t="shared" ca="1" si="211"/>
        <v>0</v>
      </c>
      <c r="F3701" s="21">
        <f t="shared" ca="1" si="212"/>
        <v>0</v>
      </c>
      <c r="H3701" s="21">
        <v>3686</v>
      </c>
      <c r="I3701" s="102">
        <v>0.66789390629065315</v>
      </c>
      <c r="J3701" s="103">
        <v>1.6037377152552793E-3</v>
      </c>
      <c r="K3701" s="103"/>
      <c r="L3701" s="103">
        <v>4.7E-2</v>
      </c>
      <c r="O3701" s="100"/>
    </row>
    <row r="3702" spans="2:15" x14ac:dyDescent="0.2">
      <c r="B3702" s="1">
        <v>3687</v>
      </c>
      <c r="C3702" s="101">
        <f ca="1"/>
        <v>-7.1846729358272618E-2</v>
      </c>
      <c r="D3702" s="101">
        <f t="shared" ca="1" si="210"/>
        <v>0.65980944883265835</v>
      </c>
      <c r="E3702" s="101">
        <f t="shared" ca="1" si="211"/>
        <v>0</v>
      </c>
      <c r="F3702" s="21">
        <f t="shared" ca="1" si="212"/>
        <v>0</v>
      </c>
      <c r="H3702" s="21">
        <v>3687</v>
      </c>
      <c r="I3702" s="102">
        <v>0.66785411051604893</v>
      </c>
      <c r="J3702" s="103">
        <v>1.30384111910798E-3</v>
      </c>
      <c r="K3702" s="103"/>
      <c r="L3702" s="103">
        <v>4.58E-2</v>
      </c>
      <c r="O3702" s="100"/>
    </row>
    <row r="3703" spans="2:15" x14ac:dyDescent="0.2">
      <c r="B3703" s="1">
        <v>3688</v>
      </c>
      <c r="C3703" s="101">
        <f ca="1"/>
        <v>0.68486749976977113</v>
      </c>
      <c r="D3703" s="101">
        <f t="shared" ca="1" si="210"/>
        <v>0.71094450465476133</v>
      </c>
      <c r="E3703" s="101">
        <f t="shared" ca="1" si="211"/>
        <v>0</v>
      </c>
      <c r="F3703" s="21">
        <f t="shared" ca="1" si="212"/>
        <v>0</v>
      </c>
      <c r="H3703" s="21">
        <v>3688</v>
      </c>
      <c r="I3703" s="102">
        <v>0.66779354886090447</v>
      </c>
      <c r="J3703" s="103">
        <v>1.3624086130765219E-3</v>
      </c>
      <c r="K3703" s="103"/>
      <c r="L3703" s="103">
        <v>4.3400000000000001E-2</v>
      </c>
      <c r="O3703" s="100"/>
    </row>
    <row r="3704" spans="2:15" x14ac:dyDescent="0.2">
      <c r="B3704" s="1">
        <v>3689</v>
      </c>
      <c r="C3704" s="101">
        <f ca="1"/>
        <v>1.0843984244026752</v>
      </c>
      <c r="D3704" s="101">
        <f t="shared" ca="1" si="210"/>
        <v>0.7395224457715166</v>
      </c>
      <c r="E3704" s="101">
        <f t="shared" ca="1" si="211"/>
        <v>0</v>
      </c>
      <c r="F3704" s="21">
        <f t="shared" ca="1" si="212"/>
        <v>0</v>
      </c>
      <c r="H3704" s="21">
        <v>3689</v>
      </c>
      <c r="I3704" s="102">
        <v>0.66787590384594031</v>
      </c>
      <c r="J3704" s="103">
        <v>1.5749113359011411E-3</v>
      </c>
      <c r="K3704" s="103"/>
      <c r="L3704" s="103">
        <v>4.4600000000000001E-2</v>
      </c>
      <c r="O3704" s="100"/>
    </row>
    <row r="3705" spans="2:15" x14ac:dyDescent="0.2">
      <c r="B3705" s="1">
        <v>3690</v>
      </c>
      <c r="C3705" s="101">
        <f ca="1"/>
        <v>0.4931693806811645</v>
      </c>
      <c r="D3705" s="101">
        <f t="shared" ca="1" si="210"/>
        <v>0.69762730810286022</v>
      </c>
      <c r="E3705" s="101">
        <f t="shared" ca="1" si="211"/>
        <v>0</v>
      </c>
      <c r="F3705" s="21">
        <f t="shared" ca="1" si="212"/>
        <v>0</v>
      </c>
      <c r="H3705" s="21">
        <v>3690</v>
      </c>
      <c r="I3705" s="102">
        <v>0.66789257445957506</v>
      </c>
      <c r="J3705" s="103">
        <v>1.5697121253122855E-3</v>
      </c>
      <c r="K3705" s="103"/>
      <c r="L3705" s="103">
        <v>4.4200000000000003E-2</v>
      </c>
      <c r="O3705" s="100"/>
    </row>
    <row r="3706" spans="2:15" x14ac:dyDescent="0.2">
      <c r="B3706" s="1">
        <v>3691</v>
      </c>
      <c r="C3706" s="101">
        <f ca="1"/>
        <v>-1.4961473757287751</v>
      </c>
      <c r="D3706" s="101">
        <f t="shared" ca="1" si="210"/>
        <v>0.573326966076392</v>
      </c>
      <c r="E3706" s="101">
        <f t="shared" ca="1" si="211"/>
        <v>0</v>
      </c>
      <c r="F3706" s="21">
        <f t="shared" ca="1" si="212"/>
        <v>0</v>
      </c>
      <c r="H3706" s="21">
        <v>3691</v>
      </c>
      <c r="I3706" s="102">
        <v>0.66774868861658598</v>
      </c>
      <c r="J3706" s="103">
        <v>1.3662508053544442E-3</v>
      </c>
      <c r="K3706" s="103"/>
      <c r="L3706" s="103">
        <v>4.0800000000000003E-2</v>
      </c>
      <c r="O3706" s="100"/>
    </row>
    <row r="3707" spans="2:15" x14ac:dyDescent="0.2">
      <c r="B3707" s="1">
        <v>3692</v>
      </c>
      <c r="C3707" s="101">
        <f ca="1"/>
        <v>1.2635099974547706</v>
      </c>
      <c r="D3707" s="101">
        <f t="shared" ca="1" si="210"/>
        <v>0.75270428687044488</v>
      </c>
      <c r="E3707" s="101">
        <f t="shared" ca="1" si="211"/>
        <v>0</v>
      </c>
      <c r="F3707" s="21">
        <f t="shared" ca="1" si="212"/>
        <v>0</v>
      </c>
      <c r="H3707" s="21">
        <v>3692</v>
      </c>
      <c r="I3707" s="102">
        <v>0.66773828025850712</v>
      </c>
      <c r="J3707" s="103">
        <v>1.3160848227736447E-3</v>
      </c>
      <c r="K3707" s="103"/>
      <c r="L3707" s="103">
        <v>3.9800000000000002E-2</v>
      </c>
      <c r="O3707" s="100"/>
    </row>
    <row r="3708" spans="2:15" x14ac:dyDescent="0.2">
      <c r="B3708" s="1">
        <v>3693</v>
      </c>
      <c r="C3708" s="101">
        <f ca="1"/>
        <v>-0.93998326588888748</v>
      </c>
      <c r="D3708" s="101">
        <f t="shared" ca="1" si="210"/>
        <v>0.6056588904454473</v>
      </c>
      <c r="E3708" s="101">
        <f t="shared" ca="1" si="211"/>
        <v>0</v>
      </c>
      <c r="F3708" s="21">
        <f t="shared" ca="1" si="212"/>
        <v>0</v>
      </c>
      <c r="H3708" s="21">
        <v>3693</v>
      </c>
      <c r="I3708" s="102">
        <v>0.66769107430090457</v>
      </c>
      <c r="J3708" s="103">
        <v>1.3047898105751105E-3</v>
      </c>
      <c r="K3708" s="103"/>
      <c r="L3708" s="103">
        <v>3.9600000000000003E-2</v>
      </c>
      <c r="O3708" s="100"/>
    </row>
    <row r="3709" spans="2:15" x14ac:dyDescent="0.2">
      <c r="B3709" s="1">
        <v>3694</v>
      </c>
      <c r="C3709" s="101">
        <f ca="1"/>
        <v>1.9438436018725171</v>
      </c>
      <c r="D3709" s="101">
        <f t="shared" ca="1" si="210"/>
        <v>0.80495103223886821</v>
      </c>
      <c r="E3709" s="101">
        <f t="shared" ca="1" si="211"/>
        <v>1.6751032238868202E-2</v>
      </c>
      <c r="F3709" s="21">
        <f t="shared" ca="1" si="212"/>
        <v>1</v>
      </c>
      <c r="H3709" s="21">
        <v>3694</v>
      </c>
      <c r="I3709" s="102">
        <v>0.66771948395840008</v>
      </c>
      <c r="J3709" s="103">
        <v>1.4739364338597421E-3</v>
      </c>
      <c r="K3709" s="103"/>
      <c r="L3709" s="103">
        <v>4.1200000000000001E-2</v>
      </c>
      <c r="O3709" s="100"/>
    </row>
    <row r="3710" spans="2:15" x14ac:dyDescent="0.2">
      <c r="B3710" s="1">
        <v>3695</v>
      </c>
      <c r="C3710" s="101">
        <f ca="1"/>
        <v>0.69714201759329153</v>
      </c>
      <c r="D3710" s="101">
        <f t="shared" ca="1" si="210"/>
        <v>0.71180581960606015</v>
      </c>
      <c r="E3710" s="101">
        <f t="shared" ca="1" si="211"/>
        <v>0</v>
      </c>
      <c r="F3710" s="21">
        <f t="shared" ca="1" si="212"/>
        <v>0</v>
      </c>
      <c r="H3710" s="21">
        <v>3695</v>
      </c>
      <c r="I3710" s="102">
        <v>0.66794863238295576</v>
      </c>
      <c r="J3710" s="103">
        <v>1.5979385557935977E-3</v>
      </c>
      <c r="K3710" s="103"/>
      <c r="L3710" s="103">
        <v>4.6600000000000003E-2</v>
      </c>
      <c r="O3710" s="100"/>
    </row>
    <row r="3711" spans="2:15" x14ac:dyDescent="0.2">
      <c r="B3711" s="1">
        <v>3696</v>
      </c>
      <c r="C3711" s="101">
        <f ca="1"/>
        <v>-1.4384187425053909</v>
      </c>
      <c r="D3711" s="101">
        <f t="shared" ca="1" si="210"/>
        <v>0.57660104889893449</v>
      </c>
      <c r="E3711" s="101">
        <f t="shared" ca="1" si="211"/>
        <v>0</v>
      </c>
      <c r="F3711" s="21">
        <f t="shared" ca="1" si="212"/>
        <v>0</v>
      </c>
      <c r="H3711" s="21">
        <v>3696</v>
      </c>
      <c r="I3711" s="102">
        <v>0.66790258482592135</v>
      </c>
      <c r="J3711" s="103">
        <v>1.6381017845849978E-3</v>
      </c>
      <c r="K3711" s="103"/>
      <c r="L3711" s="103">
        <v>4.6199999999999998E-2</v>
      </c>
      <c r="O3711" s="100"/>
    </row>
    <row r="3712" spans="2:15" x14ac:dyDescent="0.2">
      <c r="B3712" s="1">
        <v>3697</v>
      </c>
      <c r="C3712" s="101">
        <f ca="1"/>
        <v>-2.2316197883877651</v>
      </c>
      <c r="D3712" s="101">
        <f t="shared" ca="1" si="210"/>
        <v>0.53320619221727872</v>
      </c>
      <c r="E3712" s="101">
        <f t="shared" ca="1" si="211"/>
        <v>0</v>
      </c>
      <c r="F3712" s="21">
        <f t="shared" ca="1" si="212"/>
        <v>0</v>
      </c>
      <c r="H3712" s="21">
        <v>3697</v>
      </c>
      <c r="I3712" s="102">
        <v>0.66791327489907393</v>
      </c>
      <c r="J3712" s="103">
        <v>1.6379180507053344E-3</v>
      </c>
      <c r="K3712" s="103"/>
      <c r="L3712" s="103">
        <v>4.8599999999999997E-2</v>
      </c>
      <c r="O3712" s="100"/>
    </row>
    <row r="3713" spans="2:15" x14ac:dyDescent="0.2">
      <c r="B3713" s="1">
        <v>3698</v>
      </c>
      <c r="C3713" s="101">
        <f ca="1"/>
        <v>-0.7358595580239482</v>
      </c>
      <c r="D3713" s="101">
        <f t="shared" ca="1" si="210"/>
        <v>0.61797745344862087</v>
      </c>
      <c r="E3713" s="101">
        <f t="shared" ca="1" si="211"/>
        <v>0</v>
      </c>
      <c r="F3713" s="21">
        <f t="shared" ca="1" si="212"/>
        <v>0</v>
      </c>
      <c r="H3713" s="21">
        <v>3698</v>
      </c>
      <c r="I3713" s="102">
        <v>0.66779669948010467</v>
      </c>
      <c r="J3713" s="103">
        <v>1.3417281519053446E-3</v>
      </c>
      <c r="K3713" s="103"/>
      <c r="L3713" s="103">
        <v>4.4600000000000001E-2</v>
      </c>
      <c r="O3713" s="100"/>
    </row>
    <row r="3714" spans="2:15" x14ac:dyDescent="0.2">
      <c r="B3714" s="1">
        <v>3699</v>
      </c>
      <c r="C3714" s="101">
        <f ca="1"/>
        <v>-0.43421327034937901</v>
      </c>
      <c r="D3714" s="101">
        <f t="shared" ca="1" si="210"/>
        <v>0.63664153860118444</v>
      </c>
      <c r="E3714" s="101">
        <f t="shared" ca="1" si="211"/>
        <v>0</v>
      </c>
      <c r="F3714" s="21">
        <f t="shared" ca="1" si="212"/>
        <v>0</v>
      </c>
      <c r="H3714" s="21">
        <v>3699</v>
      </c>
      <c r="I3714" s="102">
        <v>0.66787496379144851</v>
      </c>
      <c r="J3714" s="103">
        <v>1.4894810843303374E-3</v>
      </c>
      <c r="K3714" s="103"/>
      <c r="L3714" s="103">
        <v>4.3400000000000001E-2</v>
      </c>
      <c r="O3714" s="100"/>
    </row>
    <row r="3715" spans="2:15" x14ac:dyDescent="0.2">
      <c r="B3715" s="1">
        <v>3700</v>
      </c>
      <c r="C3715" s="101">
        <f ca="1"/>
        <v>2.3420102020637228</v>
      </c>
      <c r="D3715" s="101">
        <f t="shared" ca="1" si="210"/>
        <v>0.83719509134191372</v>
      </c>
      <c r="E3715" s="101">
        <f t="shared" ca="1" si="211"/>
        <v>4.899509134191371E-2</v>
      </c>
      <c r="F3715" s="21">
        <f t="shared" ca="1" si="212"/>
        <v>1</v>
      </c>
      <c r="H3715" s="21">
        <v>3700</v>
      </c>
      <c r="I3715" s="102">
        <v>0.66780169388825006</v>
      </c>
      <c r="J3715" s="103">
        <v>1.3081790408686381E-3</v>
      </c>
      <c r="K3715" s="103"/>
      <c r="L3715" s="103">
        <v>4.2999999999999997E-2</v>
      </c>
      <c r="O3715" s="100"/>
    </row>
    <row r="3716" spans="2:15" x14ac:dyDescent="0.2">
      <c r="B3716" s="1">
        <v>3701</v>
      </c>
      <c r="C3716" s="101">
        <f ca="1"/>
        <v>0.32278602870789069</v>
      </c>
      <c r="D3716" s="101">
        <f t="shared" ca="1" si="210"/>
        <v>0.68600037741344644</v>
      </c>
      <c r="E3716" s="101">
        <f t="shared" ca="1" si="211"/>
        <v>0</v>
      </c>
      <c r="F3716" s="21">
        <f t="shared" ca="1" si="212"/>
        <v>0</v>
      </c>
      <c r="H3716" s="21">
        <v>3701</v>
      </c>
      <c r="I3716" s="102">
        <v>0.66779765529283552</v>
      </c>
      <c r="J3716" s="103">
        <v>1.3633953059280714E-3</v>
      </c>
      <c r="K3716" s="103"/>
      <c r="L3716" s="103">
        <v>4.3200000000000002E-2</v>
      </c>
      <c r="O3716" s="100"/>
    </row>
    <row r="3717" spans="2:15" x14ac:dyDescent="0.2">
      <c r="B3717" s="1">
        <v>3702</v>
      </c>
      <c r="C3717" s="101">
        <f ca="1"/>
        <v>0.83293252661636896</v>
      </c>
      <c r="D3717" s="101">
        <f t="shared" ca="1" si="210"/>
        <v>0.72140428246700183</v>
      </c>
      <c r="E3717" s="101">
        <f t="shared" ca="1" si="211"/>
        <v>0</v>
      </c>
      <c r="F3717" s="21">
        <f t="shared" ca="1" si="212"/>
        <v>0</v>
      </c>
      <c r="H3717" s="21">
        <v>3702</v>
      </c>
      <c r="I3717" s="102">
        <v>0.66786428187040481</v>
      </c>
      <c r="J3717" s="103">
        <v>1.5035356188829536E-3</v>
      </c>
      <c r="K3717" s="103"/>
      <c r="L3717" s="103">
        <v>4.48E-2</v>
      </c>
      <c r="O3717" s="100"/>
    </row>
    <row r="3718" spans="2:15" x14ac:dyDescent="0.2">
      <c r="B3718" s="1">
        <v>3703</v>
      </c>
      <c r="C3718" s="101">
        <f ca="1"/>
        <v>0.45874861028190944</v>
      </c>
      <c r="D3718" s="101">
        <f t="shared" ca="1" si="210"/>
        <v>0.69526266345312004</v>
      </c>
      <c r="E3718" s="101">
        <f t="shared" ca="1" si="211"/>
        <v>0</v>
      </c>
      <c r="F3718" s="21">
        <f t="shared" ca="1" si="212"/>
        <v>0</v>
      </c>
      <c r="H3718" s="21">
        <v>3703</v>
      </c>
      <c r="I3718" s="102">
        <v>0.66764992172358717</v>
      </c>
      <c r="J3718" s="103">
        <v>1.2411609967173662E-3</v>
      </c>
      <c r="K3718" s="103"/>
      <c r="L3718" s="103">
        <v>3.9399999999999998E-2</v>
      </c>
      <c r="O3718" s="100"/>
    </row>
    <row r="3719" spans="2:15" x14ac:dyDescent="0.2">
      <c r="B3719" s="1">
        <v>3704</v>
      </c>
      <c r="C3719" s="101">
        <f ca="1"/>
        <v>1.0363498626193277</v>
      </c>
      <c r="D3719" s="101">
        <f t="shared" ca="1" si="210"/>
        <v>0.73602571758325541</v>
      </c>
      <c r="E3719" s="101">
        <f t="shared" ca="1" si="211"/>
        <v>0</v>
      </c>
      <c r="F3719" s="21">
        <f t="shared" ca="1" si="212"/>
        <v>0</v>
      </c>
      <c r="H3719" s="21">
        <v>3704</v>
      </c>
      <c r="I3719" s="102">
        <v>0.66788165883303507</v>
      </c>
      <c r="J3719" s="103">
        <v>1.5036860061578335E-3</v>
      </c>
      <c r="K3719" s="103"/>
      <c r="L3719" s="103">
        <v>4.7600000000000003E-2</v>
      </c>
      <c r="O3719" s="100"/>
    </row>
    <row r="3720" spans="2:15" x14ac:dyDescent="0.2">
      <c r="B3720" s="1">
        <v>3705</v>
      </c>
      <c r="C3720" s="101">
        <f ca="1"/>
        <v>-0.33606871954646583</v>
      </c>
      <c r="D3720" s="101">
        <f t="shared" ca="1" si="210"/>
        <v>0.64283486524283329</v>
      </c>
      <c r="E3720" s="101">
        <f t="shared" ca="1" si="211"/>
        <v>0</v>
      </c>
      <c r="F3720" s="21">
        <f t="shared" ca="1" si="212"/>
        <v>0</v>
      </c>
      <c r="H3720" s="21">
        <v>3705</v>
      </c>
      <c r="I3720" s="102">
        <v>0.6677304556207192</v>
      </c>
      <c r="J3720" s="103">
        <v>1.206305217638085E-3</v>
      </c>
      <c r="K3720" s="103"/>
      <c r="L3720" s="103">
        <v>4.2799999999999998E-2</v>
      </c>
      <c r="O3720" s="100"/>
    </row>
    <row r="3721" spans="2:15" x14ac:dyDescent="0.2">
      <c r="B3721" s="1">
        <v>3706</v>
      </c>
      <c r="C3721" s="101">
        <f ca="1"/>
        <v>0.57253555978063053</v>
      </c>
      <c r="D3721" s="101">
        <f t="shared" ca="1" si="210"/>
        <v>0.70311031704201843</v>
      </c>
      <c r="E3721" s="101">
        <f t="shared" ca="1" si="211"/>
        <v>0</v>
      </c>
      <c r="F3721" s="21">
        <f t="shared" ca="1" si="212"/>
        <v>0</v>
      </c>
      <c r="H3721" s="21">
        <v>3706</v>
      </c>
      <c r="I3721" s="102">
        <v>0.66783906964872375</v>
      </c>
      <c r="J3721" s="103">
        <v>1.5321380178464103E-3</v>
      </c>
      <c r="K3721" s="103"/>
      <c r="L3721" s="103">
        <v>4.5999999999999999E-2</v>
      </c>
      <c r="O3721" s="100"/>
    </row>
    <row r="3722" spans="2:15" x14ac:dyDescent="0.2">
      <c r="B3722" s="1">
        <v>3707</v>
      </c>
      <c r="C3722" s="101">
        <f ca="1"/>
        <v>-0.45077294234301524</v>
      </c>
      <c r="D3722" s="101">
        <f t="shared" ca="1" si="210"/>
        <v>0.63560245390743597</v>
      </c>
      <c r="E3722" s="101">
        <f t="shared" ca="1" si="211"/>
        <v>0</v>
      </c>
      <c r="F3722" s="21">
        <f t="shared" ca="1" si="212"/>
        <v>0</v>
      </c>
      <c r="H3722" s="21">
        <v>3707</v>
      </c>
      <c r="I3722" s="102">
        <v>0.66782419156268547</v>
      </c>
      <c r="J3722" s="103">
        <v>1.4243441698981573E-3</v>
      </c>
      <c r="K3722" s="103"/>
      <c r="L3722" s="103">
        <v>4.36E-2</v>
      </c>
      <c r="O3722" s="100"/>
    </row>
    <row r="3723" spans="2:15" x14ac:dyDescent="0.2">
      <c r="B3723" s="1">
        <v>3708</v>
      </c>
      <c r="C3723" s="101">
        <f ca="1"/>
        <v>-0.15154347299171383</v>
      </c>
      <c r="D3723" s="101">
        <f t="shared" ca="1" si="210"/>
        <v>0.65464276309351976</v>
      </c>
      <c r="E3723" s="101">
        <f t="shared" ca="1" si="211"/>
        <v>0</v>
      </c>
      <c r="F3723" s="21">
        <f t="shared" ca="1" si="212"/>
        <v>0</v>
      </c>
      <c r="H3723" s="21">
        <v>3708</v>
      </c>
      <c r="I3723" s="102">
        <v>0.66753167802578883</v>
      </c>
      <c r="J3723" s="103">
        <v>1.0549015932930061E-3</v>
      </c>
      <c r="K3723" s="103"/>
      <c r="L3723" s="103">
        <v>3.5799999999999998E-2</v>
      </c>
      <c r="O3723" s="100"/>
    </row>
    <row r="3724" spans="2:15" x14ac:dyDescent="0.2">
      <c r="B3724" s="1">
        <v>3709</v>
      </c>
      <c r="C3724" s="101">
        <f ca="1"/>
        <v>-0.48451983796198733</v>
      </c>
      <c r="D3724" s="101">
        <f t="shared" ca="1" si="210"/>
        <v>0.63349015367645167</v>
      </c>
      <c r="E3724" s="101">
        <f t="shared" ca="1" si="211"/>
        <v>0</v>
      </c>
      <c r="F3724" s="21">
        <f t="shared" ca="1" si="212"/>
        <v>0</v>
      </c>
      <c r="H3724" s="21">
        <v>3709</v>
      </c>
      <c r="I3724" s="102">
        <v>0.66766955744895085</v>
      </c>
      <c r="J3724" s="103">
        <v>1.1150724992321289E-3</v>
      </c>
      <c r="K3724" s="103"/>
      <c r="L3724" s="103">
        <v>3.7400000000000003E-2</v>
      </c>
      <c r="O3724" s="100"/>
    </row>
    <row r="3725" spans="2:15" x14ac:dyDescent="0.2">
      <c r="B3725" s="1">
        <v>3710</v>
      </c>
      <c r="C3725" s="101">
        <f ca="1"/>
        <v>-0.11281756034513872</v>
      </c>
      <c r="D3725" s="101">
        <f t="shared" ca="1" si="210"/>
        <v>0.65714826475196231</v>
      </c>
      <c r="E3725" s="101">
        <f t="shared" ca="1" si="211"/>
        <v>0</v>
      </c>
      <c r="F3725" s="21">
        <f t="shared" ca="1" si="212"/>
        <v>0</v>
      </c>
      <c r="H3725" s="21">
        <v>3710</v>
      </c>
      <c r="I3725" s="102">
        <v>0.66790496611927486</v>
      </c>
      <c r="J3725" s="103">
        <v>1.5672900480256137E-3</v>
      </c>
      <c r="K3725" s="103"/>
      <c r="L3725" s="103">
        <v>4.4200000000000003E-2</v>
      </c>
      <c r="O3725" s="100"/>
    </row>
    <row r="3726" spans="2:15" x14ac:dyDescent="0.2">
      <c r="B3726" s="1">
        <v>3711</v>
      </c>
      <c r="C3726" s="101">
        <f ca="1"/>
        <v>1.05841168438477</v>
      </c>
      <c r="D3726" s="101">
        <f t="shared" ca="1" si="210"/>
        <v>0.7376292062871237</v>
      </c>
      <c r="E3726" s="101">
        <f t="shared" ca="1" si="211"/>
        <v>0</v>
      </c>
      <c r="F3726" s="21">
        <f t="shared" ca="1" si="212"/>
        <v>0</v>
      </c>
      <c r="H3726" s="21">
        <v>3711</v>
      </c>
      <c r="I3726" s="102">
        <v>0.66761547572729718</v>
      </c>
      <c r="J3726" s="103">
        <v>1.2627378707060642E-3</v>
      </c>
      <c r="K3726" s="103"/>
      <c r="L3726" s="103">
        <v>3.56E-2</v>
      </c>
      <c r="O3726" s="100"/>
    </row>
    <row r="3727" spans="2:15" x14ac:dyDescent="0.2">
      <c r="B3727" s="1">
        <v>3712</v>
      </c>
      <c r="C3727" s="101">
        <f ca="1"/>
        <v>-1.9637269706494143</v>
      </c>
      <c r="D3727" s="101">
        <f t="shared" ca="1" si="210"/>
        <v>0.54748414603232254</v>
      </c>
      <c r="E3727" s="101">
        <f t="shared" ca="1" si="211"/>
        <v>0</v>
      </c>
      <c r="F3727" s="21">
        <f t="shared" ca="1" si="212"/>
        <v>0</v>
      </c>
      <c r="H3727" s="21">
        <v>3712</v>
      </c>
      <c r="I3727" s="102">
        <v>0.66757037852848788</v>
      </c>
      <c r="J3727" s="103">
        <v>1.1309258891051034E-3</v>
      </c>
      <c r="K3727" s="103"/>
      <c r="L3727" s="103">
        <v>3.8800000000000001E-2</v>
      </c>
      <c r="O3727" s="100"/>
    </row>
    <row r="3728" spans="2:15" x14ac:dyDescent="0.2">
      <c r="B3728" s="1">
        <v>3713</v>
      </c>
      <c r="C3728" s="101">
        <f ca="1"/>
        <v>1.0968123138666448</v>
      </c>
      <c r="D3728" s="101">
        <f t="shared" ref="D3728:D3791" ca="1" si="213">S0*EXP((μ-0.5*σ*σ)*T+σ*SQRT(T)*$C3728)</f>
        <v>0.74042856232328225</v>
      </c>
      <c r="E3728" s="101">
        <f t="shared" ref="E3728:E3791" ca="1" si="214">MAX(0,CP*(D3728-K))</f>
        <v>0</v>
      </c>
      <c r="F3728" s="21">
        <f t="shared" ref="F3728:F3791" ca="1" si="215">(CP*(D3728-K)&gt;0)*1</f>
        <v>0</v>
      </c>
      <c r="H3728" s="21">
        <v>3713</v>
      </c>
      <c r="I3728" s="102">
        <v>0.6677830521967657</v>
      </c>
      <c r="J3728" s="103">
        <v>1.4207080781256647E-3</v>
      </c>
      <c r="K3728" s="103"/>
      <c r="L3728" s="103">
        <v>4.3999999999999997E-2</v>
      </c>
      <c r="O3728" s="100"/>
    </row>
    <row r="3729" spans="2:15" x14ac:dyDescent="0.2">
      <c r="B3729" s="1">
        <v>3714</v>
      </c>
      <c r="C3729" s="101">
        <f ca="1"/>
        <v>-0.44949653683628965</v>
      </c>
      <c r="D3729" s="101">
        <f t="shared" ca="1" si="213"/>
        <v>0.63568248531876048</v>
      </c>
      <c r="E3729" s="101">
        <f t="shared" ca="1" si="214"/>
        <v>0</v>
      </c>
      <c r="F3729" s="21">
        <f t="shared" ca="1" si="215"/>
        <v>0</v>
      </c>
      <c r="H3729" s="21">
        <v>3714</v>
      </c>
      <c r="I3729" s="102">
        <v>0.66793014782251736</v>
      </c>
      <c r="J3729" s="103">
        <v>1.443558480509279E-3</v>
      </c>
      <c r="K3729" s="103"/>
      <c r="L3729" s="103">
        <v>4.6399999999999997E-2</v>
      </c>
      <c r="O3729" s="100"/>
    </row>
    <row r="3730" spans="2:15" x14ac:dyDescent="0.2">
      <c r="B3730" s="1">
        <v>3715</v>
      </c>
      <c r="C3730" s="101">
        <f ca="1"/>
        <v>-0.7536235186046083</v>
      </c>
      <c r="D3730" s="101">
        <f t="shared" ca="1" si="213"/>
        <v>0.61689554406176217</v>
      </c>
      <c r="E3730" s="101">
        <f t="shared" ca="1" si="214"/>
        <v>0</v>
      </c>
      <c r="F3730" s="21">
        <f t="shared" ca="1" si="215"/>
        <v>0</v>
      </c>
      <c r="H3730" s="21">
        <v>3715</v>
      </c>
      <c r="I3730" s="102">
        <v>0.66774597341030162</v>
      </c>
      <c r="J3730" s="103">
        <v>1.3555880137052366E-3</v>
      </c>
      <c r="K3730" s="103"/>
      <c r="L3730" s="103">
        <v>4.2999999999999997E-2</v>
      </c>
      <c r="O3730" s="100"/>
    </row>
    <row r="3731" spans="2:15" x14ac:dyDescent="0.2">
      <c r="B3731" s="1">
        <v>3716</v>
      </c>
      <c r="C3731" s="101">
        <f ca="1"/>
        <v>0.78698163133822885</v>
      </c>
      <c r="D3731" s="101">
        <f t="shared" ca="1" si="213"/>
        <v>0.71814180356497137</v>
      </c>
      <c r="E3731" s="101">
        <f t="shared" ca="1" si="214"/>
        <v>0</v>
      </c>
      <c r="F3731" s="21">
        <f t="shared" ca="1" si="215"/>
        <v>0</v>
      </c>
      <c r="H3731" s="21">
        <v>3716</v>
      </c>
      <c r="I3731" s="102">
        <v>0.66768447627499883</v>
      </c>
      <c r="J3731" s="103">
        <v>1.2861002795051923E-3</v>
      </c>
      <c r="K3731" s="103"/>
      <c r="L3731" s="103">
        <v>4.1399999999999999E-2</v>
      </c>
      <c r="O3731" s="100"/>
    </row>
    <row r="3732" spans="2:15" x14ac:dyDescent="0.2">
      <c r="B3732" s="1">
        <v>3717</v>
      </c>
      <c r="C3732" s="101">
        <f ca="1"/>
        <v>1.4563411252503351</v>
      </c>
      <c r="D3732" s="101">
        <f t="shared" ca="1" si="213"/>
        <v>0.76715859677088016</v>
      </c>
      <c r="E3732" s="101">
        <f t="shared" ca="1" si="214"/>
        <v>0</v>
      </c>
      <c r="F3732" s="21">
        <f t="shared" ca="1" si="215"/>
        <v>0</v>
      </c>
      <c r="H3732" s="21">
        <v>3717</v>
      </c>
      <c r="I3732" s="102">
        <v>0.66790521897498334</v>
      </c>
      <c r="J3732" s="103">
        <v>1.5810131719583827E-3</v>
      </c>
      <c r="K3732" s="103"/>
      <c r="L3732" s="103">
        <v>4.4999999999999998E-2</v>
      </c>
      <c r="O3732" s="100"/>
    </row>
    <row r="3733" spans="2:15" x14ac:dyDescent="0.2">
      <c r="B3733" s="1">
        <v>3718</v>
      </c>
      <c r="C3733" s="101">
        <f ca="1"/>
        <v>-2.7962990548297983</v>
      </c>
      <c r="D3733" s="101">
        <f t="shared" ca="1" si="213"/>
        <v>0.50431823631729222</v>
      </c>
      <c r="E3733" s="101">
        <f t="shared" ca="1" si="214"/>
        <v>0</v>
      </c>
      <c r="F3733" s="21">
        <f t="shared" ca="1" si="215"/>
        <v>0</v>
      </c>
      <c r="H3733" s="21">
        <v>3718</v>
      </c>
      <c r="I3733" s="102">
        <v>0.66764554913462748</v>
      </c>
      <c r="J3733" s="103">
        <v>1.2826594889707803E-3</v>
      </c>
      <c r="K3733" s="103"/>
      <c r="L3733" s="103">
        <v>3.9E-2</v>
      </c>
      <c r="O3733" s="100"/>
    </row>
    <row r="3734" spans="2:15" x14ac:dyDescent="0.2">
      <c r="B3734" s="1">
        <v>3719</v>
      </c>
      <c r="C3734" s="101">
        <f ca="1"/>
        <v>-1.246429016871597</v>
      </c>
      <c r="D3734" s="101">
        <f t="shared" ca="1" si="213"/>
        <v>0.58762484488967426</v>
      </c>
      <c r="E3734" s="101">
        <f t="shared" ca="1" si="214"/>
        <v>0</v>
      </c>
      <c r="F3734" s="21">
        <f t="shared" ca="1" si="215"/>
        <v>0</v>
      </c>
      <c r="H3734" s="21">
        <v>3719</v>
      </c>
      <c r="I3734" s="102">
        <v>0.66770589640445965</v>
      </c>
      <c r="J3734" s="103">
        <v>1.3217235045148673E-3</v>
      </c>
      <c r="K3734" s="103"/>
      <c r="L3734" s="103">
        <v>3.8399999999999997E-2</v>
      </c>
      <c r="O3734" s="100"/>
    </row>
    <row r="3735" spans="2:15" x14ac:dyDescent="0.2">
      <c r="B3735" s="1">
        <v>3720</v>
      </c>
      <c r="C3735" s="101">
        <f ca="1"/>
        <v>-1.6864262027148671</v>
      </c>
      <c r="D3735" s="101">
        <f t="shared" ca="1" si="213"/>
        <v>0.56266634771919455</v>
      </c>
      <c r="E3735" s="101">
        <f t="shared" ca="1" si="214"/>
        <v>0</v>
      </c>
      <c r="F3735" s="21">
        <f t="shared" ca="1" si="215"/>
        <v>0</v>
      </c>
      <c r="H3735" s="21">
        <v>3720</v>
      </c>
      <c r="I3735" s="102">
        <v>0.66762014473776099</v>
      </c>
      <c r="J3735" s="103">
        <v>1.1965921604212902E-3</v>
      </c>
      <c r="K3735" s="103"/>
      <c r="L3735" s="103">
        <v>3.7999999999999999E-2</v>
      </c>
      <c r="O3735" s="100"/>
    </row>
    <row r="3736" spans="2:15" x14ac:dyDescent="0.2">
      <c r="B3736" s="1">
        <v>3721</v>
      </c>
      <c r="C3736" s="101">
        <f ca="1"/>
        <v>-1.2906659707865544</v>
      </c>
      <c r="D3736" s="101">
        <f t="shared" ca="1" si="213"/>
        <v>0.58506627627986951</v>
      </c>
      <c r="E3736" s="101">
        <f t="shared" ca="1" si="214"/>
        <v>0</v>
      </c>
      <c r="F3736" s="21">
        <f t="shared" ca="1" si="215"/>
        <v>0</v>
      </c>
      <c r="H3736" s="21">
        <v>3721</v>
      </c>
      <c r="I3736" s="102">
        <v>0.66777564638445319</v>
      </c>
      <c r="J3736" s="103">
        <v>1.4540598410178261E-3</v>
      </c>
      <c r="K3736" s="103"/>
      <c r="L3736" s="103">
        <v>4.1799999999999997E-2</v>
      </c>
      <c r="O3736" s="100"/>
    </row>
    <row r="3737" spans="2:15" x14ac:dyDescent="0.2">
      <c r="B3737" s="1">
        <v>3722</v>
      </c>
      <c r="C3737" s="101">
        <f ca="1"/>
        <v>-0.64828619582008695</v>
      </c>
      <c r="D3737" s="101">
        <f t="shared" ca="1" si="213"/>
        <v>0.62333888418401284</v>
      </c>
      <c r="E3737" s="101">
        <f t="shared" ca="1" si="214"/>
        <v>0</v>
      </c>
      <c r="F3737" s="21">
        <f t="shared" ca="1" si="215"/>
        <v>0</v>
      </c>
      <c r="H3737" s="21">
        <v>3722</v>
      </c>
      <c r="I3737" s="102">
        <v>0.66781700116429943</v>
      </c>
      <c r="J3737" s="103">
        <v>1.301931064799327E-3</v>
      </c>
      <c r="K3737" s="103"/>
      <c r="L3737" s="103">
        <v>4.1399999999999999E-2</v>
      </c>
      <c r="O3737" s="100"/>
    </row>
    <row r="3738" spans="2:15" x14ac:dyDescent="0.2">
      <c r="B3738" s="1">
        <v>3723</v>
      </c>
      <c r="C3738" s="101">
        <f ca="1"/>
        <v>1.8545627072728206</v>
      </c>
      <c r="D3738" s="101">
        <f t="shared" ca="1" si="213"/>
        <v>0.79789312526600387</v>
      </c>
      <c r="E3738" s="101">
        <f t="shared" ca="1" si="214"/>
        <v>9.6931252660038547E-3</v>
      </c>
      <c r="F3738" s="21">
        <f t="shared" ca="1" si="215"/>
        <v>1</v>
      </c>
      <c r="H3738" s="21">
        <v>3723</v>
      </c>
      <c r="I3738" s="102">
        <v>0.66779605593525859</v>
      </c>
      <c r="J3738" s="103">
        <v>1.4583376647917187E-3</v>
      </c>
      <c r="K3738" s="103"/>
      <c r="L3738" s="103">
        <v>4.6399999999999997E-2</v>
      </c>
      <c r="O3738" s="100"/>
    </row>
    <row r="3739" spans="2:15" x14ac:dyDescent="0.2">
      <c r="B3739" s="1">
        <v>3724</v>
      </c>
      <c r="C3739" s="101">
        <f ca="1"/>
        <v>0.23889163807302274</v>
      </c>
      <c r="D3739" s="101">
        <f t="shared" ca="1" si="213"/>
        <v>0.68034683797028006</v>
      </c>
      <c r="E3739" s="101">
        <f t="shared" ca="1" si="214"/>
        <v>0</v>
      </c>
      <c r="F3739" s="21">
        <f t="shared" ca="1" si="215"/>
        <v>0</v>
      </c>
      <c r="H3739" s="21">
        <v>3724</v>
      </c>
      <c r="I3739" s="102">
        <v>0.66780170631410873</v>
      </c>
      <c r="J3739" s="103">
        <v>1.4536957361854996E-3</v>
      </c>
      <c r="K3739" s="103"/>
      <c r="L3739" s="103">
        <v>4.4200000000000003E-2</v>
      </c>
      <c r="O3739" s="100"/>
    </row>
    <row r="3740" spans="2:15" x14ac:dyDescent="0.2">
      <c r="B3740" s="1">
        <v>3725</v>
      </c>
      <c r="C3740" s="101">
        <f ca="1"/>
        <v>-8.8063417920390893E-2</v>
      </c>
      <c r="D3740" s="101">
        <f t="shared" ca="1" si="213"/>
        <v>0.65875483783152244</v>
      </c>
      <c r="E3740" s="101">
        <f t="shared" ca="1" si="214"/>
        <v>0</v>
      </c>
      <c r="F3740" s="21">
        <f t="shared" ca="1" si="215"/>
        <v>0</v>
      </c>
      <c r="H3740" s="21">
        <v>3725</v>
      </c>
      <c r="I3740" s="102">
        <v>0.66775872615683496</v>
      </c>
      <c r="J3740" s="103">
        <v>1.4286521557809568E-3</v>
      </c>
      <c r="K3740" s="103"/>
      <c r="L3740" s="103">
        <v>4.1200000000000001E-2</v>
      </c>
      <c r="O3740" s="100"/>
    </row>
    <row r="3741" spans="2:15" x14ac:dyDescent="0.2">
      <c r="B3741" s="1">
        <v>3726</v>
      </c>
      <c r="C3741" s="101">
        <f ca="1"/>
        <v>0.81466977472494484</v>
      </c>
      <c r="D3741" s="101">
        <f t="shared" ca="1" si="213"/>
        <v>0.72010586989478076</v>
      </c>
      <c r="E3741" s="101">
        <f t="shared" ca="1" si="214"/>
        <v>0</v>
      </c>
      <c r="F3741" s="21">
        <f t="shared" ca="1" si="215"/>
        <v>0</v>
      </c>
      <c r="H3741" s="21">
        <v>3726</v>
      </c>
      <c r="I3741" s="102">
        <v>0.66781622760620774</v>
      </c>
      <c r="J3741" s="103">
        <v>1.4010566310029325E-3</v>
      </c>
      <c r="K3741" s="103"/>
      <c r="L3741" s="103">
        <v>4.2200000000000001E-2</v>
      </c>
      <c r="O3741" s="100"/>
    </row>
    <row r="3742" spans="2:15" x14ac:dyDescent="0.2">
      <c r="B3742" s="1">
        <v>3727</v>
      </c>
      <c r="C3742" s="101">
        <f ca="1"/>
        <v>-1.2477216711372419</v>
      </c>
      <c r="D3742" s="101">
        <f t="shared" ca="1" si="213"/>
        <v>0.58754992213339929</v>
      </c>
      <c r="E3742" s="101">
        <f t="shared" ca="1" si="214"/>
        <v>0</v>
      </c>
      <c r="F3742" s="21">
        <f t="shared" ca="1" si="215"/>
        <v>0</v>
      </c>
      <c r="H3742" s="21">
        <v>3727</v>
      </c>
      <c r="I3742" s="102">
        <v>0.66774838818787985</v>
      </c>
      <c r="J3742" s="103">
        <v>1.4119981367989173E-3</v>
      </c>
      <c r="K3742" s="103"/>
      <c r="L3742" s="103">
        <v>4.1599999999999998E-2</v>
      </c>
      <c r="O3742" s="100"/>
    </row>
    <row r="3743" spans="2:15" x14ac:dyDescent="0.2">
      <c r="B3743" s="1">
        <v>3728</v>
      </c>
      <c r="C3743" s="101">
        <f ca="1"/>
        <v>-0.1007277024065</v>
      </c>
      <c r="D3743" s="101">
        <f t="shared" ca="1" si="213"/>
        <v>0.65793242071726354</v>
      </c>
      <c r="E3743" s="101">
        <f t="shared" ca="1" si="214"/>
        <v>0</v>
      </c>
      <c r="F3743" s="21">
        <f t="shared" ca="1" si="215"/>
        <v>0</v>
      </c>
      <c r="H3743" s="21">
        <v>3728</v>
      </c>
      <c r="I3743" s="102">
        <v>0.66756238967418646</v>
      </c>
      <c r="J3743" s="103">
        <v>1.1464883964163199E-3</v>
      </c>
      <c r="K3743" s="103"/>
      <c r="L3743" s="103">
        <v>3.6400000000000002E-2</v>
      </c>
      <c r="O3743" s="100"/>
    </row>
    <row r="3744" spans="2:15" x14ac:dyDescent="0.2">
      <c r="B3744" s="1">
        <v>3729</v>
      </c>
      <c r="C3744" s="101">
        <f ca="1"/>
        <v>0.2721921033764344</v>
      </c>
      <c r="D3744" s="101">
        <f t="shared" ca="1" si="213"/>
        <v>0.68258531712344372</v>
      </c>
      <c r="E3744" s="101">
        <f t="shared" ca="1" si="214"/>
        <v>0</v>
      </c>
      <c r="F3744" s="21">
        <f t="shared" ca="1" si="215"/>
        <v>0</v>
      </c>
      <c r="H3744" s="21">
        <v>3729</v>
      </c>
      <c r="I3744" s="102">
        <v>0.66773709545242377</v>
      </c>
      <c r="J3744" s="103">
        <v>1.2524783828500824E-3</v>
      </c>
      <c r="K3744" s="103"/>
      <c r="L3744" s="103">
        <v>4.1799999999999997E-2</v>
      </c>
      <c r="O3744" s="100"/>
    </row>
    <row r="3745" spans="2:15" x14ac:dyDescent="0.2">
      <c r="B3745" s="1">
        <v>3730</v>
      </c>
      <c r="C3745" s="101">
        <f ca="1"/>
        <v>-0.33897598362813824</v>
      </c>
      <c r="D3745" s="101">
        <f t="shared" ca="1" si="213"/>
        <v>0.64265054181614178</v>
      </c>
      <c r="E3745" s="101">
        <f t="shared" ca="1" si="214"/>
        <v>0</v>
      </c>
      <c r="F3745" s="21">
        <f t="shared" ca="1" si="215"/>
        <v>0</v>
      </c>
      <c r="H3745" s="21">
        <v>3730</v>
      </c>
      <c r="I3745" s="102">
        <v>0.66770844850641198</v>
      </c>
      <c r="J3745" s="103">
        <v>1.3856876530399065E-3</v>
      </c>
      <c r="K3745" s="103"/>
      <c r="L3745" s="103">
        <v>4.2999999999999997E-2</v>
      </c>
      <c r="O3745" s="100"/>
    </row>
    <row r="3746" spans="2:15" x14ac:dyDescent="0.2">
      <c r="B3746" s="1">
        <v>3731</v>
      </c>
      <c r="C3746" s="101">
        <f ca="1"/>
        <v>-5.3624754603198696E-2</v>
      </c>
      <c r="D3746" s="101">
        <f t="shared" ca="1" si="213"/>
        <v>0.66099648305370018</v>
      </c>
      <c r="E3746" s="101">
        <f t="shared" ca="1" si="214"/>
        <v>0</v>
      </c>
      <c r="F3746" s="21">
        <f t="shared" ca="1" si="215"/>
        <v>0</v>
      </c>
      <c r="H3746" s="21">
        <v>3731</v>
      </c>
      <c r="I3746" s="102">
        <v>0.66779317970030894</v>
      </c>
      <c r="J3746" s="103">
        <v>1.4099719249841738E-3</v>
      </c>
      <c r="K3746" s="103"/>
      <c r="L3746" s="103">
        <v>4.7E-2</v>
      </c>
      <c r="O3746" s="100"/>
    </row>
    <row r="3747" spans="2:15" x14ac:dyDescent="0.2">
      <c r="B3747" s="1">
        <v>3732</v>
      </c>
      <c r="C3747" s="101">
        <f ca="1"/>
        <v>1.2933630961313536</v>
      </c>
      <c r="D3747" s="101">
        <f t="shared" ca="1" si="213"/>
        <v>0.75492407900239644</v>
      </c>
      <c r="E3747" s="101">
        <f t="shared" ca="1" si="214"/>
        <v>0</v>
      </c>
      <c r="F3747" s="21">
        <f t="shared" ca="1" si="215"/>
        <v>0</v>
      </c>
      <c r="H3747" s="21">
        <v>3732</v>
      </c>
      <c r="I3747" s="102">
        <v>0.66775661817264842</v>
      </c>
      <c r="J3747" s="103">
        <v>1.2769923204660027E-3</v>
      </c>
      <c r="K3747" s="103"/>
      <c r="L3747" s="103">
        <v>4.24E-2</v>
      </c>
      <c r="O3747" s="100"/>
    </row>
    <row r="3748" spans="2:15" x14ac:dyDescent="0.2">
      <c r="B3748" s="1">
        <v>3733</v>
      </c>
      <c r="C3748" s="101">
        <f ca="1"/>
        <v>-1.6972983926435581</v>
      </c>
      <c r="D3748" s="101">
        <f t="shared" ca="1" si="213"/>
        <v>0.56206324121174189</v>
      </c>
      <c r="E3748" s="101">
        <f t="shared" ca="1" si="214"/>
        <v>0</v>
      </c>
      <c r="F3748" s="21">
        <f t="shared" ca="1" si="215"/>
        <v>0</v>
      </c>
      <c r="H3748" s="21">
        <v>3733</v>
      </c>
      <c r="I3748" s="102">
        <v>0.66787277124173083</v>
      </c>
      <c r="J3748" s="103">
        <v>1.3712705721408897E-3</v>
      </c>
      <c r="K3748" s="103"/>
      <c r="L3748" s="103">
        <v>4.5600000000000002E-2</v>
      </c>
      <c r="O3748" s="100"/>
    </row>
    <row r="3749" spans="2:15" x14ac:dyDescent="0.2">
      <c r="B3749" s="1">
        <v>3734</v>
      </c>
      <c r="C3749" s="101">
        <f ca="1"/>
        <v>-0.14520212605732999</v>
      </c>
      <c r="D3749" s="101">
        <f t="shared" ca="1" si="213"/>
        <v>0.65505238259313314</v>
      </c>
      <c r="E3749" s="101">
        <f t="shared" ca="1" si="214"/>
        <v>0</v>
      </c>
      <c r="F3749" s="21">
        <f t="shared" ca="1" si="215"/>
        <v>0</v>
      </c>
      <c r="H3749" s="21">
        <v>3734</v>
      </c>
      <c r="I3749" s="102">
        <v>0.66780711037331397</v>
      </c>
      <c r="J3749" s="103">
        <v>1.4629770954363546E-3</v>
      </c>
      <c r="K3749" s="103"/>
      <c r="L3749" s="103">
        <v>4.4600000000000001E-2</v>
      </c>
      <c r="O3749" s="100"/>
    </row>
    <row r="3750" spans="2:15" x14ac:dyDescent="0.2">
      <c r="B3750" s="1">
        <v>3735</v>
      </c>
      <c r="C3750" s="101">
        <f ca="1"/>
        <v>-0.43956617391590419</v>
      </c>
      <c r="D3750" s="101">
        <f t="shared" ca="1" si="213"/>
        <v>0.63630546945771405</v>
      </c>
      <c r="E3750" s="101">
        <f t="shared" ca="1" si="214"/>
        <v>0</v>
      </c>
      <c r="F3750" s="21">
        <f t="shared" ca="1" si="215"/>
        <v>0</v>
      </c>
      <c r="H3750" s="21">
        <v>3735</v>
      </c>
      <c r="I3750" s="102">
        <v>0.66777726414647964</v>
      </c>
      <c r="J3750" s="103">
        <v>1.3881552962162387E-3</v>
      </c>
      <c r="K3750" s="103"/>
      <c r="L3750" s="103">
        <v>4.1200000000000001E-2</v>
      </c>
      <c r="O3750" s="100"/>
    </row>
    <row r="3751" spans="2:15" x14ac:dyDescent="0.2">
      <c r="B3751" s="1">
        <v>3736</v>
      </c>
      <c r="C3751" s="101">
        <f ca="1"/>
        <v>1.6360388962665955</v>
      </c>
      <c r="D3751" s="101">
        <f t="shared" ca="1" si="213"/>
        <v>0.78087819847028184</v>
      </c>
      <c r="E3751" s="101">
        <f t="shared" ca="1" si="214"/>
        <v>0</v>
      </c>
      <c r="F3751" s="21">
        <f t="shared" ca="1" si="215"/>
        <v>0</v>
      </c>
      <c r="H3751" s="21">
        <v>3736</v>
      </c>
      <c r="I3751" s="102">
        <v>0.66783465314018819</v>
      </c>
      <c r="J3751" s="103">
        <v>1.3039914900362698E-3</v>
      </c>
      <c r="K3751" s="103"/>
      <c r="L3751" s="103">
        <v>4.2599999999999999E-2</v>
      </c>
      <c r="O3751" s="100"/>
    </row>
    <row r="3752" spans="2:15" x14ac:dyDescent="0.2">
      <c r="B3752" s="1">
        <v>3737</v>
      </c>
      <c r="C3752" s="101">
        <f ca="1"/>
        <v>0.64342857667665387</v>
      </c>
      <c r="D3752" s="101">
        <f t="shared" ca="1" si="213"/>
        <v>0.70804438607134057</v>
      </c>
      <c r="E3752" s="101">
        <f t="shared" ca="1" si="214"/>
        <v>0</v>
      </c>
      <c r="F3752" s="21">
        <f t="shared" ca="1" si="215"/>
        <v>0</v>
      </c>
      <c r="H3752" s="21">
        <v>3737</v>
      </c>
      <c r="I3752" s="102">
        <v>0.66785212838391539</v>
      </c>
      <c r="J3752" s="103">
        <v>1.482759304949692E-3</v>
      </c>
      <c r="K3752" s="103"/>
      <c r="L3752" s="103">
        <v>4.5400000000000003E-2</v>
      </c>
      <c r="O3752" s="100"/>
    </row>
    <row r="3753" spans="2:15" x14ac:dyDescent="0.2">
      <c r="B3753" s="1">
        <v>3738</v>
      </c>
      <c r="C3753" s="101">
        <f ca="1"/>
        <v>1.2777017058635307</v>
      </c>
      <c r="D3753" s="101">
        <f t="shared" ca="1" si="213"/>
        <v>0.75375872714838987</v>
      </c>
      <c r="E3753" s="101">
        <f t="shared" ca="1" si="214"/>
        <v>0</v>
      </c>
      <c r="F3753" s="21">
        <f t="shared" ca="1" si="215"/>
        <v>0</v>
      </c>
      <c r="H3753" s="21">
        <v>3738</v>
      </c>
      <c r="I3753" s="102">
        <v>0.66767978955057183</v>
      </c>
      <c r="J3753" s="103">
        <v>1.2245145541597098E-3</v>
      </c>
      <c r="K3753" s="103"/>
      <c r="L3753" s="103">
        <v>3.7999999999999999E-2</v>
      </c>
      <c r="O3753" s="100"/>
    </row>
    <row r="3754" spans="2:15" x14ac:dyDescent="0.2">
      <c r="B3754" s="1">
        <v>3739</v>
      </c>
      <c r="C3754" s="101">
        <f ca="1"/>
        <v>-0.75214398601111976</v>
      </c>
      <c r="D3754" s="101">
        <f t="shared" ca="1" si="213"/>
        <v>0.61698558225309064</v>
      </c>
      <c r="E3754" s="101">
        <f t="shared" ca="1" si="214"/>
        <v>0</v>
      </c>
      <c r="F3754" s="21">
        <f t="shared" ca="1" si="215"/>
        <v>0</v>
      </c>
      <c r="H3754" s="21">
        <v>3739</v>
      </c>
      <c r="I3754" s="102">
        <v>0.66769496256808247</v>
      </c>
      <c r="J3754" s="103">
        <v>1.3938275989381812E-3</v>
      </c>
      <c r="K3754" s="103"/>
      <c r="L3754" s="103">
        <v>4.0599999999999997E-2</v>
      </c>
      <c r="O3754" s="100"/>
    </row>
    <row r="3755" spans="2:15" x14ac:dyDescent="0.2">
      <c r="B3755" s="1">
        <v>3740</v>
      </c>
      <c r="C3755" s="101">
        <f ca="1"/>
        <v>0.65406103126036252</v>
      </c>
      <c r="D3755" s="101">
        <f t="shared" ca="1" si="213"/>
        <v>0.70878737216374121</v>
      </c>
      <c r="E3755" s="101">
        <f t="shared" ca="1" si="214"/>
        <v>0</v>
      </c>
      <c r="F3755" s="21">
        <f t="shared" ca="1" si="215"/>
        <v>0</v>
      </c>
      <c r="H3755" s="21">
        <v>3740</v>
      </c>
      <c r="I3755" s="102">
        <v>0.66771412099596261</v>
      </c>
      <c r="J3755" s="103">
        <v>1.4495842568890787E-3</v>
      </c>
      <c r="K3755" s="103"/>
      <c r="L3755" s="103">
        <v>4.3200000000000002E-2</v>
      </c>
      <c r="O3755" s="100"/>
    </row>
    <row r="3756" spans="2:15" x14ac:dyDescent="0.2">
      <c r="B3756" s="1">
        <v>3741</v>
      </c>
      <c r="C3756" s="101">
        <f ca="1"/>
        <v>-0.27720435288301198</v>
      </c>
      <c r="D3756" s="101">
        <f t="shared" ca="1" si="213"/>
        <v>0.64657831722268877</v>
      </c>
      <c r="E3756" s="101">
        <f t="shared" ca="1" si="214"/>
        <v>0</v>
      </c>
      <c r="F3756" s="21">
        <f t="shared" ca="1" si="215"/>
        <v>0</v>
      </c>
      <c r="H3756" s="21">
        <v>3741</v>
      </c>
      <c r="I3756" s="102">
        <v>0.66778793988997998</v>
      </c>
      <c r="J3756" s="103">
        <v>1.4098454500463588E-3</v>
      </c>
      <c r="K3756" s="103"/>
      <c r="L3756" s="103">
        <v>4.1200000000000001E-2</v>
      </c>
      <c r="O3756" s="100"/>
    </row>
    <row r="3757" spans="2:15" x14ac:dyDescent="0.2">
      <c r="B3757" s="1">
        <v>3742</v>
      </c>
      <c r="C3757" s="101">
        <f ca="1"/>
        <v>-0.57666933371884332</v>
      </c>
      <c r="D3757" s="101">
        <f t="shared" ca="1" si="213"/>
        <v>0.62775797902697217</v>
      </c>
      <c r="E3757" s="101">
        <f t="shared" ca="1" si="214"/>
        <v>0</v>
      </c>
      <c r="F3757" s="21">
        <f t="shared" ca="1" si="215"/>
        <v>0</v>
      </c>
      <c r="H3757" s="21">
        <v>3742</v>
      </c>
      <c r="I3757" s="102">
        <v>0.66772535236024189</v>
      </c>
      <c r="J3757" s="103">
        <v>1.3898741639608403E-3</v>
      </c>
      <c r="K3757" s="103"/>
      <c r="L3757" s="103">
        <v>3.8600000000000002E-2</v>
      </c>
      <c r="O3757" s="100"/>
    </row>
    <row r="3758" spans="2:15" x14ac:dyDescent="0.2">
      <c r="B3758" s="1">
        <v>3743</v>
      </c>
      <c r="C3758" s="101">
        <f ca="1"/>
        <v>-0.238892256276967</v>
      </c>
      <c r="D3758" s="101">
        <f t="shared" ca="1" si="213"/>
        <v>0.64902646059520919</v>
      </c>
      <c r="E3758" s="101">
        <f t="shared" ca="1" si="214"/>
        <v>0</v>
      </c>
      <c r="F3758" s="21">
        <f t="shared" ca="1" si="215"/>
        <v>0</v>
      </c>
      <c r="H3758" s="21">
        <v>3743</v>
      </c>
      <c r="I3758" s="102">
        <v>0.66772283151165623</v>
      </c>
      <c r="J3758" s="103">
        <v>1.2968517978825603E-3</v>
      </c>
      <c r="K3758" s="103"/>
      <c r="L3758" s="103">
        <v>3.9600000000000003E-2</v>
      </c>
      <c r="O3758" s="100"/>
    </row>
    <row r="3759" spans="2:15" x14ac:dyDescent="0.2">
      <c r="B3759" s="1">
        <v>3744</v>
      </c>
      <c r="C3759" s="101">
        <f ca="1"/>
        <v>0.83017421669266533</v>
      </c>
      <c r="D3759" s="101">
        <f t="shared" ca="1" si="213"/>
        <v>0.72120802707487119</v>
      </c>
      <c r="E3759" s="101">
        <f t="shared" ca="1" si="214"/>
        <v>0</v>
      </c>
      <c r="F3759" s="21">
        <f t="shared" ca="1" si="215"/>
        <v>0</v>
      </c>
      <c r="H3759" s="21">
        <v>3744</v>
      </c>
      <c r="I3759" s="102">
        <v>0.66764571262446448</v>
      </c>
      <c r="J3759" s="103">
        <v>1.134377300633975E-3</v>
      </c>
      <c r="K3759" s="103"/>
      <c r="L3759" s="103">
        <v>4.2599999999999999E-2</v>
      </c>
      <c r="O3759" s="100"/>
    </row>
    <row r="3760" spans="2:15" x14ac:dyDescent="0.2">
      <c r="B3760" s="1">
        <v>3745</v>
      </c>
      <c r="C3760" s="101">
        <f ca="1"/>
        <v>-0.87359352023197656</v>
      </c>
      <c r="D3760" s="101">
        <f t="shared" ca="1" si="213"/>
        <v>0.60963822841704374</v>
      </c>
      <c r="E3760" s="101">
        <f t="shared" ca="1" si="214"/>
        <v>0</v>
      </c>
      <c r="F3760" s="21">
        <f t="shared" ca="1" si="215"/>
        <v>0</v>
      </c>
      <c r="H3760" s="21">
        <v>3745</v>
      </c>
      <c r="I3760" s="102">
        <v>0.66785629978735417</v>
      </c>
      <c r="J3760" s="103">
        <v>1.4196755196800599E-3</v>
      </c>
      <c r="K3760" s="103"/>
      <c r="L3760" s="103">
        <v>4.4400000000000002E-2</v>
      </c>
      <c r="O3760" s="100"/>
    </row>
    <row r="3761" spans="2:15" x14ac:dyDescent="0.2">
      <c r="B3761" s="1">
        <v>3746</v>
      </c>
      <c r="C3761" s="101">
        <f ca="1"/>
        <v>0.96258117236181573</v>
      </c>
      <c r="D3761" s="101">
        <f t="shared" ca="1" si="213"/>
        <v>0.73068936129205286</v>
      </c>
      <c r="E3761" s="101">
        <f t="shared" ca="1" si="214"/>
        <v>0</v>
      </c>
      <c r="F3761" s="21">
        <f t="shared" ca="1" si="215"/>
        <v>0</v>
      </c>
      <c r="H3761" s="21">
        <v>3746</v>
      </c>
      <c r="I3761" s="102">
        <v>0.667811950944869</v>
      </c>
      <c r="J3761" s="103">
        <v>1.5263558383419283E-3</v>
      </c>
      <c r="K3761" s="103"/>
      <c r="L3761" s="103">
        <v>4.3400000000000001E-2</v>
      </c>
      <c r="O3761" s="100"/>
    </row>
    <row r="3762" spans="2:15" x14ac:dyDescent="0.2">
      <c r="B3762" s="1">
        <v>3747</v>
      </c>
      <c r="C3762" s="101">
        <f ca="1"/>
        <v>0.35895794751151178</v>
      </c>
      <c r="D3762" s="101">
        <f t="shared" ca="1" si="213"/>
        <v>0.6884524302513938</v>
      </c>
      <c r="E3762" s="101">
        <f t="shared" ca="1" si="214"/>
        <v>0</v>
      </c>
      <c r="F3762" s="21">
        <f t="shared" ca="1" si="215"/>
        <v>0</v>
      </c>
      <c r="H3762" s="21">
        <v>3747</v>
      </c>
      <c r="I3762" s="102">
        <v>0.66780389989911904</v>
      </c>
      <c r="J3762" s="103">
        <v>1.4262553427729498E-3</v>
      </c>
      <c r="K3762" s="103"/>
      <c r="L3762" s="103">
        <v>4.36E-2</v>
      </c>
      <c r="O3762" s="100"/>
    </row>
    <row r="3763" spans="2:15" x14ac:dyDescent="0.2">
      <c r="B3763" s="1">
        <v>3748</v>
      </c>
      <c r="C3763" s="101">
        <f ca="1"/>
        <v>0.64508629962617681</v>
      </c>
      <c r="D3763" s="101">
        <f t="shared" ca="1" si="213"/>
        <v>0.70816017494855232</v>
      </c>
      <c r="E3763" s="101">
        <f t="shared" ca="1" si="214"/>
        <v>0</v>
      </c>
      <c r="F3763" s="21">
        <f t="shared" ca="1" si="215"/>
        <v>0</v>
      </c>
      <c r="H3763" s="21">
        <v>3748</v>
      </c>
      <c r="I3763" s="102">
        <v>0.66775077592006959</v>
      </c>
      <c r="J3763" s="103">
        <v>1.349529739212936E-3</v>
      </c>
      <c r="K3763" s="103"/>
      <c r="L3763" s="103">
        <v>4.4600000000000001E-2</v>
      </c>
      <c r="O3763" s="100"/>
    </row>
    <row r="3764" spans="2:15" x14ac:dyDescent="0.2">
      <c r="B3764" s="1">
        <v>3749</v>
      </c>
      <c r="C3764" s="101">
        <f ca="1"/>
        <v>4.7602726707052859E-2</v>
      </c>
      <c r="D3764" s="101">
        <f t="shared" ca="1" si="213"/>
        <v>0.66762973581011698</v>
      </c>
      <c r="E3764" s="101">
        <f t="shared" ca="1" si="214"/>
        <v>0</v>
      </c>
      <c r="F3764" s="21">
        <f t="shared" ca="1" si="215"/>
        <v>0</v>
      </c>
      <c r="H3764" s="21">
        <v>3749</v>
      </c>
      <c r="I3764" s="102">
        <v>0.66772456414653858</v>
      </c>
      <c r="J3764" s="103">
        <v>1.3561609817222984E-3</v>
      </c>
      <c r="K3764" s="103"/>
      <c r="L3764" s="103">
        <v>4.4200000000000003E-2</v>
      </c>
      <c r="O3764" s="100"/>
    </row>
    <row r="3765" spans="2:15" x14ac:dyDescent="0.2">
      <c r="B3765" s="1">
        <v>3750</v>
      </c>
      <c r="C3765" s="101">
        <f ca="1"/>
        <v>0.50043387766353431</v>
      </c>
      <c r="D3765" s="101">
        <f t="shared" ca="1" si="213"/>
        <v>0.6981273927634114</v>
      </c>
      <c r="E3765" s="101">
        <f t="shared" ca="1" si="214"/>
        <v>0</v>
      </c>
      <c r="F3765" s="21">
        <f t="shared" ca="1" si="215"/>
        <v>0</v>
      </c>
      <c r="H3765" s="21">
        <v>3750</v>
      </c>
      <c r="I3765" s="102">
        <v>0.66761814161619515</v>
      </c>
      <c r="J3765" s="103">
        <v>1.2306945219206938E-3</v>
      </c>
      <c r="K3765" s="103"/>
      <c r="L3765" s="103">
        <v>3.9199999999999999E-2</v>
      </c>
      <c r="O3765" s="100"/>
    </row>
    <row r="3766" spans="2:15" x14ac:dyDescent="0.2">
      <c r="B3766" s="1">
        <v>3751</v>
      </c>
      <c r="C3766" s="101">
        <f ca="1"/>
        <v>0.51563092562611812</v>
      </c>
      <c r="D3766" s="101">
        <f t="shared" ca="1" si="213"/>
        <v>0.69917471028782219</v>
      </c>
      <c r="E3766" s="101">
        <f t="shared" ca="1" si="214"/>
        <v>0</v>
      </c>
      <c r="F3766" s="21">
        <f t="shared" ca="1" si="215"/>
        <v>0</v>
      </c>
      <c r="H3766" s="21">
        <v>3751</v>
      </c>
      <c r="I3766" s="102">
        <v>0.66782554408450912</v>
      </c>
      <c r="J3766" s="103">
        <v>1.3828179021962159E-3</v>
      </c>
      <c r="K3766" s="103"/>
      <c r="L3766" s="103">
        <v>4.02E-2</v>
      </c>
      <c r="O3766" s="100"/>
    </row>
    <row r="3767" spans="2:15" x14ac:dyDescent="0.2">
      <c r="B3767" s="1">
        <v>3752</v>
      </c>
      <c r="C3767" s="101">
        <f ca="1"/>
        <v>0.75675068539964574</v>
      </c>
      <c r="D3767" s="101">
        <f t="shared" ca="1" si="213"/>
        <v>0.71600347977004519</v>
      </c>
      <c r="E3767" s="101">
        <f t="shared" ca="1" si="214"/>
        <v>0</v>
      </c>
      <c r="F3767" s="21">
        <f t="shared" ca="1" si="215"/>
        <v>0</v>
      </c>
      <c r="H3767" s="21">
        <v>3752</v>
      </c>
      <c r="I3767" s="102">
        <v>0.66780064089132463</v>
      </c>
      <c r="J3767" s="103">
        <v>1.3407646893666971E-3</v>
      </c>
      <c r="K3767" s="103"/>
      <c r="L3767" s="103">
        <v>4.1399999999999999E-2</v>
      </c>
      <c r="O3767" s="100"/>
    </row>
    <row r="3768" spans="2:15" x14ac:dyDescent="0.2">
      <c r="B3768" s="1">
        <v>3753</v>
      </c>
      <c r="C3768" s="101">
        <f ca="1"/>
        <v>-0.38935691277168133</v>
      </c>
      <c r="D3768" s="101">
        <f t="shared" ca="1" si="213"/>
        <v>0.63946472166996382</v>
      </c>
      <c r="E3768" s="101">
        <f t="shared" ca="1" si="214"/>
        <v>0</v>
      </c>
      <c r="F3768" s="21">
        <f t="shared" ca="1" si="215"/>
        <v>0</v>
      </c>
      <c r="H3768" s="21">
        <v>3753</v>
      </c>
      <c r="I3768" s="102">
        <v>0.66771320187120287</v>
      </c>
      <c r="J3768" s="103">
        <v>1.2863987040939999E-3</v>
      </c>
      <c r="K3768" s="103"/>
      <c r="L3768" s="103">
        <v>4.1000000000000002E-2</v>
      </c>
      <c r="O3768" s="100"/>
    </row>
    <row r="3769" spans="2:15" x14ac:dyDescent="0.2">
      <c r="B3769" s="1">
        <v>3754</v>
      </c>
      <c r="C3769" s="101">
        <f ca="1"/>
        <v>0.88678260209408999</v>
      </c>
      <c r="D3769" s="101">
        <f t="shared" ca="1" si="213"/>
        <v>0.72524646413638394</v>
      </c>
      <c r="E3769" s="101">
        <f t="shared" ca="1" si="214"/>
        <v>0</v>
      </c>
      <c r="F3769" s="21">
        <f t="shared" ca="1" si="215"/>
        <v>0</v>
      </c>
      <c r="H3769" s="21">
        <v>3754</v>
      </c>
      <c r="I3769" s="102">
        <v>0.66774024878689719</v>
      </c>
      <c r="J3769" s="103">
        <v>1.4245203054311152E-3</v>
      </c>
      <c r="K3769" s="103"/>
      <c r="L3769" s="103">
        <v>4.3999999999999997E-2</v>
      </c>
      <c r="O3769" s="100"/>
    </row>
    <row r="3770" spans="2:15" x14ac:dyDescent="0.2">
      <c r="B3770" s="1">
        <v>3755</v>
      </c>
      <c r="C3770" s="101">
        <f ca="1"/>
        <v>6.640863734405391E-3</v>
      </c>
      <c r="D3770" s="101">
        <f t="shared" ca="1" si="213"/>
        <v>0.66493759868135871</v>
      </c>
      <c r="E3770" s="101">
        <f t="shared" ca="1" si="214"/>
        <v>0</v>
      </c>
      <c r="F3770" s="21">
        <f t="shared" ca="1" si="215"/>
        <v>0</v>
      </c>
      <c r="H3770" s="21">
        <v>3755</v>
      </c>
      <c r="I3770" s="102">
        <v>0.66776098381829263</v>
      </c>
      <c r="J3770" s="103">
        <v>1.3297351317552817E-3</v>
      </c>
      <c r="K3770" s="103"/>
      <c r="L3770" s="103">
        <v>4.1000000000000002E-2</v>
      </c>
      <c r="O3770" s="100"/>
    </row>
    <row r="3771" spans="2:15" x14ac:dyDescent="0.2">
      <c r="B3771" s="1">
        <v>3756</v>
      </c>
      <c r="C3771" s="101">
        <f ca="1"/>
        <v>6.7108206995757452E-2</v>
      </c>
      <c r="D3771" s="101">
        <f t="shared" ca="1" si="213"/>
        <v>0.6689155229839131</v>
      </c>
      <c r="E3771" s="101">
        <f t="shared" ca="1" si="214"/>
        <v>0</v>
      </c>
      <c r="F3771" s="21">
        <f t="shared" ca="1" si="215"/>
        <v>0</v>
      </c>
      <c r="H3771" s="21">
        <v>3756</v>
      </c>
      <c r="I3771" s="102">
        <v>0.66774377772579896</v>
      </c>
      <c r="J3771" s="103">
        <v>1.4458498940738676E-3</v>
      </c>
      <c r="K3771" s="103"/>
      <c r="L3771" s="103">
        <v>4.2599999999999999E-2</v>
      </c>
      <c r="O3771" s="100"/>
    </row>
    <row r="3772" spans="2:15" x14ac:dyDescent="0.2">
      <c r="B3772" s="1">
        <v>3757</v>
      </c>
      <c r="C3772" s="101">
        <f ca="1"/>
        <v>-0.12599606048104867</v>
      </c>
      <c r="D3772" s="101">
        <f t="shared" ca="1" si="213"/>
        <v>0.65629456333419101</v>
      </c>
      <c r="E3772" s="101">
        <f t="shared" ca="1" si="214"/>
        <v>0</v>
      </c>
      <c r="F3772" s="21">
        <f t="shared" ca="1" si="215"/>
        <v>0</v>
      </c>
      <c r="H3772" s="21">
        <v>3757</v>
      </c>
      <c r="I3772" s="102">
        <v>0.66749331071830587</v>
      </c>
      <c r="J3772" s="103">
        <v>1.0825003825221289E-3</v>
      </c>
      <c r="K3772" s="103"/>
      <c r="L3772" s="103">
        <v>3.6400000000000002E-2</v>
      </c>
      <c r="O3772" s="100"/>
    </row>
    <row r="3773" spans="2:15" x14ac:dyDescent="0.2">
      <c r="B3773" s="1">
        <v>3758</v>
      </c>
      <c r="C3773" s="101">
        <f ca="1"/>
        <v>2.9479779050512094</v>
      </c>
      <c r="D3773" s="101">
        <f t="shared" ca="1" si="213"/>
        <v>0.88876297926368408</v>
      </c>
      <c r="E3773" s="101">
        <f t="shared" ca="1" si="214"/>
        <v>0.10056297926368407</v>
      </c>
      <c r="F3773" s="21">
        <f t="shared" ca="1" si="215"/>
        <v>1</v>
      </c>
      <c r="H3773" s="21">
        <v>3758</v>
      </c>
      <c r="I3773" s="102">
        <v>0.66775730810420664</v>
      </c>
      <c r="J3773" s="103">
        <v>1.2828533364224915E-3</v>
      </c>
      <c r="K3773" s="103"/>
      <c r="L3773" s="103">
        <v>4.3200000000000002E-2</v>
      </c>
      <c r="O3773" s="100"/>
    </row>
    <row r="3774" spans="2:15" x14ac:dyDescent="0.2">
      <c r="B3774" s="1">
        <v>3759</v>
      </c>
      <c r="C3774" s="101">
        <f ca="1"/>
        <v>-1.3909816580275063</v>
      </c>
      <c r="D3774" s="101">
        <f t="shared" ca="1" si="213"/>
        <v>0.57930543566323323</v>
      </c>
      <c r="E3774" s="101">
        <f t="shared" ca="1" si="214"/>
        <v>0</v>
      </c>
      <c r="F3774" s="21">
        <f t="shared" ca="1" si="215"/>
        <v>0</v>
      </c>
      <c r="H3774" s="21">
        <v>3759</v>
      </c>
      <c r="I3774" s="102">
        <v>0.66775444971632636</v>
      </c>
      <c r="J3774" s="103">
        <v>1.3387761159075109E-3</v>
      </c>
      <c r="K3774" s="103"/>
      <c r="L3774" s="103">
        <v>4.1599999999999998E-2</v>
      </c>
      <c r="O3774" s="100"/>
    </row>
    <row r="3775" spans="2:15" x14ac:dyDescent="0.2">
      <c r="B3775" s="1">
        <v>3760</v>
      </c>
      <c r="C3775" s="101">
        <f ca="1"/>
        <v>-0.13675144920419663</v>
      </c>
      <c r="D3775" s="101">
        <f t="shared" ca="1" si="213"/>
        <v>0.65559865271776296</v>
      </c>
      <c r="E3775" s="101">
        <f t="shared" ca="1" si="214"/>
        <v>0</v>
      </c>
      <c r="F3775" s="21">
        <f t="shared" ca="1" si="215"/>
        <v>0</v>
      </c>
      <c r="H3775" s="21">
        <v>3760</v>
      </c>
      <c r="I3775" s="102">
        <v>0.66765328033782345</v>
      </c>
      <c r="J3775" s="103">
        <v>1.3012864933584557E-3</v>
      </c>
      <c r="K3775" s="103"/>
      <c r="L3775" s="103">
        <v>3.78E-2</v>
      </c>
      <c r="O3775" s="100"/>
    </row>
    <row r="3776" spans="2:15" x14ac:dyDescent="0.2">
      <c r="B3776" s="1">
        <v>3761</v>
      </c>
      <c r="C3776" s="101">
        <f ca="1"/>
        <v>0.92429834729871363</v>
      </c>
      <c r="D3776" s="101">
        <f t="shared" ca="1" si="213"/>
        <v>0.72793528532540852</v>
      </c>
      <c r="E3776" s="101">
        <f t="shared" ca="1" si="214"/>
        <v>0</v>
      </c>
      <c r="F3776" s="21">
        <f t="shared" ca="1" si="215"/>
        <v>0</v>
      </c>
      <c r="H3776" s="21">
        <v>3761</v>
      </c>
      <c r="I3776" s="102">
        <v>0.66783114357406115</v>
      </c>
      <c r="J3776" s="103">
        <v>1.3220125688692024E-3</v>
      </c>
      <c r="K3776" s="103"/>
      <c r="L3776" s="103">
        <v>4.2999999999999997E-2</v>
      </c>
      <c r="O3776" s="100"/>
    </row>
    <row r="3777" spans="2:15" x14ac:dyDescent="0.2">
      <c r="B3777" s="1">
        <v>3762</v>
      </c>
      <c r="C3777" s="101">
        <f ca="1"/>
        <v>0.72447306157840941</v>
      </c>
      <c r="D3777" s="101">
        <f t="shared" ca="1" si="213"/>
        <v>0.71372741615554336</v>
      </c>
      <c r="E3777" s="101">
        <f t="shared" ca="1" si="214"/>
        <v>0</v>
      </c>
      <c r="F3777" s="21">
        <f t="shared" ca="1" si="215"/>
        <v>0</v>
      </c>
      <c r="H3777" s="21">
        <v>3762</v>
      </c>
      <c r="I3777" s="102">
        <v>0.66775627775115376</v>
      </c>
      <c r="J3777" s="103">
        <v>1.3210671322620938E-3</v>
      </c>
      <c r="K3777" s="103"/>
      <c r="L3777" s="103">
        <v>4.36E-2</v>
      </c>
      <c r="O3777" s="100"/>
    </row>
    <row r="3778" spans="2:15" x14ac:dyDescent="0.2">
      <c r="B3778" s="1">
        <v>3763</v>
      </c>
      <c r="C3778" s="101">
        <f ca="1"/>
        <v>0.78455120549221002</v>
      </c>
      <c r="D3778" s="101">
        <f t="shared" ca="1" si="213"/>
        <v>0.71796965657800793</v>
      </c>
      <c r="E3778" s="101">
        <f t="shared" ca="1" si="214"/>
        <v>0</v>
      </c>
      <c r="F3778" s="21">
        <f t="shared" ca="1" si="215"/>
        <v>0</v>
      </c>
      <c r="H3778" s="21">
        <v>3763</v>
      </c>
      <c r="I3778" s="102">
        <v>0.66785522201859582</v>
      </c>
      <c r="J3778" s="103">
        <v>1.5714742410891426E-3</v>
      </c>
      <c r="K3778" s="103"/>
      <c r="L3778" s="103">
        <v>4.3999999999999997E-2</v>
      </c>
      <c r="O3778" s="100"/>
    </row>
    <row r="3779" spans="2:15" x14ac:dyDescent="0.2">
      <c r="B3779" s="1">
        <v>3764</v>
      </c>
      <c r="C3779" s="101">
        <f ca="1"/>
        <v>0.98981723555673717</v>
      </c>
      <c r="D3779" s="101">
        <f t="shared" ca="1" si="213"/>
        <v>0.73265507169785904</v>
      </c>
      <c r="E3779" s="101">
        <f t="shared" ca="1" si="214"/>
        <v>0</v>
      </c>
      <c r="F3779" s="21">
        <f t="shared" ca="1" si="215"/>
        <v>0</v>
      </c>
      <c r="H3779" s="21">
        <v>3764</v>
      </c>
      <c r="I3779" s="102">
        <v>0.66785333780904599</v>
      </c>
      <c r="J3779" s="103">
        <v>1.4461987672396261E-3</v>
      </c>
      <c r="K3779" s="103"/>
      <c r="L3779" s="103">
        <v>4.6800000000000001E-2</v>
      </c>
      <c r="O3779" s="100"/>
    </row>
    <row r="3780" spans="2:15" x14ac:dyDescent="0.2">
      <c r="B3780" s="1">
        <v>3765</v>
      </c>
      <c r="C3780" s="101">
        <f ca="1"/>
        <v>-0.22167091662456387</v>
      </c>
      <c r="D3780" s="101">
        <f t="shared" ca="1" si="213"/>
        <v>0.65012992204196607</v>
      </c>
      <c r="E3780" s="101">
        <f t="shared" ca="1" si="214"/>
        <v>0</v>
      </c>
      <c r="F3780" s="21">
        <f t="shared" ca="1" si="215"/>
        <v>0</v>
      </c>
      <c r="H3780" s="21">
        <v>3765</v>
      </c>
      <c r="I3780" s="102">
        <v>0.66779534650017136</v>
      </c>
      <c r="J3780" s="103">
        <v>1.4069703420865796E-3</v>
      </c>
      <c r="K3780" s="103"/>
      <c r="L3780" s="103">
        <v>4.2999999999999997E-2</v>
      </c>
      <c r="O3780" s="100"/>
    </row>
    <row r="3781" spans="2:15" x14ac:dyDescent="0.2">
      <c r="B3781" s="1">
        <v>3766</v>
      </c>
      <c r="C3781" s="101">
        <f ca="1"/>
        <v>0.50091734300222435</v>
      </c>
      <c r="D3781" s="101">
        <f t="shared" ca="1" si="213"/>
        <v>0.69816068701667411</v>
      </c>
      <c r="E3781" s="101">
        <f t="shared" ca="1" si="214"/>
        <v>0</v>
      </c>
      <c r="F3781" s="21">
        <f t="shared" ca="1" si="215"/>
        <v>0</v>
      </c>
      <c r="H3781" s="21">
        <v>3766</v>
      </c>
      <c r="I3781" s="102">
        <v>0.66768853548493701</v>
      </c>
      <c r="J3781" s="103">
        <v>1.4350504116385223E-3</v>
      </c>
      <c r="K3781" s="103"/>
      <c r="L3781" s="103">
        <v>4.02E-2</v>
      </c>
      <c r="O3781" s="100"/>
    </row>
    <row r="3782" spans="2:15" x14ac:dyDescent="0.2">
      <c r="B3782" s="1">
        <v>3767</v>
      </c>
      <c r="C3782" s="101">
        <f ca="1"/>
        <v>0.6226105192839464</v>
      </c>
      <c r="D3782" s="101">
        <f t="shared" ca="1" si="213"/>
        <v>0.70659189408227163</v>
      </c>
      <c r="E3782" s="101">
        <f t="shared" ca="1" si="214"/>
        <v>0</v>
      </c>
      <c r="F3782" s="21">
        <f t="shared" ca="1" si="215"/>
        <v>0</v>
      </c>
      <c r="H3782" s="21">
        <v>3767</v>
      </c>
      <c r="I3782" s="102">
        <v>0.6677772989551185</v>
      </c>
      <c r="J3782" s="103">
        <v>1.3264130248670249E-3</v>
      </c>
      <c r="K3782" s="103"/>
      <c r="L3782" s="103">
        <v>4.3999999999999997E-2</v>
      </c>
      <c r="O3782" s="100"/>
    </row>
    <row r="3783" spans="2:15" x14ac:dyDescent="0.2">
      <c r="B3783" s="1">
        <v>3768</v>
      </c>
      <c r="C3783" s="101">
        <f ca="1"/>
        <v>2.6241131279778047</v>
      </c>
      <c r="D3783" s="101">
        <f t="shared" ca="1" si="213"/>
        <v>0.86081889009941004</v>
      </c>
      <c r="E3783" s="101">
        <f t="shared" ca="1" si="214"/>
        <v>7.2618890099410027E-2</v>
      </c>
      <c r="F3783" s="21">
        <f t="shared" ca="1" si="215"/>
        <v>1</v>
      </c>
      <c r="H3783" s="21">
        <v>3768</v>
      </c>
      <c r="I3783" s="102">
        <v>0.66776579294838623</v>
      </c>
      <c r="J3783" s="103">
        <v>1.3310948975971348E-3</v>
      </c>
      <c r="K3783" s="103"/>
      <c r="L3783" s="103">
        <v>4.2799999999999998E-2</v>
      </c>
      <c r="O3783" s="100"/>
    </row>
    <row r="3784" spans="2:15" x14ac:dyDescent="0.2">
      <c r="B3784" s="1">
        <v>3769</v>
      </c>
      <c r="C3784" s="101">
        <f ca="1"/>
        <v>-0.7178202310866022</v>
      </c>
      <c r="D3784" s="101">
        <f t="shared" ca="1" si="213"/>
        <v>0.61907807576602369</v>
      </c>
      <c r="E3784" s="101">
        <f t="shared" ca="1" si="214"/>
        <v>0</v>
      </c>
      <c r="F3784" s="21">
        <f t="shared" ca="1" si="215"/>
        <v>0</v>
      </c>
      <c r="H3784" s="21">
        <v>3769</v>
      </c>
      <c r="I3784" s="102">
        <v>0.6675475231436343</v>
      </c>
      <c r="J3784" s="103">
        <v>1.1963832653619538E-3</v>
      </c>
      <c r="K3784" s="103"/>
      <c r="L3784" s="103">
        <v>3.8399999999999997E-2</v>
      </c>
      <c r="O3784" s="100"/>
    </row>
    <row r="3785" spans="2:15" x14ac:dyDescent="0.2">
      <c r="B3785" s="1">
        <v>3770</v>
      </c>
      <c r="C3785" s="101">
        <f ca="1"/>
        <v>-1.2110603000178928</v>
      </c>
      <c r="D3785" s="101">
        <f t="shared" ca="1" si="213"/>
        <v>0.58967854091112393</v>
      </c>
      <c r="E3785" s="101">
        <f t="shared" ca="1" si="214"/>
        <v>0</v>
      </c>
      <c r="F3785" s="21">
        <f t="shared" ca="1" si="215"/>
        <v>0</v>
      </c>
      <c r="H3785" s="21">
        <v>3770</v>
      </c>
      <c r="I3785" s="102">
        <v>0.66777584838369874</v>
      </c>
      <c r="J3785" s="103">
        <v>1.3628626156033928E-3</v>
      </c>
      <c r="K3785" s="103"/>
      <c r="L3785" s="103">
        <v>3.9399999999999998E-2</v>
      </c>
      <c r="O3785" s="100"/>
    </row>
    <row r="3786" spans="2:15" x14ac:dyDescent="0.2">
      <c r="B3786" s="1">
        <v>3771</v>
      </c>
      <c r="C3786" s="101">
        <f ca="1"/>
        <v>-1.1094824988613354</v>
      </c>
      <c r="D3786" s="101">
        <f t="shared" ca="1" si="213"/>
        <v>0.59561668338786866</v>
      </c>
      <c r="E3786" s="101">
        <f t="shared" ca="1" si="214"/>
        <v>0</v>
      </c>
      <c r="F3786" s="21">
        <f t="shared" ca="1" si="215"/>
        <v>0</v>
      </c>
      <c r="H3786" s="21">
        <v>3771</v>
      </c>
      <c r="I3786" s="102">
        <v>0.667669680567885</v>
      </c>
      <c r="J3786" s="103">
        <v>1.210967585035063E-3</v>
      </c>
      <c r="K3786" s="103"/>
      <c r="L3786" s="103">
        <v>3.9199999999999999E-2</v>
      </c>
      <c r="O3786" s="100"/>
    </row>
    <row r="3787" spans="2:15" x14ac:dyDescent="0.2">
      <c r="B3787" s="1">
        <v>3772</v>
      </c>
      <c r="C3787" s="101">
        <f ca="1"/>
        <v>-0.16536408555068188</v>
      </c>
      <c r="D3787" s="101">
        <f t="shared" ca="1" si="213"/>
        <v>0.65375090745046205</v>
      </c>
      <c r="E3787" s="101">
        <f t="shared" ca="1" si="214"/>
        <v>0</v>
      </c>
      <c r="F3787" s="21">
        <f t="shared" ca="1" si="215"/>
        <v>0</v>
      </c>
      <c r="H3787" s="21">
        <v>3772</v>
      </c>
      <c r="I3787" s="102">
        <v>0.66778262839239955</v>
      </c>
      <c r="J3787" s="103">
        <v>1.4098804985012135E-3</v>
      </c>
      <c r="K3787" s="103"/>
      <c r="L3787" s="103">
        <v>4.2799999999999998E-2</v>
      </c>
      <c r="O3787" s="100"/>
    </row>
    <row r="3788" spans="2:15" x14ac:dyDescent="0.2">
      <c r="B3788" s="1">
        <v>3773</v>
      </c>
      <c r="C3788" s="101">
        <f ca="1"/>
        <v>-0.86932401221605271</v>
      </c>
      <c r="D3788" s="101">
        <f t="shared" ca="1" si="213"/>
        <v>0.6098950315874363</v>
      </c>
      <c r="E3788" s="101">
        <f t="shared" ca="1" si="214"/>
        <v>0</v>
      </c>
      <c r="F3788" s="21">
        <f t="shared" ca="1" si="215"/>
        <v>0</v>
      </c>
      <c r="H3788" s="21">
        <v>3773</v>
      </c>
      <c r="I3788" s="102">
        <v>0.66762848211626147</v>
      </c>
      <c r="J3788" s="103">
        <v>1.2624034663926973E-3</v>
      </c>
      <c r="K3788" s="103"/>
      <c r="L3788" s="103">
        <v>3.8199999999999998E-2</v>
      </c>
      <c r="O3788" s="100"/>
    </row>
    <row r="3789" spans="2:15" x14ac:dyDescent="0.2">
      <c r="B3789" s="1">
        <v>3774</v>
      </c>
      <c r="C3789" s="101">
        <f ca="1"/>
        <v>0.51136032140874688</v>
      </c>
      <c r="D3789" s="101">
        <f t="shared" ca="1" si="213"/>
        <v>0.69888023933297627</v>
      </c>
      <c r="E3789" s="101">
        <f t="shared" ca="1" si="214"/>
        <v>0</v>
      </c>
      <c r="F3789" s="21">
        <f t="shared" ca="1" si="215"/>
        <v>0</v>
      </c>
      <c r="H3789" s="21">
        <v>3774</v>
      </c>
      <c r="I3789" s="102">
        <v>0.66773382731642672</v>
      </c>
      <c r="J3789" s="103">
        <v>1.3413067835263588E-3</v>
      </c>
      <c r="K3789" s="103"/>
      <c r="L3789" s="103">
        <v>4.1599999999999998E-2</v>
      </c>
      <c r="O3789" s="100"/>
    </row>
    <row r="3790" spans="2:15" x14ac:dyDescent="0.2">
      <c r="B3790" s="1">
        <v>3775</v>
      </c>
      <c r="C3790" s="101">
        <f ca="1"/>
        <v>1.9977972445420116</v>
      </c>
      <c r="D3790" s="101">
        <f t="shared" ca="1" si="213"/>
        <v>0.80924644908994103</v>
      </c>
      <c r="E3790" s="101">
        <f t="shared" ca="1" si="214"/>
        <v>2.1046449089941022E-2</v>
      </c>
      <c r="F3790" s="21">
        <f t="shared" ca="1" si="215"/>
        <v>1</v>
      </c>
      <c r="H3790" s="21">
        <v>3775</v>
      </c>
      <c r="I3790" s="102">
        <v>0.66768391270567495</v>
      </c>
      <c r="J3790" s="103">
        <v>1.3020098095517818E-3</v>
      </c>
      <c r="K3790" s="103"/>
      <c r="L3790" s="103">
        <v>4.0599999999999997E-2</v>
      </c>
      <c r="O3790" s="100"/>
    </row>
    <row r="3791" spans="2:15" x14ac:dyDescent="0.2">
      <c r="B3791" s="1">
        <v>3776</v>
      </c>
      <c r="C3791" s="101">
        <f ca="1"/>
        <v>-0.61395997895988008</v>
      </c>
      <c r="D3791" s="101">
        <f t="shared" ca="1" si="213"/>
        <v>0.62545307667604577</v>
      </c>
      <c r="E3791" s="101">
        <f t="shared" ca="1" si="214"/>
        <v>0</v>
      </c>
      <c r="F3791" s="21">
        <f t="shared" ca="1" si="215"/>
        <v>0</v>
      </c>
      <c r="H3791" s="21">
        <v>3776</v>
      </c>
      <c r="I3791" s="102">
        <v>0.66777984866264184</v>
      </c>
      <c r="J3791" s="103">
        <v>1.425851916905428E-3</v>
      </c>
      <c r="K3791" s="103"/>
      <c r="L3791" s="103">
        <v>4.2200000000000001E-2</v>
      </c>
      <c r="O3791" s="100"/>
    </row>
    <row r="3792" spans="2:15" x14ac:dyDescent="0.2">
      <c r="B3792" s="1">
        <v>3777</v>
      </c>
      <c r="C3792" s="101">
        <f ca="1"/>
        <v>0.24416121287733447</v>
      </c>
      <c r="D3792" s="101">
        <f t="shared" ref="D3792:D3855" ca="1" si="216">S0*EXP((μ-0.5*σ*σ)*T+σ*SQRT(T)*$C3792)</f>
        <v>0.6807005727177714</v>
      </c>
      <c r="E3792" s="101">
        <f t="shared" ref="E3792:E3855" ca="1" si="217">MAX(0,CP*(D3792-K))</f>
        <v>0</v>
      </c>
      <c r="F3792" s="21">
        <f t="shared" ref="F3792:F3855" ca="1" si="218">(CP*(D3792-K)&gt;0)*1</f>
        <v>0</v>
      </c>
      <c r="H3792" s="21">
        <v>3777</v>
      </c>
      <c r="I3792" s="102">
        <v>0.66782209198532283</v>
      </c>
      <c r="J3792" s="103">
        <v>1.536247399109365E-3</v>
      </c>
      <c r="K3792" s="103"/>
      <c r="L3792" s="103">
        <v>4.3400000000000001E-2</v>
      </c>
      <c r="O3792" s="100"/>
    </row>
    <row r="3793" spans="2:15" x14ac:dyDescent="0.2">
      <c r="B3793" s="1">
        <v>3778</v>
      </c>
      <c r="C3793" s="101">
        <f ca="1"/>
        <v>-0.38559567211685264</v>
      </c>
      <c r="D3793" s="101">
        <f t="shared" ca="1" si="216"/>
        <v>0.63970201590074594</v>
      </c>
      <c r="E3793" s="101">
        <f t="shared" ca="1" si="217"/>
        <v>0</v>
      </c>
      <c r="F3793" s="21">
        <f t="shared" ca="1" si="218"/>
        <v>0</v>
      </c>
      <c r="H3793" s="21">
        <v>3778</v>
      </c>
      <c r="I3793" s="102">
        <v>0.66780390213688201</v>
      </c>
      <c r="J3793" s="103">
        <v>1.5241715360363227E-3</v>
      </c>
      <c r="K3793" s="103"/>
      <c r="L3793" s="103">
        <v>4.5600000000000002E-2</v>
      </c>
      <c r="O3793" s="100"/>
    </row>
    <row r="3794" spans="2:15" x14ac:dyDescent="0.2">
      <c r="B3794" s="1">
        <v>3779</v>
      </c>
      <c r="C3794" s="101">
        <f ca="1"/>
        <v>0.96537177165825472</v>
      </c>
      <c r="D3794" s="101">
        <f t="shared" ca="1" si="216"/>
        <v>0.73089052467956228</v>
      </c>
      <c r="E3794" s="101">
        <f t="shared" ca="1" si="217"/>
        <v>0</v>
      </c>
      <c r="F3794" s="21">
        <f t="shared" ca="1" si="218"/>
        <v>0</v>
      </c>
      <c r="H3794" s="21">
        <v>3779</v>
      </c>
      <c r="I3794" s="102">
        <v>0.66778496870061399</v>
      </c>
      <c r="J3794" s="103">
        <v>1.5007085551014012E-3</v>
      </c>
      <c r="K3794" s="103"/>
      <c r="L3794" s="103">
        <v>4.36E-2</v>
      </c>
      <c r="O3794" s="100"/>
    </row>
    <row r="3795" spans="2:15" x14ac:dyDescent="0.2">
      <c r="B3795" s="1">
        <v>3780</v>
      </c>
      <c r="C3795" s="101">
        <f ca="1"/>
        <v>-0.23062046086898547</v>
      </c>
      <c r="D3795" s="101">
        <f t="shared" ca="1" si="216"/>
        <v>0.64955624391374378</v>
      </c>
      <c r="E3795" s="101">
        <f t="shared" ca="1" si="217"/>
        <v>0</v>
      </c>
      <c r="F3795" s="21">
        <f t="shared" ca="1" si="218"/>
        <v>0</v>
      </c>
      <c r="H3795" s="21">
        <v>3780</v>
      </c>
      <c r="I3795" s="102">
        <v>0.66776072771533102</v>
      </c>
      <c r="J3795" s="103">
        <v>1.4096637243319727E-3</v>
      </c>
      <c r="K3795" s="103"/>
      <c r="L3795" s="103">
        <v>4.4400000000000002E-2</v>
      </c>
      <c r="O3795" s="100"/>
    </row>
    <row r="3796" spans="2:15" x14ac:dyDescent="0.2">
      <c r="B3796" s="1">
        <v>3781</v>
      </c>
      <c r="C3796" s="101">
        <f ca="1"/>
        <v>-1.8141621367288552</v>
      </c>
      <c r="D3796" s="101">
        <f t="shared" ca="1" si="216"/>
        <v>0.55562120592239861</v>
      </c>
      <c r="E3796" s="101">
        <f t="shared" ca="1" si="217"/>
        <v>0</v>
      </c>
      <c r="F3796" s="21">
        <f t="shared" ca="1" si="218"/>
        <v>0</v>
      </c>
      <c r="H3796" s="21">
        <v>3781</v>
      </c>
      <c r="I3796" s="102">
        <v>0.66766932530898282</v>
      </c>
      <c r="J3796" s="103">
        <v>1.3988368115549021E-3</v>
      </c>
      <c r="K3796" s="103"/>
      <c r="L3796" s="103">
        <v>4.2200000000000001E-2</v>
      </c>
      <c r="O3796" s="100"/>
    </row>
    <row r="3797" spans="2:15" x14ac:dyDescent="0.2">
      <c r="B3797" s="1">
        <v>3782</v>
      </c>
      <c r="C3797" s="101">
        <f ca="1"/>
        <v>2.149588852973495</v>
      </c>
      <c r="D3797" s="101">
        <f t="shared" ca="1" si="216"/>
        <v>0.82145440219339494</v>
      </c>
      <c r="E3797" s="101">
        <f t="shared" ca="1" si="217"/>
        <v>3.3254402193394927E-2</v>
      </c>
      <c r="F3797" s="21">
        <f t="shared" ca="1" si="218"/>
        <v>1</v>
      </c>
      <c r="H3797" s="21">
        <v>3782</v>
      </c>
      <c r="I3797" s="102">
        <v>0.6676521710151917</v>
      </c>
      <c r="J3797" s="103">
        <v>1.3982064271849776E-3</v>
      </c>
      <c r="K3797" s="103"/>
      <c r="L3797" s="103">
        <v>4.24E-2</v>
      </c>
      <c r="O3797" s="100"/>
    </row>
    <row r="3798" spans="2:15" x14ac:dyDescent="0.2">
      <c r="B3798" s="1">
        <v>3783</v>
      </c>
      <c r="C3798" s="101">
        <f ca="1"/>
        <v>2.6177458248327095</v>
      </c>
      <c r="D3798" s="101">
        <f t="shared" ca="1" si="216"/>
        <v>0.8602783973929824</v>
      </c>
      <c r="E3798" s="101">
        <f t="shared" ca="1" si="217"/>
        <v>7.2078397392982385E-2</v>
      </c>
      <c r="F3798" s="21">
        <f t="shared" ca="1" si="218"/>
        <v>1</v>
      </c>
      <c r="H3798" s="21">
        <v>3783</v>
      </c>
      <c r="I3798" s="102">
        <v>0.66778818513911631</v>
      </c>
      <c r="J3798" s="103">
        <v>1.3635611289467538E-3</v>
      </c>
      <c r="K3798" s="103"/>
      <c r="L3798" s="103">
        <v>4.2599999999999999E-2</v>
      </c>
      <c r="O3798" s="100"/>
    </row>
    <row r="3799" spans="2:15" x14ac:dyDescent="0.2">
      <c r="B3799" s="1">
        <v>3784</v>
      </c>
      <c r="C3799" s="101">
        <f ca="1"/>
        <v>-2.0007101719807925</v>
      </c>
      <c r="D3799" s="101">
        <f t="shared" ca="1" si="216"/>
        <v>0.54549052309405976</v>
      </c>
      <c r="E3799" s="101">
        <f t="shared" ca="1" si="217"/>
        <v>0</v>
      </c>
      <c r="F3799" s="21">
        <f t="shared" ca="1" si="218"/>
        <v>0</v>
      </c>
      <c r="H3799" s="21">
        <v>3784</v>
      </c>
      <c r="I3799" s="102">
        <v>0.66766955682972062</v>
      </c>
      <c r="J3799" s="103">
        <v>1.2699844745973062E-3</v>
      </c>
      <c r="K3799" s="103"/>
      <c r="L3799" s="103">
        <v>3.9199999999999999E-2</v>
      </c>
      <c r="O3799" s="100"/>
    </row>
    <row r="3800" spans="2:15" x14ac:dyDescent="0.2">
      <c r="B3800" s="1">
        <v>3785</v>
      </c>
      <c r="C3800" s="101">
        <f ca="1"/>
        <v>-1.4894957943819465</v>
      </c>
      <c r="D3800" s="101">
        <f t="shared" ca="1" si="216"/>
        <v>0.57370326125951432</v>
      </c>
      <c r="E3800" s="101">
        <f t="shared" ca="1" si="217"/>
        <v>0</v>
      </c>
      <c r="F3800" s="21">
        <f t="shared" ca="1" si="218"/>
        <v>0</v>
      </c>
      <c r="H3800" s="21">
        <v>3785</v>
      </c>
      <c r="I3800" s="102">
        <v>0.66776467071662227</v>
      </c>
      <c r="J3800" s="103">
        <v>1.4217694485068821E-3</v>
      </c>
      <c r="K3800" s="103"/>
      <c r="L3800" s="103">
        <v>4.2599999999999999E-2</v>
      </c>
      <c r="O3800" s="100"/>
    </row>
    <row r="3801" spans="2:15" x14ac:dyDescent="0.2">
      <c r="B3801" s="1">
        <v>3786</v>
      </c>
      <c r="C3801" s="101">
        <f ca="1"/>
        <v>-0.42714716579043399</v>
      </c>
      <c r="D3801" s="101">
        <f t="shared" ca="1" si="216"/>
        <v>0.63708543875358781</v>
      </c>
      <c r="E3801" s="101">
        <f t="shared" ca="1" si="217"/>
        <v>0</v>
      </c>
      <c r="F3801" s="21">
        <f t="shared" ca="1" si="218"/>
        <v>0</v>
      </c>
      <c r="H3801" s="21">
        <v>3786</v>
      </c>
      <c r="I3801" s="102">
        <v>0.66784865292892048</v>
      </c>
      <c r="J3801" s="103">
        <v>1.5230330477307486E-3</v>
      </c>
      <c r="K3801" s="103"/>
      <c r="L3801" s="103">
        <v>4.5600000000000002E-2</v>
      </c>
      <c r="O3801" s="100"/>
    </row>
    <row r="3802" spans="2:15" x14ac:dyDescent="0.2">
      <c r="B3802" s="1">
        <v>3787</v>
      </c>
      <c r="C3802" s="101">
        <f ca="1"/>
        <v>-0.55928469995311836</v>
      </c>
      <c r="D3802" s="101">
        <f t="shared" ca="1" si="216"/>
        <v>0.62883540915341951</v>
      </c>
      <c r="E3802" s="101">
        <f t="shared" ca="1" si="217"/>
        <v>0</v>
      </c>
      <c r="F3802" s="21">
        <f t="shared" ca="1" si="218"/>
        <v>0</v>
      </c>
      <c r="H3802" s="21">
        <v>3787</v>
      </c>
      <c r="I3802" s="102">
        <v>0.66779121892727544</v>
      </c>
      <c r="J3802" s="103">
        <v>1.4163353247228366E-3</v>
      </c>
      <c r="K3802" s="103"/>
      <c r="L3802" s="103">
        <v>4.24E-2</v>
      </c>
      <c r="O3802" s="100"/>
    </row>
    <row r="3803" spans="2:15" x14ac:dyDescent="0.2">
      <c r="B3803" s="1">
        <v>3788</v>
      </c>
      <c r="C3803" s="101">
        <f ca="1"/>
        <v>4.2265800937037315E-2</v>
      </c>
      <c r="D3803" s="101">
        <f t="shared" ca="1" si="216"/>
        <v>0.66727836035238475</v>
      </c>
      <c r="E3803" s="101">
        <f t="shared" ca="1" si="217"/>
        <v>0</v>
      </c>
      <c r="F3803" s="21">
        <f t="shared" ca="1" si="218"/>
        <v>0</v>
      </c>
      <c r="H3803" s="21">
        <v>3788</v>
      </c>
      <c r="I3803" s="102">
        <v>0.6676653911280972</v>
      </c>
      <c r="J3803" s="103">
        <v>1.2600559834729992E-3</v>
      </c>
      <c r="K3803" s="103"/>
      <c r="L3803" s="103">
        <v>4.0599999999999997E-2</v>
      </c>
      <c r="O3803" s="100"/>
    </row>
    <row r="3804" spans="2:15" x14ac:dyDescent="0.2">
      <c r="B3804" s="1">
        <v>3789</v>
      </c>
      <c r="C3804" s="101">
        <f ca="1"/>
        <v>-1.3445459122449839</v>
      </c>
      <c r="D3804" s="101">
        <f t="shared" ca="1" si="216"/>
        <v>0.58196502111199455</v>
      </c>
      <c r="E3804" s="101">
        <f t="shared" ca="1" si="217"/>
        <v>0</v>
      </c>
      <c r="F3804" s="21">
        <f t="shared" ca="1" si="218"/>
        <v>0</v>
      </c>
      <c r="H3804" s="21">
        <v>3789</v>
      </c>
      <c r="I3804" s="102">
        <v>0.66765890330803479</v>
      </c>
      <c r="J3804" s="103">
        <v>1.3769452357863794E-3</v>
      </c>
      <c r="K3804" s="103"/>
      <c r="L3804" s="103">
        <v>4.1000000000000002E-2</v>
      </c>
      <c r="O3804" s="100"/>
    </row>
    <row r="3805" spans="2:15" x14ac:dyDescent="0.2">
      <c r="B3805" s="1">
        <v>3790</v>
      </c>
      <c r="C3805" s="101">
        <f ca="1"/>
        <v>1.2831696977084983</v>
      </c>
      <c r="D3805" s="101">
        <f t="shared" ca="1" si="216"/>
        <v>0.75416539162801388</v>
      </c>
      <c r="E3805" s="101">
        <f t="shared" ca="1" si="217"/>
        <v>0</v>
      </c>
      <c r="F3805" s="21">
        <f t="shared" ca="1" si="218"/>
        <v>0</v>
      </c>
      <c r="H3805" s="21">
        <v>3790</v>
      </c>
      <c r="I3805" s="102">
        <v>0.66772649307502707</v>
      </c>
      <c r="J3805" s="103">
        <v>1.4128802000964967E-3</v>
      </c>
      <c r="K3805" s="103"/>
      <c r="L3805" s="103">
        <v>4.2599999999999999E-2</v>
      </c>
      <c r="O3805" s="100"/>
    </row>
    <row r="3806" spans="2:15" x14ac:dyDescent="0.2">
      <c r="B3806" s="1">
        <v>3791</v>
      </c>
      <c r="C3806" s="101">
        <f ca="1"/>
        <v>-1.1796255277527694</v>
      </c>
      <c r="D3806" s="101">
        <f t="shared" ca="1" si="216"/>
        <v>0.59150983477297303</v>
      </c>
      <c r="E3806" s="101">
        <f t="shared" ca="1" si="217"/>
        <v>0</v>
      </c>
      <c r="F3806" s="21">
        <f t="shared" ca="1" si="218"/>
        <v>0</v>
      </c>
      <c r="H3806" s="21">
        <v>3791</v>
      </c>
      <c r="I3806" s="102">
        <v>0.66771948324820651</v>
      </c>
      <c r="J3806" s="103">
        <v>1.2881436496731185E-3</v>
      </c>
      <c r="K3806" s="103"/>
      <c r="L3806" s="103">
        <v>3.9800000000000002E-2</v>
      </c>
      <c r="O3806" s="100"/>
    </row>
    <row r="3807" spans="2:15" x14ac:dyDescent="0.2">
      <c r="B3807" s="1">
        <v>3792</v>
      </c>
      <c r="C3807" s="101">
        <f ca="1"/>
        <v>1.3581102065419204</v>
      </c>
      <c r="D3807" s="101">
        <f t="shared" ca="1" si="216"/>
        <v>0.75976101310704058</v>
      </c>
      <c r="E3807" s="101">
        <f t="shared" ca="1" si="217"/>
        <v>0</v>
      </c>
      <c r="F3807" s="21">
        <f t="shared" ca="1" si="218"/>
        <v>0</v>
      </c>
      <c r="H3807" s="21">
        <v>3792</v>
      </c>
      <c r="I3807" s="102">
        <v>0.66771416595751554</v>
      </c>
      <c r="J3807" s="103">
        <v>1.369919395946039E-3</v>
      </c>
      <c r="K3807" s="103"/>
      <c r="L3807" s="103">
        <v>4.1799999999999997E-2</v>
      </c>
      <c r="O3807" s="100"/>
    </row>
    <row r="3808" spans="2:15" x14ac:dyDescent="0.2">
      <c r="B3808" s="1">
        <v>3793</v>
      </c>
      <c r="C3808" s="101">
        <f ca="1"/>
        <v>0.51558318683036131</v>
      </c>
      <c r="D3808" s="101">
        <f t="shared" ca="1" si="216"/>
        <v>0.69917141786920567</v>
      </c>
      <c r="E3808" s="101">
        <f t="shared" ca="1" si="217"/>
        <v>0</v>
      </c>
      <c r="F3808" s="21">
        <f t="shared" ca="1" si="218"/>
        <v>0</v>
      </c>
      <c r="H3808" s="21">
        <v>3793</v>
      </c>
      <c r="I3808" s="102">
        <v>0.66777750967421357</v>
      </c>
      <c r="J3808" s="103">
        <v>1.4864080725059778E-3</v>
      </c>
      <c r="K3808" s="103"/>
      <c r="L3808" s="103">
        <v>4.2999999999999997E-2</v>
      </c>
      <c r="O3808" s="100"/>
    </row>
    <row r="3809" spans="2:15" x14ac:dyDescent="0.2">
      <c r="B3809" s="1">
        <v>3794</v>
      </c>
      <c r="C3809" s="101">
        <f ca="1"/>
        <v>-1.054403862274492</v>
      </c>
      <c r="D3809" s="101">
        <f t="shared" ca="1" si="216"/>
        <v>0.59886149313124581</v>
      </c>
      <c r="E3809" s="101">
        <f t="shared" ca="1" si="217"/>
        <v>0</v>
      </c>
      <c r="F3809" s="21">
        <f t="shared" ca="1" si="218"/>
        <v>0</v>
      </c>
      <c r="H3809" s="21">
        <v>3794</v>
      </c>
      <c r="I3809" s="102">
        <v>0.66760463694135752</v>
      </c>
      <c r="J3809" s="103">
        <v>1.2677703656185865E-3</v>
      </c>
      <c r="K3809" s="103"/>
      <c r="L3809" s="103">
        <v>4.1200000000000001E-2</v>
      </c>
      <c r="O3809" s="100"/>
    </row>
    <row r="3810" spans="2:15" x14ac:dyDescent="0.2">
      <c r="B3810" s="1">
        <v>3795</v>
      </c>
      <c r="C3810" s="101">
        <f ca="1"/>
        <v>1.3148460952099654</v>
      </c>
      <c r="D3810" s="101">
        <f t="shared" ca="1" si="216"/>
        <v>0.75652554354947943</v>
      </c>
      <c r="E3810" s="101">
        <f t="shared" ca="1" si="217"/>
        <v>0</v>
      </c>
      <c r="F3810" s="21">
        <f t="shared" ca="1" si="218"/>
        <v>0</v>
      </c>
      <c r="H3810" s="21">
        <v>3795</v>
      </c>
      <c r="I3810" s="102">
        <v>0.66779505869793632</v>
      </c>
      <c r="J3810" s="103">
        <v>1.4601615982829774E-3</v>
      </c>
      <c r="K3810" s="103"/>
      <c r="L3810" s="103">
        <v>4.7E-2</v>
      </c>
      <c r="O3810" s="100"/>
    </row>
    <row r="3811" spans="2:15" x14ac:dyDescent="0.2">
      <c r="B3811" s="1">
        <v>3796</v>
      </c>
      <c r="C3811" s="101">
        <f ca="1"/>
        <v>-4.35920825403655E-2</v>
      </c>
      <c r="D3811" s="101">
        <f t="shared" ca="1" si="216"/>
        <v>0.66165095280764941</v>
      </c>
      <c r="E3811" s="101">
        <f t="shared" ca="1" si="217"/>
        <v>0</v>
      </c>
      <c r="F3811" s="21">
        <f t="shared" ca="1" si="218"/>
        <v>0</v>
      </c>
      <c r="H3811" s="21">
        <v>3796</v>
      </c>
      <c r="I3811" s="102">
        <v>0.6678029906781856</v>
      </c>
      <c r="J3811" s="103">
        <v>1.4258965551957538E-3</v>
      </c>
      <c r="K3811" s="103"/>
      <c r="L3811" s="103">
        <v>4.1200000000000001E-2</v>
      </c>
      <c r="O3811" s="100"/>
    </row>
    <row r="3812" spans="2:15" x14ac:dyDescent="0.2">
      <c r="B3812" s="1">
        <v>3797</v>
      </c>
      <c r="C3812" s="101">
        <f ca="1"/>
        <v>-1.1375241088415582</v>
      </c>
      <c r="D3812" s="101">
        <f t="shared" ca="1" si="216"/>
        <v>0.5939714474215142</v>
      </c>
      <c r="E3812" s="101">
        <f t="shared" ca="1" si="217"/>
        <v>0</v>
      </c>
      <c r="F3812" s="21">
        <f t="shared" ca="1" si="218"/>
        <v>0</v>
      </c>
      <c r="H3812" s="21">
        <v>3797</v>
      </c>
      <c r="I3812" s="102">
        <v>0.66778262227622576</v>
      </c>
      <c r="J3812" s="103">
        <v>1.4350325475959388E-3</v>
      </c>
      <c r="K3812" s="103"/>
      <c r="L3812" s="103">
        <v>4.2799999999999998E-2</v>
      </c>
      <c r="O3812" s="100"/>
    </row>
    <row r="3813" spans="2:15" x14ac:dyDescent="0.2">
      <c r="B3813" s="1">
        <v>3798</v>
      </c>
      <c r="C3813" s="101">
        <f ca="1"/>
        <v>-9.1275255445006243E-3</v>
      </c>
      <c r="D3813" s="101">
        <f t="shared" ca="1" si="216"/>
        <v>0.6639041488135301</v>
      </c>
      <c r="E3813" s="101">
        <f t="shared" ca="1" si="217"/>
        <v>0</v>
      </c>
      <c r="F3813" s="21">
        <f t="shared" ca="1" si="218"/>
        <v>0</v>
      </c>
      <c r="H3813" s="21">
        <v>3798</v>
      </c>
      <c r="I3813" s="102">
        <v>0.66768689101643852</v>
      </c>
      <c r="J3813" s="103">
        <v>1.3641230324144035E-3</v>
      </c>
      <c r="K3813" s="103"/>
      <c r="L3813" s="103">
        <v>4.1399999999999999E-2</v>
      </c>
      <c r="O3813" s="100"/>
    </row>
    <row r="3814" spans="2:15" x14ac:dyDescent="0.2">
      <c r="B3814" s="1">
        <v>3799</v>
      </c>
      <c r="C3814" s="101">
        <f ca="1"/>
        <v>-1.4965912687965579</v>
      </c>
      <c r="D3814" s="101">
        <f t="shared" ca="1" si="216"/>
        <v>0.57330186281637829</v>
      </c>
      <c r="E3814" s="101">
        <f t="shared" ca="1" si="217"/>
        <v>0</v>
      </c>
      <c r="F3814" s="21">
        <f t="shared" ca="1" si="218"/>
        <v>0</v>
      </c>
      <c r="H3814" s="21">
        <v>3799</v>
      </c>
      <c r="I3814" s="102">
        <v>0.66761210669720927</v>
      </c>
      <c r="J3814" s="103">
        <v>1.2424181618371098E-3</v>
      </c>
      <c r="K3814" s="103"/>
      <c r="L3814" s="103">
        <v>3.78E-2</v>
      </c>
      <c r="O3814" s="100"/>
    </row>
    <row r="3815" spans="2:15" x14ac:dyDescent="0.2">
      <c r="B3815" s="1">
        <v>3800</v>
      </c>
      <c r="C3815" s="101">
        <f ca="1"/>
        <v>-1.2213020073514254</v>
      </c>
      <c r="D3815" s="101">
        <f t="shared" ca="1" si="216"/>
        <v>0.58908311568563942</v>
      </c>
      <c r="E3815" s="101">
        <f t="shared" ca="1" si="217"/>
        <v>0</v>
      </c>
      <c r="F3815" s="21">
        <f t="shared" ca="1" si="218"/>
        <v>0</v>
      </c>
      <c r="H3815" s="21">
        <v>3800</v>
      </c>
      <c r="I3815" s="102">
        <v>0.66760096563386995</v>
      </c>
      <c r="J3815" s="103">
        <v>1.3285126243859772E-3</v>
      </c>
      <c r="K3815" s="103"/>
      <c r="L3815" s="103">
        <v>4.02E-2</v>
      </c>
      <c r="O3815" s="100"/>
    </row>
    <row r="3816" spans="2:15" x14ac:dyDescent="0.2">
      <c r="B3816" s="1">
        <v>3801</v>
      </c>
      <c r="C3816" s="101">
        <f ca="1"/>
        <v>0.68958154463844656</v>
      </c>
      <c r="D3816" s="101">
        <f t="shared" ca="1" si="216"/>
        <v>0.71127517046411681</v>
      </c>
      <c r="E3816" s="101">
        <f t="shared" ca="1" si="217"/>
        <v>0</v>
      </c>
      <c r="F3816" s="21">
        <f t="shared" ca="1" si="218"/>
        <v>0</v>
      </c>
      <c r="H3816" s="21">
        <v>3801</v>
      </c>
      <c r="I3816" s="102">
        <v>0.66779314502515941</v>
      </c>
      <c r="J3816" s="103">
        <v>1.328587348004861E-3</v>
      </c>
      <c r="K3816" s="103"/>
      <c r="L3816" s="103">
        <v>4.2799999999999998E-2</v>
      </c>
      <c r="O3816" s="100"/>
    </row>
    <row r="3817" spans="2:15" x14ac:dyDescent="0.2">
      <c r="B3817" s="1">
        <v>3802</v>
      </c>
      <c r="C3817" s="101">
        <f ca="1"/>
        <v>1.4742572016758699</v>
      </c>
      <c r="D3817" s="101">
        <f t="shared" ca="1" si="216"/>
        <v>0.76851556842731383</v>
      </c>
      <c r="E3817" s="101">
        <f t="shared" ca="1" si="217"/>
        <v>0</v>
      </c>
      <c r="F3817" s="21">
        <f t="shared" ca="1" si="218"/>
        <v>0</v>
      </c>
      <c r="H3817" s="21">
        <v>3802</v>
      </c>
      <c r="I3817" s="102">
        <v>0.66780835656561455</v>
      </c>
      <c r="J3817" s="103">
        <v>1.4384614152031377E-3</v>
      </c>
      <c r="K3817" s="103"/>
      <c r="L3817" s="103">
        <v>4.6199999999999998E-2</v>
      </c>
      <c r="O3817" s="100"/>
    </row>
    <row r="3818" spans="2:15" x14ac:dyDescent="0.2">
      <c r="B3818" s="1">
        <v>3803</v>
      </c>
      <c r="C3818" s="101">
        <f ca="1"/>
        <v>1.314366786550617</v>
      </c>
      <c r="D3818" s="101">
        <f t="shared" ca="1" si="216"/>
        <v>0.75648977613845381</v>
      </c>
      <c r="E3818" s="101">
        <f t="shared" ca="1" si="217"/>
        <v>0</v>
      </c>
      <c r="F3818" s="21">
        <f t="shared" ca="1" si="218"/>
        <v>0</v>
      </c>
      <c r="H3818" s="21">
        <v>3803</v>
      </c>
      <c r="I3818" s="102">
        <v>0.66750185523505012</v>
      </c>
      <c r="J3818" s="103">
        <v>1.0704570296969215E-3</v>
      </c>
      <c r="K3818" s="103"/>
      <c r="L3818" s="103">
        <v>3.5400000000000001E-2</v>
      </c>
      <c r="O3818" s="100"/>
    </row>
    <row r="3819" spans="2:15" x14ac:dyDescent="0.2">
      <c r="B3819" s="1">
        <v>3804</v>
      </c>
      <c r="C3819" s="101">
        <f ca="1"/>
        <v>-0.20570524698330814</v>
      </c>
      <c r="D3819" s="101">
        <f t="shared" ca="1" si="216"/>
        <v>0.65115460194552444</v>
      </c>
      <c r="E3819" s="101">
        <f t="shared" ca="1" si="217"/>
        <v>0</v>
      </c>
      <c r="F3819" s="21">
        <f t="shared" ca="1" si="218"/>
        <v>0</v>
      </c>
      <c r="H3819" s="21">
        <v>3804</v>
      </c>
      <c r="I3819" s="102">
        <v>0.66775829500934947</v>
      </c>
      <c r="J3819" s="103">
        <v>1.4999681435116582E-3</v>
      </c>
      <c r="K3819" s="103"/>
      <c r="L3819" s="103">
        <v>4.2999999999999997E-2</v>
      </c>
      <c r="O3819" s="100"/>
    </row>
    <row r="3820" spans="2:15" x14ac:dyDescent="0.2">
      <c r="B3820" s="1">
        <v>3805</v>
      </c>
      <c r="C3820" s="101">
        <f ca="1"/>
        <v>0.65743988770548867</v>
      </c>
      <c r="D3820" s="101">
        <f t="shared" ca="1" si="216"/>
        <v>0.70902364673777629</v>
      </c>
      <c r="E3820" s="101">
        <f t="shared" ca="1" si="217"/>
        <v>0</v>
      </c>
      <c r="F3820" s="21">
        <f t="shared" ca="1" si="218"/>
        <v>0</v>
      </c>
      <c r="H3820" s="21">
        <v>3805</v>
      </c>
      <c r="I3820" s="102">
        <v>0.6677993031240872</v>
      </c>
      <c r="J3820" s="103">
        <v>1.4603696338536891E-3</v>
      </c>
      <c r="K3820" s="103"/>
      <c r="L3820" s="103">
        <v>4.3799999999999999E-2</v>
      </c>
      <c r="O3820" s="100"/>
    </row>
    <row r="3821" spans="2:15" x14ac:dyDescent="0.2">
      <c r="B3821" s="1">
        <v>3806</v>
      </c>
      <c r="C3821" s="101">
        <f ca="1"/>
        <v>0.81329269871523369</v>
      </c>
      <c r="D3821" s="101">
        <f t="shared" ca="1" si="216"/>
        <v>0.72000805980265892</v>
      </c>
      <c r="E3821" s="101">
        <f t="shared" ca="1" si="217"/>
        <v>0</v>
      </c>
      <c r="F3821" s="21">
        <f t="shared" ca="1" si="218"/>
        <v>0</v>
      </c>
      <c r="H3821" s="21">
        <v>3806</v>
      </c>
      <c r="I3821" s="102">
        <v>0.66768388007249979</v>
      </c>
      <c r="J3821" s="103">
        <v>1.23760839683073E-3</v>
      </c>
      <c r="K3821" s="103"/>
      <c r="L3821" s="103">
        <v>0.04</v>
      </c>
      <c r="O3821" s="100"/>
    </row>
    <row r="3822" spans="2:15" x14ac:dyDescent="0.2">
      <c r="B3822" s="1">
        <v>3807</v>
      </c>
      <c r="C3822" s="101">
        <f ca="1"/>
        <v>0.53798683545775161</v>
      </c>
      <c r="D3822" s="101">
        <f t="shared" ca="1" si="216"/>
        <v>0.70071824324113319</v>
      </c>
      <c r="E3822" s="101">
        <f t="shared" ca="1" si="217"/>
        <v>0</v>
      </c>
      <c r="F3822" s="21">
        <f t="shared" ca="1" si="218"/>
        <v>0</v>
      </c>
      <c r="H3822" s="21">
        <v>3807</v>
      </c>
      <c r="I3822" s="102">
        <v>0.66778345625189295</v>
      </c>
      <c r="J3822" s="103">
        <v>1.3783596995244785E-3</v>
      </c>
      <c r="K3822" s="103"/>
      <c r="L3822" s="103">
        <v>4.2599999999999999E-2</v>
      </c>
      <c r="O3822" s="100"/>
    </row>
    <row r="3823" spans="2:15" x14ac:dyDescent="0.2">
      <c r="B3823" s="1">
        <v>3808</v>
      </c>
      <c r="C3823" s="101">
        <f ca="1"/>
        <v>-0.48285014842533425</v>
      </c>
      <c r="D3823" s="101">
        <f t="shared" ca="1" si="216"/>
        <v>0.63359449834408299</v>
      </c>
      <c r="E3823" s="101">
        <f t="shared" ca="1" si="217"/>
        <v>0</v>
      </c>
      <c r="F3823" s="21">
        <f t="shared" ca="1" si="218"/>
        <v>0</v>
      </c>
      <c r="H3823" s="21">
        <v>3808</v>
      </c>
      <c r="I3823" s="102">
        <v>0.66766373258809963</v>
      </c>
      <c r="J3823" s="103">
        <v>1.3280255052234881E-3</v>
      </c>
      <c r="K3823" s="103"/>
      <c r="L3823" s="103">
        <v>3.6400000000000002E-2</v>
      </c>
      <c r="O3823" s="100"/>
    </row>
    <row r="3824" spans="2:15" x14ac:dyDescent="0.2">
      <c r="B3824" s="1">
        <v>3809</v>
      </c>
      <c r="C3824" s="101">
        <f ca="1"/>
        <v>0.38738027057743096</v>
      </c>
      <c r="D3824" s="101">
        <f t="shared" ca="1" si="216"/>
        <v>0.69038529448249442</v>
      </c>
      <c r="E3824" s="101">
        <f t="shared" ca="1" si="217"/>
        <v>0</v>
      </c>
      <c r="F3824" s="21">
        <f t="shared" ca="1" si="218"/>
        <v>0</v>
      </c>
      <c r="H3824" s="21">
        <v>3809</v>
      </c>
      <c r="I3824" s="102">
        <v>0.66765040150623678</v>
      </c>
      <c r="J3824" s="103">
        <v>1.2934026992371932E-3</v>
      </c>
      <c r="K3824" s="103"/>
      <c r="L3824" s="103">
        <v>4.3400000000000001E-2</v>
      </c>
      <c r="O3824" s="100"/>
    </row>
    <row r="3825" spans="2:15" x14ac:dyDescent="0.2">
      <c r="B3825" s="1">
        <v>3810</v>
      </c>
      <c r="C3825" s="101">
        <f ca="1"/>
        <v>-0.31233460122256346</v>
      </c>
      <c r="D3825" s="101">
        <f t="shared" ca="1" si="216"/>
        <v>0.64434161074576812</v>
      </c>
      <c r="E3825" s="101">
        <f t="shared" ca="1" si="217"/>
        <v>0</v>
      </c>
      <c r="F3825" s="21">
        <f t="shared" ca="1" si="218"/>
        <v>0</v>
      </c>
      <c r="H3825" s="21">
        <v>3810</v>
      </c>
      <c r="I3825" s="102">
        <v>0.66787677878429774</v>
      </c>
      <c r="J3825" s="103">
        <v>1.5504400107617428E-3</v>
      </c>
      <c r="K3825" s="103"/>
      <c r="L3825" s="103">
        <v>5.04E-2</v>
      </c>
      <c r="O3825" s="100"/>
    </row>
    <row r="3826" spans="2:15" x14ac:dyDescent="0.2">
      <c r="B3826" s="1">
        <v>3811</v>
      </c>
      <c r="C3826" s="101">
        <f ca="1"/>
        <v>-5.8642846310798184E-2</v>
      </c>
      <c r="D3826" s="101">
        <f t="shared" ca="1" si="216"/>
        <v>0.66066937656299429</v>
      </c>
      <c r="E3826" s="101">
        <f t="shared" ca="1" si="217"/>
        <v>0</v>
      </c>
      <c r="F3826" s="21">
        <f t="shared" ca="1" si="218"/>
        <v>0</v>
      </c>
      <c r="H3826" s="21">
        <v>3811</v>
      </c>
      <c r="I3826" s="102">
        <v>0.6678129763391687</v>
      </c>
      <c r="J3826" s="103">
        <v>1.396911447632903E-3</v>
      </c>
      <c r="K3826" s="103"/>
      <c r="L3826" s="103">
        <v>4.3400000000000001E-2</v>
      </c>
      <c r="O3826" s="100"/>
    </row>
    <row r="3827" spans="2:15" x14ac:dyDescent="0.2">
      <c r="B3827" s="1">
        <v>3812</v>
      </c>
      <c r="C3827" s="101">
        <f ca="1"/>
        <v>0.159167164392888</v>
      </c>
      <c r="D3827" s="101">
        <f t="shared" ca="1" si="216"/>
        <v>0.67501748631896652</v>
      </c>
      <c r="E3827" s="101">
        <f t="shared" ca="1" si="217"/>
        <v>0</v>
      </c>
      <c r="F3827" s="21">
        <f t="shared" ca="1" si="218"/>
        <v>0</v>
      </c>
      <c r="H3827" s="21">
        <v>3812</v>
      </c>
      <c r="I3827" s="102">
        <v>0.66770573496662533</v>
      </c>
      <c r="J3827" s="103">
        <v>1.3222448935087984E-3</v>
      </c>
      <c r="K3827" s="103"/>
      <c r="L3827" s="103">
        <v>4.1599999999999998E-2</v>
      </c>
      <c r="O3827" s="100"/>
    </row>
    <row r="3828" spans="2:15" x14ac:dyDescent="0.2">
      <c r="B3828" s="1">
        <v>3813</v>
      </c>
      <c r="C3828" s="101">
        <f ca="1"/>
        <v>1.334479250632425</v>
      </c>
      <c r="D3828" s="101">
        <f t="shared" ca="1" si="216"/>
        <v>0.75799208116084282</v>
      </c>
      <c r="E3828" s="101">
        <f t="shared" ca="1" si="217"/>
        <v>0</v>
      </c>
      <c r="F3828" s="21">
        <f t="shared" ca="1" si="218"/>
        <v>0</v>
      </c>
      <c r="H3828" s="21">
        <v>3813</v>
      </c>
      <c r="I3828" s="102">
        <v>0.66774404593926084</v>
      </c>
      <c r="J3828" s="103">
        <v>1.4027828179497086E-3</v>
      </c>
      <c r="K3828" s="103"/>
      <c r="L3828" s="103">
        <v>4.1799999999999997E-2</v>
      </c>
      <c r="O3828" s="100"/>
    </row>
    <row r="3829" spans="2:15" x14ac:dyDescent="0.2">
      <c r="B3829" s="1">
        <v>3814</v>
      </c>
      <c r="C3829" s="101">
        <f ca="1"/>
        <v>1.5447285855627573</v>
      </c>
      <c r="D3829" s="101">
        <f t="shared" ca="1" si="216"/>
        <v>0.77387643156950248</v>
      </c>
      <c r="E3829" s="101">
        <f t="shared" ca="1" si="217"/>
        <v>0</v>
      </c>
      <c r="F3829" s="21">
        <f t="shared" ca="1" si="218"/>
        <v>0</v>
      </c>
      <c r="H3829" s="21">
        <v>3814</v>
      </c>
      <c r="I3829" s="102">
        <v>0.66761896651351393</v>
      </c>
      <c r="J3829" s="103">
        <v>1.2714777046363159E-3</v>
      </c>
      <c r="K3829" s="103"/>
      <c r="L3829" s="103">
        <v>3.6999999999999998E-2</v>
      </c>
      <c r="O3829" s="100"/>
    </row>
    <row r="3830" spans="2:15" x14ac:dyDescent="0.2">
      <c r="B3830" s="1">
        <v>3815</v>
      </c>
      <c r="C3830" s="101">
        <f ca="1"/>
        <v>-0.17856954335989825</v>
      </c>
      <c r="D3830" s="101">
        <f t="shared" ca="1" si="216"/>
        <v>0.652899883385196</v>
      </c>
      <c r="E3830" s="101">
        <f t="shared" ca="1" si="217"/>
        <v>0</v>
      </c>
      <c r="F3830" s="21">
        <f t="shared" ca="1" si="218"/>
        <v>0</v>
      </c>
      <c r="H3830" s="21">
        <v>3815</v>
      </c>
      <c r="I3830" s="102">
        <v>0.66784200916105307</v>
      </c>
      <c r="J3830" s="103">
        <v>1.5008610985076415E-3</v>
      </c>
      <c r="K3830" s="103"/>
      <c r="L3830" s="103">
        <v>4.3799999999999999E-2</v>
      </c>
      <c r="O3830" s="100"/>
    </row>
    <row r="3831" spans="2:15" x14ac:dyDescent="0.2">
      <c r="B3831" s="1">
        <v>3816</v>
      </c>
      <c r="C3831" s="101">
        <f ca="1"/>
        <v>-1.6436503438398455</v>
      </c>
      <c r="D3831" s="101">
        <f t="shared" ca="1" si="216"/>
        <v>0.56504551592899044</v>
      </c>
      <c r="E3831" s="101">
        <f t="shared" ca="1" si="217"/>
        <v>0</v>
      </c>
      <c r="F3831" s="21">
        <f t="shared" ca="1" si="218"/>
        <v>0</v>
      </c>
      <c r="H3831" s="21">
        <v>3816</v>
      </c>
      <c r="I3831" s="102">
        <v>0.66766244644010508</v>
      </c>
      <c r="J3831" s="103">
        <v>1.309974585884011E-3</v>
      </c>
      <c r="K3831" s="103"/>
      <c r="L3831" s="103">
        <v>4.0599999999999997E-2</v>
      </c>
      <c r="O3831" s="100"/>
    </row>
    <row r="3832" spans="2:15" x14ac:dyDescent="0.2">
      <c r="B3832" s="1">
        <v>3817</v>
      </c>
      <c r="C3832" s="101">
        <f ca="1"/>
        <v>-0.40880238573786809</v>
      </c>
      <c r="D3832" s="101">
        <f t="shared" ca="1" si="216"/>
        <v>0.63823932258383131</v>
      </c>
      <c r="E3832" s="101">
        <f t="shared" ca="1" si="217"/>
        <v>0</v>
      </c>
      <c r="F3832" s="21">
        <f t="shared" ca="1" si="218"/>
        <v>0</v>
      </c>
      <c r="H3832" s="21">
        <v>3817</v>
      </c>
      <c r="I3832" s="102">
        <v>0.66781716819195769</v>
      </c>
      <c r="J3832" s="103">
        <v>1.556441724938693E-3</v>
      </c>
      <c r="K3832" s="103"/>
      <c r="L3832" s="103">
        <v>4.2000000000000003E-2</v>
      </c>
      <c r="O3832" s="100"/>
    </row>
    <row r="3833" spans="2:15" x14ac:dyDescent="0.2">
      <c r="B3833" s="1">
        <v>3818</v>
      </c>
      <c r="C3833" s="101">
        <f ca="1"/>
        <v>-4.4944248644817636E-2</v>
      </c>
      <c r="D3833" s="101">
        <f t="shared" ca="1" si="216"/>
        <v>0.66156270804785844</v>
      </c>
      <c r="E3833" s="101">
        <f t="shared" ca="1" si="217"/>
        <v>0</v>
      </c>
      <c r="F3833" s="21">
        <f t="shared" ca="1" si="218"/>
        <v>0</v>
      </c>
      <c r="H3833" s="21">
        <v>3818</v>
      </c>
      <c r="I3833" s="102">
        <v>0.6677870357488821</v>
      </c>
      <c r="J3833" s="103">
        <v>1.418816214643783E-3</v>
      </c>
      <c r="K3833" s="103"/>
      <c r="L3833" s="103">
        <v>4.4600000000000001E-2</v>
      </c>
      <c r="O3833" s="100"/>
    </row>
    <row r="3834" spans="2:15" x14ac:dyDescent="0.2">
      <c r="B3834" s="1">
        <v>3819</v>
      </c>
      <c r="C3834" s="101">
        <f ca="1"/>
        <v>0.67440934600858482</v>
      </c>
      <c r="D3834" s="101">
        <f t="shared" ca="1" si="216"/>
        <v>0.71021146809749869</v>
      </c>
      <c r="E3834" s="101">
        <f t="shared" ca="1" si="217"/>
        <v>0</v>
      </c>
      <c r="F3834" s="21">
        <f t="shared" ca="1" si="218"/>
        <v>0</v>
      </c>
      <c r="H3834" s="21">
        <v>3819</v>
      </c>
      <c r="I3834" s="102">
        <v>0.66780416057516501</v>
      </c>
      <c r="J3834" s="103">
        <v>1.2804325592161896E-3</v>
      </c>
      <c r="K3834" s="103"/>
      <c r="L3834" s="103">
        <v>4.1000000000000002E-2</v>
      </c>
      <c r="O3834" s="100"/>
    </row>
    <row r="3835" spans="2:15" x14ac:dyDescent="0.2">
      <c r="B3835" s="1">
        <v>3820</v>
      </c>
      <c r="C3835" s="101">
        <f ca="1"/>
        <v>0.5099168987819046</v>
      </c>
      <c r="D3835" s="101">
        <f t="shared" ca="1" si="216"/>
        <v>0.69878073906431715</v>
      </c>
      <c r="E3835" s="101">
        <f t="shared" ca="1" si="217"/>
        <v>0</v>
      </c>
      <c r="F3835" s="21">
        <f t="shared" ca="1" si="218"/>
        <v>0</v>
      </c>
      <c r="H3835" s="21">
        <v>3820</v>
      </c>
      <c r="I3835" s="102">
        <v>0.66796302240834204</v>
      </c>
      <c r="J3835" s="103">
        <v>1.7870547904568308E-3</v>
      </c>
      <c r="K3835" s="103"/>
      <c r="L3835" s="103">
        <v>4.7199999999999999E-2</v>
      </c>
      <c r="O3835" s="100"/>
    </row>
    <row r="3836" spans="2:15" x14ac:dyDescent="0.2">
      <c r="B3836" s="1">
        <v>3821</v>
      </c>
      <c r="C3836" s="101">
        <f ca="1"/>
        <v>2.2661718838030804</v>
      </c>
      <c r="D3836" s="101">
        <f t="shared" ca="1" si="216"/>
        <v>0.8309555761414954</v>
      </c>
      <c r="E3836" s="101">
        <f t="shared" ca="1" si="217"/>
        <v>4.2755576141495388E-2</v>
      </c>
      <c r="F3836" s="21">
        <f t="shared" ca="1" si="218"/>
        <v>1</v>
      </c>
      <c r="H3836" s="21">
        <v>3821</v>
      </c>
      <c r="I3836" s="102">
        <v>0.66776514687927702</v>
      </c>
      <c r="J3836" s="103">
        <v>1.409398317563486E-3</v>
      </c>
      <c r="K3836" s="103"/>
      <c r="L3836" s="103">
        <v>4.2599999999999999E-2</v>
      </c>
      <c r="O3836" s="100"/>
    </row>
    <row r="3837" spans="2:15" x14ac:dyDescent="0.2">
      <c r="B3837" s="1">
        <v>3822</v>
      </c>
      <c r="C3837" s="101">
        <f ca="1"/>
        <v>0.21996157610126185</v>
      </c>
      <c r="D3837" s="101">
        <f t="shared" ca="1" si="216"/>
        <v>0.67907762093048718</v>
      </c>
      <c r="E3837" s="101">
        <f t="shared" ca="1" si="217"/>
        <v>0</v>
      </c>
      <c r="F3837" s="21">
        <f t="shared" ca="1" si="218"/>
        <v>0</v>
      </c>
      <c r="H3837" s="21">
        <v>3822</v>
      </c>
      <c r="I3837" s="102">
        <v>0.66778178275199296</v>
      </c>
      <c r="J3837" s="103">
        <v>1.5684213712680937E-3</v>
      </c>
      <c r="K3837" s="103"/>
      <c r="L3837" s="103">
        <v>4.4400000000000002E-2</v>
      </c>
      <c r="O3837" s="100"/>
    </row>
    <row r="3838" spans="2:15" x14ac:dyDescent="0.2">
      <c r="B3838" s="1">
        <v>3823</v>
      </c>
      <c r="C3838" s="101">
        <f ca="1"/>
        <v>0.15308830042992391</v>
      </c>
      <c r="D3838" s="101">
        <f t="shared" ca="1" si="216"/>
        <v>0.67461284880133898</v>
      </c>
      <c r="E3838" s="101">
        <f t="shared" ca="1" si="217"/>
        <v>0</v>
      </c>
      <c r="F3838" s="21">
        <f t="shared" ca="1" si="218"/>
        <v>0</v>
      </c>
      <c r="H3838" s="21">
        <v>3823</v>
      </c>
      <c r="I3838" s="102">
        <v>0.6676845246850257</v>
      </c>
      <c r="J3838" s="103">
        <v>1.2420278548963169E-3</v>
      </c>
      <c r="K3838" s="103"/>
      <c r="L3838" s="103">
        <v>3.9199999999999999E-2</v>
      </c>
      <c r="O3838" s="100"/>
    </row>
    <row r="3839" spans="2:15" x14ac:dyDescent="0.2">
      <c r="B3839" s="1">
        <v>3824</v>
      </c>
      <c r="C3839" s="101">
        <f ca="1"/>
        <v>-0.30586329055827532</v>
      </c>
      <c r="D3839" s="101">
        <f t="shared" ca="1" si="216"/>
        <v>0.64475305021321438</v>
      </c>
      <c r="E3839" s="101">
        <f t="shared" ca="1" si="217"/>
        <v>0</v>
      </c>
      <c r="F3839" s="21">
        <f t="shared" ca="1" si="218"/>
        <v>0</v>
      </c>
      <c r="H3839" s="21">
        <v>3824</v>
      </c>
      <c r="I3839" s="102">
        <v>0.66783547665718201</v>
      </c>
      <c r="J3839" s="103">
        <v>1.4892437691531612E-3</v>
      </c>
      <c r="K3839" s="103"/>
      <c r="L3839" s="103">
        <v>4.3200000000000002E-2</v>
      </c>
      <c r="O3839" s="100"/>
    </row>
    <row r="3840" spans="2:15" x14ac:dyDescent="0.2">
      <c r="B3840" s="1">
        <v>3825</v>
      </c>
      <c r="C3840" s="101">
        <f ca="1"/>
        <v>-2.3134312326528992</v>
      </c>
      <c r="D3840" s="101">
        <f t="shared" ca="1" si="216"/>
        <v>0.52892053978115083</v>
      </c>
      <c r="E3840" s="101">
        <f t="shared" ca="1" si="217"/>
        <v>0</v>
      </c>
      <c r="F3840" s="21">
        <f t="shared" ca="1" si="218"/>
        <v>0</v>
      </c>
      <c r="H3840" s="21">
        <v>3825</v>
      </c>
      <c r="I3840" s="102">
        <v>0.66770198735680619</v>
      </c>
      <c r="J3840" s="103">
        <v>1.3831917931643137E-3</v>
      </c>
      <c r="K3840" s="103"/>
      <c r="L3840" s="103">
        <v>4.02E-2</v>
      </c>
      <c r="O3840" s="100"/>
    </row>
    <row r="3841" spans="2:15" x14ac:dyDescent="0.2">
      <c r="B3841" s="1">
        <v>3826</v>
      </c>
      <c r="C3841" s="101">
        <f ca="1"/>
        <v>-0.62222617936907043</v>
      </c>
      <c r="D3841" s="101">
        <f t="shared" ca="1" si="216"/>
        <v>0.62494329700029638</v>
      </c>
      <c r="E3841" s="101">
        <f t="shared" ca="1" si="217"/>
        <v>0</v>
      </c>
      <c r="F3841" s="21">
        <f t="shared" ca="1" si="218"/>
        <v>0</v>
      </c>
      <c r="H3841" s="21">
        <v>3826</v>
      </c>
      <c r="I3841" s="102">
        <v>0.66759260106995399</v>
      </c>
      <c r="J3841" s="103">
        <v>1.2332337158333245E-3</v>
      </c>
      <c r="K3841" s="103"/>
      <c r="L3841" s="103">
        <v>3.9600000000000003E-2</v>
      </c>
      <c r="O3841" s="100"/>
    </row>
    <row r="3842" spans="2:15" x14ac:dyDescent="0.2">
      <c r="B3842" s="1">
        <v>3827</v>
      </c>
      <c r="C3842" s="101">
        <f ca="1"/>
        <v>1.9739761250252728</v>
      </c>
      <c r="D3842" s="101">
        <f t="shared" ca="1" si="216"/>
        <v>0.80734715712888661</v>
      </c>
      <c r="E3842" s="101">
        <f t="shared" ca="1" si="217"/>
        <v>1.9147157128886594E-2</v>
      </c>
      <c r="F3842" s="21">
        <f t="shared" ca="1" si="218"/>
        <v>1</v>
      </c>
      <c r="H3842" s="21">
        <v>3827</v>
      </c>
      <c r="I3842" s="102">
        <v>0.66761933541042695</v>
      </c>
      <c r="J3842" s="103">
        <v>1.2502235601113342E-3</v>
      </c>
      <c r="K3842" s="103"/>
      <c r="L3842" s="103">
        <v>4.2599999999999999E-2</v>
      </c>
      <c r="O3842" s="100"/>
    </row>
    <row r="3843" spans="2:15" x14ac:dyDescent="0.2">
      <c r="B3843" s="1">
        <v>3828</v>
      </c>
      <c r="C3843" s="101">
        <f ca="1"/>
        <v>-2.6934107639761384</v>
      </c>
      <c r="D3843" s="101">
        <f t="shared" ca="1" si="216"/>
        <v>0.50946264219357484</v>
      </c>
      <c r="E3843" s="101">
        <f t="shared" ca="1" si="217"/>
        <v>0</v>
      </c>
      <c r="F3843" s="21">
        <f t="shared" ca="1" si="218"/>
        <v>0</v>
      </c>
      <c r="H3843" s="21">
        <v>3828</v>
      </c>
      <c r="I3843" s="102">
        <v>0.66748082199874903</v>
      </c>
      <c r="J3843" s="103">
        <v>1.0808819681199084E-3</v>
      </c>
      <c r="K3843" s="103"/>
      <c r="L3843" s="103">
        <v>3.5799999999999998E-2</v>
      </c>
      <c r="O3843" s="100"/>
    </row>
    <row r="3844" spans="2:15" x14ac:dyDescent="0.2">
      <c r="B3844" s="1">
        <v>3829</v>
      </c>
      <c r="C3844" s="101">
        <f ca="1"/>
        <v>0.97748101508120244</v>
      </c>
      <c r="D3844" s="101">
        <f t="shared" ca="1" si="216"/>
        <v>0.73176407443006564</v>
      </c>
      <c r="E3844" s="101">
        <f t="shared" ca="1" si="217"/>
        <v>0</v>
      </c>
      <c r="F3844" s="21">
        <f t="shared" ca="1" si="218"/>
        <v>0</v>
      </c>
      <c r="H3844" s="21">
        <v>3829</v>
      </c>
      <c r="I3844" s="102">
        <v>0.66764066000138222</v>
      </c>
      <c r="J3844" s="103">
        <v>1.2972325018557934E-3</v>
      </c>
      <c r="K3844" s="103"/>
      <c r="L3844" s="103">
        <v>4.1200000000000001E-2</v>
      </c>
      <c r="O3844" s="100"/>
    </row>
    <row r="3845" spans="2:15" x14ac:dyDescent="0.2">
      <c r="B3845" s="1">
        <v>3830</v>
      </c>
      <c r="C3845" s="101">
        <f ca="1"/>
        <v>-1.4957534255784055</v>
      </c>
      <c r="D3845" s="101">
        <f t="shared" ca="1" si="216"/>
        <v>0.5733492458605205</v>
      </c>
      <c r="E3845" s="101">
        <f t="shared" ca="1" si="217"/>
        <v>0</v>
      </c>
      <c r="F3845" s="21">
        <f t="shared" ca="1" si="218"/>
        <v>0</v>
      </c>
      <c r="H3845" s="21">
        <v>3830</v>
      </c>
      <c r="I3845" s="102">
        <v>0.66774507371827441</v>
      </c>
      <c r="J3845" s="103">
        <v>1.477510608434839E-3</v>
      </c>
      <c r="K3845" s="103"/>
      <c r="L3845" s="103">
        <v>4.2200000000000001E-2</v>
      </c>
      <c r="O3845" s="100"/>
    </row>
    <row r="3846" spans="2:15" x14ac:dyDescent="0.2">
      <c r="B3846" s="1">
        <v>3831</v>
      </c>
      <c r="C3846" s="101">
        <f ca="1"/>
        <v>-0.5761826537053818</v>
      </c>
      <c r="D3846" s="101">
        <f t="shared" ca="1" si="216"/>
        <v>0.62778811637810161</v>
      </c>
      <c r="E3846" s="101">
        <f t="shared" ca="1" si="217"/>
        <v>0</v>
      </c>
      <c r="F3846" s="21">
        <f t="shared" ca="1" si="218"/>
        <v>0</v>
      </c>
      <c r="H3846" s="21">
        <v>3831</v>
      </c>
      <c r="I3846" s="102">
        <v>0.66765475143643227</v>
      </c>
      <c r="J3846" s="103">
        <v>1.3335305022558772E-3</v>
      </c>
      <c r="K3846" s="103"/>
      <c r="L3846" s="103">
        <v>3.9199999999999999E-2</v>
      </c>
      <c r="O3846" s="100"/>
    </row>
    <row r="3847" spans="2:15" x14ac:dyDescent="0.2">
      <c r="B3847" s="1">
        <v>3832</v>
      </c>
      <c r="C3847" s="101">
        <f ca="1"/>
        <v>-1.0561178725109281</v>
      </c>
      <c r="D3847" s="101">
        <f t="shared" ca="1" si="216"/>
        <v>0.59876025083476758</v>
      </c>
      <c r="E3847" s="101">
        <f t="shared" ca="1" si="217"/>
        <v>0</v>
      </c>
      <c r="F3847" s="21">
        <f t="shared" ca="1" si="218"/>
        <v>0</v>
      </c>
      <c r="H3847" s="21">
        <v>3832</v>
      </c>
      <c r="I3847" s="102">
        <v>0.66780329733276533</v>
      </c>
      <c r="J3847" s="103">
        <v>1.4436271448771819E-3</v>
      </c>
      <c r="K3847" s="103"/>
      <c r="L3847" s="103">
        <v>4.3200000000000002E-2</v>
      </c>
      <c r="O3847" s="100"/>
    </row>
    <row r="3848" spans="2:15" x14ac:dyDescent="0.2">
      <c r="B3848" s="1">
        <v>3833</v>
      </c>
      <c r="C3848" s="101">
        <f ca="1"/>
        <v>0.10030156113763397</v>
      </c>
      <c r="D3848" s="101">
        <f t="shared" ca="1" si="216"/>
        <v>0.67110930008998393</v>
      </c>
      <c r="E3848" s="101">
        <f t="shared" ca="1" si="217"/>
        <v>0</v>
      </c>
      <c r="F3848" s="21">
        <f t="shared" ca="1" si="218"/>
        <v>0</v>
      </c>
      <c r="H3848" s="21">
        <v>3833</v>
      </c>
      <c r="I3848" s="102">
        <v>0.66801208304084292</v>
      </c>
      <c r="J3848" s="103">
        <v>1.6850200864234448E-3</v>
      </c>
      <c r="K3848" s="103"/>
      <c r="L3848" s="103">
        <v>4.8000000000000001E-2</v>
      </c>
      <c r="O3848" s="100"/>
    </row>
    <row r="3849" spans="2:15" x14ac:dyDescent="0.2">
      <c r="B3849" s="1">
        <v>3834</v>
      </c>
      <c r="C3849" s="101">
        <f ca="1"/>
        <v>0.15959584147410019</v>
      </c>
      <c r="D3849" s="101">
        <f t="shared" ca="1" si="216"/>
        <v>0.67504603022291065</v>
      </c>
      <c r="E3849" s="101">
        <f t="shared" ca="1" si="217"/>
        <v>0</v>
      </c>
      <c r="F3849" s="21">
        <f t="shared" ca="1" si="218"/>
        <v>0</v>
      </c>
      <c r="H3849" s="21">
        <v>3834</v>
      </c>
      <c r="I3849" s="102">
        <v>0.66764940970600628</v>
      </c>
      <c r="J3849" s="103">
        <v>1.3333784457032478E-3</v>
      </c>
      <c r="K3849" s="103"/>
      <c r="L3849" s="103">
        <v>3.9600000000000003E-2</v>
      </c>
      <c r="O3849" s="100"/>
    </row>
    <row r="3850" spans="2:15" x14ac:dyDescent="0.2">
      <c r="B3850" s="1">
        <v>3835</v>
      </c>
      <c r="C3850" s="101">
        <f ca="1"/>
        <v>0.25849895459160549</v>
      </c>
      <c r="D3850" s="101">
        <f t="shared" ca="1" si="216"/>
        <v>0.68166396445118616</v>
      </c>
      <c r="E3850" s="101">
        <f t="shared" ca="1" si="217"/>
        <v>0</v>
      </c>
      <c r="F3850" s="21">
        <f t="shared" ca="1" si="218"/>
        <v>0</v>
      </c>
      <c r="H3850" s="21">
        <v>3835</v>
      </c>
      <c r="I3850" s="102">
        <v>0.66768920061942549</v>
      </c>
      <c r="J3850" s="103">
        <v>1.2403152935698907E-3</v>
      </c>
      <c r="K3850" s="103"/>
      <c r="L3850" s="103">
        <v>3.78E-2</v>
      </c>
      <c r="O3850" s="100"/>
    </row>
    <row r="3851" spans="2:15" x14ac:dyDescent="0.2">
      <c r="B3851" s="1">
        <v>3836</v>
      </c>
      <c r="C3851" s="101">
        <f ca="1"/>
        <v>0.40677427743571803</v>
      </c>
      <c r="D3851" s="101">
        <f t="shared" ca="1" si="216"/>
        <v>0.69170730057778285</v>
      </c>
      <c r="E3851" s="101">
        <f t="shared" ca="1" si="217"/>
        <v>0</v>
      </c>
      <c r="F3851" s="21">
        <f t="shared" ca="1" si="218"/>
        <v>0</v>
      </c>
      <c r="H3851" s="21">
        <v>3836</v>
      </c>
      <c r="I3851" s="102">
        <v>0.66779638871561176</v>
      </c>
      <c r="J3851" s="103">
        <v>1.42984806218209E-3</v>
      </c>
      <c r="K3851" s="103"/>
      <c r="L3851" s="103">
        <v>4.1399999999999999E-2</v>
      </c>
      <c r="O3851" s="100"/>
    </row>
    <row r="3852" spans="2:15" x14ac:dyDescent="0.2">
      <c r="B3852" s="1">
        <v>3837</v>
      </c>
      <c r="C3852" s="101">
        <f ca="1"/>
        <v>-0.77433557532056774</v>
      </c>
      <c r="D3852" s="101">
        <f t="shared" ca="1" si="216"/>
        <v>0.61563647315089309</v>
      </c>
      <c r="E3852" s="101">
        <f t="shared" ca="1" si="217"/>
        <v>0</v>
      </c>
      <c r="F3852" s="21">
        <f t="shared" ca="1" si="218"/>
        <v>0</v>
      </c>
      <c r="H3852" s="21">
        <v>3837</v>
      </c>
      <c r="I3852" s="102">
        <v>0.667902016730616</v>
      </c>
      <c r="J3852" s="103">
        <v>1.736510548363043E-3</v>
      </c>
      <c r="K3852" s="103"/>
      <c r="L3852" s="103">
        <v>4.5199999999999997E-2</v>
      </c>
      <c r="O3852" s="100"/>
    </row>
    <row r="3853" spans="2:15" x14ac:dyDescent="0.2">
      <c r="B3853" s="1">
        <v>3838</v>
      </c>
      <c r="C3853" s="101">
        <f ca="1"/>
        <v>-1.8865982376006651</v>
      </c>
      <c r="D3853" s="101">
        <f t="shared" ca="1" si="216"/>
        <v>0.55166533472005341</v>
      </c>
      <c r="E3853" s="101">
        <f t="shared" ca="1" si="217"/>
        <v>0</v>
      </c>
      <c r="F3853" s="21">
        <f t="shared" ca="1" si="218"/>
        <v>0</v>
      </c>
      <c r="H3853" s="21">
        <v>3838</v>
      </c>
      <c r="I3853" s="102">
        <v>0.66789581306410795</v>
      </c>
      <c r="J3853" s="103">
        <v>1.5090543175284225E-3</v>
      </c>
      <c r="K3853" s="103"/>
      <c r="L3853" s="103">
        <v>4.5999999999999999E-2</v>
      </c>
      <c r="O3853" s="100"/>
    </row>
    <row r="3854" spans="2:15" x14ac:dyDescent="0.2">
      <c r="B3854" s="1">
        <v>3839</v>
      </c>
      <c r="C3854" s="101">
        <f ca="1"/>
        <v>-0.55318795610872906</v>
      </c>
      <c r="D3854" s="101">
        <f t="shared" ca="1" si="216"/>
        <v>0.62921369878192557</v>
      </c>
      <c r="E3854" s="101">
        <f t="shared" ca="1" si="217"/>
        <v>0</v>
      </c>
      <c r="F3854" s="21">
        <f t="shared" ca="1" si="218"/>
        <v>0</v>
      </c>
      <c r="H3854" s="21">
        <v>3839</v>
      </c>
      <c r="I3854" s="102">
        <v>0.66765742096043901</v>
      </c>
      <c r="J3854" s="103">
        <v>1.2565652824367644E-3</v>
      </c>
      <c r="K3854" s="103"/>
      <c r="L3854" s="103">
        <v>4.2200000000000001E-2</v>
      </c>
      <c r="O3854" s="100"/>
    </row>
    <row r="3855" spans="2:15" x14ac:dyDescent="0.2">
      <c r="B3855" s="1">
        <v>3840</v>
      </c>
      <c r="C3855" s="101">
        <f ca="1"/>
        <v>1.481107377004377</v>
      </c>
      <c r="D3855" s="101">
        <f t="shared" ca="1" si="216"/>
        <v>0.76903503785679816</v>
      </c>
      <c r="E3855" s="101">
        <f t="shared" ca="1" si="217"/>
        <v>0</v>
      </c>
      <c r="F3855" s="21">
        <f t="shared" ca="1" si="218"/>
        <v>0</v>
      </c>
      <c r="H3855" s="21">
        <v>3840</v>
      </c>
      <c r="I3855" s="102">
        <v>0.66769850644829598</v>
      </c>
      <c r="J3855" s="103">
        <v>1.3830875765329094E-3</v>
      </c>
      <c r="K3855" s="103"/>
      <c r="L3855" s="103">
        <v>4.0599999999999997E-2</v>
      </c>
      <c r="O3855" s="100"/>
    </row>
    <row r="3856" spans="2:15" x14ac:dyDescent="0.2">
      <c r="B3856" s="1">
        <v>3841</v>
      </c>
      <c r="C3856" s="101">
        <f ca="1"/>
        <v>-0.82231274590067505</v>
      </c>
      <c r="D3856" s="101">
        <f t="shared" ref="D3856:D3919" ca="1" si="219">S0*EXP((μ-0.5*σ*σ)*T+σ*SQRT(T)*$C3856)</f>
        <v>0.61272983731640251</v>
      </c>
      <c r="E3856" s="101">
        <f t="shared" ref="E3856:E3919" ca="1" si="220">MAX(0,CP*(D3856-K))</f>
        <v>0</v>
      </c>
      <c r="F3856" s="21">
        <f t="shared" ref="F3856:F3919" ca="1" si="221">(CP*(D3856-K)&gt;0)*1</f>
        <v>0</v>
      </c>
      <c r="H3856" s="21">
        <v>3841</v>
      </c>
      <c r="I3856" s="102">
        <v>0.66770659949802003</v>
      </c>
      <c r="J3856" s="103">
        <v>1.3240289663984225E-3</v>
      </c>
      <c r="K3856" s="103"/>
      <c r="L3856" s="103">
        <v>3.9399999999999998E-2</v>
      </c>
      <c r="O3856" s="100"/>
    </row>
    <row r="3857" spans="2:15" x14ac:dyDescent="0.2">
      <c r="B3857" s="1">
        <v>3842</v>
      </c>
      <c r="C3857" s="101">
        <f ca="1"/>
        <v>4.5184118324766938E-2</v>
      </c>
      <c r="D3857" s="101">
        <f t="shared" ca="1" si="219"/>
        <v>0.66747047521978931</v>
      </c>
      <c r="E3857" s="101">
        <f t="shared" ca="1" si="220"/>
        <v>0</v>
      </c>
      <c r="F3857" s="21">
        <f t="shared" ca="1" si="221"/>
        <v>0</v>
      </c>
      <c r="H3857" s="21">
        <v>3842</v>
      </c>
      <c r="I3857" s="102">
        <v>0.66775667314867837</v>
      </c>
      <c r="J3857" s="103">
        <v>1.4406240436053454E-3</v>
      </c>
      <c r="K3857" s="103"/>
      <c r="L3857" s="103">
        <v>3.8399999999999997E-2</v>
      </c>
      <c r="O3857" s="100"/>
    </row>
    <row r="3858" spans="2:15" x14ac:dyDescent="0.2">
      <c r="B3858" s="1">
        <v>3843</v>
      </c>
      <c r="C3858" s="101">
        <f ca="1"/>
        <v>-0.60436893769777156</v>
      </c>
      <c r="D3858" s="101">
        <f t="shared" ca="1" si="219"/>
        <v>0.62604508095613454</v>
      </c>
      <c r="E3858" s="101">
        <f t="shared" ca="1" si="220"/>
        <v>0</v>
      </c>
      <c r="F3858" s="21">
        <f t="shared" ca="1" si="221"/>
        <v>0</v>
      </c>
      <c r="H3858" s="21">
        <v>3843</v>
      </c>
      <c r="I3858" s="102">
        <v>0.66777277304252125</v>
      </c>
      <c r="J3858" s="103">
        <v>1.2791958344920218E-3</v>
      </c>
      <c r="K3858" s="103"/>
      <c r="L3858" s="103">
        <v>3.9399999999999998E-2</v>
      </c>
      <c r="O3858" s="100"/>
    </row>
    <row r="3859" spans="2:15" x14ac:dyDescent="0.2">
      <c r="B3859" s="1">
        <v>3844</v>
      </c>
      <c r="C3859" s="101">
        <f ca="1"/>
        <v>0.52491167093283109</v>
      </c>
      <c r="D3859" s="101">
        <f t="shared" ca="1" si="219"/>
        <v>0.69981507334903414</v>
      </c>
      <c r="E3859" s="101">
        <f t="shared" ca="1" si="220"/>
        <v>0</v>
      </c>
      <c r="F3859" s="21">
        <f t="shared" ca="1" si="221"/>
        <v>0</v>
      </c>
      <c r="H3859" s="21">
        <v>3844</v>
      </c>
      <c r="I3859" s="102">
        <v>0.66782159563212706</v>
      </c>
      <c r="J3859" s="103">
        <v>1.5482421860397197E-3</v>
      </c>
      <c r="K3859" s="103"/>
      <c r="L3859" s="103">
        <v>4.3799999999999999E-2</v>
      </c>
      <c r="O3859" s="100"/>
    </row>
    <row r="3860" spans="2:15" x14ac:dyDescent="0.2">
      <c r="B3860" s="1">
        <v>3845</v>
      </c>
      <c r="C3860" s="101">
        <f ca="1"/>
        <v>-0.8518969613900621</v>
      </c>
      <c r="D3860" s="101">
        <f t="shared" ca="1" si="219"/>
        <v>0.61094435950976056</v>
      </c>
      <c r="E3860" s="101">
        <f t="shared" ca="1" si="220"/>
        <v>0</v>
      </c>
      <c r="F3860" s="21">
        <f t="shared" ca="1" si="221"/>
        <v>0</v>
      </c>
      <c r="H3860" s="21">
        <v>3845</v>
      </c>
      <c r="I3860" s="102">
        <v>0.66761934253645749</v>
      </c>
      <c r="J3860" s="103">
        <v>1.1634672952473592E-3</v>
      </c>
      <c r="K3860" s="103"/>
      <c r="L3860" s="103">
        <v>4.0599999999999997E-2</v>
      </c>
      <c r="O3860" s="100"/>
    </row>
    <row r="3861" spans="2:15" x14ac:dyDescent="0.2">
      <c r="B3861" s="1">
        <v>3846</v>
      </c>
      <c r="C3861" s="101">
        <f ca="1"/>
        <v>1.2186906240497948</v>
      </c>
      <c r="D3861" s="101">
        <f t="shared" ca="1" si="219"/>
        <v>0.74938389449999199</v>
      </c>
      <c r="E3861" s="101">
        <f t="shared" ca="1" si="220"/>
        <v>0</v>
      </c>
      <c r="F3861" s="21">
        <f t="shared" ca="1" si="221"/>
        <v>0</v>
      </c>
      <c r="H3861" s="21">
        <v>3846</v>
      </c>
      <c r="I3861" s="102">
        <v>0.66764674539417412</v>
      </c>
      <c r="J3861" s="103">
        <v>1.3496426026749742E-3</v>
      </c>
      <c r="K3861" s="103"/>
      <c r="L3861" s="103">
        <v>4.02E-2</v>
      </c>
      <c r="O3861" s="100"/>
    </row>
    <row r="3862" spans="2:15" x14ac:dyDescent="0.2">
      <c r="B3862" s="1">
        <v>3847</v>
      </c>
      <c r="C3862" s="101">
        <f ca="1"/>
        <v>0.15137504543825289</v>
      </c>
      <c r="D3862" s="101">
        <f t="shared" ca="1" si="219"/>
        <v>0.67449885038499302</v>
      </c>
      <c r="E3862" s="101">
        <f t="shared" ca="1" si="220"/>
        <v>0</v>
      </c>
      <c r="F3862" s="21">
        <f t="shared" ca="1" si="221"/>
        <v>0</v>
      </c>
      <c r="H3862" s="21">
        <v>3847</v>
      </c>
      <c r="I3862" s="102">
        <v>0.66765978742495669</v>
      </c>
      <c r="J3862" s="103">
        <v>1.2939180902590065E-3</v>
      </c>
      <c r="K3862" s="103"/>
      <c r="L3862" s="103">
        <v>3.7400000000000003E-2</v>
      </c>
      <c r="O3862" s="100"/>
    </row>
    <row r="3863" spans="2:15" x14ac:dyDescent="0.2">
      <c r="B3863" s="1">
        <v>3848</v>
      </c>
      <c r="C3863" s="101">
        <f ca="1"/>
        <v>1.2225589499982361</v>
      </c>
      <c r="D3863" s="101">
        <f t="shared" ca="1" si="219"/>
        <v>0.74966989657087169</v>
      </c>
      <c r="E3863" s="101">
        <f t="shared" ca="1" si="220"/>
        <v>0</v>
      </c>
      <c r="F3863" s="21">
        <f t="shared" ca="1" si="221"/>
        <v>0</v>
      </c>
      <c r="H3863" s="21">
        <v>3848</v>
      </c>
      <c r="I3863" s="102">
        <v>0.66791811497372933</v>
      </c>
      <c r="J3863" s="103">
        <v>1.5247372384391729E-3</v>
      </c>
      <c r="K3863" s="103"/>
      <c r="L3863" s="103">
        <v>4.7399999999999998E-2</v>
      </c>
      <c r="O3863" s="100"/>
    </row>
    <row r="3864" spans="2:15" x14ac:dyDescent="0.2">
      <c r="B3864" s="1">
        <v>3849</v>
      </c>
      <c r="C3864" s="101">
        <f ca="1"/>
        <v>8.8590956561443251E-2</v>
      </c>
      <c r="D3864" s="101">
        <f t="shared" ca="1" si="219"/>
        <v>0.67033451605852712</v>
      </c>
      <c r="E3864" s="101">
        <f t="shared" ca="1" si="220"/>
        <v>0</v>
      </c>
      <c r="F3864" s="21">
        <f t="shared" ca="1" si="221"/>
        <v>0</v>
      </c>
      <c r="H3864" s="21">
        <v>3849</v>
      </c>
      <c r="I3864" s="102">
        <v>0.66777330105793575</v>
      </c>
      <c r="J3864" s="103">
        <v>1.312640891946528E-3</v>
      </c>
      <c r="K3864" s="103"/>
      <c r="L3864" s="103">
        <v>4.2599999999999999E-2</v>
      </c>
      <c r="O3864" s="100"/>
    </row>
    <row r="3865" spans="2:15" x14ac:dyDescent="0.2">
      <c r="B3865" s="1">
        <v>3850</v>
      </c>
      <c r="C3865" s="101">
        <f ca="1"/>
        <v>-2.0454868065168879</v>
      </c>
      <c r="D3865" s="101">
        <f t="shared" ca="1" si="219"/>
        <v>0.54308649903180584</v>
      </c>
      <c r="E3865" s="101">
        <f t="shared" ca="1" si="220"/>
        <v>0</v>
      </c>
      <c r="F3865" s="21">
        <f t="shared" ca="1" si="221"/>
        <v>0</v>
      </c>
      <c r="H3865" s="21">
        <v>3850</v>
      </c>
      <c r="I3865" s="102">
        <v>0.6677266900663934</v>
      </c>
      <c r="J3865" s="103">
        <v>1.1995429513219033E-3</v>
      </c>
      <c r="K3865" s="103"/>
      <c r="L3865" s="103">
        <v>3.8399999999999997E-2</v>
      </c>
      <c r="O3865" s="100"/>
    </row>
    <row r="3866" spans="2:15" x14ac:dyDescent="0.2">
      <c r="B3866" s="1">
        <v>3851</v>
      </c>
      <c r="C3866" s="101">
        <f ca="1"/>
        <v>6.6679646310665475E-2</v>
      </c>
      <c r="D3866" s="101">
        <f t="shared" ca="1" si="219"/>
        <v>0.66888724598448368</v>
      </c>
      <c r="E3866" s="101">
        <f t="shared" ca="1" si="220"/>
        <v>0</v>
      </c>
      <c r="F3866" s="21">
        <f t="shared" ca="1" si="221"/>
        <v>0</v>
      </c>
      <c r="H3866" s="21">
        <v>3851</v>
      </c>
      <c r="I3866" s="102">
        <v>0.66776090503872987</v>
      </c>
      <c r="J3866" s="103">
        <v>1.4448401991443052E-3</v>
      </c>
      <c r="K3866" s="103"/>
      <c r="L3866" s="103">
        <v>3.8800000000000001E-2</v>
      </c>
      <c r="O3866" s="100"/>
    </row>
    <row r="3867" spans="2:15" x14ac:dyDescent="0.2">
      <c r="B3867" s="1">
        <v>3852</v>
      </c>
      <c r="C3867" s="101">
        <f ca="1"/>
        <v>-0.75396460991554304</v>
      </c>
      <c r="D3867" s="101">
        <f t="shared" ca="1" si="219"/>
        <v>0.61687478852906874</v>
      </c>
      <c r="E3867" s="101">
        <f t="shared" ca="1" si="220"/>
        <v>0</v>
      </c>
      <c r="F3867" s="21">
        <f t="shared" ca="1" si="221"/>
        <v>0</v>
      </c>
      <c r="H3867" s="21">
        <v>3852</v>
      </c>
      <c r="I3867" s="102">
        <v>0.66780780228584413</v>
      </c>
      <c r="J3867" s="103">
        <v>1.3465090498437889E-3</v>
      </c>
      <c r="K3867" s="103"/>
      <c r="L3867" s="103">
        <v>4.36E-2</v>
      </c>
      <c r="O3867" s="100"/>
    </row>
    <row r="3868" spans="2:15" x14ac:dyDescent="0.2">
      <c r="B3868" s="1">
        <v>3853</v>
      </c>
      <c r="C3868" s="101">
        <f ca="1"/>
        <v>-1.1698370676065006</v>
      </c>
      <c r="D3868" s="101">
        <f t="shared" ca="1" si="219"/>
        <v>0.59208124094897407</v>
      </c>
      <c r="E3868" s="101">
        <f t="shared" ca="1" si="220"/>
        <v>0</v>
      </c>
      <c r="F3868" s="21">
        <f t="shared" ca="1" si="221"/>
        <v>0</v>
      </c>
      <c r="H3868" s="21">
        <v>3853</v>
      </c>
      <c r="I3868" s="102">
        <v>0.66775254750346846</v>
      </c>
      <c r="J3868" s="103">
        <v>1.432288458445171E-3</v>
      </c>
      <c r="K3868" s="103"/>
      <c r="L3868" s="103">
        <v>4.2000000000000003E-2</v>
      </c>
      <c r="O3868" s="100"/>
    </row>
    <row r="3869" spans="2:15" x14ac:dyDescent="0.2">
      <c r="B3869" s="1">
        <v>3854</v>
      </c>
      <c r="C3869" s="101">
        <f ca="1"/>
        <v>0.87940581255732164</v>
      </c>
      <c r="D3869" s="101">
        <f t="shared" ca="1" si="219"/>
        <v>0.72471892593436882</v>
      </c>
      <c r="E3869" s="101">
        <f t="shared" ca="1" si="220"/>
        <v>0</v>
      </c>
      <c r="F3869" s="21">
        <f t="shared" ca="1" si="221"/>
        <v>0</v>
      </c>
      <c r="H3869" s="21">
        <v>3854</v>
      </c>
      <c r="I3869" s="102">
        <v>0.66774295059936728</v>
      </c>
      <c r="J3869" s="103">
        <v>1.3546614502173968E-3</v>
      </c>
      <c r="K3869" s="103"/>
      <c r="L3869" s="103">
        <v>4.0800000000000003E-2</v>
      </c>
      <c r="O3869" s="100"/>
    </row>
    <row r="3870" spans="2:15" x14ac:dyDescent="0.2">
      <c r="B3870" s="1">
        <v>3855</v>
      </c>
      <c r="C3870" s="101">
        <f ca="1"/>
        <v>-0.58757003746369152</v>
      </c>
      <c r="D3870" s="101">
        <f t="shared" ca="1" si="219"/>
        <v>0.62708333883633127</v>
      </c>
      <c r="E3870" s="101">
        <f t="shared" ca="1" si="220"/>
        <v>0</v>
      </c>
      <c r="F3870" s="21">
        <f t="shared" ca="1" si="221"/>
        <v>0</v>
      </c>
      <c r="H3870" s="21">
        <v>3855</v>
      </c>
      <c r="I3870" s="102">
        <v>0.66764415740626259</v>
      </c>
      <c r="J3870" s="103">
        <v>1.2282278150997623E-3</v>
      </c>
      <c r="K3870" s="103"/>
      <c r="L3870" s="103">
        <v>4.1200000000000001E-2</v>
      </c>
      <c r="O3870" s="100"/>
    </row>
    <row r="3871" spans="2:15" x14ac:dyDescent="0.2">
      <c r="B3871" s="1">
        <v>3856</v>
      </c>
      <c r="C3871" s="101">
        <f ca="1"/>
        <v>6.0763966135677489E-4</v>
      </c>
      <c r="D3871" s="101">
        <f t="shared" ca="1" si="219"/>
        <v>0.66454199527431113</v>
      </c>
      <c r="E3871" s="101">
        <f t="shared" ca="1" si="220"/>
        <v>0</v>
      </c>
      <c r="F3871" s="21">
        <f t="shared" ca="1" si="221"/>
        <v>0</v>
      </c>
      <c r="H3871" s="21">
        <v>3856</v>
      </c>
      <c r="I3871" s="102">
        <v>0.66758615534205823</v>
      </c>
      <c r="J3871" s="103">
        <v>1.2460798947598046E-3</v>
      </c>
      <c r="K3871" s="103"/>
      <c r="L3871" s="103">
        <v>4.02E-2</v>
      </c>
      <c r="O3871" s="100"/>
    </row>
    <row r="3872" spans="2:15" x14ac:dyDescent="0.2">
      <c r="B3872" s="1">
        <v>3857</v>
      </c>
      <c r="C3872" s="101">
        <f ca="1"/>
        <v>-1.5011639581202043</v>
      </c>
      <c r="D3872" s="101">
        <f t="shared" ca="1" si="219"/>
        <v>0.57304332980352013</v>
      </c>
      <c r="E3872" s="101">
        <f t="shared" ca="1" si="220"/>
        <v>0</v>
      </c>
      <c r="F3872" s="21">
        <f t="shared" ca="1" si="221"/>
        <v>0</v>
      </c>
      <c r="H3872" s="21">
        <v>3857</v>
      </c>
      <c r="I3872" s="102">
        <v>0.66786923002433918</v>
      </c>
      <c r="J3872" s="103">
        <v>1.359776073551724E-3</v>
      </c>
      <c r="K3872" s="103"/>
      <c r="L3872" s="103">
        <v>4.8000000000000001E-2</v>
      </c>
      <c r="O3872" s="100"/>
    </row>
    <row r="3873" spans="2:15" x14ac:dyDescent="0.2">
      <c r="B3873" s="1">
        <v>3858</v>
      </c>
      <c r="C3873" s="101">
        <f ca="1"/>
        <v>-1.4528803919001461</v>
      </c>
      <c r="D3873" s="101">
        <f t="shared" ca="1" si="219"/>
        <v>0.5757791045198194</v>
      </c>
      <c r="E3873" s="101">
        <f t="shared" ca="1" si="220"/>
        <v>0</v>
      </c>
      <c r="F3873" s="21">
        <f t="shared" ca="1" si="221"/>
        <v>0</v>
      </c>
      <c r="H3873" s="21">
        <v>3858</v>
      </c>
      <c r="I3873" s="102">
        <v>0.66762634313929525</v>
      </c>
      <c r="J3873" s="103">
        <v>1.210535461697973E-3</v>
      </c>
      <c r="K3873" s="103"/>
      <c r="L3873" s="103">
        <v>3.7999999999999999E-2</v>
      </c>
      <c r="O3873" s="100"/>
    </row>
    <row r="3874" spans="2:15" x14ac:dyDescent="0.2">
      <c r="B3874" s="1">
        <v>3859</v>
      </c>
      <c r="C3874" s="101">
        <f ca="1"/>
        <v>-0.56896365125962556</v>
      </c>
      <c r="D3874" s="101">
        <f t="shared" ca="1" si="219"/>
        <v>0.6282353184614754</v>
      </c>
      <c r="E3874" s="101">
        <f t="shared" ca="1" si="220"/>
        <v>0</v>
      </c>
      <c r="F3874" s="21">
        <f t="shared" ca="1" si="221"/>
        <v>0</v>
      </c>
      <c r="H3874" s="21">
        <v>3859</v>
      </c>
      <c r="I3874" s="102">
        <v>0.66772323481914653</v>
      </c>
      <c r="J3874" s="103">
        <v>1.4446113040109325E-3</v>
      </c>
      <c r="K3874" s="103"/>
      <c r="L3874" s="103">
        <v>4.0800000000000003E-2</v>
      </c>
      <c r="O3874" s="100"/>
    </row>
    <row r="3875" spans="2:15" x14ac:dyDescent="0.2">
      <c r="B3875" s="1">
        <v>3860</v>
      </c>
      <c r="C3875" s="101">
        <f ca="1"/>
        <v>-1.6433252604830113</v>
      </c>
      <c r="D3875" s="101">
        <f t="shared" ca="1" si="219"/>
        <v>0.56506363533816273</v>
      </c>
      <c r="E3875" s="101">
        <f t="shared" ca="1" si="220"/>
        <v>0</v>
      </c>
      <c r="F3875" s="21">
        <f t="shared" ca="1" si="221"/>
        <v>0</v>
      </c>
      <c r="H3875" s="21">
        <v>3860</v>
      </c>
      <c r="I3875" s="102">
        <v>0.66769628287897065</v>
      </c>
      <c r="J3875" s="103">
        <v>1.2635380016877956E-3</v>
      </c>
      <c r="K3875" s="103"/>
      <c r="L3875" s="103">
        <v>4.02E-2</v>
      </c>
      <c r="O3875" s="100"/>
    </row>
    <row r="3876" spans="2:15" x14ac:dyDescent="0.2">
      <c r="B3876" s="1">
        <v>3861</v>
      </c>
      <c r="C3876" s="101">
        <f ca="1"/>
        <v>0.37461716160043462</v>
      </c>
      <c r="D3876" s="101">
        <f t="shared" ca="1" si="219"/>
        <v>0.68951666701762182</v>
      </c>
      <c r="E3876" s="101">
        <f t="shared" ca="1" si="220"/>
        <v>0</v>
      </c>
      <c r="F3876" s="21">
        <f t="shared" ca="1" si="221"/>
        <v>0</v>
      </c>
      <c r="H3876" s="21">
        <v>3861</v>
      </c>
      <c r="I3876" s="102">
        <v>0.66772205646227434</v>
      </c>
      <c r="J3876" s="103">
        <v>1.3104027290649751E-3</v>
      </c>
      <c r="K3876" s="103"/>
      <c r="L3876" s="103">
        <v>4.1200000000000001E-2</v>
      </c>
      <c r="O3876" s="100"/>
    </row>
    <row r="3877" spans="2:15" x14ac:dyDescent="0.2">
      <c r="B3877" s="1">
        <v>3862</v>
      </c>
      <c r="C3877" s="101">
        <f ca="1"/>
        <v>-0.47643822393379659</v>
      </c>
      <c r="D3877" s="101">
        <f t="shared" ca="1" si="219"/>
        <v>0.63399536141226076</v>
      </c>
      <c r="E3877" s="101">
        <f t="shared" ca="1" si="220"/>
        <v>0</v>
      </c>
      <c r="F3877" s="21">
        <f t="shared" ca="1" si="221"/>
        <v>0</v>
      </c>
      <c r="H3877" s="21">
        <v>3862</v>
      </c>
      <c r="I3877" s="102">
        <v>0.66781696823872849</v>
      </c>
      <c r="J3877" s="103">
        <v>1.3604498874082139E-3</v>
      </c>
      <c r="K3877" s="103"/>
      <c r="L3877" s="103">
        <v>4.4600000000000001E-2</v>
      </c>
      <c r="O3877" s="100"/>
    </row>
    <row r="3878" spans="2:15" x14ac:dyDescent="0.2">
      <c r="B3878" s="1">
        <v>3863</v>
      </c>
      <c r="C3878" s="101">
        <f ca="1"/>
        <v>-4.2818376497990432E-2</v>
      </c>
      <c r="D3878" s="101">
        <f t="shared" ca="1" si="219"/>
        <v>0.66170145153160187</v>
      </c>
      <c r="E3878" s="101">
        <f t="shared" ca="1" si="220"/>
        <v>0</v>
      </c>
      <c r="F3878" s="21">
        <f t="shared" ca="1" si="221"/>
        <v>0</v>
      </c>
      <c r="H3878" s="21">
        <v>3863</v>
      </c>
      <c r="I3878" s="102">
        <v>0.66778514071426998</v>
      </c>
      <c r="J3878" s="103">
        <v>1.466509124129443E-3</v>
      </c>
      <c r="K3878" s="103"/>
      <c r="L3878" s="103">
        <v>4.3200000000000002E-2</v>
      </c>
      <c r="O3878" s="100"/>
    </row>
    <row r="3879" spans="2:15" x14ac:dyDescent="0.2">
      <c r="B3879" s="1">
        <v>3864</v>
      </c>
      <c r="C3879" s="101">
        <f ca="1"/>
        <v>1.4378569390985718</v>
      </c>
      <c r="D3879" s="101">
        <f t="shared" ca="1" si="219"/>
        <v>0.76576110736280112</v>
      </c>
      <c r="E3879" s="101">
        <f t="shared" ca="1" si="220"/>
        <v>0</v>
      </c>
      <c r="F3879" s="21">
        <f t="shared" ca="1" si="221"/>
        <v>0</v>
      </c>
      <c r="H3879" s="21">
        <v>3864</v>
      </c>
      <c r="I3879" s="102">
        <v>0.66774481998458357</v>
      </c>
      <c r="J3879" s="103">
        <v>1.4263692258854937E-3</v>
      </c>
      <c r="K3879" s="103"/>
      <c r="L3879" s="103">
        <v>4.24E-2</v>
      </c>
      <c r="O3879" s="100"/>
    </row>
    <row r="3880" spans="2:15" x14ac:dyDescent="0.2">
      <c r="B3880" s="1">
        <v>3865</v>
      </c>
      <c r="C3880" s="101">
        <f ca="1"/>
        <v>0.82477612713213999</v>
      </c>
      <c r="D3880" s="101">
        <f t="shared" ca="1" si="219"/>
        <v>0.72082410426285337</v>
      </c>
      <c r="E3880" s="101">
        <f t="shared" ca="1" si="220"/>
        <v>0</v>
      </c>
      <c r="F3880" s="21">
        <f t="shared" ca="1" si="221"/>
        <v>0</v>
      </c>
      <c r="H3880" s="21">
        <v>3865</v>
      </c>
      <c r="I3880" s="102">
        <v>0.66765012566868032</v>
      </c>
      <c r="J3880" s="103">
        <v>1.2662874597925396E-3</v>
      </c>
      <c r="K3880" s="103"/>
      <c r="L3880" s="103">
        <v>4.2000000000000003E-2</v>
      </c>
      <c r="O3880" s="100"/>
    </row>
    <row r="3881" spans="2:15" x14ac:dyDescent="0.2">
      <c r="B3881" s="1">
        <v>3866</v>
      </c>
      <c r="C3881" s="101">
        <f ca="1"/>
        <v>-1.2822943547421106</v>
      </c>
      <c r="D3881" s="101">
        <f t="shared" ca="1" si="219"/>
        <v>0.58554961612414358</v>
      </c>
      <c r="E3881" s="101">
        <f t="shared" ca="1" si="220"/>
        <v>0</v>
      </c>
      <c r="F3881" s="21">
        <f t="shared" ca="1" si="221"/>
        <v>0</v>
      </c>
      <c r="H3881" s="21">
        <v>3866</v>
      </c>
      <c r="I3881" s="102">
        <v>0.66756367337730904</v>
      </c>
      <c r="J3881" s="103">
        <v>1.1790728984603989E-3</v>
      </c>
      <c r="K3881" s="103"/>
      <c r="L3881" s="103">
        <v>3.7199999999999997E-2</v>
      </c>
      <c r="O3881" s="100"/>
    </row>
    <row r="3882" spans="2:15" x14ac:dyDescent="0.2">
      <c r="B3882" s="1">
        <v>3867</v>
      </c>
      <c r="C3882" s="101">
        <f ca="1"/>
        <v>1.8470810706099174</v>
      </c>
      <c r="D3882" s="101">
        <f t="shared" ca="1" si="219"/>
        <v>0.79730449851861995</v>
      </c>
      <c r="E3882" s="101">
        <f t="shared" ca="1" si="220"/>
        <v>9.1044985186199412E-3</v>
      </c>
      <c r="F3882" s="21">
        <f t="shared" ca="1" si="221"/>
        <v>1</v>
      </c>
      <c r="H3882" s="21">
        <v>3867</v>
      </c>
      <c r="I3882" s="102">
        <v>0.66772382770139393</v>
      </c>
      <c r="J3882" s="103">
        <v>1.3171064731616882E-3</v>
      </c>
      <c r="K3882" s="103"/>
      <c r="L3882" s="103">
        <v>4.1799999999999997E-2</v>
      </c>
      <c r="O3882" s="100"/>
    </row>
    <row r="3883" spans="2:15" x14ac:dyDescent="0.2">
      <c r="B3883" s="1">
        <v>3868</v>
      </c>
      <c r="C3883" s="101">
        <f ca="1"/>
        <v>-1.8088730597092411</v>
      </c>
      <c r="D3883" s="101">
        <f t="shared" ca="1" si="219"/>
        <v>0.55591116112124939</v>
      </c>
      <c r="E3883" s="101">
        <f t="shared" ca="1" si="220"/>
        <v>0</v>
      </c>
      <c r="F3883" s="21">
        <f t="shared" ca="1" si="221"/>
        <v>0</v>
      </c>
      <c r="H3883" s="21">
        <v>3868</v>
      </c>
      <c r="I3883" s="102">
        <v>0.66775741525338861</v>
      </c>
      <c r="J3883" s="103">
        <v>1.3852298701472704E-3</v>
      </c>
      <c r="K3883" s="103"/>
      <c r="L3883" s="103">
        <v>4.3799999999999999E-2</v>
      </c>
      <c r="O3883" s="100"/>
    </row>
    <row r="3884" spans="2:15" x14ac:dyDescent="0.2">
      <c r="B3884" s="1">
        <v>3869</v>
      </c>
      <c r="C3884" s="101">
        <f ca="1"/>
        <v>0.88856109518318627</v>
      </c>
      <c r="D3884" s="101">
        <f t="shared" ca="1" si="219"/>
        <v>0.72537370739953477</v>
      </c>
      <c r="E3884" s="101">
        <f t="shared" ca="1" si="220"/>
        <v>0</v>
      </c>
      <c r="F3884" s="21">
        <f t="shared" ca="1" si="221"/>
        <v>0</v>
      </c>
      <c r="H3884" s="21">
        <v>3869</v>
      </c>
      <c r="I3884" s="102">
        <v>0.66764573396080618</v>
      </c>
      <c r="J3884" s="103">
        <v>1.2467630774693726E-3</v>
      </c>
      <c r="K3884" s="103"/>
      <c r="L3884" s="103">
        <v>3.8600000000000002E-2</v>
      </c>
      <c r="O3884" s="100"/>
    </row>
    <row r="3885" spans="2:15" x14ac:dyDescent="0.2">
      <c r="B3885" s="1">
        <v>3870</v>
      </c>
      <c r="C3885" s="101">
        <f ca="1"/>
        <v>-0.60261704085519974</v>
      </c>
      <c r="D3885" s="101">
        <f t="shared" ca="1" si="219"/>
        <v>0.62615327679631028</v>
      </c>
      <c r="E3885" s="101">
        <f t="shared" ca="1" si="220"/>
        <v>0</v>
      </c>
      <c r="F3885" s="21">
        <f t="shared" ca="1" si="221"/>
        <v>0</v>
      </c>
      <c r="H3885" s="21">
        <v>3870</v>
      </c>
      <c r="I3885" s="102">
        <v>0.66780299823528744</v>
      </c>
      <c r="J3885" s="103">
        <v>1.3378996739287494E-3</v>
      </c>
      <c r="K3885" s="103"/>
      <c r="L3885" s="103">
        <v>4.3200000000000002E-2</v>
      </c>
      <c r="O3885" s="100"/>
    </row>
    <row r="3886" spans="2:15" x14ac:dyDescent="0.2">
      <c r="B3886" s="1">
        <v>3871</v>
      </c>
      <c r="C3886" s="101">
        <f ca="1"/>
        <v>0.44902940532787139</v>
      </c>
      <c r="D3886" s="101">
        <f t="shared" ca="1" si="219"/>
        <v>0.69459642394455001</v>
      </c>
      <c r="E3886" s="101">
        <f t="shared" ca="1" si="220"/>
        <v>0</v>
      </c>
      <c r="F3886" s="21">
        <f t="shared" ca="1" si="221"/>
        <v>0</v>
      </c>
      <c r="H3886" s="21">
        <v>3871</v>
      </c>
      <c r="I3886" s="102">
        <v>0.66768478870391978</v>
      </c>
      <c r="J3886" s="103">
        <v>1.4505740068444235E-3</v>
      </c>
      <c r="K3886" s="103"/>
      <c r="L3886" s="103">
        <v>4.1799999999999997E-2</v>
      </c>
      <c r="O3886" s="100"/>
    </row>
    <row r="3887" spans="2:15" x14ac:dyDescent="0.2">
      <c r="B3887" s="1">
        <v>3872</v>
      </c>
      <c r="C3887" s="101">
        <f ca="1"/>
        <v>-0.7408096130220071</v>
      </c>
      <c r="D3887" s="101">
        <f t="shared" ca="1" si="219"/>
        <v>0.61767578108158239</v>
      </c>
      <c r="E3887" s="101">
        <f t="shared" ca="1" si="220"/>
        <v>0</v>
      </c>
      <c r="F3887" s="21">
        <f t="shared" ca="1" si="221"/>
        <v>0</v>
      </c>
      <c r="H3887" s="21">
        <v>3872</v>
      </c>
      <c r="I3887" s="102">
        <v>0.66775620071990671</v>
      </c>
      <c r="J3887" s="103">
        <v>1.2977900854588495E-3</v>
      </c>
      <c r="K3887" s="103"/>
      <c r="L3887" s="103">
        <v>4.2799999999999998E-2</v>
      </c>
      <c r="O3887" s="100"/>
    </row>
    <row r="3888" spans="2:15" x14ac:dyDescent="0.2">
      <c r="B3888" s="1">
        <v>3873</v>
      </c>
      <c r="C3888" s="101">
        <f ca="1"/>
        <v>1.3140839612963127</v>
      </c>
      <c r="D3888" s="101">
        <f t="shared" ca="1" si="219"/>
        <v>0.75646867168586107</v>
      </c>
      <c r="E3888" s="101">
        <f t="shared" ca="1" si="220"/>
        <v>0</v>
      </c>
      <c r="F3888" s="21">
        <f t="shared" ca="1" si="221"/>
        <v>0</v>
      </c>
      <c r="H3888" s="21">
        <v>3873</v>
      </c>
      <c r="I3888" s="102">
        <v>0.66767979485747142</v>
      </c>
      <c r="J3888" s="103">
        <v>1.217870758098394E-3</v>
      </c>
      <c r="K3888" s="103"/>
      <c r="L3888" s="103">
        <v>3.9399999999999998E-2</v>
      </c>
      <c r="O3888" s="100"/>
    </row>
    <row r="3889" spans="2:15" x14ac:dyDescent="0.2">
      <c r="B3889" s="1">
        <v>3874</v>
      </c>
      <c r="C3889" s="101">
        <f ca="1"/>
        <v>-0.34618709927892116</v>
      </c>
      <c r="D3889" s="101">
        <f t="shared" ca="1" si="219"/>
        <v>0.64219357802510935</v>
      </c>
      <c r="E3889" s="101">
        <f t="shared" ca="1" si="220"/>
        <v>0</v>
      </c>
      <c r="F3889" s="21">
        <f t="shared" ca="1" si="221"/>
        <v>0</v>
      </c>
      <c r="H3889" s="21">
        <v>3874</v>
      </c>
      <c r="I3889" s="102">
        <v>0.66775658991533937</v>
      </c>
      <c r="J3889" s="103">
        <v>1.4777842951642878E-3</v>
      </c>
      <c r="K3889" s="103"/>
      <c r="L3889" s="103">
        <v>3.9399999999999998E-2</v>
      </c>
      <c r="O3889" s="100"/>
    </row>
    <row r="3890" spans="2:15" x14ac:dyDescent="0.2">
      <c r="B3890" s="1">
        <v>3875</v>
      </c>
      <c r="C3890" s="101">
        <f ca="1"/>
        <v>-4.2977757685601796E-2</v>
      </c>
      <c r="D3890" s="101">
        <f t="shared" ca="1" si="219"/>
        <v>0.66169104862659711</v>
      </c>
      <c r="E3890" s="101">
        <f t="shared" ca="1" si="220"/>
        <v>0</v>
      </c>
      <c r="F3890" s="21">
        <f t="shared" ca="1" si="221"/>
        <v>0</v>
      </c>
      <c r="H3890" s="21">
        <v>3875</v>
      </c>
      <c r="I3890" s="102">
        <v>0.66780777910118949</v>
      </c>
      <c r="J3890" s="103">
        <v>1.3792139753693196E-3</v>
      </c>
      <c r="K3890" s="103"/>
      <c r="L3890" s="103">
        <v>4.3999999999999997E-2</v>
      </c>
      <c r="O3890" s="100"/>
    </row>
    <row r="3891" spans="2:15" x14ac:dyDescent="0.2">
      <c r="B3891" s="1">
        <v>3876</v>
      </c>
      <c r="C3891" s="101">
        <f ca="1"/>
        <v>-1.8565522845703559</v>
      </c>
      <c r="D3891" s="101">
        <f t="shared" ca="1" si="219"/>
        <v>0.55330277064128153</v>
      </c>
      <c r="E3891" s="101">
        <f t="shared" ca="1" si="220"/>
        <v>0</v>
      </c>
      <c r="F3891" s="21">
        <f t="shared" ca="1" si="221"/>
        <v>0</v>
      </c>
      <c r="H3891" s="21">
        <v>3876</v>
      </c>
      <c r="I3891" s="102">
        <v>0.6677610439173125</v>
      </c>
      <c r="J3891" s="103">
        <v>1.4389010308954043E-3</v>
      </c>
      <c r="K3891" s="103"/>
      <c r="L3891" s="103">
        <v>4.3799999999999999E-2</v>
      </c>
      <c r="O3891" s="100"/>
    </row>
    <row r="3892" spans="2:15" x14ac:dyDescent="0.2">
      <c r="B3892" s="1">
        <v>3877</v>
      </c>
      <c r="C3892" s="101">
        <f ca="1"/>
        <v>0.11744397112777809</v>
      </c>
      <c r="D3892" s="101">
        <f t="shared" ca="1" si="219"/>
        <v>0.67224507238984155</v>
      </c>
      <c r="E3892" s="101">
        <f t="shared" ca="1" si="220"/>
        <v>0</v>
      </c>
      <c r="F3892" s="21">
        <f t="shared" ca="1" si="221"/>
        <v>0</v>
      </c>
      <c r="H3892" s="21">
        <v>3877</v>
      </c>
      <c r="I3892" s="102">
        <v>0.66767987631814241</v>
      </c>
      <c r="J3892" s="103">
        <v>1.2683486968614317E-3</v>
      </c>
      <c r="K3892" s="103"/>
      <c r="L3892" s="103">
        <v>4.0800000000000003E-2</v>
      </c>
      <c r="O3892" s="100"/>
    </row>
    <row r="3893" spans="2:15" x14ac:dyDescent="0.2">
      <c r="B3893" s="1">
        <v>3878</v>
      </c>
      <c r="C3893" s="101">
        <f ca="1"/>
        <v>-1.7848760080804513</v>
      </c>
      <c r="D3893" s="101">
        <f t="shared" ca="1" si="219"/>
        <v>0.55722861764065712</v>
      </c>
      <c r="E3893" s="101">
        <f t="shared" ca="1" si="220"/>
        <v>0</v>
      </c>
      <c r="F3893" s="21">
        <f t="shared" ca="1" si="221"/>
        <v>0</v>
      </c>
      <c r="H3893" s="21">
        <v>3878</v>
      </c>
      <c r="I3893" s="102">
        <v>0.66772306323596253</v>
      </c>
      <c r="J3893" s="103">
        <v>1.3111323121523198E-3</v>
      </c>
      <c r="K3893" s="103"/>
      <c r="L3893" s="103">
        <v>3.9800000000000002E-2</v>
      </c>
      <c r="O3893" s="100"/>
    </row>
    <row r="3894" spans="2:15" x14ac:dyDescent="0.2">
      <c r="B3894" s="1">
        <v>3879</v>
      </c>
      <c r="C3894" s="101">
        <f ca="1"/>
        <v>1.1595249938622469</v>
      </c>
      <c r="D3894" s="101">
        <f t="shared" ca="1" si="219"/>
        <v>0.74502309562218361</v>
      </c>
      <c r="E3894" s="101">
        <f t="shared" ca="1" si="220"/>
        <v>0</v>
      </c>
      <c r="F3894" s="21">
        <f t="shared" ca="1" si="221"/>
        <v>0</v>
      </c>
      <c r="H3894" s="21">
        <v>3879</v>
      </c>
      <c r="I3894" s="102">
        <v>0.6676007278263526</v>
      </c>
      <c r="J3894" s="103">
        <v>1.1273112915420878E-3</v>
      </c>
      <c r="K3894" s="103"/>
      <c r="L3894" s="103">
        <v>3.6400000000000002E-2</v>
      </c>
      <c r="O3894" s="100"/>
    </row>
    <row r="3895" spans="2:15" x14ac:dyDescent="0.2">
      <c r="B3895" s="1">
        <v>3880</v>
      </c>
      <c r="C3895" s="101">
        <f ca="1"/>
        <v>0.44570483391027327</v>
      </c>
      <c r="D3895" s="101">
        <f t="shared" ca="1" si="219"/>
        <v>0.69436867524744073</v>
      </c>
      <c r="E3895" s="101">
        <f t="shared" ca="1" si="220"/>
        <v>0</v>
      </c>
      <c r="F3895" s="21">
        <f t="shared" ca="1" si="221"/>
        <v>0</v>
      </c>
      <c r="H3895" s="21">
        <v>3880</v>
      </c>
      <c r="I3895" s="102">
        <v>0.66775136356952458</v>
      </c>
      <c r="J3895" s="103">
        <v>1.2472718383820911E-3</v>
      </c>
      <c r="K3895" s="103"/>
      <c r="L3895" s="103">
        <v>4.1399999999999999E-2</v>
      </c>
      <c r="O3895" s="100"/>
    </row>
    <row r="3896" spans="2:15" x14ac:dyDescent="0.2">
      <c r="B3896" s="1">
        <v>3881</v>
      </c>
      <c r="C3896" s="101">
        <f ca="1"/>
        <v>-0.72695096852357288</v>
      </c>
      <c r="D3896" s="101">
        <f t="shared" ca="1" si="219"/>
        <v>0.61852074294880388</v>
      </c>
      <c r="E3896" s="101">
        <f t="shared" ca="1" si="220"/>
        <v>0</v>
      </c>
      <c r="F3896" s="21">
        <f t="shared" ca="1" si="221"/>
        <v>0</v>
      </c>
      <c r="H3896" s="21">
        <v>3881</v>
      </c>
      <c r="I3896" s="102">
        <v>0.66773804314110397</v>
      </c>
      <c r="J3896" s="103">
        <v>1.3288155351422728E-3</v>
      </c>
      <c r="K3896" s="103"/>
      <c r="L3896" s="103">
        <v>4.24E-2</v>
      </c>
      <c r="O3896" s="100"/>
    </row>
    <row r="3897" spans="2:15" x14ac:dyDescent="0.2">
      <c r="B3897" s="1">
        <v>3882</v>
      </c>
      <c r="C3897" s="101">
        <f ca="1"/>
        <v>-0.47123117499349709</v>
      </c>
      <c r="D3897" s="101">
        <f t="shared" ca="1" si="219"/>
        <v>0.6343210842267677</v>
      </c>
      <c r="E3897" s="101">
        <f t="shared" ca="1" si="220"/>
        <v>0</v>
      </c>
      <c r="F3897" s="21">
        <f t="shared" ca="1" si="221"/>
        <v>0</v>
      </c>
      <c r="H3897" s="21">
        <v>3882</v>
      </c>
      <c r="I3897" s="102">
        <v>0.66785580134749545</v>
      </c>
      <c r="J3897" s="103">
        <v>1.5202701531440137E-3</v>
      </c>
      <c r="K3897" s="103"/>
      <c r="L3897" s="103">
        <v>4.1200000000000001E-2</v>
      </c>
      <c r="O3897" s="100"/>
    </row>
    <row r="3898" spans="2:15" x14ac:dyDescent="0.2">
      <c r="B3898" s="1">
        <v>3883</v>
      </c>
      <c r="C3898" s="101">
        <f ca="1"/>
        <v>-0.52625105597684063</v>
      </c>
      <c r="D3898" s="101">
        <f t="shared" ca="1" si="219"/>
        <v>0.63088780031402802</v>
      </c>
      <c r="E3898" s="101">
        <f t="shared" ca="1" si="220"/>
        <v>0</v>
      </c>
      <c r="F3898" s="21">
        <f t="shared" ca="1" si="221"/>
        <v>0</v>
      </c>
      <c r="H3898" s="21">
        <v>3883</v>
      </c>
      <c r="I3898" s="102">
        <v>0.66763778897628212</v>
      </c>
      <c r="J3898" s="103">
        <v>1.1803375102545346E-3</v>
      </c>
      <c r="K3898" s="103"/>
      <c r="L3898" s="103">
        <v>3.9600000000000003E-2</v>
      </c>
      <c r="O3898" s="100"/>
    </row>
    <row r="3899" spans="2:15" x14ac:dyDescent="0.2">
      <c r="B3899" s="1">
        <v>3884</v>
      </c>
      <c r="C3899" s="101">
        <f ca="1"/>
        <v>0.13492949259182135</v>
      </c>
      <c r="D3899" s="101">
        <f t="shared" ca="1" si="219"/>
        <v>0.67340555785427636</v>
      </c>
      <c r="E3899" s="101">
        <f t="shared" ca="1" si="220"/>
        <v>0</v>
      </c>
      <c r="F3899" s="21">
        <f t="shared" ca="1" si="221"/>
        <v>0</v>
      </c>
      <c r="H3899" s="21">
        <v>3884</v>
      </c>
      <c r="I3899" s="102">
        <v>0.66759669230982532</v>
      </c>
      <c r="J3899" s="103">
        <v>1.183490772111053E-3</v>
      </c>
      <c r="K3899" s="103"/>
      <c r="L3899" s="103">
        <v>4.0599999999999997E-2</v>
      </c>
      <c r="O3899" s="100"/>
    </row>
    <row r="3900" spans="2:15" x14ac:dyDescent="0.2">
      <c r="B3900" s="1">
        <v>3885</v>
      </c>
      <c r="C3900" s="101">
        <f ca="1"/>
        <v>0.36174081677121439</v>
      </c>
      <c r="D3900" s="101">
        <f t="shared" ca="1" si="219"/>
        <v>0.68864144045548481</v>
      </c>
      <c r="E3900" s="101">
        <f t="shared" ca="1" si="220"/>
        <v>0</v>
      </c>
      <c r="F3900" s="21">
        <f t="shared" ca="1" si="221"/>
        <v>0</v>
      </c>
      <c r="H3900" s="21">
        <v>3885</v>
      </c>
      <c r="I3900" s="102">
        <v>0.66768268507184203</v>
      </c>
      <c r="J3900" s="103">
        <v>1.2418534017814742E-3</v>
      </c>
      <c r="K3900" s="103"/>
      <c r="L3900" s="103">
        <v>0.04</v>
      </c>
      <c r="O3900" s="100"/>
    </row>
    <row r="3901" spans="2:15" x14ac:dyDescent="0.2">
      <c r="B3901" s="1">
        <v>3886</v>
      </c>
      <c r="C3901" s="101">
        <f ca="1"/>
        <v>0.92264019970707101</v>
      </c>
      <c r="D3901" s="101">
        <f t="shared" ca="1" si="219"/>
        <v>0.72781623260049311</v>
      </c>
      <c r="E3901" s="101">
        <f t="shared" ca="1" si="220"/>
        <v>0</v>
      </c>
      <c r="F3901" s="21">
        <f t="shared" ca="1" si="221"/>
        <v>0</v>
      </c>
      <c r="H3901" s="21">
        <v>3886</v>
      </c>
      <c r="I3901" s="102">
        <v>0.6678135655538987</v>
      </c>
      <c r="J3901" s="103">
        <v>1.3798827280993083E-3</v>
      </c>
      <c r="K3901" s="103"/>
      <c r="L3901" s="103">
        <v>4.4600000000000001E-2</v>
      </c>
      <c r="O3901" s="100"/>
    </row>
    <row r="3902" spans="2:15" x14ac:dyDescent="0.2">
      <c r="B3902" s="1">
        <v>3887</v>
      </c>
      <c r="C3902" s="101">
        <f ca="1"/>
        <v>0.83302094542275062</v>
      </c>
      <c r="D3902" s="101">
        <f t="shared" ca="1" si="219"/>
        <v>0.72141057440100298</v>
      </c>
      <c r="E3902" s="101">
        <f t="shared" ca="1" si="220"/>
        <v>0</v>
      </c>
      <c r="F3902" s="21">
        <f t="shared" ca="1" si="221"/>
        <v>0</v>
      </c>
      <c r="H3902" s="21">
        <v>3887</v>
      </c>
      <c r="I3902" s="102">
        <v>0.6678006477160181</v>
      </c>
      <c r="J3902" s="103">
        <v>1.4798365330990473E-3</v>
      </c>
      <c r="K3902" s="103"/>
      <c r="L3902" s="103">
        <v>4.3799999999999999E-2</v>
      </c>
      <c r="O3902" s="100"/>
    </row>
    <row r="3903" spans="2:15" x14ac:dyDescent="0.2">
      <c r="B3903" s="1">
        <v>3888</v>
      </c>
      <c r="C3903" s="101">
        <f ca="1"/>
        <v>0.42987369235183209</v>
      </c>
      <c r="D3903" s="101">
        <f t="shared" ca="1" si="219"/>
        <v>0.6932851920034514</v>
      </c>
      <c r="E3903" s="101">
        <f t="shared" ca="1" si="220"/>
        <v>0</v>
      </c>
      <c r="F3903" s="21">
        <f t="shared" ca="1" si="221"/>
        <v>0</v>
      </c>
      <c r="H3903" s="21">
        <v>3888</v>
      </c>
      <c r="I3903" s="102">
        <v>0.66768027016428055</v>
      </c>
      <c r="J3903" s="103">
        <v>1.2388106953007065E-3</v>
      </c>
      <c r="K3903" s="103"/>
      <c r="L3903" s="103">
        <v>3.8399999999999997E-2</v>
      </c>
      <c r="O3903" s="100"/>
    </row>
    <row r="3904" spans="2:15" x14ac:dyDescent="0.2">
      <c r="B3904" s="1">
        <v>3889</v>
      </c>
      <c r="C3904" s="101">
        <f ca="1"/>
        <v>1.1908179574096553</v>
      </c>
      <c r="D3904" s="101">
        <f t="shared" ca="1" si="219"/>
        <v>0.74732637059686557</v>
      </c>
      <c r="E3904" s="101">
        <f t="shared" ca="1" si="220"/>
        <v>0</v>
      </c>
      <c r="F3904" s="21">
        <f t="shared" ca="1" si="221"/>
        <v>0</v>
      </c>
      <c r="H3904" s="21">
        <v>3889</v>
      </c>
      <c r="I3904" s="102">
        <v>0.66773661970365439</v>
      </c>
      <c r="J3904" s="103">
        <v>1.4283858424960867E-3</v>
      </c>
      <c r="K3904" s="103"/>
      <c r="L3904" s="103">
        <v>4.3999999999999997E-2</v>
      </c>
      <c r="O3904" s="100"/>
    </row>
    <row r="3905" spans="2:15" x14ac:dyDescent="0.2">
      <c r="B3905" s="1">
        <v>3890</v>
      </c>
      <c r="C3905" s="101">
        <f ca="1"/>
        <v>1.2745972030099786</v>
      </c>
      <c r="D3905" s="101">
        <f t="shared" ca="1" si="219"/>
        <v>0.75352793723628964</v>
      </c>
      <c r="E3905" s="101">
        <f t="shared" ca="1" si="220"/>
        <v>0</v>
      </c>
      <c r="F3905" s="21">
        <f t="shared" ca="1" si="221"/>
        <v>0</v>
      </c>
      <c r="H3905" s="21">
        <v>3890</v>
      </c>
      <c r="I3905" s="102">
        <v>0.66792752560207491</v>
      </c>
      <c r="J3905" s="103">
        <v>1.5729291383662508E-3</v>
      </c>
      <c r="K3905" s="103"/>
      <c r="L3905" s="103">
        <v>4.48E-2</v>
      </c>
      <c r="O3905" s="100"/>
    </row>
    <row r="3906" spans="2:15" x14ac:dyDescent="0.2">
      <c r="B3906" s="1">
        <v>3891</v>
      </c>
      <c r="C3906" s="101">
        <f ca="1"/>
        <v>7.3280014320398056E-3</v>
      </c>
      <c r="D3906" s="101">
        <f t="shared" ca="1" si="219"/>
        <v>0.66498266979459641</v>
      </c>
      <c r="E3906" s="101">
        <f t="shared" ca="1" si="220"/>
        <v>0</v>
      </c>
      <c r="F3906" s="21">
        <f t="shared" ca="1" si="221"/>
        <v>0</v>
      </c>
      <c r="H3906" s="21">
        <v>3891</v>
      </c>
      <c r="I3906" s="102">
        <v>0.66767777427580088</v>
      </c>
      <c r="J3906" s="103">
        <v>1.2233740693671175E-3</v>
      </c>
      <c r="K3906" s="103"/>
      <c r="L3906" s="103">
        <v>3.78E-2</v>
      </c>
      <c r="O3906" s="100"/>
    </row>
    <row r="3907" spans="2:15" x14ac:dyDescent="0.2">
      <c r="B3907" s="1">
        <v>3892</v>
      </c>
      <c r="C3907" s="101">
        <f ca="1"/>
        <v>-7.7736214806352386E-2</v>
      </c>
      <c r="D3907" s="101">
        <f t="shared" ca="1" si="219"/>
        <v>0.65942624606291356</v>
      </c>
      <c r="E3907" s="101">
        <f t="shared" ca="1" si="220"/>
        <v>0</v>
      </c>
      <c r="F3907" s="21">
        <f t="shared" ca="1" si="221"/>
        <v>0</v>
      </c>
      <c r="H3907" s="21">
        <v>3892</v>
      </c>
      <c r="I3907" s="102">
        <v>0.66776164616549427</v>
      </c>
      <c r="J3907" s="103">
        <v>1.3828627149224215E-3</v>
      </c>
      <c r="K3907" s="103"/>
      <c r="L3907" s="103">
        <v>4.4400000000000002E-2</v>
      </c>
      <c r="O3907" s="100"/>
    </row>
    <row r="3908" spans="2:15" x14ac:dyDescent="0.2">
      <c r="B3908" s="1">
        <v>3893</v>
      </c>
      <c r="C3908" s="101">
        <f ca="1"/>
        <v>0.69852204096576731</v>
      </c>
      <c r="D3908" s="101">
        <f t="shared" ca="1" si="219"/>
        <v>0.71190272243076791</v>
      </c>
      <c r="E3908" s="101">
        <f t="shared" ca="1" si="220"/>
        <v>0</v>
      </c>
      <c r="F3908" s="21">
        <f t="shared" ca="1" si="221"/>
        <v>0</v>
      </c>
      <c r="H3908" s="21">
        <v>3893</v>
      </c>
      <c r="I3908" s="102">
        <v>0.66769668765307177</v>
      </c>
      <c r="J3908" s="103">
        <v>1.2942576682693178E-3</v>
      </c>
      <c r="K3908" s="103"/>
      <c r="L3908" s="103">
        <v>3.9800000000000002E-2</v>
      </c>
      <c r="O3908" s="100"/>
    </row>
    <row r="3909" spans="2:15" x14ac:dyDescent="0.2">
      <c r="B3909" s="1">
        <v>3894</v>
      </c>
      <c r="C3909" s="101">
        <f ca="1"/>
        <v>-0.11409708299125314</v>
      </c>
      <c r="D3909" s="101">
        <f t="shared" ca="1" si="219"/>
        <v>0.65706532879956892</v>
      </c>
      <c r="E3909" s="101">
        <f t="shared" ca="1" si="220"/>
        <v>0</v>
      </c>
      <c r="F3909" s="21">
        <f t="shared" ca="1" si="221"/>
        <v>0</v>
      </c>
      <c r="H3909" s="21">
        <v>3894</v>
      </c>
      <c r="I3909" s="102">
        <v>0.66790383251062913</v>
      </c>
      <c r="J3909" s="103">
        <v>1.5486663624472462E-3</v>
      </c>
      <c r="K3909" s="103"/>
      <c r="L3909" s="103">
        <v>4.4600000000000001E-2</v>
      </c>
      <c r="O3909" s="100"/>
    </row>
    <row r="3910" spans="2:15" x14ac:dyDescent="0.2">
      <c r="B3910" s="1">
        <v>3895</v>
      </c>
      <c r="C3910" s="101">
        <f ca="1"/>
        <v>-0.83751067129314694</v>
      </c>
      <c r="D3910" s="101">
        <f t="shared" ca="1" si="219"/>
        <v>0.61181195554779977</v>
      </c>
      <c r="E3910" s="101">
        <f t="shared" ca="1" si="220"/>
        <v>0</v>
      </c>
      <c r="F3910" s="21">
        <f t="shared" ca="1" si="221"/>
        <v>0</v>
      </c>
      <c r="H3910" s="21">
        <v>3895</v>
      </c>
      <c r="I3910" s="102">
        <v>0.66785284028279923</v>
      </c>
      <c r="J3910" s="103">
        <v>1.5865814017742212E-3</v>
      </c>
      <c r="K3910" s="103"/>
      <c r="L3910" s="103">
        <v>4.6199999999999998E-2</v>
      </c>
      <c r="O3910" s="100"/>
    </row>
    <row r="3911" spans="2:15" x14ac:dyDescent="0.2">
      <c r="B3911" s="1">
        <v>3896</v>
      </c>
      <c r="C3911" s="101">
        <f ca="1"/>
        <v>-1.1944500227175339</v>
      </c>
      <c r="D3911" s="101">
        <f t="shared" ca="1" si="219"/>
        <v>0.59064549742350059</v>
      </c>
      <c r="E3911" s="101">
        <f t="shared" ca="1" si="220"/>
        <v>0</v>
      </c>
      <c r="F3911" s="21">
        <f t="shared" ca="1" si="221"/>
        <v>0</v>
      </c>
      <c r="H3911" s="21">
        <v>3896</v>
      </c>
      <c r="I3911" s="102">
        <v>0.66776856505837989</v>
      </c>
      <c r="J3911" s="103">
        <v>1.4813260064220901E-3</v>
      </c>
      <c r="K3911" s="103"/>
      <c r="L3911" s="103">
        <v>4.2599999999999999E-2</v>
      </c>
      <c r="O3911" s="100"/>
    </row>
    <row r="3912" spans="2:15" x14ac:dyDescent="0.2">
      <c r="B3912" s="1">
        <v>3897</v>
      </c>
      <c r="C3912" s="101">
        <f ca="1"/>
        <v>-8.3441111195082587E-2</v>
      </c>
      <c r="D3912" s="101">
        <f t="shared" ca="1" si="219"/>
        <v>0.65905526589010466</v>
      </c>
      <c r="E3912" s="101">
        <f t="shared" ca="1" si="220"/>
        <v>0</v>
      </c>
      <c r="F3912" s="21">
        <f t="shared" ca="1" si="221"/>
        <v>0</v>
      </c>
      <c r="H3912" s="21">
        <v>3897</v>
      </c>
      <c r="I3912" s="102">
        <v>0.66787930531046269</v>
      </c>
      <c r="J3912" s="103">
        <v>1.6198608503915097E-3</v>
      </c>
      <c r="K3912" s="103"/>
      <c r="L3912" s="103">
        <v>4.6800000000000001E-2</v>
      </c>
      <c r="O3912" s="100"/>
    </row>
    <row r="3913" spans="2:15" x14ac:dyDescent="0.2">
      <c r="B3913" s="1">
        <v>3898</v>
      </c>
      <c r="C3913" s="101">
        <f ca="1"/>
        <v>3.5500475382677893E-2</v>
      </c>
      <c r="D3913" s="101">
        <f t="shared" ca="1" si="219"/>
        <v>0.66683320690737746</v>
      </c>
      <c r="E3913" s="101">
        <f t="shared" ca="1" si="220"/>
        <v>0</v>
      </c>
      <c r="F3913" s="21">
        <f t="shared" ca="1" si="221"/>
        <v>0</v>
      </c>
      <c r="H3913" s="21">
        <v>3898</v>
      </c>
      <c r="I3913" s="102">
        <v>0.66772265872794001</v>
      </c>
      <c r="J3913" s="103">
        <v>1.3393349282418948E-3</v>
      </c>
      <c r="K3913" s="103"/>
      <c r="L3913" s="103">
        <v>4.1200000000000001E-2</v>
      </c>
      <c r="O3913" s="100"/>
    </row>
    <row r="3914" spans="2:15" x14ac:dyDescent="0.2">
      <c r="B3914" s="1">
        <v>3899</v>
      </c>
      <c r="C3914" s="101">
        <f ca="1"/>
        <v>-0.14153988417447949</v>
      </c>
      <c r="D3914" s="101">
        <f t="shared" ca="1" si="219"/>
        <v>0.65528906196217163</v>
      </c>
      <c r="E3914" s="101">
        <f t="shared" ca="1" si="220"/>
        <v>0</v>
      </c>
      <c r="F3914" s="21">
        <f t="shared" ca="1" si="221"/>
        <v>0</v>
      </c>
      <c r="H3914" s="21">
        <v>3899</v>
      </c>
      <c r="I3914" s="102">
        <v>0.66762881202902691</v>
      </c>
      <c r="J3914" s="103">
        <v>1.2497423377318263E-3</v>
      </c>
      <c r="K3914" s="103"/>
      <c r="L3914" s="103">
        <v>3.9800000000000002E-2</v>
      </c>
      <c r="O3914" s="100"/>
    </row>
    <row r="3915" spans="2:15" x14ac:dyDescent="0.2">
      <c r="B3915" s="1">
        <v>3900</v>
      </c>
      <c r="C3915" s="101">
        <f ca="1"/>
        <v>-0.54998181434836702</v>
      </c>
      <c r="D3915" s="101">
        <f t="shared" ca="1" si="219"/>
        <v>0.62941272416436711</v>
      </c>
      <c r="E3915" s="101">
        <f t="shared" ca="1" si="220"/>
        <v>0</v>
      </c>
      <c r="F3915" s="21">
        <f t="shared" ca="1" si="221"/>
        <v>0</v>
      </c>
      <c r="H3915" s="21">
        <v>3900</v>
      </c>
      <c r="I3915" s="102">
        <v>0.66766948950779192</v>
      </c>
      <c r="J3915" s="103">
        <v>1.3455111135135618E-3</v>
      </c>
      <c r="K3915" s="103"/>
      <c r="L3915" s="103">
        <v>3.8199999999999998E-2</v>
      </c>
      <c r="O3915" s="100"/>
    </row>
    <row r="3916" spans="2:15" x14ac:dyDescent="0.2">
      <c r="B3916" s="1">
        <v>3901</v>
      </c>
      <c r="C3916" s="101">
        <f ca="1"/>
        <v>-1.6037178912657921</v>
      </c>
      <c r="D3916" s="101">
        <f t="shared" ca="1" si="219"/>
        <v>0.56727561388477232</v>
      </c>
      <c r="E3916" s="101">
        <f t="shared" ca="1" si="220"/>
        <v>0</v>
      </c>
      <c r="F3916" s="21">
        <f t="shared" ca="1" si="221"/>
        <v>0</v>
      </c>
      <c r="H3916" s="21">
        <v>3901</v>
      </c>
      <c r="I3916" s="102">
        <v>0.66769114164072896</v>
      </c>
      <c r="J3916" s="103">
        <v>1.3566911477812177E-3</v>
      </c>
      <c r="K3916" s="103"/>
      <c r="L3916" s="103">
        <v>4.24E-2</v>
      </c>
      <c r="O3916" s="100"/>
    </row>
    <row r="3917" spans="2:15" x14ac:dyDescent="0.2">
      <c r="B3917" s="1">
        <v>3902</v>
      </c>
      <c r="C3917" s="101">
        <f ca="1"/>
        <v>2.0354725376533422</v>
      </c>
      <c r="D3917" s="101">
        <f t="shared" ca="1" si="219"/>
        <v>0.81225947999255588</v>
      </c>
      <c r="E3917" s="101">
        <f t="shared" ca="1" si="220"/>
        <v>2.4059479992555866E-2</v>
      </c>
      <c r="F3917" s="21">
        <f t="shared" ca="1" si="221"/>
        <v>1</v>
      </c>
      <c r="H3917" s="21">
        <v>3902</v>
      </c>
      <c r="I3917" s="102">
        <v>0.66774424056237247</v>
      </c>
      <c r="J3917" s="103">
        <v>1.4552613030546586E-3</v>
      </c>
      <c r="K3917" s="103"/>
      <c r="L3917" s="103">
        <v>4.3200000000000002E-2</v>
      </c>
      <c r="O3917" s="100"/>
    </row>
    <row r="3918" spans="2:15" x14ac:dyDescent="0.2">
      <c r="B3918" s="1">
        <v>3903</v>
      </c>
      <c r="C3918" s="101">
        <f ca="1"/>
        <v>0.91232085641169691</v>
      </c>
      <c r="D3918" s="101">
        <f t="shared" ca="1" si="219"/>
        <v>0.72707575541843172</v>
      </c>
      <c r="E3918" s="101">
        <f t="shared" ca="1" si="220"/>
        <v>0</v>
      </c>
      <c r="F3918" s="21">
        <f t="shared" ca="1" si="221"/>
        <v>0</v>
      </c>
      <c r="H3918" s="21">
        <v>3903</v>
      </c>
      <c r="I3918" s="102">
        <v>0.66760329014370057</v>
      </c>
      <c r="J3918" s="103">
        <v>1.2002655447499548E-3</v>
      </c>
      <c r="K3918" s="103"/>
      <c r="L3918" s="103">
        <v>3.6400000000000002E-2</v>
      </c>
      <c r="O3918" s="100"/>
    </row>
    <row r="3919" spans="2:15" x14ac:dyDescent="0.2">
      <c r="B3919" s="1">
        <v>3904</v>
      </c>
      <c r="C3919" s="101">
        <f ca="1"/>
        <v>0.34835723822879938</v>
      </c>
      <c r="D3919" s="101">
        <f t="shared" ca="1" si="219"/>
        <v>0.68773291381658919</v>
      </c>
      <c r="E3919" s="101">
        <f t="shared" ca="1" si="220"/>
        <v>0</v>
      </c>
      <c r="F3919" s="21">
        <f t="shared" ca="1" si="221"/>
        <v>0</v>
      </c>
      <c r="H3919" s="21">
        <v>3904</v>
      </c>
      <c r="I3919" s="102">
        <v>0.66771247645976139</v>
      </c>
      <c r="J3919" s="103">
        <v>1.3259004936964705E-3</v>
      </c>
      <c r="K3919" s="103"/>
      <c r="L3919" s="103">
        <v>3.78E-2</v>
      </c>
      <c r="O3919" s="100"/>
    </row>
    <row r="3920" spans="2:15" x14ac:dyDescent="0.2">
      <c r="B3920" s="1">
        <v>3905</v>
      </c>
      <c r="C3920" s="101">
        <f ca="1"/>
        <v>-1.6107479528701834</v>
      </c>
      <c r="D3920" s="101">
        <f t="shared" ref="D3920:D3983" ca="1" si="222">S0*EXP((μ-0.5*σ*σ)*T+σ*SQRT(T)*$C3920)</f>
        <v>0.5668823703666499</v>
      </c>
      <c r="E3920" s="101">
        <f t="shared" ref="E3920:E3983" ca="1" si="223">MAX(0,CP*(D3920-K))</f>
        <v>0</v>
      </c>
      <c r="F3920" s="21">
        <f t="shared" ref="F3920:F3983" ca="1" si="224">(CP*(D3920-K)&gt;0)*1</f>
        <v>0</v>
      </c>
      <c r="H3920" s="21">
        <v>3905</v>
      </c>
      <c r="I3920" s="102">
        <v>0.6676714005719967</v>
      </c>
      <c r="J3920" s="103">
        <v>1.3371002532777266E-3</v>
      </c>
      <c r="K3920" s="103"/>
      <c r="L3920" s="103">
        <v>3.8800000000000001E-2</v>
      </c>
      <c r="O3920" s="100"/>
    </row>
    <row r="3921" spans="2:15" x14ac:dyDescent="0.2">
      <c r="B3921" s="1">
        <v>3906</v>
      </c>
      <c r="C3921" s="101">
        <f ca="1"/>
        <v>-1.0743638860849021</v>
      </c>
      <c r="D3921" s="101">
        <f t="shared" ca="1" si="222"/>
        <v>0.59768356477391804</v>
      </c>
      <c r="E3921" s="101">
        <f t="shared" ca="1" si="223"/>
        <v>0</v>
      </c>
      <c r="F3921" s="21">
        <f t="shared" ca="1" si="224"/>
        <v>0</v>
      </c>
      <c r="H3921" s="21">
        <v>3906</v>
      </c>
      <c r="I3921" s="102">
        <v>0.66768745744332825</v>
      </c>
      <c r="J3921" s="103">
        <v>1.2558414531616885E-3</v>
      </c>
      <c r="K3921" s="103"/>
      <c r="L3921" s="103">
        <v>4.0599999999999997E-2</v>
      </c>
      <c r="O3921" s="100"/>
    </row>
    <row r="3922" spans="2:15" x14ac:dyDescent="0.2">
      <c r="B3922" s="1">
        <v>3907</v>
      </c>
      <c r="C3922" s="101">
        <f ca="1"/>
        <v>3.7886523408826055E-2</v>
      </c>
      <c r="D3922" s="101">
        <f t="shared" ca="1" si="222"/>
        <v>0.66699017320317222</v>
      </c>
      <c r="E3922" s="101">
        <f t="shared" ca="1" si="223"/>
        <v>0</v>
      </c>
      <c r="F3922" s="21">
        <f t="shared" ca="1" si="224"/>
        <v>0</v>
      </c>
      <c r="H3922" s="21">
        <v>3907</v>
      </c>
      <c r="I3922" s="102">
        <v>0.66765922677860112</v>
      </c>
      <c r="J3922" s="103">
        <v>1.1924139678667395E-3</v>
      </c>
      <c r="K3922" s="103"/>
      <c r="L3922" s="103">
        <v>3.78E-2</v>
      </c>
      <c r="O3922" s="100"/>
    </row>
    <row r="3923" spans="2:15" x14ac:dyDescent="0.2">
      <c r="B3923" s="1">
        <v>3908</v>
      </c>
      <c r="C3923" s="101">
        <f ca="1"/>
        <v>-1.6061097587938127</v>
      </c>
      <c r="D3923" s="101">
        <f t="shared" ca="1" si="222"/>
        <v>0.56714178837513807</v>
      </c>
      <c r="E3923" s="101">
        <f t="shared" ca="1" si="223"/>
        <v>0</v>
      </c>
      <c r="F3923" s="21">
        <f t="shared" ca="1" si="224"/>
        <v>0</v>
      </c>
      <c r="H3923" s="21">
        <v>3908</v>
      </c>
      <c r="I3923" s="102">
        <v>0.66785037723600194</v>
      </c>
      <c r="J3923" s="103">
        <v>1.512332442587745E-3</v>
      </c>
      <c r="K3923" s="103"/>
      <c r="L3923" s="103">
        <v>4.82E-2</v>
      </c>
      <c r="O3923" s="100"/>
    </row>
    <row r="3924" spans="2:15" x14ac:dyDescent="0.2">
      <c r="B3924" s="1">
        <v>3909</v>
      </c>
      <c r="C3924" s="101">
        <f ca="1"/>
        <v>2.4493786994640692</v>
      </c>
      <c r="D3924" s="101">
        <f t="shared" ca="1" si="222"/>
        <v>0.84610891994523563</v>
      </c>
      <c r="E3924" s="101">
        <f t="shared" ca="1" si="223"/>
        <v>5.7908919945235615E-2</v>
      </c>
      <c r="F3924" s="21">
        <f t="shared" ca="1" si="224"/>
        <v>1</v>
      </c>
      <c r="H3924" s="21">
        <v>3909</v>
      </c>
      <c r="I3924" s="102">
        <v>0.66766684672111487</v>
      </c>
      <c r="J3924" s="103">
        <v>1.34423000650585E-3</v>
      </c>
      <c r="K3924" s="103"/>
      <c r="L3924" s="103">
        <v>4.1200000000000001E-2</v>
      </c>
      <c r="O3924" s="100"/>
    </row>
    <row r="3925" spans="2:15" x14ac:dyDescent="0.2">
      <c r="B3925" s="1">
        <v>3910</v>
      </c>
      <c r="C3925" s="101">
        <f ca="1"/>
        <v>-0.29544390513125574</v>
      </c>
      <c r="D3925" s="101">
        <f t="shared" ca="1" si="222"/>
        <v>0.64541605644220168</v>
      </c>
      <c r="E3925" s="101">
        <f t="shared" ca="1" si="223"/>
        <v>0</v>
      </c>
      <c r="F3925" s="21">
        <f t="shared" ca="1" si="224"/>
        <v>0</v>
      </c>
      <c r="H3925" s="21">
        <v>3910</v>
      </c>
      <c r="I3925" s="102">
        <v>0.66769608675861758</v>
      </c>
      <c r="J3925" s="103">
        <v>1.1885801760297104E-3</v>
      </c>
      <c r="K3925" s="103"/>
      <c r="L3925" s="103">
        <v>3.8399999999999997E-2</v>
      </c>
      <c r="O3925" s="100"/>
    </row>
    <row r="3926" spans="2:15" x14ac:dyDescent="0.2">
      <c r="B3926" s="1">
        <v>3911</v>
      </c>
      <c r="C3926" s="101">
        <f ca="1"/>
        <v>0.69007768867255048</v>
      </c>
      <c r="D3926" s="101">
        <f t="shared" ca="1" si="222"/>
        <v>0.71130998133992862</v>
      </c>
      <c r="E3926" s="101">
        <f t="shared" ca="1" si="223"/>
        <v>0</v>
      </c>
      <c r="F3926" s="21">
        <f t="shared" ca="1" si="224"/>
        <v>0</v>
      </c>
      <c r="H3926" s="21">
        <v>3911</v>
      </c>
      <c r="I3926" s="102">
        <v>0.66774346496117243</v>
      </c>
      <c r="J3926" s="103">
        <v>1.4154063890949953E-3</v>
      </c>
      <c r="K3926" s="103"/>
      <c r="L3926" s="103">
        <v>4.0599999999999997E-2</v>
      </c>
      <c r="O3926" s="100"/>
    </row>
    <row r="3927" spans="2:15" x14ac:dyDescent="0.2">
      <c r="B3927" s="1">
        <v>3912</v>
      </c>
      <c r="C3927" s="101">
        <f ca="1"/>
        <v>-1.4336186150589005</v>
      </c>
      <c r="D3927" s="101">
        <f t="shared" ca="1" si="222"/>
        <v>0.57687412891415091</v>
      </c>
      <c r="E3927" s="101">
        <f t="shared" ca="1" si="223"/>
        <v>0</v>
      </c>
      <c r="F3927" s="21">
        <f t="shared" ca="1" si="224"/>
        <v>0</v>
      </c>
      <c r="H3927" s="21">
        <v>3912</v>
      </c>
      <c r="I3927" s="102">
        <v>0.66762605904304384</v>
      </c>
      <c r="J3927" s="103">
        <v>1.2673807390140173E-3</v>
      </c>
      <c r="K3927" s="103"/>
      <c r="L3927" s="103">
        <v>4.1799999999999997E-2</v>
      </c>
      <c r="O3927" s="100"/>
    </row>
    <row r="3928" spans="2:15" x14ac:dyDescent="0.2">
      <c r="B3928" s="1">
        <v>3913</v>
      </c>
      <c r="C3928" s="101">
        <f ca="1"/>
        <v>0.14497520943577216</v>
      </c>
      <c r="D3928" s="101">
        <f t="shared" ca="1" si="222"/>
        <v>0.67407318152103013</v>
      </c>
      <c r="E3928" s="101">
        <f t="shared" ca="1" si="223"/>
        <v>0</v>
      </c>
      <c r="F3928" s="21">
        <f t="shared" ca="1" si="224"/>
        <v>0</v>
      </c>
      <c r="H3928" s="21">
        <v>3913</v>
      </c>
      <c r="I3928" s="102">
        <v>0.66779103434468845</v>
      </c>
      <c r="J3928" s="103">
        <v>1.5277451264863685E-3</v>
      </c>
      <c r="K3928" s="103"/>
      <c r="L3928" s="103">
        <v>4.2999999999999997E-2</v>
      </c>
      <c r="O3928" s="100"/>
    </row>
    <row r="3929" spans="2:15" x14ac:dyDescent="0.2">
      <c r="B3929" s="1">
        <v>3914</v>
      </c>
      <c r="C3929" s="101">
        <f ca="1"/>
        <v>-0.37576573053672091</v>
      </c>
      <c r="D3929" s="101">
        <f t="shared" ca="1" si="222"/>
        <v>0.64032259640523082</v>
      </c>
      <c r="E3929" s="101">
        <f t="shared" ca="1" si="223"/>
        <v>0</v>
      </c>
      <c r="F3929" s="21">
        <f t="shared" ca="1" si="224"/>
        <v>0</v>
      </c>
      <c r="H3929" s="21">
        <v>3914</v>
      </c>
      <c r="I3929" s="102">
        <v>0.66782205727205179</v>
      </c>
      <c r="J3929" s="103">
        <v>1.3516699558968797E-3</v>
      </c>
      <c r="K3929" s="103"/>
      <c r="L3929" s="103">
        <v>4.2000000000000003E-2</v>
      </c>
      <c r="O3929" s="100"/>
    </row>
    <row r="3930" spans="2:15" x14ac:dyDescent="0.2">
      <c r="B3930" s="1">
        <v>3915</v>
      </c>
      <c r="C3930" s="101">
        <f ca="1"/>
        <v>-1.1279394169472645</v>
      </c>
      <c r="D3930" s="101">
        <f t="shared" ca="1" si="222"/>
        <v>0.59453328132574712</v>
      </c>
      <c r="E3930" s="101">
        <f t="shared" ca="1" si="223"/>
        <v>0</v>
      </c>
      <c r="F3930" s="21">
        <f t="shared" ca="1" si="224"/>
        <v>0</v>
      </c>
      <c r="H3930" s="21">
        <v>3915</v>
      </c>
      <c r="I3930" s="102">
        <v>0.66779020068359107</v>
      </c>
      <c r="J3930" s="103">
        <v>1.4484163314187498E-3</v>
      </c>
      <c r="K3930" s="103"/>
      <c r="L3930" s="103">
        <v>4.2200000000000001E-2</v>
      </c>
      <c r="O3930" s="100"/>
    </row>
    <row r="3931" spans="2:15" x14ac:dyDescent="0.2">
      <c r="B3931" s="1">
        <v>3916</v>
      </c>
      <c r="C3931" s="101">
        <f ca="1"/>
        <v>2.0104477464814581</v>
      </c>
      <c r="D3931" s="101">
        <f t="shared" ca="1" si="222"/>
        <v>0.81025690753671498</v>
      </c>
      <c r="E3931" s="101">
        <f t="shared" ca="1" si="223"/>
        <v>2.2056907536714965E-2</v>
      </c>
      <c r="F3931" s="21">
        <f t="shared" ca="1" si="224"/>
        <v>1</v>
      </c>
      <c r="H3931" s="21">
        <v>3916</v>
      </c>
      <c r="I3931" s="102">
        <v>0.66764436664129434</v>
      </c>
      <c r="J3931" s="103">
        <v>1.2446662684598556E-3</v>
      </c>
      <c r="K3931" s="103"/>
      <c r="L3931" s="103">
        <v>3.9800000000000002E-2</v>
      </c>
      <c r="O3931" s="100"/>
    </row>
    <row r="3932" spans="2:15" x14ac:dyDescent="0.2">
      <c r="B3932" s="1">
        <v>3917</v>
      </c>
      <c r="C3932" s="101">
        <f ca="1"/>
        <v>-0.56887252181174397</v>
      </c>
      <c r="D3932" s="101">
        <f t="shared" ca="1" si="222"/>
        <v>0.62824096577552646</v>
      </c>
      <c r="E3932" s="101">
        <f t="shared" ca="1" si="223"/>
        <v>0</v>
      </c>
      <c r="F3932" s="21">
        <f t="shared" ca="1" si="224"/>
        <v>0</v>
      </c>
      <c r="H3932" s="21">
        <v>3917</v>
      </c>
      <c r="I3932" s="102">
        <v>0.66784648669061131</v>
      </c>
      <c r="J3932" s="103">
        <v>1.5507016367170738E-3</v>
      </c>
      <c r="K3932" s="103"/>
      <c r="L3932" s="103">
        <v>4.3400000000000001E-2</v>
      </c>
      <c r="O3932" s="100"/>
    </row>
    <row r="3933" spans="2:15" x14ac:dyDescent="0.2">
      <c r="B3933" s="1">
        <v>3918</v>
      </c>
      <c r="C3933" s="101">
        <f ca="1"/>
        <v>2.1463151371079214</v>
      </c>
      <c r="D3933" s="101">
        <f t="shared" ca="1" si="222"/>
        <v>0.82118917794640223</v>
      </c>
      <c r="E3933" s="101">
        <f t="shared" ca="1" si="223"/>
        <v>3.2989177946402215E-2</v>
      </c>
      <c r="F3933" s="21">
        <f t="shared" ca="1" si="224"/>
        <v>1</v>
      </c>
      <c r="H3933" s="21">
        <v>3918</v>
      </c>
      <c r="I3933" s="102">
        <v>0.66775663262667295</v>
      </c>
      <c r="J3933" s="103">
        <v>1.5365320902274659E-3</v>
      </c>
      <c r="K3933" s="103"/>
      <c r="L3933" s="103">
        <v>4.4400000000000002E-2</v>
      </c>
      <c r="O3933" s="100"/>
    </row>
    <row r="3934" spans="2:15" x14ac:dyDescent="0.2">
      <c r="B3934" s="1">
        <v>3919</v>
      </c>
      <c r="C3934" s="101">
        <f ca="1"/>
        <v>-0.79010921613971707</v>
      </c>
      <c r="D3934" s="101">
        <f t="shared" ca="1" si="222"/>
        <v>0.61467932896237609</v>
      </c>
      <c r="E3934" s="101">
        <f t="shared" ca="1" si="223"/>
        <v>0</v>
      </c>
      <c r="F3934" s="21">
        <f t="shared" ca="1" si="224"/>
        <v>0</v>
      </c>
      <c r="H3934" s="21">
        <v>3919</v>
      </c>
      <c r="I3934" s="102">
        <v>0.66776104568512129</v>
      </c>
      <c r="J3934" s="103">
        <v>1.4412183055272753E-3</v>
      </c>
      <c r="K3934" s="103"/>
      <c r="L3934" s="103">
        <v>4.1399999999999999E-2</v>
      </c>
      <c r="O3934" s="100"/>
    </row>
    <row r="3935" spans="2:15" x14ac:dyDescent="0.2">
      <c r="B3935" s="1">
        <v>3920</v>
      </c>
      <c r="C3935" s="101">
        <f ca="1"/>
        <v>-9.4286162293129444E-2</v>
      </c>
      <c r="D3935" s="101">
        <f t="shared" ca="1" si="222"/>
        <v>0.65835060517415811</v>
      </c>
      <c r="E3935" s="101">
        <f t="shared" ca="1" si="223"/>
        <v>0</v>
      </c>
      <c r="F3935" s="21">
        <f t="shared" ca="1" si="224"/>
        <v>0</v>
      </c>
      <c r="H3935" s="21">
        <v>3920</v>
      </c>
      <c r="I3935" s="102">
        <v>0.66764181511171206</v>
      </c>
      <c r="J3935" s="103">
        <v>1.3292561303957812E-3</v>
      </c>
      <c r="K3935" s="103"/>
      <c r="L3935" s="103">
        <v>3.9399999999999998E-2</v>
      </c>
      <c r="O3935" s="100"/>
    </row>
    <row r="3936" spans="2:15" x14ac:dyDescent="0.2">
      <c r="B3936" s="1">
        <v>3921</v>
      </c>
      <c r="C3936" s="101">
        <f ca="1"/>
        <v>1.2409291851184718</v>
      </c>
      <c r="D3936" s="101">
        <f t="shared" ca="1" si="222"/>
        <v>0.75102957820564498</v>
      </c>
      <c r="E3936" s="101">
        <f t="shared" ca="1" si="223"/>
        <v>0</v>
      </c>
      <c r="F3936" s="21">
        <f t="shared" ca="1" si="224"/>
        <v>0</v>
      </c>
      <c r="H3936" s="21">
        <v>3921</v>
      </c>
      <c r="I3936" s="102">
        <v>0.66783413424852323</v>
      </c>
      <c r="J3936" s="103">
        <v>1.6162801696851935E-3</v>
      </c>
      <c r="K3936" s="103"/>
      <c r="L3936" s="103">
        <v>4.5999999999999999E-2</v>
      </c>
      <c r="O3936" s="100"/>
    </row>
    <row r="3937" spans="2:15" x14ac:dyDescent="0.2">
      <c r="B3937" s="1">
        <v>3922</v>
      </c>
      <c r="C3937" s="101">
        <f ca="1"/>
        <v>-0.82809315410872653</v>
      </c>
      <c r="D3937" s="101">
        <f t="shared" ca="1" si="222"/>
        <v>0.61238056623394233</v>
      </c>
      <c r="E3937" s="101">
        <f t="shared" ca="1" si="223"/>
        <v>0</v>
      </c>
      <c r="F3937" s="21">
        <f t="shared" ca="1" si="224"/>
        <v>0</v>
      </c>
      <c r="H3937" s="21">
        <v>3922</v>
      </c>
      <c r="I3937" s="102">
        <v>0.66785778250788286</v>
      </c>
      <c r="J3937" s="103">
        <v>1.5880935722227959E-3</v>
      </c>
      <c r="K3937" s="103"/>
      <c r="L3937" s="103">
        <v>4.2599999999999999E-2</v>
      </c>
      <c r="O3937" s="100"/>
    </row>
    <row r="3938" spans="2:15" x14ac:dyDescent="0.2">
      <c r="B3938" s="1">
        <v>3923</v>
      </c>
      <c r="C3938" s="101">
        <f ca="1"/>
        <v>-1.3809099186804419</v>
      </c>
      <c r="D3938" s="101">
        <f t="shared" ca="1" si="222"/>
        <v>0.57988125564769966</v>
      </c>
      <c r="E3938" s="101">
        <f t="shared" ca="1" si="223"/>
        <v>0</v>
      </c>
      <c r="F3938" s="21">
        <f t="shared" ca="1" si="224"/>
        <v>0</v>
      </c>
      <c r="H3938" s="21">
        <v>3923</v>
      </c>
      <c r="I3938" s="102">
        <v>0.66785354324358692</v>
      </c>
      <c r="J3938" s="103">
        <v>1.4960859058488489E-3</v>
      </c>
      <c r="K3938" s="103"/>
      <c r="L3938" s="103">
        <v>4.6399999999999997E-2</v>
      </c>
      <c r="O3938" s="100"/>
    </row>
    <row r="3939" spans="2:15" x14ac:dyDescent="0.2">
      <c r="B3939" s="1">
        <v>3924</v>
      </c>
      <c r="C3939" s="101">
        <f ca="1"/>
        <v>-0.94362530313569126</v>
      </c>
      <c r="D3939" s="101">
        <f t="shared" ca="1" si="222"/>
        <v>0.60544134330891652</v>
      </c>
      <c r="E3939" s="101">
        <f t="shared" ca="1" si="223"/>
        <v>0</v>
      </c>
      <c r="F3939" s="21">
        <f t="shared" ca="1" si="224"/>
        <v>0</v>
      </c>
      <c r="H3939" s="21">
        <v>3924</v>
      </c>
      <c r="I3939" s="102">
        <v>0.66774739046420806</v>
      </c>
      <c r="J3939" s="103">
        <v>1.3472592293133114E-3</v>
      </c>
      <c r="K3939" s="103"/>
      <c r="L3939" s="103">
        <v>4.0399999999999998E-2</v>
      </c>
      <c r="O3939" s="100"/>
    </row>
    <row r="3940" spans="2:15" x14ac:dyDescent="0.2">
      <c r="B3940" s="1">
        <v>3925</v>
      </c>
      <c r="C3940" s="101">
        <f ca="1"/>
        <v>-0.43128562289556316</v>
      </c>
      <c r="D3940" s="101">
        <f t="shared" ca="1" si="222"/>
        <v>0.6368254189677397</v>
      </c>
      <c r="E3940" s="101">
        <f t="shared" ca="1" si="223"/>
        <v>0</v>
      </c>
      <c r="F3940" s="21">
        <f t="shared" ca="1" si="224"/>
        <v>0</v>
      </c>
      <c r="H3940" s="21">
        <v>3925</v>
      </c>
      <c r="I3940" s="102">
        <v>0.66766610778226498</v>
      </c>
      <c r="J3940" s="103">
        <v>1.3604247037458598E-3</v>
      </c>
      <c r="K3940" s="103"/>
      <c r="L3940" s="103">
        <v>4.0800000000000003E-2</v>
      </c>
      <c r="O3940" s="100"/>
    </row>
    <row r="3941" spans="2:15" x14ac:dyDescent="0.2">
      <c r="B3941" s="1">
        <v>3926</v>
      </c>
      <c r="C3941" s="101">
        <f ca="1"/>
        <v>-0.35593869982194282</v>
      </c>
      <c r="D3941" s="101">
        <f t="shared" ca="1" si="222"/>
        <v>0.64157614208968061</v>
      </c>
      <c r="E3941" s="101">
        <f t="shared" ca="1" si="223"/>
        <v>0</v>
      </c>
      <c r="F3941" s="21">
        <f t="shared" ca="1" si="224"/>
        <v>0</v>
      </c>
      <c r="H3941" s="21">
        <v>3926</v>
      </c>
      <c r="I3941" s="102">
        <v>0.66774010486283619</v>
      </c>
      <c r="J3941" s="103">
        <v>1.2669467874492156E-3</v>
      </c>
      <c r="K3941" s="103"/>
      <c r="L3941" s="103">
        <v>4.5400000000000003E-2</v>
      </c>
      <c r="O3941" s="100"/>
    </row>
    <row r="3942" spans="2:15" x14ac:dyDescent="0.2">
      <c r="B3942" s="1">
        <v>3927</v>
      </c>
      <c r="C3942" s="101">
        <f ca="1"/>
        <v>-2.6104652766598089</v>
      </c>
      <c r="D3942" s="101">
        <f t="shared" ca="1" si="222"/>
        <v>0.51364808956552044</v>
      </c>
      <c r="E3942" s="101">
        <f t="shared" ca="1" si="223"/>
        <v>0</v>
      </c>
      <c r="F3942" s="21">
        <f t="shared" ca="1" si="224"/>
        <v>0</v>
      </c>
      <c r="H3942" s="21">
        <v>3927</v>
      </c>
      <c r="I3942" s="102">
        <v>0.66787681937350818</v>
      </c>
      <c r="J3942" s="103">
        <v>1.5242164450704609E-3</v>
      </c>
      <c r="K3942" s="103"/>
      <c r="L3942" s="103">
        <v>4.3200000000000002E-2</v>
      </c>
      <c r="O3942" s="100"/>
    </row>
    <row r="3943" spans="2:15" x14ac:dyDescent="0.2">
      <c r="B3943" s="1">
        <v>3928</v>
      </c>
      <c r="C3943" s="101">
        <f ca="1"/>
        <v>-0.56170652093716478</v>
      </c>
      <c r="D3943" s="101">
        <f t="shared" ca="1" si="222"/>
        <v>0.62868520357801017</v>
      </c>
      <c r="E3943" s="101">
        <f t="shared" ca="1" si="223"/>
        <v>0</v>
      </c>
      <c r="F3943" s="21">
        <f t="shared" ca="1" si="224"/>
        <v>0</v>
      </c>
      <c r="H3943" s="21">
        <v>3928</v>
      </c>
      <c r="I3943" s="102">
        <v>0.66780256094535462</v>
      </c>
      <c r="J3943" s="103">
        <v>1.3579497055149538E-3</v>
      </c>
      <c r="K3943" s="103"/>
      <c r="L3943" s="103">
        <v>4.1599999999999998E-2</v>
      </c>
      <c r="O3943" s="100"/>
    </row>
    <row r="3944" spans="2:15" x14ac:dyDescent="0.2">
      <c r="B3944" s="1">
        <v>3929</v>
      </c>
      <c r="C3944" s="101">
        <f ca="1"/>
        <v>1.2321878652688598</v>
      </c>
      <c r="D3944" s="101">
        <f t="shared" ca="1" si="222"/>
        <v>0.75038227802125268</v>
      </c>
      <c r="E3944" s="101">
        <f t="shared" ca="1" si="223"/>
        <v>0</v>
      </c>
      <c r="F3944" s="21">
        <f t="shared" ca="1" si="224"/>
        <v>0</v>
      </c>
      <c r="H3944" s="21">
        <v>3929</v>
      </c>
      <c r="I3944" s="102">
        <v>0.66779992108393638</v>
      </c>
      <c r="J3944" s="103">
        <v>1.4653258527972412E-3</v>
      </c>
      <c r="K3944" s="103"/>
      <c r="L3944" s="103">
        <v>4.2599999999999999E-2</v>
      </c>
      <c r="O3944" s="100"/>
    </row>
    <row r="3945" spans="2:15" x14ac:dyDescent="0.2">
      <c r="B3945" s="1">
        <v>3930</v>
      </c>
      <c r="C3945" s="101">
        <f ca="1"/>
        <v>-0.46838513684269611</v>
      </c>
      <c r="D3945" s="101">
        <f t="shared" ca="1" si="222"/>
        <v>0.63449918660879756</v>
      </c>
      <c r="E3945" s="101">
        <f t="shared" ca="1" si="223"/>
        <v>0</v>
      </c>
      <c r="F3945" s="21">
        <f t="shared" ca="1" si="224"/>
        <v>0</v>
      </c>
      <c r="H3945" s="21">
        <v>3930</v>
      </c>
      <c r="I3945" s="102">
        <v>0.66768562343940785</v>
      </c>
      <c r="J3945" s="103">
        <v>1.4359496502112273E-3</v>
      </c>
      <c r="K3945" s="103"/>
      <c r="L3945" s="103">
        <v>3.9199999999999999E-2</v>
      </c>
      <c r="O3945" s="100"/>
    </row>
    <row r="3946" spans="2:15" x14ac:dyDescent="0.2">
      <c r="B3946" s="1">
        <v>3931</v>
      </c>
      <c r="C3946" s="101">
        <f ca="1"/>
        <v>-1.6951224496627473</v>
      </c>
      <c r="D3946" s="101">
        <f t="shared" ca="1" si="222"/>
        <v>0.56218389423363069</v>
      </c>
      <c r="E3946" s="101">
        <f t="shared" ca="1" si="223"/>
        <v>0</v>
      </c>
      <c r="F3946" s="21">
        <f t="shared" ca="1" si="224"/>
        <v>0</v>
      </c>
      <c r="H3946" s="21">
        <v>3931</v>
      </c>
      <c r="I3946" s="102">
        <v>0.6676849602734003</v>
      </c>
      <c r="J3946" s="103">
        <v>1.3035785374909301E-3</v>
      </c>
      <c r="K3946" s="103"/>
      <c r="L3946" s="103">
        <v>3.9600000000000003E-2</v>
      </c>
      <c r="O3946" s="100"/>
    </row>
    <row r="3947" spans="2:15" x14ac:dyDescent="0.2">
      <c r="B3947" s="1">
        <v>3932</v>
      </c>
      <c r="C3947" s="101">
        <f ca="1"/>
        <v>-0.62000495081624074</v>
      </c>
      <c r="D3947" s="101">
        <f t="shared" ca="1" si="222"/>
        <v>0.62508024015910291</v>
      </c>
      <c r="E3947" s="101">
        <f t="shared" ca="1" si="223"/>
        <v>0</v>
      </c>
      <c r="F3947" s="21">
        <f t="shared" ca="1" si="224"/>
        <v>0</v>
      </c>
      <c r="H3947" s="21">
        <v>3932</v>
      </c>
      <c r="I3947" s="102">
        <v>0.66772308027328087</v>
      </c>
      <c r="J3947" s="103">
        <v>1.4096702558492543E-3</v>
      </c>
      <c r="K3947" s="103"/>
      <c r="L3947" s="103">
        <v>4.1599999999999998E-2</v>
      </c>
      <c r="O3947" s="100"/>
    </row>
    <row r="3948" spans="2:15" x14ac:dyDescent="0.2">
      <c r="B3948" s="1">
        <v>3933</v>
      </c>
      <c r="C3948" s="101">
        <f ca="1"/>
        <v>1.2133294722149732</v>
      </c>
      <c r="D3948" s="101">
        <f t="shared" ca="1" si="222"/>
        <v>0.74898770174105533</v>
      </c>
      <c r="E3948" s="101">
        <f t="shared" ca="1" si="223"/>
        <v>0</v>
      </c>
      <c r="F3948" s="21">
        <f t="shared" ca="1" si="224"/>
        <v>0</v>
      </c>
      <c r="H3948" s="21">
        <v>3933</v>
      </c>
      <c r="I3948" s="102">
        <v>0.66778652362043445</v>
      </c>
      <c r="J3948" s="103">
        <v>1.4924451668439085E-3</v>
      </c>
      <c r="K3948" s="103"/>
      <c r="L3948" s="103">
        <v>4.2799999999999998E-2</v>
      </c>
      <c r="O3948" s="100"/>
    </row>
    <row r="3949" spans="2:15" x14ac:dyDescent="0.2">
      <c r="B3949" s="1">
        <v>3934</v>
      </c>
      <c r="C3949" s="101">
        <f ca="1"/>
        <v>0.43232967143923395</v>
      </c>
      <c r="D3949" s="101">
        <f t="shared" ca="1" si="222"/>
        <v>0.69345316833663151</v>
      </c>
      <c r="E3949" s="101">
        <f t="shared" ca="1" si="223"/>
        <v>0</v>
      </c>
      <c r="F3949" s="21">
        <f t="shared" ca="1" si="224"/>
        <v>0</v>
      </c>
      <c r="H3949" s="21">
        <v>3934</v>
      </c>
      <c r="I3949" s="102">
        <v>0.66762342422387622</v>
      </c>
      <c r="J3949" s="103">
        <v>1.3121500060811757E-3</v>
      </c>
      <c r="K3949" s="103"/>
      <c r="L3949" s="103">
        <v>3.9399999999999998E-2</v>
      </c>
      <c r="O3949" s="100"/>
    </row>
    <row r="3950" spans="2:15" x14ac:dyDescent="0.2">
      <c r="B3950" s="1">
        <v>3935</v>
      </c>
      <c r="C3950" s="101">
        <f ca="1"/>
        <v>0.92776377678456456</v>
      </c>
      <c r="D3950" s="101">
        <f t="shared" ca="1" si="222"/>
        <v>0.7281841612973079</v>
      </c>
      <c r="E3950" s="101">
        <f t="shared" ca="1" si="223"/>
        <v>0</v>
      </c>
      <c r="F3950" s="21">
        <f t="shared" ca="1" si="224"/>
        <v>0</v>
      </c>
      <c r="H3950" s="21">
        <v>3935</v>
      </c>
      <c r="I3950" s="102">
        <v>0.66764413203822637</v>
      </c>
      <c r="J3950" s="103">
        <v>1.2564982006592047E-3</v>
      </c>
      <c r="K3950" s="103"/>
      <c r="L3950" s="103">
        <v>3.8199999999999998E-2</v>
      </c>
      <c r="O3950" s="100"/>
    </row>
    <row r="3951" spans="2:15" x14ac:dyDescent="0.2">
      <c r="B3951" s="1">
        <v>3936</v>
      </c>
      <c r="C3951" s="101">
        <f ca="1"/>
        <v>1.2494922628151142</v>
      </c>
      <c r="D3951" s="101">
        <f t="shared" ca="1" si="222"/>
        <v>0.75166422086051143</v>
      </c>
      <c r="E3951" s="101">
        <f t="shared" ca="1" si="223"/>
        <v>0</v>
      </c>
      <c r="F3951" s="21">
        <f t="shared" ca="1" si="224"/>
        <v>0</v>
      </c>
      <c r="H3951" s="21">
        <v>3936</v>
      </c>
      <c r="I3951" s="102">
        <v>0.66765223445193345</v>
      </c>
      <c r="J3951" s="103">
        <v>1.1690019464097056E-3</v>
      </c>
      <c r="K3951" s="103"/>
      <c r="L3951" s="103">
        <v>3.8399999999999997E-2</v>
      </c>
      <c r="O3951" s="100"/>
    </row>
    <row r="3952" spans="2:15" x14ac:dyDescent="0.2">
      <c r="B3952" s="1">
        <v>3937</v>
      </c>
      <c r="C3952" s="101">
        <f ca="1"/>
        <v>-0.82568278848956089</v>
      </c>
      <c r="D3952" s="101">
        <f t="shared" ca="1" si="222"/>
        <v>0.61252618416457294</v>
      </c>
      <c r="E3952" s="101">
        <f t="shared" ca="1" si="223"/>
        <v>0</v>
      </c>
      <c r="F3952" s="21">
        <f t="shared" ca="1" si="224"/>
        <v>0</v>
      </c>
      <c r="H3952" s="21">
        <v>3937</v>
      </c>
      <c r="I3952" s="102">
        <v>0.66783698880276843</v>
      </c>
      <c r="J3952" s="103">
        <v>1.464862008098705E-3</v>
      </c>
      <c r="K3952" s="103"/>
      <c r="L3952" s="103">
        <v>4.2799999999999998E-2</v>
      </c>
      <c r="O3952" s="100"/>
    </row>
    <row r="3953" spans="2:15" x14ac:dyDescent="0.2">
      <c r="B3953" s="1">
        <v>3938</v>
      </c>
      <c r="C3953" s="101">
        <f ca="1"/>
        <v>0.64197297333735437</v>
      </c>
      <c r="D3953" s="101">
        <f t="shared" ca="1" si="222"/>
        <v>0.70794273048506451</v>
      </c>
      <c r="E3953" s="101">
        <f t="shared" ca="1" si="223"/>
        <v>0</v>
      </c>
      <c r="F3953" s="21">
        <f t="shared" ca="1" si="224"/>
        <v>0</v>
      </c>
      <c r="H3953" s="21">
        <v>3938</v>
      </c>
      <c r="I3953" s="102">
        <v>0.66775759727197304</v>
      </c>
      <c r="J3953" s="103">
        <v>1.3758608858415739E-3</v>
      </c>
      <c r="K3953" s="103"/>
      <c r="L3953" s="103">
        <v>3.8800000000000001E-2</v>
      </c>
      <c r="O3953" s="100"/>
    </row>
    <row r="3954" spans="2:15" x14ac:dyDescent="0.2">
      <c r="B3954" s="1">
        <v>3939</v>
      </c>
      <c r="C3954" s="101">
        <f ca="1"/>
        <v>-1.8445282638321168</v>
      </c>
      <c r="D3954" s="101">
        <f t="shared" ca="1" si="222"/>
        <v>0.55395941321727493</v>
      </c>
      <c r="E3954" s="101">
        <f t="shared" ca="1" si="223"/>
        <v>0</v>
      </c>
      <c r="F3954" s="21">
        <f t="shared" ca="1" si="224"/>
        <v>0</v>
      </c>
      <c r="H3954" s="21">
        <v>3939</v>
      </c>
      <c r="I3954" s="102">
        <v>0.66765373929730221</v>
      </c>
      <c r="J3954" s="103">
        <v>1.3301737612752315E-3</v>
      </c>
      <c r="K3954" s="103"/>
      <c r="L3954" s="103">
        <v>4.1399999999999999E-2</v>
      </c>
      <c r="O3954" s="100"/>
    </row>
    <row r="3955" spans="2:15" x14ac:dyDescent="0.2">
      <c r="B3955" s="1">
        <v>3940</v>
      </c>
      <c r="C3955" s="101">
        <f ca="1"/>
        <v>-4.69456447963498E-2</v>
      </c>
      <c r="D3955" s="101">
        <f t="shared" ca="1" si="222"/>
        <v>0.66143211498469878</v>
      </c>
      <c r="E3955" s="101">
        <f t="shared" ca="1" si="223"/>
        <v>0</v>
      </c>
      <c r="F3955" s="21">
        <f t="shared" ca="1" si="224"/>
        <v>0</v>
      </c>
      <c r="H3955" s="21">
        <v>3940</v>
      </c>
      <c r="I3955" s="102">
        <v>0.6677531797040489</v>
      </c>
      <c r="J3955" s="103">
        <v>1.4455477994519057E-3</v>
      </c>
      <c r="K3955" s="103"/>
      <c r="L3955" s="103">
        <v>4.4999999999999998E-2</v>
      </c>
      <c r="O3955" s="100"/>
    </row>
    <row r="3956" spans="2:15" x14ac:dyDescent="0.2">
      <c r="B3956" s="1">
        <v>3941</v>
      </c>
      <c r="C3956" s="101">
        <f ca="1"/>
        <v>-0.58829218786474691</v>
      </c>
      <c r="D3956" s="101">
        <f t="shared" ca="1" si="222"/>
        <v>0.62703867085239118</v>
      </c>
      <c r="E3956" s="101">
        <f t="shared" ca="1" si="223"/>
        <v>0</v>
      </c>
      <c r="F3956" s="21">
        <f t="shared" ca="1" si="224"/>
        <v>0</v>
      </c>
      <c r="H3956" s="21">
        <v>3941</v>
      </c>
      <c r="I3956" s="102">
        <v>0.66776681327417942</v>
      </c>
      <c r="J3956" s="103">
        <v>1.4930891044726956E-3</v>
      </c>
      <c r="K3956" s="103"/>
      <c r="L3956" s="103">
        <v>4.3799999999999999E-2</v>
      </c>
      <c r="O3956" s="100"/>
    </row>
    <row r="3957" spans="2:15" x14ac:dyDescent="0.2">
      <c r="B3957" s="1">
        <v>3942</v>
      </c>
      <c r="C3957" s="101">
        <f ca="1"/>
        <v>-9.5483028753585289E-2</v>
      </c>
      <c r="D3957" s="101">
        <f t="shared" ca="1" si="222"/>
        <v>0.65827288456416377</v>
      </c>
      <c r="E3957" s="101">
        <f t="shared" ca="1" si="223"/>
        <v>0</v>
      </c>
      <c r="F3957" s="21">
        <f t="shared" ca="1" si="224"/>
        <v>0</v>
      </c>
      <c r="H3957" s="21">
        <v>3942</v>
      </c>
      <c r="I3957" s="102">
        <v>0.66779556765488535</v>
      </c>
      <c r="J3957" s="103">
        <v>1.4916938904127558E-3</v>
      </c>
      <c r="K3957" s="103"/>
      <c r="L3957" s="103">
        <v>4.3200000000000002E-2</v>
      </c>
      <c r="O3957" s="100"/>
    </row>
    <row r="3958" spans="2:15" x14ac:dyDescent="0.2">
      <c r="B3958" s="1">
        <v>3943</v>
      </c>
      <c r="C3958" s="101">
        <f ca="1"/>
        <v>0.77835921410175224</v>
      </c>
      <c r="D3958" s="101">
        <f t="shared" ca="1" si="222"/>
        <v>0.71753126448667048</v>
      </c>
      <c r="E3958" s="101">
        <f t="shared" ca="1" si="223"/>
        <v>0</v>
      </c>
      <c r="F3958" s="21">
        <f t="shared" ca="1" si="224"/>
        <v>0</v>
      </c>
      <c r="H3958" s="21">
        <v>3943</v>
      </c>
      <c r="I3958" s="102">
        <v>0.66792672222798521</v>
      </c>
      <c r="J3958" s="103">
        <v>1.5704708927781977E-3</v>
      </c>
      <c r="K3958" s="103"/>
      <c r="L3958" s="103">
        <v>4.4400000000000002E-2</v>
      </c>
      <c r="O3958" s="100"/>
    </row>
    <row r="3959" spans="2:15" x14ac:dyDescent="0.2">
      <c r="B3959" s="1">
        <v>3944</v>
      </c>
      <c r="C3959" s="101">
        <f ca="1"/>
        <v>-1.6888980646142908</v>
      </c>
      <c r="D3959" s="101">
        <f t="shared" ca="1" si="222"/>
        <v>0.56252917078259301</v>
      </c>
      <c r="E3959" s="101">
        <f t="shared" ca="1" si="223"/>
        <v>0</v>
      </c>
      <c r="F3959" s="21">
        <f t="shared" ca="1" si="224"/>
        <v>0</v>
      </c>
      <c r="H3959" s="21">
        <v>3944</v>
      </c>
      <c r="I3959" s="102">
        <v>0.6675744401760404</v>
      </c>
      <c r="J3959" s="103">
        <v>1.3288415457261738E-3</v>
      </c>
      <c r="K3959" s="103"/>
      <c r="L3959" s="103">
        <v>3.7199999999999997E-2</v>
      </c>
      <c r="O3959" s="100"/>
    </row>
    <row r="3960" spans="2:15" x14ac:dyDescent="0.2">
      <c r="B3960" s="1">
        <v>3945</v>
      </c>
      <c r="C3960" s="101">
        <f ca="1"/>
        <v>-0.26115521393588231</v>
      </c>
      <c r="D3960" s="101">
        <f t="shared" ca="1" si="222"/>
        <v>0.64760273141656166</v>
      </c>
      <c r="E3960" s="101">
        <f t="shared" ca="1" si="223"/>
        <v>0</v>
      </c>
      <c r="F3960" s="21">
        <f t="shared" ca="1" si="224"/>
        <v>0</v>
      </c>
      <c r="H3960" s="21">
        <v>3945</v>
      </c>
      <c r="I3960" s="102">
        <v>0.66776139476096619</v>
      </c>
      <c r="J3960" s="103">
        <v>1.5119129794917304E-3</v>
      </c>
      <c r="K3960" s="103"/>
      <c r="L3960" s="103">
        <v>4.24E-2</v>
      </c>
      <c r="O3960" s="100"/>
    </row>
    <row r="3961" spans="2:15" x14ac:dyDescent="0.2">
      <c r="B3961" s="1">
        <v>3946</v>
      </c>
      <c r="C3961" s="101">
        <f ca="1"/>
        <v>0.89779398117905507</v>
      </c>
      <c r="D3961" s="101">
        <f t="shared" ca="1" si="222"/>
        <v>0.72603463815864377</v>
      </c>
      <c r="E3961" s="101">
        <f t="shared" ca="1" si="223"/>
        <v>0</v>
      </c>
      <c r="F3961" s="21">
        <f t="shared" ca="1" si="224"/>
        <v>0</v>
      </c>
      <c r="H3961" s="21">
        <v>3946</v>
      </c>
      <c r="I3961" s="102">
        <v>0.66773656982728502</v>
      </c>
      <c r="J3961" s="103">
        <v>1.2758445156126077E-3</v>
      </c>
      <c r="K3961" s="103"/>
      <c r="L3961" s="103">
        <v>3.9800000000000002E-2</v>
      </c>
      <c r="O3961" s="100"/>
    </row>
    <row r="3962" spans="2:15" x14ac:dyDescent="0.2">
      <c r="B3962" s="1">
        <v>3947</v>
      </c>
      <c r="C3962" s="101">
        <f ca="1"/>
        <v>6.0180311076057126E-2</v>
      </c>
      <c r="D3962" s="101">
        <f t="shared" ca="1" si="222"/>
        <v>0.66845855776623997</v>
      </c>
      <c r="E3962" s="101">
        <f t="shared" ca="1" si="223"/>
        <v>0</v>
      </c>
      <c r="F3962" s="21">
        <f t="shared" ca="1" si="224"/>
        <v>0</v>
      </c>
      <c r="H3962" s="21">
        <v>3947</v>
      </c>
      <c r="I3962" s="102">
        <v>0.66792625833155839</v>
      </c>
      <c r="J3962" s="103">
        <v>1.5773935475014243E-3</v>
      </c>
      <c r="K3962" s="103"/>
      <c r="L3962" s="103">
        <v>4.3200000000000002E-2</v>
      </c>
      <c r="O3962" s="100"/>
    </row>
    <row r="3963" spans="2:15" x14ac:dyDescent="0.2">
      <c r="B3963" s="1">
        <v>3948</v>
      </c>
      <c r="C3963" s="101">
        <f ca="1"/>
        <v>0.44702908487091109</v>
      </c>
      <c r="D3963" s="101">
        <f t="shared" ca="1" si="222"/>
        <v>0.6944593836843318</v>
      </c>
      <c r="E3963" s="101">
        <f t="shared" ca="1" si="223"/>
        <v>0</v>
      </c>
      <c r="F3963" s="21">
        <f t="shared" ca="1" si="224"/>
        <v>0</v>
      </c>
      <c r="H3963" s="21">
        <v>3948</v>
      </c>
      <c r="I3963" s="102">
        <v>0.66786969791569284</v>
      </c>
      <c r="J3963" s="103">
        <v>1.5066694563463719E-3</v>
      </c>
      <c r="K3963" s="103"/>
      <c r="L3963" s="103">
        <v>4.58E-2</v>
      </c>
      <c r="O3963" s="100"/>
    </row>
    <row r="3964" spans="2:15" x14ac:dyDescent="0.2">
      <c r="B3964" s="1">
        <v>3949</v>
      </c>
      <c r="C3964" s="101">
        <f ca="1"/>
        <v>-0.95681375116321854</v>
      </c>
      <c r="D3964" s="101">
        <f t="shared" ca="1" si="222"/>
        <v>0.60465422102992938</v>
      </c>
      <c r="E3964" s="101">
        <f t="shared" ca="1" si="223"/>
        <v>0</v>
      </c>
      <c r="F3964" s="21">
        <f t="shared" ca="1" si="224"/>
        <v>0</v>
      </c>
      <c r="H3964" s="21">
        <v>3949</v>
      </c>
      <c r="I3964" s="102">
        <v>0.66770234099589343</v>
      </c>
      <c r="J3964" s="103">
        <v>1.3684715175453822E-3</v>
      </c>
      <c r="K3964" s="103"/>
      <c r="L3964" s="103">
        <v>4.0800000000000003E-2</v>
      </c>
      <c r="O3964" s="100"/>
    </row>
    <row r="3965" spans="2:15" x14ac:dyDescent="0.2">
      <c r="B3965" s="1">
        <v>3950</v>
      </c>
      <c r="C3965" s="101">
        <f ca="1"/>
        <v>-0.98288601253712105</v>
      </c>
      <c r="D3965" s="101">
        <f t="shared" ca="1" si="222"/>
        <v>0.60310116776548939</v>
      </c>
      <c r="E3965" s="101">
        <f t="shared" ca="1" si="223"/>
        <v>0</v>
      </c>
      <c r="F3965" s="21">
        <f t="shared" ca="1" si="224"/>
        <v>0</v>
      </c>
      <c r="H3965" s="21">
        <v>3950</v>
      </c>
      <c r="I3965" s="102">
        <v>0.66777121880812851</v>
      </c>
      <c r="J3965" s="103">
        <v>1.4508807207847109E-3</v>
      </c>
      <c r="K3965" s="103"/>
      <c r="L3965" s="103">
        <v>3.9800000000000002E-2</v>
      </c>
      <c r="O3965" s="100"/>
    </row>
    <row r="3966" spans="2:15" x14ac:dyDescent="0.2">
      <c r="B3966" s="1">
        <v>3951</v>
      </c>
      <c r="C3966" s="101">
        <f ca="1"/>
        <v>0.95705106387879058</v>
      </c>
      <c r="D3966" s="101">
        <f t="shared" ca="1" si="222"/>
        <v>0.73029088096256611</v>
      </c>
      <c r="E3966" s="101">
        <f t="shared" ca="1" si="223"/>
        <v>0</v>
      </c>
      <c r="F3966" s="21">
        <f t="shared" ca="1" si="224"/>
        <v>0</v>
      </c>
      <c r="H3966" s="21">
        <v>3951</v>
      </c>
      <c r="I3966" s="102">
        <v>0.66772495151426769</v>
      </c>
      <c r="J3966" s="103">
        <v>1.323824473798802E-3</v>
      </c>
      <c r="K3966" s="103"/>
      <c r="L3966" s="103">
        <v>4.2599999999999999E-2</v>
      </c>
      <c r="O3966" s="100"/>
    </row>
    <row r="3967" spans="2:15" x14ac:dyDescent="0.2">
      <c r="B3967" s="1">
        <v>3952</v>
      </c>
      <c r="C3967" s="101">
        <f ca="1"/>
        <v>1.0156774744563857</v>
      </c>
      <c r="D3967" s="101">
        <f t="shared" ca="1" si="222"/>
        <v>0.73452637864406012</v>
      </c>
      <c r="E3967" s="101">
        <f t="shared" ca="1" si="223"/>
        <v>0</v>
      </c>
      <c r="F3967" s="21">
        <f t="shared" ca="1" si="224"/>
        <v>0</v>
      </c>
      <c r="H3967" s="21">
        <v>3952</v>
      </c>
      <c r="I3967" s="102">
        <v>0.66777642385291469</v>
      </c>
      <c r="J3967" s="103">
        <v>1.4904208219407476E-3</v>
      </c>
      <c r="K3967" s="103"/>
      <c r="L3967" s="103">
        <v>4.2599999999999999E-2</v>
      </c>
      <c r="O3967" s="100"/>
    </row>
    <row r="3968" spans="2:15" x14ac:dyDescent="0.2">
      <c r="B3968" s="1">
        <v>3953</v>
      </c>
      <c r="C3968" s="101">
        <f ca="1"/>
        <v>-1.2541523225197335</v>
      </c>
      <c r="D3968" s="101">
        <f t="shared" ca="1" si="222"/>
        <v>0.58717734096119545</v>
      </c>
      <c r="E3968" s="101">
        <f t="shared" ca="1" si="223"/>
        <v>0</v>
      </c>
      <c r="F3968" s="21">
        <f t="shared" ca="1" si="224"/>
        <v>0</v>
      </c>
      <c r="H3968" s="21">
        <v>3953</v>
      </c>
      <c r="I3968" s="102">
        <v>0.66750176017625895</v>
      </c>
      <c r="J3968" s="103">
        <v>1.2420844508280265E-3</v>
      </c>
      <c r="K3968" s="103"/>
      <c r="L3968" s="103">
        <v>3.8399999999999997E-2</v>
      </c>
      <c r="O3968" s="100"/>
    </row>
    <row r="3969" spans="2:15" x14ac:dyDescent="0.2">
      <c r="B3969" s="1">
        <v>3954</v>
      </c>
      <c r="C3969" s="101">
        <f ca="1"/>
        <v>0.38299268593454555</v>
      </c>
      <c r="D3969" s="101">
        <f t="shared" ca="1" si="222"/>
        <v>0.69008656233341203</v>
      </c>
      <c r="E3969" s="101">
        <f t="shared" ca="1" si="223"/>
        <v>0</v>
      </c>
      <c r="F3969" s="21">
        <f t="shared" ca="1" si="224"/>
        <v>0</v>
      </c>
      <c r="H3969" s="21">
        <v>3954</v>
      </c>
      <c r="I3969" s="102">
        <v>0.66760484123815689</v>
      </c>
      <c r="J3969" s="103">
        <v>1.2043932860887365E-3</v>
      </c>
      <c r="K3969" s="103"/>
      <c r="L3969" s="103">
        <v>3.8399999999999997E-2</v>
      </c>
      <c r="O3969" s="100"/>
    </row>
    <row r="3970" spans="2:15" x14ac:dyDescent="0.2">
      <c r="B3970" s="1">
        <v>3955</v>
      </c>
      <c r="C3970" s="101">
        <f ca="1"/>
        <v>-1.168993356136329</v>
      </c>
      <c r="D3970" s="101">
        <f t="shared" ca="1" si="222"/>
        <v>0.59213051885302637</v>
      </c>
      <c r="E3970" s="101">
        <f t="shared" ca="1" si="223"/>
        <v>0</v>
      </c>
      <c r="F3970" s="21">
        <f t="shared" ca="1" si="224"/>
        <v>0</v>
      </c>
      <c r="H3970" s="21">
        <v>3955</v>
      </c>
      <c r="I3970" s="102">
        <v>0.66775730694773394</v>
      </c>
      <c r="J3970" s="103">
        <v>1.3233770075234566E-3</v>
      </c>
      <c r="K3970" s="103"/>
      <c r="L3970" s="103">
        <v>4.0800000000000003E-2</v>
      </c>
      <c r="O3970" s="100"/>
    </row>
    <row r="3971" spans="2:15" x14ac:dyDescent="0.2">
      <c r="B3971" s="1">
        <v>3956</v>
      </c>
      <c r="C3971" s="101">
        <f ca="1"/>
        <v>-0.4858606400899817</v>
      </c>
      <c r="D3971" s="101">
        <f t="shared" ca="1" si="222"/>
        <v>0.63340637475964023</v>
      </c>
      <c r="E3971" s="101">
        <f t="shared" ca="1" si="223"/>
        <v>0</v>
      </c>
      <c r="F3971" s="21">
        <f t="shared" ca="1" si="224"/>
        <v>0</v>
      </c>
      <c r="H3971" s="21">
        <v>3956</v>
      </c>
      <c r="I3971" s="102">
        <v>0.66770486272145768</v>
      </c>
      <c r="J3971" s="103">
        <v>1.4632215640390826E-3</v>
      </c>
      <c r="K3971" s="103"/>
      <c r="L3971" s="103">
        <v>4.2000000000000003E-2</v>
      </c>
      <c r="O3971" s="100"/>
    </row>
    <row r="3972" spans="2:15" x14ac:dyDescent="0.2">
      <c r="B3972" s="1">
        <v>3957</v>
      </c>
      <c r="C3972" s="101">
        <f ca="1"/>
        <v>1.6751036654884368</v>
      </c>
      <c r="D3972" s="101">
        <f t="shared" ca="1" si="222"/>
        <v>0.78389303997525128</v>
      </c>
      <c r="E3972" s="101">
        <f t="shared" ca="1" si="223"/>
        <v>0</v>
      </c>
      <c r="F3972" s="21">
        <f t="shared" ca="1" si="224"/>
        <v>0</v>
      </c>
      <c r="H3972" s="21">
        <v>3957</v>
      </c>
      <c r="I3972" s="102">
        <v>0.66764277470667277</v>
      </c>
      <c r="J3972" s="103">
        <v>1.3376662969865813E-3</v>
      </c>
      <c r="K3972" s="103"/>
      <c r="L3972" s="103">
        <v>3.8800000000000001E-2</v>
      </c>
      <c r="O3972" s="100"/>
    </row>
    <row r="3973" spans="2:15" x14ac:dyDescent="0.2">
      <c r="B3973" s="1">
        <v>3958</v>
      </c>
      <c r="C3973" s="101">
        <f ca="1"/>
        <v>-0.92564954171254621</v>
      </c>
      <c r="D3973" s="101">
        <f t="shared" ca="1" si="222"/>
        <v>0.60651583574404155</v>
      </c>
      <c r="E3973" s="101">
        <f t="shared" ca="1" si="223"/>
        <v>0</v>
      </c>
      <c r="F3973" s="21">
        <f t="shared" ca="1" si="224"/>
        <v>0</v>
      </c>
      <c r="H3973" s="21">
        <v>3958</v>
      </c>
      <c r="I3973" s="102">
        <v>0.66771437744737328</v>
      </c>
      <c r="J3973" s="103">
        <v>1.2093135702724693E-3</v>
      </c>
      <c r="K3973" s="103"/>
      <c r="L3973" s="103">
        <v>4.0800000000000003E-2</v>
      </c>
      <c r="O3973" s="100"/>
    </row>
    <row r="3974" spans="2:15" x14ac:dyDescent="0.2">
      <c r="B3974" s="1">
        <v>3959</v>
      </c>
      <c r="C3974" s="101">
        <f ca="1"/>
        <v>-4.0773106394128497E-2</v>
      </c>
      <c r="D3974" s="101">
        <f t="shared" ca="1" si="222"/>
        <v>0.6618349620456383</v>
      </c>
      <c r="E3974" s="101">
        <f t="shared" ca="1" si="223"/>
        <v>0</v>
      </c>
      <c r="F3974" s="21">
        <f t="shared" ca="1" si="224"/>
        <v>0</v>
      </c>
      <c r="H3974" s="21">
        <v>3959</v>
      </c>
      <c r="I3974" s="102">
        <v>0.66786482691538795</v>
      </c>
      <c r="J3974" s="103">
        <v>1.511346333773905E-3</v>
      </c>
      <c r="K3974" s="103"/>
      <c r="L3974" s="103">
        <v>4.5199999999999997E-2</v>
      </c>
      <c r="O3974" s="100"/>
    </row>
    <row r="3975" spans="2:15" x14ac:dyDescent="0.2">
      <c r="B3975" s="1">
        <v>3960</v>
      </c>
      <c r="C3975" s="101">
        <f ca="1"/>
        <v>-0.67428927567397912</v>
      </c>
      <c r="D3975" s="101">
        <f t="shared" ca="1" si="222"/>
        <v>0.6217420822473374</v>
      </c>
      <c r="E3975" s="101">
        <f t="shared" ca="1" si="223"/>
        <v>0</v>
      </c>
      <c r="F3975" s="21">
        <f t="shared" ca="1" si="224"/>
        <v>0</v>
      </c>
      <c r="H3975" s="21">
        <v>3960</v>
      </c>
      <c r="I3975" s="102">
        <v>0.6677580781633673</v>
      </c>
      <c r="J3975" s="103">
        <v>1.3410348708227037E-3</v>
      </c>
      <c r="K3975" s="103"/>
      <c r="L3975" s="103">
        <v>3.7999999999999999E-2</v>
      </c>
      <c r="O3975" s="100"/>
    </row>
    <row r="3976" spans="2:15" x14ac:dyDescent="0.2">
      <c r="B3976" s="1">
        <v>3961</v>
      </c>
      <c r="C3976" s="101">
        <f ca="1"/>
        <v>-1.4237396682562187</v>
      </c>
      <c r="D3976" s="101">
        <f t="shared" ca="1" si="222"/>
        <v>0.57743655082451073</v>
      </c>
      <c r="E3976" s="101">
        <f t="shared" ca="1" si="223"/>
        <v>0</v>
      </c>
      <c r="F3976" s="21">
        <f t="shared" ca="1" si="224"/>
        <v>0</v>
      </c>
      <c r="H3976" s="21">
        <v>3961</v>
      </c>
      <c r="I3976" s="102">
        <v>0.66783836343309877</v>
      </c>
      <c r="J3976" s="103">
        <v>1.3046614982515081E-3</v>
      </c>
      <c r="K3976" s="103"/>
      <c r="L3976" s="103">
        <v>4.3400000000000001E-2</v>
      </c>
      <c r="O3976" s="100"/>
    </row>
    <row r="3977" spans="2:15" x14ac:dyDescent="0.2">
      <c r="B3977" s="1">
        <v>3962</v>
      </c>
      <c r="C3977" s="101">
        <f ca="1"/>
        <v>-1.9598367501317375</v>
      </c>
      <c r="D3977" s="101">
        <f t="shared" ca="1" si="222"/>
        <v>0.54769427600215759</v>
      </c>
      <c r="E3977" s="101">
        <f t="shared" ca="1" si="223"/>
        <v>0</v>
      </c>
      <c r="F3977" s="21">
        <f t="shared" ca="1" si="224"/>
        <v>0</v>
      </c>
      <c r="H3977" s="21">
        <v>3962</v>
      </c>
      <c r="I3977" s="102">
        <v>0.66768878130093579</v>
      </c>
      <c r="J3977" s="103">
        <v>1.3166907947895661E-3</v>
      </c>
      <c r="K3977" s="103"/>
      <c r="L3977" s="103">
        <v>4.02E-2</v>
      </c>
      <c r="O3977" s="100"/>
    </row>
    <row r="3978" spans="2:15" x14ac:dyDescent="0.2">
      <c r="B3978" s="1">
        <v>3963</v>
      </c>
      <c r="C3978" s="101">
        <f ca="1"/>
        <v>1.0269266265059855</v>
      </c>
      <c r="D3978" s="101">
        <f t="shared" ca="1" si="222"/>
        <v>0.73534188445555138</v>
      </c>
      <c r="E3978" s="101">
        <f t="shared" ca="1" si="223"/>
        <v>0</v>
      </c>
      <c r="F3978" s="21">
        <f t="shared" ca="1" si="224"/>
        <v>0</v>
      </c>
      <c r="H3978" s="21">
        <v>3963</v>
      </c>
      <c r="I3978" s="102">
        <v>0.66771647766806252</v>
      </c>
      <c r="J3978" s="103">
        <v>1.2869661245216259E-3</v>
      </c>
      <c r="K3978" s="103"/>
      <c r="L3978" s="103">
        <v>4.0800000000000003E-2</v>
      </c>
      <c r="O3978" s="100"/>
    </row>
    <row r="3979" spans="2:15" x14ac:dyDescent="0.2">
      <c r="B3979" s="1">
        <v>3964</v>
      </c>
      <c r="C3979" s="101">
        <f ca="1"/>
        <v>0.52517646314854771</v>
      </c>
      <c r="D3979" s="101">
        <f t="shared" ca="1" si="222"/>
        <v>0.69983335237621658</v>
      </c>
      <c r="E3979" s="101">
        <f t="shared" ca="1" si="223"/>
        <v>0</v>
      </c>
      <c r="F3979" s="21">
        <f t="shared" ca="1" si="224"/>
        <v>0</v>
      </c>
      <c r="H3979" s="21">
        <v>3964</v>
      </c>
      <c r="I3979" s="102">
        <v>0.66761701057955158</v>
      </c>
      <c r="J3979" s="103">
        <v>1.2734033109062688E-3</v>
      </c>
      <c r="K3979" s="103"/>
      <c r="L3979" s="103">
        <v>3.5000000000000003E-2</v>
      </c>
      <c r="O3979" s="100"/>
    </row>
    <row r="3980" spans="2:15" x14ac:dyDescent="0.2">
      <c r="B3980" s="1">
        <v>3965</v>
      </c>
      <c r="C3980" s="101">
        <f ca="1"/>
        <v>0.8599268764974568</v>
      </c>
      <c r="D3980" s="101">
        <f t="shared" ca="1" si="222"/>
        <v>0.72332776757517703</v>
      </c>
      <c r="E3980" s="101">
        <f t="shared" ca="1" si="223"/>
        <v>0</v>
      </c>
      <c r="F3980" s="21">
        <f t="shared" ca="1" si="224"/>
        <v>0</v>
      </c>
      <c r="H3980" s="21">
        <v>3965</v>
      </c>
      <c r="I3980" s="102">
        <v>0.66771693795143106</v>
      </c>
      <c r="J3980" s="103">
        <v>1.2617817872802508E-3</v>
      </c>
      <c r="K3980" s="103"/>
      <c r="L3980" s="103">
        <v>4.2200000000000001E-2</v>
      </c>
      <c r="O3980" s="100"/>
    </row>
    <row r="3981" spans="2:15" x14ac:dyDescent="0.2">
      <c r="B3981" s="1">
        <v>3966</v>
      </c>
      <c r="C3981" s="101">
        <f ca="1"/>
        <v>0.44126388051114424</v>
      </c>
      <c r="D3981" s="101">
        <f t="shared" ca="1" si="222"/>
        <v>0.69406456565673347</v>
      </c>
      <c r="E3981" s="101">
        <f t="shared" ca="1" si="223"/>
        <v>0</v>
      </c>
      <c r="F3981" s="21">
        <f t="shared" ca="1" si="224"/>
        <v>0</v>
      </c>
      <c r="H3981" s="21">
        <v>3966</v>
      </c>
      <c r="I3981" s="102">
        <v>0.66773221441560737</v>
      </c>
      <c r="J3981" s="103">
        <v>1.323359805578695E-3</v>
      </c>
      <c r="K3981" s="103"/>
      <c r="L3981" s="103">
        <v>4.0599999999999997E-2</v>
      </c>
      <c r="O3981" s="100"/>
    </row>
    <row r="3982" spans="2:15" x14ac:dyDescent="0.2">
      <c r="B3982" s="1">
        <v>3967</v>
      </c>
      <c r="C3982" s="101">
        <f ca="1"/>
        <v>0.68882682905215331</v>
      </c>
      <c r="D3982" s="101">
        <f t="shared" ca="1" si="222"/>
        <v>0.71122222073990027</v>
      </c>
      <c r="E3982" s="101">
        <f t="shared" ca="1" si="223"/>
        <v>0</v>
      </c>
      <c r="F3982" s="21">
        <f t="shared" ca="1" si="224"/>
        <v>0</v>
      </c>
      <c r="H3982" s="21">
        <v>3967</v>
      </c>
      <c r="I3982" s="102">
        <v>0.66772986199391482</v>
      </c>
      <c r="J3982" s="103">
        <v>1.2646816255823599E-3</v>
      </c>
      <c r="K3982" s="103"/>
      <c r="L3982" s="103">
        <v>4.3200000000000002E-2</v>
      </c>
      <c r="O3982" s="100"/>
    </row>
    <row r="3983" spans="2:15" x14ac:dyDescent="0.2">
      <c r="B3983" s="1">
        <v>3968</v>
      </c>
      <c r="C3983" s="101">
        <f ca="1"/>
        <v>2.0833747309031314</v>
      </c>
      <c r="D3983" s="101">
        <f t="shared" ca="1" si="222"/>
        <v>0.81610659830084242</v>
      </c>
      <c r="E3983" s="101">
        <f t="shared" ca="1" si="223"/>
        <v>2.7906598300842411E-2</v>
      </c>
      <c r="F3983" s="21">
        <f t="shared" ca="1" si="224"/>
        <v>1</v>
      </c>
      <c r="H3983" s="21">
        <v>3968</v>
      </c>
      <c r="I3983" s="102">
        <v>0.66770757154035731</v>
      </c>
      <c r="J3983" s="103">
        <v>1.2249484666051916E-3</v>
      </c>
      <c r="K3983" s="103"/>
      <c r="L3983" s="103">
        <v>3.9800000000000002E-2</v>
      </c>
      <c r="O3983" s="100"/>
    </row>
    <row r="3984" spans="2:15" x14ac:dyDescent="0.2">
      <c r="B3984" s="1">
        <v>3969</v>
      </c>
      <c r="C3984" s="101">
        <f ca="1"/>
        <v>7.9008205356366157E-2</v>
      </c>
      <c r="D3984" s="101">
        <f t="shared" ref="D3984:D4047" ca="1" si="225">S0*EXP((μ-0.5*σ*σ)*T+σ*SQRT(T)*$C3984)</f>
        <v>0.6697011781957446</v>
      </c>
      <c r="E3984" s="101">
        <f t="shared" ref="E3984:E4047" ca="1" si="226">MAX(0,CP*(D3984-K))</f>
        <v>0</v>
      </c>
      <c r="F3984" s="21">
        <f t="shared" ref="F3984:F4047" ca="1" si="227">(CP*(D3984-K)&gt;0)*1</f>
        <v>0</v>
      </c>
      <c r="H3984" s="21">
        <v>3969</v>
      </c>
      <c r="I3984" s="102">
        <v>0.66762327631833673</v>
      </c>
      <c r="J3984" s="103">
        <v>1.2827075500631087E-3</v>
      </c>
      <c r="K3984" s="103"/>
      <c r="L3984" s="103">
        <v>3.9199999999999999E-2</v>
      </c>
      <c r="O3984" s="100"/>
    </row>
    <row r="3985" spans="2:15" x14ac:dyDescent="0.2">
      <c r="B3985" s="1">
        <v>3970</v>
      </c>
      <c r="C3985" s="101">
        <f ca="1"/>
        <v>-1.2676145471810105</v>
      </c>
      <c r="D3985" s="101">
        <f t="shared" ca="1" si="225"/>
        <v>0.58639812704937977</v>
      </c>
      <c r="E3985" s="101">
        <f t="shared" ca="1" si="226"/>
        <v>0</v>
      </c>
      <c r="F3985" s="21">
        <f t="shared" ca="1" si="227"/>
        <v>0</v>
      </c>
      <c r="H3985" s="21">
        <v>3970</v>
      </c>
      <c r="I3985" s="102">
        <v>0.66770473434611499</v>
      </c>
      <c r="J3985" s="103">
        <v>1.1926184933611778E-3</v>
      </c>
      <c r="K3985" s="103"/>
      <c r="L3985" s="103">
        <v>4.1200000000000001E-2</v>
      </c>
      <c r="O3985" s="100"/>
    </row>
    <row r="3986" spans="2:15" x14ac:dyDescent="0.2">
      <c r="B3986" s="1">
        <v>3971</v>
      </c>
      <c r="C3986" s="101">
        <f ca="1"/>
        <v>2.1147267335112154</v>
      </c>
      <c r="D3986" s="101">
        <f t="shared" ca="1" si="225"/>
        <v>0.81863439882604727</v>
      </c>
      <c r="E3986" s="101">
        <f t="shared" ca="1" si="226"/>
        <v>3.043439882604726E-2</v>
      </c>
      <c r="F3986" s="21">
        <f t="shared" ca="1" si="227"/>
        <v>1</v>
      </c>
      <c r="H3986" s="21">
        <v>3971</v>
      </c>
      <c r="I3986" s="102">
        <v>0.66794244335217279</v>
      </c>
      <c r="J3986" s="103">
        <v>1.4832822773438552E-3</v>
      </c>
      <c r="K3986" s="103"/>
      <c r="L3986" s="103">
        <v>4.48E-2</v>
      </c>
      <c r="O3986" s="100"/>
    </row>
    <row r="3987" spans="2:15" x14ac:dyDescent="0.2">
      <c r="B3987" s="1">
        <v>3972</v>
      </c>
      <c r="C3987" s="101">
        <f ca="1"/>
        <v>-5.4645112107575312E-2</v>
      </c>
      <c r="D3987" s="101">
        <f t="shared" ca="1" si="225"/>
        <v>0.66092995749098593</v>
      </c>
      <c r="E3987" s="101">
        <f t="shared" ca="1" si="226"/>
        <v>0</v>
      </c>
      <c r="F3987" s="21">
        <f t="shared" ca="1" si="227"/>
        <v>0</v>
      </c>
      <c r="H3987" s="21">
        <v>3972</v>
      </c>
      <c r="I3987" s="102">
        <v>0.66801499954182664</v>
      </c>
      <c r="J3987" s="103">
        <v>1.6414651352264975E-3</v>
      </c>
      <c r="K3987" s="103"/>
      <c r="L3987" s="103">
        <v>4.7600000000000003E-2</v>
      </c>
      <c r="O3987" s="100"/>
    </row>
    <row r="3988" spans="2:15" x14ac:dyDescent="0.2">
      <c r="B3988" s="1">
        <v>3973</v>
      </c>
      <c r="C3988" s="101">
        <f ca="1"/>
        <v>0.48434043536249971</v>
      </c>
      <c r="D3988" s="101">
        <f t="shared" ca="1" si="225"/>
        <v>0.69702000975371803</v>
      </c>
      <c r="E3988" s="101">
        <f t="shared" ca="1" si="226"/>
        <v>0</v>
      </c>
      <c r="F3988" s="21">
        <f t="shared" ca="1" si="227"/>
        <v>0</v>
      </c>
      <c r="H3988" s="21">
        <v>3973</v>
      </c>
      <c r="I3988" s="102">
        <v>0.66774345736640339</v>
      </c>
      <c r="J3988" s="103">
        <v>1.2844667639612156E-3</v>
      </c>
      <c r="K3988" s="103"/>
      <c r="L3988" s="103">
        <v>3.8600000000000002E-2</v>
      </c>
      <c r="O3988" s="100"/>
    </row>
    <row r="3989" spans="2:15" x14ac:dyDescent="0.2">
      <c r="B3989" s="1">
        <v>3974</v>
      </c>
      <c r="C3989" s="101">
        <f ca="1"/>
        <v>0.31893563555236343</v>
      </c>
      <c r="D3989" s="101">
        <f t="shared" ca="1" si="225"/>
        <v>0.68573987853348828</v>
      </c>
      <c r="E3989" s="101">
        <f t="shared" ca="1" si="226"/>
        <v>0</v>
      </c>
      <c r="F3989" s="21">
        <f t="shared" ca="1" si="227"/>
        <v>0</v>
      </c>
      <c r="H3989" s="21">
        <v>3974</v>
      </c>
      <c r="I3989" s="102">
        <v>0.66773983040681373</v>
      </c>
      <c r="J3989" s="103">
        <v>1.4360361705455303E-3</v>
      </c>
      <c r="K3989" s="103"/>
      <c r="L3989" s="103">
        <v>3.7600000000000001E-2</v>
      </c>
      <c r="O3989" s="100"/>
    </row>
    <row r="3990" spans="2:15" x14ac:dyDescent="0.2">
      <c r="B3990" s="1">
        <v>3975</v>
      </c>
      <c r="C3990" s="101">
        <f ca="1"/>
        <v>0.83150833613020214</v>
      </c>
      <c r="D3990" s="101">
        <f t="shared" ca="1" si="225"/>
        <v>0.72130294379898685</v>
      </c>
      <c r="E3990" s="101">
        <f t="shared" ca="1" si="226"/>
        <v>0</v>
      </c>
      <c r="F3990" s="21">
        <f t="shared" ca="1" si="227"/>
        <v>0</v>
      </c>
      <c r="H3990" s="21">
        <v>3975</v>
      </c>
      <c r="I3990" s="102">
        <v>0.66773999650374216</v>
      </c>
      <c r="J3990" s="103">
        <v>1.3297938860263425E-3</v>
      </c>
      <c r="K3990" s="103"/>
      <c r="L3990" s="103">
        <v>4.36E-2</v>
      </c>
      <c r="O3990" s="100"/>
    </row>
    <row r="3991" spans="2:15" x14ac:dyDescent="0.2">
      <c r="B3991" s="1">
        <v>3976</v>
      </c>
      <c r="C3991" s="101">
        <f ca="1"/>
        <v>-0.20266738122741856</v>
      </c>
      <c r="D3991" s="101">
        <f t="shared" ca="1" si="225"/>
        <v>0.65134975558951314</v>
      </c>
      <c r="E3991" s="101">
        <f t="shared" ca="1" si="226"/>
        <v>0</v>
      </c>
      <c r="F3991" s="21">
        <f t="shared" ca="1" si="227"/>
        <v>0</v>
      </c>
      <c r="H3991" s="21">
        <v>3976</v>
      </c>
      <c r="I3991" s="102">
        <v>0.66772907886972521</v>
      </c>
      <c r="J3991" s="103">
        <v>1.3091735874509727E-3</v>
      </c>
      <c r="K3991" s="103"/>
      <c r="L3991" s="103">
        <v>4.1000000000000002E-2</v>
      </c>
      <c r="O3991" s="100"/>
    </row>
    <row r="3992" spans="2:15" x14ac:dyDescent="0.2">
      <c r="B3992" s="1">
        <v>3977</v>
      </c>
      <c r="C3992" s="101">
        <f ca="1"/>
        <v>0.52311851751965588</v>
      </c>
      <c r="D3992" s="101">
        <f t="shared" ca="1" si="225"/>
        <v>0.69969130168432514</v>
      </c>
      <c r="E3992" s="101">
        <f t="shared" ca="1" si="226"/>
        <v>0</v>
      </c>
      <c r="F3992" s="21">
        <f t="shared" ca="1" si="227"/>
        <v>0</v>
      </c>
      <c r="H3992" s="21">
        <v>3977</v>
      </c>
      <c r="I3992" s="102">
        <v>0.66766919245751155</v>
      </c>
      <c r="J3992" s="103">
        <v>1.2585224923530427E-3</v>
      </c>
      <c r="K3992" s="103"/>
      <c r="L3992" s="103">
        <v>3.9600000000000003E-2</v>
      </c>
      <c r="O3992" s="100"/>
    </row>
    <row r="3993" spans="2:15" x14ac:dyDescent="0.2">
      <c r="B3993" s="1">
        <v>3978</v>
      </c>
      <c r="C3993" s="101">
        <f ca="1"/>
        <v>-1.0251051015361181</v>
      </c>
      <c r="D3993" s="101">
        <f t="shared" ca="1" si="225"/>
        <v>0.60059474733517593</v>
      </c>
      <c r="E3993" s="101">
        <f t="shared" ca="1" si="226"/>
        <v>0</v>
      </c>
      <c r="F3993" s="21">
        <f t="shared" ca="1" si="227"/>
        <v>0</v>
      </c>
      <c r="H3993" s="21">
        <v>3978</v>
      </c>
      <c r="I3993" s="102">
        <v>0.66769028013754272</v>
      </c>
      <c r="J3993" s="103">
        <v>1.2638804838183866E-3</v>
      </c>
      <c r="K3993" s="103"/>
      <c r="L3993" s="103">
        <v>4.1799999999999997E-2</v>
      </c>
      <c r="O3993" s="100"/>
    </row>
    <row r="3994" spans="2:15" x14ac:dyDescent="0.2">
      <c r="B3994" s="1">
        <v>3979</v>
      </c>
      <c r="C3994" s="101">
        <f ca="1"/>
        <v>1.8079430165211805</v>
      </c>
      <c r="D3994" s="101">
        <f t="shared" ca="1" si="225"/>
        <v>0.79423233527452897</v>
      </c>
      <c r="E3994" s="101">
        <f t="shared" ca="1" si="226"/>
        <v>6.0323352745289549E-3</v>
      </c>
      <c r="F3994" s="21">
        <f t="shared" ca="1" si="227"/>
        <v>1</v>
      </c>
      <c r="H3994" s="21">
        <v>3979</v>
      </c>
      <c r="I3994" s="102">
        <v>0.667803088565876</v>
      </c>
      <c r="J3994" s="103">
        <v>1.366858098685155E-3</v>
      </c>
      <c r="K3994" s="103"/>
      <c r="L3994" s="103">
        <v>4.1799999999999997E-2</v>
      </c>
      <c r="O3994" s="100"/>
    </row>
    <row r="3995" spans="2:15" x14ac:dyDescent="0.2">
      <c r="B3995" s="1">
        <v>3980</v>
      </c>
      <c r="C3995" s="101">
        <f ca="1"/>
        <v>-1.8140974606130673</v>
      </c>
      <c r="D3995" s="101">
        <f t="shared" ca="1" si="225"/>
        <v>0.55562475065131944</v>
      </c>
      <c r="E3995" s="101">
        <f t="shared" ca="1" si="226"/>
        <v>0</v>
      </c>
      <c r="F3995" s="21">
        <f t="shared" ca="1" si="227"/>
        <v>0</v>
      </c>
      <c r="H3995" s="21">
        <v>3980</v>
      </c>
      <c r="I3995" s="102">
        <v>0.66770451112126117</v>
      </c>
      <c r="J3995" s="103">
        <v>1.3567268007263385E-3</v>
      </c>
      <c r="K3995" s="103"/>
      <c r="L3995" s="103">
        <v>3.9600000000000003E-2</v>
      </c>
      <c r="O3995" s="100"/>
    </row>
    <row r="3996" spans="2:15" x14ac:dyDescent="0.2">
      <c r="B3996" s="1">
        <v>3981</v>
      </c>
      <c r="C3996" s="101">
        <f ca="1"/>
        <v>-0.60330667315957898</v>
      </c>
      <c r="D3996" s="101">
        <f t="shared" ca="1" si="225"/>
        <v>0.6261106833889748</v>
      </c>
      <c r="E3996" s="101">
        <f t="shared" ca="1" si="226"/>
        <v>0</v>
      </c>
      <c r="F3996" s="21">
        <f t="shared" ca="1" si="227"/>
        <v>0</v>
      </c>
      <c r="H3996" s="21">
        <v>3981</v>
      </c>
      <c r="I3996" s="102">
        <v>0.6677252204087506</v>
      </c>
      <c r="J3996" s="103">
        <v>1.3046212330952564E-3</v>
      </c>
      <c r="K3996" s="103"/>
      <c r="L3996" s="103">
        <v>4.1399999999999999E-2</v>
      </c>
      <c r="O3996" s="100"/>
    </row>
    <row r="3997" spans="2:15" x14ac:dyDescent="0.2">
      <c r="B3997" s="1">
        <v>3982</v>
      </c>
      <c r="C3997" s="101">
        <f ca="1"/>
        <v>0.91482001491115494</v>
      </c>
      <c r="D3997" s="101">
        <f t="shared" ca="1" si="225"/>
        <v>0.72725501645220347</v>
      </c>
      <c r="E3997" s="101">
        <f t="shared" ca="1" si="226"/>
        <v>0</v>
      </c>
      <c r="F3997" s="21">
        <f t="shared" ca="1" si="227"/>
        <v>0</v>
      </c>
      <c r="H3997" s="21">
        <v>3982</v>
      </c>
      <c r="I3997" s="102">
        <v>0.66790142193356661</v>
      </c>
      <c r="J3997" s="103">
        <v>1.5412574720752999E-3</v>
      </c>
      <c r="K3997" s="103"/>
      <c r="L3997" s="103">
        <v>4.48E-2</v>
      </c>
      <c r="O3997" s="100"/>
    </row>
    <row r="3998" spans="2:15" x14ac:dyDescent="0.2">
      <c r="B3998" s="1">
        <v>3983</v>
      </c>
      <c r="C3998" s="101">
        <f ca="1"/>
        <v>0.10303022178449286</v>
      </c>
      <c r="D3998" s="101">
        <f t="shared" ca="1" si="225"/>
        <v>0.67128995931119595</v>
      </c>
      <c r="E3998" s="101">
        <f t="shared" ca="1" si="226"/>
        <v>0</v>
      </c>
      <c r="F3998" s="21">
        <f t="shared" ca="1" si="227"/>
        <v>0</v>
      </c>
      <c r="H3998" s="21">
        <v>3983</v>
      </c>
      <c r="I3998" s="102">
        <v>0.66770246220111962</v>
      </c>
      <c r="J3998" s="103">
        <v>1.3650456859820104E-3</v>
      </c>
      <c r="K3998" s="103"/>
      <c r="L3998" s="103">
        <v>4.02E-2</v>
      </c>
      <c r="O3998" s="100"/>
    </row>
    <row r="3999" spans="2:15" x14ac:dyDescent="0.2">
      <c r="B3999" s="1">
        <v>3984</v>
      </c>
      <c r="C3999" s="101">
        <f ca="1"/>
        <v>0.23754048659940113</v>
      </c>
      <c r="D3999" s="101">
        <f t="shared" ca="1" si="225"/>
        <v>0.68025616781288312</v>
      </c>
      <c r="E3999" s="101">
        <f t="shared" ca="1" si="226"/>
        <v>0</v>
      </c>
      <c r="F3999" s="21">
        <f t="shared" ca="1" si="227"/>
        <v>0</v>
      </c>
      <c r="H3999" s="21">
        <v>3984</v>
      </c>
      <c r="I3999" s="102">
        <v>0.66772253868069376</v>
      </c>
      <c r="J3999" s="103">
        <v>1.4036407073115156E-3</v>
      </c>
      <c r="K3999" s="103"/>
      <c r="L3999" s="103">
        <v>0.04</v>
      </c>
      <c r="O3999" s="100"/>
    </row>
    <row r="4000" spans="2:15" x14ac:dyDescent="0.2">
      <c r="B4000" s="1">
        <v>3985</v>
      </c>
      <c r="C4000" s="101">
        <f ca="1"/>
        <v>1.5923420851087693</v>
      </c>
      <c r="D4000" s="101">
        <f t="shared" ca="1" si="225"/>
        <v>0.77751961375444834</v>
      </c>
      <c r="E4000" s="101">
        <f t="shared" ca="1" si="226"/>
        <v>0</v>
      </c>
      <c r="F4000" s="21">
        <f t="shared" ca="1" si="227"/>
        <v>0</v>
      </c>
      <c r="H4000" s="21">
        <v>3985</v>
      </c>
      <c r="I4000" s="102">
        <v>0.66783670648708338</v>
      </c>
      <c r="J4000" s="103">
        <v>1.5193006135127613E-3</v>
      </c>
      <c r="K4000" s="103"/>
      <c r="L4000" s="103">
        <v>4.3799999999999999E-2</v>
      </c>
      <c r="O4000" s="100"/>
    </row>
    <row r="4001" spans="2:15" x14ac:dyDescent="0.2">
      <c r="B4001" s="1">
        <v>3986</v>
      </c>
      <c r="C4001" s="101">
        <f ca="1"/>
        <v>-0.63895540994121136</v>
      </c>
      <c r="D4001" s="101">
        <f t="shared" ca="1" si="225"/>
        <v>0.62391287008026575</v>
      </c>
      <c r="E4001" s="101">
        <f t="shared" ca="1" si="226"/>
        <v>0</v>
      </c>
      <c r="F4001" s="21">
        <f t="shared" ca="1" si="227"/>
        <v>0</v>
      </c>
      <c r="H4001" s="21">
        <v>3986</v>
      </c>
      <c r="I4001" s="102">
        <v>0.66771790565343103</v>
      </c>
      <c r="J4001" s="103">
        <v>1.2675064070272412E-3</v>
      </c>
      <c r="K4001" s="103"/>
      <c r="L4001" s="103">
        <v>4.1799999999999997E-2</v>
      </c>
      <c r="O4001" s="100"/>
    </row>
    <row r="4002" spans="2:15" x14ac:dyDescent="0.2">
      <c r="B4002" s="1">
        <v>3987</v>
      </c>
      <c r="C4002" s="101">
        <f ca="1"/>
        <v>-2.263639833557336</v>
      </c>
      <c r="D4002" s="101">
        <f t="shared" ca="1" si="225"/>
        <v>0.53152471748220342</v>
      </c>
      <c r="E4002" s="101">
        <f t="shared" ca="1" si="226"/>
        <v>0</v>
      </c>
      <c r="F4002" s="21">
        <f t="shared" ca="1" si="227"/>
        <v>0</v>
      </c>
      <c r="H4002" s="21">
        <v>3987</v>
      </c>
      <c r="I4002" s="102">
        <v>0.66750946607006167</v>
      </c>
      <c r="J4002" s="103">
        <v>1.1445344544985048E-3</v>
      </c>
      <c r="K4002" s="103"/>
      <c r="L4002" s="103">
        <v>3.7600000000000001E-2</v>
      </c>
      <c r="O4002" s="100"/>
    </row>
    <row r="4003" spans="2:15" x14ac:dyDescent="0.2">
      <c r="B4003" s="1">
        <v>3988</v>
      </c>
      <c r="C4003" s="101">
        <f ca="1"/>
        <v>-0.60170054589735267</v>
      </c>
      <c r="D4003" s="101">
        <f t="shared" ca="1" si="225"/>
        <v>0.62620988628986018</v>
      </c>
      <c r="E4003" s="101">
        <f t="shared" ca="1" si="226"/>
        <v>0</v>
      </c>
      <c r="F4003" s="21">
        <f t="shared" ca="1" si="227"/>
        <v>0</v>
      </c>
      <c r="H4003" s="21">
        <v>3988</v>
      </c>
      <c r="I4003" s="102">
        <v>0.66794082658010234</v>
      </c>
      <c r="J4003" s="103">
        <v>1.6910933853634099E-3</v>
      </c>
      <c r="K4003" s="103"/>
      <c r="L4003" s="103">
        <v>4.6199999999999998E-2</v>
      </c>
      <c r="O4003" s="100"/>
    </row>
    <row r="4004" spans="2:15" x14ac:dyDescent="0.2">
      <c r="B4004" s="1">
        <v>3989</v>
      </c>
      <c r="C4004" s="101">
        <f ca="1"/>
        <v>-1.483343092638316</v>
      </c>
      <c r="D4004" s="101">
        <f t="shared" ca="1" si="225"/>
        <v>0.57405155356321347</v>
      </c>
      <c r="E4004" s="101">
        <f t="shared" ca="1" si="226"/>
        <v>0</v>
      </c>
      <c r="F4004" s="21">
        <f t="shared" ca="1" si="227"/>
        <v>0</v>
      </c>
      <c r="H4004" s="21">
        <v>3989</v>
      </c>
      <c r="I4004" s="102">
        <v>0.66788214779607935</v>
      </c>
      <c r="J4004" s="103">
        <v>1.6169426904179527E-3</v>
      </c>
      <c r="K4004" s="103"/>
      <c r="L4004" s="103">
        <v>4.1000000000000002E-2</v>
      </c>
      <c r="O4004" s="100"/>
    </row>
    <row r="4005" spans="2:15" x14ac:dyDescent="0.2">
      <c r="B4005" s="1">
        <v>3990</v>
      </c>
      <c r="C4005" s="101">
        <f ca="1"/>
        <v>1.4370979317936414</v>
      </c>
      <c r="D4005" s="101">
        <f t="shared" ca="1" si="225"/>
        <v>0.76570377736782314</v>
      </c>
      <c r="E4005" s="101">
        <f t="shared" ca="1" si="226"/>
        <v>0</v>
      </c>
      <c r="F4005" s="21">
        <f t="shared" ca="1" si="227"/>
        <v>0</v>
      </c>
      <c r="H4005" s="21">
        <v>3990</v>
      </c>
      <c r="I4005" s="102">
        <v>0.66759186563914474</v>
      </c>
      <c r="J4005" s="103">
        <v>1.0925230222562849E-3</v>
      </c>
      <c r="K4005" s="103"/>
      <c r="L4005" s="103">
        <v>3.5999999999999997E-2</v>
      </c>
      <c r="O4005" s="100"/>
    </row>
    <row r="4006" spans="2:15" x14ac:dyDescent="0.2">
      <c r="B4006" s="1">
        <v>3991</v>
      </c>
      <c r="C4006" s="101">
        <f ca="1"/>
        <v>1.9696205860565374</v>
      </c>
      <c r="D4006" s="101">
        <f t="shared" ca="1" si="225"/>
        <v>0.80700036611633852</v>
      </c>
      <c r="E4006" s="101">
        <f t="shared" ca="1" si="226"/>
        <v>1.8800366116338507E-2</v>
      </c>
      <c r="F4006" s="21">
        <f t="shared" ca="1" si="227"/>
        <v>1</v>
      </c>
      <c r="H4006" s="21">
        <v>3991</v>
      </c>
      <c r="I4006" s="102">
        <v>0.66771224419977715</v>
      </c>
      <c r="J4006" s="103">
        <v>1.3306682336861335E-3</v>
      </c>
      <c r="K4006" s="103"/>
      <c r="L4006" s="103">
        <v>4.1799999999999997E-2</v>
      </c>
      <c r="O4006" s="100"/>
    </row>
    <row r="4007" spans="2:15" x14ac:dyDescent="0.2">
      <c r="B4007" s="1">
        <v>3992</v>
      </c>
      <c r="C4007" s="101">
        <f ca="1"/>
        <v>-1.7862291080641184</v>
      </c>
      <c r="D4007" s="101">
        <f t="shared" ca="1" si="225"/>
        <v>0.55715424842190941</v>
      </c>
      <c r="E4007" s="101">
        <f t="shared" ca="1" si="226"/>
        <v>0</v>
      </c>
      <c r="F4007" s="21">
        <f t="shared" ca="1" si="227"/>
        <v>0</v>
      </c>
      <c r="H4007" s="21">
        <v>3992</v>
      </c>
      <c r="I4007" s="102">
        <v>0.66775628643867002</v>
      </c>
      <c r="J4007" s="103">
        <v>1.4437980724978392E-3</v>
      </c>
      <c r="K4007" s="103"/>
      <c r="L4007" s="103">
        <v>4.3200000000000002E-2</v>
      </c>
      <c r="O4007" s="100"/>
    </row>
    <row r="4008" spans="2:15" x14ac:dyDescent="0.2">
      <c r="B4008" s="1">
        <v>3993</v>
      </c>
      <c r="C4008" s="101">
        <f ca="1"/>
        <v>-0.97198021592971662</v>
      </c>
      <c r="D4008" s="101">
        <f t="shared" ca="1" si="225"/>
        <v>0.60375031032511661</v>
      </c>
      <c r="E4008" s="101">
        <f t="shared" ca="1" si="226"/>
        <v>0</v>
      </c>
      <c r="F4008" s="21">
        <f t="shared" ca="1" si="227"/>
        <v>0</v>
      </c>
      <c r="H4008" s="21">
        <v>3993</v>
      </c>
      <c r="I4008" s="102">
        <v>0.66783462731551246</v>
      </c>
      <c r="J4008" s="103">
        <v>1.4254726907726588E-3</v>
      </c>
      <c r="K4008" s="103"/>
      <c r="L4008" s="103">
        <v>4.2999999999999997E-2</v>
      </c>
      <c r="O4008" s="100"/>
    </row>
    <row r="4009" spans="2:15" x14ac:dyDescent="0.2">
      <c r="B4009" s="1">
        <v>3994</v>
      </c>
      <c r="C4009" s="101">
        <f ca="1"/>
        <v>-1.6168651822628073</v>
      </c>
      <c r="D4009" s="101">
        <f t="shared" ca="1" si="225"/>
        <v>0.56654041014048784</v>
      </c>
      <c r="E4009" s="101">
        <f t="shared" ca="1" si="226"/>
        <v>0</v>
      </c>
      <c r="F4009" s="21">
        <f t="shared" ca="1" si="227"/>
        <v>0</v>
      </c>
      <c r="H4009" s="21">
        <v>3994</v>
      </c>
      <c r="I4009" s="102">
        <v>0.66770515962875221</v>
      </c>
      <c r="J4009" s="103">
        <v>1.2773626943376414E-3</v>
      </c>
      <c r="K4009" s="103"/>
      <c r="L4009" s="103">
        <v>4.24E-2</v>
      </c>
      <c r="O4009" s="100"/>
    </row>
    <row r="4010" spans="2:15" x14ac:dyDescent="0.2">
      <c r="B4010" s="1">
        <v>3995</v>
      </c>
      <c r="C4010" s="101">
        <f ca="1"/>
        <v>0.15086331783028267</v>
      </c>
      <c r="D4010" s="101">
        <f t="shared" ca="1" si="225"/>
        <v>0.67446480423552191</v>
      </c>
      <c r="E4010" s="101">
        <f t="shared" ca="1" si="226"/>
        <v>0</v>
      </c>
      <c r="F4010" s="21">
        <f t="shared" ca="1" si="227"/>
        <v>0</v>
      </c>
      <c r="H4010" s="21">
        <v>3995</v>
      </c>
      <c r="I4010" s="102">
        <v>0.66776078955519336</v>
      </c>
      <c r="J4010" s="103">
        <v>1.3740755566839162E-3</v>
      </c>
      <c r="K4010" s="103"/>
      <c r="L4010" s="103">
        <v>3.9800000000000002E-2</v>
      </c>
      <c r="O4010" s="100"/>
    </row>
    <row r="4011" spans="2:15" x14ac:dyDescent="0.2">
      <c r="B4011" s="1">
        <v>3996</v>
      </c>
      <c r="C4011" s="101">
        <f ca="1"/>
        <v>-0.5684251872640228</v>
      </c>
      <c r="D4011" s="101">
        <f t="shared" ca="1" si="225"/>
        <v>0.62826868794247726</v>
      </c>
      <c r="E4011" s="101">
        <f t="shared" ca="1" si="226"/>
        <v>0</v>
      </c>
      <c r="F4011" s="21">
        <f t="shared" ca="1" si="227"/>
        <v>0</v>
      </c>
      <c r="H4011" s="21">
        <v>3996</v>
      </c>
      <c r="I4011" s="102">
        <v>0.66753724253983493</v>
      </c>
      <c r="J4011" s="103">
        <v>1.1488616002948331E-3</v>
      </c>
      <c r="K4011" s="103"/>
      <c r="L4011" s="103">
        <v>3.7600000000000001E-2</v>
      </c>
      <c r="O4011" s="100"/>
    </row>
    <row r="4012" spans="2:15" x14ac:dyDescent="0.2">
      <c r="B4012" s="1">
        <v>3997</v>
      </c>
      <c r="C4012" s="101">
        <f ca="1"/>
        <v>-0.86839211137360472</v>
      </c>
      <c r="D4012" s="101">
        <f t="shared" ca="1" si="225"/>
        <v>0.60995109811531001</v>
      </c>
      <c r="E4012" s="101">
        <f t="shared" ca="1" si="226"/>
        <v>0</v>
      </c>
      <c r="F4012" s="21">
        <f t="shared" ca="1" si="227"/>
        <v>0</v>
      </c>
      <c r="H4012" s="21">
        <v>3997</v>
      </c>
      <c r="I4012" s="102">
        <v>0.66784004962391008</v>
      </c>
      <c r="J4012" s="103">
        <v>1.551321940892778E-3</v>
      </c>
      <c r="K4012" s="103"/>
      <c r="L4012" s="103">
        <v>4.1799999999999997E-2</v>
      </c>
      <c r="O4012" s="100"/>
    </row>
    <row r="4013" spans="2:15" x14ac:dyDescent="0.2">
      <c r="B4013" s="1">
        <v>3998</v>
      </c>
      <c r="C4013" s="101">
        <f ca="1"/>
        <v>0.91259969402658814</v>
      </c>
      <c r="D4013" s="101">
        <f t="shared" ca="1" si="225"/>
        <v>0.72709575384813252</v>
      </c>
      <c r="E4013" s="101">
        <f t="shared" ca="1" si="226"/>
        <v>0</v>
      </c>
      <c r="F4013" s="21">
        <f t="shared" ca="1" si="227"/>
        <v>0</v>
      </c>
      <c r="H4013" s="21">
        <v>3998</v>
      </c>
      <c r="I4013" s="102">
        <v>0.66770451459558688</v>
      </c>
      <c r="J4013" s="103">
        <v>1.2566491148089142E-3</v>
      </c>
      <c r="K4013" s="103"/>
      <c r="L4013" s="103">
        <v>4.0800000000000003E-2</v>
      </c>
      <c r="O4013" s="100"/>
    </row>
    <row r="4014" spans="2:15" x14ac:dyDescent="0.2">
      <c r="B4014" s="1">
        <v>3999</v>
      </c>
      <c r="C4014" s="101">
        <f ca="1"/>
        <v>-0.79645417650679651</v>
      </c>
      <c r="D4014" s="101">
        <f t="shared" ca="1" si="225"/>
        <v>0.61429473671734325</v>
      </c>
      <c r="E4014" s="101">
        <f t="shared" ca="1" si="226"/>
        <v>0</v>
      </c>
      <c r="F4014" s="21">
        <f t="shared" ca="1" si="227"/>
        <v>0</v>
      </c>
      <c r="H4014" s="21">
        <v>3999</v>
      </c>
      <c r="I4014" s="102">
        <v>0.66766272342850763</v>
      </c>
      <c r="J4014" s="103">
        <v>1.2678740733577348E-3</v>
      </c>
      <c r="K4014" s="103"/>
      <c r="L4014" s="103">
        <v>4.2799999999999998E-2</v>
      </c>
      <c r="O4014" s="100"/>
    </row>
    <row r="4015" spans="2:15" x14ac:dyDescent="0.2">
      <c r="B4015" s="1">
        <v>4000</v>
      </c>
      <c r="C4015" s="101">
        <f ca="1"/>
        <v>0.74318699072378835</v>
      </c>
      <c r="D4015" s="101">
        <f t="shared" ca="1" si="225"/>
        <v>0.71504615005160177</v>
      </c>
      <c r="E4015" s="101">
        <f t="shared" ca="1" si="226"/>
        <v>0</v>
      </c>
      <c r="F4015" s="21">
        <f t="shared" ca="1" si="227"/>
        <v>0</v>
      </c>
      <c r="H4015" s="21">
        <v>4000</v>
      </c>
      <c r="I4015" s="102">
        <v>0.66790046255233093</v>
      </c>
      <c r="J4015" s="103">
        <v>1.6605659050003651E-3</v>
      </c>
      <c r="K4015" s="103"/>
      <c r="L4015" s="103">
        <v>4.4600000000000001E-2</v>
      </c>
      <c r="O4015" s="100"/>
    </row>
    <row r="4016" spans="2:15" x14ac:dyDescent="0.2">
      <c r="B4016" s="1">
        <f t="shared" ref="B4016:B4079" si="228">B4015+1</f>
        <v>4001</v>
      </c>
      <c r="C4016" s="101">
        <f ca="1"/>
        <v>-0.6308497791249057</v>
      </c>
      <c r="D4016" s="101">
        <f t="shared" ca="1" si="225"/>
        <v>0.62441191920235539</v>
      </c>
      <c r="E4016" s="101">
        <f t="shared" ca="1" si="226"/>
        <v>0</v>
      </c>
      <c r="F4016" s="21">
        <f t="shared" ca="1" si="227"/>
        <v>0</v>
      </c>
      <c r="H4016" s="21">
        <v>4001</v>
      </c>
      <c r="I4016" s="102">
        <v>0.66771701048153276</v>
      </c>
      <c r="J4016" s="103">
        <v>1.4112672737118532E-3</v>
      </c>
      <c r="K4016" s="103"/>
      <c r="L4016" s="103">
        <v>4.1000000000000002E-2</v>
      </c>
      <c r="O4016" s="100"/>
    </row>
    <row r="4017" spans="2:15" x14ac:dyDescent="0.2">
      <c r="B4017" s="1">
        <f t="shared" si="228"/>
        <v>4002</v>
      </c>
      <c r="C4017" s="101">
        <f ca="1"/>
        <v>7.585451816601199E-3</v>
      </c>
      <c r="D4017" s="101">
        <f t="shared" ca="1" si="225"/>
        <v>0.66499955740834593</v>
      </c>
      <c r="E4017" s="101">
        <f t="shared" ca="1" si="226"/>
        <v>0</v>
      </c>
      <c r="F4017" s="21">
        <f t="shared" ca="1" si="227"/>
        <v>0</v>
      </c>
      <c r="H4017" s="21">
        <v>4002</v>
      </c>
      <c r="I4017" s="102">
        <v>0.66765597492468609</v>
      </c>
      <c r="J4017" s="103">
        <v>1.3223857502633924E-3</v>
      </c>
      <c r="K4017" s="103"/>
      <c r="L4017" s="103">
        <v>3.9600000000000003E-2</v>
      </c>
      <c r="O4017" s="100"/>
    </row>
    <row r="4018" spans="2:15" x14ac:dyDescent="0.2">
      <c r="B4018" s="1">
        <f t="shared" si="228"/>
        <v>4003</v>
      </c>
      <c r="C4018" s="101">
        <f ca="1"/>
        <v>1.3672781452485419</v>
      </c>
      <c r="D4018" s="101">
        <f t="shared" ca="1" si="225"/>
        <v>0.76044840434994565</v>
      </c>
      <c r="E4018" s="101">
        <f t="shared" ca="1" si="226"/>
        <v>0</v>
      </c>
      <c r="F4018" s="21">
        <f t="shared" ca="1" si="227"/>
        <v>0</v>
      </c>
      <c r="H4018" s="21">
        <v>4003</v>
      </c>
      <c r="I4018" s="102">
        <v>0.66773151077041415</v>
      </c>
      <c r="J4018" s="103">
        <v>1.3395813723503329E-3</v>
      </c>
      <c r="K4018" s="103"/>
      <c r="L4018" s="103">
        <v>4.1599999999999998E-2</v>
      </c>
      <c r="O4018" s="100"/>
    </row>
    <row r="4019" spans="2:15" x14ac:dyDescent="0.2">
      <c r="B4019" s="1">
        <f t="shared" si="228"/>
        <v>4004</v>
      </c>
      <c r="C4019" s="101">
        <f ca="1"/>
        <v>2.5311757598875113</v>
      </c>
      <c r="D4019" s="101">
        <f t="shared" ca="1" si="225"/>
        <v>0.85296342524578994</v>
      </c>
      <c r="E4019" s="101">
        <f t="shared" ca="1" si="226"/>
        <v>6.476342524578993E-2</v>
      </c>
      <c r="F4019" s="21">
        <f t="shared" ca="1" si="227"/>
        <v>1</v>
      </c>
      <c r="H4019" s="21">
        <v>4004</v>
      </c>
      <c r="I4019" s="102">
        <v>0.66774616885360361</v>
      </c>
      <c r="J4019" s="103">
        <v>1.4456139621674396E-3</v>
      </c>
      <c r="K4019" s="103"/>
      <c r="L4019" s="103">
        <v>4.2000000000000003E-2</v>
      </c>
      <c r="O4019" s="100"/>
    </row>
    <row r="4020" spans="2:15" x14ac:dyDescent="0.2">
      <c r="B4020" s="1">
        <f t="shared" si="228"/>
        <v>4005</v>
      </c>
      <c r="C4020" s="101">
        <f ca="1"/>
        <v>0.72418780244141745</v>
      </c>
      <c r="D4020" s="101">
        <f t="shared" ca="1" si="225"/>
        <v>0.71370733333377567</v>
      </c>
      <c r="E4020" s="101">
        <f t="shared" ca="1" si="226"/>
        <v>0</v>
      </c>
      <c r="F4020" s="21">
        <f t="shared" ca="1" si="227"/>
        <v>0</v>
      </c>
      <c r="H4020" s="21">
        <v>4005</v>
      </c>
      <c r="I4020" s="102">
        <v>0.66790393282706551</v>
      </c>
      <c r="J4020" s="103">
        <v>1.4958884852350864E-3</v>
      </c>
      <c r="K4020" s="103"/>
      <c r="L4020" s="103">
        <v>4.7399999999999998E-2</v>
      </c>
      <c r="O4020" s="100"/>
    </row>
    <row r="4021" spans="2:15" x14ac:dyDescent="0.2">
      <c r="B4021" s="1">
        <f t="shared" si="228"/>
        <v>4006</v>
      </c>
      <c r="C4021" s="101">
        <f ca="1"/>
        <v>3.3670920937706614E-2</v>
      </c>
      <c r="D4021" s="101">
        <f t="shared" ca="1" si="225"/>
        <v>0.66671287459306539</v>
      </c>
      <c r="E4021" s="101">
        <f t="shared" ca="1" si="226"/>
        <v>0</v>
      </c>
      <c r="F4021" s="21">
        <f t="shared" ca="1" si="227"/>
        <v>0</v>
      </c>
      <c r="H4021" s="21">
        <v>4006</v>
      </c>
      <c r="I4021" s="102">
        <v>0.66785355987488182</v>
      </c>
      <c r="J4021" s="103">
        <v>1.4211854948753795E-3</v>
      </c>
      <c r="K4021" s="103"/>
      <c r="L4021" s="103">
        <v>4.3200000000000002E-2</v>
      </c>
      <c r="O4021" s="100"/>
    </row>
    <row r="4022" spans="2:15" x14ac:dyDescent="0.2">
      <c r="B4022" s="1">
        <f t="shared" si="228"/>
        <v>4007</v>
      </c>
      <c r="C4022" s="101">
        <f ca="1"/>
        <v>-1.5361993574178561</v>
      </c>
      <c r="D4022" s="101">
        <f t="shared" ca="1" si="225"/>
        <v>0.57106634558482472</v>
      </c>
      <c r="E4022" s="101">
        <f t="shared" ca="1" si="226"/>
        <v>0</v>
      </c>
      <c r="F4022" s="21">
        <f t="shared" ca="1" si="227"/>
        <v>0</v>
      </c>
      <c r="H4022" s="21">
        <v>4007</v>
      </c>
      <c r="I4022" s="102">
        <v>0.66767982024740147</v>
      </c>
      <c r="J4022" s="103">
        <v>1.2126440152703131E-3</v>
      </c>
      <c r="K4022" s="103"/>
      <c r="L4022" s="103">
        <v>0.04</v>
      </c>
      <c r="O4022" s="100"/>
    </row>
    <row r="4023" spans="2:15" x14ac:dyDescent="0.2">
      <c r="B4023" s="1">
        <f t="shared" si="228"/>
        <v>4008</v>
      </c>
      <c r="C4023" s="101">
        <f ca="1"/>
        <v>0.74255993436375889</v>
      </c>
      <c r="D4023" s="101">
        <f t="shared" ca="1" si="225"/>
        <v>0.71500192319032396</v>
      </c>
      <c r="E4023" s="101">
        <f t="shared" ca="1" si="226"/>
        <v>0</v>
      </c>
      <c r="F4023" s="21">
        <f t="shared" ca="1" si="227"/>
        <v>0</v>
      </c>
      <c r="H4023" s="21">
        <v>4008</v>
      </c>
      <c r="I4023" s="102">
        <v>0.66773633048439807</v>
      </c>
      <c r="J4023" s="103">
        <v>1.4003601472803331E-3</v>
      </c>
      <c r="K4023" s="103"/>
      <c r="L4023" s="103">
        <v>4.1000000000000002E-2</v>
      </c>
      <c r="O4023" s="100"/>
    </row>
    <row r="4024" spans="2:15" x14ac:dyDescent="0.2">
      <c r="B4024" s="1">
        <f t="shared" si="228"/>
        <v>4009</v>
      </c>
      <c r="C4024" s="101">
        <f ca="1"/>
        <v>2.3220117298686724</v>
      </c>
      <c r="D4024" s="101">
        <f t="shared" ca="1" si="225"/>
        <v>0.83554520471720983</v>
      </c>
      <c r="E4024" s="101">
        <f t="shared" ca="1" si="226"/>
        <v>4.7345204717209821E-2</v>
      </c>
      <c r="F4024" s="21">
        <f t="shared" ca="1" si="227"/>
        <v>1</v>
      </c>
      <c r="H4024" s="21">
        <v>4009</v>
      </c>
      <c r="I4024" s="102">
        <v>0.66758104748056479</v>
      </c>
      <c r="J4024" s="103">
        <v>1.298879249766923E-3</v>
      </c>
      <c r="K4024" s="103"/>
      <c r="L4024" s="103">
        <v>3.8800000000000001E-2</v>
      </c>
      <c r="O4024" s="100"/>
    </row>
    <row r="4025" spans="2:15" x14ac:dyDescent="0.2">
      <c r="B4025" s="1">
        <f t="shared" si="228"/>
        <v>4010</v>
      </c>
      <c r="C4025" s="101">
        <f ca="1"/>
        <v>0.44690972958759251</v>
      </c>
      <c r="D4025" s="101">
        <f t="shared" ca="1" si="225"/>
        <v>0.69445120760978263</v>
      </c>
      <c r="E4025" s="101">
        <f t="shared" ca="1" si="226"/>
        <v>0</v>
      </c>
      <c r="F4025" s="21">
        <f t="shared" ca="1" si="227"/>
        <v>0</v>
      </c>
      <c r="H4025" s="21">
        <v>4010</v>
      </c>
      <c r="I4025" s="102">
        <v>0.66775576299043138</v>
      </c>
      <c r="J4025" s="103">
        <v>1.2952381312540571E-3</v>
      </c>
      <c r="K4025" s="103"/>
      <c r="L4025" s="103">
        <v>4.1799999999999997E-2</v>
      </c>
      <c r="O4025" s="100"/>
    </row>
    <row r="4026" spans="2:15" x14ac:dyDescent="0.2">
      <c r="B4026" s="1">
        <f t="shared" si="228"/>
        <v>4011</v>
      </c>
      <c r="C4026" s="101">
        <f ca="1"/>
        <v>2.9675600269655678</v>
      </c>
      <c r="D4026" s="101">
        <f t="shared" ca="1" si="225"/>
        <v>0.89048137868343591</v>
      </c>
      <c r="E4026" s="101">
        <f t="shared" ca="1" si="226"/>
        <v>0.1022813786834359</v>
      </c>
      <c r="F4026" s="21">
        <f t="shared" ca="1" si="227"/>
        <v>1</v>
      </c>
      <c r="H4026" s="21">
        <v>4011</v>
      </c>
      <c r="I4026" s="102">
        <v>0.66789264896118539</v>
      </c>
      <c r="J4026" s="103">
        <v>1.5575090519386302E-3</v>
      </c>
      <c r="K4026" s="103"/>
      <c r="L4026" s="103">
        <v>4.7199999999999999E-2</v>
      </c>
      <c r="O4026" s="100"/>
    </row>
    <row r="4027" spans="2:15" x14ac:dyDescent="0.2">
      <c r="B4027" s="1">
        <f t="shared" si="228"/>
        <v>4012</v>
      </c>
      <c r="C4027" s="101">
        <f ca="1"/>
        <v>-0.80208981998505502</v>
      </c>
      <c r="D4027" s="101">
        <f t="shared" ca="1" si="225"/>
        <v>0.6139533406627522</v>
      </c>
      <c r="E4027" s="101">
        <f t="shared" ca="1" si="226"/>
        <v>0</v>
      </c>
      <c r="F4027" s="21">
        <f t="shared" ca="1" si="227"/>
        <v>0</v>
      </c>
      <c r="H4027" s="21">
        <v>4012</v>
      </c>
      <c r="I4027" s="102">
        <v>0.66766963698758675</v>
      </c>
      <c r="J4027" s="103">
        <v>1.2344701569917257E-3</v>
      </c>
      <c r="K4027" s="103"/>
      <c r="L4027" s="103">
        <v>3.6999999999999998E-2</v>
      </c>
      <c r="O4027" s="100"/>
    </row>
    <row r="4028" spans="2:15" x14ac:dyDescent="0.2">
      <c r="B4028" s="1">
        <f t="shared" si="228"/>
        <v>4013</v>
      </c>
      <c r="C4028" s="101">
        <f ca="1"/>
        <v>-0.7780455244245631</v>
      </c>
      <c r="D4028" s="101">
        <f t="shared" ca="1" si="225"/>
        <v>0.61541121955622424</v>
      </c>
      <c r="E4028" s="101">
        <f t="shared" ca="1" si="226"/>
        <v>0</v>
      </c>
      <c r="F4028" s="21">
        <f t="shared" ca="1" si="227"/>
        <v>0</v>
      </c>
      <c r="H4028" s="21">
        <v>4013</v>
      </c>
      <c r="I4028" s="102">
        <v>0.66771107613653291</v>
      </c>
      <c r="J4028" s="103">
        <v>1.4390557585946255E-3</v>
      </c>
      <c r="K4028" s="103"/>
      <c r="L4028" s="103">
        <v>3.9199999999999999E-2</v>
      </c>
      <c r="O4028" s="100"/>
    </row>
    <row r="4029" spans="2:15" x14ac:dyDescent="0.2">
      <c r="B4029" s="1">
        <f t="shared" si="228"/>
        <v>4014</v>
      </c>
      <c r="C4029" s="101">
        <f ca="1"/>
        <v>-1.2033763680553913</v>
      </c>
      <c r="D4029" s="101">
        <f t="shared" ca="1" si="225"/>
        <v>0.59012565909526737</v>
      </c>
      <c r="E4029" s="101">
        <f t="shared" ca="1" si="226"/>
        <v>0</v>
      </c>
      <c r="F4029" s="21">
        <f t="shared" ca="1" si="227"/>
        <v>0</v>
      </c>
      <c r="H4029" s="21">
        <v>4014</v>
      </c>
      <c r="I4029" s="102">
        <v>0.66780287360741819</v>
      </c>
      <c r="J4029" s="103">
        <v>1.4725643960500816E-3</v>
      </c>
      <c r="K4029" s="103"/>
      <c r="L4029" s="103">
        <v>4.3999999999999997E-2</v>
      </c>
      <c r="O4029" s="100"/>
    </row>
    <row r="4030" spans="2:15" x14ac:dyDescent="0.2">
      <c r="B4030" s="1">
        <f t="shared" si="228"/>
        <v>4015</v>
      </c>
      <c r="C4030" s="101">
        <f ca="1"/>
        <v>0.35982255048270895</v>
      </c>
      <c r="D4030" s="101">
        <f t="shared" ca="1" si="225"/>
        <v>0.68851114782235545</v>
      </c>
      <c r="E4030" s="101">
        <f t="shared" ca="1" si="226"/>
        <v>0</v>
      </c>
      <c r="F4030" s="21">
        <f t="shared" ca="1" si="227"/>
        <v>0</v>
      </c>
      <c r="H4030" s="21">
        <v>4015</v>
      </c>
      <c r="I4030" s="102">
        <v>0.6677771937558542</v>
      </c>
      <c r="J4030" s="103">
        <v>1.2954985722145916E-3</v>
      </c>
      <c r="K4030" s="103"/>
      <c r="L4030" s="103">
        <v>4.4999999999999998E-2</v>
      </c>
      <c r="O4030" s="100"/>
    </row>
    <row r="4031" spans="2:15" x14ac:dyDescent="0.2">
      <c r="B4031" s="1">
        <f t="shared" si="228"/>
        <v>4016</v>
      </c>
      <c r="C4031" s="101">
        <f ca="1"/>
        <v>0.81450093726049777</v>
      </c>
      <c r="D4031" s="101">
        <f t="shared" ca="1" si="225"/>
        <v>0.7200938770984936</v>
      </c>
      <c r="E4031" s="101">
        <f t="shared" ca="1" si="226"/>
        <v>0</v>
      </c>
      <c r="F4031" s="21">
        <f t="shared" ca="1" si="227"/>
        <v>0</v>
      </c>
      <c r="H4031" s="21">
        <v>4016</v>
      </c>
      <c r="I4031" s="102">
        <v>0.66782132547251793</v>
      </c>
      <c r="J4031" s="103">
        <v>1.4753622850833402E-3</v>
      </c>
      <c r="K4031" s="103"/>
      <c r="L4031" s="103">
        <v>4.4200000000000003E-2</v>
      </c>
      <c r="O4031" s="100"/>
    </row>
    <row r="4032" spans="2:15" x14ac:dyDescent="0.2">
      <c r="B4032" s="1">
        <f t="shared" si="228"/>
        <v>4017</v>
      </c>
      <c r="C4032" s="101">
        <f ca="1"/>
        <v>0.70653876886542022</v>
      </c>
      <c r="D4032" s="101">
        <f t="shared" ca="1" si="225"/>
        <v>0.712465903988593</v>
      </c>
      <c r="E4032" s="101">
        <f t="shared" ca="1" si="226"/>
        <v>0</v>
      </c>
      <c r="F4032" s="21">
        <f t="shared" ca="1" si="227"/>
        <v>0</v>
      </c>
      <c r="H4032" s="21">
        <v>4017</v>
      </c>
      <c r="I4032" s="102">
        <v>0.66774350290368834</v>
      </c>
      <c r="J4032" s="103">
        <v>1.421445833163478E-3</v>
      </c>
      <c r="K4032" s="103"/>
      <c r="L4032" s="103">
        <v>4.2200000000000001E-2</v>
      </c>
      <c r="O4032" s="100"/>
    </row>
    <row r="4033" spans="2:15" x14ac:dyDescent="0.2">
      <c r="B4033" s="1">
        <f t="shared" si="228"/>
        <v>4018</v>
      </c>
      <c r="C4033" s="101">
        <f ca="1"/>
        <v>-0.68102779017892368</v>
      </c>
      <c r="D4033" s="101">
        <f t="shared" ca="1" si="225"/>
        <v>0.6213289500883199</v>
      </c>
      <c r="E4033" s="101">
        <f t="shared" ca="1" si="226"/>
        <v>0</v>
      </c>
      <c r="F4033" s="21">
        <f t="shared" ca="1" si="227"/>
        <v>0</v>
      </c>
      <c r="H4033" s="21">
        <v>4018</v>
      </c>
      <c r="I4033" s="102">
        <v>0.6676744035612211</v>
      </c>
      <c r="J4033" s="103">
        <v>1.3392805533576342E-3</v>
      </c>
      <c r="K4033" s="103"/>
      <c r="L4033" s="103">
        <v>4.0399999999999998E-2</v>
      </c>
      <c r="O4033" s="100"/>
    </row>
    <row r="4034" spans="2:15" x14ac:dyDescent="0.2">
      <c r="B4034" s="1">
        <f t="shared" si="228"/>
        <v>4019</v>
      </c>
      <c r="C4034" s="101">
        <f ca="1"/>
        <v>2.0759011887659469</v>
      </c>
      <c r="D4034" s="101">
        <f t="shared" ca="1" si="225"/>
        <v>0.81550518613901668</v>
      </c>
      <c r="E4034" s="101">
        <f t="shared" ca="1" si="226"/>
        <v>2.7305186139016668E-2</v>
      </c>
      <c r="F4034" s="21">
        <f t="shared" ca="1" si="227"/>
        <v>1</v>
      </c>
      <c r="H4034" s="21">
        <v>4019</v>
      </c>
      <c r="I4034" s="102">
        <v>0.66766517528162517</v>
      </c>
      <c r="J4034" s="103">
        <v>1.1794558071151293E-3</v>
      </c>
      <c r="K4034" s="103"/>
      <c r="L4034" s="103">
        <v>4.1599999999999998E-2</v>
      </c>
      <c r="O4034" s="100"/>
    </row>
    <row r="4035" spans="2:15" x14ac:dyDescent="0.2">
      <c r="B4035" s="1">
        <f t="shared" si="228"/>
        <v>4020</v>
      </c>
      <c r="C4035" s="101">
        <f ca="1"/>
        <v>1.2266102896525757</v>
      </c>
      <c r="D4035" s="101">
        <f t="shared" ca="1" si="225"/>
        <v>0.74996954665829507</v>
      </c>
      <c r="E4035" s="101">
        <f t="shared" ca="1" si="226"/>
        <v>0</v>
      </c>
      <c r="F4035" s="21">
        <f t="shared" ca="1" si="227"/>
        <v>0</v>
      </c>
      <c r="H4035" s="21">
        <v>4020</v>
      </c>
      <c r="I4035" s="102">
        <v>0.66774359463905208</v>
      </c>
      <c r="J4035" s="103">
        <v>1.2138180450691526E-3</v>
      </c>
      <c r="K4035" s="103"/>
      <c r="L4035" s="103">
        <v>4.1799999999999997E-2</v>
      </c>
      <c r="O4035" s="100"/>
    </row>
    <row r="4036" spans="2:15" x14ac:dyDescent="0.2">
      <c r="B4036" s="1">
        <f t="shared" si="228"/>
        <v>4021</v>
      </c>
      <c r="C4036" s="101">
        <f ca="1"/>
        <v>1.6348996085578322</v>
      </c>
      <c r="D4036" s="101">
        <f t="shared" ca="1" si="225"/>
        <v>0.78079044764542294</v>
      </c>
      <c r="E4036" s="101">
        <f t="shared" ca="1" si="226"/>
        <v>0</v>
      </c>
      <c r="F4036" s="21">
        <f t="shared" ca="1" si="227"/>
        <v>0</v>
      </c>
      <c r="H4036" s="21">
        <v>4021</v>
      </c>
      <c r="I4036" s="102">
        <v>0.66767399448324327</v>
      </c>
      <c r="J4036" s="103">
        <v>1.2617103332029835E-3</v>
      </c>
      <c r="K4036" s="103"/>
      <c r="L4036" s="103">
        <v>3.9199999999999999E-2</v>
      </c>
      <c r="O4036" s="100"/>
    </row>
    <row r="4037" spans="2:15" x14ac:dyDescent="0.2">
      <c r="B4037" s="1">
        <f t="shared" si="228"/>
        <v>4022</v>
      </c>
      <c r="C4037" s="101">
        <f ca="1"/>
        <v>0.54727292538423566</v>
      </c>
      <c r="D4037" s="101">
        <f t="shared" ca="1" si="225"/>
        <v>0.70136038975713599</v>
      </c>
      <c r="E4037" s="101">
        <f t="shared" ca="1" si="226"/>
        <v>0</v>
      </c>
      <c r="F4037" s="21">
        <f t="shared" ca="1" si="227"/>
        <v>0</v>
      </c>
      <c r="H4037" s="21">
        <v>4022</v>
      </c>
      <c r="I4037" s="102">
        <v>0.6676291545121944</v>
      </c>
      <c r="J4037" s="103">
        <v>1.1349407453399205E-3</v>
      </c>
      <c r="K4037" s="103"/>
      <c r="L4037" s="103">
        <v>3.6200000000000003E-2</v>
      </c>
      <c r="O4037" s="100"/>
    </row>
    <row r="4038" spans="2:15" x14ac:dyDescent="0.2">
      <c r="B4038" s="1">
        <f t="shared" si="228"/>
        <v>4023</v>
      </c>
      <c r="C4038" s="101">
        <f ca="1"/>
        <v>-0.3761786362727727</v>
      </c>
      <c r="D4038" s="101">
        <f t="shared" ca="1" si="225"/>
        <v>0.64029651687282474</v>
      </c>
      <c r="E4038" s="101">
        <f t="shared" ca="1" si="226"/>
        <v>0</v>
      </c>
      <c r="F4038" s="21">
        <f t="shared" ca="1" si="227"/>
        <v>0</v>
      </c>
      <c r="H4038" s="21">
        <v>4023</v>
      </c>
      <c r="I4038" s="102">
        <v>0.66778218852692561</v>
      </c>
      <c r="J4038" s="103">
        <v>1.3360577963241695E-3</v>
      </c>
      <c r="K4038" s="103"/>
      <c r="L4038" s="103">
        <v>4.1000000000000002E-2</v>
      </c>
      <c r="O4038" s="100"/>
    </row>
    <row r="4039" spans="2:15" x14ac:dyDescent="0.2">
      <c r="B4039" s="1">
        <f t="shared" si="228"/>
        <v>4024</v>
      </c>
      <c r="C4039" s="101">
        <f ca="1"/>
        <v>-1.0882989768268136</v>
      </c>
      <c r="D4039" s="101">
        <f t="shared" ca="1" si="225"/>
        <v>0.59686256778508495</v>
      </c>
      <c r="E4039" s="101">
        <f t="shared" ca="1" si="226"/>
        <v>0</v>
      </c>
      <c r="F4039" s="21">
        <f t="shared" ca="1" si="227"/>
        <v>0</v>
      </c>
      <c r="H4039" s="21">
        <v>4024</v>
      </c>
      <c r="I4039" s="102">
        <v>0.66762554124619311</v>
      </c>
      <c r="J4039" s="103">
        <v>1.2485611089566252E-3</v>
      </c>
      <c r="K4039" s="103"/>
      <c r="L4039" s="103">
        <v>4.1000000000000002E-2</v>
      </c>
      <c r="O4039" s="100"/>
    </row>
    <row r="4040" spans="2:15" x14ac:dyDescent="0.2">
      <c r="B4040" s="1">
        <f t="shared" si="228"/>
        <v>4025</v>
      </c>
      <c r="C4040" s="101">
        <f ca="1"/>
        <v>1.069001927483834</v>
      </c>
      <c r="D4040" s="101">
        <f t="shared" ca="1" si="225"/>
        <v>0.73840016264410491</v>
      </c>
      <c r="E4040" s="101">
        <f t="shared" ca="1" si="226"/>
        <v>0</v>
      </c>
      <c r="F4040" s="21">
        <f t="shared" ca="1" si="227"/>
        <v>0</v>
      </c>
      <c r="H4040" s="21">
        <v>4025</v>
      </c>
      <c r="I4040" s="102">
        <v>0.66787072403751968</v>
      </c>
      <c r="J4040" s="103">
        <v>1.5904138698427208E-3</v>
      </c>
      <c r="K4040" s="103"/>
      <c r="L4040" s="103">
        <v>4.5199999999999997E-2</v>
      </c>
      <c r="O4040" s="100"/>
    </row>
    <row r="4041" spans="2:15" x14ac:dyDescent="0.2">
      <c r="B4041" s="1">
        <f t="shared" si="228"/>
        <v>4026</v>
      </c>
      <c r="C4041" s="101">
        <f ca="1"/>
        <v>1.0153134534496762</v>
      </c>
      <c r="D4041" s="101">
        <f t="shared" ca="1" si="225"/>
        <v>0.73450000410084004</v>
      </c>
      <c r="E4041" s="101">
        <f t="shared" ca="1" si="226"/>
        <v>0</v>
      </c>
      <c r="F4041" s="21">
        <f t="shared" ca="1" si="227"/>
        <v>0</v>
      </c>
      <c r="H4041" s="21">
        <v>4026</v>
      </c>
      <c r="I4041" s="102">
        <v>0.66753548201843227</v>
      </c>
      <c r="J4041" s="103">
        <v>1.1236489171370728E-3</v>
      </c>
      <c r="K4041" s="103"/>
      <c r="L4041" s="103">
        <v>4.02E-2</v>
      </c>
      <c r="O4041" s="100"/>
    </row>
    <row r="4042" spans="2:15" x14ac:dyDescent="0.2">
      <c r="B4042" s="1">
        <f t="shared" si="228"/>
        <v>4027</v>
      </c>
      <c r="C4042" s="101">
        <f ca="1"/>
        <v>0.31098413340830705</v>
      </c>
      <c r="D4042" s="101">
        <f t="shared" ca="1" si="225"/>
        <v>0.68520223159193516</v>
      </c>
      <c r="E4042" s="101">
        <f t="shared" ca="1" si="226"/>
        <v>0</v>
      </c>
      <c r="F4042" s="21">
        <f t="shared" ca="1" si="227"/>
        <v>0</v>
      </c>
      <c r="H4042" s="21">
        <v>4027</v>
      </c>
      <c r="I4042" s="102">
        <v>0.66775975173374691</v>
      </c>
      <c r="J4042" s="103">
        <v>1.4113276381787947E-3</v>
      </c>
      <c r="K4042" s="103"/>
      <c r="L4042" s="103">
        <v>4.3799999999999999E-2</v>
      </c>
      <c r="O4042" s="100"/>
    </row>
    <row r="4043" spans="2:15" x14ac:dyDescent="0.2">
      <c r="B4043" s="1">
        <f t="shared" si="228"/>
        <v>4028</v>
      </c>
      <c r="C4043" s="101">
        <f ca="1"/>
        <v>0.10576370803801814</v>
      </c>
      <c r="D4043" s="101">
        <f t="shared" ca="1" si="225"/>
        <v>0.67147098678791461</v>
      </c>
      <c r="E4043" s="101">
        <f t="shared" ca="1" si="226"/>
        <v>0</v>
      </c>
      <c r="F4043" s="21">
        <f t="shared" ca="1" si="227"/>
        <v>0</v>
      </c>
      <c r="H4043" s="21">
        <v>4028</v>
      </c>
      <c r="I4043" s="102">
        <v>0.66776711063191607</v>
      </c>
      <c r="J4043" s="103">
        <v>1.4239539289801497E-3</v>
      </c>
      <c r="K4043" s="103"/>
      <c r="L4043" s="103">
        <v>4.2200000000000001E-2</v>
      </c>
      <c r="O4043" s="100"/>
    </row>
    <row r="4044" spans="2:15" x14ac:dyDescent="0.2">
      <c r="B4044" s="1">
        <f t="shared" si="228"/>
        <v>4029</v>
      </c>
      <c r="C4044" s="101">
        <f ca="1"/>
        <v>-0.17493691753644344</v>
      </c>
      <c r="D4044" s="101">
        <f t="shared" ca="1" si="225"/>
        <v>0.6531338769801045</v>
      </c>
      <c r="E4044" s="101">
        <f t="shared" ca="1" si="226"/>
        <v>0</v>
      </c>
      <c r="F4044" s="21">
        <f t="shared" ca="1" si="227"/>
        <v>0</v>
      </c>
      <c r="H4044" s="21">
        <v>4029</v>
      </c>
      <c r="I4044" s="102">
        <v>0.66763866916217951</v>
      </c>
      <c r="J4044" s="103">
        <v>1.1685082215230414E-3</v>
      </c>
      <c r="K4044" s="103"/>
      <c r="L4044" s="103">
        <v>4.02E-2</v>
      </c>
      <c r="O4044" s="100"/>
    </row>
    <row r="4045" spans="2:15" x14ac:dyDescent="0.2">
      <c r="B4045" s="1">
        <f t="shared" si="228"/>
        <v>4030</v>
      </c>
      <c r="C4045" s="101">
        <f ca="1"/>
        <v>-1.4002068388441027</v>
      </c>
      <c r="D4045" s="101">
        <f t="shared" ca="1" si="225"/>
        <v>0.57877851672760527</v>
      </c>
      <c r="E4045" s="101">
        <f t="shared" ca="1" si="226"/>
        <v>0</v>
      </c>
      <c r="F4045" s="21">
        <f t="shared" ca="1" si="227"/>
        <v>0</v>
      </c>
      <c r="H4045" s="21">
        <v>4030</v>
      </c>
      <c r="I4045" s="102">
        <v>0.66780691710248852</v>
      </c>
      <c r="J4045" s="103">
        <v>1.3636318993139197E-3</v>
      </c>
      <c r="K4045" s="103"/>
      <c r="L4045" s="103">
        <v>4.1599999999999998E-2</v>
      </c>
      <c r="O4045" s="100"/>
    </row>
    <row r="4046" spans="2:15" x14ac:dyDescent="0.2">
      <c r="B4046" s="1">
        <f t="shared" si="228"/>
        <v>4031</v>
      </c>
      <c r="C4046" s="101">
        <f ca="1"/>
        <v>-1.092304371669055</v>
      </c>
      <c r="D4046" s="101">
        <f t="shared" ca="1" si="225"/>
        <v>0.5966267954816884</v>
      </c>
      <c r="E4046" s="101">
        <f t="shared" ca="1" si="226"/>
        <v>0</v>
      </c>
      <c r="F4046" s="21">
        <f t="shared" ca="1" si="227"/>
        <v>0</v>
      </c>
      <c r="H4046" s="21">
        <v>4031</v>
      </c>
      <c r="I4046" s="102">
        <v>0.66790360092432144</v>
      </c>
      <c r="J4046" s="103">
        <v>1.590562246085164E-3</v>
      </c>
      <c r="K4046" s="103"/>
      <c r="L4046" s="103">
        <v>4.5199999999999997E-2</v>
      </c>
      <c r="O4046" s="100"/>
    </row>
    <row r="4047" spans="2:15" x14ac:dyDescent="0.2">
      <c r="B4047" s="1">
        <f t="shared" si="228"/>
        <v>4032</v>
      </c>
      <c r="C4047" s="101">
        <f ca="1"/>
        <v>0.26463901855113575</v>
      </c>
      <c r="D4047" s="101">
        <f t="shared" ca="1" si="225"/>
        <v>0.6820769488604087</v>
      </c>
      <c r="E4047" s="101">
        <f t="shared" ca="1" si="226"/>
        <v>0</v>
      </c>
      <c r="F4047" s="21">
        <f t="shared" ca="1" si="227"/>
        <v>0</v>
      </c>
      <c r="H4047" s="21">
        <v>4032</v>
      </c>
      <c r="I4047" s="102">
        <v>0.66784018416109248</v>
      </c>
      <c r="J4047" s="103">
        <v>1.4385756141041927E-3</v>
      </c>
      <c r="K4047" s="103"/>
      <c r="L4047" s="103">
        <v>4.3400000000000001E-2</v>
      </c>
      <c r="O4047" s="100"/>
    </row>
    <row r="4048" spans="2:15" x14ac:dyDescent="0.2">
      <c r="B4048" s="1">
        <f t="shared" si="228"/>
        <v>4033</v>
      </c>
      <c r="C4048" s="101">
        <f ca="1"/>
        <v>-0.25522743290778327</v>
      </c>
      <c r="D4048" s="101">
        <f t="shared" ref="D4048:D4111" ca="1" si="229">S0*EXP((μ-0.5*σ*σ)*T+σ*SQRT(T)*$C4048)</f>
        <v>0.6479815111223417</v>
      </c>
      <c r="E4048" s="101">
        <f t="shared" ref="E4048:E4111" ca="1" si="230">MAX(0,CP*(D4048-K))</f>
        <v>0</v>
      </c>
      <c r="F4048" s="21">
        <f t="shared" ref="F4048:F4111" ca="1" si="231">(CP*(D4048-K)&gt;0)*1</f>
        <v>0</v>
      </c>
      <c r="H4048" s="21">
        <v>4033</v>
      </c>
      <c r="I4048" s="102">
        <v>0.6677440805408682</v>
      </c>
      <c r="J4048" s="103">
        <v>1.2968786669170307E-3</v>
      </c>
      <c r="K4048" s="103"/>
      <c r="L4048" s="103">
        <v>3.8800000000000001E-2</v>
      </c>
      <c r="O4048" s="100"/>
    </row>
    <row r="4049" spans="2:15" x14ac:dyDescent="0.2">
      <c r="B4049" s="1">
        <f t="shared" si="228"/>
        <v>4034</v>
      </c>
      <c r="C4049" s="101">
        <f ca="1"/>
        <v>-0.27466956786580943</v>
      </c>
      <c r="D4049" s="101">
        <f t="shared" ca="1" si="229"/>
        <v>0.64674000435711143</v>
      </c>
      <c r="E4049" s="101">
        <f t="shared" ca="1" si="230"/>
        <v>0</v>
      </c>
      <c r="F4049" s="21">
        <f t="shared" ca="1" si="231"/>
        <v>0</v>
      </c>
      <c r="H4049" s="21">
        <v>4034</v>
      </c>
      <c r="I4049" s="102">
        <v>0.66775322242690904</v>
      </c>
      <c r="J4049" s="103">
        <v>1.4091155747228004E-3</v>
      </c>
      <c r="K4049" s="103"/>
      <c r="L4049" s="103">
        <v>4.0399999999999998E-2</v>
      </c>
      <c r="O4049" s="100"/>
    </row>
    <row r="4050" spans="2:15" x14ac:dyDescent="0.2">
      <c r="B4050" s="1">
        <f t="shared" si="228"/>
        <v>4035</v>
      </c>
      <c r="C4050" s="101">
        <f ca="1"/>
        <v>0.76252625350032388</v>
      </c>
      <c r="D4050" s="101">
        <f t="shared" ca="1" si="229"/>
        <v>0.71641151011215332</v>
      </c>
      <c r="E4050" s="101">
        <f t="shared" ca="1" si="230"/>
        <v>0</v>
      </c>
      <c r="F4050" s="21">
        <f t="shared" ca="1" si="231"/>
        <v>0</v>
      </c>
      <c r="H4050" s="21">
        <v>4035</v>
      </c>
      <c r="I4050" s="102">
        <v>0.66785224971115453</v>
      </c>
      <c r="J4050" s="103">
        <v>1.5290215849422251E-3</v>
      </c>
      <c r="K4050" s="103"/>
      <c r="L4050" s="103">
        <v>4.2000000000000003E-2</v>
      </c>
      <c r="O4050" s="100"/>
    </row>
    <row r="4051" spans="2:15" x14ac:dyDescent="0.2">
      <c r="B4051" s="1">
        <f t="shared" si="228"/>
        <v>4036</v>
      </c>
      <c r="C4051" s="101">
        <f ca="1"/>
        <v>-1.194264931166565</v>
      </c>
      <c r="D4051" s="101">
        <f t="shared" ca="1" si="229"/>
        <v>0.5906562813360533</v>
      </c>
      <c r="E4051" s="101">
        <f t="shared" ca="1" si="230"/>
        <v>0</v>
      </c>
      <c r="F4051" s="21">
        <f t="shared" ca="1" si="231"/>
        <v>0</v>
      </c>
      <c r="H4051" s="21">
        <v>4036</v>
      </c>
      <c r="I4051" s="102">
        <v>0.66766123463265248</v>
      </c>
      <c r="J4051" s="103">
        <v>1.2944313137004352E-3</v>
      </c>
      <c r="K4051" s="103"/>
      <c r="L4051" s="103">
        <v>3.9800000000000002E-2</v>
      </c>
      <c r="O4051" s="100"/>
    </row>
    <row r="4052" spans="2:15" x14ac:dyDescent="0.2">
      <c r="B4052" s="1">
        <f t="shared" si="228"/>
        <v>4037</v>
      </c>
      <c r="C4052" s="101">
        <f ca="1"/>
        <v>0.70704446708260493</v>
      </c>
      <c r="D4052" s="101">
        <f t="shared" ca="1" si="229"/>
        <v>0.71250144462830423</v>
      </c>
      <c r="E4052" s="101">
        <f t="shared" ca="1" si="230"/>
        <v>0</v>
      </c>
      <c r="F4052" s="21">
        <f t="shared" ca="1" si="231"/>
        <v>0</v>
      </c>
      <c r="H4052" s="21">
        <v>4037</v>
      </c>
      <c r="I4052" s="102">
        <v>0.66779046880703641</v>
      </c>
      <c r="J4052" s="103">
        <v>1.4171184884547068E-3</v>
      </c>
      <c r="K4052" s="103"/>
      <c r="L4052" s="103">
        <v>4.1599999999999998E-2</v>
      </c>
      <c r="O4052" s="100"/>
    </row>
    <row r="4053" spans="2:15" x14ac:dyDescent="0.2">
      <c r="B4053" s="1">
        <f t="shared" si="228"/>
        <v>4038</v>
      </c>
      <c r="C4053" s="101">
        <f ca="1"/>
        <v>0.72436422759094099</v>
      </c>
      <c r="D4053" s="101">
        <f t="shared" ca="1" si="229"/>
        <v>0.71371975395543197</v>
      </c>
      <c r="E4053" s="101">
        <f t="shared" ca="1" si="230"/>
        <v>0</v>
      </c>
      <c r="F4053" s="21">
        <f t="shared" ca="1" si="231"/>
        <v>0</v>
      </c>
      <c r="H4053" s="21">
        <v>4038</v>
      </c>
      <c r="I4053" s="102">
        <v>0.66766846706481719</v>
      </c>
      <c r="J4053" s="103">
        <v>1.3365409063154268E-3</v>
      </c>
      <c r="K4053" s="103"/>
      <c r="L4053" s="103">
        <v>3.8800000000000001E-2</v>
      </c>
      <c r="O4053" s="100"/>
    </row>
    <row r="4054" spans="2:15" x14ac:dyDescent="0.2">
      <c r="B4054" s="1">
        <f t="shared" si="228"/>
        <v>4039</v>
      </c>
      <c r="C4054" s="101">
        <f ca="1"/>
        <v>0.12100301937497776</v>
      </c>
      <c r="D4054" s="101">
        <f t="shared" ca="1" si="229"/>
        <v>0.67248111838668523</v>
      </c>
      <c r="E4054" s="101">
        <f t="shared" ca="1" si="230"/>
        <v>0</v>
      </c>
      <c r="F4054" s="21">
        <f t="shared" ca="1" si="231"/>
        <v>0</v>
      </c>
      <c r="H4054" s="21">
        <v>4039</v>
      </c>
      <c r="I4054" s="102">
        <v>0.6677448496580638</v>
      </c>
      <c r="J4054" s="103">
        <v>1.45396485846444E-3</v>
      </c>
      <c r="K4054" s="103"/>
      <c r="L4054" s="103">
        <v>4.1799999999999997E-2</v>
      </c>
      <c r="O4054" s="100"/>
    </row>
    <row r="4055" spans="2:15" x14ac:dyDescent="0.2">
      <c r="B4055" s="1">
        <f t="shared" si="228"/>
        <v>4040</v>
      </c>
      <c r="C4055" s="101">
        <f ca="1"/>
        <v>1.0015474747609856</v>
      </c>
      <c r="D4055" s="101">
        <f t="shared" ca="1" si="229"/>
        <v>0.73350330752454174</v>
      </c>
      <c r="E4055" s="101">
        <f t="shared" ca="1" si="230"/>
        <v>0</v>
      </c>
      <c r="F4055" s="21">
        <f t="shared" ca="1" si="231"/>
        <v>0</v>
      </c>
      <c r="H4055" s="21">
        <v>4040</v>
      </c>
      <c r="I4055" s="102">
        <v>0.66763740174341712</v>
      </c>
      <c r="J4055" s="103">
        <v>1.277404954707156E-3</v>
      </c>
      <c r="K4055" s="103"/>
      <c r="L4055" s="103">
        <v>4.1000000000000002E-2</v>
      </c>
      <c r="O4055" s="100"/>
    </row>
    <row r="4056" spans="2:15" x14ac:dyDescent="0.2">
      <c r="B4056" s="1">
        <f t="shared" si="228"/>
        <v>4041</v>
      </c>
      <c r="C4056" s="101">
        <f ca="1"/>
        <v>0.70849177158033061</v>
      </c>
      <c r="D4056" s="101">
        <f t="shared" ca="1" si="229"/>
        <v>0.71260317147038021</v>
      </c>
      <c r="E4056" s="101">
        <f t="shared" ca="1" si="230"/>
        <v>0</v>
      </c>
      <c r="F4056" s="21">
        <f t="shared" ca="1" si="231"/>
        <v>0</v>
      </c>
      <c r="H4056" s="21">
        <v>4041</v>
      </c>
      <c r="I4056" s="102">
        <v>0.66780316157134845</v>
      </c>
      <c r="J4056" s="103">
        <v>1.3052783784455006E-3</v>
      </c>
      <c r="K4056" s="103"/>
      <c r="L4056" s="103">
        <v>4.2000000000000003E-2</v>
      </c>
      <c r="O4056" s="100"/>
    </row>
    <row r="4057" spans="2:15" x14ac:dyDescent="0.2">
      <c r="B4057" s="1">
        <f t="shared" si="228"/>
        <v>4042</v>
      </c>
      <c r="C4057" s="101">
        <f ca="1"/>
        <v>0.70034293802013703</v>
      </c>
      <c r="D4057" s="101">
        <f t="shared" ca="1" si="229"/>
        <v>0.71203060282057129</v>
      </c>
      <c r="E4057" s="101">
        <f t="shared" ca="1" si="230"/>
        <v>0</v>
      </c>
      <c r="F4057" s="21">
        <f t="shared" ca="1" si="231"/>
        <v>0</v>
      </c>
      <c r="H4057" s="21">
        <v>4042</v>
      </c>
      <c r="I4057" s="102">
        <v>0.66772232373649931</v>
      </c>
      <c r="J4057" s="103">
        <v>1.3678928450913635E-3</v>
      </c>
      <c r="K4057" s="103"/>
      <c r="L4057" s="103">
        <v>3.9800000000000002E-2</v>
      </c>
      <c r="O4057" s="100"/>
    </row>
    <row r="4058" spans="2:15" x14ac:dyDescent="0.2">
      <c r="B4058" s="1">
        <f t="shared" si="228"/>
        <v>4043</v>
      </c>
      <c r="C4058" s="101">
        <f ca="1"/>
        <v>4.2898251608008885E-2</v>
      </c>
      <c r="D4058" s="101">
        <f t="shared" ca="1" si="229"/>
        <v>0.66731999032702438</v>
      </c>
      <c r="E4058" s="101">
        <f t="shared" ca="1" si="230"/>
        <v>0</v>
      </c>
      <c r="F4058" s="21">
        <f t="shared" ca="1" si="231"/>
        <v>0</v>
      </c>
      <c r="H4058" s="21">
        <v>4043</v>
      </c>
      <c r="I4058" s="102">
        <v>0.66768407730670254</v>
      </c>
      <c r="J4058" s="103">
        <v>1.2948297969187631E-3</v>
      </c>
      <c r="K4058" s="103"/>
      <c r="L4058" s="103">
        <v>4.2000000000000003E-2</v>
      </c>
      <c r="O4058" s="100"/>
    </row>
    <row r="4059" spans="2:15" x14ac:dyDescent="0.2">
      <c r="B4059" s="1">
        <f t="shared" si="228"/>
        <v>4044</v>
      </c>
      <c r="C4059" s="101">
        <f ca="1"/>
        <v>0.44291527758124505</v>
      </c>
      <c r="D4059" s="101">
        <f t="shared" ca="1" si="229"/>
        <v>0.69417763520473352</v>
      </c>
      <c r="E4059" s="101">
        <f t="shared" ca="1" si="230"/>
        <v>0</v>
      </c>
      <c r="F4059" s="21">
        <f t="shared" ca="1" si="231"/>
        <v>0</v>
      </c>
      <c r="H4059" s="21">
        <v>4044</v>
      </c>
      <c r="I4059" s="102">
        <v>0.66779822810250955</v>
      </c>
      <c r="J4059" s="103">
        <v>1.4111803453319138E-3</v>
      </c>
      <c r="K4059" s="103"/>
      <c r="L4059" s="103">
        <v>4.3799999999999999E-2</v>
      </c>
      <c r="O4059" s="100"/>
    </row>
    <row r="4060" spans="2:15" x14ac:dyDescent="0.2">
      <c r="B4060" s="1">
        <f t="shared" si="228"/>
        <v>4045</v>
      </c>
      <c r="C4060" s="101">
        <f ca="1"/>
        <v>-0.8003266195233395</v>
      </c>
      <c r="D4060" s="101">
        <f t="shared" ca="1" si="229"/>
        <v>0.61406013143476346</v>
      </c>
      <c r="E4060" s="101">
        <f t="shared" ca="1" si="230"/>
        <v>0</v>
      </c>
      <c r="F4060" s="21">
        <f t="shared" ca="1" si="231"/>
        <v>0</v>
      </c>
      <c r="H4060" s="21">
        <v>4045</v>
      </c>
      <c r="I4060" s="102">
        <v>0.66778825776687534</v>
      </c>
      <c r="J4060" s="103">
        <v>1.3445273175631965E-3</v>
      </c>
      <c r="K4060" s="103"/>
      <c r="L4060" s="103">
        <v>4.48E-2</v>
      </c>
      <c r="O4060" s="100"/>
    </row>
    <row r="4061" spans="2:15" x14ac:dyDescent="0.2">
      <c r="B4061" s="1">
        <f t="shared" si="228"/>
        <v>4046</v>
      </c>
      <c r="C4061" s="101">
        <f ca="1"/>
        <v>-0.39413836157814808</v>
      </c>
      <c r="D4061" s="101">
        <f t="shared" ca="1" si="229"/>
        <v>0.63916319023957757</v>
      </c>
      <c r="E4061" s="101">
        <f t="shared" ca="1" si="230"/>
        <v>0</v>
      </c>
      <c r="F4061" s="21">
        <f t="shared" ca="1" si="231"/>
        <v>0</v>
      </c>
      <c r="H4061" s="21">
        <v>4046</v>
      </c>
      <c r="I4061" s="102">
        <v>0.66786281967077676</v>
      </c>
      <c r="J4061" s="103">
        <v>1.5978219508321477E-3</v>
      </c>
      <c r="K4061" s="103"/>
      <c r="L4061" s="103">
        <v>4.58E-2</v>
      </c>
      <c r="O4061" s="100"/>
    </row>
    <row r="4062" spans="2:15" x14ac:dyDescent="0.2">
      <c r="B4062" s="1">
        <f t="shared" si="228"/>
        <v>4047</v>
      </c>
      <c r="C4062" s="101">
        <f ca="1"/>
        <v>-0.66077501738999989</v>
      </c>
      <c r="D4062" s="101">
        <f t="shared" ca="1" si="229"/>
        <v>0.62257145713671747</v>
      </c>
      <c r="E4062" s="101">
        <f t="shared" ca="1" si="230"/>
        <v>0</v>
      </c>
      <c r="F4062" s="21">
        <f t="shared" ca="1" si="231"/>
        <v>0</v>
      </c>
      <c r="H4062" s="21">
        <v>4047</v>
      </c>
      <c r="I4062" s="102">
        <v>0.66763822680220508</v>
      </c>
      <c r="J4062" s="103">
        <v>1.2472106173277364E-3</v>
      </c>
      <c r="K4062" s="103"/>
      <c r="L4062" s="103">
        <v>3.8199999999999998E-2</v>
      </c>
      <c r="O4062" s="100"/>
    </row>
    <row r="4063" spans="2:15" x14ac:dyDescent="0.2">
      <c r="B4063" s="1">
        <f t="shared" si="228"/>
        <v>4048</v>
      </c>
      <c r="C4063" s="101">
        <f ca="1"/>
        <v>-0.54556687129631698</v>
      </c>
      <c r="D4063" s="101">
        <f t="shared" ca="1" si="229"/>
        <v>0.62968689047957449</v>
      </c>
      <c r="E4063" s="101">
        <f t="shared" ca="1" si="230"/>
        <v>0</v>
      </c>
      <c r="F4063" s="21">
        <f t="shared" ca="1" si="231"/>
        <v>0</v>
      </c>
      <c r="H4063" s="21">
        <v>4048</v>
      </c>
      <c r="I4063" s="102">
        <v>0.66775003816916101</v>
      </c>
      <c r="J4063" s="103">
        <v>1.3846511969212601E-3</v>
      </c>
      <c r="K4063" s="103"/>
      <c r="L4063" s="103">
        <v>4.2799999999999998E-2</v>
      </c>
      <c r="O4063" s="100"/>
    </row>
    <row r="4064" spans="2:15" x14ac:dyDescent="0.2">
      <c r="B4064" s="1">
        <f t="shared" si="228"/>
        <v>4049</v>
      </c>
      <c r="C4064" s="101">
        <f ca="1"/>
        <v>0.85990022467351779</v>
      </c>
      <c r="D4064" s="101">
        <f t="shared" ca="1" si="229"/>
        <v>0.72332586596977322</v>
      </c>
      <c r="E4064" s="101">
        <f t="shared" ca="1" si="230"/>
        <v>0</v>
      </c>
      <c r="F4064" s="21">
        <f t="shared" ca="1" si="231"/>
        <v>0</v>
      </c>
      <c r="H4064" s="21">
        <v>4049</v>
      </c>
      <c r="I4064" s="102">
        <v>0.66770364231121671</v>
      </c>
      <c r="J4064" s="103">
        <v>1.4386195499438007E-3</v>
      </c>
      <c r="K4064" s="103"/>
      <c r="L4064" s="103">
        <v>3.9E-2</v>
      </c>
      <c r="O4064" s="100"/>
    </row>
    <row r="4065" spans="2:15" x14ac:dyDescent="0.2">
      <c r="B4065" s="1">
        <f t="shared" si="228"/>
        <v>4050</v>
      </c>
      <c r="C4065" s="101">
        <f ca="1"/>
        <v>-0.58777444409834123</v>
      </c>
      <c r="D4065" s="101">
        <f t="shared" ca="1" si="229"/>
        <v>0.62707069511916169</v>
      </c>
      <c r="E4065" s="101">
        <f t="shared" ca="1" si="230"/>
        <v>0</v>
      </c>
      <c r="F4065" s="21">
        <f t="shared" ca="1" si="231"/>
        <v>0</v>
      </c>
      <c r="H4065" s="21">
        <v>4050</v>
      </c>
      <c r="I4065" s="102">
        <v>0.66785053402867878</v>
      </c>
      <c r="J4065" s="103">
        <v>1.4232727514373648E-3</v>
      </c>
      <c r="K4065" s="103"/>
      <c r="L4065" s="103">
        <v>4.4200000000000003E-2</v>
      </c>
      <c r="O4065" s="100"/>
    </row>
    <row r="4066" spans="2:15" x14ac:dyDescent="0.2">
      <c r="B4066" s="1">
        <f t="shared" si="228"/>
        <v>4051</v>
      </c>
      <c r="C4066" s="101">
        <f ca="1"/>
        <v>2.5762076185451321</v>
      </c>
      <c r="D4066" s="101">
        <f t="shared" ca="1" si="229"/>
        <v>0.85676071823929056</v>
      </c>
      <c r="E4066" s="101">
        <f t="shared" ca="1" si="230"/>
        <v>6.8560718239290552E-2</v>
      </c>
      <c r="F4066" s="21">
        <f t="shared" ca="1" si="231"/>
        <v>1</v>
      </c>
      <c r="H4066" s="21">
        <v>4051</v>
      </c>
      <c r="I4066" s="102">
        <v>0.66772862639500441</v>
      </c>
      <c r="J4066" s="103">
        <v>1.3498121655181516E-3</v>
      </c>
      <c r="K4066" s="103"/>
      <c r="L4066" s="103">
        <v>3.7199999999999997E-2</v>
      </c>
      <c r="O4066" s="100"/>
    </row>
    <row r="4067" spans="2:15" x14ac:dyDescent="0.2">
      <c r="B4067" s="1">
        <f t="shared" si="228"/>
        <v>4052</v>
      </c>
      <c r="C4067" s="101">
        <f ca="1"/>
        <v>3.1067171734065985E-4</v>
      </c>
      <c r="D4067" s="101">
        <f t="shared" ca="1" si="229"/>
        <v>0.66452252892361885</v>
      </c>
      <c r="E4067" s="101">
        <f t="shared" ca="1" si="230"/>
        <v>0</v>
      </c>
      <c r="F4067" s="21">
        <f t="shared" ca="1" si="231"/>
        <v>0</v>
      </c>
      <c r="H4067" s="21">
        <v>4052</v>
      </c>
      <c r="I4067" s="102">
        <v>0.66769431263964885</v>
      </c>
      <c r="J4067" s="103">
        <v>1.3033067741476036E-3</v>
      </c>
      <c r="K4067" s="103"/>
      <c r="L4067" s="103">
        <v>4.24E-2</v>
      </c>
      <c r="O4067" s="100"/>
    </row>
    <row r="4068" spans="2:15" x14ac:dyDescent="0.2">
      <c r="B4068" s="1">
        <f t="shared" si="228"/>
        <v>4053</v>
      </c>
      <c r="C4068" s="101">
        <f ca="1"/>
        <v>-8.7380435555933653E-2</v>
      </c>
      <c r="D4068" s="101">
        <f t="shared" ca="1" si="229"/>
        <v>0.6587992198282856</v>
      </c>
      <c r="E4068" s="101">
        <f t="shared" ca="1" si="230"/>
        <v>0</v>
      </c>
      <c r="F4068" s="21">
        <f t="shared" ca="1" si="231"/>
        <v>0</v>
      </c>
      <c r="H4068" s="21">
        <v>4053</v>
      </c>
      <c r="I4068" s="102">
        <v>0.66769774189867803</v>
      </c>
      <c r="J4068" s="103">
        <v>1.2634260679338968E-3</v>
      </c>
      <c r="K4068" s="103"/>
      <c r="L4068" s="103">
        <v>4.2200000000000001E-2</v>
      </c>
      <c r="O4068" s="100"/>
    </row>
    <row r="4069" spans="2:15" x14ac:dyDescent="0.2">
      <c r="B4069" s="1">
        <f t="shared" si="228"/>
        <v>4054</v>
      </c>
      <c r="C4069" s="101">
        <f ca="1"/>
        <v>0.68057790200742829</v>
      </c>
      <c r="D4069" s="101">
        <f t="shared" ca="1" si="229"/>
        <v>0.71064374519659035</v>
      </c>
      <c r="E4069" s="101">
        <f t="shared" ca="1" si="230"/>
        <v>0</v>
      </c>
      <c r="F4069" s="21">
        <f t="shared" ca="1" si="231"/>
        <v>0</v>
      </c>
      <c r="H4069" s="21">
        <v>4054</v>
      </c>
      <c r="I4069" s="102">
        <v>0.66769072483359115</v>
      </c>
      <c r="J4069" s="103">
        <v>1.2481554039343069E-3</v>
      </c>
      <c r="K4069" s="103"/>
      <c r="L4069" s="103">
        <v>4.1599999999999998E-2</v>
      </c>
      <c r="O4069" s="100"/>
    </row>
    <row r="4070" spans="2:15" x14ac:dyDescent="0.2">
      <c r="B4070" s="1">
        <f t="shared" si="228"/>
        <v>4055</v>
      </c>
      <c r="C4070" s="101">
        <f ca="1"/>
        <v>-0.33044277920976212</v>
      </c>
      <c r="D4070" s="101">
        <f t="shared" ca="1" si="229"/>
        <v>0.64319170559369776</v>
      </c>
      <c r="E4070" s="101">
        <f t="shared" ca="1" si="230"/>
        <v>0</v>
      </c>
      <c r="F4070" s="21">
        <f t="shared" ca="1" si="231"/>
        <v>0</v>
      </c>
      <c r="H4070" s="21">
        <v>4055</v>
      </c>
      <c r="I4070" s="102">
        <v>0.66775430564298588</v>
      </c>
      <c r="J4070" s="103">
        <v>1.2460202878244906E-3</v>
      </c>
      <c r="K4070" s="103"/>
      <c r="L4070" s="103">
        <v>4.36E-2</v>
      </c>
      <c r="O4070" s="100"/>
    </row>
    <row r="4071" spans="2:15" x14ac:dyDescent="0.2">
      <c r="B4071" s="1">
        <f t="shared" si="228"/>
        <v>4056</v>
      </c>
      <c r="C4071" s="101">
        <f ca="1"/>
        <v>0.524752779058556</v>
      </c>
      <c r="D4071" s="101">
        <f t="shared" ca="1" si="229"/>
        <v>0.69980410501980894</v>
      </c>
      <c r="E4071" s="101">
        <f t="shared" ca="1" si="230"/>
        <v>0</v>
      </c>
      <c r="F4071" s="21">
        <f t="shared" ca="1" si="231"/>
        <v>0</v>
      </c>
      <c r="H4071" s="21">
        <v>4056</v>
      </c>
      <c r="I4071" s="102">
        <v>0.66773772709319446</v>
      </c>
      <c r="J4071" s="103">
        <v>1.4871706769531133E-3</v>
      </c>
      <c r="K4071" s="103"/>
      <c r="L4071" s="103">
        <v>4.2599999999999999E-2</v>
      </c>
      <c r="O4071" s="100"/>
    </row>
    <row r="4072" spans="2:15" x14ac:dyDescent="0.2">
      <c r="B4072" s="1">
        <f t="shared" si="228"/>
        <v>4057</v>
      </c>
      <c r="C4072" s="101">
        <f ca="1"/>
        <v>-0.15035116045546709</v>
      </c>
      <c r="D4072" s="101">
        <f t="shared" ca="1" si="229"/>
        <v>0.65471976100074303</v>
      </c>
      <c r="E4072" s="101">
        <f t="shared" ca="1" si="230"/>
        <v>0</v>
      </c>
      <c r="F4072" s="21">
        <f t="shared" ca="1" si="231"/>
        <v>0</v>
      </c>
      <c r="H4072" s="21">
        <v>4057</v>
      </c>
      <c r="I4072" s="102">
        <v>0.66762143095700166</v>
      </c>
      <c r="J4072" s="103">
        <v>1.2267506552975189E-3</v>
      </c>
      <c r="K4072" s="103"/>
      <c r="L4072" s="103">
        <v>3.6999999999999998E-2</v>
      </c>
      <c r="O4072" s="100"/>
    </row>
    <row r="4073" spans="2:15" x14ac:dyDescent="0.2">
      <c r="B4073" s="1">
        <f t="shared" si="228"/>
        <v>4058</v>
      </c>
      <c r="C4073" s="101">
        <f ca="1"/>
        <v>0.70178717324919826</v>
      </c>
      <c r="D4073" s="101">
        <f t="shared" ca="1" si="229"/>
        <v>0.71213204683577036</v>
      </c>
      <c r="E4073" s="101">
        <f t="shared" ca="1" si="230"/>
        <v>0</v>
      </c>
      <c r="F4073" s="21">
        <f t="shared" ca="1" si="231"/>
        <v>0</v>
      </c>
      <c r="H4073" s="21">
        <v>4058</v>
      </c>
      <c r="I4073" s="102">
        <v>0.66769653443494625</v>
      </c>
      <c r="J4073" s="103">
        <v>1.2764902387598647E-3</v>
      </c>
      <c r="K4073" s="103"/>
      <c r="L4073" s="103">
        <v>4.0399999999999998E-2</v>
      </c>
      <c r="O4073" s="100"/>
    </row>
    <row r="4074" spans="2:15" x14ac:dyDescent="0.2">
      <c r="B4074" s="1">
        <f t="shared" si="228"/>
        <v>4059</v>
      </c>
      <c r="C4074" s="101">
        <f ca="1"/>
        <v>0.5503410534606743</v>
      </c>
      <c r="D4074" s="101">
        <f t="shared" ca="1" si="229"/>
        <v>0.70157268454926625</v>
      </c>
      <c r="E4074" s="101">
        <f t="shared" ca="1" si="230"/>
        <v>0</v>
      </c>
      <c r="F4074" s="21">
        <f t="shared" ca="1" si="231"/>
        <v>0</v>
      </c>
      <c r="H4074" s="21">
        <v>4059</v>
      </c>
      <c r="I4074" s="102">
        <v>0.66767774992642703</v>
      </c>
      <c r="J4074" s="103">
        <v>1.32660325993566E-3</v>
      </c>
      <c r="K4074" s="103"/>
      <c r="L4074" s="103">
        <v>3.8399999999999997E-2</v>
      </c>
      <c r="O4074" s="100"/>
    </row>
    <row r="4075" spans="2:15" x14ac:dyDescent="0.2">
      <c r="B4075" s="1">
        <f t="shared" si="228"/>
        <v>4060</v>
      </c>
      <c r="C4075" s="101">
        <f ca="1"/>
        <v>1.1228490283816441</v>
      </c>
      <c r="D4075" s="101">
        <f t="shared" ca="1" si="229"/>
        <v>0.74233264614541716</v>
      </c>
      <c r="E4075" s="101">
        <f t="shared" ca="1" si="230"/>
        <v>0</v>
      </c>
      <c r="F4075" s="21">
        <f t="shared" ca="1" si="231"/>
        <v>0</v>
      </c>
      <c r="H4075" s="21">
        <v>4060</v>
      </c>
      <c r="I4075" s="102">
        <v>0.66782301708089675</v>
      </c>
      <c r="J4075" s="103">
        <v>1.521956974746742E-3</v>
      </c>
      <c r="K4075" s="103"/>
      <c r="L4075" s="103">
        <v>4.0599999999999997E-2</v>
      </c>
      <c r="O4075" s="100"/>
    </row>
    <row r="4076" spans="2:15" x14ac:dyDescent="0.2">
      <c r="B4076" s="1">
        <f t="shared" si="228"/>
        <v>4061</v>
      </c>
      <c r="C4076" s="101">
        <f ca="1"/>
        <v>0.17085267154871916</v>
      </c>
      <c r="D4076" s="101">
        <f t="shared" ca="1" si="229"/>
        <v>0.67579600997546652</v>
      </c>
      <c r="E4076" s="101">
        <f t="shared" ca="1" si="230"/>
        <v>0</v>
      </c>
      <c r="F4076" s="21">
        <f t="shared" ca="1" si="231"/>
        <v>0</v>
      </c>
      <c r="H4076" s="21">
        <v>4061</v>
      </c>
      <c r="I4076" s="102">
        <v>0.66781535260122038</v>
      </c>
      <c r="J4076" s="103">
        <v>1.3636142839495468E-3</v>
      </c>
      <c r="K4076" s="103"/>
      <c r="L4076" s="103">
        <v>4.0800000000000003E-2</v>
      </c>
      <c r="O4076" s="100"/>
    </row>
    <row r="4077" spans="2:15" x14ac:dyDescent="0.2">
      <c r="B4077" s="1">
        <f t="shared" si="228"/>
        <v>4062</v>
      </c>
      <c r="C4077" s="101">
        <f ca="1"/>
        <v>-1.7545824802378174</v>
      </c>
      <c r="D4077" s="101">
        <f t="shared" ca="1" si="229"/>
        <v>0.55889621502355902</v>
      </c>
      <c r="E4077" s="101">
        <f t="shared" ca="1" si="230"/>
        <v>0</v>
      </c>
      <c r="F4077" s="21">
        <f t="shared" ca="1" si="231"/>
        <v>0</v>
      </c>
      <c r="H4077" s="21">
        <v>4062</v>
      </c>
      <c r="I4077" s="102">
        <v>0.66761295286484479</v>
      </c>
      <c r="J4077" s="103">
        <v>1.1802871618835508E-3</v>
      </c>
      <c r="K4077" s="103"/>
      <c r="L4077" s="103">
        <v>3.9199999999999999E-2</v>
      </c>
      <c r="O4077" s="100"/>
    </row>
    <row r="4078" spans="2:15" x14ac:dyDescent="0.2">
      <c r="B4078" s="1">
        <f t="shared" si="228"/>
        <v>4063</v>
      </c>
      <c r="C4078" s="101">
        <f ca="1"/>
        <v>-0.95100013977290976</v>
      </c>
      <c r="D4078" s="101">
        <f t="shared" ca="1" si="229"/>
        <v>0.60500106689342092</v>
      </c>
      <c r="E4078" s="101">
        <f t="shared" ca="1" si="230"/>
        <v>0</v>
      </c>
      <c r="F4078" s="21">
        <f t="shared" ca="1" si="231"/>
        <v>0</v>
      </c>
      <c r="H4078" s="21">
        <v>4063</v>
      </c>
      <c r="I4078" s="102">
        <v>0.6677608826222895</v>
      </c>
      <c r="J4078" s="103">
        <v>1.3726276444151224E-3</v>
      </c>
      <c r="K4078" s="103"/>
      <c r="L4078" s="103">
        <v>4.1399999999999999E-2</v>
      </c>
      <c r="O4078" s="100"/>
    </row>
    <row r="4079" spans="2:15" x14ac:dyDescent="0.2">
      <c r="B4079" s="1">
        <f t="shared" si="228"/>
        <v>4064</v>
      </c>
      <c r="C4079" s="101">
        <f ca="1"/>
        <v>0.75647904521957043</v>
      </c>
      <c r="D4079" s="101">
        <f t="shared" ca="1" si="229"/>
        <v>0.71598429475143111</v>
      </c>
      <c r="E4079" s="101">
        <f t="shared" ca="1" si="230"/>
        <v>0</v>
      </c>
      <c r="F4079" s="21">
        <f t="shared" ca="1" si="231"/>
        <v>0</v>
      </c>
      <c r="H4079" s="21">
        <v>4064</v>
      </c>
      <c r="I4079" s="102">
        <v>0.66767836133716862</v>
      </c>
      <c r="J4079" s="103">
        <v>1.3226194689161146E-3</v>
      </c>
      <c r="K4079" s="103"/>
      <c r="L4079" s="103">
        <v>3.8800000000000001E-2</v>
      </c>
      <c r="O4079" s="100"/>
    </row>
    <row r="4080" spans="2:15" x14ac:dyDescent="0.2">
      <c r="B4080" s="1">
        <f t="shared" ref="B4080:B4143" si="232">B4079+1</f>
        <v>4065</v>
      </c>
      <c r="C4080" s="101">
        <f ca="1"/>
        <v>-1.541794730421995</v>
      </c>
      <c r="D4080" s="101">
        <f t="shared" ca="1" si="229"/>
        <v>0.57075124104154407</v>
      </c>
      <c r="E4080" s="101">
        <f t="shared" ca="1" si="230"/>
        <v>0</v>
      </c>
      <c r="F4080" s="21">
        <f t="shared" ca="1" si="231"/>
        <v>0</v>
      </c>
      <c r="H4080" s="21">
        <v>4065</v>
      </c>
      <c r="I4080" s="102">
        <v>0.66771022366395494</v>
      </c>
      <c r="J4080" s="103">
        <v>1.3152783533216133E-3</v>
      </c>
      <c r="K4080" s="103"/>
      <c r="L4080" s="103">
        <v>3.9600000000000003E-2</v>
      </c>
      <c r="O4080" s="100"/>
    </row>
    <row r="4081" spans="2:15" x14ac:dyDescent="0.2">
      <c r="B4081" s="1">
        <f t="shared" si="232"/>
        <v>4066</v>
      </c>
      <c r="C4081" s="101">
        <f ca="1"/>
        <v>-1.0927517693777791</v>
      </c>
      <c r="D4081" s="101">
        <f t="shared" ca="1" si="229"/>
        <v>0.59660046578673742</v>
      </c>
      <c r="E4081" s="101">
        <f t="shared" ca="1" si="230"/>
        <v>0</v>
      </c>
      <c r="F4081" s="21">
        <f t="shared" ca="1" si="231"/>
        <v>0</v>
      </c>
      <c r="H4081" s="21">
        <v>4066</v>
      </c>
      <c r="I4081" s="102">
        <v>0.66771660474578964</v>
      </c>
      <c r="J4081" s="103">
        <v>1.3621906540535298E-3</v>
      </c>
      <c r="K4081" s="103"/>
      <c r="L4081" s="103">
        <v>4.2599999999999999E-2</v>
      </c>
      <c r="O4081" s="100"/>
    </row>
    <row r="4082" spans="2:15" x14ac:dyDescent="0.2">
      <c r="B4082" s="1">
        <f t="shared" si="232"/>
        <v>4067</v>
      </c>
      <c r="C4082" s="101">
        <f ca="1"/>
        <v>-3.0498690963841286E-2</v>
      </c>
      <c r="D4082" s="101">
        <f t="shared" ca="1" si="229"/>
        <v>0.66250605985516742</v>
      </c>
      <c r="E4082" s="101">
        <f t="shared" ca="1" si="230"/>
        <v>0</v>
      </c>
      <c r="F4082" s="21">
        <f t="shared" ca="1" si="231"/>
        <v>0</v>
      </c>
      <c r="H4082" s="21">
        <v>4067</v>
      </c>
      <c r="I4082" s="102">
        <v>0.66776214528393141</v>
      </c>
      <c r="J4082" s="103">
        <v>1.408419268394715E-3</v>
      </c>
      <c r="K4082" s="103"/>
      <c r="L4082" s="103">
        <v>3.9E-2</v>
      </c>
      <c r="O4082" s="100"/>
    </row>
    <row r="4083" spans="2:15" x14ac:dyDescent="0.2">
      <c r="B4083" s="1">
        <f t="shared" si="232"/>
        <v>4068</v>
      </c>
      <c r="C4083" s="101">
        <f ca="1"/>
        <v>-1.2114550406890903</v>
      </c>
      <c r="D4083" s="101">
        <f t="shared" ca="1" si="229"/>
        <v>0.58965558060657641</v>
      </c>
      <c r="E4083" s="101">
        <f t="shared" ca="1" si="230"/>
        <v>0</v>
      </c>
      <c r="F4083" s="21">
        <f t="shared" ca="1" si="231"/>
        <v>0</v>
      </c>
      <c r="H4083" s="21">
        <v>4068</v>
      </c>
      <c r="I4083" s="102">
        <v>0.66757661048443151</v>
      </c>
      <c r="J4083" s="103">
        <v>1.2451453554572305E-3</v>
      </c>
      <c r="K4083" s="103"/>
      <c r="L4083" s="103">
        <v>4.0399999999999998E-2</v>
      </c>
      <c r="O4083" s="100"/>
    </row>
    <row r="4084" spans="2:15" x14ac:dyDescent="0.2">
      <c r="B4084" s="1">
        <f t="shared" si="232"/>
        <v>4069</v>
      </c>
      <c r="C4084" s="101">
        <f ca="1"/>
        <v>-0.18726971555864871</v>
      </c>
      <c r="D4084" s="101">
        <f t="shared" ca="1" si="229"/>
        <v>0.65233980733934627</v>
      </c>
      <c r="E4084" s="101">
        <f t="shared" ca="1" si="230"/>
        <v>0</v>
      </c>
      <c r="F4084" s="21">
        <f t="shared" ca="1" si="231"/>
        <v>0</v>
      </c>
      <c r="H4084" s="21">
        <v>4069</v>
      </c>
      <c r="I4084" s="102">
        <v>0.6678339776510317</v>
      </c>
      <c r="J4084" s="103">
        <v>1.523887631860957E-3</v>
      </c>
      <c r="K4084" s="103"/>
      <c r="L4084" s="103">
        <v>4.3799999999999999E-2</v>
      </c>
      <c r="O4084" s="100"/>
    </row>
    <row r="4085" spans="2:15" x14ac:dyDescent="0.2">
      <c r="B4085" s="1">
        <f t="shared" si="232"/>
        <v>4070</v>
      </c>
      <c r="C4085" s="101">
        <f ca="1"/>
        <v>0.8777889959562154</v>
      </c>
      <c r="D4085" s="101">
        <f t="shared" ca="1" si="229"/>
        <v>0.72460335340126703</v>
      </c>
      <c r="E4085" s="101">
        <f t="shared" ca="1" si="230"/>
        <v>0</v>
      </c>
      <c r="F4085" s="21">
        <f t="shared" ca="1" si="231"/>
        <v>0</v>
      </c>
      <c r="H4085" s="21">
        <v>4070</v>
      </c>
      <c r="I4085" s="102">
        <v>0.66780287762238799</v>
      </c>
      <c r="J4085" s="103">
        <v>1.5875492106376672E-3</v>
      </c>
      <c r="K4085" s="103"/>
      <c r="L4085" s="103">
        <v>4.6600000000000003E-2</v>
      </c>
      <c r="O4085" s="100"/>
    </row>
    <row r="4086" spans="2:15" x14ac:dyDescent="0.2">
      <c r="B4086" s="1">
        <f t="shared" si="232"/>
        <v>4071</v>
      </c>
      <c r="C4086" s="101">
        <f ca="1"/>
        <v>-0.36477391997702663</v>
      </c>
      <c r="D4086" s="101">
        <f t="shared" ca="1" si="229"/>
        <v>0.64101724062451759</v>
      </c>
      <c r="E4086" s="101">
        <f t="shared" ca="1" si="230"/>
        <v>0</v>
      </c>
      <c r="F4086" s="21">
        <f t="shared" ca="1" si="231"/>
        <v>0</v>
      </c>
      <c r="H4086" s="21">
        <v>4071</v>
      </c>
      <c r="I4086" s="102">
        <v>0.66789343868574891</v>
      </c>
      <c r="J4086" s="103">
        <v>1.5560110909144369E-3</v>
      </c>
      <c r="K4086" s="103"/>
      <c r="L4086" s="103">
        <v>4.6800000000000001E-2</v>
      </c>
      <c r="O4086" s="100"/>
    </row>
    <row r="4087" spans="2:15" x14ac:dyDescent="0.2">
      <c r="B4087" s="1">
        <f t="shared" si="232"/>
        <v>4072</v>
      </c>
      <c r="C4087" s="101">
        <f ca="1"/>
        <v>-1.4373534187872097</v>
      </c>
      <c r="D4087" s="101">
        <f t="shared" ca="1" si="229"/>
        <v>0.5766616441715986</v>
      </c>
      <c r="E4087" s="101">
        <f t="shared" ca="1" si="230"/>
        <v>0</v>
      </c>
      <c r="F4087" s="21">
        <f t="shared" ca="1" si="231"/>
        <v>0</v>
      </c>
      <c r="H4087" s="21">
        <v>4072</v>
      </c>
      <c r="I4087" s="102">
        <v>0.66783463088550932</v>
      </c>
      <c r="J4087" s="103">
        <v>1.4114055027122365E-3</v>
      </c>
      <c r="K4087" s="103"/>
      <c r="L4087" s="103">
        <v>4.4400000000000002E-2</v>
      </c>
      <c r="O4087" s="100"/>
    </row>
    <row r="4088" spans="2:15" x14ac:dyDescent="0.2">
      <c r="B4088" s="1">
        <f t="shared" si="232"/>
        <v>4073</v>
      </c>
      <c r="C4088" s="101">
        <f ca="1"/>
        <v>1.6107311063655083</v>
      </c>
      <c r="D4088" s="101">
        <f t="shared" ca="1" si="229"/>
        <v>0.77893125004769337</v>
      </c>
      <c r="E4088" s="101">
        <f t="shared" ca="1" si="230"/>
        <v>0</v>
      </c>
      <c r="F4088" s="21">
        <f t="shared" ca="1" si="231"/>
        <v>0</v>
      </c>
      <c r="H4088" s="21">
        <v>4073</v>
      </c>
      <c r="I4088" s="102">
        <v>0.66800432420457634</v>
      </c>
      <c r="J4088" s="103">
        <v>1.7163482013647919E-3</v>
      </c>
      <c r="K4088" s="103"/>
      <c r="L4088" s="103">
        <v>4.7E-2</v>
      </c>
      <c r="O4088" s="100"/>
    </row>
    <row r="4089" spans="2:15" x14ac:dyDescent="0.2">
      <c r="B4089" s="1">
        <f t="shared" si="232"/>
        <v>4074</v>
      </c>
      <c r="C4089" s="101">
        <f ca="1"/>
        <v>-0.59346760720851166</v>
      </c>
      <c r="D4089" s="101">
        <f t="shared" ca="1" si="229"/>
        <v>0.62671864289488188</v>
      </c>
      <c r="E4089" s="101">
        <f t="shared" ca="1" si="230"/>
        <v>0</v>
      </c>
      <c r="F4089" s="21">
        <f t="shared" ca="1" si="231"/>
        <v>0</v>
      </c>
      <c r="H4089" s="21">
        <v>4074</v>
      </c>
      <c r="I4089" s="102">
        <v>0.6676399975023074</v>
      </c>
      <c r="J4089" s="103">
        <v>1.2466948010517048E-3</v>
      </c>
      <c r="K4089" s="103"/>
      <c r="L4089" s="103">
        <v>3.9600000000000003E-2</v>
      </c>
      <c r="O4089" s="100"/>
    </row>
    <row r="4090" spans="2:15" x14ac:dyDescent="0.2">
      <c r="B4090" s="1">
        <f t="shared" si="232"/>
        <v>4075</v>
      </c>
      <c r="C4090" s="101">
        <f ca="1"/>
        <v>-0.79283942307576272</v>
      </c>
      <c r="D4090" s="101">
        <f t="shared" ca="1" si="229"/>
        <v>0.61451381120403492</v>
      </c>
      <c r="E4090" s="101">
        <f t="shared" ca="1" si="230"/>
        <v>0</v>
      </c>
      <c r="F4090" s="21">
        <f t="shared" ca="1" si="231"/>
        <v>0</v>
      </c>
      <c r="H4090" s="21">
        <v>4075</v>
      </c>
      <c r="I4090" s="102">
        <v>0.66779862944818846</v>
      </c>
      <c r="J4090" s="103">
        <v>1.5188589795985575E-3</v>
      </c>
      <c r="K4090" s="103"/>
      <c r="L4090" s="103">
        <v>4.6399999999999997E-2</v>
      </c>
      <c r="O4090" s="100"/>
    </row>
    <row r="4091" spans="2:15" x14ac:dyDescent="0.2">
      <c r="B4091" s="1">
        <f t="shared" si="232"/>
        <v>4076</v>
      </c>
      <c r="C4091" s="101">
        <f ca="1"/>
        <v>0.66405365831512442</v>
      </c>
      <c r="D4091" s="101">
        <f t="shared" ca="1" si="229"/>
        <v>0.7094863583735479</v>
      </c>
      <c r="E4091" s="101">
        <f t="shared" ca="1" si="230"/>
        <v>0</v>
      </c>
      <c r="F4091" s="21">
        <f t="shared" ca="1" si="231"/>
        <v>0</v>
      </c>
      <c r="H4091" s="21">
        <v>4076</v>
      </c>
      <c r="I4091" s="102">
        <v>0.66780985224138223</v>
      </c>
      <c r="J4091" s="103">
        <v>1.4681897503740098E-3</v>
      </c>
      <c r="K4091" s="103"/>
      <c r="L4091" s="103">
        <v>4.48E-2</v>
      </c>
      <c r="O4091" s="100"/>
    </row>
    <row r="4092" spans="2:15" x14ac:dyDescent="0.2">
      <c r="B4092" s="1">
        <f t="shared" si="232"/>
        <v>4077</v>
      </c>
      <c r="C4092" s="101">
        <f ca="1"/>
        <v>-3.3685281907128627E-2</v>
      </c>
      <c r="D4092" s="101">
        <f t="shared" ca="1" si="229"/>
        <v>0.66229784734536312</v>
      </c>
      <c r="E4092" s="101">
        <f t="shared" ca="1" si="230"/>
        <v>0</v>
      </c>
      <c r="F4092" s="21">
        <f t="shared" ca="1" si="231"/>
        <v>0</v>
      </c>
      <c r="H4092" s="21">
        <v>4077</v>
      </c>
      <c r="I4092" s="102">
        <v>0.66757908476893213</v>
      </c>
      <c r="J4092" s="103">
        <v>1.1136789220228928E-3</v>
      </c>
      <c r="K4092" s="103"/>
      <c r="L4092" s="103">
        <v>3.6200000000000003E-2</v>
      </c>
      <c r="O4092" s="100"/>
    </row>
    <row r="4093" spans="2:15" x14ac:dyDescent="0.2">
      <c r="B4093" s="1">
        <f t="shared" si="232"/>
        <v>4078</v>
      </c>
      <c r="C4093" s="101">
        <f ca="1"/>
        <v>-0.77208646655010271</v>
      </c>
      <c r="D4093" s="101">
        <f t="shared" ca="1" si="229"/>
        <v>0.61577307037613271</v>
      </c>
      <c r="E4093" s="101">
        <f t="shared" ca="1" si="230"/>
        <v>0</v>
      </c>
      <c r="F4093" s="21">
        <f t="shared" ca="1" si="231"/>
        <v>0</v>
      </c>
      <c r="H4093" s="21">
        <v>4078</v>
      </c>
      <c r="I4093" s="102">
        <v>0.66769932438848378</v>
      </c>
      <c r="J4093" s="103">
        <v>1.4517215528274169E-3</v>
      </c>
      <c r="K4093" s="103"/>
      <c r="L4093" s="103">
        <v>4.1200000000000001E-2</v>
      </c>
      <c r="O4093" s="100"/>
    </row>
    <row r="4094" spans="2:15" x14ac:dyDescent="0.2">
      <c r="B4094" s="1">
        <f t="shared" si="232"/>
        <v>4079</v>
      </c>
      <c r="C4094" s="101">
        <f ca="1"/>
        <v>-1.2094189885830064</v>
      </c>
      <c r="D4094" s="101">
        <f t="shared" ca="1" si="229"/>
        <v>0.58977401826546993</v>
      </c>
      <c r="E4094" s="101">
        <f t="shared" ca="1" si="230"/>
        <v>0</v>
      </c>
      <c r="F4094" s="21">
        <f t="shared" ca="1" si="231"/>
        <v>0</v>
      </c>
      <c r="H4094" s="21">
        <v>4079</v>
      </c>
      <c r="I4094" s="102">
        <v>0.66770828444927977</v>
      </c>
      <c r="J4094" s="103">
        <v>1.2481026771503424E-3</v>
      </c>
      <c r="K4094" s="103"/>
      <c r="L4094" s="103">
        <v>3.9399999999999998E-2</v>
      </c>
      <c r="O4094" s="100"/>
    </row>
    <row r="4095" spans="2:15" x14ac:dyDescent="0.2">
      <c r="B4095" s="1">
        <f t="shared" si="232"/>
        <v>4080</v>
      </c>
      <c r="C4095" s="101">
        <f ca="1"/>
        <v>-0.75572103830908166</v>
      </c>
      <c r="D4095" s="101">
        <f t="shared" ca="1" si="229"/>
        <v>0.61676792026639227</v>
      </c>
      <c r="E4095" s="101">
        <f t="shared" ca="1" si="230"/>
        <v>0</v>
      </c>
      <c r="F4095" s="21">
        <f t="shared" ca="1" si="231"/>
        <v>0</v>
      </c>
      <c r="H4095" s="21">
        <v>4080</v>
      </c>
      <c r="I4095" s="102">
        <v>0.66773980587858417</v>
      </c>
      <c r="J4095" s="103">
        <v>1.2985703236545862E-3</v>
      </c>
      <c r="K4095" s="103"/>
      <c r="L4095" s="103">
        <v>4.24E-2</v>
      </c>
      <c r="O4095" s="100"/>
    </row>
    <row r="4096" spans="2:15" x14ac:dyDescent="0.2">
      <c r="B4096" s="1">
        <f t="shared" si="232"/>
        <v>4081</v>
      </c>
      <c r="C4096" s="101">
        <f ca="1"/>
        <v>-0.76085119023026881</v>
      </c>
      <c r="D4096" s="101">
        <f t="shared" ca="1" si="229"/>
        <v>0.61645588691038467</v>
      </c>
      <c r="E4096" s="101">
        <f t="shared" ca="1" si="230"/>
        <v>0</v>
      </c>
      <c r="F4096" s="21">
        <f t="shared" ca="1" si="231"/>
        <v>0</v>
      </c>
      <c r="H4096" s="21">
        <v>4081</v>
      </c>
      <c r="I4096" s="102">
        <v>0.66770285648710859</v>
      </c>
      <c r="J4096" s="103">
        <v>1.2539038245266139E-3</v>
      </c>
      <c r="K4096" s="103"/>
      <c r="L4096" s="103">
        <v>3.5000000000000003E-2</v>
      </c>
      <c r="O4096" s="100"/>
    </row>
    <row r="4097" spans="2:15" x14ac:dyDescent="0.2">
      <c r="B4097" s="1">
        <f t="shared" si="232"/>
        <v>4082</v>
      </c>
      <c r="C4097" s="101">
        <f ca="1"/>
        <v>-0.66125364976108314</v>
      </c>
      <c r="D4097" s="101">
        <f t="shared" ca="1" si="229"/>
        <v>0.62254206440693571</v>
      </c>
      <c r="E4097" s="101">
        <f t="shared" ca="1" si="230"/>
        <v>0</v>
      </c>
      <c r="F4097" s="21">
        <f t="shared" ca="1" si="231"/>
        <v>0</v>
      </c>
      <c r="H4097" s="21">
        <v>4082</v>
      </c>
      <c r="I4097" s="102">
        <v>0.6678752620271754</v>
      </c>
      <c r="J4097" s="103">
        <v>1.4569222834754031E-3</v>
      </c>
      <c r="K4097" s="103"/>
      <c r="L4097" s="103">
        <v>4.3200000000000002E-2</v>
      </c>
      <c r="O4097" s="100"/>
    </row>
    <row r="4098" spans="2:15" x14ac:dyDescent="0.2">
      <c r="B4098" s="1">
        <f t="shared" si="232"/>
        <v>4083</v>
      </c>
      <c r="C4098" s="101">
        <f ca="1"/>
        <v>1.082248523338686</v>
      </c>
      <c r="D4098" s="101">
        <f t="shared" ca="1" si="229"/>
        <v>0.73936563254671306</v>
      </c>
      <c r="E4098" s="101">
        <f t="shared" ca="1" si="230"/>
        <v>0</v>
      </c>
      <c r="F4098" s="21">
        <f t="shared" ca="1" si="231"/>
        <v>0</v>
      </c>
      <c r="H4098" s="21">
        <v>4083</v>
      </c>
      <c r="I4098" s="102">
        <v>0.66772701226997655</v>
      </c>
      <c r="J4098" s="103">
        <v>1.3116223610844847E-3</v>
      </c>
      <c r="K4098" s="103"/>
      <c r="L4098" s="103">
        <v>4.1599999999999998E-2</v>
      </c>
      <c r="O4098" s="100"/>
    </row>
    <row r="4099" spans="2:15" x14ac:dyDescent="0.2">
      <c r="B4099" s="1">
        <f t="shared" si="232"/>
        <v>4084</v>
      </c>
      <c r="C4099" s="101">
        <f ca="1"/>
        <v>0.65976195447436692</v>
      </c>
      <c r="D4099" s="101">
        <f t="shared" ca="1" si="229"/>
        <v>0.70918606844180132</v>
      </c>
      <c r="E4099" s="101">
        <f t="shared" ca="1" si="230"/>
        <v>0</v>
      </c>
      <c r="F4099" s="21">
        <f t="shared" ca="1" si="231"/>
        <v>0</v>
      </c>
      <c r="H4099" s="21">
        <v>4084</v>
      </c>
      <c r="I4099" s="102">
        <v>0.6677144785591006</v>
      </c>
      <c r="J4099" s="103">
        <v>1.117195848543929E-3</v>
      </c>
      <c r="K4099" s="103"/>
      <c r="L4099" s="103">
        <v>3.6999999999999998E-2</v>
      </c>
      <c r="O4099" s="100"/>
    </row>
    <row r="4100" spans="2:15" x14ac:dyDescent="0.2">
      <c r="B4100" s="1">
        <f t="shared" si="232"/>
        <v>4085</v>
      </c>
      <c r="C4100" s="101">
        <f ca="1"/>
        <v>0.65758759466057737</v>
      </c>
      <c r="D4100" s="101">
        <f t="shared" ca="1" si="229"/>
        <v>0.70903397729456874</v>
      </c>
      <c r="E4100" s="101">
        <f t="shared" ca="1" si="230"/>
        <v>0</v>
      </c>
      <c r="F4100" s="21">
        <f t="shared" ca="1" si="231"/>
        <v>0</v>
      </c>
      <c r="H4100" s="21">
        <v>4085</v>
      </c>
      <c r="I4100" s="102">
        <v>0.66782736564444178</v>
      </c>
      <c r="J4100" s="103">
        <v>1.4753413044114483E-3</v>
      </c>
      <c r="K4100" s="103"/>
      <c r="L4100" s="103">
        <v>4.4200000000000003E-2</v>
      </c>
      <c r="O4100" s="100"/>
    </row>
    <row r="4101" spans="2:15" x14ac:dyDescent="0.2">
      <c r="B4101" s="1">
        <f t="shared" si="232"/>
        <v>4086</v>
      </c>
      <c r="C4101" s="101">
        <f ca="1"/>
        <v>-0.38726064024947277</v>
      </c>
      <c r="D4101" s="101">
        <f t="shared" ca="1" si="229"/>
        <v>0.63959696328200677</v>
      </c>
      <c r="E4101" s="101">
        <f t="shared" ca="1" si="230"/>
        <v>0</v>
      </c>
      <c r="F4101" s="21">
        <f t="shared" ca="1" si="231"/>
        <v>0</v>
      </c>
      <c r="H4101" s="21">
        <v>4086</v>
      </c>
      <c r="I4101" s="102">
        <v>0.66767372308510053</v>
      </c>
      <c r="J4101" s="103">
        <v>1.3154999146259077E-3</v>
      </c>
      <c r="K4101" s="103"/>
      <c r="L4101" s="103">
        <v>4.3200000000000002E-2</v>
      </c>
      <c r="O4101" s="100"/>
    </row>
    <row r="4102" spans="2:15" x14ac:dyDescent="0.2">
      <c r="B4102" s="1">
        <f t="shared" si="232"/>
        <v>4087</v>
      </c>
      <c r="C4102" s="101">
        <f ca="1"/>
        <v>-0.50551484846556571</v>
      </c>
      <c r="D4102" s="101">
        <f t="shared" ca="1" si="229"/>
        <v>0.63217956854403567</v>
      </c>
      <c r="E4102" s="101">
        <f t="shared" ca="1" si="230"/>
        <v>0</v>
      </c>
      <c r="F4102" s="21">
        <f t="shared" ca="1" si="231"/>
        <v>0</v>
      </c>
      <c r="H4102" s="21">
        <v>4087</v>
      </c>
      <c r="I4102" s="102">
        <v>0.66768259343170977</v>
      </c>
      <c r="J4102" s="103">
        <v>1.2956533848400196E-3</v>
      </c>
      <c r="K4102" s="103"/>
      <c r="L4102" s="103">
        <v>4.1599999999999998E-2</v>
      </c>
      <c r="O4102" s="100"/>
    </row>
    <row r="4103" spans="2:15" x14ac:dyDescent="0.2">
      <c r="B4103" s="1">
        <f t="shared" si="232"/>
        <v>4088</v>
      </c>
      <c r="C4103" s="101">
        <f ca="1"/>
        <v>-3.7833219211539246E-2</v>
      </c>
      <c r="D4103" s="101">
        <f t="shared" ca="1" si="229"/>
        <v>0.66202691828980298</v>
      </c>
      <c r="E4103" s="101">
        <f t="shared" ca="1" si="230"/>
        <v>0</v>
      </c>
      <c r="F4103" s="21">
        <f t="shared" ca="1" si="231"/>
        <v>0</v>
      </c>
      <c r="H4103" s="21">
        <v>4088</v>
      </c>
      <c r="I4103" s="102">
        <v>0.66780634996624799</v>
      </c>
      <c r="J4103" s="103">
        <v>1.4530812462829887E-3</v>
      </c>
      <c r="K4103" s="103"/>
      <c r="L4103" s="103">
        <v>4.3999999999999997E-2</v>
      </c>
      <c r="O4103" s="100"/>
    </row>
    <row r="4104" spans="2:15" x14ac:dyDescent="0.2">
      <c r="B4104" s="1">
        <f t="shared" si="232"/>
        <v>4089</v>
      </c>
      <c r="C4104" s="101">
        <f ca="1"/>
        <v>-0.2850103746272139</v>
      </c>
      <c r="D4104" s="101">
        <f t="shared" ca="1" si="229"/>
        <v>0.6460806459160372</v>
      </c>
      <c r="E4104" s="101">
        <f t="shared" ca="1" si="230"/>
        <v>0</v>
      </c>
      <c r="F4104" s="21">
        <f t="shared" ca="1" si="231"/>
        <v>0</v>
      </c>
      <c r="H4104" s="21">
        <v>4089</v>
      </c>
      <c r="I4104" s="102">
        <v>0.66790886855630471</v>
      </c>
      <c r="J4104" s="103">
        <v>1.5218098743458401E-3</v>
      </c>
      <c r="K4104" s="103"/>
      <c r="L4104" s="103">
        <v>4.4600000000000001E-2</v>
      </c>
      <c r="O4104" s="100"/>
    </row>
    <row r="4105" spans="2:15" x14ac:dyDescent="0.2">
      <c r="B4105" s="1">
        <f t="shared" si="232"/>
        <v>4090</v>
      </c>
      <c r="C4105" s="101">
        <f ca="1"/>
        <v>-0.2540423475315719</v>
      </c>
      <c r="D4105" s="101">
        <f t="shared" ca="1" si="229"/>
        <v>0.64805726354704463</v>
      </c>
      <c r="E4105" s="101">
        <f t="shared" ca="1" si="230"/>
        <v>0</v>
      </c>
      <c r="F4105" s="21">
        <f t="shared" ca="1" si="231"/>
        <v>0</v>
      </c>
      <c r="H4105" s="21">
        <v>4090</v>
      </c>
      <c r="I4105" s="102">
        <v>0.66785604726624703</v>
      </c>
      <c r="J4105" s="103">
        <v>1.470044978349625E-3</v>
      </c>
      <c r="K4105" s="103"/>
      <c r="L4105" s="103">
        <v>4.6199999999999998E-2</v>
      </c>
      <c r="O4105" s="100"/>
    </row>
    <row r="4106" spans="2:15" x14ac:dyDescent="0.2">
      <c r="B4106" s="1">
        <f t="shared" si="232"/>
        <v>4091</v>
      </c>
      <c r="C4106" s="101">
        <f ca="1"/>
        <v>0.16791031634800291</v>
      </c>
      <c r="D4106" s="101">
        <f t="shared" ca="1" si="229"/>
        <v>0.67559989687729904</v>
      </c>
      <c r="E4106" s="101">
        <f t="shared" ca="1" si="230"/>
        <v>0</v>
      </c>
      <c r="F4106" s="21">
        <f t="shared" ca="1" si="231"/>
        <v>0</v>
      </c>
      <c r="H4106" s="21">
        <v>4091</v>
      </c>
      <c r="I4106" s="102">
        <v>0.66777826141382446</v>
      </c>
      <c r="J4106" s="103">
        <v>1.4372210370952325E-3</v>
      </c>
      <c r="K4106" s="103"/>
      <c r="L4106" s="103">
        <v>4.2000000000000003E-2</v>
      </c>
      <c r="O4106" s="100"/>
    </row>
    <row r="4107" spans="2:15" x14ac:dyDescent="0.2">
      <c r="B4107" s="1">
        <f t="shared" si="232"/>
        <v>4092</v>
      </c>
      <c r="C4107" s="101">
        <f ca="1"/>
        <v>-0.42350703349600999</v>
      </c>
      <c r="D4107" s="101">
        <f t="shared" ca="1" si="229"/>
        <v>0.6373142364882044</v>
      </c>
      <c r="E4107" s="101">
        <f t="shared" ca="1" si="230"/>
        <v>0</v>
      </c>
      <c r="F4107" s="21">
        <f t="shared" ca="1" si="231"/>
        <v>0</v>
      </c>
      <c r="H4107" s="21">
        <v>4092</v>
      </c>
      <c r="I4107" s="102">
        <v>0.66771590932683755</v>
      </c>
      <c r="J4107" s="103">
        <v>1.2562533842484444E-3</v>
      </c>
      <c r="K4107" s="103"/>
      <c r="L4107" s="103">
        <v>4.2599999999999999E-2</v>
      </c>
      <c r="O4107" s="100"/>
    </row>
    <row r="4108" spans="2:15" x14ac:dyDescent="0.2">
      <c r="B4108" s="1">
        <f t="shared" si="232"/>
        <v>4093</v>
      </c>
      <c r="C4108" s="101">
        <f ca="1"/>
        <v>-0.88314894943176703</v>
      </c>
      <c r="D4108" s="101">
        <f t="shared" ca="1" si="229"/>
        <v>0.60906387840602993</v>
      </c>
      <c r="E4108" s="101">
        <f t="shared" ca="1" si="230"/>
        <v>0</v>
      </c>
      <c r="F4108" s="21">
        <f t="shared" ca="1" si="231"/>
        <v>0</v>
      </c>
      <c r="H4108" s="21">
        <v>4093</v>
      </c>
      <c r="I4108" s="102">
        <v>0.66773203136156922</v>
      </c>
      <c r="J4108" s="103">
        <v>1.4739649596723207E-3</v>
      </c>
      <c r="K4108" s="103"/>
      <c r="L4108" s="103">
        <v>4.2999999999999997E-2</v>
      </c>
      <c r="O4108" s="100"/>
    </row>
    <row r="4109" spans="2:15" x14ac:dyDescent="0.2">
      <c r="B4109" s="1">
        <f t="shared" si="232"/>
        <v>4094</v>
      </c>
      <c r="C4109" s="101">
        <f ca="1"/>
        <v>-0.67506749335904848</v>
      </c>
      <c r="D4109" s="101">
        <f t="shared" ca="1" si="229"/>
        <v>0.62169435640624593</v>
      </c>
      <c r="E4109" s="101">
        <f t="shared" ca="1" si="230"/>
        <v>0</v>
      </c>
      <c r="F4109" s="21">
        <f t="shared" ca="1" si="231"/>
        <v>0</v>
      </c>
      <c r="H4109" s="21">
        <v>4094</v>
      </c>
      <c r="I4109" s="102">
        <v>0.66785216079904308</v>
      </c>
      <c r="J4109" s="103">
        <v>1.4410243402327196E-3</v>
      </c>
      <c r="K4109" s="103"/>
      <c r="L4109" s="103">
        <v>4.4200000000000003E-2</v>
      </c>
      <c r="O4109" s="100"/>
    </row>
    <row r="4110" spans="2:15" x14ac:dyDescent="0.2">
      <c r="B4110" s="1">
        <f t="shared" si="232"/>
        <v>4095</v>
      </c>
      <c r="C4110" s="101">
        <f ca="1"/>
        <v>-0.29509044676029217</v>
      </c>
      <c r="D4110" s="101">
        <f t="shared" ca="1" si="229"/>
        <v>0.64543855965404506</v>
      </c>
      <c r="E4110" s="101">
        <f t="shared" ca="1" si="230"/>
        <v>0</v>
      </c>
      <c r="F4110" s="21">
        <f t="shared" ca="1" si="231"/>
        <v>0</v>
      </c>
      <c r="H4110" s="21">
        <v>4095</v>
      </c>
      <c r="I4110" s="102">
        <v>0.66803572071787687</v>
      </c>
      <c r="J4110" s="103">
        <v>1.7846817935981366E-3</v>
      </c>
      <c r="K4110" s="103"/>
      <c r="L4110" s="103">
        <v>4.7800000000000002E-2</v>
      </c>
      <c r="O4110" s="100"/>
    </row>
    <row r="4111" spans="2:15" x14ac:dyDescent="0.2">
      <c r="B4111" s="1">
        <f t="shared" si="232"/>
        <v>4096</v>
      </c>
      <c r="C4111" s="101">
        <f ca="1"/>
        <v>-0.49558110462711413</v>
      </c>
      <c r="D4111" s="101">
        <f t="shared" ca="1" si="229"/>
        <v>0.63279933077764938</v>
      </c>
      <c r="E4111" s="101">
        <f t="shared" ca="1" si="230"/>
        <v>0</v>
      </c>
      <c r="F4111" s="21">
        <f t="shared" ca="1" si="231"/>
        <v>0</v>
      </c>
      <c r="H4111" s="21">
        <v>4096</v>
      </c>
      <c r="I4111" s="102">
        <v>0.66764558077230596</v>
      </c>
      <c r="J4111" s="103">
        <v>1.1696585930011159E-3</v>
      </c>
      <c r="K4111" s="103"/>
      <c r="L4111" s="103">
        <v>3.9E-2</v>
      </c>
      <c r="O4111" s="100"/>
    </row>
    <row r="4112" spans="2:15" x14ac:dyDescent="0.2">
      <c r="B4112" s="1">
        <f t="shared" si="232"/>
        <v>4097</v>
      </c>
      <c r="C4112" s="101">
        <f ca="1"/>
        <v>0.41461854010420812</v>
      </c>
      <c r="D4112" s="101">
        <f t="shared" ref="D4112:D4175" ca="1" si="233">S0*EXP((μ-0.5*σ*σ)*T+σ*SQRT(T)*$C4112)</f>
        <v>0.69224272899904038</v>
      </c>
      <c r="E4112" s="101">
        <f t="shared" ref="E4112:E4175" ca="1" si="234">MAX(0,CP*(D4112-K))</f>
        <v>0</v>
      </c>
      <c r="F4112" s="21">
        <f t="shared" ref="F4112:F4175" ca="1" si="235">(CP*(D4112-K)&gt;0)*1</f>
        <v>0</v>
      </c>
      <c r="H4112" s="21">
        <v>4097</v>
      </c>
      <c r="I4112" s="102">
        <v>0.6676270312982524</v>
      </c>
      <c r="J4112" s="103">
        <v>1.195759621606894E-3</v>
      </c>
      <c r="K4112" s="103"/>
      <c r="L4112" s="103">
        <v>3.7199999999999997E-2</v>
      </c>
      <c r="O4112" s="100"/>
    </row>
    <row r="4113" spans="2:15" x14ac:dyDescent="0.2">
      <c r="B4113" s="1">
        <f t="shared" si="232"/>
        <v>4098</v>
      </c>
      <c r="C4113" s="101">
        <f ca="1"/>
        <v>0.81582872376145266</v>
      </c>
      <c r="D4113" s="101">
        <f t="shared" ca="1" si="233"/>
        <v>0.72018819729762007</v>
      </c>
      <c r="E4113" s="101">
        <f t="shared" ca="1" si="234"/>
        <v>0</v>
      </c>
      <c r="F4113" s="21">
        <f t="shared" ca="1" si="235"/>
        <v>0</v>
      </c>
      <c r="H4113" s="21">
        <v>4098</v>
      </c>
      <c r="I4113" s="102">
        <v>0.66777332107336185</v>
      </c>
      <c r="J4113" s="103">
        <v>1.2856341465800638E-3</v>
      </c>
      <c r="K4113" s="103"/>
      <c r="L4113" s="103">
        <v>3.9600000000000003E-2</v>
      </c>
      <c r="O4113" s="100"/>
    </row>
    <row r="4114" spans="2:15" x14ac:dyDescent="0.2">
      <c r="B4114" s="1">
        <f t="shared" si="232"/>
        <v>4099</v>
      </c>
      <c r="C4114" s="101">
        <f ca="1"/>
        <v>1.9901674243110818</v>
      </c>
      <c r="D4114" s="101">
        <f t="shared" ca="1" si="233"/>
        <v>0.8086376267352533</v>
      </c>
      <c r="E4114" s="101">
        <f t="shared" ca="1" si="234"/>
        <v>2.0437626735253289E-2</v>
      </c>
      <c r="F4114" s="21">
        <f t="shared" ca="1" si="235"/>
        <v>1</v>
      </c>
      <c r="H4114" s="21">
        <v>4099</v>
      </c>
      <c r="I4114" s="102">
        <v>0.66781803537541173</v>
      </c>
      <c r="J4114" s="103">
        <v>1.2962559366569602E-3</v>
      </c>
      <c r="K4114" s="103"/>
      <c r="L4114" s="103">
        <v>4.2000000000000003E-2</v>
      </c>
      <c r="O4114" s="100"/>
    </row>
    <row r="4115" spans="2:15" x14ac:dyDescent="0.2">
      <c r="B4115" s="1">
        <f t="shared" si="232"/>
        <v>4100</v>
      </c>
      <c r="C4115" s="101">
        <f ca="1"/>
        <v>0.61835502440404966</v>
      </c>
      <c r="D4115" s="101">
        <f t="shared" ca="1" si="233"/>
        <v>0.70629535190238069</v>
      </c>
      <c r="E4115" s="101">
        <f t="shared" ca="1" si="234"/>
        <v>0</v>
      </c>
      <c r="F4115" s="21">
        <f t="shared" ca="1" si="235"/>
        <v>0</v>
      </c>
      <c r="H4115" s="21">
        <v>4100</v>
      </c>
      <c r="I4115" s="102">
        <v>0.66776127222796045</v>
      </c>
      <c r="J4115" s="103">
        <v>1.5163785977172961E-3</v>
      </c>
      <c r="K4115" s="103"/>
      <c r="L4115" s="103">
        <v>4.1000000000000002E-2</v>
      </c>
      <c r="O4115" s="100"/>
    </row>
    <row r="4116" spans="2:15" x14ac:dyDescent="0.2">
      <c r="B4116" s="1">
        <f t="shared" si="232"/>
        <v>4101</v>
      </c>
      <c r="C4116" s="101">
        <f ca="1"/>
        <v>0.99047292298812428</v>
      </c>
      <c r="D4116" s="101">
        <f t="shared" ca="1" si="233"/>
        <v>0.73270245980531534</v>
      </c>
      <c r="E4116" s="101">
        <f t="shared" ca="1" si="234"/>
        <v>0</v>
      </c>
      <c r="F4116" s="21">
        <f t="shared" ca="1" si="235"/>
        <v>0</v>
      </c>
      <c r="H4116" s="21">
        <v>4101</v>
      </c>
      <c r="I4116" s="102">
        <v>0.66783806418844482</v>
      </c>
      <c r="J4116" s="103">
        <v>1.5520424517990552E-3</v>
      </c>
      <c r="K4116" s="103"/>
      <c r="L4116" s="103">
        <v>4.36E-2</v>
      </c>
      <c r="O4116" s="100"/>
    </row>
    <row r="4117" spans="2:15" x14ac:dyDescent="0.2">
      <c r="B4117" s="1">
        <f t="shared" si="232"/>
        <v>4102</v>
      </c>
      <c r="C4117" s="101">
        <f ca="1"/>
        <v>0.39990748185336622</v>
      </c>
      <c r="D4117" s="101">
        <f t="shared" ca="1" si="233"/>
        <v>0.69123893140503256</v>
      </c>
      <c r="E4117" s="101">
        <f t="shared" ca="1" si="234"/>
        <v>0</v>
      </c>
      <c r="F4117" s="21">
        <f t="shared" ca="1" si="235"/>
        <v>0</v>
      </c>
      <c r="H4117" s="21">
        <v>4102</v>
      </c>
      <c r="I4117" s="102">
        <v>0.66789504213184969</v>
      </c>
      <c r="J4117" s="103">
        <v>1.6590477676997136E-3</v>
      </c>
      <c r="K4117" s="103"/>
      <c r="L4117" s="103">
        <v>4.4600000000000001E-2</v>
      </c>
      <c r="O4117" s="100"/>
    </row>
    <row r="4118" spans="2:15" x14ac:dyDescent="0.2">
      <c r="B4118" s="1">
        <f t="shared" si="232"/>
        <v>4103</v>
      </c>
      <c r="C4118" s="101">
        <f ca="1"/>
        <v>0.77833323025432932</v>
      </c>
      <c r="D4118" s="101">
        <f t="shared" ca="1" si="233"/>
        <v>0.71752942539816289</v>
      </c>
      <c r="E4118" s="101">
        <f t="shared" ca="1" si="234"/>
        <v>0</v>
      </c>
      <c r="F4118" s="21">
        <f t="shared" ca="1" si="235"/>
        <v>0</v>
      </c>
      <c r="H4118" s="21">
        <v>4103</v>
      </c>
      <c r="I4118" s="102">
        <v>0.66777761467846597</v>
      </c>
      <c r="J4118" s="103">
        <v>1.3541441578168744E-3</v>
      </c>
      <c r="K4118" s="103"/>
      <c r="L4118" s="103">
        <v>4.3999999999999997E-2</v>
      </c>
      <c r="O4118" s="100"/>
    </row>
    <row r="4119" spans="2:15" x14ac:dyDescent="0.2">
      <c r="B4119" s="1">
        <f t="shared" si="232"/>
        <v>4104</v>
      </c>
      <c r="C4119" s="101">
        <f ca="1"/>
        <v>-0.71815938987744299</v>
      </c>
      <c r="D4119" s="101">
        <f t="shared" ca="1" si="233"/>
        <v>0.61905736481039142</v>
      </c>
      <c r="E4119" s="101">
        <f t="shared" ca="1" si="234"/>
        <v>0</v>
      </c>
      <c r="F4119" s="21">
        <f t="shared" ca="1" si="235"/>
        <v>0</v>
      </c>
      <c r="H4119" s="21">
        <v>4104</v>
      </c>
      <c r="I4119" s="102">
        <v>0.66782137530944896</v>
      </c>
      <c r="J4119" s="103">
        <v>1.5889692888501428E-3</v>
      </c>
      <c r="K4119" s="103"/>
      <c r="L4119" s="103">
        <v>4.2000000000000003E-2</v>
      </c>
      <c r="O4119" s="100"/>
    </row>
    <row r="4120" spans="2:15" x14ac:dyDescent="0.2">
      <c r="B4120" s="1">
        <f t="shared" si="232"/>
        <v>4105</v>
      </c>
      <c r="C4120" s="101">
        <f ca="1"/>
        <v>1.6621394407851695</v>
      </c>
      <c r="D4120" s="101">
        <f t="shared" ca="1" si="233"/>
        <v>0.78289123173668407</v>
      </c>
      <c r="E4120" s="101">
        <f t="shared" ca="1" si="234"/>
        <v>0</v>
      </c>
      <c r="F4120" s="21">
        <f t="shared" ca="1" si="235"/>
        <v>0</v>
      </c>
      <c r="H4120" s="21">
        <v>4105</v>
      </c>
      <c r="I4120" s="102">
        <v>0.66757475285355883</v>
      </c>
      <c r="J4120" s="103">
        <v>1.2659557399236354E-3</v>
      </c>
      <c r="K4120" s="103"/>
      <c r="L4120" s="103">
        <v>3.6400000000000002E-2</v>
      </c>
      <c r="O4120" s="100"/>
    </row>
    <row r="4121" spans="2:15" x14ac:dyDescent="0.2">
      <c r="B4121" s="1">
        <f t="shared" si="232"/>
        <v>4106</v>
      </c>
      <c r="C4121" s="101">
        <f ca="1"/>
        <v>-0.24027494486442413</v>
      </c>
      <c r="D4121" s="101">
        <f t="shared" ca="1" si="233"/>
        <v>0.64893794575989205</v>
      </c>
      <c r="E4121" s="101">
        <f t="shared" ca="1" si="234"/>
        <v>0</v>
      </c>
      <c r="F4121" s="21">
        <f t="shared" ca="1" si="235"/>
        <v>0</v>
      </c>
      <c r="H4121" s="21">
        <v>4106</v>
      </c>
      <c r="I4121" s="102">
        <v>0.66782784720319077</v>
      </c>
      <c r="J4121" s="103">
        <v>1.442865116623759E-3</v>
      </c>
      <c r="K4121" s="103"/>
      <c r="L4121" s="103">
        <v>4.3799999999999999E-2</v>
      </c>
      <c r="O4121" s="100"/>
    </row>
    <row r="4122" spans="2:15" x14ac:dyDescent="0.2">
      <c r="B4122" s="1">
        <f t="shared" si="232"/>
        <v>4107</v>
      </c>
      <c r="C4122" s="101">
        <f ca="1"/>
        <v>-0.48181922608866468</v>
      </c>
      <c r="D4122" s="101">
        <f t="shared" ca="1" si="233"/>
        <v>0.63365893282435448</v>
      </c>
      <c r="E4122" s="101">
        <f t="shared" ca="1" si="234"/>
        <v>0</v>
      </c>
      <c r="F4122" s="21">
        <f t="shared" ca="1" si="235"/>
        <v>0</v>
      </c>
      <c r="H4122" s="21">
        <v>4107</v>
      </c>
      <c r="I4122" s="102">
        <v>0.66774507893765145</v>
      </c>
      <c r="J4122" s="103">
        <v>1.1913032016830955E-3</v>
      </c>
      <c r="K4122" s="103"/>
      <c r="L4122" s="103">
        <v>4.3200000000000002E-2</v>
      </c>
      <c r="O4122" s="100"/>
    </row>
    <row r="4123" spans="2:15" x14ac:dyDescent="0.2">
      <c r="B4123" s="1">
        <f t="shared" si="232"/>
        <v>4108</v>
      </c>
      <c r="C4123" s="101">
        <f ca="1"/>
        <v>1.3706049609959168</v>
      </c>
      <c r="D4123" s="101">
        <f t="shared" ca="1" si="233"/>
        <v>0.76069799520189785</v>
      </c>
      <c r="E4123" s="101">
        <f t="shared" ca="1" si="234"/>
        <v>0</v>
      </c>
      <c r="F4123" s="21">
        <f t="shared" ca="1" si="235"/>
        <v>0</v>
      </c>
      <c r="H4123" s="21">
        <v>4108</v>
      </c>
      <c r="I4123" s="102">
        <v>0.66777194853930866</v>
      </c>
      <c r="J4123" s="103">
        <v>1.3430450467677138E-3</v>
      </c>
      <c r="K4123" s="103"/>
      <c r="L4123" s="103">
        <v>4.2599999999999999E-2</v>
      </c>
      <c r="O4123" s="100"/>
    </row>
    <row r="4124" spans="2:15" x14ac:dyDescent="0.2">
      <c r="B4124" s="1">
        <f t="shared" si="232"/>
        <v>4109</v>
      </c>
      <c r="C4124" s="101">
        <f ca="1"/>
        <v>-0.51299062035882115</v>
      </c>
      <c r="D4124" s="101">
        <f t="shared" ca="1" si="233"/>
        <v>0.63171355849825661</v>
      </c>
      <c r="E4124" s="101">
        <f t="shared" ca="1" si="234"/>
        <v>0</v>
      </c>
      <c r="F4124" s="21">
        <f t="shared" ca="1" si="235"/>
        <v>0</v>
      </c>
      <c r="H4124" s="21">
        <v>4109</v>
      </c>
      <c r="I4124" s="102">
        <v>0.66767529570647743</v>
      </c>
      <c r="J4124" s="103">
        <v>1.3381467314821809E-3</v>
      </c>
      <c r="K4124" s="103"/>
      <c r="L4124" s="103">
        <v>3.9399999999999998E-2</v>
      </c>
      <c r="O4124" s="100"/>
    </row>
    <row r="4125" spans="2:15" x14ac:dyDescent="0.2">
      <c r="B4125" s="1">
        <f t="shared" si="232"/>
        <v>4110</v>
      </c>
      <c r="C4125" s="101">
        <f ca="1"/>
        <v>1.1444945476278696</v>
      </c>
      <c r="D4125" s="101">
        <f t="shared" ca="1" si="233"/>
        <v>0.74391932557792995</v>
      </c>
      <c r="E4125" s="101">
        <f t="shared" ca="1" si="234"/>
        <v>0</v>
      </c>
      <c r="F4125" s="21">
        <f t="shared" ca="1" si="235"/>
        <v>0</v>
      </c>
      <c r="H4125" s="21">
        <v>4110</v>
      </c>
      <c r="I4125" s="102">
        <v>0.66766785929207162</v>
      </c>
      <c r="J4125" s="103">
        <v>1.2814069610691851E-3</v>
      </c>
      <c r="K4125" s="103"/>
      <c r="L4125" s="103">
        <v>4.24E-2</v>
      </c>
      <c r="O4125" s="100"/>
    </row>
    <row r="4126" spans="2:15" x14ac:dyDescent="0.2">
      <c r="B4126" s="1">
        <f t="shared" si="232"/>
        <v>4111</v>
      </c>
      <c r="C4126" s="101">
        <f ca="1"/>
        <v>0.64027220766607196</v>
      </c>
      <c r="D4126" s="101">
        <f t="shared" ca="1" si="233"/>
        <v>0.7078239718823347</v>
      </c>
      <c r="E4126" s="101">
        <f t="shared" ca="1" si="234"/>
        <v>0</v>
      </c>
      <c r="F4126" s="21">
        <f t="shared" ca="1" si="235"/>
        <v>0</v>
      </c>
      <c r="H4126" s="21">
        <v>4111</v>
      </c>
      <c r="I4126" s="102">
        <v>0.66767461489676982</v>
      </c>
      <c r="J4126" s="103">
        <v>1.3050813135068856E-3</v>
      </c>
      <c r="K4126" s="103"/>
      <c r="L4126" s="103">
        <v>3.6999999999999998E-2</v>
      </c>
      <c r="O4126" s="100"/>
    </row>
    <row r="4127" spans="2:15" x14ac:dyDescent="0.2">
      <c r="B4127" s="1">
        <f t="shared" si="232"/>
        <v>4112</v>
      </c>
      <c r="C4127" s="101">
        <f ca="1"/>
        <v>3.0488572142085935</v>
      </c>
      <c r="D4127" s="101">
        <f t="shared" ca="1" si="233"/>
        <v>0.89765109194265602</v>
      </c>
      <c r="E4127" s="101">
        <f t="shared" ca="1" si="234"/>
        <v>0.10945109194265601</v>
      </c>
      <c r="F4127" s="21">
        <f t="shared" ca="1" si="235"/>
        <v>1</v>
      </c>
      <c r="H4127" s="21">
        <v>4112</v>
      </c>
      <c r="I4127" s="102">
        <v>0.66789462763076535</v>
      </c>
      <c r="J4127" s="103">
        <v>1.5192323041961857E-3</v>
      </c>
      <c r="K4127" s="103"/>
      <c r="L4127" s="103">
        <v>4.7399999999999998E-2</v>
      </c>
      <c r="O4127" s="100"/>
    </row>
    <row r="4128" spans="2:15" x14ac:dyDescent="0.2">
      <c r="B4128" s="1">
        <f t="shared" si="232"/>
        <v>4113</v>
      </c>
      <c r="C4128" s="101">
        <f ca="1"/>
        <v>-4.5761615871737361E-2</v>
      </c>
      <c r="D4128" s="101">
        <f t="shared" ca="1" si="233"/>
        <v>0.661509370919526</v>
      </c>
      <c r="E4128" s="101">
        <f t="shared" ca="1" si="234"/>
        <v>0</v>
      </c>
      <c r="F4128" s="21">
        <f t="shared" ca="1" si="235"/>
        <v>0</v>
      </c>
      <c r="H4128" s="21">
        <v>4113</v>
      </c>
      <c r="I4128" s="102">
        <v>0.66770992555934905</v>
      </c>
      <c r="J4128" s="103">
        <v>1.3402613432202813E-3</v>
      </c>
      <c r="K4128" s="103"/>
      <c r="L4128" s="103">
        <v>4.1599999999999998E-2</v>
      </c>
      <c r="O4128" s="100"/>
    </row>
    <row r="4129" spans="2:15" x14ac:dyDescent="0.2">
      <c r="B4129" s="1">
        <f t="shared" si="232"/>
        <v>4114</v>
      </c>
      <c r="C4129" s="101">
        <f ca="1"/>
        <v>0.39934748657408037</v>
      </c>
      <c r="D4129" s="101">
        <f t="shared" ca="1" si="233"/>
        <v>0.69120074933570197</v>
      </c>
      <c r="E4129" s="101">
        <f t="shared" ca="1" si="234"/>
        <v>0</v>
      </c>
      <c r="F4129" s="21">
        <f t="shared" ca="1" si="235"/>
        <v>0</v>
      </c>
      <c r="H4129" s="21">
        <v>4114</v>
      </c>
      <c r="I4129" s="102">
        <v>0.66777268131624878</v>
      </c>
      <c r="J4129" s="103">
        <v>1.4479344555310236E-3</v>
      </c>
      <c r="K4129" s="103"/>
      <c r="L4129" s="103">
        <v>4.1000000000000002E-2</v>
      </c>
      <c r="O4129" s="100"/>
    </row>
    <row r="4130" spans="2:15" x14ac:dyDescent="0.2">
      <c r="B4130" s="1">
        <f t="shared" si="232"/>
        <v>4115</v>
      </c>
      <c r="C4130" s="101">
        <f ca="1"/>
        <v>-4.2864774862518377E-2</v>
      </c>
      <c r="D4130" s="101">
        <f t="shared" ca="1" si="233"/>
        <v>0.66169842306584969</v>
      </c>
      <c r="E4130" s="101">
        <f t="shared" ca="1" si="234"/>
        <v>0</v>
      </c>
      <c r="F4130" s="21">
        <f t="shared" ca="1" si="235"/>
        <v>0</v>
      </c>
      <c r="H4130" s="21">
        <v>4115</v>
      </c>
      <c r="I4130" s="102">
        <v>0.66789652345359918</v>
      </c>
      <c r="J4130" s="103">
        <v>1.5327574285560733E-3</v>
      </c>
      <c r="K4130" s="103"/>
      <c r="L4130" s="103">
        <v>4.6800000000000001E-2</v>
      </c>
      <c r="O4130" s="100"/>
    </row>
    <row r="4131" spans="2:15" x14ac:dyDescent="0.2">
      <c r="B4131" s="1">
        <f t="shared" si="232"/>
        <v>4116</v>
      </c>
      <c r="C4131" s="101">
        <f ca="1"/>
        <v>-0.6994951390391313</v>
      </c>
      <c r="D4131" s="101">
        <f t="shared" ca="1" si="233"/>
        <v>0.62019814035315279</v>
      </c>
      <c r="E4131" s="101">
        <f t="shared" ca="1" si="234"/>
        <v>0</v>
      </c>
      <c r="F4131" s="21">
        <f t="shared" ca="1" si="235"/>
        <v>0</v>
      </c>
      <c r="H4131" s="21">
        <v>4116</v>
      </c>
      <c r="I4131" s="102">
        <v>0.66776609295082512</v>
      </c>
      <c r="J4131" s="103">
        <v>1.4106143634142381E-3</v>
      </c>
      <c r="K4131" s="103"/>
      <c r="L4131" s="103">
        <v>4.3200000000000002E-2</v>
      </c>
      <c r="O4131" s="100"/>
    </row>
    <row r="4132" spans="2:15" x14ac:dyDescent="0.2">
      <c r="B4132" s="1">
        <f t="shared" si="232"/>
        <v>4117</v>
      </c>
      <c r="C4132" s="101">
        <f ca="1"/>
        <v>8.7664249036598474E-2</v>
      </c>
      <c r="D4132" s="101">
        <f t="shared" ca="1" si="233"/>
        <v>0.67027324246903386</v>
      </c>
      <c r="E4132" s="101">
        <f t="shared" ca="1" si="234"/>
        <v>0</v>
      </c>
      <c r="F4132" s="21">
        <f t="shared" ca="1" si="235"/>
        <v>0</v>
      </c>
      <c r="H4132" s="21">
        <v>4117</v>
      </c>
      <c r="I4132" s="102">
        <v>0.66763441404122237</v>
      </c>
      <c r="J4132" s="103">
        <v>1.1905323100421614E-3</v>
      </c>
      <c r="K4132" s="103"/>
      <c r="L4132" s="103">
        <v>4.1000000000000002E-2</v>
      </c>
      <c r="O4132" s="100"/>
    </row>
    <row r="4133" spans="2:15" x14ac:dyDescent="0.2">
      <c r="B4133" s="1">
        <f t="shared" si="232"/>
        <v>4118</v>
      </c>
      <c r="C4133" s="101">
        <f ca="1"/>
        <v>0.64141310149468089</v>
      </c>
      <c r="D4133" s="101">
        <f t="shared" ca="1" si="233"/>
        <v>0.70790363436485937</v>
      </c>
      <c r="E4133" s="101">
        <f t="shared" ca="1" si="234"/>
        <v>0</v>
      </c>
      <c r="F4133" s="21">
        <f t="shared" ca="1" si="235"/>
        <v>0</v>
      </c>
      <c r="H4133" s="21">
        <v>4118</v>
      </c>
      <c r="I4133" s="102">
        <v>0.66768975816653742</v>
      </c>
      <c r="J4133" s="103">
        <v>1.3251948262620451E-3</v>
      </c>
      <c r="K4133" s="103"/>
      <c r="L4133" s="103">
        <v>3.6999999999999998E-2</v>
      </c>
      <c r="O4133" s="100"/>
    </row>
    <row r="4134" spans="2:15" x14ac:dyDescent="0.2">
      <c r="B4134" s="1">
        <f t="shared" si="232"/>
        <v>4119</v>
      </c>
      <c r="C4134" s="101">
        <f ca="1"/>
        <v>-0.43729845358381381</v>
      </c>
      <c r="D4134" s="101">
        <f t="shared" ca="1" si="233"/>
        <v>0.63644782114711773</v>
      </c>
      <c r="E4134" s="101">
        <f t="shared" ca="1" si="234"/>
        <v>0</v>
      </c>
      <c r="F4134" s="21">
        <f t="shared" ca="1" si="235"/>
        <v>0</v>
      </c>
      <c r="H4134" s="21">
        <v>4119</v>
      </c>
      <c r="I4134" s="102">
        <v>0.66776844509335209</v>
      </c>
      <c r="J4134" s="103">
        <v>1.4541242532540555E-3</v>
      </c>
      <c r="K4134" s="103"/>
      <c r="L4134" s="103">
        <v>4.1599999999999998E-2</v>
      </c>
      <c r="O4134" s="100"/>
    </row>
    <row r="4135" spans="2:15" x14ac:dyDescent="0.2">
      <c r="B4135" s="1">
        <f t="shared" si="232"/>
        <v>4120</v>
      </c>
      <c r="C4135" s="101">
        <f ca="1"/>
        <v>-1.6532585471249122</v>
      </c>
      <c r="D4135" s="101">
        <f t="shared" ca="1" si="233"/>
        <v>0.56451023875004136</v>
      </c>
      <c r="E4135" s="101">
        <f t="shared" ca="1" si="234"/>
        <v>0</v>
      </c>
      <c r="F4135" s="21">
        <f t="shared" ca="1" si="235"/>
        <v>0</v>
      </c>
      <c r="H4135" s="21">
        <v>4120</v>
      </c>
      <c r="I4135" s="102">
        <v>0.66777194309083154</v>
      </c>
      <c r="J4135" s="103">
        <v>1.3508413441472374E-3</v>
      </c>
      <c r="K4135" s="103"/>
      <c r="L4135" s="103">
        <v>4.48E-2</v>
      </c>
      <c r="O4135" s="100"/>
    </row>
    <row r="4136" spans="2:15" x14ac:dyDescent="0.2">
      <c r="B4136" s="1">
        <f t="shared" si="232"/>
        <v>4121</v>
      </c>
      <c r="C4136" s="101">
        <f ca="1"/>
        <v>1.9231098866900432E-2</v>
      </c>
      <c r="D4136" s="101">
        <f t="shared" ca="1" si="233"/>
        <v>0.6657639093103167</v>
      </c>
      <c r="E4136" s="101">
        <f t="shared" ca="1" si="234"/>
        <v>0</v>
      </c>
      <c r="F4136" s="21">
        <f t="shared" ca="1" si="235"/>
        <v>0</v>
      </c>
      <c r="H4136" s="21">
        <v>4121</v>
      </c>
      <c r="I4136" s="102">
        <v>0.6677806421308432</v>
      </c>
      <c r="J4136" s="103">
        <v>1.5283101639706807E-3</v>
      </c>
      <c r="K4136" s="103"/>
      <c r="L4136" s="103">
        <v>4.2799999999999998E-2</v>
      </c>
      <c r="O4136" s="100"/>
    </row>
    <row r="4137" spans="2:15" x14ac:dyDescent="0.2">
      <c r="B4137" s="1">
        <f t="shared" si="232"/>
        <v>4122</v>
      </c>
      <c r="C4137" s="101">
        <f ca="1"/>
        <v>-7.1733507842927438E-2</v>
      </c>
      <c r="D4137" s="101">
        <f t="shared" ca="1" si="233"/>
        <v>0.65981681783712165</v>
      </c>
      <c r="E4137" s="101">
        <f t="shared" ca="1" si="234"/>
        <v>0</v>
      </c>
      <c r="F4137" s="21">
        <f t="shared" ca="1" si="235"/>
        <v>0</v>
      </c>
      <c r="H4137" s="21">
        <v>4122</v>
      </c>
      <c r="I4137" s="102">
        <v>0.66767408667001726</v>
      </c>
      <c r="J4137" s="103">
        <v>1.30647648731218E-3</v>
      </c>
      <c r="K4137" s="103"/>
      <c r="L4137" s="103">
        <v>4.1399999999999999E-2</v>
      </c>
      <c r="O4137" s="100"/>
    </row>
    <row r="4138" spans="2:15" x14ac:dyDescent="0.2">
      <c r="B4138" s="1">
        <f t="shared" si="232"/>
        <v>4123</v>
      </c>
      <c r="C4138" s="101">
        <f ca="1"/>
        <v>-0.57076830134708934</v>
      </c>
      <c r="D4138" s="101">
        <f t="shared" ca="1" si="233"/>
        <v>0.62812349431262393</v>
      </c>
      <c r="E4138" s="101">
        <f t="shared" ca="1" si="234"/>
        <v>0</v>
      </c>
      <c r="F4138" s="21">
        <f t="shared" ca="1" si="235"/>
        <v>0</v>
      </c>
      <c r="H4138" s="21">
        <v>4123</v>
      </c>
      <c r="I4138" s="102">
        <v>0.66771038986602205</v>
      </c>
      <c r="J4138" s="103">
        <v>1.3426540738351637E-3</v>
      </c>
      <c r="K4138" s="103"/>
      <c r="L4138" s="103">
        <v>4.2599999999999999E-2</v>
      </c>
      <c r="O4138" s="100"/>
    </row>
    <row r="4139" spans="2:15" x14ac:dyDescent="0.2">
      <c r="B4139" s="1">
        <f t="shared" si="232"/>
        <v>4124</v>
      </c>
      <c r="C4139" s="101">
        <f ca="1"/>
        <v>-0.8040996530493939</v>
      </c>
      <c r="D4139" s="101">
        <f t="shared" ca="1" si="233"/>
        <v>0.61383163488253567</v>
      </c>
      <c r="E4139" s="101">
        <f t="shared" ca="1" si="234"/>
        <v>0</v>
      </c>
      <c r="F4139" s="21">
        <f t="shared" ca="1" si="235"/>
        <v>0</v>
      </c>
      <c r="H4139" s="21">
        <v>4124</v>
      </c>
      <c r="I4139" s="102">
        <v>0.66764552588355808</v>
      </c>
      <c r="J4139" s="103">
        <v>1.190239033825601E-3</v>
      </c>
      <c r="K4139" s="103"/>
      <c r="L4139" s="103">
        <v>3.7400000000000003E-2</v>
      </c>
      <c r="O4139" s="100"/>
    </row>
    <row r="4140" spans="2:15" x14ac:dyDescent="0.2">
      <c r="B4140" s="1">
        <f t="shared" si="232"/>
        <v>4125</v>
      </c>
      <c r="C4140" s="101">
        <f ca="1"/>
        <v>-0.3907054055792048</v>
      </c>
      <c r="D4140" s="101">
        <f t="shared" ca="1" si="233"/>
        <v>0.63937966757237064</v>
      </c>
      <c r="E4140" s="101">
        <f t="shared" ca="1" si="234"/>
        <v>0</v>
      </c>
      <c r="F4140" s="21">
        <f t="shared" ca="1" si="235"/>
        <v>0</v>
      </c>
      <c r="H4140" s="21">
        <v>4125</v>
      </c>
      <c r="I4140" s="102">
        <v>0.66770894121239566</v>
      </c>
      <c r="J4140" s="103">
        <v>1.312618381053835E-3</v>
      </c>
      <c r="K4140" s="103"/>
      <c r="L4140" s="103">
        <v>3.8800000000000001E-2</v>
      </c>
      <c r="O4140" s="100"/>
    </row>
    <row r="4141" spans="2:15" x14ac:dyDescent="0.2">
      <c r="B4141" s="1">
        <f t="shared" si="232"/>
        <v>4126</v>
      </c>
      <c r="C4141" s="101">
        <f ca="1"/>
        <v>-0.3735888439697716</v>
      </c>
      <c r="D4141" s="101">
        <f t="shared" ca="1" si="233"/>
        <v>0.64046010826545607</v>
      </c>
      <c r="E4141" s="101">
        <f t="shared" ca="1" si="234"/>
        <v>0</v>
      </c>
      <c r="F4141" s="21">
        <f t="shared" ca="1" si="235"/>
        <v>0</v>
      </c>
      <c r="H4141" s="21">
        <v>4126</v>
      </c>
      <c r="I4141" s="102">
        <v>0.66760439513695558</v>
      </c>
      <c r="J4141" s="103">
        <v>1.3293306408878652E-3</v>
      </c>
      <c r="K4141" s="103"/>
      <c r="L4141" s="103">
        <v>3.6799999999999999E-2</v>
      </c>
      <c r="O4141" s="100"/>
    </row>
    <row r="4142" spans="2:15" x14ac:dyDescent="0.2">
      <c r="B4142" s="1">
        <f t="shared" si="232"/>
        <v>4127</v>
      </c>
      <c r="C4142" s="101">
        <f ca="1"/>
        <v>0.48274757022166531</v>
      </c>
      <c r="D4142" s="101">
        <f t="shared" ca="1" si="233"/>
        <v>0.69691050094961027</v>
      </c>
      <c r="E4142" s="101">
        <f t="shared" ca="1" si="234"/>
        <v>0</v>
      </c>
      <c r="F4142" s="21">
        <f t="shared" ca="1" si="235"/>
        <v>0</v>
      </c>
      <c r="H4142" s="21">
        <v>4127</v>
      </c>
      <c r="I4142" s="102">
        <v>0.66796142392972535</v>
      </c>
      <c r="J4142" s="103">
        <v>1.6431829477218289E-3</v>
      </c>
      <c r="K4142" s="103"/>
      <c r="L4142" s="103">
        <v>4.4400000000000002E-2</v>
      </c>
      <c r="O4142" s="100"/>
    </row>
    <row r="4143" spans="2:15" x14ac:dyDescent="0.2">
      <c r="B4143" s="1">
        <f t="shared" si="232"/>
        <v>4128</v>
      </c>
      <c r="C4143" s="101">
        <f ca="1"/>
        <v>-0.41914720959022556</v>
      </c>
      <c r="D4143" s="101">
        <f t="shared" ca="1" si="233"/>
        <v>0.6375883780347239</v>
      </c>
      <c r="E4143" s="101">
        <f t="shared" ca="1" si="234"/>
        <v>0</v>
      </c>
      <c r="F4143" s="21">
        <f t="shared" ca="1" si="235"/>
        <v>0</v>
      </c>
      <c r="H4143" s="21">
        <v>4128</v>
      </c>
      <c r="I4143" s="102">
        <v>0.66773184609628444</v>
      </c>
      <c r="J4143" s="103">
        <v>1.2826602088270706E-3</v>
      </c>
      <c r="K4143" s="103"/>
      <c r="L4143" s="103">
        <v>4.0399999999999998E-2</v>
      </c>
      <c r="O4143" s="100"/>
    </row>
    <row r="4144" spans="2:15" x14ac:dyDescent="0.2">
      <c r="B4144" s="1">
        <f t="shared" ref="B4144:B4207" si="236">B4143+1</f>
        <v>4129</v>
      </c>
      <c r="C4144" s="101">
        <f ca="1"/>
        <v>-0.31232309351322224</v>
      </c>
      <c r="D4144" s="101">
        <f t="shared" ca="1" si="233"/>
        <v>0.64434234216135244</v>
      </c>
      <c r="E4144" s="101">
        <f t="shared" ca="1" si="234"/>
        <v>0</v>
      </c>
      <c r="F4144" s="21">
        <f t="shared" ca="1" si="235"/>
        <v>0</v>
      </c>
      <c r="H4144" s="21">
        <v>4129</v>
      </c>
      <c r="I4144" s="102">
        <v>0.66770016883849292</v>
      </c>
      <c r="J4144" s="103">
        <v>1.3386428065393266E-3</v>
      </c>
      <c r="K4144" s="103"/>
      <c r="L4144" s="103">
        <v>4.1399999999999999E-2</v>
      </c>
      <c r="O4144" s="100"/>
    </row>
    <row r="4145" spans="2:15" x14ac:dyDescent="0.2">
      <c r="B4145" s="1">
        <f t="shared" si="236"/>
        <v>4130</v>
      </c>
      <c r="C4145" s="101">
        <f ca="1"/>
        <v>-0.25244403115616498</v>
      </c>
      <c r="D4145" s="101">
        <f t="shared" ca="1" si="233"/>
        <v>0.64815944433989969</v>
      </c>
      <c r="E4145" s="101">
        <f t="shared" ca="1" si="234"/>
        <v>0</v>
      </c>
      <c r="F4145" s="21">
        <f t="shared" ca="1" si="235"/>
        <v>0</v>
      </c>
      <c r="H4145" s="21">
        <v>4130</v>
      </c>
      <c r="I4145" s="102">
        <v>0.66769614130203125</v>
      </c>
      <c r="J4145" s="103">
        <v>1.2856564979538249E-3</v>
      </c>
      <c r="K4145" s="103"/>
      <c r="L4145" s="103">
        <v>4.2599999999999999E-2</v>
      </c>
      <c r="O4145" s="100"/>
    </row>
    <row r="4146" spans="2:15" x14ac:dyDescent="0.2">
      <c r="B4146" s="1">
        <f t="shared" si="236"/>
        <v>4131</v>
      </c>
      <c r="C4146" s="101">
        <f ca="1"/>
        <v>1.4234414551220376</v>
      </c>
      <c r="D4146" s="101">
        <f t="shared" ca="1" si="233"/>
        <v>0.76467299763062491</v>
      </c>
      <c r="E4146" s="101">
        <f t="shared" ca="1" si="234"/>
        <v>0</v>
      </c>
      <c r="F4146" s="21">
        <f t="shared" ca="1" si="235"/>
        <v>0</v>
      </c>
      <c r="H4146" s="21">
        <v>4131</v>
      </c>
      <c r="I4146" s="102">
        <v>0.66786693198829539</v>
      </c>
      <c r="J4146" s="103">
        <v>1.5205728647329348E-3</v>
      </c>
      <c r="K4146" s="103"/>
      <c r="L4146" s="103">
        <v>4.3799999999999999E-2</v>
      </c>
      <c r="O4146" s="100"/>
    </row>
    <row r="4147" spans="2:15" x14ac:dyDescent="0.2">
      <c r="B4147" s="1">
        <f t="shared" si="236"/>
        <v>4132</v>
      </c>
      <c r="C4147" s="101">
        <f ca="1"/>
        <v>-1.4239401046521155E-2</v>
      </c>
      <c r="D4147" s="101">
        <f t="shared" ca="1" si="233"/>
        <v>0.66356946472843847</v>
      </c>
      <c r="E4147" s="101">
        <f t="shared" ca="1" si="234"/>
        <v>0</v>
      </c>
      <c r="F4147" s="21">
        <f t="shared" ca="1" si="235"/>
        <v>0</v>
      </c>
      <c r="H4147" s="21">
        <v>4132</v>
      </c>
      <c r="I4147" s="102">
        <v>0.6677287896564138</v>
      </c>
      <c r="J4147" s="103">
        <v>1.3192020659081852E-3</v>
      </c>
      <c r="K4147" s="103"/>
      <c r="L4147" s="103">
        <v>4.2799999999999998E-2</v>
      </c>
      <c r="O4147" s="100"/>
    </row>
    <row r="4148" spans="2:15" x14ac:dyDescent="0.2">
      <c r="B4148" s="1">
        <f t="shared" si="236"/>
        <v>4133</v>
      </c>
      <c r="C4148" s="101">
        <f ca="1"/>
        <v>0.17749201381997284</v>
      </c>
      <c r="D4148" s="101">
        <f t="shared" ca="1" si="233"/>
        <v>0.6762387428818244</v>
      </c>
      <c r="E4148" s="101">
        <f t="shared" ca="1" si="234"/>
        <v>0</v>
      </c>
      <c r="F4148" s="21">
        <f t="shared" ca="1" si="235"/>
        <v>0</v>
      </c>
      <c r="H4148" s="21">
        <v>4133</v>
      </c>
      <c r="I4148" s="102">
        <v>0.66792847000500577</v>
      </c>
      <c r="J4148" s="103">
        <v>1.6237717147193067E-3</v>
      </c>
      <c r="K4148" s="103"/>
      <c r="L4148" s="103">
        <v>5.0799999999999998E-2</v>
      </c>
      <c r="O4148" s="100"/>
    </row>
    <row r="4149" spans="2:15" x14ac:dyDescent="0.2">
      <c r="B4149" s="1">
        <f t="shared" si="236"/>
        <v>4134</v>
      </c>
      <c r="C4149" s="101">
        <f ca="1"/>
        <v>-0.85383191848679607</v>
      </c>
      <c r="D4149" s="101">
        <f t="shared" ca="1" si="233"/>
        <v>0.61082776168329611</v>
      </c>
      <c r="E4149" s="101">
        <f t="shared" ca="1" si="234"/>
        <v>0</v>
      </c>
      <c r="F4149" s="21">
        <f t="shared" ca="1" si="235"/>
        <v>0</v>
      </c>
      <c r="H4149" s="21">
        <v>4134</v>
      </c>
      <c r="I4149" s="102">
        <v>0.66771603266673007</v>
      </c>
      <c r="J4149" s="103">
        <v>1.2267822271775873E-3</v>
      </c>
      <c r="K4149" s="103"/>
      <c r="L4149" s="103">
        <v>3.8199999999999998E-2</v>
      </c>
      <c r="O4149" s="100"/>
    </row>
    <row r="4150" spans="2:15" x14ac:dyDescent="0.2">
      <c r="B4150" s="1">
        <f t="shared" si="236"/>
        <v>4135</v>
      </c>
      <c r="C4150" s="101">
        <f ca="1"/>
        <v>0.10293453615388476</v>
      </c>
      <c r="D4150" s="101">
        <f t="shared" ca="1" si="233"/>
        <v>0.67128362333224401</v>
      </c>
      <c r="E4150" s="101">
        <f t="shared" ca="1" si="234"/>
        <v>0</v>
      </c>
      <c r="F4150" s="21">
        <f t="shared" ca="1" si="235"/>
        <v>0</v>
      </c>
      <c r="H4150" s="21">
        <v>4135</v>
      </c>
      <c r="I4150" s="102">
        <v>0.66760356421163336</v>
      </c>
      <c r="J4150" s="103">
        <v>1.1385215270529193E-3</v>
      </c>
      <c r="K4150" s="103"/>
      <c r="L4150" s="103">
        <v>0.04</v>
      </c>
      <c r="O4150" s="100"/>
    </row>
    <row r="4151" spans="2:15" x14ac:dyDescent="0.2">
      <c r="B4151" s="1">
        <f t="shared" si="236"/>
        <v>4136</v>
      </c>
      <c r="C4151" s="101">
        <f ca="1"/>
        <v>-0.35458483128064544</v>
      </c>
      <c r="D4151" s="101">
        <f t="shared" ca="1" si="233"/>
        <v>0.64166182862902799</v>
      </c>
      <c r="E4151" s="101">
        <f t="shared" ca="1" si="234"/>
        <v>0</v>
      </c>
      <c r="F4151" s="21">
        <f t="shared" ca="1" si="235"/>
        <v>0</v>
      </c>
      <c r="H4151" s="21">
        <v>4136</v>
      </c>
      <c r="I4151" s="102">
        <v>0.66780262181310801</v>
      </c>
      <c r="J4151" s="103">
        <v>1.4620666535450739E-3</v>
      </c>
      <c r="K4151" s="103"/>
      <c r="L4151" s="103">
        <v>4.2599999999999999E-2</v>
      </c>
      <c r="O4151" s="100"/>
    </row>
    <row r="4152" spans="2:15" x14ac:dyDescent="0.2">
      <c r="B4152" s="1">
        <f t="shared" si="236"/>
        <v>4137</v>
      </c>
      <c r="C4152" s="101">
        <f ca="1"/>
        <v>-0.27997198529322176</v>
      </c>
      <c r="D4152" s="101">
        <f t="shared" ca="1" si="233"/>
        <v>0.64640182354024078</v>
      </c>
      <c r="E4152" s="101">
        <f t="shared" ca="1" si="234"/>
        <v>0</v>
      </c>
      <c r="F4152" s="21">
        <f t="shared" ca="1" si="235"/>
        <v>0</v>
      </c>
      <c r="H4152" s="21">
        <v>4137</v>
      </c>
      <c r="I4152" s="102">
        <v>0.66777346793751324</v>
      </c>
      <c r="J4152" s="103">
        <v>1.487056703108002E-3</v>
      </c>
      <c r="K4152" s="103"/>
      <c r="L4152" s="103">
        <v>4.2599999999999999E-2</v>
      </c>
      <c r="O4152" s="100"/>
    </row>
    <row r="4153" spans="2:15" x14ac:dyDescent="0.2">
      <c r="B4153" s="1">
        <f t="shared" si="236"/>
        <v>4138</v>
      </c>
      <c r="C4153" s="101">
        <f ca="1"/>
        <v>0.41834671505605875</v>
      </c>
      <c r="D4153" s="101">
        <f t="shared" ca="1" si="233"/>
        <v>0.69249734954589526</v>
      </c>
      <c r="E4153" s="101">
        <f t="shared" ca="1" si="234"/>
        <v>0</v>
      </c>
      <c r="F4153" s="21">
        <f t="shared" ca="1" si="235"/>
        <v>0</v>
      </c>
      <c r="H4153" s="21">
        <v>4138</v>
      </c>
      <c r="I4153" s="102">
        <v>0.66765862596436731</v>
      </c>
      <c r="J4153" s="103">
        <v>1.3479776455806482E-3</v>
      </c>
      <c r="K4153" s="103"/>
      <c r="L4153" s="103">
        <v>4.0599999999999997E-2</v>
      </c>
      <c r="O4153" s="100"/>
    </row>
    <row r="4154" spans="2:15" x14ac:dyDescent="0.2">
      <c r="B4154" s="1">
        <f t="shared" si="236"/>
        <v>4139</v>
      </c>
      <c r="C4154" s="101">
        <f ca="1"/>
        <v>-0.39495360373982813</v>
      </c>
      <c r="D4154" s="101">
        <f t="shared" ca="1" si="233"/>
        <v>0.63911179299627385</v>
      </c>
      <c r="E4154" s="101">
        <f t="shared" ca="1" si="234"/>
        <v>0</v>
      </c>
      <c r="F4154" s="21">
        <f t="shared" ca="1" si="235"/>
        <v>0</v>
      </c>
      <c r="H4154" s="21">
        <v>4139</v>
      </c>
      <c r="I4154" s="102">
        <v>0.66800641491719859</v>
      </c>
      <c r="J4154" s="103">
        <v>1.6605515416271864E-3</v>
      </c>
      <c r="K4154" s="103"/>
      <c r="L4154" s="103">
        <v>4.9399999999999999E-2</v>
      </c>
      <c r="O4154" s="100"/>
    </row>
    <row r="4155" spans="2:15" x14ac:dyDescent="0.2">
      <c r="B4155" s="1">
        <f t="shared" si="236"/>
        <v>4140</v>
      </c>
      <c r="C4155" s="101">
        <f ca="1"/>
        <v>-0.18533075688137152</v>
      </c>
      <c r="D4155" s="101">
        <f t="shared" ca="1" si="233"/>
        <v>0.65246458673211116</v>
      </c>
      <c r="E4155" s="101">
        <f t="shared" ca="1" si="234"/>
        <v>0</v>
      </c>
      <c r="F4155" s="21">
        <f t="shared" ca="1" si="235"/>
        <v>0</v>
      </c>
      <c r="H4155" s="21">
        <v>4140</v>
      </c>
      <c r="I4155" s="102">
        <v>0.66762610692452873</v>
      </c>
      <c r="J4155" s="103">
        <v>1.1642634346514941E-3</v>
      </c>
      <c r="K4155" s="103"/>
      <c r="L4155" s="103">
        <v>3.7400000000000003E-2</v>
      </c>
      <c r="O4155" s="100"/>
    </row>
    <row r="4156" spans="2:15" x14ac:dyDescent="0.2">
      <c r="B4156" s="1">
        <f t="shared" si="236"/>
        <v>4141</v>
      </c>
      <c r="C4156" s="101">
        <f ca="1"/>
        <v>0.64488251913065553</v>
      </c>
      <c r="D4156" s="101">
        <f t="shared" ca="1" si="233"/>
        <v>0.70814594023771837</v>
      </c>
      <c r="E4156" s="101">
        <f t="shared" ca="1" si="234"/>
        <v>0</v>
      </c>
      <c r="F4156" s="21">
        <f t="shared" ca="1" si="235"/>
        <v>0</v>
      </c>
      <c r="H4156" s="21">
        <v>4141</v>
      </c>
      <c r="I4156" s="102">
        <v>0.66785190465317201</v>
      </c>
      <c r="J4156" s="103">
        <v>1.469850330533442E-3</v>
      </c>
      <c r="K4156" s="103"/>
      <c r="L4156" s="103">
        <v>4.3799999999999999E-2</v>
      </c>
      <c r="O4156" s="100"/>
    </row>
    <row r="4157" spans="2:15" x14ac:dyDescent="0.2">
      <c r="B4157" s="1">
        <f t="shared" si="236"/>
        <v>4142</v>
      </c>
      <c r="C4157" s="101">
        <f ca="1"/>
        <v>-1.2602446128805949</v>
      </c>
      <c r="D4157" s="101">
        <f t="shared" ca="1" si="233"/>
        <v>0.58682458180595387</v>
      </c>
      <c r="E4157" s="101">
        <f t="shared" ca="1" si="234"/>
        <v>0</v>
      </c>
      <c r="F4157" s="21">
        <f t="shared" ca="1" si="235"/>
        <v>0</v>
      </c>
      <c r="H4157" s="21">
        <v>4142</v>
      </c>
      <c r="I4157" s="102">
        <v>0.66766285178069662</v>
      </c>
      <c r="J4157" s="103">
        <v>1.285616014607513E-3</v>
      </c>
      <c r="K4157" s="103"/>
      <c r="L4157" s="103">
        <v>4.0399999999999998E-2</v>
      </c>
      <c r="O4157" s="100"/>
    </row>
    <row r="4158" spans="2:15" x14ac:dyDescent="0.2">
      <c r="B4158" s="1">
        <f t="shared" si="236"/>
        <v>4143</v>
      </c>
      <c r="C4158" s="101">
        <f ca="1"/>
        <v>-0.61686171336168938</v>
      </c>
      <c r="D4158" s="101">
        <f t="shared" ca="1" si="233"/>
        <v>0.6252740782798889</v>
      </c>
      <c r="E4158" s="101">
        <f t="shared" ca="1" si="234"/>
        <v>0</v>
      </c>
      <c r="F4158" s="21">
        <f t="shared" ca="1" si="235"/>
        <v>0</v>
      </c>
      <c r="H4158" s="21">
        <v>4143</v>
      </c>
      <c r="I4158" s="102">
        <v>0.66790377801391754</v>
      </c>
      <c r="J4158" s="103">
        <v>1.5605645042805036E-3</v>
      </c>
      <c r="K4158" s="103"/>
      <c r="L4158" s="103">
        <v>4.3400000000000001E-2</v>
      </c>
      <c r="O4158" s="100"/>
    </row>
    <row r="4159" spans="2:15" x14ac:dyDescent="0.2">
      <c r="B4159" s="1">
        <f t="shared" si="236"/>
        <v>4144</v>
      </c>
      <c r="C4159" s="101">
        <f ca="1"/>
        <v>-2.2142933406430045</v>
      </c>
      <c r="D4159" s="101">
        <f t="shared" ca="1" si="233"/>
        <v>0.53411827613499196</v>
      </c>
      <c r="E4159" s="101">
        <f t="shared" ca="1" si="234"/>
        <v>0</v>
      </c>
      <c r="F4159" s="21">
        <f t="shared" ca="1" si="235"/>
        <v>0</v>
      </c>
      <c r="H4159" s="21">
        <v>4144</v>
      </c>
      <c r="I4159" s="102">
        <v>0.66783568489767287</v>
      </c>
      <c r="J4159" s="103">
        <v>1.4713578159074639E-3</v>
      </c>
      <c r="K4159" s="103"/>
      <c r="L4159" s="103">
        <v>4.2599999999999999E-2</v>
      </c>
      <c r="O4159" s="100"/>
    </row>
    <row r="4160" spans="2:15" x14ac:dyDescent="0.2">
      <c r="B4160" s="1">
        <f t="shared" si="236"/>
        <v>4145</v>
      </c>
      <c r="C4160" s="101">
        <f ca="1"/>
        <v>0.44696200335546848</v>
      </c>
      <c r="D4160" s="101">
        <f t="shared" ca="1" si="233"/>
        <v>0.69445478845511432</v>
      </c>
      <c r="E4160" s="101">
        <f t="shared" ca="1" si="234"/>
        <v>0</v>
      </c>
      <c r="F4160" s="21">
        <f t="shared" ca="1" si="235"/>
        <v>0</v>
      </c>
      <c r="H4160" s="21">
        <v>4145</v>
      </c>
      <c r="I4160" s="102">
        <v>0.66770555965195832</v>
      </c>
      <c r="J4160" s="103">
        <v>1.3232322381831409E-3</v>
      </c>
      <c r="K4160" s="103"/>
      <c r="L4160" s="103">
        <v>4.2799999999999998E-2</v>
      </c>
      <c r="O4160" s="100"/>
    </row>
    <row r="4161" spans="2:15" x14ac:dyDescent="0.2">
      <c r="B4161" s="1">
        <f t="shared" si="236"/>
        <v>4146</v>
      </c>
      <c r="C4161" s="101">
        <f ca="1"/>
        <v>0.32318454926556478</v>
      </c>
      <c r="D4161" s="101">
        <f t="shared" ca="1" si="233"/>
        <v>0.68602734502729745</v>
      </c>
      <c r="E4161" s="101">
        <f t="shared" ca="1" si="234"/>
        <v>0</v>
      </c>
      <c r="F4161" s="21">
        <f t="shared" ca="1" si="235"/>
        <v>0</v>
      </c>
      <c r="H4161" s="21">
        <v>4146</v>
      </c>
      <c r="I4161" s="102">
        <v>0.66783172327244433</v>
      </c>
      <c r="J4161" s="103">
        <v>1.4694739769831398E-3</v>
      </c>
      <c r="K4161" s="103"/>
      <c r="L4161" s="103">
        <v>4.36E-2</v>
      </c>
      <c r="O4161" s="100"/>
    </row>
    <row r="4162" spans="2:15" x14ac:dyDescent="0.2">
      <c r="B4162" s="1">
        <f t="shared" si="236"/>
        <v>4147</v>
      </c>
      <c r="C4162" s="101">
        <f ca="1"/>
        <v>-0.58463662595888799</v>
      </c>
      <c r="D4162" s="101">
        <f t="shared" ca="1" si="233"/>
        <v>0.62726481516632726</v>
      </c>
      <c r="E4162" s="101">
        <f t="shared" ca="1" si="234"/>
        <v>0</v>
      </c>
      <c r="F4162" s="21">
        <f t="shared" ca="1" si="235"/>
        <v>0</v>
      </c>
      <c r="H4162" s="21">
        <v>4147</v>
      </c>
      <c r="I4162" s="102">
        <v>0.66774955919767531</v>
      </c>
      <c r="J4162" s="103">
        <v>1.4441864024614275E-3</v>
      </c>
      <c r="K4162" s="103"/>
      <c r="L4162" s="103">
        <v>4.2200000000000001E-2</v>
      </c>
      <c r="O4162" s="100"/>
    </row>
    <row r="4163" spans="2:15" x14ac:dyDescent="0.2">
      <c r="B4163" s="1">
        <f t="shared" si="236"/>
        <v>4148</v>
      </c>
      <c r="C4163" s="101">
        <f ca="1"/>
        <v>1.2292877322575708</v>
      </c>
      <c r="D4163" s="101">
        <f t="shared" ca="1" si="233"/>
        <v>0.75016764463986441</v>
      </c>
      <c r="E4163" s="101">
        <f t="shared" ca="1" si="234"/>
        <v>0</v>
      </c>
      <c r="F4163" s="21">
        <f t="shared" ca="1" si="235"/>
        <v>0</v>
      </c>
      <c r="H4163" s="21">
        <v>4148</v>
      </c>
      <c r="I4163" s="102">
        <v>0.66765376372673435</v>
      </c>
      <c r="J4163" s="103">
        <v>1.3372417954175396E-3</v>
      </c>
      <c r="K4163" s="103"/>
      <c r="L4163" s="103">
        <v>4.2200000000000001E-2</v>
      </c>
      <c r="O4163" s="100"/>
    </row>
    <row r="4164" spans="2:15" x14ac:dyDescent="0.2">
      <c r="B4164" s="1">
        <f t="shared" si="236"/>
        <v>4149</v>
      </c>
      <c r="C4164" s="101">
        <f ca="1"/>
        <v>0.79372144255363131</v>
      </c>
      <c r="D4164" s="101">
        <f t="shared" ca="1" si="233"/>
        <v>0.71861940015063441</v>
      </c>
      <c r="E4164" s="101">
        <f t="shared" ca="1" si="234"/>
        <v>0</v>
      </c>
      <c r="F4164" s="21">
        <f t="shared" ca="1" si="235"/>
        <v>0</v>
      </c>
      <c r="H4164" s="21">
        <v>4149</v>
      </c>
      <c r="I4164" s="102">
        <v>0.66766177694207307</v>
      </c>
      <c r="J4164" s="103">
        <v>1.2210259193987548E-3</v>
      </c>
      <c r="K4164" s="103"/>
      <c r="L4164" s="103">
        <v>3.8199999999999998E-2</v>
      </c>
      <c r="O4164" s="100"/>
    </row>
    <row r="4165" spans="2:15" x14ac:dyDescent="0.2">
      <c r="B4165" s="1">
        <f t="shared" si="236"/>
        <v>4150</v>
      </c>
      <c r="C4165" s="101">
        <f ca="1"/>
        <v>0.72817398448637194</v>
      </c>
      <c r="D4165" s="101">
        <f t="shared" ca="1" si="233"/>
        <v>0.71398801986535587</v>
      </c>
      <c r="E4165" s="101">
        <f t="shared" ca="1" si="234"/>
        <v>0</v>
      </c>
      <c r="F4165" s="21">
        <f t="shared" ca="1" si="235"/>
        <v>0</v>
      </c>
      <c r="H4165" s="21">
        <v>4150</v>
      </c>
      <c r="I4165" s="102">
        <v>0.66794536095591728</v>
      </c>
      <c r="J4165" s="103">
        <v>1.6725960938548797E-3</v>
      </c>
      <c r="K4165" s="103"/>
      <c r="L4165" s="103">
        <v>4.4400000000000002E-2</v>
      </c>
      <c r="O4165" s="100"/>
    </row>
    <row r="4166" spans="2:15" x14ac:dyDescent="0.2">
      <c r="B4166" s="1">
        <f t="shared" si="236"/>
        <v>4151</v>
      </c>
      <c r="C4166" s="101">
        <f ca="1"/>
        <v>2.2172958026667584</v>
      </c>
      <c r="D4166" s="101">
        <f t="shared" ca="1" si="233"/>
        <v>0.82695901377739123</v>
      </c>
      <c r="E4166" s="101">
        <f t="shared" ca="1" si="234"/>
        <v>3.8759013777391216E-2</v>
      </c>
      <c r="F4166" s="21">
        <f t="shared" ca="1" si="235"/>
        <v>1</v>
      </c>
      <c r="H4166" s="21">
        <v>4151</v>
      </c>
      <c r="I4166" s="102">
        <v>0.66780882659387675</v>
      </c>
      <c r="J4166" s="103">
        <v>1.5215963319352881E-3</v>
      </c>
      <c r="K4166" s="103"/>
      <c r="L4166" s="103">
        <v>3.6799999999999999E-2</v>
      </c>
      <c r="O4166" s="100"/>
    </row>
    <row r="4167" spans="2:15" x14ac:dyDescent="0.2">
      <c r="B4167" s="1">
        <f t="shared" si="236"/>
        <v>4152</v>
      </c>
      <c r="C4167" s="101">
        <f ca="1"/>
        <v>0.70877299910285796</v>
      </c>
      <c r="D4167" s="101">
        <f t="shared" ca="1" si="233"/>
        <v>0.71262293982377745</v>
      </c>
      <c r="E4167" s="101">
        <f t="shared" ca="1" si="234"/>
        <v>0</v>
      </c>
      <c r="F4167" s="21">
        <f t="shared" ca="1" si="235"/>
        <v>0</v>
      </c>
      <c r="H4167" s="21">
        <v>4152</v>
      </c>
      <c r="I4167" s="102">
        <v>0.66772779654687431</v>
      </c>
      <c r="J4167" s="103">
        <v>1.2957034120889158E-3</v>
      </c>
      <c r="K4167" s="103"/>
      <c r="L4167" s="103">
        <v>4.2200000000000001E-2</v>
      </c>
      <c r="O4167" s="100"/>
    </row>
    <row r="4168" spans="2:15" x14ac:dyDescent="0.2">
      <c r="B4168" s="1">
        <f t="shared" si="236"/>
        <v>4153</v>
      </c>
      <c r="C4168" s="101">
        <f ca="1"/>
        <v>2.5165467760392195</v>
      </c>
      <c r="D4168" s="101">
        <f t="shared" ca="1" si="233"/>
        <v>0.85173346759132629</v>
      </c>
      <c r="E4168" s="101">
        <f t="shared" ca="1" si="234"/>
        <v>6.3533467591326276E-2</v>
      </c>
      <c r="F4168" s="21">
        <f t="shared" ca="1" si="235"/>
        <v>1</v>
      </c>
      <c r="H4168" s="21">
        <v>4153</v>
      </c>
      <c r="I4168" s="102">
        <v>0.66775790468374863</v>
      </c>
      <c r="J4168" s="103">
        <v>1.2815075888095591E-3</v>
      </c>
      <c r="K4168" s="103"/>
      <c r="L4168" s="103">
        <v>4.1799999999999997E-2</v>
      </c>
      <c r="O4168" s="100"/>
    </row>
    <row r="4169" spans="2:15" x14ac:dyDescent="0.2">
      <c r="B4169" s="1">
        <f t="shared" si="236"/>
        <v>4154</v>
      </c>
      <c r="C4169" s="101">
        <f ca="1"/>
        <v>1.1394111349014009</v>
      </c>
      <c r="D4169" s="101">
        <f t="shared" ca="1" si="233"/>
        <v>0.7435463922188853</v>
      </c>
      <c r="E4169" s="101">
        <f t="shared" ca="1" si="234"/>
        <v>0</v>
      </c>
      <c r="F4169" s="21">
        <f t="shared" ca="1" si="235"/>
        <v>0</v>
      </c>
      <c r="H4169" s="21">
        <v>4154</v>
      </c>
      <c r="I4169" s="102">
        <v>0.66766533805136974</v>
      </c>
      <c r="J4169" s="103">
        <v>1.3287763420291633E-3</v>
      </c>
      <c r="K4169" s="103"/>
      <c r="L4169" s="103">
        <v>3.9800000000000002E-2</v>
      </c>
      <c r="O4169" s="100"/>
    </row>
    <row r="4170" spans="2:15" x14ac:dyDescent="0.2">
      <c r="B4170" s="1">
        <f t="shared" si="236"/>
        <v>4155</v>
      </c>
      <c r="C4170" s="101">
        <f ca="1"/>
        <v>2.1022400811710944</v>
      </c>
      <c r="D4170" s="101">
        <f t="shared" ca="1" si="233"/>
        <v>0.81762670759914813</v>
      </c>
      <c r="E4170" s="101">
        <f t="shared" ca="1" si="234"/>
        <v>2.9426707599148116E-2</v>
      </c>
      <c r="F4170" s="21">
        <f t="shared" ca="1" si="235"/>
        <v>1</v>
      </c>
      <c r="H4170" s="21">
        <v>4155</v>
      </c>
      <c r="I4170" s="102">
        <v>0.6676565525289232</v>
      </c>
      <c r="J4170" s="103">
        <v>1.3078674244055121E-3</v>
      </c>
      <c r="K4170" s="103"/>
      <c r="L4170" s="103">
        <v>4.0399999999999998E-2</v>
      </c>
      <c r="O4170" s="100"/>
    </row>
    <row r="4171" spans="2:15" x14ac:dyDescent="0.2">
      <c r="B4171" s="1">
        <f t="shared" si="236"/>
        <v>4156</v>
      </c>
      <c r="C4171" s="101">
        <f ca="1"/>
        <v>0.65790043996885761</v>
      </c>
      <c r="D4171" s="101">
        <f t="shared" ca="1" si="233"/>
        <v>0.70905585804916438</v>
      </c>
      <c r="E4171" s="101">
        <f t="shared" ca="1" si="234"/>
        <v>0</v>
      </c>
      <c r="F4171" s="21">
        <f t="shared" ca="1" si="235"/>
        <v>0</v>
      </c>
      <c r="H4171" s="21">
        <v>4156</v>
      </c>
      <c r="I4171" s="102">
        <v>0.66762779257164973</v>
      </c>
      <c r="J4171" s="103">
        <v>1.2772008735499698E-3</v>
      </c>
      <c r="K4171" s="103"/>
      <c r="L4171" s="103">
        <v>3.8399999999999997E-2</v>
      </c>
      <c r="O4171" s="100"/>
    </row>
    <row r="4172" spans="2:15" x14ac:dyDescent="0.2">
      <c r="B4172" s="1">
        <f t="shared" si="236"/>
        <v>4157</v>
      </c>
      <c r="C4172" s="101">
        <f ca="1"/>
        <v>-1.6106728920237621</v>
      </c>
      <c r="D4172" s="101">
        <f t="shared" ca="1" si="233"/>
        <v>0.56688656763674272</v>
      </c>
      <c r="E4172" s="101">
        <f t="shared" ca="1" si="234"/>
        <v>0</v>
      </c>
      <c r="F4172" s="21">
        <f t="shared" ca="1" si="235"/>
        <v>0</v>
      </c>
      <c r="H4172" s="21">
        <v>4157</v>
      </c>
      <c r="I4172" s="102">
        <v>0.66777931114266442</v>
      </c>
      <c r="J4172" s="103">
        <v>1.3521508193193267E-3</v>
      </c>
      <c r="K4172" s="103"/>
      <c r="L4172" s="103">
        <v>4.2599999999999999E-2</v>
      </c>
      <c r="O4172" s="100"/>
    </row>
    <row r="4173" spans="2:15" x14ac:dyDescent="0.2">
      <c r="B4173" s="1">
        <f t="shared" si="236"/>
        <v>4158</v>
      </c>
      <c r="C4173" s="101">
        <f ca="1"/>
        <v>-0.34194738713345707</v>
      </c>
      <c r="D4173" s="101">
        <f t="shared" ca="1" si="233"/>
        <v>0.64246220650015551</v>
      </c>
      <c r="E4173" s="101">
        <f t="shared" ca="1" si="234"/>
        <v>0</v>
      </c>
      <c r="F4173" s="21">
        <f t="shared" ca="1" si="235"/>
        <v>0</v>
      </c>
      <c r="H4173" s="21">
        <v>4158</v>
      </c>
      <c r="I4173" s="102">
        <v>0.6677881234840376</v>
      </c>
      <c r="J4173" s="103">
        <v>1.4595489738048772E-3</v>
      </c>
      <c r="K4173" s="103"/>
      <c r="L4173" s="103">
        <v>4.2999999999999997E-2</v>
      </c>
      <c r="O4173" s="100"/>
    </row>
    <row r="4174" spans="2:15" x14ac:dyDescent="0.2">
      <c r="B4174" s="1">
        <f t="shared" si="236"/>
        <v>4159</v>
      </c>
      <c r="C4174" s="101">
        <f ca="1"/>
        <v>0.58274426095654785</v>
      </c>
      <c r="D4174" s="101">
        <f t="shared" ca="1" si="233"/>
        <v>0.703818705617277</v>
      </c>
      <c r="E4174" s="101">
        <f t="shared" ca="1" si="234"/>
        <v>0</v>
      </c>
      <c r="F4174" s="21">
        <f t="shared" ca="1" si="235"/>
        <v>0</v>
      </c>
      <c r="H4174" s="21">
        <v>4159</v>
      </c>
      <c r="I4174" s="102">
        <v>0.66774167362843007</v>
      </c>
      <c r="J4174" s="103">
        <v>1.3369279545491135E-3</v>
      </c>
      <c r="K4174" s="103"/>
      <c r="L4174" s="103">
        <v>4.3400000000000001E-2</v>
      </c>
      <c r="O4174" s="100"/>
    </row>
    <row r="4175" spans="2:15" x14ac:dyDescent="0.2">
      <c r="B4175" s="1">
        <f t="shared" si="236"/>
        <v>4160</v>
      </c>
      <c r="C4175" s="101">
        <f ca="1"/>
        <v>1.4333101531948189</v>
      </c>
      <c r="D4175" s="101">
        <f t="shared" ca="1" si="233"/>
        <v>0.76541773975452387</v>
      </c>
      <c r="E4175" s="101">
        <f t="shared" ca="1" si="234"/>
        <v>0</v>
      </c>
      <c r="F4175" s="21">
        <f t="shared" ca="1" si="235"/>
        <v>0</v>
      </c>
      <c r="H4175" s="21">
        <v>4160</v>
      </c>
      <c r="I4175" s="102">
        <v>0.66785810940850743</v>
      </c>
      <c r="J4175" s="103">
        <v>1.4759495367954469E-3</v>
      </c>
      <c r="K4175" s="103"/>
      <c r="L4175" s="103">
        <v>4.5999999999999999E-2</v>
      </c>
      <c r="O4175" s="100"/>
    </row>
    <row r="4176" spans="2:15" x14ac:dyDescent="0.2">
      <c r="B4176" s="1">
        <f t="shared" si="236"/>
        <v>4161</v>
      </c>
      <c r="C4176" s="101">
        <f ca="1"/>
        <v>4.9581802172552071E-2</v>
      </c>
      <c r="D4176" s="101">
        <f t="shared" ref="D4176:D4239" ca="1" si="237">S0*EXP((μ-0.5*σ*σ)*T+σ*SQRT(T)*$C4176)</f>
        <v>0.66776008229357597</v>
      </c>
      <c r="E4176" s="101">
        <f t="shared" ref="E4176:E4239" ca="1" si="238">MAX(0,CP*(D4176-K))</f>
        <v>0</v>
      </c>
      <c r="F4176" s="21">
        <f t="shared" ref="F4176:F4239" ca="1" si="239">(CP*(D4176-K)&gt;0)*1</f>
        <v>0</v>
      </c>
      <c r="H4176" s="21">
        <v>4161</v>
      </c>
      <c r="I4176" s="102">
        <v>0.66773262997851213</v>
      </c>
      <c r="J4176" s="103">
        <v>1.3460172473243181E-3</v>
      </c>
      <c r="K4176" s="103"/>
      <c r="L4176" s="103">
        <v>4.0800000000000003E-2</v>
      </c>
      <c r="O4176" s="100"/>
    </row>
    <row r="4177" spans="2:15" x14ac:dyDescent="0.2">
      <c r="B4177" s="1">
        <f t="shared" si="236"/>
        <v>4162</v>
      </c>
      <c r="C4177" s="101">
        <f ca="1"/>
        <v>-0.86149429968758107</v>
      </c>
      <c r="D4177" s="101">
        <f t="shared" ca="1" si="237"/>
        <v>0.61036625573119907</v>
      </c>
      <c r="E4177" s="101">
        <f t="shared" ca="1" si="238"/>
        <v>0</v>
      </c>
      <c r="F4177" s="21">
        <f t="shared" ca="1" si="239"/>
        <v>0</v>
      </c>
      <c r="H4177" s="21">
        <v>4162</v>
      </c>
      <c r="I4177" s="102">
        <v>0.6679187694522466</v>
      </c>
      <c r="J4177" s="103">
        <v>1.5784827910408574E-3</v>
      </c>
      <c r="K4177" s="103"/>
      <c r="L4177" s="103">
        <v>4.7600000000000003E-2</v>
      </c>
      <c r="O4177" s="100"/>
    </row>
    <row r="4178" spans="2:15" x14ac:dyDescent="0.2">
      <c r="B4178" s="1">
        <f t="shared" si="236"/>
        <v>4163</v>
      </c>
      <c r="C4178" s="101">
        <f ca="1"/>
        <v>9.218514708274074E-2</v>
      </c>
      <c r="D4178" s="101">
        <f t="shared" ca="1" si="237"/>
        <v>0.67057221572155035</v>
      </c>
      <c r="E4178" s="101">
        <f t="shared" ca="1" si="238"/>
        <v>0</v>
      </c>
      <c r="F4178" s="21">
        <f t="shared" ca="1" si="239"/>
        <v>0</v>
      </c>
      <c r="H4178" s="21">
        <v>4163</v>
      </c>
      <c r="I4178" s="102">
        <v>0.66773930182001606</v>
      </c>
      <c r="J4178" s="103">
        <v>1.4159329796374258E-3</v>
      </c>
      <c r="K4178" s="103"/>
      <c r="L4178" s="103">
        <v>4.1200000000000001E-2</v>
      </c>
      <c r="O4178" s="100"/>
    </row>
    <row r="4179" spans="2:15" x14ac:dyDescent="0.2">
      <c r="B4179" s="1">
        <f t="shared" si="236"/>
        <v>4164</v>
      </c>
      <c r="C4179" s="101">
        <f ca="1"/>
        <v>-0.4031209259788503</v>
      </c>
      <c r="D4179" s="101">
        <f t="shared" ca="1" si="237"/>
        <v>0.63859710920305057</v>
      </c>
      <c r="E4179" s="101">
        <f t="shared" ca="1" si="238"/>
        <v>0</v>
      </c>
      <c r="F4179" s="21">
        <f t="shared" ca="1" si="239"/>
        <v>0</v>
      </c>
      <c r="H4179" s="21">
        <v>4164</v>
      </c>
      <c r="I4179" s="102">
        <v>0.66782235300761816</v>
      </c>
      <c r="J4179" s="103">
        <v>1.4823049756606463E-3</v>
      </c>
      <c r="K4179" s="103"/>
      <c r="L4179" s="103">
        <v>4.6199999999999998E-2</v>
      </c>
      <c r="O4179" s="100"/>
    </row>
    <row r="4180" spans="2:15" x14ac:dyDescent="0.2">
      <c r="B4180" s="1">
        <f t="shared" si="236"/>
        <v>4165</v>
      </c>
      <c r="C4180" s="101">
        <f ca="1"/>
        <v>0.92510869466311274</v>
      </c>
      <c r="D4180" s="101">
        <f t="shared" ca="1" si="237"/>
        <v>0.72799347423964322</v>
      </c>
      <c r="E4180" s="101">
        <f t="shared" ca="1" si="238"/>
        <v>0</v>
      </c>
      <c r="F4180" s="21">
        <f t="shared" ca="1" si="239"/>
        <v>0</v>
      </c>
      <c r="H4180" s="21">
        <v>4165</v>
      </c>
      <c r="I4180" s="102">
        <v>0.66778233845629065</v>
      </c>
      <c r="J4180" s="103">
        <v>1.4879096560820894E-3</v>
      </c>
      <c r="K4180" s="103"/>
      <c r="L4180" s="103">
        <v>4.5600000000000002E-2</v>
      </c>
      <c r="O4180" s="100"/>
    </row>
    <row r="4181" spans="2:15" x14ac:dyDescent="0.2">
      <c r="B4181" s="1">
        <f t="shared" si="236"/>
        <v>4166</v>
      </c>
      <c r="C4181" s="101">
        <f ca="1"/>
        <v>-0.46497693840898052</v>
      </c>
      <c r="D4181" s="101">
        <f t="shared" ca="1" si="237"/>
        <v>0.63471253425092145</v>
      </c>
      <c r="E4181" s="101">
        <f t="shared" ca="1" si="238"/>
        <v>0</v>
      </c>
      <c r="F4181" s="21">
        <f t="shared" ca="1" si="239"/>
        <v>0</v>
      </c>
      <c r="H4181" s="21">
        <v>4166</v>
      </c>
      <c r="I4181" s="102">
        <v>0.66775619846982359</v>
      </c>
      <c r="J4181" s="103">
        <v>1.4271437558809662E-3</v>
      </c>
      <c r="K4181" s="103"/>
      <c r="L4181" s="103">
        <v>4.2999999999999997E-2</v>
      </c>
      <c r="O4181" s="100"/>
    </row>
    <row r="4182" spans="2:15" x14ac:dyDescent="0.2">
      <c r="B4182" s="1">
        <f t="shared" si="236"/>
        <v>4167</v>
      </c>
      <c r="C4182" s="101">
        <f ca="1"/>
        <v>-0.84195138611224263</v>
      </c>
      <c r="D4182" s="101">
        <f t="shared" ca="1" si="237"/>
        <v>0.61154401735202613</v>
      </c>
      <c r="E4182" s="101">
        <f t="shared" ca="1" si="238"/>
        <v>0</v>
      </c>
      <c r="F4182" s="21">
        <f t="shared" ca="1" si="239"/>
        <v>0</v>
      </c>
      <c r="H4182" s="21">
        <v>4167</v>
      </c>
      <c r="I4182" s="102">
        <v>0.66770420289441701</v>
      </c>
      <c r="J4182" s="103">
        <v>1.3388756184943666E-3</v>
      </c>
      <c r="K4182" s="103"/>
      <c r="L4182" s="103">
        <v>4.0599999999999997E-2</v>
      </c>
      <c r="O4182" s="100"/>
    </row>
    <row r="4183" spans="2:15" x14ac:dyDescent="0.2">
      <c r="B4183" s="1">
        <f t="shared" si="236"/>
        <v>4168</v>
      </c>
      <c r="C4183" s="101">
        <f ca="1"/>
        <v>-0.88155737444887328</v>
      </c>
      <c r="D4183" s="101">
        <f t="shared" ca="1" si="237"/>
        <v>0.60915950593637214</v>
      </c>
      <c r="E4183" s="101">
        <f t="shared" ca="1" si="238"/>
        <v>0</v>
      </c>
      <c r="F4183" s="21">
        <f t="shared" ca="1" si="239"/>
        <v>0</v>
      </c>
      <c r="H4183" s="21">
        <v>4168</v>
      </c>
      <c r="I4183" s="102">
        <v>0.66784339405383619</v>
      </c>
      <c r="J4183" s="103">
        <v>1.3501302085772088E-3</v>
      </c>
      <c r="K4183" s="103"/>
      <c r="L4183" s="103">
        <v>4.48E-2</v>
      </c>
      <c r="O4183" s="100"/>
    </row>
    <row r="4184" spans="2:15" x14ac:dyDescent="0.2">
      <c r="B4184" s="1">
        <f t="shared" si="236"/>
        <v>4169</v>
      </c>
      <c r="C4184" s="101">
        <f ca="1"/>
        <v>0.82124500907299336</v>
      </c>
      <c r="D4184" s="101">
        <f t="shared" ca="1" si="237"/>
        <v>0.7205730747366822</v>
      </c>
      <c r="E4184" s="101">
        <f t="shared" ca="1" si="238"/>
        <v>0</v>
      </c>
      <c r="F4184" s="21">
        <f t="shared" ca="1" si="239"/>
        <v>0</v>
      </c>
      <c r="H4184" s="21">
        <v>4169</v>
      </c>
      <c r="I4184" s="102">
        <v>0.66752389014297875</v>
      </c>
      <c r="J4184" s="103">
        <v>1.0875561642198423E-3</v>
      </c>
      <c r="K4184" s="103"/>
      <c r="L4184" s="103">
        <v>3.6400000000000002E-2</v>
      </c>
      <c r="O4184" s="100"/>
    </row>
    <row r="4185" spans="2:15" x14ac:dyDescent="0.2">
      <c r="B4185" s="1">
        <f t="shared" si="236"/>
        <v>4170</v>
      </c>
      <c r="C4185" s="101">
        <f ca="1"/>
        <v>7.2652484833615168E-3</v>
      </c>
      <c r="D4185" s="101">
        <f t="shared" ca="1" si="237"/>
        <v>0.66497855354196544</v>
      </c>
      <c r="E4185" s="101">
        <f t="shared" ca="1" si="238"/>
        <v>0</v>
      </c>
      <c r="F4185" s="21">
        <f t="shared" ca="1" si="239"/>
        <v>0</v>
      </c>
      <c r="H4185" s="21">
        <v>4170</v>
      </c>
      <c r="I4185" s="102">
        <v>0.66778373236160038</v>
      </c>
      <c r="J4185" s="103">
        <v>1.418676983679018E-3</v>
      </c>
      <c r="K4185" s="103"/>
      <c r="L4185" s="103">
        <v>4.4600000000000001E-2</v>
      </c>
      <c r="O4185" s="100"/>
    </row>
    <row r="4186" spans="2:15" x14ac:dyDescent="0.2">
      <c r="B4186" s="1">
        <f t="shared" si="236"/>
        <v>4171</v>
      </c>
      <c r="C4186" s="101">
        <f ca="1"/>
        <v>-6.2550503501516072E-2</v>
      </c>
      <c r="D4186" s="101">
        <f t="shared" ca="1" si="237"/>
        <v>0.66041476634047447</v>
      </c>
      <c r="E4186" s="101">
        <f t="shared" ca="1" si="238"/>
        <v>0</v>
      </c>
      <c r="F4186" s="21">
        <f t="shared" ca="1" si="239"/>
        <v>0</v>
      </c>
      <c r="H4186" s="21">
        <v>4171</v>
      </c>
      <c r="I4186" s="102">
        <v>0.66768494786916022</v>
      </c>
      <c r="J4186" s="103">
        <v>1.28365883140372E-3</v>
      </c>
      <c r="K4186" s="103"/>
      <c r="L4186" s="103">
        <v>4.1599999999999998E-2</v>
      </c>
      <c r="O4186" s="100"/>
    </row>
    <row r="4187" spans="2:15" x14ac:dyDescent="0.2">
      <c r="B4187" s="1">
        <f t="shared" si="236"/>
        <v>4172</v>
      </c>
      <c r="C4187" s="101">
        <f ca="1"/>
        <v>-1.3203440850454631</v>
      </c>
      <c r="D4187" s="101">
        <f t="shared" ca="1" si="237"/>
        <v>0.58335600608247051</v>
      </c>
      <c r="E4187" s="101">
        <f t="shared" ca="1" si="238"/>
        <v>0</v>
      </c>
      <c r="F4187" s="21">
        <f t="shared" ca="1" si="239"/>
        <v>0</v>
      </c>
      <c r="H4187" s="21">
        <v>4172</v>
      </c>
      <c r="I4187" s="102">
        <v>0.66764030417332254</v>
      </c>
      <c r="J4187" s="103">
        <v>1.2376257314485747E-3</v>
      </c>
      <c r="K4187" s="103"/>
      <c r="L4187" s="103">
        <v>3.9600000000000003E-2</v>
      </c>
      <c r="O4187" s="100"/>
    </row>
    <row r="4188" spans="2:15" x14ac:dyDescent="0.2">
      <c r="B4188" s="1">
        <f t="shared" si="236"/>
        <v>4173</v>
      </c>
      <c r="C4188" s="101">
        <f ca="1"/>
        <v>-1.8387519610977971</v>
      </c>
      <c r="D4188" s="101">
        <f t="shared" ca="1" si="237"/>
        <v>0.55427513934716266</v>
      </c>
      <c r="E4188" s="101">
        <f t="shared" ca="1" si="238"/>
        <v>0</v>
      </c>
      <c r="F4188" s="21">
        <f t="shared" ca="1" si="239"/>
        <v>0</v>
      </c>
      <c r="H4188" s="21">
        <v>4173</v>
      </c>
      <c r="I4188" s="102">
        <v>0.66781936926270569</v>
      </c>
      <c r="J4188" s="103">
        <v>1.3474211247300155E-3</v>
      </c>
      <c r="K4188" s="103"/>
      <c r="L4188" s="103">
        <v>4.24E-2</v>
      </c>
      <c r="O4188" s="100"/>
    </row>
    <row r="4189" spans="2:15" x14ac:dyDescent="0.2">
      <c r="B4189" s="1">
        <f t="shared" si="236"/>
        <v>4174</v>
      </c>
      <c r="C4189" s="101">
        <f ca="1"/>
        <v>-0.36846632379920863</v>
      </c>
      <c r="D4189" s="101">
        <f t="shared" ca="1" si="237"/>
        <v>0.64078380952530412</v>
      </c>
      <c r="E4189" s="101">
        <f t="shared" ca="1" si="238"/>
        <v>0</v>
      </c>
      <c r="F4189" s="21">
        <f t="shared" ca="1" si="239"/>
        <v>0</v>
      </c>
      <c r="H4189" s="21">
        <v>4174</v>
      </c>
      <c r="I4189" s="102">
        <v>0.6678046912864245</v>
      </c>
      <c r="J4189" s="103">
        <v>1.5996073368919181E-3</v>
      </c>
      <c r="K4189" s="103"/>
      <c r="L4189" s="103">
        <v>4.2599999999999999E-2</v>
      </c>
      <c r="O4189" s="100"/>
    </row>
    <row r="4190" spans="2:15" x14ac:dyDescent="0.2">
      <c r="B4190" s="1">
        <f t="shared" si="236"/>
        <v>4175</v>
      </c>
      <c r="C4190" s="101">
        <f ca="1"/>
        <v>-1.1306955147852624</v>
      </c>
      <c r="D4190" s="101">
        <f t="shared" ca="1" si="237"/>
        <v>0.59437167041838324</v>
      </c>
      <c r="E4190" s="101">
        <f t="shared" ca="1" si="238"/>
        <v>0</v>
      </c>
      <c r="F4190" s="21">
        <f t="shared" ca="1" si="239"/>
        <v>0</v>
      </c>
      <c r="H4190" s="21">
        <v>4175</v>
      </c>
      <c r="I4190" s="102">
        <v>0.66778497947932758</v>
      </c>
      <c r="J4190" s="103">
        <v>1.480795869774365E-3</v>
      </c>
      <c r="K4190" s="103"/>
      <c r="L4190" s="103">
        <v>4.36E-2</v>
      </c>
      <c r="O4190" s="100"/>
    </row>
    <row r="4191" spans="2:15" x14ac:dyDescent="0.2">
      <c r="B4191" s="1">
        <f t="shared" si="236"/>
        <v>4176</v>
      </c>
      <c r="C4191" s="101">
        <f ca="1"/>
        <v>-0.5490487871002413</v>
      </c>
      <c r="D4191" s="101">
        <f t="shared" ca="1" si="237"/>
        <v>0.62947065485837606</v>
      </c>
      <c r="E4191" s="101">
        <f t="shared" ca="1" si="238"/>
        <v>0</v>
      </c>
      <c r="F4191" s="21">
        <f t="shared" ca="1" si="239"/>
        <v>0</v>
      </c>
      <c r="H4191" s="21">
        <v>4176</v>
      </c>
      <c r="I4191" s="102">
        <v>0.66762535764070086</v>
      </c>
      <c r="J4191" s="103">
        <v>1.3239072751042389E-3</v>
      </c>
      <c r="K4191" s="103"/>
      <c r="L4191" s="103">
        <v>3.9199999999999999E-2</v>
      </c>
      <c r="O4191" s="100"/>
    </row>
    <row r="4192" spans="2:15" x14ac:dyDescent="0.2">
      <c r="B4192" s="1">
        <f t="shared" si="236"/>
        <v>4177</v>
      </c>
      <c r="C4192" s="101">
        <f ca="1"/>
        <v>-1.8428725025155335</v>
      </c>
      <c r="D4192" s="101">
        <f t="shared" ca="1" si="237"/>
        <v>0.55404989685361117</v>
      </c>
      <c r="E4192" s="101">
        <f t="shared" ca="1" si="238"/>
        <v>0</v>
      </c>
      <c r="F4192" s="21">
        <f t="shared" ca="1" si="239"/>
        <v>0</v>
      </c>
      <c r="H4192" s="21">
        <v>4177</v>
      </c>
      <c r="I4192" s="102">
        <v>0.66786504999325824</v>
      </c>
      <c r="J4192" s="103">
        <v>1.4921962077945399E-3</v>
      </c>
      <c r="K4192" s="103"/>
      <c r="L4192" s="103">
        <v>4.7E-2</v>
      </c>
      <c r="O4192" s="100"/>
    </row>
    <row r="4193" spans="2:15" x14ac:dyDescent="0.2">
      <c r="B4193" s="1">
        <f t="shared" si="236"/>
        <v>4178</v>
      </c>
      <c r="C4193" s="101">
        <f ca="1"/>
        <v>1.7713430010089946</v>
      </c>
      <c r="D4193" s="101">
        <f t="shared" ca="1" si="237"/>
        <v>0.79137010870232283</v>
      </c>
      <c r="E4193" s="101">
        <f t="shared" ca="1" si="238"/>
        <v>3.1701087023228158E-3</v>
      </c>
      <c r="F4193" s="21">
        <f t="shared" ca="1" si="239"/>
        <v>1</v>
      </c>
      <c r="H4193" s="21">
        <v>4178</v>
      </c>
      <c r="I4193" s="102">
        <v>0.66766943553032432</v>
      </c>
      <c r="J4193" s="103">
        <v>1.3694547377994483E-3</v>
      </c>
      <c r="K4193" s="103"/>
      <c r="L4193" s="103">
        <v>4.1599999999999998E-2</v>
      </c>
      <c r="O4193" s="100"/>
    </row>
    <row r="4194" spans="2:15" x14ac:dyDescent="0.2">
      <c r="B4194" s="1">
        <f t="shared" si="236"/>
        <v>4179</v>
      </c>
      <c r="C4194" s="101">
        <f ca="1"/>
        <v>0.58976451295489718</v>
      </c>
      <c r="D4194" s="101">
        <f t="shared" ca="1" si="237"/>
        <v>0.70430625968910476</v>
      </c>
      <c r="E4194" s="101">
        <f t="shared" ca="1" si="238"/>
        <v>0</v>
      </c>
      <c r="F4194" s="21">
        <f t="shared" ca="1" si="239"/>
        <v>0</v>
      </c>
      <c r="H4194" s="21">
        <v>4179</v>
      </c>
      <c r="I4194" s="102">
        <v>0.66782413135741658</v>
      </c>
      <c r="J4194" s="103">
        <v>1.3966625098669179E-3</v>
      </c>
      <c r="K4194" s="103"/>
      <c r="L4194" s="103">
        <v>4.24E-2</v>
      </c>
      <c r="O4194" s="100"/>
    </row>
    <row r="4195" spans="2:15" x14ac:dyDescent="0.2">
      <c r="B4195" s="1">
        <f t="shared" si="236"/>
        <v>4180</v>
      </c>
      <c r="C4195" s="101">
        <f ca="1"/>
        <v>1.0674118784985158</v>
      </c>
      <c r="D4195" s="101">
        <f t="shared" ca="1" si="237"/>
        <v>0.73828435769222422</v>
      </c>
      <c r="E4195" s="101">
        <f t="shared" ca="1" si="238"/>
        <v>0</v>
      </c>
      <c r="F4195" s="21">
        <f t="shared" ca="1" si="239"/>
        <v>0</v>
      </c>
      <c r="H4195" s="21">
        <v>4180</v>
      </c>
      <c r="I4195" s="102">
        <v>0.66784414976166373</v>
      </c>
      <c r="J4195" s="103">
        <v>1.464393789908016E-3</v>
      </c>
      <c r="K4195" s="103"/>
      <c r="L4195" s="103">
        <v>4.6600000000000003E-2</v>
      </c>
      <c r="O4195" s="100"/>
    </row>
    <row r="4196" spans="2:15" x14ac:dyDescent="0.2">
      <c r="B4196" s="1">
        <f t="shared" si="236"/>
        <v>4181</v>
      </c>
      <c r="C4196" s="101">
        <f ca="1"/>
        <v>-1.1259176172350257E-2</v>
      </c>
      <c r="D4196" s="101">
        <f t="shared" ca="1" si="237"/>
        <v>0.66376456513119531</v>
      </c>
      <c r="E4196" s="101">
        <f t="shared" ca="1" si="238"/>
        <v>0</v>
      </c>
      <c r="F4196" s="21">
        <f t="shared" ca="1" si="239"/>
        <v>0</v>
      </c>
      <c r="H4196" s="21">
        <v>4181</v>
      </c>
      <c r="I4196" s="102">
        <v>0.66780382144442763</v>
      </c>
      <c r="J4196" s="103">
        <v>1.4640153904749095E-3</v>
      </c>
      <c r="K4196" s="103"/>
      <c r="L4196" s="103">
        <v>4.2200000000000001E-2</v>
      </c>
      <c r="O4196" s="100"/>
    </row>
    <row r="4197" spans="2:15" x14ac:dyDescent="0.2">
      <c r="B4197" s="1">
        <f t="shared" si="236"/>
        <v>4182</v>
      </c>
      <c r="C4197" s="101">
        <f ca="1"/>
        <v>-1.6379109104810614</v>
      </c>
      <c r="D4197" s="101">
        <f t="shared" ca="1" si="237"/>
        <v>0.56536550437239907</v>
      </c>
      <c r="E4197" s="101">
        <f t="shared" ca="1" si="238"/>
        <v>0</v>
      </c>
      <c r="F4197" s="21">
        <f t="shared" ca="1" si="239"/>
        <v>0</v>
      </c>
      <c r="H4197" s="21">
        <v>4182</v>
      </c>
      <c r="I4197" s="102">
        <v>0.66778586391692463</v>
      </c>
      <c r="J4197" s="103">
        <v>1.4822019309210838E-3</v>
      </c>
      <c r="K4197" s="103"/>
      <c r="L4197" s="103">
        <v>4.58E-2</v>
      </c>
      <c r="O4197" s="100"/>
    </row>
    <row r="4198" spans="2:15" x14ac:dyDescent="0.2">
      <c r="B4198" s="1">
        <f t="shared" si="236"/>
        <v>4183</v>
      </c>
      <c r="C4198" s="101">
        <f ca="1"/>
        <v>0.72644697788897661</v>
      </c>
      <c r="D4198" s="101">
        <f t="shared" ca="1" si="237"/>
        <v>0.71386639935245322</v>
      </c>
      <c r="E4198" s="101">
        <f t="shared" ca="1" si="238"/>
        <v>0</v>
      </c>
      <c r="F4198" s="21">
        <f t="shared" ca="1" si="239"/>
        <v>0</v>
      </c>
      <c r="H4198" s="21">
        <v>4183</v>
      </c>
      <c r="I4198" s="102">
        <v>0.6675857060787328</v>
      </c>
      <c r="J4198" s="103">
        <v>1.2648384165173062E-3</v>
      </c>
      <c r="K4198" s="103"/>
      <c r="L4198" s="103">
        <v>3.7999999999999999E-2</v>
      </c>
      <c r="O4198" s="100"/>
    </row>
    <row r="4199" spans="2:15" x14ac:dyDescent="0.2">
      <c r="B4199" s="1">
        <f t="shared" si="236"/>
        <v>4184</v>
      </c>
      <c r="C4199" s="101">
        <f ca="1"/>
        <v>0.10674996722466355</v>
      </c>
      <c r="D4199" s="101">
        <f t="shared" ca="1" si="237"/>
        <v>0.67153631463408858</v>
      </c>
      <c r="E4199" s="101">
        <f t="shared" ca="1" si="238"/>
        <v>0</v>
      </c>
      <c r="F4199" s="21">
        <f t="shared" ca="1" si="239"/>
        <v>0</v>
      </c>
      <c r="H4199" s="21">
        <v>4184</v>
      </c>
      <c r="I4199" s="102">
        <v>0.66782829428190216</v>
      </c>
      <c r="J4199" s="103">
        <v>1.3604644396963161E-3</v>
      </c>
      <c r="K4199" s="103"/>
      <c r="L4199" s="103">
        <v>4.1399999999999999E-2</v>
      </c>
      <c r="O4199" s="100"/>
    </row>
    <row r="4200" spans="2:15" x14ac:dyDescent="0.2">
      <c r="B4200" s="1">
        <f t="shared" si="236"/>
        <v>4185</v>
      </c>
      <c r="C4200" s="101">
        <f ca="1"/>
        <v>-0.76481503913803994</v>
      </c>
      <c r="D4200" s="101">
        <f t="shared" ca="1" si="237"/>
        <v>0.61621490019898384</v>
      </c>
      <c r="E4200" s="101">
        <f t="shared" ca="1" si="238"/>
        <v>0</v>
      </c>
      <c r="F4200" s="21">
        <f t="shared" ca="1" si="239"/>
        <v>0</v>
      </c>
      <c r="H4200" s="21">
        <v>4185</v>
      </c>
      <c r="I4200" s="102">
        <v>0.66779815174755253</v>
      </c>
      <c r="J4200" s="103">
        <v>1.3601968219091813E-3</v>
      </c>
      <c r="K4200" s="103"/>
      <c r="L4200" s="103">
        <v>4.2000000000000003E-2</v>
      </c>
      <c r="O4200" s="100"/>
    </row>
    <row r="4201" spans="2:15" x14ac:dyDescent="0.2">
      <c r="B4201" s="1">
        <f t="shared" si="236"/>
        <v>4186</v>
      </c>
      <c r="C4201" s="101">
        <f ca="1"/>
        <v>-8.0738989788654195E-2</v>
      </c>
      <c r="D4201" s="101">
        <f t="shared" ca="1" si="237"/>
        <v>0.65923095444595214</v>
      </c>
      <c r="E4201" s="101">
        <f t="shared" ca="1" si="238"/>
        <v>0</v>
      </c>
      <c r="F4201" s="21">
        <f t="shared" ca="1" si="239"/>
        <v>0</v>
      </c>
      <c r="H4201" s="21">
        <v>4186</v>
      </c>
      <c r="I4201" s="102">
        <v>0.66781305286762993</v>
      </c>
      <c r="J4201" s="103">
        <v>1.4775678826108645E-3</v>
      </c>
      <c r="K4201" s="103"/>
      <c r="L4201" s="103">
        <v>4.4999999999999998E-2</v>
      </c>
      <c r="O4201" s="100"/>
    </row>
    <row r="4202" spans="2:15" x14ac:dyDescent="0.2">
      <c r="B4202" s="1">
        <f t="shared" si="236"/>
        <v>4187</v>
      </c>
      <c r="C4202" s="101">
        <f ca="1"/>
        <v>2.4869468679375197</v>
      </c>
      <c r="D4202" s="101">
        <f t="shared" ca="1" si="237"/>
        <v>0.84925022522398552</v>
      </c>
      <c r="E4202" s="101">
        <f t="shared" ca="1" si="238"/>
        <v>6.105022522398551E-2</v>
      </c>
      <c r="F4202" s="21">
        <f t="shared" ca="1" si="239"/>
        <v>1</v>
      </c>
      <c r="H4202" s="21">
        <v>4187</v>
      </c>
      <c r="I4202" s="102">
        <v>0.66793599680362492</v>
      </c>
      <c r="J4202" s="103">
        <v>1.4482982869929021E-3</v>
      </c>
      <c r="K4202" s="103"/>
      <c r="L4202" s="103">
        <v>4.7600000000000003E-2</v>
      </c>
      <c r="O4202" s="100"/>
    </row>
    <row r="4203" spans="2:15" x14ac:dyDescent="0.2">
      <c r="B4203" s="1">
        <f t="shared" si="236"/>
        <v>4188</v>
      </c>
      <c r="C4203" s="101">
        <f ca="1"/>
        <v>-2.1510553283984968</v>
      </c>
      <c r="D4203" s="101">
        <f t="shared" ca="1" si="237"/>
        <v>0.53746045580005852</v>
      </c>
      <c r="E4203" s="101">
        <f t="shared" ca="1" si="238"/>
        <v>0</v>
      </c>
      <c r="F4203" s="21">
        <f t="shared" ca="1" si="239"/>
        <v>0</v>
      </c>
      <c r="H4203" s="21">
        <v>4188</v>
      </c>
      <c r="I4203" s="102">
        <v>0.66774527074755685</v>
      </c>
      <c r="J4203" s="103">
        <v>1.4018345662930741E-3</v>
      </c>
      <c r="K4203" s="103"/>
      <c r="L4203" s="103">
        <v>4.0800000000000003E-2</v>
      </c>
      <c r="O4203" s="100"/>
    </row>
    <row r="4204" spans="2:15" x14ac:dyDescent="0.2">
      <c r="B4204" s="1">
        <f t="shared" si="236"/>
        <v>4189</v>
      </c>
      <c r="C4204" s="101">
        <f ca="1"/>
        <v>3.9932090304229464E-2</v>
      </c>
      <c r="D4204" s="101">
        <f t="shared" ca="1" si="237"/>
        <v>0.6671247703453701</v>
      </c>
      <c r="E4204" s="101">
        <f t="shared" ca="1" si="238"/>
        <v>0</v>
      </c>
      <c r="F4204" s="21">
        <f t="shared" ca="1" si="239"/>
        <v>0</v>
      </c>
      <c r="H4204" s="21">
        <v>4189</v>
      </c>
      <c r="I4204" s="102">
        <v>0.66768339262857013</v>
      </c>
      <c r="J4204" s="103">
        <v>1.2871144465568E-3</v>
      </c>
      <c r="K4204" s="103"/>
      <c r="L4204" s="103">
        <v>4.1200000000000001E-2</v>
      </c>
      <c r="O4204" s="100"/>
    </row>
    <row r="4205" spans="2:15" x14ac:dyDescent="0.2">
      <c r="B4205" s="1">
        <f t="shared" si="236"/>
        <v>4190</v>
      </c>
      <c r="C4205" s="101">
        <f ca="1"/>
        <v>1.0674690352421095</v>
      </c>
      <c r="D4205" s="101">
        <f t="shared" ca="1" si="237"/>
        <v>0.73828852016369162</v>
      </c>
      <c r="E4205" s="101">
        <f t="shared" ca="1" si="238"/>
        <v>0</v>
      </c>
      <c r="F4205" s="21">
        <f t="shared" ca="1" si="239"/>
        <v>0</v>
      </c>
      <c r="H4205" s="21">
        <v>4190</v>
      </c>
      <c r="I4205" s="102">
        <v>0.66786701384973024</v>
      </c>
      <c r="J4205" s="103">
        <v>1.5385188644637476E-3</v>
      </c>
      <c r="K4205" s="103"/>
      <c r="L4205" s="103">
        <v>4.4400000000000002E-2</v>
      </c>
      <c r="O4205" s="100"/>
    </row>
    <row r="4206" spans="2:15" x14ac:dyDescent="0.2">
      <c r="B4206" s="1">
        <f t="shared" si="236"/>
        <v>4191</v>
      </c>
      <c r="C4206" s="101">
        <f ca="1"/>
        <v>-0.27720511315957924</v>
      </c>
      <c r="D4206" s="101">
        <f t="shared" ca="1" si="237"/>
        <v>0.64657826873275115</v>
      </c>
      <c r="E4206" s="101">
        <f t="shared" ca="1" si="238"/>
        <v>0</v>
      </c>
      <c r="F4206" s="21">
        <f t="shared" ca="1" si="239"/>
        <v>0</v>
      </c>
      <c r="H4206" s="21">
        <v>4191</v>
      </c>
      <c r="I4206" s="102">
        <v>0.66776977554884509</v>
      </c>
      <c r="J4206" s="103">
        <v>1.407286666303418E-3</v>
      </c>
      <c r="K4206" s="103"/>
      <c r="L4206" s="103">
        <v>4.4600000000000001E-2</v>
      </c>
      <c r="O4206" s="100"/>
    </row>
    <row r="4207" spans="2:15" x14ac:dyDescent="0.2">
      <c r="B4207" s="1">
        <f t="shared" si="236"/>
        <v>4192</v>
      </c>
      <c r="C4207" s="101">
        <f ca="1"/>
        <v>1.1750320598671917</v>
      </c>
      <c r="D4207" s="101">
        <f t="shared" ca="1" si="237"/>
        <v>0.74616358296823049</v>
      </c>
      <c r="E4207" s="101">
        <f t="shared" ca="1" si="238"/>
        <v>0</v>
      </c>
      <c r="F4207" s="21">
        <f t="shared" ca="1" si="239"/>
        <v>0</v>
      </c>
      <c r="H4207" s="21">
        <v>4192</v>
      </c>
      <c r="I4207" s="102">
        <v>0.66769103387361106</v>
      </c>
      <c r="J4207" s="103">
        <v>1.1692972734550289E-3</v>
      </c>
      <c r="K4207" s="103"/>
      <c r="L4207" s="103">
        <v>3.78E-2</v>
      </c>
      <c r="O4207" s="100"/>
    </row>
    <row r="4208" spans="2:15" x14ac:dyDescent="0.2">
      <c r="B4208" s="1">
        <f t="shared" ref="B4208:B4271" si="240">B4207+1</f>
        <v>4193</v>
      </c>
      <c r="C4208" s="101">
        <f ca="1"/>
        <v>0.24358178721869081</v>
      </c>
      <c r="D4208" s="101">
        <f t="shared" ca="1" si="237"/>
        <v>0.68066166817382512</v>
      </c>
      <c r="E4208" s="101">
        <f t="shared" ca="1" si="238"/>
        <v>0</v>
      </c>
      <c r="F4208" s="21">
        <f t="shared" ca="1" si="239"/>
        <v>0</v>
      </c>
      <c r="H4208" s="21">
        <v>4193</v>
      </c>
      <c r="I4208" s="102">
        <v>0.66773147858740289</v>
      </c>
      <c r="J4208" s="103">
        <v>1.3736228635403804E-3</v>
      </c>
      <c r="K4208" s="103"/>
      <c r="L4208" s="103">
        <v>3.9E-2</v>
      </c>
      <c r="O4208" s="100"/>
    </row>
    <row r="4209" spans="2:15" x14ac:dyDescent="0.2">
      <c r="B4209" s="1">
        <f t="shared" si="240"/>
        <v>4194</v>
      </c>
      <c r="C4209" s="101">
        <f ca="1"/>
        <v>-0.78934710721201984</v>
      </c>
      <c r="D4209" s="101">
        <f t="shared" ca="1" si="237"/>
        <v>0.61472553948524655</v>
      </c>
      <c r="E4209" s="101">
        <f t="shared" ca="1" si="238"/>
        <v>0</v>
      </c>
      <c r="F4209" s="21">
        <f t="shared" ca="1" si="239"/>
        <v>0</v>
      </c>
      <c r="H4209" s="21">
        <v>4194</v>
      </c>
      <c r="I4209" s="102">
        <v>0.66767146913778541</v>
      </c>
      <c r="J4209" s="103">
        <v>1.2534676486027057E-3</v>
      </c>
      <c r="K4209" s="103"/>
      <c r="L4209" s="103">
        <v>0.04</v>
      </c>
      <c r="O4209" s="100"/>
    </row>
    <row r="4210" spans="2:15" x14ac:dyDescent="0.2">
      <c r="B4210" s="1">
        <f t="shared" si="240"/>
        <v>4195</v>
      </c>
      <c r="C4210" s="101">
        <f ca="1"/>
        <v>-0.80376156555485501</v>
      </c>
      <c r="D4210" s="101">
        <f t="shared" ca="1" si="237"/>
        <v>0.61385210613980379</v>
      </c>
      <c r="E4210" s="101">
        <f t="shared" ca="1" si="238"/>
        <v>0</v>
      </c>
      <c r="F4210" s="21">
        <f t="shared" ca="1" si="239"/>
        <v>0</v>
      </c>
      <c r="H4210" s="21">
        <v>4195</v>
      </c>
      <c r="I4210" s="102">
        <v>0.6678410872701378</v>
      </c>
      <c r="J4210" s="103">
        <v>1.5428039190040154E-3</v>
      </c>
      <c r="K4210" s="103"/>
      <c r="L4210" s="103">
        <v>4.8000000000000001E-2</v>
      </c>
      <c r="O4210" s="100"/>
    </row>
    <row r="4211" spans="2:15" x14ac:dyDescent="0.2">
      <c r="B4211" s="1">
        <f t="shared" si="240"/>
        <v>4196</v>
      </c>
      <c r="C4211" s="101">
        <f ca="1"/>
        <v>-0.68687145794869464</v>
      </c>
      <c r="D4211" s="101">
        <f t="shared" ca="1" si="237"/>
        <v>0.62097090242512343</v>
      </c>
      <c r="E4211" s="101">
        <f t="shared" ca="1" si="238"/>
        <v>0</v>
      </c>
      <c r="F4211" s="21">
        <f t="shared" ca="1" si="239"/>
        <v>0</v>
      </c>
      <c r="H4211" s="21">
        <v>4196</v>
      </c>
      <c r="I4211" s="102">
        <v>0.6677879097738405</v>
      </c>
      <c r="J4211" s="103">
        <v>1.4313125309439387E-3</v>
      </c>
      <c r="K4211" s="103"/>
      <c r="L4211" s="103">
        <v>4.24E-2</v>
      </c>
      <c r="O4211" s="100"/>
    </row>
    <row r="4212" spans="2:15" x14ac:dyDescent="0.2">
      <c r="B4212" s="1">
        <f t="shared" si="240"/>
        <v>4197</v>
      </c>
      <c r="C4212" s="101">
        <f ca="1"/>
        <v>-0.86349744715466259</v>
      </c>
      <c r="D4212" s="101">
        <f t="shared" ca="1" si="237"/>
        <v>0.61024566347174514</v>
      </c>
      <c r="E4212" s="101">
        <f t="shared" ca="1" si="238"/>
        <v>0</v>
      </c>
      <c r="F4212" s="21">
        <f t="shared" ca="1" si="239"/>
        <v>0</v>
      </c>
      <c r="H4212" s="21">
        <v>4197</v>
      </c>
      <c r="I4212" s="102">
        <v>0.66770360427365127</v>
      </c>
      <c r="J4212" s="103">
        <v>1.3112362736315986E-3</v>
      </c>
      <c r="K4212" s="103"/>
      <c r="L4212" s="103">
        <v>4.02E-2</v>
      </c>
      <c r="O4212" s="100"/>
    </row>
    <row r="4213" spans="2:15" x14ac:dyDescent="0.2">
      <c r="B4213" s="1">
        <f t="shared" si="240"/>
        <v>4198</v>
      </c>
      <c r="C4213" s="101">
        <f ca="1"/>
        <v>-0.70781504861451927</v>
      </c>
      <c r="D4213" s="101">
        <f t="shared" ca="1" si="237"/>
        <v>0.61968936066025393</v>
      </c>
      <c r="E4213" s="101">
        <f t="shared" ca="1" si="238"/>
        <v>0</v>
      </c>
      <c r="F4213" s="21">
        <f t="shared" ca="1" si="239"/>
        <v>0</v>
      </c>
      <c r="H4213" s="21">
        <v>4198</v>
      </c>
      <c r="I4213" s="102">
        <v>0.66763741599863247</v>
      </c>
      <c r="J4213" s="103">
        <v>1.1538155871092626E-3</v>
      </c>
      <c r="K4213" s="103"/>
      <c r="L4213" s="103">
        <v>4.1200000000000001E-2</v>
      </c>
      <c r="O4213" s="100"/>
    </row>
    <row r="4214" spans="2:15" x14ac:dyDescent="0.2">
      <c r="B4214" s="1">
        <f t="shared" si="240"/>
        <v>4199</v>
      </c>
      <c r="C4214" s="101">
        <f ca="1"/>
        <v>-0.93129574679267224</v>
      </c>
      <c r="D4214" s="101">
        <f t="shared" ca="1" si="237"/>
        <v>0.60617813131286924</v>
      </c>
      <c r="E4214" s="101">
        <f t="shared" ca="1" si="238"/>
        <v>0</v>
      </c>
      <c r="F4214" s="21">
        <f t="shared" ca="1" si="239"/>
        <v>0</v>
      </c>
      <c r="H4214" s="21">
        <v>4199</v>
      </c>
      <c r="I4214" s="102">
        <v>0.66768702524512769</v>
      </c>
      <c r="J4214" s="103">
        <v>1.2465286326355735E-3</v>
      </c>
      <c r="K4214" s="103"/>
      <c r="L4214" s="103">
        <v>4.1200000000000001E-2</v>
      </c>
      <c r="O4214" s="100"/>
    </row>
    <row r="4215" spans="2:15" x14ac:dyDescent="0.2">
      <c r="B4215" s="1">
        <f t="shared" si="240"/>
        <v>4200</v>
      </c>
      <c r="C4215" s="101">
        <f ca="1"/>
        <v>0.33508438512833805</v>
      </c>
      <c r="D4215" s="101">
        <f t="shared" ca="1" si="237"/>
        <v>0.68683308742122173</v>
      </c>
      <c r="E4215" s="101">
        <f t="shared" ca="1" si="238"/>
        <v>0</v>
      </c>
      <c r="F4215" s="21">
        <f t="shared" ca="1" si="239"/>
        <v>0</v>
      </c>
      <c r="H4215" s="21">
        <v>4200</v>
      </c>
      <c r="I4215" s="102">
        <v>0.66779323994849937</v>
      </c>
      <c r="J4215" s="103">
        <v>1.4612440454227452E-3</v>
      </c>
      <c r="K4215" s="103"/>
      <c r="L4215" s="103">
        <v>4.1200000000000001E-2</v>
      </c>
      <c r="O4215" s="100"/>
    </row>
    <row r="4216" spans="2:15" x14ac:dyDescent="0.2">
      <c r="B4216" s="1">
        <f t="shared" si="240"/>
        <v>4201</v>
      </c>
      <c r="C4216" s="101">
        <f ca="1"/>
        <v>0.62629674242028066</v>
      </c>
      <c r="D4216" s="101">
        <f t="shared" ca="1" si="237"/>
        <v>0.70684886745961895</v>
      </c>
      <c r="E4216" s="101">
        <f t="shared" ca="1" si="238"/>
        <v>0</v>
      </c>
      <c r="F4216" s="21">
        <f t="shared" ca="1" si="239"/>
        <v>0</v>
      </c>
      <c r="H4216" s="21">
        <v>4201</v>
      </c>
      <c r="I4216" s="102">
        <v>0.66770055895030278</v>
      </c>
      <c r="J4216" s="103">
        <v>1.416936385049034E-3</v>
      </c>
      <c r="K4216" s="103"/>
      <c r="L4216" s="103">
        <v>3.9800000000000002E-2</v>
      </c>
      <c r="O4216" s="100"/>
    </row>
    <row r="4217" spans="2:15" x14ac:dyDescent="0.2">
      <c r="B4217" s="1">
        <f t="shared" si="240"/>
        <v>4202</v>
      </c>
      <c r="C4217" s="101">
        <f ca="1"/>
        <v>-1.6071678902342161</v>
      </c>
      <c r="D4217" s="101">
        <f t="shared" ca="1" si="237"/>
        <v>0.56708259576332776</v>
      </c>
      <c r="E4217" s="101">
        <f t="shared" ca="1" si="238"/>
        <v>0</v>
      </c>
      <c r="F4217" s="21">
        <f t="shared" ca="1" si="239"/>
        <v>0</v>
      </c>
      <c r="H4217" s="21">
        <v>4202</v>
      </c>
      <c r="I4217" s="102">
        <v>0.66778793720864049</v>
      </c>
      <c r="J4217" s="103">
        <v>1.4180171021760677E-3</v>
      </c>
      <c r="K4217" s="103"/>
      <c r="L4217" s="103">
        <v>4.2200000000000001E-2</v>
      </c>
      <c r="O4217" s="100"/>
    </row>
    <row r="4218" spans="2:15" x14ac:dyDescent="0.2">
      <c r="B4218" s="1">
        <f t="shared" si="240"/>
        <v>4203</v>
      </c>
      <c r="C4218" s="101">
        <f ca="1"/>
        <v>-0.73090789907168663</v>
      </c>
      <c r="D4218" s="101">
        <f t="shared" ca="1" si="237"/>
        <v>0.61827937097399244</v>
      </c>
      <c r="E4218" s="101">
        <f t="shared" ca="1" si="238"/>
        <v>0</v>
      </c>
      <c r="F4218" s="21">
        <f t="shared" ca="1" si="239"/>
        <v>0</v>
      </c>
      <c r="H4218" s="21">
        <v>4203</v>
      </c>
      <c r="I4218" s="102">
        <v>0.66774678299376089</v>
      </c>
      <c r="J4218" s="103">
        <v>1.4373435303090447E-3</v>
      </c>
      <c r="K4218" s="103"/>
      <c r="L4218" s="103">
        <v>4.2599999999999999E-2</v>
      </c>
      <c r="O4218" s="100"/>
    </row>
    <row r="4219" spans="2:15" x14ac:dyDescent="0.2">
      <c r="B4219" s="1">
        <f t="shared" si="240"/>
        <v>4204</v>
      </c>
      <c r="C4219" s="101">
        <f ca="1"/>
        <v>0.20626655325749202</v>
      </c>
      <c r="D4219" s="101">
        <f t="shared" ca="1" si="237"/>
        <v>0.67816087757686971</v>
      </c>
      <c r="E4219" s="101">
        <f t="shared" ca="1" si="238"/>
        <v>0</v>
      </c>
      <c r="F4219" s="21">
        <f t="shared" ca="1" si="239"/>
        <v>0</v>
      </c>
      <c r="H4219" s="21">
        <v>4204</v>
      </c>
      <c r="I4219" s="102">
        <v>0.66763273629537268</v>
      </c>
      <c r="J4219" s="103">
        <v>1.2153176859359797E-3</v>
      </c>
      <c r="K4219" s="103"/>
      <c r="L4219" s="103">
        <v>4.1000000000000002E-2</v>
      </c>
      <c r="O4219" s="100"/>
    </row>
    <row r="4220" spans="2:15" x14ac:dyDescent="0.2">
      <c r="B4220" s="1">
        <f t="shared" si="240"/>
        <v>4205</v>
      </c>
      <c r="C4220" s="101">
        <f ca="1"/>
        <v>-1.2754351649398186</v>
      </c>
      <c r="D4220" s="101">
        <f t="shared" ca="1" si="237"/>
        <v>0.58594593280474128</v>
      </c>
      <c r="E4220" s="101">
        <f t="shared" ca="1" si="238"/>
        <v>0</v>
      </c>
      <c r="F4220" s="21">
        <f t="shared" ca="1" si="239"/>
        <v>0</v>
      </c>
      <c r="H4220" s="21">
        <v>4205</v>
      </c>
      <c r="I4220" s="102">
        <v>0.66772282506792624</v>
      </c>
      <c r="J4220" s="103">
        <v>1.4878012770320806E-3</v>
      </c>
      <c r="K4220" s="103"/>
      <c r="L4220" s="103">
        <v>4.36E-2</v>
      </c>
      <c r="O4220" s="100"/>
    </row>
    <row r="4221" spans="2:15" x14ac:dyDescent="0.2">
      <c r="B4221" s="1">
        <f t="shared" si="240"/>
        <v>4206</v>
      </c>
      <c r="C4221" s="101">
        <f ca="1"/>
        <v>-0.92275729477307289</v>
      </c>
      <c r="D4221" s="101">
        <f t="shared" ca="1" si="237"/>
        <v>0.60668889640890833</v>
      </c>
      <c r="E4221" s="101">
        <f t="shared" ca="1" si="238"/>
        <v>0</v>
      </c>
      <c r="F4221" s="21">
        <f t="shared" ca="1" si="239"/>
        <v>0</v>
      </c>
      <c r="H4221" s="21">
        <v>4206</v>
      </c>
      <c r="I4221" s="102">
        <v>0.66774119085892714</v>
      </c>
      <c r="J4221" s="103">
        <v>1.3337784350642985E-3</v>
      </c>
      <c r="K4221" s="103"/>
      <c r="L4221" s="103">
        <v>4.1799999999999997E-2</v>
      </c>
      <c r="O4221" s="100"/>
    </row>
    <row r="4222" spans="2:15" x14ac:dyDescent="0.2">
      <c r="B4222" s="1">
        <f t="shared" si="240"/>
        <v>4207</v>
      </c>
      <c r="C4222" s="101">
        <f ca="1"/>
        <v>0.513074470780567</v>
      </c>
      <c r="D4222" s="101">
        <f t="shared" ca="1" si="237"/>
        <v>0.69899842016485836</v>
      </c>
      <c r="E4222" s="101">
        <f t="shared" ca="1" si="238"/>
        <v>0</v>
      </c>
      <c r="F4222" s="21">
        <f t="shared" ca="1" si="239"/>
        <v>0</v>
      </c>
      <c r="H4222" s="21">
        <v>4207</v>
      </c>
      <c r="I4222" s="102">
        <v>0.66760547578576634</v>
      </c>
      <c r="J4222" s="103">
        <v>1.3123334319754146E-3</v>
      </c>
      <c r="K4222" s="103"/>
      <c r="L4222" s="103">
        <v>3.6999999999999998E-2</v>
      </c>
      <c r="O4222" s="100"/>
    </row>
    <row r="4223" spans="2:15" x14ac:dyDescent="0.2">
      <c r="B4223" s="1">
        <f t="shared" si="240"/>
        <v>4208</v>
      </c>
      <c r="C4223" s="101">
        <f ca="1"/>
        <v>-1.2186179306717526</v>
      </c>
      <c r="D4223" s="101">
        <f t="shared" ca="1" si="237"/>
        <v>0.5892391024996948</v>
      </c>
      <c r="E4223" s="101">
        <f t="shared" ca="1" si="238"/>
        <v>0</v>
      </c>
      <c r="F4223" s="21">
        <f t="shared" ca="1" si="239"/>
        <v>0</v>
      </c>
      <c r="H4223" s="21">
        <v>4208</v>
      </c>
      <c r="I4223" s="102">
        <v>0.66771512639915687</v>
      </c>
      <c r="J4223" s="103">
        <v>1.4182318602169838E-3</v>
      </c>
      <c r="K4223" s="103"/>
      <c r="L4223" s="103">
        <v>3.9399999999999998E-2</v>
      </c>
      <c r="O4223" s="100"/>
    </row>
    <row r="4224" spans="2:15" x14ac:dyDescent="0.2">
      <c r="B4224" s="1">
        <f t="shared" si="240"/>
        <v>4209</v>
      </c>
      <c r="C4224" s="101">
        <f ca="1"/>
        <v>-1.4274553892132822</v>
      </c>
      <c r="D4224" s="101">
        <f t="shared" ca="1" si="237"/>
        <v>0.57722494545878889</v>
      </c>
      <c r="E4224" s="101">
        <f t="shared" ca="1" si="238"/>
        <v>0</v>
      </c>
      <c r="F4224" s="21">
        <f t="shared" ca="1" si="239"/>
        <v>0</v>
      </c>
      <c r="H4224" s="21">
        <v>4209</v>
      </c>
      <c r="I4224" s="102">
        <v>0.66752196243524764</v>
      </c>
      <c r="J4224" s="103">
        <v>1.0215535855190735E-3</v>
      </c>
      <c r="K4224" s="103"/>
      <c r="L4224" s="103">
        <v>3.4599999999999999E-2</v>
      </c>
      <c r="O4224" s="100"/>
    </row>
    <row r="4225" spans="2:15" x14ac:dyDescent="0.2">
      <c r="B4225" s="1">
        <f t="shared" si="240"/>
        <v>4210</v>
      </c>
      <c r="C4225" s="101">
        <f ca="1"/>
        <v>-0.54095199195559662</v>
      </c>
      <c r="D4225" s="101">
        <f t="shared" ca="1" si="237"/>
        <v>0.62997360042367301</v>
      </c>
      <c r="E4225" s="101">
        <f t="shared" ca="1" si="238"/>
        <v>0</v>
      </c>
      <c r="F4225" s="21">
        <f t="shared" ca="1" si="239"/>
        <v>0</v>
      </c>
      <c r="H4225" s="21">
        <v>4210</v>
      </c>
      <c r="I4225" s="102">
        <v>0.66760665903377836</v>
      </c>
      <c r="J4225" s="103">
        <v>1.2771193993002092E-3</v>
      </c>
      <c r="K4225" s="103"/>
      <c r="L4225" s="103">
        <v>4.0599999999999997E-2</v>
      </c>
      <c r="O4225" s="100"/>
    </row>
    <row r="4226" spans="2:15" x14ac:dyDescent="0.2">
      <c r="B4226" s="1">
        <f t="shared" si="240"/>
        <v>4211</v>
      </c>
      <c r="C4226" s="101">
        <f ca="1"/>
        <v>-0.75045889781739705</v>
      </c>
      <c r="D4226" s="101">
        <f t="shared" ca="1" si="237"/>
        <v>0.61708814570910686</v>
      </c>
      <c r="E4226" s="101">
        <f t="shared" ca="1" si="238"/>
        <v>0</v>
      </c>
      <c r="F4226" s="21">
        <f t="shared" ca="1" si="239"/>
        <v>0</v>
      </c>
      <c r="H4226" s="21">
        <v>4211</v>
      </c>
      <c r="I4226" s="102">
        <v>0.66788312535087835</v>
      </c>
      <c r="J4226" s="103">
        <v>1.5061725641823212E-3</v>
      </c>
      <c r="K4226" s="103"/>
      <c r="L4226" s="103">
        <v>4.7399999999999998E-2</v>
      </c>
      <c r="O4226" s="100"/>
    </row>
    <row r="4227" spans="2:15" x14ac:dyDescent="0.2">
      <c r="B4227" s="1">
        <f t="shared" si="240"/>
        <v>4212</v>
      </c>
      <c r="C4227" s="101">
        <f ca="1"/>
        <v>0.29640056830451189</v>
      </c>
      <c r="D4227" s="101">
        <f t="shared" ca="1" si="237"/>
        <v>0.68421724790899097</v>
      </c>
      <c r="E4227" s="101">
        <f t="shared" ca="1" si="238"/>
        <v>0</v>
      </c>
      <c r="F4227" s="21">
        <f t="shared" ca="1" si="239"/>
        <v>0</v>
      </c>
      <c r="H4227" s="21">
        <v>4212</v>
      </c>
      <c r="I4227" s="102">
        <v>0.66762273178089315</v>
      </c>
      <c r="J4227" s="103">
        <v>1.3420475433840581E-3</v>
      </c>
      <c r="K4227" s="103"/>
      <c r="L4227" s="103">
        <v>3.9399999999999998E-2</v>
      </c>
      <c r="O4227" s="100"/>
    </row>
    <row r="4228" spans="2:15" x14ac:dyDescent="0.2">
      <c r="B4228" s="1">
        <f t="shared" si="240"/>
        <v>4213</v>
      </c>
      <c r="C4228" s="101">
        <f ca="1"/>
        <v>-0.72860803660616891</v>
      </c>
      <c r="D4228" s="101">
        <f t="shared" ca="1" si="237"/>
        <v>0.61841965066022841</v>
      </c>
      <c r="E4228" s="101">
        <f t="shared" ca="1" si="238"/>
        <v>0</v>
      </c>
      <c r="F4228" s="21">
        <f t="shared" ca="1" si="239"/>
        <v>0</v>
      </c>
      <c r="H4228" s="21">
        <v>4213</v>
      </c>
      <c r="I4228" s="102">
        <v>0.66779319013539706</v>
      </c>
      <c r="J4228" s="103">
        <v>1.3800990312571792E-3</v>
      </c>
      <c r="K4228" s="103"/>
      <c r="L4228" s="103">
        <v>4.0800000000000003E-2</v>
      </c>
      <c r="O4228" s="100"/>
    </row>
    <row r="4229" spans="2:15" x14ac:dyDescent="0.2">
      <c r="B4229" s="1">
        <f t="shared" si="240"/>
        <v>4214</v>
      </c>
      <c r="C4229" s="101">
        <f ca="1"/>
        <v>0.11125191284245986</v>
      </c>
      <c r="D4229" s="101">
        <f t="shared" ca="1" si="237"/>
        <v>0.67183459528491796</v>
      </c>
      <c r="E4229" s="101">
        <f t="shared" ca="1" si="238"/>
        <v>0</v>
      </c>
      <c r="F4229" s="21">
        <f t="shared" ca="1" si="239"/>
        <v>0</v>
      </c>
      <c r="H4229" s="21">
        <v>4214</v>
      </c>
      <c r="I4229" s="102">
        <v>0.66771996192035854</v>
      </c>
      <c r="J4229" s="103">
        <v>1.361598087194982E-3</v>
      </c>
      <c r="K4229" s="103"/>
      <c r="L4229" s="103">
        <v>4.1200000000000001E-2</v>
      </c>
      <c r="O4229" s="100"/>
    </row>
    <row r="4230" spans="2:15" x14ac:dyDescent="0.2">
      <c r="B4230" s="1">
        <f t="shared" si="240"/>
        <v>4215</v>
      </c>
      <c r="C4230" s="101">
        <f ca="1"/>
        <v>1.0140964111100841</v>
      </c>
      <c r="D4230" s="101">
        <f t="shared" ca="1" si="237"/>
        <v>0.73441183217596806</v>
      </c>
      <c r="E4230" s="101">
        <f t="shared" ca="1" si="238"/>
        <v>0</v>
      </c>
      <c r="F4230" s="21">
        <f t="shared" ca="1" si="239"/>
        <v>0</v>
      </c>
      <c r="H4230" s="21">
        <v>4215</v>
      </c>
      <c r="I4230" s="102">
        <v>0.66773713760319742</v>
      </c>
      <c r="J4230" s="103">
        <v>1.43261510632337E-3</v>
      </c>
      <c r="K4230" s="103"/>
      <c r="L4230" s="103">
        <v>4.1799999999999997E-2</v>
      </c>
      <c r="O4230" s="100"/>
    </row>
    <row r="4231" spans="2:15" x14ac:dyDescent="0.2">
      <c r="B4231" s="1">
        <f t="shared" si="240"/>
        <v>4216</v>
      </c>
      <c r="C4231" s="101">
        <f ca="1"/>
        <v>0.218296770607738</v>
      </c>
      <c r="D4231" s="101">
        <f t="shared" ca="1" si="237"/>
        <v>0.67896611289610809</v>
      </c>
      <c r="E4231" s="101">
        <f t="shared" ca="1" si="238"/>
        <v>0</v>
      </c>
      <c r="F4231" s="21">
        <f t="shared" ca="1" si="239"/>
        <v>0</v>
      </c>
      <c r="H4231" s="21">
        <v>4216</v>
      </c>
      <c r="I4231" s="102">
        <v>0.66772362938394403</v>
      </c>
      <c r="J4231" s="103">
        <v>1.3921031543301296E-3</v>
      </c>
      <c r="K4231" s="103"/>
      <c r="L4231" s="103">
        <v>4.2200000000000001E-2</v>
      </c>
      <c r="O4231" s="100"/>
    </row>
    <row r="4232" spans="2:15" x14ac:dyDescent="0.2">
      <c r="B4232" s="1">
        <f t="shared" si="240"/>
        <v>4217</v>
      </c>
      <c r="C4232" s="101">
        <f ca="1"/>
        <v>-1.3958870185921539</v>
      </c>
      <c r="D4232" s="101">
        <f t="shared" ca="1" si="237"/>
        <v>0.57902519421253584</v>
      </c>
      <c r="E4232" s="101">
        <f t="shared" ca="1" si="238"/>
        <v>0</v>
      </c>
      <c r="F4232" s="21">
        <f t="shared" ca="1" si="239"/>
        <v>0</v>
      </c>
      <c r="H4232" s="21">
        <v>4217</v>
      </c>
      <c r="I4232" s="102">
        <v>0.66771026678256662</v>
      </c>
      <c r="J4232" s="103">
        <v>1.2759488418707973E-3</v>
      </c>
      <c r="K4232" s="103"/>
      <c r="L4232" s="103">
        <v>4.1599999999999998E-2</v>
      </c>
      <c r="O4232" s="100"/>
    </row>
    <row r="4233" spans="2:15" x14ac:dyDescent="0.2">
      <c r="B4233" s="1">
        <f t="shared" si="240"/>
        <v>4218</v>
      </c>
      <c r="C4233" s="101">
        <f ca="1"/>
        <v>0.25880528890097138</v>
      </c>
      <c r="D4233" s="101">
        <f t="shared" ca="1" si="237"/>
        <v>0.68168456275401457</v>
      </c>
      <c r="E4233" s="101">
        <f t="shared" ca="1" si="238"/>
        <v>0</v>
      </c>
      <c r="F4233" s="21">
        <f t="shared" ca="1" si="239"/>
        <v>0</v>
      </c>
      <c r="H4233" s="21">
        <v>4218</v>
      </c>
      <c r="I4233" s="102">
        <v>0.6677158891085655</v>
      </c>
      <c r="J4233" s="103">
        <v>1.2461172314872455E-3</v>
      </c>
      <c r="K4233" s="103"/>
      <c r="L4233" s="103">
        <v>4.0800000000000003E-2</v>
      </c>
      <c r="O4233" s="100"/>
    </row>
    <row r="4234" spans="2:15" x14ac:dyDescent="0.2">
      <c r="B4234" s="1">
        <f t="shared" si="240"/>
        <v>4219</v>
      </c>
      <c r="C4234" s="101">
        <f ca="1"/>
        <v>-0.37375111760525009</v>
      </c>
      <c r="D4234" s="101">
        <f t="shared" ca="1" si="237"/>
        <v>0.64044985657521825</v>
      </c>
      <c r="E4234" s="101">
        <f t="shared" ca="1" si="238"/>
        <v>0</v>
      </c>
      <c r="F4234" s="21">
        <f t="shared" ca="1" si="239"/>
        <v>0</v>
      </c>
      <c r="H4234" s="21">
        <v>4219</v>
      </c>
      <c r="I4234" s="102">
        <v>0.6678267976013551</v>
      </c>
      <c r="J4234" s="103">
        <v>1.3477680948040954E-3</v>
      </c>
      <c r="K4234" s="103"/>
      <c r="L4234" s="103">
        <v>4.2999999999999997E-2</v>
      </c>
      <c r="O4234" s="100"/>
    </row>
    <row r="4235" spans="2:15" x14ac:dyDescent="0.2">
      <c r="B4235" s="1">
        <f t="shared" si="240"/>
        <v>4220</v>
      </c>
      <c r="C4235" s="101">
        <f ca="1"/>
        <v>3.5912941931919438</v>
      </c>
      <c r="D4235" s="101">
        <f t="shared" ca="1" si="237"/>
        <v>0.9469896430277347</v>
      </c>
      <c r="E4235" s="101">
        <f t="shared" ca="1" si="238"/>
        <v>0.15878964302773468</v>
      </c>
      <c r="F4235" s="21">
        <f t="shared" ca="1" si="239"/>
        <v>1</v>
      </c>
      <c r="H4235" s="21">
        <v>4220</v>
      </c>
      <c r="I4235" s="102">
        <v>0.66780205508483736</v>
      </c>
      <c r="J4235" s="103">
        <v>1.3824512974610168E-3</v>
      </c>
      <c r="K4235" s="103"/>
      <c r="L4235" s="103">
        <v>4.4200000000000003E-2</v>
      </c>
      <c r="O4235" s="100"/>
    </row>
    <row r="4236" spans="2:15" x14ac:dyDescent="0.2">
      <c r="B4236" s="1">
        <f t="shared" si="240"/>
        <v>4221</v>
      </c>
      <c r="C4236" s="101">
        <f ca="1"/>
        <v>-0.81104863058104115</v>
      </c>
      <c r="D4236" s="101">
        <f t="shared" ca="1" si="237"/>
        <v>0.61341102425820238</v>
      </c>
      <c r="E4236" s="101">
        <f t="shared" ca="1" si="238"/>
        <v>0</v>
      </c>
      <c r="F4236" s="21">
        <f t="shared" ca="1" si="239"/>
        <v>0</v>
      </c>
      <c r="H4236" s="21">
        <v>4221</v>
      </c>
      <c r="I4236" s="102">
        <v>0.66792199331566904</v>
      </c>
      <c r="J4236" s="103">
        <v>1.6349356877142626E-3</v>
      </c>
      <c r="K4236" s="103"/>
      <c r="L4236" s="103">
        <v>4.8399999999999999E-2</v>
      </c>
      <c r="O4236" s="100"/>
    </row>
    <row r="4237" spans="2:15" x14ac:dyDescent="0.2">
      <c r="B4237" s="1">
        <f t="shared" si="240"/>
        <v>4222</v>
      </c>
      <c r="C4237" s="101">
        <f ca="1"/>
        <v>-0.43121932514527428</v>
      </c>
      <c r="D4237" s="101">
        <f t="shared" ca="1" si="237"/>
        <v>0.63682958362726594</v>
      </c>
      <c r="E4237" s="101">
        <f t="shared" ca="1" si="238"/>
        <v>0</v>
      </c>
      <c r="F4237" s="21">
        <f t="shared" ca="1" si="239"/>
        <v>0</v>
      </c>
      <c r="H4237" s="21">
        <v>4222</v>
      </c>
      <c r="I4237" s="102">
        <v>0.66771640530181864</v>
      </c>
      <c r="J4237" s="103">
        <v>1.3893786167858387E-3</v>
      </c>
      <c r="K4237" s="103"/>
      <c r="L4237" s="103">
        <v>4.3999999999999997E-2</v>
      </c>
      <c r="O4237" s="100"/>
    </row>
    <row r="4238" spans="2:15" x14ac:dyDescent="0.2">
      <c r="B4238" s="1">
        <f t="shared" si="240"/>
        <v>4223</v>
      </c>
      <c r="C4238" s="101">
        <f ca="1"/>
        <v>0.6410331856360636</v>
      </c>
      <c r="D4238" s="101">
        <f t="shared" ca="1" si="237"/>
        <v>0.70787710588727304</v>
      </c>
      <c r="E4238" s="101">
        <f t="shared" ca="1" si="238"/>
        <v>0</v>
      </c>
      <c r="F4238" s="21">
        <f t="shared" ca="1" si="239"/>
        <v>0</v>
      </c>
      <c r="H4238" s="21">
        <v>4223</v>
      </c>
      <c r="I4238" s="102">
        <v>0.66768036805111075</v>
      </c>
      <c r="J4238" s="103">
        <v>1.4631214035934097E-3</v>
      </c>
      <c r="K4238" s="103"/>
      <c r="L4238" s="103">
        <v>4.1599999999999998E-2</v>
      </c>
      <c r="O4238" s="100"/>
    </row>
    <row r="4239" spans="2:15" x14ac:dyDescent="0.2">
      <c r="B4239" s="1">
        <f t="shared" si="240"/>
        <v>4224</v>
      </c>
      <c r="C4239" s="101">
        <f ca="1"/>
        <v>0.11903356371730826</v>
      </c>
      <c r="D4239" s="101">
        <f t="shared" ca="1" si="237"/>
        <v>0.6723504883591942</v>
      </c>
      <c r="E4239" s="101">
        <f t="shared" ca="1" si="238"/>
        <v>0</v>
      </c>
      <c r="F4239" s="21">
        <f t="shared" ca="1" si="239"/>
        <v>0</v>
      </c>
      <c r="H4239" s="21">
        <v>4224</v>
      </c>
      <c r="I4239" s="102">
        <v>0.66774055348855021</v>
      </c>
      <c r="J4239" s="103">
        <v>1.2111824045526974E-3</v>
      </c>
      <c r="K4239" s="103"/>
      <c r="L4239" s="103">
        <v>4.0399999999999998E-2</v>
      </c>
      <c r="O4239" s="100"/>
    </row>
    <row r="4240" spans="2:15" x14ac:dyDescent="0.2">
      <c r="B4240" s="1">
        <f t="shared" si="240"/>
        <v>4225</v>
      </c>
      <c r="C4240" s="101">
        <f ca="1"/>
        <v>3.0687904246597189E-3</v>
      </c>
      <c r="D4240" s="101">
        <f t="shared" ref="D4240:D4303" ca="1" si="241">S0*EXP((μ-0.5*σ*σ)*T+σ*SQRT(T)*$C4240)</f>
        <v>0.66470334649973151</v>
      </c>
      <c r="E4240" s="101">
        <f t="shared" ref="E4240:E4303" ca="1" si="242">MAX(0,CP*(D4240-K))</f>
        <v>0</v>
      </c>
      <c r="F4240" s="21">
        <f t="shared" ref="F4240:F4303" ca="1" si="243">(CP*(D4240-K)&gt;0)*1</f>
        <v>0</v>
      </c>
      <c r="H4240" s="21">
        <v>4225</v>
      </c>
      <c r="I4240" s="102">
        <v>0.66783126248643621</v>
      </c>
      <c r="J4240" s="103">
        <v>1.5843466761044527E-3</v>
      </c>
      <c r="K4240" s="103"/>
      <c r="L4240" s="103">
        <v>4.2200000000000001E-2</v>
      </c>
      <c r="O4240" s="100"/>
    </row>
    <row r="4241" spans="2:15" x14ac:dyDescent="0.2">
      <c r="B4241" s="1">
        <f t="shared" si="240"/>
        <v>4226</v>
      </c>
      <c r="C4241" s="101">
        <f ca="1"/>
        <v>-0.33010519624740653</v>
      </c>
      <c r="D4241" s="101">
        <f t="shared" ca="1" si="241"/>
        <v>0.6432131239967428</v>
      </c>
      <c r="E4241" s="101">
        <f t="shared" ca="1" si="242"/>
        <v>0</v>
      </c>
      <c r="F4241" s="21">
        <f t="shared" ca="1" si="243"/>
        <v>0</v>
      </c>
      <c r="H4241" s="21">
        <v>4226</v>
      </c>
      <c r="I4241" s="102">
        <v>0.66769831700660531</v>
      </c>
      <c r="J4241" s="103">
        <v>1.3622082255750558E-3</v>
      </c>
      <c r="K4241" s="103"/>
      <c r="L4241" s="103">
        <v>4.2599999999999999E-2</v>
      </c>
      <c r="O4241" s="100"/>
    </row>
    <row r="4242" spans="2:15" x14ac:dyDescent="0.2">
      <c r="B4242" s="1">
        <f t="shared" si="240"/>
        <v>4227</v>
      </c>
      <c r="C4242" s="101">
        <f ca="1"/>
        <v>1.1433573629511098</v>
      </c>
      <c r="D4242" s="101">
        <f t="shared" ca="1" si="241"/>
        <v>0.74383588229490805</v>
      </c>
      <c r="E4242" s="101">
        <f t="shared" ca="1" si="242"/>
        <v>0</v>
      </c>
      <c r="F4242" s="21">
        <f t="shared" ca="1" si="243"/>
        <v>0</v>
      </c>
      <c r="H4242" s="21">
        <v>4227</v>
      </c>
      <c r="I4242" s="102">
        <v>0.66776302522924491</v>
      </c>
      <c r="J4242" s="103">
        <v>1.3700460649096395E-3</v>
      </c>
      <c r="K4242" s="103"/>
      <c r="L4242" s="103">
        <v>4.36E-2</v>
      </c>
      <c r="O4242" s="100"/>
    </row>
    <row r="4243" spans="2:15" x14ac:dyDescent="0.2">
      <c r="B4243" s="1">
        <f t="shared" si="240"/>
        <v>4228</v>
      </c>
      <c r="C4243" s="101">
        <f ca="1"/>
        <v>0.54274806892145477</v>
      </c>
      <c r="D4243" s="101">
        <f t="shared" ca="1" si="241"/>
        <v>0.70104741592666397</v>
      </c>
      <c r="E4243" s="101">
        <f t="shared" ca="1" si="242"/>
        <v>0</v>
      </c>
      <c r="F4243" s="21">
        <f t="shared" ca="1" si="243"/>
        <v>0</v>
      </c>
      <c r="H4243" s="21">
        <v>4228</v>
      </c>
      <c r="I4243" s="102">
        <v>0.66789374767739973</v>
      </c>
      <c r="J4243" s="103">
        <v>1.4274971708592896E-3</v>
      </c>
      <c r="K4243" s="103"/>
      <c r="L4243" s="103">
        <v>4.2999999999999997E-2</v>
      </c>
      <c r="O4243" s="100"/>
    </row>
    <row r="4244" spans="2:15" x14ac:dyDescent="0.2">
      <c r="B4244" s="1">
        <f t="shared" si="240"/>
        <v>4229</v>
      </c>
      <c r="C4244" s="101">
        <f ca="1"/>
        <v>0.44013935009904076</v>
      </c>
      <c r="D4244" s="101">
        <f t="shared" ca="1" si="241"/>
        <v>0.69398758069616517</v>
      </c>
      <c r="E4244" s="101">
        <f t="shared" ca="1" si="242"/>
        <v>0</v>
      </c>
      <c r="F4244" s="21">
        <f t="shared" ca="1" si="243"/>
        <v>0</v>
      </c>
      <c r="H4244" s="21">
        <v>4229</v>
      </c>
      <c r="I4244" s="102">
        <v>0.66776543775771702</v>
      </c>
      <c r="J4244" s="103">
        <v>1.3765735364715658E-3</v>
      </c>
      <c r="K4244" s="103"/>
      <c r="L4244" s="103">
        <v>4.2999999999999997E-2</v>
      </c>
      <c r="O4244" s="100"/>
    </row>
    <row r="4245" spans="2:15" x14ac:dyDescent="0.2">
      <c r="B4245" s="1">
        <f t="shared" si="240"/>
        <v>4230</v>
      </c>
      <c r="C4245" s="101">
        <f ca="1"/>
        <v>0.68582484542282074</v>
      </c>
      <c r="D4245" s="101">
        <f t="shared" ca="1" si="241"/>
        <v>0.71101164504762748</v>
      </c>
      <c r="E4245" s="101">
        <f t="shared" ca="1" si="242"/>
        <v>0</v>
      </c>
      <c r="F4245" s="21">
        <f t="shared" ca="1" si="243"/>
        <v>0</v>
      </c>
      <c r="H4245" s="21">
        <v>4230</v>
      </c>
      <c r="I4245" s="102">
        <v>0.66773984805517894</v>
      </c>
      <c r="J4245" s="103">
        <v>1.2952941011866951E-3</v>
      </c>
      <c r="K4245" s="103"/>
      <c r="L4245" s="103">
        <v>4.1799999999999997E-2</v>
      </c>
      <c r="O4245" s="100"/>
    </row>
    <row r="4246" spans="2:15" x14ac:dyDescent="0.2">
      <c r="B4246" s="1">
        <f t="shared" si="240"/>
        <v>4231</v>
      </c>
      <c r="C4246" s="101">
        <f ca="1"/>
        <v>0.38026622931414444</v>
      </c>
      <c r="D4246" s="101">
        <f t="shared" ca="1" si="241"/>
        <v>0.68990099451374975</v>
      </c>
      <c r="E4246" s="101">
        <f t="shared" ca="1" si="242"/>
        <v>0</v>
      </c>
      <c r="F4246" s="21">
        <f t="shared" ca="1" si="243"/>
        <v>0</v>
      </c>
      <c r="H4246" s="21">
        <v>4231</v>
      </c>
      <c r="I4246" s="102">
        <v>0.66773754465425439</v>
      </c>
      <c r="J4246" s="103">
        <v>1.3046994956150727E-3</v>
      </c>
      <c r="K4246" s="103"/>
      <c r="L4246" s="103">
        <v>4.4200000000000003E-2</v>
      </c>
      <c r="O4246" s="100"/>
    </row>
    <row r="4247" spans="2:15" x14ac:dyDescent="0.2">
      <c r="B4247" s="1">
        <f t="shared" si="240"/>
        <v>4232</v>
      </c>
      <c r="C4247" s="101">
        <f ca="1"/>
        <v>-0.71855193780990623</v>
      </c>
      <c r="D4247" s="101">
        <f t="shared" ca="1" si="241"/>
        <v>0.61903339447661676</v>
      </c>
      <c r="E4247" s="101">
        <f t="shared" ca="1" si="242"/>
        <v>0</v>
      </c>
      <c r="F4247" s="21">
        <f t="shared" ca="1" si="243"/>
        <v>0</v>
      </c>
      <c r="H4247" s="21">
        <v>4232</v>
      </c>
      <c r="I4247" s="102">
        <v>0.6677387177117885</v>
      </c>
      <c r="J4247" s="103">
        <v>1.3573326942709016E-3</v>
      </c>
      <c r="K4247" s="103"/>
      <c r="L4247" s="103">
        <v>4.2799999999999998E-2</v>
      </c>
      <c r="O4247" s="100"/>
    </row>
    <row r="4248" spans="2:15" x14ac:dyDescent="0.2">
      <c r="B4248" s="1">
        <f t="shared" si="240"/>
        <v>4233</v>
      </c>
      <c r="C4248" s="101">
        <f ca="1"/>
        <v>-6.5371206660488498E-2</v>
      </c>
      <c r="D4248" s="101">
        <f t="shared" ca="1" si="241"/>
        <v>0.66023103948436379</v>
      </c>
      <c r="E4248" s="101">
        <f t="shared" ca="1" si="242"/>
        <v>0</v>
      </c>
      <c r="F4248" s="21">
        <f t="shared" ca="1" si="243"/>
        <v>0</v>
      </c>
      <c r="H4248" s="21">
        <v>4233</v>
      </c>
      <c r="I4248" s="102">
        <v>0.66784406163664867</v>
      </c>
      <c r="J4248" s="103">
        <v>1.4251722363650709E-3</v>
      </c>
      <c r="K4248" s="103"/>
      <c r="L4248" s="103">
        <v>4.24E-2</v>
      </c>
      <c r="O4248" s="100"/>
    </row>
    <row r="4249" spans="2:15" x14ac:dyDescent="0.2">
      <c r="B4249" s="1">
        <f t="shared" si="240"/>
        <v>4234</v>
      </c>
      <c r="C4249" s="101">
        <f ca="1"/>
        <v>0.4046551455016838</v>
      </c>
      <c r="D4249" s="101">
        <f t="shared" ca="1" si="241"/>
        <v>0.69156272535645746</v>
      </c>
      <c r="E4249" s="101">
        <f t="shared" ca="1" si="242"/>
        <v>0</v>
      </c>
      <c r="F4249" s="21">
        <f t="shared" ca="1" si="243"/>
        <v>0</v>
      </c>
      <c r="H4249" s="21">
        <v>4234</v>
      </c>
      <c r="I4249" s="102">
        <v>0.6679404496874799</v>
      </c>
      <c r="J4249" s="103">
        <v>1.5779094248578407E-3</v>
      </c>
      <c r="K4249" s="103"/>
      <c r="L4249" s="103">
        <v>4.5199999999999997E-2</v>
      </c>
      <c r="O4249" s="100"/>
    </row>
    <row r="4250" spans="2:15" x14ac:dyDescent="0.2">
      <c r="B4250" s="1">
        <f t="shared" si="240"/>
        <v>4235</v>
      </c>
      <c r="C4250" s="101">
        <f ca="1"/>
        <v>-1.3652123351170824</v>
      </c>
      <c r="D4250" s="101">
        <f t="shared" ca="1" si="241"/>
        <v>0.58077985697494472</v>
      </c>
      <c r="E4250" s="101">
        <f t="shared" ca="1" si="242"/>
        <v>0</v>
      </c>
      <c r="F4250" s="21">
        <f t="shared" ca="1" si="243"/>
        <v>0</v>
      </c>
      <c r="H4250" s="21">
        <v>4235</v>
      </c>
      <c r="I4250" s="102">
        <v>0.66773013819384741</v>
      </c>
      <c r="J4250" s="103">
        <v>1.3179260276481636E-3</v>
      </c>
      <c r="K4250" s="103"/>
      <c r="L4250" s="103">
        <v>3.8399999999999997E-2</v>
      </c>
      <c r="O4250" s="100"/>
    </row>
    <row r="4251" spans="2:15" x14ac:dyDescent="0.2">
      <c r="B4251" s="1">
        <f t="shared" si="240"/>
        <v>4236</v>
      </c>
      <c r="C4251" s="101">
        <f ca="1"/>
        <v>-0.65419151957547705</v>
      </c>
      <c r="D4251" s="101">
        <f t="shared" ca="1" si="241"/>
        <v>0.62297588943028559</v>
      </c>
      <c r="E4251" s="101">
        <f t="shared" ca="1" si="242"/>
        <v>0</v>
      </c>
      <c r="F4251" s="21">
        <f t="shared" ca="1" si="243"/>
        <v>0</v>
      </c>
      <c r="H4251" s="21">
        <v>4236</v>
      </c>
      <c r="I4251" s="102">
        <v>0.66767625876856018</v>
      </c>
      <c r="J4251" s="103">
        <v>1.3582296426983944E-3</v>
      </c>
      <c r="K4251" s="103"/>
      <c r="L4251" s="103">
        <v>4.1000000000000002E-2</v>
      </c>
      <c r="O4251" s="100"/>
    </row>
    <row r="4252" spans="2:15" x14ac:dyDescent="0.2">
      <c r="B4252" s="1">
        <f t="shared" si="240"/>
        <v>4237</v>
      </c>
      <c r="C4252" s="101">
        <f ca="1"/>
        <v>0.77981482593021068</v>
      </c>
      <c r="D4252" s="101">
        <f t="shared" ca="1" si="241"/>
        <v>0.71763429751977992</v>
      </c>
      <c r="E4252" s="101">
        <f t="shared" ca="1" si="242"/>
        <v>0</v>
      </c>
      <c r="F4252" s="21">
        <f t="shared" ca="1" si="243"/>
        <v>0</v>
      </c>
      <c r="H4252" s="21">
        <v>4237</v>
      </c>
      <c r="I4252" s="102">
        <v>0.66778544911287285</v>
      </c>
      <c r="J4252" s="103">
        <v>1.4259371212191417E-3</v>
      </c>
      <c r="K4252" s="103"/>
      <c r="L4252" s="103">
        <v>4.58E-2</v>
      </c>
      <c r="O4252" s="100"/>
    </row>
    <row r="4253" spans="2:15" x14ac:dyDescent="0.2">
      <c r="B4253" s="1">
        <f t="shared" si="240"/>
        <v>4238</v>
      </c>
      <c r="C4253" s="101">
        <f ca="1"/>
        <v>0.91422677281557763</v>
      </c>
      <c r="D4253" s="101">
        <f t="shared" ca="1" si="241"/>
        <v>0.72721246005246742</v>
      </c>
      <c r="E4253" s="101">
        <f t="shared" ca="1" si="242"/>
        <v>0</v>
      </c>
      <c r="F4253" s="21">
        <f t="shared" ca="1" si="243"/>
        <v>0</v>
      </c>
      <c r="H4253" s="21">
        <v>4238</v>
      </c>
      <c r="I4253" s="102">
        <v>0.66783297347816906</v>
      </c>
      <c r="J4253" s="103">
        <v>1.525419365159431E-3</v>
      </c>
      <c r="K4253" s="103"/>
      <c r="L4253" s="103">
        <v>4.36E-2</v>
      </c>
      <c r="O4253" s="100"/>
    </row>
    <row r="4254" spans="2:15" x14ac:dyDescent="0.2">
      <c r="B4254" s="1">
        <f t="shared" si="240"/>
        <v>4239</v>
      </c>
      <c r="C4254" s="101">
        <f ca="1"/>
        <v>6.8593198882357942E-4</v>
      </c>
      <c r="D4254" s="101">
        <f t="shared" ca="1" si="241"/>
        <v>0.66454712745824351</v>
      </c>
      <c r="E4254" s="101">
        <f t="shared" ca="1" si="242"/>
        <v>0</v>
      </c>
      <c r="F4254" s="21">
        <f t="shared" ca="1" si="243"/>
        <v>0</v>
      </c>
      <c r="H4254" s="21">
        <v>4239</v>
      </c>
      <c r="I4254" s="102">
        <v>0.66789742475553793</v>
      </c>
      <c r="J4254" s="103">
        <v>1.654606004543001E-3</v>
      </c>
      <c r="K4254" s="103"/>
      <c r="L4254" s="103">
        <v>4.7199999999999999E-2</v>
      </c>
      <c r="O4254" s="100"/>
    </row>
    <row r="4255" spans="2:15" x14ac:dyDescent="0.2">
      <c r="B4255" s="1">
        <f t="shared" si="240"/>
        <v>4240</v>
      </c>
      <c r="C4255" s="101">
        <f ca="1"/>
        <v>0.21459887586657322</v>
      </c>
      <c r="D4255" s="101">
        <f t="shared" ca="1" si="241"/>
        <v>0.67871849482309132</v>
      </c>
      <c r="E4255" s="101">
        <f t="shared" ca="1" si="242"/>
        <v>0</v>
      </c>
      <c r="F4255" s="21">
        <f t="shared" ca="1" si="243"/>
        <v>0</v>
      </c>
      <c r="H4255" s="21">
        <v>4240</v>
      </c>
      <c r="I4255" s="102">
        <v>0.66757464598154292</v>
      </c>
      <c r="J4255" s="103">
        <v>1.1776606786612943E-3</v>
      </c>
      <c r="K4255" s="103"/>
      <c r="L4255" s="103">
        <v>3.4599999999999999E-2</v>
      </c>
      <c r="O4255" s="100"/>
    </row>
    <row r="4256" spans="2:15" x14ac:dyDescent="0.2">
      <c r="B4256" s="1">
        <f t="shared" si="240"/>
        <v>4241</v>
      </c>
      <c r="C4256" s="101">
        <f ca="1"/>
        <v>1.4186274085365089</v>
      </c>
      <c r="D4256" s="101">
        <f t="shared" ca="1" si="241"/>
        <v>0.7643099682016864</v>
      </c>
      <c r="E4256" s="101">
        <f t="shared" ca="1" si="242"/>
        <v>0</v>
      </c>
      <c r="F4256" s="21">
        <f t="shared" ca="1" si="243"/>
        <v>0</v>
      </c>
      <c r="H4256" s="21">
        <v>4241</v>
      </c>
      <c r="I4256" s="102">
        <v>0.66773178964911728</v>
      </c>
      <c r="J4256" s="103">
        <v>1.3519710856402124E-3</v>
      </c>
      <c r="K4256" s="103"/>
      <c r="L4256" s="103">
        <v>4.1000000000000002E-2</v>
      </c>
      <c r="O4256" s="100"/>
    </row>
    <row r="4257" spans="2:15" x14ac:dyDescent="0.2">
      <c r="B4257" s="1">
        <f t="shared" si="240"/>
        <v>4242</v>
      </c>
      <c r="C4257" s="101">
        <f ca="1"/>
        <v>0.19754143938895535</v>
      </c>
      <c r="D4257" s="101">
        <f t="shared" ca="1" si="241"/>
        <v>0.67757746490151516</v>
      </c>
      <c r="E4257" s="101">
        <f t="shared" ca="1" si="242"/>
        <v>0</v>
      </c>
      <c r="F4257" s="21">
        <f t="shared" ca="1" si="243"/>
        <v>0</v>
      </c>
      <c r="H4257" s="21">
        <v>4242</v>
      </c>
      <c r="I4257" s="102">
        <v>0.66764289129518362</v>
      </c>
      <c r="J4257" s="103">
        <v>1.2811091758424585E-3</v>
      </c>
      <c r="K4257" s="103"/>
      <c r="L4257" s="103">
        <v>3.8199999999999998E-2</v>
      </c>
      <c r="O4257" s="100"/>
    </row>
    <row r="4258" spans="2:15" x14ac:dyDescent="0.2">
      <c r="B4258" s="1">
        <f t="shared" si="240"/>
        <v>4243</v>
      </c>
      <c r="C4258" s="101">
        <f ca="1"/>
        <v>0.97650197501349156</v>
      </c>
      <c r="D4258" s="101">
        <f t="shared" ca="1" si="241"/>
        <v>0.73169340859747778</v>
      </c>
      <c r="E4258" s="101">
        <f t="shared" ca="1" si="242"/>
        <v>0</v>
      </c>
      <c r="F4258" s="21">
        <f t="shared" ca="1" si="243"/>
        <v>0</v>
      </c>
      <c r="H4258" s="21">
        <v>4243</v>
      </c>
      <c r="I4258" s="102">
        <v>0.66781578920921458</v>
      </c>
      <c r="J4258" s="103">
        <v>1.3879017381988924E-3</v>
      </c>
      <c r="K4258" s="103"/>
      <c r="L4258" s="103">
        <v>4.2799999999999998E-2</v>
      </c>
      <c r="O4258" s="100"/>
    </row>
    <row r="4259" spans="2:15" x14ac:dyDescent="0.2">
      <c r="B4259" s="1">
        <f t="shared" si="240"/>
        <v>4244</v>
      </c>
      <c r="C4259" s="101">
        <f ca="1"/>
        <v>-6.9386836410902195E-2</v>
      </c>
      <c r="D4259" s="101">
        <f t="shared" ca="1" si="241"/>
        <v>0.65996956910858195</v>
      </c>
      <c r="E4259" s="101">
        <f t="shared" ca="1" si="242"/>
        <v>0</v>
      </c>
      <c r="F4259" s="21">
        <f t="shared" ca="1" si="243"/>
        <v>0</v>
      </c>
      <c r="H4259" s="21">
        <v>4244</v>
      </c>
      <c r="I4259" s="102">
        <v>0.66770642414360459</v>
      </c>
      <c r="J4259" s="103">
        <v>1.3115431748287325E-3</v>
      </c>
      <c r="K4259" s="103"/>
      <c r="L4259" s="103">
        <v>3.7999999999999999E-2</v>
      </c>
      <c r="O4259" s="100"/>
    </row>
    <row r="4260" spans="2:15" x14ac:dyDescent="0.2">
      <c r="B4260" s="1">
        <f t="shared" si="240"/>
        <v>4245</v>
      </c>
      <c r="C4260" s="101">
        <f ca="1"/>
        <v>0.85365296198096463</v>
      </c>
      <c r="D4260" s="101">
        <f t="shared" ca="1" si="241"/>
        <v>0.72288026219944745</v>
      </c>
      <c r="E4260" s="101">
        <f t="shared" ca="1" si="242"/>
        <v>0</v>
      </c>
      <c r="F4260" s="21">
        <f t="shared" ca="1" si="243"/>
        <v>0</v>
      </c>
      <c r="H4260" s="21">
        <v>4245</v>
      </c>
      <c r="I4260" s="102">
        <v>0.66780718423229413</v>
      </c>
      <c r="J4260" s="103">
        <v>1.5120297323944537E-3</v>
      </c>
      <c r="K4260" s="103"/>
      <c r="L4260" s="103">
        <v>4.4200000000000003E-2</v>
      </c>
      <c r="O4260" s="100"/>
    </row>
    <row r="4261" spans="2:15" x14ac:dyDescent="0.2">
      <c r="B4261" s="1">
        <f t="shared" si="240"/>
        <v>4246</v>
      </c>
      <c r="C4261" s="101">
        <f ca="1"/>
        <v>-1.1718903875372513</v>
      </c>
      <c r="D4261" s="101">
        <f t="shared" ca="1" si="241"/>
        <v>0.59196133165549614</v>
      </c>
      <c r="E4261" s="101">
        <f t="shared" ca="1" si="242"/>
        <v>0</v>
      </c>
      <c r="F4261" s="21">
        <f t="shared" ca="1" si="243"/>
        <v>0</v>
      </c>
      <c r="H4261" s="21">
        <v>4246</v>
      </c>
      <c r="I4261" s="102">
        <v>0.66771894916675334</v>
      </c>
      <c r="J4261" s="103">
        <v>1.3776511066360846E-3</v>
      </c>
      <c r="K4261" s="103"/>
      <c r="L4261" s="103">
        <v>4.2999999999999997E-2</v>
      </c>
      <c r="O4261" s="100"/>
    </row>
    <row r="4262" spans="2:15" x14ac:dyDescent="0.2">
      <c r="B4262" s="1">
        <f t="shared" si="240"/>
        <v>4247</v>
      </c>
      <c r="C4262" s="101">
        <f ca="1"/>
        <v>8.1733052148846561E-2</v>
      </c>
      <c r="D4262" s="101">
        <f t="shared" ca="1" si="241"/>
        <v>0.66988120634587778</v>
      </c>
      <c r="E4262" s="101">
        <f t="shared" ca="1" si="242"/>
        <v>0</v>
      </c>
      <c r="F4262" s="21">
        <f t="shared" ca="1" si="243"/>
        <v>0</v>
      </c>
      <c r="H4262" s="21">
        <v>4247</v>
      </c>
      <c r="I4262" s="102">
        <v>0.66772859694829645</v>
      </c>
      <c r="J4262" s="103">
        <v>1.4150714577470238E-3</v>
      </c>
      <c r="K4262" s="103"/>
      <c r="L4262" s="103">
        <v>3.8199999999999998E-2</v>
      </c>
      <c r="O4262" s="100"/>
    </row>
    <row r="4263" spans="2:15" x14ac:dyDescent="0.2">
      <c r="B4263" s="1">
        <f t="shared" si="240"/>
        <v>4248</v>
      </c>
      <c r="C4263" s="101">
        <f ca="1"/>
        <v>3.6202822625254212E-2</v>
      </c>
      <c r="D4263" s="101">
        <f t="shared" ca="1" si="241"/>
        <v>0.66687940702116411</v>
      </c>
      <c r="E4263" s="101">
        <f t="shared" ca="1" si="242"/>
        <v>0</v>
      </c>
      <c r="F4263" s="21">
        <f t="shared" ca="1" si="243"/>
        <v>0</v>
      </c>
      <c r="H4263" s="21">
        <v>4248</v>
      </c>
      <c r="I4263" s="102">
        <v>0.6676883679089336</v>
      </c>
      <c r="J4263" s="103">
        <v>1.2465008031860287E-3</v>
      </c>
      <c r="K4263" s="103"/>
      <c r="L4263" s="103">
        <v>4.1399999999999999E-2</v>
      </c>
      <c r="O4263" s="100"/>
    </row>
    <row r="4264" spans="2:15" x14ac:dyDescent="0.2">
      <c r="B4264" s="1">
        <f t="shared" si="240"/>
        <v>4249</v>
      </c>
      <c r="C4264" s="101">
        <f ca="1"/>
        <v>0.30223146535506451</v>
      </c>
      <c r="D4264" s="101">
        <f t="shared" ca="1" si="241"/>
        <v>0.68461090057233287</v>
      </c>
      <c r="E4264" s="101">
        <f t="shared" ca="1" si="242"/>
        <v>0</v>
      </c>
      <c r="F4264" s="21">
        <f t="shared" ca="1" si="243"/>
        <v>0</v>
      </c>
      <c r="H4264" s="21">
        <v>4249</v>
      </c>
      <c r="I4264" s="102">
        <v>0.66773287399258829</v>
      </c>
      <c r="J4264" s="103">
        <v>1.2888481913002443E-3</v>
      </c>
      <c r="K4264" s="103"/>
      <c r="L4264" s="103">
        <v>4.1399999999999999E-2</v>
      </c>
      <c r="O4264" s="100"/>
    </row>
    <row r="4265" spans="2:15" x14ac:dyDescent="0.2">
      <c r="B4265" s="1">
        <f t="shared" si="240"/>
        <v>4250</v>
      </c>
      <c r="C4265" s="101">
        <f ca="1"/>
        <v>0.45992669635750727</v>
      </c>
      <c r="D4265" s="101">
        <f t="shared" ca="1" si="241"/>
        <v>0.69534346321219731</v>
      </c>
      <c r="E4265" s="101">
        <f t="shared" ca="1" si="242"/>
        <v>0</v>
      </c>
      <c r="F4265" s="21">
        <f t="shared" ca="1" si="243"/>
        <v>0</v>
      </c>
      <c r="H4265" s="21">
        <v>4250</v>
      </c>
      <c r="I4265" s="102">
        <v>0.66761850407924073</v>
      </c>
      <c r="J4265" s="103">
        <v>1.1090171004376349E-3</v>
      </c>
      <c r="K4265" s="103"/>
      <c r="L4265" s="103">
        <v>3.9E-2</v>
      </c>
      <c r="O4265" s="100"/>
    </row>
    <row r="4266" spans="2:15" x14ac:dyDescent="0.2">
      <c r="B4266" s="1">
        <f t="shared" si="240"/>
        <v>4251</v>
      </c>
      <c r="C4266" s="101">
        <f ca="1"/>
        <v>-0.20758099801633337</v>
      </c>
      <c r="D4266" s="101">
        <f t="shared" ca="1" si="241"/>
        <v>0.65103413218922657</v>
      </c>
      <c r="E4266" s="101">
        <f t="shared" ca="1" si="242"/>
        <v>0</v>
      </c>
      <c r="F4266" s="21">
        <f t="shared" ca="1" si="243"/>
        <v>0</v>
      </c>
      <c r="H4266" s="21">
        <v>4251</v>
      </c>
      <c r="I4266" s="102">
        <v>0.66773586546749009</v>
      </c>
      <c r="J4266" s="103">
        <v>1.4591505348698249E-3</v>
      </c>
      <c r="K4266" s="103"/>
      <c r="L4266" s="103">
        <v>4.3200000000000002E-2</v>
      </c>
      <c r="O4266" s="100"/>
    </row>
    <row r="4267" spans="2:15" x14ac:dyDescent="0.2">
      <c r="B4267" s="1">
        <f t="shared" si="240"/>
        <v>4252</v>
      </c>
      <c r="C4267" s="101">
        <f ca="1"/>
        <v>2.8350790942029254E-2</v>
      </c>
      <c r="D4267" s="101">
        <f t="shared" ca="1" si="241"/>
        <v>0.66636308568312974</v>
      </c>
      <c r="E4267" s="101">
        <f t="shared" ca="1" si="242"/>
        <v>0</v>
      </c>
      <c r="F4267" s="21">
        <f t="shared" ca="1" si="243"/>
        <v>0</v>
      </c>
      <c r="H4267" s="21">
        <v>4252</v>
      </c>
      <c r="I4267" s="102">
        <v>0.66779425964704642</v>
      </c>
      <c r="J4267" s="103">
        <v>1.4141006356503862E-3</v>
      </c>
      <c r="K4267" s="103"/>
      <c r="L4267" s="103">
        <v>4.3999999999999997E-2</v>
      </c>
      <c r="O4267" s="100"/>
    </row>
    <row r="4268" spans="2:15" x14ac:dyDescent="0.2">
      <c r="B4268" s="1">
        <f t="shared" si="240"/>
        <v>4253</v>
      </c>
      <c r="C4268" s="101">
        <f ca="1"/>
        <v>0.49532182602780556</v>
      </c>
      <c r="D4268" s="101">
        <f t="shared" ca="1" si="241"/>
        <v>0.69777544410217629</v>
      </c>
      <c r="E4268" s="101">
        <f t="shared" ca="1" si="242"/>
        <v>0</v>
      </c>
      <c r="F4268" s="21">
        <f t="shared" ca="1" si="243"/>
        <v>0</v>
      </c>
      <c r="H4268" s="21">
        <v>4253</v>
      </c>
      <c r="I4268" s="102">
        <v>0.66769554891165728</v>
      </c>
      <c r="J4268" s="103">
        <v>1.357178728393184E-3</v>
      </c>
      <c r="K4268" s="103"/>
      <c r="L4268" s="103">
        <v>4.1599999999999998E-2</v>
      </c>
      <c r="O4268" s="100"/>
    </row>
    <row r="4269" spans="2:15" x14ac:dyDescent="0.2">
      <c r="B4269" s="1">
        <f t="shared" si="240"/>
        <v>4254</v>
      </c>
      <c r="C4269" s="101">
        <f ca="1"/>
        <v>0.47426491480188365</v>
      </c>
      <c r="D4269" s="101">
        <f t="shared" ca="1" si="241"/>
        <v>0.69632761169206825</v>
      </c>
      <c r="E4269" s="101">
        <f t="shared" ca="1" si="242"/>
        <v>0</v>
      </c>
      <c r="F4269" s="21">
        <f t="shared" ca="1" si="243"/>
        <v>0</v>
      </c>
      <c r="H4269" s="21">
        <v>4254</v>
      </c>
      <c r="I4269" s="102">
        <v>0.66788112497507968</v>
      </c>
      <c r="J4269" s="103">
        <v>1.5726756610263165E-3</v>
      </c>
      <c r="K4269" s="103"/>
      <c r="L4269" s="103">
        <v>4.5600000000000002E-2</v>
      </c>
      <c r="O4269" s="100"/>
    </row>
    <row r="4270" spans="2:15" x14ac:dyDescent="0.2">
      <c r="B4270" s="1">
        <f t="shared" si="240"/>
        <v>4255</v>
      </c>
      <c r="C4270" s="101">
        <f ca="1"/>
        <v>-0.42803176693206541</v>
      </c>
      <c r="D4270" s="101">
        <f t="shared" ca="1" si="241"/>
        <v>0.63702985023154857</v>
      </c>
      <c r="E4270" s="101">
        <f t="shared" ca="1" si="242"/>
        <v>0</v>
      </c>
      <c r="F4270" s="21">
        <f t="shared" ca="1" si="243"/>
        <v>0</v>
      </c>
      <c r="H4270" s="21">
        <v>4255</v>
      </c>
      <c r="I4270" s="102">
        <v>0.66772087270988845</v>
      </c>
      <c r="J4270" s="103">
        <v>1.4048742523289179E-3</v>
      </c>
      <c r="K4270" s="103"/>
      <c r="L4270" s="103">
        <v>4.0599999999999997E-2</v>
      </c>
      <c r="O4270" s="100"/>
    </row>
    <row r="4271" spans="2:15" x14ac:dyDescent="0.2">
      <c r="B4271" s="1">
        <f t="shared" si="240"/>
        <v>4256</v>
      </c>
      <c r="C4271" s="101">
        <f ca="1"/>
        <v>1.2980797589447819E-2</v>
      </c>
      <c r="D4271" s="101">
        <f t="shared" ca="1" si="241"/>
        <v>0.6653535670670303</v>
      </c>
      <c r="E4271" s="101">
        <f t="shared" ca="1" si="242"/>
        <v>0</v>
      </c>
      <c r="F4271" s="21">
        <f t="shared" ca="1" si="243"/>
        <v>0</v>
      </c>
      <c r="H4271" s="21">
        <v>4256</v>
      </c>
      <c r="I4271" s="102">
        <v>0.66763012103273411</v>
      </c>
      <c r="J4271" s="103">
        <v>1.2279514775477233E-3</v>
      </c>
      <c r="K4271" s="103"/>
      <c r="L4271" s="103">
        <v>3.9199999999999999E-2</v>
      </c>
      <c r="O4271" s="100"/>
    </row>
    <row r="4272" spans="2:15" x14ac:dyDescent="0.2">
      <c r="B4272" s="1">
        <f t="shared" ref="B4272:B4335" si="244">B4271+1</f>
        <v>4257</v>
      </c>
      <c r="C4272" s="101">
        <f ca="1"/>
        <v>-0.61408331924321868</v>
      </c>
      <c r="D4272" s="101">
        <f t="shared" ca="1" si="241"/>
        <v>0.6254454671793338</v>
      </c>
      <c r="E4272" s="101">
        <f t="shared" ca="1" si="242"/>
        <v>0</v>
      </c>
      <c r="F4272" s="21">
        <f t="shared" ca="1" si="243"/>
        <v>0</v>
      </c>
      <c r="H4272" s="21">
        <v>4257</v>
      </c>
      <c r="I4272" s="102">
        <v>0.66769826697121537</v>
      </c>
      <c r="J4272" s="103">
        <v>1.2552391871509787E-3</v>
      </c>
      <c r="K4272" s="103"/>
      <c r="L4272" s="103">
        <v>3.6600000000000001E-2</v>
      </c>
      <c r="O4272" s="100"/>
    </row>
    <row r="4273" spans="2:15" x14ac:dyDescent="0.2">
      <c r="B4273" s="1">
        <f t="shared" si="244"/>
        <v>4258</v>
      </c>
      <c r="C4273" s="101">
        <f ca="1"/>
        <v>-2.121493229343693</v>
      </c>
      <c r="D4273" s="101">
        <f t="shared" ca="1" si="241"/>
        <v>0.53903000180403837</v>
      </c>
      <c r="E4273" s="101">
        <f t="shared" ca="1" si="242"/>
        <v>0</v>
      </c>
      <c r="F4273" s="21">
        <f t="shared" ca="1" si="243"/>
        <v>0</v>
      </c>
      <c r="H4273" s="21">
        <v>4258</v>
      </c>
      <c r="I4273" s="102">
        <v>0.66774091341290676</v>
      </c>
      <c r="J4273" s="103">
        <v>1.3767688189633214E-3</v>
      </c>
      <c r="K4273" s="103"/>
      <c r="L4273" s="103">
        <v>4.2599999999999999E-2</v>
      </c>
      <c r="O4273" s="100"/>
    </row>
    <row r="4274" spans="2:15" x14ac:dyDescent="0.2">
      <c r="B4274" s="1">
        <f t="shared" si="244"/>
        <v>4259</v>
      </c>
      <c r="C4274" s="101">
        <f ca="1"/>
        <v>-0.8710293407439812</v>
      </c>
      <c r="D4274" s="101">
        <f t="shared" ca="1" si="241"/>
        <v>0.60979244619449047</v>
      </c>
      <c r="E4274" s="101">
        <f t="shared" ca="1" si="242"/>
        <v>0</v>
      </c>
      <c r="F4274" s="21">
        <f t="shared" ca="1" si="243"/>
        <v>0</v>
      </c>
      <c r="H4274" s="21">
        <v>4259</v>
      </c>
      <c r="I4274" s="102">
        <v>0.66775789013450604</v>
      </c>
      <c r="J4274" s="103">
        <v>1.4484333370804632E-3</v>
      </c>
      <c r="K4274" s="103"/>
      <c r="L4274" s="103">
        <v>4.2000000000000003E-2</v>
      </c>
      <c r="O4274" s="100"/>
    </row>
    <row r="4275" spans="2:15" x14ac:dyDescent="0.2">
      <c r="B4275" s="1">
        <f t="shared" si="244"/>
        <v>4260</v>
      </c>
      <c r="C4275" s="101">
        <f ca="1"/>
        <v>-2.0494965261519837</v>
      </c>
      <c r="D4275" s="101">
        <f t="shared" ca="1" si="241"/>
        <v>0.54287173772879771</v>
      </c>
      <c r="E4275" s="101">
        <f t="shared" ca="1" si="242"/>
        <v>0</v>
      </c>
      <c r="F4275" s="21">
        <f t="shared" ca="1" si="243"/>
        <v>0</v>
      </c>
      <c r="H4275" s="21">
        <v>4260</v>
      </c>
      <c r="I4275" s="102">
        <v>0.66779807314694217</v>
      </c>
      <c r="J4275" s="103">
        <v>1.3803702852264103E-3</v>
      </c>
      <c r="K4275" s="103"/>
      <c r="L4275" s="103">
        <v>4.2999999999999997E-2</v>
      </c>
      <c r="O4275" s="100"/>
    </row>
    <row r="4276" spans="2:15" x14ac:dyDescent="0.2">
      <c r="B4276" s="1">
        <f t="shared" si="244"/>
        <v>4261</v>
      </c>
      <c r="C4276" s="101">
        <f ca="1"/>
        <v>-1.4356533399842448</v>
      </c>
      <c r="D4276" s="101">
        <f t="shared" ca="1" si="241"/>
        <v>0.57675835730066471</v>
      </c>
      <c r="E4276" s="101">
        <f t="shared" ca="1" si="242"/>
        <v>0</v>
      </c>
      <c r="F4276" s="21">
        <f t="shared" ca="1" si="243"/>
        <v>0</v>
      </c>
      <c r="H4276" s="21">
        <v>4261</v>
      </c>
      <c r="I4276" s="102">
        <v>0.66782799729049647</v>
      </c>
      <c r="J4276" s="103">
        <v>1.2784072472602883E-3</v>
      </c>
      <c r="K4276" s="103"/>
      <c r="L4276" s="103">
        <v>4.4200000000000003E-2</v>
      </c>
      <c r="O4276" s="100"/>
    </row>
    <row r="4277" spans="2:15" x14ac:dyDescent="0.2">
      <c r="B4277" s="1">
        <f t="shared" si="244"/>
        <v>4262</v>
      </c>
      <c r="C4277" s="101">
        <f ca="1"/>
        <v>1.0799373557247944</v>
      </c>
      <c r="D4277" s="101">
        <f t="shared" ca="1" si="241"/>
        <v>0.73919709366811381</v>
      </c>
      <c r="E4277" s="101">
        <f t="shared" ca="1" si="242"/>
        <v>0</v>
      </c>
      <c r="F4277" s="21">
        <f t="shared" ca="1" si="243"/>
        <v>0</v>
      </c>
      <c r="H4277" s="21">
        <v>4262</v>
      </c>
      <c r="I4277" s="102">
        <v>0.66770267524434246</v>
      </c>
      <c r="J4277" s="103">
        <v>1.3262793462554033E-3</v>
      </c>
      <c r="K4277" s="103"/>
      <c r="L4277" s="103">
        <v>0.04</v>
      </c>
      <c r="O4277" s="100"/>
    </row>
    <row r="4278" spans="2:15" x14ac:dyDescent="0.2">
      <c r="B4278" s="1">
        <f t="shared" si="244"/>
        <v>4263</v>
      </c>
      <c r="C4278" s="101">
        <f ca="1"/>
        <v>-0.79069259443381112</v>
      </c>
      <c r="D4278" s="101">
        <f t="shared" ca="1" si="241"/>
        <v>0.61464395813004158</v>
      </c>
      <c r="E4278" s="101">
        <f t="shared" ca="1" si="242"/>
        <v>0</v>
      </c>
      <c r="F4278" s="21">
        <f t="shared" ca="1" si="243"/>
        <v>0</v>
      </c>
      <c r="H4278" s="21">
        <v>4263</v>
      </c>
      <c r="I4278" s="102">
        <v>0.6677575668460578</v>
      </c>
      <c r="J4278" s="103">
        <v>1.2091505555878758E-3</v>
      </c>
      <c r="K4278" s="103"/>
      <c r="L4278" s="103">
        <v>4.1000000000000002E-2</v>
      </c>
      <c r="O4278" s="100"/>
    </row>
    <row r="4279" spans="2:15" x14ac:dyDescent="0.2">
      <c r="B4279" s="1">
        <f t="shared" si="244"/>
        <v>4264</v>
      </c>
      <c r="C4279" s="101">
        <f ca="1"/>
        <v>-0.15440297329583552</v>
      </c>
      <c r="D4279" s="101">
        <f t="shared" ca="1" si="241"/>
        <v>0.65445813738677949</v>
      </c>
      <c r="E4279" s="101">
        <f t="shared" ca="1" si="242"/>
        <v>0</v>
      </c>
      <c r="F4279" s="21">
        <f t="shared" ca="1" si="243"/>
        <v>0</v>
      </c>
      <c r="H4279" s="21">
        <v>4264</v>
      </c>
      <c r="I4279" s="102">
        <v>0.66775403518322496</v>
      </c>
      <c r="J4279" s="103">
        <v>1.4315006741337222E-3</v>
      </c>
      <c r="K4279" s="103"/>
      <c r="L4279" s="103">
        <v>4.0599999999999997E-2</v>
      </c>
      <c r="O4279" s="100"/>
    </row>
    <row r="4280" spans="2:15" x14ac:dyDescent="0.2">
      <c r="B4280" s="1">
        <f t="shared" si="244"/>
        <v>4265</v>
      </c>
      <c r="C4280" s="101">
        <f ca="1"/>
        <v>-0.49842271459680704</v>
      </c>
      <c r="D4280" s="101">
        <f t="shared" ca="1" si="241"/>
        <v>0.63262198187129504</v>
      </c>
      <c r="E4280" s="101">
        <f t="shared" ca="1" si="242"/>
        <v>0</v>
      </c>
      <c r="F4280" s="21">
        <f t="shared" ca="1" si="243"/>
        <v>0</v>
      </c>
      <c r="H4280" s="21">
        <v>4265</v>
      </c>
      <c r="I4280" s="102">
        <v>0.66775863112929512</v>
      </c>
      <c r="J4280" s="103">
        <v>1.4184433472654936E-3</v>
      </c>
      <c r="K4280" s="103"/>
      <c r="L4280" s="103">
        <v>4.3200000000000002E-2</v>
      </c>
      <c r="O4280" s="100"/>
    </row>
    <row r="4281" spans="2:15" x14ac:dyDescent="0.2">
      <c r="B4281" s="1">
        <f t="shared" si="244"/>
        <v>4266</v>
      </c>
      <c r="C4281" s="101">
        <f ca="1"/>
        <v>1.0984539270566953</v>
      </c>
      <c r="D4281" s="101">
        <f t="shared" ca="1" si="241"/>
        <v>0.74054847029598836</v>
      </c>
      <c r="E4281" s="101">
        <f t="shared" ca="1" si="242"/>
        <v>0</v>
      </c>
      <c r="F4281" s="21">
        <f t="shared" ca="1" si="243"/>
        <v>0</v>
      </c>
      <c r="H4281" s="21">
        <v>4266</v>
      </c>
      <c r="I4281" s="102">
        <v>0.66771705179631047</v>
      </c>
      <c r="J4281" s="103">
        <v>1.3593135729875095E-3</v>
      </c>
      <c r="K4281" s="103"/>
      <c r="L4281" s="103">
        <v>3.8800000000000001E-2</v>
      </c>
      <c r="O4281" s="100"/>
    </row>
    <row r="4282" spans="2:15" x14ac:dyDescent="0.2">
      <c r="B4282" s="1">
        <f t="shared" si="244"/>
        <v>4267</v>
      </c>
      <c r="C4282" s="101">
        <f ca="1"/>
        <v>0.36289268602418617</v>
      </c>
      <c r="D4282" s="101">
        <f t="shared" ca="1" si="241"/>
        <v>0.68871968965673536</v>
      </c>
      <c r="E4282" s="101">
        <f t="shared" ca="1" si="242"/>
        <v>0</v>
      </c>
      <c r="F4282" s="21">
        <f t="shared" ca="1" si="243"/>
        <v>0</v>
      </c>
      <c r="H4282" s="21">
        <v>4267</v>
      </c>
      <c r="I4282" s="102">
        <v>0.66770889334979922</v>
      </c>
      <c r="J4282" s="103">
        <v>1.2850138319295357E-3</v>
      </c>
      <c r="K4282" s="103"/>
      <c r="L4282" s="103">
        <v>4.1599999999999998E-2</v>
      </c>
      <c r="O4282" s="100"/>
    </row>
    <row r="4283" spans="2:15" x14ac:dyDescent="0.2">
      <c r="B4283" s="1">
        <f t="shared" si="244"/>
        <v>4268</v>
      </c>
      <c r="C4283" s="101">
        <f ca="1"/>
        <v>-2.1104900485637637E-2</v>
      </c>
      <c r="D4283" s="101">
        <f t="shared" ca="1" si="241"/>
        <v>0.66312023304243084</v>
      </c>
      <c r="E4283" s="101">
        <f t="shared" ca="1" si="242"/>
        <v>0</v>
      </c>
      <c r="F4283" s="21">
        <f t="shared" ca="1" si="243"/>
        <v>0</v>
      </c>
      <c r="H4283" s="21">
        <v>4268</v>
      </c>
      <c r="I4283" s="102">
        <v>0.66776810721004298</v>
      </c>
      <c r="J4283" s="103">
        <v>1.4193131092617164E-3</v>
      </c>
      <c r="K4283" s="103"/>
      <c r="L4283" s="103">
        <v>4.4600000000000001E-2</v>
      </c>
      <c r="O4283" s="100"/>
    </row>
    <row r="4284" spans="2:15" x14ac:dyDescent="0.2">
      <c r="B4284" s="1">
        <f t="shared" si="244"/>
        <v>4269</v>
      </c>
      <c r="C4284" s="101">
        <f ca="1"/>
        <v>-1.3412981479388428</v>
      </c>
      <c r="D4284" s="101">
        <f t="shared" ca="1" si="241"/>
        <v>0.58215149149178425</v>
      </c>
      <c r="E4284" s="101">
        <f t="shared" ca="1" si="242"/>
        <v>0</v>
      </c>
      <c r="F4284" s="21">
        <f t="shared" ca="1" si="243"/>
        <v>0</v>
      </c>
      <c r="H4284" s="21">
        <v>4269</v>
      </c>
      <c r="I4284" s="102">
        <v>0.66775042772956794</v>
      </c>
      <c r="J4284" s="103">
        <v>1.412147292856603E-3</v>
      </c>
      <c r="K4284" s="103"/>
      <c r="L4284" s="103">
        <v>3.9800000000000002E-2</v>
      </c>
      <c r="O4284" s="100"/>
    </row>
    <row r="4285" spans="2:15" x14ac:dyDescent="0.2">
      <c r="B4285" s="1">
        <f t="shared" si="244"/>
        <v>4270</v>
      </c>
      <c r="C4285" s="101">
        <f ca="1"/>
        <v>1.4852463038703314</v>
      </c>
      <c r="D4285" s="101">
        <f t="shared" ca="1" si="241"/>
        <v>0.76934907530364205</v>
      </c>
      <c r="E4285" s="101">
        <f t="shared" ca="1" si="242"/>
        <v>0</v>
      </c>
      <c r="F4285" s="21">
        <f t="shared" ca="1" si="243"/>
        <v>0</v>
      </c>
      <c r="H4285" s="21">
        <v>4270</v>
      </c>
      <c r="I4285" s="102">
        <v>0.66773872586436378</v>
      </c>
      <c r="J4285" s="103">
        <v>1.3766383344294907E-3</v>
      </c>
      <c r="K4285" s="103"/>
      <c r="L4285" s="103">
        <v>4.1399999999999999E-2</v>
      </c>
      <c r="O4285" s="100"/>
    </row>
    <row r="4286" spans="2:15" x14ac:dyDescent="0.2">
      <c r="B4286" s="1">
        <f t="shared" si="244"/>
        <v>4271</v>
      </c>
      <c r="C4286" s="101">
        <f ca="1"/>
        <v>1.6926208482457541E-2</v>
      </c>
      <c r="D4286" s="101">
        <f t="shared" ca="1" si="241"/>
        <v>0.66561256013590897</v>
      </c>
      <c r="E4286" s="101">
        <f t="shared" ca="1" si="242"/>
        <v>0</v>
      </c>
      <c r="F4286" s="21">
        <f t="shared" ca="1" si="243"/>
        <v>0</v>
      </c>
      <c r="H4286" s="21">
        <v>4271</v>
      </c>
      <c r="I4286" s="102">
        <v>0.6677858831577681</v>
      </c>
      <c r="J4286" s="103">
        <v>1.3795090140564677E-3</v>
      </c>
      <c r="K4286" s="103"/>
      <c r="L4286" s="103">
        <v>3.9399999999999998E-2</v>
      </c>
      <c r="O4286" s="100"/>
    </row>
    <row r="4287" spans="2:15" x14ac:dyDescent="0.2">
      <c r="B4287" s="1">
        <f t="shared" si="244"/>
        <v>4272</v>
      </c>
      <c r="C4287" s="101">
        <f ca="1"/>
        <v>0.26372502165075457</v>
      </c>
      <c r="D4287" s="101">
        <f t="shared" ca="1" si="241"/>
        <v>0.68201545703027955</v>
      </c>
      <c r="E4287" s="101">
        <f t="shared" ca="1" si="242"/>
        <v>0</v>
      </c>
      <c r="F4287" s="21">
        <f t="shared" ca="1" si="243"/>
        <v>0</v>
      </c>
      <c r="H4287" s="21">
        <v>4272</v>
      </c>
      <c r="I4287" s="102">
        <v>0.66772758997910031</v>
      </c>
      <c r="J4287" s="103">
        <v>1.3504287457651752E-3</v>
      </c>
      <c r="K4287" s="103"/>
      <c r="L4287" s="103">
        <v>3.9800000000000002E-2</v>
      </c>
      <c r="O4287" s="100"/>
    </row>
    <row r="4288" spans="2:15" x14ac:dyDescent="0.2">
      <c r="B4288" s="1">
        <f t="shared" si="244"/>
        <v>4273</v>
      </c>
      <c r="C4288" s="101">
        <f ca="1"/>
        <v>0.87693875228005402</v>
      </c>
      <c r="D4288" s="101">
        <f t="shared" ca="1" si="241"/>
        <v>0.72454258407256267</v>
      </c>
      <c r="E4288" s="101">
        <f t="shared" ca="1" si="242"/>
        <v>0</v>
      </c>
      <c r="F4288" s="21">
        <f t="shared" ca="1" si="243"/>
        <v>0</v>
      </c>
      <c r="H4288" s="21">
        <v>4273</v>
      </c>
      <c r="I4288" s="102">
        <v>0.6677428564949216</v>
      </c>
      <c r="J4288" s="103">
        <v>1.2509557491421034E-3</v>
      </c>
      <c r="K4288" s="103"/>
      <c r="L4288" s="103">
        <v>4.24E-2</v>
      </c>
      <c r="O4288" s="100"/>
    </row>
    <row r="4289" spans="2:15" x14ac:dyDescent="0.2">
      <c r="B4289" s="1">
        <f t="shared" si="244"/>
        <v>4274</v>
      </c>
      <c r="C4289" s="101">
        <f ca="1"/>
        <v>-2.8244804441993301</v>
      </c>
      <c r="D4289" s="101">
        <f t="shared" ca="1" si="241"/>
        <v>0.50291825423643799</v>
      </c>
      <c r="E4289" s="101">
        <f t="shared" ca="1" si="242"/>
        <v>0</v>
      </c>
      <c r="F4289" s="21">
        <f t="shared" ca="1" si="243"/>
        <v>0</v>
      </c>
      <c r="H4289" s="21">
        <v>4274</v>
      </c>
      <c r="I4289" s="102">
        <v>0.66765526173990553</v>
      </c>
      <c r="J4289" s="103">
        <v>1.2677141907978724E-3</v>
      </c>
      <c r="K4289" s="103"/>
      <c r="L4289" s="103">
        <v>4.0399999999999998E-2</v>
      </c>
      <c r="O4289" s="100"/>
    </row>
    <row r="4290" spans="2:15" x14ac:dyDescent="0.2">
      <c r="B4290" s="1">
        <f t="shared" si="244"/>
        <v>4275</v>
      </c>
      <c r="C4290" s="101">
        <f ca="1"/>
        <v>-1.3850553118908724</v>
      </c>
      <c r="D4290" s="101">
        <f t="shared" ca="1" si="241"/>
        <v>0.57964418656840477</v>
      </c>
      <c r="E4290" s="101">
        <f t="shared" ca="1" si="242"/>
        <v>0</v>
      </c>
      <c r="F4290" s="21">
        <f t="shared" ca="1" si="243"/>
        <v>0</v>
      </c>
      <c r="H4290" s="21">
        <v>4275</v>
      </c>
      <c r="I4290" s="102">
        <v>0.66793971873746572</v>
      </c>
      <c r="J4290" s="103">
        <v>1.6693866858319023E-3</v>
      </c>
      <c r="K4290" s="103"/>
      <c r="L4290" s="103">
        <v>4.4400000000000002E-2</v>
      </c>
      <c r="O4290" s="100"/>
    </row>
    <row r="4291" spans="2:15" x14ac:dyDescent="0.2">
      <c r="B4291" s="1">
        <f t="shared" si="244"/>
        <v>4276</v>
      </c>
      <c r="C4291" s="101">
        <f ca="1"/>
        <v>1.2804369001462261</v>
      </c>
      <c r="D4291" s="101">
        <f t="shared" ca="1" si="241"/>
        <v>0.75396212109460492</v>
      </c>
      <c r="E4291" s="101">
        <f t="shared" ca="1" si="242"/>
        <v>0</v>
      </c>
      <c r="F4291" s="21">
        <f t="shared" ca="1" si="243"/>
        <v>0</v>
      </c>
      <c r="H4291" s="21">
        <v>4276</v>
      </c>
      <c r="I4291" s="102">
        <v>0.66772618474117229</v>
      </c>
      <c r="J4291" s="103">
        <v>1.2632557570029779E-3</v>
      </c>
      <c r="K4291" s="103"/>
      <c r="L4291" s="103">
        <v>3.9600000000000003E-2</v>
      </c>
      <c r="O4291" s="100"/>
    </row>
    <row r="4292" spans="2:15" x14ac:dyDescent="0.2">
      <c r="B4292" s="1">
        <f t="shared" si="244"/>
        <v>4277</v>
      </c>
      <c r="C4292" s="101">
        <f ca="1"/>
        <v>-0.69132420692374807</v>
      </c>
      <c r="D4292" s="101">
        <f t="shared" ca="1" si="241"/>
        <v>0.62069821633154632</v>
      </c>
      <c r="E4292" s="101">
        <f t="shared" ca="1" si="242"/>
        <v>0</v>
      </c>
      <c r="F4292" s="21">
        <f t="shared" ca="1" si="243"/>
        <v>0</v>
      </c>
      <c r="H4292" s="21">
        <v>4277</v>
      </c>
      <c r="I4292" s="102">
        <v>0.66775134899370692</v>
      </c>
      <c r="J4292" s="103">
        <v>1.4094462347651929E-3</v>
      </c>
      <c r="K4292" s="103"/>
      <c r="L4292" s="103">
        <v>4.24E-2</v>
      </c>
      <c r="O4292" s="100"/>
    </row>
    <row r="4293" spans="2:15" x14ac:dyDescent="0.2">
      <c r="B4293" s="1">
        <f t="shared" si="244"/>
        <v>4278</v>
      </c>
      <c r="C4293" s="101">
        <f ca="1"/>
        <v>2.5639760212480076</v>
      </c>
      <c r="D4293" s="101">
        <f t="shared" ca="1" si="241"/>
        <v>0.85572762468831653</v>
      </c>
      <c r="E4293" s="101">
        <f t="shared" ca="1" si="242"/>
        <v>6.7527624688316523E-2</v>
      </c>
      <c r="F4293" s="21">
        <f t="shared" ca="1" si="243"/>
        <v>1</v>
      </c>
      <c r="H4293" s="21">
        <v>4278</v>
      </c>
      <c r="I4293" s="102">
        <v>0.6676274479273433</v>
      </c>
      <c r="J4293" s="103">
        <v>1.3135103084080735E-3</v>
      </c>
      <c r="K4293" s="103"/>
      <c r="L4293" s="103">
        <v>4.0599999999999997E-2</v>
      </c>
      <c r="O4293" s="100"/>
    </row>
    <row r="4294" spans="2:15" x14ac:dyDescent="0.2">
      <c r="B4294" s="1">
        <f t="shared" si="244"/>
        <v>4279</v>
      </c>
      <c r="C4294" s="101">
        <f ca="1"/>
        <v>0.35979710483632343</v>
      </c>
      <c r="D4294" s="101">
        <f t="shared" ca="1" si="241"/>
        <v>0.68850941966684842</v>
      </c>
      <c r="E4294" s="101">
        <f t="shared" ca="1" si="242"/>
        <v>0</v>
      </c>
      <c r="F4294" s="21">
        <f t="shared" ca="1" si="243"/>
        <v>0</v>
      </c>
      <c r="H4294" s="21">
        <v>4279</v>
      </c>
      <c r="I4294" s="102">
        <v>0.66784697091927658</v>
      </c>
      <c r="J4294" s="103">
        <v>1.49634007986178E-3</v>
      </c>
      <c r="K4294" s="103"/>
      <c r="L4294" s="103">
        <v>4.4600000000000001E-2</v>
      </c>
      <c r="O4294" s="100"/>
    </row>
    <row r="4295" spans="2:15" x14ac:dyDescent="0.2">
      <c r="B4295" s="1">
        <f t="shared" si="244"/>
        <v>4280</v>
      </c>
      <c r="C4295" s="101">
        <f ca="1"/>
        <v>-0.53705075458757601</v>
      </c>
      <c r="D4295" s="101">
        <f t="shared" ca="1" si="241"/>
        <v>0.63021607554898995</v>
      </c>
      <c r="E4295" s="101">
        <f t="shared" ca="1" si="242"/>
        <v>0</v>
      </c>
      <c r="F4295" s="21">
        <f t="shared" ca="1" si="243"/>
        <v>0</v>
      </c>
      <c r="H4295" s="21">
        <v>4280</v>
      </c>
      <c r="I4295" s="102">
        <v>0.66775955588143099</v>
      </c>
      <c r="J4295" s="103">
        <v>1.4282851476384521E-3</v>
      </c>
      <c r="K4295" s="103"/>
      <c r="L4295" s="103">
        <v>4.24E-2</v>
      </c>
      <c r="O4295" s="100"/>
    </row>
    <row r="4296" spans="2:15" x14ac:dyDescent="0.2">
      <c r="B4296" s="1">
        <f t="shared" si="244"/>
        <v>4281</v>
      </c>
      <c r="C4296" s="101">
        <f ca="1"/>
        <v>0.89648056971215906</v>
      </c>
      <c r="D4296" s="101">
        <f t="shared" ca="1" si="241"/>
        <v>0.72594058163727793</v>
      </c>
      <c r="E4296" s="101">
        <f t="shared" ca="1" si="242"/>
        <v>0</v>
      </c>
      <c r="F4296" s="21">
        <f t="shared" ca="1" si="243"/>
        <v>0</v>
      </c>
      <c r="H4296" s="21">
        <v>4281</v>
      </c>
      <c r="I4296" s="102">
        <v>0.66772704616837097</v>
      </c>
      <c r="J4296" s="103">
        <v>1.320644327507072E-3</v>
      </c>
      <c r="K4296" s="103"/>
      <c r="L4296" s="103">
        <v>4.02E-2</v>
      </c>
      <c r="O4296" s="100"/>
    </row>
    <row r="4297" spans="2:15" x14ac:dyDescent="0.2">
      <c r="B4297" s="1">
        <f t="shared" si="244"/>
        <v>4282</v>
      </c>
      <c r="C4297" s="101">
        <f ca="1"/>
        <v>-1.0942446229381837</v>
      </c>
      <c r="D4297" s="101">
        <f t="shared" ca="1" si="241"/>
        <v>0.59651261862772376</v>
      </c>
      <c r="E4297" s="101">
        <f t="shared" ca="1" si="242"/>
        <v>0</v>
      </c>
      <c r="F4297" s="21">
        <f t="shared" ca="1" si="243"/>
        <v>0</v>
      </c>
      <c r="H4297" s="21">
        <v>4282</v>
      </c>
      <c r="I4297" s="102">
        <v>0.66771705758036548</v>
      </c>
      <c r="J4297" s="103">
        <v>1.2656787260773785E-3</v>
      </c>
      <c r="K4297" s="103"/>
      <c r="L4297" s="103">
        <v>3.9199999999999999E-2</v>
      </c>
      <c r="O4297" s="100"/>
    </row>
    <row r="4298" spans="2:15" x14ac:dyDescent="0.2">
      <c r="B4298" s="1">
        <f t="shared" si="244"/>
        <v>4283</v>
      </c>
      <c r="C4298" s="101">
        <f ca="1"/>
        <v>-0.11654663190150556</v>
      </c>
      <c r="D4298" s="101">
        <f t="shared" ca="1" si="241"/>
        <v>0.65690658341763308</v>
      </c>
      <c r="E4298" s="101">
        <f t="shared" ca="1" si="242"/>
        <v>0</v>
      </c>
      <c r="F4298" s="21">
        <f t="shared" ca="1" si="243"/>
        <v>0</v>
      </c>
      <c r="H4298" s="21">
        <v>4283</v>
      </c>
      <c r="I4298" s="102">
        <v>0.66775488273646788</v>
      </c>
      <c r="J4298" s="103">
        <v>1.4077643169798028E-3</v>
      </c>
      <c r="K4298" s="103"/>
      <c r="L4298" s="103">
        <v>4.24E-2</v>
      </c>
      <c r="O4298" s="100"/>
    </row>
    <row r="4299" spans="2:15" x14ac:dyDescent="0.2">
      <c r="B4299" s="1">
        <f t="shared" si="244"/>
        <v>4284</v>
      </c>
      <c r="C4299" s="101">
        <f ca="1"/>
        <v>-0.31477835432359924</v>
      </c>
      <c r="D4299" s="101">
        <f t="shared" ca="1" si="241"/>
        <v>0.64418630766837026</v>
      </c>
      <c r="E4299" s="101">
        <f t="shared" ca="1" si="242"/>
        <v>0</v>
      </c>
      <c r="F4299" s="21">
        <f t="shared" ca="1" si="243"/>
        <v>0</v>
      </c>
      <c r="H4299" s="21">
        <v>4284</v>
      </c>
      <c r="I4299" s="102">
        <v>0.66775323475727755</v>
      </c>
      <c r="J4299" s="103">
        <v>1.4196315390752488E-3</v>
      </c>
      <c r="K4299" s="103"/>
      <c r="L4299" s="103">
        <v>4.2200000000000001E-2</v>
      </c>
      <c r="O4299" s="100"/>
    </row>
    <row r="4300" spans="2:15" x14ac:dyDescent="0.2">
      <c r="B4300" s="1">
        <f t="shared" si="244"/>
        <v>4285</v>
      </c>
      <c r="C4300" s="101">
        <f ca="1"/>
        <v>-0.89964537096824448</v>
      </c>
      <c r="D4300" s="101">
        <f t="shared" ca="1" si="241"/>
        <v>0.60807359799173288</v>
      </c>
      <c r="E4300" s="101">
        <f t="shared" ca="1" si="242"/>
        <v>0</v>
      </c>
      <c r="F4300" s="21">
        <f t="shared" ca="1" si="243"/>
        <v>0</v>
      </c>
      <c r="H4300" s="21">
        <v>4285</v>
      </c>
      <c r="I4300" s="102">
        <v>0.6678427727617684</v>
      </c>
      <c r="J4300" s="103">
        <v>1.5847003645250561E-3</v>
      </c>
      <c r="K4300" s="103"/>
      <c r="L4300" s="103">
        <v>4.36E-2</v>
      </c>
      <c r="O4300" s="100"/>
    </row>
    <row r="4301" spans="2:15" x14ac:dyDescent="0.2">
      <c r="B4301" s="1">
        <f t="shared" si="244"/>
        <v>4286</v>
      </c>
      <c r="C4301" s="101">
        <f ca="1"/>
        <v>1.9436654812043119</v>
      </c>
      <c r="D4301" s="101">
        <f t="shared" ca="1" si="241"/>
        <v>0.80493688932610008</v>
      </c>
      <c r="E4301" s="101">
        <f t="shared" ca="1" si="242"/>
        <v>1.6736889326100068E-2</v>
      </c>
      <c r="F4301" s="21">
        <f t="shared" ca="1" si="243"/>
        <v>1</v>
      </c>
      <c r="H4301" s="21">
        <v>4286</v>
      </c>
      <c r="I4301" s="102">
        <v>0.66768484595676969</v>
      </c>
      <c r="J4301" s="103">
        <v>1.2810060632136987E-3</v>
      </c>
      <c r="K4301" s="103"/>
      <c r="L4301" s="103">
        <v>4.2799999999999998E-2</v>
      </c>
      <c r="O4301" s="100"/>
    </row>
    <row r="4302" spans="2:15" x14ac:dyDescent="0.2">
      <c r="B4302" s="1">
        <f t="shared" si="244"/>
        <v>4287</v>
      </c>
      <c r="C4302" s="101">
        <f ca="1"/>
        <v>-0.15018961311650983</v>
      </c>
      <c r="D4302" s="101">
        <f t="shared" ca="1" si="241"/>
        <v>0.65473019420280998</v>
      </c>
      <c r="E4302" s="101">
        <f t="shared" ca="1" si="242"/>
        <v>0</v>
      </c>
      <c r="F4302" s="21">
        <f t="shared" ca="1" si="243"/>
        <v>0</v>
      </c>
      <c r="H4302" s="21">
        <v>4287</v>
      </c>
      <c r="I4302" s="102">
        <v>0.66783822660240155</v>
      </c>
      <c r="J4302" s="103">
        <v>1.5646858036771948E-3</v>
      </c>
      <c r="K4302" s="103"/>
      <c r="L4302" s="103">
        <v>4.48E-2</v>
      </c>
      <c r="O4302" s="100"/>
    </row>
    <row r="4303" spans="2:15" x14ac:dyDescent="0.2">
      <c r="B4303" s="1">
        <f t="shared" si="244"/>
        <v>4288</v>
      </c>
      <c r="C4303" s="101">
        <f ca="1"/>
        <v>1.7202192146560333</v>
      </c>
      <c r="D4303" s="101">
        <f t="shared" ca="1" si="241"/>
        <v>0.78738933986758364</v>
      </c>
      <c r="E4303" s="101">
        <f t="shared" ca="1" si="242"/>
        <v>0</v>
      </c>
      <c r="F4303" s="21">
        <f t="shared" ca="1" si="243"/>
        <v>0</v>
      </c>
      <c r="H4303" s="21">
        <v>4288</v>
      </c>
      <c r="I4303" s="102">
        <v>0.66776548044968298</v>
      </c>
      <c r="J4303" s="103">
        <v>1.3140843135999991E-3</v>
      </c>
      <c r="K4303" s="103"/>
      <c r="L4303" s="103">
        <v>4.1399999999999999E-2</v>
      </c>
      <c r="O4303" s="100"/>
    </row>
    <row r="4304" spans="2:15" x14ac:dyDescent="0.2">
      <c r="B4304" s="1">
        <f t="shared" si="244"/>
        <v>4289</v>
      </c>
      <c r="C4304" s="101">
        <f ca="1"/>
        <v>2.0786083230356397E-2</v>
      </c>
      <c r="D4304" s="101">
        <f t="shared" ref="D4304:D4367" ca="1" si="245">S0*EXP((μ-0.5*σ*σ)*T+σ*SQRT(T)*$C4304)</f>
        <v>0.66586603581850878</v>
      </c>
      <c r="E4304" s="101">
        <f t="shared" ref="E4304:E4367" ca="1" si="246">MAX(0,CP*(D4304-K))</f>
        <v>0</v>
      </c>
      <c r="F4304" s="21">
        <f t="shared" ref="F4304:F4367" ca="1" si="247">(CP*(D4304-K)&gt;0)*1</f>
        <v>0</v>
      </c>
      <c r="H4304" s="21">
        <v>4289</v>
      </c>
      <c r="I4304" s="102">
        <v>0.66778499455318585</v>
      </c>
      <c r="J4304" s="103">
        <v>1.4231290094906229E-3</v>
      </c>
      <c r="K4304" s="103"/>
      <c r="L4304" s="103">
        <v>4.4400000000000002E-2</v>
      </c>
      <c r="O4304" s="100"/>
    </row>
    <row r="4305" spans="2:15" x14ac:dyDescent="0.2">
      <c r="B4305" s="1">
        <f t="shared" si="244"/>
        <v>4290</v>
      </c>
      <c r="C4305" s="101">
        <f ca="1"/>
        <v>1.0538329182007651</v>
      </c>
      <c r="D4305" s="101">
        <f t="shared" ca="1" si="245"/>
        <v>0.73729612717407667</v>
      </c>
      <c r="E4305" s="101">
        <f t="shared" ca="1" si="246"/>
        <v>0</v>
      </c>
      <c r="F4305" s="21">
        <f t="shared" ca="1" si="247"/>
        <v>0</v>
      </c>
      <c r="H4305" s="21">
        <v>4290</v>
      </c>
      <c r="I4305" s="102">
        <v>0.66763661537294561</v>
      </c>
      <c r="J4305" s="103">
        <v>1.2647838302206169E-3</v>
      </c>
      <c r="K4305" s="103"/>
      <c r="L4305" s="103">
        <v>3.78E-2</v>
      </c>
      <c r="O4305" s="100"/>
    </row>
    <row r="4306" spans="2:15" x14ac:dyDescent="0.2">
      <c r="B4306" s="1">
        <f t="shared" si="244"/>
        <v>4291</v>
      </c>
      <c r="C4306" s="101">
        <f ca="1"/>
        <v>0.1784356920818041</v>
      </c>
      <c r="D4306" s="101">
        <f t="shared" ca="1" si="245"/>
        <v>0.67630169395143702</v>
      </c>
      <c r="E4306" s="101">
        <f t="shared" ca="1" si="246"/>
        <v>0</v>
      </c>
      <c r="F4306" s="21">
        <f t="shared" ca="1" si="247"/>
        <v>0</v>
      </c>
      <c r="H4306" s="21">
        <v>4291</v>
      </c>
      <c r="I4306" s="102">
        <v>0.66779197969562076</v>
      </c>
      <c r="J4306" s="103">
        <v>1.3870670313083267E-3</v>
      </c>
      <c r="K4306" s="103"/>
      <c r="L4306" s="103">
        <v>4.2599999999999999E-2</v>
      </c>
      <c r="O4306" s="100"/>
    </row>
    <row r="4307" spans="2:15" x14ac:dyDescent="0.2">
      <c r="B4307" s="1">
        <f t="shared" si="244"/>
        <v>4292</v>
      </c>
      <c r="C4307" s="101">
        <f ca="1"/>
        <v>-0.48957409911739597</v>
      </c>
      <c r="D4307" s="101">
        <f t="shared" ca="1" si="245"/>
        <v>0.63317440016295568</v>
      </c>
      <c r="E4307" s="101">
        <f t="shared" ca="1" si="246"/>
        <v>0</v>
      </c>
      <c r="F4307" s="21">
        <f t="shared" ca="1" si="247"/>
        <v>0</v>
      </c>
      <c r="H4307" s="21">
        <v>4292</v>
      </c>
      <c r="I4307" s="102">
        <v>0.66783377463939197</v>
      </c>
      <c r="J4307" s="103">
        <v>1.4543781841878456E-3</v>
      </c>
      <c r="K4307" s="103"/>
      <c r="L4307" s="103">
        <v>4.5999999999999999E-2</v>
      </c>
      <c r="O4307" s="100"/>
    </row>
    <row r="4308" spans="2:15" x14ac:dyDescent="0.2">
      <c r="B4308" s="1">
        <f t="shared" si="244"/>
        <v>4293</v>
      </c>
      <c r="C4308" s="101">
        <f ca="1"/>
        <v>1.3504715272321117</v>
      </c>
      <c r="D4308" s="101">
        <f t="shared" ca="1" si="245"/>
        <v>0.75918875681754927</v>
      </c>
      <c r="E4308" s="101">
        <f t="shared" ca="1" si="246"/>
        <v>0</v>
      </c>
      <c r="F4308" s="21">
        <f t="shared" ca="1" si="247"/>
        <v>0</v>
      </c>
      <c r="H4308" s="21">
        <v>4293</v>
      </c>
      <c r="I4308" s="102">
        <v>0.66761923325760952</v>
      </c>
      <c r="J4308" s="103">
        <v>1.168065710217528E-3</v>
      </c>
      <c r="K4308" s="103"/>
      <c r="L4308" s="103">
        <v>4.0399999999999998E-2</v>
      </c>
      <c r="O4308" s="100"/>
    </row>
    <row r="4309" spans="2:15" x14ac:dyDescent="0.2">
      <c r="B4309" s="1">
        <f t="shared" si="244"/>
        <v>4294</v>
      </c>
      <c r="C4309" s="101">
        <f ca="1"/>
        <v>-8.8272096347143933E-2</v>
      </c>
      <c r="D4309" s="101">
        <f t="shared" ca="1" si="245"/>
        <v>0.65874127795289106</v>
      </c>
      <c r="E4309" s="101">
        <f t="shared" ca="1" si="246"/>
        <v>0</v>
      </c>
      <c r="F4309" s="21">
        <f t="shared" ca="1" si="247"/>
        <v>0</v>
      </c>
      <c r="H4309" s="21">
        <v>4294</v>
      </c>
      <c r="I4309" s="102">
        <v>0.66762509883024923</v>
      </c>
      <c r="J4309" s="103">
        <v>1.084021443561388E-3</v>
      </c>
      <c r="K4309" s="103"/>
      <c r="L4309" s="103">
        <v>3.6600000000000001E-2</v>
      </c>
      <c r="O4309" s="100"/>
    </row>
    <row r="4310" spans="2:15" x14ac:dyDescent="0.2">
      <c r="B4310" s="1">
        <f t="shared" si="244"/>
        <v>4295</v>
      </c>
      <c r="C4310" s="101">
        <f ca="1"/>
        <v>1.9352494786721022</v>
      </c>
      <c r="D4310" s="101">
        <f t="shared" ca="1" si="245"/>
        <v>0.80426893566668556</v>
      </c>
      <c r="E4310" s="101">
        <f t="shared" ca="1" si="246"/>
        <v>1.6068935666685547E-2</v>
      </c>
      <c r="F4310" s="21">
        <f t="shared" ca="1" si="247"/>
        <v>1</v>
      </c>
      <c r="H4310" s="21">
        <v>4295</v>
      </c>
      <c r="I4310" s="102">
        <v>0.66779147128766758</v>
      </c>
      <c r="J4310" s="103">
        <v>1.5118434127232671E-3</v>
      </c>
      <c r="K4310" s="103"/>
      <c r="L4310" s="103">
        <v>4.6600000000000003E-2</v>
      </c>
      <c r="O4310" s="100"/>
    </row>
    <row r="4311" spans="2:15" x14ac:dyDescent="0.2">
      <c r="B4311" s="1">
        <f t="shared" si="244"/>
        <v>4296</v>
      </c>
      <c r="C4311" s="101">
        <f ca="1"/>
        <v>0.1174702305888711</v>
      </c>
      <c r="D4311" s="101">
        <f t="shared" ca="1" si="245"/>
        <v>0.67224681368703365</v>
      </c>
      <c r="E4311" s="101">
        <f t="shared" ca="1" si="246"/>
        <v>0</v>
      </c>
      <c r="F4311" s="21">
        <f t="shared" ca="1" si="247"/>
        <v>0</v>
      </c>
      <c r="H4311" s="21">
        <v>4296</v>
      </c>
      <c r="I4311" s="102">
        <v>0.66774788907793226</v>
      </c>
      <c r="J4311" s="103">
        <v>1.4626803377707381E-3</v>
      </c>
      <c r="K4311" s="103"/>
      <c r="L4311" s="103">
        <v>4.0599999999999997E-2</v>
      </c>
      <c r="O4311" s="100"/>
    </row>
    <row r="4312" spans="2:15" x14ac:dyDescent="0.2">
      <c r="B4312" s="1">
        <f t="shared" si="244"/>
        <v>4297</v>
      </c>
      <c r="C4312" s="101">
        <f ca="1"/>
        <v>-1.2588279465591174</v>
      </c>
      <c r="D4312" s="101">
        <f t="shared" ca="1" si="245"/>
        <v>0.58690659148514812</v>
      </c>
      <c r="E4312" s="101">
        <f t="shared" ca="1" si="246"/>
        <v>0</v>
      </c>
      <c r="F4312" s="21">
        <f t="shared" ca="1" si="247"/>
        <v>0</v>
      </c>
      <c r="H4312" s="21">
        <v>4297</v>
      </c>
      <c r="I4312" s="102">
        <v>0.6676446358766619</v>
      </c>
      <c r="J4312" s="103">
        <v>1.2930574916433801E-3</v>
      </c>
      <c r="K4312" s="103"/>
      <c r="L4312" s="103">
        <v>3.7600000000000001E-2</v>
      </c>
      <c r="O4312" s="100"/>
    </row>
    <row r="4313" spans="2:15" x14ac:dyDescent="0.2">
      <c r="B4313" s="1">
        <f t="shared" si="244"/>
        <v>4298</v>
      </c>
      <c r="C4313" s="101">
        <f ca="1"/>
        <v>-0.5990019359199219</v>
      </c>
      <c r="D4313" s="101">
        <f t="shared" ca="1" si="245"/>
        <v>0.62637660208450874</v>
      </c>
      <c r="E4313" s="101">
        <f t="shared" ca="1" si="246"/>
        <v>0</v>
      </c>
      <c r="F4313" s="21">
        <f t="shared" ca="1" si="247"/>
        <v>0</v>
      </c>
      <c r="H4313" s="21">
        <v>4298</v>
      </c>
      <c r="I4313" s="102">
        <v>0.66775893839502165</v>
      </c>
      <c r="J4313" s="103">
        <v>1.4140192379481708E-3</v>
      </c>
      <c r="K4313" s="103"/>
      <c r="L4313" s="103">
        <v>4.1799999999999997E-2</v>
      </c>
      <c r="O4313" s="100"/>
    </row>
    <row r="4314" spans="2:15" x14ac:dyDescent="0.2">
      <c r="B4314" s="1">
        <f t="shared" si="244"/>
        <v>4299</v>
      </c>
      <c r="C4314" s="101">
        <f ca="1"/>
        <v>-0.60522900064123064</v>
      </c>
      <c r="D4314" s="101">
        <f t="shared" ca="1" si="245"/>
        <v>0.62599197095360126</v>
      </c>
      <c r="E4314" s="101">
        <f t="shared" ca="1" si="246"/>
        <v>0</v>
      </c>
      <c r="F4314" s="21">
        <f t="shared" ca="1" si="247"/>
        <v>0</v>
      </c>
      <c r="H4314" s="21">
        <v>4299</v>
      </c>
      <c r="I4314" s="102">
        <v>0.66776731059371763</v>
      </c>
      <c r="J4314" s="103">
        <v>1.4017699428541404E-3</v>
      </c>
      <c r="K4314" s="103"/>
      <c r="L4314" s="103">
        <v>4.5400000000000003E-2</v>
      </c>
      <c r="O4314" s="100"/>
    </row>
    <row r="4315" spans="2:15" x14ac:dyDescent="0.2">
      <c r="B4315" s="1">
        <f t="shared" si="244"/>
        <v>4300</v>
      </c>
      <c r="C4315" s="101">
        <f ca="1"/>
        <v>-0.85318432238719255</v>
      </c>
      <c r="D4315" s="101">
        <f t="shared" ca="1" si="245"/>
        <v>0.61086678244687409</v>
      </c>
      <c r="E4315" s="101">
        <f t="shared" ca="1" si="246"/>
        <v>0</v>
      </c>
      <c r="F4315" s="21">
        <f t="shared" ca="1" si="247"/>
        <v>0</v>
      </c>
      <c r="H4315" s="21">
        <v>4300</v>
      </c>
      <c r="I4315" s="102">
        <v>0.66779993719221398</v>
      </c>
      <c r="J4315" s="103">
        <v>1.5070705543663865E-3</v>
      </c>
      <c r="K4315" s="103"/>
      <c r="L4315" s="103">
        <v>4.36E-2</v>
      </c>
      <c r="O4315" s="100"/>
    </row>
    <row r="4316" spans="2:15" x14ac:dyDescent="0.2">
      <c r="B4316" s="1">
        <f t="shared" si="244"/>
        <v>4301</v>
      </c>
      <c r="C4316" s="101">
        <f ca="1"/>
        <v>0.55945945193043101</v>
      </c>
      <c r="D4316" s="101">
        <f t="shared" ca="1" si="245"/>
        <v>0.70220399861701233</v>
      </c>
      <c r="E4316" s="101">
        <f t="shared" ca="1" si="246"/>
        <v>0</v>
      </c>
      <c r="F4316" s="21">
        <f t="shared" ca="1" si="247"/>
        <v>0</v>
      </c>
      <c r="H4316" s="21">
        <v>4301</v>
      </c>
      <c r="I4316" s="102">
        <v>0.66776672559155337</v>
      </c>
      <c r="J4316" s="103">
        <v>1.3048539505313725E-3</v>
      </c>
      <c r="K4316" s="103"/>
      <c r="L4316" s="103">
        <v>3.9399999999999998E-2</v>
      </c>
      <c r="O4316" s="100"/>
    </row>
    <row r="4317" spans="2:15" x14ac:dyDescent="0.2">
      <c r="B4317" s="1">
        <f t="shared" si="244"/>
        <v>4302</v>
      </c>
      <c r="C4317" s="101">
        <f ca="1"/>
        <v>0.59955451369236223</v>
      </c>
      <c r="D4317" s="101">
        <f t="shared" ca="1" si="245"/>
        <v>0.70498673580923188</v>
      </c>
      <c r="E4317" s="101">
        <f t="shared" ca="1" si="246"/>
        <v>0</v>
      </c>
      <c r="F4317" s="21">
        <f t="shared" ca="1" si="247"/>
        <v>0</v>
      </c>
      <c r="H4317" s="21">
        <v>4302</v>
      </c>
      <c r="I4317" s="102">
        <v>0.66769879661016851</v>
      </c>
      <c r="J4317" s="103">
        <v>1.2406319738071062E-3</v>
      </c>
      <c r="K4317" s="103"/>
      <c r="L4317" s="103">
        <v>4.3400000000000001E-2</v>
      </c>
      <c r="O4317" s="100"/>
    </row>
    <row r="4318" spans="2:15" x14ac:dyDescent="0.2">
      <c r="B4318" s="1">
        <f t="shared" si="244"/>
        <v>4303</v>
      </c>
      <c r="C4318" s="101">
        <f ca="1"/>
        <v>-0.50493981512259267</v>
      </c>
      <c r="D4318" s="101">
        <f t="shared" ca="1" si="245"/>
        <v>0.63221542808296394</v>
      </c>
      <c r="E4318" s="101">
        <f t="shared" ca="1" si="246"/>
        <v>0</v>
      </c>
      <c r="F4318" s="21">
        <f t="shared" ca="1" si="247"/>
        <v>0</v>
      </c>
      <c r="H4318" s="21">
        <v>4303</v>
      </c>
      <c r="I4318" s="102">
        <v>0.6677186742582587</v>
      </c>
      <c r="J4318" s="103">
        <v>1.263916641691668E-3</v>
      </c>
      <c r="K4318" s="103"/>
      <c r="L4318" s="103">
        <v>0.04</v>
      </c>
      <c r="O4318" s="100"/>
    </row>
    <row r="4319" spans="2:15" x14ac:dyDescent="0.2">
      <c r="B4319" s="1">
        <f t="shared" si="244"/>
        <v>4304</v>
      </c>
      <c r="C4319" s="101">
        <f ca="1"/>
        <v>0.43592837373798032</v>
      </c>
      <c r="D4319" s="101">
        <f t="shared" ca="1" si="245"/>
        <v>0.69369937457001773</v>
      </c>
      <c r="E4319" s="101">
        <f t="shared" ca="1" si="246"/>
        <v>0</v>
      </c>
      <c r="F4319" s="21">
        <f t="shared" ca="1" si="247"/>
        <v>0</v>
      </c>
      <c r="H4319" s="21">
        <v>4304</v>
      </c>
      <c r="I4319" s="102">
        <v>0.6676891016581159</v>
      </c>
      <c r="J4319" s="103">
        <v>1.3825996582862252E-3</v>
      </c>
      <c r="K4319" s="103"/>
      <c r="L4319" s="103">
        <v>4.2599999999999999E-2</v>
      </c>
      <c r="O4319" s="100"/>
    </row>
    <row r="4320" spans="2:15" x14ac:dyDescent="0.2">
      <c r="B4320" s="1">
        <f t="shared" si="244"/>
        <v>4305</v>
      </c>
      <c r="C4320" s="101">
        <f ca="1"/>
        <v>2.7697406448199637</v>
      </c>
      <c r="D4320" s="101">
        <f t="shared" ca="1" si="245"/>
        <v>0.8732737017476343</v>
      </c>
      <c r="E4320" s="101">
        <f t="shared" ca="1" si="246"/>
        <v>8.5073701747634289E-2</v>
      </c>
      <c r="F4320" s="21">
        <f t="shared" ca="1" si="247"/>
        <v>1</v>
      </c>
      <c r="H4320" s="21">
        <v>4305</v>
      </c>
      <c r="I4320" s="102">
        <v>0.66787716135783914</v>
      </c>
      <c r="J4320" s="103">
        <v>1.5296963118646887E-3</v>
      </c>
      <c r="K4320" s="103"/>
      <c r="L4320" s="103">
        <v>4.3799999999999999E-2</v>
      </c>
      <c r="O4320" s="100"/>
    </row>
    <row r="4321" spans="2:15" x14ac:dyDescent="0.2">
      <c r="B4321" s="1">
        <f t="shared" si="244"/>
        <v>4306</v>
      </c>
      <c r="C4321" s="101">
        <f ca="1"/>
        <v>1.470054051907941</v>
      </c>
      <c r="D4321" s="101">
        <f t="shared" ca="1" si="245"/>
        <v>0.76819700463805518</v>
      </c>
      <c r="E4321" s="101">
        <f t="shared" ca="1" si="246"/>
        <v>0</v>
      </c>
      <c r="F4321" s="21">
        <f t="shared" ca="1" si="247"/>
        <v>0</v>
      </c>
      <c r="H4321" s="21">
        <v>4306</v>
      </c>
      <c r="I4321" s="102">
        <v>0.66764545809142983</v>
      </c>
      <c r="J4321" s="103">
        <v>1.2768914054992638E-3</v>
      </c>
      <c r="K4321" s="103"/>
      <c r="L4321" s="103">
        <v>3.9199999999999999E-2</v>
      </c>
      <c r="O4321" s="100"/>
    </row>
    <row r="4322" spans="2:15" x14ac:dyDescent="0.2">
      <c r="B4322" s="1">
        <f t="shared" si="244"/>
        <v>4307</v>
      </c>
      <c r="C4322" s="101">
        <f ca="1"/>
        <v>-0.53814490344542998</v>
      </c>
      <c r="D4322" s="101">
        <f t="shared" ca="1" si="245"/>
        <v>0.63014806107356158</v>
      </c>
      <c r="E4322" s="101">
        <f t="shared" ca="1" si="246"/>
        <v>0</v>
      </c>
      <c r="F4322" s="21">
        <f t="shared" ca="1" si="247"/>
        <v>0</v>
      </c>
      <c r="H4322" s="21">
        <v>4307</v>
      </c>
      <c r="I4322" s="102">
        <v>0.66787280210389199</v>
      </c>
      <c r="J4322" s="103">
        <v>1.5488547703694424E-3</v>
      </c>
      <c r="K4322" s="103"/>
      <c r="L4322" s="103">
        <v>4.5999999999999999E-2</v>
      </c>
      <c r="O4322" s="100"/>
    </row>
    <row r="4323" spans="2:15" x14ac:dyDescent="0.2">
      <c r="B4323" s="1">
        <f t="shared" si="244"/>
        <v>4308</v>
      </c>
      <c r="C4323" s="101">
        <f ca="1"/>
        <v>-0.80739732070783488</v>
      </c>
      <c r="D4323" s="101">
        <f t="shared" ca="1" si="245"/>
        <v>0.61363199632681253</v>
      </c>
      <c r="E4323" s="101">
        <f t="shared" ca="1" si="246"/>
        <v>0</v>
      </c>
      <c r="F4323" s="21">
        <f t="shared" ca="1" si="247"/>
        <v>0</v>
      </c>
      <c r="H4323" s="21">
        <v>4308</v>
      </c>
      <c r="I4323" s="102">
        <v>0.66773480036450561</v>
      </c>
      <c r="J4323" s="103">
        <v>1.412612044904238E-3</v>
      </c>
      <c r="K4323" s="103"/>
      <c r="L4323" s="103">
        <v>4.2599999999999999E-2</v>
      </c>
      <c r="O4323" s="100"/>
    </row>
    <row r="4324" spans="2:15" x14ac:dyDescent="0.2">
      <c r="B4324" s="1">
        <f t="shared" si="244"/>
        <v>4309</v>
      </c>
      <c r="C4324" s="101">
        <f ca="1"/>
        <v>0.78860240694929673</v>
      </c>
      <c r="D4324" s="101">
        <f t="shared" ca="1" si="245"/>
        <v>0.7182566259910026</v>
      </c>
      <c r="E4324" s="101">
        <f t="shared" ca="1" si="246"/>
        <v>0</v>
      </c>
      <c r="F4324" s="21">
        <f t="shared" ca="1" si="247"/>
        <v>0</v>
      </c>
      <c r="H4324" s="21">
        <v>4309</v>
      </c>
      <c r="I4324" s="102">
        <v>0.66784638019724507</v>
      </c>
      <c r="J4324" s="103">
        <v>1.5634813888676198E-3</v>
      </c>
      <c r="K4324" s="103"/>
      <c r="L4324" s="103">
        <v>4.5999999999999999E-2</v>
      </c>
      <c r="O4324" s="100"/>
    </row>
    <row r="4325" spans="2:15" x14ac:dyDescent="0.2">
      <c r="B4325" s="1">
        <f t="shared" si="244"/>
        <v>4310</v>
      </c>
      <c r="C4325" s="101">
        <f ca="1"/>
        <v>1.0925508430972271</v>
      </c>
      <c r="D4325" s="101">
        <f t="shared" ca="1" si="245"/>
        <v>0.74011738330825294</v>
      </c>
      <c r="E4325" s="101">
        <f t="shared" ca="1" si="246"/>
        <v>0</v>
      </c>
      <c r="F4325" s="21">
        <f t="shared" ca="1" si="247"/>
        <v>0</v>
      </c>
      <c r="H4325" s="21">
        <v>4310</v>
      </c>
      <c r="I4325" s="102">
        <v>0.66776817794252763</v>
      </c>
      <c r="J4325" s="103">
        <v>1.2918739870486891E-3</v>
      </c>
      <c r="K4325" s="103"/>
      <c r="L4325" s="103">
        <v>4.24E-2</v>
      </c>
      <c r="O4325" s="100"/>
    </row>
    <row r="4326" spans="2:15" x14ac:dyDescent="0.2">
      <c r="B4326" s="1">
        <f t="shared" si="244"/>
        <v>4311</v>
      </c>
      <c r="C4326" s="101">
        <f ca="1"/>
        <v>0.1197577680931297</v>
      </c>
      <c r="D4326" s="101">
        <f t="shared" ca="1" si="245"/>
        <v>0.67239852042684578</v>
      </c>
      <c r="E4326" s="101">
        <f t="shared" ca="1" si="246"/>
        <v>0</v>
      </c>
      <c r="F4326" s="21">
        <f t="shared" ca="1" si="247"/>
        <v>0</v>
      </c>
      <c r="H4326" s="21">
        <v>4311</v>
      </c>
      <c r="I4326" s="102">
        <v>0.6677659317094482</v>
      </c>
      <c r="J4326" s="103">
        <v>1.3280773078117722E-3</v>
      </c>
      <c r="K4326" s="103"/>
      <c r="L4326" s="103">
        <v>4.2999999999999997E-2</v>
      </c>
      <c r="O4326" s="100"/>
    </row>
    <row r="4327" spans="2:15" x14ac:dyDescent="0.2">
      <c r="B4327" s="1">
        <f t="shared" si="244"/>
        <v>4312</v>
      </c>
      <c r="C4327" s="101">
        <f ca="1"/>
        <v>0.78952624131668958</v>
      </c>
      <c r="D4327" s="101">
        <f t="shared" ca="1" si="245"/>
        <v>0.71832208244049345</v>
      </c>
      <c r="E4327" s="101">
        <f t="shared" ca="1" si="246"/>
        <v>0</v>
      </c>
      <c r="F4327" s="21">
        <f t="shared" ca="1" si="247"/>
        <v>0</v>
      </c>
      <c r="H4327" s="21">
        <v>4312</v>
      </c>
      <c r="I4327" s="102">
        <v>0.66761293478198491</v>
      </c>
      <c r="J4327" s="103">
        <v>1.2843994275784619E-3</v>
      </c>
      <c r="K4327" s="103"/>
      <c r="L4327" s="103">
        <v>3.6999999999999998E-2</v>
      </c>
      <c r="O4327" s="100"/>
    </row>
    <row r="4328" spans="2:15" x14ac:dyDescent="0.2">
      <c r="B4328" s="1">
        <f t="shared" si="244"/>
        <v>4313</v>
      </c>
      <c r="C4328" s="101">
        <f ca="1"/>
        <v>-0.90012884206492028</v>
      </c>
      <c r="D4328" s="101">
        <f t="shared" ca="1" si="245"/>
        <v>0.60804459951349832</v>
      </c>
      <c r="E4328" s="101">
        <f t="shared" ca="1" si="246"/>
        <v>0</v>
      </c>
      <c r="F4328" s="21">
        <f t="shared" ca="1" si="247"/>
        <v>0</v>
      </c>
      <c r="H4328" s="21">
        <v>4313</v>
      </c>
      <c r="I4328" s="102">
        <v>0.66763617516432017</v>
      </c>
      <c r="J4328" s="103">
        <v>1.3704122898148851E-3</v>
      </c>
      <c r="K4328" s="103"/>
      <c r="L4328" s="103">
        <v>3.9E-2</v>
      </c>
      <c r="O4328" s="100"/>
    </row>
    <row r="4329" spans="2:15" x14ac:dyDescent="0.2">
      <c r="B4329" s="1">
        <f t="shared" si="244"/>
        <v>4314</v>
      </c>
      <c r="C4329" s="101">
        <f ca="1"/>
        <v>-5.9567875921766163E-2</v>
      </c>
      <c r="D4329" s="101">
        <f t="shared" ca="1" si="245"/>
        <v>0.66060909577804716</v>
      </c>
      <c r="E4329" s="101">
        <f t="shared" ca="1" si="246"/>
        <v>0</v>
      </c>
      <c r="F4329" s="21">
        <f t="shared" ca="1" si="247"/>
        <v>0</v>
      </c>
      <c r="H4329" s="21">
        <v>4314</v>
      </c>
      <c r="I4329" s="102">
        <v>0.66769059998905</v>
      </c>
      <c r="J4329" s="103">
        <v>1.2347728446879475E-3</v>
      </c>
      <c r="K4329" s="103"/>
      <c r="L4329" s="103">
        <v>4.2000000000000003E-2</v>
      </c>
      <c r="O4329" s="100"/>
    </row>
    <row r="4330" spans="2:15" x14ac:dyDescent="0.2">
      <c r="B4330" s="1">
        <f t="shared" si="244"/>
        <v>4315</v>
      </c>
      <c r="C4330" s="101">
        <f ca="1"/>
        <v>0.23535740298131039</v>
      </c>
      <c r="D4330" s="101">
        <f t="shared" ca="1" si="245"/>
        <v>0.68010969568211688</v>
      </c>
      <c r="E4330" s="101">
        <f t="shared" ca="1" si="246"/>
        <v>0</v>
      </c>
      <c r="F4330" s="21">
        <f t="shared" ca="1" si="247"/>
        <v>0</v>
      </c>
      <c r="H4330" s="21">
        <v>4315</v>
      </c>
      <c r="I4330" s="102">
        <v>0.6677339839337012</v>
      </c>
      <c r="J4330" s="103">
        <v>1.3716138780220464E-3</v>
      </c>
      <c r="K4330" s="103"/>
      <c r="L4330" s="103">
        <v>4.36E-2</v>
      </c>
      <c r="O4330" s="100"/>
    </row>
    <row r="4331" spans="2:15" x14ac:dyDescent="0.2">
      <c r="B4331" s="1">
        <f t="shared" si="244"/>
        <v>4316</v>
      </c>
      <c r="C4331" s="101">
        <f ca="1"/>
        <v>-9.1672987579462559E-2</v>
      </c>
      <c r="D4331" s="101">
        <f t="shared" ca="1" si="245"/>
        <v>0.65852032812014294</v>
      </c>
      <c r="E4331" s="101">
        <f t="shared" ca="1" si="246"/>
        <v>0</v>
      </c>
      <c r="F4331" s="21">
        <f t="shared" ca="1" si="247"/>
        <v>0</v>
      </c>
      <c r="H4331" s="21">
        <v>4316</v>
      </c>
      <c r="I4331" s="102">
        <v>0.66774129441256225</v>
      </c>
      <c r="J4331" s="103">
        <v>1.2578637918098077E-3</v>
      </c>
      <c r="K4331" s="103"/>
      <c r="L4331" s="103">
        <v>3.9399999999999998E-2</v>
      </c>
      <c r="O4331" s="100"/>
    </row>
    <row r="4332" spans="2:15" x14ac:dyDescent="0.2">
      <c r="B4332" s="1">
        <f t="shared" si="244"/>
        <v>4317</v>
      </c>
      <c r="C4332" s="101">
        <f ca="1"/>
        <v>-0.89513912032780052</v>
      </c>
      <c r="D4332" s="101">
        <f t="shared" ca="1" si="245"/>
        <v>0.60834394833022554</v>
      </c>
      <c r="E4332" s="101">
        <f t="shared" ca="1" si="246"/>
        <v>0</v>
      </c>
      <c r="F4332" s="21">
        <f t="shared" ca="1" si="247"/>
        <v>0</v>
      </c>
      <c r="H4332" s="21">
        <v>4317</v>
      </c>
      <c r="I4332" s="102">
        <v>0.66765854215131326</v>
      </c>
      <c r="J4332" s="103">
        <v>1.2812974477883308E-3</v>
      </c>
      <c r="K4332" s="103"/>
      <c r="L4332" s="103">
        <v>3.9600000000000003E-2</v>
      </c>
      <c r="O4332" s="100"/>
    </row>
    <row r="4333" spans="2:15" x14ac:dyDescent="0.2">
      <c r="B4333" s="1">
        <f t="shared" si="244"/>
        <v>4318</v>
      </c>
      <c r="C4333" s="101">
        <f ca="1"/>
        <v>-0.50461412180498766</v>
      </c>
      <c r="D4333" s="101">
        <f t="shared" ca="1" si="245"/>
        <v>0.6322357394808974</v>
      </c>
      <c r="E4333" s="101">
        <f t="shared" ca="1" si="246"/>
        <v>0</v>
      </c>
      <c r="F4333" s="21">
        <f t="shared" ca="1" si="247"/>
        <v>0</v>
      </c>
      <c r="H4333" s="21">
        <v>4318</v>
      </c>
      <c r="I4333" s="102">
        <v>0.66774899733646009</v>
      </c>
      <c r="J4333" s="103">
        <v>1.3570136481301923E-3</v>
      </c>
      <c r="K4333" s="103"/>
      <c r="L4333" s="103">
        <v>4.2999999999999997E-2</v>
      </c>
      <c r="O4333" s="100"/>
    </row>
    <row r="4334" spans="2:15" x14ac:dyDescent="0.2">
      <c r="B4334" s="1">
        <f t="shared" si="244"/>
        <v>4319</v>
      </c>
      <c r="C4334" s="101">
        <f ca="1"/>
        <v>1.7044807375887459</v>
      </c>
      <c r="D4334" s="101">
        <f t="shared" ca="1" si="245"/>
        <v>0.78616789444225454</v>
      </c>
      <c r="E4334" s="101">
        <f t="shared" ca="1" si="246"/>
        <v>0</v>
      </c>
      <c r="F4334" s="21">
        <f t="shared" ca="1" si="247"/>
        <v>0</v>
      </c>
      <c r="H4334" s="21">
        <v>4319</v>
      </c>
      <c r="I4334" s="102">
        <v>0.66779822359227103</v>
      </c>
      <c r="J4334" s="103">
        <v>1.4399909938576526E-3</v>
      </c>
      <c r="K4334" s="103"/>
      <c r="L4334" s="103">
        <v>4.1200000000000001E-2</v>
      </c>
      <c r="O4334" s="100"/>
    </row>
    <row r="4335" spans="2:15" x14ac:dyDescent="0.2">
      <c r="B4335" s="1">
        <f t="shared" si="244"/>
        <v>4320</v>
      </c>
      <c r="C4335" s="101">
        <f ca="1"/>
        <v>-0.44425906155959549</v>
      </c>
      <c r="D4335" s="101">
        <f t="shared" ca="1" si="245"/>
        <v>0.63601098376684517</v>
      </c>
      <c r="E4335" s="101">
        <f t="shared" ca="1" si="246"/>
        <v>0</v>
      </c>
      <c r="F4335" s="21">
        <f t="shared" ca="1" si="247"/>
        <v>0</v>
      </c>
      <c r="H4335" s="21">
        <v>4320</v>
      </c>
      <c r="I4335" s="102">
        <v>0.66781446141038825</v>
      </c>
      <c r="J4335" s="103">
        <v>1.491830501398423E-3</v>
      </c>
      <c r="K4335" s="103"/>
      <c r="L4335" s="103">
        <v>4.36E-2</v>
      </c>
      <c r="O4335" s="100"/>
    </row>
    <row r="4336" spans="2:15" x14ac:dyDescent="0.2">
      <c r="B4336" s="1">
        <f t="shared" ref="B4336:B4399" si="248">B4335+1</f>
        <v>4321</v>
      </c>
      <c r="C4336" s="101">
        <f ca="1"/>
        <v>1.0637550973288996</v>
      </c>
      <c r="D4336" s="101">
        <f t="shared" ca="1" si="245"/>
        <v>0.7380180993554647</v>
      </c>
      <c r="E4336" s="101">
        <f t="shared" ca="1" si="246"/>
        <v>0</v>
      </c>
      <c r="F4336" s="21">
        <f t="shared" ca="1" si="247"/>
        <v>0</v>
      </c>
      <c r="H4336" s="21">
        <v>4321</v>
      </c>
      <c r="I4336" s="102">
        <v>0.66769684308363531</v>
      </c>
      <c r="J4336" s="103">
        <v>1.3931862118596095E-3</v>
      </c>
      <c r="K4336" s="103"/>
      <c r="L4336" s="103">
        <v>4.02E-2</v>
      </c>
      <c r="O4336" s="100"/>
    </row>
    <row r="4337" spans="2:15" x14ac:dyDescent="0.2">
      <c r="B4337" s="1">
        <f t="shared" si="248"/>
        <v>4322</v>
      </c>
      <c r="C4337" s="101">
        <f ca="1"/>
        <v>-2.0117019417723951</v>
      </c>
      <c r="D4337" s="101">
        <f t="shared" ca="1" si="245"/>
        <v>0.54489939947071875</v>
      </c>
      <c r="E4337" s="101">
        <f t="shared" ca="1" si="246"/>
        <v>0</v>
      </c>
      <c r="F4337" s="21">
        <f t="shared" ca="1" si="247"/>
        <v>0</v>
      </c>
      <c r="H4337" s="21">
        <v>4322</v>
      </c>
      <c r="I4337" s="102">
        <v>0.66775474598669982</v>
      </c>
      <c r="J4337" s="103">
        <v>1.3965459092312668E-3</v>
      </c>
      <c r="K4337" s="103"/>
      <c r="L4337" s="103">
        <v>4.1399999999999999E-2</v>
      </c>
      <c r="O4337" s="100"/>
    </row>
    <row r="4338" spans="2:15" x14ac:dyDescent="0.2">
      <c r="B4338" s="1">
        <f t="shared" si="248"/>
        <v>4323</v>
      </c>
      <c r="C4338" s="101">
        <f ca="1"/>
        <v>2.9306756608004196</v>
      </c>
      <c r="D4338" s="101">
        <f t="shared" ca="1" si="245"/>
        <v>0.88724740668391455</v>
      </c>
      <c r="E4338" s="101">
        <f t="shared" ca="1" si="246"/>
        <v>9.9047406683914541E-2</v>
      </c>
      <c r="F4338" s="21">
        <f t="shared" ca="1" si="247"/>
        <v>1</v>
      </c>
      <c r="H4338" s="21">
        <v>4323</v>
      </c>
      <c r="I4338" s="102">
        <v>0.66762268678161696</v>
      </c>
      <c r="J4338" s="103">
        <v>1.3661603765120526E-3</v>
      </c>
      <c r="K4338" s="103"/>
      <c r="L4338" s="103">
        <v>4.0800000000000003E-2</v>
      </c>
      <c r="O4338" s="100"/>
    </row>
    <row r="4339" spans="2:15" x14ac:dyDescent="0.2">
      <c r="B4339" s="1">
        <f t="shared" si="248"/>
        <v>4324</v>
      </c>
      <c r="C4339" s="101">
        <f ca="1"/>
        <v>-0.24223252088162583</v>
      </c>
      <c r="D4339" s="101">
        <f t="shared" ca="1" si="245"/>
        <v>0.64881264930710236</v>
      </c>
      <c r="E4339" s="101">
        <f t="shared" ca="1" si="246"/>
        <v>0</v>
      </c>
      <c r="F4339" s="21">
        <f t="shared" ca="1" si="247"/>
        <v>0</v>
      </c>
      <c r="H4339" s="21">
        <v>4324</v>
      </c>
      <c r="I4339" s="102">
        <v>0.66785987118668355</v>
      </c>
      <c r="J4339" s="103">
        <v>1.5968942940467305E-3</v>
      </c>
      <c r="K4339" s="103"/>
      <c r="L4339" s="103">
        <v>4.5199999999999997E-2</v>
      </c>
      <c r="O4339" s="100"/>
    </row>
    <row r="4340" spans="2:15" x14ac:dyDescent="0.2">
      <c r="B4340" s="1">
        <f t="shared" si="248"/>
        <v>4325</v>
      </c>
      <c r="C4340" s="101">
        <f ca="1"/>
        <v>0.33663781812425303</v>
      </c>
      <c r="D4340" s="101">
        <f t="shared" ca="1" si="245"/>
        <v>0.68693834076685045</v>
      </c>
      <c r="E4340" s="101">
        <f t="shared" ca="1" si="246"/>
        <v>0</v>
      </c>
      <c r="F4340" s="21">
        <f t="shared" ca="1" si="247"/>
        <v>0</v>
      </c>
      <c r="H4340" s="21">
        <v>4325</v>
      </c>
      <c r="I4340" s="102">
        <v>0.66767176154793229</v>
      </c>
      <c r="J4340" s="103">
        <v>1.2498239437862889E-3</v>
      </c>
      <c r="K4340" s="103"/>
      <c r="L4340" s="103">
        <v>3.8600000000000002E-2</v>
      </c>
      <c r="O4340" s="100"/>
    </row>
    <row r="4341" spans="2:15" x14ac:dyDescent="0.2">
      <c r="B4341" s="1">
        <f t="shared" si="248"/>
        <v>4326</v>
      </c>
      <c r="C4341" s="101">
        <f ca="1"/>
        <v>0.69945875085664411</v>
      </c>
      <c r="D4341" s="101">
        <f t="shared" ca="1" si="245"/>
        <v>0.71196850407500678</v>
      </c>
      <c r="E4341" s="101">
        <f t="shared" ca="1" si="246"/>
        <v>0</v>
      </c>
      <c r="F4341" s="21">
        <f t="shared" ca="1" si="247"/>
        <v>0</v>
      </c>
      <c r="H4341" s="21">
        <v>4326</v>
      </c>
      <c r="I4341" s="102">
        <v>0.66758083632705623</v>
      </c>
      <c r="J4341" s="103">
        <v>1.1583134656800902E-3</v>
      </c>
      <c r="K4341" s="103"/>
      <c r="L4341" s="103">
        <v>3.8800000000000001E-2</v>
      </c>
      <c r="O4341" s="100"/>
    </row>
    <row r="4342" spans="2:15" x14ac:dyDescent="0.2">
      <c r="B4342" s="1">
        <f t="shared" si="248"/>
        <v>4327</v>
      </c>
      <c r="C4342" s="101">
        <f ca="1"/>
        <v>-1.3892275776079426</v>
      </c>
      <c r="D4342" s="101">
        <f t="shared" ca="1" si="245"/>
        <v>0.57940567855285896</v>
      </c>
      <c r="E4342" s="101">
        <f t="shared" ca="1" si="246"/>
        <v>0</v>
      </c>
      <c r="F4342" s="21">
        <f t="shared" ca="1" si="247"/>
        <v>0</v>
      </c>
      <c r="H4342" s="21">
        <v>4327</v>
      </c>
      <c r="I4342" s="102">
        <v>0.66784511237883448</v>
      </c>
      <c r="J4342" s="103">
        <v>1.4355562860368441E-3</v>
      </c>
      <c r="K4342" s="103"/>
      <c r="L4342" s="103">
        <v>4.48E-2</v>
      </c>
      <c r="O4342" s="100"/>
    </row>
    <row r="4343" spans="2:15" x14ac:dyDescent="0.2">
      <c r="B4343" s="1">
        <f t="shared" si="248"/>
        <v>4328</v>
      </c>
      <c r="C4343" s="101">
        <f ca="1"/>
        <v>4.1955839714033667E-2</v>
      </c>
      <c r="D4343" s="101">
        <f t="shared" ca="1" si="245"/>
        <v>0.66725795863776927</v>
      </c>
      <c r="E4343" s="101">
        <f t="shared" ca="1" si="246"/>
        <v>0</v>
      </c>
      <c r="F4343" s="21">
        <f t="shared" ca="1" si="247"/>
        <v>0</v>
      </c>
      <c r="H4343" s="21">
        <v>4328</v>
      </c>
      <c r="I4343" s="102">
        <v>0.66769955107054813</v>
      </c>
      <c r="J4343" s="103">
        <v>1.2413654301156977E-3</v>
      </c>
      <c r="K4343" s="103"/>
      <c r="L4343" s="103">
        <v>4.1399999999999999E-2</v>
      </c>
      <c r="O4343" s="100"/>
    </row>
    <row r="4344" spans="2:15" x14ac:dyDescent="0.2">
      <c r="B4344" s="1">
        <f t="shared" si="248"/>
        <v>4329</v>
      </c>
      <c r="C4344" s="101">
        <f ca="1"/>
        <v>8.7091230726325283E-2</v>
      </c>
      <c r="D4344" s="101">
        <f t="shared" ca="1" si="245"/>
        <v>0.67023535749367835</v>
      </c>
      <c r="E4344" s="101">
        <f t="shared" ca="1" si="246"/>
        <v>0</v>
      </c>
      <c r="F4344" s="21">
        <f t="shared" ca="1" si="247"/>
        <v>0</v>
      </c>
      <c r="H4344" s="21">
        <v>4329</v>
      </c>
      <c r="I4344" s="102">
        <v>0.66767951886147214</v>
      </c>
      <c r="J4344" s="103">
        <v>1.3418087253831126E-3</v>
      </c>
      <c r="K4344" s="103"/>
      <c r="L4344" s="103">
        <v>3.8399999999999997E-2</v>
      </c>
      <c r="O4344" s="100"/>
    </row>
    <row r="4345" spans="2:15" x14ac:dyDescent="0.2">
      <c r="B4345" s="1">
        <f t="shared" si="248"/>
        <v>4330</v>
      </c>
      <c r="C4345" s="101">
        <f ca="1"/>
        <v>-1.1106705411123832</v>
      </c>
      <c r="D4345" s="101">
        <f t="shared" ca="1" si="245"/>
        <v>0.59554688712118575</v>
      </c>
      <c r="E4345" s="101">
        <f t="shared" ca="1" si="246"/>
        <v>0</v>
      </c>
      <c r="F4345" s="21">
        <f t="shared" ca="1" si="247"/>
        <v>0</v>
      </c>
      <c r="H4345" s="21">
        <v>4330</v>
      </c>
      <c r="I4345" s="102">
        <v>0.6679646747592255</v>
      </c>
      <c r="J4345" s="103">
        <v>1.6094688309553256E-3</v>
      </c>
      <c r="K4345" s="103"/>
      <c r="L4345" s="103">
        <v>4.7600000000000003E-2</v>
      </c>
      <c r="O4345" s="100"/>
    </row>
    <row r="4346" spans="2:15" x14ac:dyDescent="0.2">
      <c r="B4346" s="1">
        <f t="shared" si="248"/>
        <v>4331</v>
      </c>
      <c r="C4346" s="101">
        <f ca="1"/>
        <v>1.3828382261294334</v>
      </c>
      <c r="D4346" s="101">
        <f t="shared" ca="1" si="245"/>
        <v>0.76161648771339219</v>
      </c>
      <c r="E4346" s="101">
        <f t="shared" ca="1" si="246"/>
        <v>0</v>
      </c>
      <c r="F4346" s="21">
        <f t="shared" ca="1" si="247"/>
        <v>0</v>
      </c>
      <c r="H4346" s="21">
        <v>4331</v>
      </c>
      <c r="I4346" s="102">
        <v>0.66778181801841652</v>
      </c>
      <c r="J4346" s="103">
        <v>1.5110623183090114E-3</v>
      </c>
      <c r="K4346" s="103"/>
      <c r="L4346" s="103">
        <v>4.3799999999999999E-2</v>
      </c>
      <c r="O4346" s="100"/>
    </row>
    <row r="4347" spans="2:15" x14ac:dyDescent="0.2">
      <c r="B4347" s="1">
        <f t="shared" si="248"/>
        <v>4332</v>
      </c>
      <c r="C4347" s="101">
        <f ca="1"/>
        <v>0.27154573698707524</v>
      </c>
      <c r="D4347" s="101">
        <f t="shared" ca="1" si="245"/>
        <v>0.68254179793748326</v>
      </c>
      <c r="E4347" s="101">
        <f t="shared" ca="1" si="246"/>
        <v>0</v>
      </c>
      <c r="F4347" s="21">
        <f t="shared" ca="1" si="247"/>
        <v>0</v>
      </c>
      <c r="H4347" s="21">
        <v>4332</v>
      </c>
      <c r="I4347" s="102">
        <v>0.66764117112220001</v>
      </c>
      <c r="J4347" s="103">
        <v>1.2271181873358471E-3</v>
      </c>
      <c r="K4347" s="103"/>
      <c r="L4347" s="103">
        <v>3.9E-2</v>
      </c>
      <c r="O4347" s="100"/>
    </row>
    <row r="4348" spans="2:15" x14ac:dyDescent="0.2">
      <c r="B4348" s="1">
        <f t="shared" si="248"/>
        <v>4333</v>
      </c>
      <c r="C4348" s="101">
        <f ca="1"/>
        <v>0.5077794390077871</v>
      </c>
      <c r="D4348" s="101">
        <f t="shared" ca="1" si="245"/>
        <v>0.69863342236025416</v>
      </c>
      <c r="E4348" s="101">
        <f t="shared" ca="1" si="246"/>
        <v>0</v>
      </c>
      <c r="F4348" s="21">
        <f t="shared" ca="1" si="247"/>
        <v>0</v>
      </c>
      <c r="H4348" s="21">
        <v>4333</v>
      </c>
      <c r="I4348" s="102">
        <v>0.66784785448995732</v>
      </c>
      <c r="J4348" s="103">
        <v>1.531524788749454E-3</v>
      </c>
      <c r="K4348" s="103"/>
      <c r="L4348" s="103">
        <v>4.2599999999999999E-2</v>
      </c>
      <c r="O4348" s="100"/>
    </row>
    <row r="4349" spans="2:15" x14ac:dyDescent="0.2">
      <c r="B4349" s="1">
        <f t="shared" si="248"/>
        <v>4334</v>
      </c>
      <c r="C4349" s="101">
        <f ca="1"/>
        <v>1.0291009331133605</v>
      </c>
      <c r="D4349" s="101">
        <f t="shared" ca="1" si="245"/>
        <v>0.73549961491334537</v>
      </c>
      <c r="E4349" s="101">
        <f t="shared" ca="1" si="246"/>
        <v>0</v>
      </c>
      <c r="F4349" s="21">
        <f t="shared" ca="1" si="247"/>
        <v>0</v>
      </c>
      <c r="H4349" s="21">
        <v>4334</v>
      </c>
      <c r="I4349" s="102">
        <v>0.66775411863529999</v>
      </c>
      <c r="J4349" s="103">
        <v>1.4453667606617862E-3</v>
      </c>
      <c r="K4349" s="103"/>
      <c r="L4349" s="103">
        <v>4.1799999999999997E-2</v>
      </c>
      <c r="O4349" s="100"/>
    </row>
    <row r="4350" spans="2:15" x14ac:dyDescent="0.2">
      <c r="B4350" s="1">
        <f t="shared" si="248"/>
        <v>4335</v>
      </c>
      <c r="C4350" s="101">
        <f ca="1"/>
        <v>-0.92547327450103578</v>
      </c>
      <c r="D4350" s="101">
        <f t="shared" ca="1" si="245"/>
        <v>0.60652638146692528</v>
      </c>
      <c r="E4350" s="101">
        <f t="shared" ca="1" si="246"/>
        <v>0</v>
      </c>
      <c r="F4350" s="21">
        <f t="shared" ca="1" si="247"/>
        <v>0</v>
      </c>
      <c r="H4350" s="21">
        <v>4335</v>
      </c>
      <c r="I4350" s="102">
        <v>0.66760895438360901</v>
      </c>
      <c r="J4350" s="103">
        <v>1.2903558525410143E-3</v>
      </c>
      <c r="K4350" s="103"/>
      <c r="L4350" s="103">
        <v>3.9E-2</v>
      </c>
      <c r="O4350" s="100"/>
    </row>
    <row r="4351" spans="2:15" x14ac:dyDescent="0.2">
      <c r="B4351" s="1">
        <f t="shared" si="248"/>
        <v>4336</v>
      </c>
      <c r="C4351" s="101">
        <f ca="1"/>
        <v>-0.60156876822317429</v>
      </c>
      <c r="D4351" s="101">
        <f t="shared" ca="1" si="245"/>
        <v>0.62621802627254797</v>
      </c>
      <c r="E4351" s="101">
        <f t="shared" ca="1" si="246"/>
        <v>0</v>
      </c>
      <c r="F4351" s="21">
        <f t="shared" ca="1" si="247"/>
        <v>0</v>
      </c>
      <c r="H4351" s="21">
        <v>4336</v>
      </c>
      <c r="I4351" s="102">
        <v>0.66775100571157719</v>
      </c>
      <c r="J4351" s="103">
        <v>1.4651865051867133E-3</v>
      </c>
      <c r="K4351" s="103"/>
      <c r="L4351" s="103">
        <v>4.3999999999999997E-2</v>
      </c>
      <c r="O4351" s="100"/>
    </row>
    <row r="4352" spans="2:15" x14ac:dyDescent="0.2">
      <c r="B4352" s="1">
        <f t="shared" si="248"/>
        <v>4337</v>
      </c>
      <c r="C4352" s="101">
        <f ca="1"/>
        <v>0.66697691713206386</v>
      </c>
      <c r="D4352" s="101">
        <f t="shared" ca="1" si="245"/>
        <v>0.70969097119085833</v>
      </c>
      <c r="E4352" s="101">
        <f t="shared" ca="1" si="246"/>
        <v>0</v>
      </c>
      <c r="F4352" s="21">
        <f t="shared" ca="1" si="247"/>
        <v>0</v>
      </c>
      <c r="H4352" s="21">
        <v>4337</v>
      </c>
      <c r="I4352" s="102">
        <v>0.66763919293248675</v>
      </c>
      <c r="J4352" s="103">
        <v>1.2134834536036037E-3</v>
      </c>
      <c r="K4352" s="103"/>
      <c r="L4352" s="103">
        <v>3.9399999999999998E-2</v>
      </c>
      <c r="O4352" s="100"/>
    </row>
    <row r="4353" spans="2:15" x14ac:dyDescent="0.2">
      <c r="B4353" s="1">
        <f t="shared" si="248"/>
        <v>4338</v>
      </c>
      <c r="C4353" s="101">
        <f ca="1"/>
        <v>-0.20232770173440368</v>
      </c>
      <c r="D4353" s="101">
        <f t="shared" ca="1" si="245"/>
        <v>0.65137158036373732</v>
      </c>
      <c r="E4353" s="101">
        <f t="shared" ca="1" si="246"/>
        <v>0</v>
      </c>
      <c r="F4353" s="21">
        <f t="shared" ca="1" si="247"/>
        <v>0</v>
      </c>
      <c r="H4353" s="21">
        <v>4338</v>
      </c>
      <c r="I4353" s="102">
        <v>0.66771460525142923</v>
      </c>
      <c r="J4353" s="103">
        <v>1.221724344491953E-3</v>
      </c>
      <c r="K4353" s="103"/>
      <c r="L4353" s="103">
        <v>4.1799999999999997E-2</v>
      </c>
      <c r="O4353" s="100"/>
    </row>
    <row r="4354" spans="2:15" x14ac:dyDescent="0.2">
      <c r="B4354" s="1">
        <f t="shared" si="248"/>
        <v>4339</v>
      </c>
      <c r="C4354" s="101">
        <f ca="1"/>
        <v>-0.70545510637688558</v>
      </c>
      <c r="D4354" s="101">
        <f t="shared" ca="1" si="245"/>
        <v>0.61983363359428811</v>
      </c>
      <c r="E4354" s="101">
        <f t="shared" ca="1" si="246"/>
        <v>0</v>
      </c>
      <c r="F4354" s="21">
        <f t="shared" ca="1" si="247"/>
        <v>0</v>
      </c>
      <c r="H4354" s="21">
        <v>4339</v>
      </c>
      <c r="I4354" s="102">
        <v>0.66762527980362618</v>
      </c>
      <c r="J4354" s="103">
        <v>1.2026371995425939E-3</v>
      </c>
      <c r="K4354" s="103"/>
      <c r="L4354" s="103">
        <v>4.02E-2</v>
      </c>
      <c r="O4354" s="100"/>
    </row>
    <row r="4355" spans="2:15" x14ac:dyDescent="0.2">
      <c r="B4355" s="1">
        <f t="shared" si="248"/>
        <v>4340</v>
      </c>
      <c r="C4355" s="101">
        <f ca="1"/>
        <v>7.8897619670816752E-2</v>
      </c>
      <c r="D4355" s="101">
        <f t="shared" ca="1" si="245"/>
        <v>0.66969387292174798</v>
      </c>
      <c r="E4355" s="101">
        <f t="shared" ca="1" si="246"/>
        <v>0</v>
      </c>
      <c r="F4355" s="21">
        <f t="shared" ca="1" si="247"/>
        <v>0</v>
      </c>
      <c r="H4355" s="21">
        <v>4340</v>
      </c>
      <c r="I4355" s="102">
        <v>0.66767370940325332</v>
      </c>
      <c r="J4355" s="103">
        <v>1.3101958676471159E-3</v>
      </c>
      <c r="K4355" s="103"/>
      <c r="L4355" s="103">
        <v>3.9800000000000002E-2</v>
      </c>
      <c r="O4355" s="100"/>
    </row>
    <row r="4356" spans="2:15" x14ac:dyDescent="0.2">
      <c r="B4356" s="1">
        <f t="shared" si="248"/>
        <v>4341</v>
      </c>
      <c r="C4356" s="101">
        <f ca="1"/>
        <v>1.3285112258301799</v>
      </c>
      <c r="D4356" s="101">
        <f t="shared" ca="1" si="245"/>
        <v>0.75754598718184163</v>
      </c>
      <c r="E4356" s="101">
        <f t="shared" ca="1" si="246"/>
        <v>0</v>
      </c>
      <c r="F4356" s="21">
        <f t="shared" ca="1" si="247"/>
        <v>0</v>
      </c>
      <c r="H4356" s="21">
        <v>4341</v>
      </c>
      <c r="I4356" s="102">
        <v>0.6678757412493036</v>
      </c>
      <c r="J4356" s="103">
        <v>1.5437687445682266E-3</v>
      </c>
      <c r="K4356" s="103"/>
      <c r="L4356" s="103">
        <v>4.4600000000000001E-2</v>
      </c>
      <c r="O4356" s="100"/>
    </row>
    <row r="4357" spans="2:15" x14ac:dyDescent="0.2">
      <c r="B4357" s="1">
        <f t="shared" si="248"/>
        <v>4342</v>
      </c>
      <c r="C4357" s="101">
        <f ca="1"/>
        <v>-8.6074776656421118E-2</v>
      </c>
      <c r="D4357" s="101">
        <f t="shared" ca="1" si="245"/>
        <v>0.65888407331199894</v>
      </c>
      <c r="E4357" s="101">
        <f t="shared" ca="1" si="246"/>
        <v>0</v>
      </c>
      <c r="F4357" s="21">
        <f t="shared" ca="1" si="247"/>
        <v>0</v>
      </c>
      <c r="H4357" s="21">
        <v>4342</v>
      </c>
      <c r="I4357" s="102">
        <v>0.66770348130634793</v>
      </c>
      <c r="J4357" s="103">
        <v>1.395153059053525E-3</v>
      </c>
      <c r="K4357" s="103"/>
      <c r="L4357" s="103">
        <v>4.0399999999999998E-2</v>
      </c>
      <c r="O4357" s="100"/>
    </row>
    <row r="4358" spans="2:15" x14ac:dyDescent="0.2">
      <c r="B4358" s="1">
        <f t="shared" si="248"/>
        <v>4343</v>
      </c>
      <c r="C4358" s="101">
        <f ca="1"/>
        <v>1.1083336170996017</v>
      </c>
      <c r="D4358" s="101">
        <f t="shared" ca="1" si="245"/>
        <v>0.74127052041940733</v>
      </c>
      <c r="E4358" s="101">
        <f t="shared" ca="1" si="246"/>
        <v>0</v>
      </c>
      <c r="F4358" s="21">
        <f t="shared" ca="1" si="247"/>
        <v>0</v>
      </c>
      <c r="H4358" s="21">
        <v>4343</v>
      </c>
      <c r="I4358" s="102">
        <v>0.66776685992008256</v>
      </c>
      <c r="J4358" s="103">
        <v>1.4724128125212467E-3</v>
      </c>
      <c r="K4358" s="103"/>
      <c r="L4358" s="103">
        <v>3.9800000000000002E-2</v>
      </c>
      <c r="O4358" s="100"/>
    </row>
    <row r="4359" spans="2:15" x14ac:dyDescent="0.2">
      <c r="B4359" s="1">
        <f t="shared" si="248"/>
        <v>4344</v>
      </c>
      <c r="C4359" s="101">
        <f ca="1"/>
        <v>1.0008528159642227</v>
      </c>
      <c r="D4359" s="101">
        <f t="shared" ca="1" si="245"/>
        <v>0.73345304808542933</v>
      </c>
      <c r="E4359" s="101">
        <f t="shared" ca="1" si="246"/>
        <v>0</v>
      </c>
      <c r="F4359" s="21">
        <f t="shared" ca="1" si="247"/>
        <v>0</v>
      </c>
      <c r="H4359" s="21">
        <v>4344</v>
      </c>
      <c r="I4359" s="102">
        <v>0.66775095005265339</v>
      </c>
      <c r="J4359" s="103">
        <v>1.4072918612667731E-3</v>
      </c>
      <c r="K4359" s="103"/>
      <c r="L4359" s="103">
        <v>4.1799999999999997E-2</v>
      </c>
      <c r="O4359" s="100"/>
    </row>
    <row r="4360" spans="2:15" x14ac:dyDescent="0.2">
      <c r="B4360" s="1">
        <f t="shared" si="248"/>
        <v>4345</v>
      </c>
      <c r="C4360" s="101">
        <f ca="1"/>
        <v>-0.12728687355686974</v>
      </c>
      <c r="D4360" s="101">
        <f t="shared" ca="1" si="245"/>
        <v>0.65621100429936552</v>
      </c>
      <c r="E4360" s="101">
        <f t="shared" ca="1" si="246"/>
        <v>0</v>
      </c>
      <c r="F4360" s="21">
        <f t="shared" ca="1" si="247"/>
        <v>0</v>
      </c>
      <c r="H4360" s="21">
        <v>4345</v>
      </c>
      <c r="I4360" s="102">
        <v>0.66762251513919735</v>
      </c>
      <c r="J4360" s="103">
        <v>1.2661951737395572E-3</v>
      </c>
      <c r="K4360" s="103"/>
      <c r="L4360" s="103">
        <v>3.9E-2</v>
      </c>
      <c r="O4360" s="100"/>
    </row>
    <row r="4361" spans="2:15" x14ac:dyDescent="0.2">
      <c r="B4361" s="1">
        <f t="shared" si="248"/>
        <v>4346</v>
      </c>
      <c r="C4361" s="101">
        <f ca="1"/>
        <v>0.92859651887862937</v>
      </c>
      <c r="D4361" s="101">
        <f t="shared" ca="1" si="245"/>
        <v>0.72824397882846814</v>
      </c>
      <c r="E4361" s="101">
        <f t="shared" ca="1" si="246"/>
        <v>0</v>
      </c>
      <c r="F4361" s="21">
        <f t="shared" ca="1" si="247"/>
        <v>0</v>
      </c>
      <c r="H4361" s="21">
        <v>4346</v>
      </c>
      <c r="I4361" s="102">
        <v>0.66777400788591046</v>
      </c>
      <c r="J4361" s="103">
        <v>1.4248785253169966E-3</v>
      </c>
      <c r="K4361" s="103"/>
      <c r="L4361" s="103">
        <v>4.3999999999999997E-2</v>
      </c>
      <c r="O4361" s="100"/>
    </row>
    <row r="4362" spans="2:15" x14ac:dyDescent="0.2">
      <c r="B4362" s="1">
        <f t="shared" si="248"/>
        <v>4347</v>
      </c>
      <c r="C4362" s="101">
        <f ca="1"/>
        <v>-0.84008979473288348</v>
      </c>
      <c r="D4362" s="101">
        <f t="shared" ca="1" si="245"/>
        <v>0.61165632539436043</v>
      </c>
      <c r="E4362" s="101">
        <f t="shared" ca="1" si="246"/>
        <v>0</v>
      </c>
      <c r="F4362" s="21">
        <f t="shared" ca="1" si="247"/>
        <v>0</v>
      </c>
      <c r="H4362" s="21">
        <v>4347</v>
      </c>
      <c r="I4362" s="102">
        <v>0.66770045053184301</v>
      </c>
      <c r="J4362" s="103">
        <v>1.2250577150372309E-3</v>
      </c>
      <c r="K4362" s="103"/>
      <c r="L4362" s="103">
        <v>4.24E-2</v>
      </c>
      <c r="O4362" s="100"/>
    </row>
    <row r="4363" spans="2:15" x14ac:dyDescent="0.2">
      <c r="B4363" s="1">
        <f t="shared" si="248"/>
        <v>4348</v>
      </c>
      <c r="C4363" s="101">
        <f ca="1"/>
        <v>-1.0303425150802805</v>
      </c>
      <c r="D4363" s="101">
        <f t="shared" ca="1" si="245"/>
        <v>0.60028454496035233</v>
      </c>
      <c r="E4363" s="101">
        <f t="shared" ca="1" si="246"/>
        <v>0</v>
      </c>
      <c r="F4363" s="21">
        <f t="shared" ca="1" si="247"/>
        <v>0</v>
      </c>
      <c r="H4363" s="21">
        <v>4348</v>
      </c>
      <c r="I4363" s="102">
        <v>0.66785460548558961</v>
      </c>
      <c r="J4363" s="103">
        <v>1.4369907308499365E-3</v>
      </c>
      <c r="K4363" s="103"/>
      <c r="L4363" s="103">
        <v>4.48E-2</v>
      </c>
      <c r="O4363" s="100"/>
    </row>
    <row r="4364" spans="2:15" x14ac:dyDescent="0.2">
      <c r="B4364" s="1">
        <f t="shared" si="248"/>
        <v>4349</v>
      </c>
      <c r="C4364" s="101">
        <f ca="1"/>
        <v>0.20311680630524201</v>
      </c>
      <c r="D4364" s="101">
        <f t="shared" ca="1" si="245"/>
        <v>0.67795020896563152</v>
      </c>
      <c r="E4364" s="101">
        <f t="shared" ca="1" si="246"/>
        <v>0</v>
      </c>
      <c r="F4364" s="21">
        <f t="shared" ca="1" si="247"/>
        <v>0</v>
      </c>
      <c r="H4364" s="21">
        <v>4349</v>
      </c>
      <c r="I4364" s="102">
        <v>0.66771129257323059</v>
      </c>
      <c r="J4364" s="103">
        <v>1.4535627502876769E-3</v>
      </c>
      <c r="K4364" s="103"/>
      <c r="L4364" s="103">
        <v>4.2599999999999999E-2</v>
      </c>
      <c r="O4364" s="100"/>
    </row>
    <row r="4365" spans="2:15" x14ac:dyDescent="0.2">
      <c r="B4365" s="1">
        <f t="shared" si="248"/>
        <v>4350</v>
      </c>
      <c r="C4365" s="101">
        <f ca="1"/>
        <v>-1.8467515608153324</v>
      </c>
      <c r="D4365" s="101">
        <f t="shared" ca="1" si="245"/>
        <v>0.55383793827413286</v>
      </c>
      <c r="E4365" s="101">
        <f t="shared" ca="1" si="246"/>
        <v>0</v>
      </c>
      <c r="F4365" s="21">
        <f t="shared" ca="1" si="247"/>
        <v>0</v>
      </c>
      <c r="H4365" s="21">
        <v>4350</v>
      </c>
      <c r="I4365" s="102">
        <v>0.66778756048476851</v>
      </c>
      <c r="J4365" s="103">
        <v>1.2995113414171267E-3</v>
      </c>
      <c r="K4365" s="103"/>
      <c r="L4365" s="103">
        <v>4.24E-2</v>
      </c>
      <c r="O4365" s="100"/>
    </row>
    <row r="4366" spans="2:15" x14ac:dyDescent="0.2">
      <c r="B4366" s="1">
        <f t="shared" si="248"/>
        <v>4351</v>
      </c>
      <c r="C4366" s="101">
        <f ca="1"/>
        <v>0.24182539043136686</v>
      </c>
      <c r="D4366" s="101">
        <f t="shared" ca="1" si="245"/>
        <v>0.68054375150342938</v>
      </c>
      <c r="E4366" s="101">
        <f t="shared" ca="1" si="246"/>
        <v>0</v>
      </c>
      <c r="F4366" s="21">
        <f t="shared" ca="1" si="247"/>
        <v>0</v>
      </c>
      <c r="H4366" s="21">
        <v>4351</v>
      </c>
      <c r="I4366" s="102">
        <v>0.66764042961968828</v>
      </c>
      <c r="J4366" s="103">
        <v>1.1385087398295133E-3</v>
      </c>
      <c r="K4366" s="103"/>
      <c r="L4366" s="103">
        <v>3.9E-2</v>
      </c>
      <c r="O4366" s="100"/>
    </row>
    <row r="4367" spans="2:15" x14ac:dyDescent="0.2">
      <c r="B4367" s="1">
        <f t="shared" si="248"/>
        <v>4352</v>
      </c>
      <c r="C4367" s="101">
        <f ca="1"/>
        <v>1.0032901576662956</v>
      </c>
      <c r="D4367" s="101">
        <f t="shared" ca="1" si="245"/>
        <v>0.7336294079861827</v>
      </c>
      <c r="E4367" s="101">
        <f t="shared" ca="1" si="246"/>
        <v>0</v>
      </c>
      <c r="F4367" s="21">
        <f t="shared" ca="1" si="247"/>
        <v>0</v>
      </c>
      <c r="H4367" s="21">
        <v>4352</v>
      </c>
      <c r="I4367" s="102">
        <v>0.6675903385689933</v>
      </c>
      <c r="J4367" s="103">
        <v>1.1970712410566541E-3</v>
      </c>
      <c r="K4367" s="103"/>
      <c r="L4367" s="103">
        <v>3.6600000000000001E-2</v>
      </c>
      <c r="O4367" s="100"/>
    </row>
    <row r="4368" spans="2:15" x14ac:dyDescent="0.2">
      <c r="B4368" s="1">
        <f t="shared" si="248"/>
        <v>4353</v>
      </c>
      <c r="C4368" s="101">
        <f ca="1"/>
        <v>-6.4647194600147119E-3</v>
      </c>
      <c r="D4368" s="101">
        <f t="shared" ref="D4368:D4431" ca="1" si="249">S0*EXP((μ-0.5*σ*σ)*T+σ*SQRT(T)*$C4368)</f>
        <v>0.66407855458863652</v>
      </c>
      <c r="E4368" s="101">
        <f t="shared" ref="E4368:E4431" ca="1" si="250">MAX(0,CP*(D4368-K))</f>
        <v>0</v>
      </c>
      <c r="F4368" s="21">
        <f t="shared" ref="F4368:F4431" ca="1" si="251">(CP*(D4368-K)&gt;0)*1</f>
        <v>0</v>
      </c>
      <c r="H4368" s="21">
        <v>4353</v>
      </c>
      <c r="I4368" s="102">
        <v>0.66774923513417217</v>
      </c>
      <c r="J4368" s="103">
        <v>1.3205775434175094E-3</v>
      </c>
      <c r="K4368" s="103"/>
      <c r="L4368" s="103">
        <v>4.2999999999999997E-2</v>
      </c>
      <c r="O4368" s="100"/>
    </row>
    <row r="4369" spans="2:15" x14ac:dyDescent="0.2">
      <c r="B4369" s="1">
        <f t="shared" si="248"/>
        <v>4354</v>
      </c>
      <c r="C4369" s="101">
        <f ca="1"/>
        <v>-2.5080293667795978E-2</v>
      </c>
      <c r="D4369" s="101">
        <f t="shared" ca="1" si="249"/>
        <v>0.66286024934280641</v>
      </c>
      <c r="E4369" s="101">
        <f t="shared" ca="1" si="250"/>
        <v>0</v>
      </c>
      <c r="F4369" s="21">
        <f t="shared" ca="1" si="251"/>
        <v>0</v>
      </c>
      <c r="H4369" s="21">
        <v>4354</v>
      </c>
      <c r="I4369" s="102">
        <v>0.66773610849177134</v>
      </c>
      <c r="J4369" s="103">
        <v>1.3301425387454741E-3</v>
      </c>
      <c r="K4369" s="103"/>
      <c r="L4369" s="103">
        <v>4.2200000000000001E-2</v>
      </c>
      <c r="O4369" s="100"/>
    </row>
    <row r="4370" spans="2:15" x14ac:dyDescent="0.2">
      <c r="B4370" s="1">
        <f t="shared" si="248"/>
        <v>4355</v>
      </c>
      <c r="C4370" s="101">
        <f ca="1"/>
        <v>1.1902487207697023</v>
      </c>
      <c r="D4370" s="101">
        <f t="shared" ca="1" si="249"/>
        <v>0.747284409207296</v>
      </c>
      <c r="E4370" s="101">
        <f t="shared" ca="1" si="250"/>
        <v>0</v>
      </c>
      <c r="F4370" s="21">
        <f t="shared" ca="1" si="251"/>
        <v>0</v>
      </c>
      <c r="H4370" s="21">
        <v>4355</v>
      </c>
      <c r="I4370" s="102">
        <v>0.6677827914011264</v>
      </c>
      <c r="J4370" s="103">
        <v>1.3272974348573128E-3</v>
      </c>
      <c r="K4370" s="103"/>
      <c r="L4370" s="103">
        <v>3.8600000000000002E-2</v>
      </c>
      <c r="O4370" s="100"/>
    </row>
    <row r="4371" spans="2:15" x14ac:dyDescent="0.2">
      <c r="B4371" s="1">
        <f t="shared" si="248"/>
        <v>4356</v>
      </c>
      <c r="C4371" s="101">
        <f ca="1"/>
        <v>-1.4977411681243677</v>
      </c>
      <c r="D4371" s="101">
        <f t="shared" ca="1" si="249"/>
        <v>0.57323683825319227</v>
      </c>
      <c r="E4371" s="101">
        <f t="shared" ca="1" si="250"/>
        <v>0</v>
      </c>
      <c r="F4371" s="21">
        <f t="shared" ca="1" si="251"/>
        <v>0</v>
      </c>
      <c r="H4371" s="21">
        <v>4356</v>
      </c>
      <c r="I4371" s="102">
        <v>0.6676348260626469</v>
      </c>
      <c r="J4371" s="103">
        <v>1.3219540616229669E-3</v>
      </c>
      <c r="K4371" s="103"/>
      <c r="L4371" s="103">
        <v>3.78E-2</v>
      </c>
      <c r="O4371" s="100"/>
    </row>
    <row r="4372" spans="2:15" x14ac:dyDescent="0.2">
      <c r="B4372" s="1">
        <f t="shared" si="248"/>
        <v>4357</v>
      </c>
      <c r="C4372" s="101">
        <f ca="1"/>
        <v>0.33439511466919541</v>
      </c>
      <c r="D4372" s="101">
        <f t="shared" ca="1" si="249"/>
        <v>0.68678639084802473</v>
      </c>
      <c r="E4372" s="101">
        <f t="shared" ca="1" si="250"/>
        <v>0</v>
      </c>
      <c r="F4372" s="21">
        <f t="shared" ca="1" si="251"/>
        <v>0</v>
      </c>
      <c r="H4372" s="21">
        <v>4357</v>
      </c>
      <c r="I4372" s="102">
        <v>0.66761556548261436</v>
      </c>
      <c r="J4372" s="103">
        <v>1.3122499047734557E-3</v>
      </c>
      <c r="K4372" s="103"/>
      <c r="L4372" s="103">
        <v>3.9199999999999999E-2</v>
      </c>
      <c r="O4372" s="100"/>
    </row>
    <row r="4373" spans="2:15" x14ac:dyDescent="0.2">
      <c r="B4373" s="1">
        <f t="shared" si="248"/>
        <v>4358</v>
      </c>
      <c r="C4373" s="101">
        <f ca="1"/>
        <v>-2.8443378151982016E-2</v>
      </c>
      <c r="D4373" s="101">
        <f t="shared" ca="1" si="249"/>
        <v>0.66264038914231771</v>
      </c>
      <c r="E4373" s="101">
        <f t="shared" ca="1" si="250"/>
        <v>0</v>
      </c>
      <c r="F4373" s="21">
        <f t="shared" ca="1" si="251"/>
        <v>0</v>
      </c>
      <c r="H4373" s="21">
        <v>4358</v>
      </c>
      <c r="I4373" s="102">
        <v>0.66772624276853632</v>
      </c>
      <c r="J4373" s="103">
        <v>1.4196526345545682E-3</v>
      </c>
      <c r="K4373" s="103"/>
      <c r="L4373" s="103">
        <v>4.2599999999999999E-2</v>
      </c>
      <c r="O4373" s="100"/>
    </row>
    <row r="4374" spans="2:15" x14ac:dyDescent="0.2">
      <c r="B4374" s="1">
        <f t="shared" si="248"/>
        <v>4359</v>
      </c>
      <c r="C4374" s="101">
        <f ca="1"/>
        <v>0.6194693319131932</v>
      </c>
      <c r="D4374" s="101">
        <f t="shared" ca="1" si="249"/>
        <v>0.7063729898729163</v>
      </c>
      <c r="E4374" s="101">
        <f t="shared" ca="1" si="250"/>
        <v>0</v>
      </c>
      <c r="F4374" s="21">
        <f t="shared" ca="1" si="251"/>
        <v>0</v>
      </c>
      <c r="H4374" s="21">
        <v>4359</v>
      </c>
      <c r="I4374" s="102">
        <v>0.66770362875619005</v>
      </c>
      <c r="J4374" s="103">
        <v>1.3716811914261232E-3</v>
      </c>
      <c r="K4374" s="103"/>
      <c r="L4374" s="103">
        <v>4.1599999999999998E-2</v>
      </c>
      <c r="O4374" s="100"/>
    </row>
    <row r="4375" spans="2:15" x14ac:dyDescent="0.2">
      <c r="B4375" s="1">
        <f t="shared" si="248"/>
        <v>4360</v>
      </c>
      <c r="C4375" s="101">
        <f ca="1"/>
        <v>1.6636250434659257</v>
      </c>
      <c r="D4375" s="101">
        <f t="shared" ca="1" si="249"/>
        <v>0.7830059664475838</v>
      </c>
      <c r="E4375" s="101">
        <f t="shared" ca="1" si="250"/>
        <v>0</v>
      </c>
      <c r="F4375" s="21">
        <f t="shared" ca="1" si="251"/>
        <v>0</v>
      </c>
      <c r="H4375" s="21">
        <v>4360</v>
      </c>
      <c r="I4375" s="102">
        <v>0.66765460607674698</v>
      </c>
      <c r="J4375" s="103">
        <v>1.3703078587367398E-3</v>
      </c>
      <c r="K4375" s="103"/>
      <c r="L4375" s="103">
        <v>4.0399999999999998E-2</v>
      </c>
      <c r="O4375" s="100"/>
    </row>
    <row r="4376" spans="2:15" x14ac:dyDescent="0.2">
      <c r="B4376" s="1">
        <f t="shared" si="248"/>
        <v>4361</v>
      </c>
      <c r="C4376" s="101">
        <f ca="1"/>
        <v>-1.2277246594007815E-2</v>
      </c>
      <c r="D4376" s="101">
        <f t="shared" ca="1" si="249"/>
        <v>0.66369791070746431</v>
      </c>
      <c r="E4376" s="101">
        <f t="shared" ca="1" si="250"/>
        <v>0</v>
      </c>
      <c r="F4376" s="21">
        <f t="shared" ca="1" si="251"/>
        <v>0</v>
      </c>
      <c r="H4376" s="21">
        <v>4361</v>
      </c>
      <c r="I4376" s="102">
        <v>0.66785110332255404</v>
      </c>
      <c r="J4376" s="103">
        <v>1.560555399723151E-3</v>
      </c>
      <c r="K4376" s="103"/>
      <c r="L4376" s="103">
        <v>4.36E-2</v>
      </c>
      <c r="O4376" s="100"/>
    </row>
    <row r="4377" spans="2:15" x14ac:dyDescent="0.2">
      <c r="B4377" s="1">
        <f t="shared" si="248"/>
        <v>4362</v>
      </c>
      <c r="C4377" s="101">
        <f ca="1"/>
        <v>1.1581787334211076</v>
      </c>
      <c r="D4377" s="101">
        <f t="shared" ca="1" si="249"/>
        <v>0.7449241654226324</v>
      </c>
      <c r="E4377" s="101">
        <f t="shared" ca="1" si="250"/>
        <v>0</v>
      </c>
      <c r="F4377" s="21">
        <f t="shared" ca="1" si="251"/>
        <v>0</v>
      </c>
      <c r="H4377" s="21">
        <v>4362</v>
      </c>
      <c r="I4377" s="102">
        <v>0.66770451129993902</v>
      </c>
      <c r="J4377" s="103">
        <v>1.1763527888969797E-3</v>
      </c>
      <c r="K4377" s="103"/>
      <c r="L4377" s="103">
        <v>4.1000000000000002E-2</v>
      </c>
      <c r="O4377" s="100"/>
    </row>
    <row r="4378" spans="2:15" x14ac:dyDescent="0.2">
      <c r="B4378" s="1">
        <f t="shared" si="248"/>
        <v>4363</v>
      </c>
      <c r="C4378" s="101">
        <f ca="1"/>
        <v>0.11474015662849926</v>
      </c>
      <c r="D4378" s="101">
        <f t="shared" ca="1" si="249"/>
        <v>0.67206580326134346</v>
      </c>
      <c r="E4378" s="101">
        <f t="shared" ca="1" si="250"/>
        <v>0</v>
      </c>
      <c r="F4378" s="21">
        <f t="shared" ca="1" si="251"/>
        <v>0</v>
      </c>
      <c r="H4378" s="21">
        <v>4363</v>
      </c>
      <c r="I4378" s="102">
        <v>0.66777102583457504</v>
      </c>
      <c r="J4378" s="103">
        <v>1.4039898293357234E-3</v>
      </c>
      <c r="K4378" s="103"/>
      <c r="L4378" s="103">
        <v>4.0800000000000003E-2</v>
      </c>
      <c r="O4378" s="100"/>
    </row>
    <row r="4379" spans="2:15" x14ac:dyDescent="0.2">
      <c r="B4379" s="1">
        <f t="shared" si="248"/>
        <v>4364</v>
      </c>
      <c r="C4379" s="101">
        <f ca="1"/>
        <v>0.11207958939155099</v>
      </c>
      <c r="D4379" s="101">
        <f t="shared" ca="1" si="249"/>
        <v>0.67188944819124941</v>
      </c>
      <c r="E4379" s="101">
        <f t="shared" ca="1" si="250"/>
        <v>0</v>
      </c>
      <c r="F4379" s="21">
        <f t="shared" ca="1" si="251"/>
        <v>0</v>
      </c>
      <c r="H4379" s="21">
        <v>4364</v>
      </c>
      <c r="I4379" s="102">
        <v>0.66777580379701262</v>
      </c>
      <c r="J4379" s="103">
        <v>1.3194723880094708E-3</v>
      </c>
      <c r="K4379" s="103"/>
      <c r="L4379" s="103">
        <v>4.1200000000000001E-2</v>
      </c>
      <c r="O4379" s="100"/>
    </row>
    <row r="4380" spans="2:15" x14ac:dyDescent="0.2">
      <c r="B4380" s="1">
        <f t="shared" si="248"/>
        <v>4365</v>
      </c>
      <c r="C4380" s="101">
        <f ca="1"/>
        <v>-0.33642250429298054</v>
      </c>
      <c r="D4380" s="101">
        <f t="shared" ca="1" si="249"/>
        <v>0.6428124321140023</v>
      </c>
      <c r="E4380" s="101">
        <f t="shared" ca="1" si="250"/>
        <v>0</v>
      </c>
      <c r="F4380" s="21">
        <f t="shared" ca="1" si="251"/>
        <v>0</v>
      </c>
      <c r="H4380" s="21">
        <v>4365</v>
      </c>
      <c r="I4380" s="102">
        <v>0.66787881221524237</v>
      </c>
      <c r="J4380" s="103">
        <v>1.4989870538417945E-3</v>
      </c>
      <c r="K4380" s="103"/>
      <c r="L4380" s="103">
        <v>4.4200000000000003E-2</v>
      </c>
      <c r="O4380" s="100"/>
    </row>
    <row r="4381" spans="2:15" x14ac:dyDescent="0.2">
      <c r="B4381" s="1">
        <f t="shared" si="248"/>
        <v>4366</v>
      </c>
      <c r="C4381" s="101">
        <f ca="1"/>
        <v>-1.2078823563728995</v>
      </c>
      <c r="D4381" s="101">
        <f t="shared" ca="1" si="249"/>
        <v>0.58986342029626204</v>
      </c>
      <c r="E4381" s="101">
        <f t="shared" ca="1" si="250"/>
        <v>0</v>
      </c>
      <c r="F4381" s="21">
        <f t="shared" ca="1" si="251"/>
        <v>0</v>
      </c>
      <c r="H4381" s="21">
        <v>4366</v>
      </c>
      <c r="I4381" s="102">
        <v>0.66768490822661297</v>
      </c>
      <c r="J4381" s="103">
        <v>1.310185860742778E-3</v>
      </c>
      <c r="K4381" s="103"/>
      <c r="L4381" s="103">
        <v>4.1200000000000001E-2</v>
      </c>
      <c r="O4381" s="100"/>
    </row>
    <row r="4382" spans="2:15" x14ac:dyDescent="0.2">
      <c r="B4382" s="1">
        <f t="shared" si="248"/>
        <v>4367</v>
      </c>
      <c r="C4382" s="101">
        <f ca="1"/>
        <v>-0.36227266662245933</v>
      </c>
      <c r="D4382" s="101">
        <f t="shared" ca="1" si="249"/>
        <v>0.64117541636355935</v>
      </c>
      <c r="E4382" s="101">
        <f t="shared" ca="1" si="250"/>
        <v>0</v>
      </c>
      <c r="F4382" s="21">
        <f t="shared" ca="1" si="251"/>
        <v>0</v>
      </c>
      <c r="H4382" s="21">
        <v>4367</v>
      </c>
      <c r="I4382" s="102">
        <v>0.66768300243455236</v>
      </c>
      <c r="J4382" s="103">
        <v>1.395105964122331E-3</v>
      </c>
      <c r="K4382" s="103"/>
      <c r="L4382" s="103">
        <v>4.2000000000000003E-2</v>
      </c>
      <c r="O4382" s="100"/>
    </row>
    <row r="4383" spans="2:15" x14ac:dyDescent="0.2">
      <c r="B4383" s="1">
        <f t="shared" si="248"/>
        <v>4368</v>
      </c>
      <c r="C4383" s="101">
        <f ca="1"/>
        <v>0.83641796912562305</v>
      </c>
      <c r="D4383" s="101">
        <f t="shared" ca="1" si="249"/>
        <v>0.72165235015535278</v>
      </c>
      <c r="E4383" s="101">
        <f t="shared" ca="1" si="250"/>
        <v>0</v>
      </c>
      <c r="F4383" s="21">
        <f t="shared" ca="1" si="251"/>
        <v>0</v>
      </c>
      <c r="H4383" s="21">
        <v>4368</v>
      </c>
      <c r="I4383" s="102">
        <v>0.66777635341654173</v>
      </c>
      <c r="J4383" s="103">
        <v>1.3737255056709002E-3</v>
      </c>
      <c r="K4383" s="103"/>
      <c r="L4383" s="103">
        <v>4.2799999999999998E-2</v>
      </c>
      <c r="O4383" s="100"/>
    </row>
    <row r="4384" spans="2:15" x14ac:dyDescent="0.2">
      <c r="B4384" s="1">
        <f t="shared" si="248"/>
        <v>4369</v>
      </c>
      <c r="C4384" s="101">
        <f ca="1"/>
        <v>-8.6818388828926604E-2</v>
      </c>
      <c r="D4384" s="101">
        <f t="shared" ca="1" si="249"/>
        <v>0.65883574535092237</v>
      </c>
      <c r="E4384" s="101">
        <f t="shared" ca="1" si="250"/>
        <v>0</v>
      </c>
      <c r="F4384" s="21">
        <f t="shared" ca="1" si="251"/>
        <v>0</v>
      </c>
      <c r="H4384" s="21">
        <v>4369</v>
      </c>
      <c r="I4384" s="102">
        <v>0.667761887608466</v>
      </c>
      <c r="J4384" s="103">
        <v>1.1694044718449249E-3</v>
      </c>
      <c r="K4384" s="103"/>
      <c r="L4384" s="103">
        <v>4.0800000000000003E-2</v>
      </c>
      <c r="O4384" s="100"/>
    </row>
    <row r="4385" spans="2:15" x14ac:dyDescent="0.2">
      <c r="B4385" s="1">
        <f t="shared" si="248"/>
        <v>4370</v>
      </c>
      <c r="C4385" s="101">
        <f ca="1"/>
        <v>-0.73323302502081422</v>
      </c>
      <c r="D4385" s="101">
        <f t="shared" ca="1" si="249"/>
        <v>0.61813758269289254</v>
      </c>
      <c r="E4385" s="101">
        <f t="shared" ca="1" si="250"/>
        <v>0</v>
      </c>
      <c r="F4385" s="21">
        <f t="shared" ca="1" si="251"/>
        <v>0</v>
      </c>
      <c r="H4385" s="21">
        <v>4370</v>
      </c>
      <c r="I4385" s="102">
        <v>0.6678205419746488</v>
      </c>
      <c r="J4385" s="103">
        <v>1.4945996111860008E-3</v>
      </c>
      <c r="K4385" s="103"/>
      <c r="L4385" s="103">
        <v>4.2999999999999997E-2</v>
      </c>
      <c r="O4385" s="100"/>
    </row>
    <row r="4386" spans="2:15" x14ac:dyDescent="0.2">
      <c r="B4386" s="1">
        <f t="shared" si="248"/>
        <v>4371</v>
      </c>
      <c r="C4386" s="101">
        <f ca="1"/>
        <v>1.2228777306658816</v>
      </c>
      <c r="D4386" s="101">
        <f t="shared" ca="1" si="249"/>
        <v>0.74969347027218547</v>
      </c>
      <c r="E4386" s="101">
        <f t="shared" ca="1" si="250"/>
        <v>0</v>
      </c>
      <c r="F4386" s="21">
        <f t="shared" ca="1" si="251"/>
        <v>0</v>
      </c>
      <c r="H4386" s="21">
        <v>4371</v>
      </c>
      <c r="I4386" s="102">
        <v>0.6677942183956167</v>
      </c>
      <c r="J4386" s="103">
        <v>1.4978139334585251E-3</v>
      </c>
      <c r="K4386" s="103"/>
      <c r="L4386" s="103">
        <v>4.2799999999999998E-2</v>
      </c>
      <c r="O4386" s="100"/>
    </row>
    <row r="4387" spans="2:15" x14ac:dyDescent="0.2">
      <c r="B4387" s="1">
        <f t="shared" si="248"/>
        <v>4372</v>
      </c>
      <c r="C4387" s="101">
        <f ca="1"/>
        <v>2.9251660338611797E-2</v>
      </c>
      <c r="D4387" s="101">
        <f t="shared" ca="1" si="249"/>
        <v>0.6664223033048623</v>
      </c>
      <c r="E4387" s="101">
        <f t="shared" ca="1" si="250"/>
        <v>0</v>
      </c>
      <c r="F4387" s="21">
        <f t="shared" ca="1" si="251"/>
        <v>0</v>
      </c>
      <c r="H4387" s="21">
        <v>4372</v>
      </c>
      <c r="I4387" s="102">
        <v>0.66761597924377469</v>
      </c>
      <c r="J4387" s="103">
        <v>1.1181329631076227E-3</v>
      </c>
      <c r="K4387" s="103"/>
      <c r="L4387" s="103">
        <v>3.6400000000000002E-2</v>
      </c>
      <c r="O4387" s="100"/>
    </row>
    <row r="4388" spans="2:15" x14ac:dyDescent="0.2">
      <c r="B4388" s="1">
        <f t="shared" si="248"/>
        <v>4373</v>
      </c>
      <c r="C4388" s="101">
        <f ca="1"/>
        <v>0.27788869216271339</v>
      </c>
      <c r="D4388" s="101">
        <f t="shared" ca="1" si="249"/>
        <v>0.68296898261457273</v>
      </c>
      <c r="E4388" s="101">
        <f t="shared" ca="1" si="250"/>
        <v>0</v>
      </c>
      <c r="F4388" s="21">
        <f t="shared" ca="1" si="251"/>
        <v>0</v>
      </c>
      <c r="H4388" s="21">
        <v>4373</v>
      </c>
      <c r="I4388" s="102">
        <v>0.66779710791980962</v>
      </c>
      <c r="J4388" s="103">
        <v>1.545342282197775E-3</v>
      </c>
      <c r="K4388" s="103"/>
      <c r="L4388" s="103">
        <v>4.2000000000000003E-2</v>
      </c>
      <c r="O4388" s="100"/>
    </row>
    <row r="4389" spans="2:15" x14ac:dyDescent="0.2">
      <c r="B4389" s="1">
        <f t="shared" si="248"/>
        <v>4374</v>
      </c>
      <c r="C4389" s="101">
        <f ca="1"/>
        <v>0.22284633660529307</v>
      </c>
      <c r="D4389" s="101">
        <f t="shared" ca="1" si="249"/>
        <v>0.67927088444576722</v>
      </c>
      <c r="E4389" s="101">
        <f t="shared" ca="1" si="250"/>
        <v>0</v>
      </c>
      <c r="F4389" s="21">
        <f t="shared" ca="1" si="251"/>
        <v>0</v>
      </c>
      <c r="H4389" s="21">
        <v>4374</v>
      </c>
      <c r="I4389" s="102">
        <v>0.66768155631753412</v>
      </c>
      <c r="J4389" s="103">
        <v>1.2949352674977925E-3</v>
      </c>
      <c r="K4389" s="103"/>
      <c r="L4389" s="103">
        <v>4.2799999999999998E-2</v>
      </c>
      <c r="O4389" s="100"/>
    </row>
    <row r="4390" spans="2:15" x14ac:dyDescent="0.2">
      <c r="B4390" s="1">
        <f t="shared" si="248"/>
        <v>4375</v>
      </c>
      <c r="C4390" s="101">
        <f ca="1"/>
        <v>0.16869656998189733</v>
      </c>
      <c r="D4390" s="101">
        <f t="shared" ca="1" si="249"/>
        <v>0.67565229647858016</v>
      </c>
      <c r="E4390" s="101">
        <f t="shared" ca="1" si="250"/>
        <v>0</v>
      </c>
      <c r="F4390" s="21">
        <f t="shared" ca="1" si="251"/>
        <v>0</v>
      </c>
      <c r="H4390" s="21">
        <v>4375</v>
      </c>
      <c r="I4390" s="102">
        <v>0.66761294378636193</v>
      </c>
      <c r="J4390" s="103">
        <v>1.1904636188020323E-3</v>
      </c>
      <c r="K4390" s="103"/>
      <c r="L4390" s="103">
        <v>4.0599999999999997E-2</v>
      </c>
      <c r="O4390" s="100"/>
    </row>
    <row r="4391" spans="2:15" x14ac:dyDescent="0.2">
      <c r="B4391" s="1">
        <f t="shared" si="248"/>
        <v>4376</v>
      </c>
      <c r="C4391" s="101">
        <f ca="1"/>
        <v>-1.0988746525653625</v>
      </c>
      <c r="D4391" s="101">
        <f t="shared" ca="1" si="249"/>
        <v>0.59624024620374461</v>
      </c>
      <c r="E4391" s="101">
        <f t="shared" ca="1" si="250"/>
        <v>0</v>
      </c>
      <c r="F4391" s="21">
        <f t="shared" ca="1" si="251"/>
        <v>0</v>
      </c>
      <c r="H4391" s="21">
        <v>4376</v>
      </c>
      <c r="I4391" s="102">
        <v>0.66774366384855177</v>
      </c>
      <c r="J4391" s="103">
        <v>1.5032499384359731E-3</v>
      </c>
      <c r="K4391" s="103"/>
      <c r="L4391" s="103">
        <v>4.3400000000000001E-2</v>
      </c>
      <c r="O4391" s="100"/>
    </row>
    <row r="4392" spans="2:15" x14ac:dyDescent="0.2">
      <c r="B4392" s="1">
        <f t="shared" si="248"/>
        <v>4377</v>
      </c>
      <c r="C4392" s="101">
        <f ca="1"/>
        <v>0.45224996976552306</v>
      </c>
      <c r="D4392" s="101">
        <f t="shared" ca="1" si="249"/>
        <v>0.69481711890798459</v>
      </c>
      <c r="E4392" s="101">
        <f t="shared" ca="1" si="250"/>
        <v>0</v>
      </c>
      <c r="F4392" s="21">
        <f t="shared" ca="1" si="251"/>
        <v>0</v>
      </c>
      <c r="H4392" s="21">
        <v>4377</v>
      </c>
      <c r="I4392" s="102">
        <v>0.66782151192626438</v>
      </c>
      <c r="J4392" s="103">
        <v>1.5476615671023096E-3</v>
      </c>
      <c r="K4392" s="103"/>
      <c r="L4392" s="103">
        <v>4.3400000000000001E-2</v>
      </c>
      <c r="O4392" s="100"/>
    </row>
    <row r="4393" spans="2:15" x14ac:dyDescent="0.2">
      <c r="B4393" s="1">
        <f t="shared" si="248"/>
        <v>4378</v>
      </c>
      <c r="C4393" s="101">
        <f ca="1"/>
        <v>0.11337657529164706</v>
      </c>
      <c r="D4393" s="101">
        <f t="shared" ca="1" si="249"/>
        <v>0.67197541281316986</v>
      </c>
      <c r="E4393" s="101">
        <f t="shared" ca="1" si="250"/>
        <v>0</v>
      </c>
      <c r="F4393" s="21">
        <f t="shared" ca="1" si="251"/>
        <v>0</v>
      </c>
      <c r="H4393" s="21">
        <v>4378</v>
      </c>
      <c r="I4393" s="102">
        <v>0.66761691496746189</v>
      </c>
      <c r="J4393" s="103">
        <v>1.2650647038330368E-3</v>
      </c>
      <c r="K4393" s="103"/>
      <c r="L4393" s="103">
        <v>3.9399999999999998E-2</v>
      </c>
      <c r="O4393" s="100"/>
    </row>
    <row r="4394" spans="2:15" x14ac:dyDescent="0.2">
      <c r="B4394" s="1">
        <f t="shared" si="248"/>
        <v>4379</v>
      </c>
      <c r="C4394" s="101">
        <f ca="1"/>
        <v>-0.6320145561296846</v>
      </c>
      <c r="D4394" s="101">
        <f t="shared" ca="1" si="249"/>
        <v>0.62434018142374259</v>
      </c>
      <c r="E4394" s="101">
        <f t="shared" ca="1" si="250"/>
        <v>0</v>
      </c>
      <c r="F4394" s="21">
        <f t="shared" ca="1" si="251"/>
        <v>0</v>
      </c>
      <c r="H4394" s="21">
        <v>4379</v>
      </c>
      <c r="I4394" s="102">
        <v>0.66764969561307086</v>
      </c>
      <c r="J4394" s="103">
        <v>1.2386031834981884E-3</v>
      </c>
      <c r="K4394" s="103"/>
      <c r="L4394" s="103">
        <v>3.8800000000000001E-2</v>
      </c>
      <c r="O4394" s="100"/>
    </row>
    <row r="4395" spans="2:15" x14ac:dyDescent="0.2">
      <c r="B4395" s="1">
        <f t="shared" si="248"/>
        <v>4380</v>
      </c>
      <c r="C4395" s="101">
        <f ca="1"/>
        <v>-0.65633892118796677</v>
      </c>
      <c r="D4395" s="101">
        <f t="shared" ca="1" si="249"/>
        <v>0.62284394306887669</v>
      </c>
      <c r="E4395" s="101">
        <f t="shared" ca="1" si="250"/>
        <v>0</v>
      </c>
      <c r="F4395" s="21">
        <f t="shared" ca="1" si="251"/>
        <v>0</v>
      </c>
      <c r="H4395" s="21">
        <v>4380</v>
      </c>
      <c r="I4395" s="102">
        <v>0.66761360266752723</v>
      </c>
      <c r="J4395" s="103">
        <v>1.1478278460344991E-3</v>
      </c>
      <c r="K4395" s="103"/>
      <c r="L4395" s="103">
        <v>3.6999999999999998E-2</v>
      </c>
      <c r="O4395" s="100"/>
    </row>
    <row r="4396" spans="2:15" x14ac:dyDescent="0.2">
      <c r="B4396" s="1">
        <f t="shared" si="248"/>
        <v>4381</v>
      </c>
      <c r="C4396" s="101">
        <f ca="1"/>
        <v>-0.89164065973530937</v>
      </c>
      <c r="D4396" s="101">
        <f t="shared" ca="1" si="249"/>
        <v>0.60855391966894712</v>
      </c>
      <c r="E4396" s="101">
        <f t="shared" ca="1" si="250"/>
        <v>0</v>
      </c>
      <c r="F4396" s="21">
        <f t="shared" ca="1" si="251"/>
        <v>0</v>
      </c>
      <c r="H4396" s="21">
        <v>4381</v>
      </c>
      <c r="I4396" s="102">
        <v>0.66767573370966982</v>
      </c>
      <c r="J4396" s="103">
        <v>1.2715525264330966E-3</v>
      </c>
      <c r="K4396" s="103"/>
      <c r="L4396" s="103">
        <v>3.9800000000000002E-2</v>
      </c>
      <c r="O4396" s="100"/>
    </row>
    <row r="4397" spans="2:15" x14ac:dyDescent="0.2">
      <c r="B4397" s="1">
        <f t="shared" si="248"/>
        <v>4382</v>
      </c>
      <c r="C4397" s="101">
        <f ca="1"/>
        <v>-0.86093527285316884</v>
      </c>
      <c r="D4397" s="101">
        <f t="shared" ca="1" si="249"/>
        <v>0.6103999141760329</v>
      </c>
      <c r="E4397" s="101">
        <f t="shared" ca="1" si="250"/>
        <v>0</v>
      </c>
      <c r="F4397" s="21">
        <f t="shared" ca="1" si="251"/>
        <v>0</v>
      </c>
      <c r="H4397" s="21">
        <v>4382</v>
      </c>
      <c r="I4397" s="102">
        <v>0.66775438459295033</v>
      </c>
      <c r="J4397" s="103">
        <v>1.3149737823484129E-3</v>
      </c>
      <c r="K4397" s="103"/>
      <c r="L4397" s="103">
        <v>4.3200000000000002E-2</v>
      </c>
      <c r="O4397" s="100"/>
    </row>
    <row r="4398" spans="2:15" x14ac:dyDescent="0.2">
      <c r="B4398" s="1">
        <f t="shared" si="248"/>
        <v>4383</v>
      </c>
      <c r="C4398" s="101">
        <f ca="1"/>
        <v>-0.58494144990866548</v>
      </c>
      <c r="D4398" s="101">
        <f t="shared" ca="1" si="249"/>
        <v>0.62724595470179445</v>
      </c>
      <c r="E4398" s="101">
        <f t="shared" ca="1" si="250"/>
        <v>0</v>
      </c>
      <c r="F4398" s="21">
        <f t="shared" ca="1" si="251"/>
        <v>0</v>
      </c>
      <c r="H4398" s="21">
        <v>4383</v>
      </c>
      <c r="I4398" s="102">
        <v>0.66772214284423981</v>
      </c>
      <c r="J4398" s="103">
        <v>1.296305849710461E-3</v>
      </c>
      <c r="K4398" s="103"/>
      <c r="L4398" s="103">
        <v>0.04</v>
      </c>
      <c r="O4398" s="100"/>
    </row>
    <row r="4399" spans="2:15" x14ac:dyDescent="0.2">
      <c r="B4399" s="1">
        <f t="shared" si="248"/>
        <v>4384</v>
      </c>
      <c r="C4399" s="101">
        <f ca="1"/>
        <v>-1.1534929368713167</v>
      </c>
      <c r="D4399" s="101">
        <f t="shared" ca="1" si="249"/>
        <v>0.59303656819249173</v>
      </c>
      <c r="E4399" s="101">
        <f t="shared" ca="1" si="250"/>
        <v>0</v>
      </c>
      <c r="F4399" s="21">
        <f t="shared" ca="1" si="251"/>
        <v>0</v>
      </c>
      <c r="H4399" s="21">
        <v>4384</v>
      </c>
      <c r="I4399" s="102">
        <v>0.66770554063686538</v>
      </c>
      <c r="J4399" s="103">
        <v>1.3586225347659764E-3</v>
      </c>
      <c r="K4399" s="103"/>
      <c r="L4399" s="103">
        <v>3.7600000000000001E-2</v>
      </c>
      <c r="O4399" s="100"/>
    </row>
    <row r="4400" spans="2:15" x14ac:dyDescent="0.2">
      <c r="B4400" s="1">
        <f t="shared" ref="B4400:B4463" si="252">B4399+1</f>
        <v>4385</v>
      </c>
      <c r="C4400" s="101">
        <f ca="1"/>
        <v>0.34476767117784163</v>
      </c>
      <c r="D4400" s="101">
        <f t="shared" ca="1" si="249"/>
        <v>0.6874894446914982</v>
      </c>
      <c r="E4400" s="101">
        <f t="shared" ca="1" si="250"/>
        <v>0</v>
      </c>
      <c r="F4400" s="21">
        <f t="shared" ca="1" si="251"/>
        <v>0</v>
      </c>
      <c r="H4400" s="21">
        <v>4385</v>
      </c>
      <c r="I4400" s="102">
        <v>0.66773816053226664</v>
      </c>
      <c r="J4400" s="103">
        <v>1.3817754851545745E-3</v>
      </c>
      <c r="K4400" s="103"/>
      <c r="L4400" s="103">
        <v>4.2200000000000001E-2</v>
      </c>
      <c r="O4400" s="100"/>
    </row>
    <row r="4401" spans="2:15" x14ac:dyDescent="0.2">
      <c r="B4401" s="1">
        <f t="shared" si="252"/>
        <v>4386</v>
      </c>
      <c r="C4401" s="101">
        <f ca="1"/>
        <v>-0.42419961029477121</v>
      </c>
      <c r="D4401" s="101">
        <f t="shared" ca="1" si="249"/>
        <v>0.63727069877396092</v>
      </c>
      <c r="E4401" s="101">
        <f t="shared" ca="1" si="250"/>
        <v>0</v>
      </c>
      <c r="F4401" s="21">
        <f t="shared" ca="1" si="251"/>
        <v>0</v>
      </c>
      <c r="H4401" s="21">
        <v>4386</v>
      </c>
      <c r="I4401" s="102">
        <v>0.66769857196768023</v>
      </c>
      <c r="J4401" s="103">
        <v>1.2427617403102087E-3</v>
      </c>
      <c r="K4401" s="103"/>
      <c r="L4401" s="103">
        <v>4.0399999999999998E-2</v>
      </c>
      <c r="O4401" s="100"/>
    </row>
    <row r="4402" spans="2:15" x14ac:dyDescent="0.2">
      <c r="B4402" s="1">
        <f t="shared" si="252"/>
        <v>4387</v>
      </c>
      <c r="C4402" s="101">
        <f ca="1"/>
        <v>-0.64241717427813327</v>
      </c>
      <c r="D4402" s="101">
        <f t="shared" ca="1" si="249"/>
        <v>0.62369985703717779</v>
      </c>
      <c r="E4402" s="101">
        <f t="shared" ca="1" si="250"/>
        <v>0</v>
      </c>
      <c r="F4402" s="21">
        <f t="shared" ca="1" si="251"/>
        <v>0</v>
      </c>
      <c r="H4402" s="21">
        <v>4387</v>
      </c>
      <c r="I4402" s="102">
        <v>0.66758213591876014</v>
      </c>
      <c r="J4402" s="103">
        <v>1.2197598933122561E-3</v>
      </c>
      <c r="K4402" s="103"/>
      <c r="L4402" s="103">
        <v>4.1000000000000002E-2</v>
      </c>
      <c r="O4402" s="100"/>
    </row>
    <row r="4403" spans="2:15" x14ac:dyDescent="0.2">
      <c r="B4403" s="1">
        <f t="shared" si="252"/>
        <v>4388</v>
      </c>
      <c r="C4403" s="101">
        <f ca="1"/>
        <v>-0.88071994632762673</v>
      </c>
      <c r="D4403" s="101">
        <f t="shared" ca="1" si="249"/>
        <v>0.6092098276479968</v>
      </c>
      <c r="E4403" s="101">
        <f t="shared" ca="1" si="250"/>
        <v>0</v>
      </c>
      <c r="F4403" s="21">
        <f t="shared" ca="1" si="251"/>
        <v>0</v>
      </c>
      <c r="H4403" s="21">
        <v>4388</v>
      </c>
      <c r="I4403" s="102">
        <v>0.66762545099468129</v>
      </c>
      <c r="J4403" s="103">
        <v>1.3663633742415765E-3</v>
      </c>
      <c r="K4403" s="103"/>
      <c r="L4403" s="103">
        <v>4.1799999999999997E-2</v>
      </c>
      <c r="O4403" s="100"/>
    </row>
    <row r="4404" spans="2:15" x14ac:dyDescent="0.2">
      <c r="B4404" s="1">
        <f t="shared" si="252"/>
        <v>4389</v>
      </c>
      <c r="C4404" s="101">
        <f ca="1"/>
        <v>1.1968705811866336</v>
      </c>
      <c r="D4404" s="101">
        <f t="shared" ca="1" si="249"/>
        <v>0.74777268668233887</v>
      </c>
      <c r="E4404" s="101">
        <f t="shared" ca="1" si="250"/>
        <v>0</v>
      </c>
      <c r="F4404" s="21">
        <f t="shared" ca="1" si="251"/>
        <v>0</v>
      </c>
      <c r="H4404" s="21">
        <v>4389</v>
      </c>
      <c r="I4404" s="102">
        <v>0.66767380243328966</v>
      </c>
      <c r="J4404" s="103">
        <v>1.2177360731876385E-3</v>
      </c>
      <c r="K4404" s="103"/>
      <c r="L4404" s="103">
        <v>4.1399999999999999E-2</v>
      </c>
      <c r="O4404" s="100"/>
    </row>
    <row r="4405" spans="2:15" x14ac:dyDescent="0.2">
      <c r="B4405" s="1">
        <f t="shared" si="252"/>
        <v>4390</v>
      </c>
      <c r="C4405" s="101">
        <f ca="1"/>
        <v>1.9266115597742866</v>
      </c>
      <c r="D4405" s="101">
        <f t="shared" ca="1" si="249"/>
        <v>0.80358394554419321</v>
      </c>
      <c r="E4405" s="101">
        <f t="shared" ca="1" si="250"/>
        <v>1.53839455441932E-2</v>
      </c>
      <c r="F4405" s="21">
        <f t="shared" ca="1" si="251"/>
        <v>1</v>
      </c>
      <c r="H4405" s="21">
        <v>4390</v>
      </c>
      <c r="I4405" s="102">
        <v>0.66783261996254373</v>
      </c>
      <c r="J4405" s="103">
        <v>1.4483243128886453E-3</v>
      </c>
      <c r="K4405" s="103"/>
      <c r="L4405" s="103">
        <v>4.3799999999999999E-2</v>
      </c>
      <c r="O4405" s="100"/>
    </row>
    <row r="4406" spans="2:15" x14ac:dyDescent="0.2">
      <c r="B4406" s="1">
        <f t="shared" si="252"/>
        <v>4391</v>
      </c>
      <c r="C4406" s="101">
        <f ca="1"/>
        <v>-1.1999178366177279</v>
      </c>
      <c r="D4406" s="101">
        <f t="shared" ca="1" si="249"/>
        <v>0.59032701724398196</v>
      </c>
      <c r="E4406" s="101">
        <f t="shared" ca="1" si="250"/>
        <v>0</v>
      </c>
      <c r="F4406" s="21">
        <f t="shared" ca="1" si="251"/>
        <v>0</v>
      </c>
      <c r="H4406" s="21">
        <v>4391</v>
      </c>
      <c r="I4406" s="102">
        <v>0.66768317454415305</v>
      </c>
      <c r="J4406" s="103">
        <v>1.3316892353262195E-3</v>
      </c>
      <c r="K4406" s="103"/>
      <c r="L4406" s="103">
        <v>4.1000000000000002E-2</v>
      </c>
      <c r="O4406" s="100"/>
    </row>
    <row r="4407" spans="2:15" x14ac:dyDescent="0.2">
      <c r="B4407" s="1">
        <f t="shared" si="252"/>
        <v>4392</v>
      </c>
      <c r="C4407" s="101">
        <f ca="1"/>
        <v>-0.25986271529484473</v>
      </c>
      <c r="D4407" s="101">
        <f t="shared" ca="1" si="249"/>
        <v>0.64768530199991248</v>
      </c>
      <c r="E4407" s="101">
        <f t="shared" ca="1" si="250"/>
        <v>0</v>
      </c>
      <c r="F4407" s="21">
        <f t="shared" ca="1" si="251"/>
        <v>0</v>
      </c>
      <c r="H4407" s="21">
        <v>4392</v>
      </c>
      <c r="I4407" s="102">
        <v>0.66776126418807658</v>
      </c>
      <c r="J4407" s="103">
        <v>1.3207402662752214E-3</v>
      </c>
      <c r="K4407" s="103"/>
      <c r="L4407" s="103">
        <v>4.0599999999999997E-2</v>
      </c>
      <c r="O4407" s="100"/>
    </row>
    <row r="4408" spans="2:15" x14ac:dyDescent="0.2">
      <c r="B4408" s="1">
        <f t="shared" si="252"/>
        <v>4393</v>
      </c>
      <c r="C4408" s="101">
        <f ca="1"/>
        <v>0.11730416330163138</v>
      </c>
      <c r="D4408" s="101">
        <f t="shared" ca="1" si="249"/>
        <v>0.67223580163671037</v>
      </c>
      <c r="E4408" s="101">
        <f t="shared" ca="1" si="250"/>
        <v>0</v>
      </c>
      <c r="F4408" s="21">
        <f t="shared" ca="1" si="251"/>
        <v>0</v>
      </c>
      <c r="H4408" s="21">
        <v>4393</v>
      </c>
      <c r="I4408" s="102">
        <v>0.66776675816106024</v>
      </c>
      <c r="J4408" s="103">
        <v>1.4120829267525834E-3</v>
      </c>
      <c r="K4408" s="103"/>
      <c r="L4408" s="103">
        <v>4.4400000000000002E-2</v>
      </c>
      <c r="O4408" s="100"/>
    </row>
    <row r="4409" spans="2:15" x14ac:dyDescent="0.2">
      <c r="B4409" s="1">
        <f t="shared" si="252"/>
        <v>4394</v>
      </c>
      <c r="C4409" s="101">
        <f ca="1"/>
        <v>-0.48129901104129397</v>
      </c>
      <c r="D4409" s="101">
        <f t="shared" ca="1" si="249"/>
        <v>0.63369144967792346</v>
      </c>
      <c r="E4409" s="101">
        <f t="shared" ca="1" si="250"/>
        <v>0</v>
      </c>
      <c r="F4409" s="21">
        <f t="shared" ca="1" si="251"/>
        <v>0</v>
      </c>
      <c r="H4409" s="21">
        <v>4394</v>
      </c>
      <c r="I4409" s="102">
        <v>0.66783509997463963</v>
      </c>
      <c r="J4409" s="103">
        <v>1.4157135585315184E-3</v>
      </c>
      <c r="K4409" s="103"/>
      <c r="L4409" s="103">
        <v>4.58E-2</v>
      </c>
      <c r="O4409" s="100"/>
    </row>
    <row r="4410" spans="2:15" x14ac:dyDescent="0.2">
      <c r="B4410" s="1">
        <f t="shared" si="252"/>
        <v>4395</v>
      </c>
      <c r="C4410" s="101">
        <f ca="1"/>
        <v>-0.18857827374025199</v>
      </c>
      <c r="D4410" s="101">
        <f t="shared" ca="1" si="249"/>
        <v>0.65225561011199495</v>
      </c>
      <c r="E4410" s="101">
        <f t="shared" ca="1" si="250"/>
        <v>0</v>
      </c>
      <c r="F4410" s="21">
        <f t="shared" ca="1" si="251"/>
        <v>0</v>
      </c>
      <c r="H4410" s="21">
        <v>4395</v>
      </c>
      <c r="I4410" s="102">
        <v>0.66765518244548527</v>
      </c>
      <c r="J4410" s="103">
        <v>1.3132489227385814E-3</v>
      </c>
      <c r="K4410" s="103"/>
      <c r="L4410" s="103">
        <v>4.0800000000000003E-2</v>
      </c>
      <c r="O4410" s="100"/>
    </row>
    <row r="4411" spans="2:15" x14ac:dyDescent="0.2">
      <c r="B4411" s="1">
        <f t="shared" si="252"/>
        <v>4396</v>
      </c>
      <c r="C4411" s="101">
        <f ca="1"/>
        <v>-0.78892177740188707</v>
      </c>
      <c r="D4411" s="101">
        <f t="shared" ca="1" si="249"/>
        <v>0.61475133089552703</v>
      </c>
      <c r="E4411" s="101">
        <f t="shared" ca="1" si="250"/>
        <v>0</v>
      </c>
      <c r="F4411" s="21">
        <f t="shared" ca="1" si="251"/>
        <v>0</v>
      </c>
      <c r="H4411" s="21">
        <v>4396</v>
      </c>
      <c r="I4411" s="102">
        <v>0.66748408214023269</v>
      </c>
      <c r="J4411" s="103">
        <v>9.5314591470980071E-4</v>
      </c>
      <c r="K4411" s="103"/>
      <c r="L4411" s="103">
        <v>3.5000000000000003E-2</v>
      </c>
      <c r="O4411" s="100"/>
    </row>
    <row r="4412" spans="2:15" x14ac:dyDescent="0.2">
      <c r="B4412" s="1">
        <f t="shared" si="252"/>
        <v>4397</v>
      </c>
      <c r="C4412" s="101">
        <f ca="1"/>
        <v>0.63228048943112547</v>
      </c>
      <c r="D4412" s="101">
        <f t="shared" ca="1" si="249"/>
        <v>0.7072662044377005</v>
      </c>
      <c r="E4412" s="101">
        <f t="shared" ca="1" si="250"/>
        <v>0</v>
      </c>
      <c r="F4412" s="21">
        <f t="shared" ca="1" si="251"/>
        <v>0</v>
      </c>
      <c r="H4412" s="21">
        <v>4397</v>
      </c>
      <c r="I4412" s="102">
        <v>0.66756656700039263</v>
      </c>
      <c r="J4412" s="103">
        <v>1.1904583630668675E-3</v>
      </c>
      <c r="K4412" s="103"/>
      <c r="L4412" s="103">
        <v>3.9800000000000002E-2</v>
      </c>
      <c r="O4412" s="100"/>
    </row>
    <row r="4413" spans="2:15" x14ac:dyDescent="0.2">
      <c r="B4413" s="1">
        <f t="shared" si="252"/>
        <v>4398</v>
      </c>
      <c r="C4413" s="101">
        <f ca="1"/>
        <v>-0.40633069716623199</v>
      </c>
      <c r="D4413" s="101">
        <f t="shared" ca="1" si="249"/>
        <v>0.63839495109117572</v>
      </c>
      <c r="E4413" s="101">
        <f t="shared" ca="1" si="250"/>
        <v>0</v>
      </c>
      <c r="F4413" s="21">
        <f t="shared" ca="1" si="251"/>
        <v>0</v>
      </c>
      <c r="H4413" s="21">
        <v>4398</v>
      </c>
      <c r="I4413" s="102">
        <v>0.6675724825822259</v>
      </c>
      <c r="J4413" s="103">
        <v>1.1804654619355706E-3</v>
      </c>
      <c r="K4413" s="103"/>
      <c r="L4413" s="103">
        <v>3.6200000000000003E-2</v>
      </c>
      <c r="O4413" s="100"/>
    </row>
    <row r="4414" spans="2:15" x14ac:dyDescent="0.2">
      <c r="B4414" s="1">
        <f t="shared" si="252"/>
        <v>4399</v>
      </c>
      <c r="C4414" s="101">
        <f ca="1"/>
        <v>0.61431930620159392</v>
      </c>
      <c r="D4414" s="101">
        <f t="shared" ca="1" si="249"/>
        <v>0.70601423973634303</v>
      </c>
      <c r="E4414" s="101">
        <f t="shared" ca="1" si="250"/>
        <v>0</v>
      </c>
      <c r="F4414" s="21">
        <f t="shared" ca="1" si="251"/>
        <v>0</v>
      </c>
      <c r="H4414" s="21">
        <v>4399</v>
      </c>
      <c r="I4414" s="102">
        <v>0.66758508568177322</v>
      </c>
      <c r="J4414" s="103">
        <v>1.253499197953453E-3</v>
      </c>
      <c r="K4414" s="103"/>
      <c r="L4414" s="103">
        <v>3.7999999999999999E-2</v>
      </c>
      <c r="O4414" s="100"/>
    </row>
    <row r="4415" spans="2:15" x14ac:dyDescent="0.2">
      <c r="B4415" s="1">
        <f t="shared" si="252"/>
        <v>4400</v>
      </c>
      <c r="C4415" s="101">
        <f ca="1"/>
        <v>-0.70925459878887442</v>
      </c>
      <c r="D4415" s="101">
        <f t="shared" ca="1" si="249"/>
        <v>0.61960137155273143</v>
      </c>
      <c r="E4415" s="101">
        <f t="shared" ca="1" si="250"/>
        <v>0</v>
      </c>
      <c r="F4415" s="21">
        <f t="shared" ca="1" si="251"/>
        <v>0</v>
      </c>
      <c r="H4415" s="21">
        <v>4400</v>
      </c>
      <c r="I4415" s="102">
        <v>0.66776156661932762</v>
      </c>
      <c r="J4415" s="103">
        <v>1.3943621110802332E-3</v>
      </c>
      <c r="K4415" s="103"/>
      <c r="L4415" s="103">
        <v>4.0599999999999997E-2</v>
      </c>
      <c r="O4415" s="100"/>
    </row>
    <row r="4416" spans="2:15" x14ac:dyDescent="0.2">
      <c r="B4416" s="1">
        <f t="shared" si="252"/>
        <v>4401</v>
      </c>
      <c r="C4416" s="101">
        <f ca="1"/>
        <v>-0.73062876252938835</v>
      </c>
      <c r="D4416" s="101">
        <f t="shared" ca="1" si="249"/>
        <v>0.61829639515901469</v>
      </c>
      <c r="E4416" s="101">
        <f t="shared" ca="1" si="250"/>
        <v>0</v>
      </c>
      <c r="F4416" s="21">
        <f t="shared" ca="1" si="251"/>
        <v>0</v>
      </c>
      <c r="H4416" s="21">
        <v>4401</v>
      </c>
      <c r="I4416" s="102">
        <v>0.66775098547991618</v>
      </c>
      <c r="J4416" s="103">
        <v>1.4407728663326132E-3</v>
      </c>
      <c r="K4416" s="103"/>
      <c r="L4416" s="103">
        <v>4.2599999999999999E-2</v>
      </c>
      <c r="O4416" s="100"/>
    </row>
    <row r="4417" spans="2:15" x14ac:dyDescent="0.2">
      <c r="B4417" s="1">
        <f t="shared" si="252"/>
        <v>4402</v>
      </c>
      <c r="C4417" s="101">
        <f ca="1"/>
        <v>0.93426404806995822</v>
      </c>
      <c r="D4417" s="101">
        <f t="shared" ca="1" si="249"/>
        <v>0.72865121933717669</v>
      </c>
      <c r="E4417" s="101">
        <f t="shared" ca="1" si="250"/>
        <v>0</v>
      </c>
      <c r="F4417" s="21">
        <f t="shared" ca="1" si="251"/>
        <v>0</v>
      </c>
      <c r="H4417" s="21">
        <v>4402</v>
      </c>
      <c r="I4417" s="102">
        <v>0.66763133450668888</v>
      </c>
      <c r="J4417" s="103">
        <v>1.2863292950488494E-3</v>
      </c>
      <c r="K4417" s="103"/>
      <c r="L4417" s="103">
        <v>3.8800000000000001E-2</v>
      </c>
      <c r="O4417" s="100"/>
    </row>
    <row r="4418" spans="2:15" x14ac:dyDescent="0.2">
      <c r="B4418" s="1">
        <f t="shared" si="252"/>
        <v>4403</v>
      </c>
      <c r="C4418" s="101">
        <f ca="1"/>
        <v>-0.50931660934100365</v>
      </c>
      <c r="D4418" s="101">
        <f t="shared" ca="1" si="249"/>
        <v>0.63194253886776297</v>
      </c>
      <c r="E4418" s="101">
        <f t="shared" ca="1" si="250"/>
        <v>0</v>
      </c>
      <c r="F4418" s="21">
        <f t="shared" ca="1" si="251"/>
        <v>0</v>
      </c>
      <c r="H4418" s="21">
        <v>4403</v>
      </c>
      <c r="I4418" s="102">
        <v>0.6676738514179047</v>
      </c>
      <c r="J4418" s="103">
        <v>1.3288403119772584E-3</v>
      </c>
      <c r="K4418" s="103"/>
      <c r="L4418" s="103">
        <v>4.0599999999999997E-2</v>
      </c>
      <c r="O4418" s="100"/>
    </row>
    <row r="4419" spans="2:15" x14ac:dyDescent="0.2">
      <c r="B4419" s="1">
        <f t="shared" si="252"/>
        <v>4404</v>
      </c>
      <c r="C4419" s="101">
        <f ca="1"/>
        <v>-1.2467965467665925</v>
      </c>
      <c r="D4419" s="101">
        <f t="shared" ca="1" si="249"/>
        <v>0.58760354173854423</v>
      </c>
      <c r="E4419" s="101">
        <f t="shared" ca="1" si="250"/>
        <v>0</v>
      </c>
      <c r="F4419" s="21">
        <f t="shared" ca="1" si="251"/>
        <v>0</v>
      </c>
      <c r="H4419" s="21">
        <v>4404</v>
      </c>
      <c r="I4419" s="102">
        <v>0.66780851227398841</v>
      </c>
      <c r="J4419" s="103">
        <v>1.4149124863014305E-3</v>
      </c>
      <c r="K4419" s="103"/>
      <c r="L4419" s="103">
        <v>4.1200000000000001E-2</v>
      </c>
      <c r="O4419" s="100"/>
    </row>
    <row r="4420" spans="2:15" x14ac:dyDescent="0.2">
      <c r="B4420" s="1">
        <f t="shared" si="252"/>
        <v>4405</v>
      </c>
      <c r="C4420" s="101">
        <f ca="1"/>
        <v>1.3397375178932196</v>
      </c>
      <c r="D4420" s="101">
        <f t="shared" ca="1" si="249"/>
        <v>0.75838534033298866</v>
      </c>
      <c r="E4420" s="101">
        <f t="shared" ca="1" si="250"/>
        <v>0</v>
      </c>
      <c r="F4420" s="21">
        <f t="shared" ca="1" si="251"/>
        <v>0</v>
      </c>
      <c r="H4420" s="21">
        <v>4405</v>
      </c>
      <c r="I4420" s="102">
        <v>0.66775647949021144</v>
      </c>
      <c r="J4420" s="103">
        <v>1.4849662385794733E-3</v>
      </c>
      <c r="K4420" s="103"/>
      <c r="L4420" s="103">
        <v>4.2200000000000001E-2</v>
      </c>
      <c r="O4420" s="100"/>
    </row>
    <row r="4421" spans="2:15" x14ac:dyDescent="0.2">
      <c r="B4421" s="1">
        <f t="shared" si="252"/>
        <v>4406</v>
      </c>
      <c r="C4421" s="101">
        <f ca="1"/>
        <v>1.2648050895002831</v>
      </c>
      <c r="D4421" s="101">
        <f t="shared" ca="1" si="249"/>
        <v>0.75280045068158319</v>
      </c>
      <c r="E4421" s="101">
        <f t="shared" ca="1" si="250"/>
        <v>0</v>
      </c>
      <c r="F4421" s="21">
        <f t="shared" ca="1" si="251"/>
        <v>0</v>
      </c>
      <c r="H4421" s="21">
        <v>4406</v>
      </c>
      <c r="I4421" s="102">
        <v>0.66786416442946217</v>
      </c>
      <c r="J4421" s="103">
        <v>1.4896391114168532E-3</v>
      </c>
      <c r="K4421" s="103"/>
      <c r="L4421" s="103">
        <v>4.3799999999999999E-2</v>
      </c>
      <c r="O4421" s="100"/>
    </row>
    <row r="4422" spans="2:15" x14ac:dyDescent="0.2">
      <c r="B4422" s="1">
        <f t="shared" si="252"/>
        <v>4407</v>
      </c>
      <c r="C4422" s="101">
        <f ca="1"/>
        <v>-0.57043860013322678</v>
      </c>
      <c r="D4422" s="101">
        <f t="shared" ca="1" si="249"/>
        <v>0.62814392258063112</v>
      </c>
      <c r="E4422" s="101">
        <f t="shared" ca="1" si="250"/>
        <v>0</v>
      </c>
      <c r="F4422" s="21">
        <f t="shared" ca="1" si="251"/>
        <v>0</v>
      </c>
      <c r="H4422" s="21">
        <v>4407</v>
      </c>
      <c r="I4422" s="102">
        <v>0.66762034307396978</v>
      </c>
      <c r="J4422" s="103">
        <v>1.2582097978741105E-3</v>
      </c>
      <c r="K4422" s="103"/>
      <c r="L4422" s="103">
        <v>3.9E-2</v>
      </c>
      <c r="O4422" s="100"/>
    </row>
    <row r="4423" spans="2:15" x14ac:dyDescent="0.2">
      <c r="B4423" s="1">
        <f t="shared" si="252"/>
        <v>4408</v>
      </c>
      <c r="C4423" s="101">
        <f ca="1"/>
        <v>-0.14243119557921871</v>
      </c>
      <c r="D4423" s="101">
        <f t="shared" ca="1" si="249"/>
        <v>0.65523145138960037</v>
      </c>
      <c r="E4423" s="101">
        <f t="shared" ca="1" si="250"/>
        <v>0</v>
      </c>
      <c r="F4423" s="21">
        <f t="shared" ca="1" si="251"/>
        <v>0</v>
      </c>
      <c r="H4423" s="21">
        <v>4408</v>
      </c>
      <c r="I4423" s="102">
        <v>0.66773274745065259</v>
      </c>
      <c r="J4423" s="103">
        <v>1.4116875705753556E-3</v>
      </c>
      <c r="K4423" s="103"/>
      <c r="L4423" s="103">
        <v>3.9399999999999998E-2</v>
      </c>
      <c r="O4423" s="100"/>
    </row>
    <row r="4424" spans="2:15" x14ac:dyDescent="0.2">
      <c r="B4424" s="1">
        <f t="shared" si="252"/>
        <v>4409</v>
      </c>
      <c r="C4424" s="101">
        <f ca="1"/>
        <v>1.3499099768104172</v>
      </c>
      <c r="D4424" s="101">
        <f t="shared" ca="1" si="249"/>
        <v>0.759146704939335</v>
      </c>
      <c r="E4424" s="101">
        <f t="shared" ca="1" si="250"/>
        <v>0</v>
      </c>
      <c r="F4424" s="21">
        <f t="shared" ca="1" si="251"/>
        <v>0</v>
      </c>
      <c r="H4424" s="21">
        <v>4409</v>
      </c>
      <c r="I4424" s="102">
        <v>0.66776434136685536</v>
      </c>
      <c r="J4424" s="103">
        <v>1.3728581763884028E-3</v>
      </c>
      <c r="K4424" s="103"/>
      <c r="L4424" s="103">
        <v>4.2599999999999999E-2</v>
      </c>
      <c r="O4424" s="100"/>
    </row>
    <row r="4425" spans="2:15" x14ac:dyDescent="0.2">
      <c r="B4425" s="1">
        <f t="shared" si="252"/>
        <v>4410</v>
      </c>
      <c r="C4425" s="101">
        <f ca="1"/>
        <v>-0.69955262993516198</v>
      </c>
      <c r="D4425" s="101">
        <f t="shared" ca="1" si="249"/>
        <v>0.62019462323298957</v>
      </c>
      <c r="E4425" s="101">
        <f t="shared" ca="1" si="250"/>
        <v>0</v>
      </c>
      <c r="F4425" s="21">
        <f t="shared" ca="1" si="251"/>
        <v>0</v>
      </c>
      <c r="H4425" s="21">
        <v>4410</v>
      </c>
      <c r="I4425" s="102">
        <v>0.66772682600491939</v>
      </c>
      <c r="J4425" s="103">
        <v>1.3946722821789369E-3</v>
      </c>
      <c r="K4425" s="103"/>
      <c r="L4425" s="103">
        <v>4.36E-2</v>
      </c>
      <c r="O4425" s="100"/>
    </row>
    <row r="4426" spans="2:15" x14ac:dyDescent="0.2">
      <c r="B4426" s="1">
        <f t="shared" si="252"/>
        <v>4411</v>
      </c>
      <c r="C4426" s="101">
        <f ca="1"/>
        <v>0.74936605193866535</v>
      </c>
      <c r="D4426" s="101">
        <f t="shared" ca="1" si="249"/>
        <v>0.71548211124359651</v>
      </c>
      <c r="E4426" s="101">
        <f t="shared" ca="1" si="250"/>
        <v>0</v>
      </c>
      <c r="F4426" s="21">
        <f t="shared" ca="1" si="251"/>
        <v>0</v>
      </c>
      <c r="H4426" s="21">
        <v>4411</v>
      </c>
      <c r="I4426" s="102">
        <v>0.66770333233666013</v>
      </c>
      <c r="J4426" s="103">
        <v>1.3540003953386481E-3</v>
      </c>
      <c r="K4426" s="103"/>
      <c r="L4426" s="103">
        <v>3.9399999999999998E-2</v>
      </c>
      <c r="O4426" s="100"/>
    </row>
    <row r="4427" spans="2:15" x14ac:dyDescent="0.2">
      <c r="B4427" s="1">
        <f t="shared" si="252"/>
        <v>4412</v>
      </c>
      <c r="C4427" s="101">
        <f ca="1"/>
        <v>-0.60952264390053401</v>
      </c>
      <c r="D4427" s="101">
        <f t="shared" ca="1" si="249"/>
        <v>0.62572690029555778</v>
      </c>
      <c r="E4427" s="101">
        <f t="shared" ca="1" si="250"/>
        <v>0</v>
      </c>
      <c r="F4427" s="21">
        <f t="shared" ca="1" si="251"/>
        <v>0</v>
      </c>
      <c r="H4427" s="21">
        <v>4412</v>
      </c>
      <c r="I4427" s="102">
        <v>0.66772729049232071</v>
      </c>
      <c r="J4427" s="103">
        <v>1.3369224931597899E-3</v>
      </c>
      <c r="K4427" s="103"/>
      <c r="L4427" s="103">
        <v>4.1399999999999999E-2</v>
      </c>
      <c r="O4427" s="100"/>
    </row>
    <row r="4428" spans="2:15" x14ac:dyDescent="0.2">
      <c r="B4428" s="1">
        <f t="shared" si="252"/>
        <v>4413</v>
      </c>
      <c r="C4428" s="101">
        <f ca="1"/>
        <v>0.35655460716733672</v>
      </c>
      <c r="D4428" s="101">
        <f t="shared" ca="1" si="249"/>
        <v>0.68828923908853512</v>
      </c>
      <c r="E4428" s="101">
        <f t="shared" ca="1" si="250"/>
        <v>0</v>
      </c>
      <c r="F4428" s="21">
        <f t="shared" ca="1" si="251"/>
        <v>0</v>
      </c>
      <c r="H4428" s="21">
        <v>4413</v>
      </c>
      <c r="I4428" s="102">
        <v>0.66757521148204302</v>
      </c>
      <c r="J4428" s="103">
        <v>1.2240657758761078E-3</v>
      </c>
      <c r="K4428" s="103"/>
      <c r="L4428" s="103">
        <v>0.04</v>
      </c>
      <c r="O4428" s="100"/>
    </row>
    <row r="4429" spans="2:15" x14ac:dyDescent="0.2">
      <c r="B4429" s="1">
        <f t="shared" si="252"/>
        <v>4414</v>
      </c>
      <c r="C4429" s="101">
        <f ca="1"/>
        <v>-0.3994392352565404</v>
      </c>
      <c r="D4429" s="101">
        <f t="shared" ca="1" si="249"/>
        <v>0.63882906862355282</v>
      </c>
      <c r="E4429" s="101">
        <f t="shared" ca="1" si="250"/>
        <v>0</v>
      </c>
      <c r="F4429" s="21">
        <f t="shared" ca="1" si="251"/>
        <v>0</v>
      </c>
      <c r="H4429" s="21">
        <v>4414</v>
      </c>
      <c r="I4429" s="102">
        <v>0.6677412345393261</v>
      </c>
      <c r="J4429" s="103">
        <v>1.3634809241935217E-3</v>
      </c>
      <c r="K4429" s="103"/>
      <c r="L4429" s="103">
        <v>4.2200000000000001E-2</v>
      </c>
      <c r="O4429" s="100"/>
    </row>
    <row r="4430" spans="2:15" x14ac:dyDescent="0.2">
      <c r="B4430" s="1">
        <f t="shared" si="252"/>
        <v>4415</v>
      </c>
      <c r="C4430" s="101">
        <f ca="1"/>
        <v>-1.1420147823245301</v>
      </c>
      <c r="D4430" s="101">
        <f t="shared" ca="1" si="249"/>
        <v>0.59370839653928276</v>
      </c>
      <c r="E4430" s="101">
        <f t="shared" ca="1" si="250"/>
        <v>0</v>
      </c>
      <c r="F4430" s="21">
        <f t="shared" ca="1" si="251"/>
        <v>0</v>
      </c>
      <c r="H4430" s="21">
        <v>4415</v>
      </c>
      <c r="I4430" s="102">
        <v>0.66765907810981051</v>
      </c>
      <c r="J4430" s="103">
        <v>1.3112461133926239E-3</v>
      </c>
      <c r="K4430" s="103"/>
      <c r="L4430" s="103">
        <v>4.0599999999999997E-2</v>
      </c>
      <c r="O4430" s="100"/>
    </row>
    <row r="4431" spans="2:15" x14ac:dyDescent="0.2">
      <c r="B4431" s="1">
        <f t="shared" si="252"/>
        <v>4416</v>
      </c>
      <c r="C4431" s="101">
        <f ca="1"/>
        <v>-1.4886911248539834</v>
      </c>
      <c r="D4431" s="101">
        <f t="shared" ca="1" si="249"/>
        <v>0.57374879999956641</v>
      </c>
      <c r="E4431" s="101">
        <f t="shared" ca="1" si="250"/>
        <v>0</v>
      </c>
      <c r="F4431" s="21">
        <f t="shared" ca="1" si="251"/>
        <v>0</v>
      </c>
      <c r="H4431" s="21">
        <v>4416</v>
      </c>
      <c r="I4431" s="102">
        <v>0.6677515552288954</v>
      </c>
      <c r="J4431" s="103">
        <v>1.4005992961426696E-3</v>
      </c>
      <c r="K4431" s="103"/>
      <c r="L4431" s="103">
        <v>4.2200000000000001E-2</v>
      </c>
      <c r="O4431" s="100"/>
    </row>
    <row r="4432" spans="2:15" x14ac:dyDescent="0.2">
      <c r="B4432" s="1">
        <f t="shared" si="252"/>
        <v>4417</v>
      </c>
      <c r="C4432" s="101">
        <f ca="1"/>
        <v>0.46864662473095942</v>
      </c>
      <c r="D4432" s="101">
        <f t="shared" ref="D4432:D4495" ca="1" si="253">S0*EXP((μ-0.5*σ*σ)*T+σ*SQRT(T)*$C4432)</f>
        <v>0.69594181691939949</v>
      </c>
      <c r="E4432" s="101">
        <f t="shared" ref="E4432:E4495" ca="1" si="254">MAX(0,CP*(D4432-K))</f>
        <v>0</v>
      </c>
      <c r="F4432" s="21">
        <f t="shared" ref="F4432:F4495" ca="1" si="255">(CP*(D4432-K)&gt;0)*1</f>
        <v>0</v>
      </c>
      <c r="H4432" s="21">
        <v>4417</v>
      </c>
      <c r="I4432" s="102">
        <v>0.66776217337540389</v>
      </c>
      <c r="J4432" s="103">
        <v>1.3138212477050866E-3</v>
      </c>
      <c r="K4432" s="103"/>
      <c r="L4432" s="103">
        <v>4.4200000000000003E-2</v>
      </c>
      <c r="O4432" s="100"/>
    </row>
    <row r="4433" spans="2:15" x14ac:dyDescent="0.2">
      <c r="B4433" s="1">
        <f t="shared" si="252"/>
        <v>4418</v>
      </c>
      <c r="C4433" s="101">
        <f ca="1"/>
        <v>1.3407835763309808</v>
      </c>
      <c r="D4433" s="101">
        <f t="shared" ca="1" si="253"/>
        <v>0.75846359805167562</v>
      </c>
      <c r="E4433" s="101">
        <f t="shared" ca="1" si="254"/>
        <v>0</v>
      </c>
      <c r="F4433" s="21">
        <f t="shared" ca="1" si="255"/>
        <v>0</v>
      </c>
      <c r="H4433" s="21">
        <v>4418</v>
      </c>
      <c r="I4433" s="102">
        <v>0.66781094375868844</v>
      </c>
      <c r="J4433" s="103">
        <v>1.512241544983916E-3</v>
      </c>
      <c r="K4433" s="103"/>
      <c r="L4433" s="103">
        <v>4.4200000000000003E-2</v>
      </c>
      <c r="O4433" s="100"/>
    </row>
    <row r="4434" spans="2:15" x14ac:dyDescent="0.2">
      <c r="B4434" s="1">
        <f t="shared" si="252"/>
        <v>4419</v>
      </c>
      <c r="C4434" s="101">
        <f ca="1"/>
        <v>0.23121666100537475</v>
      </c>
      <c r="D4434" s="101">
        <f t="shared" ca="1" si="253"/>
        <v>0.67983196277157987</v>
      </c>
      <c r="E4434" s="101">
        <f t="shared" ca="1" si="254"/>
        <v>0</v>
      </c>
      <c r="F4434" s="21">
        <f t="shared" ca="1" si="255"/>
        <v>0</v>
      </c>
      <c r="H4434" s="21">
        <v>4419</v>
      </c>
      <c r="I4434" s="102">
        <v>0.66777948100546125</v>
      </c>
      <c r="J4434" s="103">
        <v>1.4252927934629658E-3</v>
      </c>
      <c r="K4434" s="103"/>
      <c r="L4434" s="103">
        <v>4.2200000000000001E-2</v>
      </c>
      <c r="O4434" s="100"/>
    </row>
    <row r="4435" spans="2:15" x14ac:dyDescent="0.2">
      <c r="B4435" s="1">
        <f t="shared" si="252"/>
        <v>4420</v>
      </c>
      <c r="C4435" s="101">
        <f ca="1"/>
        <v>-1.176650987261078</v>
      </c>
      <c r="D4435" s="101">
        <f t="shared" ca="1" si="253"/>
        <v>0.59168341668627344</v>
      </c>
      <c r="E4435" s="101">
        <f t="shared" ca="1" si="254"/>
        <v>0</v>
      </c>
      <c r="F4435" s="21">
        <f t="shared" ca="1" si="255"/>
        <v>0</v>
      </c>
      <c r="H4435" s="21">
        <v>4420</v>
      </c>
      <c r="I4435" s="102">
        <v>0.66759224663883865</v>
      </c>
      <c r="J4435" s="103">
        <v>1.2178770100892645E-3</v>
      </c>
      <c r="K4435" s="103"/>
      <c r="L4435" s="103">
        <v>3.8399999999999997E-2</v>
      </c>
      <c r="O4435" s="100"/>
    </row>
    <row r="4436" spans="2:15" x14ac:dyDescent="0.2">
      <c r="B4436" s="1">
        <f t="shared" si="252"/>
        <v>4421</v>
      </c>
      <c r="C4436" s="101">
        <f ca="1"/>
        <v>0.5012509969386999</v>
      </c>
      <c r="D4436" s="101">
        <f t="shared" ca="1" si="253"/>
        <v>0.69818366530586085</v>
      </c>
      <c r="E4436" s="101">
        <f t="shared" ca="1" si="254"/>
        <v>0</v>
      </c>
      <c r="F4436" s="21">
        <f t="shared" ca="1" si="255"/>
        <v>0</v>
      </c>
      <c r="H4436" s="21">
        <v>4421</v>
      </c>
      <c r="I4436" s="102">
        <v>0.66770018536679854</v>
      </c>
      <c r="J4436" s="103">
        <v>1.3244790547381632E-3</v>
      </c>
      <c r="K4436" s="103"/>
      <c r="L4436" s="103">
        <v>4.1200000000000001E-2</v>
      </c>
      <c r="O4436" s="100"/>
    </row>
    <row r="4437" spans="2:15" x14ac:dyDescent="0.2">
      <c r="B4437" s="1">
        <f t="shared" si="252"/>
        <v>4422</v>
      </c>
      <c r="C4437" s="101">
        <f ca="1"/>
        <v>1.8226767841515235</v>
      </c>
      <c r="D4437" s="101">
        <f t="shared" ca="1" si="253"/>
        <v>0.79538747870413873</v>
      </c>
      <c r="E4437" s="101">
        <f t="shared" ca="1" si="254"/>
        <v>7.1874787041387167E-3</v>
      </c>
      <c r="F4437" s="21">
        <f t="shared" ca="1" si="255"/>
        <v>1</v>
      </c>
      <c r="H4437" s="21">
        <v>4422</v>
      </c>
      <c r="I4437" s="102">
        <v>0.66764288505066149</v>
      </c>
      <c r="J4437" s="103">
        <v>1.3044233338376028E-3</v>
      </c>
      <c r="K4437" s="103"/>
      <c r="L4437" s="103">
        <v>3.9600000000000003E-2</v>
      </c>
      <c r="O4437" s="100"/>
    </row>
    <row r="4438" spans="2:15" x14ac:dyDescent="0.2">
      <c r="B4438" s="1">
        <f t="shared" si="252"/>
        <v>4423</v>
      </c>
      <c r="C4438" s="101">
        <f ca="1"/>
        <v>0.147220654373626</v>
      </c>
      <c r="D4438" s="101">
        <f t="shared" ca="1" si="253"/>
        <v>0.67422250099693981</v>
      </c>
      <c r="E4438" s="101">
        <f t="shared" ca="1" si="254"/>
        <v>0</v>
      </c>
      <c r="F4438" s="21">
        <f t="shared" ca="1" si="255"/>
        <v>0</v>
      </c>
      <c r="H4438" s="21">
        <v>4423</v>
      </c>
      <c r="I4438" s="102">
        <v>0.66768835811117422</v>
      </c>
      <c r="J4438" s="103">
        <v>1.2972587652309491E-3</v>
      </c>
      <c r="K4438" s="103"/>
      <c r="L4438" s="103">
        <v>4.36E-2</v>
      </c>
      <c r="O4438" s="100"/>
    </row>
    <row r="4439" spans="2:15" x14ac:dyDescent="0.2">
      <c r="B4439" s="1">
        <f t="shared" si="252"/>
        <v>4424</v>
      </c>
      <c r="C4439" s="101">
        <f ca="1"/>
        <v>0.54165907603251062</v>
      </c>
      <c r="D4439" s="101">
        <f t="shared" ca="1" si="253"/>
        <v>0.7009721136664816</v>
      </c>
      <c r="E4439" s="101">
        <f t="shared" ca="1" si="254"/>
        <v>0</v>
      </c>
      <c r="F4439" s="21">
        <f t="shared" ca="1" si="255"/>
        <v>0</v>
      </c>
      <c r="H4439" s="21">
        <v>4424</v>
      </c>
      <c r="I4439" s="102">
        <v>0.66784751426749955</v>
      </c>
      <c r="J4439" s="103">
        <v>1.4574248908273771E-3</v>
      </c>
      <c r="K4439" s="103"/>
      <c r="L4439" s="103">
        <v>4.6199999999999998E-2</v>
      </c>
      <c r="O4439" s="100"/>
    </row>
    <row r="4440" spans="2:15" x14ac:dyDescent="0.2">
      <c r="B4440" s="1">
        <f t="shared" si="252"/>
        <v>4425</v>
      </c>
      <c r="C4440" s="101">
        <f ca="1"/>
        <v>-0.55261838907695215</v>
      </c>
      <c r="D4440" s="101">
        <f t="shared" ca="1" si="253"/>
        <v>0.62924905079205362</v>
      </c>
      <c r="E4440" s="101">
        <f t="shared" ca="1" si="254"/>
        <v>0</v>
      </c>
      <c r="F4440" s="21">
        <f t="shared" ca="1" si="255"/>
        <v>0</v>
      </c>
      <c r="H4440" s="21">
        <v>4425</v>
      </c>
      <c r="I4440" s="102">
        <v>0.66765911885146401</v>
      </c>
      <c r="J4440" s="103">
        <v>1.3879206256685165E-3</v>
      </c>
      <c r="K4440" s="103"/>
      <c r="L4440" s="103">
        <v>4.0800000000000003E-2</v>
      </c>
      <c r="O4440" s="100"/>
    </row>
    <row r="4441" spans="2:15" x14ac:dyDescent="0.2">
      <c r="B4441" s="1">
        <f t="shared" si="252"/>
        <v>4426</v>
      </c>
      <c r="C4441" s="101">
        <f ca="1"/>
        <v>2.510114685383606</v>
      </c>
      <c r="D4441" s="101">
        <f t="shared" ca="1" si="253"/>
        <v>0.85119323969827487</v>
      </c>
      <c r="E4441" s="101">
        <f t="shared" ca="1" si="254"/>
        <v>6.2993239698274861E-2</v>
      </c>
      <c r="F4441" s="21">
        <f t="shared" ca="1" si="255"/>
        <v>1</v>
      </c>
      <c r="H4441" s="21">
        <v>4426</v>
      </c>
      <c r="I4441" s="102">
        <v>0.66767937033739955</v>
      </c>
      <c r="J4441" s="103">
        <v>1.1848933689180257E-3</v>
      </c>
      <c r="K4441" s="103"/>
      <c r="L4441" s="103">
        <v>3.7400000000000003E-2</v>
      </c>
      <c r="O4441" s="100"/>
    </row>
    <row r="4442" spans="2:15" x14ac:dyDescent="0.2">
      <c r="B4442" s="1">
        <f t="shared" si="252"/>
        <v>4427</v>
      </c>
      <c r="C4442" s="101">
        <f ca="1"/>
        <v>1.4128755706178326</v>
      </c>
      <c r="D4442" s="101">
        <f t="shared" ca="1" si="253"/>
        <v>0.76387644547738376</v>
      </c>
      <c r="E4442" s="101">
        <f t="shared" ca="1" si="254"/>
        <v>0</v>
      </c>
      <c r="F4442" s="21">
        <f t="shared" ca="1" si="255"/>
        <v>0</v>
      </c>
      <c r="H4442" s="21">
        <v>4427</v>
      </c>
      <c r="I4442" s="102">
        <v>0.66753750961599267</v>
      </c>
      <c r="J4442" s="103">
        <v>1.1042059383969262E-3</v>
      </c>
      <c r="K4442" s="103"/>
      <c r="L4442" s="103">
        <v>3.6999999999999998E-2</v>
      </c>
      <c r="O4442" s="100"/>
    </row>
    <row r="4443" spans="2:15" x14ac:dyDescent="0.2">
      <c r="B4443" s="1">
        <f t="shared" si="252"/>
        <v>4428</v>
      </c>
      <c r="C4443" s="101">
        <f ca="1"/>
        <v>2.5898875446758769</v>
      </c>
      <c r="D4443" s="101">
        <f t="shared" ca="1" si="253"/>
        <v>0.85791761672317424</v>
      </c>
      <c r="E4443" s="101">
        <f t="shared" ca="1" si="254"/>
        <v>6.9717616723174225E-2</v>
      </c>
      <c r="F4443" s="21">
        <f t="shared" ca="1" si="255"/>
        <v>1</v>
      </c>
      <c r="H4443" s="21">
        <v>4428</v>
      </c>
      <c r="I4443" s="102">
        <v>0.66775454152040625</v>
      </c>
      <c r="J4443" s="103">
        <v>1.4593593976066372E-3</v>
      </c>
      <c r="K4443" s="103"/>
      <c r="L4443" s="103">
        <v>3.9399999999999998E-2</v>
      </c>
      <c r="O4443" s="100"/>
    </row>
    <row r="4444" spans="2:15" x14ac:dyDescent="0.2">
      <c r="B4444" s="1">
        <f t="shared" si="252"/>
        <v>4429</v>
      </c>
      <c r="C4444" s="101">
        <f ca="1"/>
        <v>-0.9552648285210168</v>
      </c>
      <c r="D4444" s="101">
        <f t="shared" ca="1" si="253"/>
        <v>0.60474661186571921</v>
      </c>
      <c r="E4444" s="101">
        <f t="shared" ca="1" si="254"/>
        <v>0</v>
      </c>
      <c r="F4444" s="21">
        <f t="shared" ca="1" si="255"/>
        <v>0</v>
      </c>
      <c r="H4444" s="21">
        <v>4429</v>
      </c>
      <c r="I4444" s="102">
        <v>0.66774561762075935</v>
      </c>
      <c r="J4444" s="103">
        <v>1.505961737170677E-3</v>
      </c>
      <c r="K4444" s="103"/>
      <c r="L4444" s="103">
        <v>4.1799999999999997E-2</v>
      </c>
      <c r="O4444" s="100"/>
    </row>
    <row r="4445" spans="2:15" x14ac:dyDescent="0.2">
      <c r="B4445" s="1">
        <f t="shared" si="252"/>
        <v>4430</v>
      </c>
      <c r="C4445" s="101">
        <f ca="1"/>
        <v>0.56591868192349037</v>
      </c>
      <c r="D4445" s="101">
        <f t="shared" ca="1" si="253"/>
        <v>0.70265154835745114</v>
      </c>
      <c r="E4445" s="101">
        <f t="shared" ca="1" si="254"/>
        <v>0</v>
      </c>
      <c r="F4445" s="21">
        <f t="shared" ca="1" si="255"/>
        <v>0</v>
      </c>
      <c r="H4445" s="21">
        <v>4430</v>
      </c>
      <c r="I4445" s="102">
        <v>0.66777279399397516</v>
      </c>
      <c r="J4445" s="103">
        <v>1.312320619669234E-3</v>
      </c>
      <c r="K4445" s="103"/>
      <c r="L4445" s="103">
        <v>4.2000000000000003E-2</v>
      </c>
      <c r="O4445" s="100"/>
    </row>
    <row r="4446" spans="2:15" x14ac:dyDescent="0.2">
      <c r="B4446" s="1">
        <f t="shared" si="252"/>
        <v>4431</v>
      </c>
      <c r="C4446" s="101">
        <f ca="1"/>
        <v>0.20391565379176194</v>
      </c>
      <c r="D4446" s="101">
        <f t="shared" ca="1" si="253"/>
        <v>0.67800363312335188</v>
      </c>
      <c r="E4446" s="101">
        <f t="shared" ca="1" si="254"/>
        <v>0</v>
      </c>
      <c r="F4446" s="21">
        <f t="shared" ca="1" si="255"/>
        <v>0</v>
      </c>
      <c r="H4446" s="21">
        <v>4431</v>
      </c>
      <c r="I4446" s="102">
        <v>0.66767707566603918</v>
      </c>
      <c r="J4446" s="103">
        <v>1.3364545803584542E-3</v>
      </c>
      <c r="K4446" s="103"/>
      <c r="L4446" s="103">
        <v>4.1399999999999999E-2</v>
      </c>
      <c r="O4446" s="100"/>
    </row>
    <row r="4447" spans="2:15" x14ac:dyDescent="0.2">
      <c r="B4447" s="1">
        <f t="shared" si="252"/>
        <v>4432</v>
      </c>
      <c r="C4447" s="101">
        <f ca="1"/>
        <v>-0.25951823850772837</v>
      </c>
      <c r="D4447" s="101">
        <f t="shared" ca="1" si="253"/>
        <v>0.64770731049174479</v>
      </c>
      <c r="E4447" s="101">
        <f t="shared" ca="1" si="254"/>
        <v>0</v>
      </c>
      <c r="F4447" s="21">
        <f t="shared" ca="1" si="255"/>
        <v>0</v>
      </c>
      <c r="H4447" s="21">
        <v>4432</v>
      </c>
      <c r="I4447" s="102">
        <v>0.66778097976937179</v>
      </c>
      <c r="J4447" s="103">
        <v>1.4576459884997365E-3</v>
      </c>
      <c r="K4447" s="103"/>
      <c r="L4447" s="103">
        <v>4.24E-2</v>
      </c>
      <c r="O4447" s="100"/>
    </row>
    <row r="4448" spans="2:15" x14ac:dyDescent="0.2">
      <c r="B4448" s="1">
        <f t="shared" si="252"/>
        <v>4433</v>
      </c>
      <c r="C4448" s="101">
        <f ca="1"/>
        <v>0.32689854046760136</v>
      </c>
      <c r="D4448" s="101">
        <f t="shared" ca="1" si="253"/>
        <v>0.68627871925728512</v>
      </c>
      <c r="E4448" s="101">
        <f t="shared" ca="1" si="254"/>
        <v>0</v>
      </c>
      <c r="F4448" s="21">
        <f t="shared" ca="1" si="255"/>
        <v>0</v>
      </c>
      <c r="H4448" s="21">
        <v>4433</v>
      </c>
      <c r="I4448" s="102">
        <v>0.66793336699912353</v>
      </c>
      <c r="J4448" s="103">
        <v>1.4894176298346797E-3</v>
      </c>
      <c r="K4448" s="103"/>
      <c r="L4448" s="103">
        <v>4.48E-2</v>
      </c>
      <c r="O4448" s="100"/>
    </row>
    <row r="4449" spans="2:15" x14ac:dyDescent="0.2">
      <c r="B4449" s="1">
        <f t="shared" si="252"/>
        <v>4434</v>
      </c>
      <c r="C4449" s="101">
        <f ca="1"/>
        <v>-0.12068738950083367</v>
      </c>
      <c r="D4449" s="101">
        <f t="shared" ca="1" si="253"/>
        <v>0.65663832483117113</v>
      </c>
      <c r="E4449" s="101">
        <f t="shared" ca="1" si="254"/>
        <v>0</v>
      </c>
      <c r="F4449" s="21">
        <f t="shared" ca="1" si="255"/>
        <v>0</v>
      </c>
      <c r="H4449" s="21">
        <v>4434</v>
      </c>
      <c r="I4449" s="102">
        <v>0.66776001356748238</v>
      </c>
      <c r="J4449" s="103">
        <v>1.4620051448873135E-3</v>
      </c>
      <c r="K4449" s="103"/>
      <c r="L4449" s="103">
        <v>4.1599999999999998E-2</v>
      </c>
      <c r="O4449" s="100"/>
    </row>
    <row r="4450" spans="2:15" x14ac:dyDescent="0.2">
      <c r="B4450" s="1">
        <f t="shared" si="252"/>
        <v>4435</v>
      </c>
      <c r="C4450" s="101">
        <f ca="1"/>
        <v>0.37990064530249523</v>
      </c>
      <c r="D4450" s="101">
        <f t="shared" ca="1" si="253"/>
        <v>0.68987611596544329</v>
      </c>
      <c r="E4450" s="101">
        <f t="shared" ca="1" si="254"/>
        <v>0</v>
      </c>
      <c r="F4450" s="21">
        <f t="shared" ca="1" si="255"/>
        <v>0</v>
      </c>
      <c r="H4450" s="21">
        <v>4435</v>
      </c>
      <c r="I4450" s="102">
        <v>0.66759431806842695</v>
      </c>
      <c r="J4450" s="103">
        <v>1.3244558529276348E-3</v>
      </c>
      <c r="K4450" s="103"/>
      <c r="L4450" s="103">
        <v>3.78E-2</v>
      </c>
      <c r="O4450" s="100"/>
    </row>
    <row r="4451" spans="2:15" x14ac:dyDescent="0.2">
      <c r="B4451" s="1">
        <f t="shared" si="252"/>
        <v>4436</v>
      </c>
      <c r="C4451" s="101">
        <f ca="1"/>
        <v>-0.2676065416201896</v>
      </c>
      <c r="D4451" s="101">
        <f t="shared" ca="1" si="253"/>
        <v>0.64719074917514952</v>
      </c>
      <c r="E4451" s="101">
        <f t="shared" ca="1" si="254"/>
        <v>0</v>
      </c>
      <c r="F4451" s="21">
        <f t="shared" ca="1" si="255"/>
        <v>0</v>
      </c>
      <c r="H4451" s="21">
        <v>4436</v>
      </c>
      <c r="I4451" s="102">
        <v>0.66770384996355736</v>
      </c>
      <c r="J4451" s="103">
        <v>1.3715853893218803E-3</v>
      </c>
      <c r="K4451" s="103"/>
      <c r="L4451" s="103">
        <v>3.9800000000000002E-2</v>
      </c>
      <c r="O4451" s="100"/>
    </row>
    <row r="4452" spans="2:15" x14ac:dyDescent="0.2">
      <c r="B4452" s="1">
        <f t="shared" si="252"/>
        <v>4437</v>
      </c>
      <c r="C4452" s="101">
        <f ca="1"/>
        <v>0.53795550219759258</v>
      </c>
      <c r="D4452" s="101">
        <f t="shared" ca="1" si="253"/>
        <v>0.70071607749654063</v>
      </c>
      <c r="E4452" s="101">
        <f t="shared" ca="1" si="254"/>
        <v>0</v>
      </c>
      <c r="F4452" s="21">
        <f t="shared" ca="1" si="255"/>
        <v>0</v>
      </c>
      <c r="H4452" s="21">
        <v>4437</v>
      </c>
      <c r="I4452" s="102">
        <v>0.66756116678042532</v>
      </c>
      <c r="J4452" s="103">
        <v>1.0441012916084299E-3</v>
      </c>
      <c r="K4452" s="103"/>
      <c r="L4452" s="103">
        <v>0.04</v>
      </c>
      <c r="O4452" s="100"/>
    </row>
    <row r="4453" spans="2:15" x14ac:dyDescent="0.2">
      <c r="B4453" s="1">
        <f t="shared" si="252"/>
        <v>4438</v>
      </c>
      <c r="C4453" s="101">
        <f ca="1"/>
        <v>1.4029035569276818</v>
      </c>
      <c r="D4453" s="101">
        <f t="shared" ca="1" si="253"/>
        <v>0.76312542581858234</v>
      </c>
      <c r="E4453" s="101">
        <f t="shared" ca="1" si="254"/>
        <v>0</v>
      </c>
      <c r="F4453" s="21">
        <f t="shared" ca="1" si="255"/>
        <v>0</v>
      </c>
      <c r="H4453" s="21">
        <v>4438</v>
      </c>
      <c r="I4453" s="102">
        <v>0.66784545033606901</v>
      </c>
      <c r="J4453" s="103">
        <v>1.4246899444748935E-3</v>
      </c>
      <c r="K4453" s="103"/>
      <c r="L4453" s="103">
        <v>4.4600000000000001E-2</v>
      </c>
      <c r="O4453" s="100"/>
    </row>
    <row r="4454" spans="2:15" x14ac:dyDescent="0.2">
      <c r="B4454" s="1">
        <f t="shared" si="252"/>
        <v>4439</v>
      </c>
      <c r="C4454" s="101">
        <f ca="1"/>
        <v>1.6414558681136668</v>
      </c>
      <c r="D4454" s="101">
        <f t="shared" ca="1" si="253"/>
        <v>0.78129556230307995</v>
      </c>
      <c r="E4454" s="101">
        <f t="shared" ca="1" si="254"/>
        <v>0</v>
      </c>
      <c r="F4454" s="21">
        <f t="shared" ca="1" si="255"/>
        <v>0</v>
      </c>
      <c r="H4454" s="21">
        <v>4439</v>
      </c>
      <c r="I4454" s="102">
        <v>0.66777994931852824</v>
      </c>
      <c r="J4454" s="103">
        <v>1.4221426450494307E-3</v>
      </c>
      <c r="K4454" s="103"/>
      <c r="L4454" s="103">
        <v>4.2599999999999999E-2</v>
      </c>
      <c r="O4454" s="100"/>
    </row>
    <row r="4455" spans="2:15" x14ac:dyDescent="0.2">
      <c r="B4455" s="1">
        <f t="shared" si="252"/>
        <v>4440</v>
      </c>
      <c r="C4455" s="101">
        <f ca="1"/>
        <v>0.31912487528707728</v>
      </c>
      <c r="D4455" s="101">
        <f t="shared" ca="1" si="253"/>
        <v>0.68575267926211925</v>
      </c>
      <c r="E4455" s="101">
        <f t="shared" ca="1" si="254"/>
        <v>0</v>
      </c>
      <c r="F4455" s="21">
        <f t="shared" ca="1" si="255"/>
        <v>0</v>
      </c>
      <c r="H4455" s="21">
        <v>4440</v>
      </c>
      <c r="I4455" s="102">
        <v>0.66774611769868353</v>
      </c>
      <c r="J4455" s="103">
        <v>1.2144545293401613E-3</v>
      </c>
      <c r="K4455" s="103"/>
      <c r="L4455" s="103">
        <v>4.1799999999999997E-2</v>
      </c>
      <c r="O4455" s="100"/>
    </row>
    <row r="4456" spans="2:15" x14ac:dyDescent="0.2">
      <c r="B4456" s="1">
        <f t="shared" si="252"/>
        <v>4441</v>
      </c>
      <c r="C4456" s="101">
        <f ca="1"/>
        <v>-0.92171134108077746</v>
      </c>
      <c r="D4456" s="101">
        <f t="shared" ca="1" si="253"/>
        <v>0.60675149431536768</v>
      </c>
      <c r="E4456" s="101">
        <f t="shared" ca="1" si="254"/>
        <v>0</v>
      </c>
      <c r="F4456" s="21">
        <f t="shared" ca="1" si="255"/>
        <v>0</v>
      </c>
      <c r="H4456" s="21">
        <v>4441</v>
      </c>
      <c r="I4456" s="102">
        <v>0.66765680145454231</v>
      </c>
      <c r="J4456" s="103">
        <v>1.2111725277833925E-3</v>
      </c>
      <c r="K4456" s="103"/>
      <c r="L4456" s="103">
        <v>3.9600000000000003E-2</v>
      </c>
      <c r="O4456" s="100"/>
    </row>
    <row r="4457" spans="2:15" x14ac:dyDescent="0.2">
      <c r="B4457" s="1">
        <f t="shared" si="252"/>
        <v>4442</v>
      </c>
      <c r="C4457" s="101">
        <f ca="1"/>
        <v>2.4927152173194109</v>
      </c>
      <c r="D4457" s="101">
        <f t="shared" ca="1" si="253"/>
        <v>0.84973358409183453</v>
      </c>
      <c r="E4457" s="101">
        <f t="shared" ca="1" si="254"/>
        <v>6.1533584091834514E-2</v>
      </c>
      <c r="F4457" s="21">
        <f t="shared" ca="1" si="255"/>
        <v>1</v>
      </c>
      <c r="H4457" s="21">
        <v>4442</v>
      </c>
      <c r="I4457" s="102">
        <v>0.66780552705574803</v>
      </c>
      <c r="J4457" s="103">
        <v>1.5605992610630891E-3</v>
      </c>
      <c r="K4457" s="103"/>
      <c r="L4457" s="103">
        <v>4.5400000000000003E-2</v>
      </c>
      <c r="O4457" s="100"/>
    </row>
    <row r="4458" spans="2:15" x14ac:dyDescent="0.2">
      <c r="B4458" s="1">
        <f t="shared" si="252"/>
        <v>4443</v>
      </c>
      <c r="C4458" s="101">
        <f ca="1"/>
        <v>0.34776739535250106</v>
      </c>
      <c r="D4458" s="101">
        <f t="shared" ca="1" si="253"/>
        <v>0.68769290069676536</v>
      </c>
      <c r="E4458" s="101">
        <f t="shared" ca="1" si="254"/>
        <v>0</v>
      </c>
      <c r="F4458" s="21">
        <f t="shared" ca="1" si="255"/>
        <v>0</v>
      </c>
      <c r="H4458" s="21">
        <v>4443</v>
      </c>
      <c r="I4458" s="102">
        <v>0.66770981225639547</v>
      </c>
      <c r="J4458" s="103">
        <v>1.3921648661782576E-3</v>
      </c>
      <c r="K4458" s="103"/>
      <c r="L4458" s="103">
        <v>3.9600000000000003E-2</v>
      </c>
      <c r="O4458" s="100"/>
    </row>
    <row r="4459" spans="2:15" x14ac:dyDescent="0.2">
      <c r="B4459" s="1">
        <f t="shared" si="252"/>
        <v>4444</v>
      </c>
      <c r="C4459" s="101">
        <f ca="1"/>
        <v>-1.4124644528934986</v>
      </c>
      <c r="D4459" s="101">
        <f t="shared" ca="1" si="253"/>
        <v>0.57807913429702684</v>
      </c>
      <c r="E4459" s="101">
        <f t="shared" ca="1" si="254"/>
        <v>0</v>
      </c>
      <c r="F4459" s="21">
        <f t="shared" ca="1" si="255"/>
        <v>0</v>
      </c>
      <c r="H4459" s="21">
        <v>4444</v>
      </c>
      <c r="I4459" s="102">
        <v>0.66775657790460141</v>
      </c>
      <c r="J4459" s="103">
        <v>1.3834815689142044E-3</v>
      </c>
      <c r="K4459" s="103"/>
      <c r="L4459" s="103">
        <v>3.8800000000000001E-2</v>
      </c>
      <c r="O4459" s="100"/>
    </row>
    <row r="4460" spans="2:15" x14ac:dyDescent="0.2">
      <c r="B4460" s="1">
        <f t="shared" si="252"/>
        <v>4445</v>
      </c>
      <c r="C4460" s="101">
        <f ca="1"/>
        <v>0.3522892910252326</v>
      </c>
      <c r="D4460" s="101">
        <f t="shared" ca="1" si="253"/>
        <v>0.68799971163667695</v>
      </c>
      <c r="E4460" s="101">
        <f t="shared" ca="1" si="254"/>
        <v>0</v>
      </c>
      <c r="F4460" s="21">
        <f t="shared" ca="1" si="255"/>
        <v>0</v>
      </c>
      <c r="H4460" s="21">
        <v>4445</v>
      </c>
      <c r="I4460" s="102">
        <v>0.66778646256109386</v>
      </c>
      <c r="J4460" s="103">
        <v>1.4341925753120102E-3</v>
      </c>
      <c r="K4460" s="103"/>
      <c r="L4460" s="103">
        <v>4.2200000000000001E-2</v>
      </c>
      <c r="O4460" s="100"/>
    </row>
    <row r="4461" spans="2:15" x14ac:dyDescent="0.2">
      <c r="B4461" s="1">
        <f t="shared" si="252"/>
        <v>4446</v>
      </c>
      <c r="C4461" s="101">
        <f ca="1"/>
        <v>0.53939315105361196</v>
      </c>
      <c r="D4461" s="101">
        <f t="shared" ca="1" si="253"/>
        <v>0.7008154542032472</v>
      </c>
      <c r="E4461" s="101">
        <f t="shared" ca="1" si="254"/>
        <v>0</v>
      </c>
      <c r="F4461" s="21">
        <f t="shared" ca="1" si="255"/>
        <v>0</v>
      </c>
      <c r="H4461" s="21">
        <v>4446</v>
      </c>
      <c r="I4461" s="102">
        <v>0.66775162463173543</v>
      </c>
      <c r="J4461" s="103">
        <v>1.4574664947240078E-3</v>
      </c>
      <c r="K4461" s="103"/>
      <c r="L4461" s="103">
        <v>0.04</v>
      </c>
      <c r="O4461" s="100"/>
    </row>
    <row r="4462" spans="2:15" x14ac:dyDescent="0.2">
      <c r="B4462" s="1">
        <f t="shared" si="252"/>
        <v>4447</v>
      </c>
      <c r="C4462" s="101">
        <f ca="1"/>
        <v>1.1041635116416773</v>
      </c>
      <c r="D4462" s="101">
        <f t="shared" ca="1" si="253"/>
        <v>0.74096566540117215</v>
      </c>
      <c r="E4462" s="101">
        <f t="shared" ca="1" si="254"/>
        <v>0</v>
      </c>
      <c r="F4462" s="21">
        <f t="shared" ca="1" si="255"/>
        <v>0</v>
      </c>
      <c r="H4462" s="21">
        <v>4447</v>
      </c>
      <c r="I4462" s="102">
        <v>0.66765506479311776</v>
      </c>
      <c r="J4462" s="103">
        <v>1.2182845010286496E-3</v>
      </c>
      <c r="K4462" s="103"/>
      <c r="L4462" s="103">
        <v>4.1000000000000002E-2</v>
      </c>
      <c r="O4462" s="100"/>
    </row>
    <row r="4463" spans="2:15" x14ac:dyDescent="0.2">
      <c r="B4463" s="1">
        <f t="shared" si="252"/>
        <v>4448</v>
      </c>
      <c r="C4463" s="101">
        <f ca="1"/>
        <v>0.25971786354839788</v>
      </c>
      <c r="D4463" s="101">
        <f t="shared" ca="1" si="253"/>
        <v>0.68174592910594534</v>
      </c>
      <c r="E4463" s="101">
        <f t="shared" ca="1" si="254"/>
        <v>0</v>
      </c>
      <c r="F4463" s="21">
        <f t="shared" ca="1" si="255"/>
        <v>0</v>
      </c>
      <c r="H4463" s="21">
        <v>4448</v>
      </c>
      <c r="I4463" s="102">
        <v>0.66773792647407504</v>
      </c>
      <c r="J4463" s="103">
        <v>1.3807540996236857E-3</v>
      </c>
      <c r="K4463" s="103"/>
      <c r="L4463" s="103">
        <v>4.2200000000000001E-2</v>
      </c>
      <c r="O4463" s="100"/>
    </row>
    <row r="4464" spans="2:15" x14ac:dyDescent="0.2">
      <c r="B4464" s="1">
        <f t="shared" ref="B4464:B4527" si="256">B4463+1</f>
        <v>4449</v>
      </c>
      <c r="C4464" s="101">
        <f ca="1"/>
        <v>-0.66298695600133861</v>
      </c>
      <c r="D4464" s="101">
        <f t="shared" ca="1" si="253"/>
        <v>0.62243563398683821</v>
      </c>
      <c r="E4464" s="101">
        <f t="shared" ca="1" si="254"/>
        <v>0</v>
      </c>
      <c r="F4464" s="21">
        <f t="shared" ca="1" si="255"/>
        <v>0</v>
      </c>
      <c r="H4464" s="21">
        <v>4449</v>
      </c>
      <c r="I4464" s="102">
        <v>0.66768891800465013</v>
      </c>
      <c r="J4464" s="103">
        <v>1.2938783323115646E-3</v>
      </c>
      <c r="K4464" s="103"/>
      <c r="L4464" s="103">
        <v>4.1799999999999997E-2</v>
      </c>
      <c r="O4464" s="100"/>
    </row>
    <row r="4465" spans="2:15" x14ac:dyDescent="0.2">
      <c r="B4465" s="1">
        <f t="shared" si="256"/>
        <v>4450</v>
      </c>
      <c r="C4465" s="101">
        <f ca="1"/>
        <v>0.85535173443538204</v>
      </c>
      <c r="D4465" s="101">
        <f t="shared" ca="1" si="253"/>
        <v>0.7230014047924801</v>
      </c>
      <c r="E4465" s="101">
        <f t="shared" ca="1" si="254"/>
        <v>0</v>
      </c>
      <c r="F4465" s="21">
        <f t="shared" ca="1" si="255"/>
        <v>0</v>
      </c>
      <c r="H4465" s="21">
        <v>4450</v>
      </c>
      <c r="I4465" s="102">
        <v>0.66775752540817435</v>
      </c>
      <c r="J4465" s="103">
        <v>1.4305634466813435E-3</v>
      </c>
      <c r="K4465" s="103"/>
      <c r="L4465" s="103">
        <v>4.1000000000000002E-2</v>
      </c>
      <c r="O4465" s="100"/>
    </row>
    <row r="4466" spans="2:15" x14ac:dyDescent="0.2">
      <c r="B4466" s="1">
        <f t="shared" si="256"/>
        <v>4451</v>
      </c>
      <c r="C4466" s="101">
        <f ca="1"/>
        <v>0.71919851742694751</v>
      </c>
      <c r="D4466" s="101">
        <f t="shared" ca="1" si="253"/>
        <v>0.71335616891184739</v>
      </c>
      <c r="E4466" s="101">
        <f t="shared" ca="1" si="254"/>
        <v>0</v>
      </c>
      <c r="F4466" s="21">
        <f t="shared" ca="1" si="255"/>
        <v>0</v>
      </c>
      <c r="H4466" s="21">
        <v>4451</v>
      </c>
      <c r="I4466" s="102">
        <v>0.66778642763072904</v>
      </c>
      <c r="J4466" s="103">
        <v>1.4095051516677503E-3</v>
      </c>
      <c r="K4466" s="103"/>
      <c r="L4466" s="103">
        <v>4.0399999999999998E-2</v>
      </c>
      <c r="O4466" s="100"/>
    </row>
    <row r="4467" spans="2:15" x14ac:dyDescent="0.2">
      <c r="B4467" s="1">
        <f t="shared" si="256"/>
        <v>4452</v>
      </c>
      <c r="C4467" s="101">
        <f ca="1"/>
        <v>1.8432109551587921</v>
      </c>
      <c r="D4467" s="101">
        <f t="shared" ca="1" si="253"/>
        <v>0.79700018297051389</v>
      </c>
      <c r="E4467" s="101">
        <f t="shared" ca="1" si="254"/>
        <v>8.8001829705138812E-3</v>
      </c>
      <c r="F4467" s="21">
        <f t="shared" ca="1" si="255"/>
        <v>1</v>
      </c>
      <c r="H4467" s="21">
        <v>4452</v>
      </c>
      <c r="I4467" s="102">
        <v>0.66774446739604831</v>
      </c>
      <c r="J4467" s="103">
        <v>1.3950647268110268E-3</v>
      </c>
      <c r="K4467" s="103"/>
      <c r="L4467" s="103">
        <v>4.2999999999999997E-2</v>
      </c>
      <c r="O4467" s="100"/>
    </row>
    <row r="4468" spans="2:15" x14ac:dyDescent="0.2">
      <c r="B4468" s="1">
        <f t="shared" si="256"/>
        <v>4453</v>
      </c>
      <c r="C4468" s="101">
        <f ca="1"/>
        <v>-1.1922260366016459</v>
      </c>
      <c r="D4468" s="101">
        <f t="shared" ca="1" si="253"/>
        <v>0.5907750856385473</v>
      </c>
      <c r="E4468" s="101">
        <f t="shared" ca="1" si="254"/>
        <v>0</v>
      </c>
      <c r="F4468" s="21">
        <f t="shared" ca="1" si="255"/>
        <v>0</v>
      </c>
      <c r="H4468" s="21">
        <v>4453</v>
      </c>
      <c r="I4468" s="102">
        <v>0.66781603082661201</v>
      </c>
      <c r="J4468" s="103">
        <v>1.4663689360128141E-3</v>
      </c>
      <c r="K4468" s="103"/>
      <c r="L4468" s="103">
        <v>4.0599999999999997E-2</v>
      </c>
      <c r="O4468" s="100"/>
    </row>
    <row r="4469" spans="2:15" x14ac:dyDescent="0.2">
      <c r="B4469" s="1">
        <f t="shared" si="256"/>
        <v>4454</v>
      </c>
      <c r="C4469" s="101">
        <f ca="1"/>
        <v>1.0940302303234772</v>
      </c>
      <c r="D4469" s="101">
        <f t="shared" ca="1" si="253"/>
        <v>0.74022539556951827</v>
      </c>
      <c r="E4469" s="101">
        <f t="shared" ca="1" si="254"/>
        <v>0</v>
      </c>
      <c r="F4469" s="21">
        <f t="shared" ca="1" si="255"/>
        <v>0</v>
      </c>
      <c r="H4469" s="21">
        <v>4454</v>
      </c>
      <c r="I4469" s="102">
        <v>0.66781987379984054</v>
      </c>
      <c r="J4469" s="103">
        <v>1.3554665637343173E-3</v>
      </c>
      <c r="K4469" s="103"/>
      <c r="L4469" s="103">
        <v>4.1200000000000001E-2</v>
      </c>
      <c r="O4469" s="100"/>
    </row>
    <row r="4470" spans="2:15" x14ac:dyDescent="0.2">
      <c r="B4470" s="1">
        <f t="shared" si="256"/>
        <v>4455</v>
      </c>
      <c r="C4470" s="101">
        <f ca="1"/>
        <v>-0.53363956418359193</v>
      </c>
      <c r="D4470" s="101">
        <f t="shared" ca="1" si="253"/>
        <v>0.63042816907275401</v>
      </c>
      <c r="E4470" s="101">
        <f t="shared" ca="1" si="254"/>
        <v>0</v>
      </c>
      <c r="F4470" s="21">
        <f t="shared" ca="1" si="255"/>
        <v>0</v>
      </c>
      <c r="H4470" s="21">
        <v>4455</v>
      </c>
      <c r="I4470" s="102">
        <v>0.66763565641680434</v>
      </c>
      <c r="J4470" s="103">
        <v>1.2659760850417538E-3</v>
      </c>
      <c r="K4470" s="103"/>
      <c r="L4470" s="103">
        <v>3.6200000000000003E-2</v>
      </c>
      <c r="O4470" s="100"/>
    </row>
    <row r="4471" spans="2:15" x14ac:dyDescent="0.2">
      <c r="B4471" s="1">
        <f t="shared" si="256"/>
        <v>4456</v>
      </c>
      <c r="C4471" s="101">
        <f ca="1"/>
        <v>1.1064550473807222</v>
      </c>
      <c r="D4471" s="101">
        <f t="shared" ca="1" si="253"/>
        <v>0.74113317230249731</v>
      </c>
      <c r="E4471" s="101">
        <f t="shared" ca="1" si="254"/>
        <v>0</v>
      </c>
      <c r="F4471" s="21">
        <f t="shared" ca="1" si="255"/>
        <v>0</v>
      </c>
      <c r="H4471" s="21">
        <v>4456</v>
      </c>
      <c r="I4471" s="102">
        <v>0.66781033735843698</v>
      </c>
      <c r="J4471" s="103">
        <v>1.418785155718054E-3</v>
      </c>
      <c r="K4471" s="103"/>
      <c r="L4471" s="103">
        <v>4.58E-2</v>
      </c>
      <c r="O4471" s="100"/>
    </row>
    <row r="4472" spans="2:15" x14ac:dyDescent="0.2">
      <c r="B4472" s="1">
        <f t="shared" si="256"/>
        <v>4457</v>
      </c>
      <c r="C4472" s="101">
        <f ca="1"/>
        <v>0.27351700805298979</v>
      </c>
      <c r="D4472" s="101">
        <f t="shared" ca="1" si="253"/>
        <v>0.68267453026956548</v>
      </c>
      <c r="E4472" s="101">
        <f t="shared" ca="1" si="254"/>
        <v>0</v>
      </c>
      <c r="F4472" s="21">
        <f t="shared" ca="1" si="255"/>
        <v>0</v>
      </c>
      <c r="H4472" s="21">
        <v>4457</v>
      </c>
      <c r="I4472" s="102">
        <v>0.66779697912025437</v>
      </c>
      <c r="J4472" s="103">
        <v>1.573361677595657E-3</v>
      </c>
      <c r="K4472" s="103"/>
      <c r="L4472" s="103">
        <v>4.4400000000000002E-2</v>
      </c>
      <c r="O4472" s="100"/>
    </row>
    <row r="4473" spans="2:15" x14ac:dyDescent="0.2">
      <c r="B4473" s="1">
        <f t="shared" si="256"/>
        <v>4458</v>
      </c>
      <c r="C4473" s="101">
        <f ca="1"/>
        <v>-0.50938865622454454</v>
      </c>
      <c r="D4473" s="101">
        <f t="shared" ca="1" si="253"/>
        <v>0.63193804779441698</v>
      </c>
      <c r="E4473" s="101">
        <f t="shared" ca="1" si="254"/>
        <v>0</v>
      </c>
      <c r="F4473" s="21">
        <f t="shared" ca="1" si="255"/>
        <v>0</v>
      </c>
      <c r="H4473" s="21">
        <v>4458</v>
      </c>
      <c r="I4473" s="102">
        <v>0.66755646355168263</v>
      </c>
      <c r="J4473" s="103">
        <v>1.1649887210852423E-3</v>
      </c>
      <c r="K4473" s="103"/>
      <c r="L4473" s="103">
        <v>3.7199999999999997E-2</v>
      </c>
      <c r="O4473" s="100"/>
    </row>
    <row r="4474" spans="2:15" x14ac:dyDescent="0.2">
      <c r="B4474" s="1">
        <f t="shared" si="256"/>
        <v>4459</v>
      </c>
      <c r="C4474" s="101">
        <f ca="1"/>
        <v>-0.87783443255394888</v>
      </c>
      <c r="D4474" s="101">
        <f t="shared" ca="1" si="253"/>
        <v>0.60938325227189161</v>
      </c>
      <c r="E4474" s="101">
        <f t="shared" ca="1" si="254"/>
        <v>0</v>
      </c>
      <c r="F4474" s="21">
        <f t="shared" ca="1" si="255"/>
        <v>0</v>
      </c>
      <c r="H4474" s="21">
        <v>4459</v>
      </c>
      <c r="I4474" s="102">
        <v>0.6678617821219528</v>
      </c>
      <c r="J4474" s="103">
        <v>1.5384425553636805E-3</v>
      </c>
      <c r="K4474" s="103"/>
      <c r="L4474" s="103">
        <v>4.5400000000000003E-2</v>
      </c>
      <c r="O4474" s="100"/>
    </row>
    <row r="4475" spans="2:15" x14ac:dyDescent="0.2">
      <c r="B4475" s="1">
        <f t="shared" si="256"/>
        <v>4460</v>
      </c>
      <c r="C4475" s="101">
        <f ca="1"/>
        <v>0.76691924869012529</v>
      </c>
      <c r="D4475" s="101">
        <f t="shared" ca="1" si="253"/>
        <v>0.71672202060685897</v>
      </c>
      <c r="E4475" s="101">
        <f t="shared" ca="1" si="254"/>
        <v>0</v>
      </c>
      <c r="F4475" s="21">
        <f t="shared" ca="1" si="255"/>
        <v>0</v>
      </c>
      <c r="H4475" s="21">
        <v>4460</v>
      </c>
      <c r="I4475" s="102">
        <v>0.66777022172364009</v>
      </c>
      <c r="J4475" s="103">
        <v>1.4873025473396977E-3</v>
      </c>
      <c r="K4475" s="103"/>
      <c r="L4475" s="103">
        <v>4.1799999999999997E-2</v>
      </c>
      <c r="O4475" s="100"/>
    </row>
    <row r="4476" spans="2:15" x14ac:dyDescent="0.2">
      <c r="B4476" s="1">
        <f t="shared" si="256"/>
        <v>4461</v>
      </c>
      <c r="C4476" s="101">
        <f ca="1"/>
        <v>0.73239991436683582</v>
      </c>
      <c r="D4476" s="101">
        <f t="shared" ca="1" si="253"/>
        <v>0.71428570875988229</v>
      </c>
      <c r="E4476" s="101">
        <f t="shared" ca="1" si="254"/>
        <v>0</v>
      </c>
      <c r="F4476" s="21">
        <f t="shared" ca="1" si="255"/>
        <v>0</v>
      </c>
      <c r="H4476" s="21">
        <v>4461</v>
      </c>
      <c r="I4476" s="102">
        <v>0.66769718469406913</v>
      </c>
      <c r="J4476" s="103">
        <v>1.2785572123676443E-3</v>
      </c>
      <c r="K4476" s="103"/>
      <c r="L4476" s="103">
        <v>3.8800000000000001E-2</v>
      </c>
      <c r="O4476" s="100"/>
    </row>
    <row r="4477" spans="2:15" x14ac:dyDescent="0.2">
      <c r="B4477" s="1">
        <f t="shared" si="256"/>
        <v>4462</v>
      </c>
      <c r="C4477" s="101">
        <f ca="1"/>
        <v>0.16526925414718713</v>
      </c>
      <c r="D4477" s="101">
        <f t="shared" ca="1" si="253"/>
        <v>0.67542391395086199</v>
      </c>
      <c r="E4477" s="101">
        <f t="shared" ca="1" si="254"/>
        <v>0</v>
      </c>
      <c r="F4477" s="21">
        <f t="shared" ca="1" si="255"/>
        <v>0</v>
      </c>
      <c r="H4477" s="21">
        <v>4462</v>
      </c>
      <c r="I4477" s="102">
        <v>0.6676462527701581</v>
      </c>
      <c r="J4477" s="103">
        <v>1.3342084382786262E-3</v>
      </c>
      <c r="K4477" s="103"/>
      <c r="L4477" s="103">
        <v>4.3200000000000002E-2</v>
      </c>
      <c r="O4477" s="100"/>
    </row>
    <row r="4478" spans="2:15" x14ac:dyDescent="0.2">
      <c r="B4478" s="1">
        <f t="shared" si="256"/>
        <v>4463</v>
      </c>
      <c r="C4478" s="101">
        <f ca="1"/>
        <v>-0.55621169327425812</v>
      </c>
      <c r="D4478" s="101">
        <f t="shared" ca="1" si="253"/>
        <v>0.62902605406481582</v>
      </c>
      <c r="E4478" s="101">
        <f t="shared" ca="1" si="254"/>
        <v>0</v>
      </c>
      <c r="F4478" s="21">
        <f t="shared" ca="1" si="255"/>
        <v>0</v>
      </c>
      <c r="H4478" s="21">
        <v>4463</v>
      </c>
      <c r="I4478" s="102">
        <v>0.66779265954186295</v>
      </c>
      <c r="J4478" s="103">
        <v>1.5408623353732219E-3</v>
      </c>
      <c r="K4478" s="103"/>
      <c r="L4478" s="103">
        <v>4.58E-2</v>
      </c>
      <c r="O4478" s="100"/>
    </row>
    <row r="4479" spans="2:15" x14ac:dyDescent="0.2">
      <c r="B4479" s="1">
        <f t="shared" si="256"/>
        <v>4464</v>
      </c>
      <c r="C4479" s="101">
        <f ca="1"/>
        <v>-0.49839000263446792</v>
      </c>
      <c r="D4479" s="101">
        <f t="shared" ca="1" si="253"/>
        <v>0.63262402318841204</v>
      </c>
      <c r="E4479" s="101">
        <f t="shared" ca="1" si="254"/>
        <v>0</v>
      </c>
      <c r="F4479" s="21">
        <f t="shared" ca="1" si="255"/>
        <v>0</v>
      </c>
      <c r="H4479" s="21">
        <v>4464</v>
      </c>
      <c r="I4479" s="102">
        <v>0.66783675560878908</v>
      </c>
      <c r="J4479" s="103">
        <v>1.3630830622512813E-3</v>
      </c>
      <c r="K4479" s="103"/>
      <c r="L4479" s="103">
        <v>4.36E-2</v>
      </c>
      <c r="O4479" s="100"/>
    </row>
    <row r="4480" spans="2:15" x14ac:dyDescent="0.2">
      <c r="B4480" s="1">
        <f t="shared" si="256"/>
        <v>4465</v>
      </c>
      <c r="C4480" s="101">
        <f ca="1"/>
        <v>-1.2241822320326019</v>
      </c>
      <c r="D4480" s="101">
        <f t="shared" ca="1" si="253"/>
        <v>0.58891577553662999</v>
      </c>
      <c r="E4480" s="101">
        <f t="shared" ca="1" si="254"/>
        <v>0</v>
      </c>
      <c r="F4480" s="21">
        <f t="shared" ca="1" si="255"/>
        <v>0</v>
      </c>
      <c r="H4480" s="21">
        <v>4465</v>
      </c>
      <c r="I4480" s="102">
        <v>0.66765359519968914</v>
      </c>
      <c r="J4480" s="103">
        <v>1.2382437502942438E-3</v>
      </c>
      <c r="K4480" s="103"/>
      <c r="L4480" s="103">
        <v>4.02E-2</v>
      </c>
      <c r="O4480" s="100"/>
    </row>
    <row r="4481" spans="2:15" x14ac:dyDescent="0.2">
      <c r="B4481" s="1">
        <f t="shared" si="256"/>
        <v>4466</v>
      </c>
      <c r="C4481" s="101">
        <f ca="1"/>
        <v>0.36690614150818818</v>
      </c>
      <c r="D4481" s="101">
        <f t="shared" ca="1" si="253"/>
        <v>0.68899240264353756</v>
      </c>
      <c r="E4481" s="101">
        <f t="shared" ca="1" si="254"/>
        <v>0</v>
      </c>
      <c r="F4481" s="21">
        <f t="shared" ca="1" si="255"/>
        <v>0</v>
      </c>
      <c r="H4481" s="21">
        <v>4466</v>
      </c>
      <c r="I4481" s="102">
        <v>0.66774354780372402</v>
      </c>
      <c r="J4481" s="103">
        <v>1.3389377839371293E-3</v>
      </c>
      <c r="K4481" s="103"/>
      <c r="L4481" s="103">
        <v>4.36E-2</v>
      </c>
      <c r="O4481" s="100"/>
    </row>
    <row r="4482" spans="2:15" x14ac:dyDescent="0.2">
      <c r="B4482" s="1">
        <f t="shared" si="256"/>
        <v>4467</v>
      </c>
      <c r="C4482" s="101">
        <f ca="1"/>
        <v>-0.84302774693204763</v>
      </c>
      <c r="D4482" s="101">
        <f t="shared" ca="1" si="253"/>
        <v>0.61147909093331043</v>
      </c>
      <c r="E4482" s="101">
        <f t="shared" ca="1" si="254"/>
        <v>0</v>
      </c>
      <c r="F4482" s="21">
        <f t="shared" ca="1" si="255"/>
        <v>0</v>
      </c>
      <c r="H4482" s="21">
        <v>4467</v>
      </c>
      <c r="I4482" s="102">
        <v>0.66785375991067608</v>
      </c>
      <c r="J4482" s="103">
        <v>1.511396754168012E-3</v>
      </c>
      <c r="K4482" s="103"/>
      <c r="L4482" s="103">
        <v>4.3200000000000002E-2</v>
      </c>
      <c r="O4482" s="100"/>
    </row>
    <row r="4483" spans="2:15" x14ac:dyDescent="0.2">
      <c r="B4483" s="1">
        <f t="shared" si="256"/>
        <v>4468</v>
      </c>
      <c r="C4483" s="101">
        <f ca="1"/>
        <v>0.60075101068320647</v>
      </c>
      <c r="D4483" s="101">
        <f t="shared" ca="1" si="253"/>
        <v>0.70506994610891383</v>
      </c>
      <c r="E4483" s="101">
        <f t="shared" ca="1" si="254"/>
        <v>0</v>
      </c>
      <c r="F4483" s="21">
        <f t="shared" ca="1" si="255"/>
        <v>0</v>
      </c>
      <c r="H4483" s="21">
        <v>4468</v>
      </c>
      <c r="I4483" s="102">
        <v>0.6678743603098386</v>
      </c>
      <c r="J4483" s="103">
        <v>1.5153192298464817E-3</v>
      </c>
      <c r="K4483" s="103"/>
      <c r="L4483" s="103">
        <v>4.6600000000000003E-2</v>
      </c>
      <c r="O4483" s="100"/>
    </row>
    <row r="4484" spans="2:15" x14ac:dyDescent="0.2">
      <c r="B4484" s="1">
        <f t="shared" si="256"/>
        <v>4469</v>
      </c>
      <c r="C4484" s="101">
        <f ca="1"/>
        <v>-0.15142332603295169</v>
      </c>
      <c r="D4484" s="101">
        <f t="shared" ca="1" si="253"/>
        <v>0.65465052160893822</v>
      </c>
      <c r="E4484" s="101">
        <f t="shared" ca="1" si="254"/>
        <v>0</v>
      </c>
      <c r="F4484" s="21">
        <f t="shared" ca="1" si="255"/>
        <v>0</v>
      </c>
      <c r="H4484" s="21">
        <v>4469</v>
      </c>
      <c r="I4484" s="102">
        <v>0.66760235854863792</v>
      </c>
      <c r="J4484" s="103">
        <v>1.2972658883703069E-3</v>
      </c>
      <c r="K4484" s="103"/>
      <c r="L4484" s="103">
        <v>3.8600000000000002E-2</v>
      </c>
      <c r="O4484" s="100"/>
    </row>
    <row r="4485" spans="2:15" x14ac:dyDescent="0.2">
      <c r="B4485" s="1">
        <f t="shared" si="256"/>
        <v>4470</v>
      </c>
      <c r="C4485" s="101">
        <f ca="1"/>
        <v>0.36961270340522462</v>
      </c>
      <c r="D4485" s="101">
        <f t="shared" ca="1" si="253"/>
        <v>0.68917637360255191</v>
      </c>
      <c r="E4485" s="101">
        <f t="shared" ca="1" si="254"/>
        <v>0</v>
      </c>
      <c r="F4485" s="21">
        <f t="shared" ca="1" si="255"/>
        <v>0</v>
      </c>
      <c r="H4485" s="21">
        <v>4470</v>
      </c>
      <c r="I4485" s="102">
        <v>0.66766905411604494</v>
      </c>
      <c r="J4485" s="103">
        <v>1.4498675495405169E-3</v>
      </c>
      <c r="K4485" s="103"/>
      <c r="L4485" s="103">
        <v>4.3799999999999999E-2</v>
      </c>
      <c r="O4485" s="100"/>
    </row>
    <row r="4486" spans="2:15" x14ac:dyDescent="0.2">
      <c r="B4486" s="1">
        <f t="shared" si="256"/>
        <v>4471</v>
      </c>
      <c r="C4486" s="101">
        <f ca="1"/>
        <v>0.48936970107675121</v>
      </c>
      <c r="D4486" s="101">
        <f t="shared" ca="1" si="253"/>
        <v>0.69736588259202081</v>
      </c>
      <c r="E4486" s="101">
        <f t="shared" ca="1" si="254"/>
        <v>0</v>
      </c>
      <c r="F4486" s="21">
        <f t="shared" ca="1" si="255"/>
        <v>0</v>
      </c>
      <c r="H4486" s="21">
        <v>4471</v>
      </c>
      <c r="I4486" s="102">
        <v>0.66766482002739735</v>
      </c>
      <c r="J4486" s="103">
        <v>1.3431612937557058E-3</v>
      </c>
      <c r="K4486" s="103"/>
      <c r="L4486" s="103">
        <v>3.8399999999999997E-2</v>
      </c>
      <c r="O4486" s="100"/>
    </row>
    <row r="4487" spans="2:15" x14ac:dyDescent="0.2">
      <c r="B4487" s="1">
        <f t="shared" si="256"/>
        <v>4472</v>
      </c>
      <c r="C4487" s="101">
        <f ca="1"/>
        <v>-1.1208398787560678</v>
      </c>
      <c r="D4487" s="101">
        <f t="shared" ca="1" si="253"/>
        <v>0.59494978347824157</v>
      </c>
      <c r="E4487" s="101">
        <f t="shared" ca="1" si="254"/>
        <v>0</v>
      </c>
      <c r="F4487" s="21">
        <f t="shared" ca="1" si="255"/>
        <v>0</v>
      </c>
      <c r="H4487" s="21">
        <v>4472</v>
      </c>
      <c r="I4487" s="102">
        <v>0.66763287233518354</v>
      </c>
      <c r="J4487" s="103">
        <v>1.2032906968836652E-3</v>
      </c>
      <c r="K4487" s="103"/>
      <c r="L4487" s="103">
        <v>3.9800000000000002E-2</v>
      </c>
      <c r="O4487" s="100"/>
    </row>
    <row r="4488" spans="2:15" x14ac:dyDescent="0.2">
      <c r="B4488" s="1">
        <f t="shared" si="256"/>
        <v>4473</v>
      </c>
      <c r="C4488" s="101">
        <f ca="1"/>
        <v>-1.1771315316977773</v>
      </c>
      <c r="D4488" s="101">
        <f t="shared" ca="1" si="253"/>
        <v>0.59165537064565532</v>
      </c>
      <c r="E4488" s="101">
        <f t="shared" ca="1" si="254"/>
        <v>0</v>
      </c>
      <c r="F4488" s="21">
        <f t="shared" ca="1" si="255"/>
        <v>0</v>
      </c>
      <c r="H4488" s="21">
        <v>4473</v>
      </c>
      <c r="I4488" s="102">
        <v>0.66781089997400445</v>
      </c>
      <c r="J4488" s="103">
        <v>1.4342096115326441E-3</v>
      </c>
      <c r="K4488" s="103"/>
      <c r="L4488" s="103">
        <v>4.2000000000000003E-2</v>
      </c>
      <c r="O4488" s="100"/>
    </row>
    <row r="4489" spans="2:15" x14ac:dyDescent="0.2">
      <c r="B4489" s="1">
        <f t="shared" si="256"/>
        <v>4474</v>
      </c>
      <c r="C4489" s="101">
        <f ca="1"/>
        <v>1.6916439606038653</v>
      </c>
      <c r="D4489" s="101">
        <f t="shared" ca="1" si="253"/>
        <v>0.7851730497890016</v>
      </c>
      <c r="E4489" s="101">
        <f t="shared" ca="1" si="254"/>
        <v>0</v>
      </c>
      <c r="F4489" s="21">
        <f t="shared" ca="1" si="255"/>
        <v>0</v>
      </c>
      <c r="H4489" s="21">
        <v>4474</v>
      </c>
      <c r="I4489" s="102">
        <v>0.66769861082264492</v>
      </c>
      <c r="J4489" s="103">
        <v>1.3386838395938519E-3</v>
      </c>
      <c r="K4489" s="103"/>
      <c r="L4489" s="103">
        <v>3.7999999999999999E-2</v>
      </c>
      <c r="O4489" s="100"/>
    </row>
    <row r="4490" spans="2:15" x14ac:dyDescent="0.2">
      <c r="B4490" s="1">
        <f t="shared" si="256"/>
        <v>4475</v>
      </c>
      <c r="C4490" s="101">
        <f ca="1"/>
        <v>-1.0178188911926043</v>
      </c>
      <c r="D4490" s="101">
        <f t="shared" ca="1" si="253"/>
        <v>0.60102656282063671</v>
      </c>
      <c r="E4490" s="101">
        <f t="shared" ca="1" si="254"/>
        <v>0</v>
      </c>
      <c r="F4490" s="21">
        <f t="shared" ca="1" si="255"/>
        <v>0</v>
      </c>
      <c r="H4490" s="21">
        <v>4475</v>
      </c>
      <c r="I4490" s="102">
        <v>0.66768958418939073</v>
      </c>
      <c r="J4490" s="103">
        <v>1.3609163527139527E-3</v>
      </c>
      <c r="K4490" s="103"/>
      <c r="L4490" s="103">
        <v>4.3200000000000002E-2</v>
      </c>
      <c r="O4490" s="100"/>
    </row>
    <row r="4491" spans="2:15" x14ac:dyDescent="0.2">
      <c r="B4491" s="1">
        <f t="shared" si="256"/>
        <v>4476</v>
      </c>
      <c r="C4491" s="101">
        <f ca="1"/>
        <v>-0.99789802840987363</v>
      </c>
      <c r="D4491" s="101">
        <f t="shared" ca="1" si="253"/>
        <v>0.60220875336042523</v>
      </c>
      <c r="E4491" s="101">
        <f t="shared" ca="1" si="254"/>
        <v>0</v>
      </c>
      <c r="F4491" s="21">
        <f t="shared" ca="1" si="255"/>
        <v>0</v>
      </c>
      <c r="H4491" s="21">
        <v>4476</v>
      </c>
      <c r="I4491" s="102">
        <v>0.6677820857047585</v>
      </c>
      <c r="J4491" s="103">
        <v>1.38880311692898E-3</v>
      </c>
      <c r="K4491" s="103"/>
      <c r="L4491" s="103">
        <v>4.2799999999999998E-2</v>
      </c>
      <c r="O4491" s="100"/>
    </row>
    <row r="4492" spans="2:15" x14ac:dyDescent="0.2">
      <c r="B4492" s="1">
        <f t="shared" si="256"/>
        <v>4477</v>
      </c>
      <c r="C4492" s="101">
        <f ca="1"/>
        <v>0.794259080886631</v>
      </c>
      <c r="D4492" s="101">
        <f t="shared" ca="1" si="253"/>
        <v>0.71865751196110206</v>
      </c>
      <c r="E4492" s="101">
        <f t="shared" ca="1" si="254"/>
        <v>0</v>
      </c>
      <c r="F4492" s="21">
        <f t="shared" ca="1" si="255"/>
        <v>0</v>
      </c>
      <c r="H4492" s="21">
        <v>4477</v>
      </c>
      <c r="I4492" s="102">
        <v>0.66773644513453279</v>
      </c>
      <c r="J4492" s="103">
        <v>1.5031967746885254E-3</v>
      </c>
      <c r="K4492" s="103"/>
      <c r="L4492" s="103">
        <v>4.5600000000000002E-2</v>
      </c>
      <c r="O4492" s="100"/>
    </row>
    <row r="4493" spans="2:15" x14ac:dyDescent="0.2">
      <c r="B4493" s="1">
        <f t="shared" si="256"/>
        <v>4478</v>
      </c>
      <c r="C4493" s="101">
        <f ca="1"/>
        <v>0.9515642839596179</v>
      </c>
      <c r="D4493" s="101">
        <f t="shared" ca="1" si="253"/>
        <v>0.72989573750193337</v>
      </c>
      <c r="E4493" s="101">
        <f t="shared" ca="1" si="254"/>
        <v>0</v>
      </c>
      <c r="F4493" s="21">
        <f t="shared" ca="1" si="255"/>
        <v>0</v>
      </c>
      <c r="H4493" s="21">
        <v>4478</v>
      </c>
      <c r="I4493" s="102">
        <v>0.66755852347069311</v>
      </c>
      <c r="J4493" s="103">
        <v>1.1119130964826274E-3</v>
      </c>
      <c r="K4493" s="103"/>
      <c r="L4493" s="103">
        <v>3.9399999999999998E-2</v>
      </c>
      <c r="O4493" s="100"/>
    </row>
    <row r="4494" spans="2:15" x14ac:dyDescent="0.2">
      <c r="B4494" s="1">
        <f t="shared" si="256"/>
        <v>4479</v>
      </c>
      <c r="C4494" s="101">
        <f ca="1"/>
        <v>1.1364762126865819</v>
      </c>
      <c r="D4494" s="101">
        <f t="shared" ca="1" si="253"/>
        <v>0.74333116326081672</v>
      </c>
      <c r="E4494" s="101">
        <f t="shared" ca="1" si="254"/>
        <v>0</v>
      </c>
      <c r="F4494" s="21">
        <f t="shared" ca="1" si="255"/>
        <v>0</v>
      </c>
      <c r="H4494" s="21">
        <v>4479</v>
      </c>
      <c r="I4494" s="102">
        <v>0.66777665229366989</v>
      </c>
      <c r="J4494" s="103">
        <v>1.6358039843023303E-3</v>
      </c>
      <c r="K4494" s="103"/>
      <c r="L4494" s="103">
        <v>4.2799999999999998E-2</v>
      </c>
      <c r="O4494" s="100"/>
    </row>
    <row r="4495" spans="2:15" x14ac:dyDescent="0.2">
      <c r="B4495" s="1">
        <f t="shared" si="256"/>
        <v>4480</v>
      </c>
      <c r="C4495" s="101">
        <f ca="1"/>
        <v>-1.1207249073745655</v>
      </c>
      <c r="D4495" s="101">
        <f t="shared" ca="1" si="253"/>
        <v>0.5949565308000504</v>
      </c>
      <c r="E4495" s="101">
        <f t="shared" ca="1" si="254"/>
        <v>0</v>
      </c>
      <c r="F4495" s="21">
        <f t="shared" ca="1" si="255"/>
        <v>0</v>
      </c>
      <c r="H4495" s="21">
        <v>4480</v>
      </c>
      <c r="I4495" s="102">
        <v>0.66767903675298557</v>
      </c>
      <c r="J4495" s="103">
        <v>1.2671412793079323E-3</v>
      </c>
      <c r="K4495" s="103"/>
      <c r="L4495" s="103">
        <v>3.7199999999999997E-2</v>
      </c>
      <c r="O4495" s="100"/>
    </row>
    <row r="4496" spans="2:15" x14ac:dyDescent="0.2">
      <c r="B4496" s="1">
        <f t="shared" si="256"/>
        <v>4481</v>
      </c>
      <c r="C4496" s="101">
        <f ca="1"/>
        <v>-0.56813992077389786</v>
      </c>
      <c r="D4496" s="101">
        <f t="shared" ref="D4496:D4559" ca="1" si="257">S0*EXP((μ-0.5*σ*σ)*T+σ*SQRT(T)*$C4496)</f>
        <v>0.62828636708452423</v>
      </c>
      <c r="E4496" s="101">
        <f t="shared" ref="E4496:E4559" ca="1" si="258">MAX(0,CP*(D4496-K))</f>
        <v>0</v>
      </c>
      <c r="F4496" s="21">
        <f t="shared" ref="F4496:F4559" ca="1" si="259">(CP*(D4496-K)&gt;0)*1</f>
        <v>0</v>
      </c>
      <c r="H4496" s="21">
        <v>4481</v>
      </c>
      <c r="I4496" s="102">
        <v>0.66776572513424293</v>
      </c>
      <c r="J4496" s="103">
        <v>1.3352169972959916E-3</v>
      </c>
      <c r="K4496" s="103"/>
      <c r="L4496" s="103">
        <v>0.04</v>
      </c>
      <c r="O4496" s="100"/>
    </row>
    <row r="4497" spans="2:15" x14ac:dyDescent="0.2">
      <c r="B4497" s="1">
        <f t="shared" si="256"/>
        <v>4482</v>
      </c>
      <c r="C4497" s="101">
        <f ca="1"/>
        <v>-1.1608258185938503</v>
      </c>
      <c r="D4497" s="101">
        <f t="shared" ca="1" si="257"/>
        <v>0.59260776501390533</v>
      </c>
      <c r="E4497" s="101">
        <f t="shared" ca="1" si="258"/>
        <v>0</v>
      </c>
      <c r="F4497" s="21">
        <f t="shared" ca="1" si="259"/>
        <v>0</v>
      </c>
      <c r="H4497" s="21">
        <v>4482</v>
      </c>
      <c r="I4497" s="102">
        <v>0.66779941240826934</v>
      </c>
      <c r="J4497" s="103">
        <v>1.3000747437001421E-3</v>
      </c>
      <c r="K4497" s="103"/>
      <c r="L4497" s="103">
        <v>4.2200000000000001E-2</v>
      </c>
      <c r="O4497" s="100"/>
    </row>
    <row r="4498" spans="2:15" x14ac:dyDescent="0.2">
      <c r="B4498" s="1">
        <f t="shared" si="256"/>
        <v>4483</v>
      </c>
      <c r="C4498" s="101">
        <f ca="1"/>
        <v>-1.4335903331554429</v>
      </c>
      <c r="D4498" s="101">
        <f t="shared" ca="1" si="257"/>
        <v>0.57687573825933403</v>
      </c>
      <c r="E4498" s="101">
        <f t="shared" ca="1" si="258"/>
        <v>0</v>
      </c>
      <c r="F4498" s="21">
        <f t="shared" ca="1" si="259"/>
        <v>0</v>
      </c>
      <c r="H4498" s="21">
        <v>4483</v>
      </c>
      <c r="I4498" s="102">
        <v>0.66785993907099861</v>
      </c>
      <c r="J4498" s="103">
        <v>1.4911847693085379E-3</v>
      </c>
      <c r="K4498" s="103"/>
      <c r="L4498" s="103">
        <v>4.3400000000000001E-2</v>
      </c>
      <c r="O4498" s="100"/>
    </row>
    <row r="4499" spans="2:15" x14ac:dyDescent="0.2">
      <c r="B4499" s="1">
        <f t="shared" si="256"/>
        <v>4484</v>
      </c>
      <c r="C4499" s="101">
        <f ca="1"/>
        <v>-2.2516408232163072</v>
      </c>
      <c r="D4499" s="101">
        <f t="shared" ca="1" si="257"/>
        <v>0.53215420168252692</v>
      </c>
      <c r="E4499" s="101">
        <f t="shared" ca="1" si="258"/>
        <v>0</v>
      </c>
      <c r="F4499" s="21">
        <f t="shared" ca="1" si="259"/>
        <v>0</v>
      </c>
      <c r="H4499" s="21">
        <v>4484</v>
      </c>
      <c r="I4499" s="102">
        <v>0.66778394243996997</v>
      </c>
      <c r="J4499" s="103">
        <v>1.4238830516940925E-3</v>
      </c>
      <c r="K4499" s="103"/>
      <c r="L4499" s="103">
        <v>3.8600000000000002E-2</v>
      </c>
      <c r="O4499" s="100"/>
    </row>
    <row r="4500" spans="2:15" x14ac:dyDescent="0.2">
      <c r="B4500" s="1">
        <f t="shared" si="256"/>
        <v>4485</v>
      </c>
      <c r="C4500" s="101">
        <f ca="1"/>
        <v>-6.7709844913033571E-2</v>
      </c>
      <c r="D4500" s="101">
        <f t="shared" ca="1" si="257"/>
        <v>0.66007875074355205</v>
      </c>
      <c r="E4500" s="101">
        <f t="shared" ca="1" si="258"/>
        <v>0</v>
      </c>
      <c r="F4500" s="21">
        <f t="shared" ca="1" si="259"/>
        <v>0</v>
      </c>
      <c r="H4500" s="21">
        <v>4485</v>
      </c>
      <c r="I4500" s="102">
        <v>0.6677424461044581</v>
      </c>
      <c r="J4500" s="103">
        <v>1.420866974865001E-3</v>
      </c>
      <c r="K4500" s="103"/>
      <c r="L4500" s="103">
        <v>4.2799999999999998E-2</v>
      </c>
      <c r="O4500" s="100"/>
    </row>
    <row r="4501" spans="2:15" x14ac:dyDescent="0.2">
      <c r="B4501" s="1">
        <f t="shared" si="256"/>
        <v>4486</v>
      </c>
      <c r="C4501" s="101">
        <f ca="1"/>
        <v>0.50022114430418363</v>
      </c>
      <c r="D4501" s="101">
        <f t="shared" ca="1" si="257"/>
        <v>0.69811274320204975</v>
      </c>
      <c r="E4501" s="101">
        <f t="shared" ca="1" si="258"/>
        <v>0</v>
      </c>
      <c r="F4501" s="21">
        <f t="shared" ca="1" si="259"/>
        <v>0</v>
      </c>
      <c r="H4501" s="21">
        <v>4486</v>
      </c>
      <c r="I4501" s="102">
        <v>0.66767091346930574</v>
      </c>
      <c r="J4501" s="103">
        <v>1.2064090603756915E-3</v>
      </c>
      <c r="K4501" s="103"/>
      <c r="L4501" s="103">
        <v>3.7199999999999997E-2</v>
      </c>
      <c r="O4501" s="100"/>
    </row>
    <row r="4502" spans="2:15" x14ac:dyDescent="0.2">
      <c r="B4502" s="1">
        <f t="shared" si="256"/>
        <v>4487</v>
      </c>
      <c r="C4502" s="101">
        <f ca="1"/>
        <v>1.3114169547859322</v>
      </c>
      <c r="D4502" s="101">
        <f t="shared" ca="1" si="257"/>
        <v>0.75626968830836483</v>
      </c>
      <c r="E4502" s="101">
        <f t="shared" ca="1" si="258"/>
        <v>0</v>
      </c>
      <c r="F4502" s="21">
        <f t="shared" ca="1" si="259"/>
        <v>0</v>
      </c>
      <c r="H4502" s="21">
        <v>4487</v>
      </c>
      <c r="I4502" s="102">
        <v>0.66782183078937907</v>
      </c>
      <c r="J4502" s="103">
        <v>1.5874686273388181E-3</v>
      </c>
      <c r="K4502" s="103"/>
      <c r="L4502" s="103">
        <v>4.4600000000000001E-2</v>
      </c>
      <c r="O4502" s="100"/>
    </row>
    <row r="4503" spans="2:15" x14ac:dyDescent="0.2">
      <c r="B4503" s="1">
        <f t="shared" si="256"/>
        <v>4488</v>
      </c>
      <c r="C4503" s="101">
        <f ca="1"/>
        <v>-0.33503733076000425</v>
      </c>
      <c r="D4503" s="101">
        <f t="shared" ca="1" si="257"/>
        <v>0.64290026901870934</v>
      </c>
      <c r="E4503" s="101">
        <f t="shared" ca="1" si="258"/>
        <v>0</v>
      </c>
      <c r="F4503" s="21">
        <f t="shared" ca="1" si="259"/>
        <v>0</v>
      </c>
      <c r="H4503" s="21">
        <v>4488</v>
      </c>
      <c r="I4503" s="102">
        <v>0.66775862041785849</v>
      </c>
      <c r="J4503" s="103">
        <v>1.3548638175812032E-3</v>
      </c>
      <c r="K4503" s="103"/>
      <c r="L4503" s="103">
        <v>4.4600000000000001E-2</v>
      </c>
      <c r="O4503" s="100"/>
    </row>
    <row r="4504" spans="2:15" x14ac:dyDescent="0.2">
      <c r="B4504" s="1">
        <f t="shared" si="256"/>
        <v>4489</v>
      </c>
      <c r="C4504" s="101">
        <f ca="1"/>
        <v>-0.43939290447151508</v>
      </c>
      <c r="D4504" s="101">
        <f t="shared" ca="1" si="257"/>
        <v>0.63631634498321621</v>
      </c>
      <c r="E4504" s="101">
        <f t="shared" ca="1" si="258"/>
        <v>0</v>
      </c>
      <c r="F4504" s="21">
        <f t="shared" ca="1" si="259"/>
        <v>0</v>
      </c>
      <c r="H4504" s="21">
        <v>4489</v>
      </c>
      <c r="I4504" s="102">
        <v>0.66773432946097433</v>
      </c>
      <c r="J4504" s="103">
        <v>1.3955752776728925E-3</v>
      </c>
      <c r="K4504" s="103"/>
      <c r="L4504" s="103">
        <v>4.0399999999999998E-2</v>
      </c>
      <c r="O4504" s="100"/>
    </row>
    <row r="4505" spans="2:15" x14ac:dyDescent="0.2">
      <c r="B4505" s="1">
        <f t="shared" si="256"/>
        <v>4490</v>
      </c>
      <c r="C4505" s="101">
        <f ca="1"/>
        <v>-0.22381257496329099</v>
      </c>
      <c r="D4505" s="101">
        <f t="shared" ca="1" si="257"/>
        <v>0.64999259268987397</v>
      </c>
      <c r="E4505" s="101">
        <f t="shared" ca="1" si="258"/>
        <v>0</v>
      </c>
      <c r="F4505" s="21">
        <f t="shared" ca="1" si="259"/>
        <v>0</v>
      </c>
      <c r="H4505" s="21">
        <v>4490</v>
      </c>
      <c r="I4505" s="102">
        <v>0.66775916397838553</v>
      </c>
      <c r="J4505" s="103">
        <v>1.3651226660087842E-3</v>
      </c>
      <c r="K4505" s="103"/>
      <c r="L4505" s="103">
        <v>4.1599999999999998E-2</v>
      </c>
      <c r="O4505" s="100"/>
    </row>
    <row r="4506" spans="2:15" x14ac:dyDescent="0.2">
      <c r="B4506" s="1">
        <f t="shared" si="256"/>
        <v>4491</v>
      </c>
      <c r="C4506" s="101">
        <f ca="1"/>
        <v>-1.1428676280918117</v>
      </c>
      <c r="D4506" s="101">
        <f t="shared" ca="1" si="257"/>
        <v>0.59365845242422044</v>
      </c>
      <c r="E4506" s="101">
        <f t="shared" ca="1" si="258"/>
        <v>0</v>
      </c>
      <c r="F4506" s="21">
        <f t="shared" ca="1" si="259"/>
        <v>0</v>
      </c>
      <c r="H4506" s="21">
        <v>4491</v>
      </c>
      <c r="I4506" s="102">
        <v>0.66780145881017838</v>
      </c>
      <c r="J4506" s="103">
        <v>1.3773616054451291E-3</v>
      </c>
      <c r="K4506" s="103"/>
      <c r="L4506" s="103">
        <v>4.36E-2</v>
      </c>
      <c r="O4506" s="100"/>
    </row>
    <row r="4507" spans="2:15" x14ac:dyDescent="0.2">
      <c r="B4507" s="1">
        <f t="shared" si="256"/>
        <v>4492</v>
      </c>
      <c r="C4507" s="101">
        <f ca="1"/>
        <v>0.13123311089392614</v>
      </c>
      <c r="D4507" s="101">
        <f t="shared" ca="1" si="257"/>
        <v>0.67316006817675811</v>
      </c>
      <c r="E4507" s="101">
        <f t="shared" ca="1" si="258"/>
        <v>0</v>
      </c>
      <c r="F4507" s="21">
        <f t="shared" ca="1" si="259"/>
        <v>0</v>
      </c>
      <c r="H4507" s="21">
        <v>4492</v>
      </c>
      <c r="I4507" s="102">
        <v>0.66763359096392594</v>
      </c>
      <c r="J4507" s="103">
        <v>1.1375556438674688E-3</v>
      </c>
      <c r="K4507" s="103"/>
      <c r="L4507" s="103">
        <v>3.9E-2</v>
      </c>
      <c r="O4507" s="100"/>
    </row>
    <row r="4508" spans="2:15" x14ac:dyDescent="0.2">
      <c r="B4508" s="1">
        <f t="shared" si="256"/>
        <v>4493</v>
      </c>
      <c r="C4508" s="101">
        <f ca="1"/>
        <v>-0.65716961468407276</v>
      </c>
      <c r="D4508" s="101">
        <f t="shared" ca="1" si="257"/>
        <v>0.62279290888627381</v>
      </c>
      <c r="E4508" s="101">
        <f t="shared" ca="1" si="258"/>
        <v>0</v>
      </c>
      <c r="F4508" s="21">
        <f t="shared" ca="1" si="259"/>
        <v>0</v>
      </c>
      <c r="H4508" s="21">
        <v>4493</v>
      </c>
      <c r="I4508" s="102">
        <v>0.66777495661483022</v>
      </c>
      <c r="J4508" s="103">
        <v>1.4956782905896991E-3</v>
      </c>
      <c r="K4508" s="103"/>
      <c r="L4508" s="103">
        <v>4.0800000000000003E-2</v>
      </c>
      <c r="O4508" s="100"/>
    </row>
    <row r="4509" spans="2:15" x14ac:dyDescent="0.2">
      <c r="B4509" s="1">
        <f t="shared" si="256"/>
        <v>4494</v>
      </c>
      <c r="C4509" s="101">
        <f ca="1"/>
        <v>0.8276848472406465</v>
      </c>
      <c r="D4509" s="101">
        <f t="shared" ca="1" si="257"/>
        <v>0.72103095279353269</v>
      </c>
      <c r="E4509" s="101">
        <f t="shared" ca="1" si="258"/>
        <v>0</v>
      </c>
      <c r="F4509" s="21">
        <f t="shared" ca="1" si="259"/>
        <v>0</v>
      </c>
      <c r="H4509" s="21">
        <v>4494</v>
      </c>
      <c r="I4509" s="102">
        <v>0.66755727587622704</v>
      </c>
      <c r="J4509" s="103">
        <v>1.2152008016811902E-3</v>
      </c>
      <c r="K4509" s="103"/>
      <c r="L4509" s="103">
        <v>3.7199999999999997E-2</v>
      </c>
      <c r="O4509" s="100"/>
    </row>
    <row r="4510" spans="2:15" x14ac:dyDescent="0.2">
      <c r="B4510" s="1">
        <f t="shared" si="256"/>
        <v>4495</v>
      </c>
      <c r="C4510" s="101">
        <f ca="1"/>
        <v>-1.2367630647321048</v>
      </c>
      <c r="D4510" s="101">
        <f t="shared" ca="1" si="257"/>
        <v>0.58818539023267047</v>
      </c>
      <c r="E4510" s="101">
        <f t="shared" ca="1" si="258"/>
        <v>0</v>
      </c>
      <c r="F4510" s="21">
        <f t="shared" ca="1" si="259"/>
        <v>0</v>
      </c>
      <c r="H4510" s="21">
        <v>4495</v>
      </c>
      <c r="I4510" s="102">
        <v>0.66791273828718001</v>
      </c>
      <c r="J4510" s="103">
        <v>1.5573028363671795E-3</v>
      </c>
      <c r="K4510" s="103"/>
      <c r="L4510" s="103">
        <v>4.4600000000000001E-2</v>
      </c>
      <c r="O4510" s="100"/>
    </row>
    <row r="4511" spans="2:15" x14ac:dyDescent="0.2">
      <c r="B4511" s="1">
        <f t="shared" si="256"/>
        <v>4496</v>
      </c>
      <c r="C4511" s="101">
        <f ca="1"/>
        <v>-0.72534741908608735</v>
      </c>
      <c r="D4511" s="101">
        <f t="shared" ca="1" si="257"/>
        <v>0.61861858597381503</v>
      </c>
      <c r="E4511" s="101">
        <f t="shared" ca="1" si="258"/>
        <v>0</v>
      </c>
      <c r="F4511" s="21">
        <f t="shared" ca="1" si="259"/>
        <v>0</v>
      </c>
      <c r="H4511" s="21">
        <v>4496</v>
      </c>
      <c r="I4511" s="102">
        <v>0.66774798250929412</v>
      </c>
      <c r="J4511" s="103">
        <v>1.4611650995529266E-3</v>
      </c>
      <c r="K4511" s="103"/>
      <c r="L4511" s="103">
        <v>4.1799999999999997E-2</v>
      </c>
      <c r="O4511" s="100"/>
    </row>
    <row r="4512" spans="2:15" x14ac:dyDescent="0.2">
      <c r="B4512" s="1">
        <f t="shared" si="256"/>
        <v>4497</v>
      </c>
      <c r="C4512" s="101">
        <f ca="1"/>
        <v>0.15941676073396052</v>
      </c>
      <c r="D4512" s="101">
        <f t="shared" ca="1" si="257"/>
        <v>0.67503410580102108</v>
      </c>
      <c r="E4512" s="101">
        <f t="shared" ca="1" si="258"/>
        <v>0</v>
      </c>
      <c r="F4512" s="21">
        <f t="shared" ca="1" si="259"/>
        <v>0</v>
      </c>
      <c r="H4512" s="21">
        <v>4497</v>
      </c>
      <c r="I4512" s="102">
        <v>0.66780670444114443</v>
      </c>
      <c r="J4512" s="103">
        <v>1.4101369182425039E-3</v>
      </c>
      <c r="K4512" s="103"/>
      <c r="L4512" s="103">
        <v>4.5999999999999999E-2</v>
      </c>
      <c r="O4512" s="100"/>
    </row>
    <row r="4513" spans="2:15" x14ac:dyDescent="0.2">
      <c r="B4513" s="1">
        <f t="shared" si="256"/>
        <v>4498</v>
      </c>
      <c r="C4513" s="101">
        <f ca="1"/>
        <v>-0.63469908190304636</v>
      </c>
      <c r="D4513" s="101">
        <f t="shared" ca="1" si="257"/>
        <v>0.62417487479677569</v>
      </c>
      <c r="E4513" s="101">
        <f t="shared" ca="1" si="258"/>
        <v>0</v>
      </c>
      <c r="F4513" s="21">
        <f t="shared" ca="1" si="259"/>
        <v>0</v>
      </c>
      <c r="H4513" s="21">
        <v>4498</v>
      </c>
      <c r="I4513" s="102">
        <v>0.66772013177519707</v>
      </c>
      <c r="J4513" s="103">
        <v>1.3982978460853478E-3</v>
      </c>
      <c r="K4513" s="103"/>
      <c r="L4513" s="103">
        <v>4.2999999999999997E-2</v>
      </c>
      <c r="O4513" s="100"/>
    </row>
    <row r="4514" spans="2:15" x14ac:dyDescent="0.2">
      <c r="B4514" s="1">
        <f t="shared" si="256"/>
        <v>4499</v>
      </c>
      <c r="C4514" s="101">
        <f ca="1"/>
        <v>-0.85755115538351434</v>
      </c>
      <c r="D4514" s="101">
        <f t="shared" ca="1" si="257"/>
        <v>0.61060370812423514</v>
      </c>
      <c r="E4514" s="101">
        <f t="shared" ca="1" si="258"/>
        <v>0</v>
      </c>
      <c r="F4514" s="21">
        <f t="shared" ca="1" si="259"/>
        <v>0</v>
      </c>
      <c r="H4514" s="21">
        <v>4499</v>
      </c>
      <c r="I4514" s="102">
        <v>0.66771729466332774</v>
      </c>
      <c r="J4514" s="103">
        <v>1.2501827833297692E-3</v>
      </c>
      <c r="K4514" s="103"/>
      <c r="L4514" s="103">
        <v>4.0599999999999997E-2</v>
      </c>
      <c r="O4514" s="100"/>
    </row>
    <row r="4515" spans="2:15" x14ac:dyDescent="0.2">
      <c r="B4515" s="1">
        <f t="shared" si="256"/>
        <v>4500</v>
      </c>
      <c r="C4515" s="101">
        <f ca="1"/>
        <v>-1.7566907956612239</v>
      </c>
      <c r="D4515" s="101">
        <f t="shared" ca="1" si="257"/>
        <v>0.55877999512385412</v>
      </c>
      <c r="E4515" s="101">
        <f t="shared" ca="1" si="258"/>
        <v>0</v>
      </c>
      <c r="F4515" s="21">
        <f t="shared" ca="1" si="259"/>
        <v>0</v>
      </c>
      <c r="H4515" s="21">
        <v>4500</v>
      </c>
      <c r="I4515" s="102">
        <v>0.6677948407875921</v>
      </c>
      <c r="J4515" s="103">
        <v>1.4254318871322999E-3</v>
      </c>
      <c r="K4515" s="103"/>
      <c r="L4515" s="103">
        <v>4.3999999999999997E-2</v>
      </c>
      <c r="O4515" s="100"/>
    </row>
    <row r="4516" spans="2:15" x14ac:dyDescent="0.2">
      <c r="B4516" s="1">
        <f t="shared" si="256"/>
        <v>4501</v>
      </c>
      <c r="C4516" s="101">
        <f ca="1"/>
        <v>-0.41693822775914269</v>
      </c>
      <c r="D4516" s="101">
        <f t="shared" ca="1" si="257"/>
        <v>0.63772732170063273</v>
      </c>
      <c r="E4516" s="101">
        <f t="shared" ca="1" si="258"/>
        <v>0</v>
      </c>
      <c r="F4516" s="21">
        <f t="shared" ca="1" si="259"/>
        <v>0</v>
      </c>
      <c r="H4516" s="21">
        <v>4501</v>
      </c>
      <c r="I4516" s="102">
        <v>0.66766654342025822</v>
      </c>
      <c r="J4516" s="103">
        <v>1.2413286309565525E-3</v>
      </c>
      <c r="K4516" s="103"/>
      <c r="L4516" s="103">
        <v>3.8199999999999998E-2</v>
      </c>
      <c r="O4516" s="100"/>
    </row>
    <row r="4517" spans="2:15" x14ac:dyDescent="0.2">
      <c r="B4517" s="1">
        <f t="shared" si="256"/>
        <v>4502</v>
      </c>
      <c r="C4517" s="101">
        <f ca="1"/>
        <v>1.8175887320766593</v>
      </c>
      <c r="D4517" s="101">
        <f t="shared" ca="1" si="257"/>
        <v>0.79498838009144235</v>
      </c>
      <c r="E4517" s="101">
        <f t="shared" ca="1" si="258"/>
        <v>6.7883800914423365E-3</v>
      </c>
      <c r="F4517" s="21">
        <f t="shared" ca="1" si="259"/>
        <v>1</v>
      </c>
      <c r="H4517" s="21">
        <v>4502</v>
      </c>
      <c r="I4517" s="102">
        <v>0.66774522751689402</v>
      </c>
      <c r="J4517" s="103">
        <v>1.3021963568916938E-3</v>
      </c>
      <c r="K4517" s="103"/>
      <c r="L4517" s="103">
        <v>4.24E-2</v>
      </c>
      <c r="O4517" s="100"/>
    </row>
    <row r="4518" spans="2:15" x14ac:dyDescent="0.2">
      <c r="B4518" s="1">
        <f t="shared" si="256"/>
        <v>4503</v>
      </c>
      <c r="C4518" s="101">
        <f ca="1"/>
        <v>-0.51648632196912836</v>
      </c>
      <c r="D4518" s="101">
        <f t="shared" ca="1" si="257"/>
        <v>0.6314957681753397</v>
      </c>
      <c r="E4518" s="101">
        <f t="shared" ca="1" si="258"/>
        <v>0</v>
      </c>
      <c r="F4518" s="21">
        <f t="shared" ca="1" si="259"/>
        <v>0</v>
      </c>
      <c r="H4518" s="21">
        <v>4503</v>
      </c>
      <c r="I4518" s="102">
        <v>0.66783456858402646</v>
      </c>
      <c r="J4518" s="103">
        <v>1.664576498996307E-3</v>
      </c>
      <c r="K4518" s="103"/>
      <c r="L4518" s="103">
        <v>4.3200000000000002E-2</v>
      </c>
      <c r="O4518" s="100"/>
    </row>
    <row r="4519" spans="2:15" x14ac:dyDescent="0.2">
      <c r="B4519" s="1">
        <f t="shared" si="256"/>
        <v>4504</v>
      </c>
      <c r="C4519" s="101">
        <f ca="1"/>
        <v>-0.78521219913521756</v>
      </c>
      <c r="D4519" s="101">
        <f t="shared" ca="1" si="257"/>
        <v>0.61497632046114814</v>
      </c>
      <c r="E4519" s="101">
        <f t="shared" ca="1" si="258"/>
        <v>0</v>
      </c>
      <c r="F4519" s="21">
        <f t="shared" ca="1" si="259"/>
        <v>0</v>
      </c>
      <c r="H4519" s="21">
        <v>4504</v>
      </c>
      <c r="I4519" s="102">
        <v>0.6678137490923941</v>
      </c>
      <c r="J4519" s="103">
        <v>1.4861256244326183E-3</v>
      </c>
      <c r="K4519" s="103"/>
      <c r="L4519" s="103">
        <v>4.3400000000000001E-2</v>
      </c>
      <c r="O4519" s="100"/>
    </row>
    <row r="4520" spans="2:15" x14ac:dyDescent="0.2">
      <c r="B4520" s="1">
        <f t="shared" si="256"/>
        <v>4505</v>
      </c>
      <c r="C4520" s="101">
        <f ca="1"/>
        <v>0.30658558576149619</v>
      </c>
      <c r="D4520" s="101">
        <f t="shared" ca="1" si="257"/>
        <v>0.68490500151216582</v>
      </c>
      <c r="E4520" s="101">
        <f t="shared" ca="1" si="258"/>
        <v>0</v>
      </c>
      <c r="F4520" s="21">
        <f t="shared" ca="1" si="259"/>
        <v>0</v>
      </c>
      <c r="H4520" s="21">
        <v>4505</v>
      </c>
      <c r="I4520" s="102">
        <v>0.66773341666176578</v>
      </c>
      <c r="J4520" s="103">
        <v>1.4073507348227243E-3</v>
      </c>
      <c r="K4520" s="103"/>
      <c r="L4520" s="103">
        <v>4.1200000000000001E-2</v>
      </c>
      <c r="O4520" s="100"/>
    </row>
    <row r="4521" spans="2:15" x14ac:dyDescent="0.2">
      <c r="B4521" s="1">
        <f t="shared" si="256"/>
        <v>4506</v>
      </c>
      <c r="C4521" s="101">
        <f ca="1"/>
        <v>1.5007577349198906</v>
      </c>
      <c r="D4521" s="101">
        <f t="shared" ca="1" si="257"/>
        <v>0.77052713282372309</v>
      </c>
      <c r="E4521" s="101">
        <f t="shared" ca="1" si="258"/>
        <v>0</v>
      </c>
      <c r="F4521" s="21">
        <f t="shared" ca="1" si="259"/>
        <v>0</v>
      </c>
      <c r="H4521" s="21">
        <v>4506</v>
      </c>
      <c r="I4521" s="102">
        <v>0.66775981497122117</v>
      </c>
      <c r="J4521" s="103">
        <v>1.3465490452056843E-3</v>
      </c>
      <c r="K4521" s="103"/>
      <c r="L4521" s="103">
        <v>3.78E-2</v>
      </c>
      <c r="O4521" s="100"/>
    </row>
    <row r="4522" spans="2:15" x14ac:dyDescent="0.2">
      <c r="B4522" s="1">
        <f t="shared" si="256"/>
        <v>4507</v>
      </c>
      <c r="C4522" s="101">
        <f ca="1"/>
        <v>-1.7360226358131432</v>
      </c>
      <c r="D4522" s="101">
        <f t="shared" ca="1" si="257"/>
        <v>0.55992036134028111</v>
      </c>
      <c r="E4522" s="101">
        <f t="shared" ca="1" si="258"/>
        <v>0</v>
      </c>
      <c r="F4522" s="21">
        <f t="shared" ca="1" si="259"/>
        <v>0</v>
      </c>
      <c r="H4522" s="21">
        <v>4507</v>
      </c>
      <c r="I4522" s="102">
        <v>0.667653813751522</v>
      </c>
      <c r="J4522" s="103">
        <v>1.2341696382758788E-3</v>
      </c>
      <c r="K4522" s="103"/>
      <c r="L4522" s="103">
        <v>3.9600000000000003E-2</v>
      </c>
      <c r="O4522" s="100"/>
    </row>
    <row r="4523" spans="2:15" x14ac:dyDescent="0.2">
      <c r="B4523" s="1">
        <f t="shared" si="256"/>
        <v>4508</v>
      </c>
      <c r="C4523" s="101">
        <f ca="1"/>
        <v>1.4129004929484124</v>
      </c>
      <c r="D4523" s="101">
        <f t="shared" ca="1" si="257"/>
        <v>0.7638783233719505</v>
      </c>
      <c r="E4523" s="101">
        <f t="shared" ca="1" si="258"/>
        <v>0</v>
      </c>
      <c r="F4523" s="21">
        <f t="shared" ca="1" si="259"/>
        <v>0</v>
      </c>
      <c r="H4523" s="21">
        <v>4508</v>
      </c>
      <c r="I4523" s="102">
        <v>0.66768874336917206</v>
      </c>
      <c r="J4523" s="103">
        <v>1.3045522160362402E-3</v>
      </c>
      <c r="K4523" s="103"/>
      <c r="L4523" s="103">
        <v>4.1799999999999997E-2</v>
      </c>
      <c r="O4523" s="100"/>
    </row>
    <row r="4524" spans="2:15" x14ac:dyDescent="0.2">
      <c r="B4524" s="1">
        <f t="shared" si="256"/>
        <v>4509</v>
      </c>
      <c r="C4524" s="101">
        <f ca="1"/>
        <v>-1.3257505345867318</v>
      </c>
      <c r="D4524" s="101">
        <f t="shared" ca="1" si="257"/>
        <v>0.58304498564422236</v>
      </c>
      <c r="E4524" s="101">
        <f t="shared" ca="1" si="258"/>
        <v>0</v>
      </c>
      <c r="F4524" s="21">
        <f t="shared" ca="1" si="259"/>
        <v>0</v>
      </c>
      <c r="H4524" s="21">
        <v>4509</v>
      </c>
      <c r="I4524" s="102">
        <v>0.66789725656724175</v>
      </c>
      <c r="J4524" s="103">
        <v>1.4881036737478068E-3</v>
      </c>
      <c r="K4524" s="103"/>
      <c r="L4524" s="103">
        <v>4.6399999999999997E-2</v>
      </c>
      <c r="O4524" s="100"/>
    </row>
    <row r="4525" spans="2:15" x14ac:dyDescent="0.2">
      <c r="B4525" s="1">
        <f t="shared" si="256"/>
        <v>4510</v>
      </c>
      <c r="C4525" s="101">
        <f ca="1"/>
        <v>-0.95011605254085396</v>
      </c>
      <c r="D4525" s="101">
        <f t="shared" ca="1" si="257"/>
        <v>0.60505382984677325</v>
      </c>
      <c r="E4525" s="101">
        <f t="shared" ca="1" si="258"/>
        <v>0</v>
      </c>
      <c r="F4525" s="21">
        <f t="shared" ca="1" si="259"/>
        <v>0</v>
      </c>
      <c r="H4525" s="21">
        <v>4510</v>
      </c>
      <c r="I4525" s="102">
        <v>0.66773568538564243</v>
      </c>
      <c r="J4525" s="103">
        <v>1.3616787382338018E-3</v>
      </c>
      <c r="K4525" s="103"/>
      <c r="L4525" s="103">
        <v>4.1399999999999999E-2</v>
      </c>
      <c r="O4525" s="100"/>
    </row>
    <row r="4526" spans="2:15" x14ac:dyDescent="0.2">
      <c r="B4526" s="1">
        <f t="shared" si="256"/>
        <v>4511</v>
      </c>
      <c r="C4526" s="101">
        <f ca="1"/>
        <v>0.97285291941036323</v>
      </c>
      <c r="D4526" s="101">
        <f t="shared" ca="1" si="257"/>
        <v>0.73143008464502823</v>
      </c>
      <c r="E4526" s="101">
        <f t="shared" ca="1" si="258"/>
        <v>0</v>
      </c>
      <c r="F4526" s="21">
        <f t="shared" ca="1" si="259"/>
        <v>0</v>
      </c>
      <c r="H4526" s="21">
        <v>4511</v>
      </c>
      <c r="I4526" s="102">
        <v>0.66790431331234157</v>
      </c>
      <c r="J4526" s="103">
        <v>1.5116136030468637E-3</v>
      </c>
      <c r="K4526" s="103"/>
      <c r="L4526" s="103">
        <v>4.1399999999999999E-2</v>
      </c>
      <c r="O4526" s="100"/>
    </row>
    <row r="4527" spans="2:15" x14ac:dyDescent="0.2">
      <c r="B4527" s="1">
        <f t="shared" si="256"/>
        <v>4512</v>
      </c>
      <c r="C4527" s="101">
        <f ca="1"/>
        <v>-0.53195696842096196</v>
      </c>
      <c r="D4527" s="101">
        <f t="shared" ca="1" si="257"/>
        <v>0.6305328121115632</v>
      </c>
      <c r="E4527" s="101">
        <f t="shared" ca="1" si="258"/>
        <v>0</v>
      </c>
      <c r="F4527" s="21">
        <f t="shared" ca="1" si="259"/>
        <v>0</v>
      </c>
      <c r="H4527" s="21">
        <v>4512</v>
      </c>
      <c r="I4527" s="102">
        <v>0.66782809423606138</v>
      </c>
      <c r="J4527" s="103">
        <v>1.4041348107061247E-3</v>
      </c>
      <c r="K4527" s="103"/>
      <c r="L4527" s="103">
        <v>4.4999999999999998E-2</v>
      </c>
      <c r="O4527" s="100"/>
    </row>
    <row r="4528" spans="2:15" x14ac:dyDescent="0.2">
      <c r="B4528" s="1">
        <f t="shared" ref="B4528:B4591" si="260">B4527+1</f>
        <v>4513</v>
      </c>
      <c r="C4528" s="101">
        <f ca="1"/>
        <v>-0.18762796575339091</v>
      </c>
      <c r="D4528" s="101">
        <f t="shared" ca="1" si="257"/>
        <v>0.65231675518369958</v>
      </c>
      <c r="E4528" s="101">
        <f t="shared" ca="1" si="258"/>
        <v>0</v>
      </c>
      <c r="F4528" s="21">
        <f t="shared" ca="1" si="259"/>
        <v>0</v>
      </c>
      <c r="H4528" s="21">
        <v>4513</v>
      </c>
      <c r="I4528" s="102">
        <v>0.66757623648471165</v>
      </c>
      <c r="J4528" s="103">
        <v>1.1982365530656847E-3</v>
      </c>
      <c r="K4528" s="103"/>
      <c r="L4528" s="103">
        <v>3.9600000000000003E-2</v>
      </c>
      <c r="O4528" s="100"/>
    </row>
    <row r="4529" spans="2:15" x14ac:dyDescent="0.2">
      <c r="B4529" s="1">
        <f t="shared" si="260"/>
        <v>4514</v>
      </c>
      <c r="C4529" s="101">
        <f ca="1"/>
        <v>-0.6968842173762535</v>
      </c>
      <c r="D4529" s="101">
        <f t="shared" ca="1" si="257"/>
        <v>0.62035788971365358</v>
      </c>
      <c r="E4529" s="101">
        <f t="shared" ca="1" si="258"/>
        <v>0</v>
      </c>
      <c r="F4529" s="21">
        <f t="shared" ca="1" si="259"/>
        <v>0</v>
      </c>
      <c r="H4529" s="21">
        <v>4514</v>
      </c>
      <c r="I4529" s="102">
        <v>0.66777370855670903</v>
      </c>
      <c r="J4529" s="103">
        <v>1.5650771061566284E-3</v>
      </c>
      <c r="K4529" s="103"/>
      <c r="L4529" s="103">
        <v>4.3200000000000002E-2</v>
      </c>
      <c r="O4529" s="100"/>
    </row>
    <row r="4530" spans="2:15" x14ac:dyDescent="0.2">
      <c r="B4530" s="1">
        <f t="shared" si="260"/>
        <v>4515</v>
      </c>
      <c r="C4530" s="101">
        <f ca="1"/>
        <v>-2.2642582442736368</v>
      </c>
      <c r="D4530" s="101">
        <f t="shared" ca="1" si="257"/>
        <v>0.53149229500999606</v>
      </c>
      <c r="E4530" s="101">
        <f t="shared" ca="1" si="258"/>
        <v>0</v>
      </c>
      <c r="F4530" s="21">
        <f t="shared" ca="1" si="259"/>
        <v>0</v>
      </c>
      <c r="H4530" s="21">
        <v>4515</v>
      </c>
      <c r="I4530" s="102">
        <v>0.66777187808681304</v>
      </c>
      <c r="J4530" s="103">
        <v>1.3483077414699243E-3</v>
      </c>
      <c r="K4530" s="103"/>
      <c r="L4530" s="103">
        <v>4.4400000000000002E-2</v>
      </c>
      <c r="O4530" s="100"/>
    </row>
    <row r="4531" spans="2:15" x14ac:dyDescent="0.2">
      <c r="B4531" s="1">
        <f t="shared" si="260"/>
        <v>4516</v>
      </c>
      <c r="C4531" s="101">
        <f ca="1"/>
        <v>-1.0614169526322543</v>
      </c>
      <c r="D4531" s="101">
        <f t="shared" ca="1" si="257"/>
        <v>0.59844735567239815</v>
      </c>
      <c r="E4531" s="101">
        <f t="shared" ca="1" si="258"/>
        <v>0</v>
      </c>
      <c r="F4531" s="21">
        <f t="shared" ca="1" si="259"/>
        <v>0</v>
      </c>
      <c r="H4531" s="21">
        <v>4516</v>
      </c>
      <c r="I4531" s="102">
        <v>0.66767816823207005</v>
      </c>
      <c r="J4531" s="103">
        <v>1.218959993409907E-3</v>
      </c>
      <c r="K4531" s="103"/>
      <c r="L4531" s="103">
        <v>3.8399999999999997E-2</v>
      </c>
      <c r="O4531" s="100"/>
    </row>
    <row r="4532" spans="2:15" x14ac:dyDescent="0.2">
      <c r="B4532" s="1">
        <f t="shared" si="260"/>
        <v>4517</v>
      </c>
      <c r="C4532" s="101">
        <f ca="1"/>
        <v>0.29352076003649219</v>
      </c>
      <c r="D4532" s="101">
        <f t="shared" ca="1" si="257"/>
        <v>0.68402291121535519</v>
      </c>
      <c r="E4532" s="101">
        <f t="shared" ca="1" si="258"/>
        <v>0</v>
      </c>
      <c r="F4532" s="21">
        <f t="shared" ca="1" si="259"/>
        <v>0</v>
      </c>
      <c r="H4532" s="21">
        <v>4517</v>
      </c>
      <c r="I4532" s="102">
        <v>0.66775305940889407</v>
      </c>
      <c r="J4532" s="103">
        <v>1.5109103418359921E-3</v>
      </c>
      <c r="K4532" s="103"/>
      <c r="L4532" s="103">
        <v>4.48E-2</v>
      </c>
      <c r="O4532" s="100"/>
    </row>
    <row r="4533" spans="2:15" x14ac:dyDescent="0.2">
      <c r="B4533" s="1">
        <f t="shared" si="260"/>
        <v>4518</v>
      </c>
      <c r="C4533" s="101">
        <f ca="1"/>
        <v>0.77607627657684453</v>
      </c>
      <c r="D4533" s="101">
        <f t="shared" ca="1" si="257"/>
        <v>0.7173697003897207</v>
      </c>
      <c r="E4533" s="101">
        <f t="shared" ca="1" si="258"/>
        <v>0</v>
      </c>
      <c r="F4533" s="21">
        <f t="shared" ca="1" si="259"/>
        <v>0</v>
      </c>
      <c r="H4533" s="21">
        <v>4518</v>
      </c>
      <c r="I4533" s="102">
        <v>0.6677622410656362</v>
      </c>
      <c r="J4533" s="103">
        <v>1.4335698913510169E-3</v>
      </c>
      <c r="K4533" s="103"/>
      <c r="L4533" s="103">
        <v>4.1399999999999999E-2</v>
      </c>
      <c r="O4533" s="100"/>
    </row>
    <row r="4534" spans="2:15" x14ac:dyDescent="0.2">
      <c r="B4534" s="1">
        <f t="shared" si="260"/>
        <v>4519</v>
      </c>
      <c r="C4534" s="101">
        <f ca="1"/>
        <v>0.28167908159855631</v>
      </c>
      <c r="D4534" s="101">
        <f t="shared" ca="1" si="257"/>
        <v>0.68322438497432869</v>
      </c>
      <c r="E4534" s="101">
        <f t="shared" ca="1" si="258"/>
        <v>0</v>
      </c>
      <c r="F4534" s="21">
        <f t="shared" ca="1" si="259"/>
        <v>0</v>
      </c>
      <c r="H4534" s="21">
        <v>4519</v>
      </c>
      <c r="I4534" s="102">
        <v>0.66765372135572543</v>
      </c>
      <c r="J4534" s="103">
        <v>1.2323972745218277E-3</v>
      </c>
      <c r="K4534" s="103"/>
      <c r="L4534" s="103">
        <v>4.2000000000000003E-2</v>
      </c>
      <c r="O4534" s="100"/>
    </row>
    <row r="4535" spans="2:15" x14ac:dyDescent="0.2">
      <c r="B4535" s="1">
        <f t="shared" si="260"/>
        <v>4520</v>
      </c>
      <c r="C4535" s="101">
        <f ca="1"/>
        <v>-1.4557088051914853</v>
      </c>
      <c r="D4535" s="101">
        <f t="shared" ca="1" si="257"/>
        <v>0.57561848545695016</v>
      </c>
      <c r="E4535" s="101">
        <f t="shared" ca="1" si="258"/>
        <v>0</v>
      </c>
      <c r="F4535" s="21">
        <f t="shared" ca="1" si="259"/>
        <v>0</v>
      </c>
      <c r="H4535" s="21">
        <v>4520</v>
      </c>
      <c r="I4535" s="102">
        <v>0.66792891311005365</v>
      </c>
      <c r="J4535" s="103">
        <v>1.6326619400808787E-3</v>
      </c>
      <c r="K4535" s="103"/>
      <c r="L4535" s="103">
        <v>4.5199999999999997E-2</v>
      </c>
      <c r="O4535" s="100"/>
    </row>
    <row r="4536" spans="2:15" x14ac:dyDescent="0.2">
      <c r="B4536" s="1">
        <f t="shared" si="260"/>
        <v>4521</v>
      </c>
      <c r="C4536" s="101">
        <f ca="1"/>
        <v>-0.56201161958854728</v>
      </c>
      <c r="D4536" s="101">
        <f t="shared" ca="1" si="257"/>
        <v>0.62866628337061492</v>
      </c>
      <c r="E4536" s="101">
        <f t="shared" ca="1" si="258"/>
        <v>0</v>
      </c>
      <c r="F4536" s="21">
        <f t="shared" ca="1" si="259"/>
        <v>0</v>
      </c>
      <c r="H4536" s="21">
        <v>4521</v>
      </c>
      <c r="I4536" s="102">
        <v>0.66770864193743218</v>
      </c>
      <c r="J4536" s="103">
        <v>1.2725872896276957E-3</v>
      </c>
      <c r="K4536" s="103"/>
      <c r="L4536" s="103">
        <v>4.1399999999999999E-2</v>
      </c>
      <c r="O4536" s="100"/>
    </row>
    <row r="4537" spans="2:15" x14ac:dyDescent="0.2">
      <c r="B4537" s="1">
        <f t="shared" si="260"/>
        <v>4522</v>
      </c>
      <c r="C4537" s="101">
        <f ca="1"/>
        <v>1.116852356923673</v>
      </c>
      <c r="D4537" s="101">
        <f t="shared" ca="1" si="257"/>
        <v>0.74189367166238795</v>
      </c>
      <c r="E4537" s="101">
        <f t="shared" ca="1" si="258"/>
        <v>0</v>
      </c>
      <c r="F4537" s="21">
        <f t="shared" ca="1" si="259"/>
        <v>0</v>
      </c>
      <c r="H4537" s="21">
        <v>4522</v>
      </c>
      <c r="I4537" s="102">
        <v>0.66779051198061301</v>
      </c>
      <c r="J4537" s="103">
        <v>1.3362129755789686E-3</v>
      </c>
      <c r="K4537" s="103"/>
      <c r="L4537" s="103">
        <v>4.1599999999999998E-2</v>
      </c>
      <c r="O4537" s="100"/>
    </row>
    <row r="4538" spans="2:15" x14ac:dyDescent="0.2">
      <c r="B4538" s="1">
        <f t="shared" si="260"/>
        <v>4523</v>
      </c>
      <c r="C4538" s="101">
        <f ca="1"/>
        <v>-0.26832832910422172</v>
      </c>
      <c r="D4538" s="101">
        <f t="shared" ca="1" si="257"/>
        <v>0.64714467208039306</v>
      </c>
      <c r="E4538" s="101">
        <f t="shared" ca="1" si="258"/>
        <v>0</v>
      </c>
      <c r="F4538" s="21">
        <f t="shared" ca="1" si="259"/>
        <v>0</v>
      </c>
      <c r="H4538" s="21">
        <v>4523</v>
      </c>
      <c r="I4538" s="102">
        <v>0.66777051013807109</v>
      </c>
      <c r="J4538" s="103">
        <v>1.3293223065494746E-3</v>
      </c>
      <c r="K4538" s="103"/>
      <c r="L4538" s="103">
        <v>4.48E-2</v>
      </c>
      <c r="O4538" s="100"/>
    </row>
    <row r="4539" spans="2:15" x14ac:dyDescent="0.2">
      <c r="B4539" s="1">
        <f t="shared" si="260"/>
        <v>4524</v>
      </c>
      <c r="C4539" s="101">
        <f ca="1"/>
        <v>-1.3441867892776012</v>
      </c>
      <c r="D4539" s="101">
        <f t="shared" ca="1" si="257"/>
        <v>0.58198563721883212</v>
      </c>
      <c r="E4539" s="101">
        <f t="shared" ca="1" si="258"/>
        <v>0</v>
      </c>
      <c r="F4539" s="21">
        <f t="shared" ca="1" si="259"/>
        <v>0</v>
      </c>
      <c r="H4539" s="21">
        <v>4524</v>
      </c>
      <c r="I4539" s="102">
        <v>0.66766823551562215</v>
      </c>
      <c r="J4539" s="103">
        <v>1.1572449524392642E-3</v>
      </c>
      <c r="K4539" s="103"/>
      <c r="L4539" s="103">
        <v>3.8600000000000002E-2</v>
      </c>
      <c r="O4539" s="100"/>
    </row>
    <row r="4540" spans="2:15" x14ac:dyDescent="0.2">
      <c r="B4540" s="1">
        <f t="shared" si="260"/>
        <v>4525</v>
      </c>
      <c r="C4540" s="101">
        <f ca="1"/>
        <v>2.4553952592209933</v>
      </c>
      <c r="D4540" s="101">
        <f t="shared" ca="1" si="257"/>
        <v>0.84661121891561775</v>
      </c>
      <c r="E4540" s="101">
        <f t="shared" ca="1" si="258"/>
        <v>5.8411218915617735E-2</v>
      </c>
      <c r="F4540" s="21">
        <f t="shared" ca="1" si="259"/>
        <v>1</v>
      </c>
      <c r="H4540" s="21">
        <v>4525</v>
      </c>
      <c r="I4540" s="102">
        <v>0.66764647233806451</v>
      </c>
      <c r="J4540" s="103">
        <v>1.2276943327498902E-3</v>
      </c>
      <c r="K4540" s="103"/>
      <c r="L4540" s="103">
        <v>3.9E-2</v>
      </c>
      <c r="O4540" s="100"/>
    </row>
    <row r="4541" spans="2:15" x14ac:dyDescent="0.2">
      <c r="B4541" s="1">
        <f t="shared" si="260"/>
        <v>4526</v>
      </c>
      <c r="C4541" s="101">
        <f ca="1"/>
        <v>0.5231671890282743</v>
      </c>
      <c r="D4541" s="101">
        <f t="shared" ca="1" si="257"/>
        <v>0.69969466092581745</v>
      </c>
      <c r="E4541" s="101">
        <f t="shared" ca="1" si="258"/>
        <v>0</v>
      </c>
      <c r="F4541" s="21">
        <f t="shared" ca="1" si="259"/>
        <v>0</v>
      </c>
      <c r="H4541" s="21">
        <v>4526</v>
      </c>
      <c r="I4541" s="102">
        <v>0.66788535254193604</v>
      </c>
      <c r="J4541" s="103">
        <v>1.5399651927306859E-3</v>
      </c>
      <c r="K4541" s="103"/>
      <c r="L4541" s="103">
        <v>4.82E-2</v>
      </c>
      <c r="O4541" s="100"/>
    </row>
    <row r="4542" spans="2:15" x14ac:dyDescent="0.2">
      <c r="B4542" s="1">
        <f t="shared" si="260"/>
        <v>4527</v>
      </c>
      <c r="C4542" s="101">
        <f ca="1"/>
        <v>1.5294588091818515</v>
      </c>
      <c r="D4542" s="101">
        <f t="shared" ca="1" si="257"/>
        <v>0.77271167232709581</v>
      </c>
      <c r="E4542" s="101">
        <f t="shared" ca="1" si="258"/>
        <v>0</v>
      </c>
      <c r="F4542" s="21">
        <f t="shared" ca="1" si="259"/>
        <v>0</v>
      </c>
      <c r="H4542" s="21">
        <v>4527</v>
      </c>
      <c r="I4542" s="102">
        <v>0.66772469900841402</v>
      </c>
      <c r="J4542" s="103">
        <v>1.4162592354342988E-3</v>
      </c>
      <c r="K4542" s="103"/>
      <c r="L4542" s="103">
        <v>4.2599999999999999E-2</v>
      </c>
      <c r="O4542" s="100"/>
    </row>
    <row r="4543" spans="2:15" x14ac:dyDescent="0.2">
      <c r="B4543" s="1">
        <f t="shared" si="260"/>
        <v>4528</v>
      </c>
      <c r="C4543" s="101">
        <f ca="1"/>
        <v>-2.2216547379881879E-2</v>
      </c>
      <c r="D4543" s="101">
        <f t="shared" ca="1" si="257"/>
        <v>0.66304752302847902</v>
      </c>
      <c r="E4543" s="101">
        <f t="shared" ca="1" si="258"/>
        <v>0</v>
      </c>
      <c r="F4543" s="21">
        <f t="shared" ca="1" si="259"/>
        <v>0</v>
      </c>
      <c r="H4543" s="21">
        <v>4528</v>
      </c>
      <c r="I4543" s="102">
        <v>0.66764494367538407</v>
      </c>
      <c r="J4543" s="103">
        <v>1.2830631462393831E-3</v>
      </c>
      <c r="K4543" s="103"/>
      <c r="L4543" s="103">
        <v>4.2599999999999999E-2</v>
      </c>
      <c r="O4543" s="100"/>
    </row>
    <row r="4544" spans="2:15" x14ac:dyDescent="0.2">
      <c r="B4544" s="1">
        <f t="shared" si="260"/>
        <v>4529</v>
      </c>
      <c r="C4544" s="101">
        <f ca="1"/>
        <v>1.3179543019071573</v>
      </c>
      <c r="D4544" s="101">
        <f t="shared" ca="1" si="257"/>
        <v>0.75675752804881835</v>
      </c>
      <c r="E4544" s="101">
        <f t="shared" ca="1" si="258"/>
        <v>0</v>
      </c>
      <c r="F4544" s="21">
        <f t="shared" ca="1" si="259"/>
        <v>0</v>
      </c>
      <c r="H4544" s="21">
        <v>4529</v>
      </c>
      <c r="I4544" s="102">
        <v>0.66768812210010897</v>
      </c>
      <c r="J4544" s="103">
        <v>1.372397688160261E-3</v>
      </c>
      <c r="K4544" s="103"/>
      <c r="L4544" s="103">
        <v>3.9199999999999999E-2</v>
      </c>
      <c r="O4544" s="100"/>
    </row>
    <row r="4545" spans="2:15" x14ac:dyDescent="0.2">
      <c r="B4545" s="1">
        <f t="shared" si="260"/>
        <v>4530</v>
      </c>
      <c r="C4545" s="101">
        <f ca="1"/>
        <v>-1.0490338512422963</v>
      </c>
      <c r="D4545" s="101">
        <f t="shared" ca="1" si="257"/>
        <v>0.59917879709434307</v>
      </c>
      <c r="E4545" s="101">
        <f t="shared" ca="1" si="258"/>
        <v>0</v>
      </c>
      <c r="F4545" s="21">
        <f t="shared" ca="1" si="259"/>
        <v>0</v>
      </c>
      <c r="H4545" s="21">
        <v>4530</v>
      </c>
      <c r="I4545" s="102">
        <v>0.66777311772340053</v>
      </c>
      <c r="J4545" s="103">
        <v>1.4875676251049821E-3</v>
      </c>
      <c r="K4545" s="103"/>
      <c r="L4545" s="103">
        <v>4.24E-2</v>
      </c>
      <c r="O4545" s="100"/>
    </row>
    <row r="4546" spans="2:15" x14ac:dyDescent="0.2">
      <c r="B4546" s="1">
        <f t="shared" si="260"/>
        <v>4531</v>
      </c>
      <c r="C4546" s="101">
        <f ca="1"/>
        <v>0.48221094505036233</v>
      </c>
      <c r="D4546" s="101">
        <f t="shared" ca="1" si="257"/>
        <v>0.69687361207085585</v>
      </c>
      <c r="E4546" s="101">
        <f t="shared" ca="1" si="258"/>
        <v>0</v>
      </c>
      <c r="F4546" s="21">
        <f t="shared" ca="1" si="259"/>
        <v>0</v>
      </c>
      <c r="H4546" s="21">
        <v>4531</v>
      </c>
      <c r="I4546" s="102">
        <v>0.66783911818730313</v>
      </c>
      <c r="J4546" s="103">
        <v>1.4414805511034324E-3</v>
      </c>
      <c r="K4546" s="103"/>
      <c r="L4546" s="103">
        <v>4.1599999999999998E-2</v>
      </c>
      <c r="O4546" s="100"/>
    </row>
    <row r="4547" spans="2:15" x14ac:dyDescent="0.2">
      <c r="B4547" s="1">
        <f t="shared" si="260"/>
        <v>4532</v>
      </c>
      <c r="C4547" s="101">
        <f ca="1"/>
        <v>-0.68039724822885295</v>
      </c>
      <c r="D4547" s="101">
        <f t="shared" ca="1" si="257"/>
        <v>0.62136759639374595</v>
      </c>
      <c r="E4547" s="101">
        <f t="shared" ca="1" si="258"/>
        <v>0</v>
      </c>
      <c r="F4547" s="21">
        <f t="shared" ca="1" si="259"/>
        <v>0</v>
      </c>
      <c r="H4547" s="21">
        <v>4532</v>
      </c>
      <c r="I4547" s="102">
        <v>0.66763440224229043</v>
      </c>
      <c r="J4547" s="103">
        <v>1.2485027143538279E-3</v>
      </c>
      <c r="K4547" s="103"/>
      <c r="L4547" s="103">
        <v>3.8399999999999997E-2</v>
      </c>
      <c r="O4547" s="100"/>
    </row>
    <row r="4548" spans="2:15" x14ac:dyDescent="0.2">
      <c r="B4548" s="1">
        <f t="shared" si="260"/>
        <v>4533</v>
      </c>
      <c r="C4548" s="101">
        <f ca="1"/>
        <v>0.89405414217112844</v>
      </c>
      <c r="D4548" s="101">
        <f t="shared" ca="1" si="257"/>
        <v>0.72576685143304009</v>
      </c>
      <c r="E4548" s="101">
        <f t="shared" ca="1" si="258"/>
        <v>0</v>
      </c>
      <c r="F4548" s="21">
        <f t="shared" ca="1" si="259"/>
        <v>0</v>
      </c>
      <c r="H4548" s="21">
        <v>4533</v>
      </c>
      <c r="I4548" s="102">
        <v>0.66775144544827814</v>
      </c>
      <c r="J4548" s="103">
        <v>1.3338457854195785E-3</v>
      </c>
      <c r="K4548" s="103"/>
      <c r="L4548" s="103">
        <v>4.0399999999999998E-2</v>
      </c>
      <c r="O4548" s="100"/>
    </row>
    <row r="4549" spans="2:15" x14ac:dyDescent="0.2">
      <c r="B4549" s="1">
        <f t="shared" si="260"/>
        <v>4534</v>
      </c>
      <c r="C4549" s="101">
        <f ca="1"/>
        <v>1.1691325452398036</v>
      </c>
      <c r="D4549" s="101">
        <f t="shared" ca="1" si="257"/>
        <v>0.74572948987846777</v>
      </c>
      <c r="E4549" s="101">
        <f t="shared" ca="1" si="258"/>
        <v>0</v>
      </c>
      <c r="F4549" s="21">
        <f t="shared" ca="1" si="259"/>
        <v>0</v>
      </c>
      <c r="H4549" s="21">
        <v>4534</v>
      </c>
      <c r="I4549" s="102">
        <v>0.66773549457927706</v>
      </c>
      <c r="J4549" s="103">
        <v>1.4251519025369962E-3</v>
      </c>
      <c r="K4549" s="103"/>
      <c r="L4549" s="103">
        <v>4.0800000000000003E-2</v>
      </c>
      <c r="O4549" s="100"/>
    </row>
    <row r="4550" spans="2:15" x14ac:dyDescent="0.2">
      <c r="B4550" s="1">
        <f t="shared" si="260"/>
        <v>4535</v>
      </c>
      <c r="C4550" s="101">
        <f ca="1"/>
        <v>3.4954218863217645E-2</v>
      </c>
      <c r="D4550" s="101">
        <f t="shared" ca="1" si="257"/>
        <v>0.66679727659012034</v>
      </c>
      <c r="E4550" s="101">
        <f t="shared" ca="1" si="258"/>
        <v>0</v>
      </c>
      <c r="F4550" s="21">
        <f t="shared" ca="1" si="259"/>
        <v>0</v>
      </c>
      <c r="H4550" s="21">
        <v>4535</v>
      </c>
      <c r="I4550" s="102">
        <v>0.66774608365280375</v>
      </c>
      <c r="J4550" s="103">
        <v>1.2476159517243635E-3</v>
      </c>
      <c r="K4550" s="103"/>
      <c r="L4550" s="103">
        <v>4.0800000000000003E-2</v>
      </c>
      <c r="O4550" s="100"/>
    </row>
    <row r="4551" spans="2:15" x14ac:dyDescent="0.2">
      <c r="B4551" s="1">
        <f t="shared" si="260"/>
        <v>4536</v>
      </c>
      <c r="C4551" s="101">
        <f ca="1"/>
        <v>-1.2495772568990502</v>
      </c>
      <c r="D4551" s="101">
        <f t="shared" ca="1" si="257"/>
        <v>0.58744238834165963</v>
      </c>
      <c r="E4551" s="101">
        <f t="shared" ca="1" si="258"/>
        <v>0</v>
      </c>
      <c r="F4551" s="21">
        <f t="shared" ca="1" si="259"/>
        <v>0</v>
      </c>
      <c r="H4551" s="21">
        <v>4536</v>
      </c>
      <c r="I4551" s="102">
        <v>0.66757707989120363</v>
      </c>
      <c r="J4551" s="103">
        <v>1.2364212906420611E-3</v>
      </c>
      <c r="K4551" s="103"/>
      <c r="L4551" s="103">
        <v>3.8199999999999998E-2</v>
      </c>
      <c r="O4551" s="100"/>
    </row>
    <row r="4552" spans="2:15" x14ac:dyDescent="0.2">
      <c r="B4552" s="1">
        <f t="shared" si="260"/>
        <v>4537</v>
      </c>
      <c r="C4552" s="101">
        <f ca="1"/>
        <v>1.2003654560365449</v>
      </c>
      <c r="D4552" s="101">
        <f t="shared" ca="1" si="257"/>
        <v>0.74803051759645611</v>
      </c>
      <c r="E4552" s="101">
        <f t="shared" ca="1" si="258"/>
        <v>0</v>
      </c>
      <c r="F4552" s="21">
        <f t="shared" ca="1" si="259"/>
        <v>0</v>
      </c>
      <c r="H4552" s="21">
        <v>4537</v>
      </c>
      <c r="I4552" s="102">
        <v>0.66780505393999035</v>
      </c>
      <c r="J4552" s="103">
        <v>1.3030928103867996E-3</v>
      </c>
      <c r="K4552" s="103"/>
      <c r="L4552" s="103">
        <v>4.1000000000000002E-2</v>
      </c>
      <c r="O4552" s="100"/>
    </row>
    <row r="4553" spans="2:15" x14ac:dyDescent="0.2">
      <c r="B4553" s="1">
        <f t="shared" si="260"/>
        <v>4538</v>
      </c>
      <c r="C4553" s="101">
        <f ca="1"/>
        <v>-0.20519271150122986</v>
      </c>
      <c r="D4553" s="101">
        <f t="shared" ca="1" si="257"/>
        <v>0.6511875233177864</v>
      </c>
      <c r="E4553" s="101">
        <f t="shared" ca="1" si="258"/>
        <v>0</v>
      </c>
      <c r="F4553" s="21">
        <f t="shared" ca="1" si="259"/>
        <v>0</v>
      </c>
      <c r="H4553" s="21">
        <v>4538</v>
      </c>
      <c r="I4553" s="102">
        <v>0.6677390558600157</v>
      </c>
      <c r="J4553" s="103">
        <v>1.303908995713927E-3</v>
      </c>
      <c r="K4553" s="103"/>
      <c r="L4553" s="103">
        <v>4.2599999999999999E-2</v>
      </c>
      <c r="O4553" s="100"/>
    </row>
    <row r="4554" spans="2:15" x14ac:dyDescent="0.2">
      <c r="B4554" s="1">
        <f t="shared" si="260"/>
        <v>4539</v>
      </c>
      <c r="C4554" s="101">
        <f ca="1"/>
        <v>8.3553423705726118E-2</v>
      </c>
      <c r="D4554" s="101">
        <f t="shared" ca="1" si="257"/>
        <v>0.67000150360374489</v>
      </c>
      <c r="E4554" s="101">
        <f t="shared" ca="1" si="258"/>
        <v>0</v>
      </c>
      <c r="F4554" s="21">
        <f t="shared" ca="1" si="259"/>
        <v>0</v>
      </c>
      <c r="H4554" s="21">
        <v>4539</v>
      </c>
      <c r="I4554" s="102">
        <v>0.6678302032314607</v>
      </c>
      <c r="J4554" s="103">
        <v>1.4009973257464382E-3</v>
      </c>
      <c r="K4554" s="103"/>
      <c r="L4554" s="103">
        <v>4.7E-2</v>
      </c>
      <c r="O4554" s="100"/>
    </row>
    <row r="4555" spans="2:15" x14ac:dyDescent="0.2">
      <c r="B4555" s="1">
        <f t="shared" si="260"/>
        <v>4540</v>
      </c>
      <c r="C4555" s="101">
        <f ca="1"/>
        <v>-0.51986123810102569</v>
      </c>
      <c r="D4555" s="101">
        <f t="shared" ca="1" si="257"/>
        <v>0.63128557430719223</v>
      </c>
      <c r="E4555" s="101">
        <f t="shared" ca="1" si="258"/>
        <v>0</v>
      </c>
      <c r="F4555" s="21">
        <f t="shared" ca="1" si="259"/>
        <v>0</v>
      </c>
      <c r="H4555" s="21">
        <v>4540</v>
      </c>
      <c r="I4555" s="102">
        <v>0.66773147599170646</v>
      </c>
      <c r="J4555" s="103">
        <v>1.2209462357973373E-3</v>
      </c>
      <c r="K4555" s="103"/>
      <c r="L4555" s="103">
        <v>0.04</v>
      </c>
      <c r="O4555" s="100"/>
    </row>
    <row r="4556" spans="2:15" x14ac:dyDescent="0.2">
      <c r="B4556" s="1">
        <f t="shared" si="260"/>
        <v>4541</v>
      </c>
      <c r="C4556" s="101">
        <f ca="1"/>
        <v>0.57347219514679626</v>
      </c>
      <c r="D4556" s="101">
        <f t="shared" ca="1" si="257"/>
        <v>0.70317528107617122</v>
      </c>
      <c r="E4556" s="101">
        <f t="shared" ca="1" si="258"/>
        <v>0</v>
      </c>
      <c r="F4556" s="21">
        <f t="shared" ca="1" si="259"/>
        <v>0</v>
      </c>
      <c r="H4556" s="21">
        <v>4541</v>
      </c>
      <c r="I4556" s="102">
        <v>0.66777623434739375</v>
      </c>
      <c r="J4556" s="103">
        <v>1.4415082025868086E-3</v>
      </c>
      <c r="K4556" s="103"/>
      <c r="L4556" s="103">
        <v>4.0399999999999998E-2</v>
      </c>
      <c r="O4556" s="100"/>
    </row>
    <row r="4557" spans="2:15" x14ac:dyDescent="0.2">
      <c r="B4557" s="1">
        <f t="shared" si="260"/>
        <v>4542</v>
      </c>
      <c r="C4557" s="101">
        <f ca="1"/>
        <v>-2.8046381588049827</v>
      </c>
      <c r="D4557" s="101">
        <f t="shared" ca="1" si="257"/>
        <v>0.50390356465912589</v>
      </c>
      <c r="E4557" s="101">
        <f t="shared" ca="1" si="258"/>
        <v>0</v>
      </c>
      <c r="F4557" s="21">
        <f t="shared" ca="1" si="259"/>
        <v>0</v>
      </c>
      <c r="H4557" s="21">
        <v>4542</v>
      </c>
      <c r="I4557" s="102">
        <v>0.66759703139930737</v>
      </c>
      <c r="J4557" s="103">
        <v>1.2609808063817683E-3</v>
      </c>
      <c r="K4557" s="103"/>
      <c r="L4557" s="103">
        <v>3.8600000000000002E-2</v>
      </c>
      <c r="O4557" s="100"/>
    </row>
    <row r="4558" spans="2:15" x14ac:dyDescent="0.2">
      <c r="B4558" s="1">
        <f t="shared" si="260"/>
        <v>4543</v>
      </c>
      <c r="C4558" s="101">
        <f ca="1"/>
        <v>-0.41310306459342272</v>
      </c>
      <c r="D4558" s="101">
        <f t="shared" ca="1" si="257"/>
        <v>0.6379686231444015</v>
      </c>
      <c r="E4558" s="101">
        <f t="shared" ca="1" si="258"/>
        <v>0</v>
      </c>
      <c r="F4558" s="21">
        <f t="shared" ca="1" si="259"/>
        <v>0</v>
      </c>
      <c r="H4558" s="21">
        <v>4543</v>
      </c>
      <c r="I4558" s="102">
        <v>0.66778029008922757</v>
      </c>
      <c r="J4558" s="103">
        <v>1.4105177276205498E-3</v>
      </c>
      <c r="K4558" s="103"/>
      <c r="L4558" s="103">
        <v>4.3400000000000001E-2</v>
      </c>
      <c r="O4558" s="100"/>
    </row>
    <row r="4559" spans="2:15" x14ac:dyDescent="0.2">
      <c r="B4559" s="1">
        <f t="shared" si="260"/>
        <v>4544</v>
      </c>
      <c r="C4559" s="101">
        <f ca="1"/>
        <v>-6.6119604234179521E-2</v>
      </c>
      <c r="D4559" s="101">
        <f t="shared" ca="1" si="257"/>
        <v>0.66018230109432618</v>
      </c>
      <c r="E4559" s="101">
        <f t="shared" ca="1" si="258"/>
        <v>0</v>
      </c>
      <c r="F4559" s="21">
        <f t="shared" ca="1" si="259"/>
        <v>0</v>
      </c>
      <c r="H4559" s="21">
        <v>4544</v>
      </c>
      <c r="I4559" s="102">
        <v>0.6677348148770047</v>
      </c>
      <c r="J4559" s="103">
        <v>1.4989889739879002E-3</v>
      </c>
      <c r="K4559" s="103"/>
      <c r="L4559" s="103">
        <v>4.3799999999999999E-2</v>
      </c>
      <c r="O4559" s="100"/>
    </row>
    <row r="4560" spans="2:15" x14ac:dyDescent="0.2">
      <c r="B4560" s="1">
        <f t="shared" si="260"/>
        <v>4545</v>
      </c>
      <c r="C4560" s="101">
        <f ca="1"/>
        <v>-1.4792987544673608</v>
      </c>
      <c r="D4560" s="101">
        <f t="shared" ref="D4560:D4623" ca="1" si="261">S0*EXP((μ-0.5*σ*σ)*T+σ*SQRT(T)*$C4560)</f>
        <v>0.57428061073336489</v>
      </c>
      <c r="E4560" s="101">
        <f t="shared" ref="E4560:E4623" ca="1" si="262">MAX(0,CP*(D4560-K))</f>
        <v>0</v>
      </c>
      <c r="F4560" s="21">
        <f t="shared" ref="F4560:F4623" ca="1" si="263">(CP*(D4560-K)&gt;0)*1</f>
        <v>0</v>
      </c>
      <c r="H4560" s="21">
        <v>4545</v>
      </c>
      <c r="I4560" s="102">
        <v>0.66765104895347571</v>
      </c>
      <c r="J4560" s="103">
        <v>1.260121361518805E-3</v>
      </c>
      <c r="K4560" s="103"/>
      <c r="L4560" s="103">
        <v>3.8800000000000001E-2</v>
      </c>
      <c r="O4560" s="100"/>
    </row>
    <row r="4561" spans="2:15" x14ac:dyDescent="0.2">
      <c r="B4561" s="1">
        <f t="shared" si="260"/>
        <v>4546</v>
      </c>
      <c r="C4561" s="101">
        <f ca="1"/>
        <v>-1.3203699464120191E-2</v>
      </c>
      <c r="D4561" s="101">
        <f t="shared" ca="1" si="261"/>
        <v>0.66363726042357107</v>
      </c>
      <c r="E4561" s="101">
        <f t="shared" ca="1" si="262"/>
        <v>0</v>
      </c>
      <c r="F4561" s="21">
        <f t="shared" ca="1" si="263"/>
        <v>0</v>
      </c>
      <c r="H4561" s="21">
        <v>4546</v>
      </c>
      <c r="I4561" s="102">
        <v>0.66772978959685936</v>
      </c>
      <c r="J4561" s="103">
        <v>1.2266090110450286E-3</v>
      </c>
      <c r="K4561" s="103"/>
      <c r="L4561" s="103">
        <v>4.2599999999999999E-2</v>
      </c>
      <c r="O4561" s="100"/>
    </row>
    <row r="4562" spans="2:15" x14ac:dyDescent="0.2">
      <c r="B4562" s="1">
        <f t="shared" si="260"/>
        <v>4547</v>
      </c>
      <c r="C4562" s="101">
        <f ca="1"/>
        <v>-1.1126279574209037</v>
      </c>
      <c r="D4562" s="101">
        <f t="shared" ca="1" si="261"/>
        <v>0.59543190875439145</v>
      </c>
      <c r="E4562" s="101">
        <f t="shared" ca="1" si="262"/>
        <v>0</v>
      </c>
      <c r="F4562" s="21">
        <f t="shared" ca="1" si="263"/>
        <v>0</v>
      </c>
      <c r="H4562" s="21">
        <v>4547</v>
      </c>
      <c r="I4562" s="102">
        <v>0.66787358925994189</v>
      </c>
      <c r="J4562" s="103">
        <v>1.5935978924375134E-3</v>
      </c>
      <c r="K4562" s="103"/>
      <c r="L4562" s="103">
        <v>4.6600000000000003E-2</v>
      </c>
      <c r="O4562" s="100"/>
    </row>
    <row r="4563" spans="2:15" x14ac:dyDescent="0.2">
      <c r="B4563" s="1">
        <f t="shared" si="260"/>
        <v>4548</v>
      </c>
      <c r="C4563" s="101">
        <f ca="1"/>
        <v>0.37469648252414084</v>
      </c>
      <c r="D4563" s="101">
        <f t="shared" ca="1" si="261"/>
        <v>0.68952206203851751</v>
      </c>
      <c r="E4563" s="101">
        <f t="shared" ca="1" si="262"/>
        <v>0</v>
      </c>
      <c r="F4563" s="21">
        <f t="shared" ca="1" si="263"/>
        <v>0</v>
      </c>
      <c r="H4563" s="21">
        <v>4548</v>
      </c>
      <c r="I4563" s="102">
        <v>0.66775476452605897</v>
      </c>
      <c r="J4563" s="103">
        <v>1.4136084763634986E-3</v>
      </c>
      <c r="K4563" s="103"/>
      <c r="L4563" s="103">
        <v>4.3400000000000001E-2</v>
      </c>
      <c r="O4563" s="100"/>
    </row>
    <row r="4564" spans="2:15" x14ac:dyDescent="0.2">
      <c r="B4564" s="1">
        <f t="shared" si="260"/>
        <v>4549</v>
      </c>
      <c r="C4564" s="101">
        <f ca="1"/>
        <v>0.35043517837421601</v>
      </c>
      <c r="D4564" s="101">
        <f t="shared" ca="1" si="261"/>
        <v>0.68787389340989769</v>
      </c>
      <c r="E4564" s="101">
        <f t="shared" ca="1" si="262"/>
        <v>0</v>
      </c>
      <c r="F4564" s="21">
        <f t="shared" ca="1" si="263"/>
        <v>0</v>
      </c>
      <c r="H4564" s="21">
        <v>4549</v>
      </c>
      <c r="I4564" s="102">
        <v>0.66793260965760071</v>
      </c>
      <c r="J4564" s="103">
        <v>1.5583693044184752E-3</v>
      </c>
      <c r="K4564" s="103"/>
      <c r="L4564" s="103">
        <v>4.36E-2</v>
      </c>
      <c r="O4564" s="100"/>
    </row>
    <row r="4565" spans="2:15" x14ac:dyDescent="0.2">
      <c r="B4565" s="1">
        <f t="shared" si="260"/>
        <v>4550</v>
      </c>
      <c r="C4565" s="101">
        <f ca="1"/>
        <v>9.618688441230179E-2</v>
      </c>
      <c r="D4565" s="101">
        <f t="shared" ca="1" si="261"/>
        <v>0.67083696741886922</v>
      </c>
      <c r="E4565" s="101">
        <f t="shared" ca="1" si="262"/>
        <v>0</v>
      </c>
      <c r="F4565" s="21">
        <f t="shared" ca="1" si="263"/>
        <v>0</v>
      </c>
      <c r="H4565" s="21">
        <v>4550</v>
      </c>
      <c r="I4565" s="102">
        <v>0.66765691123956872</v>
      </c>
      <c r="J4565" s="103">
        <v>1.3093606723091123E-3</v>
      </c>
      <c r="K4565" s="103"/>
      <c r="L4565" s="103">
        <v>4.1399999999999999E-2</v>
      </c>
      <c r="O4565" s="100"/>
    </row>
    <row r="4566" spans="2:15" x14ac:dyDescent="0.2">
      <c r="B4566" s="1">
        <f t="shared" si="260"/>
        <v>4551</v>
      </c>
      <c r="C4566" s="101">
        <f ca="1"/>
        <v>-0.31176921284114845</v>
      </c>
      <c r="D4566" s="101">
        <f t="shared" ca="1" si="261"/>
        <v>0.64437754710444062</v>
      </c>
      <c r="E4566" s="101">
        <f t="shared" ca="1" si="262"/>
        <v>0</v>
      </c>
      <c r="F4566" s="21">
        <f t="shared" ca="1" si="263"/>
        <v>0</v>
      </c>
      <c r="H4566" s="21">
        <v>4551</v>
      </c>
      <c r="I4566" s="102">
        <v>0.66772639184555949</v>
      </c>
      <c r="J4566" s="103">
        <v>1.3694368184837462E-3</v>
      </c>
      <c r="K4566" s="103"/>
      <c r="L4566" s="103">
        <v>4.3200000000000002E-2</v>
      </c>
      <c r="O4566" s="100"/>
    </row>
    <row r="4567" spans="2:15" x14ac:dyDescent="0.2">
      <c r="B4567" s="1">
        <f t="shared" si="260"/>
        <v>4552</v>
      </c>
      <c r="C4567" s="101">
        <f ca="1"/>
        <v>0.66236186007077325</v>
      </c>
      <c r="D4567" s="101">
        <f t="shared" ca="1" si="261"/>
        <v>0.70936796830206095</v>
      </c>
      <c r="E4567" s="101">
        <f t="shared" ca="1" si="262"/>
        <v>0</v>
      </c>
      <c r="F4567" s="21">
        <f t="shared" ca="1" si="263"/>
        <v>0</v>
      </c>
      <c r="H4567" s="21">
        <v>4552</v>
      </c>
      <c r="I4567" s="102">
        <v>0.66767062771526764</v>
      </c>
      <c r="J4567" s="103">
        <v>1.2780975857625621E-3</v>
      </c>
      <c r="K4567" s="103"/>
      <c r="L4567" s="103">
        <v>3.78E-2</v>
      </c>
      <c r="O4567" s="100"/>
    </row>
    <row r="4568" spans="2:15" x14ac:dyDescent="0.2">
      <c r="B4568" s="1">
        <f t="shared" si="260"/>
        <v>4553</v>
      </c>
      <c r="C4568" s="101">
        <f ca="1"/>
        <v>-0.9277082794370467</v>
      </c>
      <c r="D4568" s="101">
        <f t="shared" ca="1" si="261"/>
        <v>0.60639267906456606</v>
      </c>
      <c r="E4568" s="101">
        <f t="shared" ca="1" si="262"/>
        <v>0</v>
      </c>
      <c r="F4568" s="21">
        <f t="shared" ca="1" si="263"/>
        <v>0</v>
      </c>
      <c r="H4568" s="21">
        <v>4553</v>
      </c>
      <c r="I4568" s="102">
        <v>0.66774325311938887</v>
      </c>
      <c r="J4568" s="103">
        <v>1.3150083438474623E-3</v>
      </c>
      <c r="K4568" s="103"/>
      <c r="L4568" s="103">
        <v>4.1599999999999998E-2</v>
      </c>
      <c r="O4568" s="100"/>
    </row>
    <row r="4569" spans="2:15" x14ac:dyDescent="0.2">
      <c r="B4569" s="1">
        <f t="shared" si="260"/>
        <v>4554</v>
      </c>
      <c r="C4569" s="101">
        <f ca="1"/>
        <v>-0.98827333162405917</v>
      </c>
      <c r="D4569" s="101">
        <f t="shared" ca="1" si="261"/>
        <v>0.60278075753107652</v>
      </c>
      <c r="E4569" s="101">
        <f t="shared" ca="1" si="262"/>
        <v>0</v>
      </c>
      <c r="F4569" s="21">
        <f t="shared" ca="1" si="263"/>
        <v>0</v>
      </c>
      <c r="H4569" s="21">
        <v>4554</v>
      </c>
      <c r="I4569" s="102">
        <v>0.66782475866853175</v>
      </c>
      <c r="J4569" s="103">
        <v>1.4160125259582556E-3</v>
      </c>
      <c r="K4569" s="103"/>
      <c r="L4569" s="103">
        <v>4.3999999999999997E-2</v>
      </c>
      <c r="O4569" s="100"/>
    </row>
    <row r="4570" spans="2:15" x14ac:dyDescent="0.2">
      <c r="B4570" s="1">
        <f t="shared" si="260"/>
        <v>4555</v>
      </c>
      <c r="C4570" s="101">
        <f ca="1"/>
        <v>-0.45387300487446286</v>
      </c>
      <c r="D4570" s="101">
        <f t="shared" ca="1" si="261"/>
        <v>0.63540812002851843</v>
      </c>
      <c r="E4570" s="101">
        <f t="shared" ca="1" si="262"/>
        <v>0</v>
      </c>
      <c r="F4570" s="21">
        <f t="shared" ca="1" si="263"/>
        <v>0</v>
      </c>
      <c r="H4570" s="21">
        <v>4555</v>
      </c>
      <c r="I4570" s="102">
        <v>0.66779357488975655</v>
      </c>
      <c r="J4570" s="103">
        <v>1.4670028294551281E-3</v>
      </c>
      <c r="K4570" s="103"/>
      <c r="L4570" s="103">
        <v>4.4999999999999998E-2</v>
      </c>
      <c r="O4570" s="100"/>
    </row>
    <row r="4571" spans="2:15" x14ac:dyDescent="0.2">
      <c r="B4571" s="1">
        <f t="shared" si="260"/>
        <v>4556</v>
      </c>
      <c r="C4571" s="101">
        <f ca="1"/>
        <v>0.63017663128308399</v>
      </c>
      <c r="D4571" s="101">
        <f t="shared" ca="1" si="261"/>
        <v>0.70711944258071269</v>
      </c>
      <c r="E4571" s="101">
        <f t="shared" ca="1" si="262"/>
        <v>0</v>
      </c>
      <c r="F4571" s="21">
        <f t="shared" ca="1" si="263"/>
        <v>0</v>
      </c>
      <c r="H4571" s="21">
        <v>4556</v>
      </c>
      <c r="I4571" s="102">
        <v>0.66791146267796353</v>
      </c>
      <c r="J4571" s="103">
        <v>1.6060581867246408E-3</v>
      </c>
      <c r="K4571" s="103"/>
      <c r="L4571" s="103">
        <v>4.7399999999999998E-2</v>
      </c>
      <c r="O4571" s="100"/>
    </row>
    <row r="4572" spans="2:15" x14ac:dyDescent="0.2">
      <c r="B4572" s="1">
        <f t="shared" si="260"/>
        <v>4557</v>
      </c>
      <c r="C4572" s="101">
        <f ca="1"/>
        <v>1.3409415476158563E-2</v>
      </c>
      <c r="D4572" s="101">
        <f t="shared" ca="1" si="261"/>
        <v>0.66538169843566553</v>
      </c>
      <c r="E4572" s="101">
        <f t="shared" ca="1" si="262"/>
        <v>0</v>
      </c>
      <c r="F4572" s="21">
        <f t="shared" ca="1" si="263"/>
        <v>0</v>
      </c>
      <c r="H4572" s="21">
        <v>4557</v>
      </c>
      <c r="I4572" s="102">
        <v>0.66784961135062826</v>
      </c>
      <c r="J4572" s="103">
        <v>1.3696935736182984E-3</v>
      </c>
      <c r="K4572" s="103"/>
      <c r="L4572" s="103">
        <v>4.3799999999999999E-2</v>
      </c>
      <c r="O4572" s="100"/>
    </row>
    <row r="4573" spans="2:15" x14ac:dyDescent="0.2">
      <c r="B4573" s="1">
        <f t="shared" si="260"/>
        <v>4558</v>
      </c>
      <c r="C4573" s="101">
        <f ca="1"/>
        <v>1.3568496559601257</v>
      </c>
      <c r="D4573" s="101">
        <f t="shared" ca="1" si="261"/>
        <v>0.75966654848709569</v>
      </c>
      <c r="E4573" s="101">
        <f t="shared" ca="1" si="262"/>
        <v>0</v>
      </c>
      <c r="F4573" s="21">
        <f t="shared" ca="1" si="263"/>
        <v>0</v>
      </c>
      <c r="H4573" s="21">
        <v>4558</v>
      </c>
      <c r="I4573" s="102">
        <v>0.66787591063847929</v>
      </c>
      <c r="J4573" s="103">
        <v>1.6719138539460115E-3</v>
      </c>
      <c r="K4573" s="103"/>
      <c r="L4573" s="103">
        <v>4.4200000000000003E-2</v>
      </c>
      <c r="O4573" s="100"/>
    </row>
    <row r="4574" spans="2:15" x14ac:dyDescent="0.2">
      <c r="B4574" s="1">
        <f t="shared" si="260"/>
        <v>4559</v>
      </c>
      <c r="C4574" s="101">
        <f ca="1"/>
        <v>-0.88603210696366352</v>
      </c>
      <c r="D4574" s="101">
        <f t="shared" ca="1" si="261"/>
        <v>0.6088906861929414</v>
      </c>
      <c r="E4574" s="101">
        <f t="shared" ca="1" si="262"/>
        <v>0</v>
      </c>
      <c r="F4574" s="21">
        <f t="shared" ca="1" si="263"/>
        <v>0</v>
      </c>
      <c r="H4574" s="21">
        <v>4559</v>
      </c>
      <c r="I4574" s="102">
        <v>0.66760727306794532</v>
      </c>
      <c r="J4574" s="103">
        <v>1.2650772601747573E-3</v>
      </c>
      <c r="K4574" s="103"/>
      <c r="L4574" s="103">
        <v>3.8199999999999998E-2</v>
      </c>
      <c r="O4574" s="100"/>
    </row>
    <row r="4575" spans="2:15" x14ac:dyDescent="0.2">
      <c r="B4575" s="1">
        <f t="shared" si="260"/>
        <v>4560</v>
      </c>
      <c r="C4575" s="101">
        <f ca="1"/>
        <v>-0.28597793459318638</v>
      </c>
      <c r="D4575" s="101">
        <f t="shared" ca="1" si="261"/>
        <v>0.64601898601859853</v>
      </c>
      <c r="E4575" s="101">
        <f t="shared" ca="1" si="262"/>
        <v>0</v>
      </c>
      <c r="F4575" s="21">
        <f t="shared" ca="1" si="263"/>
        <v>0</v>
      </c>
      <c r="H4575" s="21">
        <v>4560</v>
      </c>
      <c r="I4575" s="102">
        <v>0.66791870638236261</v>
      </c>
      <c r="J4575" s="103">
        <v>1.544840650561002E-3</v>
      </c>
      <c r="K4575" s="103"/>
      <c r="L4575" s="103">
        <v>4.6199999999999998E-2</v>
      </c>
      <c r="O4575" s="100"/>
    </row>
    <row r="4576" spans="2:15" x14ac:dyDescent="0.2">
      <c r="B4576" s="1">
        <f t="shared" si="260"/>
        <v>4561</v>
      </c>
      <c r="C4576" s="101">
        <f ca="1"/>
        <v>0.43390450793657143</v>
      </c>
      <c r="D4576" s="101">
        <f t="shared" ca="1" si="261"/>
        <v>0.69356090046540053</v>
      </c>
      <c r="E4576" s="101">
        <f t="shared" ca="1" si="262"/>
        <v>0</v>
      </c>
      <c r="F4576" s="21">
        <f t="shared" ca="1" si="263"/>
        <v>0</v>
      </c>
      <c r="H4576" s="21">
        <v>4561</v>
      </c>
      <c r="I4576" s="102">
        <v>0.66776754870732224</v>
      </c>
      <c r="J4576" s="103">
        <v>1.4280804959515478E-3</v>
      </c>
      <c r="K4576" s="103"/>
      <c r="L4576" s="103">
        <v>4.36E-2</v>
      </c>
      <c r="O4576" s="100"/>
    </row>
    <row r="4577" spans="2:15" x14ac:dyDescent="0.2">
      <c r="B4577" s="1">
        <f t="shared" si="260"/>
        <v>4562</v>
      </c>
      <c r="C4577" s="101">
        <f ca="1"/>
        <v>1.5082849506563991</v>
      </c>
      <c r="D4577" s="101">
        <f t="shared" ca="1" si="261"/>
        <v>0.77109945746010622</v>
      </c>
      <c r="E4577" s="101">
        <f t="shared" ca="1" si="262"/>
        <v>0</v>
      </c>
      <c r="F4577" s="21">
        <f t="shared" ca="1" si="263"/>
        <v>0</v>
      </c>
      <c r="H4577" s="21">
        <v>4562</v>
      </c>
      <c r="I4577" s="102">
        <v>0.66769789303936</v>
      </c>
      <c r="J4577" s="103">
        <v>1.3704321067546622E-3</v>
      </c>
      <c r="K4577" s="103"/>
      <c r="L4577" s="103">
        <v>4.2999999999999997E-2</v>
      </c>
      <c r="O4577" s="100"/>
    </row>
    <row r="4578" spans="2:15" x14ac:dyDescent="0.2">
      <c r="B4578" s="1">
        <f t="shared" si="260"/>
        <v>4563</v>
      </c>
      <c r="C4578" s="101">
        <f ca="1"/>
        <v>-1.2974875411415927</v>
      </c>
      <c r="D4578" s="101">
        <f t="shared" ca="1" si="261"/>
        <v>0.58467272419151872</v>
      </c>
      <c r="E4578" s="101">
        <f t="shared" ca="1" si="262"/>
        <v>0</v>
      </c>
      <c r="F4578" s="21">
        <f t="shared" ca="1" si="263"/>
        <v>0</v>
      </c>
      <c r="H4578" s="21">
        <v>4563</v>
      </c>
      <c r="I4578" s="102">
        <v>0.66764835110034448</v>
      </c>
      <c r="J4578" s="103">
        <v>1.2004417742484737E-3</v>
      </c>
      <c r="K4578" s="103"/>
      <c r="L4578" s="103">
        <v>3.8199999999999998E-2</v>
      </c>
      <c r="O4578" s="100"/>
    </row>
    <row r="4579" spans="2:15" x14ac:dyDescent="0.2">
      <c r="B4579" s="1">
        <f t="shared" si="260"/>
        <v>4564</v>
      </c>
      <c r="C4579" s="101">
        <f ca="1"/>
        <v>-0.74227813355610306</v>
      </c>
      <c r="D4579" s="101">
        <f t="shared" ca="1" si="261"/>
        <v>0.61758631301702516</v>
      </c>
      <c r="E4579" s="101">
        <f t="shared" ca="1" si="262"/>
        <v>0</v>
      </c>
      <c r="F4579" s="21">
        <f t="shared" ca="1" si="263"/>
        <v>0</v>
      </c>
      <c r="H4579" s="21">
        <v>4564</v>
      </c>
      <c r="I4579" s="102">
        <v>0.66768679068121439</v>
      </c>
      <c r="J4579" s="103">
        <v>1.3263872850287782E-3</v>
      </c>
      <c r="K4579" s="103"/>
      <c r="L4579" s="103">
        <v>3.9199999999999999E-2</v>
      </c>
      <c r="O4579" s="100"/>
    </row>
    <row r="4580" spans="2:15" x14ac:dyDescent="0.2">
      <c r="B4580" s="1">
        <f t="shared" si="260"/>
        <v>4565</v>
      </c>
      <c r="C4580" s="101">
        <f ca="1"/>
        <v>-0.93167797016260068</v>
      </c>
      <c r="D4580" s="101">
        <f t="shared" ca="1" si="261"/>
        <v>0.60615527699753302</v>
      </c>
      <c r="E4580" s="101">
        <f t="shared" ca="1" si="262"/>
        <v>0</v>
      </c>
      <c r="F4580" s="21">
        <f t="shared" ca="1" si="263"/>
        <v>0</v>
      </c>
      <c r="H4580" s="21">
        <v>4565</v>
      </c>
      <c r="I4580" s="102">
        <v>0.66771962568839727</v>
      </c>
      <c r="J4580" s="103">
        <v>1.309875226265867E-3</v>
      </c>
      <c r="K4580" s="103"/>
      <c r="L4580" s="103">
        <v>4.2599999999999999E-2</v>
      </c>
      <c r="O4580" s="100"/>
    </row>
    <row r="4581" spans="2:15" x14ac:dyDescent="0.2">
      <c r="B4581" s="1">
        <f t="shared" si="260"/>
        <v>4566</v>
      </c>
      <c r="C4581" s="101">
        <f ca="1"/>
        <v>-2.313721220793731</v>
      </c>
      <c r="D4581" s="101">
        <f t="shared" ca="1" si="261"/>
        <v>0.52890541032352489</v>
      </c>
      <c r="E4581" s="101">
        <f t="shared" ca="1" si="262"/>
        <v>0</v>
      </c>
      <c r="F4581" s="21">
        <f t="shared" ca="1" si="263"/>
        <v>0</v>
      </c>
      <c r="H4581" s="21">
        <v>4566</v>
      </c>
      <c r="I4581" s="102">
        <v>0.66785755668700941</v>
      </c>
      <c r="J4581" s="103">
        <v>1.6324013273429105E-3</v>
      </c>
      <c r="K4581" s="103"/>
      <c r="L4581" s="103">
        <v>4.6399999999999997E-2</v>
      </c>
      <c r="O4581" s="100"/>
    </row>
    <row r="4582" spans="2:15" x14ac:dyDescent="0.2">
      <c r="B4582" s="1">
        <f t="shared" si="260"/>
        <v>4567</v>
      </c>
      <c r="C4582" s="101">
        <f ca="1"/>
        <v>-2.7063673577363057</v>
      </c>
      <c r="D4582" s="101">
        <f t="shared" ca="1" si="261"/>
        <v>0.5088119365254834</v>
      </c>
      <c r="E4582" s="101">
        <f t="shared" ca="1" si="262"/>
        <v>0</v>
      </c>
      <c r="F4582" s="21">
        <f t="shared" ca="1" si="263"/>
        <v>0</v>
      </c>
      <c r="H4582" s="21">
        <v>4567</v>
      </c>
      <c r="I4582" s="102">
        <v>0.6675922268590162</v>
      </c>
      <c r="J4582" s="103">
        <v>1.2526568354910041E-3</v>
      </c>
      <c r="K4582" s="103"/>
      <c r="L4582" s="103">
        <v>4.0800000000000003E-2</v>
      </c>
      <c r="O4582" s="100"/>
    </row>
    <row r="4583" spans="2:15" x14ac:dyDescent="0.2">
      <c r="B4583" s="1">
        <f t="shared" si="260"/>
        <v>4568</v>
      </c>
      <c r="C4583" s="101">
        <f ca="1"/>
        <v>-2.3754909063637979</v>
      </c>
      <c r="D4583" s="101">
        <f t="shared" ca="1" si="261"/>
        <v>0.52569256450227297</v>
      </c>
      <c r="E4583" s="101">
        <f t="shared" ca="1" si="262"/>
        <v>0</v>
      </c>
      <c r="F4583" s="21">
        <f t="shared" ca="1" si="263"/>
        <v>0</v>
      </c>
      <c r="H4583" s="21">
        <v>4568</v>
      </c>
      <c r="I4583" s="102">
        <v>0.66780000630000347</v>
      </c>
      <c r="J4583" s="103">
        <v>1.4882774942557803E-3</v>
      </c>
      <c r="K4583" s="103"/>
      <c r="L4583" s="103">
        <v>4.5199999999999997E-2</v>
      </c>
      <c r="O4583" s="100"/>
    </row>
    <row r="4584" spans="2:15" x14ac:dyDescent="0.2">
      <c r="B4584" s="1">
        <f t="shared" si="260"/>
        <v>4569</v>
      </c>
      <c r="C4584" s="101">
        <f ca="1"/>
        <v>-0.45243314496837095</v>
      </c>
      <c r="D4584" s="101">
        <f t="shared" ca="1" si="261"/>
        <v>0.63549837325603142</v>
      </c>
      <c r="E4584" s="101">
        <f t="shared" ca="1" si="262"/>
        <v>0</v>
      </c>
      <c r="F4584" s="21">
        <f t="shared" ca="1" si="263"/>
        <v>0</v>
      </c>
      <c r="H4584" s="21">
        <v>4569</v>
      </c>
      <c r="I4584" s="102">
        <v>0.66765968727920311</v>
      </c>
      <c r="J4584" s="103">
        <v>1.2429022610805994E-3</v>
      </c>
      <c r="K4584" s="103"/>
      <c r="L4584" s="103">
        <v>3.9800000000000002E-2</v>
      </c>
      <c r="O4584" s="100"/>
    </row>
    <row r="4585" spans="2:15" x14ac:dyDescent="0.2">
      <c r="B4585" s="1">
        <f t="shared" si="260"/>
        <v>4570</v>
      </c>
      <c r="C4585" s="101">
        <f ca="1"/>
        <v>0.28629172364850464</v>
      </c>
      <c r="D4585" s="101">
        <f t="shared" ca="1" si="261"/>
        <v>0.68353532083874935</v>
      </c>
      <c r="E4585" s="101">
        <f t="shared" ca="1" si="262"/>
        <v>0</v>
      </c>
      <c r="F4585" s="21">
        <f t="shared" ca="1" si="263"/>
        <v>0</v>
      </c>
      <c r="H4585" s="21">
        <v>4570</v>
      </c>
      <c r="I4585" s="102">
        <v>0.6677041490061173</v>
      </c>
      <c r="J4585" s="103">
        <v>1.2448558671392775E-3</v>
      </c>
      <c r="K4585" s="103"/>
      <c r="L4585" s="103">
        <v>3.7400000000000003E-2</v>
      </c>
      <c r="O4585" s="100"/>
    </row>
    <row r="4586" spans="2:15" x14ac:dyDescent="0.2">
      <c r="B4586" s="1">
        <f t="shared" si="260"/>
        <v>4571</v>
      </c>
      <c r="C4586" s="101">
        <f ca="1"/>
        <v>-1.0322775868475678</v>
      </c>
      <c r="D4586" s="101">
        <f t="shared" ca="1" si="261"/>
        <v>0.6001699747550362</v>
      </c>
      <c r="E4586" s="101">
        <f t="shared" ca="1" si="262"/>
        <v>0</v>
      </c>
      <c r="F4586" s="21">
        <f t="shared" ca="1" si="263"/>
        <v>0</v>
      </c>
      <c r="H4586" s="21">
        <v>4571</v>
      </c>
      <c r="I4586" s="102">
        <v>0.6678603096725404</v>
      </c>
      <c r="J4586" s="103">
        <v>1.4630224719658807E-3</v>
      </c>
      <c r="K4586" s="103"/>
      <c r="L4586" s="103">
        <v>4.4999999999999998E-2</v>
      </c>
      <c r="O4586" s="100"/>
    </row>
    <row r="4587" spans="2:15" x14ac:dyDescent="0.2">
      <c r="B4587" s="1">
        <f t="shared" si="260"/>
        <v>4572</v>
      </c>
      <c r="C4587" s="101">
        <f ca="1"/>
        <v>-0.29581886081438985</v>
      </c>
      <c r="D4587" s="101">
        <f t="shared" ca="1" si="261"/>
        <v>0.64539218544426769</v>
      </c>
      <c r="E4587" s="101">
        <f t="shared" ca="1" si="262"/>
        <v>0</v>
      </c>
      <c r="F4587" s="21">
        <f t="shared" ca="1" si="263"/>
        <v>0</v>
      </c>
      <c r="H4587" s="21">
        <v>4572</v>
      </c>
      <c r="I4587" s="102">
        <v>0.66786487759855462</v>
      </c>
      <c r="J4587" s="103">
        <v>1.4751164619920345E-3</v>
      </c>
      <c r="K4587" s="103"/>
      <c r="L4587" s="103">
        <v>4.48E-2</v>
      </c>
      <c r="O4587" s="100"/>
    </row>
    <row r="4588" spans="2:15" x14ac:dyDescent="0.2">
      <c r="B4588" s="1">
        <f t="shared" si="260"/>
        <v>4573</v>
      </c>
      <c r="C4588" s="101">
        <f ca="1"/>
        <v>-0.20279049119699144</v>
      </c>
      <c r="D4588" s="101">
        <f t="shared" ca="1" si="261"/>
        <v>0.65134184582157317</v>
      </c>
      <c r="E4588" s="101">
        <f t="shared" ca="1" si="262"/>
        <v>0</v>
      </c>
      <c r="F4588" s="21">
        <f t="shared" ca="1" si="263"/>
        <v>0</v>
      </c>
      <c r="H4588" s="21">
        <v>4573</v>
      </c>
      <c r="I4588" s="102">
        <v>0.6677744831499598</v>
      </c>
      <c r="J4588" s="103">
        <v>1.5445908588076573E-3</v>
      </c>
      <c r="K4588" s="103"/>
      <c r="L4588" s="103">
        <v>4.1200000000000001E-2</v>
      </c>
      <c r="O4588" s="100"/>
    </row>
    <row r="4589" spans="2:15" x14ac:dyDescent="0.2">
      <c r="B4589" s="1">
        <f t="shared" si="260"/>
        <v>4574</v>
      </c>
      <c r="C4589" s="101">
        <f ca="1"/>
        <v>6.4495134528262263E-2</v>
      </c>
      <c r="D4589" s="101">
        <f t="shared" ca="1" si="261"/>
        <v>0.66874312758960419</v>
      </c>
      <c r="E4589" s="101">
        <f t="shared" ca="1" si="262"/>
        <v>0</v>
      </c>
      <c r="F4589" s="21">
        <f t="shared" ca="1" si="263"/>
        <v>0</v>
      </c>
      <c r="H4589" s="21">
        <v>4574</v>
      </c>
      <c r="I4589" s="102">
        <v>0.66776716418329496</v>
      </c>
      <c r="J4589" s="103">
        <v>1.3471261134934444E-3</v>
      </c>
      <c r="K4589" s="103"/>
      <c r="L4589" s="103">
        <v>4.3999999999999997E-2</v>
      </c>
      <c r="O4589" s="100"/>
    </row>
    <row r="4590" spans="2:15" x14ac:dyDescent="0.2">
      <c r="B4590" s="1">
        <f t="shared" si="260"/>
        <v>4575</v>
      </c>
      <c r="C4590" s="101">
        <f ca="1"/>
        <v>-0.81168261335653136</v>
      </c>
      <c r="D4590" s="101">
        <f t="shared" ca="1" si="261"/>
        <v>0.61337266463286566</v>
      </c>
      <c r="E4590" s="101">
        <f t="shared" ca="1" si="262"/>
        <v>0</v>
      </c>
      <c r="F4590" s="21">
        <f t="shared" ca="1" si="263"/>
        <v>0</v>
      </c>
      <c r="H4590" s="21">
        <v>4575</v>
      </c>
      <c r="I4590" s="102">
        <v>0.66781872469054138</v>
      </c>
      <c r="J4590" s="103">
        <v>1.4865159354316244E-3</v>
      </c>
      <c r="K4590" s="103"/>
      <c r="L4590" s="103">
        <v>4.4600000000000001E-2</v>
      </c>
      <c r="O4590" s="100"/>
    </row>
    <row r="4591" spans="2:15" x14ac:dyDescent="0.2">
      <c r="B4591" s="1">
        <f t="shared" si="260"/>
        <v>4576</v>
      </c>
      <c r="C4591" s="101">
        <f ca="1"/>
        <v>0.84093998307245499</v>
      </c>
      <c r="D4591" s="101">
        <f t="shared" ca="1" si="261"/>
        <v>0.72197432036632958</v>
      </c>
      <c r="E4591" s="101">
        <f t="shared" ca="1" si="262"/>
        <v>0</v>
      </c>
      <c r="F4591" s="21">
        <f t="shared" ca="1" si="263"/>
        <v>0</v>
      </c>
      <c r="H4591" s="21">
        <v>4576</v>
      </c>
      <c r="I4591" s="102">
        <v>0.6676945167689381</v>
      </c>
      <c r="J4591" s="103">
        <v>1.3309934972433727E-3</v>
      </c>
      <c r="K4591" s="103"/>
      <c r="L4591" s="103">
        <v>4.2999999999999997E-2</v>
      </c>
      <c r="O4591" s="100"/>
    </row>
    <row r="4592" spans="2:15" x14ac:dyDescent="0.2">
      <c r="B4592" s="1">
        <f t="shared" ref="B4592:B4655" si="264">B4591+1</f>
        <v>4577</v>
      </c>
      <c r="C4592" s="101">
        <f ca="1"/>
        <v>-0.98568867442231989</v>
      </c>
      <c r="D4592" s="101">
        <f t="shared" ca="1" si="261"/>
        <v>0.60293445849669325</v>
      </c>
      <c r="E4592" s="101">
        <f t="shared" ca="1" si="262"/>
        <v>0</v>
      </c>
      <c r="F4592" s="21">
        <f t="shared" ca="1" si="263"/>
        <v>0</v>
      </c>
      <c r="H4592" s="21">
        <v>4577</v>
      </c>
      <c r="I4592" s="102">
        <v>0.66767028490539726</v>
      </c>
      <c r="J4592" s="103">
        <v>1.1705437792470163E-3</v>
      </c>
      <c r="K4592" s="103"/>
      <c r="L4592" s="103">
        <v>3.78E-2</v>
      </c>
      <c r="O4592" s="100"/>
    </row>
    <row r="4593" spans="2:15" x14ac:dyDescent="0.2">
      <c r="B4593" s="1">
        <f t="shared" si="264"/>
        <v>4578</v>
      </c>
      <c r="C4593" s="101">
        <f ca="1"/>
        <v>1.5297314369149095</v>
      </c>
      <c r="D4593" s="101">
        <f t="shared" ca="1" si="261"/>
        <v>0.77273245264777435</v>
      </c>
      <c r="E4593" s="101">
        <f t="shared" ca="1" si="262"/>
        <v>0</v>
      </c>
      <c r="F4593" s="21">
        <f t="shared" ca="1" si="263"/>
        <v>0</v>
      </c>
      <c r="H4593" s="21">
        <v>4578</v>
      </c>
      <c r="I4593" s="102">
        <v>0.66776791701168303</v>
      </c>
      <c r="J4593" s="103">
        <v>1.5059501823543315E-3</v>
      </c>
      <c r="K4593" s="103"/>
      <c r="L4593" s="103">
        <v>0.04</v>
      </c>
      <c r="O4593" s="100"/>
    </row>
    <row r="4594" spans="2:15" x14ac:dyDescent="0.2">
      <c r="B4594" s="1">
        <f t="shared" si="264"/>
        <v>4579</v>
      </c>
      <c r="C4594" s="101">
        <f ca="1"/>
        <v>0.44995315037173655</v>
      </c>
      <c r="D4594" s="101">
        <f t="shared" ca="1" si="261"/>
        <v>0.69465971806242477</v>
      </c>
      <c r="E4594" s="101">
        <f t="shared" ca="1" si="262"/>
        <v>0</v>
      </c>
      <c r="F4594" s="21">
        <f t="shared" ca="1" si="263"/>
        <v>0</v>
      </c>
      <c r="H4594" s="21">
        <v>4579</v>
      </c>
      <c r="I4594" s="102">
        <v>0.66769095653769195</v>
      </c>
      <c r="J4594" s="103">
        <v>1.2072157370090898E-3</v>
      </c>
      <c r="K4594" s="103"/>
      <c r="L4594" s="103">
        <v>4.2200000000000001E-2</v>
      </c>
      <c r="O4594" s="100"/>
    </row>
    <row r="4595" spans="2:15" x14ac:dyDescent="0.2">
      <c r="B4595" s="1">
        <f t="shared" si="264"/>
        <v>4580</v>
      </c>
      <c r="C4595" s="101">
        <f ca="1"/>
        <v>-0.23814996737967895</v>
      </c>
      <c r="D4595" s="101">
        <f t="shared" ca="1" si="261"/>
        <v>0.64907398428673679</v>
      </c>
      <c r="E4595" s="101">
        <f t="shared" ca="1" si="262"/>
        <v>0</v>
      </c>
      <c r="F4595" s="21">
        <f t="shared" ca="1" si="263"/>
        <v>0</v>
      </c>
      <c r="H4595" s="21">
        <v>4580</v>
      </c>
      <c r="I4595" s="102">
        <v>0.66765624107385479</v>
      </c>
      <c r="J4595" s="103">
        <v>1.3158743103508885E-3</v>
      </c>
      <c r="K4595" s="103"/>
      <c r="L4595" s="103">
        <v>4.2999999999999997E-2</v>
      </c>
      <c r="O4595" s="100"/>
    </row>
    <row r="4596" spans="2:15" x14ac:dyDescent="0.2">
      <c r="B4596" s="1">
        <f t="shared" si="264"/>
        <v>4581</v>
      </c>
      <c r="C4596" s="101">
        <f ca="1"/>
        <v>0.13892543394503254</v>
      </c>
      <c r="D4596" s="101">
        <f t="shared" ca="1" si="261"/>
        <v>0.67367104304322079</v>
      </c>
      <c r="E4596" s="101">
        <f t="shared" ca="1" si="262"/>
        <v>0</v>
      </c>
      <c r="F4596" s="21">
        <f t="shared" ca="1" si="263"/>
        <v>0</v>
      </c>
      <c r="H4596" s="21">
        <v>4581</v>
      </c>
      <c r="I4596" s="102">
        <v>0.66762923380857109</v>
      </c>
      <c r="J4596" s="103">
        <v>1.1757370852435757E-3</v>
      </c>
      <c r="K4596" s="103"/>
      <c r="L4596" s="103">
        <v>3.6600000000000001E-2</v>
      </c>
      <c r="O4596" s="100"/>
    </row>
    <row r="4597" spans="2:15" x14ac:dyDescent="0.2">
      <c r="B4597" s="1">
        <f t="shared" si="264"/>
        <v>4582</v>
      </c>
      <c r="C4597" s="101">
        <f ca="1"/>
        <v>0.21268473005913172</v>
      </c>
      <c r="D4597" s="101">
        <f t="shared" ca="1" si="261"/>
        <v>0.67859035544817714</v>
      </c>
      <c r="E4597" s="101">
        <f t="shared" ca="1" si="262"/>
        <v>0</v>
      </c>
      <c r="F4597" s="21">
        <f t="shared" ca="1" si="263"/>
        <v>0</v>
      </c>
      <c r="H4597" s="21">
        <v>4582</v>
      </c>
      <c r="I4597" s="102">
        <v>0.66788700039751392</v>
      </c>
      <c r="J4597" s="103">
        <v>1.6091948690293413E-3</v>
      </c>
      <c r="K4597" s="103"/>
      <c r="L4597" s="103">
        <v>4.6600000000000003E-2</v>
      </c>
      <c r="O4597" s="100"/>
    </row>
    <row r="4598" spans="2:15" x14ac:dyDescent="0.2">
      <c r="B4598" s="1">
        <f t="shared" si="264"/>
        <v>4583</v>
      </c>
      <c r="C4598" s="101">
        <f ca="1"/>
        <v>-1.1253251200384609</v>
      </c>
      <c r="D4598" s="101">
        <f t="shared" ca="1" si="261"/>
        <v>0.59468661797885913</v>
      </c>
      <c r="E4598" s="101">
        <f t="shared" ca="1" si="262"/>
        <v>0</v>
      </c>
      <c r="F4598" s="21">
        <f t="shared" ca="1" si="263"/>
        <v>0</v>
      </c>
      <c r="H4598" s="21">
        <v>4583</v>
      </c>
      <c r="I4598" s="102">
        <v>0.66767164504095555</v>
      </c>
      <c r="J4598" s="103">
        <v>1.2889020869412402E-3</v>
      </c>
      <c r="K4598" s="103"/>
      <c r="L4598" s="103">
        <v>4.0800000000000003E-2</v>
      </c>
      <c r="O4598" s="100"/>
    </row>
    <row r="4599" spans="2:15" x14ac:dyDescent="0.2">
      <c r="B4599" s="1">
        <f t="shared" si="264"/>
        <v>4584</v>
      </c>
      <c r="C4599" s="101">
        <f ca="1"/>
        <v>1.0595622135852321</v>
      </c>
      <c r="D4599" s="101">
        <f t="shared" ca="1" si="261"/>
        <v>0.73771292437387037</v>
      </c>
      <c r="E4599" s="101">
        <f t="shared" ca="1" si="262"/>
        <v>0</v>
      </c>
      <c r="F4599" s="21">
        <f t="shared" ca="1" si="263"/>
        <v>0</v>
      </c>
      <c r="H4599" s="21">
        <v>4584</v>
      </c>
      <c r="I4599" s="102">
        <v>0.66768385472983383</v>
      </c>
      <c r="J4599" s="103">
        <v>1.4184042353956163E-3</v>
      </c>
      <c r="K4599" s="103"/>
      <c r="L4599" s="103">
        <v>4.0800000000000003E-2</v>
      </c>
      <c r="O4599" s="100"/>
    </row>
    <row r="4600" spans="2:15" x14ac:dyDescent="0.2">
      <c r="B4600" s="1">
        <f t="shared" si="264"/>
        <v>4585</v>
      </c>
      <c r="C4600" s="101">
        <f ca="1"/>
        <v>-1.2934805727044634</v>
      </c>
      <c r="D4600" s="101">
        <f t="shared" ca="1" si="261"/>
        <v>0.58490386332823197</v>
      </c>
      <c r="E4600" s="101">
        <f t="shared" ca="1" si="262"/>
        <v>0</v>
      </c>
      <c r="F4600" s="21">
        <f t="shared" ca="1" si="263"/>
        <v>0</v>
      </c>
      <c r="H4600" s="21">
        <v>4585</v>
      </c>
      <c r="I4600" s="102">
        <v>0.66782198942003224</v>
      </c>
      <c r="J4600" s="103">
        <v>1.4590705949645941E-3</v>
      </c>
      <c r="K4600" s="103"/>
      <c r="L4600" s="103">
        <v>4.6800000000000001E-2</v>
      </c>
      <c r="O4600" s="100"/>
    </row>
    <row r="4601" spans="2:15" x14ac:dyDescent="0.2">
      <c r="B4601" s="1">
        <f t="shared" si="264"/>
        <v>4586</v>
      </c>
      <c r="C4601" s="101">
        <f ca="1"/>
        <v>2.2690885026802725</v>
      </c>
      <c r="D4601" s="101">
        <f t="shared" ca="1" si="261"/>
        <v>0.83119467574949468</v>
      </c>
      <c r="E4601" s="101">
        <f t="shared" ca="1" si="262"/>
        <v>4.2994675749494671E-2</v>
      </c>
      <c r="F4601" s="21">
        <f t="shared" ca="1" si="263"/>
        <v>1</v>
      </c>
      <c r="H4601" s="21">
        <v>4586</v>
      </c>
      <c r="I4601" s="102">
        <v>0.66783004075015873</v>
      </c>
      <c r="J4601" s="103">
        <v>1.4520694564734142E-3</v>
      </c>
      <c r="K4601" s="103"/>
      <c r="L4601" s="103">
        <v>4.5600000000000002E-2</v>
      </c>
      <c r="O4601" s="100"/>
    </row>
    <row r="4602" spans="2:15" x14ac:dyDescent="0.2">
      <c r="B4602" s="1">
        <f t="shared" si="264"/>
        <v>4587</v>
      </c>
      <c r="C4602" s="101">
        <f ca="1"/>
        <v>8.4143875410528715E-2</v>
      </c>
      <c r="D4602" s="101">
        <f t="shared" ca="1" si="261"/>
        <v>0.67004052759684918</v>
      </c>
      <c r="E4602" s="101">
        <f t="shared" ca="1" si="262"/>
        <v>0</v>
      </c>
      <c r="F4602" s="21">
        <f t="shared" ca="1" si="263"/>
        <v>0</v>
      </c>
      <c r="H4602" s="21">
        <v>4587</v>
      </c>
      <c r="I4602" s="102">
        <v>0.66786268675097049</v>
      </c>
      <c r="J4602" s="103">
        <v>1.4021128772023668E-3</v>
      </c>
      <c r="K4602" s="103"/>
      <c r="L4602" s="103">
        <v>4.4600000000000001E-2</v>
      </c>
      <c r="O4602" s="100"/>
    </row>
    <row r="4603" spans="2:15" x14ac:dyDescent="0.2">
      <c r="B4603" s="1">
        <f t="shared" si="264"/>
        <v>4588</v>
      </c>
      <c r="C4603" s="101">
        <f ca="1"/>
        <v>0.72930735873347352</v>
      </c>
      <c r="D4603" s="101">
        <f t="shared" ca="1" si="261"/>
        <v>0.7140678464304927</v>
      </c>
      <c r="E4603" s="101">
        <f t="shared" ca="1" si="262"/>
        <v>0</v>
      </c>
      <c r="F4603" s="21">
        <f t="shared" ca="1" si="263"/>
        <v>0</v>
      </c>
      <c r="H4603" s="21">
        <v>4588</v>
      </c>
      <c r="I4603" s="102">
        <v>0.66775059300230166</v>
      </c>
      <c r="J4603" s="103">
        <v>1.4183849232611543E-3</v>
      </c>
      <c r="K4603" s="103"/>
      <c r="L4603" s="103">
        <v>3.9600000000000003E-2</v>
      </c>
      <c r="O4603" s="100"/>
    </row>
    <row r="4604" spans="2:15" x14ac:dyDescent="0.2">
      <c r="B4604" s="1">
        <f t="shared" si="264"/>
        <v>4589</v>
      </c>
      <c r="C4604" s="101">
        <f ca="1"/>
        <v>-0.91353324742589304</v>
      </c>
      <c r="D4604" s="101">
        <f t="shared" ca="1" si="261"/>
        <v>0.60724115701095038</v>
      </c>
      <c r="E4604" s="101">
        <f t="shared" ca="1" si="262"/>
        <v>0</v>
      </c>
      <c r="F4604" s="21">
        <f t="shared" ca="1" si="263"/>
        <v>0</v>
      </c>
      <c r="H4604" s="21">
        <v>4589</v>
      </c>
      <c r="I4604" s="102">
        <v>0.66793395844415759</v>
      </c>
      <c r="J4604" s="103">
        <v>1.6819870666138893E-3</v>
      </c>
      <c r="K4604" s="103"/>
      <c r="L4604" s="103">
        <v>4.7600000000000003E-2</v>
      </c>
      <c r="O4604" s="100"/>
    </row>
    <row r="4605" spans="2:15" x14ac:dyDescent="0.2">
      <c r="B4605" s="1">
        <f t="shared" si="264"/>
        <v>4590</v>
      </c>
      <c r="C4605" s="101">
        <f ca="1"/>
        <v>1.5421339467528674</v>
      </c>
      <c r="D4605" s="101">
        <f t="shared" ca="1" si="261"/>
        <v>0.77367839205373623</v>
      </c>
      <c r="E4605" s="101">
        <f t="shared" ca="1" si="262"/>
        <v>0</v>
      </c>
      <c r="F4605" s="21">
        <f t="shared" ca="1" si="263"/>
        <v>0</v>
      </c>
      <c r="H4605" s="21">
        <v>4590</v>
      </c>
      <c r="I4605" s="102">
        <v>0.66768912613983744</v>
      </c>
      <c r="J4605" s="103">
        <v>1.3271792150127213E-3</v>
      </c>
      <c r="K4605" s="103"/>
      <c r="L4605" s="103">
        <v>4.2799999999999998E-2</v>
      </c>
      <c r="O4605" s="100"/>
    </row>
    <row r="4606" spans="2:15" x14ac:dyDescent="0.2">
      <c r="B4606" s="1">
        <f t="shared" si="264"/>
        <v>4591</v>
      </c>
      <c r="C4606" s="101">
        <f ca="1"/>
        <v>0.63317637989599862</v>
      </c>
      <c r="D4606" s="101">
        <f t="shared" ca="1" si="261"/>
        <v>0.70732870960347904</v>
      </c>
      <c r="E4606" s="101">
        <f t="shared" ca="1" si="262"/>
        <v>0</v>
      </c>
      <c r="F4606" s="21">
        <f t="shared" ca="1" si="263"/>
        <v>0</v>
      </c>
      <c r="H4606" s="21">
        <v>4591</v>
      </c>
      <c r="I4606" s="102">
        <v>0.66778809686449569</v>
      </c>
      <c r="J4606" s="103">
        <v>1.3503526864110489E-3</v>
      </c>
      <c r="K4606" s="103"/>
      <c r="L4606" s="103">
        <v>0.04</v>
      </c>
      <c r="O4606" s="100"/>
    </row>
    <row r="4607" spans="2:15" x14ac:dyDescent="0.2">
      <c r="B4607" s="1">
        <f t="shared" si="264"/>
        <v>4592</v>
      </c>
      <c r="C4607" s="101">
        <f ca="1"/>
        <v>0.12053151196261104</v>
      </c>
      <c r="D4607" s="101">
        <f t="shared" ca="1" si="261"/>
        <v>0.67244984193902457</v>
      </c>
      <c r="E4607" s="101">
        <f t="shared" ca="1" si="262"/>
        <v>0</v>
      </c>
      <c r="F4607" s="21">
        <f t="shared" ca="1" si="263"/>
        <v>0</v>
      </c>
      <c r="H4607" s="21">
        <v>4592</v>
      </c>
      <c r="I4607" s="102">
        <v>0.66765828845890252</v>
      </c>
      <c r="J4607" s="103">
        <v>1.1687680899622568E-3</v>
      </c>
      <c r="K4607" s="103"/>
      <c r="L4607" s="103">
        <v>4.1200000000000001E-2</v>
      </c>
      <c r="O4607" s="100"/>
    </row>
    <row r="4608" spans="2:15" x14ac:dyDescent="0.2">
      <c r="B4608" s="1">
        <f t="shared" si="264"/>
        <v>4593</v>
      </c>
      <c r="C4608" s="101">
        <f ca="1"/>
        <v>1.3357345017182176</v>
      </c>
      <c r="D4608" s="101">
        <f t="shared" ca="1" si="261"/>
        <v>0.75808594127158158</v>
      </c>
      <c r="E4608" s="101">
        <f t="shared" ca="1" si="262"/>
        <v>0</v>
      </c>
      <c r="F4608" s="21">
        <f t="shared" ca="1" si="263"/>
        <v>0</v>
      </c>
      <c r="H4608" s="21">
        <v>4593</v>
      </c>
      <c r="I4608" s="102">
        <v>0.66793948941197911</v>
      </c>
      <c r="J4608" s="103">
        <v>1.5896598075110084E-3</v>
      </c>
      <c r="K4608" s="103"/>
      <c r="L4608" s="103">
        <v>4.6199999999999998E-2</v>
      </c>
      <c r="O4608" s="100"/>
    </row>
    <row r="4609" spans="2:15" x14ac:dyDescent="0.2">
      <c r="B4609" s="1">
        <f t="shared" si="264"/>
        <v>4594</v>
      </c>
      <c r="C4609" s="101">
        <f ca="1"/>
        <v>-0.96794650693977324</v>
      </c>
      <c r="D4609" s="101">
        <f t="shared" ca="1" si="261"/>
        <v>0.60399058457735488</v>
      </c>
      <c r="E4609" s="101">
        <f t="shared" ca="1" si="262"/>
        <v>0</v>
      </c>
      <c r="F4609" s="21">
        <f t="shared" ca="1" si="263"/>
        <v>0</v>
      </c>
      <c r="H4609" s="21">
        <v>4594</v>
      </c>
      <c r="I4609" s="102">
        <v>0.6678609625437707</v>
      </c>
      <c r="J4609" s="103">
        <v>1.5375955184097549E-3</v>
      </c>
      <c r="K4609" s="103"/>
      <c r="L4609" s="103">
        <v>4.4600000000000001E-2</v>
      </c>
      <c r="O4609" s="100"/>
    </row>
    <row r="4610" spans="2:15" x14ac:dyDescent="0.2">
      <c r="B4610" s="1">
        <f t="shared" si="264"/>
        <v>4595</v>
      </c>
      <c r="C4610" s="101">
        <f ca="1"/>
        <v>-1.1604283686110854</v>
      </c>
      <c r="D4610" s="101">
        <f t="shared" ca="1" si="261"/>
        <v>0.59263099865275259</v>
      </c>
      <c r="E4610" s="101">
        <f t="shared" ca="1" si="262"/>
        <v>0</v>
      </c>
      <c r="F4610" s="21">
        <f t="shared" ca="1" si="263"/>
        <v>0</v>
      </c>
      <c r="H4610" s="21">
        <v>4595</v>
      </c>
      <c r="I4610" s="102">
        <v>0.66779437856598411</v>
      </c>
      <c r="J4610" s="103">
        <v>1.4546445301532292E-3</v>
      </c>
      <c r="K4610" s="103"/>
      <c r="L4610" s="103">
        <v>4.1799999999999997E-2</v>
      </c>
      <c r="O4610" s="100"/>
    </row>
    <row r="4611" spans="2:15" x14ac:dyDescent="0.2">
      <c r="B4611" s="1">
        <f t="shared" si="264"/>
        <v>4596</v>
      </c>
      <c r="C4611" s="101">
        <f ca="1"/>
        <v>-0.47829541448701862</v>
      </c>
      <c r="D4611" s="101">
        <f t="shared" ca="1" si="261"/>
        <v>0.63387922680191111</v>
      </c>
      <c r="E4611" s="101">
        <f t="shared" ca="1" si="262"/>
        <v>0</v>
      </c>
      <c r="F4611" s="21">
        <f t="shared" ca="1" si="263"/>
        <v>0</v>
      </c>
      <c r="H4611" s="21">
        <v>4596</v>
      </c>
      <c r="I4611" s="102">
        <v>0.6678603887373924</v>
      </c>
      <c r="J4611" s="103">
        <v>1.6801348308100091E-3</v>
      </c>
      <c r="K4611" s="103"/>
      <c r="L4611" s="103">
        <v>4.48E-2</v>
      </c>
      <c r="O4611" s="100"/>
    </row>
    <row r="4612" spans="2:15" x14ac:dyDescent="0.2">
      <c r="B4612" s="1">
        <f t="shared" si="264"/>
        <v>4597</v>
      </c>
      <c r="C4612" s="101">
        <f ca="1"/>
        <v>-1.3356150619032139</v>
      </c>
      <c r="D4612" s="101">
        <f t="shared" ca="1" si="261"/>
        <v>0.58247792962198752</v>
      </c>
      <c r="E4612" s="101">
        <f t="shared" ca="1" si="262"/>
        <v>0</v>
      </c>
      <c r="F4612" s="21">
        <f t="shared" ca="1" si="263"/>
        <v>0</v>
      </c>
      <c r="H4612" s="21">
        <v>4597</v>
      </c>
      <c r="I4612" s="102">
        <v>0.66772059790113492</v>
      </c>
      <c r="J4612" s="103">
        <v>1.2686206980810893E-3</v>
      </c>
      <c r="K4612" s="103"/>
      <c r="L4612" s="103">
        <v>4.24E-2</v>
      </c>
      <c r="O4612" s="100"/>
    </row>
    <row r="4613" spans="2:15" x14ac:dyDescent="0.2">
      <c r="B4613" s="1">
        <f t="shared" si="264"/>
        <v>4598</v>
      </c>
      <c r="C4613" s="101">
        <f ca="1"/>
        <v>-1.2442768932336364E-2</v>
      </c>
      <c r="D4613" s="101">
        <f t="shared" ca="1" si="261"/>
        <v>0.66368707437256091</v>
      </c>
      <c r="E4613" s="101">
        <f t="shared" ca="1" si="262"/>
        <v>0</v>
      </c>
      <c r="F4613" s="21">
        <f t="shared" ca="1" si="263"/>
        <v>0</v>
      </c>
      <c r="H4613" s="21">
        <v>4598</v>
      </c>
      <c r="I4613" s="102">
        <v>0.66766858539707075</v>
      </c>
      <c r="J4613" s="103">
        <v>1.2474299311870355E-3</v>
      </c>
      <c r="K4613" s="103"/>
      <c r="L4613" s="103">
        <v>0.04</v>
      </c>
      <c r="O4613" s="100"/>
    </row>
    <row r="4614" spans="2:15" x14ac:dyDescent="0.2">
      <c r="B4614" s="1">
        <f t="shared" si="264"/>
        <v>4599</v>
      </c>
      <c r="C4614" s="101">
        <f ca="1"/>
        <v>-0.25580992758192866</v>
      </c>
      <c r="D4614" s="101">
        <f t="shared" ca="1" si="261"/>
        <v>0.64794428043989061</v>
      </c>
      <c r="E4614" s="101">
        <f t="shared" ca="1" si="262"/>
        <v>0</v>
      </c>
      <c r="F4614" s="21">
        <f t="shared" ca="1" si="263"/>
        <v>0</v>
      </c>
      <c r="H4614" s="21">
        <v>4599</v>
      </c>
      <c r="I4614" s="102">
        <v>0.66773888706416062</v>
      </c>
      <c r="J4614" s="103">
        <v>1.2344642377416311E-3</v>
      </c>
      <c r="K4614" s="103"/>
      <c r="L4614" s="103">
        <v>3.9399999999999998E-2</v>
      </c>
      <c r="O4614" s="100"/>
    </row>
    <row r="4615" spans="2:15" x14ac:dyDescent="0.2">
      <c r="B4615" s="1">
        <f t="shared" si="264"/>
        <v>4600</v>
      </c>
      <c r="C4615" s="101">
        <f ca="1"/>
        <v>-0.51086404859909296</v>
      </c>
      <c r="D4615" s="101">
        <f t="shared" ca="1" si="261"/>
        <v>0.63184608559759026</v>
      </c>
      <c r="E4615" s="101">
        <f t="shared" ca="1" si="262"/>
        <v>0</v>
      </c>
      <c r="F4615" s="21">
        <f t="shared" ca="1" si="263"/>
        <v>0</v>
      </c>
      <c r="H4615" s="21">
        <v>4600</v>
      </c>
      <c r="I4615" s="102">
        <v>0.66774166269749979</v>
      </c>
      <c r="J4615" s="103">
        <v>1.3950963313828957E-3</v>
      </c>
      <c r="K4615" s="103"/>
      <c r="L4615" s="103">
        <v>4.2200000000000001E-2</v>
      </c>
      <c r="O4615" s="100"/>
    </row>
    <row r="4616" spans="2:15" x14ac:dyDescent="0.2">
      <c r="B4616" s="1">
        <f t="shared" si="264"/>
        <v>4601</v>
      </c>
      <c r="C4616" s="101">
        <f ca="1"/>
        <v>0.7707174271308993</v>
      </c>
      <c r="D4616" s="101">
        <f t="shared" ca="1" si="261"/>
        <v>0.71699059609347704</v>
      </c>
      <c r="E4616" s="101">
        <f t="shared" ca="1" si="262"/>
        <v>0</v>
      </c>
      <c r="F4616" s="21">
        <f t="shared" ca="1" si="263"/>
        <v>0</v>
      </c>
      <c r="H4616" s="21">
        <v>4601</v>
      </c>
      <c r="I4616" s="102">
        <v>0.66778673746027828</v>
      </c>
      <c r="J4616" s="103">
        <v>1.4237290986241261E-3</v>
      </c>
      <c r="K4616" s="103"/>
      <c r="L4616" s="103">
        <v>4.2999999999999997E-2</v>
      </c>
      <c r="O4616" s="100"/>
    </row>
    <row r="4617" spans="2:15" x14ac:dyDescent="0.2">
      <c r="B4617" s="1">
        <f t="shared" si="264"/>
        <v>4602</v>
      </c>
      <c r="C4617" s="101">
        <f ca="1"/>
        <v>0.45565446685675265</v>
      </c>
      <c r="D4617" s="101">
        <f t="shared" ca="1" si="261"/>
        <v>0.69505049443059408</v>
      </c>
      <c r="E4617" s="101">
        <f t="shared" ca="1" si="262"/>
        <v>0</v>
      </c>
      <c r="F4617" s="21">
        <f t="shared" ca="1" si="263"/>
        <v>0</v>
      </c>
      <c r="H4617" s="21">
        <v>4602</v>
      </c>
      <c r="I4617" s="102">
        <v>0.66773602178828728</v>
      </c>
      <c r="J4617" s="103">
        <v>1.4920529583571196E-3</v>
      </c>
      <c r="K4617" s="103"/>
      <c r="L4617" s="103">
        <v>4.3400000000000001E-2</v>
      </c>
      <c r="O4617" s="100"/>
    </row>
    <row r="4618" spans="2:15" x14ac:dyDescent="0.2">
      <c r="B4618" s="1">
        <f t="shared" si="264"/>
        <v>4603</v>
      </c>
      <c r="C4618" s="101">
        <f ca="1"/>
        <v>-7.5868121116339907E-2</v>
      </c>
      <c r="D4618" s="101">
        <f t="shared" ca="1" si="261"/>
        <v>0.65954777055019242</v>
      </c>
      <c r="E4618" s="101">
        <f t="shared" ca="1" si="262"/>
        <v>0</v>
      </c>
      <c r="F4618" s="21">
        <f t="shared" ca="1" si="263"/>
        <v>0</v>
      </c>
      <c r="H4618" s="21">
        <v>4603</v>
      </c>
      <c r="I4618" s="102">
        <v>0.66762658398005392</v>
      </c>
      <c r="J4618" s="103">
        <v>1.3153680430013962E-3</v>
      </c>
      <c r="K4618" s="103"/>
      <c r="L4618" s="103">
        <v>3.8600000000000002E-2</v>
      </c>
      <c r="O4618" s="100"/>
    </row>
    <row r="4619" spans="2:15" x14ac:dyDescent="0.2">
      <c r="B4619" s="1">
        <f t="shared" si="264"/>
        <v>4604</v>
      </c>
      <c r="C4619" s="101">
        <f ca="1"/>
        <v>-2.3841251141839757</v>
      </c>
      <c r="D4619" s="101">
        <f t="shared" ca="1" si="261"/>
        <v>0.52524502816449437</v>
      </c>
      <c r="E4619" s="101">
        <f t="shared" ca="1" si="262"/>
        <v>0</v>
      </c>
      <c r="F4619" s="21">
        <f t="shared" ca="1" si="263"/>
        <v>0</v>
      </c>
      <c r="H4619" s="21">
        <v>4604</v>
      </c>
      <c r="I4619" s="102">
        <v>0.66772090325269728</v>
      </c>
      <c r="J4619" s="103">
        <v>1.3027931670007281E-3</v>
      </c>
      <c r="K4619" s="103"/>
      <c r="L4619" s="103">
        <v>4.36E-2</v>
      </c>
      <c r="O4619" s="100"/>
    </row>
    <row r="4620" spans="2:15" x14ac:dyDescent="0.2">
      <c r="B4620" s="1">
        <f t="shared" si="264"/>
        <v>4605</v>
      </c>
      <c r="C4620" s="101">
        <f ca="1"/>
        <v>-0.5048994381440588</v>
      </c>
      <c r="D4620" s="101">
        <f t="shared" ca="1" si="261"/>
        <v>0.63221794610004756</v>
      </c>
      <c r="E4620" s="101">
        <f t="shared" ca="1" si="262"/>
        <v>0</v>
      </c>
      <c r="F4620" s="21">
        <f t="shared" ca="1" si="263"/>
        <v>0</v>
      </c>
      <c r="H4620" s="21">
        <v>4605</v>
      </c>
      <c r="I4620" s="102">
        <v>0.66751953988508328</v>
      </c>
      <c r="J4620" s="103">
        <v>1.0314864635980847E-3</v>
      </c>
      <c r="K4620" s="103"/>
      <c r="L4620" s="103">
        <v>3.3599999999999998E-2</v>
      </c>
      <c r="O4620" s="100"/>
    </row>
    <row r="4621" spans="2:15" x14ac:dyDescent="0.2">
      <c r="B4621" s="1">
        <f t="shared" si="264"/>
        <v>4606</v>
      </c>
      <c r="C4621" s="101">
        <f ca="1"/>
        <v>0.9615812381890847</v>
      </c>
      <c r="D4621" s="101">
        <f t="shared" ca="1" si="261"/>
        <v>0.7306172934235684</v>
      </c>
      <c r="E4621" s="101">
        <f t="shared" ca="1" si="262"/>
        <v>0</v>
      </c>
      <c r="F4621" s="21">
        <f t="shared" ca="1" si="263"/>
        <v>0</v>
      </c>
      <c r="H4621" s="21">
        <v>4606</v>
      </c>
      <c r="I4621" s="102">
        <v>0.66770541264943117</v>
      </c>
      <c r="J4621" s="103">
        <v>1.3922879690774807E-3</v>
      </c>
      <c r="K4621" s="103"/>
      <c r="L4621" s="103">
        <v>4.0399999999999998E-2</v>
      </c>
      <c r="O4621" s="100"/>
    </row>
    <row r="4622" spans="2:15" x14ac:dyDescent="0.2">
      <c r="B4622" s="1">
        <f t="shared" si="264"/>
        <v>4607</v>
      </c>
      <c r="C4622" s="101">
        <f ca="1"/>
        <v>1.2711189477827283</v>
      </c>
      <c r="D4622" s="101">
        <f t="shared" ca="1" si="261"/>
        <v>0.75326944636843696</v>
      </c>
      <c r="E4622" s="101">
        <f t="shared" ca="1" si="262"/>
        <v>0</v>
      </c>
      <c r="F4622" s="21">
        <f t="shared" ca="1" si="263"/>
        <v>0</v>
      </c>
      <c r="H4622" s="21">
        <v>4607</v>
      </c>
      <c r="I4622" s="102">
        <v>0.66775124709941458</v>
      </c>
      <c r="J4622" s="103">
        <v>1.4359008064640344E-3</v>
      </c>
      <c r="K4622" s="103"/>
      <c r="L4622" s="103">
        <v>0.04</v>
      </c>
      <c r="O4622" s="100"/>
    </row>
    <row r="4623" spans="2:15" x14ac:dyDescent="0.2">
      <c r="B4623" s="1">
        <f t="shared" si="264"/>
        <v>4608</v>
      </c>
      <c r="C4623" s="101">
        <f ca="1"/>
        <v>0.26063768767692003</v>
      </c>
      <c r="D4623" s="101">
        <f t="shared" ca="1" si="261"/>
        <v>0.68180778854167712</v>
      </c>
      <c r="E4623" s="101">
        <f t="shared" ca="1" si="262"/>
        <v>0</v>
      </c>
      <c r="F4623" s="21">
        <f t="shared" ca="1" si="263"/>
        <v>0</v>
      </c>
      <c r="H4623" s="21">
        <v>4608</v>
      </c>
      <c r="I4623" s="102">
        <v>0.66784320392715668</v>
      </c>
      <c r="J4623" s="103">
        <v>1.4646193905388692E-3</v>
      </c>
      <c r="K4623" s="103"/>
      <c r="L4623" s="103">
        <v>4.3400000000000001E-2</v>
      </c>
      <c r="O4623" s="100"/>
    </row>
    <row r="4624" spans="2:15" x14ac:dyDescent="0.2">
      <c r="B4624" s="1">
        <f t="shared" si="264"/>
        <v>4609</v>
      </c>
      <c r="C4624" s="101">
        <f ca="1"/>
        <v>-0.24023138346922407</v>
      </c>
      <c r="D4624" s="101">
        <f t="shared" ref="D4624:D4687" ca="1" si="265">S0*EXP((μ-0.5*σ*σ)*T+σ*SQRT(T)*$C4624)</f>
        <v>0.64894073422223864</v>
      </c>
      <c r="E4624" s="101">
        <f t="shared" ref="E4624:E4687" ca="1" si="266">MAX(0,CP*(D4624-K))</f>
        <v>0</v>
      </c>
      <c r="F4624" s="21">
        <f t="shared" ref="F4624:F4687" ca="1" si="267">(CP*(D4624-K)&gt;0)*1</f>
        <v>0</v>
      </c>
      <c r="H4624" s="21">
        <v>4609</v>
      </c>
      <c r="I4624" s="102">
        <v>0.66772396314478832</v>
      </c>
      <c r="J4624" s="103">
        <v>1.3846869771948103E-3</v>
      </c>
      <c r="K4624" s="103"/>
      <c r="L4624" s="103">
        <v>4.3400000000000001E-2</v>
      </c>
      <c r="O4624" s="100"/>
    </row>
    <row r="4625" spans="2:15" x14ac:dyDescent="0.2">
      <c r="B4625" s="1">
        <f t="shared" si="264"/>
        <v>4610</v>
      </c>
      <c r="C4625" s="101">
        <f ca="1"/>
        <v>0.17884974205533122</v>
      </c>
      <c r="D4625" s="101">
        <f t="shared" ca="1" si="265"/>
        <v>0.67632931632573812</v>
      </c>
      <c r="E4625" s="101">
        <f t="shared" ca="1" si="266"/>
        <v>0</v>
      </c>
      <c r="F4625" s="21">
        <f t="shared" ca="1" si="267"/>
        <v>0</v>
      </c>
      <c r="H4625" s="21">
        <v>4610</v>
      </c>
      <c r="I4625" s="102">
        <v>0.66764537912350252</v>
      </c>
      <c r="J4625" s="103">
        <v>1.1907768188361147E-3</v>
      </c>
      <c r="K4625" s="103"/>
      <c r="L4625" s="103">
        <v>3.6600000000000001E-2</v>
      </c>
      <c r="O4625" s="100"/>
    </row>
    <row r="4626" spans="2:15" x14ac:dyDescent="0.2">
      <c r="B4626" s="1">
        <f t="shared" si="264"/>
        <v>4611</v>
      </c>
      <c r="C4626" s="101">
        <f ca="1"/>
        <v>0.1717355702721689</v>
      </c>
      <c r="D4626" s="101">
        <f t="shared" ca="1" si="265"/>
        <v>0.67585486781605486</v>
      </c>
      <c r="E4626" s="101">
        <f t="shared" ca="1" si="266"/>
        <v>0</v>
      </c>
      <c r="F4626" s="21">
        <f t="shared" ca="1" si="267"/>
        <v>0</v>
      </c>
      <c r="H4626" s="21">
        <v>4611</v>
      </c>
      <c r="I4626" s="102">
        <v>0.66762434649811087</v>
      </c>
      <c r="J4626" s="103">
        <v>1.2552134697495661E-3</v>
      </c>
      <c r="K4626" s="103"/>
      <c r="L4626" s="103">
        <v>3.7999999999999999E-2</v>
      </c>
      <c r="O4626" s="100"/>
    </row>
    <row r="4627" spans="2:15" x14ac:dyDescent="0.2">
      <c r="B4627" s="1">
        <f t="shared" si="264"/>
        <v>4612</v>
      </c>
      <c r="C4627" s="101">
        <f ca="1"/>
        <v>1.8823537673774533</v>
      </c>
      <c r="D4627" s="101">
        <f t="shared" ca="1" si="265"/>
        <v>0.80008342802006294</v>
      </c>
      <c r="E4627" s="101">
        <f t="shared" ca="1" si="266"/>
        <v>1.1883428020062925E-2</v>
      </c>
      <c r="F4627" s="21">
        <f t="shared" ca="1" si="267"/>
        <v>1</v>
      </c>
      <c r="H4627" s="21">
        <v>4612</v>
      </c>
      <c r="I4627" s="102">
        <v>0.66771750378873473</v>
      </c>
      <c r="J4627" s="103">
        <v>1.3305690518893348E-3</v>
      </c>
      <c r="K4627" s="103"/>
      <c r="L4627" s="103">
        <v>3.7999999999999999E-2</v>
      </c>
      <c r="O4627" s="100"/>
    </row>
    <row r="4628" spans="2:15" x14ac:dyDescent="0.2">
      <c r="B4628" s="1">
        <f t="shared" si="264"/>
        <v>4613</v>
      </c>
      <c r="C4628" s="101">
        <f ca="1"/>
        <v>-1.1115137298940605</v>
      </c>
      <c r="D4628" s="101">
        <f t="shared" ca="1" si="265"/>
        <v>0.59549735560539785</v>
      </c>
      <c r="E4628" s="101">
        <f t="shared" ca="1" si="266"/>
        <v>0</v>
      </c>
      <c r="F4628" s="21">
        <f t="shared" ca="1" si="267"/>
        <v>0</v>
      </c>
      <c r="H4628" s="21">
        <v>4613</v>
      </c>
      <c r="I4628" s="102">
        <v>0.6677618987201468</v>
      </c>
      <c r="J4628" s="103">
        <v>1.4150663802537005E-3</v>
      </c>
      <c r="K4628" s="103"/>
      <c r="L4628" s="103">
        <v>4.2999999999999997E-2</v>
      </c>
      <c r="O4628" s="100"/>
    </row>
    <row r="4629" spans="2:15" x14ac:dyDescent="0.2">
      <c r="B4629" s="1">
        <f t="shared" si="264"/>
        <v>4614</v>
      </c>
      <c r="C4629" s="101">
        <f ca="1"/>
        <v>-5.0281117526502259E-2</v>
      </c>
      <c r="D4629" s="101">
        <f t="shared" ca="1" si="265"/>
        <v>0.66121452939478775</v>
      </c>
      <c r="E4629" s="101">
        <f t="shared" ca="1" si="266"/>
        <v>0</v>
      </c>
      <c r="F4629" s="21">
        <f t="shared" ca="1" si="267"/>
        <v>0</v>
      </c>
      <c r="H4629" s="21">
        <v>4614</v>
      </c>
      <c r="I4629" s="102">
        <v>0.66788620462754655</v>
      </c>
      <c r="J4629" s="103">
        <v>1.5013030586035095E-3</v>
      </c>
      <c r="K4629" s="103"/>
      <c r="L4629" s="103">
        <v>4.6199999999999998E-2</v>
      </c>
      <c r="O4629" s="100"/>
    </row>
    <row r="4630" spans="2:15" x14ac:dyDescent="0.2">
      <c r="B4630" s="1">
        <f t="shared" si="264"/>
        <v>4615</v>
      </c>
      <c r="C4630" s="101">
        <f ca="1"/>
        <v>-0.60289778315443843</v>
      </c>
      <c r="D4630" s="101">
        <f t="shared" ca="1" si="265"/>
        <v>0.62613593710357629</v>
      </c>
      <c r="E4630" s="101">
        <f t="shared" ca="1" si="266"/>
        <v>0</v>
      </c>
      <c r="F4630" s="21">
        <f t="shared" ca="1" si="267"/>
        <v>0</v>
      </c>
      <c r="H4630" s="21">
        <v>4615</v>
      </c>
      <c r="I4630" s="102">
        <v>0.66771560738453695</v>
      </c>
      <c r="J4630" s="103">
        <v>1.3956377318418971E-3</v>
      </c>
      <c r="K4630" s="103"/>
      <c r="L4630" s="103">
        <v>3.9399999999999998E-2</v>
      </c>
      <c r="O4630" s="100"/>
    </row>
    <row r="4631" spans="2:15" x14ac:dyDescent="0.2">
      <c r="B4631" s="1">
        <f t="shared" si="264"/>
        <v>4616</v>
      </c>
      <c r="C4631" s="101">
        <f ca="1"/>
        <v>0.45665822675210932</v>
      </c>
      <c r="D4631" s="101">
        <f t="shared" ca="1" si="265"/>
        <v>0.69511931632095258</v>
      </c>
      <c r="E4631" s="101">
        <f t="shared" ca="1" si="266"/>
        <v>0</v>
      </c>
      <c r="F4631" s="21">
        <f t="shared" ca="1" si="267"/>
        <v>0</v>
      </c>
      <c r="H4631" s="21">
        <v>4616</v>
      </c>
      <c r="I4631" s="102">
        <v>0.66769892350596927</v>
      </c>
      <c r="J4631" s="103">
        <v>1.3145699651154865E-3</v>
      </c>
      <c r="K4631" s="103"/>
      <c r="L4631" s="103">
        <v>4.2000000000000003E-2</v>
      </c>
      <c r="O4631" s="100"/>
    </row>
    <row r="4632" spans="2:15" x14ac:dyDescent="0.2">
      <c r="B4632" s="1">
        <f t="shared" si="264"/>
        <v>4617</v>
      </c>
      <c r="C4632" s="101">
        <f ca="1"/>
        <v>2.0030863064187785</v>
      </c>
      <c r="D4632" s="101">
        <f t="shared" ca="1" si="265"/>
        <v>0.80966875936282079</v>
      </c>
      <c r="E4632" s="101">
        <f t="shared" ca="1" si="266"/>
        <v>2.1468759362820777E-2</v>
      </c>
      <c r="F4632" s="21">
        <f t="shared" ca="1" si="267"/>
        <v>1</v>
      </c>
      <c r="H4632" s="21">
        <v>4617</v>
      </c>
      <c r="I4632" s="102">
        <v>0.66790144656094341</v>
      </c>
      <c r="J4632" s="103">
        <v>1.6974370501367418E-3</v>
      </c>
      <c r="K4632" s="103"/>
      <c r="L4632" s="103">
        <v>4.7E-2</v>
      </c>
      <c r="O4632" s="100"/>
    </row>
    <row r="4633" spans="2:15" x14ac:dyDescent="0.2">
      <c r="B4633" s="1">
        <f t="shared" si="264"/>
        <v>4618</v>
      </c>
      <c r="C4633" s="101">
        <f ca="1"/>
        <v>0.77891149538581805</v>
      </c>
      <c r="D4633" s="101">
        <f t="shared" ca="1" si="265"/>
        <v>0.71757035504606825</v>
      </c>
      <c r="E4633" s="101">
        <f t="shared" ca="1" si="266"/>
        <v>0</v>
      </c>
      <c r="F4633" s="21">
        <f t="shared" ca="1" si="267"/>
        <v>0</v>
      </c>
      <c r="H4633" s="21">
        <v>4618</v>
      </c>
      <c r="I4633" s="102">
        <v>0.66784037583971079</v>
      </c>
      <c r="J4633" s="103">
        <v>1.4046788088031307E-3</v>
      </c>
      <c r="K4633" s="103"/>
      <c r="L4633" s="103">
        <v>4.3799999999999999E-2</v>
      </c>
      <c r="O4633" s="100"/>
    </row>
    <row r="4634" spans="2:15" x14ac:dyDescent="0.2">
      <c r="B4634" s="1">
        <f t="shared" si="264"/>
        <v>4619</v>
      </c>
      <c r="C4634" s="101">
        <f ca="1"/>
        <v>-0.24412619854150056</v>
      </c>
      <c r="D4634" s="101">
        <f t="shared" ca="1" si="265"/>
        <v>0.6486914657479993</v>
      </c>
      <c r="E4634" s="101">
        <f t="shared" ca="1" si="266"/>
        <v>0</v>
      </c>
      <c r="F4634" s="21">
        <f t="shared" ca="1" si="267"/>
        <v>0</v>
      </c>
      <c r="H4634" s="21">
        <v>4619</v>
      </c>
      <c r="I4634" s="102">
        <v>0.66779167998057776</v>
      </c>
      <c r="J4634" s="103">
        <v>1.2532445836329093E-3</v>
      </c>
      <c r="K4634" s="103"/>
      <c r="L4634" s="103">
        <v>4.02E-2</v>
      </c>
      <c r="O4634" s="100"/>
    </row>
    <row r="4635" spans="2:15" x14ac:dyDescent="0.2">
      <c r="B4635" s="1">
        <f t="shared" si="264"/>
        <v>4620</v>
      </c>
      <c r="C4635" s="101">
        <f ca="1"/>
        <v>2.0647447313055878</v>
      </c>
      <c r="D4635" s="101">
        <f t="shared" ca="1" si="265"/>
        <v>0.81460822630492091</v>
      </c>
      <c r="E4635" s="101">
        <f t="shared" ca="1" si="266"/>
        <v>2.6408226304920901E-2</v>
      </c>
      <c r="F4635" s="21">
        <f t="shared" ca="1" si="267"/>
        <v>1</v>
      </c>
      <c r="H4635" s="21">
        <v>4620</v>
      </c>
      <c r="I4635" s="102">
        <v>0.66777852820462935</v>
      </c>
      <c r="J4635" s="103">
        <v>1.3146611843235687E-3</v>
      </c>
      <c r="K4635" s="103"/>
      <c r="L4635" s="103">
        <v>4.3200000000000002E-2</v>
      </c>
      <c r="O4635" s="100"/>
    </row>
    <row r="4636" spans="2:15" x14ac:dyDescent="0.2">
      <c r="B4636" s="1">
        <f t="shared" si="264"/>
        <v>4621</v>
      </c>
      <c r="C4636" s="101">
        <f ca="1"/>
        <v>1.568511707668175E-2</v>
      </c>
      <c r="D4636" s="101">
        <f t="shared" ca="1" si="265"/>
        <v>0.6655310789026001</v>
      </c>
      <c r="E4636" s="101">
        <f t="shared" ca="1" si="266"/>
        <v>0</v>
      </c>
      <c r="F4636" s="21">
        <f t="shared" ca="1" si="267"/>
        <v>0</v>
      </c>
      <c r="H4636" s="21">
        <v>4621</v>
      </c>
      <c r="I4636" s="102">
        <v>0.66774578868338819</v>
      </c>
      <c r="J4636" s="103">
        <v>1.3388125593577216E-3</v>
      </c>
      <c r="K4636" s="103"/>
      <c r="L4636" s="103">
        <v>3.9800000000000002E-2</v>
      </c>
      <c r="O4636" s="100"/>
    </row>
    <row r="4637" spans="2:15" x14ac:dyDescent="0.2">
      <c r="B4637" s="1">
        <f t="shared" si="264"/>
        <v>4622</v>
      </c>
      <c r="C4637" s="101">
        <f ca="1"/>
        <v>0.62449660327976364</v>
      </c>
      <c r="D4637" s="101">
        <f t="shared" ca="1" si="265"/>
        <v>0.70672336478415632</v>
      </c>
      <c r="E4637" s="101">
        <f t="shared" ca="1" si="266"/>
        <v>0</v>
      </c>
      <c r="F4637" s="21">
        <f t="shared" ca="1" si="267"/>
        <v>0</v>
      </c>
      <c r="H4637" s="21">
        <v>4622</v>
      </c>
      <c r="I4637" s="102">
        <v>0.6678654784668614</v>
      </c>
      <c r="J4637" s="103">
        <v>1.5326879827460209E-3</v>
      </c>
      <c r="K4637" s="103"/>
      <c r="L4637" s="103">
        <v>4.6199999999999998E-2</v>
      </c>
      <c r="O4637" s="100"/>
    </row>
    <row r="4638" spans="2:15" x14ac:dyDescent="0.2">
      <c r="B4638" s="1">
        <f t="shared" si="264"/>
        <v>4623</v>
      </c>
      <c r="C4638" s="101">
        <f ca="1"/>
        <v>-1.0365400701127994</v>
      </c>
      <c r="D4638" s="101">
        <f t="shared" ca="1" si="265"/>
        <v>0.59991768213057406</v>
      </c>
      <c r="E4638" s="101">
        <f t="shared" ca="1" si="266"/>
        <v>0</v>
      </c>
      <c r="F4638" s="21">
        <f t="shared" ca="1" si="267"/>
        <v>0</v>
      </c>
      <c r="H4638" s="21">
        <v>4623</v>
      </c>
      <c r="I4638" s="102">
        <v>0.66787802699454812</v>
      </c>
      <c r="J4638" s="103">
        <v>1.5448456516647772E-3</v>
      </c>
      <c r="K4638" s="103"/>
      <c r="L4638" s="103">
        <v>4.58E-2</v>
      </c>
      <c r="O4638" s="100"/>
    </row>
    <row r="4639" spans="2:15" x14ac:dyDescent="0.2">
      <c r="B4639" s="1">
        <f t="shared" si="264"/>
        <v>4624</v>
      </c>
      <c r="C4639" s="101">
        <f ca="1"/>
        <v>0.57597546457445059</v>
      </c>
      <c r="D4639" s="101">
        <f t="shared" ca="1" si="265"/>
        <v>0.70334893464449677</v>
      </c>
      <c r="E4639" s="101">
        <f t="shared" ca="1" si="266"/>
        <v>0</v>
      </c>
      <c r="F4639" s="21">
        <f t="shared" ca="1" si="267"/>
        <v>0</v>
      </c>
      <c r="H4639" s="21">
        <v>4624</v>
      </c>
      <c r="I4639" s="102">
        <v>0.66757366299041954</v>
      </c>
      <c r="J4639" s="103">
        <v>1.1568588843726586E-3</v>
      </c>
      <c r="K4639" s="103"/>
      <c r="L4639" s="103">
        <v>3.8199999999999998E-2</v>
      </c>
      <c r="O4639" s="100"/>
    </row>
    <row r="4640" spans="2:15" x14ac:dyDescent="0.2">
      <c r="B4640" s="1">
        <f t="shared" si="264"/>
        <v>4625</v>
      </c>
      <c r="C4640" s="101">
        <f ca="1"/>
        <v>1.2409950805655041</v>
      </c>
      <c r="D4640" s="101">
        <f t="shared" ca="1" si="265"/>
        <v>0.75103445992447659</v>
      </c>
      <c r="E4640" s="101">
        <f t="shared" ca="1" si="266"/>
        <v>0</v>
      </c>
      <c r="F4640" s="21">
        <f t="shared" ca="1" si="267"/>
        <v>0</v>
      </c>
      <c r="H4640" s="21">
        <v>4625</v>
      </c>
      <c r="I4640" s="102">
        <v>0.66778658227052978</v>
      </c>
      <c r="J4640" s="103">
        <v>1.5459957835838368E-3</v>
      </c>
      <c r="K4640" s="103"/>
      <c r="L4640" s="103">
        <v>4.1399999999999999E-2</v>
      </c>
      <c r="O4640" s="100"/>
    </row>
    <row r="4641" spans="2:15" x14ac:dyDescent="0.2">
      <c r="B4641" s="1">
        <f t="shared" si="264"/>
        <v>4626</v>
      </c>
      <c r="C4641" s="101">
        <f ca="1"/>
        <v>-2.0744798677306008E-2</v>
      </c>
      <c r="D4641" s="101">
        <f t="shared" ca="1" si="265"/>
        <v>0.66314378810138253</v>
      </c>
      <c r="E4641" s="101">
        <f t="shared" ca="1" si="266"/>
        <v>0</v>
      </c>
      <c r="F4641" s="21">
        <f t="shared" ca="1" si="267"/>
        <v>0</v>
      </c>
      <c r="H4641" s="21">
        <v>4626</v>
      </c>
      <c r="I4641" s="102">
        <v>0.66777363659803457</v>
      </c>
      <c r="J4641" s="103">
        <v>1.4559672387310983E-3</v>
      </c>
      <c r="K4641" s="103"/>
      <c r="L4641" s="103">
        <v>4.4200000000000003E-2</v>
      </c>
      <c r="O4641" s="100"/>
    </row>
    <row r="4642" spans="2:15" x14ac:dyDescent="0.2">
      <c r="B4642" s="1">
        <f t="shared" si="264"/>
        <v>4627</v>
      </c>
      <c r="C4642" s="101">
        <f ca="1"/>
        <v>-0.16076371460323655</v>
      </c>
      <c r="D4642" s="101">
        <f t="shared" ca="1" si="265"/>
        <v>0.65404763823151024</v>
      </c>
      <c r="E4642" s="101">
        <f t="shared" ca="1" si="266"/>
        <v>0</v>
      </c>
      <c r="F4642" s="21">
        <f t="shared" ca="1" si="267"/>
        <v>0</v>
      </c>
      <c r="H4642" s="21">
        <v>4627</v>
      </c>
      <c r="I4642" s="102">
        <v>0.6676471992913352</v>
      </c>
      <c r="J4642" s="103">
        <v>1.2394859076927506E-3</v>
      </c>
      <c r="K4642" s="103"/>
      <c r="L4642" s="103">
        <v>3.6600000000000001E-2</v>
      </c>
      <c r="O4642" s="100"/>
    </row>
    <row r="4643" spans="2:15" x14ac:dyDescent="0.2">
      <c r="B4643" s="1">
        <f t="shared" si="264"/>
        <v>4628</v>
      </c>
      <c r="C4643" s="101">
        <f ca="1"/>
        <v>1.171976567652725</v>
      </c>
      <c r="D4643" s="101">
        <f t="shared" ca="1" si="265"/>
        <v>0.74593872479129997</v>
      </c>
      <c r="E4643" s="101">
        <f t="shared" ca="1" si="266"/>
        <v>0</v>
      </c>
      <c r="F4643" s="21">
        <f t="shared" ca="1" si="267"/>
        <v>0</v>
      </c>
      <c r="H4643" s="21">
        <v>4628</v>
      </c>
      <c r="I4643" s="102">
        <v>0.66779540393335679</v>
      </c>
      <c r="J4643" s="103">
        <v>1.5472137387870075E-3</v>
      </c>
      <c r="K4643" s="103"/>
      <c r="L4643" s="103">
        <v>4.4999999999999998E-2</v>
      </c>
      <c r="O4643" s="100"/>
    </row>
    <row r="4644" spans="2:15" x14ac:dyDescent="0.2">
      <c r="B4644" s="1">
        <f t="shared" si="264"/>
        <v>4629</v>
      </c>
      <c r="C4644" s="101">
        <f ca="1"/>
        <v>0.22613833253672239</v>
      </c>
      <c r="D4644" s="101">
        <f t="shared" ca="1" si="265"/>
        <v>0.67949149775327133</v>
      </c>
      <c r="E4644" s="101">
        <f t="shared" ca="1" si="266"/>
        <v>0</v>
      </c>
      <c r="F4644" s="21">
        <f t="shared" ca="1" si="267"/>
        <v>0</v>
      </c>
      <c r="H4644" s="21">
        <v>4629</v>
      </c>
      <c r="I4644" s="102">
        <v>0.66791874772721693</v>
      </c>
      <c r="J4644" s="103">
        <v>1.6946583934138683E-3</v>
      </c>
      <c r="K4644" s="103"/>
      <c r="L4644" s="103">
        <v>4.7800000000000002E-2</v>
      </c>
      <c r="O4644" s="100"/>
    </row>
    <row r="4645" spans="2:15" x14ac:dyDescent="0.2">
      <c r="B4645" s="1">
        <f t="shared" si="264"/>
        <v>4630</v>
      </c>
      <c r="C4645" s="101">
        <f ca="1"/>
        <v>-0.25694673102961785</v>
      </c>
      <c r="D4645" s="101">
        <f t="shared" ca="1" si="265"/>
        <v>0.64787162676377141</v>
      </c>
      <c r="E4645" s="101">
        <f t="shared" ca="1" si="266"/>
        <v>0</v>
      </c>
      <c r="F4645" s="21">
        <f t="shared" ca="1" si="267"/>
        <v>0</v>
      </c>
      <c r="H4645" s="21">
        <v>4630</v>
      </c>
      <c r="I4645" s="102">
        <v>0.66780151846744895</v>
      </c>
      <c r="J4645" s="103">
        <v>1.2297179158250679E-3</v>
      </c>
      <c r="K4645" s="103"/>
      <c r="L4645" s="103">
        <v>4.1599999999999998E-2</v>
      </c>
      <c r="O4645" s="100"/>
    </row>
    <row r="4646" spans="2:15" x14ac:dyDescent="0.2">
      <c r="B4646" s="1">
        <f t="shared" si="264"/>
        <v>4631</v>
      </c>
      <c r="C4646" s="101">
        <f ca="1"/>
        <v>-0.50726124183934374</v>
      </c>
      <c r="D4646" s="101">
        <f t="shared" ca="1" si="265"/>
        <v>0.6320706745255833</v>
      </c>
      <c r="E4646" s="101">
        <f t="shared" ca="1" si="266"/>
        <v>0</v>
      </c>
      <c r="F4646" s="21">
        <f t="shared" ca="1" si="267"/>
        <v>0</v>
      </c>
      <c r="H4646" s="21">
        <v>4631</v>
      </c>
      <c r="I4646" s="102">
        <v>0.66789133727489103</v>
      </c>
      <c r="J4646" s="103">
        <v>1.65119019837514E-3</v>
      </c>
      <c r="K4646" s="103"/>
      <c r="L4646" s="103">
        <v>4.3200000000000002E-2</v>
      </c>
      <c r="O4646" s="100"/>
    </row>
    <row r="4647" spans="2:15" x14ac:dyDescent="0.2">
      <c r="B4647" s="1">
        <f t="shared" si="264"/>
        <v>4632</v>
      </c>
      <c r="C4647" s="101">
        <f ca="1"/>
        <v>-0.36592450485202033</v>
      </c>
      <c r="D4647" s="101">
        <f t="shared" ca="1" si="265"/>
        <v>0.6409444923617551</v>
      </c>
      <c r="E4647" s="101">
        <f t="shared" ca="1" si="266"/>
        <v>0</v>
      </c>
      <c r="F4647" s="21">
        <f t="shared" ca="1" si="267"/>
        <v>0</v>
      </c>
      <c r="H4647" s="21">
        <v>4632</v>
      </c>
      <c r="I4647" s="102">
        <v>0.66763061326933726</v>
      </c>
      <c r="J4647" s="103">
        <v>1.1712893973917055E-3</v>
      </c>
      <c r="K4647" s="103"/>
      <c r="L4647" s="103">
        <v>3.6799999999999999E-2</v>
      </c>
      <c r="O4647" s="100"/>
    </row>
    <row r="4648" spans="2:15" x14ac:dyDescent="0.2">
      <c r="B4648" s="1">
        <f t="shared" si="264"/>
        <v>4633</v>
      </c>
      <c r="C4648" s="101">
        <f ca="1"/>
        <v>-0.87595985026910783</v>
      </c>
      <c r="D4648" s="101">
        <f t="shared" ca="1" si="265"/>
        <v>0.60949594452891154</v>
      </c>
      <c r="E4648" s="101">
        <f t="shared" ca="1" si="266"/>
        <v>0</v>
      </c>
      <c r="F4648" s="21">
        <f t="shared" ca="1" si="267"/>
        <v>0</v>
      </c>
      <c r="H4648" s="21">
        <v>4633</v>
      </c>
      <c r="I4648" s="102">
        <v>0.66768163792859692</v>
      </c>
      <c r="J4648" s="103">
        <v>1.2998935060341593E-3</v>
      </c>
      <c r="K4648" s="103"/>
      <c r="L4648" s="103">
        <v>0.04</v>
      </c>
      <c r="O4648" s="100"/>
    </row>
    <row r="4649" spans="2:15" x14ac:dyDescent="0.2">
      <c r="B4649" s="1">
        <f t="shared" si="264"/>
        <v>4634</v>
      </c>
      <c r="C4649" s="101">
        <f ca="1"/>
        <v>4.4181561991511034E-2</v>
      </c>
      <c r="D4649" s="101">
        <f t="shared" ca="1" si="265"/>
        <v>0.66740447000157788</v>
      </c>
      <c r="E4649" s="101">
        <f t="shared" ca="1" si="266"/>
        <v>0</v>
      </c>
      <c r="F4649" s="21">
        <f t="shared" ca="1" si="267"/>
        <v>0</v>
      </c>
      <c r="H4649" s="21">
        <v>4634</v>
      </c>
      <c r="I4649" s="102">
        <v>0.66777597273663558</v>
      </c>
      <c r="J4649" s="103">
        <v>1.4462242481584819E-3</v>
      </c>
      <c r="K4649" s="103"/>
      <c r="L4649" s="103">
        <v>4.3400000000000001E-2</v>
      </c>
      <c r="O4649" s="100"/>
    </row>
    <row r="4650" spans="2:15" x14ac:dyDescent="0.2">
      <c r="B4650" s="1">
        <f t="shared" si="264"/>
        <v>4635</v>
      </c>
      <c r="C4650" s="101">
        <f ca="1"/>
        <v>-0.85148022346623697</v>
      </c>
      <c r="D4650" s="101">
        <f t="shared" ca="1" si="265"/>
        <v>0.61096947447089489</v>
      </c>
      <c r="E4650" s="101">
        <f t="shared" ca="1" si="266"/>
        <v>0</v>
      </c>
      <c r="F4650" s="21">
        <f t="shared" ca="1" si="267"/>
        <v>0</v>
      </c>
      <c r="H4650" s="21">
        <v>4635</v>
      </c>
      <c r="I4650" s="102">
        <v>0.6679501487354409</v>
      </c>
      <c r="J4650" s="103">
        <v>1.4828128301376839E-3</v>
      </c>
      <c r="K4650" s="103"/>
      <c r="L4650" s="103">
        <v>4.6399999999999997E-2</v>
      </c>
      <c r="O4650" s="100"/>
    </row>
    <row r="4651" spans="2:15" x14ac:dyDescent="0.2">
      <c r="B4651" s="1">
        <f t="shared" si="264"/>
        <v>4636</v>
      </c>
      <c r="C4651" s="101">
        <f ca="1"/>
        <v>0.95491532341280039</v>
      </c>
      <c r="D4651" s="101">
        <f t="shared" ca="1" si="265"/>
        <v>0.73013704512918198</v>
      </c>
      <c r="E4651" s="101">
        <f t="shared" ca="1" si="266"/>
        <v>0</v>
      </c>
      <c r="F4651" s="21">
        <f t="shared" ca="1" si="267"/>
        <v>0</v>
      </c>
      <c r="H4651" s="21">
        <v>4636</v>
      </c>
      <c r="I4651" s="102">
        <v>0.66772518817480664</v>
      </c>
      <c r="J4651" s="103">
        <v>1.2411676145700947E-3</v>
      </c>
      <c r="K4651" s="103"/>
      <c r="L4651" s="103">
        <v>3.8800000000000001E-2</v>
      </c>
      <c r="O4651" s="100"/>
    </row>
    <row r="4652" spans="2:15" x14ac:dyDescent="0.2">
      <c r="B4652" s="1">
        <f t="shared" si="264"/>
        <v>4637</v>
      </c>
      <c r="C4652" s="101">
        <f ca="1"/>
        <v>0.72373414698008254</v>
      </c>
      <c r="D4652" s="101">
        <f t="shared" ca="1" si="265"/>
        <v>0.71367539623318366</v>
      </c>
      <c r="E4652" s="101">
        <f t="shared" ca="1" si="266"/>
        <v>0</v>
      </c>
      <c r="F4652" s="21">
        <f t="shared" ca="1" si="267"/>
        <v>0</v>
      </c>
      <c r="H4652" s="21">
        <v>4637</v>
      </c>
      <c r="I4652" s="102">
        <v>0.66770231989172235</v>
      </c>
      <c r="J4652" s="103">
        <v>1.379705079858142E-3</v>
      </c>
      <c r="K4652" s="103"/>
      <c r="L4652" s="103">
        <v>4.2200000000000001E-2</v>
      </c>
      <c r="O4652" s="100"/>
    </row>
    <row r="4653" spans="2:15" x14ac:dyDescent="0.2">
      <c r="B4653" s="1">
        <f t="shared" si="264"/>
        <v>4638</v>
      </c>
      <c r="C4653" s="101">
        <f ca="1"/>
        <v>-0.2483032968788661</v>
      </c>
      <c r="D4653" s="101">
        <f t="shared" ca="1" si="265"/>
        <v>0.64842423753007972</v>
      </c>
      <c r="E4653" s="101">
        <f t="shared" ca="1" si="266"/>
        <v>0</v>
      </c>
      <c r="F4653" s="21">
        <f t="shared" ca="1" si="267"/>
        <v>0</v>
      </c>
      <c r="H4653" s="21">
        <v>4638</v>
      </c>
      <c r="I4653" s="102">
        <v>0.66778659105090932</v>
      </c>
      <c r="J4653" s="103">
        <v>1.4684185003121849E-3</v>
      </c>
      <c r="K4653" s="103"/>
      <c r="L4653" s="103">
        <v>4.1200000000000001E-2</v>
      </c>
      <c r="O4653" s="100"/>
    </row>
    <row r="4654" spans="2:15" x14ac:dyDescent="0.2">
      <c r="B4654" s="1">
        <f t="shared" si="264"/>
        <v>4639</v>
      </c>
      <c r="C4654" s="101">
        <f ca="1"/>
        <v>1.4558122136634577</v>
      </c>
      <c r="D4654" s="101">
        <f t="shared" ca="1" si="265"/>
        <v>0.76711857320226906</v>
      </c>
      <c r="E4654" s="101">
        <f t="shared" ca="1" si="266"/>
        <v>0</v>
      </c>
      <c r="F4654" s="21">
        <f t="shared" ca="1" si="267"/>
        <v>0</v>
      </c>
      <c r="H4654" s="21">
        <v>4639</v>
      </c>
      <c r="I4654" s="102">
        <v>0.66769237333362963</v>
      </c>
      <c r="J4654" s="103">
        <v>1.1153689060050332E-3</v>
      </c>
      <c r="K4654" s="103"/>
      <c r="L4654" s="103">
        <v>4.1200000000000001E-2</v>
      </c>
      <c r="O4654" s="100"/>
    </row>
    <row r="4655" spans="2:15" x14ac:dyDescent="0.2">
      <c r="B4655" s="1">
        <f t="shared" si="264"/>
        <v>4640</v>
      </c>
      <c r="C4655" s="101">
        <f ca="1"/>
        <v>-2.0798839340867485</v>
      </c>
      <c r="D4655" s="101">
        <f t="shared" ca="1" si="265"/>
        <v>0.54124694089918757</v>
      </c>
      <c r="E4655" s="101">
        <f t="shared" ca="1" si="266"/>
        <v>0</v>
      </c>
      <c r="F4655" s="21">
        <f t="shared" ca="1" si="267"/>
        <v>0</v>
      </c>
      <c r="H4655" s="21">
        <v>4640</v>
      </c>
      <c r="I4655" s="102">
        <v>0.66793650730570642</v>
      </c>
      <c r="J4655" s="103">
        <v>1.6961592048460653E-3</v>
      </c>
      <c r="K4655" s="103"/>
      <c r="L4655" s="103">
        <v>4.8000000000000001E-2</v>
      </c>
      <c r="O4655" s="100"/>
    </row>
    <row r="4656" spans="2:15" x14ac:dyDescent="0.2">
      <c r="B4656" s="1">
        <f t="shared" ref="B4656:B4719" si="268">B4655+1</f>
        <v>4641</v>
      </c>
      <c r="C4656" s="101">
        <f ca="1"/>
        <v>-9.3274584249360026E-2</v>
      </c>
      <c r="D4656" s="101">
        <f t="shared" ca="1" si="265"/>
        <v>0.65841630091312642</v>
      </c>
      <c r="E4656" s="101">
        <f t="shared" ca="1" si="266"/>
        <v>0</v>
      </c>
      <c r="F4656" s="21">
        <f t="shared" ca="1" si="267"/>
        <v>0</v>
      </c>
      <c r="H4656" s="21">
        <v>4641</v>
      </c>
      <c r="I4656" s="102">
        <v>0.66777157169074863</v>
      </c>
      <c r="J4656" s="103">
        <v>1.4066114897338686E-3</v>
      </c>
      <c r="K4656" s="103"/>
      <c r="L4656" s="103">
        <v>4.24E-2</v>
      </c>
      <c r="O4656" s="100"/>
    </row>
    <row r="4657" spans="2:15" x14ac:dyDescent="0.2">
      <c r="B4657" s="1">
        <f t="shared" si="268"/>
        <v>4642</v>
      </c>
      <c r="C4657" s="101">
        <f ca="1"/>
        <v>-0.34723624223045652</v>
      </c>
      <c r="D4657" s="101">
        <f t="shared" ca="1" si="265"/>
        <v>0.64212712158798713</v>
      </c>
      <c r="E4657" s="101">
        <f t="shared" ca="1" si="266"/>
        <v>0</v>
      </c>
      <c r="F4657" s="21">
        <f t="shared" ca="1" si="267"/>
        <v>0</v>
      </c>
      <c r="H4657" s="21">
        <v>4642</v>
      </c>
      <c r="I4657" s="102">
        <v>0.66767297046224783</v>
      </c>
      <c r="J4657" s="103">
        <v>1.205604222564411E-3</v>
      </c>
      <c r="K4657" s="103"/>
      <c r="L4657" s="103">
        <v>3.8800000000000001E-2</v>
      </c>
      <c r="O4657" s="100"/>
    </row>
    <row r="4658" spans="2:15" x14ac:dyDescent="0.2">
      <c r="B4658" s="1">
        <f t="shared" si="268"/>
        <v>4643</v>
      </c>
      <c r="C4658" s="101">
        <f ca="1"/>
        <v>0.96212212857619317</v>
      </c>
      <c r="D4658" s="101">
        <f t="shared" ca="1" si="265"/>
        <v>0.73065627592442228</v>
      </c>
      <c r="E4658" s="101">
        <f t="shared" ca="1" si="266"/>
        <v>0</v>
      </c>
      <c r="F4658" s="21">
        <f t="shared" ca="1" si="267"/>
        <v>0</v>
      </c>
      <c r="H4658" s="21">
        <v>4643</v>
      </c>
      <c r="I4658" s="102">
        <v>0.66770962904699094</v>
      </c>
      <c r="J4658" s="103">
        <v>1.3789479321923898E-3</v>
      </c>
      <c r="K4658" s="103"/>
      <c r="L4658" s="103">
        <v>4.0599999999999997E-2</v>
      </c>
      <c r="O4658" s="100"/>
    </row>
    <row r="4659" spans="2:15" x14ac:dyDescent="0.2">
      <c r="B4659" s="1">
        <f t="shared" si="268"/>
        <v>4644</v>
      </c>
      <c r="C4659" s="101">
        <f ca="1"/>
        <v>-1.6228828459295797</v>
      </c>
      <c r="D4659" s="101">
        <f t="shared" ca="1" si="265"/>
        <v>0.56620421702630763</v>
      </c>
      <c r="E4659" s="101">
        <f t="shared" ca="1" si="266"/>
        <v>0</v>
      </c>
      <c r="F4659" s="21">
        <f t="shared" ca="1" si="267"/>
        <v>0</v>
      </c>
      <c r="H4659" s="21">
        <v>4644</v>
      </c>
      <c r="I4659" s="102">
        <v>0.66783656807478098</v>
      </c>
      <c r="J4659" s="103">
        <v>1.5540888850337858E-3</v>
      </c>
      <c r="K4659" s="103"/>
      <c r="L4659" s="103">
        <v>4.3200000000000002E-2</v>
      </c>
      <c r="O4659" s="100"/>
    </row>
    <row r="4660" spans="2:15" x14ac:dyDescent="0.2">
      <c r="B4660" s="1">
        <f t="shared" si="268"/>
        <v>4645</v>
      </c>
      <c r="C4660" s="101">
        <f ca="1"/>
        <v>0.6951950353968217</v>
      </c>
      <c r="D4660" s="101">
        <f t="shared" ca="1" si="265"/>
        <v>0.71166912835693152</v>
      </c>
      <c r="E4660" s="101">
        <f t="shared" ca="1" si="266"/>
        <v>0</v>
      </c>
      <c r="F4660" s="21">
        <f t="shared" ca="1" si="267"/>
        <v>0</v>
      </c>
      <c r="H4660" s="21">
        <v>4645</v>
      </c>
      <c r="I4660" s="102">
        <v>0.66785413887490486</v>
      </c>
      <c r="J4660" s="103">
        <v>1.5366328404807716E-3</v>
      </c>
      <c r="K4660" s="103"/>
      <c r="L4660" s="103">
        <v>4.6199999999999998E-2</v>
      </c>
      <c r="O4660" s="100"/>
    </row>
    <row r="4661" spans="2:15" x14ac:dyDescent="0.2">
      <c r="B4661" s="1">
        <f t="shared" si="268"/>
        <v>4646</v>
      </c>
      <c r="C4661" s="101">
        <f ca="1"/>
        <v>1.4079511212875355</v>
      </c>
      <c r="D4661" s="101">
        <f t="shared" ca="1" si="265"/>
        <v>0.76350547938407332</v>
      </c>
      <c r="E4661" s="101">
        <f t="shared" ca="1" si="266"/>
        <v>0</v>
      </c>
      <c r="F4661" s="21">
        <f t="shared" ca="1" si="267"/>
        <v>0</v>
      </c>
      <c r="H4661" s="21">
        <v>4646</v>
      </c>
      <c r="I4661" s="102">
        <v>0.66774879066319459</v>
      </c>
      <c r="J4661" s="103">
        <v>1.2015116288997619E-3</v>
      </c>
      <c r="K4661" s="103"/>
      <c r="L4661" s="103">
        <v>4.0800000000000003E-2</v>
      </c>
      <c r="O4661" s="100"/>
    </row>
    <row r="4662" spans="2:15" x14ac:dyDescent="0.2">
      <c r="B4662" s="1">
        <f t="shared" si="268"/>
        <v>4647</v>
      </c>
      <c r="C4662" s="101">
        <f ca="1"/>
        <v>0.1922045748050448</v>
      </c>
      <c r="D4662" s="101">
        <f t="shared" ca="1" si="265"/>
        <v>0.67722085801258991</v>
      </c>
      <c r="E4662" s="101">
        <f t="shared" ca="1" si="266"/>
        <v>0</v>
      </c>
      <c r="F4662" s="21">
        <f t="shared" ca="1" si="267"/>
        <v>0</v>
      </c>
      <c r="H4662" s="21">
        <v>4647</v>
      </c>
      <c r="I4662" s="102">
        <v>0.66796777284492703</v>
      </c>
      <c r="J4662" s="103">
        <v>1.7361483329018711E-3</v>
      </c>
      <c r="K4662" s="103"/>
      <c r="L4662" s="103">
        <v>4.6399999999999997E-2</v>
      </c>
      <c r="O4662" s="100"/>
    </row>
    <row r="4663" spans="2:15" x14ac:dyDescent="0.2">
      <c r="B4663" s="1">
        <f t="shared" si="268"/>
        <v>4648</v>
      </c>
      <c r="C4663" s="101">
        <f ca="1"/>
        <v>2.0921613883023489</v>
      </c>
      <c r="D4663" s="101">
        <f t="shared" ca="1" si="265"/>
        <v>0.8168142469860139</v>
      </c>
      <c r="E4663" s="101">
        <f t="shared" ca="1" si="266"/>
        <v>2.8614246986013891E-2</v>
      </c>
      <c r="F4663" s="21">
        <f t="shared" ca="1" si="267"/>
        <v>1</v>
      </c>
      <c r="H4663" s="21">
        <v>4648</v>
      </c>
      <c r="I4663" s="102">
        <v>0.66765789504934492</v>
      </c>
      <c r="J4663" s="103">
        <v>1.2984756179856387E-3</v>
      </c>
      <c r="K4663" s="103"/>
      <c r="L4663" s="103">
        <v>3.9800000000000002E-2</v>
      </c>
      <c r="O4663" s="100"/>
    </row>
    <row r="4664" spans="2:15" x14ac:dyDescent="0.2">
      <c r="B4664" s="1">
        <f t="shared" si="268"/>
        <v>4649</v>
      </c>
      <c r="C4664" s="101">
        <f ca="1"/>
        <v>1.3163347470713358</v>
      </c>
      <c r="D4664" s="101">
        <f t="shared" ca="1" si="265"/>
        <v>0.75663664187890745</v>
      </c>
      <c r="E4664" s="101">
        <f t="shared" ca="1" si="266"/>
        <v>0</v>
      </c>
      <c r="F4664" s="21">
        <f t="shared" ca="1" si="267"/>
        <v>0</v>
      </c>
      <c r="H4664" s="21">
        <v>4649</v>
      </c>
      <c r="I4664" s="102">
        <v>0.66783094973020307</v>
      </c>
      <c r="J4664" s="103">
        <v>1.3941950958040233E-3</v>
      </c>
      <c r="K4664" s="103"/>
      <c r="L4664" s="103">
        <v>4.36E-2</v>
      </c>
      <c r="O4664" s="100"/>
    </row>
    <row r="4665" spans="2:15" x14ac:dyDescent="0.2">
      <c r="B4665" s="1">
        <f t="shared" si="268"/>
        <v>4650</v>
      </c>
      <c r="C4665" s="101">
        <f ca="1"/>
        <v>0.13623696020617498</v>
      </c>
      <c r="D4665" s="101">
        <f t="shared" ca="1" si="265"/>
        <v>0.67349241279800931</v>
      </c>
      <c r="E4665" s="101">
        <f t="shared" ca="1" si="266"/>
        <v>0</v>
      </c>
      <c r="F4665" s="21">
        <f t="shared" ca="1" si="267"/>
        <v>0</v>
      </c>
      <c r="H4665" s="21">
        <v>4650</v>
      </c>
      <c r="I4665" s="102">
        <v>0.6677871871019303</v>
      </c>
      <c r="J4665" s="103">
        <v>1.3261887915269307E-3</v>
      </c>
      <c r="K4665" s="103"/>
      <c r="L4665" s="103">
        <v>4.1399999999999999E-2</v>
      </c>
      <c r="O4665" s="100"/>
    </row>
    <row r="4666" spans="2:15" x14ac:dyDescent="0.2">
      <c r="B4666" s="1">
        <f t="shared" si="268"/>
        <v>4651</v>
      </c>
      <c r="C4666" s="101">
        <f ca="1"/>
        <v>-1.620584804707685</v>
      </c>
      <c r="D4666" s="101">
        <f t="shared" ca="1" si="265"/>
        <v>0.56633257978416129</v>
      </c>
      <c r="E4666" s="101">
        <f t="shared" ca="1" si="266"/>
        <v>0</v>
      </c>
      <c r="F4666" s="21">
        <f t="shared" ca="1" si="267"/>
        <v>0</v>
      </c>
      <c r="H4666" s="21">
        <v>4651</v>
      </c>
      <c r="I4666" s="102">
        <v>0.66778366399145661</v>
      </c>
      <c r="J4666" s="103">
        <v>1.3361324038128164E-3</v>
      </c>
      <c r="K4666" s="103"/>
      <c r="L4666" s="103">
        <v>4.1399999999999999E-2</v>
      </c>
      <c r="O4666" s="100"/>
    </row>
    <row r="4667" spans="2:15" x14ac:dyDescent="0.2">
      <c r="B4667" s="1">
        <f t="shared" si="268"/>
        <v>4652</v>
      </c>
      <c r="C4667" s="101">
        <f ca="1"/>
        <v>2.1360252486969737</v>
      </c>
      <c r="D4667" s="101">
        <f t="shared" ca="1" si="265"/>
        <v>0.82035608703701379</v>
      </c>
      <c r="E4667" s="101">
        <f t="shared" ca="1" si="266"/>
        <v>3.2156087037013781E-2</v>
      </c>
      <c r="F4667" s="21">
        <f t="shared" ca="1" si="267"/>
        <v>1</v>
      </c>
      <c r="H4667" s="21">
        <v>4652</v>
      </c>
      <c r="I4667" s="102">
        <v>0.66772541338039848</v>
      </c>
      <c r="J4667" s="103">
        <v>1.3557875442329612E-3</v>
      </c>
      <c r="K4667" s="103"/>
      <c r="L4667" s="103">
        <v>0.04</v>
      </c>
      <c r="O4667" s="100"/>
    </row>
    <row r="4668" spans="2:15" x14ac:dyDescent="0.2">
      <c r="B4668" s="1">
        <f t="shared" si="268"/>
        <v>4653</v>
      </c>
      <c r="C4668" s="101">
        <f ca="1"/>
        <v>-0.39699631927315027</v>
      </c>
      <c r="D4668" s="101">
        <f t="shared" ca="1" si="265"/>
        <v>0.63898302739214852</v>
      </c>
      <c r="E4668" s="101">
        <f t="shared" ca="1" si="266"/>
        <v>0</v>
      </c>
      <c r="F4668" s="21">
        <f t="shared" ca="1" si="267"/>
        <v>0</v>
      </c>
      <c r="H4668" s="21">
        <v>4653</v>
      </c>
      <c r="I4668" s="102">
        <v>0.66784205691062026</v>
      </c>
      <c r="J4668" s="103">
        <v>1.5490307015389071E-3</v>
      </c>
      <c r="K4668" s="103"/>
      <c r="L4668" s="103">
        <v>4.5999999999999999E-2</v>
      </c>
      <c r="O4668" s="100"/>
    </row>
    <row r="4669" spans="2:15" x14ac:dyDescent="0.2">
      <c r="B4669" s="1">
        <f t="shared" si="268"/>
        <v>4654</v>
      </c>
      <c r="C4669" s="101">
        <f ca="1"/>
        <v>-0.29973757609463908</v>
      </c>
      <c r="D4669" s="101">
        <f t="shared" ca="1" si="265"/>
        <v>0.64514275906720209</v>
      </c>
      <c r="E4669" s="101">
        <f t="shared" ca="1" si="266"/>
        <v>0</v>
      </c>
      <c r="F4669" s="21">
        <f t="shared" ca="1" si="267"/>
        <v>0</v>
      </c>
      <c r="H4669" s="21">
        <v>4654</v>
      </c>
      <c r="I4669" s="102">
        <v>0.66787576589879583</v>
      </c>
      <c r="J4669" s="103">
        <v>1.4670243516385854E-3</v>
      </c>
      <c r="K4669" s="103"/>
      <c r="L4669" s="103">
        <v>4.24E-2</v>
      </c>
      <c r="O4669" s="100"/>
    </row>
    <row r="4670" spans="2:15" x14ac:dyDescent="0.2">
      <c r="B4670" s="1">
        <f t="shared" si="268"/>
        <v>4655</v>
      </c>
      <c r="C4670" s="101">
        <f ca="1"/>
        <v>-0.90917457655337408</v>
      </c>
      <c r="D4670" s="101">
        <f t="shared" ca="1" si="265"/>
        <v>0.60750229348794793</v>
      </c>
      <c r="E4670" s="101">
        <f t="shared" ca="1" si="266"/>
        <v>0</v>
      </c>
      <c r="F4670" s="21">
        <f t="shared" ca="1" si="267"/>
        <v>0</v>
      </c>
      <c r="H4670" s="21">
        <v>4655</v>
      </c>
      <c r="I4670" s="102">
        <v>0.66781576069570503</v>
      </c>
      <c r="J4670" s="103">
        <v>1.4482197899126524E-3</v>
      </c>
      <c r="K4670" s="103"/>
      <c r="L4670" s="103">
        <v>4.3799999999999999E-2</v>
      </c>
      <c r="O4670" s="100"/>
    </row>
    <row r="4671" spans="2:15" x14ac:dyDescent="0.2">
      <c r="B4671" s="1">
        <f t="shared" si="268"/>
        <v>4656</v>
      </c>
      <c r="C4671" s="101">
        <f ca="1"/>
        <v>-0.71796619846607623</v>
      </c>
      <c r="D4671" s="101">
        <f t="shared" ca="1" si="265"/>
        <v>0.61906916208662921</v>
      </c>
      <c r="E4671" s="101">
        <f t="shared" ca="1" si="266"/>
        <v>0</v>
      </c>
      <c r="F4671" s="21">
        <f t="shared" ca="1" si="267"/>
        <v>0</v>
      </c>
      <c r="H4671" s="21">
        <v>4656</v>
      </c>
      <c r="I4671" s="102">
        <v>0.66798724079431582</v>
      </c>
      <c r="J4671" s="103">
        <v>1.6006608858206868E-3</v>
      </c>
      <c r="K4671" s="103"/>
      <c r="L4671" s="103">
        <v>4.7600000000000003E-2</v>
      </c>
      <c r="O4671" s="100"/>
    </row>
    <row r="4672" spans="2:15" x14ac:dyDescent="0.2">
      <c r="B4672" s="1">
        <f t="shared" si="268"/>
        <v>4657</v>
      </c>
      <c r="C4672" s="101">
        <f ca="1"/>
        <v>-0.90398396854269492</v>
      </c>
      <c r="D4672" s="101">
        <f t="shared" ca="1" si="265"/>
        <v>0.60781341944183731</v>
      </c>
      <c r="E4672" s="101">
        <f t="shared" ca="1" si="266"/>
        <v>0</v>
      </c>
      <c r="F4672" s="21">
        <f t="shared" ca="1" si="267"/>
        <v>0</v>
      </c>
      <c r="H4672" s="21">
        <v>4657</v>
      </c>
      <c r="I4672" s="102">
        <v>0.66781296888950403</v>
      </c>
      <c r="J4672" s="103">
        <v>1.5446141645288943E-3</v>
      </c>
      <c r="K4672" s="103"/>
      <c r="L4672" s="103">
        <v>4.4400000000000002E-2</v>
      </c>
      <c r="O4672" s="100"/>
    </row>
    <row r="4673" spans="2:15" x14ac:dyDescent="0.2">
      <c r="B4673" s="1">
        <f t="shared" si="268"/>
        <v>4658</v>
      </c>
      <c r="C4673" s="101">
        <f ca="1"/>
        <v>0.20314844813639912</v>
      </c>
      <c r="D4673" s="101">
        <f t="shared" ca="1" si="265"/>
        <v>0.67795232498182101</v>
      </c>
      <c r="E4673" s="101">
        <f t="shared" ca="1" si="266"/>
        <v>0</v>
      </c>
      <c r="F4673" s="21">
        <f t="shared" ca="1" si="267"/>
        <v>0</v>
      </c>
      <c r="H4673" s="21">
        <v>4658</v>
      </c>
      <c r="I4673" s="102">
        <v>0.66776172769139663</v>
      </c>
      <c r="J4673" s="103">
        <v>1.4359320392827732E-3</v>
      </c>
      <c r="K4673" s="103"/>
      <c r="L4673" s="103">
        <v>4.0800000000000003E-2</v>
      </c>
      <c r="O4673" s="100"/>
    </row>
    <row r="4674" spans="2:15" x14ac:dyDescent="0.2">
      <c r="B4674" s="1">
        <f t="shared" si="268"/>
        <v>4659</v>
      </c>
      <c r="C4674" s="101">
        <f ca="1"/>
        <v>-0.35751405691396015</v>
      </c>
      <c r="D4674" s="101">
        <f t="shared" ca="1" si="265"/>
        <v>0.64147645191073088</v>
      </c>
      <c r="E4674" s="101">
        <f t="shared" ca="1" si="266"/>
        <v>0</v>
      </c>
      <c r="F4674" s="21">
        <f t="shared" ca="1" si="267"/>
        <v>0</v>
      </c>
      <c r="H4674" s="21">
        <v>4659</v>
      </c>
      <c r="I4674" s="102">
        <v>0.66777805422064151</v>
      </c>
      <c r="J4674" s="103">
        <v>1.5865530159937899E-3</v>
      </c>
      <c r="K4674" s="103"/>
      <c r="L4674" s="103">
        <v>4.3999999999999997E-2</v>
      </c>
      <c r="O4674" s="100"/>
    </row>
    <row r="4675" spans="2:15" x14ac:dyDescent="0.2">
      <c r="B4675" s="1">
        <f t="shared" si="268"/>
        <v>4660</v>
      </c>
      <c r="C4675" s="101">
        <f ca="1"/>
        <v>3.5438333320794685E-2</v>
      </c>
      <c r="D4675" s="101">
        <f t="shared" ca="1" si="265"/>
        <v>0.66682911938213785</v>
      </c>
      <c r="E4675" s="101">
        <f t="shared" ca="1" si="266"/>
        <v>0</v>
      </c>
      <c r="F4675" s="21">
        <f t="shared" ca="1" si="267"/>
        <v>0</v>
      </c>
      <c r="H4675" s="21">
        <v>4660</v>
      </c>
      <c r="I4675" s="102">
        <v>0.66770583129644401</v>
      </c>
      <c r="J4675" s="103">
        <v>1.3222822198065739E-3</v>
      </c>
      <c r="K4675" s="103"/>
      <c r="L4675" s="103">
        <v>4.3799999999999999E-2</v>
      </c>
      <c r="O4675" s="100"/>
    </row>
    <row r="4676" spans="2:15" x14ac:dyDescent="0.2">
      <c r="B4676" s="1">
        <f t="shared" si="268"/>
        <v>4661</v>
      </c>
      <c r="C4676" s="101">
        <f ca="1"/>
        <v>0.62920718914659346</v>
      </c>
      <c r="D4676" s="101">
        <f t="shared" ca="1" si="265"/>
        <v>0.70705182606208483</v>
      </c>
      <c r="E4676" s="101">
        <f t="shared" ca="1" si="266"/>
        <v>0</v>
      </c>
      <c r="F4676" s="21">
        <f t="shared" ca="1" si="267"/>
        <v>0</v>
      </c>
      <c r="H4676" s="21">
        <v>4661</v>
      </c>
      <c r="I4676" s="102">
        <v>0.66770399791222512</v>
      </c>
      <c r="J4676" s="103">
        <v>1.3884590367456934E-3</v>
      </c>
      <c r="K4676" s="103"/>
      <c r="L4676" s="103">
        <v>4.1399999999999999E-2</v>
      </c>
      <c r="O4676" s="100"/>
    </row>
    <row r="4677" spans="2:15" x14ac:dyDescent="0.2">
      <c r="B4677" s="1">
        <f t="shared" si="268"/>
        <v>4662</v>
      </c>
      <c r="C4677" s="101">
        <f ca="1"/>
        <v>-0.15230513486106784</v>
      </c>
      <c r="D4677" s="101">
        <f t="shared" ca="1" si="265"/>
        <v>0.65459358075533758</v>
      </c>
      <c r="E4677" s="101">
        <f t="shared" ca="1" si="266"/>
        <v>0</v>
      </c>
      <c r="F4677" s="21">
        <f t="shared" ca="1" si="267"/>
        <v>0</v>
      </c>
      <c r="H4677" s="21">
        <v>4662</v>
      </c>
      <c r="I4677" s="102">
        <v>0.66775740488198643</v>
      </c>
      <c r="J4677" s="103">
        <v>1.3075502917872263E-3</v>
      </c>
      <c r="K4677" s="103"/>
      <c r="L4677" s="103">
        <v>4.0800000000000003E-2</v>
      </c>
      <c r="O4677" s="100"/>
    </row>
    <row r="4678" spans="2:15" x14ac:dyDescent="0.2">
      <c r="B4678" s="1">
        <f t="shared" si="268"/>
        <v>4663</v>
      </c>
      <c r="C4678" s="101">
        <f ca="1"/>
        <v>-0.52611580541543523</v>
      </c>
      <c r="D4678" s="101">
        <f t="shared" ca="1" si="265"/>
        <v>0.63089621723023304</v>
      </c>
      <c r="E4678" s="101">
        <f t="shared" ca="1" si="266"/>
        <v>0</v>
      </c>
      <c r="F4678" s="21">
        <f t="shared" ca="1" si="267"/>
        <v>0</v>
      </c>
      <c r="H4678" s="21">
        <v>4663</v>
      </c>
      <c r="I4678" s="102">
        <v>0.66780270897191596</v>
      </c>
      <c r="J4678" s="103">
        <v>1.4529014487595351E-3</v>
      </c>
      <c r="K4678" s="103"/>
      <c r="L4678" s="103">
        <v>4.3400000000000001E-2</v>
      </c>
      <c r="O4678" s="100"/>
    </row>
    <row r="4679" spans="2:15" x14ac:dyDescent="0.2">
      <c r="B4679" s="1">
        <f t="shared" si="268"/>
        <v>4664</v>
      </c>
      <c r="C4679" s="101">
        <f ca="1"/>
        <v>-1.5689277143834794</v>
      </c>
      <c r="D4679" s="101">
        <f t="shared" ca="1" si="265"/>
        <v>0.56922570570177944</v>
      </c>
      <c r="E4679" s="101">
        <f t="shared" ca="1" si="266"/>
        <v>0</v>
      </c>
      <c r="F4679" s="21">
        <f t="shared" ca="1" si="267"/>
        <v>0</v>
      </c>
      <c r="H4679" s="21">
        <v>4664</v>
      </c>
      <c r="I4679" s="102">
        <v>0.66796787349420383</v>
      </c>
      <c r="J4679" s="103">
        <v>1.6357577107542767E-3</v>
      </c>
      <c r="K4679" s="103"/>
      <c r="L4679" s="103">
        <v>4.8000000000000001E-2</v>
      </c>
      <c r="O4679" s="100"/>
    </row>
    <row r="4680" spans="2:15" x14ac:dyDescent="0.2">
      <c r="B4680" s="1">
        <f t="shared" si="268"/>
        <v>4665</v>
      </c>
      <c r="C4680" s="101">
        <f ca="1"/>
        <v>0.59625778180639322</v>
      </c>
      <c r="D4680" s="101">
        <f t="shared" ca="1" si="265"/>
        <v>0.70475751562243327</v>
      </c>
      <c r="E4680" s="101">
        <f t="shared" ca="1" si="266"/>
        <v>0</v>
      </c>
      <c r="F4680" s="21">
        <f t="shared" ca="1" si="267"/>
        <v>0</v>
      </c>
      <c r="H4680" s="21">
        <v>4665</v>
      </c>
      <c r="I4680" s="102">
        <v>0.66767124980394854</v>
      </c>
      <c r="J4680" s="103">
        <v>1.4435678364732997E-3</v>
      </c>
      <c r="K4680" s="103"/>
      <c r="L4680" s="103">
        <v>4.1000000000000002E-2</v>
      </c>
      <c r="O4680" s="100"/>
    </row>
    <row r="4681" spans="2:15" x14ac:dyDescent="0.2">
      <c r="B4681" s="1">
        <f t="shared" si="268"/>
        <v>4666</v>
      </c>
      <c r="C4681" s="101">
        <f ca="1"/>
        <v>-6.2117827045868573E-2</v>
      </c>
      <c r="D4681" s="101">
        <f t="shared" ca="1" si="265"/>
        <v>0.6604429532983932</v>
      </c>
      <c r="E4681" s="101">
        <f t="shared" ca="1" si="266"/>
        <v>0</v>
      </c>
      <c r="F4681" s="21">
        <f t="shared" ca="1" si="267"/>
        <v>0</v>
      </c>
      <c r="H4681" s="21">
        <v>4666</v>
      </c>
      <c r="I4681" s="102">
        <v>0.66762567204769174</v>
      </c>
      <c r="J4681" s="103">
        <v>1.2450316432947625E-3</v>
      </c>
      <c r="K4681" s="103"/>
      <c r="L4681" s="103">
        <v>4.1399999999999999E-2</v>
      </c>
      <c r="O4681" s="100"/>
    </row>
    <row r="4682" spans="2:15" x14ac:dyDescent="0.2">
      <c r="B4682" s="1">
        <f t="shared" si="268"/>
        <v>4667</v>
      </c>
      <c r="C4682" s="101">
        <f ca="1"/>
        <v>0.89628358790633678</v>
      </c>
      <c r="D4682" s="101">
        <f t="shared" ca="1" si="265"/>
        <v>0.72592647635210328</v>
      </c>
      <c r="E4682" s="101">
        <f t="shared" ca="1" si="266"/>
        <v>0</v>
      </c>
      <c r="F4682" s="21">
        <f t="shared" ca="1" si="267"/>
        <v>0</v>
      </c>
      <c r="H4682" s="21">
        <v>4667</v>
      </c>
      <c r="I4682" s="102">
        <v>0.66765761814646085</v>
      </c>
      <c r="J4682" s="103">
        <v>1.2532638293089242E-3</v>
      </c>
      <c r="K4682" s="103"/>
      <c r="L4682" s="103">
        <v>4.0399999999999998E-2</v>
      </c>
      <c r="O4682" s="100"/>
    </row>
    <row r="4683" spans="2:15" x14ac:dyDescent="0.2">
      <c r="B4683" s="1">
        <f t="shared" si="268"/>
        <v>4668</v>
      </c>
      <c r="C4683" s="101">
        <f ca="1"/>
        <v>0.77296165587466259</v>
      </c>
      <c r="D4683" s="101">
        <f t="shared" ca="1" si="265"/>
        <v>0.71714933652343082</v>
      </c>
      <c r="E4683" s="101">
        <f t="shared" ca="1" si="266"/>
        <v>0</v>
      </c>
      <c r="F4683" s="21">
        <f t="shared" ca="1" si="267"/>
        <v>0</v>
      </c>
      <c r="H4683" s="21">
        <v>4668</v>
      </c>
      <c r="I4683" s="102">
        <v>0.66784265192847581</v>
      </c>
      <c r="J4683" s="103">
        <v>1.3644468620560451E-3</v>
      </c>
      <c r="K4683" s="103"/>
      <c r="L4683" s="103">
        <v>4.48E-2</v>
      </c>
      <c r="O4683" s="100"/>
    </row>
    <row r="4684" spans="2:15" x14ac:dyDescent="0.2">
      <c r="B4684" s="1">
        <f t="shared" si="268"/>
        <v>4669</v>
      </c>
      <c r="C4684" s="101">
        <f ca="1"/>
        <v>-1.7541901249625615</v>
      </c>
      <c r="D4684" s="101">
        <f t="shared" ca="1" si="265"/>
        <v>0.55891784609189965</v>
      </c>
      <c r="E4684" s="101">
        <f t="shared" ca="1" si="266"/>
        <v>0</v>
      </c>
      <c r="F4684" s="21">
        <f t="shared" ca="1" si="267"/>
        <v>0</v>
      </c>
      <c r="H4684" s="21">
        <v>4669</v>
      </c>
      <c r="I4684" s="102">
        <v>0.66782061025119366</v>
      </c>
      <c r="J4684" s="103">
        <v>1.3378086241449627E-3</v>
      </c>
      <c r="K4684" s="103"/>
      <c r="L4684" s="103">
        <v>4.4200000000000003E-2</v>
      </c>
      <c r="O4684" s="100"/>
    </row>
    <row r="4685" spans="2:15" x14ac:dyDescent="0.2">
      <c r="B4685" s="1">
        <f t="shared" si="268"/>
        <v>4670</v>
      </c>
      <c r="C4685" s="101">
        <f ca="1"/>
        <v>1.2916160540805917</v>
      </c>
      <c r="D4685" s="101">
        <f t="shared" ca="1" si="265"/>
        <v>0.75479399373429501</v>
      </c>
      <c r="E4685" s="101">
        <f t="shared" ca="1" si="266"/>
        <v>0</v>
      </c>
      <c r="F4685" s="21">
        <f t="shared" ca="1" si="267"/>
        <v>0</v>
      </c>
      <c r="H4685" s="21">
        <v>4670</v>
      </c>
      <c r="I4685" s="102">
        <v>0.66776854055926904</v>
      </c>
      <c r="J4685" s="103">
        <v>1.4535896844850586E-3</v>
      </c>
      <c r="K4685" s="103"/>
      <c r="L4685" s="103">
        <v>4.1399999999999999E-2</v>
      </c>
      <c r="O4685" s="100"/>
    </row>
    <row r="4686" spans="2:15" x14ac:dyDescent="0.2">
      <c r="B4686" s="1">
        <f t="shared" si="268"/>
        <v>4671</v>
      </c>
      <c r="C4686" s="101">
        <f ca="1"/>
        <v>0.93133861576110499</v>
      </c>
      <c r="D4686" s="101">
        <f t="shared" ca="1" si="265"/>
        <v>0.72844098386733558</v>
      </c>
      <c r="E4686" s="101">
        <f t="shared" ca="1" si="266"/>
        <v>0</v>
      </c>
      <c r="F4686" s="21">
        <f t="shared" ca="1" si="267"/>
        <v>0</v>
      </c>
      <c r="H4686" s="21">
        <v>4671</v>
      </c>
      <c r="I4686" s="102">
        <v>0.66761511294153342</v>
      </c>
      <c r="J4686" s="103">
        <v>1.170690656420111E-3</v>
      </c>
      <c r="K4686" s="103"/>
      <c r="L4686" s="103">
        <v>3.9600000000000003E-2</v>
      </c>
      <c r="O4686" s="100"/>
    </row>
    <row r="4687" spans="2:15" x14ac:dyDescent="0.2">
      <c r="B4687" s="1">
        <f t="shared" si="268"/>
        <v>4672</v>
      </c>
      <c r="C4687" s="101">
        <f ca="1"/>
        <v>-1.2328451264952323</v>
      </c>
      <c r="D4687" s="101">
        <f t="shared" ca="1" si="265"/>
        <v>0.58841275053746811</v>
      </c>
      <c r="E4687" s="101">
        <f t="shared" ca="1" si="266"/>
        <v>0</v>
      </c>
      <c r="F4687" s="21">
        <f t="shared" ca="1" si="267"/>
        <v>0</v>
      </c>
      <c r="H4687" s="21">
        <v>4672</v>
      </c>
      <c r="I4687" s="102">
        <v>0.66777121268203365</v>
      </c>
      <c r="J4687" s="103">
        <v>1.3264532474147148E-3</v>
      </c>
      <c r="K4687" s="103"/>
      <c r="L4687" s="103">
        <v>4.0399999999999998E-2</v>
      </c>
      <c r="O4687" s="100"/>
    </row>
    <row r="4688" spans="2:15" x14ac:dyDescent="0.2">
      <c r="B4688" s="1">
        <f t="shared" si="268"/>
        <v>4673</v>
      </c>
      <c r="C4688" s="101">
        <f ca="1"/>
        <v>-1.448239006030122</v>
      </c>
      <c r="D4688" s="101">
        <f t="shared" ref="D4688:D4751" ca="1" si="269">S0*EXP((μ-0.5*σ*σ)*T+σ*SQRT(T)*$C4688)</f>
        <v>0.57604277523503145</v>
      </c>
      <c r="E4688" s="101">
        <f t="shared" ref="E4688:E4751" ca="1" si="270">MAX(0,CP*(D4688-K))</f>
        <v>0</v>
      </c>
      <c r="F4688" s="21">
        <f t="shared" ref="F4688:F4751" ca="1" si="271">(CP*(D4688-K)&gt;0)*1</f>
        <v>0</v>
      </c>
      <c r="H4688" s="21">
        <v>4673</v>
      </c>
      <c r="I4688" s="102">
        <v>0.66760094867520403</v>
      </c>
      <c r="J4688" s="103">
        <v>1.2489677155651609E-3</v>
      </c>
      <c r="K4688" s="103"/>
      <c r="L4688" s="103">
        <v>0.04</v>
      </c>
      <c r="O4688" s="100"/>
    </row>
    <row r="4689" spans="2:15" x14ac:dyDescent="0.2">
      <c r="B4689" s="1">
        <f t="shared" si="268"/>
        <v>4674</v>
      </c>
      <c r="C4689" s="101">
        <f ca="1"/>
        <v>-0.92255618384126803</v>
      </c>
      <c r="D4689" s="101">
        <f t="shared" ca="1" si="269"/>
        <v>0.60670093193096741</v>
      </c>
      <c r="E4689" s="101">
        <f t="shared" ca="1" si="270"/>
        <v>0</v>
      </c>
      <c r="F4689" s="21">
        <f t="shared" ca="1" si="271"/>
        <v>0</v>
      </c>
      <c r="H4689" s="21">
        <v>4674</v>
      </c>
      <c r="I4689" s="102">
        <v>0.66772056442530481</v>
      </c>
      <c r="J4689" s="103">
        <v>1.2835178995229664E-3</v>
      </c>
      <c r="K4689" s="103"/>
      <c r="L4689" s="103">
        <v>0.04</v>
      </c>
      <c r="O4689" s="100"/>
    </row>
    <row r="4690" spans="2:15" x14ac:dyDescent="0.2">
      <c r="B4690" s="1">
        <f t="shared" si="268"/>
        <v>4675</v>
      </c>
      <c r="C4690" s="101">
        <f ca="1"/>
        <v>0.36318449401230957</v>
      </c>
      <c r="D4690" s="101">
        <f t="shared" ca="1" si="269"/>
        <v>0.68873951427468594</v>
      </c>
      <c r="E4690" s="101">
        <f t="shared" ca="1" si="270"/>
        <v>0</v>
      </c>
      <c r="F4690" s="21">
        <f t="shared" ca="1" si="271"/>
        <v>0</v>
      </c>
      <c r="H4690" s="21">
        <v>4675</v>
      </c>
      <c r="I4690" s="102">
        <v>0.66777607332283884</v>
      </c>
      <c r="J4690" s="103">
        <v>1.4440544529606492E-3</v>
      </c>
      <c r="K4690" s="103"/>
      <c r="L4690" s="103">
        <v>4.2000000000000003E-2</v>
      </c>
      <c r="O4690" s="100"/>
    </row>
    <row r="4691" spans="2:15" x14ac:dyDescent="0.2">
      <c r="B4691" s="1">
        <f t="shared" si="268"/>
        <v>4676</v>
      </c>
      <c r="C4691" s="101">
        <f ca="1"/>
        <v>-1.5094068817195798</v>
      </c>
      <c r="D4691" s="101">
        <f t="shared" ca="1" si="269"/>
        <v>0.57257758170766704</v>
      </c>
      <c r="E4691" s="101">
        <f t="shared" ca="1" si="270"/>
        <v>0</v>
      </c>
      <c r="F4691" s="21">
        <f t="shared" ca="1" si="271"/>
        <v>0</v>
      </c>
      <c r="H4691" s="21">
        <v>4676</v>
      </c>
      <c r="I4691" s="102">
        <v>0.66776434921968431</v>
      </c>
      <c r="J4691" s="103">
        <v>1.2913347206995071E-3</v>
      </c>
      <c r="K4691" s="103"/>
      <c r="L4691" s="103">
        <v>4.3200000000000002E-2</v>
      </c>
      <c r="O4691" s="100"/>
    </row>
    <row r="4692" spans="2:15" x14ac:dyDescent="0.2">
      <c r="B4692" s="1">
        <f t="shared" si="268"/>
        <v>4677</v>
      </c>
      <c r="C4692" s="101">
        <f ca="1"/>
        <v>0.25133201761330132</v>
      </c>
      <c r="D4692" s="101">
        <f t="shared" ca="1" si="269"/>
        <v>0.681182228212173</v>
      </c>
      <c r="E4692" s="101">
        <f t="shared" ca="1" si="270"/>
        <v>0</v>
      </c>
      <c r="F4692" s="21">
        <f t="shared" ca="1" si="271"/>
        <v>0</v>
      </c>
      <c r="H4692" s="21">
        <v>4677</v>
      </c>
      <c r="I4692" s="102">
        <v>0.66773900695887267</v>
      </c>
      <c r="J4692" s="103">
        <v>1.3224828861126722E-3</v>
      </c>
      <c r="K4692" s="103"/>
      <c r="L4692" s="103">
        <v>3.9600000000000003E-2</v>
      </c>
      <c r="O4692" s="100"/>
    </row>
    <row r="4693" spans="2:15" x14ac:dyDescent="0.2">
      <c r="B4693" s="1">
        <f t="shared" si="268"/>
        <v>4678</v>
      </c>
      <c r="C4693" s="101">
        <f ca="1"/>
        <v>-0.73460742194610162</v>
      </c>
      <c r="D4693" s="101">
        <f t="shared" ca="1" si="269"/>
        <v>0.6180537860179387</v>
      </c>
      <c r="E4693" s="101">
        <f t="shared" ca="1" si="270"/>
        <v>0</v>
      </c>
      <c r="F4693" s="21">
        <f t="shared" ca="1" si="271"/>
        <v>0</v>
      </c>
      <c r="H4693" s="21">
        <v>4678</v>
      </c>
      <c r="I4693" s="102">
        <v>0.66774900796999237</v>
      </c>
      <c r="J4693" s="103">
        <v>1.2944776635923339E-3</v>
      </c>
      <c r="K4693" s="103"/>
      <c r="L4693" s="103">
        <v>3.9800000000000002E-2</v>
      </c>
      <c r="O4693" s="100"/>
    </row>
    <row r="4694" spans="2:15" x14ac:dyDescent="0.2">
      <c r="B4694" s="1">
        <f t="shared" si="268"/>
        <v>4679</v>
      </c>
      <c r="C4694" s="101">
        <f ca="1"/>
        <v>0.10246346123376995</v>
      </c>
      <c r="D4694" s="101">
        <f t="shared" ca="1" si="269"/>
        <v>0.67125243121563083</v>
      </c>
      <c r="E4694" s="101">
        <f t="shared" ca="1" si="270"/>
        <v>0</v>
      </c>
      <c r="F4694" s="21">
        <f t="shared" ca="1" si="271"/>
        <v>0</v>
      </c>
      <c r="H4694" s="21">
        <v>4679</v>
      </c>
      <c r="I4694" s="102">
        <v>0.66770757173672324</v>
      </c>
      <c r="J4694" s="103">
        <v>1.3090354596123797E-3</v>
      </c>
      <c r="K4694" s="103"/>
      <c r="L4694" s="103">
        <v>4.2999999999999997E-2</v>
      </c>
      <c r="O4694" s="100"/>
    </row>
    <row r="4695" spans="2:15" x14ac:dyDescent="0.2">
      <c r="B4695" s="1">
        <f t="shared" si="268"/>
        <v>4680</v>
      </c>
      <c r="C4695" s="101">
        <f ca="1"/>
        <v>0.95738844686018243</v>
      </c>
      <c r="D4695" s="101">
        <f t="shared" ca="1" si="269"/>
        <v>0.73031518537781881</v>
      </c>
      <c r="E4695" s="101">
        <f t="shared" ca="1" si="270"/>
        <v>0</v>
      </c>
      <c r="F4695" s="21">
        <f t="shared" ca="1" si="271"/>
        <v>0</v>
      </c>
      <c r="H4695" s="21">
        <v>4680</v>
      </c>
      <c r="I4695" s="102">
        <v>0.66774321415833771</v>
      </c>
      <c r="J4695" s="103">
        <v>1.339663724169858E-3</v>
      </c>
      <c r="K4695" s="103"/>
      <c r="L4695" s="103">
        <v>4.1599999999999998E-2</v>
      </c>
      <c r="O4695" s="100"/>
    </row>
    <row r="4696" spans="2:15" x14ac:dyDescent="0.2">
      <c r="B4696" s="1">
        <f t="shared" si="268"/>
        <v>4681</v>
      </c>
      <c r="C4696" s="101">
        <f ca="1"/>
        <v>1.2746370277838037</v>
      </c>
      <c r="D4696" s="101">
        <f t="shared" ca="1" si="269"/>
        <v>0.75353089737750778</v>
      </c>
      <c r="E4696" s="101">
        <f t="shared" ca="1" si="270"/>
        <v>0</v>
      </c>
      <c r="F4696" s="21">
        <f t="shared" ca="1" si="271"/>
        <v>0</v>
      </c>
      <c r="H4696" s="21">
        <v>4681</v>
      </c>
      <c r="I4696" s="102">
        <v>0.66773184129958008</v>
      </c>
      <c r="J4696" s="103">
        <v>1.4389580594938497E-3</v>
      </c>
      <c r="K4696" s="103"/>
      <c r="L4696" s="103">
        <v>4.1399999999999999E-2</v>
      </c>
      <c r="O4696" s="100"/>
    </row>
    <row r="4697" spans="2:15" x14ac:dyDescent="0.2">
      <c r="B4697" s="1">
        <f t="shared" si="268"/>
        <v>4682</v>
      </c>
      <c r="C4697" s="101">
        <f ca="1"/>
        <v>-9.1797854413019075E-2</v>
      </c>
      <c r="D4697" s="101">
        <f t="shared" ca="1" si="269"/>
        <v>0.65851221715545338</v>
      </c>
      <c r="E4697" s="101">
        <f t="shared" ca="1" si="270"/>
        <v>0</v>
      </c>
      <c r="F4697" s="21">
        <f t="shared" ca="1" si="271"/>
        <v>0</v>
      </c>
      <c r="H4697" s="21">
        <v>4682</v>
      </c>
      <c r="I4697" s="102">
        <v>0.66776886784355094</v>
      </c>
      <c r="J4697" s="103">
        <v>1.4264570867053509E-3</v>
      </c>
      <c r="K4697" s="103"/>
      <c r="L4697" s="103">
        <v>4.02E-2</v>
      </c>
      <c r="O4697" s="100"/>
    </row>
    <row r="4698" spans="2:15" x14ac:dyDescent="0.2">
      <c r="B4698" s="1">
        <f t="shared" si="268"/>
        <v>4683</v>
      </c>
      <c r="C4698" s="101">
        <f ca="1"/>
        <v>0.97393736672003306</v>
      </c>
      <c r="D4698" s="101">
        <f t="shared" ca="1" si="269"/>
        <v>0.73150833087190259</v>
      </c>
      <c r="E4698" s="101">
        <f t="shared" ca="1" si="270"/>
        <v>0</v>
      </c>
      <c r="F4698" s="21">
        <f t="shared" ca="1" si="271"/>
        <v>0</v>
      </c>
      <c r="H4698" s="21">
        <v>4683</v>
      </c>
      <c r="I4698" s="102">
        <v>0.66772546847496228</v>
      </c>
      <c r="J4698" s="103">
        <v>1.4028101672593988E-3</v>
      </c>
      <c r="K4698" s="103"/>
      <c r="L4698" s="103">
        <v>4.0800000000000003E-2</v>
      </c>
      <c r="O4698" s="100"/>
    </row>
    <row r="4699" spans="2:15" x14ac:dyDescent="0.2">
      <c r="B4699" s="1">
        <f t="shared" si="268"/>
        <v>4684</v>
      </c>
      <c r="C4699" s="101">
        <f ca="1"/>
        <v>4.3257119578464689E-2</v>
      </c>
      <c r="D4699" s="101">
        <f t="shared" ca="1" si="269"/>
        <v>0.6673436133472036</v>
      </c>
      <c r="E4699" s="101">
        <f t="shared" ca="1" si="270"/>
        <v>0</v>
      </c>
      <c r="F4699" s="21">
        <f t="shared" ca="1" si="271"/>
        <v>0</v>
      </c>
      <c r="H4699" s="21">
        <v>4684</v>
      </c>
      <c r="I4699" s="102">
        <v>0.66769881693735944</v>
      </c>
      <c r="J4699" s="103">
        <v>1.3152359654641009E-3</v>
      </c>
      <c r="K4699" s="103"/>
      <c r="L4699" s="103">
        <v>4.0599999999999997E-2</v>
      </c>
      <c r="O4699" s="100"/>
    </row>
    <row r="4700" spans="2:15" x14ac:dyDescent="0.2">
      <c r="B4700" s="1">
        <f t="shared" si="268"/>
        <v>4685</v>
      </c>
      <c r="C4700" s="101">
        <f ca="1"/>
        <v>0.57422561794541882</v>
      </c>
      <c r="D4700" s="101">
        <f t="shared" ca="1" si="269"/>
        <v>0.70322754203725091</v>
      </c>
      <c r="E4700" s="101">
        <f t="shared" ca="1" si="270"/>
        <v>0</v>
      </c>
      <c r="F4700" s="21">
        <f t="shared" ca="1" si="271"/>
        <v>0</v>
      </c>
      <c r="H4700" s="21">
        <v>4685</v>
      </c>
      <c r="I4700" s="102">
        <v>0.66773020931468241</v>
      </c>
      <c r="J4700" s="103">
        <v>1.4081256242782709E-3</v>
      </c>
      <c r="K4700" s="103"/>
      <c r="L4700" s="103">
        <v>4.3200000000000002E-2</v>
      </c>
      <c r="O4700" s="100"/>
    </row>
    <row r="4701" spans="2:15" x14ac:dyDescent="0.2">
      <c r="B4701" s="1">
        <f t="shared" si="268"/>
        <v>4686</v>
      </c>
      <c r="C4701" s="101">
        <f ca="1"/>
        <v>2.2814350324600055</v>
      </c>
      <c r="D4701" s="101">
        <f t="shared" ca="1" si="269"/>
        <v>0.8322075861892424</v>
      </c>
      <c r="E4701" s="101">
        <f t="shared" ca="1" si="270"/>
        <v>4.4007586189242387E-2</v>
      </c>
      <c r="F4701" s="21">
        <f t="shared" ca="1" si="271"/>
        <v>1</v>
      </c>
      <c r="H4701" s="21">
        <v>4686</v>
      </c>
      <c r="I4701" s="102">
        <v>0.66781664024490384</v>
      </c>
      <c r="J4701" s="103">
        <v>1.527289319903771E-3</v>
      </c>
      <c r="K4701" s="103"/>
      <c r="L4701" s="103">
        <v>4.2200000000000001E-2</v>
      </c>
      <c r="O4701" s="100"/>
    </row>
    <row r="4702" spans="2:15" x14ac:dyDescent="0.2">
      <c r="B4702" s="1">
        <f t="shared" si="268"/>
        <v>4687</v>
      </c>
      <c r="C4702" s="101">
        <f ca="1"/>
        <v>1.2553405885435238</v>
      </c>
      <c r="D4702" s="101">
        <f t="shared" ca="1" si="269"/>
        <v>0.75209797098004039</v>
      </c>
      <c r="E4702" s="101">
        <f t="shared" ca="1" si="270"/>
        <v>0</v>
      </c>
      <c r="F4702" s="21">
        <f t="shared" ca="1" si="271"/>
        <v>0</v>
      </c>
      <c r="H4702" s="21">
        <v>4687</v>
      </c>
      <c r="I4702" s="102">
        <v>0.66774882471576624</v>
      </c>
      <c r="J4702" s="103">
        <v>1.4079727733800531E-3</v>
      </c>
      <c r="K4702" s="103"/>
      <c r="L4702" s="103">
        <v>4.1599999999999998E-2</v>
      </c>
      <c r="O4702" s="100"/>
    </row>
    <row r="4703" spans="2:15" x14ac:dyDescent="0.2">
      <c r="B4703" s="1">
        <f t="shared" si="268"/>
        <v>4688</v>
      </c>
      <c r="C4703" s="101">
        <f ca="1"/>
        <v>1.0808109850951859</v>
      </c>
      <c r="D4703" s="101">
        <f t="shared" ca="1" si="269"/>
        <v>0.73926079743161699</v>
      </c>
      <c r="E4703" s="101">
        <f t="shared" ca="1" si="270"/>
        <v>0</v>
      </c>
      <c r="F4703" s="21">
        <f t="shared" ca="1" si="271"/>
        <v>0</v>
      </c>
      <c r="H4703" s="21">
        <v>4688</v>
      </c>
      <c r="I4703" s="102">
        <v>0.667779571850868</v>
      </c>
      <c r="J4703" s="103">
        <v>1.5122320381629319E-3</v>
      </c>
      <c r="K4703" s="103"/>
      <c r="L4703" s="103">
        <v>4.3400000000000001E-2</v>
      </c>
      <c r="O4703" s="100"/>
    </row>
    <row r="4704" spans="2:15" x14ac:dyDescent="0.2">
      <c r="B4704" s="1">
        <f t="shared" si="268"/>
        <v>4689</v>
      </c>
      <c r="C4704" s="101">
        <f ca="1"/>
        <v>1.9387028734684673</v>
      </c>
      <c r="D4704" s="101">
        <f t="shared" ca="1" si="269"/>
        <v>0.80454295449083868</v>
      </c>
      <c r="E4704" s="101">
        <f t="shared" ca="1" si="270"/>
        <v>1.6342954490838668E-2</v>
      </c>
      <c r="F4704" s="21">
        <f t="shared" ca="1" si="271"/>
        <v>1</v>
      </c>
      <c r="H4704" s="21">
        <v>4689</v>
      </c>
      <c r="I4704" s="102">
        <v>0.66767065095803202</v>
      </c>
      <c r="J4704" s="103">
        <v>1.239162365076414E-3</v>
      </c>
      <c r="K4704" s="103"/>
      <c r="L4704" s="103">
        <v>0.04</v>
      </c>
      <c r="O4704" s="100"/>
    </row>
    <row r="4705" spans="2:15" x14ac:dyDescent="0.2">
      <c r="B4705" s="1">
        <f t="shared" si="268"/>
        <v>4690</v>
      </c>
      <c r="C4705" s="101">
        <f ca="1"/>
        <v>-0.41812126195731608</v>
      </c>
      <c r="D4705" s="101">
        <f t="shared" ca="1" si="269"/>
        <v>0.63765290577583678</v>
      </c>
      <c r="E4705" s="101">
        <f t="shared" ca="1" si="270"/>
        <v>0</v>
      </c>
      <c r="F4705" s="21">
        <f t="shared" ca="1" si="271"/>
        <v>0</v>
      </c>
      <c r="H4705" s="21">
        <v>4690</v>
      </c>
      <c r="I4705" s="102">
        <v>0.66771936470165194</v>
      </c>
      <c r="J4705" s="103">
        <v>1.3702201551790494E-3</v>
      </c>
      <c r="K4705" s="103"/>
      <c r="L4705" s="103">
        <v>4.1200000000000001E-2</v>
      </c>
      <c r="O4705" s="100"/>
    </row>
    <row r="4706" spans="2:15" x14ac:dyDescent="0.2">
      <c r="B4706" s="1">
        <f t="shared" si="268"/>
        <v>4691</v>
      </c>
      <c r="C4706" s="101">
        <f ca="1"/>
        <v>1.4640320524516328</v>
      </c>
      <c r="D4706" s="101">
        <f t="shared" ca="1" si="269"/>
        <v>0.76774081728713472</v>
      </c>
      <c r="E4706" s="101">
        <f t="shared" ca="1" si="270"/>
        <v>0</v>
      </c>
      <c r="F4706" s="21">
        <f t="shared" ca="1" si="271"/>
        <v>0</v>
      </c>
      <c r="H4706" s="21">
        <v>4691</v>
      </c>
      <c r="I4706" s="102">
        <v>0.66773926580786458</v>
      </c>
      <c r="J4706" s="103">
        <v>1.3590274304107117E-3</v>
      </c>
      <c r="K4706" s="103"/>
      <c r="L4706" s="103">
        <v>4.0599999999999997E-2</v>
      </c>
      <c r="O4706" s="100"/>
    </row>
    <row r="4707" spans="2:15" x14ac:dyDescent="0.2">
      <c r="B4707" s="1">
        <f t="shared" si="268"/>
        <v>4692</v>
      </c>
      <c r="C4707" s="101">
        <f ca="1"/>
        <v>2.4734805993921909</v>
      </c>
      <c r="D4707" s="101">
        <f t="shared" ca="1" si="269"/>
        <v>0.8481228890809801</v>
      </c>
      <c r="E4707" s="101">
        <f t="shared" ca="1" si="270"/>
        <v>5.9922889080980091E-2</v>
      </c>
      <c r="F4707" s="21">
        <f t="shared" ca="1" si="271"/>
        <v>1</v>
      </c>
      <c r="H4707" s="21">
        <v>4692</v>
      </c>
      <c r="I4707" s="102">
        <v>0.66776279696959751</v>
      </c>
      <c r="J4707" s="103">
        <v>1.4603889458633995E-3</v>
      </c>
      <c r="K4707" s="103"/>
      <c r="L4707" s="103">
        <v>4.36E-2</v>
      </c>
      <c r="O4707" s="100"/>
    </row>
    <row r="4708" spans="2:15" x14ac:dyDescent="0.2">
      <c r="B4708" s="1">
        <f t="shared" si="268"/>
        <v>4693</v>
      </c>
      <c r="C4708" s="101">
        <f ca="1"/>
        <v>0.96582647321683379</v>
      </c>
      <c r="D4708" s="101">
        <f t="shared" ca="1" si="269"/>
        <v>0.73092330758302304</v>
      </c>
      <c r="E4708" s="101">
        <f t="shared" ca="1" si="270"/>
        <v>0</v>
      </c>
      <c r="F4708" s="21">
        <f t="shared" ca="1" si="271"/>
        <v>0</v>
      </c>
      <c r="H4708" s="21">
        <v>4693</v>
      </c>
      <c r="I4708" s="102">
        <v>0.66778634834029515</v>
      </c>
      <c r="J4708" s="103">
        <v>1.3891206908834197E-3</v>
      </c>
      <c r="K4708" s="103"/>
      <c r="L4708" s="103">
        <v>4.4600000000000001E-2</v>
      </c>
      <c r="O4708" s="100"/>
    </row>
    <row r="4709" spans="2:15" x14ac:dyDescent="0.2">
      <c r="B4709" s="1">
        <f t="shared" si="268"/>
        <v>4694</v>
      </c>
      <c r="C4709" s="101">
        <f ca="1"/>
        <v>0.26754347945667278</v>
      </c>
      <c r="D4709" s="101">
        <f t="shared" ca="1" si="269"/>
        <v>0.6822723918164143</v>
      </c>
      <c r="E4709" s="101">
        <f t="shared" ca="1" si="270"/>
        <v>0</v>
      </c>
      <c r="F4709" s="21">
        <f t="shared" ca="1" si="271"/>
        <v>0</v>
      </c>
      <c r="H4709" s="21">
        <v>4694</v>
      </c>
      <c r="I4709" s="102">
        <v>0.66773772290637312</v>
      </c>
      <c r="J4709" s="103">
        <v>1.3777152428130091E-3</v>
      </c>
      <c r="K4709" s="103"/>
      <c r="L4709" s="103">
        <v>4.1200000000000001E-2</v>
      </c>
      <c r="O4709" s="100"/>
    </row>
    <row r="4710" spans="2:15" x14ac:dyDescent="0.2">
      <c r="B4710" s="1">
        <f t="shared" si="268"/>
        <v>4695</v>
      </c>
      <c r="C4710" s="101">
        <f ca="1"/>
        <v>-0.44282136145151241</v>
      </c>
      <c r="D4710" s="101">
        <f t="shared" ca="1" si="269"/>
        <v>0.63610118710658159</v>
      </c>
      <c r="E4710" s="101">
        <f t="shared" ca="1" si="270"/>
        <v>0</v>
      </c>
      <c r="F4710" s="21">
        <f t="shared" ca="1" si="271"/>
        <v>0</v>
      </c>
      <c r="H4710" s="21">
        <v>4695</v>
      </c>
      <c r="I4710" s="102">
        <v>0.66766881709225434</v>
      </c>
      <c r="J4710" s="103">
        <v>1.2130032336136307E-3</v>
      </c>
      <c r="K4710" s="103"/>
      <c r="L4710" s="103">
        <v>4.0399999999999998E-2</v>
      </c>
      <c r="O4710" s="100"/>
    </row>
    <row r="4711" spans="2:15" x14ac:dyDescent="0.2">
      <c r="B4711" s="1">
        <f t="shared" si="268"/>
        <v>4696</v>
      </c>
      <c r="C4711" s="101">
        <f ca="1"/>
        <v>-0.25792544352805868</v>
      </c>
      <c r="D4711" s="101">
        <f t="shared" ca="1" si="269"/>
        <v>0.64780908328522835</v>
      </c>
      <c r="E4711" s="101">
        <f t="shared" ca="1" si="270"/>
        <v>0</v>
      </c>
      <c r="F4711" s="21">
        <f t="shared" ca="1" si="271"/>
        <v>0</v>
      </c>
      <c r="H4711" s="21">
        <v>4696</v>
      </c>
      <c r="I4711" s="102">
        <v>0.66774755152872722</v>
      </c>
      <c r="J4711" s="103">
        <v>1.402653039849062E-3</v>
      </c>
      <c r="K4711" s="103"/>
      <c r="L4711" s="103">
        <v>4.1200000000000001E-2</v>
      </c>
      <c r="O4711" s="100"/>
    </row>
    <row r="4712" spans="2:15" x14ac:dyDescent="0.2">
      <c r="B4712" s="1">
        <f t="shared" si="268"/>
        <v>4697</v>
      </c>
      <c r="C4712" s="101">
        <f ca="1"/>
        <v>-0.56956886699059761</v>
      </c>
      <c r="D4712" s="101">
        <f t="shared" ca="1" si="269"/>
        <v>0.62819781438348177</v>
      </c>
      <c r="E4712" s="101">
        <f t="shared" ca="1" si="270"/>
        <v>0</v>
      </c>
      <c r="F4712" s="21">
        <f t="shared" ca="1" si="271"/>
        <v>0</v>
      </c>
      <c r="H4712" s="21">
        <v>4697</v>
      </c>
      <c r="I4712" s="102">
        <v>0.66777094789531166</v>
      </c>
      <c r="J4712" s="103">
        <v>1.3526565352833273E-3</v>
      </c>
      <c r="K4712" s="103"/>
      <c r="L4712" s="103">
        <v>4.48E-2</v>
      </c>
      <c r="O4712" s="100"/>
    </row>
    <row r="4713" spans="2:15" x14ac:dyDescent="0.2">
      <c r="B4713" s="1">
        <f t="shared" si="268"/>
        <v>4698</v>
      </c>
      <c r="C4713" s="101">
        <f ca="1"/>
        <v>0.87044755111460881</v>
      </c>
      <c r="D4713" s="101">
        <f t="shared" ca="1" si="269"/>
        <v>0.7240788074510246</v>
      </c>
      <c r="E4713" s="101">
        <f t="shared" ca="1" si="270"/>
        <v>0</v>
      </c>
      <c r="F4713" s="21">
        <f t="shared" ca="1" si="271"/>
        <v>0</v>
      </c>
      <c r="H4713" s="21">
        <v>4698</v>
      </c>
      <c r="I4713" s="102">
        <v>0.66778344500150066</v>
      </c>
      <c r="J4713" s="103">
        <v>1.3734151533271871E-3</v>
      </c>
      <c r="K4713" s="103"/>
      <c r="L4713" s="103">
        <v>4.2599999999999999E-2</v>
      </c>
      <c r="O4713" s="100"/>
    </row>
    <row r="4714" spans="2:15" x14ac:dyDescent="0.2">
      <c r="B4714" s="1">
        <f t="shared" si="268"/>
        <v>4699</v>
      </c>
      <c r="C4714" s="101">
        <f ca="1"/>
        <v>2.734242150567725</v>
      </c>
      <c r="D4714" s="101">
        <f t="shared" ca="1" si="269"/>
        <v>0.8702211778729062</v>
      </c>
      <c r="E4714" s="101">
        <f t="shared" ca="1" si="270"/>
        <v>8.2021177872906192E-2</v>
      </c>
      <c r="F4714" s="21">
        <f t="shared" ca="1" si="271"/>
        <v>1</v>
      </c>
      <c r="H4714" s="21">
        <v>4699</v>
      </c>
      <c r="I4714" s="102">
        <v>0.66791968597935192</v>
      </c>
      <c r="J4714" s="103">
        <v>1.7374125192469439E-3</v>
      </c>
      <c r="K4714" s="103"/>
      <c r="L4714" s="103">
        <v>4.6800000000000001E-2</v>
      </c>
      <c r="O4714" s="100"/>
    </row>
    <row r="4715" spans="2:15" x14ac:dyDescent="0.2">
      <c r="B4715" s="1">
        <f t="shared" si="268"/>
        <v>4700</v>
      </c>
      <c r="C4715" s="101">
        <f ca="1"/>
        <v>1.8137920841660509</v>
      </c>
      <c r="D4715" s="101">
        <f t="shared" ca="1" si="269"/>
        <v>0.79469070761199423</v>
      </c>
      <c r="E4715" s="101">
        <f t="shared" ca="1" si="270"/>
        <v>6.4907076119942175E-3</v>
      </c>
      <c r="F4715" s="21">
        <f t="shared" ca="1" si="271"/>
        <v>1</v>
      </c>
      <c r="H4715" s="21">
        <v>4700</v>
      </c>
      <c r="I4715" s="102">
        <v>0.66791604942846639</v>
      </c>
      <c r="J4715" s="103">
        <v>1.5119048973419045E-3</v>
      </c>
      <c r="K4715" s="103"/>
      <c r="L4715" s="103">
        <v>4.4999999999999998E-2</v>
      </c>
      <c r="O4715" s="100"/>
    </row>
    <row r="4716" spans="2:15" x14ac:dyDescent="0.2">
      <c r="B4716" s="1">
        <f t="shared" si="268"/>
        <v>4701</v>
      </c>
      <c r="C4716" s="101">
        <f ca="1"/>
        <v>0.86239839689348108</v>
      </c>
      <c r="D4716" s="101">
        <f t="shared" ca="1" si="269"/>
        <v>0.7235041320774771</v>
      </c>
      <c r="E4716" s="101">
        <f t="shared" ca="1" si="270"/>
        <v>0</v>
      </c>
      <c r="F4716" s="21">
        <f t="shared" ca="1" si="271"/>
        <v>0</v>
      </c>
      <c r="H4716" s="21">
        <v>4701</v>
      </c>
      <c r="I4716" s="102">
        <v>0.6676499882329745</v>
      </c>
      <c r="J4716" s="103">
        <v>1.216496442649242E-3</v>
      </c>
      <c r="K4716" s="103"/>
      <c r="L4716" s="103">
        <v>3.8600000000000002E-2</v>
      </c>
      <c r="O4716" s="100"/>
    </row>
    <row r="4717" spans="2:15" x14ac:dyDescent="0.2">
      <c r="B4717" s="1">
        <f t="shared" si="268"/>
        <v>4702</v>
      </c>
      <c r="C4717" s="101">
        <f ca="1"/>
        <v>-9.2750164574048999E-2</v>
      </c>
      <c r="D4717" s="101">
        <f t="shared" ca="1" si="269"/>
        <v>0.65845036130853585</v>
      </c>
      <c r="E4717" s="101">
        <f t="shared" ca="1" si="270"/>
        <v>0</v>
      </c>
      <c r="F4717" s="21">
        <f t="shared" ca="1" si="271"/>
        <v>0</v>
      </c>
      <c r="H4717" s="21">
        <v>4702</v>
      </c>
      <c r="I4717" s="102">
        <v>0.6678745637739244</v>
      </c>
      <c r="J4717" s="103">
        <v>1.5462953765423045E-3</v>
      </c>
      <c r="K4717" s="103"/>
      <c r="L4717" s="103">
        <v>4.7399999999999998E-2</v>
      </c>
      <c r="O4717" s="100"/>
    </row>
    <row r="4718" spans="2:15" x14ac:dyDescent="0.2">
      <c r="B4718" s="1">
        <f t="shared" si="268"/>
        <v>4703</v>
      </c>
      <c r="C4718" s="101">
        <f ca="1"/>
        <v>-0.18537629530009492</v>
      </c>
      <c r="D4718" s="101">
        <f t="shared" ca="1" si="269"/>
        <v>0.65246165588734661</v>
      </c>
      <c r="E4718" s="101">
        <f t="shared" ca="1" si="270"/>
        <v>0</v>
      </c>
      <c r="F4718" s="21">
        <f t="shared" ca="1" si="271"/>
        <v>0</v>
      </c>
      <c r="H4718" s="21">
        <v>4703</v>
      </c>
      <c r="I4718" s="102">
        <v>0.66766402801628044</v>
      </c>
      <c r="J4718" s="103">
        <v>1.2745318535890122E-3</v>
      </c>
      <c r="K4718" s="103"/>
      <c r="L4718" s="103">
        <v>3.7400000000000003E-2</v>
      </c>
      <c r="O4718" s="100"/>
    </row>
    <row r="4719" spans="2:15" x14ac:dyDescent="0.2">
      <c r="B4719" s="1">
        <f t="shared" si="268"/>
        <v>4704</v>
      </c>
      <c r="C4719" s="101">
        <f ca="1"/>
        <v>-1.2161172883134235</v>
      </c>
      <c r="D4719" s="101">
        <f t="shared" ca="1" si="269"/>
        <v>0.58938446607879569</v>
      </c>
      <c r="E4719" s="101">
        <f t="shared" ca="1" si="270"/>
        <v>0</v>
      </c>
      <c r="F4719" s="21">
        <f t="shared" ca="1" si="271"/>
        <v>0</v>
      </c>
      <c r="H4719" s="21">
        <v>4704</v>
      </c>
      <c r="I4719" s="102">
        <v>0.66768208540643459</v>
      </c>
      <c r="J4719" s="103">
        <v>1.4290599335335654E-3</v>
      </c>
      <c r="K4719" s="103"/>
      <c r="L4719" s="103">
        <v>4.2200000000000001E-2</v>
      </c>
      <c r="O4719" s="100"/>
    </row>
    <row r="4720" spans="2:15" x14ac:dyDescent="0.2">
      <c r="B4720" s="1">
        <f t="shared" ref="B4720:B4783" si="272">B4719+1</f>
        <v>4705</v>
      </c>
      <c r="C4720" s="101">
        <f ca="1"/>
        <v>0.30294002061729897</v>
      </c>
      <c r="D4720" s="101">
        <f t="shared" ca="1" si="269"/>
        <v>0.68465875163813139</v>
      </c>
      <c r="E4720" s="101">
        <f t="shared" ca="1" si="270"/>
        <v>0</v>
      </c>
      <c r="F4720" s="21">
        <f t="shared" ca="1" si="271"/>
        <v>0</v>
      </c>
      <c r="H4720" s="21">
        <v>4705</v>
      </c>
      <c r="I4720" s="102">
        <v>0.66771402341873065</v>
      </c>
      <c r="J4720" s="103">
        <v>1.4002286701083452E-3</v>
      </c>
      <c r="K4720" s="103"/>
      <c r="L4720" s="103">
        <v>3.9199999999999999E-2</v>
      </c>
      <c r="O4720" s="100"/>
    </row>
    <row r="4721" spans="2:15" x14ac:dyDescent="0.2">
      <c r="B4721" s="1">
        <f t="shared" si="272"/>
        <v>4706</v>
      </c>
      <c r="C4721" s="101">
        <f ca="1"/>
        <v>-0.1844648817351392</v>
      </c>
      <c r="D4721" s="101">
        <f t="shared" ca="1" si="269"/>
        <v>0.65252031681209799</v>
      </c>
      <c r="E4721" s="101">
        <f t="shared" ca="1" si="270"/>
        <v>0</v>
      </c>
      <c r="F4721" s="21">
        <f t="shared" ca="1" si="271"/>
        <v>0</v>
      </c>
      <c r="H4721" s="21">
        <v>4706</v>
      </c>
      <c r="I4721" s="102">
        <v>0.66768335751350527</v>
      </c>
      <c r="J4721" s="103">
        <v>1.2793644012200258E-3</v>
      </c>
      <c r="K4721" s="103"/>
      <c r="L4721" s="103">
        <v>0.04</v>
      </c>
      <c r="O4721" s="100"/>
    </row>
    <row r="4722" spans="2:15" x14ac:dyDescent="0.2">
      <c r="B4722" s="1">
        <f t="shared" si="272"/>
        <v>4707</v>
      </c>
      <c r="C4722" s="101">
        <f ca="1"/>
        <v>-0.42937476031987315</v>
      </c>
      <c r="D4722" s="101">
        <f t="shared" ca="1" si="269"/>
        <v>0.63694546551574371</v>
      </c>
      <c r="E4722" s="101">
        <f t="shared" ca="1" si="270"/>
        <v>0</v>
      </c>
      <c r="F4722" s="21">
        <f t="shared" ca="1" si="271"/>
        <v>0</v>
      </c>
      <c r="H4722" s="21">
        <v>4707</v>
      </c>
      <c r="I4722" s="102">
        <v>0.66776306081978465</v>
      </c>
      <c r="J4722" s="103">
        <v>1.5565569614924026E-3</v>
      </c>
      <c r="K4722" s="103"/>
      <c r="L4722" s="103">
        <v>4.3400000000000001E-2</v>
      </c>
      <c r="O4722" s="100"/>
    </row>
    <row r="4723" spans="2:15" x14ac:dyDescent="0.2">
      <c r="B4723" s="1">
        <f t="shared" si="272"/>
        <v>4708</v>
      </c>
      <c r="C4723" s="101">
        <f ca="1"/>
        <v>1.1180118157732712</v>
      </c>
      <c r="D4723" s="101">
        <f t="shared" ca="1" si="269"/>
        <v>0.74197852730806491</v>
      </c>
      <c r="E4723" s="101">
        <f t="shared" ca="1" si="270"/>
        <v>0</v>
      </c>
      <c r="F4723" s="21">
        <f t="shared" ca="1" si="271"/>
        <v>0</v>
      </c>
      <c r="H4723" s="21">
        <v>4708</v>
      </c>
      <c r="I4723" s="102">
        <v>0.66757946942521718</v>
      </c>
      <c r="J4723" s="103">
        <v>1.1107344591041975E-3</v>
      </c>
      <c r="K4723" s="103"/>
      <c r="L4723" s="103">
        <v>3.7400000000000003E-2</v>
      </c>
      <c r="O4723" s="100"/>
    </row>
    <row r="4724" spans="2:15" x14ac:dyDescent="0.2">
      <c r="B4724" s="1">
        <f t="shared" si="272"/>
        <v>4709</v>
      </c>
      <c r="C4724" s="101">
        <f ca="1"/>
        <v>-1.3517631889883543</v>
      </c>
      <c r="D4724" s="101">
        <f t="shared" ca="1" si="269"/>
        <v>0.58155085500225068</v>
      </c>
      <c r="E4724" s="101">
        <f t="shared" ca="1" si="270"/>
        <v>0</v>
      </c>
      <c r="F4724" s="21">
        <f t="shared" ca="1" si="271"/>
        <v>0</v>
      </c>
      <c r="H4724" s="21">
        <v>4709</v>
      </c>
      <c r="I4724" s="102">
        <v>0.66777487373103128</v>
      </c>
      <c r="J4724" s="103">
        <v>1.3239814343254783E-3</v>
      </c>
      <c r="K4724" s="103"/>
      <c r="L4724" s="103">
        <v>4.2799999999999998E-2</v>
      </c>
      <c r="O4724" s="100"/>
    </row>
    <row r="4725" spans="2:15" x14ac:dyDescent="0.2">
      <c r="B4725" s="1">
        <f t="shared" si="272"/>
        <v>4710</v>
      </c>
      <c r="C4725" s="101">
        <f ca="1"/>
        <v>-9.1776061697652525E-2</v>
      </c>
      <c r="D4725" s="101">
        <f t="shared" ca="1" si="269"/>
        <v>0.65851363273588581</v>
      </c>
      <c r="E4725" s="101">
        <f t="shared" ca="1" si="270"/>
        <v>0</v>
      </c>
      <c r="F4725" s="21">
        <f t="shared" ca="1" si="271"/>
        <v>0</v>
      </c>
      <c r="H4725" s="21">
        <v>4710</v>
      </c>
      <c r="I4725" s="102">
        <v>0.66786728435810616</v>
      </c>
      <c r="J4725" s="103">
        <v>1.5970748598629421E-3</v>
      </c>
      <c r="K4725" s="103"/>
      <c r="L4725" s="103">
        <v>4.4999999999999998E-2</v>
      </c>
      <c r="O4725" s="100"/>
    </row>
    <row r="4726" spans="2:15" x14ac:dyDescent="0.2">
      <c r="B4726" s="1">
        <f t="shared" si="272"/>
        <v>4711</v>
      </c>
      <c r="C4726" s="101">
        <f ca="1"/>
        <v>0.62219445648059157</v>
      </c>
      <c r="D4726" s="101">
        <f t="shared" ca="1" si="269"/>
        <v>0.70656289544893836</v>
      </c>
      <c r="E4726" s="101">
        <f t="shared" ca="1" si="270"/>
        <v>0</v>
      </c>
      <c r="F4726" s="21">
        <f t="shared" ca="1" si="271"/>
        <v>0</v>
      </c>
      <c r="H4726" s="21">
        <v>4711</v>
      </c>
      <c r="I4726" s="102">
        <v>0.66771626057842037</v>
      </c>
      <c r="J4726" s="103">
        <v>1.3214453637203421E-3</v>
      </c>
      <c r="K4726" s="103"/>
      <c r="L4726" s="103">
        <v>3.9800000000000002E-2</v>
      </c>
      <c r="O4726" s="100"/>
    </row>
    <row r="4727" spans="2:15" x14ac:dyDescent="0.2">
      <c r="B4727" s="1">
        <f t="shared" si="272"/>
        <v>4712</v>
      </c>
      <c r="C4727" s="101">
        <f ca="1"/>
        <v>0.76268524386380143</v>
      </c>
      <c r="D4727" s="101">
        <f t="shared" ca="1" si="269"/>
        <v>0.71642274569646858</v>
      </c>
      <c r="E4727" s="101">
        <f t="shared" ca="1" si="270"/>
        <v>0</v>
      </c>
      <c r="F4727" s="21">
        <f t="shared" ca="1" si="271"/>
        <v>0</v>
      </c>
      <c r="H4727" s="21">
        <v>4712</v>
      </c>
      <c r="I4727" s="102">
        <v>0.66783601504590484</v>
      </c>
      <c r="J4727" s="103">
        <v>1.588403322905299E-3</v>
      </c>
      <c r="K4727" s="103"/>
      <c r="L4727" s="103">
        <v>4.2999999999999997E-2</v>
      </c>
      <c r="O4727" s="100"/>
    </row>
    <row r="4728" spans="2:15" x14ac:dyDescent="0.2">
      <c r="B4728" s="1">
        <f t="shared" si="272"/>
        <v>4713</v>
      </c>
      <c r="C4728" s="101">
        <f ca="1"/>
        <v>1.2466320717454766</v>
      </c>
      <c r="D4728" s="101">
        <f t="shared" ca="1" si="269"/>
        <v>0.7514521814625984</v>
      </c>
      <c r="E4728" s="101">
        <f t="shared" ca="1" si="270"/>
        <v>0</v>
      </c>
      <c r="F4728" s="21">
        <f t="shared" ca="1" si="271"/>
        <v>0</v>
      </c>
      <c r="H4728" s="21">
        <v>4713</v>
      </c>
      <c r="I4728" s="102">
        <v>0.66782480238981756</v>
      </c>
      <c r="J4728" s="103">
        <v>1.5046561684329974E-3</v>
      </c>
      <c r="K4728" s="103"/>
      <c r="L4728" s="103">
        <v>4.8599999999999997E-2</v>
      </c>
      <c r="O4728" s="100"/>
    </row>
    <row r="4729" spans="2:15" x14ac:dyDescent="0.2">
      <c r="B4729" s="1">
        <f t="shared" si="272"/>
        <v>4714</v>
      </c>
      <c r="C4729" s="101">
        <f ca="1"/>
        <v>1.7367540607871381</v>
      </c>
      <c r="D4729" s="101">
        <f t="shared" ca="1" si="269"/>
        <v>0.78867463483988454</v>
      </c>
      <c r="E4729" s="101">
        <f t="shared" ca="1" si="270"/>
        <v>4.746348398845246E-4</v>
      </c>
      <c r="F4729" s="21">
        <f t="shared" ca="1" si="271"/>
        <v>1</v>
      </c>
      <c r="H4729" s="21">
        <v>4714</v>
      </c>
      <c r="I4729" s="102">
        <v>0.66787203250041072</v>
      </c>
      <c r="J4729" s="103">
        <v>1.4115460130428911E-3</v>
      </c>
      <c r="K4729" s="103"/>
      <c r="L4729" s="103">
        <v>4.4400000000000002E-2</v>
      </c>
      <c r="O4729" s="100"/>
    </row>
    <row r="4730" spans="2:15" x14ac:dyDescent="0.2">
      <c r="B4730" s="1">
        <f t="shared" si="272"/>
        <v>4715</v>
      </c>
      <c r="C4730" s="101">
        <f ca="1"/>
        <v>-0.30827902857747358</v>
      </c>
      <c r="D4730" s="101">
        <f t="shared" ca="1" si="269"/>
        <v>0.64459942928069847</v>
      </c>
      <c r="E4730" s="101">
        <f t="shared" ca="1" si="270"/>
        <v>0</v>
      </c>
      <c r="F4730" s="21">
        <f t="shared" ca="1" si="271"/>
        <v>0</v>
      </c>
      <c r="H4730" s="21">
        <v>4715</v>
      </c>
      <c r="I4730" s="102">
        <v>0.66775783738147165</v>
      </c>
      <c r="J4730" s="103">
        <v>1.3585925235545162E-3</v>
      </c>
      <c r="K4730" s="103"/>
      <c r="L4730" s="103">
        <v>4.48E-2</v>
      </c>
      <c r="O4730" s="100"/>
    </row>
    <row r="4731" spans="2:15" x14ac:dyDescent="0.2">
      <c r="B4731" s="1">
        <f t="shared" si="272"/>
        <v>4716</v>
      </c>
      <c r="C4731" s="101">
        <f ca="1"/>
        <v>-0.97174208109674642</v>
      </c>
      <c r="D4731" s="101">
        <f t="shared" ca="1" si="269"/>
        <v>0.60376449254761499</v>
      </c>
      <c r="E4731" s="101">
        <f t="shared" ca="1" si="270"/>
        <v>0</v>
      </c>
      <c r="F4731" s="21">
        <f t="shared" ca="1" si="271"/>
        <v>0</v>
      </c>
      <c r="H4731" s="21">
        <v>4716</v>
      </c>
      <c r="I4731" s="102">
        <v>0.66770941412276108</v>
      </c>
      <c r="J4731" s="103">
        <v>1.4835927911095337E-3</v>
      </c>
      <c r="K4731" s="103"/>
      <c r="L4731" s="103">
        <v>4.2999999999999997E-2</v>
      </c>
      <c r="O4731" s="100"/>
    </row>
    <row r="4732" spans="2:15" x14ac:dyDescent="0.2">
      <c r="B4732" s="1">
        <f t="shared" si="272"/>
        <v>4717</v>
      </c>
      <c r="C4732" s="101">
        <f ca="1"/>
        <v>2.3251189883841366</v>
      </c>
      <c r="D4732" s="101">
        <f t="shared" ca="1" si="269"/>
        <v>0.83580134199930112</v>
      </c>
      <c r="E4732" s="101">
        <f t="shared" ca="1" si="270"/>
        <v>4.7601341999301106E-2</v>
      </c>
      <c r="F4732" s="21">
        <f t="shared" ca="1" si="271"/>
        <v>1</v>
      </c>
      <c r="H4732" s="21">
        <v>4717</v>
      </c>
      <c r="I4732" s="102">
        <v>0.66788325895250278</v>
      </c>
      <c r="J4732" s="103">
        <v>1.4724391846571915E-3</v>
      </c>
      <c r="K4732" s="103"/>
      <c r="L4732" s="103">
        <v>4.4200000000000003E-2</v>
      </c>
      <c r="O4732" s="100"/>
    </row>
    <row r="4733" spans="2:15" x14ac:dyDescent="0.2">
      <c r="B4733" s="1">
        <f t="shared" si="272"/>
        <v>4718</v>
      </c>
      <c r="C4733" s="101">
        <f ca="1"/>
        <v>-1.608844011270492</v>
      </c>
      <c r="D4733" s="101">
        <f t="shared" ca="1" si="269"/>
        <v>0.56698884502545766</v>
      </c>
      <c r="E4733" s="101">
        <f t="shared" ca="1" si="270"/>
        <v>0</v>
      </c>
      <c r="F4733" s="21">
        <f t="shared" ca="1" si="271"/>
        <v>0</v>
      </c>
      <c r="H4733" s="21">
        <v>4718</v>
      </c>
      <c r="I4733" s="102">
        <v>0.66790373993277485</v>
      </c>
      <c r="J4733" s="103">
        <v>1.467966154876033E-3</v>
      </c>
      <c r="K4733" s="103"/>
      <c r="L4733" s="103">
        <v>4.3799999999999999E-2</v>
      </c>
      <c r="O4733" s="100"/>
    </row>
    <row r="4734" spans="2:15" x14ac:dyDescent="0.2">
      <c r="B4734" s="1">
        <f t="shared" si="272"/>
        <v>4719</v>
      </c>
      <c r="C4734" s="101">
        <f ca="1"/>
        <v>-0.31364063268843717</v>
      </c>
      <c r="D4734" s="101">
        <f t="shared" ca="1" si="269"/>
        <v>0.64425860641640764</v>
      </c>
      <c r="E4734" s="101">
        <f t="shared" ca="1" si="270"/>
        <v>0</v>
      </c>
      <c r="F4734" s="21">
        <f t="shared" ca="1" si="271"/>
        <v>0</v>
      </c>
      <c r="H4734" s="21">
        <v>4719</v>
      </c>
      <c r="I4734" s="102">
        <v>0.66776330612343859</v>
      </c>
      <c r="J4734" s="103">
        <v>1.4623883147087569E-3</v>
      </c>
      <c r="K4734" s="103"/>
      <c r="L4734" s="103">
        <v>4.2799999999999998E-2</v>
      </c>
      <c r="O4734" s="100"/>
    </row>
    <row r="4735" spans="2:15" x14ac:dyDescent="0.2">
      <c r="B4735" s="1">
        <f t="shared" si="272"/>
        <v>4720</v>
      </c>
      <c r="C4735" s="101">
        <f ca="1"/>
        <v>-0.57939259104470886</v>
      </c>
      <c r="D4735" s="101">
        <f t="shared" ca="1" si="269"/>
        <v>0.62758936973965729</v>
      </c>
      <c r="E4735" s="101">
        <f t="shared" ca="1" si="270"/>
        <v>0</v>
      </c>
      <c r="F4735" s="21">
        <f t="shared" ca="1" si="271"/>
        <v>0</v>
      </c>
      <c r="H4735" s="21">
        <v>4720</v>
      </c>
      <c r="I4735" s="102">
        <v>0.66772704492050505</v>
      </c>
      <c r="J4735" s="103">
        <v>1.2594795883863353E-3</v>
      </c>
      <c r="K4735" s="103"/>
      <c r="L4735" s="103">
        <v>4.24E-2</v>
      </c>
      <c r="O4735" s="100"/>
    </row>
    <row r="4736" spans="2:15" x14ac:dyDescent="0.2">
      <c r="B4736" s="1">
        <f t="shared" si="272"/>
        <v>4721</v>
      </c>
      <c r="C4736" s="101">
        <f ca="1"/>
        <v>-0.31524922368478242</v>
      </c>
      <c r="D4736" s="101">
        <f t="shared" ca="1" si="269"/>
        <v>0.6441563877270946</v>
      </c>
      <c r="E4736" s="101">
        <f t="shared" ca="1" si="270"/>
        <v>0</v>
      </c>
      <c r="F4736" s="21">
        <f t="shared" ca="1" si="271"/>
        <v>0</v>
      </c>
      <c r="H4736" s="21">
        <v>4721</v>
      </c>
      <c r="I4736" s="102">
        <v>0.66784750965177297</v>
      </c>
      <c r="J4736" s="103">
        <v>1.5374107448967445E-3</v>
      </c>
      <c r="K4736" s="103"/>
      <c r="L4736" s="103">
        <v>4.5600000000000002E-2</v>
      </c>
      <c r="O4736" s="100"/>
    </row>
    <row r="4737" spans="2:15" x14ac:dyDescent="0.2">
      <c r="B4737" s="1">
        <f t="shared" si="272"/>
        <v>4722</v>
      </c>
      <c r="C4737" s="101">
        <f ca="1"/>
        <v>1.1460127723070319</v>
      </c>
      <c r="D4737" s="101">
        <f t="shared" ca="1" si="269"/>
        <v>0.74403074305207006</v>
      </c>
      <c r="E4737" s="101">
        <f t="shared" ca="1" si="270"/>
        <v>0</v>
      </c>
      <c r="F4737" s="21">
        <f t="shared" ca="1" si="271"/>
        <v>0</v>
      </c>
      <c r="H4737" s="21">
        <v>4722</v>
      </c>
      <c r="I4737" s="102">
        <v>0.66761551469677183</v>
      </c>
      <c r="J4737" s="103">
        <v>1.2212270218824204E-3</v>
      </c>
      <c r="K4737" s="103"/>
      <c r="L4737" s="103">
        <v>4.0800000000000003E-2</v>
      </c>
      <c r="O4737" s="100"/>
    </row>
    <row r="4738" spans="2:15" x14ac:dyDescent="0.2">
      <c r="B4738" s="1">
        <f t="shared" si="272"/>
        <v>4723</v>
      </c>
      <c r="C4738" s="101">
        <f ca="1"/>
        <v>-1.2100280487917421</v>
      </c>
      <c r="D4738" s="101">
        <f t="shared" ca="1" si="269"/>
        <v>0.58973858658765477</v>
      </c>
      <c r="E4738" s="101">
        <f t="shared" ca="1" si="270"/>
        <v>0</v>
      </c>
      <c r="F4738" s="21">
        <f t="shared" ca="1" si="271"/>
        <v>0</v>
      </c>
      <c r="H4738" s="21">
        <v>4723</v>
      </c>
      <c r="I4738" s="102">
        <v>0.66777120639397713</v>
      </c>
      <c r="J4738" s="103">
        <v>1.3554949424362174E-3</v>
      </c>
      <c r="K4738" s="103"/>
      <c r="L4738" s="103">
        <v>4.36E-2</v>
      </c>
      <c r="O4738" s="100"/>
    </row>
    <row r="4739" spans="2:15" x14ac:dyDescent="0.2">
      <c r="B4739" s="1">
        <f t="shared" si="272"/>
        <v>4724</v>
      </c>
      <c r="C4739" s="101">
        <f ca="1"/>
        <v>-0.74452293967530991</v>
      </c>
      <c r="D4739" s="101">
        <f t="shared" ca="1" si="269"/>
        <v>0.61744957561674552</v>
      </c>
      <c r="E4739" s="101">
        <f t="shared" ca="1" si="270"/>
        <v>0</v>
      </c>
      <c r="F4739" s="21">
        <f t="shared" ca="1" si="271"/>
        <v>0</v>
      </c>
      <c r="H4739" s="21">
        <v>4724</v>
      </c>
      <c r="I4739" s="102">
        <v>0.6677735027080175</v>
      </c>
      <c r="J4739" s="103">
        <v>1.2457951145551371E-3</v>
      </c>
      <c r="K4739" s="103"/>
      <c r="L4739" s="103">
        <v>4.24E-2</v>
      </c>
      <c r="O4739" s="100"/>
    </row>
    <row r="4740" spans="2:15" x14ac:dyDescent="0.2">
      <c r="B4740" s="1">
        <f t="shared" si="272"/>
        <v>4725</v>
      </c>
      <c r="C4740" s="101">
        <f ca="1"/>
        <v>0.57534814111609967</v>
      </c>
      <c r="D4740" s="101">
        <f t="shared" ca="1" si="269"/>
        <v>0.70330541274661262</v>
      </c>
      <c r="E4740" s="101">
        <f t="shared" ca="1" si="270"/>
        <v>0</v>
      </c>
      <c r="F4740" s="21">
        <f t="shared" ca="1" si="271"/>
        <v>0</v>
      </c>
      <c r="H4740" s="21">
        <v>4725</v>
      </c>
      <c r="I4740" s="102">
        <v>0.66772993197039721</v>
      </c>
      <c r="J4740" s="103">
        <v>1.3940476446475188E-3</v>
      </c>
      <c r="K4740" s="103"/>
      <c r="L4740" s="103">
        <v>4.4400000000000002E-2</v>
      </c>
      <c r="O4740" s="100"/>
    </row>
    <row r="4741" spans="2:15" x14ac:dyDescent="0.2">
      <c r="B4741" s="1">
        <f t="shared" si="272"/>
        <v>4726</v>
      </c>
      <c r="C4741" s="101">
        <f ca="1"/>
        <v>0.40912067784482004</v>
      </c>
      <c r="D4741" s="101">
        <f t="shared" ca="1" si="269"/>
        <v>0.69186741617734471</v>
      </c>
      <c r="E4741" s="101">
        <f t="shared" ca="1" si="270"/>
        <v>0</v>
      </c>
      <c r="F4741" s="21">
        <f t="shared" ca="1" si="271"/>
        <v>0</v>
      </c>
      <c r="H4741" s="21">
        <v>4726</v>
      </c>
      <c r="I4741" s="102">
        <v>0.66778366665910727</v>
      </c>
      <c r="J4741" s="103">
        <v>1.5374495729587197E-3</v>
      </c>
      <c r="K4741" s="103"/>
      <c r="L4741" s="103">
        <v>4.5400000000000003E-2</v>
      </c>
      <c r="O4741" s="100"/>
    </row>
    <row r="4742" spans="2:15" x14ac:dyDescent="0.2">
      <c r="B4742" s="1">
        <f t="shared" si="272"/>
        <v>4727</v>
      </c>
      <c r="C4742" s="101">
        <f ca="1"/>
        <v>-1.1942641259937188</v>
      </c>
      <c r="D4742" s="101">
        <f t="shared" ca="1" si="269"/>
        <v>0.59065632824793624</v>
      </c>
      <c r="E4742" s="101">
        <f t="shared" ca="1" si="270"/>
        <v>0</v>
      </c>
      <c r="F4742" s="21">
        <f t="shared" ca="1" si="271"/>
        <v>0</v>
      </c>
      <c r="H4742" s="21">
        <v>4727</v>
      </c>
      <c r="I4742" s="102">
        <v>0.66768152836885286</v>
      </c>
      <c r="J4742" s="103">
        <v>1.2725209078946855E-3</v>
      </c>
      <c r="K4742" s="103"/>
      <c r="L4742" s="103">
        <v>4.2999999999999997E-2</v>
      </c>
      <c r="O4742" s="100"/>
    </row>
    <row r="4743" spans="2:15" x14ac:dyDescent="0.2">
      <c r="B4743" s="1">
        <f t="shared" si="272"/>
        <v>4728</v>
      </c>
      <c r="C4743" s="101">
        <f ca="1"/>
        <v>2.6968709568073568E-2</v>
      </c>
      <c r="D4743" s="101">
        <f t="shared" ca="1" si="269"/>
        <v>0.66627224636995019</v>
      </c>
      <c r="E4743" s="101">
        <f t="shared" ca="1" si="270"/>
        <v>0</v>
      </c>
      <c r="F4743" s="21">
        <f t="shared" ca="1" si="271"/>
        <v>0</v>
      </c>
      <c r="H4743" s="21">
        <v>4728</v>
      </c>
      <c r="I4743" s="102">
        <v>0.66773415401306935</v>
      </c>
      <c r="J4743" s="103">
        <v>1.3543718943815606E-3</v>
      </c>
      <c r="K4743" s="103"/>
      <c r="L4743" s="103">
        <v>4.2200000000000001E-2</v>
      </c>
      <c r="O4743" s="100"/>
    </row>
    <row r="4744" spans="2:15" x14ac:dyDescent="0.2">
      <c r="B4744" s="1">
        <f t="shared" si="272"/>
        <v>4729</v>
      </c>
      <c r="C4744" s="101">
        <f ca="1"/>
        <v>4.0594617531081012E-2</v>
      </c>
      <c r="D4744" s="101">
        <f t="shared" ca="1" si="269"/>
        <v>0.66716837008429053</v>
      </c>
      <c r="E4744" s="101">
        <f t="shared" ca="1" si="270"/>
        <v>0</v>
      </c>
      <c r="F4744" s="21">
        <f t="shared" ca="1" si="271"/>
        <v>0</v>
      </c>
      <c r="H4744" s="21">
        <v>4729</v>
      </c>
      <c r="I4744" s="102">
        <v>0.66791550105542996</v>
      </c>
      <c r="J4744" s="103">
        <v>1.5778362834452605E-3</v>
      </c>
      <c r="K4744" s="103"/>
      <c r="L4744" s="103">
        <v>4.6199999999999998E-2</v>
      </c>
      <c r="O4744" s="100"/>
    </row>
    <row r="4745" spans="2:15" x14ac:dyDescent="0.2">
      <c r="B4745" s="1">
        <f t="shared" si="272"/>
        <v>4730</v>
      </c>
      <c r="C4745" s="101">
        <f ca="1"/>
        <v>-2.4999218310724385</v>
      </c>
      <c r="D4745" s="101">
        <f t="shared" ca="1" si="269"/>
        <v>0.51927963423302159</v>
      </c>
      <c r="E4745" s="101">
        <f t="shared" ca="1" si="270"/>
        <v>0</v>
      </c>
      <c r="F4745" s="21">
        <f t="shared" ca="1" si="271"/>
        <v>0</v>
      </c>
      <c r="H4745" s="21">
        <v>4730</v>
      </c>
      <c r="I4745" s="102">
        <v>0.66762296733684068</v>
      </c>
      <c r="J4745" s="103">
        <v>1.2797674808509422E-3</v>
      </c>
      <c r="K4745" s="103"/>
      <c r="L4745" s="103">
        <v>4.1799999999999997E-2</v>
      </c>
      <c r="O4745" s="100"/>
    </row>
    <row r="4746" spans="2:15" x14ac:dyDescent="0.2">
      <c r="B4746" s="1">
        <f t="shared" si="272"/>
        <v>4731</v>
      </c>
      <c r="C4746" s="101">
        <f ca="1"/>
        <v>1.5835548343094077</v>
      </c>
      <c r="D4746" s="101">
        <f t="shared" ca="1" si="269"/>
        <v>0.77684596258301564</v>
      </c>
      <c r="E4746" s="101">
        <f t="shared" ca="1" si="270"/>
        <v>0</v>
      </c>
      <c r="F4746" s="21">
        <f t="shared" ca="1" si="271"/>
        <v>0</v>
      </c>
      <c r="H4746" s="21">
        <v>4731</v>
      </c>
      <c r="I4746" s="102">
        <v>0.66781596443202029</v>
      </c>
      <c r="J4746" s="103">
        <v>1.2760495878507416E-3</v>
      </c>
      <c r="K4746" s="103"/>
      <c r="L4746" s="103">
        <v>4.3400000000000001E-2</v>
      </c>
      <c r="O4746" s="100"/>
    </row>
    <row r="4747" spans="2:15" x14ac:dyDescent="0.2">
      <c r="B4747" s="1">
        <f t="shared" si="272"/>
        <v>4732</v>
      </c>
      <c r="C4747" s="101">
        <f ca="1"/>
        <v>-4.8750005646607024E-2</v>
      </c>
      <c r="D4747" s="101">
        <f t="shared" ca="1" si="269"/>
        <v>0.66131440076568559</v>
      </c>
      <c r="E4747" s="101">
        <f t="shared" ca="1" si="270"/>
        <v>0</v>
      </c>
      <c r="F4747" s="21">
        <f t="shared" ca="1" si="271"/>
        <v>0</v>
      </c>
      <c r="H4747" s="21">
        <v>4732</v>
      </c>
      <c r="I4747" s="102">
        <v>0.6676123722060967</v>
      </c>
      <c r="J4747" s="103">
        <v>1.1846980343945236E-3</v>
      </c>
      <c r="K4747" s="103"/>
      <c r="L4747" s="103">
        <v>3.8600000000000002E-2</v>
      </c>
      <c r="O4747" s="100"/>
    </row>
    <row r="4748" spans="2:15" x14ac:dyDescent="0.2">
      <c r="B4748" s="1">
        <f t="shared" si="272"/>
        <v>4733</v>
      </c>
      <c r="C4748" s="101">
        <f ca="1"/>
        <v>2.6077061391291512</v>
      </c>
      <c r="D4748" s="101">
        <f t="shared" ca="1" si="269"/>
        <v>0.85942686140685109</v>
      </c>
      <c r="E4748" s="101">
        <f t="shared" ca="1" si="270"/>
        <v>7.1226861406851083E-2</v>
      </c>
      <c r="F4748" s="21">
        <f t="shared" ca="1" si="271"/>
        <v>1</v>
      </c>
      <c r="H4748" s="21">
        <v>4733</v>
      </c>
      <c r="I4748" s="102">
        <v>0.66761367475515643</v>
      </c>
      <c r="J4748" s="103">
        <v>1.210059362468828E-3</v>
      </c>
      <c r="K4748" s="103"/>
      <c r="L4748" s="103">
        <v>3.7999999999999999E-2</v>
      </c>
      <c r="O4748" s="100"/>
    </row>
    <row r="4749" spans="2:15" x14ac:dyDescent="0.2">
      <c r="B4749" s="1">
        <f t="shared" si="272"/>
        <v>4734</v>
      </c>
      <c r="C4749" s="101">
        <f ca="1"/>
        <v>1.6103470544842158</v>
      </c>
      <c r="D4749" s="101">
        <f t="shared" ca="1" si="269"/>
        <v>0.77890174205284379</v>
      </c>
      <c r="E4749" s="101">
        <f t="shared" ca="1" si="270"/>
        <v>0</v>
      </c>
      <c r="F4749" s="21">
        <f t="shared" ca="1" si="271"/>
        <v>0</v>
      </c>
      <c r="H4749" s="21">
        <v>4734</v>
      </c>
      <c r="I4749" s="102">
        <v>0.66782520820694813</v>
      </c>
      <c r="J4749" s="103">
        <v>1.5740342973864555E-3</v>
      </c>
      <c r="K4749" s="103"/>
      <c r="L4749" s="103">
        <v>4.4400000000000002E-2</v>
      </c>
      <c r="O4749" s="100"/>
    </row>
    <row r="4750" spans="2:15" x14ac:dyDescent="0.2">
      <c r="B4750" s="1">
        <f t="shared" si="272"/>
        <v>4735</v>
      </c>
      <c r="C4750" s="101">
        <f ca="1"/>
        <v>1.628581293220456</v>
      </c>
      <c r="D4750" s="101">
        <f t="shared" ca="1" si="269"/>
        <v>0.7803039739525196</v>
      </c>
      <c r="E4750" s="101">
        <f t="shared" ca="1" si="270"/>
        <v>0</v>
      </c>
      <c r="F4750" s="21">
        <f t="shared" ca="1" si="271"/>
        <v>0</v>
      </c>
      <c r="H4750" s="21">
        <v>4735</v>
      </c>
      <c r="I4750" s="102">
        <v>0.66774628561656812</v>
      </c>
      <c r="J4750" s="103">
        <v>1.3318537118101653E-3</v>
      </c>
      <c r="K4750" s="103"/>
      <c r="L4750" s="103">
        <v>4.2000000000000003E-2</v>
      </c>
      <c r="O4750" s="100"/>
    </row>
    <row r="4751" spans="2:15" x14ac:dyDescent="0.2">
      <c r="B4751" s="1">
        <f t="shared" si="272"/>
        <v>4736</v>
      </c>
      <c r="C4751" s="101">
        <f ca="1"/>
        <v>-0.83061098935083888</v>
      </c>
      <c r="D4751" s="101">
        <f t="shared" ca="1" si="269"/>
        <v>0.61222849268591184</v>
      </c>
      <c r="E4751" s="101">
        <f t="shared" ca="1" si="270"/>
        <v>0</v>
      </c>
      <c r="F4751" s="21">
        <f t="shared" ca="1" si="271"/>
        <v>0</v>
      </c>
      <c r="H4751" s="21">
        <v>4736</v>
      </c>
      <c r="I4751" s="102">
        <v>0.66771846365712995</v>
      </c>
      <c r="J4751" s="103">
        <v>1.3423530455296045E-3</v>
      </c>
      <c r="K4751" s="103"/>
      <c r="L4751" s="103">
        <v>0.04</v>
      </c>
      <c r="O4751" s="100"/>
    </row>
    <row r="4752" spans="2:15" x14ac:dyDescent="0.2">
      <c r="B4752" s="1">
        <f t="shared" si="272"/>
        <v>4737</v>
      </c>
      <c r="C4752" s="101">
        <f ca="1"/>
        <v>-0.64421286537900235</v>
      </c>
      <c r="D4752" s="101">
        <f t="shared" ref="D4752:D4815" ca="1" si="273">S0*EXP((μ-0.5*σ*σ)*T+σ*SQRT(T)*$C4752)</f>
        <v>0.62358939127002522</v>
      </c>
      <c r="E4752" s="101">
        <f t="shared" ref="E4752:E4815" ca="1" si="274">MAX(0,CP*(D4752-K))</f>
        <v>0</v>
      </c>
      <c r="F4752" s="21">
        <f t="shared" ref="F4752:F4815" ca="1" si="275">(CP*(D4752-K)&gt;0)*1</f>
        <v>0</v>
      </c>
      <c r="H4752" s="21">
        <v>4737</v>
      </c>
      <c r="I4752" s="102">
        <v>0.66774636797992815</v>
      </c>
      <c r="J4752" s="103">
        <v>1.3240702468190707E-3</v>
      </c>
      <c r="K4752" s="103"/>
      <c r="L4752" s="103">
        <v>4.2200000000000001E-2</v>
      </c>
      <c r="O4752" s="100"/>
    </row>
    <row r="4753" spans="2:15" x14ac:dyDescent="0.2">
      <c r="B4753" s="1">
        <f t="shared" si="272"/>
        <v>4738</v>
      </c>
      <c r="C4753" s="101">
        <f ca="1"/>
        <v>-0.22200828020717725</v>
      </c>
      <c r="D4753" s="101">
        <f t="shared" ca="1" si="273"/>
        <v>0.65010828738421722</v>
      </c>
      <c r="E4753" s="101">
        <f t="shared" ca="1" si="274"/>
        <v>0</v>
      </c>
      <c r="F4753" s="21">
        <f t="shared" ca="1" si="275"/>
        <v>0</v>
      </c>
      <c r="H4753" s="21">
        <v>4738</v>
      </c>
      <c r="I4753" s="102">
        <v>0.66782005265080679</v>
      </c>
      <c r="J4753" s="103">
        <v>1.4290643483411624E-3</v>
      </c>
      <c r="K4753" s="103"/>
      <c r="L4753" s="103">
        <v>4.7E-2</v>
      </c>
      <c r="O4753" s="100"/>
    </row>
    <row r="4754" spans="2:15" x14ac:dyDescent="0.2">
      <c r="B4754" s="1">
        <f t="shared" si="272"/>
        <v>4739</v>
      </c>
      <c r="C4754" s="101">
        <f ca="1"/>
        <v>-1.3803191588140604</v>
      </c>
      <c r="D4754" s="101">
        <f t="shared" ca="1" si="273"/>
        <v>0.57991504824779327</v>
      </c>
      <c r="E4754" s="101">
        <f t="shared" ca="1" si="274"/>
        <v>0</v>
      </c>
      <c r="F4754" s="21">
        <f t="shared" ca="1" si="275"/>
        <v>0</v>
      </c>
      <c r="H4754" s="21">
        <v>4739</v>
      </c>
      <c r="I4754" s="102">
        <v>0.66775979244554018</v>
      </c>
      <c r="J4754" s="103">
        <v>1.3555384527524305E-3</v>
      </c>
      <c r="K4754" s="103"/>
      <c r="L4754" s="103">
        <v>4.1200000000000001E-2</v>
      </c>
      <c r="O4754" s="100"/>
    </row>
    <row r="4755" spans="2:15" x14ac:dyDescent="0.2">
      <c r="B4755" s="1">
        <f t="shared" si="272"/>
        <v>4740</v>
      </c>
      <c r="C4755" s="101">
        <f ca="1"/>
        <v>1.5573124296433567</v>
      </c>
      <c r="D4755" s="101">
        <f t="shared" ca="1" si="273"/>
        <v>0.77483763081131252</v>
      </c>
      <c r="E4755" s="101">
        <f t="shared" ca="1" si="274"/>
        <v>0</v>
      </c>
      <c r="F4755" s="21">
        <f t="shared" ca="1" si="275"/>
        <v>0</v>
      </c>
      <c r="H4755" s="21">
        <v>4740</v>
      </c>
      <c r="I4755" s="102">
        <v>0.66769750130873551</v>
      </c>
      <c r="J4755" s="103">
        <v>1.3673881023138804E-3</v>
      </c>
      <c r="K4755" s="103"/>
      <c r="L4755" s="103">
        <v>4.1200000000000001E-2</v>
      </c>
      <c r="O4755" s="100"/>
    </row>
    <row r="4756" spans="2:15" x14ac:dyDescent="0.2">
      <c r="B4756" s="1">
        <f t="shared" si="272"/>
        <v>4741</v>
      </c>
      <c r="C4756" s="101">
        <f ca="1"/>
        <v>-0.28817408319173243</v>
      </c>
      <c r="D4756" s="101">
        <f t="shared" ca="1" si="273"/>
        <v>0.64587905343102048</v>
      </c>
      <c r="E4756" s="101">
        <f t="shared" ca="1" si="274"/>
        <v>0</v>
      </c>
      <c r="F4756" s="21">
        <f t="shared" ca="1" si="275"/>
        <v>0</v>
      </c>
      <c r="H4756" s="21">
        <v>4741</v>
      </c>
      <c r="I4756" s="102">
        <v>0.6677468346193336</v>
      </c>
      <c r="J4756" s="103">
        <v>1.4364283832802979E-3</v>
      </c>
      <c r="K4756" s="103"/>
      <c r="L4756" s="103">
        <v>0.04</v>
      </c>
      <c r="O4756" s="100"/>
    </row>
    <row r="4757" spans="2:15" x14ac:dyDescent="0.2">
      <c r="B4757" s="1">
        <f t="shared" si="272"/>
        <v>4742</v>
      </c>
      <c r="C4757" s="101">
        <f ca="1"/>
        <v>-0.11322309502858505</v>
      </c>
      <c r="D4757" s="101">
        <f t="shared" ca="1" si="273"/>
        <v>0.65712197771819714</v>
      </c>
      <c r="E4757" s="101">
        <f t="shared" ca="1" si="274"/>
        <v>0</v>
      </c>
      <c r="F4757" s="21">
        <f t="shared" ca="1" si="275"/>
        <v>0</v>
      </c>
      <c r="H4757" s="21">
        <v>4742</v>
      </c>
      <c r="I4757" s="102">
        <v>0.66763185401042391</v>
      </c>
      <c r="J4757" s="103">
        <v>1.4234514326845343E-3</v>
      </c>
      <c r="K4757" s="103"/>
      <c r="L4757" s="103">
        <v>4.1000000000000002E-2</v>
      </c>
      <c r="O4757" s="100"/>
    </row>
    <row r="4758" spans="2:15" x14ac:dyDescent="0.2">
      <c r="B4758" s="1">
        <f t="shared" si="272"/>
        <v>4743</v>
      </c>
      <c r="C4758" s="101">
        <f ca="1"/>
        <v>0.97902239316124118</v>
      </c>
      <c r="D4758" s="101">
        <f t="shared" ca="1" si="273"/>
        <v>0.73187534291631273</v>
      </c>
      <c r="E4758" s="101">
        <f t="shared" ca="1" si="274"/>
        <v>0</v>
      </c>
      <c r="F4758" s="21">
        <f t="shared" ca="1" si="275"/>
        <v>0</v>
      </c>
      <c r="H4758" s="21">
        <v>4743</v>
      </c>
      <c r="I4758" s="102">
        <v>0.66775131606858351</v>
      </c>
      <c r="J4758" s="103">
        <v>1.2851907707152276E-3</v>
      </c>
      <c r="K4758" s="103"/>
      <c r="L4758" s="103">
        <v>3.8600000000000002E-2</v>
      </c>
      <c r="O4758" s="100"/>
    </row>
    <row r="4759" spans="2:15" x14ac:dyDescent="0.2">
      <c r="B4759" s="1">
        <f t="shared" si="272"/>
        <v>4744</v>
      </c>
      <c r="C4759" s="101">
        <f ca="1"/>
        <v>-1.9580299135175878</v>
      </c>
      <c r="D4759" s="101">
        <f t="shared" ca="1" si="273"/>
        <v>0.54779189957272068</v>
      </c>
      <c r="E4759" s="101">
        <f t="shared" ca="1" si="274"/>
        <v>0</v>
      </c>
      <c r="F4759" s="21">
        <f t="shared" ca="1" si="275"/>
        <v>0</v>
      </c>
      <c r="H4759" s="21">
        <v>4744</v>
      </c>
      <c r="I4759" s="102">
        <v>0.66773671147800817</v>
      </c>
      <c r="J4759" s="103">
        <v>1.3588401377557309E-3</v>
      </c>
      <c r="K4759" s="103"/>
      <c r="L4759" s="103">
        <v>4.24E-2</v>
      </c>
      <c r="O4759" s="100"/>
    </row>
    <row r="4760" spans="2:15" x14ac:dyDescent="0.2">
      <c r="B4760" s="1">
        <f t="shared" si="272"/>
        <v>4745</v>
      </c>
      <c r="C4760" s="101">
        <f ca="1"/>
        <v>-8.6141937108891911E-2</v>
      </c>
      <c r="D4760" s="101">
        <f t="shared" ca="1" si="273"/>
        <v>0.65887970835383758</v>
      </c>
      <c r="E4760" s="101">
        <f t="shared" ca="1" si="274"/>
        <v>0</v>
      </c>
      <c r="F4760" s="21">
        <f t="shared" ca="1" si="275"/>
        <v>0</v>
      </c>
      <c r="H4760" s="21">
        <v>4745</v>
      </c>
      <c r="I4760" s="102">
        <v>0.66762945807960961</v>
      </c>
      <c r="J4760" s="103">
        <v>1.27206767457868E-3</v>
      </c>
      <c r="K4760" s="103"/>
      <c r="L4760" s="103">
        <v>4.2000000000000003E-2</v>
      </c>
      <c r="O4760" s="100"/>
    </row>
    <row r="4761" spans="2:15" x14ac:dyDescent="0.2">
      <c r="B4761" s="1">
        <f t="shared" si="272"/>
        <v>4746</v>
      </c>
      <c r="C4761" s="101">
        <f ca="1"/>
        <v>2.5687599301822992</v>
      </c>
      <c r="D4761" s="101">
        <f t="shared" ca="1" si="273"/>
        <v>0.85613153024745159</v>
      </c>
      <c r="E4761" s="101">
        <f t="shared" ca="1" si="274"/>
        <v>6.7931530247451577E-2</v>
      </c>
      <c r="F4761" s="21">
        <f t="shared" ca="1" si="275"/>
        <v>1</v>
      </c>
      <c r="H4761" s="21">
        <v>4746</v>
      </c>
      <c r="I4761" s="102">
        <v>0.66780019749466824</v>
      </c>
      <c r="J4761" s="103">
        <v>1.3285834033225159E-3</v>
      </c>
      <c r="K4761" s="103"/>
      <c r="L4761" s="103">
        <v>4.2799999999999998E-2</v>
      </c>
      <c r="O4761" s="100"/>
    </row>
    <row r="4762" spans="2:15" x14ac:dyDescent="0.2">
      <c r="B4762" s="1">
        <f t="shared" si="272"/>
        <v>4747</v>
      </c>
      <c r="C4762" s="101">
        <f ca="1"/>
        <v>0.78589365476684769</v>
      </c>
      <c r="D4762" s="101">
        <f t="shared" ca="1" si="273"/>
        <v>0.71806473711602115</v>
      </c>
      <c r="E4762" s="101">
        <f t="shared" ca="1" si="274"/>
        <v>0</v>
      </c>
      <c r="F4762" s="21">
        <f t="shared" ca="1" si="275"/>
        <v>0</v>
      </c>
      <c r="H4762" s="21">
        <v>4747</v>
      </c>
      <c r="I4762" s="102">
        <v>0.6675987407656313</v>
      </c>
      <c r="J4762" s="103">
        <v>1.2198304462665444E-3</v>
      </c>
      <c r="K4762" s="103"/>
      <c r="L4762" s="103">
        <v>4.0599999999999997E-2</v>
      </c>
      <c r="O4762" s="100"/>
    </row>
    <row r="4763" spans="2:15" x14ac:dyDescent="0.2">
      <c r="B4763" s="1">
        <f t="shared" si="272"/>
        <v>4748</v>
      </c>
      <c r="C4763" s="101">
        <f ca="1"/>
        <v>-2.6726342321183962E-2</v>
      </c>
      <c r="D4763" s="101">
        <f t="shared" ca="1" si="273"/>
        <v>0.66275263050766808</v>
      </c>
      <c r="E4763" s="101">
        <f t="shared" ca="1" si="274"/>
        <v>0</v>
      </c>
      <c r="F4763" s="21">
        <f t="shared" ca="1" si="275"/>
        <v>0</v>
      </c>
      <c r="H4763" s="21">
        <v>4748</v>
      </c>
      <c r="I4763" s="102">
        <v>0.66767452379062286</v>
      </c>
      <c r="J4763" s="103">
        <v>1.2726739606819348E-3</v>
      </c>
      <c r="K4763" s="103"/>
      <c r="L4763" s="103">
        <v>3.7400000000000003E-2</v>
      </c>
      <c r="O4763" s="100"/>
    </row>
    <row r="4764" spans="2:15" x14ac:dyDescent="0.2">
      <c r="B4764" s="1">
        <f t="shared" si="272"/>
        <v>4749</v>
      </c>
      <c r="C4764" s="101">
        <f ca="1"/>
        <v>1.3892690359707829</v>
      </c>
      <c r="D4764" s="101">
        <f t="shared" ca="1" si="273"/>
        <v>0.76209976753102826</v>
      </c>
      <c r="E4764" s="101">
        <f t="shared" ca="1" si="274"/>
        <v>0</v>
      </c>
      <c r="F4764" s="21">
        <f t="shared" ca="1" si="275"/>
        <v>0</v>
      </c>
      <c r="H4764" s="21">
        <v>4749</v>
      </c>
      <c r="I4764" s="102">
        <v>0.66774712732754282</v>
      </c>
      <c r="J4764" s="103">
        <v>1.3866694320648766E-3</v>
      </c>
      <c r="K4764" s="103"/>
      <c r="L4764" s="103">
        <v>3.9600000000000003E-2</v>
      </c>
      <c r="O4764" s="100"/>
    </row>
    <row r="4765" spans="2:15" x14ac:dyDescent="0.2">
      <c r="B4765" s="1">
        <f t="shared" si="272"/>
        <v>4750</v>
      </c>
      <c r="C4765" s="101">
        <f ca="1"/>
        <v>-2.4689870689285676E-2</v>
      </c>
      <c r="D4765" s="101">
        <f t="shared" ca="1" si="273"/>
        <v>0.66288577780238145</v>
      </c>
      <c r="E4765" s="101">
        <f t="shared" ca="1" si="274"/>
        <v>0</v>
      </c>
      <c r="F4765" s="21">
        <f t="shared" ca="1" si="275"/>
        <v>0</v>
      </c>
      <c r="H4765" s="21">
        <v>4750</v>
      </c>
      <c r="I4765" s="102">
        <v>0.66785949541238587</v>
      </c>
      <c r="J4765" s="103">
        <v>1.5272503679253804E-3</v>
      </c>
      <c r="K4765" s="103"/>
      <c r="L4765" s="103">
        <v>4.3799999999999999E-2</v>
      </c>
      <c r="O4765" s="100"/>
    </row>
    <row r="4766" spans="2:15" x14ac:dyDescent="0.2">
      <c r="B4766" s="1">
        <f t="shared" si="272"/>
        <v>4751</v>
      </c>
      <c r="C4766" s="101">
        <f ca="1"/>
        <v>0.57104731429231714</v>
      </c>
      <c r="D4766" s="101">
        <f t="shared" ca="1" si="273"/>
        <v>0.70300710626003926</v>
      </c>
      <c r="E4766" s="101">
        <f t="shared" ca="1" si="274"/>
        <v>0</v>
      </c>
      <c r="F4766" s="21">
        <f t="shared" ca="1" si="275"/>
        <v>0</v>
      </c>
      <c r="H4766" s="21">
        <v>4751</v>
      </c>
      <c r="I4766" s="102">
        <v>0.66779887997503229</v>
      </c>
      <c r="J4766" s="103">
        <v>1.4553878009065037E-3</v>
      </c>
      <c r="K4766" s="103"/>
      <c r="L4766" s="103">
        <v>4.3799999999999999E-2</v>
      </c>
      <c r="O4766" s="100"/>
    </row>
    <row r="4767" spans="2:15" x14ac:dyDescent="0.2">
      <c r="B4767" s="1">
        <f t="shared" si="272"/>
        <v>4752</v>
      </c>
      <c r="C4767" s="101">
        <f ca="1"/>
        <v>-1.0520205449003572</v>
      </c>
      <c r="D4767" s="101">
        <f t="shared" ca="1" si="273"/>
        <v>0.59900229817742079</v>
      </c>
      <c r="E4767" s="101">
        <f t="shared" ca="1" si="274"/>
        <v>0</v>
      </c>
      <c r="F4767" s="21">
        <f t="shared" ca="1" si="275"/>
        <v>0</v>
      </c>
      <c r="H4767" s="21">
        <v>4752</v>
      </c>
      <c r="I4767" s="102">
        <v>0.66768092226953235</v>
      </c>
      <c r="J4767" s="103">
        <v>1.174928178588442E-3</v>
      </c>
      <c r="K4767" s="103"/>
      <c r="L4767" s="103">
        <v>4.0599999999999997E-2</v>
      </c>
      <c r="O4767" s="100"/>
    </row>
    <row r="4768" spans="2:15" x14ac:dyDescent="0.2">
      <c r="B4768" s="1">
        <f t="shared" si="272"/>
        <v>4753</v>
      </c>
      <c r="C4768" s="101">
        <f ca="1"/>
        <v>-1.8793549087063148</v>
      </c>
      <c r="D4768" s="101">
        <f t="shared" ca="1" si="273"/>
        <v>0.55205963579409034</v>
      </c>
      <c r="E4768" s="101">
        <f t="shared" ca="1" si="274"/>
        <v>0</v>
      </c>
      <c r="F4768" s="21">
        <f t="shared" ca="1" si="275"/>
        <v>0</v>
      </c>
      <c r="H4768" s="21">
        <v>4753</v>
      </c>
      <c r="I4768" s="102">
        <v>0.66761445282799892</v>
      </c>
      <c r="J4768" s="103">
        <v>1.2250505907382457E-3</v>
      </c>
      <c r="K4768" s="103"/>
      <c r="L4768" s="103">
        <v>4.1200000000000001E-2</v>
      </c>
      <c r="O4768" s="100"/>
    </row>
    <row r="4769" spans="2:15" x14ac:dyDescent="0.2">
      <c r="B4769" s="1">
        <f t="shared" si="272"/>
        <v>4754</v>
      </c>
      <c r="C4769" s="101">
        <f ca="1"/>
        <v>-0.27495270264058547</v>
      </c>
      <c r="D4769" s="101">
        <f t="shared" ca="1" si="273"/>
        <v>0.64672194194386523</v>
      </c>
      <c r="E4769" s="101">
        <f t="shared" ca="1" si="274"/>
        <v>0</v>
      </c>
      <c r="F4769" s="21">
        <f t="shared" ca="1" si="275"/>
        <v>0</v>
      </c>
      <c r="H4769" s="21">
        <v>4754</v>
      </c>
      <c r="I4769" s="102">
        <v>0.66792206900834994</v>
      </c>
      <c r="J4769" s="103">
        <v>1.5634580592643874E-3</v>
      </c>
      <c r="K4769" s="103"/>
      <c r="L4769" s="103">
        <v>4.4400000000000002E-2</v>
      </c>
      <c r="O4769" s="100"/>
    </row>
    <row r="4770" spans="2:15" x14ac:dyDescent="0.2">
      <c r="B4770" s="1">
        <f t="shared" si="272"/>
        <v>4755</v>
      </c>
      <c r="C4770" s="101">
        <f ca="1"/>
        <v>-1.0089035696317195</v>
      </c>
      <c r="D4770" s="101">
        <f t="shared" ca="1" si="273"/>
        <v>0.60155534956117718</v>
      </c>
      <c r="E4770" s="101">
        <f t="shared" ca="1" si="274"/>
        <v>0</v>
      </c>
      <c r="F4770" s="21">
        <f t="shared" ca="1" si="275"/>
        <v>0</v>
      </c>
      <c r="H4770" s="21">
        <v>4755</v>
      </c>
      <c r="I4770" s="102">
        <v>0.66791010717378474</v>
      </c>
      <c r="J4770" s="103">
        <v>1.497564417280933E-3</v>
      </c>
      <c r="K4770" s="103"/>
      <c r="L4770" s="103">
        <v>4.0800000000000003E-2</v>
      </c>
      <c r="O4770" s="100"/>
    </row>
    <row r="4771" spans="2:15" x14ac:dyDescent="0.2">
      <c r="B4771" s="1">
        <f t="shared" si="272"/>
        <v>4756</v>
      </c>
      <c r="C4771" s="101">
        <f ca="1"/>
        <v>1.4133411755480484E-2</v>
      </c>
      <c r="D4771" s="101">
        <f t="shared" ca="1" si="273"/>
        <v>0.66542921900050611</v>
      </c>
      <c r="E4771" s="101">
        <f t="shared" ca="1" si="274"/>
        <v>0</v>
      </c>
      <c r="F4771" s="21">
        <f t="shared" ca="1" si="275"/>
        <v>0</v>
      </c>
      <c r="H4771" s="21">
        <v>4756</v>
      </c>
      <c r="I4771" s="102">
        <v>0.66781356967649941</v>
      </c>
      <c r="J4771" s="103">
        <v>1.5717144061518293E-3</v>
      </c>
      <c r="K4771" s="103"/>
      <c r="L4771" s="103">
        <v>4.1599999999999998E-2</v>
      </c>
      <c r="O4771" s="100"/>
    </row>
    <row r="4772" spans="2:15" x14ac:dyDescent="0.2">
      <c r="B4772" s="1">
        <f t="shared" si="272"/>
        <v>4757</v>
      </c>
      <c r="C4772" s="101">
        <f ca="1"/>
        <v>-0.97083130786524086</v>
      </c>
      <c r="D4772" s="101">
        <f t="shared" ca="1" si="273"/>
        <v>0.6038187371132131</v>
      </c>
      <c r="E4772" s="101">
        <f t="shared" ca="1" si="274"/>
        <v>0</v>
      </c>
      <c r="F4772" s="21">
        <f t="shared" ca="1" si="275"/>
        <v>0</v>
      </c>
      <c r="H4772" s="21">
        <v>4757</v>
      </c>
      <c r="I4772" s="102">
        <v>0.66791523122448693</v>
      </c>
      <c r="J4772" s="103">
        <v>1.583999676985855E-3</v>
      </c>
      <c r="K4772" s="103"/>
      <c r="L4772" s="103">
        <v>4.6600000000000003E-2</v>
      </c>
      <c r="O4772" s="100"/>
    </row>
    <row r="4773" spans="2:15" x14ac:dyDescent="0.2">
      <c r="B4773" s="1">
        <f t="shared" si="272"/>
        <v>4758</v>
      </c>
      <c r="C4773" s="101">
        <f ca="1"/>
        <v>1.6495931500304488</v>
      </c>
      <c r="D4773" s="101">
        <f t="shared" ca="1" si="273"/>
        <v>0.78192293834561299</v>
      </c>
      <c r="E4773" s="101">
        <f t="shared" ca="1" si="274"/>
        <v>0</v>
      </c>
      <c r="F4773" s="21">
        <f t="shared" ca="1" si="275"/>
        <v>0</v>
      </c>
      <c r="H4773" s="21">
        <v>4758</v>
      </c>
      <c r="I4773" s="102">
        <v>0.66788291403254363</v>
      </c>
      <c r="J4773" s="103">
        <v>1.4182130454578881E-3</v>
      </c>
      <c r="K4773" s="103"/>
      <c r="L4773" s="103">
        <v>4.2999999999999997E-2</v>
      </c>
      <c r="O4773" s="100"/>
    </row>
    <row r="4774" spans="2:15" x14ac:dyDescent="0.2">
      <c r="B4774" s="1">
        <f t="shared" si="272"/>
        <v>4759</v>
      </c>
      <c r="C4774" s="101">
        <f ca="1"/>
        <v>-1.5655660940558109E-2</v>
      </c>
      <c r="D4774" s="101">
        <f t="shared" ca="1" si="273"/>
        <v>0.6634767693855973</v>
      </c>
      <c r="E4774" s="101">
        <f t="shared" ca="1" si="274"/>
        <v>0</v>
      </c>
      <c r="F4774" s="21">
        <f t="shared" ca="1" si="275"/>
        <v>0</v>
      </c>
      <c r="H4774" s="21">
        <v>4759</v>
      </c>
      <c r="I4774" s="102">
        <v>0.66767261941954881</v>
      </c>
      <c r="J4774" s="103">
        <v>1.1415083024195233E-3</v>
      </c>
      <c r="K4774" s="103"/>
      <c r="L4774" s="103">
        <v>3.7199999999999997E-2</v>
      </c>
      <c r="O4774" s="100"/>
    </row>
    <row r="4775" spans="2:15" x14ac:dyDescent="0.2">
      <c r="B4775" s="1">
        <f t="shared" si="272"/>
        <v>4760</v>
      </c>
      <c r="C4775" s="101">
        <f ca="1"/>
        <v>0.16081356408480324</v>
      </c>
      <c r="D4775" s="101">
        <f t="shared" ca="1" si="273"/>
        <v>0.67512712011862608</v>
      </c>
      <c r="E4775" s="101">
        <f t="shared" ca="1" si="274"/>
        <v>0</v>
      </c>
      <c r="F4775" s="21">
        <f t="shared" ca="1" si="275"/>
        <v>0</v>
      </c>
      <c r="H4775" s="21">
        <v>4760</v>
      </c>
      <c r="I4775" s="102">
        <v>0.66787261014368193</v>
      </c>
      <c r="J4775" s="103">
        <v>1.4100339795732344E-3</v>
      </c>
      <c r="K4775" s="103"/>
      <c r="L4775" s="103">
        <v>4.2599999999999999E-2</v>
      </c>
      <c r="O4775" s="100"/>
    </row>
    <row r="4776" spans="2:15" x14ac:dyDescent="0.2">
      <c r="B4776" s="1">
        <f t="shared" si="272"/>
        <v>4761</v>
      </c>
      <c r="C4776" s="101">
        <f ca="1"/>
        <v>0.47628040277551881</v>
      </c>
      <c r="D4776" s="101">
        <f t="shared" ca="1" si="273"/>
        <v>0.69646606262939581</v>
      </c>
      <c r="E4776" s="101">
        <f t="shared" ca="1" si="274"/>
        <v>0</v>
      </c>
      <c r="F4776" s="21">
        <f t="shared" ca="1" si="275"/>
        <v>0</v>
      </c>
      <c r="H4776" s="21">
        <v>4761</v>
      </c>
      <c r="I4776" s="102">
        <v>0.66784371013098576</v>
      </c>
      <c r="J4776" s="103">
        <v>1.594655115956312E-3</v>
      </c>
      <c r="K4776" s="103"/>
      <c r="L4776" s="103">
        <v>4.2799999999999998E-2</v>
      </c>
      <c r="O4776" s="100"/>
    </row>
    <row r="4777" spans="2:15" x14ac:dyDescent="0.2">
      <c r="B4777" s="1">
        <f t="shared" si="272"/>
        <v>4762</v>
      </c>
      <c r="C4777" s="101">
        <f ca="1"/>
        <v>-1.4270809293575693</v>
      </c>
      <c r="D4777" s="101">
        <f t="shared" ca="1" si="273"/>
        <v>0.5772462669354097</v>
      </c>
      <c r="E4777" s="101">
        <f t="shared" ca="1" si="274"/>
        <v>0</v>
      </c>
      <c r="F4777" s="21">
        <f t="shared" ca="1" si="275"/>
        <v>0</v>
      </c>
      <c r="H4777" s="21">
        <v>4762</v>
      </c>
      <c r="I4777" s="102">
        <v>0.66771535227907663</v>
      </c>
      <c r="J4777" s="103">
        <v>1.372170291728962E-3</v>
      </c>
      <c r="K4777" s="103"/>
      <c r="L4777" s="103">
        <v>3.9399999999999998E-2</v>
      </c>
      <c r="O4777" s="100"/>
    </row>
    <row r="4778" spans="2:15" x14ac:dyDescent="0.2">
      <c r="B4778" s="1">
        <f t="shared" si="272"/>
        <v>4763</v>
      </c>
      <c r="C4778" s="101">
        <f ca="1"/>
        <v>-5.6530175252812571E-2</v>
      </c>
      <c r="D4778" s="101">
        <f t="shared" ca="1" si="273"/>
        <v>0.66080707221088753</v>
      </c>
      <c r="E4778" s="101">
        <f t="shared" ca="1" si="274"/>
        <v>0</v>
      </c>
      <c r="F4778" s="21">
        <f t="shared" ca="1" si="275"/>
        <v>0</v>
      </c>
      <c r="H4778" s="21">
        <v>4763</v>
      </c>
      <c r="I4778" s="102">
        <v>0.66787127584279593</v>
      </c>
      <c r="J4778" s="103">
        <v>1.6223223724286236E-3</v>
      </c>
      <c r="K4778" s="103"/>
      <c r="L4778" s="103">
        <v>4.2999999999999997E-2</v>
      </c>
      <c r="O4778" s="100"/>
    </row>
    <row r="4779" spans="2:15" x14ac:dyDescent="0.2">
      <c r="B4779" s="1">
        <f t="shared" si="272"/>
        <v>4764</v>
      </c>
      <c r="C4779" s="101">
        <f ca="1"/>
        <v>-0.68066693139623369</v>
      </c>
      <c r="D4779" s="101">
        <f t="shared" ca="1" si="273"/>
        <v>0.62135106705172971</v>
      </c>
      <c r="E4779" s="101">
        <f t="shared" ca="1" si="274"/>
        <v>0</v>
      </c>
      <c r="F4779" s="21">
        <f t="shared" ca="1" si="275"/>
        <v>0</v>
      </c>
      <c r="H4779" s="21">
        <v>4764</v>
      </c>
      <c r="I4779" s="102">
        <v>0.66784288839152128</v>
      </c>
      <c r="J4779" s="103">
        <v>1.3935784470569714E-3</v>
      </c>
      <c r="K4779" s="103"/>
      <c r="L4779" s="103">
        <v>4.48E-2</v>
      </c>
      <c r="O4779" s="100"/>
    </row>
    <row r="4780" spans="2:15" x14ac:dyDescent="0.2">
      <c r="B4780" s="1">
        <f t="shared" si="272"/>
        <v>4765</v>
      </c>
      <c r="C4780" s="101">
        <f ca="1"/>
        <v>1.1840836497364986</v>
      </c>
      <c r="D4780" s="101">
        <f t="shared" ca="1" si="273"/>
        <v>0.74683010071001632</v>
      </c>
      <c r="E4780" s="101">
        <f t="shared" ca="1" si="274"/>
        <v>0</v>
      </c>
      <c r="F4780" s="21">
        <f t="shared" ca="1" si="275"/>
        <v>0</v>
      </c>
      <c r="H4780" s="21">
        <v>4765</v>
      </c>
      <c r="I4780" s="102">
        <v>0.66759594210101569</v>
      </c>
      <c r="J4780" s="103">
        <v>1.3089894661638501E-3</v>
      </c>
      <c r="K4780" s="103"/>
      <c r="L4780" s="103">
        <v>3.9800000000000002E-2</v>
      </c>
      <c r="O4780" s="100"/>
    </row>
    <row r="4781" spans="2:15" x14ac:dyDescent="0.2">
      <c r="B4781" s="1">
        <f t="shared" si="272"/>
        <v>4766</v>
      </c>
      <c r="C4781" s="101">
        <f ca="1"/>
        <v>-0.44793927704507003</v>
      </c>
      <c r="D4781" s="101">
        <f t="shared" ca="1" si="273"/>
        <v>0.63578014011382322</v>
      </c>
      <c r="E4781" s="101">
        <f t="shared" ca="1" si="274"/>
        <v>0</v>
      </c>
      <c r="F4781" s="21">
        <f t="shared" ca="1" si="275"/>
        <v>0</v>
      </c>
      <c r="H4781" s="21">
        <v>4766</v>
      </c>
      <c r="I4781" s="102">
        <v>0.66778178382095543</v>
      </c>
      <c r="J4781" s="103">
        <v>1.3817062418850158E-3</v>
      </c>
      <c r="K4781" s="103"/>
      <c r="L4781" s="103">
        <v>4.1599999999999998E-2</v>
      </c>
      <c r="O4781" s="100"/>
    </row>
    <row r="4782" spans="2:15" x14ac:dyDescent="0.2">
      <c r="B4782" s="1">
        <f t="shared" si="272"/>
        <v>4767</v>
      </c>
      <c r="C4782" s="101">
        <f ca="1"/>
        <v>1.6539948236914703</v>
      </c>
      <c r="D4782" s="101">
        <f t="shared" ca="1" si="273"/>
        <v>0.78226251277625602</v>
      </c>
      <c r="E4782" s="101">
        <f t="shared" ca="1" si="274"/>
        <v>0</v>
      </c>
      <c r="F4782" s="21">
        <f t="shared" ca="1" si="275"/>
        <v>0</v>
      </c>
      <c r="H4782" s="21">
        <v>4767</v>
      </c>
      <c r="I4782" s="102">
        <v>0.66767799648713777</v>
      </c>
      <c r="J4782" s="103">
        <v>1.3771119594191109E-3</v>
      </c>
      <c r="K4782" s="103"/>
      <c r="L4782" s="103">
        <v>3.8399999999999997E-2</v>
      </c>
      <c r="O4782" s="100"/>
    </row>
    <row r="4783" spans="2:15" x14ac:dyDescent="0.2">
      <c r="B4783" s="1">
        <f t="shared" si="272"/>
        <v>4768</v>
      </c>
      <c r="C4783" s="101">
        <f ca="1"/>
        <v>0.42008466291294083</v>
      </c>
      <c r="D4783" s="101">
        <f t="shared" ca="1" si="273"/>
        <v>0.69261607695354988</v>
      </c>
      <c r="E4783" s="101">
        <f t="shared" ca="1" si="274"/>
        <v>0</v>
      </c>
      <c r="F4783" s="21">
        <f t="shared" ca="1" si="275"/>
        <v>0</v>
      </c>
      <c r="H4783" s="21">
        <v>4768</v>
      </c>
      <c r="I4783" s="102">
        <v>0.66763266125236365</v>
      </c>
      <c r="J4783" s="103">
        <v>1.326961043400014E-3</v>
      </c>
      <c r="K4783" s="103"/>
      <c r="L4783" s="103">
        <v>4.1000000000000002E-2</v>
      </c>
      <c r="O4783" s="100"/>
    </row>
    <row r="4784" spans="2:15" x14ac:dyDescent="0.2">
      <c r="B4784" s="1">
        <f t="shared" ref="B4784:B4847" si="276">B4783+1</f>
        <v>4769</v>
      </c>
      <c r="C4784" s="101">
        <f ca="1"/>
        <v>0.82906698900254638</v>
      </c>
      <c r="D4784" s="101">
        <f t="shared" ca="1" si="273"/>
        <v>0.72112926218420381</v>
      </c>
      <c r="E4784" s="101">
        <f t="shared" ca="1" si="274"/>
        <v>0</v>
      </c>
      <c r="F4784" s="21">
        <f t="shared" ca="1" si="275"/>
        <v>0</v>
      </c>
      <c r="H4784" s="21">
        <v>4769</v>
      </c>
      <c r="I4784" s="102">
        <v>0.66771977458324638</v>
      </c>
      <c r="J4784" s="103">
        <v>1.4177276406482967E-3</v>
      </c>
      <c r="K4784" s="103"/>
      <c r="L4784" s="103">
        <v>4.24E-2</v>
      </c>
      <c r="O4784" s="100"/>
    </row>
    <row r="4785" spans="2:15" x14ac:dyDescent="0.2">
      <c r="B4785" s="1">
        <f t="shared" si="276"/>
        <v>4770</v>
      </c>
      <c r="C4785" s="101">
        <f ca="1"/>
        <v>-1.2620100348090573</v>
      </c>
      <c r="D4785" s="101">
        <f t="shared" ca="1" si="273"/>
        <v>0.58672239898193923</v>
      </c>
      <c r="E4785" s="101">
        <f t="shared" ca="1" si="274"/>
        <v>0</v>
      </c>
      <c r="F4785" s="21">
        <f t="shared" ca="1" si="275"/>
        <v>0</v>
      </c>
      <c r="H4785" s="21">
        <v>4770</v>
      </c>
      <c r="I4785" s="102">
        <v>0.66770128656224004</v>
      </c>
      <c r="J4785" s="103">
        <v>1.2256416140666883E-3</v>
      </c>
      <c r="K4785" s="103"/>
      <c r="L4785" s="103">
        <v>4.0599999999999997E-2</v>
      </c>
      <c r="O4785" s="100"/>
    </row>
    <row r="4786" spans="2:15" x14ac:dyDescent="0.2">
      <c r="B4786" s="1">
        <f t="shared" si="276"/>
        <v>4771</v>
      </c>
      <c r="C4786" s="101">
        <f ca="1"/>
        <v>0.23202159659340157</v>
      </c>
      <c r="D4786" s="101">
        <f t="shared" ca="1" si="273"/>
        <v>0.6798859435136636</v>
      </c>
      <c r="E4786" s="101">
        <f t="shared" ca="1" si="274"/>
        <v>0</v>
      </c>
      <c r="F4786" s="21">
        <f t="shared" ca="1" si="275"/>
        <v>0</v>
      </c>
      <c r="H4786" s="21">
        <v>4771</v>
      </c>
      <c r="I4786" s="102">
        <v>0.66780332474613369</v>
      </c>
      <c r="J4786" s="103">
        <v>1.3866607318754952E-3</v>
      </c>
      <c r="K4786" s="103"/>
      <c r="L4786" s="103">
        <v>4.1399999999999999E-2</v>
      </c>
      <c r="O4786" s="100"/>
    </row>
    <row r="4787" spans="2:15" x14ac:dyDescent="0.2">
      <c r="B4787" s="1">
        <f t="shared" si="276"/>
        <v>4772</v>
      </c>
      <c r="C4787" s="101">
        <f ca="1"/>
        <v>-9.1113822673879796E-2</v>
      </c>
      <c r="D4787" s="101">
        <f t="shared" ca="1" si="273"/>
        <v>0.65855665097456306</v>
      </c>
      <c r="E4787" s="101">
        <f t="shared" ca="1" si="274"/>
        <v>0</v>
      </c>
      <c r="F4787" s="21">
        <f t="shared" ca="1" si="275"/>
        <v>0</v>
      </c>
      <c r="H4787" s="21">
        <v>4772</v>
      </c>
      <c r="I4787" s="102">
        <v>0.66773548421810236</v>
      </c>
      <c r="J4787" s="103">
        <v>1.4110741927293453E-3</v>
      </c>
      <c r="K4787" s="103"/>
      <c r="L4787" s="103">
        <v>3.9800000000000002E-2</v>
      </c>
      <c r="O4787" s="100"/>
    </row>
    <row r="4788" spans="2:15" x14ac:dyDescent="0.2">
      <c r="B4788" s="1">
        <f t="shared" si="276"/>
        <v>4773</v>
      </c>
      <c r="C4788" s="101">
        <f ca="1"/>
        <v>1.0198827056311017</v>
      </c>
      <c r="D4788" s="101">
        <f t="shared" ca="1" si="273"/>
        <v>0.73483113042399117</v>
      </c>
      <c r="E4788" s="101">
        <f t="shared" ca="1" si="274"/>
        <v>0</v>
      </c>
      <c r="F4788" s="21">
        <f t="shared" ca="1" si="275"/>
        <v>0</v>
      </c>
      <c r="H4788" s="21">
        <v>4773</v>
      </c>
      <c r="I4788" s="102">
        <v>0.6677628614556691</v>
      </c>
      <c r="J4788" s="103">
        <v>1.4380547258024373E-3</v>
      </c>
      <c r="K4788" s="103"/>
      <c r="L4788" s="103">
        <v>4.3400000000000001E-2</v>
      </c>
      <c r="O4788" s="100"/>
    </row>
    <row r="4789" spans="2:15" x14ac:dyDescent="0.2">
      <c r="B4789" s="1">
        <f t="shared" si="276"/>
        <v>4774</v>
      </c>
      <c r="C4789" s="101">
        <f ca="1"/>
        <v>-0.83097339278310545</v>
      </c>
      <c r="D4789" s="101">
        <f t="shared" ca="1" si="273"/>
        <v>0.61220660716047648</v>
      </c>
      <c r="E4789" s="101">
        <f t="shared" ca="1" si="274"/>
        <v>0</v>
      </c>
      <c r="F4789" s="21">
        <f t="shared" ca="1" si="275"/>
        <v>0</v>
      </c>
      <c r="H4789" s="21">
        <v>4774</v>
      </c>
      <c r="I4789" s="102">
        <v>0.66767716153339363</v>
      </c>
      <c r="J4789" s="103">
        <v>1.2947152150051254E-3</v>
      </c>
      <c r="K4789" s="103"/>
      <c r="L4789" s="103">
        <v>3.9199999999999999E-2</v>
      </c>
      <c r="O4789" s="100"/>
    </row>
    <row r="4790" spans="2:15" x14ac:dyDescent="0.2">
      <c r="B4790" s="1">
        <f t="shared" si="276"/>
        <v>4775</v>
      </c>
      <c r="C4790" s="101">
        <f ca="1"/>
        <v>1.418547921192892</v>
      </c>
      <c r="D4790" s="101">
        <f t="shared" ca="1" si="273"/>
        <v>0.76430397547176654</v>
      </c>
      <c r="E4790" s="101">
        <f t="shared" ca="1" si="274"/>
        <v>0</v>
      </c>
      <c r="F4790" s="21">
        <f t="shared" ca="1" si="275"/>
        <v>0</v>
      </c>
      <c r="H4790" s="21">
        <v>4775</v>
      </c>
      <c r="I4790" s="102">
        <v>0.66771670579704456</v>
      </c>
      <c r="J4790" s="103">
        <v>1.3297504234576394E-3</v>
      </c>
      <c r="K4790" s="103"/>
      <c r="L4790" s="103">
        <v>4.0399999999999998E-2</v>
      </c>
      <c r="O4790" s="100"/>
    </row>
    <row r="4791" spans="2:15" x14ac:dyDescent="0.2">
      <c r="B4791" s="1">
        <f t="shared" si="276"/>
        <v>4776</v>
      </c>
      <c r="C4791" s="101">
        <f ca="1"/>
        <v>2.4939493155795411E-2</v>
      </c>
      <c r="D4791" s="101">
        <f t="shared" ca="1" si="273"/>
        <v>0.66613889560064432</v>
      </c>
      <c r="E4791" s="101">
        <f t="shared" ca="1" si="274"/>
        <v>0</v>
      </c>
      <c r="F4791" s="21">
        <f t="shared" ca="1" si="275"/>
        <v>0</v>
      </c>
      <c r="H4791" s="21">
        <v>4776</v>
      </c>
      <c r="I4791" s="102">
        <v>0.66774878893937561</v>
      </c>
      <c r="J4791" s="103">
        <v>1.2714522847224873E-3</v>
      </c>
      <c r="K4791" s="103"/>
      <c r="L4791" s="103">
        <v>4.2200000000000001E-2</v>
      </c>
      <c r="O4791" s="100"/>
    </row>
    <row r="4792" spans="2:15" x14ac:dyDescent="0.2">
      <c r="B4792" s="1">
        <f t="shared" si="276"/>
        <v>4777</v>
      </c>
      <c r="C4792" s="101">
        <f ca="1"/>
        <v>-0.51482980988282179</v>
      </c>
      <c r="D4792" s="101">
        <f t="shared" ca="1" si="273"/>
        <v>0.63159896336097998</v>
      </c>
      <c r="E4792" s="101">
        <f t="shared" ca="1" si="274"/>
        <v>0</v>
      </c>
      <c r="F4792" s="21">
        <f t="shared" ca="1" si="275"/>
        <v>0</v>
      </c>
      <c r="H4792" s="21">
        <v>4777</v>
      </c>
      <c r="I4792" s="102">
        <v>0.66779256400349241</v>
      </c>
      <c r="J4792" s="103">
        <v>1.4728233487203413E-3</v>
      </c>
      <c r="K4792" s="103"/>
      <c r="L4792" s="103">
        <v>4.58E-2</v>
      </c>
      <c r="O4792" s="100"/>
    </row>
    <row r="4793" spans="2:15" x14ac:dyDescent="0.2">
      <c r="B4793" s="1">
        <f t="shared" si="276"/>
        <v>4778</v>
      </c>
      <c r="C4793" s="101">
        <f ca="1"/>
        <v>0.81647804359535692</v>
      </c>
      <c r="D4793" s="101">
        <f t="shared" ca="1" si="273"/>
        <v>0.72023432666275455</v>
      </c>
      <c r="E4793" s="101">
        <f t="shared" ca="1" si="274"/>
        <v>0</v>
      </c>
      <c r="F4793" s="21">
        <f t="shared" ca="1" si="275"/>
        <v>0</v>
      </c>
      <c r="H4793" s="21">
        <v>4778</v>
      </c>
      <c r="I4793" s="102">
        <v>0.66762008068231737</v>
      </c>
      <c r="J4793" s="103">
        <v>1.2275374048008087E-3</v>
      </c>
      <c r="K4793" s="103"/>
      <c r="L4793" s="103">
        <v>3.5999999999999997E-2</v>
      </c>
      <c r="O4793" s="100"/>
    </row>
    <row r="4794" spans="2:15" x14ac:dyDescent="0.2">
      <c r="B4794" s="1">
        <f t="shared" si="276"/>
        <v>4779</v>
      </c>
      <c r="C4794" s="101">
        <f ca="1"/>
        <v>0.14201755491048873</v>
      </c>
      <c r="D4794" s="101">
        <f t="shared" ca="1" si="273"/>
        <v>0.6738765514016376</v>
      </c>
      <c r="E4794" s="101">
        <f t="shared" ca="1" si="274"/>
        <v>0</v>
      </c>
      <c r="F4794" s="21">
        <f t="shared" ca="1" si="275"/>
        <v>0</v>
      </c>
      <c r="H4794" s="21">
        <v>4779</v>
      </c>
      <c r="I4794" s="102">
        <v>0.66784847352746535</v>
      </c>
      <c r="J4794" s="103">
        <v>1.4086591646403043E-3</v>
      </c>
      <c r="K4794" s="103"/>
      <c r="L4794" s="103">
        <v>4.5400000000000003E-2</v>
      </c>
      <c r="O4794" s="100"/>
    </row>
    <row r="4795" spans="2:15" x14ac:dyDescent="0.2">
      <c r="B4795" s="1">
        <f t="shared" si="276"/>
        <v>4780</v>
      </c>
      <c r="C4795" s="101">
        <f ca="1"/>
        <v>0.44718642768461886</v>
      </c>
      <c r="D4795" s="101">
        <f t="shared" ca="1" si="273"/>
        <v>0.69447016212743951</v>
      </c>
      <c r="E4795" s="101">
        <f t="shared" ca="1" si="274"/>
        <v>0</v>
      </c>
      <c r="F4795" s="21">
        <f t="shared" ca="1" si="275"/>
        <v>0</v>
      </c>
      <c r="H4795" s="21">
        <v>4780</v>
      </c>
      <c r="I4795" s="102">
        <v>0.66755941406905528</v>
      </c>
      <c r="J4795" s="103">
        <v>1.1411588845884251E-3</v>
      </c>
      <c r="K4795" s="103"/>
      <c r="L4795" s="103">
        <v>3.8199999999999998E-2</v>
      </c>
      <c r="O4795" s="100"/>
    </row>
    <row r="4796" spans="2:15" x14ac:dyDescent="0.2">
      <c r="B4796" s="1">
        <f t="shared" si="276"/>
        <v>4781</v>
      </c>
      <c r="C4796" s="101">
        <f ca="1"/>
        <v>-1.0349003064643167</v>
      </c>
      <c r="D4796" s="101">
        <f t="shared" ca="1" si="273"/>
        <v>0.60001472574003889</v>
      </c>
      <c r="E4796" s="101">
        <f t="shared" ca="1" si="274"/>
        <v>0</v>
      </c>
      <c r="F4796" s="21">
        <f t="shared" ca="1" si="275"/>
        <v>0</v>
      </c>
      <c r="H4796" s="21">
        <v>4781</v>
      </c>
      <c r="I4796" s="102">
        <v>0.66780360255576998</v>
      </c>
      <c r="J4796" s="103">
        <v>1.290280325068844E-3</v>
      </c>
      <c r="K4796" s="103"/>
      <c r="L4796" s="103">
        <v>4.2000000000000003E-2</v>
      </c>
      <c r="O4796" s="100"/>
    </row>
    <row r="4797" spans="2:15" x14ac:dyDescent="0.2">
      <c r="B4797" s="1">
        <f t="shared" si="276"/>
        <v>4782</v>
      </c>
      <c r="C4797" s="101">
        <f ca="1"/>
        <v>0.49386735233461965</v>
      </c>
      <c r="D4797" s="101">
        <f t="shared" ca="1" si="273"/>
        <v>0.69767534059369618</v>
      </c>
      <c r="E4797" s="101">
        <f t="shared" ca="1" si="274"/>
        <v>0</v>
      </c>
      <c r="F4797" s="21">
        <f t="shared" ca="1" si="275"/>
        <v>0</v>
      </c>
      <c r="H4797" s="21">
        <v>4782</v>
      </c>
      <c r="I4797" s="102">
        <v>0.66766466294612359</v>
      </c>
      <c r="J4797" s="103">
        <v>1.2888346079339835E-3</v>
      </c>
      <c r="K4797" s="103"/>
      <c r="L4797" s="103">
        <v>3.9600000000000003E-2</v>
      </c>
      <c r="O4797" s="100"/>
    </row>
    <row r="4798" spans="2:15" x14ac:dyDescent="0.2">
      <c r="B4798" s="1">
        <f t="shared" si="276"/>
        <v>4783</v>
      </c>
      <c r="C4798" s="101">
        <f ca="1"/>
        <v>1.1701456777070589</v>
      </c>
      <c r="D4798" s="101">
        <f t="shared" ca="1" si="273"/>
        <v>0.74580401936901675</v>
      </c>
      <c r="E4798" s="101">
        <f t="shared" ca="1" si="274"/>
        <v>0</v>
      </c>
      <c r="F4798" s="21">
        <f t="shared" ca="1" si="275"/>
        <v>0</v>
      </c>
      <c r="H4798" s="21">
        <v>4783</v>
      </c>
      <c r="I4798" s="102">
        <v>0.66762245665524478</v>
      </c>
      <c r="J4798" s="103">
        <v>1.1006628678589864E-3</v>
      </c>
      <c r="K4798" s="103"/>
      <c r="L4798" s="103">
        <v>3.5999999999999997E-2</v>
      </c>
      <c r="O4798" s="100"/>
    </row>
    <row r="4799" spans="2:15" x14ac:dyDescent="0.2">
      <c r="B4799" s="1">
        <f t="shared" si="276"/>
        <v>4784</v>
      </c>
      <c r="C4799" s="101">
        <f ca="1"/>
        <v>1.7049361915314456</v>
      </c>
      <c r="D4799" s="101">
        <f t="shared" ca="1" si="273"/>
        <v>0.78620321507104585</v>
      </c>
      <c r="E4799" s="101">
        <f t="shared" ca="1" si="274"/>
        <v>0</v>
      </c>
      <c r="F4799" s="21">
        <f t="shared" ca="1" si="275"/>
        <v>0</v>
      </c>
      <c r="H4799" s="21">
        <v>4784</v>
      </c>
      <c r="I4799" s="102">
        <v>0.66763181608574673</v>
      </c>
      <c r="J4799" s="103">
        <v>1.2194864326077171E-3</v>
      </c>
      <c r="K4799" s="103"/>
      <c r="L4799" s="103">
        <v>4.0399999999999998E-2</v>
      </c>
      <c r="O4799" s="100"/>
    </row>
    <row r="4800" spans="2:15" x14ac:dyDescent="0.2">
      <c r="B4800" s="1">
        <f t="shared" si="276"/>
        <v>4785</v>
      </c>
      <c r="C4800" s="101">
        <f ca="1"/>
        <v>0.19842259623847186</v>
      </c>
      <c r="D4800" s="101">
        <f t="shared" ca="1" si="273"/>
        <v>0.67763636146430395</v>
      </c>
      <c r="E4800" s="101">
        <f t="shared" ca="1" si="274"/>
        <v>0</v>
      </c>
      <c r="F4800" s="21">
        <f t="shared" ca="1" si="275"/>
        <v>0</v>
      </c>
      <c r="H4800" s="21">
        <v>4785</v>
      </c>
      <c r="I4800" s="102">
        <v>0.66780345104817529</v>
      </c>
      <c r="J4800" s="103">
        <v>1.3560680885505954E-3</v>
      </c>
      <c r="K4800" s="103"/>
      <c r="L4800" s="103">
        <v>4.1599999999999998E-2</v>
      </c>
      <c r="O4800" s="100"/>
    </row>
    <row r="4801" spans="2:15" x14ac:dyDescent="0.2">
      <c r="B4801" s="1">
        <f t="shared" si="276"/>
        <v>4786</v>
      </c>
      <c r="C4801" s="101">
        <f ca="1"/>
        <v>0.25101155922148138</v>
      </c>
      <c r="D4801" s="101">
        <f t="shared" ca="1" si="273"/>
        <v>0.68116069608211716</v>
      </c>
      <c r="E4801" s="101">
        <f t="shared" ca="1" si="274"/>
        <v>0</v>
      </c>
      <c r="F4801" s="21">
        <f t="shared" ca="1" si="275"/>
        <v>0</v>
      </c>
      <c r="H4801" s="21">
        <v>4786</v>
      </c>
      <c r="I4801" s="102">
        <v>0.66780121673948611</v>
      </c>
      <c r="J4801" s="103">
        <v>1.448180476597412E-3</v>
      </c>
      <c r="K4801" s="103"/>
      <c r="L4801" s="103">
        <v>4.2000000000000003E-2</v>
      </c>
      <c r="O4801" s="100"/>
    </row>
    <row r="4802" spans="2:15" x14ac:dyDescent="0.2">
      <c r="B4802" s="1">
        <f t="shared" si="276"/>
        <v>4787</v>
      </c>
      <c r="C4802" s="101">
        <f ca="1"/>
        <v>0.52787056709382629</v>
      </c>
      <c r="D4802" s="101">
        <f t="shared" ca="1" si="273"/>
        <v>0.70001935779342672</v>
      </c>
      <c r="E4802" s="101">
        <f t="shared" ca="1" si="274"/>
        <v>0</v>
      </c>
      <c r="F4802" s="21">
        <f t="shared" ca="1" si="275"/>
        <v>0</v>
      </c>
      <c r="H4802" s="21">
        <v>4787</v>
      </c>
      <c r="I4802" s="102">
        <v>0.66774612188340687</v>
      </c>
      <c r="J4802" s="103">
        <v>1.3024322569006039E-3</v>
      </c>
      <c r="K4802" s="103"/>
      <c r="L4802" s="103">
        <v>4.2200000000000001E-2</v>
      </c>
      <c r="O4802" s="100"/>
    </row>
    <row r="4803" spans="2:15" x14ac:dyDescent="0.2">
      <c r="B4803" s="1">
        <f t="shared" si="276"/>
        <v>4788</v>
      </c>
      <c r="C4803" s="101">
        <f ca="1"/>
        <v>-0.28107455626042799</v>
      </c>
      <c r="D4803" s="101">
        <f t="shared" ca="1" si="273"/>
        <v>0.64633152530711968</v>
      </c>
      <c r="E4803" s="101">
        <f t="shared" ca="1" si="274"/>
        <v>0</v>
      </c>
      <c r="F4803" s="21">
        <f t="shared" ca="1" si="275"/>
        <v>0</v>
      </c>
      <c r="H4803" s="21">
        <v>4788</v>
      </c>
      <c r="I4803" s="102">
        <v>0.66782056910345289</v>
      </c>
      <c r="J4803" s="103">
        <v>1.4101656130152032E-3</v>
      </c>
      <c r="K4803" s="103"/>
      <c r="L4803" s="103">
        <v>4.2599999999999999E-2</v>
      </c>
      <c r="O4803" s="100"/>
    </row>
    <row r="4804" spans="2:15" x14ac:dyDescent="0.2">
      <c r="B4804" s="1">
        <f t="shared" si="276"/>
        <v>4789</v>
      </c>
      <c r="C4804" s="101">
        <f ca="1"/>
        <v>1.0920950528150659</v>
      </c>
      <c r="D4804" s="101">
        <f t="shared" ca="1" si="273"/>
        <v>0.74008410855804496</v>
      </c>
      <c r="E4804" s="101">
        <f t="shared" ca="1" si="274"/>
        <v>0</v>
      </c>
      <c r="F4804" s="21">
        <f t="shared" ca="1" si="275"/>
        <v>0</v>
      </c>
      <c r="H4804" s="21">
        <v>4789</v>
      </c>
      <c r="I4804" s="102">
        <v>0.66767903264965811</v>
      </c>
      <c r="J4804" s="103">
        <v>1.2139687044300678E-3</v>
      </c>
      <c r="K4804" s="103"/>
      <c r="L4804" s="103">
        <v>4.1399999999999999E-2</v>
      </c>
      <c r="O4804" s="100"/>
    </row>
    <row r="4805" spans="2:15" x14ac:dyDescent="0.2">
      <c r="B4805" s="1">
        <f t="shared" si="276"/>
        <v>4790</v>
      </c>
      <c r="C4805" s="101">
        <f ca="1"/>
        <v>0.42284836455249519</v>
      </c>
      <c r="D4805" s="101">
        <f t="shared" ca="1" si="273"/>
        <v>0.69280492035918273</v>
      </c>
      <c r="E4805" s="101">
        <f t="shared" ca="1" si="274"/>
        <v>0</v>
      </c>
      <c r="F4805" s="21">
        <f t="shared" ca="1" si="275"/>
        <v>0</v>
      </c>
      <c r="H4805" s="21">
        <v>4790</v>
      </c>
      <c r="I4805" s="102">
        <v>0.66765934478118494</v>
      </c>
      <c r="J4805" s="103">
        <v>1.3018214885932096E-3</v>
      </c>
      <c r="K4805" s="103"/>
      <c r="L4805" s="103">
        <v>3.7400000000000003E-2</v>
      </c>
      <c r="O4805" s="100"/>
    </row>
    <row r="4806" spans="2:15" x14ac:dyDescent="0.2">
      <c r="B4806" s="1">
        <f t="shared" si="276"/>
        <v>4791</v>
      </c>
      <c r="C4806" s="101">
        <f ca="1"/>
        <v>-1.0956672303839574</v>
      </c>
      <c r="D4806" s="101">
        <f t="shared" ca="1" si="273"/>
        <v>0.59642891714683988</v>
      </c>
      <c r="E4806" s="101">
        <f t="shared" ca="1" si="274"/>
        <v>0</v>
      </c>
      <c r="F4806" s="21">
        <f t="shared" ca="1" si="275"/>
        <v>0</v>
      </c>
      <c r="H4806" s="21">
        <v>4791</v>
      </c>
      <c r="I4806" s="102">
        <v>0.66777917813770038</v>
      </c>
      <c r="J4806" s="103">
        <v>1.4574127524701944E-3</v>
      </c>
      <c r="K4806" s="103"/>
      <c r="L4806" s="103">
        <v>4.3400000000000001E-2</v>
      </c>
      <c r="O4806" s="100"/>
    </row>
    <row r="4807" spans="2:15" x14ac:dyDescent="0.2">
      <c r="B4807" s="1">
        <f t="shared" si="276"/>
        <v>4792</v>
      </c>
      <c r="C4807" s="101">
        <f ca="1"/>
        <v>-0.34056960266592978</v>
      </c>
      <c r="D4807" s="101">
        <f t="shared" ca="1" si="273"/>
        <v>0.64254952721493941</v>
      </c>
      <c r="E4807" s="101">
        <f t="shared" ca="1" si="274"/>
        <v>0</v>
      </c>
      <c r="F4807" s="21">
        <f t="shared" ca="1" si="275"/>
        <v>0</v>
      </c>
      <c r="H4807" s="21">
        <v>4792</v>
      </c>
      <c r="I4807" s="102">
        <v>0.66786101794738839</v>
      </c>
      <c r="J4807" s="103">
        <v>1.4697765208648147E-3</v>
      </c>
      <c r="K4807" s="103"/>
      <c r="L4807" s="103">
        <v>4.48E-2</v>
      </c>
      <c r="O4807" s="100"/>
    </row>
    <row r="4808" spans="2:15" x14ac:dyDescent="0.2">
      <c r="B4808" s="1">
        <f t="shared" si="276"/>
        <v>4793</v>
      </c>
      <c r="C4808" s="101">
        <f ca="1"/>
        <v>-0.7016814910975645</v>
      </c>
      <c r="D4808" s="101">
        <f t="shared" ca="1" si="273"/>
        <v>0.62006439995064377</v>
      </c>
      <c r="E4808" s="101">
        <f t="shared" ca="1" si="274"/>
        <v>0</v>
      </c>
      <c r="F4808" s="21">
        <f t="shared" ca="1" si="275"/>
        <v>0</v>
      </c>
      <c r="H4808" s="21">
        <v>4793</v>
      </c>
      <c r="I4808" s="102">
        <v>0.66780975826415523</v>
      </c>
      <c r="J4808" s="103">
        <v>1.2990135041090769E-3</v>
      </c>
      <c r="K4808" s="103"/>
      <c r="L4808" s="103">
        <v>4.2599999999999999E-2</v>
      </c>
      <c r="O4808" s="100"/>
    </row>
    <row r="4809" spans="2:15" x14ac:dyDescent="0.2">
      <c r="B4809" s="1">
        <f t="shared" si="276"/>
        <v>4794</v>
      </c>
      <c r="C4809" s="101">
        <f ca="1"/>
        <v>1.5272602369605937</v>
      </c>
      <c r="D4809" s="101">
        <f t="shared" ca="1" si="273"/>
        <v>0.77254411245592547</v>
      </c>
      <c r="E4809" s="101">
        <f t="shared" ca="1" si="274"/>
        <v>0</v>
      </c>
      <c r="F4809" s="21">
        <f t="shared" ca="1" si="275"/>
        <v>0</v>
      </c>
      <c r="H4809" s="21">
        <v>4794</v>
      </c>
      <c r="I4809" s="102">
        <v>0.66769727595295869</v>
      </c>
      <c r="J4809" s="103">
        <v>1.4583823690266274E-3</v>
      </c>
      <c r="K4809" s="103"/>
      <c r="L4809" s="103">
        <v>4.0399999999999998E-2</v>
      </c>
      <c r="O4809" s="100"/>
    </row>
    <row r="4810" spans="2:15" x14ac:dyDescent="0.2">
      <c r="B4810" s="1">
        <f t="shared" si="276"/>
        <v>4795</v>
      </c>
      <c r="C4810" s="101">
        <f ca="1"/>
        <v>-0.56419793700762133</v>
      </c>
      <c r="D4810" s="101">
        <f t="shared" ca="1" si="273"/>
        <v>0.62853071903340041</v>
      </c>
      <c r="E4810" s="101">
        <f t="shared" ca="1" si="274"/>
        <v>0</v>
      </c>
      <c r="F4810" s="21">
        <f t="shared" ca="1" si="275"/>
        <v>0</v>
      </c>
      <c r="H4810" s="21">
        <v>4795</v>
      </c>
      <c r="I4810" s="102">
        <v>0.66770470138326787</v>
      </c>
      <c r="J4810" s="103">
        <v>1.4189989907881851E-3</v>
      </c>
      <c r="K4810" s="103"/>
      <c r="L4810" s="103">
        <v>4.0800000000000003E-2</v>
      </c>
      <c r="O4810" s="100"/>
    </row>
    <row r="4811" spans="2:15" x14ac:dyDescent="0.2">
      <c r="B4811" s="1">
        <f t="shared" si="276"/>
        <v>4796</v>
      </c>
      <c r="C4811" s="101">
        <f ca="1"/>
        <v>1.3369654090321361</v>
      </c>
      <c r="D4811" s="101">
        <f t="shared" ca="1" si="273"/>
        <v>0.75817799238830041</v>
      </c>
      <c r="E4811" s="101">
        <f t="shared" ca="1" si="274"/>
        <v>0</v>
      </c>
      <c r="F4811" s="21">
        <f t="shared" ca="1" si="275"/>
        <v>0</v>
      </c>
      <c r="H4811" s="21">
        <v>4796</v>
      </c>
      <c r="I4811" s="102">
        <v>0.6677273814448047</v>
      </c>
      <c r="J4811" s="103">
        <v>1.4212463622180823E-3</v>
      </c>
      <c r="K4811" s="103"/>
      <c r="L4811" s="103">
        <v>4.1799999999999997E-2</v>
      </c>
      <c r="O4811" s="100"/>
    </row>
    <row r="4812" spans="2:15" x14ac:dyDescent="0.2">
      <c r="B4812" s="1">
        <f t="shared" si="276"/>
        <v>4797</v>
      </c>
      <c r="C4812" s="101">
        <f ca="1"/>
        <v>8.6160256965652882E-2</v>
      </c>
      <c r="D4812" s="101">
        <f t="shared" ca="1" si="273"/>
        <v>0.67017381094062001</v>
      </c>
      <c r="E4812" s="101">
        <f t="shared" ca="1" si="274"/>
        <v>0</v>
      </c>
      <c r="F4812" s="21">
        <f t="shared" ca="1" si="275"/>
        <v>0</v>
      </c>
      <c r="H4812" s="21">
        <v>4797</v>
      </c>
      <c r="I4812" s="102">
        <v>0.66774263513989696</v>
      </c>
      <c r="J4812" s="103">
        <v>1.3512425301683458E-3</v>
      </c>
      <c r="K4812" s="103"/>
      <c r="L4812" s="103">
        <v>4.0800000000000003E-2</v>
      </c>
      <c r="O4812" s="100"/>
    </row>
    <row r="4813" spans="2:15" x14ac:dyDescent="0.2">
      <c r="B4813" s="1">
        <f t="shared" si="276"/>
        <v>4798</v>
      </c>
      <c r="C4813" s="101">
        <f ca="1"/>
        <v>-0.41104851341966481</v>
      </c>
      <c r="D4813" s="101">
        <f t="shared" ca="1" si="273"/>
        <v>0.6380979292975818</v>
      </c>
      <c r="E4813" s="101">
        <f t="shared" ca="1" si="274"/>
        <v>0</v>
      </c>
      <c r="F4813" s="21">
        <f t="shared" ca="1" si="275"/>
        <v>0</v>
      </c>
      <c r="H4813" s="21">
        <v>4798</v>
      </c>
      <c r="I4813" s="102">
        <v>0.66767007565701453</v>
      </c>
      <c r="J4813" s="103">
        <v>1.3423121237307791E-3</v>
      </c>
      <c r="K4813" s="103"/>
      <c r="L4813" s="103">
        <v>3.7600000000000001E-2</v>
      </c>
      <c r="O4813" s="100"/>
    </row>
    <row r="4814" spans="2:15" x14ac:dyDescent="0.2">
      <c r="B4814" s="1">
        <f t="shared" si="276"/>
        <v>4799</v>
      </c>
      <c r="C4814" s="101">
        <f ca="1"/>
        <v>1.0658464915901071</v>
      </c>
      <c r="D4814" s="101">
        <f t="shared" ca="1" si="273"/>
        <v>0.73817036664713265</v>
      </c>
      <c r="E4814" s="101">
        <f t="shared" ca="1" si="274"/>
        <v>0</v>
      </c>
      <c r="F4814" s="21">
        <f t="shared" ca="1" si="275"/>
        <v>0</v>
      </c>
      <c r="H4814" s="21">
        <v>4799</v>
      </c>
      <c r="I4814" s="102">
        <v>0.66762628884413122</v>
      </c>
      <c r="J4814" s="103">
        <v>1.0992541390732731E-3</v>
      </c>
      <c r="K4814" s="103"/>
      <c r="L4814" s="103">
        <v>3.8399999999999997E-2</v>
      </c>
      <c r="O4814" s="100"/>
    </row>
    <row r="4815" spans="2:15" x14ac:dyDescent="0.2">
      <c r="B4815" s="1">
        <f t="shared" si="276"/>
        <v>4800</v>
      </c>
      <c r="C4815" s="101">
        <f ca="1"/>
        <v>-0.50678337022525</v>
      </c>
      <c r="D4815" s="101">
        <f t="shared" ca="1" si="273"/>
        <v>0.63210046970546874</v>
      </c>
      <c r="E4815" s="101">
        <f t="shared" ca="1" si="274"/>
        <v>0</v>
      </c>
      <c r="F4815" s="21">
        <f t="shared" ca="1" si="275"/>
        <v>0</v>
      </c>
      <c r="H4815" s="21">
        <v>4800</v>
      </c>
      <c r="I4815" s="102">
        <v>0.66781466469899964</v>
      </c>
      <c r="J4815" s="103">
        <v>1.4073222467522236E-3</v>
      </c>
      <c r="K4815" s="103"/>
      <c r="L4815" s="103">
        <v>4.4999999999999998E-2</v>
      </c>
      <c r="O4815" s="100"/>
    </row>
    <row r="4816" spans="2:15" x14ac:dyDescent="0.2">
      <c r="B4816" s="1">
        <f t="shared" si="276"/>
        <v>4801</v>
      </c>
      <c r="C4816" s="101">
        <f ca="1"/>
        <v>-0.57182782267087551</v>
      </c>
      <c r="D4816" s="101">
        <f t="shared" ref="D4816:D4879" ca="1" si="277">S0*EXP((μ-0.5*σ*σ)*T+σ*SQRT(T)*$C4816)</f>
        <v>0.62805785093095423</v>
      </c>
      <c r="E4816" s="101">
        <f t="shared" ref="E4816:E4879" ca="1" si="278">MAX(0,CP*(D4816-K))</f>
        <v>0</v>
      </c>
      <c r="F4816" s="21">
        <f t="shared" ref="F4816:F4879" ca="1" si="279">(CP*(D4816-K)&gt;0)*1</f>
        <v>0</v>
      </c>
      <c r="H4816" s="21">
        <v>4801</v>
      </c>
      <c r="I4816" s="102">
        <v>0.66757248572332617</v>
      </c>
      <c r="J4816" s="103">
        <v>1.2191521818534737E-3</v>
      </c>
      <c r="K4816" s="103"/>
      <c r="L4816" s="103">
        <v>3.78E-2</v>
      </c>
      <c r="O4816" s="100"/>
    </row>
    <row r="4817" spans="2:15" x14ac:dyDescent="0.2">
      <c r="B4817" s="1">
        <f t="shared" si="276"/>
        <v>4802</v>
      </c>
      <c r="C4817" s="101">
        <f ca="1"/>
        <v>-8.1275601259579902E-2</v>
      </c>
      <c r="D4817" s="101">
        <f t="shared" ca="1" si="277"/>
        <v>0.65919606091246163</v>
      </c>
      <c r="E4817" s="101">
        <f t="shared" ca="1" si="278"/>
        <v>0</v>
      </c>
      <c r="F4817" s="21">
        <f t="shared" ca="1" si="279"/>
        <v>0</v>
      </c>
      <c r="H4817" s="21">
        <v>4802</v>
      </c>
      <c r="I4817" s="102">
        <v>0.66768323607702151</v>
      </c>
      <c r="J4817" s="103">
        <v>1.1789322854080997E-3</v>
      </c>
      <c r="K4817" s="103"/>
      <c r="L4817" s="103">
        <v>3.9199999999999999E-2</v>
      </c>
      <c r="O4817" s="100"/>
    </row>
    <row r="4818" spans="2:15" x14ac:dyDescent="0.2">
      <c r="B4818" s="1">
        <f t="shared" si="276"/>
        <v>4803</v>
      </c>
      <c r="C4818" s="101">
        <f ca="1"/>
        <v>-0.31687595687043935</v>
      </c>
      <c r="D4818" s="101">
        <f t="shared" ca="1" si="277"/>
        <v>0.64405303267713376</v>
      </c>
      <c r="E4818" s="101">
        <f t="shared" ca="1" si="278"/>
        <v>0</v>
      </c>
      <c r="F4818" s="21">
        <f t="shared" ca="1" si="279"/>
        <v>0</v>
      </c>
      <c r="H4818" s="21">
        <v>4803</v>
      </c>
      <c r="I4818" s="102">
        <v>0.66767365849538773</v>
      </c>
      <c r="J4818" s="103">
        <v>1.3762806783533569E-3</v>
      </c>
      <c r="K4818" s="103"/>
      <c r="L4818" s="103">
        <v>3.8600000000000002E-2</v>
      </c>
      <c r="O4818" s="100"/>
    </row>
    <row r="4819" spans="2:15" x14ac:dyDescent="0.2">
      <c r="B4819" s="1">
        <f t="shared" si="276"/>
        <v>4804</v>
      </c>
      <c r="C4819" s="101">
        <f ca="1"/>
        <v>1.79927092400832</v>
      </c>
      <c r="D4819" s="101">
        <f t="shared" ca="1" si="277"/>
        <v>0.79355321823567504</v>
      </c>
      <c r="E4819" s="101">
        <f t="shared" ca="1" si="278"/>
        <v>5.353218235675028E-3</v>
      </c>
      <c r="F4819" s="21">
        <f t="shared" ca="1" si="279"/>
        <v>1</v>
      </c>
      <c r="H4819" s="21">
        <v>4804</v>
      </c>
      <c r="I4819" s="102">
        <v>0.66770868487225221</v>
      </c>
      <c r="J4819" s="103">
        <v>1.3144144986102643E-3</v>
      </c>
      <c r="K4819" s="103"/>
      <c r="L4819" s="103">
        <v>4.1200000000000001E-2</v>
      </c>
      <c r="O4819" s="100"/>
    </row>
    <row r="4820" spans="2:15" x14ac:dyDescent="0.2">
      <c r="B4820" s="1">
        <f t="shared" si="276"/>
        <v>4805</v>
      </c>
      <c r="C4820" s="101">
        <f ca="1"/>
        <v>6.0708858484207193E-2</v>
      </c>
      <c r="D4820" s="101">
        <f t="shared" ca="1" si="277"/>
        <v>0.6684934098426204</v>
      </c>
      <c r="E4820" s="101">
        <f t="shared" ca="1" si="278"/>
        <v>0</v>
      </c>
      <c r="F4820" s="21">
        <f t="shared" ca="1" si="279"/>
        <v>0</v>
      </c>
      <c r="H4820" s="21">
        <v>4805</v>
      </c>
      <c r="I4820" s="102">
        <v>0.66789542165964333</v>
      </c>
      <c r="J4820" s="103">
        <v>1.5324100351740129E-3</v>
      </c>
      <c r="K4820" s="103"/>
      <c r="L4820" s="103">
        <v>4.4600000000000001E-2</v>
      </c>
      <c r="O4820" s="100"/>
    </row>
    <row r="4821" spans="2:15" x14ac:dyDescent="0.2">
      <c r="B4821" s="1">
        <f t="shared" si="276"/>
        <v>4806</v>
      </c>
      <c r="C4821" s="101">
        <f ca="1"/>
        <v>0.32527703362562599</v>
      </c>
      <c r="D4821" s="101">
        <f t="shared" ca="1" si="277"/>
        <v>0.68616895941190104</v>
      </c>
      <c r="E4821" s="101">
        <f t="shared" ca="1" si="278"/>
        <v>0</v>
      </c>
      <c r="F4821" s="21">
        <f t="shared" ca="1" si="279"/>
        <v>0</v>
      </c>
      <c r="H4821" s="21">
        <v>4806</v>
      </c>
      <c r="I4821" s="102">
        <v>0.66779685857912441</v>
      </c>
      <c r="J4821" s="103">
        <v>1.3536254113071416E-3</v>
      </c>
      <c r="K4821" s="103"/>
      <c r="L4821" s="103">
        <v>4.1799999999999997E-2</v>
      </c>
      <c r="O4821" s="100"/>
    </row>
    <row r="4822" spans="2:15" x14ac:dyDescent="0.2">
      <c r="B4822" s="1">
        <f t="shared" si="276"/>
        <v>4807</v>
      </c>
      <c r="C4822" s="101">
        <f ca="1"/>
        <v>-0.99391178780556511</v>
      </c>
      <c r="D4822" s="101">
        <f t="shared" ca="1" si="277"/>
        <v>0.60244559325549019</v>
      </c>
      <c r="E4822" s="101">
        <f t="shared" ca="1" si="278"/>
        <v>0</v>
      </c>
      <c r="F4822" s="21">
        <f t="shared" ca="1" si="279"/>
        <v>0</v>
      </c>
      <c r="H4822" s="21">
        <v>4807</v>
      </c>
      <c r="I4822" s="102">
        <v>0.66778575285956154</v>
      </c>
      <c r="J4822" s="103">
        <v>1.4239696849252536E-3</v>
      </c>
      <c r="K4822" s="103"/>
      <c r="L4822" s="103">
        <v>3.9E-2</v>
      </c>
      <c r="O4822" s="100"/>
    </row>
    <row r="4823" spans="2:15" x14ac:dyDescent="0.2">
      <c r="B4823" s="1">
        <f t="shared" si="276"/>
        <v>4808</v>
      </c>
      <c r="C4823" s="101">
        <f ca="1"/>
        <v>1.4695025221579261</v>
      </c>
      <c r="D4823" s="101">
        <f t="shared" ca="1" si="277"/>
        <v>0.76815521307253609</v>
      </c>
      <c r="E4823" s="101">
        <f t="shared" ca="1" si="278"/>
        <v>0</v>
      </c>
      <c r="F4823" s="21">
        <f t="shared" ca="1" si="279"/>
        <v>0</v>
      </c>
      <c r="H4823" s="21">
        <v>4808</v>
      </c>
      <c r="I4823" s="102">
        <v>0.66764380708944127</v>
      </c>
      <c r="J4823" s="103">
        <v>1.2900433328311052E-3</v>
      </c>
      <c r="K4823" s="103"/>
      <c r="L4823" s="103">
        <v>4.2200000000000001E-2</v>
      </c>
      <c r="O4823" s="100"/>
    </row>
    <row r="4824" spans="2:15" x14ac:dyDescent="0.2">
      <c r="B4824" s="1">
        <f t="shared" si="276"/>
        <v>4809</v>
      </c>
      <c r="C4824" s="101">
        <f ca="1"/>
        <v>0.23982323177014717</v>
      </c>
      <c r="D4824" s="101">
        <f t="shared" ca="1" si="277"/>
        <v>0.68040936038854982</v>
      </c>
      <c r="E4824" s="101">
        <f t="shared" ca="1" si="278"/>
        <v>0</v>
      </c>
      <c r="F4824" s="21">
        <f t="shared" ca="1" si="279"/>
        <v>0</v>
      </c>
      <c r="H4824" s="21">
        <v>4809</v>
      </c>
      <c r="I4824" s="102">
        <v>0.66776071464799336</v>
      </c>
      <c r="J4824" s="103">
        <v>1.4057388644477533E-3</v>
      </c>
      <c r="K4824" s="103"/>
      <c r="L4824" s="103">
        <v>3.9600000000000003E-2</v>
      </c>
      <c r="O4824" s="100"/>
    </row>
    <row r="4825" spans="2:15" x14ac:dyDescent="0.2">
      <c r="B4825" s="1">
        <f t="shared" si="276"/>
        <v>4810</v>
      </c>
      <c r="C4825" s="101">
        <f ca="1"/>
        <v>-5.7439873843119368E-2</v>
      </c>
      <c r="D4825" s="101">
        <f t="shared" ca="1" si="277"/>
        <v>0.66074777809205898</v>
      </c>
      <c r="E4825" s="101">
        <f t="shared" ca="1" si="278"/>
        <v>0</v>
      </c>
      <c r="F4825" s="21">
        <f t="shared" ca="1" si="279"/>
        <v>0</v>
      </c>
      <c r="H4825" s="21">
        <v>4810</v>
      </c>
      <c r="I4825" s="102">
        <v>0.66763456369446517</v>
      </c>
      <c r="J4825" s="103">
        <v>1.254217870594329E-3</v>
      </c>
      <c r="K4825" s="103"/>
      <c r="L4825" s="103">
        <v>3.6999999999999998E-2</v>
      </c>
      <c r="O4825" s="100"/>
    </row>
    <row r="4826" spans="2:15" x14ac:dyDescent="0.2">
      <c r="B4826" s="1">
        <f t="shared" si="276"/>
        <v>4811</v>
      </c>
      <c r="C4826" s="101">
        <f ca="1"/>
        <v>0.51864061061843092</v>
      </c>
      <c r="D4826" s="101">
        <f t="shared" ca="1" si="277"/>
        <v>0.6993823116135669</v>
      </c>
      <c r="E4826" s="101">
        <f t="shared" ca="1" si="278"/>
        <v>0</v>
      </c>
      <c r="F4826" s="21">
        <f t="shared" ca="1" si="279"/>
        <v>0</v>
      </c>
      <c r="H4826" s="21">
        <v>4811</v>
      </c>
      <c r="I4826" s="102">
        <v>0.66780994883270495</v>
      </c>
      <c r="J4826" s="103">
        <v>1.3405374343933181E-3</v>
      </c>
      <c r="K4826" s="103"/>
      <c r="L4826" s="103">
        <v>4.4200000000000003E-2</v>
      </c>
      <c r="O4826" s="100"/>
    </row>
    <row r="4827" spans="2:15" x14ac:dyDescent="0.2">
      <c r="B4827" s="1">
        <f t="shared" si="276"/>
        <v>4812</v>
      </c>
      <c r="C4827" s="101">
        <f ca="1"/>
        <v>0.23373965489937562</v>
      </c>
      <c r="D4827" s="101">
        <f t="shared" ca="1" si="277"/>
        <v>0.68000117460160447</v>
      </c>
      <c r="E4827" s="101">
        <f t="shared" ca="1" si="278"/>
        <v>0</v>
      </c>
      <c r="F4827" s="21">
        <f t="shared" ca="1" si="279"/>
        <v>0</v>
      </c>
      <c r="H4827" s="21">
        <v>4812</v>
      </c>
      <c r="I4827" s="102">
        <v>0.6676110355438114</v>
      </c>
      <c r="J4827" s="103">
        <v>1.3323429090187115E-3</v>
      </c>
      <c r="K4827" s="103"/>
      <c r="L4827" s="103">
        <v>4.1399999999999999E-2</v>
      </c>
      <c r="O4827" s="100"/>
    </row>
    <row r="4828" spans="2:15" x14ac:dyDescent="0.2">
      <c r="B4828" s="1">
        <f t="shared" si="276"/>
        <v>4813</v>
      </c>
      <c r="C4828" s="101">
        <f ca="1"/>
        <v>-0.43713445366815651</v>
      </c>
      <c r="D4828" s="101">
        <f t="shared" ca="1" si="277"/>
        <v>0.63645811715442746</v>
      </c>
      <c r="E4828" s="101">
        <f t="shared" ca="1" si="278"/>
        <v>0</v>
      </c>
      <c r="F4828" s="21">
        <f t="shared" ca="1" si="279"/>
        <v>0</v>
      </c>
      <c r="H4828" s="21">
        <v>4813</v>
      </c>
      <c r="I4828" s="102">
        <v>0.66759381634964887</v>
      </c>
      <c r="J4828" s="103">
        <v>1.1533780281645517E-3</v>
      </c>
      <c r="K4828" s="103"/>
      <c r="L4828" s="103">
        <v>3.7400000000000003E-2</v>
      </c>
      <c r="O4828" s="100"/>
    </row>
    <row r="4829" spans="2:15" x14ac:dyDescent="0.2">
      <c r="B4829" s="1">
        <f t="shared" si="276"/>
        <v>4814</v>
      </c>
      <c r="C4829" s="101">
        <f ca="1"/>
        <v>-0.41250005212673896</v>
      </c>
      <c r="D4829" s="101">
        <f t="shared" ca="1" si="277"/>
        <v>0.63800657189023513</v>
      </c>
      <c r="E4829" s="101">
        <f t="shared" ca="1" si="278"/>
        <v>0</v>
      </c>
      <c r="F4829" s="21">
        <f t="shared" ca="1" si="279"/>
        <v>0</v>
      </c>
      <c r="H4829" s="21">
        <v>4814</v>
      </c>
      <c r="I4829" s="102">
        <v>0.66763938482968921</v>
      </c>
      <c r="J4829" s="103">
        <v>1.2070784609933254E-3</v>
      </c>
      <c r="K4829" s="103"/>
      <c r="L4829" s="103">
        <v>3.9199999999999999E-2</v>
      </c>
      <c r="O4829" s="100"/>
    </row>
    <row r="4830" spans="2:15" x14ac:dyDescent="0.2">
      <c r="B4830" s="1">
        <f t="shared" si="276"/>
        <v>4815</v>
      </c>
      <c r="C4830" s="101">
        <f ca="1"/>
        <v>0.54596067084988886</v>
      </c>
      <c r="D4830" s="101">
        <f t="shared" ca="1" si="277"/>
        <v>0.70126960977146269</v>
      </c>
      <c r="E4830" s="101">
        <f t="shared" ca="1" si="278"/>
        <v>0</v>
      </c>
      <c r="F4830" s="21">
        <f t="shared" ca="1" si="279"/>
        <v>0</v>
      </c>
      <c r="H4830" s="21">
        <v>4815</v>
      </c>
      <c r="I4830" s="102">
        <v>0.66769100806525217</v>
      </c>
      <c r="J4830" s="103">
        <v>1.354463060866233E-3</v>
      </c>
      <c r="K4830" s="103"/>
      <c r="L4830" s="103">
        <v>4.02E-2</v>
      </c>
      <c r="O4830" s="100"/>
    </row>
    <row r="4831" spans="2:15" x14ac:dyDescent="0.2">
      <c r="B4831" s="1">
        <f t="shared" si="276"/>
        <v>4816</v>
      </c>
      <c r="C4831" s="101">
        <f ca="1"/>
        <v>1.5842477985547361</v>
      </c>
      <c r="D4831" s="101">
        <f t="shared" ca="1" si="277"/>
        <v>0.77689906563522948</v>
      </c>
      <c r="E4831" s="101">
        <f t="shared" ca="1" si="278"/>
        <v>0</v>
      </c>
      <c r="F4831" s="21">
        <f t="shared" ca="1" si="279"/>
        <v>0</v>
      </c>
      <c r="H4831" s="21">
        <v>4816</v>
      </c>
      <c r="I4831" s="102">
        <v>0.66776618107740748</v>
      </c>
      <c r="J4831" s="103">
        <v>1.391331262014249E-3</v>
      </c>
      <c r="K4831" s="103"/>
      <c r="L4831" s="103">
        <v>4.2999999999999997E-2</v>
      </c>
      <c r="O4831" s="100"/>
    </row>
    <row r="4832" spans="2:15" x14ac:dyDescent="0.2">
      <c r="B4832" s="1">
        <f t="shared" si="276"/>
        <v>4817</v>
      </c>
      <c r="C4832" s="101">
        <f ca="1"/>
        <v>-0.24253993059831747</v>
      </c>
      <c r="D4832" s="101">
        <f t="shared" ca="1" si="277"/>
        <v>0.64879297546348036</v>
      </c>
      <c r="E4832" s="101">
        <f t="shared" ca="1" si="278"/>
        <v>0</v>
      </c>
      <c r="F4832" s="21">
        <f t="shared" ca="1" si="279"/>
        <v>0</v>
      </c>
      <c r="H4832" s="21">
        <v>4817</v>
      </c>
      <c r="I4832" s="102">
        <v>0.6675553177599769</v>
      </c>
      <c r="J4832" s="103">
        <v>1.2431357815540502E-3</v>
      </c>
      <c r="K4832" s="103"/>
      <c r="L4832" s="103">
        <v>3.8600000000000002E-2</v>
      </c>
      <c r="O4832" s="100"/>
    </row>
    <row r="4833" spans="2:15" x14ac:dyDescent="0.2">
      <c r="B4833" s="1">
        <f t="shared" si="276"/>
        <v>4818</v>
      </c>
      <c r="C4833" s="101">
        <f ca="1"/>
        <v>-0.42692583840073661</v>
      </c>
      <c r="D4833" s="101">
        <f t="shared" ca="1" si="277"/>
        <v>0.63709934777201283</v>
      </c>
      <c r="E4833" s="101">
        <f t="shared" ca="1" si="278"/>
        <v>0</v>
      </c>
      <c r="F4833" s="21">
        <f t="shared" ca="1" si="279"/>
        <v>0</v>
      </c>
      <c r="H4833" s="21">
        <v>4818</v>
      </c>
      <c r="I4833" s="102">
        <v>0.66776465616713332</v>
      </c>
      <c r="J4833" s="103">
        <v>1.321170781455715E-3</v>
      </c>
      <c r="K4833" s="103"/>
      <c r="L4833" s="103">
        <v>4.2000000000000003E-2</v>
      </c>
      <c r="O4833" s="100"/>
    </row>
    <row r="4834" spans="2:15" x14ac:dyDescent="0.2">
      <c r="B4834" s="1">
        <f t="shared" si="276"/>
        <v>4819</v>
      </c>
      <c r="C4834" s="101">
        <f ca="1"/>
        <v>-0.66363840979743449</v>
      </c>
      <c r="D4834" s="101">
        <f t="shared" ca="1" si="277"/>
        <v>0.62239563739246384</v>
      </c>
      <c r="E4834" s="101">
        <f t="shared" ca="1" si="278"/>
        <v>0</v>
      </c>
      <c r="F4834" s="21">
        <f t="shared" ca="1" si="279"/>
        <v>0</v>
      </c>
      <c r="H4834" s="21">
        <v>4819</v>
      </c>
      <c r="I4834" s="102">
        <v>0.66771081214176475</v>
      </c>
      <c r="J4834" s="103">
        <v>1.3107812459735883E-3</v>
      </c>
      <c r="K4834" s="103"/>
      <c r="L4834" s="103">
        <v>4.3200000000000002E-2</v>
      </c>
      <c r="O4834" s="100"/>
    </row>
    <row r="4835" spans="2:15" x14ac:dyDescent="0.2">
      <c r="B4835" s="1">
        <f t="shared" si="276"/>
        <v>4820</v>
      </c>
      <c r="C4835" s="101">
        <f ca="1"/>
        <v>0.80349537815162986</v>
      </c>
      <c r="D4835" s="101">
        <f t="shared" ca="1" si="277"/>
        <v>0.71931256524146392</v>
      </c>
      <c r="E4835" s="101">
        <f t="shared" ca="1" si="278"/>
        <v>0</v>
      </c>
      <c r="F4835" s="21">
        <f t="shared" ca="1" si="279"/>
        <v>0</v>
      </c>
      <c r="H4835" s="21">
        <v>4820</v>
      </c>
      <c r="I4835" s="102">
        <v>0.66779796920472767</v>
      </c>
      <c r="J4835" s="103">
        <v>1.4765499450715204E-3</v>
      </c>
      <c r="K4835" s="103"/>
      <c r="L4835" s="103">
        <v>4.58E-2</v>
      </c>
      <c r="O4835" s="100"/>
    </row>
    <row r="4836" spans="2:15" x14ac:dyDescent="0.2">
      <c r="B4836" s="1">
        <f t="shared" si="276"/>
        <v>4821</v>
      </c>
      <c r="C4836" s="101">
        <f ca="1"/>
        <v>1.0797738551374449</v>
      </c>
      <c r="D4836" s="101">
        <f t="shared" ca="1" si="277"/>
        <v>0.73918517205657641</v>
      </c>
      <c r="E4836" s="101">
        <f t="shared" ca="1" si="278"/>
        <v>0</v>
      </c>
      <c r="F4836" s="21">
        <f t="shared" ca="1" si="279"/>
        <v>0</v>
      </c>
      <c r="H4836" s="21">
        <v>4821</v>
      </c>
      <c r="I4836" s="102">
        <v>0.66764868785127962</v>
      </c>
      <c r="J4836" s="103">
        <v>1.301726399225383E-3</v>
      </c>
      <c r="K4836" s="103"/>
      <c r="L4836" s="103">
        <v>3.9399999999999998E-2</v>
      </c>
      <c r="O4836" s="100"/>
    </row>
    <row r="4837" spans="2:15" x14ac:dyDescent="0.2">
      <c r="B4837" s="1">
        <f t="shared" si="276"/>
        <v>4822</v>
      </c>
      <c r="C4837" s="101">
        <f ca="1"/>
        <v>-0.64403261909720122</v>
      </c>
      <c r="D4837" s="101">
        <f t="shared" ca="1" si="277"/>
        <v>0.62360047862097034</v>
      </c>
      <c r="E4837" s="101">
        <f t="shared" ca="1" si="278"/>
        <v>0</v>
      </c>
      <c r="F4837" s="21">
        <f t="shared" ca="1" si="279"/>
        <v>0</v>
      </c>
      <c r="H4837" s="21">
        <v>4822</v>
      </c>
      <c r="I4837" s="102">
        <v>0.66776612887345388</v>
      </c>
      <c r="J4837" s="103">
        <v>1.441155903951075E-3</v>
      </c>
      <c r="K4837" s="103"/>
      <c r="L4837" s="103">
        <v>4.0599999999999997E-2</v>
      </c>
      <c r="O4837" s="100"/>
    </row>
    <row r="4838" spans="2:15" x14ac:dyDescent="0.2">
      <c r="B4838" s="1">
        <f t="shared" si="276"/>
        <v>4823</v>
      </c>
      <c r="C4838" s="101">
        <f ca="1"/>
        <v>-0.92816435640351636</v>
      </c>
      <c r="D4838" s="101">
        <f t="shared" ca="1" si="277"/>
        <v>0.60636539926214883</v>
      </c>
      <c r="E4838" s="101">
        <f t="shared" ca="1" si="278"/>
        <v>0</v>
      </c>
      <c r="F4838" s="21">
        <f t="shared" ca="1" si="279"/>
        <v>0</v>
      </c>
      <c r="H4838" s="21">
        <v>4823</v>
      </c>
      <c r="I4838" s="102">
        <v>0.66774660329820168</v>
      </c>
      <c r="J4838" s="103">
        <v>1.4910624369202771E-3</v>
      </c>
      <c r="K4838" s="103"/>
      <c r="L4838" s="103">
        <v>4.2599999999999999E-2</v>
      </c>
      <c r="O4838" s="100"/>
    </row>
    <row r="4839" spans="2:15" x14ac:dyDescent="0.2">
      <c r="B4839" s="1">
        <f t="shared" si="276"/>
        <v>4824</v>
      </c>
      <c r="C4839" s="101">
        <f ca="1"/>
        <v>1.1900621310397907</v>
      </c>
      <c r="D4839" s="101">
        <f t="shared" ca="1" si="277"/>
        <v>0.74727065522181402</v>
      </c>
      <c r="E4839" s="101">
        <f t="shared" ca="1" si="278"/>
        <v>0</v>
      </c>
      <c r="F4839" s="21">
        <f t="shared" ca="1" si="279"/>
        <v>0</v>
      </c>
      <c r="H4839" s="21">
        <v>4824</v>
      </c>
      <c r="I4839" s="102">
        <v>0.66775799932685065</v>
      </c>
      <c r="J4839" s="103">
        <v>1.4285621821290082E-3</v>
      </c>
      <c r="K4839" s="103"/>
      <c r="L4839" s="103">
        <v>4.2999999999999997E-2</v>
      </c>
      <c r="O4839" s="100"/>
    </row>
    <row r="4840" spans="2:15" x14ac:dyDescent="0.2">
      <c r="B4840" s="1">
        <f t="shared" si="276"/>
        <v>4825</v>
      </c>
      <c r="C4840" s="101">
        <f ca="1"/>
        <v>0.66858327987449617</v>
      </c>
      <c r="D4840" s="101">
        <f t="shared" ca="1" si="277"/>
        <v>0.70980343329677864</v>
      </c>
      <c r="E4840" s="101">
        <f t="shared" ca="1" si="278"/>
        <v>0</v>
      </c>
      <c r="F4840" s="21">
        <f t="shared" ca="1" si="279"/>
        <v>0</v>
      </c>
      <c r="H4840" s="21">
        <v>4825</v>
      </c>
      <c r="I4840" s="102">
        <v>0.66766147081502936</v>
      </c>
      <c r="J4840" s="103">
        <v>1.3029768643995239E-3</v>
      </c>
      <c r="K4840" s="103"/>
      <c r="L4840" s="103">
        <v>3.6999999999999998E-2</v>
      </c>
      <c r="O4840" s="100"/>
    </row>
    <row r="4841" spans="2:15" x14ac:dyDescent="0.2">
      <c r="B4841" s="1">
        <f t="shared" si="276"/>
        <v>4826</v>
      </c>
      <c r="C4841" s="101">
        <f ca="1"/>
        <v>0.67635763610005639</v>
      </c>
      <c r="D4841" s="101">
        <f t="shared" ca="1" si="277"/>
        <v>0.71034797101561531</v>
      </c>
      <c r="E4841" s="101">
        <f t="shared" ca="1" si="278"/>
        <v>0</v>
      </c>
      <c r="F4841" s="21">
        <f t="shared" ca="1" si="279"/>
        <v>0</v>
      </c>
      <c r="H4841" s="21">
        <v>4826</v>
      </c>
      <c r="I4841" s="102">
        <v>0.66766419251104736</v>
      </c>
      <c r="J4841" s="103">
        <v>1.1821347186654577E-3</v>
      </c>
      <c r="K4841" s="103"/>
      <c r="L4841" s="103">
        <v>3.6799999999999999E-2</v>
      </c>
      <c r="O4841" s="100"/>
    </row>
    <row r="4842" spans="2:15" x14ac:dyDescent="0.2">
      <c r="B4842" s="1">
        <f t="shared" si="276"/>
        <v>4827</v>
      </c>
      <c r="C4842" s="101">
        <f ca="1"/>
        <v>-3.3922570092820634</v>
      </c>
      <c r="D4842" s="101">
        <f t="shared" ca="1" si="277"/>
        <v>0.47552592751541484</v>
      </c>
      <c r="E4842" s="101">
        <f t="shared" ca="1" si="278"/>
        <v>0</v>
      </c>
      <c r="F4842" s="21">
        <f t="shared" ca="1" si="279"/>
        <v>0</v>
      </c>
      <c r="H4842" s="21">
        <v>4827</v>
      </c>
      <c r="I4842" s="102">
        <v>0.66770987749108435</v>
      </c>
      <c r="J4842" s="103">
        <v>1.3543223379486437E-3</v>
      </c>
      <c r="K4842" s="103"/>
      <c r="L4842" s="103">
        <v>3.9800000000000002E-2</v>
      </c>
      <c r="O4842" s="100"/>
    </row>
    <row r="4843" spans="2:15" x14ac:dyDescent="0.2">
      <c r="B4843" s="1">
        <f t="shared" si="276"/>
        <v>4828</v>
      </c>
      <c r="C4843" s="101">
        <f ca="1"/>
        <v>1.3547697479895808</v>
      </c>
      <c r="D4843" s="101">
        <f t="shared" ca="1" si="277"/>
        <v>0.75951070757816108</v>
      </c>
      <c r="E4843" s="101">
        <f t="shared" ca="1" si="278"/>
        <v>0</v>
      </c>
      <c r="F4843" s="21">
        <f t="shared" ca="1" si="279"/>
        <v>0</v>
      </c>
      <c r="H4843" s="21">
        <v>4828</v>
      </c>
      <c r="I4843" s="102">
        <v>0.66780266507753894</v>
      </c>
      <c r="J4843" s="103">
        <v>1.4021485253803889E-3</v>
      </c>
      <c r="K4843" s="103"/>
      <c r="L4843" s="103">
        <v>4.5999999999999999E-2</v>
      </c>
      <c r="O4843" s="100"/>
    </row>
    <row r="4844" spans="2:15" x14ac:dyDescent="0.2">
      <c r="B4844" s="1">
        <f t="shared" si="276"/>
        <v>4829</v>
      </c>
      <c r="C4844" s="101">
        <f ca="1"/>
        <v>1.9143063710309052</v>
      </c>
      <c r="D4844" s="101">
        <f t="shared" ca="1" si="277"/>
        <v>0.80260914697046015</v>
      </c>
      <c r="E4844" s="101">
        <f t="shared" ca="1" si="278"/>
        <v>1.440914697046014E-2</v>
      </c>
      <c r="F4844" s="21">
        <f t="shared" ca="1" si="279"/>
        <v>1</v>
      </c>
      <c r="H4844" s="21">
        <v>4829</v>
      </c>
      <c r="I4844" s="102">
        <v>0.66788644276738907</v>
      </c>
      <c r="J4844" s="103">
        <v>1.4787565732430968E-3</v>
      </c>
      <c r="K4844" s="103"/>
      <c r="L4844" s="103">
        <v>4.48E-2</v>
      </c>
      <c r="O4844" s="100"/>
    </row>
    <row r="4845" spans="2:15" x14ac:dyDescent="0.2">
      <c r="B4845" s="1">
        <f t="shared" si="276"/>
        <v>4830</v>
      </c>
      <c r="C4845" s="101">
        <f ca="1"/>
        <v>-0.12203093021113692</v>
      </c>
      <c r="D4845" s="101">
        <f t="shared" ca="1" si="277"/>
        <v>0.65655130721534505</v>
      </c>
      <c r="E4845" s="101">
        <f t="shared" ca="1" si="278"/>
        <v>0</v>
      </c>
      <c r="F4845" s="21">
        <f t="shared" ca="1" si="279"/>
        <v>0</v>
      </c>
      <c r="H4845" s="21">
        <v>4830</v>
      </c>
      <c r="I4845" s="102">
        <v>0.66777473495943418</v>
      </c>
      <c r="J4845" s="103">
        <v>1.3301172772363511E-3</v>
      </c>
      <c r="K4845" s="103"/>
      <c r="L4845" s="103">
        <v>4.2799999999999998E-2</v>
      </c>
      <c r="O4845" s="100"/>
    </row>
    <row r="4846" spans="2:15" x14ac:dyDescent="0.2">
      <c r="B4846" s="1">
        <f t="shared" si="276"/>
        <v>4831</v>
      </c>
      <c r="C4846" s="101">
        <f ca="1"/>
        <v>0.37523498131777039</v>
      </c>
      <c r="D4846" s="101">
        <f t="shared" ca="1" si="277"/>
        <v>0.68955868920617291</v>
      </c>
      <c r="E4846" s="101">
        <f t="shared" ca="1" si="278"/>
        <v>0</v>
      </c>
      <c r="F4846" s="21">
        <f t="shared" ca="1" si="279"/>
        <v>0</v>
      </c>
      <c r="H4846" s="21">
        <v>4831</v>
      </c>
      <c r="I4846" s="102">
        <v>0.66774189362948178</v>
      </c>
      <c r="J4846" s="103">
        <v>1.3047405899600988E-3</v>
      </c>
      <c r="K4846" s="103"/>
      <c r="L4846" s="103">
        <v>4.2000000000000003E-2</v>
      </c>
      <c r="O4846" s="100"/>
    </row>
    <row r="4847" spans="2:15" x14ac:dyDescent="0.2">
      <c r="B4847" s="1">
        <f t="shared" si="276"/>
        <v>4832</v>
      </c>
      <c r="C4847" s="101">
        <f ca="1"/>
        <v>-0.39398893264233931</v>
      </c>
      <c r="D4847" s="101">
        <f t="shared" ca="1" si="277"/>
        <v>0.63917261149028071</v>
      </c>
      <c r="E4847" s="101">
        <f t="shared" ca="1" si="278"/>
        <v>0</v>
      </c>
      <c r="F4847" s="21">
        <f t="shared" ca="1" si="279"/>
        <v>0</v>
      </c>
      <c r="H4847" s="21">
        <v>4832</v>
      </c>
      <c r="I4847" s="102">
        <v>0.667701612784808</v>
      </c>
      <c r="J4847" s="103">
        <v>1.3443462662748645E-3</v>
      </c>
      <c r="K4847" s="103"/>
      <c r="L4847" s="103">
        <v>4.02E-2</v>
      </c>
      <c r="O4847" s="100"/>
    </row>
    <row r="4848" spans="2:15" x14ac:dyDescent="0.2">
      <c r="B4848" s="1">
        <f t="shared" ref="B4848:B4911" si="280">B4847+1</f>
        <v>4833</v>
      </c>
      <c r="C4848" s="101">
        <f ca="1"/>
        <v>0.20988299668118784</v>
      </c>
      <c r="D4848" s="101">
        <f t="shared" ca="1" si="277"/>
        <v>0.67840284158697572</v>
      </c>
      <c r="E4848" s="101">
        <f t="shared" ca="1" si="278"/>
        <v>0</v>
      </c>
      <c r="F4848" s="21">
        <f t="shared" ca="1" si="279"/>
        <v>0</v>
      </c>
      <c r="H4848" s="21">
        <v>4833</v>
      </c>
      <c r="I4848" s="102">
        <v>0.66779029865587969</v>
      </c>
      <c r="J4848" s="103">
        <v>1.3036434722717679E-3</v>
      </c>
      <c r="K4848" s="103"/>
      <c r="L4848" s="103">
        <v>4.0599999999999997E-2</v>
      </c>
      <c r="O4848" s="100"/>
    </row>
    <row r="4849" spans="2:15" x14ac:dyDescent="0.2">
      <c r="B4849" s="1">
        <f t="shared" si="280"/>
        <v>4834</v>
      </c>
      <c r="C4849" s="101">
        <f ca="1"/>
        <v>-0.73602741657340165</v>
      </c>
      <c r="D4849" s="101">
        <f t="shared" ca="1" si="277"/>
        <v>0.6179672211925209</v>
      </c>
      <c r="E4849" s="101">
        <f t="shared" ca="1" si="278"/>
        <v>0</v>
      </c>
      <c r="F4849" s="21">
        <f t="shared" ca="1" si="279"/>
        <v>0</v>
      </c>
      <c r="H4849" s="21">
        <v>4834</v>
      </c>
      <c r="I4849" s="102">
        <v>0.66775625882302492</v>
      </c>
      <c r="J4849" s="103">
        <v>1.2889264817524068E-3</v>
      </c>
      <c r="K4849" s="103"/>
      <c r="L4849" s="103">
        <v>4.02E-2</v>
      </c>
      <c r="O4849" s="100"/>
    </row>
    <row r="4850" spans="2:15" x14ac:dyDescent="0.2">
      <c r="B4850" s="1">
        <f t="shared" si="280"/>
        <v>4835</v>
      </c>
      <c r="C4850" s="101">
        <f ca="1"/>
        <v>0.48824865497481845</v>
      </c>
      <c r="D4850" s="101">
        <f t="shared" ca="1" si="277"/>
        <v>0.6972887711086172</v>
      </c>
      <c r="E4850" s="101">
        <f t="shared" ca="1" si="278"/>
        <v>0</v>
      </c>
      <c r="F4850" s="21">
        <f t="shared" ca="1" si="279"/>
        <v>0</v>
      </c>
      <c r="H4850" s="21">
        <v>4835</v>
      </c>
      <c r="I4850" s="102">
        <v>0.66770768492414734</v>
      </c>
      <c r="J4850" s="103">
        <v>1.2492817063633657E-3</v>
      </c>
      <c r="K4850" s="103"/>
      <c r="L4850" s="103">
        <v>4.1000000000000002E-2</v>
      </c>
      <c r="O4850" s="100"/>
    </row>
    <row r="4851" spans="2:15" x14ac:dyDescent="0.2">
      <c r="B4851" s="1">
        <f t="shared" si="280"/>
        <v>4836</v>
      </c>
      <c r="C4851" s="101">
        <f ca="1"/>
        <v>-1.066273017177835</v>
      </c>
      <c r="D4851" s="101">
        <f t="shared" ca="1" si="277"/>
        <v>0.59816076286128073</v>
      </c>
      <c r="E4851" s="101">
        <f t="shared" ca="1" si="278"/>
        <v>0</v>
      </c>
      <c r="F4851" s="21">
        <f t="shared" ca="1" si="279"/>
        <v>0</v>
      </c>
      <c r="H4851" s="21">
        <v>4836</v>
      </c>
      <c r="I4851" s="102">
        <v>0.66781101560394174</v>
      </c>
      <c r="J4851" s="103">
        <v>1.4523263160399825E-3</v>
      </c>
      <c r="K4851" s="103"/>
      <c r="L4851" s="103">
        <v>4.4600000000000001E-2</v>
      </c>
      <c r="O4851" s="100"/>
    </row>
    <row r="4852" spans="2:15" x14ac:dyDescent="0.2">
      <c r="B4852" s="1">
        <f t="shared" si="280"/>
        <v>4837</v>
      </c>
      <c r="C4852" s="101">
        <f ca="1"/>
        <v>0.60115062297620037</v>
      </c>
      <c r="D4852" s="101">
        <f t="shared" ca="1" si="277"/>
        <v>0.70509773930573927</v>
      </c>
      <c r="E4852" s="101">
        <f t="shared" ca="1" si="278"/>
        <v>0</v>
      </c>
      <c r="F4852" s="21">
        <f t="shared" ca="1" si="279"/>
        <v>0</v>
      </c>
      <c r="H4852" s="21">
        <v>4837</v>
      </c>
      <c r="I4852" s="102">
        <v>0.66759856277847573</v>
      </c>
      <c r="J4852" s="103">
        <v>1.1683479869018215E-3</v>
      </c>
      <c r="K4852" s="103"/>
      <c r="L4852" s="103">
        <v>3.9399999999999998E-2</v>
      </c>
      <c r="O4852" s="100"/>
    </row>
    <row r="4853" spans="2:15" x14ac:dyDescent="0.2">
      <c r="B4853" s="1">
        <f t="shared" si="280"/>
        <v>4838</v>
      </c>
      <c r="C4853" s="101">
        <f ca="1"/>
        <v>-0.3940949012017021</v>
      </c>
      <c r="D4853" s="101">
        <f t="shared" ca="1" si="277"/>
        <v>0.63916593033111324</v>
      </c>
      <c r="E4853" s="101">
        <f t="shared" ca="1" si="278"/>
        <v>0</v>
      </c>
      <c r="F4853" s="21">
        <f t="shared" ca="1" si="279"/>
        <v>0</v>
      </c>
      <c r="H4853" s="21">
        <v>4838</v>
      </c>
      <c r="I4853" s="102">
        <v>0.66761146759896606</v>
      </c>
      <c r="J4853" s="103">
        <v>1.1652973059704951E-3</v>
      </c>
      <c r="K4853" s="103"/>
      <c r="L4853" s="103">
        <v>3.9800000000000002E-2</v>
      </c>
      <c r="O4853" s="100"/>
    </row>
    <row r="4854" spans="2:15" x14ac:dyDescent="0.2">
      <c r="B4854" s="1">
        <f t="shared" si="280"/>
        <v>4839</v>
      </c>
      <c r="C4854" s="101">
        <f ca="1"/>
        <v>0.9290840023002962</v>
      </c>
      <c r="D4854" s="101">
        <f t="shared" ca="1" si="277"/>
        <v>0.72827899801840634</v>
      </c>
      <c r="E4854" s="101">
        <f t="shared" ca="1" si="278"/>
        <v>0</v>
      </c>
      <c r="F4854" s="21">
        <f t="shared" ca="1" si="279"/>
        <v>0</v>
      </c>
      <c r="H4854" s="21">
        <v>4839</v>
      </c>
      <c r="I4854" s="102">
        <v>0.6676088417536955</v>
      </c>
      <c r="J4854" s="103">
        <v>1.1625778304979097E-3</v>
      </c>
      <c r="K4854" s="103"/>
      <c r="L4854" s="103">
        <v>0.04</v>
      </c>
      <c r="O4854" s="100"/>
    </row>
    <row r="4855" spans="2:15" x14ac:dyDescent="0.2">
      <c r="B4855" s="1">
        <f t="shared" si="280"/>
        <v>4840</v>
      </c>
      <c r="C4855" s="101">
        <f ca="1"/>
        <v>-1.2405612481037787</v>
      </c>
      <c r="D4855" s="101">
        <f t="shared" ca="1" si="277"/>
        <v>0.58796506323910946</v>
      </c>
      <c r="E4855" s="101">
        <f t="shared" ca="1" si="278"/>
        <v>0</v>
      </c>
      <c r="F4855" s="21">
        <f t="shared" ca="1" si="279"/>
        <v>0</v>
      </c>
      <c r="H4855" s="21">
        <v>4840</v>
      </c>
      <c r="I4855" s="102">
        <v>0.66783196617735274</v>
      </c>
      <c r="J4855" s="103">
        <v>1.5243117925113632E-3</v>
      </c>
      <c r="K4855" s="103"/>
      <c r="L4855" s="103">
        <v>4.2999999999999997E-2</v>
      </c>
      <c r="O4855" s="100"/>
    </row>
    <row r="4856" spans="2:15" x14ac:dyDescent="0.2">
      <c r="B4856" s="1">
        <f t="shared" si="280"/>
        <v>4841</v>
      </c>
      <c r="C4856" s="101">
        <f ca="1"/>
        <v>-0.70965968938311208</v>
      </c>
      <c r="D4856" s="101">
        <f t="shared" ca="1" si="277"/>
        <v>0.61957661359861815</v>
      </c>
      <c r="E4856" s="101">
        <f t="shared" ca="1" si="278"/>
        <v>0</v>
      </c>
      <c r="F4856" s="21">
        <f t="shared" ca="1" si="279"/>
        <v>0</v>
      </c>
      <c r="H4856" s="21">
        <v>4841</v>
      </c>
      <c r="I4856" s="102">
        <v>0.66754574525204913</v>
      </c>
      <c r="J4856" s="103">
        <v>1.1770709093501773E-3</v>
      </c>
      <c r="K4856" s="103"/>
      <c r="L4856" s="103">
        <v>3.4200000000000001E-2</v>
      </c>
      <c r="O4856" s="100"/>
    </row>
    <row r="4857" spans="2:15" x14ac:dyDescent="0.2">
      <c r="B4857" s="1">
        <f t="shared" si="280"/>
        <v>4842</v>
      </c>
      <c r="C4857" s="101">
        <f ca="1"/>
        <v>1.8978979698404566</v>
      </c>
      <c r="D4857" s="101">
        <f t="shared" ca="1" si="277"/>
        <v>0.80131113751485905</v>
      </c>
      <c r="E4857" s="101">
        <f t="shared" ca="1" si="278"/>
        <v>1.3111137514859039E-2</v>
      </c>
      <c r="F4857" s="21">
        <f t="shared" ca="1" si="279"/>
        <v>1</v>
      </c>
      <c r="H4857" s="21">
        <v>4842</v>
      </c>
      <c r="I4857" s="102">
        <v>0.66762685797655974</v>
      </c>
      <c r="J4857" s="103">
        <v>1.2260310225606092E-3</v>
      </c>
      <c r="K4857" s="103"/>
      <c r="L4857" s="103">
        <v>3.8199999999999998E-2</v>
      </c>
      <c r="O4857" s="100"/>
    </row>
    <row r="4858" spans="2:15" x14ac:dyDescent="0.2">
      <c r="B4858" s="1">
        <f t="shared" si="280"/>
        <v>4843</v>
      </c>
      <c r="C4858" s="101">
        <f ca="1"/>
        <v>1.0651973241724992</v>
      </c>
      <c r="D4858" s="101">
        <f t="shared" ca="1" si="277"/>
        <v>0.73812309961691036</v>
      </c>
      <c r="E4858" s="101">
        <f t="shared" ca="1" si="278"/>
        <v>0</v>
      </c>
      <c r="F4858" s="21">
        <f t="shared" ca="1" si="279"/>
        <v>0</v>
      </c>
      <c r="H4858" s="21">
        <v>4843</v>
      </c>
      <c r="I4858" s="102">
        <v>0.66771530898024112</v>
      </c>
      <c r="J4858" s="103">
        <v>1.3167309849730494E-3</v>
      </c>
      <c r="K4858" s="103"/>
      <c r="L4858" s="103">
        <v>4.3400000000000001E-2</v>
      </c>
      <c r="O4858" s="100"/>
    </row>
    <row r="4859" spans="2:15" x14ac:dyDescent="0.2">
      <c r="B4859" s="1">
        <f t="shared" si="280"/>
        <v>4844</v>
      </c>
      <c r="C4859" s="101">
        <f ca="1"/>
        <v>-0.18587012328862809</v>
      </c>
      <c r="D4859" s="101">
        <f t="shared" ca="1" si="277"/>
        <v>0.65242987404875463</v>
      </c>
      <c r="E4859" s="101">
        <f t="shared" ca="1" si="278"/>
        <v>0</v>
      </c>
      <c r="F4859" s="21">
        <f t="shared" ca="1" si="279"/>
        <v>0</v>
      </c>
      <c r="H4859" s="21">
        <v>4844</v>
      </c>
      <c r="I4859" s="102">
        <v>0.66764340264553612</v>
      </c>
      <c r="J4859" s="103">
        <v>1.2825234145367808E-3</v>
      </c>
      <c r="K4859" s="103"/>
      <c r="L4859" s="103">
        <v>3.9399999999999998E-2</v>
      </c>
      <c r="O4859" s="100"/>
    </row>
    <row r="4860" spans="2:15" x14ac:dyDescent="0.2">
      <c r="B4860" s="1">
        <f t="shared" si="280"/>
        <v>4845</v>
      </c>
      <c r="C4860" s="101">
        <f ca="1"/>
        <v>1.0141125728423783</v>
      </c>
      <c r="D4860" s="101">
        <f t="shared" ca="1" si="277"/>
        <v>0.73441300298704015</v>
      </c>
      <c r="E4860" s="101">
        <f t="shared" ca="1" si="278"/>
        <v>0</v>
      </c>
      <c r="F4860" s="21">
        <f t="shared" ca="1" si="279"/>
        <v>0</v>
      </c>
      <c r="H4860" s="21">
        <v>4845</v>
      </c>
      <c r="I4860" s="102">
        <v>0.6676531894895319</v>
      </c>
      <c r="J4860" s="103">
        <v>1.1388313367726621E-3</v>
      </c>
      <c r="K4860" s="103"/>
      <c r="L4860" s="103">
        <v>4.2000000000000003E-2</v>
      </c>
      <c r="O4860" s="100"/>
    </row>
    <row r="4861" spans="2:15" x14ac:dyDescent="0.2">
      <c r="B4861" s="1">
        <f t="shared" si="280"/>
        <v>4846</v>
      </c>
      <c r="C4861" s="101">
        <f ca="1"/>
        <v>-1.1159254323800187</v>
      </c>
      <c r="D4861" s="101">
        <f t="shared" ca="1" si="277"/>
        <v>0.59523826571869687</v>
      </c>
      <c r="E4861" s="101">
        <f t="shared" ca="1" si="278"/>
        <v>0</v>
      </c>
      <c r="F4861" s="21">
        <f t="shared" ca="1" si="279"/>
        <v>0</v>
      </c>
      <c r="H4861" s="21">
        <v>4846</v>
      </c>
      <c r="I4861" s="102">
        <v>0.66779192831968637</v>
      </c>
      <c r="J4861" s="103">
        <v>1.288784532720975E-3</v>
      </c>
      <c r="K4861" s="103"/>
      <c r="L4861" s="103">
        <v>4.3400000000000001E-2</v>
      </c>
      <c r="O4861" s="100"/>
    </row>
    <row r="4862" spans="2:15" x14ac:dyDescent="0.2">
      <c r="B4862" s="1">
        <f t="shared" si="280"/>
        <v>4847</v>
      </c>
      <c r="C4862" s="101">
        <f ca="1"/>
        <v>-0.87175667760416764</v>
      </c>
      <c r="D4862" s="101">
        <f t="shared" ca="1" si="277"/>
        <v>0.60974869791690323</v>
      </c>
      <c r="E4862" s="101">
        <f t="shared" ca="1" si="278"/>
        <v>0</v>
      </c>
      <c r="F4862" s="21">
        <f t="shared" ca="1" si="279"/>
        <v>0</v>
      </c>
      <c r="H4862" s="21">
        <v>4847</v>
      </c>
      <c r="I4862" s="102">
        <v>0.66774267979736956</v>
      </c>
      <c r="J4862" s="103">
        <v>1.3336144855561184E-3</v>
      </c>
      <c r="K4862" s="103"/>
      <c r="L4862" s="103">
        <v>4.1799999999999997E-2</v>
      </c>
      <c r="O4862" s="100"/>
    </row>
    <row r="4863" spans="2:15" x14ac:dyDescent="0.2">
      <c r="B4863" s="1">
        <f t="shared" si="280"/>
        <v>4848</v>
      </c>
      <c r="C4863" s="101">
        <f ca="1"/>
        <v>-0.58352206735627199</v>
      </c>
      <c r="D4863" s="101">
        <f t="shared" ca="1" si="277"/>
        <v>0.62733378141602758</v>
      </c>
      <c r="E4863" s="101">
        <f t="shared" ca="1" si="278"/>
        <v>0</v>
      </c>
      <c r="F4863" s="21">
        <f t="shared" ca="1" si="279"/>
        <v>0</v>
      </c>
      <c r="H4863" s="21">
        <v>4848</v>
      </c>
      <c r="I4863" s="102">
        <v>0.66790938633413821</v>
      </c>
      <c r="J4863" s="103">
        <v>1.6676686948113844E-3</v>
      </c>
      <c r="K4863" s="103"/>
      <c r="L4863" s="103">
        <v>4.7399999999999998E-2</v>
      </c>
      <c r="O4863" s="100"/>
    </row>
    <row r="4864" spans="2:15" x14ac:dyDescent="0.2">
      <c r="B4864" s="1">
        <f t="shared" si="280"/>
        <v>4849</v>
      </c>
      <c r="C4864" s="101">
        <f ca="1"/>
        <v>-1.4025644329113198</v>
      </c>
      <c r="D4864" s="101">
        <f t="shared" ca="1" si="277"/>
        <v>0.57864393384221069</v>
      </c>
      <c r="E4864" s="101">
        <f t="shared" ca="1" si="278"/>
        <v>0</v>
      </c>
      <c r="F4864" s="21">
        <f t="shared" ca="1" si="279"/>
        <v>0</v>
      </c>
      <c r="H4864" s="21">
        <v>4849</v>
      </c>
      <c r="I4864" s="102">
        <v>0.66785224656868891</v>
      </c>
      <c r="J4864" s="103">
        <v>1.6322750716442492E-3</v>
      </c>
      <c r="K4864" s="103"/>
      <c r="L4864" s="103">
        <v>4.4600000000000001E-2</v>
      </c>
      <c r="O4864" s="100"/>
    </row>
    <row r="4865" spans="2:15" x14ac:dyDescent="0.2">
      <c r="B4865" s="1">
        <f t="shared" si="280"/>
        <v>4850</v>
      </c>
      <c r="C4865" s="101">
        <f ca="1"/>
        <v>-2.2798042902097837</v>
      </c>
      <c r="D4865" s="101">
        <f t="shared" ca="1" si="277"/>
        <v>0.53067788543440697</v>
      </c>
      <c r="E4865" s="101">
        <f t="shared" ca="1" si="278"/>
        <v>0</v>
      </c>
      <c r="F4865" s="21">
        <f t="shared" ca="1" si="279"/>
        <v>0</v>
      </c>
      <c r="H4865" s="21">
        <v>4850</v>
      </c>
      <c r="I4865" s="102">
        <v>0.66782118247567768</v>
      </c>
      <c r="J4865" s="103">
        <v>1.3435868316802491E-3</v>
      </c>
      <c r="K4865" s="103"/>
      <c r="L4865" s="103">
        <v>4.2999999999999997E-2</v>
      </c>
      <c r="O4865" s="100"/>
    </row>
    <row r="4866" spans="2:15" x14ac:dyDescent="0.2">
      <c r="B4866" s="1">
        <f t="shared" si="280"/>
        <v>4851</v>
      </c>
      <c r="C4866" s="101">
        <f ca="1"/>
        <v>0.46497321587375279</v>
      </c>
      <c r="D4866" s="101">
        <f t="shared" ca="1" si="277"/>
        <v>0.69568968814006382</v>
      </c>
      <c r="E4866" s="101">
        <f t="shared" ca="1" si="278"/>
        <v>0</v>
      </c>
      <c r="F4866" s="21">
        <f t="shared" ca="1" si="279"/>
        <v>0</v>
      </c>
      <c r="H4866" s="21">
        <v>4851</v>
      </c>
      <c r="I4866" s="102">
        <v>0.66762642829579022</v>
      </c>
      <c r="J4866" s="103">
        <v>1.1881693180955902E-3</v>
      </c>
      <c r="K4866" s="103"/>
      <c r="L4866" s="103">
        <v>3.8800000000000001E-2</v>
      </c>
      <c r="O4866" s="100"/>
    </row>
    <row r="4867" spans="2:15" x14ac:dyDescent="0.2">
      <c r="B4867" s="1">
        <f t="shared" si="280"/>
        <v>4852</v>
      </c>
      <c r="C4867" s="101">
        <f ca="1"/>
        <v>0.18028935355334311</v>
      </c>
      <c r="D4867" s="101">
        <f t="shared" ca="1" si="277"/>
        <v>0.67642536541618203</v>
      </c>
      <c r="E4867" s="101">
        <f t="shared" ca="1" si="278"/>
        <v>0</v>
      </c>
      <c r="F4867" s="21">
        <f t="shared" ca="1" si="279"/>
        <v>0</v>
      </c>
      <c r="H4867" s="21">
        <v>4852</v>
      </c>
      <c r="I4867" s="102">
        <v>0.66776453544095171</v>
      </c>
      <c r="J4867" s="103">
        <v>1.3332700618417014E-3</v>
      </c>
      <c r="K4867" s="103"/>
      <c r="L4867" s="103">
        <v>4.3799999999999999E-2</v>
      </c>
      <c r="O4867" s="100"/>
    </row>
    <row r="4868" spans="2:15" x14ac:dyDescent="0.2">
      <c r="B4868" s="1">
        <f t="shared" si="280"/>
        <v>4853</v>
      </c>
      <c r="C4868" s="101">
        <f ca="1"/>
        <v>0.8503872537243411</v>
      </c>
      <c r="D4868" s="101">
        <f t="shared" ca="1" si="277"/>
        <v>0.7226474355421042</v>
      </c>
      <c r="E4868" s="101">
        <f t="shared" ca="1" si="278"/>
        <v>0</v>
      </c>
      <c r="F4868" s="21">
        <f t="shared" ca="1" si="279"/>
        <v>0</v>
      </c>
      <c r="H4868" s="21">
        <v>4853</v>
      </c>
      <c r="I4868" s="102">
        <v>0.6677128684588387</v>
      </c>
      <c r="J4868" s="103">
        <v>1.3451454040920763E-3</v>
      </c>
      <c r="K4868" s="103"/>
      <c r="L4868" s="103">
        <v>4.1799999999999997E-2</v>
      </c>
      <c r="O4868" s="100"/>
    </row>
    <row r="4869" spans="2:15" x14ac:dyDescent="0.2">
      <c r="B4869" s="1">
        <f t="shared" si="280"/>
        <v>4854</v>
      </c>
      <c r="C4869" s="101">
        <f ca="1"/>
        <v>-0.48473603814631161</v>
      </c>
      <c r="D4869" s="101">
        <f t="shared" ca="1" si="277"/>
        <v>0.63347664383666802</v>
      </c>
      <c r="E4869" s="101">
        <f t="shared" ca="1" si="278"/>
        <v>0</v>
      </c>
      <c r="F4869" s="21">
        <f t="shared" ca="1" si="279"/>
        <v>0</v>
      </c>
      <c r="H4869" s="21">
        <v>4854</v>
      </c>
      <c r="I4869" s="102">
        <v>0.66778125261293209</v>
      </c>
      <c r="J4869" s="103">
        <v>1.391696120213174E-3</v>
      </c>
      <c r="K4869" s="103"/>
      <c r="L4869" s="103">
        <v>4.1799999999999997E-2</v>
      </c>
      <c r="O4869" s="100"/>
    </row>
    <row r="4870" spans="2:15" x14ac:dyDescent="0.2">
      <c r="B4870" s="1">
        <f t="shared" si="280"/>
        <v>4855</v>
      </c>
      <c r="C4870" s="101">
        <f ca="1"/>
        <v>1.3440149325654815</v>
      </c>
      <c r="D4870" s="101">
        <f t="shared" ca="1" si="277"/>
        <v>0.75870539326420028</v>
      </c>
      <c r="E4870" s="101">
        <f t="shared" ca="1" si="278"/>
        <v>0</v>
      </c>
      <c r="F4870" s="21">
        <f t="shared" ca="1" si="279"/>
        <v>0</v>
      </c>
      <c r="H4870" s="21">
        <v>4855</v>
      </c>
      <c r="I4870" s="102">
        <v>0.6677119067745626</v>
      </c>
      <c r="J4870" s="103">
        <v>1.3138978406576187E-3</v>
      </c>
      <c r="K4870" s="103"/>
      <c r="L4870" s="103">
        <v>3.8199999999999998E-2</v>
      </c>
      <c r="O4870" s="100"/>
    </row>
    <row r="4871" spans="2:15" x14ac:dyDescent="0.2">
      <c r="B4871" s="1">
        <f t="shared" si="280"/>
        <v>4856</v>
      </c>
      <c r="C4871" s="101">
        <f ca="1"/>
        <v>-1.6242933406088673</v>
      </c>
      <c r="D4871" s="101">
        <f t="shared" ca="1" si="277"/>
        <v>0.56612544477813054</v>
      </c>
      <c r="E4871" s="101">
        <f t="shared" ca="1" si="278"/>
        <v>0</v>
      </c>
      <c r="F4871" s="21">
        <f t="shared" ca="1" si="279"/>
        <v>0</v>
      </c>
      <c r="H4871" s="21">
        <v>4856</v>
      </c>
      <c r="I4871" s="102">
        <v>0.66765925744063281</v>
      </c>
      <c r="J4871" s="103">
        <v>1.3663241664941402E-3</v>
      </c>
      <c r="K4871" s="103"/>
      <c r="L4871" s="103">
        <v>4.1599999999999998E-2</v>
      </c>
      <c r="O4871" s="100"/>
    </row>
    <row r="4872" spans="2:15" x14ac:dyDescent="0.2">
      <c r="B4872" s="1">
        <f t="shared" si="280"/>
        <v>4857</v>
      </c>
      <c r="C4872" s="101">
        <f ca="1"/>
        <v>-2.3573396879310367</v>
      </c>
      <c r="D4872" s="101">
        <f t="shared" ca="1" si="277"/>
        <v>0.52663463926502374</v>
      </c>
      <c r="E4872" s="101">
        <f t="shared" ca="1" si="278"/>
        <v>0</v>
      </c>
      <c r="F4872" s="21">
        <f t="shared" ca="1" si="279"/>
        <v>0</v>
      </c>
      <c r="H4872" s="21">
        <v>4857</v>
      </c>
      <c r="I4872" s="102">
        <v>0.66758200979787929</v>
      </c>
      <c r="J4872" s="103">
        <v>1.3496362911448012E-3</v>
      </c>
      <c r="K4872" s="103"/>
      <c r="L4872" s="103">
        <v>3.9600000000000003E-2</v>
      </c>
      <c r="O4872" s="100"/>
    </row>
    <row r="4873" spans="2:15" x14ac:dyDescent="0.2">
      <c r="B4873" s="1">
        <f t="shared" si="280"/>
        <v>4858</v>
      </c>
      <c r="C4873" s="101">
        <f ca="1"/>
        <v>-0.29158297557988833</v>
      </c>
      <c r="D4873" s="101">
        <f t="shared" ca="1" si="277"/>
        <v>0.64566190815935109</v>
      </c>
      <c r="E4873" s="101">
        <f t="shared" ca="1" si="278"/>
        <v>0</v>
      </c>
      <c r="F4873" s="21">
        <f t="shared" ca="1" si="279"/>
        <v>0</v>
      </c>
      <c r="H4873" s="21">
        <v>4858</v>
      </c>
      <c r="I4873" s="102">
        <v>0.66765532540707517</v>
      </c>
      <c r="J4873" s="103">
        <v>1.2585061401173484E-3</v>
      </c>
      <c r="K4873" s="103"/>
      <c r="L4873" s="103">
        <v>0.04</v>
      </c>
      <c r="O4873" s="100"/>
    </row>
    <row r="4874" spans="2:15" x14ac:dyDescent="0.2">
      <c r="B4874" s="1">
        <f t="shared" si="280"/>
        <v>4859</v>
      </c>
      <c r="C4874" s="101">
        <f ca="1"/>
        <v>-0.65797966157521548</v>
      </c>
      <c r="D4874" s="101">
        <f t="shared" ca="1" si="277"/>
        <v>0.62274314716796353</v>
      </c>
      <c r="E4874" s="101">
        <f t="shared" ca="1" si="278"/>
        <v>0</v>
      </c>
      <c r="F4874" s="21">
        <f t="shared" ca="1" si="279"/>
        <v>0</v>
      </c>
      <c r="H4874" s="21">
        <v>4859</v>
      </c>
      <c r="I4874" s="102">
        <v>0.6676293380616416</v>
      </c>
      <c r="J4874" s="103">
        <v>1.2391558327940733E-3</v>
      </c>
      <c r="K4874" s="103"/>
      <c r="L4874" s="103">
        <v>3.56E-2</v>
      </c>
      <c r="O4874" s="100"/>
    </row>
    <row r="4875" spans="2:15" x14ac:dyDescent="0.2">
      <c r="B4875" s="1">
        <f t="shared" si="280"/>
        <v>4860</v>
      </c>
      <c r="C4875" s="101">
        <f ca="1"/>
        <v>-1.0422981263464772</v>
      </c>
      <c r="D4875" s="101">
        <f t="shared" ca="1" si="277"/>
        <v>0.59957703625480308</v>
      </c>
      <c r="E4875" s="101">
        <f t="shared" ca="1" si="278"/>
        <v>0</v>
      </c>
      <c r="F4875" s="21">
        <f t="shared" ca="1" si="279"/>
        <v>0</v>
      </c>
      <c r="H4875" s="21">
        <v>4860</v>
      </c>
      <c r="I4875" s="102">
        <v>0.66776357638860095</v>
      </c>
      <c r="J4875" s="103">
        <v>1.3389418926220216E-3</v>
      </c>
      <c r="K4875" s="103"/>
      <c r="L4875" s="103">
        <v>4.36E-2</v>
      </c>
      <c r="O4875" s="100"/>
    </row>
    <row r="4876" spans="2:15" x14ac:dyDescent="0.2">
      <c r="B4876" s="1">
        <f t="shared" si="280"/>
        <v>4861</v>
      </c>
      <c r="C4876" s="101">
        <f ca="1"/>
        <v>0.44861482282925769</v>
      </c>
      <c r="D4876" s="101">
        <f t="shared" ca="1" si="277"/>
        <v>0.69456801902731713</v>
      </c>
      <c r="E4876" s="101">
        <f t="shared" ca="1" si="278"/>
        <v>0</v>
      </c>
      <c r="F4876" s="21">
        <f t="shared" ca="1" si="279"/>
        <v>0</v>
      </c>
      <c r="H4876" s="21">
        <v>4861</v>
      </c>
      <c r="I4876" s="102">
        <v>0.66777327910042494</v>
      </c>
      <c r="J4876" s="103">
        <v>1.3578630333667306E-3</v>
      </c>
      <c r="K4876" s="103"/>
      <c r="L4876" s="103">
        <v>4.1599999999999998E-2</v>
      </c>
      <c r="O4876" s="100"/>
    </row>
    <row r="4877" spans="2:15" x14ac:dyDescent="0.2">
      <c r="B4877" s="1">
        <f t="shared" si="280"/>
        <v>4862</v>
      </c>
      <c r="C4877" s="101">
        <f ca="1"/>
        <v>-0.42000474949811667</v>
      </c>
      <c r="D4877" s="101">
        <f t="shared" ca="1" si="277"/>
        <v>0.63753444743312204</v>
      </c>
      <c r="E4877" s="101">
        <f t="shared" ca="1" si="278"/>
        <v>0</v>
      </c>
      <c r="F4877" s="21">
        <f t="shared" ca="1" si="279"/>
        <v>0</v>
      </c>
      <c r="H4877" s="21">
        <v>4862</v>
      </c>
      <c r="I4877" s="102">
        <v>0.66774007522403966</v>
      </c>
      <c r="J4877" s="103">
        <v>1.3743574220031855E-3</v>
      </c>
      <c r="K4877" s="103"/>
      <c r="L4877" s="103">
        <v>4.1399999999999999E-2</v>
      </c>
      <c r="O4877" s="100"/>
    </row>
    <row r="4878" spans="2:15" x14ac:dyDescent="0.2">
      <c r="B4878" s="1">
        <f t="shared" si="280"/>
        <v>4863</v>
      </c>
      <c r="C4878" s="101">
        <f ca="1"/>
        <v>7.8361719979638575E-2</v>
      </c>
      <c r="D4878" s="101">
        <f t="shared" ca="1" si="277"/>
        <v>0.66965847259633471</v>
      </c>
      <c r="E4878" s="101">
        <f t="shared" ca="1" si="278"/>
        <v>0</v>
      </c>
      <c r="F4878" s="21">
        <f t="shared" ca="1" si="279"/>
        <v>0</v>
      </c>
      <c r="H4878" s="21">
        <v>4863</v>
      </c>
      <c r="I4878" s="102">
        <v>0.66762639312922778</v>
      </c>
      <c r="J4878" s="103">
        <v>1.1887749538133073E-3</v>
      </c>
      <c r="K4878" s="103"/>
      <c r="L4878" s="103">
        <v>4.2200000000000001E-2</v>
      </c>
      <c r="O4878" s="100"/>
    </row>
    <row r="4879" spans="2:15" x14ac:dyDescent="0.2">
      <c r="B4879" s="1">
        <f t="shared" si="280"/>
        <v>4864</v>
      </c>
      <c r="C4879" s="101">
        <f ca="1"/>
        <v>-4.6170498618443058E-2</v>
      </c>
      <c r="D4879" s="101">
        <f t="shared" ca="1" si="277"/>
        <v>0.66148269097460421</v>
      </c>
      <c r="E4879" s="101">
        <f t="shared" ca="1" si="278"/>
        <v>0</v>
      </c>
      <c r="F4879" s="21">
        <f t="shared" ca="1" si="279"/>
        <v>0</v>
      </c>
      <c r="H4879" s="21">
        <v>4864</v>
      </c>
      <c r="I4879" s="102">
        <v>0.66776659981789499</v>
      </c>
      <c r="J4879" s="103">
        <v>1.3882464518060701E-3</v>
      </c>
      <c r="K4879" s="103"/>
      <c r="L4879" s="103">
        <v>4.2200000000000001E-2</v>
      </c>
      <c r="O4879" s="100"/>
    </row>
    <row r="4880" spans="2:15" x14ac:dyDescent="0.2">
      <c r="B4880" s="1">
        <f t="shared" si="280"/>
        <v>4865</v>
      </c>
      <c r="C4880" s="101">
        <f ca="1"/>
        <v>-0.44881087456733376</v>
      </c>
      <c r="D4880" s="101">
        <f t="shared" ref="D4880:D4943" ca="1" si="281">S0*EXP((μ-0.5*σ*σ)*T+σ*SQRT(T)*$C4880)</f>
        <v>0.63572548092576164</v>
      </c>
      <c r="E4880" s="101">
        <f t="shared" ref="E4880:E4943" ca="1" si="282">MAX(0,CP*(D4880-K))</f>
        <v>0</v>
      </c>
      <c r="F4880" s="21">
        <f t="shared" ref="F4880:F4943" ca="1" si="283">(CP*(D4880-K)&gt;0)*1</f>
        <v>0</v>
      </c>
      <c r="H4880" s="21">
        <v>4865</v>
      </c>
      <c r="I4880" s="102">
        <v>0.66784488972735823</v>
      </c>
      <c r="J4880" s="103">
        <v>1.4315265296788128E-3</v>
      </c>
      <c r="K4880" s="103"/>
      <c r="L4880" s="103">
        <v>4.4200000000000003E-2</v>
      </c>
      <c r="O4880" s="100"/>
    </row>
    <row r="4881" spans="2:15" x14ac:dyDescent="0.2">
      <c r="B4881" s="1">
        <f t="shared" si="280"/>
        <v>4866</v>
      </c>
      <c r="C4881" s="101">
        <f ca="1"/>
        <v>-0.84059088213850885</v>
      </c>
      <c r="D4881" s="101">
        <f t="shared" ca="1" si="281"/>
        <v>0.61162609323792438</v>
      </c>
      <c r="E4881" s="101">
        <f t="shared" ca="1" si="282"/>
        <v>0</v>
      </c>
      <c r="F4881" s="21">
        <f t="shared" ca="1" si="283"/>
        <v>0</v>
      </c>
      <c r="H4881" s="21">
        <v>4866</v>
      </c>
      <c r="I4881" s="102">
        <v>0.66773671474725071</v>
      </c>
      <c r="J4881" s="103">
        <v>1.3898333522064921E-3</v>
      </c>
      <c r="K4881" s="103"/>
      <c r="L4881" s="103">
        <v>4.1200000000000001E-2</v>
      </c>
      <c r="O4881" s="100"/>
    </row>
    <row r="4882" spans="2:15" x14ac:dyDescent="0.2">
      <c r="B4882" s="1">
        <f t="shared" si="280"/>
        <v>4867</v>
      </c>
      <c r="C4882" s="101">
        <f ca="1"/>
        <v>-4.8466301366425657E-2</v>
      </c>
      <c r="D4882" s="101">
        <f t="shared" ca="1" si="281"/>
        <v>0.66133290788587906</v>
      </c>
      <c r="E4882" s="101">
        <f t="shared" ca="1" si="282"/>
        <v>0</v>
      </c>
      <c r="F4882" s="21">
        <f t="shared" ca="1" si="283"/>
        <v>0</v>
      </c>
      <c r="H4882" s="21">
        <v>4867</v>
      </c>
      <c r="I4882" s="102">
        <v>0.66762247063574054</v>
      </c>
      <c r="J4882" s="103">
        <v>1.3688848367997167E-3</v>
      </c>
      <c r="K4882" s="103"/>
      <c r="L4882" s="103">
        <v>3.8800000000000001E-2</v>
      </c>
      <c r="O4882" s="100"/>
    </row>
    <row r="4883" spans="2:15" x14ac:dyDescent="0.2">
      <c r="B4883" s="1">
        <f t="shared" si="280"/>
        <v>4868</v>
      </c>
      <c r="C4883" s="101">
        <f ca="1"/>
        <v>-1.1245817134351981</v>
      </c>
      <c r="D4883" s="101">
        <f t="shared" ca="1" si="281"/>
        <v>0.59473022831202293</v>
      </c>
      <c r="E4883" s="101">
        <f t="shared" ca="1" si="282"/>
        <v>0</v>
      </c>
      <c r="F4883" s="21">
        <f t="shared" ca="1" si="283"/>
        <v>0</v>
      </c>
      <c r="H4883" s="21">
        <v>4868</v>
      </c>
      <c r="I4883" s="102">
        <v>0.66783747955694561</v>
      </c>
      <c r="J4883" s="103">
        <v>1.48571798026677E-3</v>
      </c>
      <c r="K4883" s="103"/>
      <c r="L4883" s="103">
        <v>4.36E-2</v>
      </c>
      <c r="O4883" s="100"/>
    </row>
    <row r="4884" spans="2:15" x14ac:dyDescent="0.2">
      <c r="B4884" s="1">
        <f t="shared" si="280"/>
        <v>4869</v>
      </c>
      <c r="C4884" s="101">
        <f ca="1"/>
        <v>-0.88023105479772268</v>
      </c>
      <c r="D4884" s="101">
        <f t="shared" ca="1" si="281"/>
        <v>0.60923920744470672</v>
      </c>
      <c r="E4884" s="101">
        <f t="shared" ca="1" si="282"/>
        <v>0</v>
      </c>
      <c r="F4884" s="21">
        <f t="shared" ca="1" si="283"/>
        <v>0</v>
      </c>
      <c r="H4884" s="21">
        <v>4869</v>
      </c>
      <c r="I4884" s="102">
        <v>0.6677261296721555</v>
      </c>
      <c r="J4884" s="103">
        <v>1.3584643883548068E-3</v>
      </c>
      <c r="K4884" s="103"/>
      <c r="L4884" s="103">
        <v>4.0599999999999997E-2</v>
      </c>
      <c r="O4884" s="100"/>
    </row>
    <row r="4885" spans="2:15" x14ac:dyDescent="0.2">
      <c r="B4885" s="1">
        <f t="shared" si="280"/>
        <v>4870</v>
      </c>
      <c r="C4885" s="101">
        <f ca="1"/>
        <v>-1.4080201464948743</v>
      </c>
      <c r="D4885" s="101">
        <f t="shared" ca="1" si="281"/>
        <v>0.57833261528199154</v>
      </c>
      <c r="E4885" s="101">
        <f t="shared" ca="1" si="282"/>
        <v>0</v>
      </c>
      <c r="F4885" s="21">
        <f t="shared" ca="1" si="283"/>
        <v>0</v>
      </c>
      <c r="H4885" s="21">
        <v>4870</v>
      </c>
      <c r="I4885" s="102">
        <v>0.66755685187484004</v>
      </c>
      <c r="J4885" s="103">
        <v>1.1298391310039979E-3</v>
      </c>
      <c r="K4885" s="103"/>
      <c r="L4885" s="103">
        <v>3.7199999999999997E-2</v>
      </c>
      <c r="O4885" s="100"/>
    </row>
    <row r="4886" spans="2:15" x14ac:dyDescent="0.2">
      <c r="B4886" s="1">
        <f t="shared" si="280"/>
        <v>4871</v>
      </c>
      <c r="C4886" s="101">
        <f ca="1"/>
        <v>-0.13483985816363281</v>
      </c>
      <c r="D4886" s="101">
        <f t="shared" ca="1" si="281"/>
        <v>0.65572228528450904</v>
      </c>
      <c r="E4886" s="101">
        <f t="shared" ca="1" si="282"/>
        <v>0</v>
      </c>
      <c r="F4886" s="21">
        <f t="shared" ca="1" si="283"/>
        <v>0</v>
      </c>
      <c r="H4886" s="21">
        <v>4871</v>
      </c>
      <c r="I4886" s="102">
        <v>0.66765466386097594</v>
      </c>
      <c r="J4886" s="103">
        <v>1.3684714047040598E-3</v>
      </c>
      <c r="K4886" s="103"/>
      <c r="L4886" s="103">
        <v>3.9E-2</v>
      </c>
      <c r="O4886" s="100"/>
    </row>
    <row r="4887" spans="2:15" x14ac:dyDescent="0.2">
      <c r="B4887" s="1">
        <f t="shared" si="280"/>
        <v>4872</v>
      </c>
      <c r="C4887" s="101">
        <f ca="1"/>
        <v>-0.53231979577632593</v>
      </c>
      <c r="D4887" s="101">
        <f t="shared" ca="1" si="281"/>
        <v>0.63051024589020677</v>
      </c>
      <c r="E4887" s="101">
        <f t="shared" ca="1" si="282"/>
        <v>0</v>
      </c>
      <c r="F4887" s="21">
        <f t="shared" ca="1" si="283"/>
        <v>0</v>
      </c>
      <c r="H4887" s="21">
        <v>4872</v>
      </c>
      <c r="I4887" s="102">
        <v>0.66768622686647816</v>
      </c>
      <c r="J4887" s="103">
        <v>1.1865859137379674E-3</v>
      </c>
      <c r="K4887" s="103"/>
      <c r="L4887" s="103">
        <v>4.02E-2</v>
      </c>
      <c r="O4887" s="100"/>
    </row>
    <row r="4888" spans="2:15" x14ac:dyDescent="0.2">
      <c r="B4888" s="1">
        <f t="shared" si="280"/>
        <v>4873</v>
      </c>
      <c r="C4888" s="101">
        <f ca="1"/>
        <v>-0.48272612480789207</v>
      </c>
      <c r="D4888" s="101">
        <f t="shared" ca="1" si="281"/>
        <v>0.63360224969411749</v>
      </c>
      <c r="E4888" s="101">
        <f t="shared" ca="1" si="282"/>
        <v>0</v>
      </c>
      <c r="F4888" s="21">
        <f t="shared" ca="1" si="283"/>
        <v>0</v>
      </c>
      <c r="H4888" s="21">
        <v>4873</v>
      </c>
      <c r="I4888" s="102">
        <v>0.6677596687220152</v>
      </c>
      <c r="J4888" s="103">
        <v>1.4207776491350558E-3</v>
      </c>
      <c r="K4888" s="103"/>
      <c r="L4888" s="103">
        <v>4.1599999999999998E-2</v>
      </c>
      <c r="O4888" s="100"/>
    </row>
    <row r="4889" spans="2:15" x14ac:dyDescent="0.2">
      <c r="B4889" s="1">
        <f t="shared" si="280"/>
        <v>4874</v>
      </c>
      <c r="C4889" s="101">
        <f ca="1"/>
        <v>1.026263396421343</v>
      </c>
      <c r="D4889" s="101">
        <f t="shared" ca="1" si="281"/>
        <v>0.73529377856972344</v>
      </c>
      <c r="E4889" s="101">
        <f t="shared" ca="1" si="282"/>
        <v>0</v>
      </c>
      <c r="F4889" s="21">
        <f t="shared" ca="1" si="283"/>
        <v>0</v>
      </c>
      <c r="H4889" s="21">
        <v>4874</v>
      </c>
      <c r="I4889" s="102">
        <v>0.66783127798274577</v>
      </c>
      <c r="J4889" s="103">
        <v>1.443398773722707E-3</v>
      </c>
      <c r="K4889" s="103"/>
      <c r="L4889" s="103">
        <v>4.1000000000000002E-2</v>
      </c>
      <c r="O4889" s="100"/>
    </row>
    <row r="4890" spans="2:15" x14ac:dyDescent="0.2">
      <c r="B4890" s="1">
        <f t="shared" si="280"/>
        <v>4875</v>
      </c>
      <c r="C4890" s="101">
        <f ca="1"/>
        <v>0.31083003605612591</v>
      </c>
      <c r="D4890" s="101">
        <f t="shared" ca="1" si="281"/>
        <v>0.68519181634562409</v>
      </c>
      <c r="E4890" s="101">
        <f t="shared" ca="1" si="282"/>
        <v>0</v>
      </c>
      <c r="F4890" s="21">
        <f t="shared" ca="1" si="283"/>
        <v>0</v>
      </c>
      <c r="H4890" s="21">
        <v>4875</v>
      </c>
      <c r="I4890" s="102">
        <v>0.66765447687745128</v>
      </c>
      <c r="J4890" s="103">
        <v>1.233014029667155E-3</v>
      </c>
      <c r="K4890" s="103"/>
      <c r="L4890" s="103">
        <v>4.1000000000000002E-2</v>
      </c>
      <c r="O4890" s="100"/>
    </row>
    <row r="4891" spans="2:15" x14ac:dyDescent="0.2">
      <c r="B4891" s="1">
        <f t="shared" si="280"/>
        <v>4876</v>
      </c>
      <c r="C4891" s="101">
        <f ca="1"/>
        <v>0.67819373130459215</v>
      </c>
      <c r="D4891" s="101">
        <f t="shared" ca="1" si="281"/>
        <v>0.71047663724396837</v>
      </c>
      <c r="E4891" s="101">
        <f t="shared" ca="1" si="282"/>
        <v>0</v>
      </c>
      <c r="F4891" s="21">
        <f t="shared" ca="1" si="283"/>
        <v>0</v>
      </c>
      <c r="H4891" s="21">
        <v>4876</v>
      </c>
      <c r="I4891" s="102">
        <v>0.66768534986850214</v>
      </c>
      <c r="J4891" s="103">
        <v>1.3584039562439768E-3</v>
      </c>
      <c r="K4891" s="103"/>
      <c r="L4891" s="103">
        <v>4.1399999999999999E-2</v>
      </c>
      <c r="O4891" s="100"/>
    </row>
    <row r="4892" spans="2:15" x14ac:dyDescent="0.2">
      <c r="B4892" s="1">
        <f t="shared" si="280"/>
        <v>4877</v>
      </c>
      <c r="C4892" s="101">
        <f ca="1"/>
        <v>0.36085456663371773</v>
      </c>
      <c r="D4892" s="101">
        <f t="shared" ca="1" si="281"/>
        <v>0.68858124144025035</v>
      </c>
      <c r="E4892" s="101">
        <f t="shared" ca="1" si="282"/>
        <v>0</v>
      </c>
      <c r="F4892" s="21">
        <f t="shared" ca="1" si="283"/>
        <v>0</v>
      </c>
      <c r="H4892" s="21">
        <v>4877</v>
      </c>
      <c r="I4892" s="102">
        <v>0.66768709581988805</v>
      </c>
      <c r="J4892" s="103">
        <v>1.3490576674188505E-3</v>
      </c>
      <c r="K4892" s="103"/>
      <c r="L4892" s="103">
        <v>4.0800000000000003E-2</v>
      </c>
      <c r="O4892" s="100"/>
    </row>
    <row r="4893" spans="2:15" x14ac:dyDescent="0.2">
      <c r="B4893" s="1">
        <f t="shared" si="280"/>
        <v>4878</v>
      </c>
      <c r="C4893" s="101">
        <f ca="1"/>
        <v>-0.70951581485037074</v>
      </c>
      <c r="D4893" s="101">
        <f t="shared" ca="1" si="281"/>
        <v>0.61958540667660966</v>
      </c>
      <c r="E4893" s="101">
        <f t="shared" ca="1" si="282"/>
        <v>0</v>
      </c>
      <c r="F4893" s="21">
        <f t="shared" ca="1" si="283"/>
        <v>0</v>
      </c>
      <c r="H4893" s="21">
        <v>4878</v>
      </c>
      <c r="I4893" s="102">
        <v>0.66772999670503541</v>
      </c>
      <c r="J4893" s="103">
        <v>1.3310533192825945E-3</v>
      </c>
      <c r="K4893" s="103"/>
      <c r="L4893" s="103">
        <v>4.3200000000000002E-2</v>
      </c>
      <c r="O4893" s="100"/>
    </row>
    <row r="4894" spans="2:15" x14ac:dyDescent="0.2">
      <c r="B4894" s="1">
        <f t="shared" si="280"/>
        <v>4879</v>
      </c>
      <c r="C4894" s="101">
        <f ca="1"/>
        <v>2.1244153351424817</v>
      </c>
      <c r="D4894" s="101">
        <f t="shared" ca="1" si="281"/>
        <v>0.81941713883512002</v>
      </c>
      <c r="E4894" s="101">
        <f t="shared" ca="1" si="282"/>
        <v>3.1217138835120006E-2</v>
      </c>
      <c r="F4894" s="21">
        <f t="shared" ca="1" si="283"/>
        <v>1</v>
      </c>
      <c r="H4894" s="21">
        <v>4879</v>
      </c>
      <c r="I4894" s="102">
        <v>0.66783359187578595</v>
      </c>
      <c r="J4894" s="103">
        <v>1.4343786593681957E-3</v>
      </c>
      <c r="K4894" s="103"/>
      <c r="L4894" s="103">
        <v>4.5999999999999999E-2</v>
      </c>
      <c r="O4894" s="100"/>
    </row>
    <row r="4895" spans="2:15" x14ac:dyDescent="0.2">
      <c r="B4895" s="1">
        <f t="shared" si="280"/>
        <v>4880</v>
      </c>
      <c r="C4895" s="101">
        <f ca="1"/>
        <v>0.70043195423380977</v>
      </c>
      <c r="D4895" s="101">
        <f t="shared" ca="1" si="281"/>
        <v>0.71203685495899371</v>
      </c>
      <c r="E4895" s="101">
        <f t="shared" ca="1" si="282"/>
        <v>0</v>
      </c>
      <c r="F4895" s="21">
        <f t="shared" ca="1" si="283"/>
        <v>0</v>
      </c>
      <c r="H4895" s="21">
        <v>4880</v>
      </c>
      <c r="I4895" s="102">
        <v>0.66766052305509882</v>
      </c>
      <c r="J4895" s="103">
        <v>1.1524851221590411E-3</v>
      </c>
      <c r="K4895" s="103"/>
      <c r="L4895" s="103">
        <v>4.1799999999999997E-2</v>
      </c>
      <c r="O4895" s="100"/>
    </row>
    <row r="4896" spans="2:15" x14ac:dyDescent="0.2">
      <c r="B4896" s="1">
        <f t="shared" si="280"/>
        <v>4881</v>
      </c>
      <c r="C4896" s="101">
        <f ca="1"/>
        <v>-1.9724759494184734</v>
      </c>
      <c r="D4896" s="101">
        <f t="shared" ca="1" si="281"/>
        <v>0.5470118650870528</v>
      </c>
      <c r="E4896" s="101">
        <f t="shared" ca="1" si="282"/>
        <v>0</v>
      </c>
      <c r="F4896" s="21">
        <f t="shared" ca="1" si="283"/>
        <v>0</v>
      </c>
      <c r="H4896" s="21">
        <v>4881</v>
      </c>
      <c r="I4896" s="102">
        <v>0.66777781162735639</v>
      </c>
      <c r="J4896" s="103">
        <v>1.3922786003657118E-3</v>
      </c>
      <c r="K4896" s="103"/>
      <c r="L4896" s="103">
        <v>4.1200000000000001E-2</v>
      </c>
      <c r="O4896" s="100"/>
    </row>
    <row r="4897" spans="2:15" x14ac:dyDescent="0.2">
      <c r="B4897" s="1">
        <f t="shared" si="280"/>
        <v>4882</v>
      </c>
      <c r="C4897" s="101">
        <f ca="1"/>
        <v>0.24599384893862944</v>
      </c>
      <c r="D4897" s="101">
        <f t="shared" ca="1" si="281"/>
        <v>0.6808236365683733</v>
      </c>
      <c r="E4897" s="101">
        <f t="shared" ca="1" si="282"/>
        <v>0</v>
      </c>
      <c r="F4897" s="21">
        <f t="shared" ca="1" si="283"/>
        <v>0</v>
      </c>
      <c r="H4897" s="21">
        <v>4882</v>
      </c>
      <c r="I4897" s="102">
        <v>0.66774947215830294</v>
      </c>
      <c r="J4897" s="103">
        <v>1.3905778555514516E-3</v>
      </c>
      <c r="K4897" s="103"/>
      <c r="L4897" s="103">
        <v>4.2000000000000003E-2</v>
      </c>
      <c r="O4897" s="100"/>
    </row>
    <row r="4898" spans="2:15" x14ac:dyDescent="0.2">
      <c r="B4898" s="1">
        <f t="shared" si="280"/>
        <v>4883</v>
      </c>
      <c r="C4898" s="101">
        <f ca="1"/>
        <v>1.2109987297712609E-2</v>
      </c>
      <c r="D4898" s="101">
        <f t="shared" ca="1" si="281"/>
        <v>0.66529641705962672</v>
      </c>
      <c r="E4898" s="101">
        <f t="shared" ca="1" si="282"/>
        <v>0</v>
      </c>
      <c r="F4898" s="21">
        <f t="shared" ca="1" si="283"/>
        <v>0</v>
      </c>
      <c r="H4898" s="21">
        <v>4883</v>
      </c>
      <c r="I4898" s="102">
        <v>0.66781516844362554</v>
      </c>
      <c r="J4898" s="103">
        <v>1.6019341823856903E-3</v>
      </c>
      <c r="K4898" s="103"/>
      <c r="L4898" s="103">
        <v>4.5999999999999999E-2</v>
      </c>
      <c r="O4898" s="100"/>
    </row>
    <row r="4899" spans="2:15" x14ac:dyDescent="0.2">
      <c r="B4899" s="1">
        <f t="shared" si="280"/>
        <v>4884</v>
      </c>
      <c r="C4899" s="101">
        <f ca="1"/>
        <v>0.86133626536896035</v>
      </c>
      <c r="D4899" s="101">
        <f t="shared" ca="1" si="281"/>
        <v>0.72342833447563593</v>
      </c>
      <c r="E4899" s="101">
        <f t="shared" ca="1" si="282"/>
        <v>0</v>
      </c>
      <c r="F4899" s="21">
        <f t="shared" ca="1" si="283"/>
        <v>0</v>
      </c>
      <c r="H4899" s="21">
        <v>4884</v>
      </c>
      <c r="I4899" s="102">
        <v>0.66764447332942811</v>
      </c>
      <c r="J4899" s="103">
        <v>1.2707254631474057E-3</v>
      </c>
      <c r="K4899" s="103"/>
      <c r="L4899" s="103">
        <v>3.8199999999999998E-2</v>
      </c>
      <c r="O4899" s="100"/>
    </row>
    <row r="4900" spans="2:15" x14ac:dyDescent="0.2">
      <c r="B4900" s="1">
        <f t="shared" si="280"/>
        <v>4885</v>
      </c>
      <c r="C4900" s="101">
        <f ca="1"/>
        <v>9.9852955143725469E-2</v>
      </c>
      <c r="D4900" s="101">
        <f t="shared" ca="1" si="281"/>
        <v>0.67107960342901518</v>
      </c>
      <c r="E4900" s="101">
        <f t="shared" ca="1" si="282"/>
        <v>0</v>
      </c>
      <c r="F4900" s="21">
        <f t="shared" ca="1" si="283"/>
        <v>0</v>
      </c>
      <c r="H4900" s="21">
        <v>4885</v>
      </c>
      <c r="I4900" s="102">
        <v>0.66768016620729154</v>
      </c>
      <c r="J4900" s="103">
        <v>1.3675748141048138E-3</v>
      </c>
      <c r="K4900" s="103"/>
      <c r="L4900" s="103">
        <v>3.9800000000000002E-2</v>
      </c>
      <c r="O4900" s="100"/>
    </row>
    <row r="4901" spans="2:15" x14ac:dyDescent="0.2">
      <c r="B4901" s="1">
        <f t="shared" si="280"/>
        <v>4886</v>
      </c>
      <c r="C4901" s="101">
        <f ca="1"/>
        <v>1.3795786729611774</v>
      </c>
      <c r="D4901" s="101">
        <f t="shared" ca="1" si="281"/>
        <v>0.76137164708212135</v>
      </c>
      <c r="E4901" s="101">
        <f t="shared" ca="1" si="282"/>
        <v>0</v>
      </c>
      <c r="F4901" s="21">
        <f t="shared" ca="1" si="283"/>
        <v>0</v>
      </c>
      <c r="H4901" s="21">
        <v>4886</v>
      </c>
      <c r="I4901" s="102">
        <v>0.6677737414624566</v>
      </c>
      <c r="J4901" s="103">
        <v>1.4369012956988567E-3</v>
      </c>
      <c r="K4901" s="103"/>
      <c r="L4901" s="103">
        <v>4.3200000000000002E-2</v>
      </c>
      <c r="O4901" s="100"/>
    </row>
    <row r="4902" spans="2:15" x14ac:dyDescent="0.2">
      <c r="B4902" s="1">
        <f t="shared" si="280"/>
        <v>4887</v>
      </c>
      <c r="C4902" s="101">
        <f ca="1"/>
        <v>-0.38843911056659236</v>
      </c>
      <c r="D4902" s="101">
        <f t="shared" ca="1" si="281"/>
        <v>0.63952261709501257</v>
      </c>
      <c r="E4902" s="101">
        <f t="shared" ca="1" si="282"/>
        <v>0</v>
      </c>
      <c r="F4902" s="21">
        <f t="shared" ca="1" si="283"/>
        <v>0</v>
      </c>
      <c r="H4902" s="21">
        <v>4887</v>
      </c>
      <c r="I4902" s="102">
        <v>0.66775867339351114</v>
      </c>
      <c r="J4902" s="103">
        <v>1.3475242761395818E-3</v>
      </c>
      <c r="K4902" s="103"/>
      <c r="L4902" s="103">
        <v>4.6600000000000003E-2</v>
      </c>
      <c r="O4902" s="100"/>
    </row>
    <row r="4903" spans="2:15" x14ac:dyDescent="0.2">
      <c r="B4903" s="1">
        <f t="shared" si="280"/>
        <v>4888</v>
      </c>
      <c r="C4903" s="101">
        <f ca="1"/>
        <v>8.5321660246133066E-2</v>
      </c>
      <c r="D4903" s="101">
        <f t="shared" ca="1" si="281"/>
        <v>0.67011837625997461</v>
      </c>
      <c r="E4903" s="101">
        <f t="shared" ca="1" si="282"/>
        <v>0</v>
      </c>
      <c r="F4903" s="21">
        <f t="shared" ca="1" si="283"/>
        <v>0</v>
      </c>
      <c r="H4903" s="21">
        <v>4888</v>
      </c>
      <c r="I4903" s="102">
        <v>0.66766114653010644</v>
      </c>
      <c r="J4903" s="103">
        <v>1.2313336226569169E-3</v>
      </c>
      <c r="K4903" s="103"/>
      <c r="L4903" s="103">
        <v>3.9399999999999998E-2</v>
      </c>
      <c r="O4903" s="100"/>
    </row>
    <row r="4904" spans="2:15" x14ac:dyDescent="0.2">
      <c r="B4904" s="1">
        <f t="shared" si="280"/>
        <v>4889</v>
      </c>
      <c r="C4904" s="101">
        <f ca="1"/>
        <v>0.42353045875463152</v>
      </c>
      <c r="D4904" s="101">
        <f t="shared" ca="1" si="281"/>
        <v>0.69285153569662972</v>
      </c>
      <c r="E4904" s="101">
        <f t="shared" ca="1" si="282"/>
        <v>0</v>
      </c>
      <c r="F4904" s="21">
        <f t="shared" ca="1" si="283"/>
        <v>0</v>
      </c>
      <c r="H4904" s="21">
        <v>4889</v>
      </c>
      <c r="I4904" s="102">
        <v>0.66776248814229744</v>
      </c>
      <c r="J4904" s="103">
        <v>1.3793618828079918E-3</v>
      </c>
      <c r="K4904" s="103"/>
      <c r="L4904" s="103">
        <v>4.0599999999999997E-2</v>
      </c>
      <c r="O4904" s="100"/>
    </row>
    <row r="4905" spans="2:15" x14ac:dyDescent="0.2">
      <c r="B4905" s="1">
        <f t="shared" si="280"/>
        <v>4890</v>
      </c>
      <c r="C4905" s="101">
        <f ca="1"/>
        <v>0.8798864981377269</v>
      </c>
      <c r="D4905" s="101">
        <f t="shared" ca="1" si="281"/>
        <v>0.72475328963241337</v>
      </c>
      <c r="E4905" s="101">
        <f t="shared" ca="1" si="282"/>
        <v>0</v>
      </c>
      <c r="F4905" s="21">
        <f t="shared" ca="1" si="283"/>
        <v>0</v>
      </c>
      <c r="H4905" s="21">
        <v>4890</v>
      </c>
      <c r="I4905" s="102">
        <v>0.66773196661530876</v>
      </c>
      <c r="J4905" s="103">
        <v>1.4045035495159474E-3</v>
      </c>
      <c r="K4905" s="103"/>
      <c r="L4905" s="103">
        <v>4.1399999999999999E-2</v>
      </c>
      <c r="O4905" s="100"/>
    </row>
    <row r="4906" spans="2:15" x14ac:dyDescent="0.2">
      <c r="B4906" s="1">
        <f t="shared" si="280"/>
        <v>4891</v>
      </c>
      <c r="C4906" s="101">
        <f ca="1"/>
        <v>-1.5063860204259261</v>
      </c>
      <c r="D4906" s="101">
        <f t="shared" ca="1" si="281"/>
        <v>0.5727482248079</v>
      </c>
      <c r="E4906" s="101">
        <f t="shared" ca="1" si="282"/>
        <v>0</v>
      </c>
      <c r="F4906" s="21">
        <f t="shared" ca="1" si="283"/>
        <v>0</v>
      </c>
      <c r="H4906" s="21">
        <v>4891</v>
      </c>
      <c r="I4906" s="102">
        <v>0.66780823316197579</v>
      </c>
      <c r="J4906" s="103">
        <v>1.5023117281343016E-3</v>
      </c>
      <c r="K4906" s="103"/>
      <c r="L4906" s="103">
        <v>4.6600000000000003E-2</v>
      </c>
      <c r="O4906" s="100"/>
    </row>
    <row r="4907" spans="2:15" x14ac:dyDescent="0.2">
      <c r="B4907" s="1">
        <f t="shared" si="280"/>
        <v>4892</v>
      </c>
      <c r="C4907" s="101">
        <f ca="1"/>
        <v>-0.77465526440504739</v>
      </c>
      <c r="D4907" s="101">
        <f t="shared" ca="1" si="281"/>
        <v>0.61561705963469282</v>
      </c>
      <c r="E4907" s="101">
        <f t="shared" ca="1" si="282"/>
        <v>0</v>
      </c>
      <c r="F4907" s="21">
        <f t="shared" ca="1" si="283"/>
        <v>0</v>
      </c>
      <c r="H4907" s="21">
        <v>4892</v>
      </c>
      <c r="I4907" s="102">
        <v>0.66761595106970728</v>
      </c>
      <c r="J4907" s="103">
        <v>1.1680782498437253E-3</v>
      </c>
      <c r="K4907" s="103"/>
      <c r="L4907" s="103">
        <v>4.1000000000000002E-2</v>
      </c>
      <c r="O4907" s="100"/>
    </row>
    <row r="4908" spans="2:15" x14ac:dyDescent="0.2">
      <c r="B4908" s="1">
        <f t="shared" si="280"/>
        <v>4893</v>
      </c>
      <c r="C4908" s="101">
        <f ca="1"/>
        <v>-1.4840246931710959</v>
      </c>
      <c r="D4908" s="101">
        <f t="shared" ca="1" si="281"/>
        <v>0.57401295908987404</v>
      </c>
      <c r="E4908" s="101">
        <f t="shared" ca="1" si="282"/>
        <v>0</v>
      </c>
      <c r="F4908" s="21">
        <f t="shared" ca="1" si="283"/>
        <v>0</v>
      </c>
      <c r="H4908" s="21">
        <v>4893</v>
      </c>
      <c r="I4908" s="102">
        <v>0.66769985051877323</v>
      </c>
      <c r="J4908" s="103">
        <v>1.3070301491639523E-3</v>
      </c>
      <c r="K4908" s="103"/>
      <c r="L4908" s="103">
        <v>4.02E-2</v>
      </c>
      <c r="O4908" s="100"/>
    </row>
    <row r="4909" spans="2:15" x14ac:dyDescent="0.2">
      <c r="B4909" s="1">
        <f t="shared" si="280"/>
        <v>4894</v>
      </c>
      <c r="C4909" s="101">
        <f ca="1"/>
        <v>1.2384218651404062</v>
      </c>
      <c r="D4909" s="101">
        <f t="shared" ca="1" si="281"/>
        <v>0.75084385250805519</v>
      </c>
      <c r="E4909" s="101">
        <f t="shared" ca="1" si="282"/>
        <v>0</v>
      </c>
      <c r="F4909" s="21">
        <f t="shared" ca="1" si="283"/>
        <v>0</v>
      </c>
      <c r="H4909" s="21">
        <v>4894</v>
      </c>
      <c r="I4909" s="102">
        <v>0.66768981613978318</v>
      </c>
      <c r="J4909" s="103">
        <v>1.3168796835752135E-3</v>
      </c>
      <c r="K4909" s="103"/>
      <c r="L4909" s="103">
        <v>3.9800000000000002E-2</v>
      </c>
      <c r="O4909" s="100"/>
    </row>
    <row r="4910" spans="2:15" x14ac:dyDescent="0.2">
      <c r="B4910" s="1">
        <f t="shared" si="280"/>
        <v>4895</v>
      </c>
      <c r="C4910" s="101">
        <f ca="1"/>
        <v>-1.9302313339761499</v>
      </c>
      <c r="D4910" s="101">
        <f t="shared" ca="1" si="281"/>
        <v>0.54929605489381328</v>
      </c>
      <c r="E4910" s="101">
        <f t="shared" ca="1" si="282"/>
        <v>0</v>
      </c>
      <c r="F4910" s="21">
        <f t="shared" ca="1" si="283"/>
        <v>0</v>
      </c>
      <c r="H4910" s="21">
        <v>4895</v>
      </c>
      <c r="I4910" s="102">
        <v>0.66778115915176417</v>
      </c>
      <c r="J4910" s="103">
        <v>1.4452648104940956E-3</v>
      </c>
      <c r="K4910" s="103"/>
      <c r="L4910" s="103">
        <v>4.48E-2</v>
      </c>
      <c r="O4910" s="100"/>
    </row>
    <row r="4911" spans="2:15" x14ac:dyDescent="0.2">
      <c r="B4911" s="1">
        <f t="shared" si="280"/>
        <v>4896</v>
      </c>
      <c r="C4911" s="101">
        <f ca="1"/>
        <v>1.0237675846874266</v>
      </c>
      <c r="D4911" s="101">
        <f t="shared" ca="1" si="281"/>
        <v>0.73511277874438097</v>
      </c>
      <c r="E4911" s="101">
        <f t="shared" ca="1" si="282"/>
        <v>0</v>
      </c>
      <c r="F4911" s="21">
        <f t="shared" ca="1" si="283"/>
        <v>0</v>
      </c>
      <c r="H4911" s="21">
        <v>4896</v>
      </c>
      <c r="I4911" s="102">
        <v>0.66784262378211856</v>
      </c>
      <c r="J4911" s="103">
        <v>1.4869144988663441E-3</v>
      </c>
      <c r="K4911" s="103"/>
      <c r="L4911" s="103">
        <v>4.2599999999999999E-2</v>
      </c>
      <c r="O4911" s="100"/>
    </row>
    <row r="4912" spans="2:15" x14ac:dyDescent="0.2">
      <c r="B4912" s="1">
        <f t="shared" ref="B4912:B4975" si="284">B4911+1</f>
        <v>4897</v>
      </c>
      <c r="C4912" s="101">
        <f ca="1"/>
        <v>0.13294978174712957</v>
      </c>
      <c r="D4912" s="101">
        <f t="shared" ca="1" si="281"/>
        <v>0.67327406717917904</v>
      </c>
      <c r="E4912" s="101">
        <f t="shared" ca="1" si="282"/>
        <v>0</v>
      </c>
      <c r="F4912" s="21">
        <f t="shared" ca="1" si="283"/>
        <v>0</v>
      </c>
      <c r="H4912" s="21">
        <v>4897</v>
      </c>
      <c r="I4912" s="102">
        <v>0.66787942962297375</v>
      </c>
      <c r="J4912" s="103">
        <v>1.5787880864235565E-3</v>
      </c>
      <c r="K4912" s="103"/>
      <c r="L4912" s="103">
        <v>4.3400000000000001E-2</v>
      </c>
      <c r="O4912" s="100"/>
    </row>
    <row r="4913" spans="2:15" x14ac:dyDescent="0.2">
      <c r="B4913" s="1">
        <f t="shared" si="284"/>
        <v>4898</v>
      </c>
      <c r="C4913" s="101">
        <f ca="1"/>
        <v>-0.4631818631346723</v>
      </c>
      <c r="D4913" s="101">
        <f t="shared" ca="1" si="281"/>
        <v>0.63482493186462952</v>
      </c>
      <c r="E4913" s="101">
        <f t="shared" ca="1" si="282"/>
        <v>0</v>
      </c>
      <c r="F4913" s="21">
        <f t="shared" ca="1" si="283"/>
        <v>0</v>
      </c>
      <c r="H4913" s="21">
        <v>4898</v>
      </c>
      <c r="I4913" s="102">
        <v>0.66769141263246856</v>
      </c>
      <c r="J4913" s="103">
        <v>1.3015994695182562E-3</v>
      </c>
      <c r="K4913" s="103"/>
      <c r="L4913" s="103">
        <v>4.1000000000000002E-2</v>
      </c>
      <c r="O4913" s="100"/>
    </row>
    <row r="4914" spans="2:15" x14ac:dyDescent="0.2">
      <c r="B4914" s="1">
        <f t="shared" si="284"/>
        <v>4899</v>
      </c>
      <c r="C4914" s="101">
        <f ca="1"/>
        <v>0.2966119553970174</v>
      </c>
      <c r="D4914" s="101">
        <f t="shared" ca="1" si="281"/>
        <v>0.68423151501577051</v>
      </c>
      <c r="E4914" s="101">
        <f t="shared" ca="1" si="282"/>
        <v>0</v>
      </c>
      <c r="F4914" s="21">
        <f t="shared" ca="1" si="283"/>
        <v>0</v>
      </c>
      <c r="H4914" s="21">
        <v>4899</v>
      </c>
      <c r="I4914" s="102">
        <v>0.66771836998914846</v>
      </c>
      <c r="J4914" s="103">
        <v>1.4141790421782795E-3</v>
      </c>
      <c r="K4914" s="103"/>
      <c r="L4914" s="103">
        <v>4.1599999999999998E-2</v>
      </c>
      <c r="O4914" s="100"/>
    </row>
    <row r="4915" spans="2:15" x14ac:dyDescent="0.2">
      <c r="B4915" s="1">
        <f t="shared" si="284"/>
        <v>4900</v>
      </c>
      <c r="C4915" s="101">
        <f ca="1"/>
        <v>-0.91866913110309345</v>
      </c>
      <c r="D4915" s="101">
        <f t="shared" ca="1" si="281"/>
        <v>0.60693360025304255</v>
      </c>
      <c r="E4915" s="101">
        <f t="shared" ca="1" si="282"/>
        <v>0</v>
      </c>
      <c r="F4915" s="21">
        <f t="shared" ca="1" si="283"/>
        <v>0</v>
      </c>
      <c r="H4915" s="21">
        <v>4900</v>
      </c>
      <c r="I4915" s="102">
        <v>0.66779832794713978</v>
      </c>
      <c r="J4915" s="103">
        <v>1.4379378623310991E-3</v>
      </c>
      <c r="K4915" s="103"/>
      <c r="L4915" s="103">
        <v>4.4600000000000001E-2</v>
      </c>
      <c r="O4915" s="100"/>
    </row>
    <row r="4916" spans="2:15" x14ac:dyDescent="0.2">
      <c r="B4916" s="1">
        <f t="shared" si="284"/>
        <v>4901</v>
      </c>
      <c r="C4916" s="101">
        <f ca="1"/>
        <v>0.94227306529058064</v>
      </c>
      <c r="D4916" s="101">
        <f t="shared" ca="1" si="281"/>
        <v>0.7292270958764463</v>
      </c>
      <c r="E4916" s="101">
        <f t="shared" ca="1" si="282"/>
        <v>0</v>
      </c>
      <c r="F4916" s="21">
        <f t="shared" ca="1" si="283"/>
        <v>0</v>
      </c>
      <c r="H4916" s="21">
        <v>4901</v>
      </c>
      <c r="I4916" s="102">
        <v>0.66783273308324476</v>
      </c>
      <c r="J4916" s="103">
        <v>1.5147219580554721E-3</v>
      </c>
      <c r="K4916" s="103"/>
      <c r="L4916" s="103">
        <v>4.3999999999999997E-2</v>
      </c>
      <c r="O4916" s="100"/>
    </row>
    <row r="4917" spans="2:15" x14ac:dyDescent="0.2">
      <c r="B4917" s="1">
        <f t="shared" si="284"/>
        <v>4902</v>
      </c>
      <c r="C4917" s="101">
        <f ca="1"/>
        <v>-0.29653622834822885</v>
      </c>
      <c r="D4917" s="101">
        <f t="shared" ca="1" si="281"/>
        <v>0.64534651776363061</v>
      </c>
      <c r="E4917" s="101">
        <f t="shared" ca="1" si="282"/>
        <v>0</v>
      </c>
      <c r="F4917" s="21">
        <f t="shared" ca="1" si="283"/>
        <v>0</v>
      </c>
      <c r="H4917" s="21">
        <v>4902</v>
      </c>
      <c r="I4917" s="102">
        <v>0.66789164983419691</v>
      </c>
      <c r="J4917" s="103">
        <v>1.4776756223211591E-3</v>
      </c>
      <c r="K4917" s="103"/>
      <c r="L4917" s="103">
        <v>4.6600000000000003E-2</v>
      </c>
      <c r="O4917" s="100"/>
    </row>
    <row r="4918" spans="2:15" x14ac:dyDescent="0.2">
      <c r="B4918" s="1">
        <f t="shared" si="284"/>
        <v>4903</v>
      </c>
      <c r="C4918" s="101">
        <f ca="1"/>
        <v>0.35561943775598148</v>
      </c>
      <c r="D4918" s="101">
        <f t="shared" ca="1" si="281"/>
        <v>0.68822574984647544</v>
      </c>
      <c r="E4918" s="101">
        <f t="shared" ca="1" si="282"/>
        <v>0</v>
      </c>
      <c r="F4918" s="21">
        <f t="shared" ca="1" si="283"/>
        <v>0</v>
      </c>
      <c r="H4918" s="21">
        <v>4903</v>
      </c>
      <c r="I4918" s="102">
        <v>0.66779039838951648</v>
      </c>
      <c r="J4918" s="103">
        <v>1.4128047658452016E-3</v>
      </c>
      <c r="K4918" s="103"/>
      <c r="L4918" s="103">
        <v>4.3799999999999999E-2</v>
      </c>
      <c r="O4918" s="100"/>
    </row>
    <row r="4919" spans="2:15" x14ac:dyDescent="0.2">
      <c r="B4919" s="1">
        <f t="shared" si="284"/>
        <v>4904</v>
      </c>
      <c r="C4919" s="101">
        <f ca="1"/>
        <v>0.72888668160642278</v>
      </c>
      <c r="D4919" s="101">
        <f t="shared" ca="1" si="281"/>
        <v>0.71403821597914052</v>
      </c>
      <c r="E4919" s="101">
        <f t="shared" ca="1" si="282"/>
        <v>0</v>
      </c>
      <c r="F4919" s="21">
        <f t="shared" ca="1" si="283"/>
        <v>0</v>
      </c>
      <c r="H4919" s="21">
        <v>4904</v>
      </c>
      <c r="I4919" s="102">
        <v>0.66776317661673434</v>
      </c>
      <c r="J4919" s="103">
        <v>1.2951869768476857E-3</v>
      </c>
      <c r="K4919" s="103"/>
      <c r="L4919" s="103">
        <v>4.02E-2</v>
      </c>
      <c r="O4919" s="100"/>
    </row>
    <row r="4920" spans="2:15" x14ac:dyDescent="0.2">
      <c r="B4920" s="1">
        <f t="shared" si="284"/>
        <v>4905</v>
      </c>
      <c r="C4920" s="101">
        <f ca="1"/>
        <v>0.67801827001189741</v>
      </c>
      <c r="D4920" s="101">
        <f t="shared" ca="1" si="281"/>
        <v>0.71046434060935348</v>
      </c>
      <c r="E4920" s="101">
        <f t="shared" ca="1" si="282"/>
        <v>0</v>
      </c>
      <c r="F4920" s="21">
        <f t="shared" ca="1" si="283"/>
        <v>0</v>
      </c>
      <c r="H4920" s="21">
        <v>4905</v>
      </c>
      <c r="I4920" s="102">
        <v>0.66777167580295904</v>
      </c>
      <c r="J4920" s="103">
        <v>1.3016796623390209E-3</v>
      </c>
      <c r="K4920" s="103"/>
      <c r="L4920" s="103">
        <v>4.2200000000000001E-2</v>
      </c>
      <c r="O4920" s="100"/>
    </row>
    <row r="4921" spans="2:15" x14ac:dyDescent="0.2">
      <c r="B4921" s="1">
        <f t="shared" si="284"/>
        <v>4906</v>
      </c>
      <c r="C4921" s="101">
        <f ca="1"/>
        <v>0.47686641674308811</v>
      </c>
      <c r="D4921" s="101">
        <f t="shared" ca="1" si="281"/>
        <v>0.69650632314935546</v>
      </c>
      <c r="E4921" s="101">
        <f t="shared" ca="1" si="282"/>
        <v>0</v>
      </c>
      <c r="F4921" s="21">
        <f t="shared" ca="1" si="283"/>
        <v>0</v>
      </c>
      <c r="H4921" s="21">
        <v>4906</v>
      </c>
      <c r="I4921" s="102">
        <v>0.66760276220586645</v>
      </c>
      <c r="J4921" s="103">
        <v>1.0923465865424469E-3</v>
      </c>
      <c r="K4921" s="103"/>
      <c r="L4921" s="103">
        <v>3.8399999999999997E-2</v>
      </c>
      <c r="O4921" s="100"/>
    </row>
    <row r="4922" spans="2:15" x14ac:dyDescent="0.2">
      <c r="B4922" s="1">
        <f t="shared" si="284"/>
        <v>4907</v>
      </c>
      <c r="C4922" s="101">
        <f ca="1"/>
        <v>0.19028240791547696</v>
      </c>
      <c r="D4922" s="101">
        <f t="shared" ca="1" si="281"/>
        <v>0.67709246566293868</v>
      </c>
      <c r="E4922" s="101">
        <f t="shared" ca="1" si="282"/>
        <v>0</v>
      </c>
      <c r="F4922" s="21">
        <f t="shared" ca="1" si="283"/>
        <v>0</v>
      </c>
      <c r="H4922" s="21">
        <v>4907</v>
      </c>
      <c r="I4922" s="102">
        <v>0.66777791954929477</v>
      </c>
      <c r="J4922" s="103">
        <v>1.4662517313801871E-3</v>
      </c>
      <c r="K4922" s="103"/>
      <c r="L4922" s="103">
        <v>4.1599999999999998E-2</v>
      </c>
      <c r="O4922" s="100"/>
    </row>
    <row r="4923" spans="2:15" x14ac:dyDescent="0.2">
      <c r="B4923" s="1">
        <f t="shared" si="284"/>
        <v>4908</v>
      </c>
      <c r="C4923" s="101">
        <f ca="1"/>
        <v>-0.82990504179127811</v>
      </c>
      <c r="D4923" s="101">
        <f t="shared" ca="1" si="281"/>
        <v>0.61227112707071241</v>
      </c>
      <c r="E4923" s="101">
        <f t="shared" ca="1" si="282"/>
        <v>0</v>
      </c>
      <c r="F4923" s="21">
        <f t="shared" ca="1" si="283"/>
        <v>0</v>
      </c>
      <c r="H4923" s="21">
        <v>4908</v>
      </c>
      <c r="I4923" s="102">
        <v>0.66784713463622514</v>
      </c>
      <c r="J4923" s="103">
        <v>1.5652569920880592E-3</v>
      </c>
      <c r="K4923" s="103"/>
      <c r="L4923" s="103">
        <v>0.04</v>
      </c>
      <c r="O4923" s="100"/>
    </row>
    <row r="4924" spans="2:15" x14ac:dyDescent="0.2">
      <c r="B4924" s="1">
        <f t="shared" si="284"/>
        <v>4909</v>
      </c>
      <c r="C4924" s="101">
        <f ca="1"/>
        <v>0.78795983905062272</v>
      </c>
      <c r="D4924" s="101">
        <f t="shared" ca="1" si="281"/>
        <v>0.71821110163576884</v>
      </c>
      <c r="E4924" s="101">
        <f t="shared" ca="1" si="282"/>
        <v>0</v>
      </c>
      <c r="F4924" s="21">
        <f t="shared" ca="1" si="283"/>
        <v>0</v>
      </c>
      <c r="H4924" s="21">
        <v>4909</v>
      </c>
      <c r="I4924" s="102">
        <v>0.66794123507164149</v>
      </c>
      <c r="J4924" s="103">
        <v>1.5869115534562013E-3</v>
      </c>
      <c r="K4924" s="103"/>
      <c r="L4924" s="103">
        <v>4.5600000000000002E-2</v>
      </c>
      <c r="O4924" s="100"/>
    </row>
    <row r="4925" spans="2:15" x14ac:dyDescent="0.2">
      <c r="B4925" s="1">
        <f t="shared" si="284"/>
        <v>4910</v>
      </c>
      <c r="C4925" s="101">
        <f ca="1"/>
        <v>-1.7242459158757697</v>
      </c>
      <c r="D4925" s="101">
        <f t="shared" ca="1" si="281"/>
        <v>0.56057118268334438</v>
      </c>
      <c r="E4925" s="101">
        <f t="shared" ca="1" si="282"/>
        <v>0</v>
      </c>
      <c r="F4925" s="21">
        <f t="shared" ca="1" si="283"/>
        <v>0</v>
      </c>
      <c r="H4925" s="21">
        <v>4910</v>
      </c>
      <c r="I4925" s="102">
        <v>0.66787058858936876</v>
      </c>
      <c r="J4925" s="103">
        <v>1.5460734394029401E-3</v>
      </c>
      <c r="K4925" s="103"/>
      <c r="L4925" s="103">
        <v>4.6199999999999998E-2</v>
      </c>
      <c r="O4925" s="100"/>
    </row>
    <row r="4926" spans="2:15" x14ac:dyDescent="0.2">
      <c r="B4926" s="1">
        <f t="shared" si="284"/>
        <v>4911</v>
      </c>
      <c r="C4926" s="101">
        <f ca="1"/>
        <v>-1.0033560004114348</v>
      </c>
      <c r="D4926" s="101">
        <f t="shared" ca="1" si="281"/>
        <v>0.60188462251260311</v>
      </c>
      <c r="E4926" s="101">
        <f t="shared" ca="1" si="282"/>
        <v>0</v>
      </c>
      <c r="F4926" s="21">
        <f t="shared" ca="1" si="283"/>
        <v>0</v>
      </c>
      <c r="H4926" s="21">
        <v>4911</v>
      </c>
      <c r="I4926" s="102">
        <v>0.66766562767966953</v>
      </c>
      <c r="J4926" s="103">
        <v>1.2985634658846923E-3</v>
      </c>
      <c r="K4926" s="103"/>
      <c r="L4926" s="103">
        <v>4.0800000000000003E-2</v>
      </c>
      <c r="O4926" s="100"/>
    </row>
    <row r="4927" spans="2:15" x14ac:dyDescent="0.2">
      <c r="B4927" s="1">
        <f t="shared" si="284"/>
        <v>4912</v>
      </c>
      <c r="C4927" s="101">
        <f ca="1"/>
        <v>0.21237241012102984</v>
      </c>
      <c r="D4927" s="101">
        <f t="shared" ca="1" si="281"/>
        <v>0.67856944999416757</v>
      </c>
      <c r="E4927" s="101">
        <f t="shared" ca="1" si="282"/>
        <v>0</v>
      </c>
      <c r="F4927" s="21">
        <f t="shared" ca="1" si="283"/>
        <v>0</v>
      </c>
      <c r="H4927" s="21">
        <v>4912</v>
      </c>
      <c r="I4927" s="102">
        <v>0.66784369523311582</v>
      </c>
      <c r="J4927" s="103">
        <v>1.5353338165564172E-3</v>
      </c>
      <c r="K4927" s="103"/>
      <c r="L4927" s="103">
        <v>4.0399999999999998E-2</v>
      </c>
      <c r="O4927" s="100"/>
    </row>
    <row r="4928" spans="2:15" x14ac:dyDescent="0.2">
      <c r="B4928" s="1">
        <f t="shared" si="284"/>
        <v>4913</v>
      </c>
      <c r="C4928" s="101">
        <f ca="1"/>
        <v>-1.3719726216228303</v>
      </c>
      <c r="D4928" s="101">
        <f t="shared" ca="1" si="281"/>
        <v>0.58039269673268801</v>
      </c>
      <c r="E4928" s="101">
        <f t="shared" ca="1" si="282"/>
        <v>0</v>
      </c>
      <c r="F4928" s="21">
        <f t="shared" ca="1" si="283"/>
        <v>0</v>
      </c>
      <c r="H4928" s="21">
        <v>4913</v>
      </c>
      <c r="I4928" s="102">
        <v>0.66788885221789529</v>
      </c>
      <c r="J4928" s="103">
        <v>1.5172714639370285E-3</v>
      </c>
      <c r="K4928" s="103"/>
      <c r="L4928" s="103">
        <v>4.5600000000000002E-2</v>
      </c>
      <c r="O4928" s="100"/>
    </row>
    <row r="4929" spans="2:15" x14ac:dyDescent="0.2">
      <c r="B4929" s="1">
        <f t="shared" si="284"/>
        <v>4914</v>
      </c>
      <c r="C4929" s="101">
        <f ca="1"/>
        <v>-0.59256937330108927</v>
      </c>
      <c r="D4929" s="101">
        <f t="shared" ca="1" si="281"/>
        <v>0.62677417449653916</v>
      </c>
      <c r="E4929" s="101">
        <f t="shared" ca="1" si="282"/>
        <v>0</v>
      </c>
      <c r="F4929" s="21">
        <f t="shared" ca="1" si="283"/>
        <v>0</v>
      </c>
      <c r="H4929" s="21">
        <v>4914</v>
      </c>
      <c r="I4929" s="102">
        <v>0.66766880277002638</v>
      </c>
      <c r="J4929" s="103">
        <v>1.2735277136560795E-3</v>
      </c>
      <c r="K4929" s="103"/>
      <c r="L4929" s="103">
        <v>4.1599999999999998E-2</v>
      </c>
      <c r="O4929" s="100"/>
    </row>
    <row r="4930" spans="2:15" x14ac:dyDescent="0.2">
      <c r="B4930" s="1">
        <f t="shared" si="284"/>
        <v>4915</v>
      </c>
      <c r="C4930" s="101">
        <f ca="1"/>
        <v>1.0374826936637669</v>
      </c>
      <c r="D4930" s="101">
        <f t="shared" ca="1" si="281"/>
        <v>0.73610796860416561</v>
      </c>
      <c r="E4930" s="101">
        <f t="shared" ca="1" si="282"/>
        <v>0</v>
      </c>
      <c r="F4930" s="21">
        <f t="shared" ca="1" si="283"/>
        <v>0</v>
      </c>
      <c r="H4930" s="21">
        <v>4915</v>
      </c>
      <c r="I4930" s="102">
        <v>0.66764880174601782</v>
      </c>
      <c r="J4930" s="103">
        <v>1.3097369495961417E-3</v>
      </c>
      <c r="K4930" s="103"/>
      <c r="L4930" s="103">
        <v>3.7199999999999997E-2</v>
      </c>
      <c r="O4930" s="100"/>
    </row>
    <row r="4931" spans="2:15" x14ac:dyDescent="0.2">
      <c r="B4931" s="1">
        <f t="shared" si="284"/>
        <v>4916</v>
      </c>
      <c r="C4931" s="101">
        <f ca="1"/>
        <v>-0.11065589418580324</v>
      </c>
      <c r="D4931" s="101">
        <f t="shared" ca="1" si="281"/>
        <v>0.6572884031642916</v>
      </c>
      <c r="E4931" s="101">
        <f t="shared" ca="1" si="282"/>
        <v>0</v>
      </c>
      <c r="F4931" s="21">
        <f t="shared" ca="1" si="283"/>
        <v>0</v>
      </c>
      <c r="H4931" s="21">
        <v>4916</v>
      </c>
      <c r="I4931" s="102">
        <v>0.66767876988853692</v>
      </c>
      <c r="J4931" s="103">
        <v>1.2920505265452201E-3</v>
      </c>
      <c r="K4931" s="103"/>
      <c r="L4931" s="103">
        <v>4.1599999999999998E-2</v>
      </c>
      <c r="O4931" s="100"/>
    </row>
    <row r="4932" spans="2:15" x14ac:dyDescent="0.2">
      <c r="B4932" s="1">
        <f t="shared" si="284"/>
        <v>4917</v>
      </c>
      <c r="C4932" s="101">
        <f ca="1"/>
        <v>-0.27973454342108545</v>
      </c>
      <c r="D4932" s="101">
        <f t="shared" ca="1" si="281"/>
        <v>0.64641696347024802</v>
      </c>
      <c r="E4932" s="101">
        <f t="shared" ca="1" si="282"/>
        <v>0</v>
      </c>
      <c r="F4932" s="21">
        <f t="shared" ca="1" si="283"/>
        <v>0</v>
      </c>
      <c r="H4932" s="21">
        <v>4917</v>
      </c>
      <c r="I4932" s="102">
        <v>0.66787920882320106</v>
      </c>
      <c r="J4932" s="103">
        <v>1.4941601433017845E-3</v>
      </c>
      <c r="K4932" s="103"/>
      <c r="L4932" s="103">
        <v>4.4600000000000001E-2</v>
      </c>
      <c r="O4932" s="100"/>
    </row>
    <row r="4933" spans="2:15" x14ac:dyDescent="0.2">
      <c r="B4933" s="1">
        <f t="shared" si="284"/>
        <v>4918</v>
      </c>
      <c r="C4933" s="101">
        <f ca="1"/>
        <v>0.71726221861074624</v>
      </c>
      <c r="D4933" s="101">
        <f t="shared" ca="1" si="281"/>
        <v>0.71321993154924512</v>
      </c>
      <c r="E4933" s="101">
        <f t="shared" ca="1" si="282"/>
        <v>0</v>
      </c>
      <c r="F4933" s="21">
        <f t="shared" ca="1" si="283"/>
        <v>0</v>
      </c>
      <c r="H4933" s="21">
        <v>4918</v>
      </c>
      <c r="I4933" s="102">
        <v>0.66767190018239531</v>
      </c>
      <c r="J4933" s="103">
        <v>1.3020587343280977E-3</v>
      </c>
      <c r="K4933" s="103"/>
      <c r="L4933" s="103">
        <v>3.9600000000000003E-2</v>
      </c>
      <c r="O4933" s="100"/>
    </row>
    <row r="4934" spans="2:15" x14ac:dyDescent="0.2">
      <c r="B4934" s="1">
        <f t="shared" si="284"/>
        <v>4919</v>
      </c>
      <c r="C4934" s="101">
        <f ca="1"/>
        <v>0.29032827286252338</v>
      </c>
      <c r="D4934" s="101">
        <f t="shared" ca="1" si="281"/>
        <v>0.68380753867529143</v>
      </c>
      <c r="E4934" s="101">
        <f t="shared" ca="1" si="282"/>
        <v>0</v>
      </c>
      <c r="F4934" s="21">
        <f t="shared" ca="1" si="283"/>
        <v>0</v>
      </c>
      <c r="H4934" s="21">
        <v>4919</v>
      </c>
      <c r="I4934" s="102">
        <v>0.66777664485544741</v>
      </c>
      <c r="J4934" s="103">
        <v>1.3641054770211888E-3</v>
      </c>
      <c r="K4934" s="103"/>
      <c r="L4934" s="103">
        <v>4.24E-2</v>
      </c>
      <c r="O4934" s="100"/>
    </row>
    <row r="4935" spans="2:15" x14ac:dyDescent="0.2">
      <c r="B4935" s="1">
        <f t="shared" si="284"/>
        <v>4920</v>
      </c>
      <c r="C4935" s="101">
        <f ca="1"/>
        <v>1.6960360879978604</v>
      </c>
      <c r="D4935" s="101">
        <f t="shared" ca="1" si="281"/>
        <v>0.78551329599793818</v>
      </c>
      <c r="E4935" s="101">
        <f t="shared" ca="1" si="282"/>
        <v>0</v>
      </c>
      <c r="F4935" s="21">
        <f t="shared" ca="1" si="283"/>
        <v>0</v>
      </c>
      <c r="H4935" s="21">
        <v>4920</v>
      </c>
      <c r="I4935" s="102">
        <v>0.66789081986906507</v>
      </c>
      <c r="J4935" s="103">
        <v>1.4344288864599393E-3</v>
      </c>
      <c r="K4935" s="103"/>
      <c r="L4935" s="103">
        <v>4.3999999999999997E-2</v>
      </c>
      <c r="O4935" s="100"/>
    </row>
    <row r="4936" spans="2:15" x14ac:dyDescent="0.2">
      <c r="B4936" s="1">
        <f t="shared" si="284"/>
        <v>4921</v>
      </c>
      <c r="C4936" s="101">
        <f ca="1"/>
        <v>0.6037764017974081</v>
      </c>
      <c r="D4936" s="101">
        <f t="shared" ca="1" si="281"/>
        <v>0.7052803905388666</v>
      </c>
      <c r="E4936" s="101">
        <f t="shared" ca="1" si="282"/>
        <v>0</v>
      </c>
      <c r="F4936" s="21">
        <f t="shared" ca="1" si="283"/>
        <v>0</v>
      </c>
      <c r="H4936" s="21">
        <v>4921</v>
      </c>
      <c r="I4936" s="102">
        <v>0.66775134039386652</v>
      </c>
      <c r="J4936" s="103">
        <v>1.3221122884091319E-3</v>
      </c>
      <c r="K4936" s="103"/>
      <c r="L4936" s="103">
        <v>4.2999999999999997E-2</v>
      </c>
      <c r="O4936" s="100"/>
    </row>
    <row r="4937" spans="2:15" x14ac:dyDescent="0.2">
      <c r="B4937" s="1">
        <f t="shared" si="284"/>
        <v>4922</v>
      </c>
      <c r="C4937" s="101">
        <f ca="1"/>
        <v>0.52251496318330037</v>
      </c>
      <c r="D4937" s="101">
        <f t="shared" ca="1" si="281"/>
        <v>0.69964964652285633</v>
      </c>
      <c r="E4937" s="101">
        <f t="shared" ca="1" si="282"/>
        <v>0</v>
      </c>
      <c r="F4937" s="21">
        <f t="shared" ca="1" si="283"/>
        <v>0</v>
      </c>
      <c r="H4937" s="21">
        <v>4922</v>
      </c>
      <c r="I4937" s="102">
        <v>0.66782727551781962</v>
      </c>
      <c r="J4937" s="103">
        <v>1.4221719454581201E-3</v>
      </c>
      <c r="K4937" s="103"/>
      <c r="L4937" s="103">
        <v>4.5400000000000003E-2</v>
      </c>
      <c r="O4937" s="100"/>
    </row>
    <row r="4938" spans="2:15" x14ac:dyDescent="0.2">
      <c r="B4938" s="1">
        <f t="shared" si="284"/>
        <v>4923</v>
      </c>
      <c r="C4938" s="101">
        <f ca="1"/>
        <v>-0.38980050532841781</v>
      </c>
      <c r="D4938" s="101">
        <f t="shared" ca="1" si="281"/>
        <v>0.63943674150700958</v>
      </c>
      <c r="E4938" s="101">
        <f t="shared" ca="1" si="282"/>
        <v>0</v>
      </c>
      <c r="F4938" s="21">
        <f t="shared" ca="1" si="283"/>
        <v>0</v>
      </c>
      <c r="H4938" s="21">
        <v>4923</v>
      </c>
      <c r="I4938" s="102">
        <v>0.6676863113286251</v>
      </c>
      <c r="J4938" s="103">
        <v>1.3535282621418272E-3</v>
      </c>
      <c r="K4938" s="103"/>
      <c r="L4938" s="103">
        <v>3.6999999999999998E-2</v>
      </c>
      <c r="O4938" s="100"/>
    </row>
    <row r="4939" spans="2:15" x14ac:dyDescent="0.2">
      <c r="B4939" s="1">
        <f t="shared" si="284"/>
        <v>4924</v>
      </c>
      <c r="C4939" s="101">
        <f ca="1"/>
        <v>1.7011151652549257</v>
      </c>
      <c r="D4939" s="101">
        <f t="shared" ca="1" si="281"/>
        <v>0.78590694219201085</v>
      </c>
      <c r="E4939" s="101">
        <f t="shared" ca="1" si="282"/>
        <v>0</v>
      </c>
      <c r="F4939" s="21">
        <f t="shared" ca="1" si="283"/>
        <v>0</v>
      </c>
      <c r="H4939" s="21">
        <v>4924</v>
      </c>
      <c r="I4939" s="102">
        <v>0.66777218635702018</v>
      </c>
      <c r="J4939" s="103">
        <v>1.332110127201827E-3</v>
      </c>
      <c r="K4939" s="103"/>
      <c r="L4939" s="103">
        <v>4.0599999999999997E-2</v>
      </c>
      <c r="O4939" s="100"/>
    </row>
    <row r="4940" spans="2:15" x14ac:dyDescent="0.2">
      <c r="B4940" s="1">
        <f t="shared" si="284"/>
        <v>4925</v>
      </c>
      <c r="C4940" s="101">
        <f ca="1"/>
        <v>-0.13134217782825866</v>
      </c>
      <c r="D4940" s="101">
        <f t="shared" ca="1" si="281"/>
        <v>0.65594855888173309</v>
      </c>
      <c r="E4940" s="101">
        <f t="shared" ca="1" si="282"/>
        <v>0</v>
      </c>
      <c r="F4940" s="21">
        <f t="shared" ca="1" si="283"/>
        <v>0</v>
      </c>
      <c r="H4940" s="21">
        <v>4925</v>
      </c>
      <c r="I4940" s="102">
        <v>0.66776624828970821</v>
      </c>
      <c r="J4940" s="103">
        <v>1.3640465522301375E-3</v>
      </c>
      <c r="K4940" s="103"/>
      <c r="L4940" s="103">
        <v>4.2200000000000001E-2</v>
      </c>
      <c r="O4940" s="100"/>
    </row>
    <row r="4941" spans="2:15" x14ac:dyDescent="0.2">
      <c r="B4941" s="1">
        <f t="shared" si="284"/>
        <v>4926</v>
      </c>
      <c r="C4941" s="101">
        <f ca="1"/>
        <v>0.15916783486215977</v>
      </c>
      <c r="D4941" s="101">
        <f t="shared" ca="1" si="281"/>
        <v>0.67501753096190964</v>
      </c>
      <c r="E4941" s="101">
        <f t="shared" ca="1" si="282"/>
        <v>0</v>
      </c>
      <c r="F4941" s="21">
        <f t="shared" ca="1" si="283"/>
        <v>0</v>
      </c>
      <c r="H4941" s="21">
        <v>4926</v>
      </c>
      <c r="I4941" s="102">
        <v>0.66766599365461421</v>
      </c>
      <c r="J4941" s="103">
        <v>1.1833744279208227E-3</v>
      </c>
      <c r="K4941" s="103"/>
      <c r="L4941" s="103">
        <v>4.24E-2</v>
      </c>
      <c r="O4941" s="100"/>
    </row>
    <row r="4942" spans="2:15" x14ac:dyDescent="0.2">
      <c r="B4942" s="1">
        <f t="shared" si="284"/>
        <v>4927</v>
      </c>
      <c r="C4942" s="101">
        <f ca="1"/>
        <v>-0.98800227493326831</v>
      </c>
      <c r="D4942" s="101">
        <f t="shared" ca="1" si="281"/>
        <v>0.60279687453154351</v>
      </c>
      <c r="E4942" s="101">
        <f t="shared" ca="1" si="282"/>
        <v>0</v>
      </c>
      <c r="F4942" s="21">
        <f t="shared" ca="1" si="283"/>
        <v>0</v>
      </c>
      <c r="H4942" s="21">
        <v>4927</v>
      </c>
      <c r="I4942" s="102">
        <v>0.66761282898376761</v>
      </c>
      <c r="J4942" s="103">
        <v>1.1945601413559637E-3</v>
      </c>
      <c r="K4942" s="103"/>
      <c r="L4942" s="103">
        <v>3.7400000000000003E-2</v>
      </c>
      <c r="O4942" s="100"/>
    </row>
    <row r="4943" spans="2:15" x14ac:dyDescent="0.2">
      <c r="B4943" s="1">
        <f t="shared" si="284"/>
        <v>4928</v>
      </c>
      <c r="C4943" s="101">
        <f ca="1"/>
        <v>-0.84211325101451084</v>
      </c>
      <c r="D4943" s="101">
        <f t="shared" ca="1" si="281"/>
        <v>0.61153425317049925</v>
      </c>
      <c r="E4943" s="101">
        <f t="shared" ca="1" si="282"/>
        <v>0</v>
      </c>
      <c r="F4943" s="21">
        <f t="shared" ca="1" si="283"/>
        <v>0</v>
      </c>
      <c r="H4943" s="21">
        <v>4928</v>
      </c>
      <c r="I4943" s="102">
        <v>0.66778086408450443</v>
      </c>
      <c r="J4943" s="103">
        <v>1.5561900401032554E-3</v>
      </c>
      <c r="K4943" s="103"/>
      <c r="L4943" s="103">
        <v>4.4400000000000002E-2</v>
      </c>
      <c r="O4943" s="100"/>
    </row>
    <row r="4944" spans="2:15" x14ac:dyDescent="0.2">
      <c r="B4944" s="1">
        <f t="shared" si="284"/>
        <v>4929</v>
      </c>
      <c r="C4944" s="101">
        <f ca="1"/>
        <v>1.5510336911383646</v>
      </c>
      <c r="D4944" s="101">
        <f t="shared" ref="D4944:D5007" ca="1" si="285">S0*EXP((μ-0.5*σ*σ)*T+σ*SQRT(T)*$C4944)</f>
        <v>0.77435788905629266</v>
      </c>
      <c r="E4944" s="101">
        <f t="shared" ref="E4944:E5007" ca="1" si="286">MAX(0,CP*(D4944-K))</f>
        <v>0</v>
      </c>
      <c r="F4944" s="21">
        <f t="shared" ref="F4944:F5007" ca="1" si="287">(CP*(D4944-K)&gt;0)*1</f>
        <v>0</v>
      </c>
      <c r="H4944" s="21">
        <v>4929</v>
      </c>
      <c r="I4944" s="102">
        <v>0.66787636400818484</v>
      </c>
      <c r="J4944" s="103">
        <v>1.5291562262486913E-3</v>
      </c>
      <c r="K4944" s="103"/>
      <c r="L4944" s="103">
        <v>4.3999999999999997E-2</v>
      </c>
      <c r="O4944" s="100"/>
    </row>
    <row r="4945" spans="2:15" x14ac:dyDescent="0.2">
      <c r="B4945" s="1">
        <f t="shared" si="284"/>
        <v>4930</v>
      </c>
      <c r="C4945" s="101">
        <f ca="1"/>
        <v>0.42344066072435677</v>
      </c>
      <c r="D4945" s="101">
        <f t="shared" ca="1" si="285"/>
        <v>0.69284539858572403</v>
      </c>
      <c r="E4945" s="101">
        <f t="shared" ca="1" si="286"/>
        <v>0</v>
      </c>
      <c r="F4945" s="21">
        <f t="shared" ca="1" si="287"/>
        <v>0</v>
      </c>
      <c r="H4945" s="21">
        <v>4930</v>
      </c>
      <c r="I4945" s="102">
        <v>0.66773325439342668</v>
      </c>
      <c r="J4945" s="103">
        <v>1.3715465015070904E-3</v>
      </c>
      <c r="K4945" s="103"/>
      <c r="L4945" s="103">
        <v>4.3799999999999999E-2</v>
      </c>
      <c r="O4945" s="100"/>
    </row>
    <row r="4946" spans="2:15" x14ac:dyDescent="0.2">
      <c r="B4946" s="1">
        <f t="shared" si="284"/>
        <v>4931</v>
      </c>
      <c r="C4946" s="101">
        <f ca="1"/>
        <v>-0.42931737927074892</v>
      </c>
      <c r="D4946" s="101">
        <f t="shared" ca="1" si="285"/>
        <v>0.6369490707282115</v>
      </c>
      <c r="E4946" s="101">
        <f t="shared" ca="1" si="286"/>
        <v>0</v>
      </c>
      <c r="F4946" s="21">
        <f t="shared" ca="1" si="287"/>
        <v>0</v>
      </c>
      <c r="H4946" s="21">
        <v>4931</v>
      </c>
      <c r="I4946" s="102">
        <v>0.66779403101592238</v>
      </c>
      <c r="J4946" s="103">
        <v>1.3594795781918887E-3</v>
      </c>
      <c r="K4946" s="103"/>
      <c r="L4946" s="103">
        <v>4.3400000000000001E-2</v>
      </c>
      <c r="O4946" s="100"/>
    </row>
    <row r="4947" spans="2:15" x14ac:dyDescent="0.2">
      <c r="B4947" s="1">
        <f t="shared" si="284"/>
        <v>4932</v>
      </c>
      <c r="C4947" s="101">
        <f ca="1"/>
        <v>1.2070568308176779</v>
      </c>
      <c r="D4947" s="101">
        <f t="shared" ca="1" si="285"/>
        <v>0.74852441518667712</v>
      </c>
      <c r="E4947" s="101">
        <f t="shared" ca="1" si="286"/>
        <v>0</v>
      </c>
      <c r="F4947" s="21">
        <f t="shared" ca="1" si="287"/>
        <v>0</v>
      </c>
      <c r="H4947" s="21">
        <v>4932</v>
      </c>
      <c r="I4947" s="102">
        <v>0.66774764579585111</v>
      </c>
      <c r="J4947" s="103">
        <v>1.42429293045309E-3</v>
      </c>
      <c r="K4947" s="103"/>
      <c r="L4947" s="103">
        <v>4.1000000000000002E-2</v>
      </c>
      <c r="O4947" s="100"/>
    </row>
    <row r="4948" spans="2:15" x14ac:dyDescent="0.2">
      <c r="B4948" s="1">
        <f t="shared" si="284"/>
        <v>4933</v>
      </c>
      <c r="C4948" s="101">
        <f ca="1"/>
        <v>-0.28214689074458921</v>
      </c>
      <c r="D4948" s="101">
        <f t="shared" ca="1" si="285"/>
        <v>0.64626316223931346</v>
      </c>
      <c r="E4948" s="101">
        <f t="shared" ca="1" si="286"/>
        <v>0</v>
      </c>
      <c r="F4948" s="21">
        <f t="shared" ca="1" si="287"/>
        <v>0</v>
      </c>
      <c r="H4948" s="21">
        <v>4933</v>
      </c>
      <c r="I4948" s="102">
        <v>0.66794710178401651</v>
      </c>
      <c r="J4948" s="103">
        <v>1.545516009299472E-3</v>
      </c>
      <c r="K4948" s="103"/>
      <c r="L4948" s="103">
        <v>4.5400000000000003E-2</v>
      </c>
      <c r="O4948" s="100"/>
    </row>
    <row r="4949" spans="2:15" x14ac:dyDescent="0.2">
      <c r="B4949" s="1">
        <f t="shared" si="284"/>
        <v>4934</v>
      </c>
      <c r="C4949" s="101">
        <f ca="1"/>
        <v>-0.9056014753019912</v>
      </c>
      <c r="D4949" s="101">
        <f t="shared" ca="1" si="285"/>
        <v>0.60771644871672548</v>
      </c>
      <c r="E4949" s="101">
        <f t="shared" ca="1" si="286"/>
        <v>0</v>
      </c>
      <c r="F4949" s="21">
        <f t="shared" ca="1" si="287"/>
        <v>0</v>
      </c>
      <c r="H4949" s="21">
        <v>4934</v>
      </c>
      <c r="I4949" s="102">
        <v>0.66791225539236654</v>
      </c>
      <c r="J4949" s="103">
        <v>1.4796169741801471E-3</v>
      </c>
      <c r="K4949" s="103"/>
      <c r="L4949" s="103">
        <v>4.36E-2</v>
      </c>
      <c r="O4949" s="100"/>
    </row>
    <row r="4950" spans="2:15" x14ac:dyDescent="0.2">
      <c r="B4950" s="1">
        <f t="shared" si="284"/>
        <v>4935</v>
      </c>
      <c r="C4950" s="101">
        <f ca="1"/>
        <v>-0.15696646522647992</v>
      </c>
      <c r="D4950" s="101">
        <f t="shared" ca="1" si="285"/>
        <v>0.65429266793832053</v>
      </c>
      <c r="E4950" s="101">
        <f t="shared" ca="1" si="286"/>
        <v>0</v>
      </c>
      <c r="F4950" s="21">
        <f t="shared" ca="1" si="287"/>
        <v>0</v>
      </c>
      <c r="H4950" s="21">
        <v>4935</v>
      </c>
      <c r="I4950" s="102">
        <v>0.66766793231560029</v>
      </c>
      <c r="J4950" s="103">
        <v>1.2516338046431996E-3</v>
      </c>
      <c r="K4950" s="103"/>
      <c r="L4950" s="103">
        <v>3.9E-2</v>
      </c>
      <c r="O4950" s="100"/>
    </row>
    <row r="4951" spans="2:15" x14ac:dyDescent="0.2">
      <c r="B4951" s="1">
        <f t="shared" si="284"/>
        <v>4936</v>
      </c>
      <c r="C4951" s="101">
        <f ca="1"/>
        <v>-0.6805139766496805</v>
      </c>
      <c r="D4951" s="101">
        <f t="shared" ca="1" si="285"/>
        <v>0.62136044185545936</v>
      </c>
      <c r="E4951" s="101">
        <f t="shared" ca="1" si="286"/>
        <v>0</v>
      </c>
      <c r="F4951" s="21">
        <f t="shared" ca="1" si="287"/>
        <v>0</v>
      </c>
      <c r="H4951" s="21">
        <v>4936</v>
      </c>
      <c r="I4951" s="102">
        <v>0.66777887652665668</v>
      </c>
      <c r="J4951" s="103">
        <v>1.4594426856241554E-3</v>
      </c>
      <c r="K4951" s="103"/>
      <c r="L4951" s="103">
        <v>4.2999999999999997E-2</v>
      </c>
      <c r="O4951" s="100"/>
    </row>
    <row r="4952" spans="2:15" x14ac:dyDescent="0.2">
      <c r="B4952" s="1">
        <f t="shared" si="284"/>
        <v>4937</v>
      </c>
      <c r="C4952" s="101">
        <f ca="1"/>
        <v>-0.49300225529356256</v>
      </c>
      <c r="D4952" s="101">
        <f t="shared" ca="1" si="285"/>
        <v>0.63296032345426456</v>
      </c>
      <c r="E4952" s="101">
        <f t="shared" ca="1" si="286"/>
        <v>0</v>
      </c>
      <c r="F4952" s="21">
        <f t="shared" ca="1" si="287"/>
        <v>0</v>
      </c>
      <c r="H4952" s="21">
        <v>4937</v>
      </c>
      <c r="I4952" s="102">
        <v>0.66792340580815768</v>
      </c>
      <c r="J4952" s="103">
        <v>1.6401617597223532E-3</v>
      </c>
      <c r="K4952" s="103"/>
      <c r="L4952" s="103">
        <v>4.4400000000000002E-2</v>
      </c>
      <c r="O4952" s="100"/>
    </row>
    <row r="4953" spans="2:15" x14ac:dyDescent="0.2">
      <c r="B4953" s="1">
        <f t="shared" si="284"/>
        <v>4938</v>
      </c>
      <c r="C4953" s="101">
        <f ca="1"/>
        <v>1.2879106718464215</v>
      </c>
      <c r="D4953" s="101">
        <f t="shared" ca="1" si="285"/>
        <v>0.75451816406072403</v>
      </c>
      <c r="E4953" s="101">
        <f t="shared" ca="1" si="286"/>
        <v>0</v>
      </c>
      <c r="F4953" s="21">
        <f t="shared" ca="1" si="287"/>
        <v>0</v>
      </c>
      <c r="H4953" s="21">
        <v>4938</v>
      </c>
      <c r="I4953" s="102">
        <v>0.66779873849412941</v>
      </c>
      <c r="J4953" s="103">
        <v>1.5634223973502958E-3</v>
      </c>
      <c r="K4953" s="103"/>
      <c r="L4953" s="103">
        <v>4.4200000000000003E-2</v>
      </c>
      <c r="O4953" s="100"/>
    </row>
    <row r="4954" spans="2:15" x14ac:dyDescent="0.2">
      <c r="B4954" s="1">
        <f t="shared" si="284"/>
        <v>4939</v>
      </c>
      <c r="C4954" s="101">
        <f ca="1"/>
        <v>0.31186370929794666</v>
      </c>
      <c r="D4954" s="101">
        <f t="shared" ca="1" si="285"/>
        <v>0.68526168405147414</v>
      </c>
      <c r="E4954" s="101">
        <f t="shared" ca="1" si="286"/>
        <v>0</v>
      </c>
      <c r="F4954" s="21">
        <f t="shared" ca="1" si="287"/>
        <v>0</v>
      </c>
      <c r="H4954" s="21">
        <v>4939</v>
      </c>
      <c r="I4954" s="102">
        <v>0.66788701910985815</v>
      </c>
      <c r="J4954" s="103">
        <v>1.5442958234968924E-3</v>
      </c>
      <c r="K4954" s="103"/>
      <c r="L4954" s="103">
        <v>4.6600000000000003E-2</v>
      </c>
      <c r="O4954" s="100"/>
    </row>
    <row r="4955" spans="2:15" x14ac:dyDescent="0.2">
      <c r="B4955" s="1">
        <f t="shared" si="284"/>
        <v>4940</v>
      </c>
      <c r="C4955" s="101">
        <f ca="1"/>
        <v>-0.51501546581848057</v>
      </c>
      <c r="D4955" s="101">
        <f t="shared" ca="1" si="285"/>
        <v>0.63158739677551312</v>
      </c>
      <c r="E4955" s="101">
        <f t="shared" ca="1" si="286"/>
        <v>0</v>
      </c>
      <c r="F4955" s="21">
        <f t="shared" ca="1" si="287"/>
        <v>0</v>
      </c>
      <c r="H4955" s="21">
        <v>4940</v>
      </c>
      <c r="I4955" s="102">
        <v>0.66773165069665774</v>
      </c>
      <c r="J4955" s="103">
        <v>1.4681234269204166E-3</v>
      </c>
      <c r="K4955" s="103"/>
      <c r="L4955" s="103">
        <v>4.2599999999999999E-2</v>
      </c>
      <c r="O4955" s="100"/>
    </row>
    <row r="4956" spans="2:15" x14ac:dyDescent="0.2">
      <c r="B4956" s="1">
        <f t="shared" si="284"/>
        <v>4941</v>
      </c>
      <c r="C4956" s="101">
        <f ca="1"/>
        <v>-0.65036090077889341</v>
      </c>
      <c r="D4956" s="101">
        <f t="shared" ca="1" si="285"/>
        <v>0.62321132990682437</v>
      </c>
      <c r="E4956" s="101">
        <f t="shared" ca="1" si="286"/>
        <v>0</v>
      </c>
      <c r="F4956" s="21">
        <f t="shared" ca="1" si="287"/>
        <v>0</v>
      </c>
      <c r="H4956" s="21">
        <v>4941</v>
      </c>
      <c r="I4956" s="102">
        <v>0.66766587083764706</v>
      </c>
      <c r="J4956" s="103">
        <v>1.2286148927358087E-3</v>
      </c>
      <c r="K4956" s="103"/>
      <c r="L4956" s="103">
        <v>4.0599999999999997E-2</v>
      </c>
      <c r="O4956" s="100"/>
    </row>
    <row r="4957" spans="2:15" x14ac:dyDescent="0.2">
      <c r="B4957" s="1">
        <f t="shared" si="284"/>
        <v>4942</v>
      </c>
      <c r="C4957" s="101">
        <f ca="1"/>
        <v>-0.42163102376754269</v>
      </c>
      <c r="D4957" s="101">
        <f t="shared" ca="1" si="285"/>
        <v>0.63743218373044763</v>
      </c>
      <c r="E4957" s="101">
        <f t="shared" ca="1" si="286"/>
        <v>0</v>
      </c>
      <c r="F4957" s="21">
        <f t="shared" ca="1" si="287"/>
        <v>0</v>
      </c>
      <c r="H4957" s="21">
        <v>4942</v>
      </c>
      <c r="I4957" s="102">
        <v>0.66765782326177514</v>
      </c>
      <c r="J4957" s="103">
        <v>1.203272839719473E-3</v>
      </c>
      <c r="K4957" s="103"/>
      <c r="L4957" s="103">
        <v>4.1200000000000001E-2</v>
      </c>
      <c r="O4957" s="100"/>
    </row>
    <row r="4958" spans="2:15" x14ac:dyDescent="0.2">
      <c r="B4958" s="1">
        <f t="shared" si="284"/>
        <v>4943</v>
      </c>
      <c r="C4958" s="101">
        <f ca="1"/>
        <v>-0.91851246293668831</v>
      </c>
      <c r="D4958" s="101">
        <f t="shared" ca="1" si="285"/>
        <v>0.60694297985045276</v>
      </c>
      <c r="E4958" s="101">
        <f t="shared" ca="1" si="286"/>
        <v>0</v>
      </c>
      <c r="F4958" s="21">
        <f t="shared" ca="1" si="287"/>
        <v>0</v>
      </c>
      <c r="H4958" s="21">
        <v>4943</v>
      </c>
      <c r="I4958" s="102">
        <v>0.66780977268650832</v>
      </c>
      <c r="J4958" s="103">
        <v>1.4804840896172988E-3</v>
      </c>
      <c r="K4958" s="103"/>
      <c r="L4958" s="103">
        <v>4.3400000000000001E-2</v>
      </c>
      <c r="O4958" s="100"/>
    </row>
    <row r="4959" spans="2:15" x14ac:dyDescent="0.2">
      <c r="B4959" s="1">
        <f t="shared" si="284"/>
        <v>4944</v>
      </c>
      <c r="C4959" s="101">
        <f ca="1"/>
        <v>-1.1383485480544568</v>
      </c>
      <c r="D4959" s="101">
        <f t="shared" ca="1" si="285"/>
        <v>0.59392314538407387</v>
      </c>
      <c r="E4959" s="101">
        <f t="shared" ca="1" si="286"/>
        <v>0</v>
      </c>
      <c r="F4959" s="21">
        <f t="shared" ca="1" si="287"/>
        <v>0</v>
      </c>
      <c r="H4959" s="21">
        <v>4944</v>
      </c>
      <c r="I4959" s="102">
        <v>0.66769835423487589</v>
      </c>
      <c r="J4959" s="103">
        <v>1.2826246314144947E-3</v>
      </c>
      <c r="K4959" s="103"/>
      <c r="L4959" s="103">
        <v>4.36E-2</v>
      </c>
      <c r="O4959" s="100"/>
    </row>
    <row r="4960" spans="2:15" x14ac:dyDescent="0.2">
      <c r="B4960" s="1">
        <f t="shared" si="284"/>
        <v>4945</v>
      </c>
      <c r="C4960" s="101">
        <f ca="1"/>
        <v>0.69899916370251447</v>
      </c>
      <c r="D4960" s="101">
        <f t="shared" ca="1" si="285"/>
        <v>0.71193622822269265</v>
      </c>
      <c r="E4960" s="101">
        <f t="shared" ca="1" si="286"/>
        <v>0</v>
      </c>
      <c r="F4960" s="21">
        <f t="shared" ca="1" si="287"/>
        <v>0</v>
      </c>
      <c r="H4960" s="21">
        <v>4945</v>
      </c>
      <c r="I4960" s="102">
        <v>0.6679652038966204</v>
      </c>
      <c r="J4960" s="103">
        <v>1.538778436242807E-3</v>
      </c>
      <c r="K4960" s="103"/>
      <c r="L4960" s="103">
        <v>4.7800000000000002E-2</v>
      </c>
      <c r="O4960" s="100"/>
    </row>
    <row r="4961" spans="2:15" x14ac:dyDescent="0.2">
      <c r="B4961" s="1">
        <f t="shared" si="284"/>
        <v>4946</v>
      </c>
      <c r="C4961" s="101">
        <f ca="1"/>
        <v>0.67385942433609858</v>
      </c>
      <c r="D4961" s="101">
        <f t="shared" ca="1" si="285"/>
        <v>0.71017294371928064</v>
      </c>
      <c r="E4961" s="101">
        <f t="shared" ca="1" si="286"/>
        <v>0</v>
      </c>
      <c r="F4961" s="21">
        <f t="shared" ca="1" si="287"/>
        <v>0</v>
      </c>
      <c r="H4961" s="21">
        <v>4946</v>
      </c>
      <c r="I4961" s="102">
        <v>0.66772717487174538</v>
      </c>
      <c r="J4961" s="103">
        <v>1.2705116742293702E-3</v>
      </c>
      <c r="K4961" s="103"/>
      <c r="L4961" s="103">
        <v>3.7999999999999999E-2</v>
      </c>
      <c r="O4961" s="100"/>
    </row>
    <row r="4962" spans="2:15" x14ac:dyDescent="0.2">
      <c r="B4962" s="1">
        <f t="shared" si="284"/>
        <v>4947</v>
      </c>
      <c r="C4962" s="101">
        <f ca="1"/>
        <v>-1.3966620928599514</v>
      </c>
      <c r="D4962" s="101">
        <f t="shared" ca="1" si="285"/>
        <v>0.57898092690797875</v>
      </c>
      <c r="E4962" s="101">
        <f t="shared" ca="1" si="286"/>
        <v>0</v>
      </c>
      <c r="F4962" s="21">
        <f t="shared" ca="1" si="287"/>
        <v>0</v>
      </c>
      <c r="H4962" s="21">
        <v>4947</v>
      </c>
      <c r="I4962" s="102">
        <v>0.66783894170808744</v>
      </c>
      <c r="J4962" s="103">
        <v>1.5271198988201884E-3</v>
      </c>
      <c r="K4962" s="103"/>
      <c r="L4962" s="103">
        <v>4.36E-2</v>
      </c>
      <c r="O4962" s="100"/>
    </row>
    <row r="4963" spans="2:15" x14ac:dyDescent="0.2">
      <c r="B4963" s="1">
        <f t="shared" si="284"/>
        <v>4948</v>
      </c>
      <c r="C4963" s="101">
        <f ca="1"/>
        <v>0.29116571187841783</v>
      </c>
      <c r="D4963" s="101">
        <f t="shared" ca="1" si="285"/>
        <v>0.68386402767877574</v>
      </c>
      <c r="E4963" s="101">
        <f t="shared" ca="1" si="286"/>
        <v>0</v>
      </c>
      <c r="F4963" s="21">
        <f t="shared" ca="1" si="287"/>
        <v>0</v>
      </c>
      <c r="H4963" s="21">
        <v>4948</v>
      </c>
      <c r="I4963" s="102">
        <v>0.66760192975263</v>
      </c>
      <c r="J4963" s="103">
        <v>1.2522042606431544E-3</v>
      </c>
      <c r="K4963" s="103"/>
      <c r="L4963" s="103">
        <v>3.8800000000000001E-2</v>
      </c>
      <c r="O4963" s="100"/>
    </row>
    <row r="4964" spans="2:15" x14ac:dyDescent="0.2">
      <c r="B4964" s="1">
        <f t="shared" si="284"/>
        <v>4949</v>
      </c>
      <c r="C4964" s="101">
        <f ca="1"/>
        <v>-0.40802249596730172</v>
      </c>
      <c r="D4964" s="101">
        <f t="shared" ca="1" si="285"/>
        <v>0.63828842381567086</v>
      </c>
      <c r="E4964" s="101">
        <f t="shared" ca="1" si="286"/>
        <v>0</v>
      </c>
      <c r="F4964" s="21">
        <f t="shared" ca="1" si="287"/>
        <v>0</v>
      </c>
      <c r="H4964" s="21">
        <v>4949</v>
      </c>
      <c r="I4964" s="102">
        <v>0.66748057912690084</v>
      </c>
      <c r="J4964" s="103">
        <v>1.0968557584813863E-3</v>
      </c>
      <c r="K4964" s="103"/>
      <c r="L4964" s="103">
        <v>3.4799999999999998E-2</v>
      </c>
      <c r="O4964" s="100"/>
    </row>
    <row r="4965" spans="2:15" x14ac:dyDescent="0.2">
      <c r="B4965" s="1">
        <f t="shared" si="284"/>
        <v>4950</v>
      </c>
      <c r="C4965" s="101">
        <f ca="1"/>
        <v>0.78607136919724363</v>
      </c>
      <c r="D4965" s="101">
        <f t="shared" ca="1" si="285"/>
        <v>0.71807732489187526</v>
      </c>
      <c r="E4965" s="101">
        <f t="shared" ca="1" si="286"/>
        <v>0</v>
      </c>
      <c r="F4965" s="21">
        <f t="shared" ca="1" si="287"/>
        <v>0</v>
      </c>
      <c r="H4965" s="21">
        <v>4950</v>
      </c>
      <c r="I4965" s="102">
        <v>0.66775008915533685</v>
      </c>
      <c r="J4965" s="103">
        <v>1.4152259657718525E-3</v>
      </c>
      <c r="K4965" s="103"/>
      <c r="L4965" s="103">
        <v>4.2799999999999998E-2</v>
      </c>
      <c r="O4965" s="100"/>
    </row>
    <row r="4966" spans="2:15" x14ac:dyDescent="0.2">
      <c r="B4966" s="1">
        <f t="shared" si="284"/>
        <v>4951</v>
      </c>
      <c r="C4966" s="101">
        <f ca="1"/>
        <v>0.51264180618241018</v>
      </c>
      <c r="D4966" s="101">
        <f t="shared" ca="1" si="285"/>
        <v>0.69896858852078225</v>
      </c>
      <c r="E4966" s="101">
        <f t="shared" ca="1" si="286"/>
        <v>0</v>
      </c>
      <c r="F4966" s="21">
        <f t="shared" ca="1" si="287"/>
        <v>0</v>
      </c>
      <c r="H4966" s="21">
        <v>4951</v>
      </c>
      <c r="I4966" s="102">
        <v>0.66776648726494092</v>
      </c>
      <c r="J4966" s="103">
        <v>1.447760950347903E-3</v>
      </c>
      <c r="K4966" s="103"/>
      <c r="L4966" s="103">
        <v>4.2000000000000003E-2</v>
      </c>
      <c r="O4966" s="100"/>
    </row>
    <row r="4967" spans="2:15" x14ac:dyDescent="0.2">
      <c r="B4967" s="1">
        <f t="shared" si="284"/>
        <v>4952</v>
      </c>
      <c r="C4967" s="101">
        <f ca="1"/>
        <v>-9.935745797539015E-3</v>
      </c>
      <c r="D4967" s="101">
        <f t="shared" ca="1" si="285"/>
        <v>0.66385122188389345</v>
      </c>
      <c r="E4967" s="101">
        <f t="shared" ca="1" si="286"/>
        <v>0</v>
      </c>
      <c r="F4967" s="21">
        <f t="shared" ca="1" si="287"/>
        <v>0</v>
      </c>
      <c r="H4967" s="21">
        <v>4952</v>
      </c>
      <c r="I4967" s="102">
        <v>0.66783010288217659</v>
      </c>
      <c r="J4967" s="103">
        <v>1.4273680796469935E-3</v>
      </c>
      <c r="K4967" s="103"/>
      <c r="L4967" s="103">
        <v>4.3799999999999999E-2</v>
      </c>
      <c r="O4967" s="100"/>
    </row>
    <row r="4968" spans="2:15" x14ac:dyDescent="0.2">
      <c r="B4968" s="1">
        <f t="shared" si="284"/>
        <v>4953</v>
      </c>
      <c r="C4968" s="101">
        <f ca="1"/>
        <v>-0.32144098717355718</v>
      </c>
      <c r="D4968" s="101">
        <f t="shared" ca="1" si="285"/>
        <v>0.64376308047124375</v>
      </c>
      <c r="E4968" s="101">
        <f t="shared" ca="1" si="286"/>
        <v>0</v>
      </c>
      <c r="F4968" s="21">
        <f t="shared" ca="1" si="287"/>
        <v>0</v>
      </c>
      <c r="H4968" s="21">
        <v>4953</v>
      </c>
      <c r="I4968" s="102">
        <v>0.66752174260486408</v>
      </c>
      <c r="J4968" s="103">
        <v>1.0300966954568688E-3</v>
      </c>
      <c r="K4968" s="103"/>
      <c r="L4968" s="103">
        <v>3.3399999999999999E-2</v>
      </c>
      <c r="O4968" s="100"/>
    </row>
    <row r="4969" spans="2:15" x14ac:dyDescent="0.2">
      <c r="B4969" s="1">
        <f t="shared" si="284"/>
        <v>4954</v>
      </c>
      <c r="C4969" s="101">
        <f ca="1"/>
        <v>-0.36757475118222732</v>
      </c>
      <c r="D4969" s="101">
        <f t="shared" ca="1" si="285"/>
        <v>0.64084016631545204</v>
      </c>
      <c r="E4969" s="101">
        <f t="shared" ca="1" si="286"/>
        <v>0</v>
      </c>
      <c r="F4969" s="21">
        <f t="shared" ca="1" si="287"/>
        <v>0</v>
      </c>
      <c r="H4969" s="21">
        <v>4954</v>
      </c>
      <c r="I4969" s="102">
        <v>0.66780068847529528</v>
      </c>
      <c r="J4969" s="103">
        <v>1.4234627979840915E-3</v>
      </c>
      <c r="K4969" s="103"/>
      <c r="L4969" s="103">
        <v>4.4400000000000002E-2</v>
      </c>
      <c r="O4969" s="100"/>
    </row>
    <row r="4970" spans="2:15" x14ac:dyDescent="0.2">
      <c r="B4970" s="1">
        <f t="shared" si="284"/>
        <v>4955</v>
      </c>
      <c r="C4970" s="101">
        <f ca="1"/>
        <v>1.8048402058032906</v>
      </c>
      <c r="D4970" s="101">
        <f t="shared" ca="1" si="285"/>
        <v>0.79398928546313596</v>
      </c>
      <c r="E4970" s="101">
        <f t="shared" ca="1" si="286"/>
        <v>5.7892854631359514E-3</v>
      </c>
      <c r="F4970" s="21">
        <f t="shared" ca="1" si="287"/>
        <v>1</v>
      </c>
      <c r="H4970" s="21">
        <v>4955</v>
      </c>
      <c r="I4970" s="102">
        <v>0.66759858366878344</v>
      </c>
      <c r="J4970" s="103">
        <v>1.2259280828935423E-3</v>
      </c>
      <c r="K4970" s="103"/>
      <c r="L4970" s="103">
        <v>4.1799999999999997E-2</v>
      </c>
      <c r="O4970" s="100"/>
    </row>
    <row r="4971" spans="2:15" x14ac:dyDescent="0.2">
      <c r="B4971" s="1">
        <f t="shared" si="284"/>
        <v>4956</v>
      </c>
      <c r="C4971" s="101">
        <f ca="1"/>
        <v>-1.1063112153227064</v>
      </c>
      <c r="D4971" s="101">
        <f t="shared" ca="1" si="285"/>
        <v>0.5958030331134474</v>
      </c>
      <c r="E4971" s="101">
        <f t="shared" ca="1" si="286"/>
        <v>0</v>
      </c>
      <c r="F4971" s="21">
        <f t="shared" ca="1" si="287"/>
        <v>0</v>
      </c>
      <c r="H4971" s="21">
        <v>4956</v>
      </c>
      <c r="I4971" s="102">
        <v>0.66779134506244997</v>
      </c>
      <c r="J4971" s="103">
        <v>1.4637509620037883E-3</v>
      </c>
      <c r="K4971" s="103"/>
      <c r="L4971" s="103">
        <v>4.58E-2</v>
      </c>
      <c r="O4971" s="100"/>
    </row>
    <row r="4972" spans="2:15" x14ac:dyDescent="0.2">
      <c r="B4972" s="1">
        <f t="shared" si="284"/>
        <v>4957</v>
      </c>
      <c r="C4972" s="101">
        <f ca="1"/>
        <v>-0.22505992092543836</v>
      </c>
      <c r="D4972" s="101">
        <f t="shared" ca="1" si="285"/>
        <v>0.64991262261251581</v>
      </c>
      <c r="E4972" s="101">
        <f t="shared" ca="1" si="286"/>
        <v>0</v>
      </c>
      <c r="F4972" s="21">
        <f t="shared" ca="1" si="287"/>
        <v>0</v>
      </c>
      <c r="H4972" s="21">
        <v>4957</v>
      </c>
      <c r="I4972" s="102">
        <v>0.66780515606075275</v>
      </c>
      <c r="J4972" s="103">
        <v>1.4016706540047267E-3</v>
      </c>
      <c r="K4972" s="103"/>
      <c r="L4972" s="103">
        <v>4.58E-2</v>
      </c>
      <c r="O4972" s="100"/>
    </row>
    <row r="4973" spans="2:15" x14ac:dyDescent="0.2">
      <c r="B4973" s="1">
        <f t="shared" si="284"/>
        <v>4958</v>
      </c>
      <c r="C4973" s="101">
        <f ca="1"/>
        <v>-0.38262122623613298</v>
      </c>
      <c r="D4973" s="101">
        <f t="shared" ca="1" si="285"/>
        <v>0.63988973411091565</v>
      </c>
      <c r="E4973" s="101">
        <f t="shared" ca="1" si="286"/>
        <v>0</v>
      </c>
      <c r="F4973" s="21">
        <f t="shared" ca="1" si="287"/>
        <v>0</v>
      </c>
      <c r="H4973" s="21">
        <v>4958</v>
      </c>
      <c r="I4973" s="102">
        <v>0.66787860595119974</v>
      </c>
      <c r="J4973" s="103">
        <v>1.375092768583535E-3</v>
      </c>
      <c r="K4973" s="103"/>
      <c r="L4973" s="103">
        <v>4.4400000000000002E-2</v>
      </c>
      <c r="O4973" s="100"/>
    </row>
    <row r="4974" spans="2:15" x14ac:dyDescent="0.2">
      <c r="B4974" s="1">
        <f t="shared" si="284"/>
        <v>4959</v>
      </c>
      <c r="C4974" s="101">
        <f ca="1"/>
        <v>1.0689136628790532</v>
      </c>
      <c r="D4974" s="101">
        <f t="shared" ca="1" si="285"/>
        <v>0.73839373376328665</v>
      </c>
      <c r="E4974" s="101">
        <f t="shared" ca="1" si="286"/>
        <v>0</v>
      </c>
      <c r="F4974" s="21">
        <f t="shared" ca="1" si="287"/>
        <v>0</v>
      </c>
      <c r="H4974" s="21">
        <v>4959</v>
      </c>
      <c r="I4974" s="102">
        <v>0.66784964083121046</v>
      </c>
      <c r="J4974" s="103">
        <v>1.4687868558196737E-3</v>
      </c>
      <c r="K4974" s="103"/>
      <c r="L4974" s="103">
        <v>4.7800000000000002E-2</v>
      </c>
      <c r="O4974" s="100"/>
    </row>
    <row r="4975" spans="2:15" x14ac:dyDescent="0.2">
      <c r="B4975" s="1">
        <f t="shared" si="284"/>
        <v>4960</v>
      </c>
      <c r="C4975" s="101">
        <f ca="1"/>
        <v>0.84650334728449395</v>
      </c>
      <c r="D4975" s="101">
        <f t="shared" ca="1" si="285"/>
        <v>0.72237063245036892</v>
      </c>
      <c r="E4975" s="101">
        <f t="shared" ca="1" si="286"/>
        <v>0</v>
      </c>
      <c r="F4975" s="21">
        <f t="shared" ca="1" si="287"/>
        <v>0</v>
      </c>
      <c r="H4975" s="21">
        <v>4960</v>
      </c>
      <c r="I4975" s="102">
        <v>0.6678898280196609</v>
      </c>
      <c r="J4975" s="103">
        <v>1.4632448376513541E-3</v>
      </c>
      <c r="K4975" s="103"/>
      <c r="L4975" s="103">
        <v>4.7E-2</v>
      </c>
      <c r="O4975" s="100"/>
    </row>
    <row r="4976" spans="2:15" x14ac:dyDescent="0.2">
      <c r="B4976" s="1">
        <f t="shared" ref="B4976:B5015" si="288">B4975+1</f>
        <v>4961</v>
      </c>
      <c r="C4976" s="101">
        <f ca="1"/>
        <v>0.31553360646829565</v>
      </c>
      <c r="D4976" s="101">
        <f t="shared" ca="1" si="285"/>
        <v>0.68550979610081253</v>
      </c>
      <c r="E4976" s="101">
        <f t="shared" ca="1" si="286"/>
        <v>0</v>
      </c>
      <c r="F4976" s="21">
        <f t="shared" ca="1" si="287"/>
        <v>0</v>
      </c>
      <c r="H4976" s="21">
        <v>4961</v>
      </c>
      <c r="I4976" s="102">
        <v>0.66764689657103893</v>
      </c>
      <c r="J4976" s="103">
        <v>1.2351132669684913E-3</v>
      </c>
      <c r="K4976" s="103"/>
      <c r="L4976" s="103">
        <v>3.9600000000000003E-2</v>
      </c>
      <c r="O4976" s="100"/>
    </row>
    <row r="4977" spans="2:15" x14ac:dyDescent="0.2">
      <c r="B4977" s="1">
        <f t="shared" si="288"/>
        <v>4962</v>
      </c>
      <c r="C4977" s="101">
        <f ca="1"/>
        <v>-1.4163219071135165</v>
      </c>
      <c r="D4977" s="101">
        <f t="shared" ca="1" si="285"/>
        <v>0.57785921448671618</v>
      </c>
      <c r="E4977" s="101">
        <f t="shared" ca="1" si="286"/>
        <v>0</v>
      </c>
      <c r="F4977" s="21">
        <f t="shared" ca="1" si="287"/>
        <v>0</v>
      </c>
      <c r="H4977" s="21">
        <v>4962</v>
      </c>
      <c r="I4977" s="102">
        <v>0.66764590345195074</v>
      </c>
      <c r="J4977" s="103">
        <v>1.2106542361155677E-3</v>
      </c>
      <c r="K4977" s="103"/>
      <c r="L4977" s="103">
        <v>3.8800000000000001E-2</v>
      </c>
      <c r="O4977" s="100"/>
    </row>
    <row r="4978" spans="2:15" x14ac:dyDescent="0.2">
      <c r="B4978" s="1">
        <f t="shared" si="288"/>
        <v>4963</v>
      </c>
      <c r="C4978" s="101">
        <f ca="1"/>
        <v>0.54544602331300029</v>
      </c>
      <c r="D4978" s="101">
        <f t="shared" ca="1" si="285"/>
        <v>0.70123401036194855</v>
      </c>
      <c r="E4978" s="101">
        <f t="shared" ca="1" si="286"/>
        <v>0</v>
      </c>
      <c r="F4978" s="21">
        <f t="shared" ca="1" si="287"/>
        <v>0</v>
      </c>
      <c r="H4978" s="21">
        <v>4963</v>
      </c>
      <c r="I4978" s="102">
        <v>0.66769613508074421</v>
      </c>
      <c r="J4978" s="103">
        <v>1.2597528064676468E-3</v>
      </c>
      <c r="K4978" s="103"/>
      <c r="L4978" s="103">
        <v>4.2599999999999999E-2</v>
      </c>
      <c r="O4978" s="100"/>
    </row>
    <row r="4979" spans="2:15" x14ac:dyDescent="0.2">
      <c r="B4979" s="1">
        <f t="shared" si="288"/>
        <v>4964</v>
      </c>
      <c r="C4979" s="101">
        <f ca="1"/>
        <v>-0.29706954809346819</v>
      </c>
      <c r="D4979" s="101">
        <f t="shared" ca="1" si="285"/>
        <v>0.64531256867569808</v>
      </c>
      <c r="E4979" s="101">
        <f t="shared" ca="1" si="286"/>
        <v>0</v>
      </c>
      <c r="F4979" s="21">
        <f t="shared" ca="1" si="287"/>
        <v>0</v>
      </c>
      <c r="H4979" s="21">
        <v>4964</v>
      </c>
      <c r="I4979" s="102">
        <v>0.66779475565559776</v>
      </c>
      <c r="J4979" s="103">
        <v>1.4270972977225202E-3</v>
      </c>
      <c r="K4979" s="103"/>
      <c r="L4979" s="103">
        <v>4.1000000000000002E-2</v>
      </c>
      <c r="O4979" s="100"/>
    </row>
    <row r="4980" spans="2:15" x14ac:dyDescent="0.2">
      <c r="B4980" s="1">
        <f t="shared" si="288"/>
        <v>4965</v>
      </c>
      <c r="C4980" s="101">
        <f ca="1"/>
        <v>0.51879683638627816</v>
      </c>
      <c r="D4980" s="101">
        <f t="shared" ca="1" si="285"/>
        <v>0.69939308939963907</v>
      </c>
      <c r="E4980" s="101">
        <f t="shared" ca="1" si="286"/>
        <v>0</v>
      </c>
      <c r="F4980" s="21">
        <f t="shared" ca="1" si="287"/>
        <v>0</v>
      </c>
      <c r="H4980" s="21">
        <v>4965</v>
      </c>
      <c r="I4980" s="102">
        <v>0.66768400777271053</v>
      </c>
      <c r="J4980" s="103">
        <v>1.3729849685214638E-3</v>
      </c>
      <c r="K4980" s="103"/>
      <c r="L4980" s="103">
        <v>3.9600000000000003E-2</v>
      </c>
      <c r="O4980" s="100"/>
    </row>
    <row r="4981" spans="2:15" x14ac:dyDescent="0.2">
      <c r="B4981" s="1">
        <f t="shared" si="288"/>
        <v>4966</v>
      </c>
      <c r="C4981" s="101">
        <f ca="1"/>
        <v>-1.0167071158331911</v>
      </c>
      <c r="D4981" s="101">
        <f t="shared" ca="1" si="285"/>
        <v>0.60109247921230113</v>
      </c>
      <c r="E4981" s="101">
        <f t="shared" ca="1" si="286"/>
        <v>0</v>
      </c>
      <c r="F4981" s="21">
        <f t="shared" ca="1" si="287"/>
        <v>0</v>
      </c>
      <c r="H4981" s="21">
        <v>4966</v>
      </c>
      <c r="I4981" s="102">
        <v>0.66770072014738147</v>
      </c>
      <c r="J4981" s="103">
        <v>1.4997286529215511E-3</v>
      </c>
      <c r="K4981" s="103"/>
      <c r="L4981" s="103">
        <v>4.3999999999999997E-2</v>
      </c>
      <c r="O4981" s="100"/>
    </row>
    <row r="4982" spans="2:15" x14ac:dyDescent="0.2">
      <c r="B4982" s="1">
        <f t="shared" si="288"/>
        <v>4967</v>
      </c>
      <c r="C4982" s="101">
        <f ca="1"/>
        <v>1.8712234140851394</v>
      </c>
      <c r="D4982" s="101">
        <f t="shared" ca="1" si="285"/>
        <v>0.79920548821823645</v>
      </c>
      <c r="E4982" s="101">
        <f t="shared" ca="1" si="286"/>
        <v>1.1005488218236437E-2</v>
      </c>
      <c r="F4982" s="21">
        <f t="shared" ca="1" si="287"/>
        <v>1</v>
      </c>
      <c r="H4982" s="21">
        <v>4967</v>
      </c>
      <c r="I4982" s="102">
        <v>0.66778296689154082</v>
      </c>
      <c r="J4982" s="103">
        <v>1.5077160624142859E-3</v>
      </c>
      <c r="K4982" s="103"/>
      <c r="L4982" s="103">
        <v>4.4600000000000001E-2</v>
      </c>
      <c r="O4982" s="100"/>
    </row>
    <row r="4983" spans="2:15" x14ac:dyDescent="0.2">
      <c r="B4983" s="1">
        <f t="shared" si="288"/>
        <v>4968</v>
      </c>
      <c r="C4983" s="101">
        <f ca="1"/>
        <v>1.3340246142558441</v>
      </c>
      <c r="D4983" s="101">
        <f t="shared" ca="1" si="285"/>
        <v>0.75795808905950501</v>
      </c>
      <c r="E4983" s="101">
        <f t="shared" ca="1" si="286"/>
        <v>0</v>
      </c>
      <c r="F4983" s="21">
        <f t="shared" ca="1" si="287"/>
        <v>0</v>
      </c>
      <c r="H4983" s="21">
        <v>4968</v>
      </c>
      <c r="I4983" s="102">
        <v>0.66772159309316204</v>
      </c>
      <c r="J4983" s="103">
        <v>1.4292492675613618E-3</v>
      </c>
      <c r="K4983" s="103"/>
      <c r="L4983" s="103">
        <v>3.9600000000000003E-2</v>
      </c>
      <c r="O4983" s="100"/>
    </row>
    <row r="4984" spans="2:15" x14ac:dyDescent="0.2">
      <c r="B4984" s="1">
        <f t="shared" si="288"/>
        <v>4969</v>
      </c>
      <c r="C4984" s="101">
        <f ca="1"/>
        <v>1.0158445707797732</v>
      </c>
      <c r="D4984" s="101">
        <f t="shared" ca="1" si="285"/>
        <v>0.73453848565043367</v>
      </c>
      <c r="E4984" s="101">
        <f t="shared" ca="1" si="286"/>
        <v>0</v>
      </c>
      <c r="F4984" s="21">
        <f t="shared" ca="1" si="287"/>
        <v>0</v>
      </c>
      <c r="H4984" s="21">
        <v>4969</v>
      </c>
      <c r="I4984" s="102">
        <v>0.66776070410058053</v>
      </c>
      <c r="J4984" s="103">
        <v>1.366534012585651E-3</v>
      </c>
      <c r="K4984" s="103"/>
      <c r="L4984" s="103">
        <v>4.2200000000000001E-2</v>
      </c>
      <c r="O4984" s="100"/>
    </row>
    <row r="4985" spans="2:15" x14ac:dyDescent="0.2">
      <c r="B4985" s="1">
        <f t="shared" si="288"/>
        <v>4970</v>
      </c>
      <c r="C4985" s="101">
        <f ca="1"/>
        <v>2.4118615289034349</v>
      </c>
      <c r="D4985" s="101">
        <f t="shared" ca="1" si="285"/>
        <v>0.84298347471012569</v>
      </c>
      <c r="E4985" s="101">
        <f t="shared" ca="1" si="286"/>
        <v>5.4783474710125679E-2</v>
      </c>
      <c r="F4985" s="21">
        <f t="shared" ca="1" si="287"/>
        <v>1</v>
      </c>
      <c r="H4985" s="21">
        <v>4970</v>
      </c>
      <c r="I4985" s="102">
        <v>0.66774644329640609</v>
      </c>
      <c r="J4985" s="103">
        <v>1.3308725223226665E-3</v>
      </c>
      <c r="K4985" s="103"/>
      <c r="L4985" s="103">
        <v>0.04</v>
      </c>
      <c r="O4985" s="100"/>
    </row>
    <row r="4986" spans="2:15" x14ac:dyDescent="0.2">
      <c r="B4986" s="1">
        <f t="shared" si="288"/>
        <v>4971</v>
      </c>
      <c r="C4986" s="101">
        <f ca="1"/>
        <v>-2.595679375815545</v>
      </c>
      <c r="D4986" s="101">
        <f t="shared" ca="1" si="285"/>
        <v>0.51439779233504734</v>
      </c>
      <c r="E4986" s="101">
        <f t="shared" ca="1" si="286"/>
        <v>0</v>
      </c>
      <c r="F4986" s="21">
        <f t="shared" ca="1" si="287"/>
        <v>0</v>
      </c>
      <c r="H4986" s="21">
        <v>4971</v>
      </c>
      <c r="I4986" s="102">
        <v>0.66766548535373782</v>
      </c>
      <c r="J4986" s="103">
        <v>1.1629013002692886E-3</v>
      </c>
      <c r="K4986" s="103"/>
      <c r="L4986" s="103">
        <v>4.1399999999999999E-2</v>
      </c>
      <c r="O4986" s="100"/>
    </row>
    <row r="4987" spans="2:15" x14ac:dyDescent="0.2">
      <c r="B4987" s="1">
        <f t="shared" si="288"/>
        <v>4972</v>
      </c>
      <c r="C4987" s="101">
        <f ca="1"/>
        <v>-0.89455932536960259</v>
      </c>
      <c r="D4987" s="101">
        <f t="shared" ca="1" si="285"/>
        <v>0.60837874157612026</v>
      </c>
      <c r="E4987" s="101">
        <f t="shared" ca="1" si="286"/>
        <v>0</v>
      </c>
      <c r="F4987" s="21">
        <f t="shared" ca="1" si="287"/>
        <v>0</v>
      </c>
      <c r="H4987" s="21">
        <v>4972</v>
      </c>
      <c r="I4987" s="102">
        <v>0.66780931590969472</v>
      </c>
      <c r="J4987" s="103">
        <v>1.3725662580649934E-3</v>
      </c>
      <c r="K4987" s="103"/>
      <c r="L4987" s="103">
        <v>4.6600000000000003E-2</v>
      </c>
      <c r="O4987" s="100"/>
    </row>
    <row r="4988" spans="2:15" x14ac:dyDescent="0.2">
      <c r="B4988" s="1">
        <f t="shared" si="288"/>
        <v>4973</v>
      </c>
      <c r="C4988" s="101">
        <f ca="1"/>
        <v>-0.91297276264444138</v>
      </c>
      <c r="D4988" s="101">
        <f t="shared" ca="1" si="285"/>
        <v>0.60727473045774927</v>
      </c>
      <c r="E4988" s="101">
        <f t="shared" ca="1" si="286"/>
        <v>0</v>
      </c>
      <c r="F4988" s="21">
        <f t="shared" ca="1" si="287"/>
        <v>0</v>
      </c>
      <c r="H4988" s="21">
        <v>4973</v>
      </c>
      <c r="I4988" s="102">
        <v>0.66782169839525796</v>
      </c>
      <c r="J4988" s="103">
        <v>1.5265142480409893E-3</v>
      </c>
      <c r="K4988" s="103"/>
      <c r="L4988" s="103">
        <v>4.5199999999999997E-2</v>
      </c>
      <c r="O4988" s="100"/>
    </row>
    <row r="4989" spans="2:15" x14ac:dyDescent="0.2">
      <c r="B4989" s="1">
        <f t="shared" si="288"/>
        <v>4974</v>
      </c>
      <c r="C4989" s="101">
        <f ca="1"/>
        <v>0.16917166941270334</v>
      </c>
      <c r="D4989" s="101">
        <f t="shared" ca="1" si="285"/>
        <v>0.67568396128552344</v>
      </c>
      <c r="E4989" s="101">
        <f t="shared" ca="1" si="286"/>
        <v>0</v>
      </c>
      <c r="F4989" s="21">
        <f t="shared" ca="1" si="287"/>
        <v>0</v>
      </c>
      <c r="H4989" s="21">
        <v>4974</v>
      </c>
      <c r="I4989" s="102">
        <v>0.66787586620881023</v>
      </c>
      <c r="J4989" s="103">
        <v>1.630777223386523E-3</v>
      </c>
      <c r="K4989" s="103"/>
      <c r="L4989" s="103">
        <v>4.7399999999999998E-2</v>
      </c>
      <c r="O4989" s="100"/>
    </row>
    <row r="4990" spans="2:15" x14ac:dyDescent="0.2">
      <c r="B4990" s="1">
        <f t="shared" si="288"/>
        <v>4975</v>
      </c>
      <c r="C4990" s="101">
        <f ca="1"/>
        <v>-1.6681380788003057</v>
      </c>
      <c r="D4990" s="101">
        <f t="shared" ca="1" si="285"/>
        <v>0.56368229408849513</v>
      </c>
      <c r="E4990" s="101">
        <f t="shared" ca="1" si="286"/>
        <v>0</v>
      </c>
      <c r="F4990" s="21">
        <f t="shared" ca="1" si="287"/>
        <v>0</v>
      </c>
      <c r="H4990" s="21">
        <v>4975</v>
      </c>
      <c r="I4990" s="102">
        <v>0.66763679470411297</v>
      </c>
      <c r="J4990" s="103">
        <v>1.2423046996035633E-3</v>
      </c>
      <c r="K4990" s="103"/>
      <c r="L4990" s="103">
        <v>3.9600000000000003E-2</v>
      </c>
      <c r="O4990" s="100"/>
    </row>
    <row r="4991" spans="2:15" x14ac:dyDescent="0.2">
      <c r="B4991" s="1">
        <f t="shared" si="288"/>
        <v>4976</v>
      </c>
      <c r="C4991" s="101">
        <f ca="1"/>
        <v>1.2046026952646707</v>
      </c>
      <c r="D4991" s="101">
        <f t="shared" ca="1" si="285"/>
        <v>0.74834323493749477</v>
      </c>
      <c r="E4991" s="101">
        <f t="shared" ca="1" si="286"/>
        <v>0</v>
      </c>
      <c r="F4991" s="21">
        <f t="shared" ca="1" si="287"/>
        <v>0</v>
      </c>
      <c r="H4991" s="21">
        <v>4976</v>
      </c>
      <c r="I4991" s="102">
        <v>0.66777737274683635</v>
      </c>
      <c r="J4991" s="103">
        <v>1.3632653619896449E-3</v>
      </c>
      <c r="K4991" s="103"/>
      <c r="L4991" s="103">
        <v>4.0800000000000003E-2</v>
      </c>
      <c r="O4991" s="100"/>
    </row>
    <row r="4992" spans="2:15" x14ac:dyDescent="0.2">
      <c r="B4992" s="1">
        <f t="shared" si="288"/>
        <v>4977</v>
      </c>
      <c r="C4992" s="101">
        <f ca="1"/>
        <v>1.0957119213078461</v>
      </c>
      <c r="D4992" s="101">
        <f t="shared" ca="1" si="285"/>
        <v>0.74034819747314451</v>
      </c>
      <c r="E4992" s="101">
        <f t="shared" ca="1" si="286"/>
        <v>0</v>
      </c>
      <c r="F4992" s="21">
        <f t="shared" ca="1" si="287"/>
        <v>0</v>
      </c>
      <c r="H4992" s="21">
        <v>4977</v>
      </c>
      <c r="I4992" s="102">
        <v>0.66766189352052163</v>
      </c>
      <c r="J4992" s="103">
        <v>1.2447060560387966E-3</v>
      </c>
      <c r="K4992" s="103"/>
      <c r="L4992" s="103">
        <v>3.9600000000000003E-2</v>
      </c>
      <c r="O4992" s="100"/>
    </row>
    <row r="4993" spans="2:15" x14ac:dyDescent="0.2">
      <c r="B4993" s="1">
        <f t="shared" si="288"/>
        <v>4978</v>
      </c>
      <c r="C4993" s="101">
        <f ca="1"/>
        <v>-0.18828829765890609</v>
      </c>
      <c r="D4993" s="101">
        <f t="shared" ca="1" si="285"/>
        <v>0.65227426725376858</v>
      </c>
      <c r="E4993" s="101">
        <f t="shared" ca="1" si="286"/>
        <v>0</v>
      </c>
      <c r="F4993" s="21">
        <f t="shared" ca="1" si="287"/>
        <v>0</v>
      </c>
      <c r="H4993" s="21">
        <v>4978</v>
      </c>
      <c r="I4993" s="102">
        <v>0.66782298586696254</v>
      </c>
      <c r="J4993" s="103">
        <v>1.4690818551613628E-3</v>
      </c>
      <c r="K4993" s="103"/>
      <c r="L4993" s="103">
        <v>4.1799999999999997E-2</v>
      </c>
      <c r="O4993" s="100"/>
    </row>
    <row r="4994" spans="2:15" x14ac:dyDescent="0.2">
      <c r="B4994" s="1">
        <f t="shared" si="288"/>
        <v>4979</v>
      </c>
      <c r="C4994" s="101">
        <f ca="1"/>
        <v>-0.81209120968463833</v>
      </c>
      <c r="D4994" s="101">
        <f t="shared" ca="1" si="285"/>
        <v>0.61334794346261023</v>
      </c>
      <c r="E4994" s="101">
        <f t="shared" ca="1" si="286"/>
        <v>0</v>
      </c>
      <c r="F4994" s="21">
        <f t="shared" ca="1" si="287"/>
        <v>0</v>
      </c>
      <c r="H4994" s="21">
        <v>4979</v>
      </c>
      <c r="I4994" s="102">
        <v>0.66758406462759357</v>
      </c>
      <c r="J4994" s="103">
        <v>1.1015577696772496E-3</v>
      </c>
      <c r="K4994" s="103"/>
      <c r="L4994" s="103">
        <v>4.0399999999999998E-2</v>
      </c>
      <c r="O4994" s="100"/>
    </row>
    <row r="4995" spans="2:15" x14ac:dyDescent="0.2">
      <c r="B4995" s="1">
        <f t="shared" si="288"/>
        <v>4980</v>
      </c>
      <c r="C4995" s="101">
        <f ca="1"/>
        <v>0.21574094987627904</v>
      </c>
      <c r="D4995" s="101">
        <f t="shared" ca="1" si="285"/>
        <v>0.67879496063352884</v>
      </c>
      <c r="E4995" s="101">
        <f t="shared" ca="1" si="286"/>
        <v>0</v>
      </c>
      <c r="F4995" s="21">
        <f t="shared" ca="1" si="287"/>
        <v>0</v>
      </c>
      <c r="H4995" s="21">
        <v>4980</v>
      </c>
      <c r="I4995" s="102">
        <v>0.66770996577489994</v>
      </c>
      <c r="J4995" s="103">
        <v>1.3056062829723577E-3</v>
      </c>
      <c r="K4995" s="103"/>
      <c r="L4995" s="103">
        <v>3.9E-2</v>
      </c>
      <c r="O4995" s="100"/>
    </row>
    <row r="4996" spans="2:15" x14ac:dyDescent="0.2">
      <c r="B4996" s="1">
        <f t="shared" si="288"/>
        <v>4981</v>
      </c>
      <c r="C4996" s="101">
        <f ca="1"/>
        <v>1.7823276138603048</v>
      </c>
      <c r="D4996" s="101">
        <f t="shared" ca="1" si="285"/>
        <v>0.79222805204012525</v>
      </c>
      <c r="E4996" s="101">
        <f t="shared" ca="1" si="286"/>
        <v>4.0280520401252407E-3</v>
      </c>
      <c r="F4996" s="21">
        <f t="shared" ca="1" si="287"/>
        <v>1</v>
      </c>
      <c r="H4996" s="21">
        <v>4981</v>
      </c>
      <c r="I4996" s="102">
        <v>0.66784717467343768</v>
      </c>
      <c r="J4996" s="103">
        <v>1.4689568524142009E-3</v>
      </c>
      <c r="K4996" s="103"/>
      <c r="L4996" s="103">
        <v>4.58E-2</v>
      </c>
      <c r="O4996" s="100"/>
    </row>
    <row r="4997" spans="2:15" x14ac:dyDescent="0.2">
      <c r="B4997" s="1">
        <f t="shared" si="288"/>
        <v>4982</v>
      </c>
      <c r="C4997" s="101">
        <f ca="1"/>
        <v>-4.6937525170001146E-2</v>
      </c>
      <c r="D4997" s="101">
        <f t="shared" ca="1" si="285"/>
        <v>0.66143264474620289</v>
      </c>
      <c r="E4997" s="101">
        <f t="shared" ca="1" si="286"/>
        <v>0</v>
      </c>
      <c r="F4997" s="21">
        <f t="shared" ca="1" si="287"/>
        <v>0</v>
      </c>
      <c r="H4997" s="21">
        <v>4982</v>
      </c>
      <c r="I4997" s="102">
        <v>0.66780050929259682</v>
      </c>
      <c r="J4997" s="103">
        <v>1.4335000206693762E-3</v>
      </c>
      <c r="K4997" s="103"/>
      <c r="L4997" s="103">
        <v>4.2200000000000001E-2</v>
      </c>
      <c r="O4997" s="100"/>
    </row>
    <row r="4998" spans="2:15" x14ac:dyDescent="0.2">
      <c r="B4998" s="1">
        <f t="shared" si="288"/>
        <v>4983</v>
      </c>
      <c r="C4998" s="101">
        <f ca="1"/>
        <v>0.21659385130952541</v>
      </c>
      <c r="D4998" s="101">
        <f t="shared" ca="1" si="285"/>
        <v>0.67885207095744038</v>
      </c>
      <c r="E4998" s="101">
        <f t="shared" ca="1" si="286"/>
        <v>0</v>
      </c>
      <c r="F4998" s="21">
        <f t="shared" ca="1" si="287"/>
        <v>0</v>
      </c>
      <c r="H4998" s="21">
        <v>4983</v>
      </c>
      <c r="I4998" s="102">
        <v>0.66782547737948939</v>
      </c>
      <c r="J4998" s="103">
        <v>1.5346136670484158E-3</v>
      </c>
      <c r="K4998" s="103"/>
      <c r="L4998" s="103">
        <v>4.2799999999999998E-2</v>
      </c>
      <c r="O4998" s="100"/>
    </row>
    <row r="4999" spans="2:15" x14ac:dyDescent="0.2">
      <c r="B4999" s="1">
        <f t="shared" si="288"/>
        <v>4984</v>
      </c>
      <c r="C4999" s="101">
        <f ca="1"/>
        <v>-9.520824191254372E-2</v>
      </c>
      <c r="D4999" s="101">
        <f t="shared" ca="1" si="285"/>
        <v>0.65829072751521434</v>
      </c>
      <c r="E4999" s="101">
        <f t="shared" ca="1" si="286"/>
        <v>0</v>
      </c>
      <c r="F4999" s="21">
        <f t="shared" ca="1" si="287"/>
        <v>0</v>
      </c>
      <c r="H4999" s="21">
        <v>4984</v>
      </c>
      <c r="I4999" s="102">
        <v>0.667853154738274</v>
      </c>
      <c r="J4999" s="103">
        <v>1.4582454770888573E-3</v>
      </c>
      <c r="K4999" s="103"/>
      <c r="L4999" s="103">
        <v>4.8599999999999997E-2</v>
      </c>
      <c r="O4999" s="100"/>
    </row>
    <row r="5000" spans="2:15" x14ac:dyDescent="0.2">
      <c r="B5000" s="1">
        <f t="shared" si="288"/>
        <v>4985</v>
      </c>
      <c r="C5000" s="101">
        <f ca="1"/>
        <v>-0.37765681057145295</v>
      </c>
      <c r="D5000" s="101">
        <f t="shared" ca="1" si="285"/>
        <v>0.64020316263766452</v>
      </c>
      <c r="E5000" s="101">
        <f t="shared" ca="1" si="286"/>
        <v>0</v>
      </c>
      <c r="F5000" s="21">
        <f t="shared" ca="1" si="287"/>
        <v>0</v>
      </c>
      <c r="H5000" s="21">
        <v>4985</v>
      </c>
      <c r="I5000" s="102">
        <v>0.66777332101974207</v>
      </c>
      <c r="J5000" s="103">
        <v>1.315612116711841E-3</v>
      </c>
      <c r="K5000" s="103"/>
      <c r="L5000" s="103">
        <v>4.2200000000000001E-2</v>
      </c>
      <c r="O5000" s="100"/>
    </row>
    <row r="5001" spans="2:15" x14ac:dyDescent="0.2">
      <c r="B5001" s="1">
        <f t="shared" si="288"/>
        <v>4986</v>
      </c>
      <c r="C5001" s="101">
        <f ca="1"/>
        <v>6.9847381371261174E-4</v>
      </c>
      <c r="D5001" s="101">
        <f t="shared" ca="1" si="285"/>
        <v>0.66454794959807029</v>
      </c>
      <c r="E5001" s="101">
        <f t="shared" ca="1" si="286"/>
        <v>0</v>
      </c>
      <c r="F5001" s="21">
        <f t="shared" ca="1" si="287"/>
        <v>0</v>
      </c>
      <c r="H5001" s="21">
        <v>4986</v>
      </c>
      <c r="I5001" s="102">
        <v>0.66770162799722754</v>
      </c>
      <c r="J5001" s="103">
        <v>1.3411084949305283E-3</v>
      </c>
      <c r="K5001" s="103"/>
      <c r="L5001" s="103">
        <v>3.9600000000000003E-2</v>
      </c>
      <c r="O5001" s="100"/>
    </row>
    <row r="5002" spans="2:15" x14ac:dyDescent="0.2">
      <c r="B5002" s="1">
        <f t="shared" si="288"/>
        <v>4987</v>
      </c>
      <c r="C5002" s="101">
        <f ca="1"/>
        <v>-0.30477862130326777</v>
      </c>
      <c r="D5002" s="101">
        <f t="shared" ca="1" si="285"/>
        <v>0.64482203810441441</v>
      </c>
      <c r="E5002" s="101">
        <f t="shared" ca="1" si="286"/>
        <v>0</v>
      </c>
      <c r="F5002" s="21">
        <f t="shared" ca="1" si="287"/>
        <v>0</v>
      </c>
      <c r="H5002" s="21">
        <v>4987</v>
      </c>
      <c r="I5002" s="102">
        <v>0.6677831155143038</v>
      </c>
      <c r="J5002" s="103">
        <v>1.3737188523537404E-3</v>
      </c>
      <c r="K5002" s="103"/>
      <c r="L5002" s="103">
        <v>4.3200000000000002E-2</v>
      </c>
      <c r="O5002" s="100"/>
    </row>
    <row r="5003" spans="2:15" x14ac:dyDescent="0.2">
      <c r="B5003" s="1">
        <f t="shared" si="288"/>
        <v>4988</v>
      </c>
      <c r="C5003" s="101">
        <f ca="1"/>
        <v>2.2904020521189827</v>
      </c>
      <c r="D5003" s="101">
        <f t="shared" ca="1" si="285"/>
        <v>0.83294401501213322</v>
      </c>
      <c r="E5003" s="101">
        <f t="shared" ca="1" si="286"/>
        <v>4.4744015012133209E-2</v>
      </c>
      <c r="F5003" s="21">
        <f t="shared" ca="1" si="287"/>
        <v>1</v>
      </c>
      <c r="H5003" s="21">
        <v>4988</v>
      </c>
      <c r="I5003" s="102">
        <v>0.66762034580182539</v>
      </c>
      <c r="J5003" s="103">
        <v>1.3247311828746692E-3</v>
      </c>
      <c r="K5003" s="103"/>
      <c r="L5003" s="103">
        <v>3.9600000000000003E-2</v>
      </c>
      <c r="O5003" s="100"/>
    </row>
    <row r="5004" spans="2:15" x14ac:dyDescent="0.2">
      <c r="B5004" s="1">
        <f t="shared" si="288"/>
        <v>4989</v>
      </c>
      <c r="C5004" s="101">
        <f ca="1"/>
        <v>-0.57837776522678774</v>
      </c>
      <c r="D5004" s="101">
        <f t="shared" ca="1" si="285"/>
        <v>0.62765219694244556</v>
      </c>
      <c r="E5004" s="101">
        <f t="shared" ca="1" si="286"/>
        <v>0</v>
      </c>
      <c r="F5004" s="21">
        <f t="shared" ca="1" si="287"/>
        <v>0</v>
      </c>
      <c r="H5004" s="21">
        <v>4989</v>
      </c>
      <c r="I5004" s="102">
        <v>0.66775980645000899</v>
      </c>
      <c r="J5004" s="103">
        <v>1.4081726166564239E-3</v>
      </c>
      <c r="K5004" s="103"/>
      <c r="L5004" s="103">
        <v>4.36E-2</v>
      </c>
      <c r="O5004" s="100"/>
    </row>
    <row r="5005" spans="2:15" x14ac:dyDescent="0.2">
      <c r="B5005" s="1">
        <f t="shared" si="288"/>
        <v>4990</v>
      </c>
      <c r="C5005" s="101">
        <f ca="1"/>
        <v>0.75523326370108301</v>
      </c>
      <c r="D5005" s="101">
        <f t="shared" ca="1" si="285"/>
        <v>0.71589631604007697</v>
      </c>
      <c r="E5005" s="101">
        <f t="shared" ca="1" si="286"/>
        <v>0</v>
      </c>
      <c r="F5005" s="21">
        <f t="shared" ca="1" si="287"/>
        <v>0</v>
      </c>
      <c r="H5005" s="21">
        <v>4990</v>
      </c>
      <c r="I5005" s="102">
        <v>0.66784211496673795</v>
      </c>
      <c r="J5005" s="103">
        <v>1.5320357713883882E-3</v>
      </c>
      <c r="K5005" s="103"/>
      <c r="L5005" s="103">
        <v>4.24E-2</v>
      </c>
      <c r="O5005" s="100"/>
    </row>
    <row r="5006" spans="2:15" x14ac:dyDescent="0.2">
      <c r="B5006" s="1">
        <f t="shared" si="288"/>
        <v>4991</v>
      </c>
      <c r="C5006" s="101">
        <f ca="1"/>
        <v>0.52300111362586121</v>
      </c>
      <c r="D5006" s="101">
        <f t="shared" ca="1" si="285"/>
        <v>0.69968319869322804</v>
      </c>
      <c r="E5006" s="101">
        <f t="shared" ca="1" si="286"/>
        <v>0</v>
      </c>
      <c r="F5006" s="21">
        <f t="shared" ca="1" si="287"/>
        <v>0</v>
      </c>
      <c r="H5006" s="21">
        <v>4991</v>
      </c>
      <c r="I5006" s="102">
        <v>0.66773566168228138</v>
      </c>
      <c r="J5006" s="103">
        <v>1.3387332392764044E-3</v>
      </c>
      <c r="K5006" s="103"/>
      <c r="L5006" s="103">
        <v>4.3799999999999999E-2</v>
      </c>
      <c r="O5006" s="100"/>
    </row>
    <row r="5007" spans="2:15" x14ac:dyDescent="0.2">
      <c r="B5007" s="1">
        <f t="shared" si="288"/>
        <v>4992</v>
      </c>
      <c r="C5007" s="101">
        <f ca="1"/>
        <v>0.61708190416184006</v>
      </c>
      <c r="D5007" s="101">
        <f t="shared" ca="1" si="285"/>
        <v>0.70620665929904713</v>
      </c>
      <c r="E5007" s="101">
        <f t="shared" ca="1" si="286"/>
        <v>0</v>
      </c>
      <c r="F5007" s="21">
        <f t="shared" ca="1" si="287"/>
        <v>0</v>
      </c>
      <c r="H5007" s="21">
        <v>4992</v>
      </c>
      <c r="I5007" s="102">
        <v>0.6677212650290425</v>
      </c>
      <c r="J5007" s="103">
        <v>1.4505036250503072E-3</v>
      </c>
      <c r="K5007" s="103"/>
      <c r="L5007" s="103">
        <v>4.2200000000000001E-2</v>
      </c>
      <c r="O5007" s="100"/>
    </row>
    <row r="5008" spans="2:15" x14ac:dyDescent="0.2">
      <c r="B5008" s="1">
        <f t="shared" si="288"/>
        <v>4993</v>
      </c>
      <c r="C5008" s="101">
        <f ca="1"/>
        <v>0.43149981614876126</v>
      </c>
      <c r="D5008" s="101">
        <f t="shared" ref="D5008:D5015" ca="1" si="289">S0*EXP((μ-0.5*σ*σ)*T+σ*SQRT(T)*$C5008)</f>
        <v>0.69339640595237595</v>
      </c>
      <c r="E5008" s="101">
        <f t="shared" ref="E5008:E5015" ca="1" si="290">MAX(0,CP*(D5008-K))</f>
        <v>0</v>
      </c>
      <c r="F5008" s="21">
        <f t="shared" ref="F5008:F5015" ca="1" si="291">(CP*(D5008-K)&gt;0)*1</f>
        <v>0</v>
      </c>
      <c r="H5008" s="21">
        <v>4993</v>
      </c>
      <c r="I5008" s="102">
        <v>0.66773192487373467</v>
      </c>
      <c r="J5008" s="103">
        <v>1.4641980083533331E-3</v>
      </c>
      <c r="K5008" s="103"/>
      <c r="L5008" s="103">
        <v>4.48E-2</v>
      </c>
      <c r="O5008" s="100"/>
    </row>
    <row r="5009" spans="2:15" x14ac:dyDescent="0.2">
      <c r="B5009" s="1">
        <f t="shared" si="288"/>
        <v>4994</v>
      </c>
      <c r="C5009" s="101">
        <f ca="1"/>
        <v>0.88773522547109196</v>
      </c>
      <c r="D5009" s="101">
        <f t="shared" ca="1" si="289"/>
        <v>0.72531461732202029</v>
      </c>
      <c r="E5009" s="101">
        <f t="shared" ca="1" si="290"/>
        <v>0</v>
      </c>
      <c r="F5009" s="21">
        <f t="shared" ca="1" si="291"/>
        <v>0</v>
      </c>
      <c r="H5009" s="21">
        <v>4994</v>
      </c>
      <c r="I5009" s="102">
        <v>0.6677498127667395</v>
      </c>
      <c r="J5009" s="103">
        <v>1.3553904316546115E-3</v>
      </c>
      <c r="K5009" s="103"/>
      <c r="L5009" s="103">
        <v>4.1000000000000002E-2</v>
      </c>
      <c r="O5009" s="100"/>
    </row>
    <row r="5010" spans="2:15" x14ac:dyDescent="0.2">
      <c r="B5010" s="1">
        <f t="shared" si="288"/>
        <v>4995</v>
      </c>
      <c r="C5010" s="101">
        <f ca="1"/>
        <v>-0.51600491898878087</v>
      </c>
      <c r="D5010" s="101">
        <f t="shared" ca="1" si="289"/>
        <v>0.6315257562395048</v>
      </c>
      <c r="E5010" s="101">
        <f t="shared" ca="1" si="290"/>
        <v>0</v>
      </c>
      <c r="F5010" s="21">
        <f t="shared" ca="1" si="291"/>
        <v>0</v>
      </c>
      <c r="H5010" s="21">
        <v>4995</v>
      </c>
      <c r="I5010" s="102">
        <v>0.66786591607325041</v>
      </c>
      <c r="J5010" s="103">
        <v>1.4135551671287435E-3</v>
      </c>
      <c r="K5010" s="103"/>
      <c r="L5010" s="103">
        <v>4.6399999999999997E-2</v>
      </c>
      <c r="O5010" s="100"/>
    </row>
    <row r="5011" spans="2:15" x14ac:dyDescent="0.2">
      <c r="B5011" s="1">
        <f t="shared" si="288"/>
        <v>4996</v>
      </c>
      <c r="C5011" s="101">
        <f ca="1"/>
        <v>0.85446187106421401</v>
      </c>
      <c r="D5011" s="101">
        <f t="shared" ca="1" si="289"/>
        <v>0.7229379444645605</v>
      </c>
      <c r="E5011" s="101">
        <f t="shared" ca="1" si="290"/>
        <v>0</v>
      </c>
      <c r="F5011" s="21">
        <f t="shared" ca="1" si="291"/>
        <v>0</v>
      </c>
      <c r="H5011" s="21">
        <v>4996</v>
      </c>
      <c r="I5011" s="102">
        <v>0.66771300872018868</v>
      </c>
      <c r="J5011" s="103">
        <v>1.3542660795099405E-3</v>
      </c>
      <c r="K5011" s="103"/>
      <c r="L5011" s="103">
        <v>4.1200000000000001E-2</v>
      </c>
      <c r="O5011" s="100"/>
    </row>
    <row r="5012" spans="2:15" x14ac:dyDescent="0.2">
      <c r="B5012" s="1">
        <f t="shared" si="288"/>
        <v>4997</v>
      </c>
      <c r="C5012" s="101">
        <f ca="1"/>
        <v>-7.4453883395397796E-2</v>
      </c>
      <c r="D5012" s="101">
        <f t="shared" ca="1" si="289"/>
        <v>0.65963978538841217</v>
      </c>
      <c r="E5012" s="101">
        <f t="shared" ca="1" si="290"/>
        <v>0</v>
      </c>
      <c r="F5012" s="21">
        <f t="shared" ca="1" si="291"/>
        <v>0</v>
      </c>
      <c r="H5012" s="21">
        <v>4997</v>
      </c>
      <c r="I5012" s="102">
        <v>0.6676860168004809</v>
      </c>
      <c r="J5012" s="103">
        <v>1.3055405859848054E-3</v>
      </c>
      <c r="K5012" s="103"/>
      <c r="L5012" s="103">
        <v>4.1799999999999997E-2</v>
      </c>
      <c r="O5012" s="100"/>
    </row>
    <row r="5013" spans="2:15" x14ac:dyDescent="0.2">
      <c r="B5013" s="1">
        <f t="shared" si="288"/>
        <v>4998</v>
      </c>
      <c r="C5013" s="101">
        <f ca="1"/>
        <v>-8.3473359942394826E-2</v>
      </c>
      <c r="D5013" s="101">
        <f t="shared" ca="1" si="289"/>
        <v>0.65905316939962943</v>
      </c>
      <c r="E5013" s="101">
        <f t="shared" ca="1" si="290"/>
        <v>0</v>
      </c>
      <c r="F5013" s="21">
        <f t="shared" ca="1" si="291"/>
        <v>0</v>
      </c>
      <c r="H5013" s="21">
        <v>4998</v>
      </c>
      <c r="I5013" s="102">
        <v>0.66783811794234049</v>
      </c>
      <c r="J5013" s="103">
        <v>1.382993703202871E-3</v>
      </c>
      <c r="K5013" s="103"/>
      <c r="L5013" s="103">
        <v>4.3200000000000002E-2</v>
      </c>
      <c r="O5013" s="100"/>
    </row>
    <row r="5014" spans="2:15" x14ac:dyDescent="0.2">
      <c r="B5014" s="1">
        <f t="shared" si="288"/>
        <v>4999</v>
      </c>
      <c r="C5014" s="101">
        <f ca="1"/>
        <v>0.37997573952544317</v>
      </c>
      <c r="D5014" s="101">
        <f t="shared" ca="1" si="289"/>
        <v>0.68988122616837133</v>
      </c>
      <c r="E5014" s="101">
        <f t="shared" ca="1" si="290"/>
        <v>0</v>
      </c>
      <c r="F5014" s="21">
        <f t="shared" ca="1" si="291"/>
        <v>0</v>
      </c>
      <c r="H5014" s="21">
        <v>4999</v>
      </c>
      <c r="I5014" s="102">
        <v>0.6677546874547029</v>
      </c>
      <c r="J5014" s="103">
        <v>1.3335027517185007E-3</v>
      </c>
      <c r="K5014" s="103"/>
      <c r="L5014" s="103">
        <v>3.9399999999999998E-2</v>
      </c>
      <c r="O5014" s="100"/>
    </row>
    <row r="5015" spans="2:15" x14ac:dyDescent="0.2">
      <c r="B5015" s="1">
        <f t="shared" si="288"/>
        <v>5000</v>
      </c>
      <c r="C5015" s="101">
        <f ca="1"/>
        <v>-0.50593372557323946</v>
      </c>
      <c r="D5015" s="101">
        <f t="shared" ca="1" si="289"/>
        <v>0.6321534483132214</v>
      </c>
      <c r="E5015" s="101">
        <f t="shared" ca="1" si="290"/>
        <v>0</v>
      </c>
      <c r="F5015" s="21">
        <f t="shared" ca="1" si="291"/>
        <v>0</v>
      </c>
      <c r="H5015" s="21">
        <v>5000</v>
      </c>
      <c r="I5015" s="102">
        <v>0.66780972901390956</v>
      </c>
      <c r="J5015" s="103">
        <v>1.4171654537176016E-3</v>
      </c>
      <c r="K5015" s="103"/>
      <c r="L5015" s="103">
        <v>4.2799999999999998E-2</v>
      </c>
      <c r="O5015" s="100"/>
    </row>
  </sheetData>
  <mergeCells count="1">
    <mergeCell ref="E7:F7"/>
  </mergeCells>
  <pageMargins left="0.7" right="0.7" top="0.75" bottom="0.75" header="0.3" footer="0.3"/>
  <pageSetup paperSize="9" orientation="portrait" r:id="rId1"/>
  <ignoredErrors>
    <ignoredError sqref="L6 K10 L8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_Monte_Carlo">
                <anchor moveWithCells="1" sizeWithCells="1">
                  <from>
                    <xdr:col>14</xdr:col>
                    <xdr:colOff>85725</xdr:colOff>
                    <xdr:row>6</xdr:row>
                    <xdr:rowOff>85725</xdr:rowOff>
                  </from>
                  <to>
                    <xdr:col>16</xdr:col>
                    <xdr:colOff>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BBCFD-C73A-4AF3-855A-1ADBBE1F94A3}">
  <sheetPr codeName="Sheet4"/>
  <dimension ref="B1:AS6"/>
  <sheetViews>
    <sheetView workbookViewId="0">
      <selection activeCell="E39" sqref="D39:E39"/>
    </sheetView>
  </sheetViews>
  <sheetFormatPr defaultRowHeight="12" x14ac:dyDescent="0.2"/>
  <cols>
    <col min="1" max="1" width="9.140625" style="1"/>
    <col min="2" max="2" width="7.28515625" style="1" bestFit="1" customWidth="1"/>
    <col min="3" max="3" width="10.28515625" style="1" bestFit="1" customWidth="1"/>
    <col min="4" max="4" width="8.85546875" style="1" bestFit="1" customWidth="1"/>
    <col min="5" max="5" width="16" style="1" bestFit="1" customWidth="1"/>
    <col min="6" max="6" width="13" style="1" bestFit="1" customWidth="1"/>
    <col min="7" max="7" width="14.5703125" style="1" bestFit="1" customWidth="1"/>
    <col min="8" max="8" width="14.140625" style="1" bestFit="1" customWidth="1"/>
    <col min="9" max="9" width="12.7109375" style="1" bestFit="1" customWidth="1"/>
    <col min="10" max="11" width="8.85546875" style="1" bestFit="1" customWidth="1"/>
    <col min="12" max="12" width="7" style="1" bestFit="1" customWidth="1"/>
    <col min="13" max="14" width="6" style="1" bestFit="1" customWidth="1"/>
    <col min="15" max="15" width="12.7109375" style="1" bestFit="1" customWidth="1"/>
    <col min="16" max="16" width="17.140625" style="1" bestFit="1" customWidth="1"/>
    <col min="17" max="17" width="5.85546875" style="1" bestFit="1" customWidth="1"/>
    <col min="18" max="18" width="6.85546875" style="1" bestFit="1" customWidth="1"/>
    <col min="19" max="19" width="15.7109375" style="1" bestFit="1" customWidth="1"/>
    <col min="20" max="20" width="14.7109375" style="1" bestFit="1" customWidth="1"/>
    <col min="21" max="21" width="10.7109375" style="1" bestFit="1" customWidth="1"/>
    <col min="22" max="22" width="14.28515625" style="1" bestFit="1" customWidth="1"/>
    <col min="23" max="23" width="15" style="1" bestFit="1" customWidth="1"/>
    <col min="24" max="24" width="19.5703125" style="1" bestFit="1" customWidth="1"/>
    <col min="25" max="26" width="6" style="1" bestFit="1" customWidth="1"/>
    <col min="27" max="27" width="6.7109375" style="1" bestFit="1" customWidth="1"/>
    <col min="28" max="29" width="7.5703125" style="1" bestFit="1" customWidth="1"/>
    <col min="30" max="30" width="8" style="1" bestFit="1" customWidth="1"/>
    <col min="31" max="31" width="10.7109375" style="1" bestFit="1" customWidth="1"/>
    <col min="32" max="32" width="12.5703125" style="1" bestFit="1" customWidth="1"/>
    <col min="33" max="33" width="11.7109375" style="1" bestFit="1" customWidth="1"/>
    <col min="34" max="34" width="12.140625" style="1" bestFit="1" customWidth="1"/>
    <col min="35" max="35" width="14" style="1" bestFit="1" customWidth="1"/>
    <col min="36" max="36" width="19.5703125" style="1" bestFit="1" customWidth="1"/>
    <col min="37" max="37" width="20.5703125" style="1" bestFit="1" customWidth="1"/>
    <col min="38" max="38" width="14.5703125" style="1" bestFit="1" customWidth="1"/>
    <col min="39" max="40" width="10.5703125" style="1" bestFit="1" customWidth="1"/>
    <col min="41" max="41" width="8" style="1" bestFit="1" customWidth="1"/>
    <col min="42" max="42" width="8.42578125" style="1" bestFit="1" customWidth="1"/>
    <col min="43" max="43" width="10.140625" style="1" bestFit="1" customWidth="1"/>
    <col min="44" max="44" width="15.28515625" style="1" bestFit="1" customWidth="1"/>
    <col min="45" max="45" width="16.42578125" style="1" bestFit="1" customWidth="1"/>
    <col min="46" max="16384" width="9.140625" style="1"/>
  </cols>
  <sheetData>
    <row r="1" spans="2:45" ht="12.75" thickBot="1" x14ac:dyDescent="0.25"/>
    <row r="2" spans="2:45" s="48" customFormat="1" ht="12.75" thickBot="1" x14ac:dyDescent="0.25">
      <c r="C2" s="49" t="s">
        <v>78</v>
      </c>
      <c r="D2" s="50"/>
      <c r="E2" s="50"/>
      <c r="F2" s="50"/>
      <c r="G2" s="50"/>
      <c r="H2" s="51"/>
      <c r="I2" s="49" t="s">
        <v>77</v>
      </c>
      <c r="J2" s="52"/>
      <c r="K2" s="52"/>
      <c r="L2" s="52"/>
      <c r="M2" s="52"/>
      <c r="N2" s="52"/>
      <c r="O2" s="52"/>
      <c r="P2" s="51"/>
      <c r="Q2" s="49" t="s">
        <v>76</v>
      </c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49" t="s">
        <v>75</v>
      </c>
      <c r="AE2" s="50"/>
      <c r="AF2" s="50"/>
      <c r="AG2" s="50"/>
      <c r="AH2" s="50"/>
      <c r="AI2" s="50"/>
      <c r="AJ2" s="50"/>
      <c r="AK2" s="51"/>
      <c r="AL2" s="49" t="str">
        <f>"Vanilla European Option Results in Result Currency, "&amp;ResultCurrency</f>
        <v>Vanilla European Option Results in Result Currency, FOR</v>
      </c>
      <c r="AM2" s="50"/>
      <c r="AN2" s="50"/>
      <c r="AO2" s="50"/>
      <c r="AP2" s="50"/>
      <c r="AQ2" s="50"/>
      <c r="AR2" s="50"/>
      <c r="AS2" s="51"/>
    </row>
    <row r="3" spans="2:45" s="53" customFormat="1" x14ac:dyDescent="0.2">
      <c r="B3" s="53" t="s">
        <v>74</v>
      </c>
      <c r="C3" s="54" t="s">
        <v>73</v>
      </c>
      <c r="D3" s="53" t="s">
        <v>3</v>
      </c>
      <c r="G3" s="53" t="s">
        <v>72</v>
      </c>
      <c r="H3" s="55" t="s">
        <v>70</v>
      </c>
      <c r="I3" s="54" t="s">
        <v>71</v>
      </c>
      <c r="J3" s="53" t="s">
        <v>3</v>
      </c>
      <c r="K3" s="53" t="s">
        <v>3</v>
      </c>
      <c r="L3" s="53" t="s">
        <v>65</v>
      </c>
      <c r="M3" s="53" t="s">
        <v>65</v>
      </c>
      <c r="N3" s="53" t="s">
        <v>65</v>
      </c>
      <c r="O3" s="53" t="s">
        <v>70</v>
      </c>
      <c r="P3" s="55"/>
      <c r="Q3" s="54" t="s">
        <v>69</v>
      </c>
      <c r="R3" s="53" t="s">
        <v>68</v>
      </c>
      <c r="S3" s="53" t="s">
        <v>65</v>
      </c>
      <c r="T3" s="53" t="s">
        <v>65</v>
      </c>
      <c r="U3" s="53" t="s">
        <v>65</v>
      </c>
      <c r="V3" s="53" t="s">
        <v>67</v>
      </c>
      <c r="W3" s="53" t="s">
        <v>66</v>
      </c>
      <c r="Y3" s="53" t="s">
        <v>65</v>
      </c>
      <c r="Z3" s="53" t="s">
        <v>65</v>
      </c>
      <c r="AA3" s="53" t="s">
        <v>65</v>
      </c>
      <c r="AD3" s="54" t="s">
        <v>63</v>
      </c>
      <c r="AE3" s="53" t="s">
        <v>64</v>
      </c>
      <c r="AF3" s="53" t="s">
        <v>64</v>
      </c>
      <c r="AG3" s="53" t="s">
        <v>63</v>
      </c>
      <c r="AH3" s="53" t="s">
        <v>63</v>
      </c>
      <c r="AI3" s="53" t="s">
        <v>64</v>
      </c>
      <c r="AJ3" s="53" t="s">
        <v>63</v>
      </c>
      <c r="AK3" s="55" t="s">
        <v>63</v>
      </c>
      <c r="AL3" s="54"/>
      <c r="AS3" s="55"/>
    </row>
    <row r="4" spans="2:45" s="48" customFormat="1" ht="13.5" x14ac:dyDescent="0.25">
      <c r="C4" s="56" t="s">
        <v>62</v>
      </c>
      <c r="D4" s="57" t="s">
        <v>61</v>
      </c>
      <c r="E4" s="57" t="s">
        <v>60</v>
      </c>
      <c r="F4" s="57" t="s">
        <v>59</v>
      </c>
      <c r="G4" s="57" t="s">
        <v>58</v>
      </c>
      <c r="H4" s="58" t="s">
        <v>57</v>
      </c>
      <c r="I4" s="59" t="s">
        <v>56</v>
      </c>
      <c r="J4" s="60" t="s">
        <v>131</v>
      </c>
      <c r="K4" s="60" t="s">
        <v>55</v>
      </c>
      <c r="L4" s="60" t="s">
        <v>54</v>
      </c>
      <c r="M4" s="60" t="s">
        <v>132</v>
      </c>
      <c r="N4" s="60" t="s">
        <v>133</v>
      </c>
      <c r="O4" s="57" t="s">
        <v>53</v>
      </c>
      <c r="P4" s="58" t="s">
        <v>52</v>
      </c>
      <c r="Q4" s="56" t="s">
        <v>51</v>
      </c>
      <c r="R4" s="57" t="s">
        <v>50</v>
      </c>
      <c r="S4" s="57" t="s">
        <v>134</v>
      </c>
      <c r="T4" s="57" t="s">
        <v>135</v>
      </c>
      <c r="U4" s="57" t="s">
        <v>136</v>
      </c>
      <c r="V4" s="57" t="s">
        <v>49</v>
      </c>
      <c r="W4" s="57" t="s">
        <v>48</v>
      </c>
      <c r="X4" s="57" t="s">
        <v>47</v>
      </c>
      <c r="Y4" s="57" t="s">
        <v>46</v>
      </c>
      <c r="Z4" s="57" t="s">
        <v>45</v>
      </c>
      <c r="AA4" s="57" t="s">
        <v>44</v>
      </c>
      <c r="AB4" s="57" t="s">
        <v>137</v>
      </c>
      <c r="AC4" s="57" t="s">
        <v>138</v>
      </c>
      <c r="AD4" s="56" t="s">
        <v>43</v>
      </c>
      <c r="AE4" s="61" t="s">
        <v>139</v>
      </c>
      <c r="AF4" s="61" t="s">
        <v>140</v>
      </c>
      <c r="AG4" s="61" t="s">
        <v>42</v>
      </c>
      <c r="AH4" s="61" t="s">
        <v>41</v>
      </c>
      <c r="AI4" s="61" t="s">
        <v>40</v>
      </c>
      <c r="AJ4" s="61" t="s">
        <v>141</v>
      </c>
      <c r="AK4" s="62" t="s">
        <v>142</v>
      </c>
      <c r="AL4" s="56" t="s">
        <v>39</v>
      </c>
      <c r="AM4" s="10" t="s">
        <v>143</v>
      </c>
      <c r="AN4" s="61" t="s">
        <v>144</v>
      </c>
      <c r="AO4" s="61" t="s">
        <v>21</v>
      </c>
      <c r="AP4" s="57" t="s">
        <v>38</v>
      </c>
      <c r="AQ4" s="57" t="s">
        <v>37</v>
      </c>
      <c r="AR4" s="10" t="s">
        <v>127</v>
      </c>
      <c r="AS4" s="63" t="s">
        <v>128</v>
      </c>
    </row>
    <row r="5" spans="2:45" x14ac:dyDescent="0.2">
      <c r="C5" s="64" t="s">
        <v>0</v>
      </c>
      <c r="D5" s="65">
        <v>0.53439999999999999</v>
      </c>
      <c r="E5" s="66" t="s">
        <v>2</v>
      </c>
      <c r="F5" s="67">
        <v>47116</v>
      </c>
      <c r="G5" s="68">
        <v>50000000</v>
      </c>
      <c r="H5" s="69" t="s">
        <v>1</v>
      </c>
      <c r="I5" s="70">
        <v>45289</v>
      </c>
      <c r="J5" s="65">
        <v>0.68120000000000003</v>
      </c>
      <c r="K5" s="65">
        <v>0.67094900000000002</v>
      </c>
      <c r="L5" s="71">
        <v>0.1236131</v>
      </c>
      <c r="M5" s="71">
        <v>3.8730000000000001E-2</v>
      </c>
      <c r="N5" s="71">
        <v>3.5090000000000003E-2</v>
      </c>
      <c r="O5" s="66" t="s">
        <v>1</v>
      </c>
      <c r="P5" s="72" t="s">
        <v>11</v>
      </c>
      <c r="Q5" s="73" cm="1">
        <f t="array" ref="Q5">_xlfn.IFS(Table1[[#This Row],[Call/Put]]="Call FOR, Put DOM",1,Table1[[#This Row],[Call/Put]]="Put FOR, Call DOM",-1)</f>
        <v>1</v>
      </c>
      <c r="R5" s="74">
        <f>YEARFRAC(Table1[[#This Row],[Value Date]],Table1[[#This Row],[Expiry Date]],1)</f>
        <v>5.0009124087591239</v>
      </c>
      <c r="S5" s="24">
        <f>Table1[[#This Row],[rd]]-Table1[[#This Row],[rf]]</f>
        <v>-3.6399999999999974E-3</v>
      </c>
      <c r="T5" s="24">
        <f>LN(Table1[[#This Row],[F]]/Table1[[#This Row],[S0]])/Table1[[#This Row],[T]]</f>
        <v>-3.0320108466896883E-3</v>
      </c>
      <c r="U5" s="24">
        <f>Table1[[#This Row],[rf]]+Table1[[#This Row],[μwith currency basis]]</f>
        <v>3.5697989153310315E-2</v>
      </c>
      <c r="V5" s="46" cm="1">
        <f t="array" ref="V5">_xlfn.IFS(Table1[[#This Row],[Notional Ccy]]="FOR",Table1[[#This Row],[Notional Amt]],Table1[[#This Row],[Notional Ccy]]="DOM",Table1[[#This Row],[Notional Amt]]/Table1[[#This Row],[Strike]])</f>
        <v>50000000</v>
      </c>
      <c r="W5" s="46" cm="1">
        <f t="array" ref="W5">_xlfn.IFS(Table1[[#This Row],[Notional Ccy]]="DOM",Table1[[#This Row],[Notional Amt]],Table1[[#This Row],[Notional Ccy]]="FOR",Table1[[#This Row],[Notional Amt]]*Table1[[#This Row],[Strike]])</f>
        <v>26720000</v>
      </c>
      <c r="X5" s="11">
        <f>IF(Table1[[#This Row],[Result Ccy]]="DOM",1,Table1[[#This Row],[S0]])</f>
        <v>0.68120000000000003</v>
      </c>
      <c r="Y5" s="24" cm="1">
        <f t="array" ref="Y5">_xlfn.IFS(Table1[[#This Row],[Methodology]]="With Currency Basis",Table1[[#This Row],[rd_basis_adj]],Table1[[#This Row],[Methodology]]="By Interest Rate Parity",Table1[[#This Row],[rd]])</f>
        <v>3.5697989153310315E-2</v>
      </c>
      <c r="Z5" s="24">
        <f>Table1[[#This Row],[rf]]</f>
        <v>3.8730000000000001E-2</v>
      </c>
      <c r="AA5" s="24" cm="1">
        <f t="array" ref="AA5">_xlfn.IFS(Table1[[#This Row],[Methodology]]="With Currency Basis",Table1[[#This Row],[μwith currency basis]],Table1[[#This Row],[Methodology]]="By Interest Rate Parity",Table1[[#This Row],[μby interest rate parity]])</f>
        <v>-3.0320108466896883E-3</v>
      </c>
      <c r="AB5" s="45">
        <f>(LN(Table1[[#This Row],[S0]]/Table1[[#This Row],[Strike]])+(Table1[[#This Row],[μ]]+0.5*Table1[[#This Row],[σ]]*Table1[[#This Row],[σ]])*Table1[[#This Row],[T]])/(Table1[[#This Row],[σ]]*SQRT(Table1[[#This Row],[T]]))</f>
        <v>0.9613774086671355</v>
      </c>
      <c r="AC5" s="45">
        <f>Table1[[#This Row],[d1]]-Table1[[#This Row],[σ]]*SQRT(Table1[[#This Row],[T]])</f>
        <v>0.68494489566442285</v>
      </c>
      <c r="AD5" s="75">
        <f>Table1[[#This Row],[CP]]*(Table1[[#This Row],[S0]]*EXP(-Table1[[#This Row],[q]]*Table1[[#This Row],[T]])*_xlfn.NORM.S.DIST(Table1[[#This Row],[CP]]*Table1[[#This Row],[d1]],TRUE)-Table1[[#This Row],[Strike]]*EXP(-Table1[[#This Row],[r]]*Table1[[#This Row],[T]])*_xlfn.NORM.S.DIST(Table1[[#This Row],[CP]]*Table1[[#This Row],[d2]],TRUE))</f>
        <v>0.1301089898287508</v>
      </c>
      <c r="AE5" s="24">
        <f>Table1[[#This Row],[CP]]*EXP(-Table1[[#This Row],[q]]*Table1[[#This Row],[T]])*_xlfn.NORM.S.DIST(Table1[[#This Row],[CP]]*Table1[[#This Row],[d1]],TRUE)</f>
        <v>0.6853497333116404</v>
      </c>
      <c r="AF5" s="76">
        <f>Table1[[#This Row],[CP]]*_xlfn.NORM.S.DIST(Table1[[#This Row],[CP]]*Table1[[#This Row],[d1]],TRUE)</f>
        <v>0.83181878045308011</v>
      </c>
      <c r="AG5" s="40">
        <f>1%*Table1[[#This Row],[S0]]*SQRT(Table1[[#This Row],[T]])*_xlfn.NORM.S.DIST(Table1[[#This Row],[d1]],FALSE)*EXP(-Table1[[#This Row],[rf]]*T)</f>
        <v>3.6815478748224092E-3</v>
      </c>
      <c r="AH5" s="41">
        <f>(1/365)*
(
-(Table1[[#This Row],[S0]]*EXP(-Table1[[#This Row],[r]]*Table1[[#This Row],[T]])*_xlfn.NORM.S.DIST(Table1[[#This Row],[d1]]*Table1[[#This Row],[CP]],FALSE)*Table1[[#This Row],[σ]])/(2*SQRT(Table1[[#This Row],[T]]))
+Table1[[#This Row],[q]]*EXP(-Table1[[#This Row],[q]]*Table1[[#This Row],[T]])*Table1[[#This Row],[S0]]*_xlfn.NORM.S.DIST(Table1[[#This Row],[d1]]*Table1[[#This Row],[CP]],TRUE)
-Table1[[#This Row],[r]]*EXP(-Table1[[#This Row],[r]]*Table1[[#This Row],[T]])*Table1[[#This Row],[Strike]]*_xlfn.NORM.S.DIST(Table1[[#This Row],[d2]]*Table1[[#This Row],[CP]],TRUE)
)</f>
        <v>5.7595807080634053E-6</v>
      </c>
      <c r="AI5" s="40">
        <f>(1%*Table1[[#This Row],[S0]])*(EXP(-Table1[[#This Row],[q]]*Table1[[#This Row],[T]])*_xlfn.NORM.S.DIST(Table1[[#This Row],[d1]],FALSE)/(Table1[[#This Row],[S0]]*Table1[[#This Row],[σ]]*SQRT(Table1[[#This Row],[T]])))</f>
        <v>7.4904323912449861E-3</v>
      </c>
      <c r="AJ5" s="40">
        <f>(1%)*(-Table1[[#This Row],[T]]*EXP(-Table1[[#This Row],[q]]*T)*Table1[[#This Row],[S0]]*_xlfn.NORM.S.DIST(Table1[[#This Row],[d1]],TRUE))</f>
        <v>-2.725030165577752E-2</v>
      </c>
      <c r="AK5" s="77">
        <f>1%*-Table1[[#This Row],[T]]*EXP(-Table1[[#This Row],[r]]*Table1[[#This Row],[T]])*Table1[[#This Row],[S0]]*_xlfn.NORM.S.DIST(Table1[[#This Row],[d2]],TRUE)</f>
        <v>-2.1466767484352684E-2</v>
      </c>
      <c r="AL5" s="73">
        <f>Table1[[#This Row],[Px]]*Table1[[#This Row],[FOR Notional]]/Table1[[#This Row],[Result Ccy Divisor]]</f>
        <v>9549984.5734549891</v>
      </c>
      <c r="AM5" s="46">
        <f>Table1[[#This Row],[Unit Δspot]]*Table1[[#This Row],[FOR Notional]]*Table1[[#This Row],[S0]]/Table1[[#This Row],[Result Ccy Divisor]]</f>
        <v>34267486.665582016</v>
      </c>
      <c r="AN5" s="46">
        <f>Table1[[#This Row],[Unit Δforward]]*Table1[[#This Row],[FOR Notional]]*Table1[[#This Row],[S0]]/Table1[[#This Row],[Result Ccy Divisor]]</f>
        <v>41590939.022654004</v>
      </c>
      <c r="AO5" s="46">
        <f>Table1[[#This Row],[Unit Vega]]*Table1[[#This Row],[FOR Notional]]/Table1[[#This Row],[Result Ccy Divisor]]</f>
        <v>270225.18165167421</v>
      </c>
      <c r="AP5" s="46">
        <f>Table1[[#This Row],[Unit Theta]]*Table1[[#This Row],[FOR Notional]]/Table1[[#This Row],[Result Ccy Divisor]]</f>
        <v>422.75254756777781</v>
      </c>
      <c r="AQ5" s="46">
        <f>Table1[[#This Row],[Unit Gamma]]*Table1[[#This Row],[FOR Notional]]*Table1[[#This Row],[S0]]/Table1[[#This Row],[Result Ccy Divisor]]</f>
        <v>374521.61956224928</v>
      </c>
      <c r="AR5" s="46">
        <f>Table1[[#This Row],[Unit Rhoforeign currency]]*Table1[[#This Row],[FOR Notional]]/Table1[[#This Row],[Result Ccy Divisor]]</f>
        <v>-2000168.9412637639</v>
      </c>
      <c r="AS5" s="78">
        <f>Table1[[#This Row],[Unit Rhodomestic currency]]*Table1[[#This Row],[FOR Notional]]/Table1[[#This Row],[Result Ccy Divisor]]</f>
        <v>-1575658.2122983474</v>
      </c>
    </row>
    <row r="6" spans="2:45" x14ac:dyDescent="0.2">
      <c r="C6" s="64" t="s">
        <v>0</v>
      </c>
      <c r="D6" s="65">
        <v>0.53439999999999999</v>
      </c>
      <c r="E6" s="66" t="s">
        <v>8</v>
      </c>
      <c r="F6" s="67">
        <v>47116</v>
      </c>
      <c r="G6" s="68">
        <v>50000000</v>
      </c>
      <c r="H6" s="69" t="s">
        <v>1</v>
      </c>
      <c r="I6" s="70">
        <v>45289</v>
      </c>
      <c r="J6" s="65">
        <v>0.68120000000000003</v>
      </c>
      <c r="K6" s="65">
        <v>0.67094900000000002</v>
      </c>
      <c r="L6" s="71">
        <v>0.1236131</v>
      </c>
      <c r="M6" s="71">
        <v>3.8730000000000001E-2</v>
      </c>
      <c r="N6" s="71">
        <v>3.5090000000000003E-2</v>
      </c>
      <c r="O6" s="66" t="s">
        <v>1</v>
      </c>
      <c r="P6" s="72" t="s">
        <v>11</v>
      </c>
      <c r="Q6" s="73" cm="1">
        <f t="array" ref="Q6">_xlfn.IFS(Table1[[#This Row],[Call/Put]]="Call FOR, Put DOM",1,Table1[[#This Row],[Call/Put]]="Put FOR, Call DOM",-1)</f>
        <v>-1</v>
      </c>
      <c r="R6" s="74">
        <f>YEARFRAC(Table1[[#This Row],[Value Date]],Table1[[#This Row],[Expiry Date]],1)</f>
        <v>5.0009124087591239</v>
      </c>
      <c r="S6" s="24">
        <f>Table1[[#This Row],[rd]]-Table1[[#This Row],[rf]]</f>
        <v>-3.6399999999999974E-3</v>
      </c>
      <c r="T6" s="24">
        <f>LN(Table1[[#This Row],[F]]/Table1[[#This Row],[S0]])/Table1[[#This Row],[T]]</f>
        <v>-3.0320108466896883E-3</v>
      </c>
      <c r="U6" s="24">
        <f>Table1[[#This Row],[rf]]+Table1[[#This Row],[μwith currency basis]]</f>
        <v>3.5697989153310315E-2</v>
      </c>
      <c r="V6" s="46" cm="1">
        <f t="array" ref="V6">_xlfn.IFS(Table1[[#This Row],[Notional Ccy]]="FOR",Table1[[#This Row],[Notional Amt]],Table1[[#This Row],[Notional Ccy]]="DOM",Table1[[#This Row],[Notional Amt]]/Table1[[#This Row],[Strike]])</f>
        <v>50000000</v>
      </c>
      <c r="W6" s="46" cm="1">
        <f t="array" ref="W6">_xlfn.IFS(Table1[[#This Row],[Notional Ccy]]="DOM",Table1[[#This Row],[Notional Amt]],Table1[[#This Row],[Notional Ccy]]="FOR",Table1[[#This Row],[Notional Amt]]*Table1[[#This Row],[Strike]])</f>
        <v>26720000</v>
      </c>
      <c r="X6" s="11">
        <f>IF(Table1[[#This Row],[Result Ccy]]="DOM",1,Table1[[#This Row],[S0]])</f>
        <v>0.68120000000000003</v>
      </c>
      <c r="Y6" s="24" cm="1">
        <f t="array" ref="Y6">_xlfn.IFS(Table1[[#This Row],[Methodology]]="With Currency Basis",Table1[[#This Row],[rd_basis_adj]],Table1[[#This Row],[Methodology]]="By Interest Rate Parity",Table1[[#This Row],[rd]])</f>
        <v>3.5697989153310315E-2</v>
      </c>
      <c r="Z6" s="24">
        <f>Table1[[#This Row],[rf]]</f>
        <v>3.8730000000000001E-2</v>
      </c>
      <c r="AA6" s="24" cm="1">
        <f t="array" ref="AA6">_xlfn.IFS(Table1[[#This Row],[Methodology]]="With Currency Basis",Table1[[#This Row],[μwith currency basis]],Table1[[#This Row],[Methodology]]="By Interest Rate Parity",Table1[[#This Row],[μby interest rate parity]])</f>
        <v>-3.0320108466896883E-3</v>
      </c>
      <c r="AB6" s="79">
        <f>(LN(Table1[[#This Row],[S0]]/Table1[[#This Row],[Strike]])+(Table1[[#This Row],[μ]]+0.5*Table1[[#This Row],[σ]]*Table1[[#This Row],[σ]])*Table1[[#This Row],[T]])/(Table1[[#This Row],[σ]]*SQRT(Table1[[#This Row],[T]]))</f>
        <v>0.9613774086671355</v>
      </c>
      <c r="AC6" s="79">
        <f>Table1[[#This Row],[d1]]-Table1[[#This Row],[σ]]*SQRT(Table1[[#This Row],[T]])</f>
        <v>0.68494489566442285</v>
      </c>
      <c r="AD6" s="75">
        <f>Table1[[#This Row],[CP]]*(Table1[[#This Row],[S0]]*EXP(-Table1[[#This Row],[q]]*Table1[[#This Row],[T]])*_xlfn.NORM.S.DIST(Table1[[#This Row],[CP]]*Table1[[#This Row],[d1]],TRUE)-Table1[[#This Row],[Strike]]*EXP(-Table1[[#This Row],[r]]*Table1[[#This Row],[T]])*_xlfn.NORM.S.DIST(Table1[[#This Row],[CP]]*Table1[[#This Row],[d2]],TRUE))</f>
        <v>1.5885038387251513E-2</v>
      </c>
      <c r="AE6" s="24">
        <f>Table1[[#This Row],[CP]]*EXP(-Table1[[#This Row],[q]]*Table1[[#This Row],[T]])*_xlfn.NORM.S.DIST(Table1[[#This Row],[CP]]*Table1[[#This Row],[d1]],TRUE)</f>
        <v>-0.13856738591755027</v>
      </c>
      <c r="AF6" s="76">
        <f>Table1[[#This Row],[CP]]*_xlfn.NORM.S.DIST(Table1[[#This Row],[CP]]*Table1[[#This Row],[d1]],TRUE)</f>
        <v>-0.16818121954691986</v>
      </c>
      <c r="AG6" s="40">
        <f>1%*Table1[[#This Row],[S0]]*SQRT(Table1[[#This Row],[T]])*_xlfn.NORM.S.DIST(Table1[[#This Row],[d1]],FALSE)*EXP(-Table1[[#This Row],[rf]]*T)</f>
        <v>3.6815478748224092E-3</v>
      </c>
      <c r="AH6" s="41">
        <f>(1/365)*
(
-(Table1[[#This Row],[S0]]*EXP(-Table1[[#This Row],[r]]*Table1[[#This Row],[T]])*_xlfn.NORM.S.DIST(Table1[[#This Row],[d1]]*Table1[[#This Row],[CP]],FALSE)*Table1[[#This Row],[σ]])/(2*SQRT(Table1[[#This Row],[T]]))
+Table1[[#This Row],[q]]*EXP(-Table1[[#This Row],[q]]*Table1[[#This Row],[T]])*Table1[[#This Row],[S0]]*_xlfn.NORM.S.DIST(Table1[[#This Row],[d1]]*Table1[[#This Row],[CP]],TRUE)
-Table1[[#This Row],[r]]*EXP(-Table1[[#This Row],[r]]*Table1[[#This Row],[T]])*Table1[[#This Row],[Strike]]*_xlfn.NORM.S.DIST(Table1[[#This Row],[d2]]*Table1[[#This Row],[CP]],TRUE)
)</f>
        <v>-1.1613078637704279E-5</v>
      </c>
      <c r="AI6" s="40">
        <f>(1%*Table1[[#This Row],[S0]])*(EXP(-Table1[[#This Row],[q]]*Table1[[#This Row],[T]])*_xlfn.NORM.S.DIST(Table1[[#This Row],[d1]],FALSE)/(Table1[[#This Row],[S0]]*Table1[[#This Row],[σ]]*SQRT(Table1[[#This Row],[T]])))</f>
        <v>7.4904323912449861E-3</v>
      </c>
      <c r="AJ6" s="40">
        <f>(1%)*(-Table1[[#This Row],[T]]*EXP(-Table1[[#This Row],[q]]*T)*Table1[[#This Row],[S0]]*_xlfn.NORM.S.DIST(Table1[[#This Row],[d1]],TRUE))</f>
        <v>-2.725030165577752E-2</v>
      </c>
      <c r="AK6" s="77">
        <f>1%*-Table1[[#This Row],[T]]*EXP(-Table1[[#This Row],[r]]*Table1[[#This Row],[T]])*Table1[[#This Row],[S0]]*_xlfn.NORM.S.DIST(Table1[[#This Row],[d2]],TRUE)</f>
        <v>-2.1466767484352684E-2</v>
      </c>
      <c r="AL6" s="73">
        <f>Table1[[#This Row],[Px]]*Table1[[#This Row],[FOR Notional]]/Table1[[#This Row],[Result Ccy Divisor]]</f>
        <v>1165959.9520883376</v>
      </c>
      <c r="AM6" s="46">
        <f>Table1[[#This Row],[Unit Δspot]]*Table1[[#This Row],[FOR Notional]]*Table1[[#This Row],[S0]]/Table1[[#This Row],[Result Ccy Divisor]]</f>
        <v>-6928369.2958775135</v>
      </c>
      <c r="AN6" s="46">
        <f>Table1[[#This Row],[Unit Δforward]]*Table1[[#This Row],[FOR Notional]]*Table1[[#This Row],[S0]]/Table1[[#This Row],[Result Ccy Divisor]]</f>
        <v>-8409060.9773459937</v>
      </c>
      <c r="AO6" s="46">
        <f>Table1[[#This Row],[Unit Vega]]*Table1[[#This Row],[FOR Notional]]/Table1[[#This Row],[Result Ccy Divisor]]</f>
        <v>270225.18165167421</v>
      </c>
      <c r="AP6" s="46">
        <f>Table1[[#This Row],[Unit Theta]]*Table1[[#This Row],[FOR Notional]]/Table1[[#This Row],[Result Ccy Divisor]]</f>
        <v>-852.398608169721</v>
      </c>
      <c r="AQ6" s="46">
        <f>Table1[[#This Row],[Unit Gamma]]*Table1[[#This Row],[FOR Notional]]*Table1[[#This Row],[S0]]/Table1[[#This Row],[Result Ccy Divisor]]</f>
        <v>374521.61956224928</v>
      </c>
      <c r="AR6" s="46">
        <f>Table1[[#This Row],[Unit Rhoforeign currency]]*Table1[[#This Row],[FOR Notional]]/Table1[[#This Row],[Result Ccy Divisor]]</f>
        <v>-2000168.9412637639</v>
      </c>
      <c r="AS6" s="46">
        <f>Table1[[#This Row],[Unit Rhodomestic currency]]*Table1[[#This Row],[FOR Notional]]/Table1[[#This Row],[Result Ccy Divisor]]</f>
        <v>-1575658.2122983474</v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D2799D6-6705-43E0-B100-A27005B20E74}">
          <x14:formula1>
            <xm:f>'Data Validation'!$F$1:$F$2</xm:f>
          </x14:formula1>
          <xm:sqref>P5:P6</xm:sqref>
        </x14:dataValidation>
        <x14:dataValidation type="list" allowBlank="1" showInputMessage="1" showErrorMessage="1" xr:uid="{F34DBBA1-E7E1-48AB-841A-B3E75C3F2220}">
          <x14:formula1>
            <xm:f>'Data Validation'!$B$1:$B$2</xm:f>
          </x14:formula1>
          <xm:sqref>O5:O6 H5:H6</xm:sqref>
        </x14:dataValidation>
        <x14:dataValidation type="list" allowBlank="1" showInputMessage="1" showErrorMessage="1" xr:uid="{D3E28F67-2090-4BA3-98B9-07D25453EEE7}">
          <x14:formula1>
            <xm:f>'Data Validation'!$A$1:$A$2</xm:f>
          </x14:formula1>
          <xm:sqref>C5:C6</xm:sqref>
        </x14:dataValidation>
        <x14:dataValidation type="list" allowBlank="1" showInputMessage="1" showErrorMessage="1" xr:uid="{539DA48A-1F62-4FB7-912B-C2DBCCE688C1}">
          <x14:formula1>
            <xm:f>'Data Validation'!$C$1:$C$2</xm:f>
          </x14:formula1>
          <xm:sqref>E5:E6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3F57C-0F79-4DEA-8250-B79DECFAE83B}">
  <sheetPr codeName="Sheet3"/>
  <dimension ref="A1:F2"/>
  <sheetViews>
    <sheetView workbookViewId="0">
      <selection activeCell="G25" sqref="G25"/>
    </sheetView>
  </sheetViews>
  <sheetFormatPr defaultRowHeight="12" x14ac:dyDescent="0.2"/>
  <cols>
    <col min="1" max="1" width="4" style="1" bestFit="1" customWidth="1"/>
    <col min="2" max="2" width="4.85546875" style="1" bestFit="1" customWidth="1"/>
    <col min="3" max="3" width="16" style="1" bestFit="1" customWidth="1"/>
    <col min="4" max="4" width="8.85546875" style="1" bestFit="1" customWidth="1"/>
    <col min="5" max="5" width="4.140625" style="1" bestFit="1" customWidth="1"/>
    <col min="6" max="6" width="18.28515625" style="1" bestFit="1" customWidth="1"/>
    <col min="7" max="16384" width="9.140625" style="1"/>
  </cols>
  <sheetData>
    <row r="1" spans="1:6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">
      <c r="A2" s="1" t="s">
        <v>6</v>
      </c>
      <c r="B2" s="1" t="s">
        <v>7</v>
      </c>
      <c r="C2" s="1" t="s">
        <v>8</v>
      </c>
      <c r="D2" s="1" t="s">
        <v>9</v>
      </c>
      <c r="E2" s="1" t="s">
        <v>10</v>
      </c>
      <c r="F2" s="1" t="s">
        <v>11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25</vt:i4>
      </vt:variant>
    </vt:vector>
  </HeadingPairs>
  <TitlesOfParts>
    <vt:vector size="29" baseType="lpstr">
      <vt:lpstr>GK Pricer</vt:lpstr>
      <vt:lpstr>MonteCarlo</vt:lpstr>
      <vt:lpstr>GK Bulk</vt:lpstr>
      <vt:lpstr>Data Validation</vt:lpstr>
      <vt:lpstr>CP</vt:lpstr>
      <vt:lpstr>d1_</vt:lpstr>
      <vt:lpstr>d2_</vt:lpstr>
      <vt:lpstr>Domestic_Ccy_Notional</vt:lpstr>
      <vt:lpstr>F</vt:lpstr>
      <vt:lpstr>Foreign_Ccy_Notional</vt:lpstr>
      <vt:lpstr>H</vt:lpstr>
      <vt:lpstr>K</vt:lpstr>
      <vt:lpstr>Methodology</vt:lpstr>
      <vt:lpstr>Monte_Carlo_Runtime</vt:lpstr>
      <vt:lpstr>Notional_amount</vt:lpstr>
      <vt:lpstr>Notional_Ccy</vt:lpstr>
      <vt:lpstr>Number_Of_Refreshes</vt:lpstr>
      <vt:lpstr>q_</vt:lpstr>
      <vt:lpstr>r_</vt:lpstr>
      <vt:lpstr>r_d</vt:lpstr>
      <vt:lpstr>r_d_basis_adj</vt:lpstr>
      <vt:lpstr>r_f</vt:lpstr>
      <vt:lpstr>ResultCurrency</vt:lpstr>
      <vt:lpstr>ResultDomesticFXSpotRate</vt:lpstr>
      <vt:lpstr>ResultNotionalFXSpotRate</vt:lpstr>
      <vt:lpstr>S0</vt:lpstr>
      <vt:lpstr>T</vt:lpstr>
      <vt:lpstr>μ</vt:lpstr>
      <vt:lpstr>σ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Shasa Foster</cp:lastModifiedBy>
  <dcterms:created xsi:type="dcterms:W3CDTF">2024-09-25T13:34:58Z</dcterms:created>
  <dcterms:modified xsi:type="dcterms:W3CDTF">2024-10-27T05:47:26Z</dcterms:modified>
</cp:coreProperties>
</file>